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comments1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rm_Profiles" sheetId="2" state="visible" r:id="rId4"/>
    <sheet name="Scorecard" sheetId="3" state="visible" r:id="rId5"/>
    <sheet name="Industry_Compare" sheetId="4" state="visible" r:id="rId6"/>
    <sheet name="Statistics" sheetId="5" state="visible" r:id="rId7"/>
    <sheet name="Panel" sheetId="6" state="visible" r:id="rId8"/>
    <sheet name="Industry" sheetId="7" state="visible" r:id="rId9"/>
    <sheet name="Tiger" sheetId="8" state="visible" r:id="rId10"/>
    <sheet name="Allcargo" sheetId="9" state="visible" r:id="rId11"/>
    <sheet name="BlueDart" sheetId="10" state="visible" r:id="rId12"/>
    <sheet name="CONCOR" sheetId="11" state="visible" r:id="rId13"/>
    <sheet name="JetFreight" sheetId="12" state="visible" r:id="rId14"/>
    <sheet name="Patel" sheetId="13" state="visible" r:id="rId15"/>
    <sheet name="Sical" sheetId="14" state="visible" r:id="rId16"/>
    <sheet name="TCI" sheetId="15" state="visible" r:id="rId17"/>
    <sheet name="Shreeji" sheetId="16" state="visible" r:id="rId18"/>
    <sheet name="MahindraLog" sheetId="17" state="visible" r:id="rId19"/>
  </sheet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A48" authorId="0">
      <text>
        <r>
          <rPr>
            <sz val="10"/>
            <rFont val="Arial"/>
            <family val="2"/>
          </rPr>
          <t xml:space="preserve">Override FY2025: Screener shows 98.28 cr adjusted shares but the FY2025 balance sheet shows 149.78 cr shares (Rs 300 cr capital at FV Rs 2) and no later bonus/split; 149.78 cr used.</t>
        </r>
      </text>
    </comment>
    <comment ref="A49" authorId="0">
      <text>
        <r>
          <rPr>
            <sz val="10"/>
            <rFont val="Arial"/>
            <family val="2"/>
          </rPr>
          <t xml:space="preserve">Allcargo FY2019-FY2025 prices in the export are adjusted for the Nov-2025 demerger of the international business, while earnings/book values still include that business. P/E, P/B, earnings &amp; dividend yield and EV/EBITDA are therefore marked N/C (not comparable) for those years. Total shareholder return is unaffected (adjusted series).</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48" authorId="0">
      <text>
        <r>
          <rPr>
            <sz val="10"/>
            <rFont val="Arial"/>
            <family val="2"/>
          </rPr>
          <t xml:space="preserve">Override: Screener's adjusted share count for Sical (17.79-20.88 cr) is inconsistent with reported share capital and with the (unadjusted) price series; actual year-end shares outstanding (No. of equity shares / 1e7, from the same export) are used for all years.</t>
        </r>
      </text>
    </comment>
  </commentList>
</comments>
</file>

<file path=xl/sharedStrings.xml><?xml version="1.0" encoding="utf-8"?>
<sst xmlns="http://schemas.openxmlformats.org/spreadsheetml/2006/main" count="6234" uniqueCount="712">
  <si>
    <t xml:space="preserve">DECISION MAKING USING FINANCIAL STATEMENTS - Group Project: Excel workings</t>
  </si>
  <si>
    <t xml:space="preserve">Industry: Indian listed logistics &amp; freight-transport services | 10 firms | 7 financial years FY2020-FY2026 (FY2019 used only as opening balance for averages)</t>
  </si>
  <si>
    <t xml:space="preserve">1. Purpose</t>
  </si>
  <si>
    <t xml:space="preserve">Ratio analysis (liquidity, leverage, turnover, profitability, valuation), industry comparison, 7-year trend analysis, DuPont, common-size, trend-index and statistical analysis for 10 listed logistics companies, under the assumption that these 10 firms constitute the entire industry. Every industry benchmark is computed only from these 10 firms.</t>
  </si>
  <si>
    <t xml:space="preserve">2. Sheet map</t>
  </si>
  <si>
    <t xml:space="preserve">Firm_Profiles - the 10 firms, segments, business models and quantitative evidence of operating homogeneity (supports the industry/firm-selection justification).</t>
  </si>
  <si>
    <t xml:space="preserve">Scorecard - 24 key ratios for every firm vs the industry aggregate and the 10-firm median; green = better than median, red = weaker (FY2026 and 7-year average).</t>
  </si>
  <si>
    <t xml:space="preserve">Industry_Compare - every ratio (76) for every firm and year with Industry aggregate, Mean, Median, SD, Min, Max, position vs median, assessment and rank.</t>
  </si>
  <si>
    <t xml:space="preserve">Statistics - descriptive statistics, correlation matrix, multiple regression, paired t-tests (FY2020 vs FY2026), Welch t-test (asset-light vs asset-heavy), two-way ANOVA, growth/stability.</t>
  </si>
  <si>
    <t xml:space="preserve">Panel - 70 firm-year observations of key variables (linked), the data used by the Statistics sheet.</t>
  </si>
  <si>
    <t xml:space="preserve">Industry - aggregate of the 10 firms (sum of each line item) with the same ratio formulas: the size-weighted industry ratio.</t>
  </si>
  <si>
    <t xml:space="preserve">Tiger ... MahindraLog - one sheet per company: raw statements (inputs), derived items, all ratios, DuPont, growth, common-size P&amp;L and balance sheet, trend index (FY2020 = 100). Columns K-M: 7-year average, change FY26 vs FY20, linear trend slope per year.</t>
  </si>
  <si>
    <t xml:space="preserve">3. Colour and symbol conventions</t>
  </si>
  <si>
    <t xml:space="preserve">Blue font = hard-coded input from the source data | Black = formula | Green = link to another sheet | Yellow fill = flagged assumption/override.</t>
  </si>
  <si>
    <t xml:space="preserve">N/M = not meaningful (denominator zero or negative, e.g. negative net worth, nil inventory, loss-making EPS for P/E). N/C = not comparable (see Allcargo note). n.a. = not applicable for the industry aggregate (per-share data).</t>
  </si>
  <si>
    <t xml:space="preserve">All amounts in Rs crore unless stated; per-share data in Rs. FY2026 = financial year April 2025 - March 2026. Percentages are stored as fractions.</t>
  </si>
  <si>
    <t xml:space="preserve">4. Data source</t>
  </si>
  <si>
    <t xml:space="preserve">Financial statements (P&amp;L, balance sheet, cash flow), year-end share price and adjusted share count for FY2017-FY2026 exported from Screener.in ("Data Sheet" v2.1 export, compiled from the annual reports/exchange filings of each company; consolidated statements where the company publishes them). The full list of annual reports used, with access links, is in the separate Bibliography document.</t>
  </si>
  <si>
    <t xml:space="preserve">5. Definitions, proxies and limitations (the export is a condensed format)</t>
  </si>
  <si>
    <t xml:space="preserve">Current assets are proxied by "Other assets" (all assets other than fixed assets, CWIP and investments) and current liabilities by "Other liabilities" (all liabilities other than borrowings and equity). Both may include some non-current items.</t>
  </si>
  <si>
    <t xml:space="preserve">Long-term debt is not separated from short-term debt: total borrowings (including lease liabilities where reported within borrowings) are used for all debt ratios. No firm has preference capital, so the capital gearing ratio equals debt-equity and ROE (ordinary) equals ROE (total).</t>
  </si>
  <si>
    <t xml:space="preserve">COGS-equivalent = direct operating costs (freight, handling, hire, power &amp; fuel, purchases). Net credit sales = total sales (B2B logistics). Creditors are proxied by "Other liabilities" (trade payables are not shown separately), so creditor days and the cash-conversion cycle are indicative only.</t>
  </si>
  <si>
    <t xml:space="preserve">Loan repayment is proxied by the year-on-year fall in borrowings (0 if borrowings rose); capital expenditure = change in (net block + CWIP) + depreciation. Effective tax rate = tax/PBT bounded to 0-100% (0 when PBT &lt;= 0).</t>
  </si>
  <si>
    <t xml:space="preserve">EBITDA (reported basis) = PBT + interest + depreciation, and includes other income and exceptional items (Screener reports exceptional items within other income). Operating EBITDA excludes other income and is the cleaner measure of core profitability.</t>
  </si>
  <si>
    <t xml:space="preserve">Valuation ratios use the year-end (March) share price; EPS/BVPS/DPS use Screener's split/bonus-adjusted share count so that prices and shares are on the same basis.</t>
  </si>
  <si>
    <t xml:space="preserve">6. Overrides (cell comments on the company sheets)</t>
  </si>
  <si>
    <t xml:space="preserve">Sical Logistics: actual year-end shares outstanding are used for all years (Screener's adjusted share count is inconsistent with reported share capital and the price series).</t>
  </si>
  <si>
    <t xml:space="preserve">Allcargo Logistics: FY2025 shares = 149.78 crore per balance sheet. Prices FY2019-FY2025 are adjusted for the November 2025 demerger of the international business, while earnings and book values still include it, so P/E, P/B, earnings yield, dividend yield and EV/EBITDA for those years are marked N/C and excluded from industry valuation aggregates. FY2025-FY2026 financials are on the post-restructuring perimeter and are not comparable with FY2020-FY2024.</t>
  </si>
  <si>
    <t xml:space="preserve">7. Industry benchmarks</t>
  </si>
  <si>
    <t xml:space="preserve">Industry (aggregate) = ratio of summed numerators to summed denominators across the 10 firms (size-weighted; dominated by CONCOR, Mahindra Logistics, Blue Dart, TCI). Median = typical firm and the main benchmark for "better/weaker" assessments, because the mean is distorted by outliers (Sical's negative net worth, Allcargo's restructuring).</t>
  </si>
  <si>
    <t xml:space="preserve">8. AI use disclosure</t>
  </si>
  <si>
    <t xml:space="preserve">This workbook was built with the assistance of Claude (Anthropic) - an AI assistant - which wrote the formulas and layout from the group's data file and the course formula list. All inputs come from the group-supplied Screener.in export; every ratio is a live formula and was cross-checked against an independent Python computation (all cells matched). The group remains responsible for the interpretation.</t>
  </si>
  <si>
    <t xml:space="preserve">FIRM SELECTION - the 10 listed Indian logistics companies and evidence of operating homogeneity</t>
  </si>
  <si>
    <t xml:space="preserve">Columns H-P are linked to the company sheets. Low dispersion in cost structure (direct operating cost dominant, negligible inventory, receivable-led working capital) shows the firms share one operating model; asset intensity shows the different value propositions.</t>
  </si>
  <si>
    <t xml:space="preserve">#</t>
  </si>
  <si>
    <t xml:space="preserve">Company</t>
  </si>
  <si>
    <t xml:space="preserve">NSE symbol</t>
  </si>
  <si>
    <t xml:space="preserve">BSE code</t>
  </si>
  <si>
    <t xml:space="preserve">Segment / value proposition</t>
  </si>
  <si>
    <t xml:space="preserve">Business model</t>
  </si>
  <si>
    <t xml:space="preserve">Asset group (vs median NB/TA)</t>
  </si>
  <si>
    <t xml:space="preserve">Sales FY2026 (Rs cr)</t>
  </si>
  <si>
    <t xml:space="preserve">Total assets FY2026 (Rs cr)</t>
  </si>
  <si>
    <t xml:space="preserve">Market cap FY2026 (Rs cr)</t>
  </si>
  <si>
    <t xml:space="preserve">Sales CAGR FY20-26</t>
  </si>
  <si>
    <t xml:space="preserve">Direct operating cost % sales (7-yr)</t>
  </si>
  <si>
    <t xml:space="preserve">Employee cost % sales (7-yr)</t>
  </si>
  <si>
    <t xml:space="preserve">Inventory % total assets (7-yr)</t>
  </si>
  <si>
    <t xml:space="preserve">Receivables % total assets (7-yr)</t>
  </si>
  <si>
    <t xml:space="preserve">Net block % total assets (7-yr)</t>
  </si>
  <si>
    <t xml:space="preserve">Operating EBITDA margin (7-yr)</t>
  </si>
  <si>
    <t xml:space="preserve">Tiger Logistics (India) Ltd</t>
  </si>
  <si>
    <t xml:space="preserve">TIGERLOGS</t>
  </si>
  <si>
    <t xml:space="preserve">536264</t>
  </si>
  <si>
    <t xml:space="preserve">International freight forwarding (sea &amp; air), customs brokerage, project cargo</t>
  </si>
  <si>
    <t xml:space="preserve">Asset-light forwarder</t>
  </si>
  <si>
    <t xml:space="preserve">Allcargo Logistics Ltd</t>
  </si>
  <si>
    <t xml:space="preserve">ALLCARGO</t>
  </si>
  <si>
    <t xml:space="preserve">532749</t>
  </si>
  <si>
    <t xml:space="preserve">LCL consolidation/NVOCC (international business demerged to Allcargo Global w.e.f. 1-Nov-2025); domestic express &amp; contract logistics</t>
  </si>
  <si>
    <t xml:space="preserve">Asset-light network operator</t>
  </si>
  <si>
    <t xml:space="preserve">Blue Dart Express Ltd</t>
  </si>
  <si>
    <t xml:space="preserve">BLUEDART</t>
  </si>
  <si>
    <t xml:space="preserve">526612</t>
  </si>
  <si>
    <t xml:space="preserve">Express air &amp; ground courier and integrated transport (DHL Group); dedicated freighter fleet</t>
  </si>
  <si>
    <t xml:space="preserve">Asset-heavy express network</t>
  </si>
  <si>
    <t xml:space="preserve">Container Corporation of India Ltd</t>
  </si>
  <si>
    <t xml:space="preserve">CONCOR</t>
  </si>
  <si>
    <t xml:space="preserve">531344</t>
  </si>
  <si>
    <t xml:space="preserve">Rail-based EXIM &amp; domestic container logistics, ICDs/CFSs (Navratna CPSE, Ministry of Railways)</t>
  </si>
  <si>
    <t xml:space="preserve">Asset-heavy multimodal</t>
  </si>
  <si>
    <t xml:space="preserve">Jet Freight Logistics Ltd</t>
  </si>
  <si>
    <t xml:space="preserve">JETFREIGHT</t>
  </si>
  <si>
    <t xml:space="preserve">543420</t>
  </si>
  <si>
    <t xml:space="preserve">International air &amp; ocean freight forwarding (incl. perishables), customs clearance</t>
  </si>
  <si>
    <t xml:space="preserve">Patel Integrated Logistics Ltd</t>
  </si>
  <si>
    <t xml:space="preserve">PATINTLOG</t>
  </si>
  <si>
    <t xml:space="preserve">526381</t>
  </si>
  <si>
    <t xml:space="preserve">Surface transport (Patel Roadways), domestic &amp; international air-freight consolidation</t>
  </si>
  <si>
    <t xml:space="preserve">Asset-light carrier/consolidator</t>
  </si>
  <si>
    <t xml:space="preserve">Sical Logistics Ltd</t>
  </si>
  <si>
    <t xml:space="preserve">SICALLOG</t>
  </si>
  <si>
    <t xml:space="preserve">520086</t>
  </si>
  <si>
    <t xml:space="preserve">Bulk/mining logistics (coal), port &amp; rail-road handling; IBC resolution plan of Pristine Malwa Logistics Park approved by NCLT Chennai (8-Dec-2022)</t>
  </si>
  <si>
    <t xml:space="preserve">Asset-heavy bulk logistics</t>
  </si>
  <si>
    <t xml:space="preserve">Transport Corporation of India Ltd</t>
  </si>
  <si>
    <t xml:space="preserve">TCI</t>
  </si>
  <si>
    <t xml:space="preserve">532349</t>
  </si>
  <si>
    <t xml:space="preserve">Integrated multimodal: road freight, supply-chain solutions/warehousing, coastal seaways, rail (JV with CONCOR)</t>
  </si>
  <si>
    <t xml:space="preserve">Hybrid multimodal</t>
  </si>
  <si>
    <t xml:space="preserve">Shreeji Translogistics Ltd</t>
  </si>
  <si>
    <t xml:space="preserve">— (BSE only)</t>
  </si>
  <si>
    <t xml:space="preserve">540738</t>
  </si>
  <si>
    <t xml:space="preserve">Road freight transport (full &amp; part truck-load) and allied logistics</t>
  </si>
  <si>
    <t xml:space="preserve">Asset-light road carrier</t>
  </si>
  <si>
    <t xml:space="preserve">Mahindra Logistics Ltd</t>
  </si>
  <si>
    <t xml:space="preserve">MAHLOG</t>
  </si>
  <si>
    <t xml:space="preserve">540768</t>
  </si>
  <si>
    <t xml:space="preserve">Integrated 3PL: contract logistics &amp; warehousing, B2B express, freight forwarding, last-mile, enterprise mobility</t>
  </si>
  <si>
    <t xml:space="preserve">Asset-light 3PL (leased)</t>
  </si>
  <si>
    <t xml:space="preserve">Median</t>
  </si>
  <si>
    <t xml:space="preserve">Mean</t>
  </si>
  <si>
    <t xml:space="preserve">Minimum</t>
  </si>
  <si>
    <t xml:space="preserve">Maximum</t>
  </si>
  <si>
    <t xml:space="preserve">Coeff. of variation (SD/mean)</t>
  </si>
  <si>
    <t xml:space="preserve">SCORECARD - key ratios vs industry (green = better than the 10-firm median, red = weaker)</t>
  </si>
  <si>
    <t xml:space="preserve">Block A: latest year FY2026. Block B: 7-year average FY2020-FY2026. Valuation ratios have no normative direction and are not coloured.</t>
  </si>
  <si>
    <t xml:space="preserve">Block A: FY2026</t>
  </si>
  <si>
    <t xml:space="preserve">Ratio</t>
  </si>
  <si>
    <t xml:space="preserve">Category</t>
  </si>
  <si>
    <t xml:space="preserve">Tiger</t>
  </si>
  <si>
    <t xml:space="preserve">Allcargo</t>
  </si>
  <si>
    <t xml:space="preserve">Blue Dart</t>
  </si>
  <si>
    <t xml:space="preserve">Jet Freight</t>
  </si>
  <si>
    <t xml:space="preserve">Patel</t>
  </si>
  <si>
    <t xml:space="preserve">Sical</t>
  </si>
  <si>
    <t xml:space="preserve">Shreeji</t>
  </si>
  <si>
    <t xml:space="preserve">Mahindra Log.</t>
  </si>
  <si>
    <t xml:space="preserve">Industry (agg.)</t>
  </si>
  <si>
    <t xml:space="preserve">Current ratio</t>
  </si>
  <si>
    <t xml:space="preserve">Liquidity</t>
  </si>
  <si>
    <t xml:space="preserve">Acid-test (quick) ratio</t>
  </si>
  <si>
    <t xml:space="preserve">Cash flow from operations ratio</t>
  </si>
  <si>
    <t xml:space="preserve">Debt-equity (Khan &amp; Jain)</t>
  </si>
  <si>
    <t xml:space="preserve">Leverage</t>
  </si>
  <si>
    <t xml:space="preserve">Proprietary ratio</t>
  </si>
  <si>
    <t xml:space="preserve">Debt / EBITDA</t>
  </si>
  <si>
    <t xml:space="preserve">Interest coverage</t>
  </si>
  <si>
    <t xml:space="preserve">Coverage</t>
  </si>
  <si>
    <t xml:space="preserve">Debt-service coverage ratio (DSCR)</t>
  </si>
  <si>
    <t xml:space="preserve">Average collection period (days)</t>
  </si>
  <si>
    <t xml:space="preserve">Turnover</t>
  </si>
  <si>
    <t xml:space="preserve">Fixed assets turnover</t>
  </si>
  <si>
    <t xml:space="preserve">Total assets turnover</t>
  </si>
  <si>
    <t xml:space="preserve">Gross profit margin</t>
  </si>
  <si>
    <t xml:space="preserve">Profitability</t>
  </si>
  <si>
    <t xml:space="preserve">Operating EBITDA margin (core)</t>
  </si>
  <si>
    <t xml:space="preserve">Net profit margin</t>
  </si>
  <si>
    <t xml:space="preserve">Operating ratio</t>
  </si>
  <si>
    <t xml:space="preserve">Return on assets (ROA)</t>
  </si>
  <si>
    <t xml:space="preserve">Returns</t>
  </si>
  <si>
    <t xml:space="preserve">ROCE (post-tax)</t>
  </si>
  <si>
    <t xml:space="preserve">Return on total shareholders' equity</t>
  </si>
  <si>
    <t xml:space="preserve">Price-earnings (P/E)</t>
  </si>
  <si>
    <t xml:space="preserve">Valuation</t>
  </si>
  <si>
    <t xml:space="preserve">Price-to-book (P/B)</t>
  </si>
  <si>
    <t xml:space="preserve">Dividend yield</t>
  </si>
  <si>
    <t xml:space="preserve">EV / EBITDA</t>
  </si>
  <si>
    <t xml:space="preserve">Total shareholder return (yield)</t>
  </si>
  <si>
    <t xml:space="preserve">Internal growth rate</t>
  </si>
  <si>
    <t xml:space="preserve">Growth</t>
  </si>
  <si>
    <t xml:space="preserve">Block B: 7-yr average FY2020-26</t>
  </si>
  <si>
    <t xml:space="preserve">Block C: Composite ranking - 7-yr average FY2020-26 (rank 1 = best among the 10 firms; ties share the better rank)</t>
  </si>
  <si>
    <t xml:space="preserve">Direction</t>
  </si>
  <si>
    <t xml:space="preserve">higher better</t>
  </si>
  <si>
    <t xml:space="preserve">lower better</t>
  </si>
  <si>
    <t xml:space="preserve">Composite score (average rank)</t>
  </si>
  <si>
    <t xml:space="preserve">Overall position (1 = strongest)</t>
  </si>
  <si>
    <t xml:space="preserve">Block D: Composite ranking - FY2026 (rank 1 = best among the 10 firms; ties share the better rank)</t>
  </si>
  <si>
    <t xml:space="preserve">INDUSTRY COMPARISON - every ratio, every firm, FY2020-FY2026</t>
  </si>
  <si>
    <t xml:space="preserve">Industry (aggregate) = ratio computed on summed financials of the 10 firms (size-weighted). Mean / Median / SD = simple statistics of the 10 firm ratios (N/M, N/C ignored). Assessment uses the median as the typical-firm benchmark.</t>
  </si>
  <si>
    <t xml:space="preserve">Firm / statistic</t>
  </si>
  <si>
    <t xml:space="preserve">FY2020</t>
  </si>
  <si>
    <t xml:space="preserve">FY2021</t>
  </si>
  <si>
    <t xml:space="preserve">FY2022</t>
  </si>
  <si>
    <t xml:space="preserve">FY2023</t>
  </si>
  <si>
    <t xml:space="preserve">FY2024</t>
  </si>
  <si>
    <t xml:space="preserve">FY2025</t>
  </si>
  <si>
    <t xml:space="preserve">FY2026</t>
  </si>
  <si>
    <t xml:space="preserve">7-yr avg</t>
  </si>
  <si>
    <t xml:space="preserve">FY26 vs median</t>
  </si>
  <si>
    <t xml:space="preserve">Assessment FY26</t>
  </si>
  <si>
    <t xml:space="preserve">Rank FY26 (1 = best)</t>
  </si>
  <si>
    <t xml:space="preserve">7-yr avg vs median</t>
  </si>
  <si>
    <t xml:space="preserve">Assessment 7-yr</t>
  </si>
  <si>
    <t xml:space="preserve">Net working capital (Rs cr)   [CA - CL]   - Liquidity; higher is better</t>
  </si>
  <si>
    <t xml:space="preserve">Industry (aggregate)</t>
  </si>
  <si>
    <t xml:space="preserve">Mean (10 firms)</t>
  </si>
  <si>
    <t xml:space="preserve">Median (10 firms)</t>
  </si>
  <si>
    <t xml:space="preserve">Std. deviation</t>
  </si>
  <si>
    <t xml:space="preserve">Current ratio   [CA / CL]   - Liquidity; higher is better</t>
  </si>
  <si>
    <t xml:space="preserve">Acid-test (quick) ratio   [(CA - Inventory - Prepaids) / CL = (Receivables + Cash) / CL]   - Liquidity; higher is better</t>
  </si>
  <si>
    <t xml:space="preserve">Cash ratio   [(Cash + Bank + Current investments) / CL]   - Liquidity; higher is better</t>
  </si>
  <si>
    <t xml:space="preserve">Defensive-interval ratio (days)   [Liquid assets / (Cash operating expenses / 365)]   - Liquidity; higher is better</t>
  </si>
  <si>
    <t xml:space="preserve">Cash flow from operations ratio   [CFO / CL]   - Liquidity; higher is better</t>
  </si>
  <si>
    <t xml:space="preserve">Debt-equity (Khan &amp; Jain)   [Borrowings / Shareholders' equity]   - Leverage; lower is better</t>
  </si>
  <si>
    <t xml:space="preserve">Debt-equity (Prasanna Chandra)   [Total liabilities / Shareholders' equity]   - Leverage; lower is better</t>
  </si>
  <si>
    <t xml:space="preserve">Debt-asset ratio   [Total debt / Total assets]   - Leverage; lower is better</t>
  </si>
  <si>
    <t xml:space="preserve">Debt to capital ratio   [Debt / Permanent capital (Debt + Equity)]   - Leverage; lower is better</t>
  </si>
  <si>
    <t xml:space="preserve">Proprietary ratio   [Shareholders' funds / Total assets]   - Leverage; higher is better</t>
  </si>
  <si>
    <t xml:space="preserve">Capital gearing ratio   [(Debt + Preference capital) / Equity shareholders' funds]   - Leverage; lower is better</t>
  </si>
  <si>
    <t xml:space="preserve">Debt / EBITDA   [Total debt / EBITDA]   - Leverage; lower is better</t>
  </si>
  <si>
    <t xml:space="preserve">Interest coverage   [EBIT / Interest]   - Coverage; higher is better</t>
  </si>
  <si>
    <t xml:space="preserve">Modified interest coverage   [(EBIT + Depreciation) / Interest]   - Coverage; higher is better</t>
  </si>
  <si>
    <t xml:space="preserve">Dividend coverage   [PAT / Dividend (no preference capital: equity dividend used)]   - Coverage; higher is better</t>
  </si>
  <si>
    <t xml:space="preserve">Fixed-charges coverage   [(EBIT + Dep) / [Interest + Repayment/(1 - t)]]   - Coverage; higher is better</t>
  </si>
  <si>
    <t xml:space="preserve">Total cash-flow coverage   [(CFO + Tax) / [Interest + Repayment/(1 - t)]]   - Coverage; higher is better</t>
  </si>
  <si>
    <t xml:space="preserve">Capital expenditure ratio   [CFO / Capital expenditure]   - Coverage; higher is better</t>
  </si>
  <si>
    <t xml:space="preserve">Debt-service coverage ratio (DSCR)   [(PAT + Interest + Dep) / (Interest + Repayment)]   - Coverage; higher is better</t>
  </si>
  <si>
    <t xml:space="preserve">Inventory turnover   [COGS / Average inventory]   - Turnover; higher is better</t>
  </si>
  <si>
    <t xml:space="preserve">Inventory holding period (days)   [365 / Inventory turnover]   - Turnover; lower is better</t>
  </si>
  <si>
    <t xml:space="preserve">Debtors turnover   [Net credit sales / Average debtors]   - Turnover; higher is better</t>
  </si>
  <si>
    <t xml:space="preserve">Average collection period (days)   [365 / Debtors turnover]   - Turnover; lower is better</t>
  </si>
  <si>
    <t xml:space="preserve">Creditors turnover (proxy)   [Direct operating cost / Average other liabilities]   - Turnover; no normative direction</t>
  </si>
  <si>
    <t xml:space="preserve">-</t>
  </si>
  <si>
    <t xml:space="preserve">Payment period (days, proxy)   [365 / Creditors turnover]   - Turnover; no normative direction</t>
  </si>
  <si>
    <t xml:space="preserve">Cash conversion cycle (days)   [Inventory days + Debtor days - Creditor days]   - Turnover; lower is better</t>
  </si>
  <si>
    <t xml:space="preserve">Fixed assets turnover   [Sales / Average net fixed assets]   - Turnover; higher is better</t>
  </si>
  <si>
    <t xml:space="preserve">Total assets turnover   [Sales / Average total assets]   - Turnover; higher is better</t>
  </si>
  <si>
    <t xml:space="preserve">Capital turnover   [Sales / Average capital employed]   - Turnover; higher is better</t>
  </si>
  <si>
    <t xml:space="preserve">Current assets turnover   [Sales / Average current assets]   - Turnover; higher is better</t>
  </si>
  <si>
    <t xml:space="preserve">Working capital turnover   [Sales / Net working capital]   - Turnover; higher is better</t>
  </si>
  <si>
    <t xml:space="preserve">Gross profit margin   [Gross profit / Sales]   - Profitability; higher is better</t>
  </si>
  <si>
    <t xml:space="preserve">EBITDA margin   [EBITDA / Total revenue]   - Profitability; higher is better</t>
  </si>
  <si>
    <t xml:space="preserve">Operating EBITDA margin (core)   [(Sales - Operating exp.) / Sales]   - Profitability; higher is better</t>
  </si>
  <si>
    <t xml:space="preserve">Operating profit margin   [EBIT / Sales]   - Profitability; higher is better</t>
  </si>
  <si>
    <t xml:space="preserve">Pre-tax profit margin   [EBT / Sales]   - Profitability; higher is better</t>
  </si>
  <si>
    <t xml:space="preserve">Net profit margin   [PAT / Sales]   - Profitability; higher is better</t>
  </si>
  <si>
    <t xml:space="preserve">COGS (direct operating cost) ratio   [COGS / Sales]   - Expense ratios; lower is better</t>
  </si>
  <si>
    <t xml:space="preserve">Operating (indirect) expenses ratio   [(Employee + S&amp;A + Other exp.) / Sales]   - Expense ratios; lower is better</t>
  </si>
  <si>
    <t xml:space="preserve">Employee cost ratio   [Employee cost / Sales]   - Expense ratios; lower is better</t>
  </si>
  <si>
    <t xml:space="preserve">Selling &amp; administrative expense ratio   [Selling &amp; admin exp. / Sales]   - Expense ratios; lower is better</t>
  </si>
  <si>
    <t xml:space="preserve">Financial expenses ratio   [Interest / Sales]   - Expense ratios; lower is better</t>
  </si>
  <si>
    <t xml:space="preserve">Operating ratio   [(COGS + Operating exp.) / Sales]   - Expense ratios; lower is better</t>
  </si>
  <si>
    <t xml:space="preserve">Return on assets (ROA)   [PAT / Average total assets]   - Returns; higher is better</t>
  </si>
  <si>
    <t xml:space="preserve">ROA incl. post-tax interest   [[PAT + Interest x (1 - t)] / Average total assets]   - Returns; higher is better</t>
  </si>
  <si>
    <t xml:space="preserve">Earning power   [EBIT / Average total assets]   - Returns; higher is better</t>
  </si>
  <si>
    <t xml:space="preserve">ROCE (post-tax)   [EBIT x (1 - t) / Average capital employed]   - Returns; higher is better</t>
  </si>
  <si>
    <t xml:space="preserve">Return on total shareholders' equity   [PAT / Average total shareholders' equity]   - Returns; higher is better</t>
  </si>
  <si>
    <t xml:space="preserve">ROE (ordinary shareholders)   [(PAT - Preference dividend) / Average net worth]   - Returns; higher is better</t>
  </si>
  <si>
    <t xml:space="preserve">Earnings per share (Rs)   [(PAT - Pref. dividend) / No. of equity shares]   - Valuation; higher is better</t>
  </si>
  <si>
    <t xml:space="preserve">Cash EPS (Rs)   [(PAT + Depreciation) / No. of equity shares]   - Valuation; higher is better</t>
  </si>
  <si>
    <t xml:space="preserve">Book value per share (Rs)   [Net worth / No. of equity shares]   - Valuation; higher is better</t>
  </si>
  <si>
    <t xml:space="preserve">Price-to-book (P/B)   [Market price / BVPS]   - Valuation; no normative direction</t>
  </si>
  <si>
    <t xml:space="preserve">Dividend per share (Rs)   [Equity dividend / No. of equity shares]   - Valuation; higher is better</t>
  </si>
  <si>
    <t xml:space="preserve">Dividend payout ratio   [DPS / EPS]   - Valuation; no normative direction</t>
  </si>
  <si>
    <t xml:space="preserve">Retention ratio (b)   [1 - Payout ratio]   - Valuation; no normative direction</t>
  </si>
  <si>
    <t xml:space="preserve">Earnings yield   [EPS / Market price]   - Valuation; higher is better</t>
  </si>
  <si>
    <t xml:space="preserve">Dividend yield   [DPS / Market price]   - Valuation; higher is better</t>
  </si>
  <si>
    <t xml:space="preserve">Price-earnings (P/E)   [Market price / EPS]   - Valuation; no normative direction</t>
  </si>
  <si>
    <t xml:space="preserve">Total shareholder return (yield)   [(DPS + Price change) / Opening price]   - Valuation; higher is better</t>
  </si>
  <si>
    <t xml:space="preserve">EV / EBITDA   [(Market cap + Debt - Cash) / EBITDA]   - Valuation; no normative direction</t>
  </si>
  <si>
    <t xml:space="preserve">2-way: Net profit margin   [PAT / Sales]   - DuPont; higher is better</t>
  </si>
  <si>
    <t xml:space="preserve">2-way: x Total assets turnover   [Sales / Avg total assets]   - DuPont; higher is better</t>
  </si>
  <si>
    <t xml:space="preserve">2-way: = ROA   [NPM x TATO]   - DuPont; higher is better</t>
  </si>
  <si>
    <t xml:space="preserve">3-way: x Equity multiplier   [Avg total assets / Avg net worth]   - DuPont; higher is better</t>
  </si>
  <si>
    <t xml:space="preserve">3-way: = ROE   [NPM x TATO x EM]   - DuPont; higher is better</t>
  </si>
  <si>
    <t xml:space="preserve">5-way: Tax burden   [EAT / EBT]   - DuPont; higher is better</t>
  </si>
  <si>
    <t xml:space="preserve">5-way: Interest burden   [EBT / EBIT]   - DuPont; higher is better</t>
  </si>
  <si>
    <t xml:space="preserve">5-way: Operating margin   [EBIT / Sales]   - DuPont; higher is better</t>
  </si>
  <si>
    <t xml:space="preserve">5-way: Asset turnover   [Sales / Avg total assets]   - DuPont; higher is better</t>
  </si>
  <si>
    <t xml:space="preserve">5-way: Equity multiplier   [Avg total assets / Avg equity]   - DuPont; higher is better</t>
  </si>
  <si>
    <t xml:space="preserve">5-way: = ROE   [Product of the five ratios]   - DuPont; higher is better</t>
  </si>
  <si>
    <t xml:space="preserve">Internal growth rate   [ROA x b / (1 - ROA x b)]   - Growth; higher is better</t>
  </si>
  <si>
    <t xml:space="preserve">Sustainable growth rate   [ROE x b / (1 - ROE x b)]   - Growth; higher is better</t>
  </si>
  <si>
    <t xml:space="preserve">Sales growth (YoY)   [Sales(t) / Sales(t-1) - 1]   - Growth; higher is better</t>
  </si>
  <si>
    <t xml:space="preserve">STATISTICAL ANALYSIS of the ratio panel (10 firms x 7 years, FY2020-FY2026)</t>
  </si>
  <si>
    <t xml:space="preserve">Descriptive statistics use all 70 firm-years. Inferential tests (B-F) use the 63 firm-years of 9 firms: Sical Logistics is excluded as an outlier (negative/near-zero net worth in 5 of 7 years under IBC resolution).</t>
  </si>
  <si>
    <t xml:space="preserve">A. DESCRIPTIVE STATISTICS - pooled panel</t>
  </si>
  <si>
    <t xml:space="preserve">Variable</t>
  </si>
  <si>
    <t xml:space="preserve">N</t>
  </si>
  <si>
    <t xml:space="preserve">Std. dev.</t>
  </si>
  <si>
    <t xml:space="preserve">Coeff. of variation</t>
  </si>
  <si>
    <t xml:space="preserve">Skewness</t>
  </si>
  <si>
    <t xml:space="preserve">Kurtosis</t>
  </si>
  <si>
    <t xml:space="preserve">Mean ex-Sical</t>
  </si>
  <si>
    <t xml:space="preserve">Median ex-Sical</t>
  </si>
  <si>
    <t xml:space="preserve">Sales (Rs cr)</t>
  </si>
  <si>
    <t xml:space="preserve">Total assets (Rs cr)</t>
  </si>
  <si>
    <t xml:space="preserve">Net block</t>
  </si>
  <si>
    <t xml:space="preserve">B. CORRELATION MATRIX (Pearson) - 63 firm-years, 9 firms</t>
  </si>
  <si>
    <t xml:space="preserve">Debt-equity (Khan &amp; Ja</t>
  </si>
  <si>
    <t xml:space="preserve">Average collection per</t>
  </si>
  <si>
    <t xml:space="preserve">Operating EBITDA margi</t>
  </si>
  <si>
    <t xml:space="preserve">Return on total shareh</t>
  </si>
  <si>
    <t xml:space="preserve">Green: r &gt;= +0.5 (strong positive); red: r &lt;= -0.5 (strong negative). With n = 63, |r| &gt; 0.25 is significant at 5% (two-tailed).</t>
  </si>
  <si>
    <t xml:space="preserve">C. MULTIPLE REGRESSION (OLS, LINEST): ROCE = b0 + b1 Total-assets turnover + b2 Operating EBITDA margin + b3 Debt-equity + b4 ln(Sales)</t>
  </si>
  <si>
    <t xml:space="preserve">Coefficient</t>
  </si>
  <si>
    <t xml:space="preserve">Std. error</t>
  </si>
  <si>
    <t xml:space="preserve">t-stat</t>
  </si>
  <si>
    <t xml:space="preserve">p-value</t>
  </si>
  <si>
    <t xml:space="preserve">Significant at 5%?</t>
  </si>
  <si>
    <t xml:space="preserve">Intercept</t>
  </si>
  <si>
    <t xml:space="preserve">Total assets turnover (x)</t>
  </si>
  <si>
    <t xml:space="preserve">Operating EBITDA margin</t>
  </si>
  <si>
    <t xml:space="preserve">Debt-equity (x)</t>
  </si>
  <si>
    <t xml:space="preserve">ln(Sales)</t>
  </si>
  <si>
    <t xml:space="preserve">R-squared</t>
  </si>
  <si>
    <t xml:space="preserve">Adjusted R-squared</t>
  </si>
  <si>
    <t xml:space="preserve">Std. error of estimate</t>
  </si>
  <si>
    <t xml:space="preserve">F-statistic</t>
  </si>
  <si>
    <t xml:space="preserve">Residual df</t>
  </si>
  <si>
    <t xml:space="preserve">p-value (F)</t>
  </si>
  <si>
    <t xml:space="preserve">Observations</t>
  </si>
  <si>
    <t xml:space="preserve">D. PAIRED t-TESTS: has the typical firm changed between FY2020 and FY2026? (H0: mean difference = 0; n = 9 firms)</t>
  </si>
  <si>
    <t xml:space="preserve">Mean FY2020</t>
  </si>
  <si>
    <t xml:space="preserve">Mean FY2026</t>
  </si>
  <si>
    <t xml:space="preserve">Mean difference</t>
  </si>
  <si>
    <t xml:space="preserve">SD of differences</t>
  </si>
  <si>
    <t xml:space="preserve">n</t>
  </si>
  <si>
    <t xml:space="preserve">df</t>
  </si>
  <si>
    <t xml:space="preserve">p-value (2-tailed)</t>
  </si>
  <si>
    <t xml:space="preserve">Conclusion</t>
  </si>
  <si>
    <t xml:space="preserve">Paired-test data (FY2020, FY2026, difference) - linked to company sheets</t>
  </si>
  <si>
    <t xml:space="preserve">Firm</t>
  </si>
  <si>
    <t xml:space="preserve">P2b FY20</t>
  </si>
  <si>
    <t xml:space="preserve">P2b FY26</t>
  </si>
  <si>
    <t xml:space="preserve">P2b diff</t>
  </si>
  <si>
    <t xml:space="preserve">P5 FY20</t>
  </si>
  <si>
    <t xml:space="preserve">P5 FY26</t>
  </si>
  <si>
    <t xml:space="preserve">P5 diff</t>
  </si>
  <si>
    <t xml:space="preserve">R4 FY20</t>
  </si>
  <si>
    <t xml:space="preserve">R4 FY26</t>
  </si>
  <si>
    <t xml:space="preserve">R4 diff</t>
  </si>
  <si>
    <t xml:space="preserve">T9 FY20</t>
  </si>
  <si>
    <t xml:space="preserve">T9 FY26</t>
  </si>
  <si>
    <t xml:space="preserve">T9 diff</t>
  </si>
  <si>
    <t xml:space="preserve">T4 FY20</t>
  </si>
  <si>
    <t xml:space="preserve">T4 FY26</t>
  </si>
  <si>
    <t xml:space="preserve">T4 diff</t>
  </si>
  <si>
    <t xml:space="preserve">V1 FY20</t>
  </si>
  <si>
    <t xml:space="preserve">V1 FY26</t>
  </si>
  <si>
    <t xml:space="preserve">V1 diff</t>
  </si>
  <si>
    <t xml:space="preserve">C1 FY20</t>
  </si>
  <si>
    <t xml:space="preserve">C1 FY26</t>
  </si>
  <si>
    <t xml:space="preserve">C1 diff</t>
  </si>
  <si>
    <t xml:space="preserve">L2 FY20</t>
  </si>
  <si>
    <t xml:space="preserve">L2 FY26</t>
  </si>
  <si>
    <t xml:space="preserve">L2 diff</t>
  </si>
  <si>
    <t xml:space="preserve">E. BUSINESS-MODEL TEST: asset-light vs asset-heavy firms (Welch two-sample t-test on 7-year averages; H0: equal means)</t>
  </si>
  <si>
    <t xml:space="preserve">Net block / TA (7-yr avg)</t>
  </si>
  <si>
    <t xml:space="preserve">Group (vs median)</t>
  </si>
  <si>
    <t xml:space="preserve">In test? (1/0)</t>
  </si>
  <si>
    <t xml:space="preserve">Total assets turno 7-yr</t>
  </si>
  <si>
    <t xml:space="preserve">light</t>
  </si>
  <si>
    <t xml:space="preserve">heavy</t>
  </si>
  <si>
    <t xml:space="preserve">Fixed assets turno 7-yr</t>
  </si>
  <si>
    <t xml:space="preserve">Operating EBITDA m 7-yr</t>
  </si>
  <si>
    <t xml:space="preserve">Net profit margin 7-yr</t>
  </si>
  <si>
    <t xml:space="preserve">ROCE (post-tax) 7-yr</t>
  </si>
  <si>
    <t xml:space="preserve">Debt-equity (Khan  7-yr</t>
  </si>
  <si>
    <t xml:space="preserve">Median net block / TA</t>
  </si>
  <si>
    <t xml:space="preserve">Ratio (7-yr avg)</t>
  </si>
  <si>
    <t xml:space="preserve">Mean asset-light</t>
  </si>
  <si>
    <t xml:space="preserve">Mean asset-heavy</t>
  </si>
  <si>
    <t xml:space="preserve">SD light</t>
  </si>
  <si>
    <t xml:space="preserve">SD heavy</t>
  </si>
  <si>
    <t xml:space="preserve">n light</t>
  </si>
  <si>
    <t xml:space="preserve">n heavy</t>
  </si>
  <si>
    <t xml:space="preserve">t-stat (Welch)</t>
  </si>
  <si>
    <t xml:space="preserve">Welch df</t>
  </si>
  <si>
    <t xml:space="preserve">Groups split at the median asset intensity of all 10 firms; Sical (asset-heavy) excluded from the test. Excel TDIST truncates the Welch df to an integer.</t>
  </si>
  <si>
    <t xml:space="preserve">F. TWO-WAY ANOVA without replication: Operating EBITDA margin (core) - firm effect vs year effect (9 firms x 7 years)</t>
  </si>
  <si>
    <t xml:space="preserve">Firm mean</t>
  </si>
  <si>
    <t xml:space="preserve">Year mean</t>
  </si>
  <si>
    <t xml:space="preserve">Source of variation</t>
  </si>
  <si>
    <t xml:space="preserve">SS</t>
  </si>
  <si>
    <t xml:space="preserve">MS</t>
  </si>
  <si>
    <t xml:space="preserve">F</t>
  </si>
  <si>
    <t xml:space="preserve">Between firms (rows)</t>
  </si>
  <si>
    <t xml:space="preserve">Between years (columns)</t>
  </si>
  <si>
    <t xml:space="preserve">Error</t>
  </si>
  <si>
    <t xml:space="preserve">Total</t>
  </si>
  <si>
    <t xml:space="preserve">F. TWO-WAY ANOVA without replication: ROCE (post-tax) - firm effect vs year effect (9 firms x 7 years)</t>
  </si>
  <si>
    <t xml:space="preserve">G. GROWTH, TREND AND STABILITY BY FIRM (FY2020-FY2026)</t>
  </si>
  <si>
    <t xml:space="preserve">ROCE 7-yr mean</t>
  </si>
  <si>
    <t xml:space="preserve">ROCE std. dev.</t>
  </si>
  <si>
    <t xml:space="preserve">ROCE coeff. of variation</t>
  </si>
  <si>
    <t xml:space="preserve">ROCE trend slope / yr</t>
  </si>
  <si>
    <t xml:space="preserve">Op. EBITDA margin slope / yr</t>
  </si>
  <si>
    <t xml:space="preserve">Debt-equity slope / yr</t>
  </si>
  <si>
    <t xml:space="preserve">Net profit margin slope / yr</t>
  </si>
  <si>
    <t xml:space="preserve">FY</t>
  </si>
  <si>
    <t xml:space="preserve">Asset intensity (Net block / TA)</t>
  </si>
  <si>
    <t xml:space="preserve">Quick ratio</t>
  </si>
  <si>
    <t xml:space="preserve">Collection period (days)</t>
  </si>
  <si>
    <t xml:space="preserve">ROA</t>
  </si>
  <si>
    <t xml:space="preserve">ROE</t>
  </si>
  <si>
    <t xml:space="preserve">P/E</t>
  </si>
  <si>
    <t xml:space="preserve">P/B</t>
  </si>
  <si>
    <t xml:space="preserve">EV/EBITDA</t>
  </si>
  <si>
    <t xml:space="preserve">ROCE (Y)</t>
  </si>
  <si>
    <t xml:space="preserve">Total assets turnover (X1)</t>
  </si>
  <si>
    <t xml:space="preserve">Operating EBITDA margin (X2)</t>
  </si>
  <si>
    <t xml:space="preserve">Debt-equity (X3)</t>
  </si>
  <si>
    <t xml:space="preserve">ln(Sales) (X4)</t>
  </si>
  <si>
    <t xml:space="preserve">Rows 2-64 = 9 firms x 7 years used for inferential statistics; rows 65-71 = Sical Logistics (negative / near-zero net worth in 5 of 7 years under IBC resolution) - included in descriptive statistics and industry ratios, excluded from correlation, regression, t-tests and ANOVA as a statistical outlier.</t>
  </si>
  <si>
    <t xml:space="preserve">INDUSTRY AGGREGATE (the 10 firms treated as the entire industry)</t>
  </si>
  <si>
    <t xml:space="preserve">Inputs = SUM of the 10 company sheets (green links). Ratios use the same formulas on the aggregate figures, i.e. size-weighted industry ratios. Valuation multiples use valuation-comparable firm-years only. Per-share items not meaningful (n.a.).</t>
  </si>
  <si>
    <t xml:space="preserve">Year (numeric helper for SLOPE)</t>
  </si>
  <si>
    <t xml:space="preserve">Line item / Ratio</t>
  </si>
  <si>
    <t xml:space="preserve">Formula / definition</t>
  </si>
  <si>
    <t xml:space="preserve">FY2019</t>
  </si>
  <si>
    <t xml:space="preserve">7-yr avg FY20-26</t>
  </si>
  <si>
    <t xml:space="preserve">Change FY26 vs FY20</t>
  </si>
  <si>
    <t xml:space="preserve">Trend slope / yr</t>
  </si>
  <si>
    <t xml:space="preserve">PROFIT &amp; LOSS (Rs crore)</t>
  </si>
  <si>
    <t xml:space="preserve">Sales / Revenue from operations</t>
  </si>
  <si>
    <t xml:space="preserve">Screener export: "Sales"</t>
  </si>
  <si>
    <t xml:space="preserve">Raw material / purchases</t>
  </si>
  <si>
    <t xml:space="preserve">Screener export: "Raw Material Cost"</t>
  </si>
  <si>
    <t xml:space="preserve">Change in inventory</t>
  </si>
  <si>
    <t xml:space="preserve">Screener export: "Change in Inventory"</t>
  </si>
  <si>
    <t xml:space="preserve">Power &amp; fuel</t>
  </si>
  <si>
    <t xml:space="preserve">Screener export: "Power and Fuel"</t>
  </si>
  <si>
    <t xml:space="preserve">Other direct operating exp. (freight, handling, hire)</t>
  </si>
  <si>
    <t xml:space="preserve">Screener export: "Other Mfr. Exp"</t>
  </si>
  <si>
    <t xml:space="preserve">Employee cost</t>
  </si>
  <si>
    <t xml:space="preserve">Screener export: "Employee Cost"</t>
  </si>
  <si>
    <t xml:space="preserve">Selling &amp; administrative exp.</t>
  </si>
  <si>
    <t xml:space="preserve">Screener export: "Selling and admin"</t>
  </si>
  <si>
    <t xml:space="preserve">Other expenses</t>
  </si>
  <si>
    <t xml:space="preserve">Screener export: "Other Expenses"</t>
  </si>
  <si>
    <t xml:space="preserve">Other income (incl. exceptional items)</t>
  </si>
  <si>
    <t xml:space="preserve">Screener export: "Other Income"</t>
  </si>
  <si>
    <t xml:space="preserve">Depreciation &amp; amortisation</t>
  </si>
  <si>
    <t xml:space="preserve">Screener export: "Depreciation"</t>
  </si>
  <si>
    <t xml:space="preserve">Interest / finance cost</t>
  </si>
  <si>
    <t xml:space="preserve">Screener export: "Interest"</t>
  </si>
  <si>
    <t xml:space="preserve">Profit before tax (EBT)</t>
  </si>
  <si>
    <t xml:space="preserve">Screener export: "Profit before tax"</t>
  </si>
  <si>
    <t xml:space="preserve">Tax</t>
  </si>
  <si>
    <t xml:space="preserve">Screener export: "Tax"</t>
  </si>
  <si>
    <t xml:space="preserve">Net profit (PAT, after minority/associates)</t>
  </si>
  <si>
    <t xml:space="preserve">Screener export: "Net profit"</t>
  </si>
  <si>
    <t xml:space="preserve">Equity dividend (Rs crore)</t>
  </si>
  <si>
    <t xml:space="preserve">Screener export: "Dividend Amount"</t>
  </si>
  <si>
    <t xml:space="preserve">BALANCE SHEET (Rs crore)</t>
  </si>
  <si>
    <t xml:space="preserve">Equity share capital</t>
  </si>
  <si>
    <t xml:space="preserve">Screener export: "Equity Share Capital"</t>
  </si>
  <si>
    <t xml:space="preserve">Reserves &amp; surplus</t>
  </si>
  <si>
    <t xml:space="preserve">Screener export: "Reserves"</t>
  </si>
  <si>
    <t xml:space="preserve">Borrowings (incl. lease liabilities as reported)</t>
  </si>
  <si>
    <t xml:space="preserve">Screener export: "Borrowings"</t>
  </si>
  <si>
    <t xml:space="preserve">Other liabilities (payables, provisions, other)</t>
  </si>
  <si>
    <t xml:space="preserve">Screener export: "Other Liabilities"</t>
  </si>
  <si>
    <t xml:space="preserve">Total liabilities &amp; equity</t>
  </si>
  <si>
    <t xml:space="preserve">Screener export: "Total Liabilities"</t>
  </si>
  <si>
    <t xml:space="preserve">Net block (fixed assets)</t>
  </si>
  <si>
    <t xml:space="preserve">Screener export: "Net Block"</t>
  </si>
  <si>
    <t xml:space="preserve">Capital work in progress</t>
  </si>
  <si>
    <t xml:space="preserve">Screener export: "Capital Work in Progress"</t>
  </si>
  <si>
    <t xml:space="preserve">Investments</t>
  </si>
  <si>
    <t xml:space="preserve">Screener export: "Investments"</t>
  </si>
  <si>
    <t xml:space="preserve">Other assets (receivables, cash, advances, other)</t>
  </si>
  <si>
    <t xml:space="preserve">Screener export: "Other Assets"</t>
  </si>
  <si>
    <t xml:space="preserve">Total assets</t>
  </si>
  <si>
    <t xml:space="preserve">Screener export: "Total Assets"</t>
  </si>
  <si>
    <t xml:space="preserve">  of which: Trade receivables</t>
  </si>
  <si>
    <t xml:space="preserve">Screener export: "Receivables"</t>
  </si>
  <si>
    <t xml:space="preserve">  of which: Inventory</t>
  </si>
  <si>
    <t xml:space="preserve">Screener export: "Inventory"</t>
  </si>
  <si>
    <t xml:space="preserve">  of which: Cash &amp; bank</t>
  </si>
  <si>
    <t xml:space="preserve">Screener export: "Cash &amp; Bank"</t>
  </si>
  <si>
    <t xml:space="preserve">CASH FLOW (Rs crore)</t>
  </si>
  <si>
    <t xml:space="preserve">Cash from operating activities (CFO)</t>
  </si>
  <si>
    <t xml:space="preserve">Screener export: "Cash from Operating Activity"</t>
  </si>
  <si>
    <t xml:space="preserve">Cash from investing activities</t>
  </si>
  <si>
    <t xml:space="preserve">Screener export: "Cash from Investing Activity"</t>
  </si>
  <si>
    <t xml:space="preserve">Cash from financing activities</t>
  </si>
  <si>
    <t xml:space="preserve">Screener export: "Cash from Financing Activity"</t>
  </si>
  <si>
    <t xml:space="preserve">Net cash flow</t>
  </si>
  <si>
    <t xml:space="preserve">Screener export: "Net Cash Flow"</t>
  </si>
  <si>
    <t xml:space="preserve">MARKET DATA</t>
  </si>
  <si>
    <t xml:space="preserve">Share price at year end (Rs, adjusted)</t>
  </si>
  <si>
    <t xml:space="preserve">Screener export: "PRICE"</t>
  </si>
  <si>
    <t xml:space="preserve">n.a.</t>
  </si>
  <si>
    <t xml:space="preserve">Shares outstanding (crore, adjusted)</t>
  </si>
  <si>
    <t xml:space="preserve">Screener export: "Adjusted Equity Shares in Cr"</t>
  </si>
  <si>
    <t xml:space="preserve">Price comparable with earnings/book? (1 = yes, 0 = no)</t>
  </si>
  <si>
    <t xml:space="preserve">DERIVED ITEMS (Rs crore unless stated)</t>
  </si>
  <si>
    <t xml:space="preserve">Direct operating cost (COGS-equivalent)</t>
  </si>
  <si>
    <t xml:space="preserve">RM + Power &amp; fuel + Other direct exp. - Chg. in inventory</t>
  </si>
  <si>
    <t xml:space="preserve">Indirect operating exp.</t>
  </si>
  <si>
    <t xml:space="preserve">Employee + Selling &amp; admin + Other exp.</t>
  </si>
  <si>
    <t xml:space="preserve">Total cash operating expenses</t>
  </si>
  <si>
    <t xml:space="preserve">COGS + Indirect</t>
  </si>
  <si>
    <t xml:space="preserve">Gross profit</t>
  </si>
  <si>
    <t xml:space="preserve">Sales - COGS</t>
  </si>
  <si>
    <t xml:space="preserve">Operating EBITDA (excl. other income)</t>
  </si>
  <si>
    <t xml:space="preserve">Sales - Total operating exp.</t>
  </si>
  <si>
    <t xml:space="preserve">Total revenue</t>
  </si>
  <si>
    <t xml:space="preserve">Sales + Other income</t>
  </si>
  <si>
    <t xml:space="preserve">EBIT</t>
  </si>
  <si>
    <t xml:space="preserve">PBT + Interest</t>
  </si>
  <si>
    <t xml:space="preserve">EBITDA (reported basis)</t>
  </si>
  <si>
    <t xml:space="preserve">EBIT + Depreciation</t>
  </si>
  <si>
    <t xml:space="preserve">Effective tax rate t</t>
  </si>
  <si>
    <t xml:space="preserve">Tax / PBT (bounded 0-100%; 0 if PBT&lt;=0)</t>
  </si>
  <si>
    <t xml:space="preserve">Net worth (shareholders' funds)</t>
  </si>
  <si>
    <t xml:space="preserve">Share capital + Reserves</t>
  </si>
  <si>
    <t xml:space="preserve">Capital employed</t>
  </si>
  <si>
    <t xml:space="preserve">Net worth + Borrowings</t>
  </si>
  <si>
    <t xml:space="preserve">Current assets (proxy)</t>
  </si>
  <si>
    <t xml:space="preserve">Other assets</t>
  </si>
  <si>
    <t xml:space="preserve">Current liabilities (proxy)</t>
  </si>
  <si>
    <t xml:space="preserve">Other liabilities</t>
  </si>
  <si>
    <t xml:space="preserve">Net working capital</t>
  </si>
  <si>
    <t xml:space="preserve">CA - CL</t>
  </si>
  <si>
    <t xml:space="preserve">Liquid assets</t>
  </si>
  <si>
    <t xml:space="preserve">Receivables + Cash &amp; bank</t>
  </si>
  <si>
    <t xml:space="preserve">Capital expenditure (est.)</t>
  </si>
  <si>
    <t xml:space="preserve">Chg. in (Net block + CWIP) + Depreciation</t>
  </si>
  <si>
    <t xml:space="preserve">Loan repayment (proxy)</t>
  </si>
  <si>
    <t xml:space="preserve">fall in borrowings, if any</t>
  </si>
  <si>
    <t xml:space="preserve">Market capitalisation</t>
  </si>
  <si>
    <t xml:space="preserve">Price x Shares</t>
  </si>
  <si>
    <t xml:space="preserve">Enterprise value</t>
  </si>
  <si>
    <t xml:space="preserve">Market cap + Borrowings - Cash</t>
  </si>
  <si>
    <t xml:space="preserve">Market cap - valuation-comparable years only</t>
  </si>
  <si>
    <t xml:space="preserve">PAT - valuation-comparable years only</t>
  </si>
  <si>
    <t xml:space="preserve">Net worth - valuation-comparable years only</t>
  </si>
  <si>
    <t xml:space="preserve">EBITDA - valuation-comparable years only</t>
  </si>
  <si>
    <t xml:space="preserve">Dividend - valuation-comparable years only</t>
  </si>
  <si>
    <t xml:space="preserve">Borrowings - Cash - valuation-comparable years only</t>
  </si>
  <si>
    <t xml:space="preserve">1. LIQUIDITY RATIOS</t>
  </si>
  <si>
    <t xml:space="preserve">Net working capital (Rs cr)</t>
  </si>
  <si>
    <t xml:space="preserve">CA / CL</t>
  </si>
  <si>
    <t xml:space="preserve">(CA - Inventory - Prepaids) / CL = (Receivables + Cash) / CL</t>
  </si>
  <si>
    <t xml:space="preserve">Cash ratio</t>
  </si>
  <si>
    <t xml:space="preserve">(Cash + Bank + Current investments) / CL</t>
  </si>
  <si>
    <t xml:space="preserve">Defensive-interval ratio (days)</t>
  </si>
  <si>
    <t xml:space="preserve">Liquid assets / (Cash operating expenses / 365)</t>
  </si>
  <si>
    <t xml:space="preserve">CFO / CL</t>
  </si>
  <si>
    <t xml:space="preserve">2. LEVERAGE / SOLVENCY - STRUCTURAL RATIOS</t>
  </si>
  <si>
    <t xml:space="preserve">Borrowings / Shareholders' equity</t>
  </si>
  <si>
    <t xml:space="preserve">Debt-equity (Prasanna Chandra)</t>
  </si>
  <si>
    <t xml:space="preserve">Total liabilities / Shareholders' equity</t>
  </si>
  <si>
    <t xml:space="preserve">Debt-asset ratio</t>
  </si>
  <si>
    <t xml:space="preserve">Total debt / Total assets</t>
  </si>
  <si>
    <t xml:space="preserve">Debt to capital ratio</t>
  </si>
  <si>
    <t xml:space="preserve">Debt / Permanent capital (Debt + Equity)</t>
  </si>
  <si>
    <t xml:space="preserve">Shareholders' funds / Total assets</t>
  </si>
  <si>
    <t xml:space="preserve">Capital gearing ratio</t>
  </si>
  <si>
    <t xml:space="preserve">(Debt + Preference capital) / Equity shareholders' funds</t>
  </si>
  <si>
    <t xml:space="preserve">Total debt / EBITDA</t>
  </si>
  <si>
    <t xml:space="preserve">2. LEVERAGE / SOLVENCY - COVERAGE RATIOS</t>
  </si>
  <si>
    <t xml:space="preserve">EBIT / Interest</t>
  </si>
  <si>
    <t xml:space="preserve">Modified interest coverage</t>
  </si>
  <si>
    <t xml:space="preserve">(EBIT + Depreciation) / Interest</t>
  </si>
  <si>
    <t xml:space="preserve">Dividend coverage</t>
  </si>
  <si>
    <t xml:space="preserve">PAT / Dividend (no preference capital: equity dividend used)</t>
  </si>
  <si>
    <t xml:space="preserve">Fixed-charges coverage</t>
  </si>
  <si>
    <t xml:space="preserve">(EBIT + Dep) / [Interest + Repayment/(1 - t)]</t>
  </si>
  <si>
    <t xml:space="preserve">Total cash-flow coverage</t>
  </si>
  <si>
    <t xml:space="preserve">(CFO + Tax) / [Interest + Repayment/(1 - t)]</t>
  </si>
  <si>
    <t xml:space="preserve">Capital expenditure ratio</t>
  </si>
  <si>
    <t xml:space="preserve">CFO / Capital expenditure</t>
  </si>
  <si>
    <t xml:space="preserve">(PAT + Interest + Dep) / (Interest + Repayment)</t>
  </si>
  <si>
    <t xml:space="preserve">3. TURNOVER / ACTIVITY RATIOS</t>
  </si>
  <si>
    <t xml:space="preserve">Inventory turnover</t>
  </si>
  <si>
    <t xml:space="preserve">COGS / Average inventory</t>
  </si>
  <si>
    <t xml:space="preserve">Inventory holding period (days)</t>
  </si>
  <si>
    <t xml:space="preserve">365 / Inventory turnover</t>
  </si>
  <si>
    <t xml:space="preserve">Debtors turnover</t>
  </si>
  <si>
    <t xml:space="preserve">Net credit sales / Average debtors</t>
  </si>
  <si>
    <t xml:space="preserve">365 / Debtors turnover</t>
  </si>
  <si>
    <t xml:space="preserve">Creditors turnover (proxy)</t>
  </si>
  <si>
    <t xml:space="preserve">Direct operating cost / Average other liabilities</t>
  </si>
  <si>
    <t xml:space="preserve">Payment period (days, proxy)</t>
  </si>
  <si>
    <t xml:space="preserve">365 / Creditors turnover</t>
  </si>
  <si>
    <t xml:space="preserve">Cash conversion cycle (days)</t>
  </si>
  <si>
    <t xml:space="preserve">Inventory days + Debtor days - Creditor days</t>
  </si>
  <si>
    <t xml:space="preserve">Sales / Average net fixed assets</t>
  </si>
  <si>
    <t xml:space="preserve">Sales / Average total assets</t>
  </si>
  <si>
    <t xml:space="preserve">Capital turnover</t>
  </si>
  <si>
    <t xml:space="preserve">Sales / Average capital employed</t>
  </si>
  <si>
    <t xml:space="preserve">Current assets turnover</t>
  </si>
  <si>
    <t xml:space="preserve">Sales / Average current assets</t>
  </si>
  <si>
    <t xml:space="preserve">Working capital turnover</t>
  </si>
  <si>
    <t xml:space="preserve">Sales / Net working capital</t>
  </si>
  <si>
    <t xml:space="preserve">4. PROFITABILITY - MARGIN RATIOS</t>
  </si>
  <si>
    <t xml:space="preserve">Gross profit / Sales</t>
  </si>
  <si>
    <t xml:space="preserve">EBITDA margin</t>
  </si>
  <si>
    <t xml:space="preserve">EBITDA / Total revenue</t>
  </si>
  <si>
    <t xml:space="preserve">(Sales - Operating exp.) / Sales</t>
  </si>
  <si>
    <t xml:space="preserve">Operating profit margin</t>
  </si>
  <si>
    <t xml:space="preserve">EBIT / Sales</t>
  </si>
  <si>
    <t xml:space="preserve">Pre-tax profit margin</t>
  </si>
  <si>
    <t xml:space="preserve">EBT / Sales</t>
  </si>
  <si>
    <t xml:space="preserve">PAT / Sales</t>
  </si>
  <si>
    <t xml:space="preserve">4. PROFITABILITY - EXPENSE RATIOS (% of sales)</t>
  </si>
  <si>
    <t xml:space="preserve">COGS (direct operating cost) ratio</t>
  </si>
  <si>
    <t xml:space="preserve">COGS / Sales</t>
  </si>
  <si>
    <t xml:space="preserve">Operating (indirect) expenses ratio</t>
  </si>
  <si>
    <t xml:space="preserve">(Employee + S&amp;A + Other exp.) / Sales</t>
  </si>
  <si>
    <t xml:space="preserve">Employee cost ratio</t>
  </si>
  <si>
    <t xml:space="preserve">Employee cost / Sales</t>
  </si>
  <si>
    <t xml:space="preserve">Selling &amp; administrative expense ratio</t>
  </si>
  <si>
    <t xml:space="preserve">Selling &amp; admin exp. / Sales</t>
  </si>
  <si>
    <t xml:space="preserve">Financial expenses ratio</t>
  </si>
  <si>
    <t xml:space="preserve">Interest / Sales</t>
  </si>
  <si>
    <t xml:space="preserve">(COGS + Operating exp.) / Sales</t>
  </si>
  <si>
    <t xml:space="preserve">4. PROFITABILITY - RETURN RATIOS</t>
  </si>
  <si>
    <t xml:space="preserve">PAT / Average total assets</t>
  </si>
  <si>
    <t xml:space="preserve">ROA incl. post-tax interest</t>
  </si>
  <si>
    <t xml:space="preserve">[PAT + Interest x (1 - t)] / Average total assets</t>
  </si>
  <si>
    <t xml:space="preserve">Earning power</t>
  </si>
  <si>
    <t xml:space="preserve">EBIT / Average total assets</t>
  </si>
  <si>
    <t xml:space="preserve">EBIT x (1 - t) / Average capital employed</t>
  </si>
  <si>
    <t xml:space="preserve">PAT / Average total shareholders' equity</t>
  </si>
  <si>
    <t xml:space="preserve">ROE (ordinary shareholders)</t>
  </si>
  <si>
    <t xml:space="preserve">(PAT - Preference dividend) / Average net worth</t>
  </si>
  <si>
    <t xml:space="preserve">5. VALUATION / SHAREHOLDER RATIOS</t>
  </si>
  <si>
    <t xml:space="preserve">Earnings per share (Rs)</t>
  </si>
  <si>
    <t xml:space="preserve">(PAT - Pref. dividend) / No. of equity shares</t>
  </si>
  <si>
    <t xml:space="preserve">Cash EPS (Rs)</t>
  </si>
  <si>
    <t xml:space="preserve">(PAT + Depreciation) / No. of equity shares</t>
  </si>
  <si>
    <t xml:space="preserve">Book value per share (Rs)</t>
  </si>
  <si>
    <t xml:space="preserve">Net worth / No. of equity shares</t>
  </si>
  <si>
    <t xml:space="preserve">Market price / BVPS</t>
  </si>
  <si>
    <t xml:space="preserve">Dividend per share (Rs)</t>
  </si>
  <si>
    <t xml:space="preserve">Equity dividend / No. of equity shares</t>
  </si>
  <si>
    <t xml:space="preserve">Dividend payout ratio</t>
  </si>
  <si>
    <t xml:space="preserve">DPS / EPS</t>
  </si>
  <si>
    <t xml:space="preserve">Retention ratio (b)</t>
  </si>
  <si>
    <t xml:space="preserve">1 - Payout ratio</t>
  </si>
  <si>
    <t xml:space="preserve">Earnings yield</t>
  </si>
  <si>
    <t xml:space="preserve">EPS / Market price</t>
  </si>
  <si>
    <t xml:space="preserve">DPS / Market price</t>
  </si>
  <si>
    <t xml:space="preserve">Market price / EPS</t>
  </si>
  <si>
    <t xml:space="preserve">(DPS + Price change) / Opening price</t>
  </si>
  <si>
    <t xml:space="preserve">(Market cap + Debt - Cash) / EBITDA</t>
  </si>
  <si>
    <t xml:space="preserve">6. DU PONT ANALYSIS</t>
  </si>
  <si>
    <t xml:space="preserve">2-way: Net profit margin</t>
  </si>
  <si>
    <t xml:space="preserve">2-way: x Total assets turnover</t>
  </si>
  <si>
    <t xml:space="preserve">Sales / Avg total assets</t>
  </si>
  <si>
    <t xml:space="preserve">2-way: = ROA</t>
  </si>
  <si>
    <t xml:space="preserve">NPM x TATO</t>
  </si>
  <si>
    <t xml:space="preserve">3-way: x Equity multiplier</t>
  </si>
  <si>
    <t xml:space="preserve">Avg total assets / Avg net worth</t>
  </si>
  <si>
    <t xml:space="preserve">3-way: = ROE</t>
  </si>
  <si>
    <t xml:space="preserve">NPM x TATO x EM</t>
  </si>
  <si>
    <t xml:space="preserve">5-way: Tax burden</t>
  </si>
  <si>
    <t xml:space="preserve">EAT / EBT</t>
  </si>
  <si>
    <t xml:space="preserve">5-way: Interest burden</t>
  </si>
  <si>
    <t xml:space="preserve">EBT / EBIT</t>
  </si>
  <si>
    <t xml:space="preserve">5-way: Operating margin</t>
  </si>
  <si>
    <t xml:space="preserve">5-way: Asset turnover</t>
  </si>
  <si>
    <t xml:space="preserve">5-way: Equity multiplier</t>
  </si>
  <si>
    <t xml:space="preserve">Avg total assets / Avg equity</t>
  </si>
  <si>
    <t xml:space="preserve">5-way: = ROE</t>
  </si>
  <si>
    <t xml:space="preserve">Product of the five ratios</t>
  </si>
  <si>
    <t xml:space="preserve">6. GROWTH (Internal &amp; sustainable growth, sales growth)</t>
  </si>
  <si>
    <t xml:space="preserve">ROA x b / (1 - ROA x b)</t>
  </si>
  <si>
    <t xml:space="preserve">Sustainable growth rate</t>
  </si>
  <si>
    <t xml:space="preserve">ROE x b / (1 - ROE x b)</t>
  </si>
  <si>
    <t xml:space="preserve">Sales growth (YoY)</t>
  </si>
  <si>
    <t xml:space="preserve">Sales(t) / Sales(t-1) - 1</t>
  </si>
  <si>
    <t xml:space="preserve">6. COMMON-SIZE PROFIT &amp; LOSS (% of sales)</t>
  </si>
  <si>
    <t xml:space="preserve">Sales</t>
  </si>
  <si>
    <t xml:space="preserve">Sales / Sales</t>
  </si>
  <si>
    <t xml:space="preserve">Direct operating cost</t>
  </si>
  <si>
    <t xml:space="preserve">Direct operating cost / Sales</t>
  </si>
  <si>
    <t xml:space="preserve">Selling &amp; admin</t>
  </si>
  <si>
    <t xml:space="preserve">Selling &amp; admin / Sales</t>
  </si>
  <si>
    <t xml:space="preserve">Other expenses / Sales</t>
  </si>
  <si>
    <t xml:space="preserve">Operating EBITDA</t>
  </si>
  <si>
    <t xml:space="preserve">Operating EBITDA / Sales</t>
  </si>
  <si>
    <t xml:space="preserve">Other income</t>
  </si>
  <si>
    <t xml:space="preserve">Other income / Sales</t>
  </si>
  <si>
    <t xml:space="preserve">Depreciation</t>
  </si>
  <si>
    <t xml:space="preserve">Depreciation / Sales</t>
  </si>
  <si>
    <t xml:space="preserve">Interest</t>
  </si>
  <si>
    <t xml:space="preserve">Profit before tax</t>
  </si>
  <si>
    <t xml:space="preserve">Profit before tax / Sales</t>
  </si>
  <si>
    <t xml:space="preserve">Tax / Sales</t>
  </si>
  <si>
    <t xml:space="preserve">Net profit</t>
  </si>
  <si>
    <t xml:space="preserve">Net profit / Sales</t>
  </si>
  <si>
    <t xml:space="preserve">6. COMMON-SIZE BALANCE SHEET (% of total assets)</t>
  </si>
  <si>
    <t xml:space="preserve">Equity share capital / Total assets</t>
  </si>
  <si>
    <t xml:space="preserve">Reserves</t>
  </si>
  <si>
    <t xml:space="preserve">Reserves / Total assets</t>
  </si>
  <si>
    <t xml:space="preserve">Net worth</t>
  </si>
  <si>
    <t xml:space="preserve">Net worth / Total assets</t>
  </si>
  <si>
    <t xml:space="preserve">Borrowings</t>
  </si>
  <si>
    <t xml:space="preserve">Borrowings / Total assets</t>
  </si>
  <si>
    <t xml:space="preserve">Other liabilities / Total assets</t>
  </si>
  <si>
    <t xml:space="preserve">Total liabilities &amp; equity / Total assets</t>
  </si>
  <si>
    <t xml:space="preserve">Net block / Total assets</t>
  </si>
  <si>
    <t xml:space="preserve">CWIP</t>
  </si>
  <si>
    <t xml:space="preserve">CWIP / Total assets</t>
  </si>
  <si>
    <t xml:space="preserve">Investments / Total assets</t>
  </si>
  <si>
    <t xml:space="preserve">Other assets / Total assets</t>
  </si>
  <si>
    <t xml:space="preserve">  Receivables</t>
  </si>
  <si>
    <t xml:space="preserve">Receivables / Total assets</t>
  </si>
  <si>
    <t xml:space="preserve">  Inventory</t>
  </si>
  <si>
    <t xml:space="preserve">Inventory / Total assets</t>
  </si>
  <si>
    <t xml:space="preserve">  Cash &amp; bank</t>
  </si>
  <si>
    <t xml:space="preserve">Cash &amp; bank / Total assets</t>
  </si>
  <si>
    <t xml:space="preserve">Total assets / Total assets</t>
  </si>
  <si>
    <t xml:space="preserve">6. TREND ANALYSIS - COMMON BASE YEAR (FY2020 = 100)</t>
  </si>
  <si>
    <t xml:space="preserve">Sales(t) / Sales(FY2020) x 100</t>
  </si>
  <si>
    <t xml:space="preserve">Operating EBITDA(t) / Operating EBITDA(FY2020) x 100</t>
  </si>
  <si>
    <t xml:space="preserve">Net profit(t) / Net profit(FY2020) x 100</t>
  </si>
  <si>
    <t xml:space="preserve">Total assets(t) / Total assets(FY2020) x 100</t>
  </si>
  <si>
    <t xml:space="preserve">Net worth(t) / Net worth(FY2020) x 100</t>
  </si>
  <si>
    <t xml:space="preserve">Borrowings(t) / Borrowings(FY2020) x 100</t>
  </si>
  <si>
    <t xml:space="preserve">Receivables</t>
  </si>
  <si>
    <t xml:space="preserve">Receivables(t) / Receivables(FY2020) x 100</t>
  </si>
  <si>
    <t xml:space="preserve">CFO</t>
  </si>
  <si>
    <t xml:space="preserve">CFO(t) / CFO(FY2020) x 100</t>
  </si>
  <si>
    <t xml:space="preserve">NSE: TIGERLOGS | BSE: 536264 | International freight forwarding (sea &amp; air), customs brokerage, project cargo | Source: Screener.in data export (company annual reports; consolidated where published). Rs crore unless stated. Blue = input, black = formula.</t>
  </si>
  <si>
    <t xml:space="preserve">NSE: ALLCARGO | BSE: 532749 | LCL consolidation/NVOCC (international business demerged to Allcargo Global w.e.f. 1-Nov-2025); domestic express &amp; contract logistics | Source: Screener.in data export (company annual reports; consolidated where published). Rs crore unless stated. Blue = input, black = formula.</t>
  </si>
  <si>
    <t xml:space="preserve">NSE: BLUEDART | BSE: 526612 | Express air &amp; ground courier and integrated transport (DHL Group); dedicated freighter fleet | Source: Screener.in data export (company annual reports; consolidated where published). Rs crore unless stated. Blue = input, black = formula.</t>
  </si>
  <si>
    <t xml:space="preserve">NSE: CONCOR | BSE: 531344 | Rail-based EXIM &amp; domestic container logistics, ICDs/CFSs (Navratna CPSE, Ministry of Railways) | Source: Screener.in data export (company annual reports; consolidated where published). Rs crore unless stated. Blue = input, black = formula.</t>
  </si>
  <si>
    <t xml:space="preserve">NSE: JETFREIGHT | BSE: 543420 | International air &amp; ocean freight forwarding (incl. perishables), customs clearance | Source: Screener.in data export (company annual reports; consolidated where published). Rs crore unless stated. Blue = input, black = formula.</t>
  </si>
  <si>
    <t xml:space="preserve">NSE: PATINTLOG | BSE: 526381 | Surface transport (Patel Roadways), domestic &amp; international air-freight consolidation | Source: Screener.in data export (company annual reports; consolidated where published). Rs crore unless stated. Blue = input, black = formula.</t>
  </si>
  <si>
    <t xml:space="preserve">NSE: SICALLOG | BSE: 520086 | Bulk/mining logistics (coal), port &amp; rail-road handling; IBC resolution plan of Pristine Malwa Logistics Park approved by NCLT Chennai (8-Dec-2022) | Source: Screener.in data export (company annual reports; consolidated where published). Rs crore unless stated. Blue = input, black = formula.</t>
  </si>
  <si>
    <t xml:space="preserve">NSE: TCI | BSE: 532349 | Integrated multimodal: road freight, supply-chain solutions/warehousing, coastal seaways, rail (JV with CONCOR) | Source: Screener.in data export (company annual reports; consolidated where published). Rs crore unless stated. Blue = input, black = formula.</t>
  </si>
  <si>
    <t xml:space="preserve">NSE: — (BSE only) | BSE: 540738 | Road freight transport (full &amp; part truck-load) and allied logistics | Source: Screener.in data export (company annual reports; consolidated where published). Rs crore unless stated. Blue = input, black = formula.</t>
  </si>
  <si>
    <t xml:space="preserve">NSE: MAHLOG | BSE: 540768 | Integrated 3PL: contract logistics &amp; warehousing, B2B express, freight forwarding, last-mile, enterprise mobility | Source: Screener.in data export (company annual reports; consolidated where published). Rs crore unless stated. Blue = input, black = formula.</t>
  </si>
</sst>
</file>

<file path=xl/styles.xml><?xml version="1.0" encoding="utf-8"?>
<styleSheet xmlns="http://schemas.openxmlformats.org/spreadsheetml/2006/main">
  <numFmts count="21">
    <numFmt numFmtId="164" formatCode="General"/>
    <numFmt numFmtId="165" formatCode="#,##0.0;[RED]\(#,##0.0\);\-"/>
    <numFmt numFmtId="166" formatCode="0.0%;[RED]\-0.0%;\-"/>
    <numFmt numFmtId="167" formatCode="0.00"/>
    <numFmt numFmtId="168" formatCode="0.00\x;[RED]\-0.00\x;\-"/>
    <numFmt numFmtId="169" formatCode="#,##0;[RED]\-#,##0;\-"/>
    <numFmt numFmtId="170" formatCode="0"/>
    <numFmt numFmtId="171" formatCode="#,##0.00;[RED]\-#,##0.00;\-"/>
    <numFmt numFmtId="172" formatCode="#,##0.00;[RED]\(#,##0.00\);\-"/>
    <numFmt numFmtId="173" formatCode="0.00;[RED]\-0.00"/>
    <numFmt numFmtId="174" formatCode="0.0000"/>
    <numFmt numFmtId="175" formatCode="0.000"/>
    <numFmt numFmtId="176" formatCode="0.000000"/>
    <numFmt numFmtId="177" formatCode="@"/>
    <numFmt numFmtId="178" formatCode="0.00000"/>
    <numFmt numFmtId="179" formatCode="0.0%"/>
    <numFmt numFmtId="180" formatCode="0.00%"/>
    <numFmt numFmtId="181" formatCode="0.000;[RED]\-0.000;\-"/>
    <numFmt numFmtId="182" formatCode="0.0;[RED]\-0.0;\-"/>
    <numFmt numFmtId="183" formatCode="0.00%;[RED]\-0.00%;\-"/>
    <numFmt numFmtId="184" formatCode="0.00;[RED]\-0.00;\-"/>
  </numFmts>
  <fonts count="2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name val="Arial"/>
      <family val="0"/>
      <charset val="1"/>
    </font>
    <font>
      <b val="true"/>
      <sz val="13"/>
      <color rgb="FF1F3864"/>
      <name val="Arial"/>
      <family val="0"/>
      <charset val="1"/>
    </font>
    <font>
      <i val="true"/>
      <sz val="9"/>
      <color rgb="FF595959"/>
      <name val="Arial"/>
      <family val="0"/>
      <charset val="1"/>
    </font>
    <font>
      <b val="true"/>
      <sz val="9"/>
      <color rgb="FFFFFFFF"/>
      <name val="Arial"/>
      <family val="0"/>
      <charset val="1"/>
    </font>
    <font>
      <sz val="9"/>
      <name val="Arial"/>
      <family val="0"/>
      <charset val="1"/>
    </font>
    <font>
      <sz val="9"/>
      <color rgb="FF008000"/>
      <name val="Arial"/>
      <family val="0"/>
      <charset val="1"/>
    </font>
    <font>
      <b val="true"/>
      <sz val="9"/>
      <name val="Arial"/>
      <family val="0"/>
      <charset val="1"/>
    </font>
    <font>
      <b val="true"/>
      <sz val="9"/>
      <color rgb="FF1F3864"/>
      <name val="Arial"/>
      <family val="0"/>
      <charset val="1"/>
    </font>
    <font>
      <sz val="8"/>
      <color rgb="FF595959"/>
      <name val="Arial"/>
      <family val="0"/>
      <charset val="1"/>
    </font>
    <font>
      <b val="true"/>
      <sz val="9"/>
      <color rgb="FF008000"/>
      <name val="Arial"/>
      <family val="0"/>
      <charset val="1"/>
    </font>
    <font>
      <b val="true"/>
      <sz val="9"/>
      <color rgb="FFC00000"/>
      <name val="Arial"/>
      <family val="0"/>
      <charset val="1"/>
    </font>
    <font>
      <i val="true"/>
      <sz val="9"/>
      <name val="Arial"/>
      <family val="0"/>
      <charset val="1"/>
    </font>
    <font>
      <i val="true"/>
      <sz val="8"/>
      <name val="Arial"/>
      <family val="0"/>
      <charset val="1"/>
    </font>
    <font>
      <b val="true"/>
      <i val="true"/>
      <sz val="9"/>
      <name val="Arial"/>
      <family val="0"/>
      <charset val="1"/>
    </font>
    <font>
      <sz val="9"/>
      <color rgb="FF0000FF"/>
      <name val="Arial"/>
      <family val="0"/>
      <charset val="1"/>
    </font>
    <font>
      <sz val="9"/>
      <color rgb="FF000000"/>
      <name val="Arial"/>
      <family val="0"/>
      <charset val="1"/>
    </font>
    <font>
      <sz val="8"/>
      <color rgb="FF808080"/>
      <name val="Arial"/>
      <family val="0"/>
      <charset val="1"/>
    </font>
    <font>
      <sz val="9"/>
      <color rgb="FF808080"/>
      <name val="Arial"/>
      <family val="0"/>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9E1F2"/>
        <bgColor rgb="FFF2F2F2"/>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12" fillId="0" borderId="0" xfId="0" applyFont="true" applyBorder="false" applyAlignment="true" applyProtection="false">
      <alignment horizontal="right" vertical="top" textRotation="0" wrapText="false" indent="0" shrinkToFit="false"/>
      <protection locked="true" hidden="false"/>
    </xf>
    <xf numFmtId="166"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3" borderId="0" xfId="0" applyFont="true" applyBorder="false" applyAlignment="false" applyProtection="false">
      <alignment horizontal="general" vertical="bottom" textRotation="0" wrapText="false" indent="0" shrinkToFit="false"/>
      <protection locked="true" hidden="false"/>
    </xf>
    <xf numFmtId="166" fontId="13" fillId="3" borderId="0" xfId="0" applyFont="true" applyBorder="false" applyAlignment="false" applyProtection="false">
      <alignment horizontal="general" vertical="bottom" textRotation="0" wrapText="false" indent="0" shrinkToFit="false"/>
      <protection locked="true" hidden="false"/>
    </xf>
    <xf numFmtId="167" fontId="13" fillId="3"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xf numFmtId="168" fontId="16" fillId="0" borderId="0" xfId="0" applyFont="true" applyBorder="false" applyAlignment="true" applyProtection="false">
      <alignment horizontal="right" vertical="bottom" textRotation="0" wrapText="false" indent="0" shrinkToFit="false"/>
      <protection locked="true" hidden="false"/>
    </xf>
    <xf numFmtId="168" fontId="13" fillId="3" borderId="0" xfId="0" applyFont="true" applyBorder="false" applyAlignment="true" applyProtection="false">
      <alignment horizontal="right" vertical="bottom" textRotation="0" wrapText="fals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6" fontId="16" fillId="0" borderId="0" xfId="0" applyFont="true" applyBorder="false" applyAlignment="true" applyProtection="false">
      <alignment horizontal="right" vertical="bottom" textRotation="0" wrapText="false" indent="0" shrinkToFit="false"/>
      <protection locked="true" hidden="false"/>
    </xf>
    <xf numFmtId="166" fontId="13" fillId="3" borderId="0" xfId="0" applyFont="true" applyBorder="false" applyAlignment="true" applyProtection="false">
      <alignment horizontal="right" vertical="bottom" textRotation="0" wrapText="false" indent="0" shrinkToFit="false"/>
      <protection locked="true" hidden="false"/>
    </xf>
    <xf numFmtId="169" fontId="12" fillId="0" borderId="0" xfId="0" applyFont="true" applyBorder="false" applyAlignment="true" applyProtection="false">
      <alignment horizontal="right" vertical="bottom" textRotation="0" wrapText="false" indent="0" shrinkToFit="false"/>
      <protection locked="true" hidden="false"/>
    </xf>
    <xf numFmtId="169" fontId="16" fillId="0" borderId="0" xfId="0" applyFont="true" applyBorder="false" applyAlignment="true" applyProtection="false">
      <alignment horizontal="right" vertical="bottom" textRotation="0" wrapText="false" indent="0" shrinkToFit="false"/>
      <protection locked="true" hidden="false"/>
    </xf>
    <xf numFmtId="169" fontId="13" fillId="3" borderId="0" xfId="0" applyFont="true" applyBorder="false" applyAlignment="true" applyProtection="false">
      <alignment horizontal="right" vertical="bottom" textRotation="0" wrapText="false" indent="0" shrinkToFit="false"/>
      <protection locked="true" hidden="false"/>
    </xf>
    <xf numFmtId="170" fontId="11" fillId="0" borderId="0" xfId="0" applyFont="true" applyBorder="false" applyAlignment="true" applyProtection="false">
      <alignment horizontal="center" vertical="bottom" textRotation="0" wrapText="false" indent="0" shrinkToFit="false"/>
      <protection locked="true" hidden="false"/>
    </xf>
    <xf numFmtId="167" fontId="13" fillId="3" borderId="0" xfId="0" applyFont="true" applyBorder="false" applyAlignment="true" applyProtection="false">
      <alignment horizontal="center" vertical="bottom" textRotation="0" wrapText="false" indent="0" shrinkToFit="false"/>
      <protection locked="true" hidden="false"/>
    </xf>
    <xf numFmtId="170" fontId="17" fillId="3"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5" fontId="16"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8" fillId="3" borderId="0" xfId="0" applyFont="true" applyBorder="false" applyAlignment="true" applyProtection="false">
      <alignment horizontal="right" vertical="bottom" textRotation="0" wrapText="false" indent="0" shrinkToFit="false"/>
      <protection locked="true" hidden="false"/>
    </xf>
    <xf numFmtId="168" fontId="18" fillId="3" borderId="0" xfId="0" applyFont="true" applyBorder="false" applyAlignment="true" applyProtection="false">
      <alignment horizontal="right" vertical="bottom" textRotation="0" wrapText="false" indent="0" shrinkToFit="false"/>
      <protection locked="true" hidden="false"/>
    </xf>
    <xf numFmtId="169" fontId="18" fillId="3" borderId="0" xfId="0" applyFont="true" applyBorder="false" applyAlignment="true" applyProtection="false">
      <alignment horizontal="right" vertical="bottom" textRotation="0" wrapText="false" indent="0" shrinkToFit="false"/>
      <protection locked="true" hidden="false"/>
    </xf>
    <xf numFmtId="166" fontId="18" fillId="3" borderId="0" xfId="0" applyFont="true" applyBorder="false" applyAlignment="true" applyProtection="false">
      <alignment horizontal="right" vertical="bottom" textRotation="0" wrapText="false" indent="0" shrinkToFit="false"/>
      <protection locked="true" hidden="false"/>
    </xf>
    <xf numFmtId="171" fontId="12" fillId="0" borderId="0" xfId="0" applyFont="true" applyBorder="false" applyAlignment="true" applyProtection="false">
      <alignment horizontal="right" vertical="bottom" textRotation="0" wrapText="false" indent="0" shrinkToFit="false"/>
      <protection locked="true" hidden="false"/>
    </xf>
    <xf numFmtId="171" fontId="16" fillId="0" borderId="0" xfId="0" applyFont="true" applyBorder="false" applyAlignment="true" applyProtection="false">
      <alignment horizontal="right" vertical="bottom" textRotation="0" wrapText="false" indent="0" shrinkToFit="false"/>
      <protection locked="true" hidden="false"/>
    </xf>
    <xf numFmtId="171" fontId="18" fillId="3" borderId="0" xfId="0" applyFont="true" applyBorder="false" applyAlignment="true" applyProtection="false">
      <alignment horizontal="right" vertical="bottom" textRotation="0" wrapText="false" indent="0" shrinkToFit="false"/>
      <protection locked="true" hidden="false"/>
    </xf>
    <xf numFmtId="170" fontId="11" fillId="0" borderId="0" xfId="0" applyFont="true" applyBorder="false" applyAlignment="true" applyProtection="false">
      <alignment horizontal="right" vertical="bottom" textRotation="0" wrapText="false" indent="0" shrinkToFit="false"/>
      <protection locked="true" hidden="false"/>
    </xf>
    <xf numFmtId="172" fontId="11" fillId="0" borderId="0" xfId="0" applyFont="true" applyBorder="false" applyAlignment="true" applyProtection="false">
      <alignment horizontal="right"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73" fontId="11"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75"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8" fontId="11" fillId="0" borderId="0" xfId="0" applyFont="true" applyBorder="false" applyAlignment="false" applyProtection="false">
      <alignment horizontal="general" vertical="bottom" textRotation="0" wrapText="false" indent="0" shrinkToFit="false"/>
      <protection locked="true" hidden="false"/>
    </xf>
    <xf numFmtId="179" fontId="22" fillId="0" borderId="0" xfId="0" applyFont="true" applyBorder="false" applyAlignment="false" applyProtection="false">
      <alignment horizontal="general" vertical="bottom" textRotation="0" wrapText="false" indent="0" shrinkToFit="false"/>
      <protection locked="true" hidden="false"/>
    </xf>
    <xf numFmtId="179" fontId="12" fillId="0" borderId="0" xfId="0" applyFont="true" applyBorder="fals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80" fontId="12" fillId="0" borderId="0" xfId="0" applyFont="tru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true" applyProtection="false">
      <alignment horizontal="right"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center" textRotation="0" wrapText="tru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72" fontId="24" fillId="0" borderId="0" xfId="0" applyFont="true" applyBorder="false" applyAlignment="true" applyProtection="false">
      <alignment horizontal="right" vertical="bottom" textRotation="0" wrapText="false" indent="0" shrinkToFit="false"/>
      <protection locked="true" hidden="false"/>
    </xf>
    <xf numFmtId="170" fontId="24" fillId="0"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5" fontId="13" fillId="3" borderId="0" xfId="0" applyFont="true" applyBorder="false" applyAlignment="true" applyProtection="false">
      <alignment horizontal="right" vertical="bottom" textRotation="0" wrapText="false" indent="0" shrinkToFit="false"/>
      <protection locked="true" hidden="false"/>
    </xf>
    <xf numFmtId="165" fontId="11" fillId="3" borderId="0" xfId="0" applyFont="true" applyBorder="false" applyAlignment="true" applyProtection="false">
      <alignment horizontal="right" vertical="bottom" textRotation="0" wrapText="false" indent="0" shrinkToFit="false"/>
      <protection locked="true" hidden="false"/>
    </xf>
    <xf numFmtId="168" fontId="11" fillId="3" borderId="0" xfId="0" applyFont="true" applyBorder="false" applyAlignment="true" applyProtection="false">
      <alignment horizontal="right" vertical="bottom" textRotation="0" wrapText="false" indent="0" shrinkToFit="false"/>
      <protection locked="true" hidden="false"/>
    </xf>
    <xf numFmtId="181" fontId="11" fillId="3" borderId="0" xfId="0" applyFont="true" applyBorder="false" applyAlignment="true" applyProtection="false">
      <alignment horizontal="right" vertical="bottom" textRotation="0" wrapText="false" indent="0" shrinkToFit="false"/>
      <protection locked="true" hidden="false"/>
    </xf>
    <xf numFmtId="169" fontId="11" fillId="3" borderId="0" xfId="0" applyFont="true" applyBorder="false" applyAlignment="true" applyProtection="false">
      <alignment horizontal="right" vertical="bottom" textRotation="0" wrapText="false" indent="0" shrinkToFit="false"/>
      <protection locked="true" hidden="false"/>
    </xf>
    <xf numFmtId="182" fontId="11" fillId="3" borderId="0" xfId="0" applyFont="true" applyBorder="false" applyAlignment="true" applyProtection="false">
      <alignment horizontal="right" vertical="bottom" textRotation="0" wrapText="false" indent="0" shrinkToFit="false"/>
      <protection locked="true" hidden="false"/>
    </xf>
    <xf numFmtId="166" fontId="11" fillId="3" borderId="0" xfId="0" applyFont="true" applyBorder="false" applyAlignment="true" applyProtection="false">
      <alignment horizontal="right" vertical="bottom" textRotation="0" wrapText="false" indent="0" shrinkToFit="false"/>
      <protection locked="true" hidden="false"/>
    </xf>
    <xf numFmtId="183" fontId="11" fillId="3" borderId="0" xfId="0" applyFont="true" applyBorder="false" applyAlignment="true" applyProtection="false">
      <alignment horizontal="right" vertical="bottom" textRotation="0" wrapText="false" indent="0" shrinkToFit="false"/>
      <protection locked="true" hidden="false"/>
    </xf>
    <xf numFmtId="171" fontId="24" fillId="0" borderId="0" xfId="0" applyFont="true" applyBorder="false" applyAlignment="true" applyProtection="false">
      <alignment horizontal="right" vertical="bottom" textRotation="0" wrapText="false" indent="0" shrinkToFit="false"/>
      <protection locked="true" hidden="false"/>
    </xf>
    <xf numFmtId="164" fontId="24" fillId="3" borderId="0" xfId="0" applyFont="true" applyBorder="false" applyAlignment="true" applyProtection="false">
      <alignment horizontal="right" vertical="bottom" textRotation="0" wrapText="false" indent="0" shrinkToFit="false"/>
      <protection locked="true" hidden="false"/>
    </xf>
    <xf numFmtId="166" fontId="24" fillId="0" borderId="0" xfId="0" applyFont="true" applyBorder="false" applyAlignment="true" applyProtection="false">
      <alignment horizontal="right" vertical="bottom" textRotation="0" wrapText="false" indent="0" shrinkToFit="false"/>
      <protection locked="true" hidden="false"/>
    </xf>
    <xf numFmtId="182" fontId="11" fillId="0" borderId="0" xfId="0" applyFont="true" applyBorder="false" applyAlignment="true" applyProtection="false">
      <alignment horizontal="right" vertical="bottom" textRotation="0" wrapText="false" indent="0" shrinkToFit="false"/>
      <protection locked="true" hidden="false"/>
    </xf>
    <xf numFmtId="182" fontId="13" fillId="3" borderId="0" xfId="0" applyFont="true" applyBorder="false" applyAlignment="true" applyProtection="false">
      <alignment horizontal="right"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right" vertical="bottom" textRotation="0" wrapText="false" indent="0" shrinkToFit="false"/>
      <protection locked="true" hidden="false"/>
    </xf>
    <xf numFmtId="171" fontId="13" fillId="3" borderId="0" xfId="0" applyFont="true" applyBorder="false" applyAlignment="true" applyProtection="false">
      <alignment horizontal="right" vertical="bottom" textRotation="0" wrapText="false" indent="0" shrinkToFit="false"/>
      <protection locked="true" hidden="false"/>
    </xf>
    <xf numFmtId="171" fontId="11" fillId="3" borderId="0" xfId="0" applyFont="true" applyBorder="false" applyAlignment="true" applyProtection="false">
      <alignment horizontal="right" vertical="bottom" textRotation="0" wrapText="false" indent="0" shrinkToFit="false"/>
      <protection locked="true" hidden="false"/>
    </xf>
    <xf numFmtId="184" fontId="11" fillId="3"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21"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2F75B5"/>
      <rgbColor rgb="FF33CCCC"/>
      <rgbColor rgb="FF99CC00"/>
      <rgbColor rgb="FFFFCC00"/>
      <rgbColor rgb="FFBF8F00"/>
      <rgbColor rgb="FFC55A1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45" hidden="false" customHeight="true" outlineLevel="0" collapsed="false">
      <c r="A4" s="4" t="s">
        <v>3</v>
      </c>
    </row>
    <row r="5" customFormat="false" ht="15" hidden="false" customHeight="false" outlineLevel="0" collapsed="false">
      <c r="A5" s="3" t="s">
        <v>4</v>
      </c>
    </row>
    <row r="6" customFormat="false" ht="30" hidden="false" customHeight="true" outlineLevel="0" collapsed="false">
      <c r="A6" s="4" t="s">
        <v>5</v>
      </c>
    </row>
    <row r="7" customFormat="false" ht="30" hidden="false" customHeight="true" outlineLevel="0" collapsed="false">
      <c r="A7" s="4" t="s">
        <v>6</v>
      </c>
    </row>
    <row r="8" customFormat="false" ht="30" hidden="false" customHeight="true" outlineLevel="0" collapsed="false">
      <c r="A8" s="4" t="s">
        <v>7</v>
      </c>
    </row>
    <row r="9" customFormat="false" ht="30" hidden="false" customHeight="true" outlineLevel="0" collapsed="false">
      <c r="A9" s="4" t="s">
        <v>8</v>
      </c>
    </row>
    <row r="10" customFormat="false" ht="15" hidden="false" customHeight="true" outlineLevel="0" collapsed="false">
      <c r="A10" s="4" t="s">
        <v>9</v>
      </c>
    </row>
    <row r="11" customFormat="false" ht="15" hidden="false" customHeight="true" outlineLevel="0" collapsed="false">
      <c r="A11" s="4" t="s">
        <v>10</v>
      </c>
    </row>
    <row r="12" customFormat="false" ht="30" hidden="false" customHeight="true" outlineLevel="0" collapsed="false">
      <c r="A12" s="4" t="s">
        <v>11</v>
      </c>
    </row>
    <row r="13" customFormat="false" ht="15" hidden="false" customHeight="false" outlineLevel="0" collapsed="false">
      <c r="A13" s="3" t="s">
        <v>12</v>
      </c>
    </row>
    <row r="14" customFormat="false" ht="30" hidden="false" customHeight="true" outlineLevel="0" collapsed="false">
      <c r="A14" s="4" t="s">
        <v>13</v>
      </c>
    </row>
    <row r="15" customFormat="false" ht="30" hidden="false" customHeight="true" outlineLevel="0" collapsed="false">
      <c r="A15" s="4" t="s">
        <v>14</v>
      </c>
    </row>
    <row r="16" customFormat="false" ht="30" hidden="false" customHeight="true" outlineLevel="0" collapsed="false">
      <c r="A16" s="4" t="s">
        <v>15</v>
      </c>
    </row>
    <row r="17" customFormat="false" ht="15" hidden="false" customHeight="false" outlineLevel="0" collapsed="false">
      <c r="A17" s="3" t="s">
        <v>16</v>
      </c>
    </row>
    <row r="18" customFormat="false" ht="60" hidden="false" customHeight="true" outlineLevel="0" collapsed="false">
      <c r="A18" s="4" t="s">
        <v>17</v>
      </c>
    </row>
    <row r="19" customFormat="false" ht="15" hidden="false" customHeight="false" outlineLevel="0" collapsed="false">
      <c r="A19" s="3" t="s">
        <v>18</v>
      </c>
    </row>
    <row r="20" customFormat="false" ht="30" hidden="false" customHeight="true" outlineLevel="0" collapsed="false">
      <c r="A20" s="4" t="s">
        <v>19</v>
      </c>
    </row>
    <row r="21" customFormat="false" ht="45" hidden="false" customHeight="true" outlineLevel="0" collapsed="false">
      <c r="A21" s="4" t="s">
        <v>20</v>
      </c>
    </row>
    <row r="22" customFormat="false" ht="45" hidden="false" customHeight="true" outlineLevel="0" collapsed="false">
      <c r="A22" s="4" t="s">
        <v>21</v>
      </c>
    </row>
    <row r="23" customFormat="false" ht="30" hidden="false" customHeight="true" outlineLevel="0" collapsed="false">
      <c r="A23" s="4" t="s">
        <v>22</v>
      </c>
    </row>
    <row r="24" customFormat="false" ht="30" hidden="false" customHeight="true" outlineLevel="0" collapsed="false">
      <c r="A24" s="4" t="s">
        <v>23</v>
      </c>
    </row>
    <row r="25" customFormat="false" ht="30" hidden="false" customHeight="true" outlineLevel="0" collapsed="false">
      <c r="A25" s="4" t="s">
        <v>24</v>
      </c>
    </row>
    <row r="26" customFormat="false" ht="15" hidden="false" customHeight="false" outlineLevel="0" collapsed="false">
      <c r="A26" s="3" t="s">
        <v>25</v>
      </c>
    </row>
    <row r="27" customFormat="false" ht="30" hidden="false" customHeight="true" outlineLevel="0" collapsed="false">
      <c r="A27" s="4" t="s">
        <v>26</v>
      </c>
    </row>
    <row r="28" customFormat="false" ht="60" hidden="false" customHeight="true" outlineLevel="0" collapsed="false">
      <c r="A28" s="4" t="s">
        <v>27</v>
      </c>
    </row>
    <row r="29" customFormat="false" ht="15" hidden="false" customHeight="false" outlineLevel="0" collapsed="false">
      <c r="A29" s="3" t="s">
        <v>28</v>
      </c>
    </row>
    <row r="30" customFormat="false" ht="45" hidden="false" customHeight="true" outlineLevel="0" collapsed="false">
      <c r="A30" s="4" t="s">
        <v>29</v>
      </c>
    </row>
    <row r="31" customFormat="false" ht="15" hidden="false" customHeight="false" outlineLevel="0" collapsed="false">
      <c r="A31" s="3" t="s">
        <v>30</v>
      </c>
    </row>
    <row r="32" customFormat="false" ht="60" hidden="false" customHeight="true" outlineLevel="0" collapsed="false">
      <c r="A32"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Q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12"/>
    <col collapsed="false" customWidth="true" hidden="false" outlineLevel="0" max="4" min="4" style="0" width="9"/>
    <col collapsed="false" customWidth="true" hidden="false" outlineLevel="0" max="5" min="5" style="0" width="46"/>
    <col collapsed="false" customWidth="true" hidden="false" outlineLevel="0" max="6" min="6" style="0" width="22"/>
    <col collapsed="false" customWidth="true" hidden="false" outlineLevel="0" max="7" min="7" style="0" width="14"/>
    <col collapsed="false" customWidth="true" hidden="false" outlineLevel="0" max="17" min="8" style="0" width="12"/>
  </cols>
  <sheetData>
    <row r="1" customFormat="false" ht="16.15" hidden="false" customHeight="false" outlineLevel="0" collapsed="false">
      <c r="A1" s="5" t="s">
        <v>32</v>
      </c>
    </row>
    <row r="2" customFormat="false" ht="15" hidden="false" customHeight="false" outlineLevel="0" collapsed="false">
      <c r="A2" s="6" t="s">
        <v>33</v>
      </c>
    </row>
    <row r="4" customFormat="false" ht="54" hidden="false" customHeight="true" outlineLevel="0" collapsed="false">
      <c r="A4" s="7" t="s">
        <v>34</v>
      </c>
      <c r="B4" s="7" t="s">
        <v>35</v>
      </c>
      <c r="C4" s="7" t="s">
        <v>36</v>
      </c>
      <c r="D4" s="7" t="s">
        <v>37</v>
      </c>
      <c r="E4" s="7" t="s">
        <v>38</v>
      </c>
      <c r="F4" s="7" t="s">
        <v>39</v>
      </c>
      <c r="G4" s="7" t="s">
        <v>40</v>
      </c>
      <c r="H4" s="7" t="s">
        <v>41</v>
      </c>
      <c r="I4" s="7" t="s">
        <v>42</v>
      </c>
      <c r="J4" s="7" t="s">
        <v>43</v>
      </c>
      <c r="K4" s="7" t="s">
        <v>44</v>
      </c>
      <c r="L4" s="7" t="s">
        <v>45</v>
      </c>
      <c r="M4" s="7" t="s">
        <v>46</v>
      </c>
      <c r="N4" s="7" t="s">
        <v>47</v>
      </c>
      <c r="O4" s="7" t="s">
        <v>48</v>
      </c>
      <c r="P4" s="7" t="s">
        <v>49</v>
      </c>
      <c r="Q4" s="7" t="s">
        <v>50</v>
      </c>
    </row>
    <row r="5" customFormat="false" ht="48" hidden="false" customHeight="true" outlineLevel="0" collapsed="false">
      <c r="A5" s="8" t="n">
        <v>1</v>
      </c>
      <c r="B5" s="8" t="s">
        <v>51</v>
      </c>
      <c r="C5" s="8" t="s">
        <v>52</v>
      </c>
      <c r="D5" s="8" t="s">
        <v>53</v>
      </c>
      <c r="E5" s="8" t="s">
        <v>54</v>
      </c>
      <c r="F5" s="8" t="s">
        <v>55</v>
      </c>
      <c r="G5" s="9" t="str">
        <f aca="false">IF(P5&gt;=MEDIAN($P$5:$P$14),"Asset-heavy","Asset-light")</f>
        <v>Asset-light</v>
      </c>
      <c r="H5" s="10" t="n">
        <f aca="false">Tiger!J9</f>
        <v>572.82</v>
      </c>
      <c r="I5" s="10" t="n">
        <f aca="false">Tiger!J35</f>
        <v>262.62</v>
      </c>
      <c r="J5" s="10" t="n">
        <f aca="false">Tiger!J69</f>
        <v>252.623</v>
      </c>
      <c r="K5" s="11" t="n">
        <f aca="false">(Tiger!J9/Tiger!D9)^(1/6)-1</f>
        <v>0.112909742792013</v>
      </c>
      <c r="L5" s="11" t="n">
        <f aca="false">Tiger!K127</f>
        <v>0.900084686790394</v>
      </c>
      <c r="M5" s="11" t="n">
        <f aca="false">Tiger!K129</f>
        <v>0.0425907906921654</v>
      </c>
      <c r="N5" s="11" t="n">
        <f aca="false">Tiger!K200</f>
        <v>0</v>
      </c>
      <c r="O5" s="11" t="n">
        <f aca="false">Tiger!K199</f>
        <v>0.534417996795063</v>
      </c>
      <c r="P5" s="11" t="n">
        <f aca="false">Tiger!K195</f>
        <v>0.0668501074764022</v>
      </c>
      <c r="Q5" s="11" t="n">
        <f aca="false">Tiger!K121</f>
        <v>0.0296294891022505</v>
      </c>
    </row>
    <row r="6" customFormat="false" ht="48" hidden="false" customHeight="true" outlineLevel="0" collapsed="false">
      <c r="A6" s="8" t="n">
        <v>2</v>
      </c>
      <c r="B6" s="8" t="s">
        <v>56</v>
      </c>
      <c r="C6" s="8" t="s">
        <v>57</v>
      </c>
      <c r="D6" s="8" t="s">
        <v>58</v>
      </c>
      <c r="E6" s="8" t="s">
        <v>59</v>
      </c>
      <c r="F6" s="8" t="s">
        <v>60</v>
      </c>
      <c r="G6" s="9" t="str">
        <f aca="false">IF(P6&gt;=MEDIAN($P$5:$P$14),"Asset-heavy","Asset-light")</f>
        <v>Asset-heavy</v>
      </c>
      <c r="H6" s="10" t="n">
        <f aca="false">Allcargo!J9</f>
        <v>2058</v>
      </c>
      <c r="I6" s="10" t="n">
        <f aca="false">Allcargo!J35</f>
        <v>1736</v>
      </c>
      <c r="J6" s="10" t="n">
        <f aca="false">Allcargo!J69</f>
        <v>1075.4204</v>
      </c>
      <c r="K6" s="11" t="n">
        <f aca="false">(Allcargo!J9/Allcargo!D9)^(1/6)-1</f>
        <v>-0.191096509123018</v>
      </c>
      <c r="L6" s="11" t="n">
        <f aca="false">Allcargo!K127</f>
        <v>0.763690757005963</v>
      </c>
      <c r="M6" s="11" t="n">
        <f aca="false">Allcargo!K129</f>
        <v>0.119427940591755</v>
      </c>
      <c r="N6" s="11" t="n">
        <f aca="false">Allcargo!K200</f>
        <v>0.000638590786936849</v>
      </c>
      <c r="O6" s="11" t="n">
        <f aca="false">Allcargo!K199</f>
        <v>0.270016523231077</v>
      </c>
      <c r="P6" s="11" t="n">
        <f aca="false">Allcargo!K195</f>
        <v>0.392147475830956</v>
      </c>
      <c r="Q6" s="11" t="n">
        <f aca="false">Allcargo!K121</f>
        <v>0.0736079812006185</v>
      </c>
    </row>
    <row r="7" customFormat="false" ht="48" hidden="false" customHeight="true" outlineLevel="0" collapsed="false">
      <c r="A7" s="8" t="n">
        <v>3</v>
      </c>
      <c r="B7" s="8" t="s">
        <v>61</v>
      </c>
      <c r="C7" s="8" t="s">
        <v>62</v>
      </c>
      <c r="D7" s="8" t="s">
        <v>63</v>
      </c>
      <c r="E7" s="8" t="s">
        <v>64</v>
      </c>
      <c r="F7" s="8" t="s">
        <v>65</v>
      </c>
      <c r="G7" s="9" t="str">
        <f aca="false">IF(P7&gt;=MEDIAN($P$5:$P$14),"Asset-heavy","Asset-light")</f>
        <v>Asset-heavy</v>
      </c>
      <c r="H7" s="10" t="n">
        <f aca="false">BlueDart!J9</f>
        <v>6140.88</v>
      </c>
      <c r="I7" s="10" t="n">
        <f aca="false">BlueDart!J35</f>
        <v>4126.85</v>
      </c>
      <c r="J7" s="10" t="n">
        <f aca="false">BlueDart!J69</f>
        <v>11250.39</v>
      </c>
      <c r="K7" s="11" t="n">
        <f aca="false">(BlueDart!J9/BlueDart!D9)^(1/6)-1</f>
        <v>0.116207277972064</v>
      </c>
      <c r="L7" s="11" t="n">
        <f aca="false">BlueDart!K127</f>
        <v>0.574134449053109</v>
      </c>
      <c r="M7" s="11" t="n">
        <f aca="false">BlueDart!K129</f>
        <v>0.18587755588412</v>
      </c>
      <c r="N7" s="11" t="n">
        <f aca="false">BlueDart!K200</f>
        <v>0.0126238210289461</v>
      </c>
      <c r="O7" s="11" t="n">
        <f aca="false">BlueDart!K199</f>
        <v>0.20174168268646</v>
      </c>
      <c r="P7" s="11" t="n">
        <f aca="false">BlueDart!K195</f>
        <v>0.520808473781033</v>
      </c>
      <c r="Q7" s="11" t="n">
        <f aca="false">BlueDart!K121</f>
        <v>0.176589920097321</v>
      </c>
    </row>
    <row r="8" customFormat="false" ht="48" hidden="false" customHeight="true" outlineLevel="0" collapsed="false">
      <c r="A8" s="8" t="n">
        <v>4</v>
      </c>
      <c r="B8" s="8" t="s">
        <v>66</v>
      </c>
      <c r="C8" s="8" t="s">
        <v>67</v>
      </c>
      <c r="D8" s="8" t="s">
        <v>68</v>
      </c>
      <c r="E8" s="8" t="s">
        <v>69</v>
      </c>
      <c r="F8" s="8" t="s">
        <v>70</v>
      </c>
      <c r="G8" s="9" t="str">
        <f aca="false">IF(P8&gt;=MEDIAN($P$5:$P$14),"Asset-heavy","Asset-light")</f>
        <v>Asset-heavy</v>
      </c>
      <c r="H8" s="10" t="n">
        <f aca="false">CONCOR!J9</f>
        <v>9078.97</v>
      </c>
      <c r="I8" s="10" t="n">
        <f aca="false">CONCOR!J35</f>
        <v>15175.78</v>
      </c>
      <c r="J8" s="10" t="n">
        <f aca="false">CONCOR!J69</f>
        <v>32390.848</v>
      </c>
      <c r="K8" s="11" t="n">
        <f aca="false">(CONCOR!J9/CONCOR!D9)^(1/6)-1</f>
        <v>0.0564547671940603</v>
      </c>
      <c r="L8" s="11" t="n">
        <f aca="false">CONCOR!K127</f>
        <v>0.65386661205075</v>
      </c>
      <c r="M8" s="11" t="n">
        <f aca="false">CONCOR!K129</f>
        <v>0.0555414601712696</v>
      </c>
      <c r="N8" s="11" t="n">
        <f aca="false">CONCOR!K200</f>
        <v>0.00283755036112992</v>
      </c>
      <c r="O8" s="11" t="n">
        <f aca="false">CONCOR!K199</f>
        <v>0.0200442134703049</v>
      </c>
      <c r="P8" s="11" t="n">
        <f aca="false">CONCOR!K195</f>
        <v>0.446137920557642</v>
      </c>
      <c r="Q8" s="11" t="n">
        <f aca="false">CONCOR!K121</f>
        <v>0.219710191657969</v>
      </c>
    </row>
    <row r="9" customFormat="false" ht="48" hidden="false" customHeight="true" outlineLevel="0" collapsed="false">
      <c r="A9" s="8" t="n">
        <v>5</v>
      </c>
      <c r="B9" s="8" t="s">
        <v>71</v>
      </c>
      <c r="C9" s="8" t="s">
        <v>72</v>
      </c>
      <c r="D9" s="8" t="s">
        <v>73</v>
      </c>
      <c r="E9" s="8" t="s">
        <v>74</v>
      </c>
      <c r="F9" s="8" t="s">
        <v>55</v>
      </c>
      <c r="G9" s="9" t="str">
        <f aca="false">IF(P9&gt;=MEDIAN($P$5:$P$14),"Asset-heavy","Asset-light")</f>
        <v>Asset-light</v>
      </c>
      <c r="H9" s="10" t="n">
        <f aca="false">JetFreight!J9</f>
        <v>444.08</v>
      </c>
      <c r="I9" s="10" t="n">
        <f aca="false">JetFreight!J35</f>
        <v>194.09</v>
      </c>
      <c r="J9" s="10" t="n">
        <f aca="false">JetFreight!J69</f>
        <v>79.1584</v>
      </c>
      <c r="K9" s="11" t="n">
        <f aca="false">(JetFreight!J9/JetFreight!D9)^(1/6)-1</f>
        <v>0.0676848816292732</v>
      </c>
      <c r="L9" s="11" t="n">
        <f aca="false">JetFreight!K127</f>
        <v>0.924891000474347</v>
      </c>
      <c r="M9" s="11" t="n">
        <f aca="false">JetFreight!K129</f>
        <v>0.0403928709010634</v>
      </c>
      <c r="N9" s="11" t="n">
        <f aca="false">JetFreight!K200</f>
        <v>0</v>
      </c>
      <c r="O9" s="11" t="n">
        <f aca="false">JetFreight!K199</f>
        <v>0.428240637542528</v>
      </c>
      <c r="P9" s="11" t="n">
        <f aca="false">JetFreight!K195</f>
        <v>0.195049243160289</v>
      </c>
      <c r="Q9" s="11" t="n">
        <f aca="false">JetFreight!K121</f>
        <v>0.0204533994732436</v>
      </c>
    </row>
    <row r="10" customFormat="false" ht="48" hidden="false" customHeight="true" outlineLevel="0" collapsed="false">
      <c r="A10" s="8" t="n">
        <v>6</v>
      </c>
      <c r="B10" s="8" t="s">
        <v>75</v>
      </c>
      <c r="C10" s="8" t="s">
        <v>76</v>
      </c>
      <c r="D10" s="8" t="s">
        <v>77</v>
      </c>
      <c r="E10" s="8" t="s">
        <v>78</v>
      </c>
      <c r="F10" s="8" t="s">
        <v>79</v>
      </c>
      <c r="G10" s="9" t="str">
        <f aca="false">IF(P10&gt;=MEDIAN($P$5:$P$14),"Asset-heavy","Asset-light")</f>
        <v>Asset-light</v>
      </c>
      <c r="H10" s="10" t="n">
        <f aca="false">Patel!J9</f>
        <v>357.14</v>
      </c>
      <c r="I10" s="10" t="n">
        <f aca="false">Patel!J35</f>
        <v>163.32</v>
      </c>
      <c r="J10" s="10" t="n">
        <f aca="false">Patel!J69</f>
        <v>57.4896</v>
      </c>
      <c r="K10" s="11" t="n">
        <f aca="false">(Patel!J9/Patel!D9)^(1/6)-1</f>
        <v>0.00461431717758476</v>
      </c>
      <c r="L10" s="11" t="n">
        <f aca="false">Patel!K127</f>
        <v>0.900836735861549</v>
      </c>
      <c r="M10" s="11" t="n">
        <f aca="false">Patel!K129</f>
        <v>0.0465668384421152</v>
      </c>
      <c r="N10" s="11" t="n">
        <f aca="false">Patel!K200</f>
        <v>0</v>
      </c>
      <c r="O10" s="11" t="n">
        <f aca="false">Patel!K199</f>
        <v>0.416783020746283</v>
      </c>
      <c r="P10" s="11" t="n">
        <f aca="false">Patel!K195</f>
        <v>0.282772523259849</v>
      </c>
      <c r="Q10" s="11" t="n">
        <f aca="false">Patel!K121</f>
        <v>0.0290875003340588</v>
      </c>
    </row>
    <row r="11" customFormat="false" ht="48" hidden="false" customHeight="true" outlineLevel="0" collapsed="false">
      <c r="A11" s="8" t="n">
        <v>7</v>
      </c>
      <c r="B11" s="8" t="s">
        <v>80</v>
      </c>
      <c r="C11" s="8" t="s">
        <v>81</v>
      </c>
      <c r="D11" s="8" t="s">
        <v>82</v>
      </c>
      <c r="E11" s="8" t="s">
        <v>83</v>
      </c>
      <c r="F11" s="8" t="s">
        <v>84</v>
      </c>
      <c r="G11" s="9" t="str">
        <f aca="false">IF(P11&gt;=MEDIAN($P$5:$P$14),"Asset-heavy","Asset-light")</f>
        <v>Asset-heavy</v>
      </c>
      <c r="H11" s="10" t="n">
        <f aca="false">Sical!J9</f>
        <v>385.68</v>
      </c>
      <c r="I11" s="10" t="n">
        <f aca="false">Sical!J35</f>
        <v>906.73</v>
      </c>
      <c r="J11" s="10" t="n">
        <f aca="false">Sical!J69</f>
        <v>502.69378</v>
      </c>
      <c r="K11" s="11" t="n">
        <f aca="false">(Sical!J9/Sical!D9)^(1/6)-1</f>
        <v>-0.147653132647043</v>
      </c>
      <c r="L11" s="11" t="n">
        <f aca="false">Sical!K127</f>
        <v>0.770076868587787</v>
      </c>
      <c r="M11" s="11" t="n">
        <f aca="false">Sical!K129</f>
        <v>0.0949751976748492</v>
      </c>
      <c r="N11" s="11" t="n">
        <f aca="false">Sical!K200</f>
        <v>0.00394275990915322</v>
      </c>
      <c r="O11" s="11" t="n">
        <f aca="false">Sical!K199</f>
        <v>0.0880767853325092</v>
      </c>
      <c r="P11" s="11" t="n">
        <f aca="false">Sical!K195</f>
        <v>0.587937647479422</v>
      </c>
      <c r="Q11" s="11" t="n">
        <f aca="false">Sical!K121</f>
        <v>0.0417206117780169</v>
      </c>
    </row>
    <row r="12" customFormat="false" ht="48" hidden="false" customHeight="true" outlineLevel="0" collapsed="false">
      <c r="A12" s="8" t="n">
        <v>8</v>
      </c>
      <c r="B12" s="8" t="s">
        <v>85</v>
      </c>
      <c r="C12" s="8" t="s">
        <v>86</v>
      </c>
      <c r="D12" s="8" t="s">
        <v>87</v>
      </c>
      <c r="E12" s="8" t="s">
        <v>88</v>
      </c>
      <c r="F12" s="8" t="s">
        <v>89</v>
      </c>
      <c r="G12" s="9" t="str">
        <f aca="false">IF(P12&gt;=MEDIAN($P$5:$P$14),"Asset-heavy","Asset-light")</f>
        <v>Asset-heavy</v>
      </c>
      <c r="H12" s="10" t="n">
        <f aca="false">TCI!J9</f>
        <v>4916.77</v>
      </c>
      <c r="I12" s="10" t="n">
        <f aca="false">TCI!J35</f>
        <v>3481.86</v>
      </c>
      <c r="J12" s="10" t="n">
        <f aca="false">TCI!J69</f>
        <v>7079.41</v>
      </c>
      <c r="K12" s="11" t="n">
        <f aca="false">(TCI!J9/TCI!D9)^(1/6)-1</f>
        <v>0.103848150926249</v>
      </c>
      <c r="L12" s="11" t="n">
        <f aca="false">TCI!K127</f>
        <v>0.8143326040833</v>
      </c>
      <c r="M12" s="11" t="n">
        <f aca="false">TCI!K129</f>
        <v>0.0547118090587301</v>
      </c>
      <c r="N12" s="11" t="n">
        <f aca="false">TCI!K200</f>
        <v>0.00367271476174539</v>
      </c>
      <c r="O12" s="11" t="n">
        <f aca="false">TCI!K199</f>
        <v>0.264170015231688</v>
      </c>
      <c r="P12" s="11" t="n">
        <f aca="false">TCI!K195</f>
        <v>0.393136147428326</v>
      </c>
      <c r="Q12" s="11" t="n">
        <f aca="false">TCI!K121</f>
        <v>0.104606363976023</v>
      </c>
    </row>
    <row r="13" customFormat="false" ht="48" hidden="false" customHeight="true" outlineLevel="0" collapsed="false">
      <c r="A13" s="8" t="n">
        <v>9</v>
      </c>
      <c r="B13" s="8" t="s">
        <v>90</v>
      </c>
      <c r="C13" s="8" t="s">
        <v>91</v>
      </c>
      <c r="D13" s="8" t="s">
        <v>92</v>
      </c>
      <c r="E13" s="8" t="s">
        <v>93</v>
      </c>
      <c r="F13" s="8" t="s">
        <v>94</v>
      </c>
      <c r="G13" s="9" t="str">
        <f aca="false">IF(P13&gt;=MEDIAN($P$5:$P$14),"Asset-heavy","Asset-light")</f>
        <v>Asset-light</v>
      </c>
      <c r="H13" s="10" t="n">
        <f aca="false">Shreeji!J9</f>
        <v>234.29</v>
      </c>
      <c r="I13" s="10" t="n">
        <f aca="false">Shreeji!J35</f>
        <v>119.52</v>
      </c>
      <c r="J13" s="10" t="n">
        <f aca="false">Shreeji!J69</f>
        <v>41.1012</v>
      </c>
      <c r="K13" s="11" t="n">
        <f aca="false">(Shreeji!J9/Shreeji!D9)^(1/6)-1</f>
        <v>0.134297159525222</v>
      </c>
      <c r="L13" s="11" t="n">
        <f aca="false">Shreeji!K127</f>
        <v>0.804286740396193</v>
      </c>
      <c r="M13" s="11" t="n">
        <f aca="false">Shreeji!K129</f>
        <v>0.0593678309318563</v>
      </c>
      <c r="N13" s="11" t="n">
        <f aca="false">Shreeji!K200</f>
        <v>0.0259945716837757</v>
      </c>
      <c r="O13" s="11" t="n">
        <f aca="false">Shreeji!K199</f>
        <v>0.500792000858495</v>
      </c>
      <c r="P13" s="11" t="n">
        <f aca="false">Shreeji!K195</f>
        <v>0.256014140039127</v>
      </c>
      <c r="Q13" s="11" t="n">
        <f aca="false">Shreeji!K121</f>
        <v>0.0721030232812661</v>
      </c>
    </row>
    <row r="14" customFormat="false" ht="48" hidden="false" customHeight="true" outlineLevel="0" collapsed="false">
      <c r="A14" s="8" t="n">
        <v>10</v>
      </c>
      <c r="B14" s="8" t="s">
        <v>95</v>
      </c>
      <c r="C14" s="8" t="s">
        <v>96</v>
      </c>
      <c r="D14" s="8" t="s">
        <v>97</v>
      </c>
      <c r="E14" s="8" t="s">
        <v>98</v>
      </c>
      <c r="F14" s="8" t="s">
        <v>99</v>
      </c>
      <c r="G14" s="9" t="str">
        <f aca="false">IF(P14&gt;=MEDIAN($P$5:$P$14),"Asset-heavy","Asset-light")</f>
        <v>Asset-light</v>
      </c>
      <c r="H14" s="10" t="n">
        <f aca="false">MahindraLog!J9</f>
        <v>6999.3</v>
      </c>
      <c r="I14" s="10" t="n">
        <f aca="false">MahindraLog!J35</f>
        <v>3105.01</v>
      </c>
      <c r="J14" s="10" t="n">
        <f aca="false">MahindraLog!J69</f>
        <v>3301.376</v>
      </c>
      <c r="K14" s="11" t="n">
        <f aca="false">(MahindraLog!J9/MahindraLog!D9)^(1/6)-1</f>
        <v>0.123993361855835</v>
      </c>
      <c r="L14" s="11" t="n">
        <f aca="false">MahindraLog!K127</f>
        <v>0.856153378588611</v>
      </c>
      <c r="M14" s="11" t="n">
        <f aca="false">MahindraLog!K129</f>
        <v>0.0749994402415881</v>
      </c>
      <c r="N14" s="11" t="n">
        <f aca="false">MahindraLog!K200</f>
        <v>0.000126355501958187</v>
      </c>
      <c r="O14" s="11" t="n">
        <f aca="false">MahindraLog!K199</f>
        <v>0.2736403332824</v>
      </c>
      <c r="P14" s="11" t="n">
        <f aca="false">MahindraLog!K195</f>
        <v>0.288887729129397</v>
      </c>
      <c r="Q14" s="11" t="n">
        <f aca="false">MahindraLog!K121</f>
        <v>0.046407246628758</v>
      </c>
    </row>
    <row r="15" customFormat="false" ht="15" hidden="false" customHeight="false" outlineLevel="0" collapsed="false">
      <c r="B15" s="12" t="s">
        <v>100</v>
      </c>
      <c r="H15" s="13" t="n">
        <f aca="false">MEDIAN(H5:H14)</f>
        <v>1315.41</v>
      </c>
      <c r="I15" s="13" t="n">
        <f aca="false">MEDIAN(I5:I14)</f>
        <v>1321.365</v>
      </c>
      <c r="J15" s="13" t="n">
        <f aca="false">MEDIAN(J5:J14)</f>
        <v>789.05709</v>
      </c>
      <c r="K15" s="14" t="n">
        <f aca="false">MEDIAN(K5:K14)</f>
        <v>0.085766516277761</v>
      </c>
      <c r="L15" s="14" t="n">
        <f aca="false">MEDIAN(L5:L14)</f>
        <v>0.809309672239746</v>
      </c>
      <c r="M15" s="14" t="n">
        <f aca="false">MEDIAN(M5:M14)</f>
        <v>0.057454645551563</v>
      </c>
      <c r="N15" s="14" t="n">
        <f aca="false">MEDIAN(N5:N14)</f>
        <v>0.00173807057403338</v>
      </c>
      <c r="O15" s="14" t="n">
        <f aca="false">MEDIAN(O5:O14)</f>
        <v>0.271828428256738</v>
      </c>
      <c r="P15" s="14" t="n">
        <f aca="false">MEDIAN(P5:P14)</f>
        <v>0.340517602480177</v>
      </c>
      <c r="Q15" s="14" t="n">
        <f aca="false">MEDIAN(Q5:Q14)</f>
        <v>0.0592551349550121</v>
      </c>
    </row>
    <row r="16" customFormat="false" ht="15" hidden="false" customHeight="false" outlineLevel="0" collapsed="false">
      <c r="B16" s="12" t="s">
        <v>101</v>
      </c>
      <c r="H16" s="13" t="n">
        <f aca="false">AVERAGE(H5:H14)</f>
        <v>3118.793</v>
      </c>
      <c r="I16" s="13" t="n">
        <f aca="false">AVERAGE(I5:I14)</f>
        <v>2927.178</v>
      </c>
      <c r="J16" s="13" t="n">
        <f aca="false">AVERAGE(J5:J14)</f>
        <v>5603.051038</v>
      </c>
      <c r="K16" s="14" t="n">
        <f aca="false">AVERAGE(K5:K14)</f>
        <v>0.038126001730224</v>
      </c>
      <c r="L16" s="14" t="n">
        <f aca="false">AVERAGE(L5:L14)</f>
        <v>0.7962353832892</v>
      </c>
      <c r="M16" s="14" t="n">
        <f aca="false">AVERAGE(M5:M14)</f>
        <v>0.0774451734589512</v>
      </c>
      <c r="N16" s="14" t="n">
        <f aca="false">AVERAGE(N5:N14)</f>
        <v>0.00498363640336453</v>
      </c>
      <c r="O16" s="14" t="n">
        <f aca="false">AVERAGE(O5:O14)</f>
        <v>0.299792320917681</v>
      </c>
      <c r="P16" s="14" t="n">
        <f aca="false">AVERAGE(P5:P14)</f>
        <v>0.342974140814244</v>
      </c>
      <c r="Q16" s="14" t="n">
        <f aca="false">AVERAGE(Q5:Q14)</f>
        <v>0.0813915727529525</v>
      </c>
    </row>
    <row r="17" customFormat="false" ht="15" hidden="false" customHeight="false" outlineLevel="0" collapsed="false">
      <c r="B17" s="12" t="s">
        <v>102</v>
      </c>
      <c r="H17" s="13" t="n">
        <f aca="false">MIN(H5:H14)</f>
        <v>234.29</v>
      </c>
      <c r="I17" s="13" t="n">
        <f aca="false">MIN(I5:I14)</f>
        <v>119.52</v>
      </c>
      <c r="J17" s="13" t="n">
        <f aca="false">MIN(J5:J14)</f>
        <v>41.1012</v>
      </c>
      <c r="K17" s="14" t="n">
        <f aca="false">MIN(K5:K14)</f>
        <v>-0.191096509123018</v>
      </c>
      <c r="L17" s="14" t="n">
        <f aca="false">MIN(L5:L14)</f>
        <v>0.574134449053109</v>
      </c>
      <c r="M17" s="14" t="n">
        <f aca="false">MIN(M5:M14)</f>
        <v>0.0403928709010634</v>
      </c>
      <c r="N17" s="14" t="n">
        <f aca="false">MIN(N5:N14)</f>
        <v>0</v>
      </c>
      <c r="O17" s="14" t="n">
        <f aca="false">MIN(O5:O14)</f>
        <v>0.0200442134703049</v>
      </c>
      <c r="P17" s="14" t="n">
        <f aca="false">MIN(P5:P14)</f>
        <v>0.0668501074764022</v>
      </c>
      <c r="Q17" s="14" t="n">
        <f aca="false">MIN(Q5:Q14)</f>
        <v>0.0204533994732436</v>
      </c>
    </row>
    <row r="18" customFormat="false" ht="15" hidden="false" customHeight="false" outlineLevel="0" collapsed="false">
      <c r="B18" s="12" t="s">
        <v>103</v>
      </c>
      <c r="H18" s="13" t="n">
        <f aca="false">MAX(H5:H14)</f>
        <v>9078.97</v>
      </c>
      <c r="I18" s="13" t="n">
        <f aca="false">MAX(I5:I14)</f>
        <v>15175.78</v>
      </c>
      <c r="J18" s="13" t="n">
        <f aca="false">MAX(J5:J14)</f>
        <v>32390.848</v>
      </c>
      <c r="K18" s="14" t="n">
        <f aca="false">MAX(K5:K14)</f>
        <v>0.134297159525222</v>
      </c>
      <c r="L18" s="14" t="n">
        <f aca="false">MAX(L5:L14)</f>
        <v>0.924891000474347</v>
      </c>
      <c r="M18" s="14" t="n">
        <f aca="false">MAX(M5:M14)</f>
        <v>0.18587755588412</v>
      </c>
      <c r="N18" s="14" t="n">
        <f aca="false">MAX(N5:N14)</f>
        <v>0.0259945716837757</v>
      </c>
      <c r="O18" s="14" t="n">
        <f aca="false">MAX(O5:O14)</f>
        <v>0.534417996795063</v>
      </c>
      <c r="P18" s="14" t="n">
        <f aca="false">MAX(P5:P14)</f>
        <v>0.587937647479422</v>
      </c>
      <c r="Q18" s="14" t="n">
        <f aca="false">MAX(Q5:Q14)</f>
        <v>0.219710191657969</v>
      </c>
    </row>
    <row r="19" customFormat="false" ht="15" hidden="false" customHeight="false" outlineLevel="0" collapsed="false">
      <c r="B19" s="12" t="s">
        <v>104</v>
      </c>
      <c r="H19" s="15" t="n">
        <f aca="false">STDEV(H5:H14)/AVERAGE(H5:H14)</f>
        <v>1.07479060228286</v>
      </c>
      <c r="I19" s="15" t="n">
        <f aca="false">STDEV(I5:I14)/AVERAGE(I5:I14)</f>
        <v>1.55888355347722</v>
      </c>
      <c r="J19" s="15" t="n">
        <f aca="false">STDEV(J5:J14)/AVERAGE(J5:J14)</f>
        <v>1.80867343112516</v>
      </c>
      <c r="K19" s="15" t="n">
        <f aca="false">STDEV(K5:K14)/AVERAGE(K5:K14)</f>
        <v>3.05403209869752</v>
      </c>
      <c r="L19" s="15" t="n">
        <f aca="false">STDEV(L5:L14)/AVERAGE(L5:L14)</f>
        <v>0.141101055727846</v>
      </c>
      <c r="M19" s="15" t="n">
        <f aca="false">STDEV(M5:M14)/AVERAGE(M5:M14)</f>
        <v>0.588547463152672</v>
      </c>
      <c r="N19" s="15" t="n">
        <f aca="false">STDEV(N5:N14)/AVERAGE(N5:N14)</f>
        <v>1.6710979672336</v>
      </c>
      <c r="O19" s="15" t="n">
        <f aca="false">STDEV(O5:O14)/AVERAGE(O5:O14)</f>
        <v>0.568226307681612</v>
      </c>
      <c r="P19" s="15" t="n">
        <f aca="false">STDEV(P5:P14)/AVERAGE(P5:P14)</f>
        <v>0.455283849165172</v>
      </c>
      <c r="Q19" s="15" t="n">
        <f aca="false">STDEV(Q5:Q14)/AVERAGE(Q5:Q14)</f>
        <v>0.827304169842387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14" min="3" style="0" width="11"/>
  </cols>
  <sheetData>
    <row r="1" customFormat="false" ht="16.15" hidden="false" customHeight="false" outlineLevel="0" collapsed="false">
      <c r="A1" s="5" t="s">
        <v>105</v>
      </c>
    </row>
    <row r="2" customFormat="false" ht="15" hidden="false" customHeight="false" outlineLevel="0" collapsed="false">
      <c r="A2" s="6" t="s">
        <v>106</v>
      </c>
    </row>
    <row r="4" customFormat="false" ht="15" hidden="false" customHeight="false" outlineLevel="0" collapsed="false">
      <c r="A4" s="16" t="s">
        <v>107</v>
      </c>
      <c r="B4" s="17"/>
      <c r="C4" s="17"/>
      <c r="D4" s="17"/>
      <c r="E4" s="17"/>
      <c r="F4" s="17"/>
      <c r="G4" s="17"/>
      <c r="H4" s="17"/>
      <c r="I4" s="17"/>
      <c r="J4" s="17"/>
      <c r="K4" s="17"/>
      <c r="L4" s="17"/>
      <c r="M4" s="17"/>
      <c r="N4" s="17"/>
    </row>
    <row r="5" customFormat="false" ht="30" hidden="false" customHeight="true" outlineLevel="0" collapsed="false">
      <c r="A5" s="7" t="s">
        <v>108</v>
      </c>
      <c r="B5" s="7" t="s">
        <v>109</v>
      </c>
      <c r="C5" s="7" t="s">
        <v>110</v>
      </c>
      <c r="D5" s="7" t="s">
        <v>111</v>
      </c>
      <c r="E5" s="7" t="s">
        <v>112</v>
      </c>
      <c r="F5" s="7" t="s">
        <v>67</v>
      </c>
      <c r="G5" s="7" t="s">
        <v>113</v>
      </c>
      <c r="H5" s="7" t="s">
        <v>114</v>
      </c>
      <c r="I5" s="7" t="s">
        <v>115</v>
      </c>
      <c r="J5" s="7" t="s">
        <v>86</v>
      </c>
      <c r="K5" s="7" t="s">
        <v>116</v>
      </c>
      <c r="L5" s="7" t="s">
        <v>117</v>
      </c>
      <c r="M5" s="7" t="s">
        <v>118</v>
      </c>
      <c r="N5" s="7" t="s">
        <v>100</v>
      </c>
    </row>
    <row r="6" customFormat="false" ht="15" hidden="false" customHeight="false" outlineLevel="0" collapsed="false">
      <c r="A6" s="18" t="s">
        <v>119</v>
      </c>
      <c r="B6" s="19" t="s">
        <v>120</v>
      </c>
      <c r="C6" s="20" t="n">
        <f aca="false">Tiger!J80</f>
        <v>4.61705814401232</v>
      </c>
      <c r="D6" s="20" t="n">
        <f aca="false">Allcargo!J80</f>
        <v>2.02558635394456</v>
      </c>
      <c r="E6" s="20" t="n">
        <f aca="false">BlueDart!J80</f>
        <v>1.36741383306294</v>
      </c>
      <c r="F6" s="20" t="n">
        <f aca="false">CONCOR!J80</f>
        <v>4.75113881752124</v>
      </c>
      <c r="G6" s="20" t="n">
        <f aca="false">JetFreight!J80</f>
        <v>3.58818547533347</v>
      </c>
      <c r="H6" s="20" t="n">
        <f aca="false">Patel!J80</f>
        <v>3.3649373881932</v>
      </c>
      <c r="I6" s="20" t="n">
        <f aca="false">Sical!J80</f>
        <v>1.14025965081442</v>
      </c>
      <c r="J6" s="20" t="n">
        <f aca="false">TCI!J80</f>
        <v>2.41828094188609</v>
      </c>
      <c r="K6" s="20" t="n">
        <f aca="false">Shreeji!J80</f>
        <v>4.77197518097208</v>
      </c>
      <c r="L6" s="20" t="n">
        <f aca="false">MahindraLog!J80</f>
        <v>1.41224384605773</v>
      </c>
      <c r="M6" s="21" t="n">
        <f aca="false">Industry!J80</f>
        <v>2.43605627070938</v>
      </c>
      <c r="N6" s="22" t="n">
        <f aca="false">IFERROR(MEDIAN(C6:L6),"N/M")</f>
        <v>2.89160916503965</v>
      </c>
    </row>
    <row r="7" customFormat="false" ht="15" hidden="false" customHeight="false" outlineLevel="0" collapsed="false">
      <c r="A7" s="18" t="s">
        <v>121</v>
      </c>
      <c r="B7" s="19" t="s">
        <v>120</v>
      </c>
      <c r="C7" s="20" t="n">
        <f aca="false">Tiger!J81</f>
        <v>3.89834424335772</v>
      </c>
      <c r="D7" s="20" t="n">
        <f aca="false">Allcargo!J81</f>
        <v>1.19402985074627</v>
      </c>
      <c r="E7" s="20" t="n">
        <f aca="false">BlueDart!J81</f>
        <v>0.957876700989968</v>
      </c>
      <c r="F7" s="20" t="n">
        <f aca="false">CONCOR!J81</f>
        <v>3.13060542534243</v>
      </c>
      <c r="G7" s="20" t="n">
        <f aca="false">JetFreight!J81</f>
        <v>2.36459877196697</v>
      </c>
      <c r="H7" s="20" t="n">
        <f aca="false">Patel!J81</f>
        <v>2.96988670244484</v>
      </c>
      <c r="I7" s="20" t="n">
        <f aca="false">Sical!J81</f>
        <v>0.557594958504081</v>
      </c>
      <c r="J7" s="20" t="n">
        <f aca="false">TCI!J81</f>
        <v>1.54044111554841</v>
      </c>
      <c r="K7" s="20" t="n">
        <f aca="false">Shreeji!J81</f>
        <v>4.17735263702172</v>
      </c>
      <c r="L7" s="20" t="n">
        <f aca="false">MahindraLog!J81</f>
        <v>0.694380232412845</v>
      </c>
      <c r="M7" s="21" t="n">
        <f aca="false">Industry!J81</f>
        <v>1.54859389610365</v>
      </c>
      <c r="N7" s="22" t="n">
        <f aca="false">IFERROR(MEDIAN(C7:L7),"N/M")</f>
        <v>1.95251994375769</v>
      </c>
    </row>
    <row r="8" customFormat="false" ht="15" hidden="false" customHeight="false" outlineLevel="0" collapsed="false">
      <c r="A8" s="18" t="s">
        <v>122</v>
      </c>
      <c r="B8" s="19" t="s">
        <v>120</v>
      </c>
      <c r="C8" s="20" t="n">
        <f aca="false">Tiger!J84</f>
        <v>-0.339237581825183</v>
      </c>
      <c r="D8" s="20" t="n">
        <f aca="false">Allcargo!J84</f>
        <v>0.669509594882729</v>
      </c>
      <c r="E8" s="20" t="n">
        <f aca="false">BlueDart!J84</f>
        <v>0.670670132106082</v>
      </c>
      <c r="F8" s="20" t="n">
        <f aca="false">CONCOR!J84</f>
        <v>1.16815881972794</v>
      </c>
      <c r="G8" s="20" t="n">
        <f aca="false">JetFreight!J84</f>
        <v>-0.153504128731738</v>
      </c>
      <c r="H8" s="20" t="n">
        <f aca="false">Patel!J84</f>
        <v>0.23613595706619</v>
      </c>
      <c r="I8" s="20" t="n">
        <f aca="false">Sical!J84</f>
        <v>0.180137057061194</v>
      </c>
      <c r="J8" s="20" t="n">
        <f aca="false">TCI!J84</f>
        <v>0.736391204202363</v>
      </c>
      <c r="K8" s="20" t="n">
        <f aca="false">Shreeji!J84</f>
        <v>0.030506721820062</v>
      </c>
      <c r="L8" s="20" t="n">
        <f aca="false">MahindraLog!J84</f>
        <v>0.198058540547295</v>
      </c>
      <c r="M8" s="21" t="n">
        <f aca="false">Industry!J84</f>
        <v>0.633572757602369</v>
      </c>
      <c r="N8" s="22" t="n">
        <f aca="false">IFERROR(MEDIAN(C8:L8),"N/M")</f>
        <v>0.217097248806742</v>
      </c>
    </row>
    <row r="9" customFormat="false" ht="15" hidden="false" customHeight="false" outlineLevel="0" collapsed="false">
      <c r="A9" s="18" t="s">
        <v>123</v>
      </c>
      <c r="B9" s="19" t="s">
        <v>124</v>
      </c>
      <c r="C9" s="20" t="n">
        <f aca="false">Tiger!J87</f>
        <v>0.316914614326791</v>
      </c>
      <c r="D9" s="20" t="n">
        <f aca="false">Allcargo!J87</f>
        <v>1.20731707317073</v>
      </c>
      <c r="E9" s="20" t="n">
        <f aca="false">BlueDart!J87</f>
        <v>0.642661368842264</v>
      </c>
      <c r="F9" s="20" t="n">
        <f aca="false">CONCOR!J87</f>
        <v>0.0745281961931179</v>
      </c>
      <c r="G9" s="20" t="n">
        <f aca="false">JetFreight!J87</f>
        <v>1.01758483308147</v>
      </c>
      <c r="H9" s="20" t="n">
        <f aca="false">Patel!J87</f>
        <v>0.0506800518134715</v>
      </c>
      <c r="I9" s="20" t="n">
        <f aca="false">Sical!J87</f>
        <v>3.69449310686267</v>
      </c>
      <c r="J9" s="20" t="n">
        <f aca="false">TCI!J87</f>
        <v>0.121746382487851</v>
      </c>
      <c r="K9" s="20" t="n">
        <f aca="false">Shreeji!J87</f>
        <v>0.666611212776576</v>
      </c>
      <c r="L9" s="20" t="n">
        <f aca="false">MahindraLog!J87</f>
        <v>0.553082279235261</v>
      </c>
      <c r="M9" s="21" t="n">
        <f aca="false">Industry!J87</f>
        <v>0.225607763190417</v>
      </c>
      <c r="N9" s="22" t="n">
        <f aca="false">IFERROR(MEDIAN(C9:L9),"N/M")</f>
        <v>0.597871824038763</v>
      </c>
    </row>
    <row r="10" customFormat="false" ht="15" hidden="false" customHeight="false" outlineLevel="0" collapsed="false">
      <c r="A10" s="18" t="s">
        <v>125</v>
      </c>
      <c r="B10" s="19" t="s">
        <v>124</v>
      </c>
      <c r="C10" s="23" t="n">
        <f aca="false">Tiger!J91</f>
        <v>0.609169141725687</v>
      </c>
      <c r="D10" s="23" t="n">
        <f aca="false">Allcargo!J91</f>
        <v>0.330645161290323</v>
      </c>
      <c r="E10" s="23" t="n">
        <f aca="false">BlueDart!J91</f>
        <v>0.430553569914099</v>
      </c>
      <c r="F10" s="23" t="n">
        <f aca="false">CONCOR!J91</f>
        <v>0.852829310915156</v>
      </c>
      <c r="G10" s="23" t="n">
        <f aca="false">JetFreight!J91</f>
        <v>0.375032201555979</v>
      </c>
      <c r="H10" s="23" t="n">
        <f aca="false">Patel!J91</f>
        <v>0.756306637276513</v>
      </c>
      <c r="I10" s="23" t="n">
        <f aca="false">Sical!J91</f>
        <v>0.144795032699922</v>
      </c>
      <c r="J10" s="23" t="n">
        <f aca="false">TCI!J91</f>
        <v>0.736959556099326</v>
      </c>
      <c r="K10" s="23" t="n">
        <f aca="false">Shreeji!J91</f>
        <v>0.502928380187416</v>
      </c>
      <c r="L10" s="23" t="n">
        <f aca="false">MahindraLog!J91</f>
        <v>0.378349828180908</v>
      </c>
      <c r="M10" s="24" t="n">
        <f aca="false">Industry!J91</f>
        <v>0.668959660123163</v>
      </c>
      <c r="N10" s="25" t="n">
        <f aca="false">IFERROR(MEDIAN(C10:L10),"N/M")</f>
        <v>0.466740975050758</v>
      </c>
    </row>
    <row r="11" customFormat="false" ht="15" hidden="false" customHeight="false" outlineLevel="0" collapsed="false">
      <c r="A11" s="18" t="s">
        <v>126</v>
      </c>
      <c r="B11" s="19" t="s">
        <v>124</v>
      </c>
      <c r="C11" s="20" t="n">
        <f aca="false">Tiger!J93</f>
        <v>1.4334181509754</v>
      </c>
      <c r="D11" s="20" t="n">
        <f aca="false">Allcargo!J93</f>
        <v>2.56666666666667</v>
      </c>
      <c r="E11" s="20" t="n">
        <f aca="false">BlueDart!J93</f>
        <v>1.20395166902136</v>
      </c>
      <c r="F11" s="20" t="n">
        <f aca="false">CONCOR!J93</f>
        <v>0.411360311834973</v>
      </c>
      <c r="G11" s="20" t="n">
        <f aca="false">JetFreight!J93</f>
        <v>3.61317073170732</v>
      </c>
      <c r="H11" s="20" t="n">
        <f aca="false">Patel!J93</f>
        <v>0.473883421650265</v>
      </c>
      <c r="I11" s="20" t="n">
        <f aca="false">Sical!J93</f>
        <v>2.83987119437939</v>
      </c>
      <c r="J11" s="20" t="n">
        <f aca="false">TCI!J93</f>
        <v>0.4806301732361</v>
      </c>
      <c r="K11" s="20" t="n">
        <f aca="false">Shreeji!J93</f>
        <v>3.41894197952218</v>
      </c>
      <c r="L11" s="20" t="n">
        <f aca="false">MahindraLog!J93</f>
        <v>1.68307214091439</v>
      </c>
      <c r="M11" s="21" t="n">
        <f aca="false">Industry!J93</f>
        <v>0.910707659577977</v>
      </c>
      <c r="N11" s="22" t="n">
        <f aca="false">IFERROR(MEDIAN(C11:L11),"N/M")</f>
        <v>1.5582451459449</v>
      </c>
    </row>
    <row r="12" customFormat="false" ht="15" hidden="false" customHeight="false" outlineLevel="0" collapsed="false">
      <c r="A12" s="18" t="s">
        <v>127</v>
      </c>
      <c r="B12" s="19" t="s">
        <v>128</v>
      </c>
      <c r="C12" s="20" t="n">
        <f aca="false">Tiger!J96</f>
        <v>6.52941176470588</v>
      </c>
      <c r="D12" s="20" t="n">
        <f aca="false">Allcargo!J96</f>
        <v>1.06451612903226</v>
      </c>
      <c r="E12" s="20" t="n">
        <f aca="false">BlueDart!J96</f>
        <v>4.81539000467071</v>
      </c>
      <c r="F12" s="20" t="n">
        <f aca="false">CONCOR!J96</f>
        <v>22.0208837386986</v>
      </c>
      <c r="G12" s="20" t="n">
        <f aca="false">JetFreight!J96</f>
        <v>2.65571428571429</v>
      </c>
      <c r="H12" s="20" t="n">
        <f aca="false">Patel!J96</f>
        <v>30.4571428571429</v>
      </c>
      <c r="I12" s="20" t="n">
        <f aca="false">Sical!J96</f>
        <v>1.79269647320189</v>
      </c>
      <c r="J12" s="20" t="n">
        <f aca="false">TCI!J96</f>
        <v>22.9346204475647</v>
      </c>
      <c r="K12" s="20" t="n">
        <f aca="false">Shreeji!J96</f>
        <v>1.85576923076923</v>
      </c>
      <c r="L12" s="20" t="n">
        <f aca="false">MahindraLog!J96</f>
        <v>1.44201546254332</v>
      </c>
      <c r="M12" s="21" t="n">
        <f aca="false">Industry!J96</f>
        <v>7.36237220795581</v>
      </c>
      <c r="N12" s="22" t="n">
        <f aca="false">IFERROR(MEDIAN(C12:L12),"N/M")</f>
        <v>3.7355521451925</v>
      </c>
    </row>
    <row r="13" customFormat="false" ht="15" hidden="false" customHeight="false" outlineLevel="0" collapsed="false">
      <c r="A13" s="18" t="s">
        <v>129</v>
      </c>
      <c r="B13" s="19" t="s">
        <v>128</v>
      </c>
      <c r="C13" s="20" t="n">
        <f aca="false">Tiger!J102</f>
        <v>5.26565464895636</v>
      </c>
      <c r="D13" s="20" t="n">
        <f aca="false">Allcargo!J102</f>
        <v>1.82666666666667</v>
      </c>
      <c r="E13" s="20" t="n">
        <f aca="false">BlueDart!J102</f>
        <v>10.1482951891639</v>
      </c>
      <c r="F13" s="20" t="n">
        <f aca="false">CONCOR!J102</f>
        <v>24.6512160957596</v>
      </c>
      <c r="G13" s="20" t="n">
        <f aca="false">JetFreight!J102</f>
        <v>2.24428571428571</v>
      </c>
      <c r="H13" s="20" t="n">
        <f aca="false">Patel!J102</f>
        <v>1.74581005586592</v>
      </c>
      <c r="I13" s="20" t="n">
        <f aca="false">Sical!J102</f>
        <v>0.836833187862608</v>
      </c>
      <c r="J13" s="20" t="n">
        <f aca="false">TCI!J102</f>
        <v>26.6055287406757</v>
      </c>
      <c r="K13" s="20" t="n">
        <f aca="false">Shreeji!J102</f>
        <v>2.00353982300885</v>
      </c>
      <c r="L13" s="20" t="n">
        <f aca="false">MahindraLog!J102</f>
        <v>1.20788981465737</v>
      </c>
      <c r="M13" s="21" t="n">
        <f aca="false">Industry!J102</f>
        <v>5.01933338034459</v>
      </c>
      <c r="N13" s="22" t="n">
        <f aca="false">IFERROR(MEDIAN(C13:L13),"N/M")</f>
        <v>2.12391276864728</v>
      </c>
    </row>
    <row r="14" customFormat="false" ht="15" hidden="false" customHeight="false" outlineLevel="0" collapsed="false">
      <c r="A14" s="18" t="s">
        <v>130</v>
      </c>
      <c r="B14" s="19" t="s">
        <v>131</v>
      </c>
      <c r="C14" s="26" t="n">
        <f aca="false">Tiger!J108</f>
        <v>84.0177979120841</v>
      </c>
      <c r="D14" s="26" t="n">
        <f aca="false">Allcargo!J108</f>
        <v>71.2973760932945</v>
      </c>
      <c r="E14" s="26" t="n">
        <f aca="false">BlueDart!J108</f>
        <v>50.6510548976694</v>
      </c>
      <c r="F14" s="26" t="n">
        <f aca="false">CONCOR!J108</f>
        <v>17.7889342072944</v>
      </c>
      <c r="G14" s="26" t="n">
        <f aca="false">JetFreight!J108</f>
        <v>71.9841019636102</v>
      </c>
      <c r="H14" s="26" t="n">
        <f aca="false">Patel!J108</f>
        <v>71.6274430195442</v>
      </c>
      <c r="I14" s="26" t="n">
        <f aca="false">Sical!J108</f>
        <v>79.5338104127774</v>
      </c>
      <c r="J14" s="26" t="n">
        <f aca="false">TCI!J108</f>
        <v>57.0980389564694</v>
      </c>
      <c r="K14" s="26" t="n">
        <f aca="false">Shreeji!J108</f>
        <v>105.555401425584</v>
      </c>
      <c r="L14" s="26" t="n">
        <f aca="false">MahindraLog!J108</f>
        <v>34.279274356007</v>
      </c>
      <c r="M14" s="27" t="n">
        <f aca="false">Industry!J108</f>
        <v>41.7156917756324</v>
      </c>
      <c r="N14" s="28" t="n">
        <f aca="false">IFERROR(MEDIAN(C14:L14),"N/M")</f>
        <v>71.4624095564193</v>
      </c>
    </row>
    <row r="15" customFormat="false" ht="15" hidden="false" customHeight="false" outlineLevel="0" collapsed="false">
      <c r="A15" s="18" t="s">
        <v>132</v>
      </c>
      <c r="B15" s="19" t="s">
        <v>131</v>
      </c>
      <c r="C15" s="20" t="n">
        <f aca="false">Tiger!J112</f>
        <v>61.2314270443613</v>
      </c>
      <c r="D15" s="20" t="n">
        <f aca="false">Allcargo!J112</f>
        <v>2.66926070038911</v>
      </c>
      <c r="E15" s="20" t="n">
        <f aca="false">BlueDart!J112</f>
        <v>3.19092949783838</v>
      </c>
      <c r="F15" s="20" t="n">
        <f aca="false">CONCOR!J112</f>
        <v>1.32048430038026</v>
      </c>
      <c r="G15" s="20" t="n">
        <f aca="false">JetFreight!J112</f>
        <v>17.5075891977134</v>
      </c>
      <c r="H15" s="20" t="n">
        <f aca="false">Patel!J112</f>
        <v>7.68208216820822</v>
      </c>
      <c r="I15" s="20" t="n">
        <f aca="false">Sical!J112</f>
        <v>0.666430515357035</v>
      </c>
      <c r="J15" s="20" t="n">
        <f aca="false">TCI!J112</f>
        <v>4.56018623718344</v>
      </c>
      <c r="K15" s="20" t="n">
        <f aca="false">Shreeji!J112</f>
        <v>8.70642883686362</v>
      </c>
      <c r="L15" s="20" t="n">
        <f aca="false">MahindraLog!J112</f>
        <v>6.73975214489991</v>
      </c>
      <c r="M15" s="21" t="n">
        <f aca="false">Industry!J112</f>
        <v>2.52033554446376</v>
      </c>
      <c r="N15" s="22" t="n">
        <f aca="false">IFERROR(MEDIAN(C15:L15),"N/M")</f>
        <v>5.64996919104167</v>
      </c>
    </row>
    <row r="16" customFormat="false" ht="15" hidden="false" customHeight="false" outlineLevel="0" collapsed="false">
      <c r="A16" s="18" t="s">
        <v>133</v>
      </c>
      <c r="B16" s="19" t="s">
        <v>131</v>
      </c>
      <c r="C16" s="20" t="n">
        <f aca="false">Tiger!J113</f>
        <v>2.49970543954965</v>
      </c>
      <c r="D16" s="20" t="n">
        <f aca="false">Allcargo!J113</f>
        <v>1.18377911993098</v>
      </c>
      <c r="E16" s="20" t="n">
        <f aca="false">BlueDart!J113</f>
        <v>1.57668484044772</v>
      </c>
      <c r="F16" s="20" t="n">
        <f aca="false">CONCOR!J113</f>
        <v>0.61234665990401</v>
      </c>
      <c r="G16" s="20" t="n">
        <f aca="false">JetFreight!J113</f>
        <v>2.35886539891639</v>
      </c>
      <c r="H16" s="20" t="n">
        <f aca="false">Patel!J113</f>
        <v>2.15508085928071</v>
      </c>
      <c r="I16" s="20" t="n">
        <f aca="false">Sical!J113</f>
        <v>0.436872748691693</v>
      </c>
      <c r="J16" s="20" t="n">
        <f aca="false">TCI!J113</f>
        <v>1.53268525489059</v>
      </c>
      <c r="K16" s="20" t="n">
        <f aca="false">Shreeji!J113</f>
        <v>1.99812374738817</v>
      </c>
      <c r="L16" s="20" t="n">
        <f aca="false">MahindraLog!J113</f>
        <v>2.46289020920826</v>
      </c>
      <c r="M16" s="21" t="n">
        <f aca="false">Industry!J113</f>
        <v>1.110171846003</v>
      </c>
      <c r="N16" s="22" t="n">
        <f aca="false">IFERROR(MEDIAN(C16:L16),"N/M")</f>
        <v>1.78740429391795</v>
      </c>
    </row>
    <row r="17" customFormat="false" ht="15" hidden="false" customHeight="false" outlineLevel="0" collapsed="false">
      <c r="A17" s="18" t="s">
        <v>134</v>
      </c>
      <c r="B17" s="19" t="s">
        <v>135</v>
      </c>
      <c r="C17" s="23" t="n">
        <f aca="false">Tiger!J119</f>
        <v>0.10107887294438</v>
      </c>
      <c r="D17" s="23" t="n">
        <f aca="false">Allcargo!J119</f>
        <v>0.267249757045675</v>
      </c>
      <c r="E17" s="23" t="n">
        <f aca="false">BlueDart!J119</f>
        <v>0.39087557483618</v>
      </c>
      <c r="F17" s="23" t="n">
        <f aca="false">CONCOR!J119</f>
        <v>0.336564610302711</v>
      </c>
      <c r="G17" s="23" t="n">
        <f aca="false">JetFreight!J119</f>
        <v>0.098856061970816</v>
      </c>
      <c r="H17" s="23" t="n">
        <f aca="false">Patel!J119</f>
        <v>0.092064736517892</v>
      </c>
      <c r="I17" s="23" t="n">
        <f aca="false">Sical!J119</f>
        <v>0.334655673096868</v>
      </c>
      <c r="J17" s="23" t="n">
        <f aca="false">TCI!J119</f>
        <v>0.188717389668421</v>
      </c>
      <c r="K17" s="23" t="n">
        <f aca="false">Shreeji!J119</f>
        <v>0.143283964317726</v>
      </c>
      <c r="L17" s="23" t="n">
        <f aca="false">MahindraLog!J119</f>
        <v>0.137522323660938</v>
      </c>
      <c r="M17" s="24" t="n">
        <f aca="false">Industry!J119</f>
        <v>0.262721507967986</v>
      </c>
      <c r="N17" s="25" t="n">
        <f aca="false">IFERROR(MEDIAN(C17:L17),"N/M")</f>
        <v>0.166000676993073</v>
      </c>
    </row>
    <row r="18" customFormat="false" ht="15" hidden="false" customHeight="false" outlineLevel="0" collapsed="false">
      <c r="A18" s="18" t="s">
        <v>136</v>
      </c>
      <c r="B18" s="19" t="s">
        <v>135</v>
      </c>
      <c r="C18" s="23" t="n">
        <f aca="false">Tiger!J121</f>
        <v>0.0471526832163681</v>
      </c>
      <c r="D18" s="23" t="n">
        <f aca="false">Allcargo!J121</f>
        <v>0.114188532555879</v>
      </c>
      <c r="E18" s="23" t="n">
        <f aca="false">BlueDart!J121</f>
        <v>0.154808431364886</v>
      </c>
      <c r="F18" s="23" t="n">
        <f aca="false">CONCOR!J121</f>
        <v>0.214927464238785</v>
      </c>
      <c r="G18" s="23" t="n">
        <f aca="false">JetFreight!J121</f>
        <v>0.0373130967393262</v>
      </c>
      <c r="H18" s="23" t="n">
        <f aca="false">Patel!J121</f>
        <v>0.0290362322898582</v>
      </c>
      <c r="I18" s="23" t="n">
        <f aca="false">Sical!J121</f>
        <v>0.203069902509853</v>
      </c>
      <c r="J18" s="23" t="n">
        <f aca="false">TCI!J121</f>
        <v>0.105557103545621</v>
      </c>
      <c r="K18" s="23" t="n">
        <f aca="false">Shreeji!J121</f>
        <v>0.0330786631951855</v>
      </c>
      <c r="L18" s="23" t="n">
        <f aca="false">MahindraLog!J121</f>
        <v>0.0541196976840541</v>
      </c>
      <c r="M18" s="24" t="n">
        <f aca="false">Industry!J121</f>
        <v>0.133859477047691</v>
      </c>
      <c r="N18" s="25" t="n">
        <f aca="false">IFERROR(MEDIAN(C18:L18),"N/M")</f>
        <v>0.0798384006148374</v>
      </c>
    </row>
    <row r="19" customFormat="false" ht="15" hidden="false" customHeight="false" outlineLevel="0" collapsed="false">
      <c r="A19" s="18" t="s">
        <v>137</v>
      </c>
      <c r="B19" s="19" t="s">
        <v>135</v>
      </c>
      <c r="C19" s="23" t="n">
        <f aca="false">Tiger!J124</f>
        <v>0.0375685206522119</v>
      </c>
      <c r="D19" s="23" t="n">
        <f aca="false">Allcargo!J124</f>
        <v>0.00388726919339164</v>
      </c>
      <c r="E19" s="23" t="n">
        <f aca="false">BlueDart!J124</f>
        <v>0.040285757090189</v>
      </c>
      <c r="F19" s="23" t="n">
        <f aca="false">CONCOR!J124</f>
        <v>0.13677763006156</v>
      </c>
      <c r="G19" s="23" t="n">
        <f aca="false">JetFreight!J124</f>
        <v>0.0153125562961629</v>
      </c>
      <c r="H19" s="23" t="n">
        <f aca="false">Patel!J124</f>
        <v>0.0268802150417203</v>
      </c>
      <c r="I19" s="23" t="n">
        <f aca="false">Sical!J124</f>
        <v>0.127774320680357</v>
      </c>
      <c r="J19" s="23" t="n">
        <f aca="false">TCI!J124</f>
        <v>0.0927946599088426</v>
      </c>
      <c r="K19" s="23" t="n">
        <f aca="false">Shreeji!J124</f>
        <v>0.013487558154424</v>
      </c>
      <c r="L19" s="23" t="n">
        <f aca="false">MahindraLog!J124</f>
        <v>0.000327175574700327</v>
      </c>
      <c r="M19" s="24" t="n">
        <f aca="false">Industry!J124</f>
        <v>0.0656051876479138</v>
      </c>
      <c r="N19" s="25" t="n">
        <f aca="false">IFERROR(MEDIAN(C19:L19),"N/M")</f>
        <v>0.0322243678469661</v>
      </c>
    </row>
    <row r="20" customFormat="false" ht="15" hidden="false" customHeight="false" outlineLevel="0" collapsed="false">
      <c r="A20" s="18" t="s">
        <v>138</v>
      </c>
      <c r="B20" s="19" t="s">
        <v>135</v>
      </c>
      <c r="C20" s="23" t="n">
        <f aca="false">Tiger!J132</f>
        <v>0.952847316783632</v>
      </c>
      <c r="D20" s="23" t="n">
        <f aca="false">Allcargo!J132</f>
        <v>0.885811467444121</v>
      </c>
      <c r="E20" s="23" t="n">
        <f aca="false">BlueDart!J132</f>
        <v>0.845191568635114</v>
      </c>
      <c r="F20" s="23" t="n">
        <f aca="false">CONCOR!J132</f>
        <v>0.785072535761215</v>
      </c>
      <c r="G20" s="23" t="n">
        <f aca="false">JetFreight!J132</f>
        <v>0.962686903260674</v>
      </c>
      <c r="H20" s="23" t="n">
        <f aca="false">Patel!J132</f>
        <v>0.970963767710142</v>
      </c>
      <c r="I20" s="23" t="n">
        <f aca="false">Sical!J132</f>
        <v>0.796930097490147</v>
      </c>
      <c r="J20" s="23" t="n">
        <f aca="false">TCI!J132</f>
        <v>0.89444289645438</v>
      </c>
      <c r="K20" s="23" t="n">
        <f aca="false">Shreeji!J132</f>
        <v>0.966921336804815</v>
      </c>
      <c r="L20" s="23" t="n">
        <f aca="false">MahindraLog!J132</f>
        <v>0.945880302315946</v>
      </c>
      <c r="M20" s="24" t="n">
        <f aca="false">Industry!J132</f>
        <v>0.866140522952309</v>
      </c>
      <c r="N20" s="25" t="n">
        <f aca="false">IFERROR(MEDIAN(C20:L20),"N/M")</f>
        <v>0.920161599385163</v>
      </c>
    </row>
    <row r="21" customFormat="false" ht="15" hidden="false" customHeight="false" outlineLevel="0" collapsed="false">
      <c r="A21" s="18" t="s">
        <v>139</v>
      </c>
      <c r="B21" s="19" t="s">
        <v>140</v>
      </c>
      <c r="C21" s="23" t="n">
        <f aca="false">Tiger!J135</f>
        <v>0.0939102354301674</v>
      </c>
      <c r="D21" s="23" t="n">
        <f aca="false">Allcargo!J135</f>
        <v>0.00460166810468795</v>
      </c>
      <c r="E21" s="23" t="n">
        <f aca="false">BlueDart!J135</f>
        <v>0.0635179424900605</v>
      </c>
      <c r="F21" s="23" t="n">
        <f aca="false">CONCOR!J135</f>
        <v>0.0837553249177825</v>
      </c>
      <c r="G21" s="23" t="n">
        <f aca="false">JetFreight!J135</f>
        <v>0.0361202592159779</v>
      </c>
      <c r="H21" s="23" t="n">
        <f aca="false">Patel!J135</f>
        <v>0.057929036929761</v>
      </c>
      <c r="I21" s="23" t="n">
        <f aca="false">Sical!J135</f>
        <v>0.0558211186878412</v>
      </c>
      <c r="J21" s="23" t="n">
        <f aca="false">TCI!J135</f>
        <v>0.14222500697487</v>
      </c>
      <c r="K21" s="23" t="n">
        <f aca="false">Shreeji!J135</f>
        <v>0.0269498102426336</v>
      </c>
      <c r="L21" s="23" t="n">
        <f aca="false">MahindraLog!J135</f>
        <v>0.000805797519621521</v>
      </c>
      <c r="M21" s="24" t="n">
        <f aca="false">Industry!J135</f>
        <v>0.0728330322784577</v>
      </c>
      <c r="N21" s="25" t="n">
        <f aca="false">IFERROR(MEDIAN(C21:L21),"N/M")</f>
        <v>0.0568750778088011</v>
      </c>
    </row>
    <row r="22" customFormat="false" ht="15" hidden="false" customHeight="false" outlineLevel="0" collapsed="false">
      <c r="A22" s="18" t="s">
        <v>141</v>
      </c>
      <c r="B22" s="19" t="s">
        <v>140</v>
      </c>
      <c r="C22" s="23" t="n">
        <f aca="false">Tiger!J138</f>
        <v>0.132636286541399</v>
      </c>
      <c r="D22" s="23" t="n">
        <f aca="false">Allcargo!J138</f>
        <v>0.0505747126436782</v>
      </c>
      <c r="E22" s="23" t="n">
        <f aca="false">BlueDart!J138</f>
        <v>0.113853670673014</v>
      </c>
      <c r="F22" s="23" t="n">
        <f aca="false">CONCOR!J138</f>
        <v>0.0961333119054842</v>
      </c>
      <c r="G22" s="23" t="n">
        <f aca="false">JetFreight!J138</f>
        <v>0.0787898328187067</v>
      </c>
      <c r="H22" s="23" t="n">
        <f aca="false">Patel!J138</f>
        <v>0.0749730271895976</v>
      </c>
      <c r="I22" s="23" t="n">
        <f aca="false">Sical!J138</f>
        <v>0.182350182402612</v>
      </c>
      <c r="J22" s="23" t="n">
        <f aca="false">TCI!J138</f>
        <v>0.182307293651997</v>
      </c>
      <c r="K22" s="23" t="n">
        <f aca="false">Shreeji!J138</f>
        <v>0.0690367143830639</v>
      </c>
      <c r="L22" s="23" t="n">
        <f aca="false">MahindraLog!J138</f>
        <v>0.0220256136427835</v>
      </c>
      <c r="M22" s="24" t="n">
        <f aca="false">Industry!J138</f>
        <v>0.103748054070878</v>
      </c>
      <c r="N22" s="25" t="n">
        <f aca="false">IFERROR(MEDIAN(C22:L22),"N/M")</f>
        <v>0.0874615723620954</v>
      </c>
    </row>
    <row r="23" customFormat="false" ht="15" hidden="false" customHeight="false" outlineLevel="0" collapsed="false">
      <c r="A23" s="18" t="s">
        <v>142</v>
      </c>
      <c r="B23" s="19" t="s">
        <v>140</v>
      </c>
      <c r="C23" s="23" t="n">
        <f aca="false">Tiger!J139</f>
        <v>0.144293951991417</v>
      </c>
      <c r="D23" s="23" t="n">
        <f aca="false">Allcargo!J139</f>
        <v>0.0140845070422535</v>
      </c>
      <c r="E23" s="23" t="n">
        <f aca="false">BlueDart!J139</f>
        <v>0.14832112762188</v>
      </c>
      <c r="F23" s="23" t="n">
        <f aca="false">CONCOR!J139</f>
        <v>0.098073710077591</v>
      </c>
      <c r="G23" s="23" t="n">
        <f aca="false">JetFreight!J139</f>
        <v>0.0979403715972922</v>
      </c>
      <c r="H23" s="23" t="n">
        <f aca="false">Patel!J139</f>
        <v>0.0783098131984664</v>
      </c>
      <c r="I23" s="23" t="n">
        <f aca="false">Sical!J139</f>
        <v>0.779007271577616</v>
      </c>
      <c r="J23" s="23" t="n">
        <f aca="false">TCI!J139</f>
        <v>0.193295966310367</v>
      </c>
      <c r="K23" s="23" t="n">
        <f aca="false">Shreeji!J139</f>
        <v>0.054067927110959</v>
      </c>
      <c r="L23" s="23" t="n">
        <f aca="false">MahindraLog!J139</f>
        <v>0.00284002827626406</v>
      </c>
      <c r="M23" s="24" t="n">
        <f aca="false">Industry!J139</f>
        <v>0.110435865141395</v>
      </c>
      <c r="N23" s="25" t="n">
        <f aca="false">IFERROR(MEDIAN(C23:L23),"N/M")</f>
        <v>0.0980070408374416</v>
      </c>
    </row>
    <row r="24" customFormat="false" ht="15" hidden="false" customHeight="false" outlineLevel="0" collapsed="false">
      <c r="A24" s="18" t="s">
        <v>143</v>
      </c>
      <c r="B24" s="19" t="s">
        <v>144</v>
      </c>
      <c r="C24" s="20" t="n">
        <f aca="false">Tiger!J152</f>
        <v>11.7389869888476</v>
      </c>
      <c r="D24" s="20" t="n">
        <f aca="false">Allcargo!J152</f>
        <v>134.42755</v>
      </c>
      <c r="E24" s="20" t="n">
        <f aca="false">BlueDart!J152</f>
        <v>45.4763329156393</v>
      </c>
      <c r="F24" s="20" t="n">
        <f aca="false">CONCOR!J152</f>
        <v>26.0837880496054</v>
      </c>
      <c r="G24" s="20" t="n">
        <f aca="false">JetFreight!J152</f>
        <v>11.6409411764706</v>
      </c>
      <c r="H24" s="20" t="n">
        <f aca="false">Patel!J152</f>
        <v>5.9885</v>
      </c>
      <c r="I24" s="20" t="n">
        <f aca="false">Sical!J152</f>
        <v>10.2007666396104</v>
      </c>
      <c r="J24" s="20" t="n">
        <f aca="false">TCI!J152</f>
        <v>15.5165150684932</v>
      </c>
      <c r="K24" s="20" t="n">
        <f aca="false">Shreeji!J152</f>
        <v>13.0067088607595</v>
      </c>
      <c r="L24" s="20" t="n">
        <f aca="false">MahindraLog!J152</f>
        <v>1441.64890829694</v>
      </c>
      <c r="M24" s="21" t="n">
        <f aca="false">Industry!J152</f>
        <v>27.3841866095822</v>
      </c>
      <c r="N24" s="22" t="n">
        <f aca="false">IFERROR(MEDIAN(C24:L24),"N/M")</f>
        <v>14.2616119646263</v>
      </c>
    </row>
    <row r="25" customFormat="false" ht="15" hidden="false" customHeight="false" outlineLevel="0" collapsed="false">
      <c r="A25" s="18" t="s">
        <v>145</v>
      </c>
      <c r="B25" s="19" t="s">
        <v>144</v>
      </c>
      <c r="C25" s="20" t="n">
        <f aca="false">Tiger!J146</f>
        <v>1.57909113639205</v>
      </c>
      <c r="D25" s="20" t="n">
        <f aca="false">Allcargo!J146</f>
        <v>1.87355470383275</v>
      </c>
      <c r="E25" s="20" t="n">
        <f aca="false">BlueDart!J146</f>
        <v>6.33171997321072</v>
      </c>
      <c r="F25" s="20" t="n">
        <f aca="false">CONCOR!J146</f>
        <v>2.50270221404923</v>
      </c>
      <c r="G25" s="20" t="n">
        <f aca="false">JetFreight!J146</f>
        <v>1.08749003984064</v>
      </c>
      <c r="H25" s="20" t="n">
        <f aca="false">Patel!J146</f>
        <v>0.465427461139896</v>
      </c>
      <c r="I25" s="20" t="n">
        <f aca="false">Sical!J146</f>
        <v>3.82888095056745</v>
      </c>
      <c r="J25" s="20" t="n">
        <f aca="false">TCI!J146</f>
        <v>2.758939044969</v>
      </c>
      <c r="K25" s="20" t="n">
        <f aca="false">Shreeji!J146</f>
        <v>0.683766428214939</v>
      </c>
      <c r="L25" s="20" t="n">
        <f aca="false">MahindraLog!J146</f>
        <v>2.81020786870733</v>
      </c>
      <c r="M25" s="21" t="n">
        <f aca="false">Industry!J146</f>
        <v>2.86137986297368</v>
      </c>
      <c r="N25" s="22" t="n">
        <f aca="false">IFERROR(MEDIAN(C25:L25),"N/M")</f>
        <v>2.18812845894099</v>
      </c>
    </row>
    <row r="26" customFormat="false" ht="15" hidden="false" customHeight="false" outlineLevel="0" collapsed="false">
      <c r="A26" s="18" t="s">
        <v>146</v>
      </c>
      <c r="B26" s="19" t="s">
        <v>144</v>
      </c>
      <c r="C26" s="23" t="n">
        <f aca="false">Tiger!J151</f>
        <v>0</v>
      </c>
      <c r="D26" s="23" t="n">
        <f aca="false">Allcargo!J151</f>
        <v>0</v>
      </c>
      <c r="E26" s="23" t="n">
        <f aca="false">BlueDart!J151</f>
        <v>0.00527981696634517</v>
      </c>
      <c r="F26" s="23" t="n">
        <f aca="false">CONCOR!J151</f>
        <v>0.0202214526770031</v>
      </c>
      <c r="G26" s="23" t="n">
        <f aca="false">JetFreight!J151</f>
        <v>0</v>
      </c>
      <c r="H26" s="23" t="n">
        <f aca="false">Patel!J151</f>
        <v>0.0241782861595836</v>
      </c>
      <c r="I26" s="23" t="n">
        <f aca="false">Sical!J151</f>
        <v>0</v>
      </c>
      <c r="J26" s="23" t="n">
        <f aca="false">TCI!J151</f>
        <v>0.0108412989218028</v>
      </c>
      <c r="K26" s="23" t="n">
        <f aca="false">Shreeji!J151</f>
        <v>0</v>
      </c>
      <c r="L26" s="23" t="n">
        <f aca="false">MahindraLog!J151</f>
        <v>0.00751201923076923</v>
      </c>
      <c r="M26" s="24" t="n">
        <f aca="false">Industry!J151</f>
        <v>0.0145872310363916</v>
      </c>
      <c r="N26" s="25" t="n">
        <f aca="false">IFERROR(MEDIAN(C26:L26),"N/M")</f>
        <v>0.00263990848317258</v>
      </c>
    </row>
    <row r="27" customFormat="false" ht="15" hidden="false" customHeight="false" outlineLevel="0" collapsed="false">
      <c r="A27" s="18" t="s">
        <v>147</v>
      </c>
      <c r="B27" s="19" t="s">
        <v>144</v>
      </c>
      <c r="C27" s="20" t="n">
        <f aca="false">Tiger!J154</f>
        <v>7.40381679389313</v>
      </c>
      <c r="D27" s="20" t="n">
        <f aca="false">Allcargo!J154</f>
        <v>6.06452</v>
      </c>
      <c r="E27" s="20" t="n">
        <f aca="false">BlueDart!J154</f>
        <v>12.8137296248656</v>
      </c>
      <c r="F27" s="20" t="n">
        <f aca="false">CONCOR!J154</f>
        <v>12.7378522110345</v>
      </c>
      <c r="G27" s="20" t="n">
        <f aca="false">JetFreight!J154</f>
        <v>6.7638243902439</v>
      </c>
      <c r="H27" s="20" t="n">
        <f aca="false">Patel!J154</f>
        <v>2.78725208175624</v>
      </c>
      <c r="I27" s="20" t="n">
        <f aca="false">Sical!J154</f>
        <v>5.39680199063232</v>
      </c>
      <c r="J27" s="20" t="n">
        <f aca="false">TCI!J154</f>
        <v>11.1981291732053</v>
      </c>
      <c r="K27" s="20" t="n">
        <f aca="false">Shreeji!J154</f>
        <v>6.38064846416382</v>
      </c>
      <c r="L27" s="20" t="n">
        <f aca="false">MahindraLog!J154</f>
        <v>9.71785001942754</v>
      </c>
      <c r="M27" s="21" t="n">
        <f aca="false">Industry!J154</f>
        <v>11.5695312188203</v>
      </c>
      <c r="N27" s="22" t="n">
        <f aca="false">IFERROR(MEDIAN(C27:L27),"N/M")</f>
        <v>7.08382059206852</v>
      </c>
    </row>
    <row r="28" customFormat="false" ht="15" hidden="false" customHeight="false" outlineLevel="0" collapsed="false">
      <c r="A28" s="18" t="s">
        <v>148</v>
      </c>
      <c r="B28" s="19" t="s">
        <v>144</v>
      </c>
      <c r="C28" s="23" t="n">
        <f aca="false">Tiger!J153</f>
        <v>-0.496842105263158</v>
      </c>
      <c r="D28" s="23" t="n">
        <f aca="false">Allcargo!J153</f>
        <v>-0.279116465863454</v>
      </c>
      <c r="E28" s="23" t="n">
        <f aca="false">BlueDart!J153</f>
        <v>-0.22234770779121</v>
      </c>
      <c r="F28" s="23" t="n">
        <f aca="false">CONCOR!J153</f>
        <v>-0.215767452603511</v>
      </c>
      <c r="G28" s="23" t="n">
        <f aca="false">JetFreight!J153</f>
        <v>0.480902777777778</v>
      </c>
      <c r="H28" s="23" t="n">
        <f aca="false">Patel!J153</f>
        <v>-0.366787975772593</v>
      </c>
      <c r="I28" s="23" t="n">
        <f aca="false">Sical!J153</f>
        <v>-0.0792050270349263</v>
      </c>
      <c r="J28" s="23" t="n">
        <f aca="false">TCI!J153</f>
        <v>-0.153735583759797</v>
      </c>
      <c r="K28" s="23" t="n">
        <f aca="false">Shreeji!J153</f>
        <v>-0.335593220338983</v>
      </c>
      <c r="L28" s="23" t="n">
        <f aca="false">MahindraLog!J153</f>
        <v>0.404456731171986</v>
      </c>
      <c r="M28" s="24" t="str">
        <f aca="false">Industry!J153</f>
        <v>n.a.</v>
      </c>
      <c r="N28" s="25" t="n">
        <f aca="false">IFERROR(MEDIAN(C28:L28),"N/M")</f>
        <v>-0.21905758019736</v>
      </c>
    </row>
    <row r="29" customFormat="false" ht="15" hidden="false" customHeight="false" outlineLevel="0" collapsed="false">
      <c r="A29" s="18" t="s">
        <v>149</v>
      </c>
      <c r="B29" s="19" t="s">
        <v>150</v>
      </c>
      <c r="C29" s="23" t="n">
        <f aca="false">Tiger!J170</f>
        <v>0.103643412719436</v>
      </c>
      <c r="D29" s="23" t="n">
        <f aca="false">Allcargo!J170</f>
        <v>0.00462294134643167</v>
      </c>
      <c r="E29" s="23" t="n">
        <f aca="false">BlueDart!J170</f>
        <v>0.0507146971186854</v>
      </c>
      <c r="F29" s="23" t="n">
        <f aca="false">CONCOR!J170</f>
        <v>0.0412094066522422</v>
      </c>
      <c r="G29" s="23" t="n">
        <f aca="false">JetFreight!J170</f>
        <v>0.0374738234321614</v>
      </c>
      <c r="H29" s="23" t="n">
        <f aca="false">Patel!J170</f>
        <v>0.0521236746873214</v>
      </c>
      <c r="I29" s="23" t="n">
        <f aca="false">Sical!J170</f>
        <v>0.0591213379081988</v>
      </c>
      <c r="J29" s="23" t="n">
        <f aca="false">TCI!J170</f>
        <v>0.134172663778154</v>
      </c>
      <c r="K29" s="23" t="n">
        <f aca="false">Shreeji!J170</f>
        <v>0.0276962180638941</v>
      </c>
      <c r="L29" s="23" t="n">
        <f aca="false">MahindraLog!J170</f>
        <v>-0.00785849815756446</v>
      </c>
      <c r="M29" s="24" t="n">
        <f aca="false">Industry!J170</f>
        <v>0.0457398109932857</v>
      </c>
      <c r="N29" s="25" t="n">
        <f aca="false">IFERROR(MEDIAN(C29:L29),"N/M")</f>
        <v>0.0459620518854638</v>
      </c>
    </row>
    <row r="33" customFormat="false" ht="15" hidden="false" customHeight="false" outlineLevel="0" collapsed="false">
      <c r="A33" s="16" t="s">
        <v>151</v>
      </c>
      <c r="B33" s="17"/>
      <c r="C33" s="17"/>
      <c r="D33" s="17"/>
      <c r="E33" s="17"/>
      <c r="F33" s="17"/>
      <c r="G33" s="17"/>
      <c r="H33" s="17"/>
      <c r="I33" s="17"/>
      <c r="J33" s="17"/>
      <c r="K33" s="17"/>
      <c r="L33" s="17"/>
      <c r="M33" s="17"/>
      <c r="N33" s="17"/>
    </row>
    <row r="34" customFormat="false" ht="30" hidden="false" customHeight="true" outlineLevel="0" collapsed="false">
      <c r="A34" s="7" t="s">
        <v>108</v>
      </c>
      <c r="B34" s="7" t="s">
        <v>109</v>
      </c>
      <c r="C34" s="7" t="s">
        <v>110</v>
      </c>
      <c r="D34" s="7" t="s">
        <v>111</v>
      </c>
      <c r="E34" s="7" t="s">
        <v>112</v>
      </c>
      <c r="F34" s="7" t="s">
        <v>67</v>
      </c>
      <c r="G34" s="7" t="s">
        <v>113</v>
      </c>
      <c r="H34" s="7" t="s">
        <v>114</v>
      </c>
      <c r="I34" s="7" t="s">
        <v>115</v>
      </c>
      <c r="J34" s="7" t="s">
        <v>86</v>
      </c>
      <c r="K34" s="7" t="s">
        <v>116</v>
      </c>
      <c r="L34" s="7" t="s">
        <v>117</v>
      </c>
      <c r="M34" s="7" t="s">
        <v>118</v>
      </c>
      <c r="N34" s="7" t="s">
        <v>100</v>
      </c>
    </row>
    <row r="35" customFormat="false" ht="15" hidden="false" customHeight="false" outlineLevel="0" collapsed="false">
      <c r="A35" s="18" t="s">
        <v>119</v>
      </c>
      <c r="B35" s="19" t="s">
        <v>120</v>
      </c>
      <c r="C35" s="20" t="n">
        <f aca="false">Tiger!K80</f>
        <v>4.88323167431985</v>
      </c>
      <c r="D35" s="20" t="n">
        <f aca="false">Allcargo!K80</f>
        <v>1.65598830293376</v>
      </c>
      <c r="E35" s="20" t="n">
        <f aca="false">BlueDart!K80</f>
        <v>1.2083102109605</v>
      </c>
      <c r="F35" s="20" t="n">
        <f aca="false">CONCOR!K80</f>
        <v>3.90969873265632</v>
      </c>
      <c r="G35" s="20" t="n">
        <f aca="false">JetFreight!K80</f>
        <v>2.73992955998531</v>
      </c>
      <c r="H35" s="20" t="n">
        <f aca="false">Patel!K80</f>
        <v>5.58170340121169</v>
      </c>
      <c r="I35" s="20" t="n">
        <f aca="false">Sical!K80</f>
        <v>0.719562197687531</v>
      </c>
      <c r="J35" s="20" t="n">
        <f aca="false">TCI!K80</f>
        <v>2.87685463611588</v>
      </c>
      <c r="K35" s="20" t="n">
        <f aca="false">Shreeji!K80</f>
        <v>5.09755334772641</v>
      </c>
      <c r="L35" s="20" t="n">
        <f aca="false">MahindraLog!K80</f>
        <v>1.41298844952593</v>
      </c>
      <c r="M35" s="21" t="n">
        <f aca="false">Industry!K80</f>
        <v>1.9742086624198</v>
      </c>
      <c r="N35" s="22" t="n">
        <f aca="false">IFERROR(MEDIAN(C35:L35),"N/M")</f>
        <v>2.8083920980506</v>
      </c>
    </row>
    <row r="36" customFormat="false" ht="15" hidden="false" customHeight="false" outlineLevel="0" collapsed="false">
      <c r="A36" s="18" t="s">
        <v>121</v>
      </c>
      <c r="B36" s="19" t="s">
        <v>120</v>
      </c>
      <c r="C36" s="20" t="n">
        <f aca="false">Tiger!K81</f>
        <v>4.16905973552597</v>
      </c>
      <c r="D36" s="20" t="n">
        <f aca="false">Allcargo!K81</f>
        <v>1.06366741156185</v>
      </c>
      <c r="E36" s="20" t="n">
        <f aca="false">BlueDart!K81</f>
        <v>0.820470158005804</v>
      </c>
      <c r="F36" s="20" t="n">
        <f aca="false">CONCOR!K81</f>
        <v>2.39525445912704</v>
      </c>
      <c r="G36" s="20" t="n">
        <f aca="false">JetFreight!K81</f>
        <v>1.62069698252974</v>
      </c>
      <c r="H36" s="20" t="n">
        <f aca="false">Patel!K81</f>
        <v>4.39141088155559</v>
      </c>
      <c r="I36" s="20" t="n">
        <f aca="false">Sical!K81</f>
        <v>0.466819490236621</v>
      </c>
      <c r="J36" s="20" t="n">
        <f aca="false">TCI!K81</f>
        <v>1.98385165879628</v>
      </c>
      <c r="K36" s="20" t="n">
        <f aca="false">Shreeji!K81</f>
        <v>3.8810091141249</v>
      </c>
      <c r="L36" s="20" t="n">
        <f aca="false">MahindraLog!K81</f>
        <v>0.698633754616868</v>
      </c>
      <c r="M36" s="21" t="n">
        <f aca="false">Industry!K81</f>
        <v>1.24489073048075</v>
      </c>
      <c r="N36" s="22" t="n">
        <f aca="false">IFERROR(MEDIAN(C36:L36),"N/M")</f>
        <v>1.80227432066301</v>
      </c>
    </row>
    <row r="37" customFormat="false" ht="15" hidden="false" customHeight="false" outlineLevel="0" collapsed="false">
      <c r="A37" s="18" t="s">
        <v>122</v>
      </c>
      <c r="B37" s="19" t="s">
        <v>120</v>
      </c>
      <c r="C37" s="20" t="n">
        <f aca="false">Tiger!K84</f>
        <v>0.122950184600283</v>
      </c>
      <c r="D37" s="20" t="n">
        <f aca="false">Allcargo!K84</f>
        <v>0.331501849844532</v>
      </c>
      <c r="E37" s="20" t="n">
        <f aca="false">BlueDart!K84</f>
        <v>0.727769844537111</v>
      </c>
      <c r="F37" s="20" t="n">
        <f aca="false">CONCOR!K84</f>
        <v>1.25136673931234</v>
      </c>
      <c r="G37" s="20" t="n">
        <f aca="false">JetFreight!K84</f>
        <v>-0.114148685885126</v>
      </c>
      <c r="H37" s="20" t="n">
        <f aca="false">Patel!K84</f>
        <v>0.108352874165978</v>
      </c>
      <c r="I37" s="20" t="n">
        <f aca="false">Sical!K84</f>
        <v>0.120595110765776</v>
      </c>
      <c r="J37" s="20" t="n">
        <f aca="false">TCI!K84</f>
        <v>0.99039577850386</v>
      </c>
      <c r="K37" s="20" t="n">
        <f aca="false">Shreeji!K84</f>
        <v>0.430816072564066</v>
      </c>
      <c r="L37" s="20" t="n">
        <f aca="false">MahindraLog!K84</f>
        <v>0.201611133455658</v>
      </c>
      <c r="M37" s="21" t="n">
        <f aca="false">Industry!K84</f>
        <v>0.557632142843733</v>
      </c>
      <c r="N37" s="22" t="n">
        <f aca="false">IFERROR(MEDIAN(C37:L37),"N/M")</f>
        <v>0.266556491650095</v>
      </c>
    </row>
    <row r="38" customFormat="false" ht="15" hidden="false" customHeight="false" outlineLevel="0" collapsed="false">
      <c r="A38" s="18" t="s">
        <v>123</v>
      </c>
      <c r="B38" s="19" t="s">
        <v>124</v>
      </c>
      <c r="C38" s="20" t="n">
        <f aca="false">Tiger!K87</f>
        <v>0.246617868662109</v>
      </c>
      <c r="D38" s="20" t="n">
        <f aca="false">Allcargo!K87</f>
        <v>0.876121631518016</v>
      </c>
      <c r="E38" s="20" t="n">
        <f aca="false">BlueDart!K87</f>
        <v>1.12807548770916</v>
      </c>
      <c r="F38" s="20" t="n">
        <f aca="false">CONCOR!K87</f>
        <v>0.0627363663295786</v>
      </c>
      <c r="G38" s="20" t="n">
        <f aca="false">JetFreight!K87</f>
        <v>1.35508447694488</v>
      </c>
      <c r="H38" s="20" t="n">
        <f aca="false">Patel!K87</f>
        <v>0.296341736249049</v>
      </c>
      <c r="I38" s="20" t="n">
        <f aca="false">Sical!K87</f>
        <v>8.24788366174122</v>
      </c>
      <c r="J38" s="20" t="n">
        <f aca="false">TCI!K87</f>
        <v>0.159776229534098</v>
      </c>
      <c r="K38" s="20" t="n">
        <f aca="false">Shreeji!K87</f>
        <v>1.21796894224654</v>
      </c>
      <c r="L38" s="20" t="n">
        <f aca="false">MahindraLog!K87</f>
        <v>1.01480623740329</v>
      </c>
      <c r="M38" s="21" t="n">
        <f aca="false">Industry!K87</f>
        <v>0.309637219356156</v>
      </c>
      <c r="N38" s="22" t="n">
        <f aca="false">IFERROR(MEDIAN(C38:L38),"N/M")</f>
        <v>0.945463934460655</v>
      </c>
    </row>
    <row r="39" customFormat="false" ht="15" hidden="false" customHeight="false" outlineLevel="0" collapsed="false">
      <c r="A39" s="18" t="s">
        <v>125</v>
      </c>
      <c r="B39" s="19" t="s">
        <v>124</v>
      </c>
      <c r="C39" s="23" t="n">
        <f aca="false">Tiger!K91</f>
        <v>0.645801933659141</v>
      </c>
      <c r="D39" s="23" t="n">
        <f aca="false">Allcargo!K91</f>
        <v>0.348698928473768</v>
      </c>
      <c r="E39" s="23" t="n">
        <f aca="false">BlueDart!K91</f>
        <v>0.330809716731822</v>
      </c>
      <c r="F39" s="23" t="n">
        <f aca="false">CONCOR!K91</f>
        <v>0.84060614882963</v>
      </c>
      <c r="G39" s="23" t="n">
        <f aca="false">JetFreight!K91</f>
        <v>0.306492044917403</v>
      </c>
      <c r="H39" s="23" t="n">
        <f aca="false">Patel!K91</f>
        <v>0.661748529089385</v>
      </c>
      <c r="I39" s="23" t="n">
        <f aca="false">Sical!K91</f>
        <v>-0.0797948828130478</v>
      </c>
      <c r="J39" s="23" t="n">
        <f aca="false">TCI!K91</f>
        <v>0.735181623223373</v>
      </c>
      <c r="K39" s="23" t="n">
        <f aca="false">Shreeji!K91</f>
        <v>0.40325419743838</v>
      </c>
      <c r="L39" s="23" t="n">
        <f aca="false">MahindraLog!K91</f>
        <v>0.280485551817645</v>
      </c>
      <c r="M39" s="24" t="n">
        <f aca="false">Industry!K91</f>
        <v>0.587000638561734</v>
      </c>
      <c r="N39" s="25" t="n">
        <f aca="false">IFERROR(MEDIAN(C39:L39),"N/M")</f>
        <v>0.375976562956074</v>
      </c>
    </row>
    <row r="40" customFormat="false" ht="15" hidden="false" customHeight="false" outlineLevel="0" collapsed="false">
      <c r="A40" s="18" t="s">
        <v>126</v>
      </c>
      <c r="B40" s="19" t="s">
        <v>124</v>
      </c>
      <c r="C40" s="20" t="n">
        <f aca="false">Tiger!K93</f>
        <v>0.582567334493364</v>
      </c>
      <c r="D40" s="20" t="n">
        <f aca="false">Allcargo!K93</f>
        <v>2.35755285733121</v>
      </c>
      <c r="E40" s="20" t="n">
        <f aca="false">BlueDart!K93</f>
        <v>1.31439803273962</v>
      </c>
      <c r="F40" s="20" t="n">
        <f aca="false">CONCOR!K93</f>
        <v>0.360067646516571</v>
      </c>
      <c r="G40" s="20" t="n">
        <f aca="false">JetFreight!K93</f>
        <v>4.8279832852532</v>
      </c>
      <c r="H40" s="20" t="n">
        <f aca="false">Patel!K93</f>
        <v>2.79827769257295</v>
      </c>
      <c r="I40" s="20" t="n">
        <f aca="false">Sical!K93</f>
        <v>54.7740836303612</v>
      </c>
      <c r="J40" s="20" t="n">
        <f aca="false">TCI!K93</f>
        <v>0.598531111553109</v>
      </c>
      <c r="K40" s="20" t="n">
        <f aca="false">Shreeji!K93</f>
        <v>3.42134546142389</v>
      </c>
      <c r="L40" s="20" t="n">
        <f aca="false">MahindraLog!K93</f>
        <v>2.22381228416579</v>
      </c>
      <c r="M40" s="21" t="n">
        <f aca="false">Industry!K93</f>
        <v>1.42243311650333</v>
      </c>
      <c r="N40" s="22" t="n">
        <f aca="false">IFERROR(MEDIAN(C40:L40),"N/M")</f>
        <v>2.2906825707485</v>
      </c>
    </row>
    <row r="41" customFormat="false" ht="15" hidden="false" customHeight="false" outlineLevel="0" collapsed="false">
      <c r="A41" s="18" t="s">
        <v>127</v>
      </c>
      <c r="B41" s="19" t="s">
        <v>128</v>
      </c>
      <c r="C41" s="20" t="n">
        <f aca="false">Tiger!K96</f>
        <v>13.2642660413013</v>
      </c>
      <c r="D41" s="20" t="n">
        <f aca="false">Allcargo!K96</f>
        <v>5.2576088948481</v>
      </c>
      <c r="E41" s="20" t="n">
        <f aca="false">BlueDart!K96</f>
        <v>4.9257001900527</v>
      </c>
      <c r="F41" s="20" t="n">
        <f aca="false">CONCOR!K96</f>
        <v>21.1828486617775</v>
      </c>
      <c r="G41" s="20" t="n">
        <f aca="false">JetFreight!K96</f>
        <v>1.42766123801118</v>
      </c>
      <c r="H41" s="20" t="n">
        <f aca="false">Patel!K96</f>
        <v>6.90193756122119</v>
      </c>
      <c r="I41" s="20" t="n">
        <f aca="false">Sical!K96</f>
        <v>-8.40859985428273</v>
      </c>
      <c r="J41" s="20" t="n">
        <f aca="false">TCI!K96</f>
        <v>22.1368061968799</v>
      </c>
      <c r="K41" s="20" t="n">
        <f aca="false">Shreeji!K96</f>
        <v>2.79328558462081</v>
      </c>
      <c r="L41" s="20" t="n">
        <f aca="false">MahindraLog!K96</f>
        <v>2.15269894771153</v>
      </c>
      <c r="M41" s="21" t="n">
        <f aca="false">Industry!K96</f>
        <v>6.70930803515149</v>
      </c>
      <c r="N41" s="22" t="n">
        <f aca="false">IFERROR(MEDIAN(C41:L41),"N/M")</f>
        <v>5.0916545424504</v>
      </c>
    </row>
    <row r="42" customFormat="false" ht="15" hidden="false" customHeight="false" outlineLevel="0" collapsed="false">
      <c r="A42" s="18" t="s">
        <v>129</v>
      </c>
      <c r="B42" s="19" t="s">
        <v>128</v>
      </c>
      <c r="C42" s="20" t="n">
        <f aca="false">Tiger!K102</f>
        <v>8.31022337363545</v>
      </c>
      <c r="D42" s="20" t="n">
        <f aca="false">Allcargo!K102</f>
        <v>4.62597265938449</v>
      </c>
      <c r="E42" s="20" t="n">
        <f aca="false">BlueDart!K102</f>
        <v>6.37527732133788</v>
      </c>
      <c r="F42" s="20" t="n">
        <f aca="false">CONCOR!K102</f>
        <v>20.885259040473</v>
      </c>
      <c r="G42" s="20" t="n">
        <f aca="false">JetFreight!K102</f>
        <v>1.34085332995731</v>
      </c>
      <c r="H42" s="20" t="n">
        <f aca="false">Patel!K102</f>
        <v>1.02814969485545</v>
      </c>
      <c r="I42" s="20" t="n">
        <f aca="false">Sical!K102</f>
        <v>-1.53796926917274</v>
      </c>
      <c r="J42" s="20" t="n">
        <f aca="false">TCI!K102</f>
        <v>18.4996344360539</v>
      </c>
      <c r="K42" s="20" t="n">
        <f aca="false">Shreeji!K102</f>
        <v>2.8097450450211</v>
      </c>
      <c r="L42" s="20" t="n">
        <f aca="false">MahindraLog!K102</f>
        <v>4.67018346694733</v>
      </c>
      <c r="M42" s="21" t="n">
        <f aca="false">Industry!K102</f>
        <v>3.58584618743385</v>
      </c>
      <c r="N42" s="22" t="n">
        <f aca="false">IFERROR(MEDIAN(C42:L42),"N/M")</f>
        <v>4.64807806316591</v>
      </c>
    </row>
    <row r="43" customFormat="false" ht="15" hidden="false" customHeight="false" outlineLevel="0" collapsed="false">
      <c r="A43" s="18" t="s">
        <v>130</v>
      </c>
      <c r="B43" s="19" t="s">
        <v>131</v>
      </c>
      <c r="C43" s="26" t="n">
        <f aca="false">Tiger!K108</f>
        <v>76.4555260197124</v>
      </c>
      <c r="D43" s="26" t="n">
        <f aca="false">Allcargo!K108</f>
        <v>83.6180722969474</v>
      </c>
      <c r="E43" s="26" t="n">
        <f aca="false">BlueDart!K108</f>
        <v>49.6304316527496</v>
      </c>
      <c r="F43" s="26" t="n">
        <f aca="false">CONCOR!K108</f>
        <v>11.145880480798</v>
      </c>
      <c r="G43" s="26" t="n">
        <f aca="false">JetFreight!K108</f>
        <v>53.7954975172009</v>
      </c>
      <c r="H43" s="26" t="n">
        <f aca="false">Patel!K108</f>
        <v>99.0048293525053</v>
      </c>
      <c r="I43" s="26" t="n">
        <f aca="false">Sical!K108</f>
        <v>116.204766843471</v>
      </c>
      <c r="J43" s="26" t="n">
        <f aca="false">TCI!K108</f>
        <v>57.7856405838566</v>
      </c>
      <c r="K43" s="26" t="n">
        <f aca="false">Shreeji!K108</f>
        <v>98.1889724125451</v>
      </c>
      <c r="L43" s="26" t="n">
        <f aca="false">MahindraLog!K108</f>
        <v>44.9893363456024</v>
      </c>
      <c r="M43" s="27" t="n">
        <f aca="false">Industry!K108</f>
        <v>45.7137949271908</v>
      </c>
      <c r="N43" s="28" t="n">
        <f aca="false">IFERROR(MEDIAN(C43:L43),"N/M")</f>
        <v>67.1205833017845</v>
      </c>
    </row>
    <row r="44" customFormat="false" ht="15" hidden="false" customHeight="false" outlineLevel="0" collapsed="false">
      <c r="A44" s="18" t="s">
        <v>132</v>
      </c>
      <c r="B44" s="19" t="s">
        <v>131</v>
      </c>
      <c r="C44" s="20" t="n">
        <f aca="false">Tiger!K112</f>
        <v>47.0690112633442</v>
      </c>
      <c r="D44" s="20" t="n">
        <f aca="false">Allcargo!K112</f>
        <v>4.1918698576886</v>
      </c>
      <c r="E44" s="20" t="n">
        <f aca="false">BlueDart!K112</f>
        <v>2.97889759836339</v>
      </c>
      <c r="F44" s="20" t="n">
        <f aca="false">CONCOR!K112</f>
        <v>1.35557896468029</v>
      </c>
      <c r="G44" s="20" t="n">
        <f aca="false">JetFreight!K112</f>
        <v>16.0597517262043</v>
      </c>
      <c r="H44" s="20" t="n">
        <f aca="false">Patel!K112</f>
        <v>5.71845430598875</v>
      </c>
      <c r="I44" s="20" t="n">
        <f aca="false">Sical!K112</f>
        <v>0.58461596138071</v>
      </c>
      <c r="J44" s="20" t="n">
        <f aca="false">TCI!K112</f>
        <v>4.33453086491537</v>
      </c>
      <c r="K44" s="20" t="n">
        <f aca="false">Shreeji!K112</f>
        <v>7.22569213662648</v>
      </c>
      <c r="L44" s="20" t="n">
        <f aca="false">MahindraLog!K112</f>
        <v>10.2271200948067</v>
      </c>
      <c r="M44" s="21" t="n">
        <f aca="false">Industry!K112</f>
        <v>2.78287105066189</v>
      </c>
      <c r="N44" s="22" t="n">
        <f aca="false">IFERROR(MEDIAN(C44:L44),"N/M")</f>
        <v>5.02649258545206</v>
      </c>
    </row>
    <row r="45" customFormat="false" ht="15" hidden="false" customHeight="false" outlineLevel="0" collapsed="false">
      <c r="A45" s="18" t="s">
        <v>133</v>
      </c>
      <c r="B45" s="19" t="s">
        <v>131</v>
      </c>
      <c r="C45" s="20" t="n">
        <f aca="false">Tiger!K113</f>
        <v>3.06893794022368</v>
      </c>
      <c r="D45" s="20" t="n">
        <f aca="false">Allcargo!K113</f>
        <v>1.58328641839546</v>
      </c>
      <c r="E45" s="20" t="n">
        <f aca="false">BlueDart!K113</f>
        <v>1.51749922766642</v>
      </c>
      <c r="F45" s="20" t="n">
        <f aca="false">CONCOR!K113</f>
        <v>0.592412988687804</v>
      </c>
      <c r="G45" s="20" t="n">
        <f aca="false">JetFreight!K113</f>
        <v>3.11489056086385</v>
      </c>
      <c r="H45" s="20" t="n">
        <f aca="false">Patel!K113</f>
        <v>1.59812712916242</v>
      </c>
      <c r="I45" s="20" t="n">
        <f aca="false">Sical!K113</f>
        <v>0.303682750278914</v>
      </c>
      <c r="J45" s="20" t="n">
        <f aca="false">TCI!K113</f>
        <v>1.71048335759202</v>
      </c>
      <c r="K45" s="20" t="n">
        <f aca="false">Shreeji!K113</f>
        <v>1.81796089053738</v>
      </c>
      <c r="L45" s="20" t="n">
        <f aca="false">MahindraLog!K113</f>
        <v>2.33365278902652</v>
      </c>
      <c r="M45" s="21" t="n">
        <f aca="false">Industry!K113</f>
        <v>1.1560296617841</v>
      </c>
      <c r="N45" s="22" t="n">
        <f aca="false">IFERROR(MEDIAN(C45:L45),"N/M")</f>
        <v>1.65430524337722</v>
      </c>
    </row>
    <row r="46" customFormat="false" ht="15" hidden="false" customHeight="false" outlineLevel="0" collapsed="false">
      <c r="A46" s="18" t="s">
        <v>134</v>
      </c>
      <c r="B46" s="19" t="s">
        <v>135</v>
      </c>
      <c r="C46" s="23" t="n">
        <f aca="false">Tiger!K119</f>
        <v>0.0999153132096057</v>
      </c>
      <c r="D46" s="23" t="n">
        <f aca="false">Allcargo!K119</f>
        <v>0.236309242994037</v>
      </c>
      <c r="E46" s="23" t="n">
        <f aca="false">BlueDart!K119</f>
        <v>0.425865550946891</v>
      </c>
      <c r="F46" s="23" t="n">
        <f aca="false">CONCOR!K119</f>
        <v>0.34613338794925</v>
      </c>
      <c r="G46" s="23" t="n">
        <f aca="false">JetFreight!K119</f>
        <v>0.0751089995256532</v>
      </c>
      <c r="H46" s="23" t="n">
        <f aca="false">Patel!K119</f>
        <v>0.099163264138451</v>
      </c>
      <c r="I46" s="23" t="n">
        <f aca="false">Sical!K119</f>
        <v>0.229923131412213</v>
      </c>
      <c r="J46" s="23" t="n">
        <f aca="false">TCI!K119</f>
        <v>0.1856673959167</v>
      </c>
      <c r="K46" s="23" t="n">
        <f aca="false">Shreeji!K119</f>
        <v>0.195713259603807</v>
      </c>
      <c r="L46" s="23" t="n">
        <f aca="false">MahindraLog!K119</f>
        <v>0.143846621411389</v>
      </c>
      <c r="M46" s="24" t="n">
        <f aca="false">Industry!K119</f>
        <v>0.258885425885224</v>
      </c>
      <c r="N46" s="25" t="n">
        <f aca="false">IFERROR(MEDIAN(C46:L46),"N/M")</f>
        <v>0.190690327760254</v>
      </c>
    </row>
    <row r="47" customFormat="false" ht="15" hidden="false" customHeight="false" outlineLevel="0" collapsed="false">
      <c r="A47" s="18" t="s">
        <v>136</v>
      </c>
      <c r="B47" s="19" t="s">
        <v>135</v>
      </c>
      <c r="C47" s="23" t="n">
        <f aca="false">Tiger!K121</f>
        <v>0.0296294891022505</v>
      </c>
      <c r="D47" s="23" t="n">
        <f aca="false">Allcargo!K121</f>
        <v>0.0736079812006185</v>
      </c>
      <c r="E47" s="23" t="n">
        <f aca="false">BlueDart!K121</f>
        <v>0.176589920097321</v>
      </c>
      <c r="F47" s="23" t="n">
        <f aca="false">CONCOR!K121</f>
        <v>0.219710191657969</v>
      </c>
      <c r="G47" s="23" t="n">
        <f aca="false">JetFreight!K121</f>
        <v>0.0204533994732436</v>
      </c>
      <c r="H47" s="23" t="n">
        <f aca="false">Patel!K121</f>
        <v>0.0290875003340588</v>
      </c>
      <c r="I47" s="23" t="n">
        <f aca="false">Sical!K121</f>
        <v>0.0417206117780169</v>
      </c>
      <c r="J47" s="23" t="n">
        <f aca="false">TCI!K121</f>
        <v>0.104606363976023</v>
      </c>
      <c r="K47" s="23" t="n">
        <f aca="false">Shreeji!K121</f>
        <v>0.0721030232812661</v>
      </c>
      <c r="L47" s="23" t="n">
        <f aca="false">MahindraLog!K121</f>
        <v>0.046407246628758</v>
      </c>
      <c r="M47" s="24" t="n">
        <f aca="false">Industry!K121</f>
        <v>0.117406437069754</v>
      </c>
      <c r="N47" s="25" t="n">
        <f aca="false">IFERROR(MEDIAN(C47:L47),"N/M")</f>
        <v>0.0592551349550121</v>
      </c>
    </row>
    <row r="48" customFormat="false" ht="15" hidden="false" customHeight="false" outlineLevel="0" collapsed="false">
      <c r="A48" s="18" t="s">
        <v>137</v>
      </c>
      <c r="B48" s="19" t="s">
        <v>135</v>
      </c>
      <c r="C48" s="23" t="n">
        <f aca="false">Tiger!K124</f>
        <v>0.0193125923266549</v>
      </c>
      <c r="D48" s="23" t="n">
        <f aca="false">Allcargo!K124</f>
        <v>0.0255492079796168</v>
      </c>
      <c r="E48" s="23" t="n">
        <f aca="false">BlueDart!K124</f>
        <v>0.0453759828423274</v>
      </c>
      <c r="F48" s="23" t="n">
        <f aca="false">CONCOR!K124</f>
        <v>0.121369609664637</v>
      </c>
      <c r="G48" s="23" t="n">
        <f aca="false">JetFreight!K124</f>
        <v>0.00135626431437763</v>
      </c>
      <c r="H48" s="23" t="n">
        <f aca="false">Patel!K124</f>
        <v>0.0180815433213601</v>
      </c>
      <c r="I48" s="23" t="n">
        <f aca="false">Sical!K124</f>
        <v>-0.771251353643673</v>
      </c>
      <c r="J48" s="23" t="n">
        <f aca="false">TCI!K124</f>
        <v>0.0784886168971174</v>
      </c>
      <c r="K48" s="23" t="n">
        <f aca="false">Shreeji!K124</f>
        <v>0.027812602964777</v>
      </c>
      <c r="L48" s="23" t="n">
        <f aca="false">MahindraLog!K124</f>
        <v>0.00270708533331272</v>
      </c>
      <c r="M48" s="24" t="n">
        <f aca="false">Industry!K124</f>
        <v>0.0440645584251122</v>
      </c>
      <c r="N48" s="25" t="n">
        <f aca="false">IFERROR(MEDIAN(C48:L48),"N/M")</f>
        <v>0.0224309001531358</v>
      </c>
    </row>
    <row r="49" customFormat="false" ht="15" hidden="false" customHeight="false" outlineLevel="0" collapsed="false">
      <c r="A49" s="18" t="s">
        <v>138</v>
      </c>
      <c r="B49" s="19" t="s">
        <v>135</v>
      </c>
      <c r="C49" s="23" t="n">
        <f aca="false">Tiger!K132</f>
        <v>0.97037051089775</v>
      </c>
      <c r="D49" s="23" t="n">
        <f aca="false">Allcargo!K132</f>
        <v>0.926392018799382</v>
      </c>
      <c r="E49" s="23" t="n">
        <f aca="false">BlueDart!K132</f>
        <v>0.823410079902679</v>
      </c>
      <c r="F49" s="23" t="n">
        <f aca="false">CONCOR!K132</f>
        <v>0.780289808342031</v>
      </c>
      <c r="G49" s="23" t="n">
        <f aca="false">JetFreight!K132</f>
        <v>0.979546600526756</v>
      </c>
      <c r="H49" s="23" t="n">
        <f aca="false">Patel!K132</f>
        <v>0.970912499665941</v>
      </c>
      <c r="I49" s="23" t="n">
        <f aca="false">Sical!K132</f>
        <v>0.958279388221983</v>
      </c>
      <c r="J49" s="23" t="n">
        <f aca="false">TCI!K132</f>
        <v>0.895393636023977</v>
      </c>
      <c r="K49" s="23" t="n">
        <f aca="false">Shreeji!K132</f>
        <v>0.927896976718734</v>
      </c>
      <c r="L49" s="23" t="n">
        <f aca="false">MahindraLog!K132</f>
        <v>0.953592753371242</v>
      </c>
      <c r="M49" s="24" t="n">
        <f aca="false">Industry!K132</f>
        <v>0.882593562930246</v>
      </c>
      <c r="N49" s="25" t="n">
        <f aca="false">IFERROR(MEDIAN(C49:L49),"N/M")</f>
        <v>0.940744865044988</v>
      </c>
    </row>
    <row r="50" customFormat="false" ht="15" hidden="false" customHeight="false" outlineLevel="0" collapsed="false">
      <c r="A50" s="18" t="s">
        <v>139</v>
      </c>
      <c r="B50" s="19" t="s">
        <v>140</v>
      </c>
      <c r="C50" s="23" t="n">
        <f aca="false">Tiger!K135</f>
        <v>0.090528493050972</v>
      </c>
      <c r="D50" s="23" t="n">
        <f aca="false">Allcargo!K135</f>
        <v>0.0428641464699</v>
      </c>
      <c r="E50" s="23" t="n">
        <f aca="false">BlueDart!K135</f>
        <v>0.0711950517360836</v>
      </c>
      <c r="F50" s="23" t="n">
        <f aca="false">CONCOR!K135</f>
        <v>0.0731753012491531</v>
      </c>
      <c r="G50" s="23" t="n">
        <f aca="false">JetFreight!K135</f>
        <v>0.00270120011259985</v>
      </c>
      <c r="H50" s="23" t="n">
        <f aca="false">Patel!K135</f>
        <v>0.0315257391561934</v>
      </c>
      <c r="I50" s="23" t="n">
        <f aca="false">Sical!K135</f>
        <v>-0.204535733111912</v>
      </c>
      <c r="J50" s="23" t="n">
        <f aca="false">TCI!K135</f>
        <v>0.134672839471902</v>
      </c>
      <c r="K50" s="23" t="n">
        <f aca="false">Shreeji!K135</f>
        <v>0.056208607649188</v>
      </c>
      <c r="L50" s="23" t="n">
        <f aca="false">MahindraLog!K135</f>
        <v>0.006760185384782</v>
      </c>
      <c r="M50" s="24" t="n">
        <f aca="false">Industry!K135</f>
        <v>0.0521579970212584</v>
      </c>
      <c r="N50" s="25" t="n">
        <f aca="false">IFERROR(MEDIAN(C50:L50),"N/M")</f>
        <v>0.049536377059544</v>
      </c>
    </row>
    <row r="51" customFormat="false" ht="15" hidden="false" customHeight="false" outlineLevel="0" collapsed="false">
      <c r="A51" s="18" t="s">
        <v>141</v>
      </c>
      <c r="B51" s="19" t="s">
        <v>140</v>
      </c>
      <c r="C51" s="23" t="n">
        <f aca="false">Tiger!K138</f>
        <v>0.149512288348678</v>
      </c>
      <c r="D51" s="23" t="n">
        <f aca="false">Allcargo!K138</f>
        <v>0.091915107822542</v>
      </c>
      <c r="E51" s="23" t="n">
        <f aca="false">BlueDart!K138</f>
        <v>0.142575514531313</v>
      </c>
      <c r="F51" s="23" t="n">
        <f aca="false">CONCOR!K138</f>
        <v>0.0857922836002226</v>
      </c>
      <c r="G51" s="23" t="n">
        <f aca="false">JetFreight!K138</f>
        <v>0.0442132625003924</v>
      </c>
      <c r="H51" s="23" t="n">
        <f aca="false">Patel!K138</f>
        <v>0.0563851233681808</v>
      </c>
      <c r="I51" s="23" t="n">
        <f aca="false">Sical!K138</f>
        <v>-0.310893391253812</v>
      </c>
      <c r="J51" s="23" t="n">
        <f aca="false">TCI!K138</f>
        <v>0.171381287531369</v>
      </c>
      <c r="K51" s="23" t="n">
        <f aca="false">Shreeji!K138</f>
        <v>0.105762382803232</v>
      </c>
      <c r="L51" s="23" t="n">
        <f aca="false">MahindraLog!K138</f>
        <v>0.0524410989596292</v>
      </c>
      <c r="M51" s="24" t="n">
        <f aca="false">Industry!K138</f>
        <v>0.0812054519741361</v>
      </c>
      <c r="N51" s="25" t="n">
        <f aca="false">IFERROR(MEDIAN(C51:L51),"N/M")</f>
        <v>0.0888536957113823</v>
      </c>
    </row>
    <row r="52" customFormat="false" ht="15" hidden="false" customHeight="false" outlineLevel="0" collapsed="false">
      <c r="A52" s="18" t="s">
        <v>142</v>
      </c>
      <c r="B52" s="19" t="s">
        <v>140</v>
      </c>
      <c r="C52" s="23" t="n">
        <f aca="false">Tiger!K139</f>
        <v>0.123048406832461</v>
      </c>
      <c r="D52" s="23" t="n">
        <f aca="false">Allcargo!K139</f>
        <v>0.121250368508301</v>
      </c>
      <c r="E52" s="23" t="n">
        <f aca="false">BlueDart!K139</f>
        <v>0.221471877669117</v>
      </c>
      <c r="F52" s="23" t="n">
        <f aca="false">CONCOR!K139</f>
        <v>0.0873100395074957</v>
      </c>
      <c r="G52" s="23" t="n">
        <f aca="false">JetFreight!K139</f>
        <v>0.00229223373561997</v>
      </c>
      <c r="H52" s="23" t="n">
        <f aca="false">Patel!K139</f>
        <v>0.0480859936558244</v>
      </c>
      <c r="I52" s="23" t="n">
        <f aca="false">Sical!K139</f>
        <v>-0.565406553172074</v>
      </c>
      <c r="J52" s="23" t="n">
        <f aca="false">TCI!K139</f>
        <v>0.184161843934653</v>
      </c>
      <c r="K52" s="23" t="n">
        <f aca="false">Shreeji!K139</f>
        <v>0.14475157346941</v>
      </c>
      <c r="L52" s="23" t="n">
        <f aca="false">MahindraLog!K139</f>
        <v>0.00864099095428805</v>
      </c>
      <c r="M52" s="24" t="n">
        <f aca="false">Industry!K139</f>
        <v>0.0892169642232001</v>
      </c>
      <c r="N52" s="25" t="n">
        <f aca="false">IFERROR(MEDIAN(C52:L52),"N/M")</f>
        <v>0.104280204007898</v>
      </c>
    </row>
    <row r="53" customFormat="false" ht="15" hidden="false" customHeight="false" outlineLevel="0" collapsed="false">
      <c r="A53" s="18" t="s">
        <v>143</v>
      </c>
      <c r="B53" s="19" t="s">
        <v>144</v>
      </c>
      <c r="C53" s="20" t="n">
        <f aca="false">Tiger!K152</f>
        <v>18.2054926055799</v>
      </c>
      <c r="D53" s="20" t="n">
        <f aca="false">Allcargo!K152</f>
        <v>134.42755</v>
      </c>
      <c r="E53" s="20" t="n">
        <f aca="false">BlueDart!K152</f>
        <v>60.6393548496341</v>
      </c>
      <c r="F53" s="20" t="n">
        <f aca="false">CONCOR!K152</f>
        <v>41.7858419180379</v>
      </c>
      <c r="G53" s="20" t="n">
        <f aca="false">JetFreight!K152</f>
        <v>203.638136107299</v>
      </c>
      <c r="H53" s="20" t="n">
        <f aca="false">Patel!K152</f>
        <v>207.37890709811</v>
      </c>
      <c r="I53" s="20" t="n">
        <f aca="false">Sical!K152</f>
        <v>10.2007666396104</v>
      </c>
      <c r="J53" s="20" t="n">
        <f aca="false">TCI!K152</f>
        <v>15.5512787884545</v>
      </c>
      <c r="K53" s="20" t="n">
        <f aca="false">Shreeji!K152</f>
        <v>24.3575504832301</v>
      </c>
      <c r="L53" s="20" t="n">
        <f aca="false">MahindraLog!K152</f>
        <v>406.637541846853</v>
      </c>
      <c r="M53" s="21" t="n">
        <f aca="false">Industry!K152</f>
        <v>44.8909730048032</v>
      </c>
      <c r="N53" s="22" t="n">
        <f aca="false">IFERROR(MEDIAN(C53:L53),"N/M")</f>
        <v>51.212598383836</v>
      </c>
    </row>
    <row r="54" customFormat="false" ht="15" hidden="false" customHeight="false" outlineLevel="0" collapsed="false">
      <c r="A54" s="18" t="s">
        <v>145</v>
      </c>
      <c r="B54" s="19" t="s">
        <v>144</v>
      </c>
      <c r="C54" s="20" t="n">
        <f aca="false">Tiger!K146</f>
        <v>2.59948387522685</v>
      </c>
      <c r="D54" s="20" t="n">
        <f aca="false">Allcargo!K146</f>
        <v>1.87355470383275</v>
      </c>
      <c r="E54" s="20" t="n">
        <f aca="false">BlueDart!K146</f>
        <v>12.9213712578713</v>
      </c>
      <c r="F54" s="20" t="n">
        <f aca="false">CONCOR!K146</f>
        <v>3.28520635560234</v>
      </c>
      <c r="G54" s="20" t="n">
        <f aca="false">JetFreight!K146</f>
        <v>1.75915223688119</v>
      </c>
      <c r="H54" s="20" t="n">
        <f aca="false">Patel!K146</f>
        <v>0.66414011313396</v>
      </c>
      <c r="I54" s="20" t="n">
        <f aca="false">Sical!K146</f>
        <v>9.52639981618697</v>
      </c>
      <c r="J54" s="20" t="n">
        <f aca="false">TCI!K146</f>
        <v>2.71720765545952</v>
      </c>
      <c r="K54" s="20" t="n">
        <f aca="false">Shreeji!K146</f>
        <v>3.40464687442259</v>
      </c>
      <c r="L54" s="20" t="n">
        <f aca="false">MahindraLog!K146</f>
        <v>6.09358068091903</v>
      </c>
      <c r="M54" s="21" t="n">
        <f aca="false">Industry!K146</f>
        <v>4.00551460873968</v>
      </c>
      <c r="N54" s="22" t="n">
        <f aca="false">IFERROR(MEDIAN(C54:L54),"N/M")</f>
        <v>3.00120700553093</v>
      </c>
    </row>
    <row r="55" customFormat="false" ht="15" hidden="false" customHeight="false" outlineLevel="0" collapsed="false">
      <c r="A55" s="18" t="s">
        <v>146</v>
      </c>
      <c r="B55" s="19" t="s">
        <v>144</v>
      </c>
      <c r="C55" s="23" t="n">
        <f aca="false">Tiger!K151</f>
        <v>0.000678326719007892</v>
      </c>
      <c r="D55" s="23" t="n">
        <f aca="false">Allcargo!K151</f>
        <v>0</v>
      </c>
      <c r="E55" s="23" t="n">
        <f aca="false">BlueDart!K151</f>
        <v>0.00424589335883977</v>
      </c>
      <c r="F55" s="23" t="n">
        <f aca="false">CONCOR!K151</f>
        <v>0.0144932634602423</v>
      </c>
      <c r="G55" s="23" t="n">
        <f aca="false">JetFreight!K151</f>
        <v>0.000127048874855164</v>
      </c>
      <c r="H55" s="23" t="n">
        <f aca="false">Patel!K151</f>
        <v>0.0104189094805551</v>
      </c>
      <c r="I55" s="23" t="n">
        <f aca="false">Sical!K151</f>
        <v>0</v>
      </c>
      <c r="J55" s="23" t="n">
        <f aca="false">TCI!K151</f>
        <v>0.00928168357529572</v>
      </c>
      <c r="K55" s="23" t="n">
        <f aca="false">Shreeji!K151</f>
        <v>0.00733958745474716</v>
      </c>
      <c r="L55" s="23" t="n">
        <f aca="false">MahindraLog!K151</f>
        <v>0.00535613468556006</v>
      </c>
      <c r="M55" s="24" t="n">
        <f aca="false">Industry!K151</f>
        <v>0.0110259591484377</v>
      </c>
      <c r="N55" s="25" t="n">
        <f aca="false">IFERROR(MEDIAN(C55:L55),"N/M")</f>
        <v>0.00480101402219991</v>
      </c>
    </row>
    <row r="56" customFormat="false" ht="15" hidden="false" customHeight="false" outlineLevel="0" collapsed="false">
      <c r="A56" s="18" t="s">
        <v>147</v>
      </c>
      <c r="B56" s="19" t="s">
        <v>144</v>
      </c>
      <c r="C56" s="20" t="n">
        <f aca="false">Tiger!K154</f>
        <v>11.6041966924056</v>
      </c>
      <c r="D56" s="20" t="n">
        <f aca="false">Allcargo!K154</f>
        <v>6.06452</v>
      </c>
      <c r="E56" s="20" t="n">
        <f aca="false">BlueDart!K154</f>
        <v>16.3973895784956</v>
      </c>
      <c r="F56" s="20" t="n">
        <f aca="false">CONCOR!K154</f>
        <v>18.3584682898542</v>
      </c>
      <c r="G56" s="20" t="n">
        <f aca="false">JetFreight!K154</f>
        <v>9.97365361653307</v>
      </c>
      <c r="H56" s="20" t="n">
        <f aca="false">Patel!K154</f>
        <v>7.57962923002313</v>
      </c>
      <c r="I56" s="20" t="n">
        <f aca="false">Sical!K154</f>
        <v>59.7629407062314</v>
      </c>
      <c r="J56" s="20" t="n">
        <f aca="false">TCI!K154</f>
        <v>10.2553688396448</v>
      </c>
      <c r="K56" s="20" t="n">
        <f aca="false">Shreeji!K154</f>
        <v>10.6325268385548</v>
      </c>
      <c r="L56" s="20" t="n">
        <f aca="false">MahindraLog!K154</f>
        <v>17.7238667835726</v>
      </c>
      <c r="M56" s="21" t="n">
        <f aca="false">Industry!K154</f>
        <v>19.6479366607603</v>
      </c>
      <c r="N56" s="22" t="n">
        <f aca="false">IFERROR(MEDIAN(C56:L56),"N/M")</f>
        <v>11.1183617654802</v>
      </c>
    </row>
    <row r="57" customFormat="false" ht="15" hidden="false" customHeight="false" outlineLevel="0" collapsed="false">
      <c r="A57" s="18" t="s">
        <v>148</v>
      </c>
      <c r="B57" s="19" t="s">
        <v>144</v>
      </c>
      <c r="C57" s="23" t="n">
        <f aca="false">Tiger!K153</f>
        <v>0.605647665010697</v>
      </c>
      <c r="D57" s="23" t="n">
        <f aca="false">Allcargo!K153</f>
        <v>0.305416451577245</v>
      </c>
      <c r="E57" s="23" t="n">
        <f aca="false">BlueDart!K153</f>
        <v>0.15408777986497</v>
      </c>
      <c r="F57" s="23" t="n">
        <f aca="false">CONCOR!K153</f>
        <v>0.0852017182388543</v>
      </c>
      <c r="G57" s="23" t="n">
        <f aca="false">JetFreight!K153</f>
        <v>0.385139053696401</v>
      </c>
      <c r="H57" s="23" t="n">
        <f aca="false">Patel!K153</f>
        <v>0.0845694592826347</v>
      </c>
      <c r="I57" s="23" t="n">
        <f aca="false">Sical!K153</f>
        <v>2.96781838760086</v>
      </c>
      <c r="J57" s="23" t="n">
        <f aca="false">TCI!K153</f>
        <v>0.270513412386943</v>
      </c>
      <c r="K57" s="23" t="n">
        <f aca="false">Shreeji!K153</f>
        <v>0.351943699541641</v>
      </c>
      <c r="L57" s="23" t="n">
        <f aca="false">MahindraLog!K153</f>
        <v>0.112507020748164</v>
      </c>
      <c r="M57" s="24" t="str">
        <f aca="false">Industry!K153</f>
        <v>n.a.</v>
      </c>
      <c r="N57" s="25" t="n">
        <f aca="false">IFERROR(MEDIAN(C57:L57),"N/M")</f>
        <v>0.287964931982094</v>
      </c>
    </row>
    <row r="58" customFormat="false" ht="15" hidden="false" customHeight="false" outlineLevel="0" collapsed="false">
      <c r="A58" s="18" t="s">
        <v>149</v>
      </c>
      <c r="B58" s="19" t="s">
        <v>150</v>
      </c>
      <c r="C58" s="23" t="n">
        <f aca="false">Tiger!K170</f>
        <v>0.221317653768246</v>
      </c>
      <c r="D58" s="23" t="n">
        <f aca="false">Allcargo!K170</f>
        <v>0.0277193150862344</v>
      </c>
      <c r="E58" s="23" t="n">
        <f aca="false">BlueDart!K170</f>
        <v>0.0685867858963625</v>
      </c>
      <c r="F58" s="23" t="n">
        <f aca="false">CONCOR!K170</f>
        <v>0.0342766927468552</v>
      </c>
      <c r="G58" s="23" t="n">
        <f aca="false">JetFreight!K170</f>
        <v>0.0192491728357296</v>
      </c>
      <c r="H58" s="23" t="n">
        <f aca="false">Patel!K170</f>
        <v>0.0281253085614625</v>
      </c>
      <c r="I58" s="23" t="n">
        <f aca="false">Sical!K170</f>
        <v>0.0591213379081988</v>
      </c>
      <c r="J58" s="23" t="n">
        <f aca="false">TCI!K170</f>
        <v>0.131268700489348</v>
      </c>
      <c r="K58" s="23" t="n">
        <f aca="false">Shreeji!K170</f>
        <v>0.0662116517110087</v>
      </c>
      <c r="L58" s="23" t="n">
        <f aca="false">MahindraLog!K170</f>
        <v>0.0080734663152752</v>
      </c>
      <c r="M58" s="24" t="n">
        <f aca="false">Industry!K170</f>
        <v>0.0354184201249063</v>
      </c>
      <c r="N58" s="25" t="n">
        <f aca="false">IFERROR(MEDIAN(C58:L58),"N/M")</f>
        <v>0.046699015327527</v>
      </c>
    </row>
    <row r="62" customFormat="false" ht="15" hidden="false" customHeight="false" outlineLevel="0" collapsed="false">
      <c r="A62" s="16" t="s">
        <v>152</v>
      </c>
      <c r="B62" s="17"/>
      <c r="C62" s="17"/>
      <c r="D62" s="17"/>
      <c r="E62" s="17"/>
      <c r="F62" s="17"/>
      <c r="G62" s="17"/>
      <c r="H62" s="17"/>
      <c r="I62" s="17"/>
      <c r="J62" s="17"/>
      <c r="K62" s="17"/>
      <c r="L62" s="17"/>
      <c r="M62" s="17"/>
      <c r="N62" s="17"/>
    </row>
    <row r="63" customFormat="false" ht="30" hidden="false" customHeight="true" outlineLevel="0" collapsed="false">
      <c r="A63" s="7" t="s">
        <v>108</v>
      </c>
      <c r="B63" s="7" t="s">
        <v>153</v>
      </c>
      <c r="C63" s="7" t="s">
        <v>110</v>
      </c>
      <c r="D63" s="7" t="s">
        <v>111</v>
      </c>
      <c r="E63" s="7" t="s">
        <v>112</v>
      </c>
      <c r="F63" s="7" t="s">
        <v>67</v>
      </c>
      <c r="G63" s="7" t="s">
        <v>113</v>
      </c>
      <c r="H63" s="7" t="s">
        <v>114</v>
      </c>
      <c r="I63" s="7" t="s">
        <v>115</v>
      </c>
      <c r="J63" s="7" t="s">
        <v>86</v>
      </c>
      <c r="K63" s="7" t="s">
        <v>116</v>
      </c>
      <c r="L63" s="7" t="s">
        <v>117</v>
      </c>
    </row>
    <row r="64" customFormat="false" ht="15" hidden="false" customHeight="false" outlineLevel="0" collapsed="false">
      <c r="A64" s="18" t="s">
        <v>119</v>
      </c>
      <c r="B64" s="19" t="s">
        <v>154</v>
      </c>
      <c r="C64" s="29" t="n">
        <f aca="false">IF(ISNUMBER(C35),RANK(C35,$C$35:$L$35,0),"-")</f>
        <v>3</v>
      </c>
      <c r="D64" s="29" t="n">
        <f aca="false">IF(ISNUMBER(D35),RANK(D35,$C$35:$L$35,0),"-")</f>
        <v>7</v>
      </c>
      <c r="E64" s="29" t="n">
        <f aca="false">IF(ISNUMBER(E35),RANK(E35,$C$35:$L$35,0),"-")</f>
        <v>9</v>
      </c>
      <c r="F64" s="29" t="n">
        <f aca="false">IF(ISNUMBER(F35),RANK(F35,$C$35:$L$35,0),"-")</f>
        <v>4</v>
      </c>
      <c r="G64" s="29" t="n">
        <f aca="false">IF(ISNUMBER(G35),RANK(G35,$C$35:$L$35,0),"-")</f>
        <v>6</v>
      </c>
      <c r="H64" s="29" t="n">
        <f aca="false">IF(ISNUMBER(H35),RANK(H35,$C$35:$L$35,0),"-")</f>
        <v>1</v>
      </c>
      <c r="I64" s="29" t="n">
        <f aca="false">IF(ISNUMBER(I35),RANK(I35,$C$35:$L$35,0),"-")</f>
        <v>10</v>
      </c>
      <c r="J64" s="29" t="n">
        <f aca="false">IF(ISNUMBER(J35),RANK(J35,$C$35:$L$35,0),"-")</f>
        <v>5</v>
      </c>
      <c r="K64" s="29" t="n">
        <f aca="false">IF(ISNUMBER(K35),RANK(K35,$C$35:$L$35,0),"-")</f>
        <v>2</v>
      </c>
      <c r="L64" s="29" t="n">
        <f aca="false">IF(ISNUMBER(L35),RANK(L35,$C$35:$L$35,0),"-")</f>
        <v>8</v>
      </c>
    </row>
    <row r="65" customFormat="false" ht="15" hidden="false" customHeight="false" outlineLevel="0" collapsed="false">
      <c r="A65" s="18" t="s">
        <v>122</v>
      </c>
      <c r="B65" s="19" t="s">
        <v>154</v>
      </c>
      <c r="C65" s="29" t="n">
        <f aca="false">IF(ISNUMBER(C37),RANK(C37,$C$37:$L$37,0),"-")</f>
        <v>7</v>
      </c>
      <c r="D65" s="29" t="n">
        <f aca="false">IF(ISNUMBER(D37),RANK(D37,$C$37:$L$37,0),"-")</f>
        <v>5</v>
      </c>
      <c r="E65" s="29" t="n">
        <f aca="false">IF(ISNUMBER(E37),RANK(E37,$C$37:$L$37,0),"-")</f>
        <v>3</v>
      </c>
      <c r="F65" s="29" t="n">
        <f aca="false">IF(ISNUMBER(F37),RANK(F37,$C$37:$L$37,0),"-")</f>
        <v>1</v>
      </c>
      <c r="G65" s="29" t="n">
        <f aca="false">IF(ISNUMBER(G37),RANK(G37,$C$37:$L$37,0),"-")</f>
        <v>10</v>
      </c>
      <c r="H65" s="29" t="n">
        <f aca="false">IF(ISNUMBER(H37),RANK(H37,$C$37:$L$37,0),"-")</f>
        <v>9</v>
      </c>
      <c r="I65" s="29" t="n">
        <f aca="false">IF(ISNUMBER(I37),RANK(I37,$C$37:$L$37,0),"-")</f>
        <v>8</v>
      </c>
      <c r="J65" s="29" t="n">
        <f aca="false">IF(ISNUMBER(J37),RANK(J37,$C$37:$L$37,0),"-")</f>
        <v>2</v>
      </c>
      <c r="K65" s="29" t="n">
        <f aca="false">IF(ISNUMBER(K37),RANK(K37,$C$37:$L$37,0),"-")</f>
        <v>4</v>
      </c>
      <c r="L65" s="29" t="n">
        <f aca="false">IF(ISNUMBER(L37),RANK(L37,$C$37:$L$37,0),"-")</f>
        <v>6</v>
      </c>
    </row>
    <row r="66" customFormat="false" ht="15" hidden="false" customHeight="false" outlineLevel="0" collapsed="false">
      <c r="A66" s="18" t="s">
        <v>123</v>
      </c>
      <c r="B66" s="19" t="s">
        <v>155</v>
      </c>
      <c r="C66" s="29" t="n">
        <f aca="false">IF(ISNUMBER(C38),RANK(C38,$C$38:$L$38,1),"-")</f>
        <v>3</v>
      </c>
      <c r="D66" s="29" t="n">
        <f aca="false">IF(ISNUMBER(D38),RANK(D38,$C$38:$L$38,1),"-")</f>
        <v>5</v>
      </c>
      <c r="E66" s="29" t="n">
        <f aca="false">IF(ISNUMBER(E38),RANK(E38,$C$38:$L$38,1),"-")</f>
        <v>7</v>
      </c>
      <c r="F66" s="29" t="n">
        <f aca="false">IF(ISNUMBER(F38),RANK(F38,$C$38:$L$38,1),"-")</f>
        <v>1</v>
      </c>
      <c r="G66" s="29" t="n">
        <f aca="false">IF(ISNUMBER(G38),RANK(G38,$C$38:$L$38,1),"-")</f>
        <v>9</v>
      </c>
      <c r="H66" s="29" t="n">
        <f aca="false">IF(ISNUMBER(H38),RANK(H38,$C$38:$L$38,1),"-")</f>
        <v>4</v>
      </c>
      <c r="I66" s="29" t="n">
        <f aca="false">IF(ISNUMBER(I38),RANK(I38,$C$38:$L$38,1),"-")</f>
        <v>10</v>
      </c>
      <c r="J66" s="29" t="n">
        <f aca="false">IF(ISNUMBER(J38),RANK(J38,$C$38:$L$38,1),"-")</f>
        <v>2</v>
      </c>
      <c r="K66" s="29" t="n">
        <f aca="false">IF(ISNUMBER(K38),RANK(K38,$C$38:$L$38,1),"-")</f>
        <v>8</v>
      </c>
      <c r="L66" s="29" t="n">
        <f aca="false">IF(ISNUMBER(L38),RANK(L38,$C$38:$L$38,1),"-")</f>
        <v>6</v>
      </c>
    </row>
    <row r="67" customFormat="false" ht="15" hidden="false" customHeight="false" outlineLevel="0" collapsed="false">
      <c r="A67" s="18" t="s">
        <v>127</v>
      </c>
      <c r="B67" s="19" t="s">
        <v>154</v>
      </c>
      <c r="C67" s="29" t="n">
        <f aca="false">IF(ISNUMBER(C41),RANK(C41,$C$41:$L$41,0),"-")</f>
        <v>3</v>
      </c>
      <c r="D67" s="29" t="n">
        <f aca="false">IF(ISNUMBER(D41),RANK(D41,$C$41:$L$41,0),"-")</f>
        <v>5</v>
      </c>
      <c r="E67" s="29" t="n">
        <f aca="false">IF(ISNUMBER(E41),RANK(E41,$C$41:$L$41,0),"-")</f>
        <v>6</v>
      </c>
      <c r="F67" s="29" t="n">
        <f aca="false">IF(ISNUMBER(F41),RANK(F41,$C$41:$L$41,0),"-")</f>
        <v>2</v>
      </c>
      <c r="G67" s="29" t="n">
        <f aca="false">IF(ISNUMBER(G41),RANK(G41,$C$41:$L$41,0),"-")</f>
        <v>9</v>
      </c>
      <c r="H67" s="29" t="n">
        <f aca="false">IF(ISNUMBER(H41),RANK(H41,$C$41:$L$41,0),"-")</f>
        <v>4</v>
      </c>
      <c r="I67" s="29" t="n">
        <f aca="false">IF(ISNUMBER(I41),RANK(I41,$C$41:$L$41,0),"-")</f>
        <v>10</v>
      </c>
      <c r="J67" s="29" t="n">
        <f aca="false">IF(ISNUMBER(J41),RANK(J41,$C$41:$L$41,0),"-")</f>
        <v>1</v>
      </c>
      <c r="K67" s="29" t="n">
        <f aca="false">IF(ISNUMBER(K41),RANK(K41,$C$41:$L$41,0),"-")</f>
        <v>7</v>
      </c>
      <c r="L67" s="29" t="n">
        <f aca="false">IF(ISNUMBER(L41),RANK(L41,$C$41:$L$41,0),"-")</f>
        <v>8</v>
      </c>
    </row>
    <row r="68" customFormat="false" ht="15" hidden="false" customHeight="false" outlineLevel="0" collapsed="false">
      <c r="A68" s="18" t="s">
        <v>130</v>
      </c>
      <c r="B68" s="19" t="s">
        <v>155</v>
      </c>
      <c r="C68" s="29" t="n">
        <f aca="false">IF(ISNUMBER(C43),RANK(C43,$C$43:$L$43,1),"-")</f>
        <v>6</v>
      </c>
      <c r="D68" s="29" t="n">
        <f aca="false">IF(ISNUMBER(D43),RANK(D43,$C$43:$L$43,1),"-")</f>
        <v>7</v>
      </c>
      <c r="E68" s="29" t="n">
        <f aca="false">IF(ISNUMBER(E43),RANK(E43,$C$43:$L$43,1),"-")</f>
        <v>3</v>
      </c>
      <c r="F68" s="29" t="n">
        <f aca="false">IF(ISNUMBER(F43),RANK(F43,$C$43:$L$43,1),"-")</f>
        <v>1</v>
      </c>
      <c r="G68" s="29" t="n">
        <f aca="false">IF(ISNUMBER(G43),RANK(G43,$C$43:$L$43,1),"-")</f>
        <v>4</v>
      </c>
      <c r="H68" s="29" t="n">
        <f aca="false">IF(ISNUMBER(H43),RANK(H43,$C$43:$L$43,1),"-")</f>
        <v>9</v>
      </c>
      <c r="I68" s="29" t="n">
        <f aca="false">IF(ISNUMBER(I43),RANK(I43,$C$43:$L$43,1),"-")</f>
        <v>10</v>
      </c>
      <c r="J68" s="29" t="n">
        <f aca="false">IF(ISNUMBER(J43),RANK(J43,$C$43:$L$43,1),"-")</f>
        <v>5</v>
      </c>
      <c r="K68" s="29" t="n">
        <f aca="false">IF(ISNUMBER(K43),RANK(K43,$C$43:$L$43,1),"-")</f>
        <v>8</v>
      </c>
      <c r="L68" s="29" t="n">
        <f aca="false">IF(ISNUMBER(L43),RANK(L43,$C$43:$L$43,1),"-")</f>
        <v>2</v>
      </c>
    </row>
    <row r="69" customFormat="false" ht="15" hidden="false" customHeight="false" outlineLevel="0" collapsed="false">
      <c r="A69" s="18" t="s">
        <v>133</v>
      </c>
      <c r="B69" s="19" t="s">
        <v>154</v>
      </c>
      <c r="C69" s="29" t="n">
        <f aca="false">IF(ISNUMBER(C45),RANK(C45,$C$45:$L$45,0),"-")</f>
        <v>2</v>
      </c>
      <c r="D69" s="29" t="n">
        <f aca="false">IF(ISNUMBER(D45),RANK(D45,$C$45:$L$45,0),"-")</f>
        <v>7</v>
      </c>
      <c r="E69" s="29" t="n">
        <f aca="false">IF(ISNUMBER(E45),RANK(E45,$C$45:$L$45,0),"-")</f>
        <v>8</v>
      </c>
      <c r="F69" s="29" t="n">
        <f aca="false">IF(ISNUMBER(F45),RANK(F45,$C$45:$L$45,0),"-")</f>
        <v>9</v>
      </c>
      <c r="G69" s="29" t="n">
        <f aca="false">IF(ISNUMBER(G45),RANK(G45,$C$45:$L$45,0),"-")</f>
        <v>1</v>
      </c>
      <c r="H69" s="29" t="n">
        <f aca="false">IF(ISNUMBER(H45),RANK(H45,$C$45:$L$45,0),"-")</f>
        <v>6</v>
      </c>
      <c r="I69" s="29" t="n">
        <f aca="false">IF(ISNUMBER(I45),RANK(I45,$C$45:$L$45,0),"-")</f>
        <v>10</v>
      </c>
      <c r="J69" s="29" t="n">
        <f aca="false">IF(ISNUMBER(J45),RANK(J45,$C$45:$L$45,0),"-")</f>
        <v>5</v>
      </c>
      <c r="K69" s="29" t="n">
        <f aca="false">IF(ISNUMBER(K45),RANK(K45,$C$45:$L$45,0),"-")</f>
        <v>4</v>
      </c>
      <c r="L69" s="29" t="n">
        <f aca="false">IF(ISNUMBER(L45),RANK(L45,$C$45:$L$45,0),"-")</f>
        <v>3</v>
      </c>
    </row>
    <row r="70" customFormat="false" ht="15" hidden="false" customHeight="false" outlineLevel="0" collapsed="false">
      <c r="A70" s="18" t="s">
        <v>136</v>
      </c>
      <c r="B70" s="19" t="s">
        <v>154</v>
      </c>
      <c r="C70" s="29" t="n">
        <f aca="false">IF(ISNUMBER(C47),RANK(C47,$C$47:$L$47,0),"-")</f>
        <v>8</v>
      </c>
      <c r="D70" s="29" t="n">
        <f aca="false">IF(ISNUMBER(D47),RANK(D47,$C$47:$L$47,0),"-")</f>
        <v>4</v>
      </c>
      <c r="E70" s="29" t="n">
        <f aca="false">IF(ISNUMBER(E47),RANK(E47,$C$47:$L$47,0),"-")</f>
        <v>2</v>
      </c>
      <c r="F70" s="29" t="n">
        <f aca="false">IF(ISNUMBER(F47),RANK(F47,$C$47:$L$47,0),"-")</f>
        <v>1</v>
      </c>
      <c r="G70" s="29" t="n">
        <f aca="false">IF(ISNUMBER(G47),RANK(G47,$C$47:$L$47,0),"-")</f>
        <v>10</v>
      </c>
      <c r="H70" s="29" t="n">
        <f aca="false">IF(ISNUMBER(H47),RANK(H47,$C$47:$L$47,0),"-")</f>
        <v>9</v>
      </c>
      <c r="I70" s="29" t="n">
        <f aca="false">IF(ISNUMBER(I47),RANK(I47,$C$47:$L$47,0),"-")</f>
        <v>7</v>
      </c>
      <c r="J70" s="29" t="n">
        <f aca="false">IF(ISNUMBER(J47),RANK(J47,$C$47:$L$47,0),"-")</f>
        <v>3</v>
      </c>
      <c r="K70" s="29" t="n">
        <f aca="false">IF(ISNUMBER(K47),RANK(K47,$C$47:$L$47,0),"-")</f>
        <v>5</v>
      </c>
      <c r="L70" s="29" t="n">
        <f aca="false">IF(ISNUMBER(L47),RANK(L47,$C$47:$L$47,0),"-")</f>
        <v>6</v>
      </c>
    </row>
    <row r="71" customFormat="false" ht="15" hidden="false" customHeight="false" outlineLevel="0" collapsed="false">
      <c r="A71" s="18" t="s">
        <v>137</v>
      </c>
      <c r="B71" s="19" t="s">
        <v>154</v>
      </c>
      <c r="C71" s="29" t="n">
        <f aca="false">IF(ISNUMBER(C48),RANK(C48,$C$48:$L$48,0),"-")</f>
        <v>6</v>
      </c>
      <c r="D71" s="29" t="n">
        <f aca="false">IF(ISNUMBER(D48),RANK(D48,$C$48:$L$48,0),"-")</f>
        <v>5</v>
      </c>
      <c r="E71" s="29" t="n">
        <f aca="false">IF(ISNUMBER(E48),RANK(E48,$C$48:$L$48,0),"-")</f>
        <v>3</v>
      </c>
      <c r="F71" s="29" t="n">
        <f aca="false">IF(ISNUMBER(F48),RANK(F48,$C$48:$L$48,0),"-")</f>
        <v>1</v>
      </c>
      <c r="G71" s="29" t="n">
        <f aca="false">IF(ISNUMBER(G48),RANK(G48,$C$48:$L$48,0),"-")</f>
        <v>9</v>
      </c>
      <c r="H71" s="29" t="n">
        <f aca="false">IF(ISNUMBER(H48),RANK(H48,$C$48:$L$48,0),"-")</f>
        <v>7</v>
      </c>
      <c r="I71" s="29" t="n">
        <f aca="false">IF(ISNUMBER(I48),RANK(I48,$C$48:$L$48,0),"-")</f>
        <v>10</v>
      </c>
      <c r="J71" s="29" t="n">
        <f aca="false">IF(ISNUMBER(J48),RANK(J48,$C$48:$L$48,0),"-")</f>
        <v>2</v>
      </c>
      <c r="K71" s="29" t="n">
        <f aca="false">IF(ISNUMBER(K48),RANK(K48,$C$48:$L$48,0),"-")</f>
        <v>4</v>
      </c>
      <c r="L71" s="29" t="n">
        <f aca="false">IF(ISNUMBER(L48),RANK(L48,$C$48:$L$48,0),"-")</f>
        <v>8</v>
      </c>
    </row>
    <row r="72" customFormat="false" ht="15" hidden="false" customHeight="false" outlineLevel="0" collapsed="false">
      <c r="A72" s="18" t="s">
        <v>141</v>
      </c>
      <c r="B72" s="19" t="s">
        <v>154</v>
      </c>
      <c r="C72" s="29" t="n">
        <f aca="false">IF(ISNUMBER(C51),RANK(C51,$C$51:$L$51,0),"-")</f>
        <v>2</v>
      </c>
      <c r="D72" s="29" t="n">
        <f aca="false">IF(ISNUMBER(D51),RANK(D51,$C$51:$L$51,0),"-")</f>
        <v>5</v>
      </c>
      <c r="E72" s="29" t="n">
        <f aca="false">IF(ISNUMBER(E51),RANK(E51,$C$51:$L$51,0),"-")</f>
        <v>3</v>
      </c>
      <c r="F72" s="29" t="n">
        <f aca="false">IF(ISNUMBER(F51),RANK(F51,$C$51:$L$51,0),"-")</f>
        <v>6</v>
      </c>
      <c r="G72" s="29" t="n">
        <f aca="false">IF(ISNUMBER(G51),RANK(G51,$C$51:$L$51,0),"-")</f>
        <v>9</v>
      </c>
      <c r="H72" s="29" t="n">
        <f aca="false">IF(ISNUMBER(H51),RANK(H51,$C$51:$L$51,0),"-")</f>
        <v>7</v>
      </c>
      <c r="I72" s="29" t="n">
        <f aca="false">IF(ISNUMBER(I51),RANK(I51,$C$51:$L$51,0),"-")</f>
        <v>10</v>
      </c>
      <c r="J72" s="29" t="n">
        <f aca="false">IF(ISNUMBER(J51),RANK(J51,$C$51:$L$51,0),"-")</f>
        <v>1</v>
      </c>
      <c r="K72" s="29" t="n">
        <f aca="false">IF(ISNUMBER(K51),RANK(K51,$C$51:$L$51,0),"-")</f>
        <v>4</v>
      </c>
      <c r="L72" s="29" t="n">
        <f aca="false">IF(ISNUMBER(L51),RANK(L51,$C$51:$L$51,0),"-")</f>
        <v>8</v>
      </c>
    </row>
    <row r="73" customFormat="false" ht="15" hidden="false" customHeight="false" outlineLevel="0" collapsed="false">
      <c r="A73" s="18" t="s">
        <v>142</v>
      </c>
      <c r="B73" s="19" t="s">
        <v>154</v>
      </c>
      <c r="C73" s="29" t="n">
        <f aca="false">IF(ISNUMBER(C52),RANK(C52,$C$52:$L$52,0),"-")</f>
        <v>4</v>
      </c>
      <c r="D73" s="29" t="n">
        <f aca="false">IF(ISNUMBER(D52),RANK(D52,$C$52:$L$52,0),"-")</f>
        <v>5</v>
      </c>
      <c r="E73" s="29" t="n">
        <f aca="false">IF(ISNUMBER(E52),RANK(E52,$C$52:$L$52,0),"-")</f>
        <v>1</v>
      </c>
      <c r="F73" s="29" t="n">
        <f aca="false">IF(ISNUMBER(F52),RANK(F52,$C$52:$L$52,0),"-")</f>
        <v>6</v>
      </c>
      <c r="G73" s="29" t="n">
        <f aca="false">IF(ISNUMBER(G52),RANK(G52,$C$52:$L$52,0),"-")</f>
        <v>9</v>
      </c>
      <c r="H73" s="29" t="n">
        <f aca="false">IF(ISNUMBER(H52),RANK(H52,$C$52:$L$52,0),"-")</f>
        <v>7</v>
      </c>
      <c r="I73" s="29" t="n">
        <f aca="false">IF(ISNUMBER(I52),RANK(I52,$C$52:$L$52,0),"-")</f>
        <v>10</v>
      </c>
      <c r="J73" s="29" t="n">
        <f aca="false">IF(ISNUMBER(J52),RANK(J52,$C$52:$L$52,0),"-")</f>
        <v>2</v>
      </c>
      <c r="K73" s="29" t="n">
        <f aca="false">IF(ISNUMBER(K52),RANK(K52,$C$52:$L$52,0),"-")</f>
        <v>3</v>
      </c>
      <c r="L73" s="29" t="n">
        <f aca="false">IF(ISNUMBER(L52),RANK(L52,$C$52:$L$52,0),"-")</f>
        <v>8</v>
      </c>
    </row>
    <row r="74" customFormat="false" ht="15" hidden="false" customHeight="false" outlineLevel="0" collapsed="false">
      <c r="A74" s="12" t="s">
        <v>156</v>
      </c>
      <c r="C74" s="30" t="n">
        <f aca="false">AVERAGE(C64:C73)</f>
        <v>4.4</v>
      </c>
      <c r="D74" s="30" t="n">
        <f aca="false">AVERAGE(D64:D73)</f>
        <v>5.5</v>
      </c>
      <c r="E74" s="30" t="n">
        <f aca="false">AVERAGE(E64:E73)</f>
        <v>4.5</v>
      </c>
      <c r="F74" s="30" t="n">
        <f aca="false">AVERAGE(F64:F73)</f>
        <v>3.2</v>
      </c>
      <c r="G74" s="30" t="n">
        <f aca="false">AVERAGE(G64:G73)</f>
        <v>7.6</v>
      </c>
      <c r="H74" s="30" t="n">
        <f aca="false">AVERAGE(H64:H73)</f>
        <v>6.3</v>
      </c>
      <c r="I74" s="30" t="n">
        <f aca="false">AVERAGE(I64:I73)</f>
        <v>9.5</v>
      </c>
      <c r="J74" s="30" t="n">
        <f aca="false">AVERAGE(J64:J73)</f>
        <v>2.8</v>
      </c>
      <c r="K74" s="30" t="n">
        <f aca="false">AVERAGE(K64:K73)</f>
        <v>4.9</v>
      </c>
      <c r="L74" s="30" t="n">
        <f aca="false">AVERAGE(L64:L73)</f>
        <v>6.3</v>
      </c>
    </row>
    <row r="75" customFormat="false" ht="15" hidden="false" customHeight="false" outlineLevel="0" collapsed="false">
      <c r="A75" s="12" t="s">
        <v>157</v>
      </c>
      <c r="C75" s="31" t="n">
        <f aca="false">RANK(C74,$C$74:$L$74,1)</f>
        <v>3</v>
      </c>
      <c r="D75" s="31" t="n">
        <f aca="false">RANK(D74,$C$74:$L$74,1)</f>
        <v>6</v>
      </c>
      <c r="E75" s="31" t="n">
        <f aca="false">RANK(E74,$C$74:$L$74,1)</f>
        <v>4</v>
      </c>
      <c r="F75" s="31" t="n">
        <f aca="false">RANK(F74,$C$74:$L$74,1)</f>
        <v>2</v>
      </c>
      <c r="G75" s="31" t="n">
        <f aca="false">RANK(G74,$C$74:$L$74,1)</f>
        <v>9</v>
      </c>
      <c r="H75" s="31" t="n">
        <f aca="false">RANK(H74,$C$74:$L$74,1)</f>
        <v>7</v>
      </c>
      <c r="I75" s="31" t="n">
        <f aca="false">RANK(I74,$C$74:$L$74,1)</f>
        <v>10</v>
      </c>
      <c r="J75" s="31" t="n">
        <f aca="false">RANK(J74,$C$74:$L$74,1)</f>
        <v>1</v>
      </c>
      <c r="K75" s="31" t="n">
        <f aca="false">RANK(K74,$C$74:$L$74,1)</f>
        <v>5</v>
      </c>
      <c r="L75" s="31" t="n">
        <f aca="false">RANK(L74,$C$74:$L$74,1)</f>
        <v>7</v>
      </c>
    </row>
    <row r="79" customFormat="false" ht="15" hidden="false" customHeight="false" outlineLevel="0" collapsed="false">
      <c r="A79" s="16" t="s">
        <v>158</v>
      </c>
      <c r="B79" s="17"/>
      <c r="C79" s="17"/>
      <c r="D79" s="17"/>
      <c r="E79" s="17"/>
      <c r="F79" s="17"/>
      <c r="G79" s="17"/>
      <c r="H79" s="17"/>
      <c r="I79" s="17"/>
      <c r="J79" s="17"/>
      <c r="K79" s="17"/>
      <c r="L79" s="17"/>
      <c r="M79" s="17"/>
      <c r="N79" s="17"/>
    </row>
    <row r="80" customFormat="false" ht="30" hidden="false" customHeight="true" outlineLevel="0" collapsed="false">
      <c r="A80" s="7" t="s">
        <v>108</v>
      </c>
      <c r="B80" s="7" t="s">
        <v>153</v>
      </c>
      <c r="C80" s="7" t="s">
        <v>110</v>
      </c>
      <c r="D80" s="7" t="s">
        <v>111</v>
      </c>
      <c r="E80" s="7" t="s">
        <v>112</v>
      </c>
      <c r="F80" s="7" t="s">
        <v>67</v>
      </c>
      <c r="G80" s="7" t="s">
        <v>113</v>
      </c>
      <c r="H80" s="7" t="s">
        <v>114</v>
      </c>
      <c r="I80" s="7" t="s">
        <v>115</v>
      </c>
      <c r="J80" s="7" t="s">
        <v>86</v>
      </c>
      <c r="K80" s="7" t="s">
        <v>116</v>
      </c>
      <c r="L80" s="7" t="s">
        <v>117</v>
      </c>
    </row>
    <row r="81" customFormat="false" ht="15" hidden="false" customHeight="false" outlineLevel="0" collapsed="false">
      <c r="A81" s="18" t="s">
        <v>119</v>
      </c>
      <c r="B81" s="19" t="s">
        <v>154</v>
      </c>
      <c r="C81" s="29" t="n">
        <f aca="false">IF(ISNUMBER(C6),RANK(C6,$C$6:$L$6,0),"-")</f>
        <v>3</v>
      </c>
      <c r="D81" s="29" t="n">
        <f aca="false">IF(ISNUMBER(D6),RANK(D6,$C$6:$L$6,0),"-")</f>
        <v>7</v>
      </c>
      <c r="E81" s="29" t="n">
        <f aca="false">IF(ISNUMBER(E6),RANK(E6,$C$6:$L$6,0),"-")</f>
        <v>9</v>
      </c>
      <c r="F81" s="29" t="n">
        <f aca="false">IF(ISNUMBER(F6),RANK(F6,$C$6:$L$6,0),"-")</f>
        <v>2</v>
      </c>
      <c r="G81" s="29" t="n">
        <f aca="false">IF(ISNUMBER(G6),RANK(G6,$C$6:$L$6,0),"-")</f>
        <v>4</v>
      </c>
      <c r="H81" s="29" t="n">
        <f aca="false">IF(ISNUMBER(H6),RANK(H6,$C$6:$L$6,0),"-")</f>
        <v>5</v>
      </c>
      <c r="I81" s="29" t="n">
        <f aca="false">IF(ISNUMBER(I6),RANK(I6,$C$6:$L$6,0),"-")</f>
        <v>10</v>
      </c>
      <c r="J81" s="29" t="n">
        <f aca="false">IF(ISNUMBER(J6),RANK(J6,$C$6:$L$6,0),"-")</f>
        <v>6</v>
      </c>
      <c r="K81" s="29" t="n">
        <f aca="false">IF(ISNUMBER(K6),RANK(K6,$C$6:$L$6,0),"-")</f>
        <v>1</v>
      </c>
      <c r="L81" s="29" t="n">
        <f aca="false">IF(ISNUMBER(L6),RANK(L6,$C$6:$L$6,0),"-")</f>
        <v>8</v>
      </c>
    </row>
    <row r="82" customFormat="false" ht="15" hidden="false" customHeight="false" outlineLevel="0" collapsed="false">
      <c r="A82" s="18" t="s">
        <v>122</v>
      </c>
      <c r="B82" s="19" t="s">
        <v>154</v>
      </c>
      <c r="C82" s="29" t="n">
        <f aca="false">IF(ISNUMBER(C8),RANK(C8,$C$8:$L$8,0),"-")</f>
        <v>10</v>
      </c>
      <c r="D82" s="29" t="n">
        <f aca="false">IF(ISNUMBER(D8),RANK(D8,$C$8:$L$8,0),"-")</f>
        <v>4</v>
      </c>
      <c r="E82" s="29" t="n">
        <f aca="false">IF(ISNUMBER(E8),RANK(E8,$C$8:$L$8,0),"-")</f>
        <v>3</v>
      </c>
      <c r="F82" s="29" t="n">
        <f aca="false">IF(ISNUMBER(F8),RANK(F8,$C$8:$L$8,0),"-")</f>
        <v>1</v>
      </c>
      <c r="G82" s="29" t="n">
        <f aca="false">IF(ISNUMBER(G8),RANK(G8,$C$8:$L$8,0),"-")</f>
        <v>9</v>
      </c>
      <c r="H82" s="29" t="n">
        <f aca="false">IF(ISNUMBER(H8),RANK(H8,$C$8:$L$8,0),"-")</f>
        <v>5</v>
      </c>
      <c r="I82" s="29" t="n">
        <f aca="false">IF(ISNUMBER(I8),RANK(I8,$C$8:$L$8,0),"-")</f>
        <v>7</v>
      </c>
      <c r="J82" s="29" t="n">
        <f aca="false">IF(ISNUMBER(J8),RANK(J8,$C$8:$L$8,0),"-")</f>
        <v>2</v>
      </c>
      <c r="K82" s="29" t="n">
        <f aca="false">IF(ISNUMBER(K8),RANK(K8,$C$8:$L$8,0),"-")</f>
        <v>8</v>
      </c>
      <c r="L82" s="29" t="n">
        <f aca="false">IF(ISNUMBER(L8),RANK(L8,$C$8:$L$8,0),"-")</f>
        <v>6</v>
      </c>
    </row>
    <row r="83" customFormat="false" ht="15" hidden="false" customHeight="false" outlineLevel="0" collapsed="false">
      <c r="A83" s="18" t="s">
        <v>123</v>
      </c>
      <c r="B83" s="19" t="s">
        <v>155</v>
      </c>
      <c r="C83" s="29" t="n">
        <f aca="false">IF(ISNUMBER(C9),RANK(C9,$C$9:$L$9,1),"-")</f>
        <v>4</v>
      </c>
      <c r="D83" s="29" t="n">
        <f aca="false">IF(ISNUMBER(D9),RANK(D9,$C$9:$L$9,1),"-")</f>
        <v>9</v>
      </c>
      <c r="E83" s="29" t="n">
        <f aca="false">IF(ISNUMBER(E9),RANK(E9,$C$9:$L$9,1),"-")</f>
        <v>6</v>
      </c>
      <c r="F83" s="29" t="n">
        <f aca="false">IF(ISNUMBER(F9),RANK(F9,$C$9:$L$9,1),"-")</f>
        <v>2</v>
      </c>
      <c r="G83" s="29" t="n">
        <f aca="false">IF(ISNUMBER(G9),RANK(G9,$C$9:$L$9,1),"-")</f>
        <v>8</v>
      </c>
      <c r="H83" s="29" t="n">
        <f aca="false">IF(ISNUMBER(H9),RANK(H9,$C$9:$L$9,1),"-")</f>
        <v>1</v>
      </c>
      <c r="I83" s="29" t="n">
        <f aca="false">IF(ISNUMBER(I9),RANK(I9,$C$9:$L$9,1),"-")</f>
        <v>10</v>
      </c>
      <c r="J83" s="29" t="n">
        <f aca="false">IF(ISNUMBER(J9),RANK(J9,$C$9:$L$9,1),"-")</f>
        <v>3</v>
      </c>
      <c r="K83" s="29" t="n">
        <f aca="false">IF(ISNUMBER(K9),RANK(K9,$C$9:$L$9,1),"-")</f>
        <v>7</v>
      </c>
      <c r="L83" s="29" t="n">
        <f aca="false">IF(ISNUMBER(L9),RANK(L9,$C$9:$L$9,1),"-")</f>
        <v>5</v>
      </c>
    </row>
    <row r="84" customFormat="false" ht="15" hidden="false" customHeight="false" outlineLevel="0" collapsed="false">
      <c r="A84" s="18" t="s">
        <v>127</v>
      </c>
      <c r="B84" s="19" t="s">
        <v>154</v>
      </c>
      <c r="C84" s="29" t="n">
        <f aca="false">IF(ISNUMBER(C12),RANK(C12,$C$12:$L$12,0),"-")</f>
        <v>4</v>
      </c>
      <c r="D84" s="29" t="n">
        <f aca="false">IF(ISNUMBER(D12),RANK(D12,$C$12:$L$12,0),"-")</f>
        <v>10</v>
      </c>
      <c r="E84" s="29" t="n">
        <f aca="false">IF(ISNUMBER(E12),RANK(E12,$C$12:$L$12,0),"-")</f>
        <v>5</v>
      </c>
      <c r="F84" s="29" t="n">
        <f aca="false">IF(ISNUMBER(F12),RANK(F12,$C$12:$L$12,0),"-")</f>
        <v>3</v>
      </c>
      <c r="G84" s="29" t="n">
        <f aca="false">IF(ISNUMBER(G12),RANK(G12,$C$12:$L$12,0),"-")</f>
        <v>6</v>
      </c>
      <c r="H84" s="29" t="n">
        <f aca="false">IF(ISNUMBER(H12),RANK(H12,$C$12:$L$12,0),"-")</f>
        <v>1</v>
      </c>
      <c r="I84" s="29" t="n">
        <f aca="false">IF(ISNUMBER(I12),RANK(I12,$C$12:$L$12,0),"-")</f>
        <v>8</v>
      </c>
      <c r="J84" s="29" t="n">
        <f aca="false">IF(ISNUMBER(J12),RANK(J12,$C$12:$L$12,0),"-")</f>
        <v>2</v>
      </c>
      <c r="K84" s="29" t="n">
        <f aca="false">IF(ISNUMBER(K12),RANK(K12,$C$12:$L$12,0),"-")</f>
        <v>7</v>
      </c>
      <c r="L84" s="29" t="n">
        <f aca="false">IF(ISNUMBER(L12),RANK(L12,$C$12:$L$12,0),"-")</f>
        <v>9</v>
      </c>
    </row>
    <row r="85" customFormat="false" ht="15" hidden="false" customHeight="false" outlineLevel="0" collapsed="false">
      <c r="A85" s="18" t="s">
        <v>130</v>
      </c>
      <c r="B85" s="19" t="s">
        <v>155</v>
      </c>
      <c r="C85" s="29" t="n">
        <f aca="false">IF(ISNUMBER(C14),RANK(C14,$C$14:$L$14,1),"-")</f>
        <v>9</v>
      </c>
      <c r="D85" s="29" t="n">
        <f aca="false">IF(ISNUMBER(D14),RANK(D14,$C$14:$L$14,1),"-")</f>
        <v>5</v>
      </c>
      <c r="E85" s="29" t="n">
        <f aca="false">IF(ISNUMBER(E14),RANK(E14,$C$14:$L$14,1),"-")</f>
        <v>3</v>
      </c>
      <c r="F85" s="29" t="n">
        <f aca="false">IF(ISNUMBER(F14),RANK(F14,$C$14:$L$14,1),"-")</f>
        <v>1</v>
      </c>
      <c r="G85" s="29" t="n">
        <f aca="false">IF(ISNUMBER(G14),RANK(G14,$C$14:$L$14,1),"-")</f>
        <v>7</v>
      </c>
      <c r="H85" s="29" t="n">
        <f aca="false">IF(ISNUMBER(H14),RANK(H14,$C$14:$L$14,1),"-")</f>
        <v>6</v>
      </c>
      <c r="I85" s="29" t="n">
        <f aca="false">IF(ISNUMBER(I14),RANK(I14,$C$14:$L$14,1),"-")</f>
        <v>8</v>
      </c>
      <c r="J85" s="29" t="n">
        <f aca="false">IF(ISNUMBER(J14),RANK(J14,$C$14:$L$14,1),"-")</f>
        <v>4</v>
      </c>
      <c r="K85" s="29" t="n">
        <f aca="false">IF(ISNUMBER(K14),RANK(K14,$C$14:$L$14,1),"-")</f>
        <v>10</v>
      </c>
      <c r="L85" s="29" t="n">
        <f aca="false">IF(ISNUMBER(L14),RANK(L14,$C$14:$L$14,1),"-")</f>
        <v>2</v>
      </c>
    </row>
    <row r="86" customFormat="false" ht="15" hidden="false" customHeight="false" outlineLevel="0" collapsed="false">
      <c r="A86" s="18" t="s">
        <v>133</v>
      </c>
      <c r="B86" s="19" t="s">
        <v>154</v>
      </c>
      <c r="C86" s="29" t="n">
        <f aca="false">IF(ISNUMBER(C16),RANK(C16,$C$16:$L$16,0),"-")</f>
        <v>1</v>
      </c>
      <c r="D86" s="29" t="n">
        <f aca="false">IF(ISNUMBER(D16),RANK(D16,$C$16:$L$16,0),"-")</f>
        <v>8</v>
      </c>
      <c r="E86" s="29" t="n">
        <f aca="false">IF(ISNUMBER(E16),RANK(E16,$C$16:$L$16,0),"-")</f>
        <v>6</v>
      </c>
      <c r="F86" s="29" t="n">
        <f aca="false">IF(ISNUMBER(F16),RANK(F16,$C$16:$L$16,0),"-")</f>
        <v>9</v>
      </c>
      <c r="G86" s="29" t="n">
        <f aca="false">IF(ISNUMBER(G16),RANK(G16,$C$16:$L$16,0),"-")</f>
        <v>3</v>
      </c>
      <c r="H86" s="29" t="n">
        <f aca="false">IF(ISNUMBER(H16),RANK(H16,$C$16:$L$16,0),"-")</f>
        <v>4</v>
      </c>
      <c r="I86" s="29" t="n">
        <f aca="false">IF(ISNUMBER(I16),RANK(I16,$C$16:$L$16,0),"-")</f>
        <v>10</v>
      </c>
      <c r="J86" s="29" t="n">
        <f aca="false">IF(ISNUMBER(J16),RANK(J16,$C$16:$L$16,0),"-")</f>
        <v>7</v>
      </c>
      <c r="K86" s="29" t="n">
        <f aca="false">IF(ISNUMBER(K16),RANK(K16,$C$16:$L$16,0),"-")</f>
        <v>5</v>
      </c>
      <c r="L86" s="29" t="n">
        <f aca="false">IF(ISNUMBER(L16),RANK(L16,$C$16:$L$16,0),"-")</f>
        <v>2</v>
      </c>
    </row>
    <row r="87" customFormat="false" ht="15" hidden="false" customHeight="false" outlineLevel="0" collapsed="false">
      <c r="A87" s="18" t="s">
        <v>136</v>
      </c>
      <c r="B87" s="19" t="s">
        <v>154</v>
      </c>
      <c r="C87" s="29" t="n">
        <f aca="false">IF(ISNUMBER(C18),RANK(C18,$C$18:$L$18,0),"-")</f>
        <v>7</v>
      </c>
      <c r="D87" s="29" t="n">
        <f aca="false">IF(ISNUMBER(D18),RANK(D18,$C$18:$L$18,0),"-")</f>
        <v>4</v>
      </c>
      <c r="E87" s="29" t="n">
        <f aca="false">IF(ISNUMBER(E18),RANK(E18,$C$18:$L$18,0),"-")</f>
        <v>3</v>
      </c>
      <c r="F87" s="29" t="n">
        <f aca="false">IF(ISNUMBER(F18),RANK(F18,$C$18:$L$18,0),"-")</f>
        <v>1</v>
      </c>
      <c r="G87" s="29" t="n">
        <f aca="false">IF(ISNUMBER(G18),RANK(G18,$C$18:$L$18,0),"-")</f>
        <v>8</v>
      </c>
      <c r="H87" s="29" t="n">
        <f aca="false">IF(ISNUMBER(H18),RANK(H18,$C$18:$L$18,0),"-")</f>
        <v>10</v>
      </c>
      <c r="I87" s="29" t="n">
        <f aca="false">IF(ISNUMBER(I18),RANK(I18,$C$18:$L$18,0),"-")</f>
        <v>2</v>
      </c>
      <c r="J87" s="29" t="n">
        <f aca="false">IF(ISNUMBER(J18),RANK(J18,$C$18:$L$18,0),"-")</f>
        <v>5</v>
      </c>
      <c r="K87" s="29" t="n">
        <f aca="false">IF(ISNUMBER(K18),RANK(K18,$C$18:$L$18,0),"-")</f>
        <v>9</v>
      </c>
      <c r="L87" s="29" t="n">
        <f aca="false">IF(ISNUMBER(L18),RANK(L18,$C$18:$L$18,0),"-")</f>
        <v>6</v>
      </c>
    </row>
    <row r="88" customFormat="false" ht="15" hidden="false" customHeight="false" outlineLevel="0" collapsed="false">
      <c r="A88" s="18" t="s">
        <v>137</v>
      </c>
      <c r="B88" s="19" t="s">
        <v>154</v>
      </c>
      <c r="C88" s="29" t="n">
        <f aca="false">IF(ISNUMBER(C19),RANK(C19,$C$19:$L$19,0),"-")</f>
        <v>5</v>
      </c>
      <c r="D88" s="29" t="n">
        <f aca="false">IF(ISNUMBER(D19),RANK(D19,$C$19:$L$19,0),"-")</f>
        <v>9</v>
      </c>
      <c r="E88" s="29" t="n">
        <f aca="false">IF(ISNUMBER(E19),RANK(E19,$C$19:$L$19,0),"-")</f>
        <v>4</v>
      </c>
      <c r="F88" s="29" t="n">
        <f aca="false">IF(ISNUMBER(F19),RANK(F19,$C$19:$L$19,0),"-")</f>
        <v>1</v>
      </c>
      <c r="G88" s="29" t="n">
        <f aca="false">IF(ISNUMBER(G19),RANK(G19,$C$19:$L$19,0),"-")</f>
        <v>7</v>
      </c>
      <c r="H88" s="29" t="n">
        <f aca="false">IF(ISNUMBER(H19),RANK(H19,$C$19:$L$19,0),"-")</f>
        <v>6</v>
      </c>
      <c r="I88" s="29" t="n">
        <f aca="false">IF(ISNUMBER(I19),RANK(I19,$C$19:$L$19,0),"-")</f>
        <v>2</v>
      </c>
      <c r="J88" s="29" t="n">
        <f aca="false">IF(ISNUMBER(J19),RANK(J19,$C$19:$L$19,0),"-")</f>
        <v>3</v>
      </c>
      <c r="K88" s="29" t="n">
        <f aca="false">IF(ISNUMBER(K19),RANK(K19,$C$19:$L$19,0),"-")</f>
        <v>8</v>
      </c>
      <c r="L88" s="29" t="n">
        <f aca="false">IF(ISNUMBER(L19),RANK(L19,$C$19:$L$19,0),"-")</f>
        <v>10</v>
      </c>
    </row>
    <row r="89" customFormat="false" ht="15" hidden="false" customHeight="false" outlineLevel="0" collapsed="false">
      <c r="A89" s="18" t="s">
        <v>141</v>
      </c>
      <c r="B89" s="19" t="s">
        <v>154</v>
      </c>
      <c r="C89" s="29" t="n">
        <f aca="false">IF(ISNUMBER(C22),RANK(C22,$C$22:$L$22,0),"-")</f>
        <v>3</v>
      </c>
      <c r="D89" s="29" t="n">
        <f aca="false">IF(ISNUMBER(D22),RANK(D22,$C$22:$L$22,0),"-")</f>
        <v>9</v>
      </c>
      <c r="E89" s="29" t="n">
        <f aca="false">IF(ISNUMBER(E22),RANK(E22,$C$22:$L$22,0),"-")</f>
        <v>4</v>
      </c>
      <c r="F89" s="29" t="n">
        <f aca="false">IF(ISNUMBER(F22),RANK(F22,$C$22:$L$22,0),"-")</f>
        <v>5</v>
      </c>
      <c r="G89" s="29" t="n">
        <f aca="false">IF(ISNUMBER(G22),RANK(G22,$C$22:$L$22,0),"-")</f>
        <v>6</v>
      </c>
      <c r="H89" s="29" t="n">
        <f aca="false">IF(ISNUMBER(H22),RANK(H22,$C$22:$L$22,0),"-")</f>
        <v>7</v>
      </c>
      <c r="I89" s="29" t="n">
        <f aca="false">IF(ISNUMBER(I22),RANK(I22,$C$22:$L$22,0),"-")</f>
        <v>1</v>
      </c>
      <c r="J89" s="29" t="n">
        <f aca="false">IF(ISNUMBER(J22),RANK(J22,$C$22:$L$22,0),"-")</f>
        <v>2</v>
      </c>
      <c r="K89" s="29" t="n">
        <f aca="false">IF(ISNUMBER(K22),RANK(K22,$C$22:$L$22,0),"-")</f>
        <v>8</v>
      </c>
      <c r="L89" s="29" t="n">
        <f aca="false">IF(ISNUMBER(L22),RANK(L22,$C$22:$L$22,0),"-")</f>
        <v>10</v>
      </c>
    </row>
    <row r="90" customFormat="false" ht="15" hidden="false" customHeight="false" outlineLevel="0" collapsed="false">
      <c r="A90" s="18" t="s">
        <v>142</v>
      </c>
      <c r="B90" s="19" t="s">
        <v>154</v>
      </c>
      <c r="C90" s="29" t="n">
        <f aca="false">IF(ISNUMBER(C23),RANK(C23,$C$23:$L$23,0),"-")</f>
        <v>4</v>
      </c>
      <c r="D90" s="29" t="n">
        <f aca="false">IF(ISNUMBER(D23),RANK(D23,$C$23:$L$23,0),"-")</f>
        <v>9</v>
      </c>
      <c r="E90" s="29" t="n">
        <f aca="false">IF(ISNUMBER(E23),RANK(E23,$C$23:$L$23,0),"-")</f>
        <v>3</v>
      </c>
      <c r="F90" s="29" t="n">
        <f aca="false">IF(ISNUMBER(F23),RANK(F23,$C$23:$L$23,0),"-")</f>
        <v>5</v>
      </c>
      <c r="G90" s="29" t="n">
        <f aca="false">IF(ISNUMBER(G23),RANK(G23,$C$23:$L$23,0),"-")</f>
        <v>6</v>
      </c>
      <c r="H90" s="29" t="n">
        <f aca="false">IF(ISNUMBER(H23),RANK(H23,$C$23:$L$23,0),"-")</f>
        <v>7</v>
      </c>
      <c r="I90" s="29" t="n">
        <f aca="false">IF(ISNUMBER(I23),RANK(I23,$C$23:$L$23,0),"-")</f>
        <v>1</v>
      </c>
      <c r="J90" s="29" t="n">
        <f aca="false">IF(ISNUMBER(J23),RANK(J23,$C$23:$L$23,0),"-")</f>
        <v>2</v>
      </c>
      <c r="K90" s="29" t="n">
        <f aca="false">IF(ISNUMBER(K23),RANK(K23,$C$23:$L$23,0),"-")</f>
        <v>8</v>
      </c>
      <c r="L90" s="29" t="n">
        <f aca="false">IF(ISNUMBER(L23),RANK(L23,$C$23:$L$23,0),"-")</f>
        <v>10</v>
      </c>
    </row>
    <row r="91" customFormat="false" ht="15" hidden="false" customHeight="false" outlineLevel="0" collapsed="false">
      <c r="A91" s="12" t="s">
        <v>156</v>
      </c>
      <c r="C91" s="30" t="n">
        <f aca="false">AVERAGE(C81:C90)</f>
        <v>5</v>
      </c>
      <c r="D91" s="30" t="n">
        <f aca="false">AVERAGE(D81:D90)</f>
        <v>7.4</v>
      </c>
      <c r="E91" s="30" t="n">
        <f aca="false">AVERAGE(E81:E90)</f>
        <v>4.6</v>
      </c>
      <c r="F91" s="30" t="n">
        <f aca="false">AVERAGE(F81:F90)</f>
        <v>3</v>
      </c>
      <c r="G91" s="30" t="n">
        <f aca="false">AVERAGE(G81:G90)</f>
        <v>6.4</v>
      </c>
      <c r="H91" s="30" t="n">
        <f aca="false">AVERAGE(H81:H90)</f>
        <v>5.2</v>
      </c>
      <c r="I91" s="30" t="n">
        <f aca="false">AVERAGE(I81:I90)</f>
        <v>5.9</v>
      </c>
      <c r="J91" s="30" t="n">
        <f aca="false">AVERAGE(J81:J90)</f>
        <v>3.6</v>
      </c>
      <c r="K91" s="30" t="n">
        <f aca="false">AVERAGE(K81:K90)</f>
        <v>7.1</v>
      </c>
      <c r="L91" s="30" t="n">
        <f aca="false">AVERAGE(L81:L90)</f>
        <v>6.8</v>
      </c>
    </row>
    <row r="92" customFormat="false" ht="15" hidden="false" customHeight="false" outlineLevel="0" collapsed="false">
      <c r="A92" s="12" t="s">
        <v>157</v>
      </c>
      <c r="C92" s="31" t="n">
        <f aca="false">RANK(C91,$C$91:$L$91,1)</f>
        <v>4</v>
      </c>
      <c r="D92" s="31" t="n">
        <f aca="false">RANK(D91,$C$91:$L$91,1)</f>
        <v>10</v>
      </c>
      <c r="E92" s="31" t="n">
        <f aca="false">RANK(E91,$C$91:$L$91,1)</f>
        <v>3</v>
      </c>
      <c r="F92" s="31" t="n">
        <f aca="false">RANK(F91,$C$91:$L$91,1)</f>
        <v>1</v>
      </c>
      <c r="G92" s="31" t="n">
        <f aca="false">RANK(G91,$C$91:$L$91,1)</f>
        <v>7</v>
      </c>
      <c r="H92" s="31" t="n">
        <f aca="false">RANK(H91,$C$91:$L$91,1)</f>
        <v>5</v>
      </c>
      <c r="I92" s="31" t="n">
        <f aca="false">RANK(I91,$C$91:$L$91,1)</f>
        <v>6</v>
      </c>
      <c r="J92" s="31" t="n">
        <f aca="false">RANK(J91,$C$91:$L$91,1)</f>
        <v>2</v>
      </c>
      <c r="K92" s="31" t="n">
        <f aca="false">RANK(K91,$C$91:$L$91,1)</f>
        <v>9</v>
      </c>
      <c r="L92" s="31" t="n">
        <f aca="false">RANK(L91,$C$91:$L$91,1)</f>
        <v>8</v>
      </c>
    </row>
  </sheetData>
  <conditionalFormatting sqref="C6:L6">
    <cfRule type="expression" priority="2" aboveAverage="0" equalAverage="0" bottom="0" percent="0" rank="0" text="" dxfId="0">
      <formula>AND(ISNUMBER(C6),C6&gt;$N6)</formula>
    </cfRule>
    <cfRule type="expression" priority="3" aboveAverage="0" equalAverage="0" bottom="0" percent="0" rank="0" text="" dxfId="1">
      <formula>AND(ISNUMBER(C6),C6&lt;$N6)</formula>
    </cfRule>
  </conditionalFormatting>
  <conditionalFormatting sqref="C7:L7">
    <cfRule type="expression" priority="4" aboveAverage="0" equalAverage="0" bottom="0" percent="0" rank="0" text="" dxfId="0">
      <formula>AND(ISNUMBER(C7),C7&gt;$N7)</formula>
    </cfRule>
    <cfRule type="expression" priority="5" aboveAverage="0" equalAverage="0" bottom="0" percent="0" rank="0" text="" dxfId="1">
      <formula>AND(ISNUMBER(C7),C7&lt;$N7)</formula>
    </cfRule>
  </conditionalFormatting>
  <conditionalFormatting sqref="C8:L8">
    <cfRule type="expression" priority="6" aboveAverage="0" equalAverage="0" bottom="0" percent="0" rank="0" text="" dxfId="0">
      <formula>AND(ISNUMBER(C8),C8&gt;$N8)</formula>
    </cfRule>
    <cfRule type="expression" priority="7" aboveAverage="0" equalAverage="0" bottom="0" percent="0" rank="0" text="" dxfId="1">
      <formula>AND(ISNUMBER(C8),C8&lt;$N8)</formula>
    </cfRule>
  </conditionalFormatting>
  <conditionalFormatting sqref="C9:L9">
    <cfRule type="expression" priority="8" aboveAverage="0" equalAverage="0" bottom="0" percent="0" rank="0" text="" dxfId="0">
      <formula>AND(ISNUMBER(C9),C9&lt;$N9)</formula>
    </cfRule>
    <cfRule type="expression" priority="9" aboveAverage="0" equalAverage="0" bottom="0" percent="0" rank="0" text="" dxfId="1">
      <formula>AND(ISNUMBER(C9),C9&gt;$N9)</formula>
    </cfRule>
  </conditionalFormatting>
  <conditionalFormatting sqref="C10:L10">
    <cfRule type="expression" priority="10" aboveAverage="0" equalAverage="0" bottom="0" percent="0" rank="0" text="" dxfId="0">
      <formula>AND(ISNUMBER(C10),C10&gt;$N10)</formula>
    </cfRule>
    <cfRule type="expression" priority="11" aboveAverage="0" equalAverage="0" bottom="0" percent="0" rank="0" text="" dxfId="1">
      <formula>AND(ISNUMBER(C10),C10&lt;$N10)</formula>
    </cfRule>
  </conditionalFormatting>
  <conditionalFormatting sqref="C11:L11">
    <cfRule type="expression" priority="12" aboveAverage="0" equalAverage="0" bottom="0" percent="0" rank="0" text="" dxfId="0">
      <formula>AND(ISNUMBER(C11),C11&lt;$N11)</formula>
    </cfRule>
    <cfRule type="expression" priority="13" aboveAverage="0" equalAverage="0" bottom="0" percent="0" rank="0" text="" dxfId="1">
      <formula>AND(ISNUMBER(C11),C11&gt;$N11)</formula>
    </cfRule>
  </conditionalFormatting>
  <conditionalFormatting sqref="C12:L12">
    <cfRule type="expression" priority="14" aboveAverage="0" equalAverage="0" bottom="0" percent="0" rank="0" text="" dxfId="0">
      <formula>AND(ISNUMBER(C12),C12&gt;$N12)</formula>
    </cfRule>
    <cfRule type="expression" priority="15" aboveAverage="0" equalAverage="0" bottom="0" percent="0" rank="0" text="" dxfId="1">
      <formula>AND(ISNUMBER(C12),C12&lt;$N12)</formula>
    </cfRule>
  </conditionalFormatting>
  <conditionalFormatting sqref="C13:L13">
    <cfRule type="expression" priority="16" aboveAverage="0" equalAverage="0" bottom="0" percent="0" rank="0" text="" dxfId="0">
      <formula>AND(ISNUMBER(C13),C13&gt;$N13)</formula>
    </cfRule>
    <cfRule type="expression" priority="17" aboveAverage="0" equalAverage="0" bottom="0" percent="0" rank="0" text="" dxfId="1">
      <formula>AND(ISNUMBER(C13),C13&lt;$N13)</formula>
    </cfRule>
  </conditionalFormatting>
  <conditionalFormatting sqref="C14:L14">
    <cfRule type="expression" priority="18" aboveAverage="0" equalAverage="0" bottom="0" percent="0" rank="0" text="" dxfId="0">
      <formula>AND(ISNUMBER(C14),C14&lt;$N14)</formula>
    </cfRule>
    <cfRule type="expression" priority="19" aboveAverage="0" equalAverage="0" bottom="0" percent="0" rank="0" text="" dxfId="1">
      <formula>AND(ISNUMBER(C14),C14&gt;$N14)</formula>
    </cfRule>
  </conditionalFormatting>
  <conditionalFormatting sqref="C15:L15">
    <cfRule type="expression" priority="20" aboveAverage="0" equalAverage="0" bottom="0" percent="0" rank="0" text="" dxfId="0">
      <formula>AND(ISNUMBER(C15),C15&gt;$N15)</formula>
    </cfRule>
    <cfRule type="expression" priority="21" aboveAverage="0" equalAverage="0" bottom="0" percent="0" rank="0" text="" dxfId="1">
      <formula>AND(ISNUMBER(C15),C15&lt;$N15)</formula>
    </cfRule>
  </conditionalFormatting>
  <conditionalFormatting sqref="C16:L16">
    <cfRule type="expression" priority="22" aboveAverage="0" equalAverage="0" bottom="0" percent="0" rank="0" text="" dxfId="0">
      <formula>AND(ISNUMBER(C16),C16&gt;$N16)</formula>
    </cfRule>
    <cfRule type="expression" priority="23" aboveAverage="0" equalAverage="0" bottom="0" percent="0" rank="0" text="" dxfId="1">
      <formula>AND(ISNUMBER(C16),C16&lt;$N16)</formula>
    </cfRule>
  </conditionalFormatting>
  <conditionalFormatting sqref="C17:L17">
    <cfRule type="expression" priority="24" aboveAverage="0" equalAverage="0" bottom="0" percent="0" rank="0" text="" dxfId="0">
      <formula>AND(ISNUMBER(C17),C17&gt;$N17)</formula>
    </cfRule>
    <cfRule type="expression" priority="25" aboveAverage="0" equalAverage="0" bottom="0" percent="0" rank="0" text="" dxfId="1">
      <formula>AND(ISNUMBER(C17),C17&lt;$N17)</formula>
    </cfRule>
  </conditionalFormatting>
  <conditionalFormatting sqref="C18:L18">
    <cfRule type="expression" priority="26" aboveAverage="0" equalAverage="0" bottom="0" percent="0" rank="0" text="" dxfId="0">
      <formula>AND(ISNUMBER(C18),C18&gt;$N18)</formula>
    </cfRule>
    <cfRule type="expression" priority="27" aboveAverage="0" equalAverage="0" bottom="0" percent="0" rank="0" text="" dxfId="1">
      <formula>AND(ISNUMBER(C18),C18&lt;$N18)</formula>
    </cfRule>
  </conditionalFormatting>
  <conditionalFormatting sqref="C19:L19">
    <cfRule type="expression" priority="28" aboveAverage="0" equalAverage="0" bottom="0" percent="0" rank="0" text="" dxfId="0">
      <formula>AND(ISNUMBER(C19),C19&gt;$N19)</formula>
    </cfRule>
    <cfRule type="expression" priority="29" aboveAverage="0" equalAverage="0" bottom="0" percent="0" rank="0" text="" dxfId="1">
      <formula>AND(ISNUMBER(C19),C19&lt;$N19)</formula>
    </cfRule>
  </conditionalFormatting>
  <conditionalFormatting sqref="C20:L20">
    <cfRule type="expression" priority="30" aboveAverage="0" equalAverage="0" bottom="0" percent="0" rank="0" text="" dxfId="0">
      <formula>AND(ISNUMBER(C20),C20&lt;$N20)</formula>
    </cfRule>
    <cfRule type="expression" priority="31" aboveAverage="0" equalAverage="0" bottom="0" percent="0" rank="0" text="" dxfId="1">
      <formula>AND(ISNUMBER(C20),C20&gt;$N20)</formula>
    </cfRule>
  </conditionalFormatting>
  <conditionalFormatting sqref="C21:L21">
    <cfRule type="expression" priority="32" aboveAverage="0" equalAverage="0" bottom="0" percent="0" rank="0" text="" dxfId="0">
      <formula>AND(ISNUMBER(C21),C21&gt;$N21)</formula>
    </cfRule>
    <cfRule type="expression" priority="33" aboveAverage="0" equalAverage="0" bottom="0" percent="0" rank="0" text="" dxfId="1">
      <formula>AND(ISNUMBER(C21),C21&lt;$N21)</formula>
    </cfRule>
  </conditionalFormatting>
  <conditionalFormatting sqref="C22:L22">
    <cfRule type="expression" priority="34" aboveAverage="0" equalAverage="0" bottom="0" percent="0" rank="0" text="" dxfId="0">
      <formula>AND(ISNUMBER(C22),C22&gt;$N22)</formula>
    </cfRule>
    <cfRule type="expression" priority="35" aboveAverage="0" equalAverage="0" bottom="0" percent="0" rank="0" text="" dxfId="1">
      <formula>AND(ISNUMBER(C22),C22&lt;$N22)</formula>
    </cfRule>
  </conditionalFormatting>
  <conditionalFormatting sqref="C23:L23">
    <cfRule type="expression" priority="36" aboveAverage="0" equalAverage="0" bottom="0" percent="0" rank="0" text="" dxfId="0">
      <formula>AND(ISNUMBER(C23),C23&gt;$N23)</formula>
    </cfRule>
    <cfRule type="expression" priority="37" aboveAverage="0" equalAverage="0" bottom="0" percent="0" rank="0" text="" dxfId="1">
      <formula>AND(ISNUMBER(C23),C23&lt;$N23)</formula>
    </cfRule>
  </conditionalFormatting>
  <conditionalFormatting sqref="C26:L26">
    <cfRule type="expression" priority="38" aboveAverage="0" equalAverage="0" bottom="0" percent="0" rank="0" text="" dxfId="0">
      <formula>AND(ISNUMBER(C26),C26&gt;$N26)</formula>
    </cfRule>
    <cfRule type="expression" priority="39" aboveAverage="0" equalAverage="0" bottom="0" percent="0" rank="0" text="" dxfId="1">
      <formula>AND(ISNUMBER(C26),C26&lt;$N26)</formula>
    </cfRule>
  </conditionalFormatting>
  <conditionalFormatting sqref="C28:L28">
    <cfRule type="expression" priority="40" aboveAverage="0" equalAverage="0" bottom="0" percent="0" rank="0" text="" dxfId="0">
      <formula>AND(ISNUMBER(C28),C28&gt;$N28)</formula>
    </cfRule>
    <cfRule type="expression" priority="41" aboveAverage="0" equalAverage="0" bottom="0" percent="0" rank="0" text="" dxfId="1">
      <formula>AND(ISNUMBER(C28),C28&lt;$N28)</formula>
    </cfRule>
  </conditionalFormatting>
  <conditionalFormatting sqref="C29:L29">
    <cfRule type="expression" priority="42" aboveAverage="0" equalAverage="0" bottom="0" percent="0" rank="0" text="" dxfId="0">
      <formula>AND(ISNUMBER(C29),C29&gt;$N29)</formula>
    </cfRule>
    <cfRule type="expression" priority="43" aboveAverage="0" equalAverage="0" bottom="0" percent="0" rank="0" text="" dxfId="1">
      <formula>AND(ISNUMBER(C29),C29&lt;$N29)</formula>
    </cfRule>
  </conditionalFormatting>
  <conditionalFormatting sqref="C35:L35">
    <cfRule type="expression" priority="44" aboveAverage="0" equalAverage="0" bottom="0" percent="0" rank="0" text="" dxfId="0">
      <formula>AND(ISNUMBER(C35),C35&gt;$N35)</formula>
    </cfRule>
    <cfRule type="expression" priority="45" aboveAverage="0" equalAverage="0" bottom="0" percent="0" rank="0" text="" dxfId="1">
      <formula>AND(ISNUMBER(C35),C35&lt;$N35)</formula>
    </cfRule>
  </conditionalFormatting>
  <conditionalFormatting sqref="C36:L36">
    <cfRule type="expression" priority="46" aboveAverage="0" equalAverage="0" bottom="0" percent="0" rank="0" text="" dxfId="0">
      <formula>AND(ISNUMBER(C36),C36&gt;$N36)</formula>
    </cfRule>
    <cfRule type="expression" priority="47" aboveAverage="0" equalAverage="0" bottom="0" percent="0" rank="0" text="" dxfId="1">
      <formula>AND(ISNUMBER(C36),C36&lt;$N36)</formula>
    </cfRule>
  </conditionalFormatting>
  <conditionalFormatting sqref="C37:L37">
    <cfRule type="expression" priority="48" aboveAverage="0" equalAverage="0" bottom="0" percent="0" rank="0" text="" dxfId="0">
      <formula>AND(ISNUMBER(C37),C37&gt;$N37)</formula>
    </cfRule>
    <cfRule type="expression" priority="49" aboveAverage="0" equalAverage="0" bottom="0" percent="0" rank="0" text="" dxfId="1">
      <formula>AND(ISNUMBER(C37),C37&lt;$N37)</formula>
    </cfRule>
  </conditionalFormatting>
  <conditionalFormatting sqref="C38:L38">
    <cfRule type="expression" priority="50" aboveAverage="0" equalAverage="0" bottom="0" percent="0" rank="0" text="" dxfId="0">
      <formula>AND(ISNUMBER(C38),C38&lt;$N38)</formula>
    </cfRule>
    <cfRule type="expression" priority="51" aboveAverage="0" equalAverage="0" bottom="0" percent="0" rank="0" text="" dxfId="1">
      <formula>AND(ISNUMBER(C38),C38&gt;$N38)</formula>
    </cfRule>
  </conditionalFormatting>
  <conditionalFormatting sqref="C39:L39">
    <cfRule type="expression" priority="52" aboveAverage="0" equalAverage="0" bottom="0" percent="0" rank="0" text="" dxfId="0">
      <formula>AND(ISNUMBER(C39),C39&gt;$N39)</formula>
    </cfRule>
    <cfRule type="expression" priority="53" aboveAverage="0" equalAverage="0" bottom="0" percent="0" rank="0" text="" dxfId="1">
      <formula>AND(ISNUMBER(C39),C39&lt;$N39)</formula>
    </cfRule>
  </conditionalFormatting>
  <conditionalFormatting sqref="C40:L40">
    <cfRule type="expression" priority="54" aboveAverage="0" equalAverage="0" bottom="0" percent="0" rank="0" text="" dxfId="0">
      <formula>AND(ISNUMBER(C40),C40&lt;$N40)</formula>
    </cfRule>
    <cfRule type="expression" priority="55" aboveAverage="0" equalAverage="0" bottom="0" percent="0" rank="0" text="" dxfId="1">
      <formula>AND(ISNUMBER(C40),C40&gt;$N40)</formula>
    </cfRule>
  </conditionalFormatting>
  <conditionalFormatting sqref="C41:L41">
    <cfRule type="expression" priority="56" aboveAverage="0" equalAverage="0" bottom="0" percent="0" rank="0" text="" dxfId="0">
      <formula>AND(ISNUMBER(C41),C41&gt;$N41)</formula>
    </cfRule>
    <cfRule type="expression" priority="57" aboveAverage="0" equalAverage="0" bottom="0" percent="0" rank="0" text="" dxfId="1">
      <formula>AND(ISNUMBER(C41),C41&lt;$N41)</formula>
    </cfRule>
  </conditionalFormatting>
  <conditionalFormatting sqref="C42:L42">
    <cfRule type="expression" priority="58" aboveAverage="0" equalAverage="0" bottom="0" percent="0" rank="0" text="" dxfId="0">
      <formula>AND(ISNUMBER(C42),C42&gt;$N42)</formula>
    </cfRule>
    <cfRule type="expression" priority="59" aboveAverage="0" equalAverage="0" bottom="0" percent="0" rank="0" text="" dxfId="1">
      <formula>AND(ISNUMBER(C42),C42&lt;$N42)</formula>
    </cfRule>
  </conditionalFormatting>
  <conditionalFormatting sqref="C43:L43">
    <cfRule type="expression" priority="60" aboveAverage="0" equalAverage="0" bottom="0" percent="0" rank="0" text="" dxfId="0">
      <formula>AND(ISNUMBER(C43),C43&lt;$N43)</formula>
    </cfRule>
    <cfRule type="expression" priority="61" aboveAverage="0" equalAverage="0" bottom="0" percent="0" rank="0" text="" dxfId="1">
      <formula>AND(ISNUMBER(C43),C43&gt;$N43)</formula>
    </cfRule>
  </conditionalFormatting>
  <conditionalFormatting sqref="C44:L44">
    <cfRule type="expression" priority="62" aboveAverage="0" equalAverage="0" bottom="0" percent="0" rank="0" text="" dxfId="0">
      <formula>AND(ISNUMBER(C44),C44&gt;$N44)</formula>
    </cfRule>
    <cfRule type="expression" priority="63" aboveAverage="0" equalAverage="0" bottom="0" percent="0" rank="0" text="" dxfId="1">
      <formula>AND(ISNUMBER(C44),C44&lt;$N44)</formula>
    </cfRule>
  </conditionalFormatting>
  <conditionalFormatting sqref="C45:L45">
    <cfRule type="expression" priority="64" aboveAverage="0" equalAverage="0" bottom="0" percent="0" rank="0" text="" dxfId="0">
      <formula>AND(ISNUMBER(C45),C45&gt;$N45)</formula>
    </cfRule>
    <cfRule type="expression" priority="65" aboveAverage="0" equalAverage="0" bottom="0" percent="0" rank="0" text="" dxfId="1">
      <formula>AND(ISNUMBER(C45),C45&lt;$N45)</formula>
    </cfRule>
  </conditionalFormatting>
  <conditionalFormatting sqref="C46:L46">
    <cfRule type="expression" priority="66" aboveAverage="0" equalAverage="0" bottom="0" percent="0" rank="0" text="" dxfId="0">
      <formula>AND(ISNUMBER(C46),C46&gt;$N46)</formula>
    </cfRule>
    <cfRule type="expression" priority="67" aboveAverage="0" equalAverage="0" bottom="0" percent="0" rank="0" text="" dxfId="1">
      <formula>AND(ISNUMBER(C46),C46&lt;$N46)</formula>
    </cfRule>
  </conditionalFormatting>
  <conditionalFormatting sqref="C47:L47">
    <cfRule type="expression" priority="68" aboveAverage="0" equalAverage="0" bottom="0" percent="0" rank="0" text="" dxfId="0">
      <formula>AND(ISNUMBER(C47),C47&gt;$N47)</formula>
    </cfRule>
    <cfRule type="expression" priority="69" aboveAverage="0" equalAverage="0" bottom="0" percent="0" rank="0" text="" dxfId="1">
      <formula>AND(ISNUMBER(C47),C47&lt;$N47)</formula>
    </cfRule>
  </conditionalFormatting>
  <conditionalFormatting sqref="C48:L48">
    <cfRule type="expression" priority="70" aboveAverage="0" equalAverage="0" bottom="0" percent="0" rank="0" text="" dxfId="0">
      <formula>AND(ISNUMBER(C48),C48&gt;$N48)</formula>
    </cfRule>
    <cfRule type="expression" priority="71" aboveAverage="0" equalAverage="0" bottom="0" percent="0" rank="0" text="" dxfId="1">
      <formula>AND(ISNUMBER(C48),C48&lt;$N48)</formula>
    </cfRule>
  </conditionalFormatting>
  <conditionalFormatting sqref="C49:L49">
    <cfRule type="expression" priority="72" aboveAverage="0" equalAverage="0" bottom="0" percent="0" rank="0" text="" dxfId="0">
      <formula>AND(ISNUMBER(C49),C49&lt;$N49)</formula>
    </cfRule>
    <cfRule type="expression" priority="73" aboveAverage="0" equalAverage="0" bottom="0" percent="0" rank="0" text="" dxfId="1">
      <formula>AND(ISNUMBER(C49),C49&gt;$N49)</formula>
    </cfRule>
  </conditionalFormatting>
  <conditionalFormatting sqref="C50:L50">
    <cfRule type="expression" priority="74" aboveAverage="0" equalAverage="0" bottom="0" percent="0" rank="0" text="" dxfId="0">
      <formula>AND(ISNUMBER(C50),C50&gt;$N50)</formula>
    </cfRule>
    <cfRule type="expression" priority="75" aboveAverage="0" equalAverage="0" bottom="0" percent="0" rank="0" text="" dxfId="1">
      <formula>AND(ISNUMBER(C50),C50&lt;$N50)</formula>
    </cfRule>
  </conditionalFormatting>
  <conditionalFormatting sqref="C51:L51">
    <cfRule type="expression" priority="76" aboveAverage="0" equalAverage="0" bottom="0" percent="0" rank="0" text="" dxfId="0">
      <formula>AND(ISNUMBER(C51),C51&gt;$N51)</formula>
    </cfRule>
    <cfRule type="expression" priority="77" aboveAverage="0" equalAverage="0" bottom="0" percent="0" rank="0" text="" dxfId="1">
      <formula>AND(ISNUMBER(C51),C51&lt;$N51)</formula>
    </cfRule>
  </conditionalFormatting>
  <conditionalFormatting sqref="C52:L52">
    <cfRule type="expression" priority="78" aboveAverage="0" equalAverage="0" bottom="0" percent="0" rank="0" text="" dxfId="0">
      <formula>AND(ISNUMBER(C52),C52&gt;$N52)</formula>
    </cfRule>
    <cfRule type="expression" priority="79" aboveAverage="0" equalAverage="0" bottom="0" percent="0" rank="0" text="" dxfId="1">
      <formula>AND(ISNUMBER(C52),C52&lt;$N52)</formula>
    </cfRule>
  </conditionalFormatting>
  <conditionalFormatting sqref="C55:L55">
    <cfRule type="expression" priority="80" aboveAverage="0" equalAverage="0" bottom="0" percent="0" rank="0" text="" dxfId="0">
      <formula>AND(ISNUMBER(C55),C55&gt;$N55)</formula>
    </cfRule>
    <cfRule type="expression" priority="81" aboveAverage="0" equalAverage="0" bottom="0" percent="0" rank="0" text="" dxfId="1">
      <formula>AND(ISNUMBER(C55),C55&lt;$N55)</formula>
    </cfRule>
  </conditionalFormatting>
  <conditionalFormatting sqref="C57:L57">
    <cfRule type="expression" priority="82" aboveAverage="0" equalAverage="0" bottom="0" percent="0" rank="0" text="" dxfId="0">
      <formula>AND(ISNUMBER(C57),C57&gt;$N57)</formula>
    </cfRule>
    <cfRule type="expression" priority="83" aboveAverage="0" equalAverage="0" bottom="0" percent="0" rank="0" text="" dxfId="1">
      <formula>AND(ISNUMBER(C57),C57&lt;$N57)</formula>
    </cfRule>
  </conditionalFormatting>
  <conditionalFormatting sqref="C58:L58">
    <cfRule type="expression" priority="84" aboveAverage="0" equalAverage="0" bottom="0" percent="0" rank="0" text="" dxfId="0">
      <formula>AND(ISNUMBER(C58),C58&gt;$N58)</formula>
    </cfRule>
    <cfRule type="expression" priority="85" aboveAverage="0" equalAverage="0" bottom="0" percent="0" rank="0" text="" dxfId="1">
      <formula>AND(ISNUMBER(C58),C58&lt;$N58)</formula>
    </cfRule>
  </conditionalFormatting>
  <conditionalFormatting sqref="C64:L73">
    <cfRule type="expression" priority="86" aboveAverage="0" equalAverage="0" bottom="0" percent="0" rank="0" text="" dxfId="0">
      <formula>AND(ISNUMBER(C64),C64&lt;=3)</formula>
    </cfRule>
    <cfRule type="expression" priority="87" aboveAverage="0" equalAverage="0" bottom="0" percent="0" rank="0" text="" dxfId="1">
      <formula>AND(ISNUMBER(C64),C64&gt;=8)</formula>
    </cfRule>
  </conditionalFormatting>
  <conditionalFormatting sqref="C81:L90">
    <cfRule type="expression" priority="88" aboveAverage="0" equalAverage="0" bottom="0" percent="0" rank="0" text="" dxfId="0">
      <formula>AND(ISNUMBER(C81),C81&lt;=3)</formula>
    </cfRule>
    <cfRule type="expression" priority="89" aboveAverage="0" equalAverage="0" bottom="0" percent="0" rank="0" text="" dxfId="1">
      <formula>AND(ISNUMBER(C81),C81&gt;=8)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O137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5" min="2" style="0" width="11"/>
  </cols>
  <sheetData>
    <row r="1" customFormat="false" ht="16.15" hidden="false" customHeight="false" outlineLevel="0" collapsed="false">
      <c r="A1" s="5" t="s">
        <v>159</v>
      </c>
    </row>
    <row r="2" customFormat="false" ht="15" hidden="false" customHeight="false" outlineLevel="0" collapsed="false">
      <c r="A2" s="6" t="s">
        <v>160</v>
      </c>
    </row>
    <row r="4" customFormat="false" ht="30" hidden="false" customHeight="true" outlineLevel="0" collapsed="false">
      <c r="A4" s="7" t="s">
        <v>161</v>
      </c>
      <c r="B4" s="7" t="s">
        <v>162</v>
      </c>
      <c r="C4" s="7" t="s">
        <v>163</v>
      </c>
      <c r="D4" s="7" t="s">
        <v>164</v>
      </c>
      <c r="E4" s="7" t="s">
        <v>165</v>
      </c>
      <c r="F4" s="7" t="s">
        <v>166</v>
      </c>
      <c r="G4" s="7" t="s">
        <v>167</v>
      </c>
      <c r="H4" s="7" t="s">
        <v>168</v>
      </c>
      <c r="I4" s="7" t="s">
        <v>169</v>
      </c>
      <c r="J4" s="7" t="s">
        <v>170</v>
      </c>
      <c r="K4" s="7" t="s">
        <v>171</v>
      </c>
      <c r="L4" s="7" t="s">
        <v>172</v>
      </c>
      <c r="M4" s="7" t="s">
        <v>173</v>
      </c>
      <c r="N4" s="7" t="s">
        <v>174</v>
      </c>
    </row>
    <row r="6" customFormat="false" ht="15" hidden="false" customHeight="false" outlineLevel="0" collapsed="false">
      <c r="A6" s="16" t="s">
        <v>175</v>
      </c>
      <c r="B6" s="17"/>
      <c r="C6" s="17"/>
      <c r="D6" s="17"/>
      <c r="E6" s="17"/>
      <c r="F6" s="17"/>
      <c r="G6" s="17"/>
      <c r="H6" s="17"/>
      <c r="I6" s="17"/>
      <c r="J6" s="17"/>
      <c r="K6" s="17"/>
      <c r="L6" s="17"/>
      <c r="M6" s="17"/>
    </row>
    <row r="7" customFormat="false" ht="15" hidden="false" customHeight="false" outlineLevel="0" collapsed="false">
      <c r="A7" s="18" t="s">
        <v>110</v>
      </c>
      <c r="B7" s="32" t="n">
        <f aca="false">Tiger!D79</f>
        <v>79.44</v>
      </c>
      <c r="C7" s="32" t="n">
        <f aca="false">Tiger!E79</f>
        <v>48.16</v>
      </c>
      <c r="D7" s="32" t="n">
        <f aca="false">Tiger!F79</f>
        <v>61.36</v>
      </c>
      <c r="E7" s="32" t="n">
        <f aca="false">Tiger!G79</f>
        <v>84.64</v>
      </c>
      <c r="F7" s="32" t="n">
        <f aca="false">Tiger!H79</f>
        <v>102.6</v>
      </c>
      <c r="G7" s="32" t="n">
        <f aca="false">Tiger!I79</f>
        <v>151.77</v>
      </c>
      <c r="H7" s="32" t="n">
        <f aca="false">Tiger!J79</f>
        <v>187.87</v>
      </c>
      <c r="I7" s="33" t="n">
        <f aca="false">Tiger!K79</f>
        <v>102.262857142857</v>
      </c>
      <c r="J7" s="34" t="str">
        <f aca="false">IF(AND(ISNUMBER(H7),ISNUMBER(H$19)),IF(H7&gt;H$19,"Above",IF(H7&lt;H$19,"Below","At")),"-")</f>
        <v>Below</v>
      </c>
      <c r="K7" s="34" t="str">
        <f aca="false">IF(J7="Above","Better",IF(J7="Below","Weaker","-"))</f>
        <v>Weaker</v>
      </c>
      <c r="L7" s="34" t="n">
        <f aca="false">IF(ISNUMBER(H7),RANK(H7,H$7:H$16,0),"-")</f>
        <v>6</v>
      </c>
      <c r="N7" s="34" t="str">
        <f aca="false">IF(AND(ISNUMBER(I7),ISNUMBER(I$19)),IF(I7&gt;I$19,"Above",IF(I7&lt;I$19,"Below","At")),"-")</f>
        <v>Below</v>
      </c>
      <c r="O7" s="34" t="str">
        <f aca="false">IF(N7="Above","Better",IF(N7="Below","Weaker","-"))</f>
        <v>Weaker</v>
      </c>
    </row>
    <row r="8" customFormat="false" ht="15" hidden="false" customHeight="false" outlineLevel="0" collapsed="false">
      <c r="A8" s="18" t="s">
        <v>111</v>
      </c>
      <c r="B8" s="32" t="n">
        <f aca="false">Allcargo!D79</f>
        <v>1002.04</v>
      </c>
      <c r="C8" s="32" t="n">
        <f aca="false">Allcargo!E79</f>
        <v>857.7</v>
      </c>
      <c r="D8" s="32" t="n">
        <f aca="false">Allcargo!F79</f>
        <v>1417.79</v>
      </c>
      <c r="E8" s="32" t="n">
        <f aca="false">Allcargo!G79</f>
        <v>1265.14</v>
      </c>
      <c r="F8" s="32" t="n">
        <f aca="false">Allcargo!H79</f>
        <v>1242.73</v>
      </c>
      <c r="G8" s="32" t="n">
        <f aca="false">Allcargo!I79</f>
        <v>578</v>
      </c>
      <c r="H8" s="32" t="n">
        <f aca="false">Allcargo!J79</f>
        <v>481</v>
      </c>
      <c r="I8" s="33" t="n">
        <f aca="false">Allcargo!K79</f>
        <v>977.771428571429</v>
      </c>
      <c r="J8" s="34" t="str">
        <f aca="false">IF(AND(ISNUMBER(H8),ISNUMBER(H$19)),IF(H8&gt;H$19,"Above",IF(H8&lt;H$19,"Below","At")),"-")</f>
        <v>Above</v>
      </c>
      <c r="K8" s="34" t="str">
        <f aca="false">IF(J8="Above","Better",IF(J8="Below","Weaker","-"))</f>
        <v>Better</v>
      </c>
      <c r="L8" s="34" t="n">
        <f aca="false">IF(ISNUMBER(H8),RANK(H8,H$7:H$16,0),"-")</f>
        <v>4</v>
      </c>
      <c r="N8" s="34" t="str">
        <f aca="false">IF(AND(ISNUMBER(I8),ISNUMBER(I$19)),IF(I8&gt;I$19,"Above",IF(I8&lt;I$19,"Below","At")),"-")</f>
        <v>Above</v>
      </c>
      <c r="O8" s="34" t="str">
        <f aca="false">IF(N8="Above","Better",IF(N8="Below","Weaker","-"))</f>
        <v>Better</v>
      </c>
    </row>
    <row r="9" customFormat="false" ht="15" hidden="false" customHeight="false" outlineLevel="0" collapsed="false">
      <c r="A9" s="18" t="s">
        <v>112</v>
      </c>
      <c r="B9" s="32" t="n">
        <f aca="false">BlueDart!D79</f>
        <v>-662.18</v>
      </c>
      <c r="C9" s="32" t="n">
        <f aca="false">BlueDart!E79</f>
        <v>374.18</v>
      </c>
      <c r="D9" s="32" t="n">
        <f aca="false">BlueDart!F79</f>
        <v>224.54</v>
      </c>
      <c r="E9" s="32" t="n">
        <f aca="false">BlueDart!G79</f>
        <v>252.87</v>
      </c>
      <c r="F9" s="32" t="n">
        <f aca="false">BlueDart!H79</f>
        <v>236.54</v>
      </c>
      <c r="G9" s="32" t="n">
        <f aca="false">BlueDart!I79</f>
        <v>289.72</v>
      </c>
      <c r="H9" s="32" t="n">
        <f aca="false">BlueDart!J79</f>
        <v>443.88</v>
      </c>
      <c r="I9" s="33" t="n">
        <f aca="false">BlueDart!K79</f>
        <v>165.65</v>
      </c>
      <c r="J9" s="34" t="str">
        <f aca="false">IF(AND(ISNUMBER(H9),ISNUMBER(H$19)),IF(H9&gt;H$19,"Above",IF(H9&lt;H$19,"Below","At")),"-")</f>
        <v>Above</v>
      </c>
      <c r="K9" s="34" t="str">
        <f aca="false">IF(J9="Above","Better",IF(J9="Below","Weaker","-"))</f>
        <v>Better</v>
      </c>
      <c r="L9" s="34" t="n">
        <f aca="false">IF(ISNUMBER(H9),RANK(H9,H$7:H$16,0),"-")</f>
        <v>5</v>
      </c>
      <c r="N9" s="34" t="str">
        <f aca="false">IF(AND(ISNUMBER(I9),ISNUMBER(I$19)),IF(I9&gt;I$19,"Above",IF(I9&lt;I$19,"Below","At")),"-")</f>
        <v>Above</v>
      </c>
      <c r="O9" s="34" t="str">
        <f aca="false">IF(N9="Above","Better",IF(N9="Below","Weaker","-"))</f>
        <v>Better</v>
      </c>
    </row>
    <row r="10" customFormat="false" ht="15" hidden="false" customHeight="false" outlineLevel="0" collapsed="false">
      <c r="A10" s="18" t="s">
        <v>67</v>
      </c>
      <c r="B10" s="32" t="n">
        <f aca="false">CONCOR!D79</f>
        <v>2626.3</v>
      </c>
      <c r="C10" s="32" t="n">
        <f aca="false">CONCOR!E79</f>
        <v>3063.63</v>
      </c>
      <c r="D10" s="32" t="n">
        <f aca="false">CONCOR!F79</f>
        <v>3805.64</v>
      </c>
      <c r="E10" s="32" t="n">
        <f aca="false">CONCOR!G79</f>
        <v>4333.98</v>
      </c>
      <c r="F10" s="32" t="n">
        <f aca="false">CONCOR!H79</f>
        <v>4747.44</v>
      </c>
      <c r="G10" s="32" t="n">
        <f aca="false">CONCOR!I79</f>
        <v>4689.41</v>
      </c>
      <c r="H10" s="32" t="n">
        <f aca="false">CONCOR!J79</f>
        <v>4759.67</v>
      </c>
      <c r="I10" s="33" t="n">
        <f aca="false">CONCOR!K79</f>
        <v>4003.72428571429</v>
      </c>
      <c r="J10" s="34" t="str">
        <f aca="false">IF(AND(ISNUMBER(H10),ISNUMBER(H$19)),IF(H10&gt;H$19,"Above",IF(H10&lt;H$19,"Below","At")),"-")</f>
        <v>Above</v>
      </c>
      <c r="K10" s="34" t="str">
        <f aca="false">IF(J10="Above","Better",IF(J10="Below","Weaker","-"))</f>
        <v>Better</v>
      </c>
      <c r="L10" s="34" t="n">
        <f aca="false">IF(ISNUMBER(H10),RANK(H10,H$7:H$16,0),"-")</f>
        <v>1</v>
      </c>
      <c r="N10" s="34" t="str">
        <f aca="false">IF(AND(ISNUMBER(I10),ISNUMBER(I$19)),IF(I10&gt;I$19,"Above",IF(I10&lt;I$19,"Below","At")),"-")</f>
        <v>Above</v>
      </c>
      <c r="O10" s="34" t="str">
        <f aca="false">IF(N10="Above","Better",IF(N10="Below","Weaker","-"))</f>
        <v>Better</v>
      </c>
    </row>
    <row r="11" customFormat="false" ht="15" hidden="false" customHeight="false" outlineLevel="0" collapsed="false">
      <c r="A11" s="18" t="s">
        <v>113</v>
      </c>
      <c r="B11" s="32" t="n">
        <f aca="false">JetFreight!D79</f>
        <v>39.16</v>
      </c>
      <c r="C11" s="32" t="n">
        <f aca="false">JetFreight!E79</f>
        <v>23.78</v>
      </c>
      <c r="D11" s="32" t="n">
        <f aca="false">JetFreight!F79</f>
        <v>42.17</v>
      </c>
      <c r="E11" s="32" t="n">
        <f aca="false">JetFreight!G79</f>
        <v>92.29</v>
      </c>
      <c r="F11" s="32" t="n">
        <f aca="false">JetFreight!H79</f>
        <v>90.86</v>
      </c>
      <c r="G11" s="32" t="n">
        <f aca="false">JetFreight!I79</f>
        <v>103.78</v>
      </c>
      <c r="H11" s="32" t="n">
        <f aca="false">JetFreight!J79</f>
        <v>122.24</v>
      </c>
      <c r="I11" s="33" t="n">
        <f aca="false">JetFreight!K79</f>
        <v>73.4685714285714</v>
      </c>
      <c r="J11" s="34" t="str">
        <f aca="false">IF(AND(ISNUMBER(H11),ISNUMBER(H$19)),IF(H11&gt;H$19,"Above",IF(H11&lt;H$19,"Below","At")),"-")</f>
        <v>Below</v>
      </c>
      <c r="K11" s="34" t="str">
        <f aca="false">IF(J11="Above","Better",IF(J11="Below","Weaker","-"))</f>
        <v>Weaker</v>
      </c>
      <c r="L11" s="34" t="n">
        <f aca="false">IF(ISNUMBER(H11),RANK(H11,H$7:H$16,0),"-")</f>
        <v>7</v>
      </c>
      <c r="N11" s="34" t="str">
        <f aca="false">IF(AND(ISNUMBER(I11),ISNUMBER(I$19)),IF(I11&gt;I$19,"Above",IF(I11&lt;I$19,"Below","At")),"-")</f>
        <v>Below</v>
      </c>
      <c r="O11" s="34" t="str">
        <f aca="false">IF(N11="Above","Better",IF(N11="Below","Weaker","-"))</f>
        <v>Weaker</v>
      </c>
    </row>
    <row r="12" customFormat="false" ht="15" hidden="false" customHeight="false" outlineLevel="0" collapsed="false">
      <c r="A12" s="18" t="s">
        <v>114</v>
      </c>
      <c r="B12" s="32" t="n">
        <f aca="false">Patel!D79</f>
        <v>115.87</v>
      </c>
      <c r="C12" s="32" t="n">
        <f aca="false">Patel!E79</f>
        <v>115.04</v>
      </c>
      <c r="D12" s="32" t="n">
        <f aca="false">Patel!F79</f>
        <v>102.28</v>
      </c>
      <c r="E12" s="32" t="n">
        <f aca="false">Patel!G79</f>
        <v>88.52</v>
      </c>
      <c r="F12" s="32" t="n">
        <f aca="false">Patel!H79</f>
        <v>90.18</v>
      </c>
      <c r="G12" s="32" t="n">
        <f aca="false">Patel!I79</f>
        <v>83.19</v>
      </c>
      <c r="H12" s="32" t="n">
        <f aca="false">Patel!J79</f>
        <v>79.32</v>
      </c>
      <c r="I12" s="33" t="n">
        <f aca="false">Patel!K79</f>
        <v>96.3428571428571</v>
      </c>
      <c r="J12" s="34" t="str">
        <f aca="false">IF(AND(ISNUMBER(H12),ISNUMBER(H$19)),IF(H12&gt;H$19,"Above",IF(H12&lt;H$19,"Below","At")),"-")</f>
        <v>Below</v>
      </c>
      <c r="K12" s="34" t="str">
        <f aca="false">IF(J12="Above","Better",IF(J12="Below","Weaker","-"))</f>
        <v>Weaker</v>
      </c>
      <c r="L12" s="34" t="n">
        <f aca="false">IF(ISNUMBER(H12),RANK(H12,H$7:H$16,0),"-")</f>
        <v>8</v>
      </c>
      <c r="N12" s="34" t="str">
        <f aca="false">IF(AND(ISNUMBER(I12),ISNUMBER(I$19)),IF(I12&gt;I$19,"Above",IF(I12&lt;I$19,"Below","At")),"-")</f>
        <v>Below</v>
      </c>
      <c r="O12" s="34" t="str">
        <f aca="false">IF(N12="Above","Better",IF(N12="Below","Weaker","-"))</f>
        <v>Weaker</v>
      </c>
    </row>
    <row r="13" customFormat="false" ht="15" hidden="false" customHeight="false" outlineLevel="0" collapsed="false">
      <c r="A13" s="18" t="s">
        <v>115</v>
      </c>
      <c r="B13" s="32" t="n">
        <f aca="false">Sical!D79</f>
        <v>-459.35</v>
      </c>
      <c r="C13" s="32" t="n">
        <f aca="false">Sical!E79</f>
        <v>-646.28</v>
      </c>
      <c r="D13" s="32" t="n">
        <f aca="false">Sical!F79</f>
        <v>-337.55</v>
      </c>
      <c r="E13" s="32" t="n">
        <f aca="false">Sical!G79</f>
        <v>-68.93</v>
      </c>
      <c r="F13" s="32" t="n">
        <f aca="false">Sical!H79</f>
        <v>-32.09</v>
      </c>
      <c r="G13" s="32" t="n">
        <f aca="false">Sical!I79</f>
        <v>-51.8</v>
      </c>
      <c r="H13" s="32" t="n">
        <f aca="false">Sical!J79</f>
        <v>40.73</v>
      </c>
      <c r="I13" s="33" t="n">
        <f aca="false">Sical!K79</f>
        <v>-222.181428571429</v>
      </c>
      <c r="J13" s="34" t="str">
        <f aca="false">IF(AND(ISNUMBER(H13),ISNUMBER(H$19)),IF(H13&gt;H$19,"Above",IF(H13&lt;H$19,"Below","At")),"-")</f>
        <v>Below</v>
      </c>
      <c r="K13" s="34" t="str">
        <f aca="false">IF(J13="Above","Better",IF(J13="Below","Weaker","-"))</f>
        <v>Weaker</v>
      </c>
      <c r="L13" s="34" t="n">
        <f aca="false">IF(ISNUMBER(H13),RANK(H13,H$7:H$16,0),"-")</f>
        <v>10</v>
      </c>
      <c r="N13" s="34" t="str">
        <f aca="false">IF(AND(ISNUMBER(I13),ISNUMBER(I$19)),IF(I13&gt;I$19,"Above",IF(I13&lt;I$19,"Below","At")),"-")</f>
        <v>Below</v>
      </c>
      <c r="O13" s="34" t="str">
        <f aca="false">IF(N13="Above","Better",IF(N13="Below","Weaker","-"))</f>
        <v>Weaker</v>
      </c>
    </row>
    <row r="14" customFormat="false" ht="15" hidden="false" customHeight="false" outlineLevel="0" collapsed="false">
      <c r="A14" s="18" t="s">
        <v>86</v>
      </c>
      <c r="B14" s="32" t="n">
        <f aca="false">TCI!D79</f>
        <v>517.29</v>
      </c>
      <c r="C14" s="32" t="n">
        <f aca="false">TCI!E79</f>
        <v>507.36</v>
      </c>
      <c r="D14" s="32" t="n">
        <f aca="false">TCI!F79</f>
        <v>525.15</v>
      </c>
      <c r="E14" s="32" t="n">
        <f aca="false">TCI!G79</f>
        <v>690.52</v>
      </c>
      <c r="F14" s="32" t="n">
        <f aca="false">TCI!H79</f>
        <v>684.09</v>
      </c>
      <c r="G14" s="32" t="n">
        <f aca="false">TCI!I79</f>
        <v>766.74</v>
      </c>
      <c r="H14" s="32" t="n">
        <f aca="false">TCI!J79</f>
        <v>855.89</v>
      </c>
      <c r="I14" s="33" t="n">
        <f aca="false">TCI!K79</f>
        <v>649.577142857143</v>
      </c>
      <c r="J14" s="34" t="str">
        <f aca="false">IF(AND(ISNUMBER(H14),ISNUMBER(H$19)),IF(H14&gt;H$19,"Above",IF(H14&lt;H$19,"Below","At")),"-")</f>
        <v>Above</v>
      </c>
      <c r="K14" s="34" t="str">
        <f aca="false">IF(J14="Above","Better",IF(J14="Below","Weaker","-"))</f>
        <v>Better</v>
      </c>
      <c r="L14" s="34" t="n">
        <f aca="false">IF(ISNUMBER(H14),RANK(H14,H$7:H$16,0),"-")</f>
        <v>2</v>
      </c>
      <c r="N14" s="34" t="str">
        <f aca="false">IF(AND(ISNUMBER(I14),ISNUMBER(I$19)),IF(I14&gt;I$19,"Above",IF(I14&lt;I$19,"Below","At")),"-")</f>
        <v>Above</v>
      </c>
      <c r="O14" s="34" t="str">
        <f aca="false">IF(N14="Above","Better",IF(N14="Below","Weaker","-"))</f>
        <v>Better</v>
      </c>
    </row>
    <row r="15" customFormat="false" ht="15" hidden="false" customHeight="false" outlineLevel="0" collapsed="false">
      <c r="A15" s="18" t="s">
        <v>116</v>
      </c>
      <c r="B15" s="32" t="n">
        <f aca="false">Shreeji!D79</f>
        <v>43.83</v>
      </c>
      <c r="C15" s="32" t="n">
        <f aca="false">Shreeji!E79</f>
        <v>46.23</v>
      </c>
      <c r="D15" s="32" t="n">
        <f aca="false">Shreeji!F79</f>
        <v>56.35</v>
      </c>
      <c r="E15" s="32" t="n">
        <f aca="false">Shreeji!G79</f>
        <v>56.1</v>
      </c>
      <c r="F15" s="32" t="n">
        <f aca="false">Shreeji!H79</f>
        <v>66.91</v>
      </c>
      <c r="G15" s="32" t="n">
        <f aca="false">Shreeji!I79</f>
        <v>65.55</v>
      </c>
      <c r="H15" s="32" t="n">
        <f aca="false">Shreeji!J79</f>
        <v>72.95</v>
      </c>
      <c r="I15" s="33" t="n">
        <f aca="false">Shreeji!K79</f>
        <v>58.2742857142857</v>
      </c>
      <c r="J15" s="34" t="str">
        <f aca="false">IF(AND(ISNUMBER(H15),ISNUMBER(H$19)),IF(H15&gt;H$19,"Above",IF(H15&lt;H$19,"Below","At")),"-")</f>
        <v>Below</v>
      </c>
      <c r="K15" s="34" t="str">
        <f aca="false">IF(J15="Above","Better",IF(J15="Below","Weaker","-"))</f>
        <v>Weaker</v>
      </c>
      <c r="L15" s="34" t="n">
        <f aca="false">IF(ISNUMBER(H15),RANK(H15,H$7:H$16,0),"-")</f>
        <v>9</v>
      </c>
      <c r="N15" s="34" t="str">
        <f aca="false">IF(AND(ISNUMBER(I15),ISNUMBER(I$19)),IF(I15&gt;I$19,"Above",IF(I15&lt;I$19,"Below","At")),"-")</f>
        <v>Below</v>
      </c>
      <c r="O15" s="34" t="str">
        <f aca="false">IF(N15="Above","Better",IF(N15="Below","Weaker","-"))</f>
        <v>Weaker</v>
      </c>
    </row>
    <row r="16" customFormat="false" ht="15" hidden="false" customHeight="false" outlineLevel="0" collapsed="false">
      <c r="A16" s="18" t="s">
        <v>117</v>
      </c>
      <c r="B16" s="32" t="n">
        <f aca="false">MahindraLog!D79</f>
        <v>496.81</v>
      </c>
      <c r="C16" s="32" t="n">
        <f aca="false">MahindraLog!E79</f>
        <v>418.69</v>
      </c>
      <c r="D16" s="32" t="n">
        <f aca="false">MahindraLog!F79</f>
        <v>316.78</v>
      </c>
      <c r="E16" s="32" t="n">
        <f aca="false">MahindraLog!G79</f>
        <v>462.39</v>
      </c>
      <c r="F16" s="32" t="n">
        <f aca="false">MahindraLog!H79</f>
        <v>373.47</v>
      </c>
      <c r="G16" s="32" t="n">
        <f aca="false">MahindraLog!I79</f>
        <v>308.71</v>
      </c>
      <c r="H16" s="32" t="n">
        <f aca="false">MahindraLog!J79</f>
        <v>527.87</v>
      </c>
      <c r="I16" s="33" t="n">
        <f aca="false">MahindraLog!K79</f>
        <v>414.96</v>
      </c>
      <c r="J16" s="34" t="str">
        <f aca="false">IF(AND(ISNUMBER(H16),ISNUMBER(H$19)),IF(H16&gt;H$19,"Above",IF(H16&lt;H$19,"Below","At")),"-")</f>
        <v>Above</v>
      </c>
      <c r="K16" s="34" t="str">
        <f aca="false">IF(J16="Above","Better",IF(J16="Below","Weaker","-"))</f>
        <v>Better</v>
      </c>
      <c r="L16" s="34" t="n">
        <f aca="false">IF(ISNUMBER(H16),RANK(H16,H$7:H$16,0),"-")</f>
        <v>3</v>
      </c>
      <c r="N16" s="34" t="str">
        <f aca="false">IF(AND(ISNUMBER(I16),ISNUMBER(I$19)),IF(I16&gt;I$19,"Above",IF(I16&lt;I$19,"Below","At")),"-")</f>
        <v>Above</v>
      </c>
      <c r="O16" s="34" t="str">
        <f aca="false">IF(N16="Above","Better",IF(N16="Below","Weaker","-"))</f>
        <v>Better</v>
      </c>
    </row>
    <row r="17" customFormat="false" ht="15" hidden="false" customHeight="false" outlineLevel="0" collapsed="false">
      <c r="A17" s="12" t="s">
        <v>176</v>
      </c>
      <c r="B17" s="33" t="n">
        <f aca="false">Industry!D79</f>
        <v>3799.21</v>
      </c>
      <c r="C17" s="33" t="n">
        <f aca="false">Industry!E79</f>
        <v>4808.49</v>
      </c>
      <c r="D17" s="33" t="n">
        <f aca="false">Industry!F79</f>
        <v>6214.51</v>
      </c>
      <c r="E17" s="33" t="n">
        <f aca="false">Industry!G79</f>
        <v>7257.52</v>
      </c>
      <c r="F17" s="33" t="n">
        <f aca="false">Industry!H79</f>
        <v>7602.73</v>
      </c>
      <c r="G17" s="33" t="n">
        <f aca="false">Industry!I79</f>
        <v>6985.07</v>
      </c>
      <c r="H17" s="33" t="n">
        <f aca="false">Industry!J79</f>
        <v>7571.42</v>
      </c>
      <c r="I17" s="33" t="n">
        <f aca="false">Industry!K79</f>
        <v>6319.85</v>
      </c>
    </row>
    <row r="18" customFormat="false" ht="15" hidden="false" customHeight="false" outlineLevel="0" collapsed="false">
      <c r="A18" s="35" t="s">
        <v>177</v>
      </c>
      <c r="B18" s="36" t="n">
        <f aca="false">IFERROR(AVERAGE(B7:B16),"N/M")</f>
        <v>379.921</v>
      </c>
      <c r="C18" s="36" t="n">
        <f aca="false">IFERROR(AVERAGE(C7:C16),"N/M")</f>
        <v>480.849</v>
      </c>
      <c r="D18" s="36" t="n">
        <f aca="false">IFERROR(AVERAGE(D7:D16),"N/M")</f>
        <v>621.451</v>
      </c>
      <c r="E18" s="36" t="n">
        <f aca="false">IFERROR(AVERAGE(E7:E16),"N/M")</f>
        <v>725.752</v>
      </c>
      <c r="F18" s="36" t="n">
        <f aca="false">IFERROR(AVERAGE(F7:F16),"N/M")</f>
        <v>760.273</v>
      </c>
      <c r="G18" s="36" t="n">
        <f aca="false">IFERROR(AVERAGE(G7:G16),"N/M")</f>
        <v>698.507</v>
      </c>
      <c r="H18" s="36" t="n">
        <f aca="false">IFERROR(AVERAGE(H7:H16),"N/M")</f>
        <v>757.142</v>
      </c>
      <c r="I18" s="36" t="n">
        <f aca="false">IFERROR(AVERAGE(I7:I16),"N/M")</f>
        <v>631.985</v>
      </c>
    </row>
    <row r="19" customFormat="false" ht="15" hidden="false" customHeight="false" outlineLevel="0" collapsed="false">
      <c r="A19" s="35" t="s">
        <v>178</v>
      </c>
      <c r="B19" s="36" t="n">
        <f aca="false">IFERROR(MEDIAN(B7:B16),"N/M")</f>
        <v>97.655</v>
      </c>
      <c r="C19" s="36" t="n">
        <f aca="false">IFERROR(MEDIAN(C7:C16),"N/M")</f>
        <v>244.61</v>
      </c>
      <c r="D19" s="36" t="n">
        <f aca="false">IFERROR(MEDIAN(D7:D16),"N/M")</f>
        <v>163.41</v>
      </c>
      <c r="E19" s="36" t="n">
        <f aca="false">IFERROR(MEDIAN(E7:E16),"N/M")</f>
        <v>172.58</v>
      </c>
      <c r="F19" s="36" t="n">
        <f aca="false">IFERROR(MEDIAN(F7:F16),"N/M")</f>
        <v>169.57</v>
      </c>
      <c r="G19" s="36" t="n">
        <f aca="false">IFERROR(MEDIAN(G7:G16),"N/M")</f>
        <v>220.745</v>
      </c>
      <c r="H19" s="36" t="n">
        <f aca="false">IFERROR(MEDIAN(H7:H16),"N/M")</f>
        <v>315.875</v>
      </c>
      <c r="I19" s="36" t="n">
        <f aca="false">IFERROR(MEDIAN(I7:I16),"N/M")</f>
        <v>133.956428571429</v>
      </c>
    </row>
    <row r="20" customFormat="false" ht="15" hidden="false" customHeight="false" outlineLevel="0" collapsed="false">
      <c r="A20" s="35" t="s">
        <v>179</v>
      </c>
      <c r="B20" s="36" t="n">
        <f aca="false">IFERROR(STDEV(B7:B16),"N/M")</f>
        <v>921.666439378513</v>
      </c>
      <c r="C20" s="36" t="n">
        <f aca="false">IFERROR(STDEV(C7:C16),"N/M")</f>
        <v>989.836167358013</v>
      </c>
      <c r="D20" s="36" t="n">
        <f aca="false">IFERROR(STDEV(D7:D16),"N/M")</f>
        <v>1210.63257221128</v>
      </c>
      <c r="E20" s="36" t="n">
        <f aca="false">IFERROR(STDEV(E7:E16),"N/M")</f>
        <v>1329.27647585528</v>
      </c>
      <c r="F20" s="36" t="n">
        <f aca="false">IFERROR(STDEV(F7:F16),"N/M")</f>
        <v>1452.89923371666</v>
      </c>
      <c r="G20" s="36" t="n">
        <f aca="false">IFERROR(STDEV(G7:G16),"N/M")</f>
        <v>1424.40493101934</v>
      </c>
      <c r="H20" s="36" t="n">
        <f aca="false">IFERROR(STDEV(H7:H16),"N/M")</f>
        <v>1430.80837147553</v>
      </c>
      <c r="I20" s="36" t="n">
        <f aca="false">IFERROR(STDEV(I7:I16),"N/M")</f>
        <v>1233.39074900411</v>
      </c>
    </row>
    <row r="21" customFormat="false" ht="15" hidden="false" customHeight="false" outlineLevel="0" collapsed="false">
      <c r="A21" s="35" t="s">
        <v>102</v>
      </c>
      <c r="B21" s="36" t="n">
        <f aca="false">IFERROR(MIN(B7:B16),"N/M")</f>
        <v>-662.18</v>
      </c>
      <c r="C21" s="36" t="n">
        <f aca="false">IFERROR(MIN(C7:C16),"N/M")</f>
        <v>-646.28</v>
      </c>
      <c r="D21" s="36" t="n">
        <f aca="false">IFERROR(MIN(D7:D16),"N/M")</f>
        <v>-337.55</v>
      </c>
      <c r="E21" s="36" t="n">
        <f aca="false">IFERROR(MIN(E7:E16),"N/M")</f>
        <v>-68.93</v>
      </c>
      <c r="F21" s="36" t="n">
        <f aca="false">IFERROR(MIN(F7:F16),"N/M")</f>
        <v>-32.09</v>
      </c>
      <c r="G21" s="36" t="n">
        <f aca="false">IFERROR(MIN(G7:G16),"N/M")</f>
        <v>-51.8</v>
      </c>
      <c r="H21" s="36" t="n">
        <f aca="false">IFERROR(MIN(H7:H16),"N/M")</f>
        <v>40.73</v>
      </c>
      <c r="I21" s="36" t="n">
        <f aca="false">IFERROR(MIN(I7:I16),"N/M")</f>
        <v>-222.181428571429</v>
      </c>
    </row>
    <row r="22" customFormat="false" ht="15" hidden="false" customHeight="false" outlineLevel="0" collapsed="false">
      <c r="A22" s="35" t="s">
        <v>103</v>
      </c>
      <c r="B22" s="36" t="n">
        <f aca="false">IFERROR(MAX(B7:B16),"N/M")</f>
        <v>2626.3</v>
      </c>
      <c r="C22" s="36" t="n">
        <f aca="false">IFERROR(MAX(C7:C16),"N/M")</f>
        <v>3063.63</v>
      </c>
      <c r="D22" s="36" t="n">
        <f aca="false">IFERROR(MAX(D7:D16),"N/M")</f>
        <v>3805.64</v>
      </c>
      <c r="E22" s="36" t="n">
        <f aca="false">IFERROR(MAX(E7:E16),"N/M")</f>
        <v>4333.98</v>
      </c>
      <c r="F22" s="36" t="n">
        <f aca="false">IFERROR(MAX(F7:F16),"N/M")</f>
        <v>4747.44</v>
      </c>
      <c r="G22" s="36" t="n">
        <f aca="false">IFERROR(MAX(G7:G16),"N/M")</f>
        <v>4689.41</v>
      </c>
      <c r="H22" s="36" t="n">
        <f aca="false">IFERROR(MAX(H7:H16),"N/M")</f>
        <v>4759.67</v>
      </c>
      <c r="I22" s="36" t="n">
        <f aca="false">IFERROR(MAX(I7:I16),"N/M")</f>
        <v>4003.72428571429</v>
      </c>
    </row>
    <row r="24" customFormat="false" ht="15" hidden="false" customHeight="false" outlineLevel="0" collapsed="false">
      <c r="A24" s="16" t="s">
        <v>180</v>
      </c>
      <c r="B24" s="17"/>
      <c r="C24" s="17"/>
      <c r="D24" s="17"/>
      <c r="E24" s="17"/>
      <c r="F24" s="17"/>
      <c r="G24" s="17"/>
      <c r="H24" s="17"/>
      <c r="I24" s="17"/>
      <c r="J24" s="17"/>
      <c r="K24" s="17"/>
      <c r="L24" s="17"/>
      <c r="M24" s="17"/>
    </row>
    <row r="25" customFormat="false" ht="15" hidden="false" customHeight="false" outlineLevel="0" collapsed="false">
      <c r="A25" s="18" t="s">
        <v>110</v>
      </c>
      <c r="B25" s="20" t="n">
        <f aca="false">Tiger!D80</f>
        <v>6.04701397712834</v>
      </c>
      <c r="C25" s="20" t="n">
        <f aca="false">Tiger!E80</f>
        <v>2.78966926793014</v>
      </c>
      <c r="D25" s="20" t="n">
        <f aca="false">Tiger!F80</f>
        <v>2.3105510465613</v>
      </c>
      <c r="E25" s="20" t="n">
        <f aca="false">Tiger!G80</f>
        <v>4.86837294332724</v>
      </c>
      <c r="F25" s="20" t="n">
        <f aca="false">Tiger!H80</f>
        <v>5.95412844036697</v>
      </c>
      <c r="G25" s="20" t="n">
        <f aca="false">Tiger!I80</f>
        <v>7.59582790091265</v>
      </c>
      <c r="H25" s="20" t="n">
        <f aca="false">Tiger!J80</f>
        <v>4.61705814401232</v>
      </c>
      <c r="I25" s="21" t="n">
        <f aca="false">Tiger!K80</f>
        <v>4.88323167431985</v>
      </c>
      <c r="J25" s="34" t="str">
        <f aca="false">IF(AND(ISNUMBER(H25),ISNUMBER(H$37)),IF(H25&gt;H$37,"Above",IF(H25&lt;H$37,"Below","At")),"-")</f>
        <v>Above</v>
      </c>
      <c r="K25" s="34" t="str">
        <f aca="false">IF(J25="Above","Better",IF(J25="Below","Weaker","-"))</f>
        <v>Better</v>
      </c>
      <c r="L25" s="34" t="n">
        <f aca="false">IF(ISNUMBER(H25),RANK(H25,H$25:H$34,0),"-")</f>
        <v>3</v>
      </c>
      <c r="N25" s="34" t="str">
        <f aca="false">IF(AND(ISNUMBER(I25),ISNUMBER(I$37)),IF(I25&gt;I$37,"Above",IF(I25&lt;I$37,"Below","At")),"-")</f>
        <v>Above</v>
      </c>
      <c r="O25" s="34" t="str">
        <f aca="false">IF(N25="Above","Better",IF(N25="Below","Weaker","-"))</f>
        <v>Better</v>
      </c>
    </row>
    <row r="26" customFormat="false" ht="15" hidden="false" customHeight="false" outlineLevel="0" collapsed="false">
      <c r="A26" s="18" t="s">
        <v>111</v>
      </c>
      <c r="B26" s="20" t="n">
        <f aca="false">Allcargo!D80</f>
        <v>1.645685933372</v>
      </c>
      <c r="C26" s="20" t="n">
        <f aca="false">Allcargo!E80</f>
        <v>1.28933732745011</v>
      </c>
      <c r="D26" s="20" t="n">
        <f aca="false">Allcargo!F80</f>
        <v>1.34371249936363</v>
      </c>
      <c r="E26" s="20" t="n">
        <f aca="false">Allcargo!G80</f>
        <v>1.39082149929104</v>
      </c>
      <c r="F26" s="20" t="n">
        <f aca="false">Allcargo!H80</f>
        <v>1.44451320058232</v>
      </c>
      <c r="G26" s="20" t="n">
        <f aca="false">Allcargo!I80</f>
        <v>2.45226130653266</v>
      </c>
      <c r="H26" s="20" t="n">
        <f aca="false">Allcargo!J80</f>
        <v>2.02558635394456</v>
      </c>
      <c r="I26" s="21" t="n">
        <f aca="false">Allcargo!K80</f>
        <v>1.65598830293376</v>
      </c>
      <c r="J26" s="34" t="str">
        <f aca="false">IF(AND(ISNUMBER(H26),ISNUMBER(H$37)),IF(H26&gt;H$37,"Above",IF(H26&lt;H$37,"Below","At")),"-")</f>
        <v>Below</v>
      </c>
      <c r="K26" s="34" t="str">
        <f aca="false">IF(J26="Above","Better",IF(J26="Below","Weaker","-"))</f>
        <v>Weaker</v>
      </c>
      <c r="L26" s="34" t="n">
        <f aca="false">IF(ISNUMBER(H26),RANK(H26,H$25:H$34,0),"-")</f>
        <v>7</v>
      </c>
      <c r="N26" s="34" t="str">
        <f aca="false">IF(AND(ISNUMBER(I26),ISNUMBER(I$37)),IF(I26&gt;I$37,"Above",IF(I26&lt;I$37,"Below","At")),"-")</f>
        <v>Below</v>
      </c>
      <c r="O26" s="34" t="str">
        <f aca="false">IF(N26="Above","Better",IF(N26="Below","Weaker","-"))</f>
        <v>Weaker</v>
      </c>
    </row>
    <row r="27" customFormat="false" ht="15" hidden="false" customHeight="false" outlineLevel="0" collapsed="false">
      <c r="A27" s="18" t="s">
        <v>112</v>
      </c>
      <c r="B27" s="20" t="n">
        <f aca="false">BlueDart!D80</f>
        <v>0.591236820662239</v>
      </c>
      <c r="C27" s="20" t="n">
        <f aca="false">BlueDart!E80</f>
        <v>1.47768472654854</v>
      </c>
      <c r="D27" s="20" t="n">
        <f aca="false">BlueDart!F80</f>
        <v>1.25205707037257</v>
      </c>
      <c r="E27" s="20" t="n">
        <f aca="false">BlueDart!G80</f>
        <v>1.27386444863214</v>
      </c>
      <c r="F27" s="20" t="n">
        <f aca="false">BlueDart!H80</f>
        <v>1.231747462476</v>
      </c>
      <c r="G27" s="20" t="n">
        <f aca="false">BlueDart!I80</f>
        <v>1.26416711496904</v>
      </c>
      <c r="H27" s="20" t="n">
        <f aca="false">BlueDart!J80</f>
        <v>1.36741383306294</v>
      </c>
      <c r="I27" s="21" t="n">
        <f aca="false">BlueDart!K80</f>
        <v>1.2083102109605</v>
      </c>
      <c r="J27" s="34" t="str">
        <f aca="false">IF(AND(ISNUMBER(H27),ISNUMBER(H$37)),IF(H27&gt;H$37,"Above",IF(H27&lt;H$37,"Below","At")),"-")</f>
        <v>Below</v>
      </c>
      <c r="K27" s="34" t="str">
        <f aca="false">IF(J27="Above","Better",IF(J27="Below","Weaker","-"))</f>
        <v>Weaker</v>
      </c>
      <c r="L27" s="34" t="n">
        <f aca="false">IF(ISNUMBER(H27),RANK(H27,H$25:H$34,0),"-")</f>
        <v>9</v>
      </c>
      <c r="N27" s="34" t="str">
        <f aca="false">IF(AND(ISNUMBER(I27),ISNUMBER(I$37)),IF(I27&gt;I$37,"Above",IF(I27&lt;I$37,"Below","At")),"-")</f>
        <v>Below</v>
      </c>
      <c r="O27" s="34" t="str">
        <f aca="false">IF(N27="Above","Better",IF(N27="Below","Weaker","-"))</f>
        <v>Weaker</v>
      </c>
    </row>
    <row r="28" customFormat="false" ht="15" hidden="false" customHeight="false" outlineLevel="0" collapsed="false">
      <c r="A28" s="18" t="s">
        <v>67</v>
      </c>
      <c r="B28" s="20" t="n">
        <f aca="false">CONCOR!D80</f>
        <v>2.5701337988593</v>
      </c>
      <c r="C28" s="20" t="n">
        <f aca="false">CONCOR!E80</f>
        <v>3.04206604188607</v>
      </c>
      <c r="D28" s="20" t="n">
        <f aca="false">CONCOR!F80</f>
        <v>3.51790688288574</v>
      </c>
      <c r="E28" s="20" t="n">
        <f aca="false">CONCOR!G80</f>
        <v>3.96768671382302</v>
      </c>
      <c r="F28" s="20" t="n">
        <f aca="false">CONCOR!H80</f>
        <v>4.71983545543585</v>
      </c>
      <c r="G28" s="20" t="n">
        <f aca="false">CONCOR!I80</f>
        <v>4.799123418183</v>
      </c>
      <c r="H28" s="20" t="n">
        <f aca="false">CONCOR!J80</f>
        <v>4.75113881752124</v>
      </c>
      <c r="I28" s="21" t="n">
        <f aca="false">CONCOR!K80</f>
        <v>3.90969873265632</v>
      </c>
      <c r="J28" s="34" t="str">
        <f aca="false">IF(AND(ISNUMBER(H28),ISNUMBER(H$37)),IF(H28&gt;H$37,"Above",IF(H28&lt;H$37,"Below","At")),"-")</f>
        <v>Above</v>
      </c>
      <c r="K28" s="34" t="str">
        <f aca="false">IF(J28="Above","Better",IF(J28="Below","Weaker","-"))</f>
        <v>Better</v>
      </c>
      <c r="L28" s="34" t="n">
        <f aca="false">IF(ISNUMBER(H28),RANK(H28,H$25:H$34,0),"-")</f>
        <v>2</v>
      </c>
      <c r="N28" s="34" t="str">
        <f aca="false">IF(AND(ISNUMBER(I28),ISNUMBER(I$37)),IF(I28&gt;I$37,"Above",IF(I28&lt;I$37,"Below","At")),"-")</f>
        <v>Above</v>
      </c>
      <c r="O28" s="34" t="str">
        <f aca="false">IF(N28="Above","Better",IF(N28="Below","Weaker","-"))</f>
        <v>Better</v>
      </c>
    </row>
    <row r="29" customFormat="false" ht="15" hidden="false" customHeight="false" outlineLevel="0" collapsed="false">
      <c r="A29" s="18" t="s">
        <v>113</v>
      </c>
      <c r="B29" s="20" t="n">
        <f aca="false">JetFreight!D80</f>
        <v>2.17703636910129</v>
      </c>
      <c r="C29" s="20" t="n">
        <f aca="false">JetFreight!E80</f>
        <v>1.52183454026772</v>
      </c>
      <c r="D29" s="20" t="n">
        <f aca="false">JetFreight!F80</f>
        <v>2.15819829717111</v>
      </c>
      <c r="E29" s="20" t="n">
        <f aca="false">JetFreight!G80</f>
        <v>4.00130081300813</v>
      </c>
      <c r="F29" s="20" t="n">
        <f aca="false">JetFreight!H80</f>
        <v>2.73794950267789</v>
      </c>
      <c r="G29" s="20" t="n">
        <f aca="false">JetFreight!I80</f>
        <v>2.99500192233756</v>
      </c>
      <c r="H29" s="20" t="n">
        <f aca="false">JetFreight!J80</f>
        <v>3.58818547533347</v>
      </c>
      <c r="I29" s="21" t="n">
        <f aca="false">JetFreight!K80</f>
        <v>2.73992955998531</v>
      </c>
      <c r="J29" s="34" t="str">
        <f aca="false">IF(AND(ISNUMBER(H29),ISNUMBER(H$37)),IF(H29&gt;H$37,"Above",IF(H29&lt;H$37,"Below","At")),"-")</f>
        <v>Above</v>
      </c>
      <c r="K29" s="34" t="str">
        <f aca="false">IF(J29="Above","Better",IF(J29="Below","Weaker","-"))</f>
        <v>Better</v>
      </c>
      <c r="L29" s="34" t="n">
        <f aca="false">IF(ISNUMBER(H29),RANK(H29,H$25:H$34,0),"-")</f>
        <v>4</v>
      </c>
      <c r="N29" s="34" t="str">
        <f aca="false">IF(AND(ISNUMBER(I29),ISNUMBER(I$37)),IF(I29&gt;I$37,"Above",IF(I29&lt;I$37,"Below","At")),"-")</f>
        <v>Below</v>
      </c>
      <c r="O29" s="34" t="str">
        <f aca="false">IF(N29="Above","Better",IF(N29="Below","Weaker","-"))</f>
        <v>Weaker</v>
      </c>
    </row>
    <row r="30" customFormat="false" ht="15" hidden="false" customHeight="false" outlineLevel="0" collapsed="false">
      <c r="A30" s="18" t="s">
        <v>114</v>
      </c>
      <c r="B30" s="20" t="n">
        <f aca="false">Patel!D80</f>
        <v>5.51911076443058</v>
      </c>
      <c r="C30" s="20" t="n">
        <f aca="false">Patel!E80</f>
        <v>10.61872909699</v>
      </c>
      <c r="D30" s="20" t="n">
        <f aca="false">Patel!F80</f>
        <v>8.40622737146995</v>
      </c>
      <c r="E30" s="20" t="n">
        <f aca="false">Patel!G80</f>
        <v>4.81551724137931</v>
      </c>
      <c r="F30" s="20" t="n">
        <f aca="false">Patel!H80</f>
        <v>2.85593743568636</v>
      </c>
      <c r="G30" s="20" t="n">
        <f aca="false">Patel!I80</f>
        <v>3.49146451033243</v>
      </c>
      <c r="H30" s="20" t="n">
        <f aca="false">Patel!J80</f>
        <v>3.3649373881932</v>
      </c>
      <c r="I30" s="21" t="n">
        <f aca="false">Patel!K80</f>
        <v>5.58170340121169</v>
      </c>
      <c r="J30" s="34" t="str">
        <f aca="false">IF(AND(ISNUMBER(H30),ISNUMBER(H$37)),IF(H30&gt;H$37,"Above",IF(H30&lt;H$37,"Below","At")),"-")</f>
        <v>Above</v>
      </c>
      <c r="K30" s="34" t="str">
        <f aca="false">IF(J30="Above","Better",IF(J30="Below","Weaker","-"))</f>
        <v>Better</v>
      </c>
      <c r="L30" s="34" t="n">
        <f aca="false">IF(ISNUMBER(H30),RANK(H30,H$25:H$34,0),"-")</f>
        <v>5</v>
      </c>
      <c r="N30" s="34" t="str">
        <f aca="false">IF(AND(ISNUMBER(I30),ISNUMBER(I$37)),IF(I30&gt;I$37,"Above",IF(I30&lt;I$37,"Below","At")),"-")</f>
        <v>Above</v>
      </c>
      <c r="O30" s="34" t="str">
        <f aca="false">IF(N30="Above","Better",IF(N30="Below","Weaker","-"))</f>
        <v>Better</v>
      </c>
    </row>
    <row r="31" customFormat="false" ht="15" hidden="false" customHeight="false" outlineLevel="0" collapsed="false">
      <c r="A31" s="18" t="s">
        <v>115</v>
      </c>
      <c r="B31" s="20" t="n">
        <f aca="false">Sical!D80</f>
        <v>0.538800590367373</v>
      </c>
      <c r="C31" s="20" t="n">
        <f aca="false">Sical!E80</f>
        <v>0.430409645350067</v>
      </c>
      <c r="D31" s="20" t="n">
        <f aca="false">Sical!F80</f>
        <v>0.537716727382289</v>
      </c>
      <c r="E31" s="20" t="n">
        <f aca="false">Sical!G80</f>
        <v>0.730763221623311</v>
      </c>
      <c r="F31" s="20" t="n">
        <f aca="false">Sical!H80</f>
        <v>0.861424191389213</v>
      </c>
      <c r="G31" s="20" t="n">
        <f aca="false">Sical!I80</f>
        <v>0.79756135688604</v>
      </c>
      <c r="H31" s="20" t="n">
        <f aca="false">Sical!J80</f>
        <v>1.14025965081442</v>
      </c>
      <c r="I31" s="21" t="n">
        <f aca="false">Sical!K80</f>
        <v>0.719562197687531</v>
      </c>
      <c r="J31" s="34" t="str">
        <f aca="false">IF(AND(ISNUMBER(H31),ISNUMBER(H$37)),IF(H31&gt;H$37,"Above",IF(H31&lt;H$37,"Below","At")),"-")</f>
        <v>Below</v>
      </c>
      <c r="K31" s="34" t="str">
        <f aca="false">IF(J31="Above","Better",IF(J31="Below","Weaker","-"))</f>
        <v>Weaker</v>
      </c>
      <c r="L31" s="34" t="n">
        <f aca="false">IF(ISNUMBER(H31),RANK(H31,H$25:H$34,0),"-")</f>
        <v>10</v>
      </c>
      <c r="N31" s="34" t="str">
        <f aca="false">IF(AND(ISNUMBER(I31),ISNUMBER(I$37)),IF(I31&gt;I$37,"Above",IF(I31&lt;I$37,"Below","At")),"-")</f>
        <v>Below</v>
      </c>
      <c r="O31" s="34" t="str">
        <f aca="false">IF(N31="Above","Better",IF(N31="Below","Weaker","-"))</f>
        <v>Weaker</v>
      </c>
    </row>
    <row r="32" customFormat="false" ht="15" hidden="false" customHeight="false" outlineLevel="0" collapsed="false">
      <c r="A32" s="18" t="s">
        <v>86</v>
      </c>
      <c r="B32" s="20" t="n">
        <f aca="false">TCI!D80</f>
        <v>3.17916420928469</v>
      </c>
      <c r="C32" s="20" t="n">
        <f aca="false">TCI!E80</f>
        <v>2.86790368897725</v>
      </c>
      <c r="D32" s="20" t="n">
        <f aca="false">TCI!F80</f>
        <v>2.74747105017969</v>
      </c>
      <c r="E32" s="20" t="n">
        <f aca="false">TCI!G80</f>
        <v>3.24742066720911</v>
      </c>
      <c r="F32" s="20" t="n">
        <f aca="false">TCI!H80</f>
        <v>3.25103652517275</v>
      </c>
      <c r="G32" s="20" t="n">
        <f aca="false">TCI!I80</f>
        <v>2.4267053701016</v>
      </c>
      <c r="H32" s="20" t="n">
        <f aca="false">TCI!J80</f>
        <v>2.41828094188609</v>
      </c>
      <c r="I32" s="21" t="n">
        <f aca="false">TCI!K80</f>
        <v>2.87685463611588</v>
      </c>
      <c r="J32" s="34" t="str">
        <f aca="false">IF(AND(ISNUMBER(H32),ISNUMBER(H$37)),IF(H32&gt;H$37,"Above",IF(H32&lt;H$37,"Below","At")),"-")</f>
        <v>Below</v>
      </c>
      <c r="K32" s="34" t="str">
        <f aca="false">IF(J32="Above","Better",IF(J32="Below","Weaker","-"))</f>
        <v>Weaker</v>
      </c>
      <c r="L32" s="34" t="n">
        <f aca="false">IF(ISNUMBER(H32),RANK(H32,H$25:H$34,0),"-")</f>
        <v>6</v>
      </c>
      <c r="N32" s="34" t="str">
        <f aca="false">IF(AND(ISNUMBER(I32),ISNUMBER(I$37)),IF(I32&gt;I$37,"Above",IF(I32&lt;I$37,"Below","At")),"-")</f>
        <v>Above</v>
      </c>
      <c r="O32" s="34" t="str">
        <f aca="false">IF(N32="Above","Better",IF(N32="Below","Weaker","-"))</f>
        <v>Better</v>
      </c>
    </row>
    <row r="33" customFormat="false" ht="15" hidden="false" customHeight="false" outlineLevel="0" collapsed="false">
      <c r="A33" s="18" t="s">
        <v>116</v>
      </c>
      <c r="B33" s="20" t="n">
        <f aca="false">Shreeji!D80</f>
        <v>6.11435239206534</v>
      </c>
      <c r="C33" s="20" t="n">
        <f aca="false">Shreeji!E80</f>
        <v>5.47098646034816</v>
      </c>
      <c r="D33" s="20" t="n">
        <f aca="false">Shreeji!F80</f>
        <v>5.46867565424267</v>
      </c>
      <c r="E33" s="20" t="n">
        <f aca="false">Shreeji!G80</f>
        <v>4.13758389261745</v>
      </c>
      <c r="F33" s="20" t="n">
        <f aca="false">Shreeji!H80</f>
        <v>4.7823629169022</v>
      </c>
      <c r="G33" s="20" t="n">
        <f aca="false">Shreeji!I80</f>
        <v>4.93693693693694</v>
      </c>
      <c r="H33" s="20" t="n">
        <f aca="false">Shreeji!J80</f>
        <v>4.77197518097208</v>
      </c>
      <c r="I33" s="21" t="n">
        <f aca="false">Shreeji!K80</f>
        <v>5.09755334772641</v>
      </c>
      <c r="J33" s="34" t="str">
        <f aca="false">IF(AND(ISNUMBER(H33),ISNUMBER(H$37)),IF(H33&gt;H$37,"Above",IF(H33&lt;H$37,"Below","At")),"-")</f>
        <v>Above</v>
      </c>
      <c r="K33" s="34" t="str">
        <f aca="false">IF(J33="Above","Better",IF(J33="Below","Weaker","-"))</f>
        <v>Better</v>
      </c>
      <c r="L33" s="34" t="n">
        <f aca="false">IF(ISNUMBER(H33),RANK(H33,H$25:H$34,0),"-")</f>
        <v>1</v>
      </c>
      <c r="N33" s="34" t="str">
        <f aca="false">IF(AND(ISNUMBER(I33),ISNUMBER(I$37)),IF(I33&gt;I$37,"Above",IF(I33&lt;I$37,"Below","At")),"-")</f>
        <v>Above</v>
      </c>
      <c r="O33" s="34" t="str">
        <f aca="false">IF(N33="Above","Better",IF(N33="Below","Weaker","-"))</f>
        <v>Better</v>
      </c>
    </row>
    <row r="34" customFormat="false" ht="15" hidden="false" customHeight="false" outlineLevel="0" collapsed="false">
      <c r="A34" s="18" t="s">
        <v>117</v>
      </c>
      <c r="B34" s="20" t="n">
        <f aca="false">MahindraLog!D80</f>
        <v>1.73504564352188</v>
      </c>
      <c r="C34" s="20" t="n">
        <f aca="false">MahindraLog!E80</f>
        <v>1.49293022051119</v>
      </c>
      <c r="D34" s="20" t="n">
        <f aca="false">MahindraLog!F80</f>
        <v>1.30859002084673</v>
      </c>
      <c r="E34" s="20" t="n">
        <f aca="false">MahindraLog!G80</f>
        <v>1.39956965831907</v>
      </c>
      <c r="F34" s="20" t="n">
        <f aca="false">MahindraLog!H80</f>
        <v>1.29986992548818</v>
      </c>
      <c r="G34" s="20" t="n">
        <f aca="false">MahindraLog!I80</f>
        <v>1.24266983193674</v>
      </c>
      <c r="H34" s="20" t="n">
        <f aca="false">MahindraLog!J80</f>
        <v>1.41224384605773</v>
      </c>
      <c r="I34" s="21" t="n">
        <f aca="false">MahindraLog!K80</f>
        <v>1.41298844952593</v>
      </c>
      <c r="J34" s="34" t="str">
        <f aca="false">IF(AND(ISNUMBER(H34),ISNUMBER(H$37)),IF(H34&gt;H$37,"Above",IF(H34&lt;H$37,"Below","At")),"-")</f>
        <v>Below</v>
      </c>
      <c r="K34" s="34" t="str">
        <f aca="false">IF(J34="Above","Better",IF(J34="Below","Weaker","-"))</f>
        <v>Weaker</v>
      </c>
      <c r="L34" s="34" t="n">
        <f aca="false">IF(ISNUMBER(H34),RANK(H34,H$25:H$34,0),"-")</f>
        <v>8</v>
      </c>
      <c r="N34" s="34" t="str">
        <f aca="false">IF(AND(ISNUMBER(I34),ISNUMBER(I$37)),IF(I34&gt;I$37,"Above",IF(I34&lt;I$37,"Below","At")),"-")</f>
        <v>Below</v>
      </c>
      <c r="O34" s="34" t="str">
        <f aca="false">IF(N34="Above","Better",IF(N34="Below","Weaker","-"))</f>
        <v>Weaker</v>
      </c>
    </row>
    <row r="35" customFormat="false" ht="15" hidden="false" customHeight="false" outlineLevel="0" collapsed="false">
      <c r="A35" s="12" t="s">
        <v>176</v>
      </c>
      <c r="B35" s="21" t="n">
        <f aca="false">Industry!D80</f>
        <v>1.55568377943543</v>
      </c>
      <c r="C35" s="21" t="n">
        <f aca="false">Industry!E80</f>
        <v>1.63283177839458</v>
      </c>
      <c r="D35" s="21" t="n">
        <f aca="false">Industry!F80</f>
        <v>1.71479788545769</v>
      </c>
      <c r="E35" s="21" t="n">
        <f aca="false">Industry!G80</f>
        <v>1.97612124179227</v>
      </c>
      <c r="F35" s="21" t="n">
        <f aca="false">Industry!H80</f>
        <v>2.08411879956993</v>
      </c>
      <c r="G35" s="21" t="n">
        <f aca="false">Industry!I80</f>
        <v>2.41985088157932</v>
      </c>
      <c r="H35" s="21" t="n">
        <f aca="false">Industry!J80</f>
        <v>2.43605627070938</v>
      </c>
      <c r="I35" s="21" t="n">
        <f aca="false">Industry!K80</f>
        <v>1.9742086624198</v>
      </c>
    </row>
    <row r="36" customFormat="false" ht="15" hidden="false" customHeight="false" outlineLevel="0" collapsed="false">
      <c r="A36" s="35" t="s">
        <v>177</v>
      </c>
      <c r="B36" s="37" t="n">
        <f aca="false">IFERROR(AVERAGE(B25:B34),"N/M")</f>
        <v>3.0117580498793</v>
      </c>
      <c r="C36" s="37" t="n">
        <f aca="false">IFERROR(AVERAGE(C25:C34),"N/M")</f>
        <v>3.10015510162592</v>
      </c>
      <c r="D36" s="37" t="n">
        <f aca="false">IFERROR(AVERAGE(D25:D34),"N/M")</f>
        <v>2.90511066204757</v>
      </c>
      <c r="E36" s="37" t="n">
        <f aca="false">IFERROR(AVERAGE(E25:E34),"N/M")</f>
        <v>2.98329010992298</v>
      </c>
      <c r="F36" s="37" t="n">
        <f aca="false">IFERROR(AVERAGE(F25:F34),"N/M")</f>
        <v>2.91388050561777</v>
      </c>
      <c r="G36" s="37" t="n">
        <f aca="false">IFERROR(AVERAGE(G25:G34),"N/M")</f>
        <v>3.20017196691287</v>
      </c>
      <c r="H36" s="37" t="n">
        <f aca="false">IFERROR(AVERAGE(H25:H34),"N/M")</f>
        <v>2.94570796317981</v>
      </c>
      <c r="I36" s="37" t="n">
        <f aca="false">IFERROR(AVERAGE(I25:I34),"N/M")</f>
        <v>3.00858205131232</v>
      </c>
    </row>
    <row r="37" customFormat="false" ht="15" hidden="false" customHeight="false" outlineLevel="0" collapsed="false">
      <c r="A37" s="35" t="s">
        <v>178</v>
      </c>
      <c r="B37" s="37" t="n">
        <f aca="false">IFERROR(MEDIAN(B25:B34),"N/M")</f>
        <v>2.3735850839803</v>
      </c>
      <c r="C37" s="37" t="n">
        <f aca="false">IFERROR(MEDIAN(C25:C34),"N/M")</f>
        <v>2.15575190409893</v>
      </c>
      <c r="D37" s="37" t="n">
        <f aca="false">IFERROR(MEDIAN(D25:D34),"N/M")</f>
        <v>2.2343746718662</v>
      </c>
      <c r="E37" s="37" t="n">
        <f aca="false">IFERROR(MEDIAN(E25:E34),"N/M")</f>
        <v>3.60755369051607</v>
      </c>
      <c r="F37" s="37" t="n">
        <f aca="false">IFERROR(MEDIAN(F25:F34),"N/M")</f>
        <v>2.79694346918212</v>
      </c>
      <c r="G37" s="37" t="n">
        <f aca="false">IFERROR(MEDIAN(G25:G34),"N/M")</f>
        <v>2.72363161443511</v>
      </c>
      <c r="H37" s="37" t="n">
        <f aca="false">IFERROR(MEDIAN(H25:H34),"N/M")</f>
        <v>2.89160916503965</v>
      </c>
      <c r="I37" s="37" t="n">
        <f aca="false">IFERROR(MEDIAN(I25:I34),"N/M")</f>
        <v>2.8083920980506</v>
      </c>
    </row>
    <row r="38" customFormat="false" ht="15" hidden="false" customHeight="false" outlineLevel="0" collapsed="false">
      <c r="A38" s="35" t="s">
        <v>179</v>
      </c>
      <c r="B38" s="37" t="n">
        <f aca="false">IFERROR(STDEV(B25:B34),"N/M")</f>
        <v>2.14776612968973</v>
      </c>
      <c r="C38" s="37" t="n">
        <f aca="false">IFERROR(STDEV(C25:C34),"N/M")</f>
        <v>2.98918034676157</v>
      </c>
      <c r="D38" s="37" t="n">
        <f aca="false">IFERROR(STDEV(D25:D34),"N/M")</f>
        <v>2.39141710176723</v>
      </c>
      <c r="E38" s="37" t="n">
        <f aca="false">IFERROR(STDEV(E25:E34),"N/M")</f>
        <v>1.61101332231661</v>
      </c>
      <c r="F38" s="37" t="n">
        <f aca="false">IFERROR(STDEV(F25:F34),"N/M")</f>
        <v>1.76225895221612</v>
      </c>
      <c r="G38" s="37" t="n">
        <f aca="false">IFERROR(STDEV(G25:G34),"N/M")</f>
        <v>2.09581126055082</v>
      </c>
      <c r="H38" s="37" t="n">
        <f aca="false">IFERROR(STDEV(H25:H34),"N/M")</f>
        <v>1.46073595677878</v>
      </c>
      <c r="I38" s="37" t="n">
        <f aca="false">IFERROR(STDEV(I25:I34),"N/M")</f>
        <v>1.77189862682396</v>
      </c>
    </row>
    <row r="39" customFormat="false" ht="15" hidden="false" customHeight="false" outlineLevel="0" collapsed="false">
      <c r="A39" s="35" t="s">
        <v>102</v>
      </c>
      <c r="B39" s="37" t="n">
        <f aca="false">IFERROR(MIN(B25:B34),"N/M")</f>
        <v>0.538800590367373</v>
      </c>
      <c r="C39" s="37" t="n">
        <f aca="false">IFERROR(MIN(C25:C34),"N/M")</f>
        <v>0.430409645350067</v>
      </c>
      <c r="D39" s="37" t="n">
        <f aca="false">IFERROR(MIN(D25:D34),"N/M")</f>
        <v>0.537716727382289</v>
      </c>
      <c r="E39" s="37" t="n">
        <f aca="false">IFERROR(MIN(E25:E34),"N/M")</f>
        <v>0.730763221623311</v>
      </c>
      <c r="F39" s="37" t="n">
        <f aca="false">IFERROR(MIN(F25:F34),"N/M")</f>
        <v>0.861424191389213</v>
      </c>
      <c r="G39" s="37" t="n">
        <f aca="false">IFERROR(MIN(G25:G34),"N/M")</f>
        <v>0.79756135688604</v>
      </c>
      <c r="H39" s="37" t="n">
        <f aca="false">IFERROR(MIN(H25:H34),"N/M")</f>
        <v>1.14025965081442</v>
      </c>
      <c r="I39" s="37" t="n">
        <f aca="false">IFERROR(MIN(I25:I34),"N/M")</f>
        <v>0.719562197687531</v>
      </c>
    </row>
    <row r="40" customFormat="false" ht="15" hidden="false" customHeight="false" outlineLevel="0" collapsed="false">
      <c r="A40" s="35" t="s">
        <v>103</v>
      </c>
      <c r="B40" s="37" t="n">
        <f aca="false">IFERROR(MAX(B25:B34),"N/M")</f>
        <v>6.11435239206534</v>
      </c>
      <c r="C40" s="37" t="n">
        <f aca="false">IFERROR(MAX(C25:C34),"N/M")</f>
        <v>10.61872909699</v>
      </c>
      <c r="D40" s="37" t="n">
        <f aca="false">IFERROR(MAX(D25:D34),"N/M")</f>
        <v>8.40622737146995</v>
      </c>
      <c r="E40" s="37" t="n">
        <f aca="false">IFERROR(MAX(E25:E34),"N/M")</f>
        <v>4.86837294332724</v>
      </c>
      <c r="F40" s="37" t="n">
        <f aca="false">IFERROR(MAX(F25:F34),"N/M")</f>
        <v>5.95412844036697</v>
      </c>
      <c r="G40" s="37" t="n">
        <f aca="false">IFERROR(MAX(G25:G34),"N/M")</f>
        <v>7.59582790091265</v>
      </c>
      <c r="H40" s="37" t="n">
        <f aca="false">IFERROR(MAX(H25:H34),"N/M")</f>
        <v>4.77197518097208</v>
      </c>
      <c r="I40" s="37" t="n">
        <f aca="false">IFERROR(MAX(I25:I34),"N/M")</f>
        <v>5.58170340121169</v>
      </c>
    </row>
    <row r="42" customFormat="false" ht="15" hidden="false" customHeight="false" outlineLevel="0" collapsed="false">
      <c r="A42" s="16" t="s">
        <v>181</v>
      </c>
      <c r="B42" s="17"/>
      <c r="C42" s="17"/>
      <c r="D42" s="17"/>
      <c r="E42" s="17"/>
      <c r="F42" s="17"/>
      <c r="G42" s="17"/>
      <c r="H42" s="17"/>
      <c r="I42" s="17"/>
      <c r="J42" s="17"/>
      <c r="K42" s="17"/>
      <c r="L42" s="17"/>
      <c r="M42" s="17"/>
    </row>
    <row r="43" customFormat="false" ht="15" hidden="false" customHeight="false" outlineLevel="0" collapsed="false">
      <c r="A43" s="18" t="s">
        <v>110</v>
      </c>
      <c r="B43" s="20" t="n">
        <f aca="false">Tiger!D81</f>
        <v>4.54637865311309</v>
      </c>
      <c r="C43" s="20" t="n">
        <f aca="false">Tiger!E81</f>
        <v>1.87848383500557</v>
      </c>
      <c r="D43" s="20" t="n">
        <f aca="false">Tiger!F81</f>
        <v>2.14053823152499</v>
      </c>
      <c r="E43" s="20" t="n">
        <f aca="false">Tiger!G81</f>
        <v>4.64808043875686</v>
      </c>
      <c r="F43" s="20" t="n">
        <f aca="false">Tiger!H81</f>
        <v>5.38580395943988</v>
      </c>
      <c r="G43" s="20" t="n">
        <f aca="false">Tiger!I81</f>
        <v>6.6857887874837</v>
      </c>
      <c r="H43" s="20" t="n">
        <f aca="false">Tiger!J81</f>
        <v>3.89834424335772</v>
      </c>
      <c r="I43" s="21" t="n">
        <f aca="false">Tiger!K81</f>
        <v>4.16905973552597</v>
      </c>
      <c r="J43" s="34" t="str">
        <f aca="false">IF(AND(ISNUMBER(H43),ISNUMBER(H$55)),IF(H43&gt;H$55,"Above",IF(H43&lt;H$55,"Below","At")),"-")</f>
        <v>Above</v>
      </c>
      <c r="K43" s="34" t="str">
        <f aca="false">IF(J43="Above","Better",IF(J43="Below","Weaker","-"))</f>
        <v>Better</v>
      </c>
      <c r="L43" s="34" t="n">
        <f aca="false">IF(ISNUMBER(H43),RANK(H43,H$43:H$52,0),"-")</f>
        <v>2</v>
      </c>
      <c r="N43" s="34" t="str">
        <f aca="false">IF(AND(ISNUMBER(I43),ISNUMBER(I$55)),IF(I43&gt;I$55,"Above",IF(I43&lt;I$55,"Below","At")),"-")</f>
        <v>Above</v>
      </c>
      <c r="O43" s="34" t="str">
        <f aca="false">IF(N43="Above","Better",IF(N43="Below","Weaker","-"))</f>
        <v>Better</v>
      </c>
    </row>
    <row r="44" customFormat="false" ht="15" hidden="false" customHeight="false" outlineLevel="0" collapsed="false">
      <c r="A44" s="18" t="s">
        <v>111</v>
      </c>
      <c r="B44" s="20" t="n">
        <f aca="false">Allcargo!D81</f>
        <v>1.11984663960307</v>
      </c>
      <c r="C44" s="20" t="n">
        <f aca="false">Allcargo!E81</f>
        <v>0.862553805880527</v>
      </c>
      <c r="D44" s="20" t="n">
        <f aca="false">Allcargo!F81</f>
        <v>0.90198136695653</v>
      </c>
      <c r="E44" s="20" t="n">
        <f aca="false">Allcargo!G81</f>
        <v>1.03388186449108</v>
      </c>
      <c r="F44" s="20" t="n">
        <f aca="false">Allcargo!H81</f>
        <v>0.99669493617006</v>
      </c>
      <c r="G44" s="20" t="n">
        <f aca="false">Allcargo!I81</f>
        <v>1.33668341708543</v>
      </c>
      <c r="H44" s="20" t="n">
        <f aca="false">Allcargo!J81</f>
        <v>1.19402985074627</v>
      </c>
      <c r="I44" s="21" t="n">
        <f aca="false">Allcargo!K81</f>
        <v>1.06366741156185</v>
      </c>
      <c r="J44" s="34" t="str">
        <f aca="false">IF(AND(ISNUMBER(H44),ISNUMBER(H$55)),IF(H44&gt;H$55,"Above",IF(H44&lt;H$55,"Below","At")),"-")</f>
        <v>Below</v>
      </c>
      <c r="K44" s="34" t="str">
        <f aca="false">IF(J44="Above","Better",IF(J44="Below","Weaker","-"))</f>
        <v>Weaker</v>
      </c>
      <c r="L44" s="34" t="n">
        <f aca="false">IF(ISNUMBER(H44),RANK(H44,H$43:H$52,0),"-")</f>
        <v>7</v>
      </c>
      <c r="N44" s="34" t="str">
        <f aca="false">IF(AND(ISNUMBER(I44),ISNUMBER(I$55)),IF(I44&gt;I$55,"Above",IF(I44&lt;I$55,"Below","At")),"-")</f>
        <v>Below</v>
      </c>
      <c r="O44" s="34" t="str">
        <f aca="false">IF(N44="Above","Better",IF(N44="Below","Weaker","-"))</f>
        <v>Weaker</v>
      </c>
    </row>
    <row r="45" customFormat="false" ht="15" hidden="false" customHeight="false" outlineLevel="0" collapsed="false">
      <c r="A45" s="18" t="s">
        <v>112</v>
      </c>
      <c r="B45" s="20" t="n">
        <f aca="false">BlueDart!D81</f>
        <v>0.38780587174992</v>
      </c>
      <c r="C45" s="20" t="n">
        <f aca="false">BlueDart!E81</f>
        <v>1.05760098044222</v>
      </c>
      <c r="D45" s="20" t="n">
        <f aca="false">BlueDart!F81</f>
        <v>0.858008823232267</v>
      </c>
      <c r="E45" s="20" t="n">
        <f aca="false">BlueDart!G81</f>
        <v>0.792969003833907</v>
      </c>
      <c r="F45" s="20" t="n">
        <f aca="false">BlueDart!H81</f>
        <v>0.81971822706431</v>
      </c>
      <c r="G45" s="20" t="n">
        <f aca="false">BlueDart!I81</f>
        <v>0.869311498728037</v>
      </c>
      <c r="H45" s="20" t="n">
        <f aca="false">BlueDart!J81</f>
        <v>0.957876700989968</v>
      </c>
      <c r="I45" s="21" t="n">
        <f aca="false">BlueDart!K81</f>
        <v>0.820470158005804</v>
      </c>
      <c r="J45" s="34" t="str">
        <f aca="false">IF(AND(ISNUMBER(H45),ISNUMBER(H$55)),IF(H45&gt;H$55,"Above",IF(H45&lt;H$55,"Below","At")),"-")</f>
        <v>Below</v>
      </c>
      <c r="K45" s="34" t="str">
        <f aca="false">IF(J45="Above","Better",IF(J45="Below","Weaker","-"))</f>
        <v>Weaker</v>
      </c>
      <c r="L45" s="34" t="n">
        <f aca="false">IF(ISNUMBER(H45),RANK(H45,H$43:H$52,0),"-")</f>
        <v>8</v>
      </c>
      <c r="N45" s="34" t="str">
        <f aca="false">IF(AND(ISNUMBER(I45),ISNUMBER(I$55)),IF(I45&gt;I$55,"Above",IF(I45&lt;I$55,"Below","At")),"-")</f>
        <v>Below</v>
      </c>
      <c r="O45" s="34" t="str">
        <f aca="false">IF(N45="Above","Better",IF(N45="Below","Weaker","-"))</f>
        <v>Weaker</v>
      </c>
    </row>
    <row r="46" customFormat="false" ht="15" hidden="false" customHeight="false" outlineLevel="0" collapsed="false">
      <c r="A46" s="18" t="s">
        <v>67</v>
      </c>
      <c r="B46" s="20" t="n">
        <f aca="false">CONCOR!D81</f>
        <v>1.40868437100188</v>
      </c>
      <c r="C46" s="20" t="n">
        <f aca="false">CONCOR!E81</f>
        <v>1.76891338834602</v>
      </c>
      <c r="D46" s="20" t="n">
        <f aca="false">CONCOR!F81</f>
        <v>2.05074664390676</v>
      </c>
      <c r="E46" s="20" t="n">
        <f aca="false">CONCOR!G81</f>
        <v>2.27207800655989</v>
      </c>
      <c r="F46" s="20" t="n">
        <f aca="false">CONCOR!H81</f>
        <v>2.84405093046033</v>
      </c>
      <c r="G46" s="20" t="n">
        <f aca="false">CONCOR!I81</f>
        <v>3.29170244827195</v>
      </c>
      <c r="H46" s="20" t="n">
        <f aca="false">CONCOR!J81</f>
        <v>3.13060542534243</v>
      </c>
      <c r="I46" s="21" t="n">
        <f aca="false">CONCOR!K81</f>
        <v>2.39525445912704</v>
      </c>
      <c r="J46" s="34" t="str">
        <f aca="false">IF(AND(ISNUMBER(H46),ISNUMBER(H$55)),IF(H46&gt;H$55,"Above",IF(H46&lt;H$55,"Below","At")),"-")</f>
        <v>Above</v>
      </c>
      <c r="K46" s="34" t="str">
        <f aca="false">IF(J46="Above","Better",IF(J46="Below","Weaker","-"))</f>
        <v>Better</v>
      </c>
      <c r="L46" s="34" t="n">
        <f aca="false">IF(ISNUMBER(H46),RANK(H46,H$43:H$52,0),"-")</f>
        <v>3</v>
      </c>
      <c r="N46" s="34" t="str">
        <f aca="false">IF(AND(ISNUMBER(I46),ISNUMBER(I$55)),IF(I46&gt;I$55,"Above",IF(I46&lt;I$55,"Below","At")),"-")</f>
        <v>Above</v>
      </c>
      <c r="O46" s="34" t="str">
        <f aca="false">IF(N46="Above","Better",IF(N46="Below","Weaker","-"))</f>
        <v>Better</v>
      </c>
    </row>
    <row r="47" customFormat="false" ht="15" hidden="false" customHeight="false" outlineLevel="0" collapsed="false">
      <c r="A47" s="18" t="s">
        <v>113</v>
      </c>
      <c r="B47" s="20" t="n">
        <f aca="false">JetFreight!D81</f>
        <v>1.65374211000902</v>
      </c>
      <c r="C47" s="20" t="n">
        <f aca="false">JetFreight!E81</f>
        <v>0.938775510204082</v>
      </c>
      <c r="D47" s="20" t="n">
        <f aca="false">JetFreight!F81</f>
        <v>1.33177698434496</v>
      </c>
      <c r="E47" s="20" t="n">
        <f aca="false">JetFreight!G81</f>
        <v>1.73918699186992</v>
      </c>
      <c r="F47" s="20" t="n">
        <f aca="false">JetFreight!H81</f>
        <v>1.577467482785</v>
      </c>
      <c r="G47" s="20" t="n">
        <f aca="false">JetFreight!I81</f>
        <v>1.73933102652826</v>
      </c>
      <c r="H47" s="20" t="n">
        <f aca="false">JetFreight!J81</f>
        <v>2.36459877196697</v>
      </c>
      <c r="I47" s="21" t="n">
        <f aca="false">JetFreight!K81</f>
        <v>1.62069698252974</v>
      </c>
      <c r="J47" s="34" t="str">
        <f aca="false">IF(AND(ISNUMBER(H47),ISNUMBER(H$55)),IF(H47&gt;H$55,"Above",IF(H47&lt;H$55,"Below","At")),"-")</f>
        <v>Above</v>
      </c>
      <c r="K47" s="34" t="str">
        <f aca="false">IF(J47="Above","Better",IF(J47="Below","Weaker","-"))</f>
        <v>Better</v>
      </c>
      <c r="L47" s="34" t="n">
        <f aca="false">IF(ISNUMBER(H47),RANK(H47,H$43:H$52,0),"-")</f>
        <v>5</v>
      </c>
      <c r="N47" s="34" t="str">
        <f aca="false">IF(AND(ISNUMBER(I47),ISNUMBER(I$55)),IF(I47&gt;I$55,"Above",IF(I47&lt;I$55,"Below","At")),"-")</f>
        <v>Below</v>
      </c>
      <c r="O47" s="34" t="str">
        <f aca="false">IF(N47="Above","Better",IF(N47="Below","Weaker","-"))</f>
        <v>Weaker</v>
      </c>
    </row>
    <row r="48" customFormat="false" ht="15" hidden="false" customHeight="false" outlineLevel="0" collapsed="false">
      <c r="A48" s="18" t="s">
        <v>114</v>
      </c>
      <c r="B48" s="20" t="n">
        <f aca="false">Patel!D81</f>
        <v>3.96372854914197</v>
      </c>
      <c r="C48" s="20" t="n">
        <f aca="false">Patel!E81</f>
        <v>7.94230769230769</v>
      </c>
      <c r="D48" s="20" t="n">
        <f aca="false">Patel!F81</f>
        <v>6.22809558291093</v>
      </c>
      <c r="E48" s="20" t="n">
        <f aca="false">Patel!G81</f>
        <v>4.225</v>
      </c>
      <c r="F48" s="20" t="n">
        <f aca="false">Patel!H81</f>
        <v>2.5336488989504</v>
      </c>
      <c r="G48" s="20" t="n">
        <f aca="false">Patel!I81</f>
        <v>2.87720874513327</v>
      </c>
      <c r="H48" s="20" t="n">
        <f aca="false">Patel!J81</f>
        <v>2.96988670244484</v>
      </c>
      <c r="I48" s="21" t="n">
        <f aca="false">Patel!K81</f>
        <v>4.39141088155559</v>
      </c>
      <c r="J48" s="34" t="str">
        <f aca="false">IF(AND(ISNUMBER(H48),ISNUMBER(H$55)),IF(H48&gt;H$55,"Above",IF(H48&lt;H$55,"Below","At")),"-")</f>
        <v>Above</v>
      </c>
      <c r="K48" s="34" t="str">
        <f aca="false">IF(J48="Above","Better",IF(J48="Below","Weaker","-"))</f>
        <v>Better</v>
      </c>
      <c r="L48" s="34" t="n">
        <f aca="false">IF(ISNUMBER(H48),RANK(H48,H$43:H$52,0),"-")</f>
        <v>4</v>
      </c>
      <c r="N48" s="34" t="str">
        <f aca="false">IF(AND(ISNUMBER(I48),ISNUMBER(I$55)),IF(I48&gt;I$55,"Above",IF(I48&lt;I$55,"Below","At")),"-")</f>
        <v>Above</v>
      </c>
      <c r="O48" s="34" t="str">
        <f aca="false">IF(N48="Above","Better",IF(N48="Below","Weaker","-"))</f>
        <v>Better</v>
      </c>
    </row>
    <row r="49" customFormat="false" ht="15" hidden="false" customHeight="false" outlineLevel="0" collapsed="false">
      <c r="A49" s="18" t="s">
        <v>115</v>
      </c>
      <c r="B49" s="20" t="n">
        <f aca="false">Sical!D81</f>
        <v>0.29196076265826</v>
      </c>
      <c r="C49" s="20" t="n">
        <f aca="false">Sical!E81</f>
        <v>0.244509271663259</v>
      </c>
      <c r="D49" s="20" t="n">
        <f aca="false">Sical!F81</f>
        <v>0.312621545372374</v>
      </c>
      <c r="E49" s="20" t="n">
        <f aca="false">Sical!G81</f>
        <v>0.535583157565815</v>
      </c>
      <c r="F49" s="20" t="n">
        <f aca="false">Sical!H81</f>
        <v>0.705488621151272</v>
      </c>
      <c r="G49" s="20" t="n">
        <f aca="false">Sical!I81</f>
        <v>0.619978114741285</v>
      </c>
      <c r="H49" s="20" t="n">
        <f aca="false">Sical!J81</f>
        <v>0.557594958504081</v>
      </c>
      <c r="I49" s="21" t="n">
        <f aca="false">Sical!K81</f>
        <v>0.466819490236621</v>
      </c>
      <c r="J49" s="34" t="str">
        <f aca="false">IF(AND(ISNUMBER(H49),ISNUMBER(H$55)),IF(H49&gt;H$55,"Above",IF(H49&lt;H$55,"Below","At")),"-")</f>
        <v>Below</v>
      </c>
      <c r="K49" s="34" t="str">
        <f aca="false">IF(J49="Above","Better",IF(J49="Below","Weaker","-"))</f>
        <v>Weaker</v>
      </c>
      <c r="L49" s="34" t="n">
        <f aca="false">IF(ISNUMBER(H49),RANK(H49,H$43:H$52,0),"-")</f>
        <v>10</v>
      </c>
      <c r="N49" s="34" t="str">
        <f aca="false">IF(AND(ISNUMBER(I49),ISNUMBER(I$55)),IF(I49&gt;I$55,"Above",IF(I49&lt;I$55,"Below","At")),"-")</f>
        <v>Below</v>
      </c>
      <c r="O49" s="34" t="str">
        <f aca="false">IF(N49="Above","Better",IF(N49="Below","Weaker","-"))</f>
        <v>Weaker</v>
      </c>
    </row>
    <row r="50" customFormat="false" ht="15" hidden="false" customHeight="false" outlineLevel="0" collapsed="false">
      <c r="A50" s="18" t="s">
        <v>86</v>
      </c>
      <c r="B50" s="20" t="n">
        <f aca="false">TCI!D81</f>
        <v>2.16201870418738</v>
      </c>
      <c r="C50" s="20" t="n">
        <f aca="false">TCI!E81</f>
        <v>2.02691259848318</v>
      </c>
      <c r="D50" s="20" t="n">
        <f aca="false">TCI!F81</f>
        <v>1.93897244775722</v>
      </c>
      <c r="E50" s="20" t="n">
        <f aca="false">TCI!G81</f>
        <v>2.42633034987795</v>
      </c>
      <c r="F50" s="20" t="n">
        <f aca="false">TCI!H81</f>
        <v>2.29098387627509</v>
      </c>
      <c r="G50" s="20" t="n">
        <f aca="false">TCI!I81</f>
        <v>1.50130251944475</v>
      </c>
      <c r="H50" s="20" t="n">
        <f aca="false">TCI!J81</f>
        <v>1.54044111554841</v>
      </c>
      <c r="I50" s="21" t="n">
        <f aca="false">TCI!K81</f>
        <v>1.98385165879628</v>
      </c>
      <c r="J50" s="34" t="str">
        <f aca="false">IF(AND(ISNUMBER(H50),ISNUMBER(H$55)),IF(H50&gt;H$55,"Above",IF(H50&lt;H$55,"Below","At")),"-")</f>
        <v>Below</v>
      </c>
      <c r="K50" s="34" t="str">
        <f aca="false">IF(J50="Above","Better",IF(J50="Below","Weaker","-"))</f>
        <v>Weaker</v>
      </c>
      <c r="L50" s="34" t="n">
        <f aca="false">IF(ISNUMBER(H50),RANK(H50,H$43:H$52,0),"-")</f>
        <v>6</v>
      </c>
      <c r="N50" s="34" t="str">
        <f aca="false">IF(AND(ISNUMBER(I50),ISNUMBER(I$55)),IF(I50&gt;I$55,"Above",IF(I50&lt;I$55,"Below","At")),"-")</f>
        <v>Above</v>
      </c>
      <c r="O50" s="34" t="str">
        <f aca="false">IF(N50="Above","Better",IF(N50="Below","Weaker","-"))</f>
        <v>Better</v>
      </c>
    </row>
    <row r="51" customFormat="false" ht="15" hidden="false" customHeight="false" outlineLevel="0" collapsed="false">
      <c r="A51" s="18" t="s">
        <v>116</v>
      </c>
      <c r="B51" s="20" t="n">
        <f aca="false">Shreeji!D81</f>
        <v>3.52275379229872</v>
      </c>
      <c r="C51" s="20" t="n">
        <f aca="false">Shreeji!E81</f>
        <v>4.05222437137331</v>
      </c>
      <c r="D51" s="20" t="n">
        <f aca="false">Shreeji!F81</f>
        <v>3.88183980967486</v>
      </c>
      <c r="E51" s="20" t="n">
        <f aca="false">Shreeji!G81</f>
        <v>3.47651006711409</v>
      </c>
      <c r="F51" s="20" t="n">
        <f aca="false">Shreeji!H81</f>
        <v>3.92425098925947</v>
      </c>
      <c r="G51" s="20" t="n">
        <f aca="false">Shreeji!I81</f>
        <v>4.13213213213213</v>
      </c>
      <c r="H51" s="20" t="n">
        <f aca="false">Shreeji!J81</f>
        <v>4.17735263702172</v>
      </c>
      <c r="I51" s="21" t="n">
        <f aca="false">Shreeji!K81</f>
        <v>3.8810091141249</v>
      </c>
      <c r="J51" s="34" t="str">
        <f aca="false">IF(AND(ISNUMBER(H51),ISNUMBER(H$55)),IF(H51&gt;H$55,"Above",IF(H51&lt;H$55,"Below","At")),"-")</f>
        <v>Above</v>
      </c>
      <c r="K51" s="34" t="str">
        <f aca="false">IF(J51="Above","Better",IF(J51="Below","Weaker","-"))</f>
        <v>Better</v>
      </c>
      <c r="L51" s="34" t="n">
        <f aca="false">IF(ISNUMBER(H51),RANK(H51,H$43:H$52,0),"-")</f>
        <v>1</v>
      </c>
      <c r="N51" s="34" t="str">
        <f aca="false">IF(AND(ISNUMBER(I51),ISNUMBER(I$55)),IF(I51&gt;I$55,"Above",IF(I51&lt;I$55,"Below","At")),"-")</f>
        <v>Above</v>
      </c>
      <c r="O51" s="34" t="str">
        <f aca="false">IF(N51="Above","Better",IF(N51="Below","Weaker","-"))</f>
        <v>Better</v>
      </c>
    </row>
    <row r="52" customFormat="false" ht="15" hidden="false" customHeight="false" outlineLevel="0" collapsed="false">
      <c r="A52" s="18" t="s">
        <v>117</v>
      </c>
      <c r="B52" s="20" t="n">
        <f aca="false">MahindraLog!D81</f>
        <v>0.93973871487964</v>
      </c>
      <c r="C52" s="20" t="n">
        <f aca="false">MahindraLog!E81</f>
        <v>0.80454208314202</v>
      </c>
      <c r="D52" s="20" t="n">
        <f aca="false">MahindraLog!F81</f>
        <v>0.607117111851462</v>
      </c>
      <c r="E52" s="20" t="n">
        <f aca="false">MahindraLog!G81</f>
        <v>0.672923039698588</v>
      </c>
      <c r="F52" s="20" t="n">
        <f aca="false">MahindraLog!H81</f>
        <v>0.620640095066804</v>
      </c>
      <c r="G52" s="20" t="n">
        <f aca="false">MahindraLog!I81</f>
        <v>0.551095005266716</v>
      </c>
      <c r="H52" s="20" t="n">
        <f aca="false">MahindraLog!J81</f>
        <v>0.694380232412845</v>
      </c>
      <c r="I52" s="21" t="n">
        <f aca="false">MahindraLog!K81</f>
        <v>0.698633754616868</v>
      </c>
      <c r="J52" s="34" t="str">
        <f aca="false">IF(AND(ISNUMBER(H52),ISNUMBER(H$55)),IF(H52&gt;H$55,"Above",IF(H52&lt;H$55,"Below","At")),"-")</f>
        <v>Below</v>
      </c>
      <c r="K52" s="34" t="str">
        <f aca="false">IF(J52="Above","Better",IF(J52="Below","Weaker","-"))</f>
        <v>Weaker</v>
      </c>
      <c r="L52" s="34" t="n">
        <f aca="false">IF(ISNUMBER(H52),RANK(H52,H$43:H$52,0),"-")</f>
        <v>9</v>
      </c>
      <c r="N52" s="34" t="str">
        <f aca="false">IF(AND(ISNUMBER(I52),ISNUMBER(I$55)),IF(I52&gt;I$55,"Above",IF(I52&lt;I$55,"Below","At")),"-")</f>
        <v>Below</v>
      </c>
      <c r="O52" s="34" t="str">
        <f aca="false">IF(N52="Above","Better",IF(N52="Below","Weaker","-"))</f>
        <v>Weaker</v>
      </c>
    </row>
    <row r="53" customFormat="false" ht="15" hidden="false" customHeight="false" outlineLevel="0" collapsed="false">
      <c r="A53" s="12" t="s">
        <v>176</v>
      </c>
      <c r="B53" s="21" t="n">
        <f aca="false">Industry!D81</f>
        <v>0.938999561211058</v>
      </c>
      <c r="C53" s="21" t="n">
        <f aca="false">Industry!E81</f>
        <v>1.0240038324009</v>
      </c>
      <c r="D53" s="21" t="n">
        <f aca="false">Industry!F81</f>
        <v>1.06996715006073</v>
      </c>
      <c r="E53" s="21" t="n">
        <f aca="false">Industry!G81</f>
        <v>1.26075647002176</v>
      </c>
      <c r="F53" s="21" t="n">
        <f aca="false">Industry!H81</f>
        <v>1.3221457273964</v>
      </c>
      <c r="G53" s="21" t="n">
        <f aca="false">Industry!I81</f>
        <v>1.54976847617073</v>
      </c>
      <c r="H53" s="21" t="n">
        <f aca="false">Industry!J81</f>
        <v>1.54859389610365</v>
      </c>
      <c r="I53" s="21" t="n">
        <f aca="false">Industry!K81</f>
        <v>1.24489073048075</v>
      </c>
    </row>
    <row r="54" customFormat="false" ht="15" hidden="false" customHeight="false" outlineLevel="0" collapsed="false">
      <c r="A54" s="35" t="s">
        <v>177</v>
      </c>
      <c r="B54" s="37" t="n">
        <f aca="false">IFERROR(AVERAGE(B43:B52),"N/M")</f>
        <v>1.99966581686429</v>
      </c>
      <c r="C54" s="37" t="n">
        <f aca="false">IFERROR(AVERAGE(C43:C52),"N/M")</f>
        <v>2.15768235368479</v>
      </c>
      <c r="D54" s="37" t="n">
        <f aca="false">IFERROR(AVERAGE(D43:D52),"N/M")</f>
        <v>2.02516985475324</v>
      </c>
      <c r="E54" s="37" t="n">
        <f aca="false">IFERROR(AVERAGE(E43:E52),"N/M")</f>
        <v>2.18225429197681</v>
      </c>
      <c r="F54" s="37" t="n">
        <f aca="false">IFERROR(AVERAGE(F43:F52),"N/M")</f>
        <v>2.16987480166226</v>
      </c>
      <c r="G54" s="37" t="n">
        <f aca="false">IFERROR(AVERAGE(G43:G52),"N/M")</f>
        <v>2.36045336948155</v>
      </c>
      <c r="H54" s="37" t="n">
        <f aca="false">IFERROR(AVERAGE(H43:H52),"N/M")</f>
        <v>2.14851106383353</v>
      </c>
      <c r="I54" s="37" t="n">
        <f aca="false">IFERROR(AVERAGE(I43:I52),"N/M")</f>
        <v>2.14908736460807</v>
      </c>
    </row>
    <row r="55" customFormat="false" ht="15" hidden="false" customHeight="false" outlineLevel="0" collapsed="false">
      <c r="A55" s="35" t="s">
        <v>178</v>
      </c>
      <c r="B55" s="37" t="n">
        <f aca="false">IFERROR(MEDIAN(B43:B52),"N/M")</f>
        <v>1.53121324050545</v>
      </c>
      <c r="C55" s="37" t="n">
        <f aca="false">IFERROR(MEDIAN(C43:C52),"N/M")</f>
        <v>1.41325718439412</v>
      </c>
      <c r="D55" s="37" t="n">
        <f aca="false">IFERROR(MEDIAN(D43:D52),"N/M")</f>
        <v>1.63537471605109</v>
      </c>
      <c r="E55" s="37" t="n">
        <f aca="false">IFERROR(MEDIAN(E43:E52),"N/M")</f>
        <v>2.00563249921491</v>
      </c>
      <c r="F55" s="37" t="n">
        <f aca="false">IFERROR(MEDIAN(F43:F52),"N/M")</f>
        <v>1.93422567953005</v>
      </c>
      <c r="G55" s="37" t="n">
        <f aca="false">IFERROR(MEDIAN(G43:G52),"N/M")</f>
        <v>1.62031677298651</v>
      </c>
      <c r="H55" s="37" t="n">
        <f aca="false">IFERROR(MEDIAN(H43:H52),"N/M")</f>
        <v>1.95251994375769</v>
      </c>
      <c r="I55" s="37" t="n">
        <f aca="false">IFERROR(MEDIAN(I43:I52),"N/M")</f>
        <v>1.80227432066301</v>
      </c>
    </row>
    <row r="56" customFormat="false" ht="15" hidden="false" customHeight="false" outlineLevel="0" collapsed="false">
      <c r="A56" s="35" t="s">
        <v>179</v>
      </c>
      <c r="B56" s="37" t="n">
        <f aca="false">IFERROR(STDEV(B43:B52),"N/M")</f>
        <v>1.51181431432247</v>
      </c>
      <c r="C56" s="37" t="n">
        <f aca="false">IFERROR(STDEV(C43:C52),"N/M")</f>
        <v>2.28914987434339</v>
      </c>
      <c r="D56" s="37" t="n">
        <f aca="false">IFERROR(STDEV(D43:D52),"N/M")</f>
        <v>1.8006637123375</v>
      </c>
      <c r="E56" s="37" t="n">
        <f aca="false">IFERROR(STDEV(E43:E52),"N/M")</f>
        <v>1.50667537525136</v>
      </c>
      <c r="F56" s="37" t="n">
        <f aca="false">IFERROR(STDEV(F43:F52),"N/M")</f>
        <v>1.56759985951213</v>
      </c>
      <c r="G56" s="37" t="n">
        <f aca="false">IFERROR(STDEV(G43:G52),"N/M")</f>
        <v>1.93448836261855</v>
      </c>
      <c r="H56" s="37" t="n">
        <f aca="false">IFERROR(STDEV(H43:H52),"N/M")</f>
        <v>1.34196703141699</v>
      </c>
      <c r="I56" s="37" t="n">
        <f aca="false">IFERROR(STDEV(I43:I52),"N/M")</f>
        <v>1.50377874352055</v>
      </c>
    </row>
    <row r="57" customFormat="false" ht="15" hidden="false" customHeight="false" outlineLevel="0" collapsed="false">
      <c r="A57" s="35" t="s">
        <v>102</v>
      </c>
      <c r="B57" s="37" t="n">
        <f aca="false">IFERROR(MIN(B43:B52),"N/M")</f>
        <v>0.29196076265826</v>
      </c>
      <c r="C57" s="37" t="n">
        <f aca="false">IFERROR(MIN(C43:C52),"N/M")</f>
        <v>0.244509271663259</v>
      </c>
      <c r="D57" s="37" t="n">
        <f aca="false">IFERROR(MIN(D43:D52),"N/M")</f>
        <v>0.312621545372374</v>
      </c>
      <c r="E57" s="37" t="n">
        <f aca="false">IFERROR(MIN(E43:E52),"N/M")</f>
        <v>0.535583157565815</v>
      </c>
      <c r="F57" s="37" t="n">
        <f aca="false">IFERROR(MIN(F43:F52),"N/M")</f>
        <v>0.620640095066804</v>
      </c>
      <c r="G57" s="37" t="n">
        <f aca="false">IFERROR(MIN(G43:G52),"N/M")</f>
        <v>0.551095005266716</v>
      </c>
      <c r="H57" s="37" t="n">
        <f aca="false">IFERROR(MIN(H43:H52),"N/M")</f>
        <v>0.557594958504081</v>
      </c>
      <c r="I57" s="37" t="n">
        <f aca="false">IFERROR(MIN(I43:I52),"N/M")</f>
        <v>0.466819490236621</v>
      </c>
    </row>
    <row r="58" customFormat="false" ht="15" hidden="false" customHeight="false" outlineLevel="0" collapsed="false">
      <c r="A58" s="35" t="s">
        <v>103</v>
      </c>
      <c r="B58" s="37" t="n">
        <f aca="false">IFERROR(MAX(B43:B52),"N/M")</f>
        <v>4.54637865311309</v>
      </c>
      <c r="C58" s="37" t="n">
        <f aca="false">IFERROR(MAX(C43:C52),"N/M")</f>
        <v>7.94230769230769</v>
      </c>
      <c r="D58" s="37" t="n">
        <f aca="false">IFERROR(MAX(D43:D52),"N/M")</f>
        <v>6.22809558291093</v>
      </c>
      <c r="E58" s="37" t="n">
        <f aca="false">IFERROR(MAX(E43:E52),"N/M")</f>
        <v>4.64808043875686</v>
      </c>
      <c r="F58" s="37" t="n">
        <f aca="false">IFERROR(MAX(F43:F52),"N/M")</f>
        <v>5.38580395943988</v>
      </c>
      <c r="G58" s="37" t="n">
        <f aca="false">IFERROR(MAX(G43:G52),"N/M")</f>
        <v>6.6857887874837</v>
      </c>
      <c r="H58" s="37" t="n">
        <f aca="false">IFERROR(MAX(H43:H52),"N/M")</f>
        <v>4.17735263702172</v>
      </c>
      <c r="I58" s="37" t="n">
        <f aca="false">IFERROR(MAX(I43:I52),"N/M")</f>
        <v>4.39141088155559</v>
      </c>
    </row>
    <row r="60" customFormat="false" ht="15" hidden="false" customHeight="false" outlineLevel="0" collapsed="false">
      <c r="A60" s="16" t="s">
        <v>182</v>
      </c>
      <c r="B60" s="17"/>
      <c r="C60" s="17"/>
      <c r="D60" s="17"/>
      <c r="E60" s="17"/>
      <c r="F60" s="17"/>
      <c r="G60" s="17"/>
      <c r="H60" s="17"/>
      <c r="I60" s="17"/>
      <c r="J60" s="17"/>
      <c r="K60" s="17"/>
      <c r="L60" s="17"/>
      <c r="M60" s="17"/>
    </row>
    <row r="61" customFormat="false" ht="15" hidden="false" customHeight="false" outlineLevel="0" collapsed="false">
      <c r="A61" s="18" t="s">
        <v>110</v>
      </c>
      <c r="B61" s="20" t="n">
        <f aca="false">Tiger!D82</f>
        <v>0.383735705209657</v>
      </c>
      <c r="C61" s="20" t="n">
        <f aca="false">Tiger!E82</f>
        <v>0.274247491638796</v>
      </c>
      <c r="D61" s="20" t="n">
        <f aca="false">Tiger!F82</f>
        <v>0.674070909867578</v>
      </c>
      <c r="E61" s="20" t="n">
        <f aca="false">Tiger!G82</f>
        <v>2.39488117001828</v>
      </c>
      <c r="F61" s="20" t="n">
        <f aca="false">Tiger!H82</f>
        <v>2.01593433124095</v>
      </c>
      <c r="G61" s="20" t="n">
        <f aca="false">Tiger!I82</f>
        <v>2.22338113863538</v>
      </c>
      <c r="H61" s="20" t="n">
        <f aca="false">Tiger!J82</f>
        <v>0.79803619561032</v>
      </c>
      <c r="I61" s="21" t="n">
        <f aca="false">Tiger!K82</f>
        <v>1.25204099174585</v>
      </c>
      <c r="J61" s="34" t="str">
        <f aca="false">IF(AND(ISNUMBER(H61),ISNUMBER(H$73)),IF(H61&gt;H$73,"Above",IF(H61&lt;H$73,"Below","At")),"-")</f>
        <v>Above</v>
      </c>
      <c r="K61" s="34" t="str">
        <f aca="false">IF(J61="Above","Better",IF(J61="Below","Weaker","-"))</f>
        <v>Better</v>
      </c>
      <c r="L61" s="34" t="n">
        <f aca="false">IF(ISNUMBER(H61),RANK(H61,H$61:H$70,0),"-")</f>
        <v>3</v>
      </c>
      <c r="N61" s="34" t="str">
        <f aca="false">IF(AND(ISNUMBER(I61),ISNUMBER(I$73)),IF(I61&gt;I$73,"Above",IF(I61&lt;I$73,"Below","At")),"-")</f>
        <v>Above</v>
      </c>
      <c r="O61" s="34" t="str">
        <f aca="false">IF(N61="Above","Better",IF(N61="Below","Weaker","-"))</f>
        <v>Better</v>
      </c>
    </row>
    <row r="62" customFormat="false" ht="15" hidden="false" customHeight="false" outlineLevel="0" collapsed="false">
      <c r="A62" s="18" t="s">
        <v>111</v>
      </c>
      <c r="B62" s="20" t="n">
        <f aca="false">Allcargo!D82</f>
        <v>0.378761518139055</v>
      </c>
      <c r="C62" s="20" t="n">
        <f aca="false">Allcargo!E82</f>
        <v>0.128601114574478</v>
      </c>
      <c r="D62" s="20" t="n">
        <f aca="false">Allcargo!F82</f>
        <v>0.156208711420557</v>
      </c>
      <c r="E62" s="20" t="n">
        <f aca="false">Allcargo!G82</f>
        <v>0.404296398352862</v>
      </c>
      <c r="F62" s="20" t="n">
        <f aca="false">Allcargo!H82</f>
        <v>0.199874092806478</v>
      </c>
      <c r="G62" s="20" t="n">
        <f aca="false">Allcargo!I82</f>
        <v>0.394472361809045</v>
      </c>
      <c r="H62" s="20" t="n">
        <f aca="false">Allcargo!J82</f>
        <v>0.279317697228145</v>
      </c>
      <c r="I62" s="21" t="n">
        <f aca="false">Allcargo!K82</f>
        <v>0.277361699190089</v>
      </c>
      <c r="J62" s="34" t="str">
        <f aca="false">IF(AND(ISNUMBER(H62),ISNUMBER(H$73)),IF(H62&gt;H$73,"Above",IF(H62&lt;H$73,"Below","At")),"-")</f>
        <v>Below</v>
      </c>
      <c r="K62" s="34" t="str">
        <f aca="false">IF(J62="Above","Better",IF(J62="Below","Weaker","-"))</f>
        <v>Weaker</v>
      </c>
      <c r="L62" s="34" t="n">
        <f aca="false">IF(ISNUMBER(H62),RANK(H62,H$61:H$70,0),"-")</f>
        <v>6</v>
      </c>
      <c r="N62" s="34" t="str">
        <f aca="false">IF(AND(ISNUMBER(I62),ISNUMBER(I$73)),IF(I62&gt;I$73,"Above",IF(I62&lt;I$73,"Below","At")),"-")</f>
        <v>Above</v>
      </c>
      <c r="O62" s="34" t="str">
        <f aca="false">IF(N62="Above","Better",IF(N62="Below","Weaker","-"))</f>
        <v>Better</v>
      </c>
    </row>
    <row r="63" customFormat="false" ht="15" hidden="false" customHeight="false" outlineLevel="0" collapsed="false">
      <c r="A63" s="18" t="s">
        <v>112</v>
      </c>
      <c r="B63" s="20" t="n">
        <f aca="false">BlueDart!D82</f>
        <v>0.0617299192572656</v>
      </c>
      <c r="C63" s="20" t="n">
        <f aca="false">BlueDart!E82</f>
        <v>0.396415258132053</v>
      </c>
      <c r="D63" s="20" t="n">
        <f aca="false">BlueDart!F82</f>
        <v>0.206919389782562</v>
      </c>
      <c r="E63" s="20" t="n">
        <f aca="false">BlueDart!G82</f>
        <v>0.103450516602768</v>
      </c>
      <c r="F63" s="20" t="n">
        <f aca="false">BlueDart!H82</f>
        <v>0.162871810949563</v>
      </c>
      <c r="G63" s="20" t="n">
        <f aca="false">BlueDart!I82</f>
        <v>0.152553499949851</v>
      </c>
      <c r="H63" s="20" t="n">
        <f aca="false">BlueDart!J82</f>
        <v>0.197811475681224</v>
      </c>
      <c r="I63" s="21" t="n">
        <f aca="false">BlueDart!K82</f>
        <v>0.183107410050755</v>
      </c>
      <c r="J63" s="34" t="str">
        <f aca="false">IF(AND(ISNUMBER(H63),ISNUMBER(H$73)),IF(H63&gt;H$73,"Above",IF(H63&lt;H$73,"Below","At")),"-")</f>
        <v>Below</v>
      </c>
      <c r="K63" s="34" t="str">
        <f aca="false">IF(J63="Above","Better",IF(J63="Below","Weaker","-"))</f>
        <v>Weaker</v>
      </c>
      <c r="L63" s="34" t="n">
        <f aca="false">IF(ISNUMBER(H63),RANK(H63,H$61:H$70,0),"-")</f>
        <v>8</v>
      </c>
      <c r="N63" s="34" t="str">
        <f aca="false">IF(AND(ISNUMBER(I63),ISNUMBER(I$73)),IF(I63&gt;I$73,"Above",IF(I63&lt;I$73,"Below","At")),"-")</f>
        <v>Below</v>
      </c>
      <c r="O63" s="34" t="str">
        <f aca="false">IF(N63="Above","Better",IF(N63="Below","Weaker","-"))</f>
        <v>Weaker</v>
      </c>
    </row>
    <row r="64" customFormat="false" ht="15" hidden="false" customHeight="false" outlineLevel="0" collapsed="false">
      <c r="A64" s="18" t="s">
        <v>67</v>
      </c>
      <c r="B64" s="20" t="n">
        <f aca="false">CONCOR!D82</f>
        <v>1.31026030394701</v>
      </c>
      <c r="C64" s="20" t="n">
        <f aca="false">CONCOR!E82</f>
        <v>1.66157865969899</v>
      </c>
      <c r="D64" s="20" t="n">
        <f aca="false">CONCOR!F82</f>
        <v>1.93051613372766</v>
      </c>
      <c r="E64" s="20" t="n">
        <f aca="false">CONCOR!G82</f>
        <v>2.12417231013633</v>
      </c>
      <c r="F64" s="20" t="n">
        <f aca="false">CONCOR!H82</f>
        <v>2.58263663075416</v>
      </c>
      <c r="G64" s="20" t="n">
        <f aca="false">CONCOR!I82</f>
        <v>2.96765882981999</v>
      </c>
      <c r="H64" s="20" t="n">
        <f aca="false">CONCOR!J82</f>
        <v>2.74838831707202</v>
      </c>
      <c r="I64" s="21" t="n">
        <f aca="false">CONCOR!K82</f>
        <v>2.18931588359374</v>
      </c>
      <c r="J64" s="34" t="str">
        <f aca="false">IF(AND(ISNUMBER(H64),ISNUMBER(H$73)),IF(H64&gt;H$73,"Above",IF(H64&lt;H$73,"Below","At")),"-")</f>
        <v>Above</v>
      </c>
      <c r="K64" s="34" t="str">
        <f aca="false">IF(J64="Above","Better",IF(J64="Below","Weaker","-"))</f>
        <v>Better</v>
      </c>
      <c r="L64" s="34" t="n">
        <f aca="false">IF(ISNUMBER(H64),RANK(H64,H$61:H$70,0),"-")</f>
        <v>1</v>
      </c>
      <c r="N64" s="34" t="str">
        <f aca="false">IF(AND(ISNUMBER(I64),ISNUMBER(I$73)),IF(I64&gt;I$73,"Above",IF(I64&lt;I$73,"Below","At")),"-")</f>
        <v>Above</v>
      </c>
      <c r="O64" s="34" t="str">
        <f aca="false">IF(N64="Above","Better",IF(N64="Below","Weaker","-"))</f>
        <v>Better</v>
      </c>
    </row>
    <row r="65" customFormat="false" ht="15" hidden="false" customHeight="false" outlineLevel="0" collapsed="false">
      <c r="A65" s="18" t="s">
        <v>113</v>
      </c>
      <c r="B65" s="20" t="n">
        <f aca="false">JetFreight!D82</f>
        <v>0.103396453261196</v>
      </c>
      <c r="C65" s="20" t="n">
        <f aca="false">JetFreight!E82</f>
        <v>0.0700021944261576</v>
      </c>
      <c r="D65" s="20" t="n">
        <f aca="false">JetFreight!F82</f>
        <v>0.180994232353749</v>
      </c>
      <c r="E65" s="20" t="n">
        <f aca="false">JetFreight!G82</f>
        <v>0.27609756097561</v>
      </c>
      <c r="F65" s="20" t="n">
        <f aca="false">JetFreight!H82</f>
        <v>0.254399387911247</v>
      </c>
      <c r="G65" s="20" t="n">
        <f aca="false">JetFreight!I82</f>
        <v>0.238946559015763</v>
      </c>
      <c r="H65" s="20" t="n">
        <f aca="false">JetFreight!J82</f>
        <v>0.308490366292611</v>
      </c>
      <c r="I65" s="21" t="n">
        <f aca="false">JetFreight!K82</f>
        <v>0.204618107748048</v>
      </c>
      <c r="J65" s="34" t="str">
        <f aca="false">IF(AND(ISNUMBER(H65),ISNUMBER(H$73)),IF(H65&gt;H$73,"Above",IF(H65&lt;H$73,"Below","At")),"-")</f>
        <v>Above</v>
      </c>
      <c r="K65" s="34" t="str">
        <f aca="false">IF(J65="Above","Better",IF(J65="Below","Weaker","-"))</f>
        <v>Better</v>
      </c>
      <c r="L65" s="34" t="n">
        <f aca="false">IF(ISNUMBER(H65),RANK(H65,H$61:H$70,0),"-")</f>
        <v>5</v>
      </c>
      <c r="N65" s="34" t="str">
        <f aca="false">IF(AND(ISNUMBER(I65),ISNUMBER(I$73)),IF(I65&gt;I$73,"Above",IF(I65&lt;I$73,"Below","At")),"-")</f>
        <v>Below</v>
      </c>
      <c r="O65" s="34" t="str">
        <f aca="false">IF(N65="Above","Better",IF(N65="Below","Weaker","-"))</f>
        <v>Weaker</v>
      </c>
    </row>
    <row r="66" customFormat="false" ht="15" hidden="false" customHeight="false" outlineLevel="0" collapsed="false">
      <c r="A66" s="18" t="s">
        <v>114</v>
      </c>
      <c r="B66" s="20" t="n">
        <f aca="false">Patel!D82</f>
        <v>0.50195007800312</v>
      </c>
      <c r="C66" s="20" t="n">
        <f aca="false">Patel!E82</f>
        <v>1.92976588628763</v>
      </c>
      <c r="D66" s="20" t="n">
        <f aca="false">Patel!F82</f>
        <v>1.5691527878349</v>
      </c>
      <c r="E66" s="20" t="n">
        <f aca="false">Patel!G82</f>
        <v>1.04137931034483</v>
      </c>
      <c r="F66" s="20" t="n">
        <f aca="false">Patel!H82</f>
        <v>0.665774850792344</v>
      </c>
      <c r="G66" s="20" t="n">
        <f aca="false">Patel!I82</f>
        <v>0.855944893680743</v>
      </c>
      <c r="H66" s="20" t="n">
        <f aca="false">Patel!J82</f>
        <v>0.802921884317233</v>
      </c>
      <c r="I66" s="21" t="n">
        <f aca="false">Patel!K82</f>
        <v>1.05241281303726</v>
      </c>
      <c r="J66" s="34" t="str">
        <f aca="false">IF(AND(ISNUMBER(H66),ISNUMBER(H$73)),IF(H66&gt;H$73,"Above",IF(H66&lt;H$73,"Below","At")),"-")</f>
        <v>Above</v>
      </c>
      <c r="K66" s="34" t="str">
        <f aca="false">IF(J66="Above","Better",IF(J66="Below","Weaker","-"))</f>
        <v>Better</v>
      </c>
      <c r="L66" s="34" t="n">
        <f aca="false">IF(ISNUMBER(H66),RANK(H66,H$61:H$70,0),"-")</f>
        <v>2</v>
      </c>
      <c r="N66" s="34" t="str">
        <f aca="false">IF(AND(ISNUMBER(I66),ISNUMBER(I$73)),IF(I66&gt;I$73,"Above",IF(I66&lt;I$73,"Below","At")),"-")</f>
        <v>Above</v>
      </c>
      <c r="O66" s="34" t="str">
        <f aca="false">IF(N66="Above","Better",IF(N66="Below","Weaker","-"))</f>
        <v>Better</v>
      </c>
    </row>
    <row r="67" customFormat="false" ht="15" hidden="false" customHeight="false" outlineLevel="0" collapsed="false">
      <c r="A67" s="18" t="s">
        <v>115</v>
      </c>
      <c r="B67" s="20" t="n">
        <f aca="false">Sical!D82</f>
        <v>0.0504623540396992</v>
      </c>
      <c r="C67" s="20" t="n">
        <f aca="false">Sical!E82</f>
        <v>0.0569519847704999</v>
      </c>
      <c r="D67" s="20" t="n">
        <f aca="false">Sical!F82</f>
        <v>0.118491330904708</v>
      </c>
      <c r="E67" s="20" t="n">
        <f aca="false">Sical!G82</f>
        <v>0.322084212170924</v>
      </c>
      <c r="F67" s="20" t="n">
        <f aca="false">Sical!H82</f>
        <v>0.515222179038736</v>
      </c>
      <c r="G67" s="20" t="n">
        <f aca="false">Sical!I82</f>
        <v>0.338088166327966</v>
      </c>
      <c r="H67" s="20" t="n">
        <f aca="false">Sical!J82</f>
        <v>0.227177244395468</v>
      </c>
      <c r="I67" s="21" t="n">
        <f aca="false">Sical!K82</f>
        <v>0.232639638806857</v>
      </c>
      <c r="J67" s="34" t="str">
        <f aca="false">IF(AND(ISNUMBER(H67),ISNUMBER(H$73)),IF(H67&gt;H$73,"Above",IF(H67&lt;H$73,"Below","At")),"-")</f>
        <v>Below</v>
      </c>
      <c r="K67" s="34" t="str">
        <f aca="false">IF(J67="Above","Better",IF(J67="Below","Weaker","-"))</f>
        <v>Weaker</v>
      </c>
      <c r="L67" s="34" t="n">
        <f aca="false">IF(ISNUMBER(H67),RANK(H67,H$61:H$70,0),"-")</f>
        <v>7</v>
      </c>
      <c r="N67" s="34" t="str">
        <f aca="false">IF(AND(ISNUMBER(I67),ISNUMBER(I$73)),IF(I67&gt;I$73,"Above",IF(I67&lt;I$73,"Below","At")),"-")</f>
        <v>Below</v>
      </c>
      <c r="O67" s="34" t="str">
        <f aca="false">IF(N67="Above","Better",IF(N67="Below","Weaker","-"))</f>
        <v>Weaker</v>
      </c>
    </row>
    <row r="68" customFormat="false" ht="15" hidden="false" customHeight="false" outlineLevel="0" collapsed="false">
      <c r="A68" s="18" t="s">
        <v>86</v>
      </c>
      <c r="B68" s="20" t="n">
        <f aca="false">TCI!D82</f>
        <v>0.109192012806471</v>
      </c>
      <c r="C68" s="20" t="n">
        <f aca="false">TCI!E82</f>
        <v>0.14546056991385</v>
      </c>
      <c r="D68" s="20" t="n">
        <f aca="false">TCI!F82</f>
        <v>0.247737255423932</v>
      </c>
      <c r="E68" s="20" t="n">
        <f aca="false">TCI!G82</f>
        <v>0.600748576078112</v>
      </c>
      <c r="F68" s="20" t="n">
        <f aca="false">TCI!H82</f>
        <v>0.314577163540638</v>
      </c>
      <c r="G68" s="20" t="n">
        <f aca="false">TCI!I82</f>
        <v>0.15797700122809</v>
      </c>
      <c r="H68" s="20" t="n">
        <f aca="false">TCI!J82</f>
        <v>0.187664672643213</v>
      </c>
      <c r="I68" s="21" t="n">
        <f aca="false">TCI!K82</f>
        <v>0.251908178804901</v>
      </c>
      <c r="J68" s="34" t="str">
        <f aca="false">IF(AND(ISNUMBER(H68),ISNUMBER(H$73)),IF(H68&gt;H$73,"Above",IF(H68&lt;H$73,"Below","At")),"-")</f>
        <v>Below</v>
      </c>
      <c r="K68" s="34" t="str">
        <f aca="false">IF(J68="Above","Better",IF(J68="Below","Weaker","-"))</f>
        <v>Weaker</v>
      </c>
      <c r="L68" s="34" t="n">
        <f aca="false">IF(ISNUMBER(H68),RANK(H68,H$61:H$70,0),"-")</f>
        <v>9</v>
      </c>
      <c r="N68" s="34" t="str">
        <f aca="false">IF(AND(ISNUMBER(I68),ISNUMBER(I$73)),IF(I68&gt;I$73,"Above",IF(I68&lt;I$73,"Below","At")),"-")</f>
        <v>Below</v>
      </c>
      <c r="O68" s="34" t="str">
        <f aca="false">IF(N68="Above","Better",IF(N68="Below","Weaker","-"))</f>
        <v>Weaker</v>
      </c>
    </row>
    <row r="69" customFormat="false" ht="15" hidden="false" customHeight="false" outlineLevel="0" collapsed="false">
      <c r="A69" s="18" t="s">
        <v>116</v>
      </c>
      <c r="B69" s="20" t="n">
        <f aca="false">Shreeji!D82</f>
        <v>0.374562427071179</v>
      </c>
      <c r="C69" s="20" t="n">
        <f aca="false">Shreeji!E82</f>
        <v>0.527079303675048</v>
      </c>
      <c r="D69" s="20" t="n">
        <f aca="false">Shreeji!F82</f>
        <v>0.34020618556701</v>
      </c>
      <c r="E69" s="20" t="n">
        <f aca="false">Shreeji!G82</f>
        <v>0.376398210290828</v>
      </c>
      <c r="F69" s="20" t="n">
        <f aca="false">Shreeji!H82</f>
        <v>0.25664217071792</v>
      </c>
      <c r="G69" s="20" t="n">
        <f aca="false">Shreeji!I82</f>
        <v>0.461861861861862</v>
      </c>
      <c r="H69" s="20" t="n">
        <f aca="false">Shreeji!J82</f>
        <v>0.330403309203723</v>
      </c>
      <c r="I69" s="21" t="n">
        <f aca="false">Shreeji!K82</f>
        <v>0.381021924055367</v>
      </c>
      <c r="J69" s="34" t="str">
        <f aca="false">IF(AND(ISNUMBER(H69),ISNUMBER(H$73)),IF(H69&gt;H$73,"Above",IF(H69&lt;H$73,"Below","At")),"-")</f>
        <v>Above</v>
      </c>
      <c r="K69" s="34" t="str">
        <f aca="false">IF(J69="Above","Better",IF(J69="Below","Weaker","-"))</f>
        <v>Better</v>
      </c>
      <c r="L69" s="34" t="n">
        <f aca="false">IF(ISNUMBER(H69),RANK(H69,H$61:H$70,0),"-")</f>
        <v>4</v>
      </c>
      <c r="N69" s="34" t="str">
        <f aca="false">IF(AND(ISNUMBER(I69),ISNUMBER(I$73)),IF(I69&gt;I$73,"Above",IF(I69&lt;I$73,"Below","At")),"-")</f>
        <v>Above</v>
      </c>
      <c r="O69" s="34" t="str">
        <f aca="false">IF(N69="Above","Better",IF(N69="Below","Weaker","-"))</f>
        <v>Better</v>
      </c>
    </row>
    <row r="70" customFormat="false" ht="15" hidden="false" customHeight="false" outlineLevel="0" collapsed="false">
      <c r="A70" s="18" t="s">
        <v>117</v>
      </c>
      <c r="B70" s="20" t="n">
        <f aca="false">MahindraLog!D82</f>
        <v>0.147257689860776</v>
      </c>
      <c r="C70" s="20" t="n">
        <f aca="false">MahindraLog!E82</f>
        <v>0.232837683514051</v>
      </c>
      <c r="D70" s="20" t="n">
        <f aca="false">MahindraLog!F82</f>
        <v>0.130857053792351</v>
      </c>
      <c r="E70" s="20" t="n">
        <f aca="false">MahindraLog!G82</f>
        <v>0.109080382295501</v>
      </c>
      <c r="F70" s="20" t="n">
        <f aca="false">MahindraLog!H82</f>
        <v>0.0570641700924974</v>
      </c>
      <c r="G70" s="20" t="n">
        <f aca="false">MahindraLog!I82</f>
        <v>0.0597182700017294</v>
      </c>
      <c r="H70" s="20" t="n">
        <f aca="false">MahindraLog!J82</f>
        <v>0.155839997500937</v>
      </c>
      <c r="I70" s="21" t="n">
        <f aca="false">MahindraLog!K82</f>
        <v>0.127522178151121</v>
      </c>
      <c r="J70" s="34" t="str">
        <f aca="false">IF(AND(ISNUMBER(H70),ISNUMBER(H$73)),IF(H70&gt;H$73,"Above",IF(H70&lt;H$73,"Below","At")),"-")</f>
        <v>Below</v>
      </c>
      <c r="K70" s="34" t="str">
        <f aca="false">IF(J70="Above","Better",IF(J70="Below","Weaker","-"))</f>
        <v>Weaker</v>
      </c>
      <c r="L70" s="34" t="n">
        <f aca="false">IF(ISNUMBER(H70),RANK(H70,H$61:H$70,0),"-")</f>
        <v>10</v>
      </c>
      <c r="N70" s="34" t="str">
        <f aca="false">IF(AND(ISNUMBER(I70),ISNUMBER(I$73)),IF(I70&gt;I$73,"Above",IF(I70&lt;I$73,"Below","At")),"-")</f>
        <v>Below</v>
      </c>
      <c r="O70" s="34" t="str">
        <f aca="false">IF(N70="Above","Better",IF(N70="Below","Weaker","-"))</f>
        <v>Weaker</v>
      </c>
    </row>
    <row r="71" customFormat="false" ht="15" hidden="false" customHeight="false" outlineLevel="0" collapsed="false">
      <c r="A71" s="12" t="s">
        <v>176</v>
      </c>
      <c r="B71" s="21" t="n">
        <f aca="false">Industry!D82</f>
        <v>0.450590902442592</v>
      </c>
      <c r="C71" s="21" t="n">
        <f aca="false">Industry!E82</f>
        <v>0.463986354968237</v>
      </c>
      <c r="D71" s="21" t="n">
        <f aca="false">Industry!F82</f>
        <v>0.472267335934337</v>
      </c>
      <c r="E71" s="21" t="n">
        <f aca="false">Industry!G82</f>
        <v>0.67133957224286</v>
      </c>
      <c r="F71" s="21" t="n">
        <f aca="false">Industry!H82</f>
        <v>0.627285457205518</v>
      </c>
      <c r="G71" s="21" t="n">
        <f aca="false">Industry!I82</f>
        <v>0.88110163875778</v>
      </c>
      <c r="H71" s="21" t="n">
        <f aca="false">Industry!J82</f>
        <v>0.820391967938517</v>
      </c>
      <c r="I71" s="21" t="n">
        <f aca="false">Industry!K82</f>
        <v>0.626709032784263</v>
      </c>
    </row>
    <row r="72" customFormat="false" ht="15" hidden="false" customHeight="false" outlineLevel="0" collapsed="false">
      <c r="A72" s="35" t="s">
        <v>177</v>
      </c>
      <c r="B72" s="37" t="n">
        <f aca="false">IFERROR(AVERAGE(B61:B70),"N/M")</f>
        <v>0.342130846159543</v>
      </c>
      <c r="C72" s="37" t="n">
        <f aca="false">IFERROR(AVERAGE(C61:C70),"N/M")</f>
        <v>0.542294014663155</v>
      </c>
      <c r="D72" s="37" t="n">
        <f aca="false">IFERROR(AVERAGE(D61:D70),"N/M")</f>
        <v>0.555515399067501</v>
      </c>
      <c r="E72" s="37" t="n">
        <f aca="false">IFERROR(AVERAGE(E61:E70),"N/M")</f>
        <v>0.775258864726605</v>
      </c>
      <c r="F72" s="37" t="n">
        <f aca="false">IFERROR(AVERAGE(F61:F70),"N/M")</f>
        <v>0.702499678784453</v>
      </c>
      <c r="G72" s="37" t="n">
        <f aca="false">IFERROR(AVERAGE(G61:G70),"N/M")</f>
        <v>0.785060258233041</v>
      </c>
      <c r="H72" s="37" t="n">
        <f aca="false">IFERROR(AVERAGE(H61:H70),"N/M")</f>
        <v>0.603605115994489</v>
      </c>
      <c r="I72" s="37" t="n">
        <f aca="false">IFERROR(AVERAGE(I61:I70),"N/M")</f>
        <v>0.615194882518398</v>
      </c>
    </row>
    <row r="73" customFormat="false" ht="15" hidden="false" customHeight="false" outlineLevel="0" collapsed="false">
      <c r="A73" s="35" t="s">
        <v>178</v>
      </c>
      <c r="B73" s="37" t="n">
        <f aca="false">IFERROR(MEDIAN(B61:B70),"N/M")</f>
        <v>0.260910058465977</v>
      </c>
      <c r="C73" s="37" t="n">
        <f aca="false">IFERROR(MEDIAN(C61:C70),"N/M")</f>
        <v>0.253542587576424</v>
      </c>
      <c r="D73" s="37" t="n">
        <f aca="false">IFERROR(MEDIAN(D61:D70),"N/M")</f>
        <v>0.227328322603247</v>
      </c>
      <c r="E73" s="37" t="n">
        <f aca="false">IFERROR(MEDIAN(E61:E70),"N/M")</f>
        <v>0.390347304321845</v>
      </c>
      <c r="F73" s="37" t="n">
        <f aca="false">IFERROR(MEDIAN(F61:F70),"N/M")</f>
        <v>0.285609667129279</v>
      </c>
      <c r="G73" s="37" t="n">
        <f aca="false">IFERROR(MEDIAN(G61:G70),"N/M")</f>
        <v>0.366280264068506</v>
      </c>
      <c r="H73" s="37" t="n">
        <f aca="false">IFERROR(MEDIAN(H61:H70),"N/M")</f>
        <v>0.293904031760378</v>
      </c>
      <c r="I73" s="37" t="n">
        <f aca="false">IFERROR(MEDIAN(I61:I70),"N/M")</f>
        <v>0.264634938997495</v>
      </c>
    </row>
    <row r="74" customFormat="false" ht="15" hidden="false" customHeight="false" outlineLevel="0" collapsed="false">
      <c r="A74" s="35" t="s">
        <v>179</v>
      </c>
      <c r="B74" s="37" t="n">
        <f aca="false">IFERROR(STDEV(B61:B70),"N/M")</f>
        <v>0.377103987773929</v>
      </c>
      <c r="C74" s="37" t="n">
        <f aca="false">IFERROR(STDEV(C61:C70),"N/M")</f>
        <v>0.679398068349378</v>
      </c>
      <c r="D74" s="37" t="n">
        <f aca="false">IFERROR(STDEV(D61:D70),"N/M")</f>
        <v>0.655386610894508</v>
      </c>
      <c r="E74" s="37" t="n">
        <f aca="false">IFERROR(STDEV(E61:E70),"N/M")</f>
        <v>0.829348492659225</v>
      </c>
      <c r="F74" s="37" t="n">
        <f aca="false">IFERROR(STDEV(F61:F70),"N/M")</f>
        <v>0.869669892459504</v>
      </c>
      <c r="G74" s="37" t="n">
        <f aca="false">IFERROR(STDEV(G61:G70),"N/M")</f>
        <v>0.995098412401902</v>
      </c>
      <c r="H74" s="37" t="n">
        <f aca="false">IFERROR(STDEV(H61:H70),"N/M")</f>
        <v>0.790526290656007</v>
      </c>
      <c r="I74" s="37" t="n">
        <f aca="false">IFERROR(STDEV(I61:I70),"N/M")</f>
        <v>0.67618052552392</v>
      </c>
    </row>
    <row r="75" customFormat="false" ht="15" hidden="false" customHeight="false" outlineLevel="0" collapsed="false">
      <c r="A75" s="35" t="s">
        <v>102</v>
      </c>
      <c r="B75" s="37" t="n">
        <f aca="false">IFERROR(MIN(B61:B70),"N/M")</f>
        <v>0.0504623540396992</v>
      </c>
      <c r="C75" s="37" t="n">
        <f aca="false">IFERROR(MIN(C61:C70),"N/M")</f>
        <v>0.0569519847704999</v>
      </c>
      <c r="D75" s="37" t="n">
        <f aca="false">IFERROR(MIN(D61:D70),"N/M")</f>
        <v>0.118491330904708</v>
      </c>
      <c r="E75" s="37" t="n">
        <f aca="false">IFERROR(MIN(E61:E70),"N/M")</f>
        <v>0.103450516602768</v>
      </c>
      <c r="F75" s="37" t="n">
        <f aca="false">IFERROR(MIN(F61:F70),"N/M")</f>
        <v>0.0570641700924974</v>
      </c>
      <c r="G75" s="37" t="n">
        <f aca="false">IFERROR(MIN(G61:G70),"N/M")</f>
        <v>0.0597182700017294</v>
      </c>
      <c r="H75" s="37" t="n">
        <f aca="false">IFERROR(MIN(H61:H70),"N/M")</f>
        <v>0.155839997500937</v>
      </c>
      <c r="I75" s="37" t="n">
        <f aca="false">IFERROR(MIN(I61:I70),"N/M")</f>
        <v>0.127522178151121</v>
      </c>
    </row>
    <row r="76" customFormat="false" ht="15" hidden="false" customHeight="false" outlineLevel="0" collapsed="false">
      <c r="A76" s="35" t="s">
        <v>103</v>
      </c>
      <c r="B76" s="37" t="n">
        <f aca="false">IFERROR(MAX(B61:B70),"N/M")</f>
        <v>1.31026030394701</v>
      </c>
      <c r="C76" s="37" t="n">
        <f aca="false">IFERROR(MAX(C61:C70),"N/M")</f>
        <v>1.92976588628763</v>
      </c>
      <c r="D76" s="37" t="n">
        <f aca="false">IFERROR(MAX(D61:D70),"N/M")</f>
        <v>1.93051613372766</v>
      </c>
      <c r="E76" s="37" t="n">
        <f aca="false">IFERROR(MAX(E61:E70),"N/M")</f>
        <v>2.39488117001828</v>
      </c>
      <c r="F76" s="37" t="n">
        <f aca="false">IFERROR(MAX(F61:F70),"N/M")</f>
        <v>2.58263663075416</v>
      </c>
      <c r="G76" s="37" t="n">
        <f aca="false">IFERROR(MAX(G61:G70),"N/M")</f>
        <v>2.96765882981999</v>
      </c>
      <c r="H76" s="37" t="n">
        <f aca="false">IFERROR(MAX(H61:H70),"N/M")</f>
        <v>2.74838831707202</v>
      </c>
      <c r="I76" s="37" t="n">
        <f aca="false">IFERROR(MAX(I61:I70),"N/M")</f>
        <v>2.18931588359374</v>
      </c>
    </row>
    <row r="78" customFormat="false" ht="15" hidden="false" customHeight="false" outlineLevel="0" collapsed="false">
      <c r="A78" s="16" t="s">
        <v>183</v>
      </c>
      <c r="B78" s="17"/>
      <c r="C78" s="17"/>
      <c r="D78" s="17"/>
      <c r="E78" s="17"/>
      <c r="F78" s="17"/>
      <c r="G78" s="17"/>
      <c r="H78" s="17"/>
      <c r="I78" s="17"/>
      <c r="J78" s="17"/>
      <c r="K78" s="17"/>
      <c r="L78" s="17"/>
      <c r="M78" s="17"/>
    </row>
    <row r="79" customFormat="false" ht="15" hidden="false" customHeight="false" outlineLevel="0" collapsed="false">
      <c r="A79" s="18" t="s">
        <v>110</v>
      </c>
      <c r="B79" s="26" t="n">
        <f aca="false">Tiger!D83</f>
        <v>84.2914770710298</v>
      </c>
      <c r="C79" s="26" t="n">
        <f aca="false">Tiger!E83</f>
        <v>104.029939106901</v>
      </c>
      <c r="D79" s="26" t="n">
        <f aca="false">Tiger!F83</f>
        <v>63.3414140014892</v>
      </c>
      <c r="E79" s="26" t="n">
        <f aca="false">Tiger!G83</f>
        <v>91.2253323830822</v>
      </c>
      <c r="F79" s="26" t="n">
        <f aca="false">Tiger!H83</f>
        <v>181.015072695745</v>
      </c>
      <c r="G79" s="26" t="n">
        <f aca="false">Tiger!I83</f>
        <v>111.215512289806</v>
      </c>
      <c r="H79" s="26" t="n">
        <f aca="false">Tiger!J83</f>
        <v>135.404627984097</v>
      </c>
      <c r="I79" s="27" t="n">
        <f aca="false">Tiger!K83</f>
        <v>110.074767933164</v>
      </c>
      <c r="J79" s="34" t="str">
        <f aca="false">IF(AND(ISNUMBER(H79),ISNUMBER(H$91)),IF(H79&gt;H$91,"Above",IF(H79&lt;H$91,"Below","At")),"-")</f>
        <v>Above</v>
      </c>
      <c r="K79" s="34" t="str">
        <f aca="false">IF(J79="Above","Better",IF(J79="Below","Weaker","-"))</f>
        <v>Better</v>
      </c>
      <c r="L79" s="34" t="n">
        <f aca="false">IF(ISNUMBER(H79),RANK(H79,H$79:H$88,0),"-")</f>
        <v>3</v>
      </c>
      <c r="N79" s="34" t="str">
        <f aca="false">IF(AND(ISNUMBER(I79),ISNUMBER(I$91)),IF(I79&gt;I$91,"Above",IF(I79&lt;I$91,"Below","At")),"-")</f>
        <v>Above</v>
      </c>
      <c r="O79" s="34" t="str">
        <f aca="false">IF(N79="Above","Better",IF(N79="Below","Weaker","-"))</f>
        <v>Better</v>
      </c>
    </row>
    <row r="80" customFormat="false" ht="15" hidden="false" customHeight="false" outlineLevel="0" collapsed="false">
      <c r="A80" s="18" t="s">
        <v>111</v>
      </c>
      <c r="B80" s="26" t="n">
        <f aca="false">Allcargo!D83</f>
        <v>92.8592435467839</v>
      </c>
      <c r="C80" s="26" t="n">
        <f aca="false">Allcargo!E83</f>
        <v>94.700644646733</v>
      </c>
      <c r="D80" s="26" t="n">
        <f aca="false">Allcargo!F83</f>
        <v>76.3757901781697</v>
      </c>
      <c r="E80" s="26" t="n">
        <f aca="false">Allcargo!G83</f>
        <v>72.2379937518369</v>
      </c>
      <c r="F80" s="26" t="n">
        <f aca="false">Allcargo!H83</f>
        <v>81.378074696871</v>
      </c>
      <c r="G80" s="26" t="n">
        <f aca="false">Allcargo!I83</f>
        <v>110.392268334281</v>
      </c>
      <c r="H80" s="26" t="n">
        <f aca="false">Allcargo!J83</f>
        <v>112.122874382885</v>
      </c>
      <c r="I80" s="27" t="n">
        <f aca="false">Allcargo!K83</f>
        <v>91.4381270767944</v>
      </c>
      <c r="J80" s="34" t="str">
        <f aca="false">IF(AND(ISNUMBER(H80),ISNUMBER(H$91)),IF(H80&gt;H$91,"Above",IF(H80&lt;H$91,"Below","At")),"-")</f>
        <v>Above</v>
      </c>
      <c r="K80" s="34" t="str">
        <f aca="false">IF(J80="Above","Better",IF(J80="Below","Weaker","-"))</f>
        <v>Better</v>
      </c>
      <c r="L80" s="34" t="n">
        <f aca="false">IF(ISNUMBER(H80),RANK(H80,H$79:H$88,0),"-")</f>
        <v>5</v>
      </c>
      <c r="N80" s="34" t="str">
        <f aca="false">IF(AND(ISNUMBER(I80),ISNUMBER(I$91)),IF(I80&gt;I$91,"Above",IF(I80&lt;I$91,"Below","At")),"-")</f>
        <v>Below</v>
      </c>
      <c r="O80" s="34" t="str">
        <f aca="false">IF(N80="Above","Better",IF(N80="Below","Weaker","-"))</f>
        <v>Weaker</v>
      </c>
    </row>
    <row r="81" customFormat="false" ht="15" hidden="false" customHeight="false" outlineLevel="0" collapsed="false">
      <c r="A81" s="18" t="s">
        <v>112</v>
      </c>
      <c r="B81" s="26" t="n">
        <f aca="false">BlueDart!D83</f>
        <v>84.9110356523929</v>
      </c>
      <c r="C81" s="26" t="n">
        <f aca="false">BlueDart!E83</f>
        <v>116.2179841958</v>
      </c>
      <c r="D81" s="26" t="n">
        <f aca="false">BlueDart!F83</f>
        <v>81.8020044099364</v>
      </c>
      <c r="E81" s="26" t="n">
        <f aca="false">BlueDart!G83</f>
        <v>63.1098731642347</v>
      </c>
      <c r="F81" s="26" t="n">
        <f aca="false">BlueDart!H83</f>
        <v>69.1724369907788</v>
      </c>
      <c r="G81" s="26" t="n">
        <f aca="false">BlueDart!I83</f>
        <v>71.8407818461081</v>
      </c>
      <c r="H81" s="26" t="n">
        <f aca="false">BlueDart!J83</f>
        <v>81.3817044364208</v>
      </c>
      <c r="I81" s="27" t="n">
        <f aca="false">BlueDart!K83</f>
        <v>81.2051172422388</v>
      </c>
      <c r="J81" s="34" t="str">
        <f aca="false">IF(AND(ISNUMBER(H81),ISNUMBER(H$91)),IF(H81&gt;H$91,"Above",IF(H81&lt;H$91,"Below","At")),"-")</f>
        <v>Below</v>
      </c>
      <c r="K81" s="34" t="str">
        <f aca="false">IF(J81="Above","Better",IF(J81="Below","Weaker","-"))</f>
        <v>Weaker</v>
      </c>
      <c r="L81" s="34" t="n">
        <f aca="false">IF(ISNUMBER(H81),RANK(H81,H$79:H$88,0),"-")</f>
        <v>8</v>
      </c>
      <c r="N81" s="34" t="str">
        <f aca="false">IF(AND(ISNUMBER(I81),ISNUMBER(I$91)),IF(I81&gt;I$91,"Above",IF(I81&lt;I$91,"Below","At")),"-")</f>
        <v>Below</v>
      </c>
      <c r="O81" s="34" t="str">
        <f aca="false">IF(N81="Above","Better",IF(N81="Below","Weaker","-"))</f>
        <v>Weaker</v>
      </c>
    </row>
    <row r="82" customFormat="false" ht="15" hidden="false" customHeight="false" outlineLevel="0" collapsed="false">
      <c r="A82" s="18" t="s">
        <v>67</v>
      </c>
      <c r="B82" s="26" t="n">
        <f aca="false">CONCOR!D83</f>
        <v>177.837543036156</v>
      </c>
      <c r="C82" s="26" t="n">
        <f aca="false">CONCOR!E83</f>
        <v>180.056462361214</v>
      </c>
      <c r="D82" s="26" t="n">
        <f aca="false">CONCOR!F83</f>
        <v>191.614088810452</v>
      </c>
      <c r="E82" s="26" t="n">
        <f aca="false">CONCOR!G83</f>
        <v>192.200015234903</v>
      </c>
      <c r="F82" s="26" t="n">
        <f aca="false">CONCOR!H83</f>
        <v>197.894134640232</v>
      </c>
      <c r="G82" s="26" t="n">
        <f aca="false">CONCOR!I83</f>
        <v>213.169766896986</v>
      </c>
      <c r="H82" s="26" t="n">
        <f aca="false">CONCOR!J83</f>
        <v>203.417606083351</v>
      </c>
      <c r="I82" s="27" t="n">
        <f aca="false">CONCOR!K83</f>
        <v>193.741373866185</v>
      </c>
      <c r="J82" s="34" t="str">
        <f aca="false">IF(AND(ISNUMBER(H82),ISNUMBER(H$91)),IF(H82&gt;H$91,"Above",IF(H82&lt;H$91,"Below","At")),"-")</f>
        <v>Above</v>
      </c>
      <c r="K82" s="34" t="str">
        <f aca="false">IF(J82="Above","Better",IF(J82="Below","Weaker","-"))</f>
        <v>Better</v>
      </c>
      <c r="L82" s="34" t="n">
        <f aca="false">IF(ISNUMBER(H82),RANK(H82,H$79:H$88,0),"-")</f>
        <v>1</v>
      </c>
      <c r="N82" s="34" t="str">
        <f aca="false">IF(AND(ISNUMBER(I82),ISNUMBER(I$91)),IF(I82&gt;I$91,"Above",IF(I82&lt;I$91,"Below","At")),"-")</f>
        <v>Above</v>
      </c>
      <c r="O82" s="34" t="str">
        <f aca="false">IF(N82="Above","Better",IF(N82="Below","Weaker","-"))</f>
        <v>Better</v>
      </c>
    </row>
    <row r="83" customFormat="false" ht="15" hidden="false" customHeight="false" outlineLevel="0" collapsed="false">
      <c r="A83" s="18" t="s">
        <v>113</v>
      </c>
      <c r="B83" s="26" t="n">
        <f aca="false">JetFreight!D83</f>
        <v>66.2148438787959</v>
      </c>
      <c r="C83" s="26" t="n">
        <f aca="false">JetFreight!E83</f>
        <v>46.2685196159773</v>
      </c>
      <c r="D83" s="26" t="n">
        <f aca="false">JetFreight!F83</f>
        <v>39.6852997892282</v>
      </c>
      <c r="E83" s="26" t="n">
        <f aca="false">JetFreight!G83</f>
        <v>47.7628520394431</v>
      </c>
      <c r="F83" s="26" t="n">
        <f aca="false">JetFreight!H83</f>
        <v>78.8287592311318</v>
      </c>
      <c r="G83" s="26" t="n">
        <f aca="false">JetFreight!I83</f>
        <v>78.1920636423904</v>
      </c>
      <c r="H83" s="26" t="n">
        <f aca="false">JetFreight!J83</f>
        <v>95.3502842038783</v>
      </c>
      <c r="I83" s="27" t="n">
        <f aca="false">JetFreight!K83</f>
        <v>64.6146603429778</v>
      </c>
      <c r="J83" s="34" t="str">
        <f aca="false">IF(AND(ISNUMBER(H83),ISNUMBER(H$91)),IF(H83&gt;H$91,"Above",IF(H83&lt;H$91,"Below","At")),"-")</f>
        <v>Below</v>
      </c>
      <c r="K83" s="34" t="str">
        <f aca="false">IF(J83="Above","Better",IF(J83="Below","Weaker","-"))</f>
        <v>Weaker</v>
      </c>
      <c r="L83" s="34" t="n">
        <f aca="false">IF(ISNUMBER(H83),RANK(H83,H$79:H$88,0),"-")</f>
        <v>7</v>
      </c>
      <c r="N83" s="34" t="str">
        <f aca="false">IF(AND(ISNUMBER(I83),ISNUMBER(I$91)),IF(I83&gt;I$91,"Above",IF(I83&lt;I$91,"Below","At")),"-")</f>
        <v>Below</v>
      </c>
      <c r="O83" s="34" t="str">
        <f aca="false">IF(N83="Above","Better",IF(N83="Below","Weaker","-"))</f>
        <v>Weaker</v>
      </c>
    </row>
    <row r="84" customFormat="false" ht="15" hidden="false" customHeight="false" outlineLevel="0" collapsed="false">
      <c r="A84" s="18" t="s">
        <v>114</v>
      </c>
      <c r="B84" s="26" t="n">
        <f aca="false">Patel!D83</f>
        <v>109.32143699163</v>
      </c>
      <c r="C84" s="26" t="n">
        <f aca="false">Patel!E83</f>
        <v>167.429737299594</v>
      </c>
      <c r="D84" s="26" t="n">
        <f aca="false">Patel!F83</f>
        <v>138.523805321449</v>
      </c>
      <c r="E84" s="26" t="n">
        <f aca="false">Patel!G83</f>
        <v>133.517316017316</v>
      </c>
      <c r="F84" s="26" t="n">
        <f aca="false">Patel!H83</f>
        <v>159.655889145497</v>
      </c>
      <c r="G84" s="26" t="n">
        <f aca="false">Patel!I83</f>
        <v>105.024409967653</v>
      </c>
      <c r="H84" s="26" t="n">
        <f aca="false">Patel!J83</f>
        <v>104.846584191251</v>
      </c>
      <c r="I84" s="27" t="n">
        <f aca="false">Patel!K83</f>
        <v>131.188454133484</v>
      </c>
      <c r="J84" s="34" t="str">
        <f aca="false">IF(AND(ISNUMBER(H84),ISNUMBER(H$91)),IF(H84&gt;H$91,"Above",IF(H84&lt;H$91,"Below","At")),"-")</f>
        <v>Below</v>
      </c>
      <c r="K84" s="34" t="str">
        <f aca="false">IF(J84="Above","Better",IF(J84="Below","Weaker","-"))</f>
        <v>Weaker</v>
      </c>
      <c r="L84" s="34" t="n">
        <f aca="false">IF(ISNUMBER(H84),RANK(H84,H$79:H$88,0),"-")</f>
        <v>6</v>
      </c>
      <c r="N84" s="34" t="str">
        <f aca="false">IF(AND(ISNUMBER(I84),ISNUMBER(I$91)),IF(I84&gt;I$91,"Above",IF(I84&lt;I$91,"Below","At")),"-")</f>
        <v>Above</v>
      </c>
      <c r="O84" s="34" t="str">
        <f aca="false">IF(N84="Above","Better",IF(N84="Below","Weaker","-"))</f>
        <v>Better</v>
      </c>
    </row>
    <row r="85" customFormat="false" ht="15" hidden="false" customHeight="false" outlineLevel="0" collapsed="false">
      <c r="A85" s="18" t="s">
        <v>115</v>
      </c>
      <c r="B85" s="26" t="n">
        <f aca="false">Sical!D83</f>
        <v>103.216296642063</v>
      </c>
      <c r="C85" s="26" t="n">
        <f aca="false">Sical!E83</f>
        <v>197.36093786544</v>
      </c>
      <c r="D85" s="26" t="n">
        <f aca="false">Sical!F83</f>
        <v>214.721928716852</v>
      </c>
      <c r="E85" s="26" t="n">
        <f aca="false">Sical!G83</f>
        <v>137.300559640075</v>
      </c>
      <c r="F85" s="26" t="n">
        <f aca="false">Sical!H83</f>
        <v>291.603745904445</v>
      </c>
      <c r="G85" s="26" t="n">
        <f aca="false">Sical!I83</f>
        <v>289.041082214346</v>
      </c>
      <c r="H85" s="26" t="n">
        <f aca="false">Sical!J83</f>
        <v>192.285268089537</v>
      </c>
      <c r="I85" s="27" t="n">
        <f aca="false">Sical!K83</f>
        <v>203.647117010394</v>
      </c>
      <c r="J85" s="34" t="str">
        <f aca="false">IF(AND(ISNUMBER(H85),ISNUMBER(H$91)),IF(H85&gt;H$91,"Above",IF(H85&lt;H$91,"Below","At")),"-")</f>
        <v>Above</v>
      </c>
      <c r="K85" s="34" t="str">
        <f aca="false">IF(J85="Above","Better",IF(J85="Below","Weaker","-"))</f>
        <v>Better</v>
      </c>
      <c r="L85" s="34" t="n">
        <f aca="false">IF(ISNUMBER(H85),RANK(H85,H$79:H$88,0),"-")</f>
        <v>2</v>
      </c>
      <c r="N85" s="34" t="str">
        <f aca="false">IF(AND(ISNUMBER(I85),ISNUMBER(I$91)),IF(I85&gt;I$91,"Above",IF(I85&lt;I$91,"Below","At")),"-")</f>
        <v>Above</v>
      </c>
      <c r="O85" s="34" t="str">
        <f aca="false">IF(N85="Above","Better",IF(N85="Below","Weaker","-"))</f>
        <v>Better</v>
      </c>
    </row>
    <row r="86" customFormat="false" ht="15" hidden="false" customHeight="false" outlineLevel="0" collapsed="false">
      <c r="A86" s="18" t="s">
        <v>86</v>
      </c>
      <c r="B86" s="26" t="n">
        <f aca="false">TCI!D83</f>
        <v>75.6442012598934</v>
      </c>
      <c r="C86" s="26" t="n">
        <f aca="false">TCI!E83</f>
        <v>79.13409625222</v>
      </c>
      <c r="D86" s="26" t="n">
        <f aca="false">TCI!F83</f>
        <v>74.7056530077486</v>
      </c>
      <c r="E86" s="26" t="n">
        <f aca="false">TCI!G83</f>
        <v>81.0508310496843</v>
      </c>
      <c r="F86" s="26" t="n">
        <f aca="false">TCI!H83</f>
        <v>70.3354109985248</v>
      </c>
      <c r="G86" s="26" t="n">
        <f aca="false">TCI!I83</f>
        <v>73.0893200172738</v>
      </c>
      <c r="H86" s="26" t="n">
        <f aca="false">TCI!J83</f>
        <v>77.1544782924073</v>
      </c>
      <c r="I86" s="27" t="n">
        <f aca="false">TCI!K83</f>
        <v>75.8734272682503</v>
      </c>
      <c r="J86" s="34" t="str">
        <f aca="false">IF(AND(ISNUMBER(H86),ISNUMBER(H$91)),IF(H86&gt;H$91,"Above",IF(H86&lt;H$91,"Below","At")),"-")</f>
        <v>Below</v>
      </c>
      <c r="K86" s="34" t="str">
        <f aca="false">IF(J86="Above","Better",IF(J86="Below","Weaker","-"))</f>
        <v>Weaker</v>
      </c>
      <c r="L86" s="34" t="n">
        <f aca="false">IF(ISNUMBER(H86),RANK(H86,H$79:H$88,0),"-")</f>
        <v>9</v>
      </c>
      <c r="N86" s="34" t="str">
        <f aca="false">IF(AND(ISNUMBER(I86),ISNUMBER(I$91)),IF(I86&gt;I$91,"Above",IF(I86&lt;I$91,"Below","At")),"-")</f>
        <v>Below</v>
      </c>
      <c r="O86" s="34" t="str">
        <f aca="false">IF(N86="Above","Better",IF(N86="Below","Weaker","-"))</f>
        <v>Weaker</v>
      </c>
    </row>
    <row r="87" customFormat="false" ht="15" hidden="false" customHeight="false" outlineLevel="0" collapsed="false">
      <c r="A87" s="18" t="s">
        <v>116</v>
      </c>
      <c r="B87" s="26" t="n">
        <f aca="false">Shreeji!D83</f>
        <v>109.15651312531</v>
      </c>
      <c r="C87" s="26" t="n">
        <f aca="false">Shreeji!E83</f>
        <v>151.241099683544</v>
      </c>
      <c r="D87" s="26" t="n">
        <f aca="false">Shreeji!F83</f>
        <v>121.517717472625</v>
      </c>
      <c r="E87" s="26" t="n">
        <f aca="false">Shreeji!G83</f>
        <v>136.013428451532</v>
      </c>
      <c r="F87" s="26" t="n">
        <f aca="false">Shreeji!H83</f>
        <v>109.395993437527</v>
      </c>
      <c r="G87" s="26" t="n">
        <f aca="false">Shreeji!I83</f>
        <v>118.924038643683</v>
      </c>
      <c r="H87" s="26" t="n">
        <f aca="false">Shreeji!J83</f>
        <v>130.16840293105</v>
      </c>
      <c r="I87" s="27" t="n">
        <f aca="false">Shreeji!K83</f>
        <v>125.202456249324</v>
      </c>
      <c r="J87" s="34" t="str">
        <f aca="false">IF(AND(ISNUMBER(H87),ISNUMBER(H$91)),IF(H87&gt;H$91,"Above",IF(H87&lt;H$91,"Below","At")),"-")</f>
        <v>Above</v>
      </c>
      <c r="K87" s="34" t="str">
        <f aca="false">IF(J87="Above","Better",IF(J87="Below","Weaker","-"))</f>
        <v>Better</v>
      </c>
      <c r="L87" s="34" t="n">
        <f aca="false">IF(ISNUMBER(H87),RANK(H87,H$79:H$88,0),"-")</f>
        <v>4</v>
      </c>
      <c r="N87" s="34" t="str">
        <f aca="false">IF(AND(ISNUMBER(I87),ISNUMBER(I$91)),IF(I87&gt;I$91,"Above",IF(I87&lt;I$91,"Below","At")),"-")</f>
        <v>Above</v>
      </c>
      <c r="O87" s="34" t="str">
        <f aca="false">IF(N87="Above","Better",IF(N87="Below","Weaker","-"))</f>
        <v>Better</v>
      </c>
    </row>
    <row r="88" customFormat="false" ht="15" hidden="false" customHeight="false" outlineLevel="0" collapsed="false">
      <c r="A88" s="18" t="s">
        <v>117</v>
      </c>
      <c r="B88" s="26" t="n">
        <f aca="false">MahindraLog!D83</f>
        <v>69.9840611472352</v>
      </c>
      <c r="C88" s="26" t="n">
        <f aca="false">MahindraLog!E83</f>
        <v>79.7145610155191</v>
      </c>
      <c r="D88" s="26" t="n">
        <f aca="false">MahindraLog!F83</f>
        <v>57.496448791831</v>
      </c>
      <c r="E88" s="26" t="n">
        <f aca="false">MahindraLog!G83</f>
        <v>58.3847650191957</v>
      </c>
      <c r="F88" s="26" t="n">
        <f aca="false">MahindraLog!H83</f>
        <v>53.4878657296203</v>
      </c>
      <c r="G88" s="26" t="n">
        <f aca="false">MahindraLog!I83</f>
        <v>43.9641247053487</v>
      </c>
      <c r="H88" s="26" t="n">
        <f aca="false">MahindraLog!J83</f>
        <v>49.0198776527453</v>
      </c>
      <c r="I88" s="27" t="n">
        <f aca="false">MahindraLog!K83</f>
        <v>58.8645291516422</v>
      </c>
      <c r="J88" s="34" t="str">
        <f aca="false">IF(AND(ISNUMBER(H88),ISNUMBER(H$91)),IF(H88&gt;H$91,"Above",IF(H88&lt;H$91,"Below","At")),"-")</f>
        <v>Below</v>
      </c>
      <c r="K88" s="34" t="str">
        <f aca="false">IF(J88="Above","Better",IF(J88="Below","Weaker","-"))</f>
        <v>Weaker</v>
      </c>
      <c r="L88" s="34" t="n">
        <f aca="false">IF(ISNUMBER(H88),RANK(H88,H$79:H$88,0),"-")</f>
        <v>10</v>
      </c>
      <c r="N88" s="34" t="str">
        <f aca="false">IF(AND(ISNUMBER(I88),ISNUMBER(I$91)),IF(I88&gt;I$91,"Above",IF(I88&lt;I$91,"Below","At")),"-")</f>
        <v>Below</v>
      </c>
      <c r="O88" s="34" t="str">
        <f aca="false">IF(N88="Above","Better",IF(N88="Below","Weaker","-"))</f>
        <v>Weaker</v>
      </c>
    </row>
    <row r="89" customFormat="false" ht="15" hidden="false" customHeight="false" outlineLevel="0" collapsed="false">
      <c r="A89" s="12" t="s">
        <v>176</v>
      </c>
      <c r="B89" s="27" t="n">
        <f aca="false">Industry!D83</f>
        <v>105.370520260845</v>
      </c>
      <c r="C89" s="27" t="n">
        <f aca="false">Industry!E83</f>
        <v>114.325888538618</v>
      </c>
      <c r="D89" s="27" t="n">
        <f aca="false">Industry!F83</f>
        <v>95.1507450096822</v>
      </c>
      <c r="E89" s="27" t="n">
        <f aca="false">Industry!G83</f>
        <v>91.759858566798</v>
      </c>
      <c r="F89" s="27" t="n">
        <f aca="false">Industry!H83</f>
        <v>100.068186730606</v>
      </c>
      <c r="G89" s="27" t="n">
        <f aca="false">Industry!I83</f>
        <v>110.948622549608</v>
      </c>
      <c r="H89" s="27" t="n">
        <f aca="false">Industry!J83</f>
        <v>110.321810171572</v>
      </c>
      <c r="I89" s="27" t="n">
        <f aca="false">Industry!K83</f>
        <v>103.992233118247</v>
      </c>
    </row>
    <row r="90" customFormat="false" ht="15" hidden="false" customHeight="false" outlineLevel="0" collapsed="false">
      <c r="A90" s="35" t="s">
        <v>177</v>
      </c>
      <c r="B90" s="38" t="n">
        <f aca="false">IFERROR(AVERAGE(B79:B88),"N/M")</f>
        <v>97.343665235129</v>
      </c>
      <c r="C90" s="38" t="n">
        <f aca="false">IFERROR(AVERAGE(C79:C88),"N/M")</f>
        <v>121.615398204294</v>
      </c>
      <c r="D90" s="38" t="n">
        <f aca="false">IFERROR(AVERAGE(D79:D88),"N/M")</f>
        <v>105.978415049978</v>
      </c>
      <c r="E90" s="38" t="n">
        <f aca="false">IFERROR(AVERAGE(E79:E88),"N/M")</f>
        <v>101.28029667513</v>
      </c>
      <c r="F90" s="38" t="n">
        <f aca="false">IFERROR(AVERAGE(F79:F88),"N/M")</f>
        <v>129.276738347037</v>
      </c>
      <c r="G90" s="38" t="n">
        <f aca="false">IFERROR(AVERAGE(G79:G88),"N/M")</f>
        <v>121.485336855788</v>
      </c>
      <c r="H90" s="38" t="n">
        <f aca="false">IFERROR(AVERAGE(H79:H88),"N/M")</f>
        <v>118.115170824762</v>
      </c>
      <c r="I90" s="38" t="n">
        <f aca="false">IFERROR(AVERAGE(I79:I88),"N/M")</f>
        <v>113.585003027446</v>
      </c>
    </row>
    <row r="91" customFormat="false" ht="15" hidden="false" customHeight="false" outlineLevel="0" collapsed="false">
      <c r="A91" s="35" t="s">
        <v>178</v>
      </c>
      <c r="B91" s="38" t="n">
        <f aca="false">IFERROR(MEDIAN(B79:B88),"N/M")</f>
        <v>88.8851395995884</v>
      </c>
      <c r="C91" s="38" t="n">
        <f aca="false">IFERROR(MEDIAN(C79:C88),"N/M")</f>
        <v>110.123961651351</v>
      </c>
      <c r="D91" s="38" t="n">
        <f aca="false">IFERROR(MEDIAN(D79:D88),"N/M")</f>
        <v>79.0888972940531</v>
      </c>
      <c r="E91" s="38" t="n">
        <f aca="false">IFERROR(MEDIAN(E79:E88),"N/M")</f>
        <v>86.1380817163833</v>
      </c>
      <c r="F91" s="38" t="n">
        <f aca="false">IFERROR(MEDIAN(F79:F88),"N/M")</f>
        <v>95.387034067199</v>
      </c>
      <c r="G91" s="38" t="n">
        <f aca="false">IFERROR(MEDIAN(G79:G88),"N/M")</f>
        <v>107.708339150967</v>
      </c>
      <c r="H91" s="38" t="n">
        <f aca="false">IFERROR(MEDIAN(H79:H88),"N/M")</f>
        <v>108.484729287068</v>
      </c>
      <c r="I91" s="38" t="n">
        <f aca="false">IFERROR(MEDIAN(I79:I88),"N/M")</f>
        <v>100.756447504979</v>
      </c>
    </row>
    <row r="92" customFormat="false" ht="15" hidden="false" customHeight="false" outlineLevel="0" collapsed="false">
      <c r="A92" s="35" t="s">
        <v>179</v>
      </c>
      <c r="B92" s="38" t="n">
        <f aca="false">IFERROR(STDEV(B79:B88),"N/M")</f>
        <v>32.197689148275</v>
      </c>
      <c r="C92" s="38" t="n">
        <f aca="false">IFERROR(STDEV(C79:C88),"N/M")</f>
        <v>49.921781382483</v>
      </c>
      <c r="D92" s="38" t="n">
        <f aca="false">IFERROR(STDEV(D79:D88),"N/M")</f>
        <v>59.1244306064756</v>
      </c>
      <c r="E92" s="38" t="n">
        <f aca="false">IFERROR(STDEV(E79:E88),"N/M")</f>
        <v>46.3373908523025</v>
      </c>
      <c r="F92" s="38" t="n">
        <f aca="false">IFERROR(STDEV(F79:F88),"N/M")</f>
        <v>76.5384706603806</v>
      </c>
      <c r="G92" s="38" t="n">
        <f aca="false">IFERROR(STDEV(G79:G88),"N/M")</f>
        <v>74.2949171805435</v>
      </c>
      <c r="H92" s="38" t="n">
        <f aca="false">IFERROR(STDEV(H79:H88),"N/M")</f>
        <v>49.1634496318205</v>
      </c>
      <c r="I92" s="38" t="n">
        <f aca="false">IFERROR(STDEV(I79:I88),"N/M")</f>
        <v>50.9323357337319</v>
      </c>
    </row>
    <row r="93" customFormat="false" ht="15" hidden="false" customHeight="false" outlineLevel="0" collapsed="false">
      <c r="A93" s="35" t="s">
        <v>102</v>
      </c>
      <c r="B93" s="38" t="n">
        <f aca="false">IFERROR(MIN(B79:B88),"N/M")</f>
        <v>66.2148438787959</v>
      </c>
      <c r="C93" s="38" t="n">
        <f aca="false">IFERROR(MIN(C79:C88),"N/M")</f>
        <v>46.2685196159773</v>
      </c>
      <c r="D93" s="38" t="n">
        <f aca="false">IFERROR(MIN(D79:D88),"N/M")</f>
        <v>39.6852997892282</v>
      </c>
      <c r="E93" s="38" t="n">
        <f aca="false">IFERROR(MIN(E79:E88),"N/M")</f>
        <v>47.7628520394431</v>
      </c>
      <c r="F93" s="38" t="n">
        <f aca="false">IFERROR(MIN(F79:F88),"N/M")</f>
        <v>53.4878657296203</v>
      </c>
      <c r="G93" s="38" t="n">
        <f aca="false">IFERROR(MIN(G79:G88),"N/M")</f>
        <v>43.9641247053487</v>
      </c>
      <c r="H93" s="38" t="n">
        <f aca="false">IFERROR(MIN(H79:H88),"N/M")</f>
        <v>49.0198776527453</v>
      </c>
      <c r="I93" s="38" t="n">
        <f aca="false">IFERROR(MIN(I79:I88),"N/M")</f>
        <v>58.8645291516422</v>
      </c>
    </row>
    <row r="94" customFormat="false" ht="15" hidden="false" customHeight="false" outlineLevel="0" collapsed="false">
      <c r="A94" s="35" t="s">
        <v>103</v>
      </c>
      <c r="B94" s="38" t="n">
        <f aca="false">IFERROR(MAX(B79:B88),"N/M")</f>
        <v>177.837543036156</v>
      </c>
      <c r="C94" s="38" t="n">
        <f aca="false">IFERROR(MAX(C79:C88),"N/M")</f>
        <v>197.36093786544</v>
      </c>
      <c r="D94" s="38" t="n">
        <f aca="false">IFERROR(MAX(D79:D88),"N/M")</f>
        <v>214.721928716852</v>
      </c>
      <c r="E94" s="38" t="n">
        <f aca="false">IFERROR(MAX(E79:E88),"N/M")</f>
        <v>192.200015234903</v>
      </c>
      <c r="F94" s="38" t="n">
        <f aca="false">IFERROR(MAX(F79:F88),"N/M")</f>
        <v>291.603745904445</v>
      </c>
      <c r="G94" s="38" t="n">
        <f aca="false">IFERROR(MAX(G79:G88),"N/M")</f>
        <v>289.041082214346</v>
      </c>
      <c r="H94" s="38" t="n">
        <f aca="false">IFERROR(MAX(H79:H88),"N/M")</f>
        <v>203.417606083351</v>
      </c>
      <c r="I94" s="38" t="n">
        <f aca="false">IFERROR(MAX(I79:I88),"N/M")</f>
        <v>203.647117010394</v>
      </c>
    </row>
    <row r="96" customFormat="false" ht="15" hidden="false" customHeight="false" outlineLevel="0" collapsed="false">
      <c r="A96" s="16" t="s">
        <v>184</v>
      </c>
      <c r="B96" s="17"/>
      <c r="C96" s="17"/>
      <c r="D96" s="17"/>
      <c r="E96" s="17"/>
      <c r="F96" s="17"/>
      <c r="G96" s="17"/>
      <c r="H96" s="17"/>
      <c r="I96" s="17"/>
      <c r="J96" s="17"/>
      <c r="K96" s="17"/>
      <c r="L96" s="17"/>
      <c r="M96" s="17"/>
    </row>
    <row r="97" customFormat="false" ht="15" hidden="false" customHeight="false" outlineLevel="0" collapsed="false">
      <c r="A97" s="18" t="s">
        <v>110</v>
      </c>
      <c r="B97" s="20" t="n">
        <f aca="false">Tiger!D84</f>
        <v>0.134688691232529</v>
      </c>
      <c r="C97" s="20" t="n">
        <f aca="false">Tiger!E84</f>
        <v>0.970271274619101</v>
      </c>
      <c r="D97" s="20" t="n">
        <f aca="false">Tiger!F84</f>
        <v>0.944468175993165</v>
      </c>
      <c r="E97" s="20" t="n">
        <f aca="false">Tiger!G84</f>
        <v>0.771937842778794</v>
      </c>
      <c r="F97" s="20" t="n">
        <f aca="false">Tiger!H84</f>
        <v>-0.830516658619025</v>
      </c>
      <c r="G97" s="20" t="n">
        <f aca="false">Tiger!I84</f>
        <v>-0.790960451977401</v>
      </c>
      <c r="H97" s="20" t="n">
        <f aca="false">Tiger!J84</f>
        <v>-0.339237581825183</v>
      </c>
      <c r="I97" s="21" t="n">
        <f aca="false">Tiger!K84</f>
        <v>0.122950184600283</v>
      </c>
      <c r="J97" s="34" t="str">
        <f aca="false">IF(AND(ISNUMBER(H97),ISNUMBER(H$109)),IF(H97&gt;H$109,"Above",IF(H97&lt;H$109,"Below","At")),"-")</f>
        <v>Below</v>
      </c>
      <c r="K97" s="34" t="str">
        <f aca="false">IF(J97="Above","Better",IF(J97="Below","Weaker","-"))</f>
        <v>Weaker</v>
      </c>
      <c r="L97" s="34" t="n">
        <f aca="false">IF(ISNUMBER(H97),RANK(H97,H$97:H$106,0),"-")</f>
        <v>10</v>
      </c>
      <c r="N97" s="34" t="str">
        <f aca="false">IF(AND(ISNUMBER(I97),ISNUMBER(I$109)),IF(I97&gt;I$109,"Above",IF(I97&lt;I$109,"Below","At")),"-")</f>
        <v>Below</v>
      </c>
      <c r="O97" s="34" t="str">
        <f aca="false">IF(N97="Above","Better",IF(N97="Below","Weaker","-"))</f>
        <v>Weaker</v>
      </c>
    </row>
    <row r="98" customFormat="false" ht="15" hidden="false" customHeight="false" outlineLevel="0" collapsed="false">
      <c r="A98" s="18" t="s">
        <v>111</v>
      </c>
      <c r="B98" s="20" t="n">
        <f aca="false">Allcargo!D84</f>
        <v>0.205850892454411</v>
      </c>
      <c r="C98" s="20" t="n">
        <f aca="false">Allcargo!E84</f>
        <v>0.111238176199922</v>
      </c>
      <c r="D98" s="20" t="n">
        <f aca="false">Allcargo!F84</f>
        <v>0.206146528547151</v>
      </c>
      <c r="E98" s="20" t="n">
        <f aca="false">Allcargo!G84</f>
        <v>0.48893927645785</v>
      </c>
      <c r="F98" s="20" t="n">
        <f aca="false">Allcargo!H84</f>
        <v>-0.0521262934996834</v>
      </c>
      <c r="G98" s="20" t="n">
        <f aca="false">Allcargo!I84</f>
        <v>0.690954773869347</v>
      </c>
      <c r="H98" s="20" t="n">
        <f aca="false">Allcargo!J84</f>
        <v>0.669509594882729</v>
      </c>
      <c r="I98" s="21" t="n">
        <f aca="false">Allcargo!K84</f>
        <v>0.331501849844532</v>
      </c>
      <c r="J98" s="34" t="str">
        <f aca="false">IF(AND(ISNUMBER(H98),ISNUMBER(H$109)),IF(H98&gt;H$109,"Above",IF(H98&lt;H$109,"Below","At")),"-")</f>
        <v>Above</v>
      </c>
      <c r="K98" s="34" t="str">
        <f aca="false">IF(J98="Above","Better",IF(J98="Below","Weaker","-"))</f>
        <v>Better</v>
      </c>
      <c r="L98" s="34" t="n">
        <f aca="false">IF(ISNUMBER(H98),RANK(H98,H$97:H$106,0),"-")</f>
        <v>4</v>
      </c>
      <c r="N98" s="34" t="str">
        <f aca="false">IF(AND(ISNUMBER(I98),ISNUMBER(I$109)),IF(I98&gt;I$109,"Above",IF(I98&lt;I$109,"Below","At")),"-")</f>
        <v>Above</v>
      </c>
      <c r="O98" s="34" t="str">
        <f aca="false">IF(N98="Above","Better",IF(N98="Below","Weaker","-"))</f>
        <v>Better</v>
      </c>
    </row>
    <row r="99" customFormat="false" ht="15" hidden="false" customHeight="false" outlineLevel="0" collapsed="false">
      <c r="A99" s="18" t="s">
        <v>112</v>
      </c>
      <c r="B99" s="20" t="n">
        <f aca="false">BlueDart!D84</f>
        <v>0.22476480900763</v>
      </c>
      <c r="C99" s="20" t="n">
        <f aca="false">BlueDart!E84</f>
        <v>0.957692896900373</v>
      </c>
      <c r="D99" s="20" t="n">
        <f aca="false">BlueDart!F84</f>
        <v>0.965156090387616</v>
      </c>
      <c r="E99" s="20" t="n">
        <f aca="false">BlueDart!G84</f>
        <v>0.776247102909004</v>
      </c>
      <c r="F99" s="20" t="n">
        <f aca="false">BlueDart!H84</f>
        <v>0.829574401379473</v>
      </c>
      <c r="G99" s="20" t="n">
        <f aca="false">BlueDart!I84</f>
        <v>0.670283479069598</v>
      </c>
      <c r="H99" s="20" t="n">
        <f aca="false">BlueDart!J84</f>
        <v>0.670670132106082</v>
      </c>
      <c r="I99" s="21" t="n">
        <f aca="false">BlueDart!K84</f>
        <v>0.727769844537111</v>
      </c>
      <c r="J99" s="34" t="str">
        <f aca="false">IF(AND(ISNUMBER(H99),ISNUMBER(H$109)),IF(H99&gt;H$109,"Above",IF(H99&lt;H$109,"Below","At")),"-")</f>
        <v>Above</v>
      </c>
      <c r="K99" s="34" t="str">
        <f aca="false">IF(J99="Above","Better",IF(J99="Below","Weaker","-"))</f>
        <v>Better</v>
      </c>
      <c r="L99" s="34" t="n">
        <f aca="false">IF(ISNUMBER(H99),RANK(H99,H$97:H$106,0),"-")</f>
        <v>3</v>
      </c>
      <c r="N99" s="34" t="str">
        <f aca="false">IF(AND(ISNUMBER(I99),ISNUMBER(I$109)),IF(I99&gt;I$109,"Above",IF(I99&lt;I$109,"Below","At")),"-")</f>
        <v>Above</v>
      </c>
      <c r="O99" s="34" t="str">
        <f aca="false">IF(N99="Above","Better",IF(N99="Below","Weaker","-"))</f>
        <v>Better</v>
      </c>
    </row>
    <row r="100" customFormat="false" ht="15" hidden="false" customHeight="false" outlineLevel="0" collapsed="false">
      <c r="A100" s="18" t="s">
        <v>67</v>
      </c>
      <c r="B100" s="20" t="n">
        <f aca="false">CONCOR!D84</f>
        <v>2.56224815563235</v>
      </c>
      <c r="C100" s="20" t="n">
        <f aca="false">CONCOR!E84</f>
        <v>0.685921107008119</v>
      </c>
      <c r="D100" s="20" t="n">
        <f aca="false">CONCOR!F84</f>
        <v>0.906042621887881</v>
      </c>
      <c r="E100" s="20" t="n">
        <f aca="false">CONCOR!G84</f>
        <v>0.962640116681161</v>
      </c>
      <c r="F100" s="20" t="n">
        <f aca="false">CONCOR!H84</f>
        <v>1.08795298726739</v>
      </c>
      <c r="G100" s="20" t="n">
        <f aca="false">CONCOR!I84</f>
        <v>1.38660336698155</v>
      </c>
      <c r="H100" s="20" t="n">
        <f aca="false">CONCOR!J84</f>
        <v>1.16815881972794</v>
      </c>
      <c r="I100" s="21" t="n">
        <f aca="false">CONCOR!K84</f>
        <v>1.25136673931234</v>
      </c>
      <c r="J100" s="34" t="str">
        <f aca="false">IF(AND(ISNUMBER(H100),ISNUMBER(H$109)),IF(H100&gt;H$109,"Above",IF(H100&lt;H$109,"Below","At")),"-")</f>
        <v>Above</v>
      </c>
      <c r="K100" s="34" t="str">
        <f aca="false">IF(J100="Above","Better",IF(J100="Below","Weaker","-"))</f>
        <v>Better</v>
      </c>
      <c r="L100" s="34" t="n">
        <f aca="false">IF(ISNUMBER(H100),RANK(H100,H$97:H$106,0),"-")</f>
        <v>1</v>
      </c>
      <c r="N100" s="34" t="str">
        <f aca="false">IF(AND(ISNUMBER(I100),ISNUMBER(I$109)),IF(I100&gt;I$109,"Above",IF(I100&lt;I$109,"Below","At")),"-")</f>
        <v>Above</v>
      </c>
      <c r="O100" s="34" t="str">
        <f aca="false">IF(N100="Above","Better",IF(N100="Below","Weaker","-"))</f>
        <v>Better</v>
      </c>
    </row>
    <row r="101" customFormat="false" ht="15" hidden="false" customHeight="false" outlineLevel="0" collapsed="false">
      <c r="A101" s="18" t="s">
        <v>113</v>
      </c>
      <c r="B101" s="20" t="n">
        <f aca="false">JetFreight!D84</f>
        <v>0.384430417793808</v>
      </c>
      <c r="C101" s="20" t="n">
        <f aca="false">JetFreight!E84</f>
        <v>0.218125960061444</v>
      </c>
      <c r="D101" s="20" t="n">
        <f aca="false">JetFreight!F84</f>
        <v>-0.290030211480363</v>
      </c>
      <c r="E101" s="20" t="n">
        <f aca="false">JetFreight!G84</f>
        <v>-1.26536585365854</v>
      </c>
      <c r="F101" s="20" t="n">
        <f aca="false">JetFreight!H84</f>
        <v>0.3234506503443</v>
      </c>
      <c r="G101" s="20" t="n">
        <f aca="false">JetFreight!I84</f>
        <v>-0.0161476355247982</v>
      </c>
      <c r="H101" s="20" t="n">
        <f aca="false">JetFreight!J84</f>
        <v>-0.153504128731738</v>
      </c>
      <c r="I101" s="21" t="n">
        <f aca="false">JetFreight!K84</f>
        <v>-0.114148685885126</v>
      </c>
      <c r="J101" s="34" t="str">
        <f aca="false">IF(AND(ISNUMBER(H101),ISNUMBER(H$109)),IF(H101&gt;H$109,"Above",IF(H101&lt;H$109,"Below","At")),"-")</f>
        <v>Below</v>
      </c>
      <c r="K101" s="34" t="str">
        <f aca="false">IF(J101="Above","Better",IF(J101="Below","Weaker","-"))</f>
        <v>Weaker</v>
      </c>
      <c r="L101" s="34" t="n">
        <f aca="false">IF(ISNUMBER(H101),RANK(H101,H$97:H$106,0),"-")</f>
        <v>9</v>
      </c>
      <c r="N101" s="34" t="str">
        <f aca="false">IF(AND(ISNUMBER(I101),ISNUMBER(I$109)),IF(I101&gt;I$109,"Above",IF(I101&lt;I$109,"Below","At")),"-")</f>
        <v>Below</v>
      </c>
      <c r="O101" s="34" t="str">
        <f aca="false">IF(N101="Above","Better",IF(N101="Below","Weaker","-"))</f>
        <v>Weaker</v>
      </c>
    </row>
    <row r="102" customFormat="false" ht="15" hidden="false" customHeight="false" outlineLevel="0" collapsed="false">
      <c r="A102" s="18" t="s">
        <v>114</v>
      </c>
      <c r="B102" s="20" t="n">
        <f aca="false">Patel!D84</f>
        <v>-0.610374414976599</v>
      </c>
      <c r="C102" s="20" t="n">
        <f aca="false">Patel!E84</f>
        <v>0.380434782608696</v>
      </c>
      <c r="D102" s="20" t="n">
        <f aca="false">Patel!F84</f>
        <v>0.662563359884142</v>
      </c>
      <c r="E102" s="20" t="n">
        <f aca="false">Patel!G84</f>
        <v>-0.187931034482759</v>
      </c>
      <c r="F102" s="20" t="n">
        <f aca="false">Patel!H84</f>
        <v>0.251286272895658</v>
      </c>
      <c r="G102" s="20" t="n">
        <f aca="false">Patel!I84</f>
        <v>0.0263551961665169</v>
      </c>
      <c r="H102" s="20" t="n">
        <f aca="false">Patel!J84</f>
        <v>0.23613595706619</v>
      </c>
      <c r="I102" s="21" t="n">
        <f aca="false">Patel!K84</f>
        <v>0.108352874165978</v>
      </c>
      <c r="J102" s="34" t="str">
        <f aca="false">IF(AND(ISNUMBER(H102),ISNUMBER(H$109)),IF(H102&gt;H$109,"Above",IF(H102&lt;H$109,"Below","At")),"-")</f>
        <v>Above</v>
      </c>
      <c r="K102" s="34" t="str">
        <f aca="false">IF(J102="Above","Better",IF(J102="Below","Weaker","-"))</f>
        <v>Better</v>
      </c>
      <c r="L102" s="34" t="n">
        <f aca="false">IF(ISNUMBER(H102),RANK(H102,H$97:H$106,0),"-")</f>
        <v>5</v>
      </c>
      <c r="N102" s="34" t="str">
        <f aca="false">IF(AND(ISNUMBER(I102),ISNUMBER(I$109)),IF(I102&gt;I$109,"Above",IF(I102&lt;I$109,"Below","At")),"-")</f>
        <v>Below</v>
      </c>
      <c r="O102" s="34" t="str">
        <f aca="false">IF(N102="Above","Better",IF(N102="Below","Weaker","-"))</f>
        <v>Weaker</v>
      </c>
    </row>
    <row r="103" customFormat="false" ht="15" hidden="false" customHeight="false" outlineLevel="0" collapsed="false">
      <c r="A103" s="18" t="s">
        <v>115</v>
      </c>
      <c r="B103" s="20" t="n">
        <f aca="false">Sical!D84</f>
        <v>0.293527043444211</v>
      </c>
      <c r="C103" s="20" t="n">
        <f aca="false">Sical!E84</f>
        <v>0.139453923711486</v>
      </c>
      <c r="D103" s="20" t="n">
        <f aca="false">Sical!F84</f>
        <v>0.0925251307896683</v>
      </c>
      <c r="E103" s="20" t="n">
        <f aca="false">Sical!G84</f>
        <v>0.0258182954456683</v>
      </c>
      <c r="F103" s="20" t="n">
        <f aca="false">Sical!H84</f>
        <v>0.034503605821134</v>
      </c>
      <c r="G103" s="20" t="n">
        <f aca="false">Sical!I84</f>
        <v>0.0782007190870721</v>
      </c>
      <c r="H103" s="20" t="n">
        <f aca="false">Sical!J84</f>
        <v>0.180137057061194</v>
      </c>
      <c r="I103" s="21" t="n">
        <f aca="false">Sical!K84</f>
        <v>0.120595110765776</v>
      </c>
      <c r="J103" s="34" t="str">
        <f aca="false">IF(AND(ISNUMBER(H103),ISNUMBER(H$109)),IF(H103&gt;H$109,"Above",IF(H103&lt;H$109,"Below","At")),"-")</f>
        <v>Below</v>
      </c>
      <c r="K103" s="34" t="str">
        <f aca="false">IF(J103="Above","Better",IF(J103="Below","Weaker","-"))</f>
        <v>Weaker</v>
      </c>
      <c r="L103" s="34" t="n">
        <f aca="false">IF(ISNUMBER(H103),RANK(H103,H$97:H$106,0),"-")</f>
        <v>7</v>
      </c>
      <c r="N103" s="34" t="str">
        <f aca="false">IF(AND(ISNUMBER(I103),ISNUMBER(I$109)),IF(I103&gt;I$109,"Above",IF(I103&lt;I$109,"Below","At")),"-")</f>
        <v>Below</v>
      </c>
      <c r="O103" s="34" t="str">
        <f aca="false">IF(N103="Above","Better",IF(N103="Below","Weaker","-"))</f>
        <v>Weaker</v>
      </c>
    </row>
    <row r="104" customFormat="false" ht="15" hidden="false" customHeight="false" outlineLevel="0" collapsed="false">
      <c r="A104" s="18" t="s">
        <v>86</v>
      </c>
      <c r="B104" s="20" t="n">
        <f aca="false">TCI!D84</f>
        <v>1.02291684219395</v>
      </c>
      <c r="C104" s="20" t="n">
        <f aca="false">TCI!E84</f>
        <v>1.1218614240483</v>
      </c>
      <c r="D104" s="20" t="n">
        <f aca="false">TCI!F84</f>
        <v>1.22457739917476</v>
      </c>
      <c r="E104" s="20" t="n">
        <f aca="false">TCI!G84</f>
        <v>1.17376729048007</v>
      </c>
      <c r="F104" s="20" t="n">
        <f aca="false">TCI!H84</f>
        <v>0.984896347482725</v>
      </c>
      <c r="G104" s="20" t="n">
        <f aca="false">TCI!I84</f>
        <v>0.668359941944848</v>
      </c>
      <c r="H104" s="20" t="n">
        <f aca="false">TCI!J84</f>
        <v>0.736391204202363</v>
      </c>
      <c r="I104" s="21" t="n">
        <f aca="false">TCI!K84</f>
        <v>0.99039577850386</v>
      </c>
      <c r="J104" s="34" t="str">
        <f aca="false">IF(AND(ISNUMBER(H104),ISNUMBER(H$109)),IF(H104&gt;H$109,"Above",IF(H104&lt;H$109,"Below","At")),"-")</f>
        <v>Above</v>
      </c>
      <c r="K104" s="34" t="str">
        <f aca="false">IF(J104="Above","Better",IF(J104="Below","Weaker","-"))</f>
        <v>Better</v>
      </c>
      <c r="L104" s="34" t="n">
        <f aca="false">IF(ISNUMBER(H104),RANK(H104,H$97:H$106,0),"-")</f>
        <v>2</v>
      </c>
      <c r="N104" s="34" t="str">
        <f aca="false">IF(AND(ISNUMBER(I104),ISNUMBER(I$109)),IF(I104&gt;I$109,"Above",IF(I104&lt;I$109,"Below","At")),"-")</f>
        <v>Above</v>
      </c>
      <c r="O104" s="34" t="str">
        <f aca="false">IF(N104="Above","Better",IF(N104="Below","Weaker","-"))</f>
        <v>Better</v>
      </c>
    </row>
    <row r="105" customFormat="false" ht="15" hidden="false" customHeight="false" outlineLevel="0" collapsed="false">
      <c r="A105" s="18" t="s">
        <v>116</v>
      </c>
      <c r="B105" s="20" t="n">
        <f aca="false">Shreeji!D84</f>
        <v>0.555425904317386</v>
      </c>
      <c r="C105" s="20" t="n">
        <f aca="false">Shreeji!E84</f>
        <v>0.617988394584139</v>
      </c>
      <c r="D105" s="20" t="n">
        <f aca="false">Shreeji!F84</f>
        <v>0.444091990483743</v>
      </c>
      <c r="E105" s="20" t="n">
        <f aca="false">Shreeji!G84</f>
        <v>0.562080536912752</v>
      </c>
      <c r="F105" s="20" t="n">
        <f aca="false">Shreeji!H84</f>
        <v>0.0446579988694178</v>
      </c>
      <c r="G105" s="20" t="n">
        <f aca="false">Shreeji!I84</f>
        <v>0.760960960960961</v>
      </c>
      <c r="H105" s="20" t="n">
        <f aca="false">Shreeji!J84</f>
        <v>0.030506721820062</v>
      </c>
      <c r="I105" s="21" t="n">
        <f aca="false">Shreeji!K84</f>
        <v>0.430816072564066</v>
      </c>
      <c r="J105" s="34" t="str">
        <f aca="false">IF(AND(ISNUMBER(H105),ISNUMBER(H$109)),IF(H105&gt;H$109,"Above",IF(H105&lt;H$109,"Below","At")),"-")</f>
        <v>Below</v>
      </c>
      <c r="K105" s="34" t="str">
        <f aca="false">IF(J105="Above","Better",IF(J105="Below","Weaker","-"))</f>
        <v>Weaker</v>
      </c>
      <c r="L105" s="34" t="n">
        <f aca="false">IF(ISNUMBER(H105),RANK(H105,H$97:H$106,0),"-")</f>
        <v>8</v>
      </c>
      <c r="N105" s="34" t="str">
        <f aca="false">IF(AND(ISNUMBER(I105),ISNUMBER(I$109)),IF(I105&gt;I$109,"Above",IF(I105&lt;I$109,"Below","At")),"-")</f>
        <v>Above</v>
      </c>
      <c r="O105" s="34" t="str">
        <f aca="false">IF(N105="Above","Better",IF(N105="Below","Weaker","-"))</f>
        <v>Better</v>
      </c>
    </row>
    <row r="106" customFormat="false" ht="15" hidden="false" customHeight="false" outlineLevel="0" collapsed="false">
      <c r="A106" s="18" t="s">
        <v>117</v>
      </c>
      <c r="B106" s="20" t="n">
        <f aca="false">MahindraLog!D84</f>
        <v>0.126322330556747</v>
      </c>
      <c r="C106" s="20" t="n">
        <f aca="false">MahindraLog!E84</f>
        <v>0.345765784857368</v>
      </c>
      <c r="D106" s="20" t="n">
        <f aca="false">MahindraLog!F84</f>
        <v>0.186042433806768</v>
      </c>
      <c r="E106" s="20" t="n">
        <f aca="false">MahindraLog!G84</f>
        <v>0.10317830663141</v>
      </c>
      <c r="F106" s="20" t="n">
        <f aca="false">MahindraLog!H84</f>
        <v>0.182152492291881</v>
      </c>
      <c r="G106" s="20" t="n">
        <f aca="false">MahindraLog!I84</f>
        <v>0.269758045498137</v>
      </c>
      <c r="H106" s="20" t="n">
        <f aca="false">MahindraLog!J84</f>
        <v>0.198058540547295</v>
      </c>
      <c r="I106" s="21" t="n">
        <f aca="false">MahindraLog!K84</f>
        <v>0.201611133455658</v>
      </c>
      <c r="J106" s="34" t="str">
        <f aca="false">IF(AND(ISNUMBER(H106),ISNUMBER(H$109)),IF(H106&gt;H$109,"Above",IF(H106&lt;H$109,"Below","At")),"-")</f>
        <v>Below</v>
      </c>
      <c r="K106" s="34" t="str">
        <f aca="false">IF(J106="Above","Better",IF(J106="Below","Weaker","-"))</f>
        <v>Weaker</v>
      </c>
      <c r="L106" s="34" t="n">
        <f aca="false">IF(ISNUMBER(H106),RANK(H106,H$97:H$106,0),"-")</f>
        <v>6</v>
      </c>
      <c r="N106" s="34" t="str">
        <f aca="false">IF(AND(ISNUMBER(I106),ISNUMBER(I$109)),IF(I106&gt;I$109,"Above",IF(I106&lt;I$109,"Below","At")),"-")</f>
        <v>Below</v>
      </c>
      <c r="O106" s="34" t="str">
        <f aca="false">IF(N106="Above","Better",IF(N106="Below","Weaker","-"))</f>
        <v>Weaker</v>
      </c>
    </row>
    <row r="107" customFormat="false" ht="15" hidden="false" customHeight="false" outlineLevel="0" collapsed="false">
      <c r="A107" s="12" t="s">
        <v>176</v>
      </c>
      <c r="B107" s="21" t="n">
        <f aca="false">Industry!D84</f>
        <v>0.818181951148165</v>
      </c>
      <c r="C107" s="21" t="n">
        <f aca="false">Industry!E84</f>
        <v>0.383321686098466</v>
      </c>
      <c r="D107" s="21" t="n">
        <f aca="false">Industry!F84</f>
        <v>0.431846727888402</v>
      </c>
      <c r="E107" s="21" t="n">
        <f aca="false">Industry!G84</f>
        <v>0.561616180636067</v>
      </c>
      <c r="F107" s="21" t="n">
        <f aca="false">Industry!H84</f>
        <v>0.375935786174463</v>
      </c>
      <c r="G107" s="21" t="n">
        <f aca="false">Industry!I84</f>
        <v>0.698949910358201</v>
      </c>
      <c r="H107" s="21" t="n">
        <f aca="false">Industry!J84</f>
        <v>0.633572757602369</v>
      </c>
      <c r="I107" s="21" t="n">
        <f aca="false">Industry!K84</f>
        <v>0.557632142843733</v>
      </c>
    </row>
    <row r="108" customFormat="false" ht="15" hidden="false" customHeight="false" outlineLevel="0" collapsed="false">
      <c r="A108" s="35" t="s">
        <v>177</v>
      </c>
      <c r="B108" s="37" t="n">
        <f aca="false">IFERROR(AVERAGE(B97:B106),"N/M")</f>
        <v>0.489980067165642</v>
      </c>
      <c r="C108" s="37" t="n">
        <f aca="false">IFERROR(AVERAGE(C97:C106),"N/M")</f>
        <v>0.554875372459895</v>
      </c>
      <c r="D108" s="37" t="n">
        <f aca="false">IFERROR(AVERAGE(D97:D106),"N/M")</f>
        <v>0.534158351947454</v>
      </c>
      <c r="E108" s="37" t="n">
        <f aca="false">IFERROR(AVERAGE(E97:E106),"N/M")</f>
        <v>0.341131188015541</v>
      </c>
      <c r="F108" s="37" t="n">
        <f aca="false">IFERROR(AVERAGE(F97:F106),"N/M")</f>
        <v>0.285583180423326</v>
      </c>
      <c r="G108" s="37" t="n">
        <f aca="false">IFERROR(AVERAGE(G97:G106),"N/M")</f>
        <v>0.374436839607583</v>
      </c>
      <c r="H108" s="37" t="n">
        <f aca="false">IFERROR(AVERAGE(H97:H106),"N/M")</f>
        <v>0.339682631685694</v>
      </c>
      <c r="I108" s="37" t="n">
        <f aca="false">IFERROR(AVERAGE(I97:I106),"N/M")</f>
        <v>0.417121090186448</v>
      </c>
    </row>
    <row r="109" customFormat="false" ht="15" hidden="false" customHeight="false" outlineLevel="0" collapsed="false">
      <c r="A109" s="35" t="s">
        <v>178</v>
      </c>
      <c r="B109" s="37" t="n">
        <f aca="false">IFERROR(MEDIAN(B97:B106),"N/M")</f>
        <v>0.259145926225921</v>
      </c>
      <c r="C109" s="37" t="n">
        <f aca="false">IFERROR(MEDIAN(C97:C106),"N/M")</f>
        <v>0.499211588596417</v>
      </c>
      <c r="D109" s="37" t="n">
        <f aca="false">IFERROR(MEDIAN(D97:D106),"N/M")</f>
        <v>0.553327675183942</v>
      </c>
      <c r="E109" s="37" t="n">
        <f aca="false">IFERROR(MEDIAN(E97:E106),"N/M")</f>
        <v>0.525509906685301</v>
      </c>
      <c r="F109" s="37" t="n">
        <f aca="false">IFERROR(MEDIAN(F97:F106),"N/M")</f>
        <v>0.216719382593769</v>
      </c>
      <c r="G109" s="37" t="n">
        <f aca="false">IFERROR(MEDIAN(G97:G106),"N/M")</f>
        <v>0.469058993721492</v>
      </c>
      <c r="H109" s="37" t="n">
        <f aca="false">IFERROR(MEDIAN(H97:H106),"N/M")</f>
        <v>0.217097248806742</v>
      </c>
      <c r="I109" s="37" t="n">
        <f aca="false">IFERROR(MEDIAN(I97:I106),"N/M")</f>
        <v>0.266556491650095</v>
      </c>
    </row>
    <row r="110" customFormat="false" ht="15" hidden="false" customHeight="false" outlineLevel="0" collapsed="false">
      <c r="A110" s="35" t="s">
        <v>179</v>
      </c>
      <c r="B110" s="37" t="n">
        <f aca="false">IFERROR(STDEV(B97:B106),"N/M")</f>
        <v>0.83351076323969</v>
      </c>
      <c r="C110" s="37" t="n">
        <f aca="false">IFERROR(STDEV(C97:C106),"N/M")</f>
        <v>0.370343771541919</v>
      </c>
      <c r="D110" s="37" t="n">
        <f aca="false">IFERROR(STDEV(D97:D106),"N/M")</f>
        <v>0.482676853903959</v>
      </c>
      <c r="E110" s="37" t="n">
        <f aca="false">IFERROR(STDEV(E97:E106),"N/M")</f>
        <v>0.710393136906096</v>
      </c>
      <c r="F110" s="37" t="n">
        <f aca="false">IFERROR(STDEV(F97:F106),"N/M")</f>
        <v>0.569881393781335</v>
      </c>
      <c r="G110" s="37" t="n">
        <f aca="false">IFERROR(STDEV(G97:G106),"N/M")</f>
        <v>0.594284163360338</v>
      </c>
      <c r="H110" s="37" t="n">
        <f aca="false">IFERROR(STDEV(H97:H106),"N/M")</f>
        <v>0.461649061559786</v>
      </c>
      <c r="I110" s="37" t="n">
        <f aca="false">IFERROR(STDEV(I97:I106),"N/M")</f>
        <v>0.438067046187131</v>
      </c>
    </row>
    <row r="111" customFormat="false" ht="15" hidden="false" customHeight="false" outlineLevel="0" collapsed="false">
      <c r="A111" s="35" t="s">
        <v>102</v>
      </c>
      <c r="B111" s="37" t="n">
        <f aca="false">IFERROR(MIN(B97:B106),"N/M")</f>
        <v>-0.610374414976599</v>
      </c>
      <c r="C111" s="37" t="n">
        <f aca="false">IFERROR(MIN(C97:C106),"N/M")</f>
        <v>0.111238176199922</v>
      </c>
      <c r="D111" s="37" t="n">
        <f aca="false">IFERROR(MIN(D97:D106),"N/M")</f>
        <v>-0.290030211480363</v>
      </c>
      <c r="E111" s="37" t="n">
        <f aca="false">IFERROR(MIN(E97:E106),"N/M")</f>
        <v>-1.26536585365854</v>
      </c>
      <c r="F111" s="37" t="n">
        <f aca="false">IFERROR(MIN(F97:F106),"N/M")</f>
        <v>-0.830516658619025</v>
      </c>
      <c r="G111" s="37" t="n">
        <f aca="false">IFERROR(MIN(G97:G106),"N/M")</f>
        <v>-0.790960451977401</v>
      </c>
      <c r="H111" s="37" t="n">
        <f aca="false">IFERROR(MIN(H97:H106),"N/M")</f>
        <v>-0.339237581825183</v>
      </c>
      <c r="I111" s="37" t="n">
        <f aca="false">IFERROR(MIN(I97:I106),"N/M")</f>
        <v>-0.114148685885126</v>
      </c>
    </row>
    <row r="112" customFormat="false" ht="15" hidden="false" customHeight="false" outlineLevel="0" collapsed="false">
      <c r="A112" s="35" t="s">
        <v>103</v>
      </c>
      <c r="B112" s="37" t="n">
        <f aca="false">IFERROR(MAX(B97:B106),"N/M")</f>
        <v>2.56224815563235</v>
      </c>
      <c r="C112" s="37" t="n">
        <f aca="false">IFERROR(MAX(C97:C106),"N/M")</f>
        <v>1.1218614240483</v>
      </c>
      <c r="D112" s="37" t="n">
        <f aca="false">IFERROR(MAX(D97:D106),"N/M")</f>
        <v>1.22457739917476</v>
      </c>
      <c r="E112" s="37" t="n">
        <f aca="false">IFERROR(MAX(E97:E106),"N/M")</f>
        <v>1.17376729048007</v>
      </c>
      <c r="F112" s="37" t="n">
        <f aca="false">IFERROR(MAX(F97:F106),"N/M")</f>
        <v>1.08795298726739</v>
      </c>
      <c r="G112" s="37" t="n">
        <f aca="false">IFERROR(MAX(G97:G106),"N/M")</f>
        <v>1.38660336698155</v>
      </c>
      <c r="H112" s="37" t="n">
        <f aca="false">IFERROR(MAX(H97:H106),"N/M")</f>
        <v>1.16815881972794</v>
      </c>
      <c r="I112" s="37" t="n">
        <f aca="false">IFERROR(MAX(I97:I106),"N/M")</f>
        <v>1.25136673931234</v>
      </c>
    </row>
    <row r="114" customFormat="false" ht="15" hidden="false" customHeight="false" outlineLevel="0" collapsed="false">
      <c r="A114" s="16" t="s">
        <v>185</v>
      </c>
      <c r="B114" s="17"/>
      <c r="C114" s="17"/>
      <c r="D114" s="17"/>
      <c r="E114" s="17"/>
      <c r="F114" s="17"/>
      <c r="G114" s="17"/>
      <c r="H114" s="17"/>
      <c r="I114" s="17"/>
      <c r="J114" s="17"/>
      <c r="K114" s="17"/>
      <c r="L114" s="17"/>
      <c r="M114" s="17"/>
    </row>
    <row r="115" customFormat="false" ht="15" hidden="false" customHeight="false" outlineLevel="0" collapsed="false">
      <c r="A115" s="18" t="s">
        <v>110</v>
      </c>
      <c r="B115" s="20" t="n">
        <f aca="false">Tiger!D87</f>
        <v>0.695825426944972</v>
      </c>
      <c r="C115" s="20" t="n">
        <f aca="false">Tiger!E87</f>
        <v>0.356360171510243</v>
      </c>
      <c r="D115" s="20" t="n">
        <f aca="false">Tiger!F87</f>
        <v>0</v>
      </c>
      <c r="E115" s="20" t="n">
        <f aca="false">Tiger!G87</f>
        <v>0</v>
      </c>
      <c r="F115" s="20" t="n">
        <f aca="false">Tiger!H87</f>
        <v>0.108634846160787</v>
      </c>
      <c r="G115" s="20" t="n">
        <f aca="false">Tiger!I87</f>
        <v>0.248590021691974</v>
      </c>
      <c r="H115" s="20" t="n">
        <f aca="false">Tiger!J87</f>
        <v>0.316914614326791</v>
      </c>
      <c r="I115" s="21" t="n">
        <f aca="false">Tiger!K87</f>
        <v>0.246617868662109</v>
      </c>
      <c r="J115" s="34" t="str">
        <f aca="false">IF(AND(ISNUMBER(H115),ISNUMBER(H$127)),IF(H115&gt;H$127,"Above",IF(H115&lt;H$127,"Below","At")),"-")</f>
        <v>Below</v>
      </c>
      <c r="K115" s="34" t="str">
        <f aca="false">IF(J115="Below","Better",IF(J115="Above","Weaker","-"))</f>
        <v>Better</v>
      </c>
      <c r="L115" s="34" t="n">
        <f aca="false">IF(ISNUMBER(H115),RANK(H115,H$115:H$124,1),"-")</f>
        <v>4</v>
      </c>
      <c r="N115" s="34" t="str">
        <f aca="false">IF(AND(ISNUMBER(I115),ISNUMBER(I$127)),IF(I115&gt;I$127,"Above",IF(I115&lt;I$127,"Below","At")),"-")</f>
        <v>Below</v>
      </c>
      <c r="O115" s="34" t="str">
        <f aca="false">IF(N115="Below","Better",IF(N115="Above","Weaker","-"))</f>
        <v>Better</v>
      </c>
    </row>
    <row r="116" customFormat="false" ht="15" hidden="false" customHeight="false" outlineLevel="0" collapsed="false">
      <c r="A116" s="18" t="s">
        <v>111</v>
      </c>
      <c r="B116" s="20" t="n">
        <f aca="false">Allcargo!D87</f>
        <v>0.7472340028895</v>
      </c>
      <c r="C116" s="20" t="n">
        <f aca="false">Allcargo!E87</f>
        <v>0.904459742329891</v>
      </c>
      <c r="D116" s="20" t="n">
        <f aca="false">Allcargo!F87</f>
        <v>0.732917742017105</v>
      </c>
      <c r="E116" s="20" t="n">
        <f aca="false">Allcargo!G87</f>
        <v>0.419121461719411</v>
      </c>
      <c r="F116" s="20" t="n">
        <f aca="false">Allcargo!H87</f>
        <v>0.73212168319698</v>
      </c>
      <c r="G116" s="20" t="n">
        <f aca="false">Allcargo!I87</f>
        <v>1.38967971530249</v>
      </c>
      <c r="H116" s="20" t="n">
        <f aca="false">Allcargo!J87</f>
        <v>1.20731707317073</v>
      </c>
      <c r="I116" s="21" t="n">
        <f aca="false">Allcargo!K87</f>
        <v>0.876121631518016</v>
      </c>
      <c r="J116" s="34" t="str">
        <f aca="false">IF(AND(ISNUMBER(H116),ISNUMBER(H$127)),IF(H116&gt;H$127,"Above",IF(H116&lt;H$127,"Below","At")),"-")</f>
        <v>Above</v>
      </c>
      <c r="K116" s="34" t="str">
        <f aca="false">IF(J116="Below","Better",IF(J116="Above","Weaker","-"))</f>
        <v>Weaker</v>
      </c>
      <c r="L116" s="34" t="n">
        <f aca="false">IF(ISNUMBER(H116),RANK(H116,H$115:H$124,1),"-")</f>
        <v>9</v>
      </c>
      <c r="N116" s="34" t="str">
        <f aca="false">IF(AND(ISNUMBER(I116),ISNUMBER(I$127)),IF(I116&gt;I$127,"Above",IF(I116&lt;I$127,"Below","At")),"-")</f>
        <v>Below</v>
      </c>
      <c r="O116" s="34" t="str">
        <f aca="false">IF(N116="Below","Better",IF(N116="Above","Weaker","-"))</f>
        <v>Better</v>
      </c>
    </row>
    <row r="117" customFormat="false" ht="15" hidden="false" customHeight="false" outlineLevel="0" collapsed="false">
      <c r="A117" s="18" t="s">
        <v>112</v>
      </c>
      <c r="B117" s="20" t="n">
        <f aca="false">BlueDart!D87</f>
        <v>1.07980359798708</v>
      </c>
      <c r="C117" s="20" t="n">
        <f aca="false">BlueDart!E87</f>
        <v>2.57137306574769</v>
      </c>
      <c r="D117" s="20" t="n">
        <f aca="false">BlueDart!F87</f>
        <v>1.22242227548481</v>
      </c>
      <c r="E117" s="20" t="n">
        <f aca="false">BlueDart!G87</f>
        <v>0.949625284004205</v>
      </c>
      <c r="F117" s="20" t="n">
        <f aca="false">BlueDart!H87</f>
        <v>0.784738932324998</v>
      </c>
      <c r="G117" s="20" t="n">
        <f aca="false">BlueDart!I87</f>
        <v>0.645903889573071</v>
      </c>
      <c r="H117" s="20" t="n">
        <f aca="false">BlueDart!J87</f>
        <v>0.642661368842264</v>
      </c>
      <c r="I117" s="21" t="n">
        <f aca="false">BlueDart!K87</f>
        <v>1.12807548770916</v>
      </c>
      <c r="J117" s="34" t="str">
        <f aca="false">IF(AND(ISNUMBER(H117),ISNUMBER(H$127)),IF(H117&gt;H$127,"Above",IF(H117&lt;H$127,"Below","At")),"-")</f>
        <v>Above</v>
      </c>
      <c r="K117" s="34" t="str">
        <f aca="false">IF(J117="Below","Better",IF(J117="Above","Weaker","-"))</f>
        <v>Weaker</v>
      </c>
      <c r="L117" s="34" t="n">
        <f aca="false">IF(ISNUMBER(H117),RANK(H117,H$115:H$124,1),"-")</f>
        <v>6</v>
      </c>
      <c r="N117" s="34" t="str">
        <f aca="false">IF(AND(ISNUMBER(I117),ISNUMBER(I$127)),IF(I117&gt;I$127,"Above",IF(I117&lt;I$127,"Below","At")),"-")</f>
        <v>Above</v>
      </c>
      <c r="O117" s="34" t="str">
        <f aca="false">IF(N117="Below","Better",IF(N117="Above","Weaker","-"))</f>
        <v>Weaker</v>
      </c>
    </row>
    <row r="118" customFormat="false" ht="15" hidden="false" customHeight="false" outlineLevel="0" collapsed="false">
      <c r="A118" s="18" t="s">
        <v>67</v>
      </c>
      <c r="B118" s="20" t="n">
        <f aca="false">CONCOR!D87</f>
        <v>0.00696787808204179</v>
      </c>
      <c r="C118" s="20" t="n">
        <f aca="false">CONCOR!E87</f>
        <v>0.0709641257806319</v>
      </c>
      <c r="D118" s="20" t="n">
        <f aca="false">CONCOR!F87</f>
        <v>0.0683628452287424</v>
      </c>
      <c r="E118" s="20" t="n">
        <f aca="false">CONCOR!G87</f>
        <v>0.0693602279701729</v>
      </c>
      <c r="F118" s="20" t="n">
        <f aca="false">CONCOR!H87</f>
        <v>0.0793946821548463</v>
      </c>
      <c r="G118" s="20" t="n">
        <f aca="false">CONCOR!I87</f>
        <v>0.0695766088974968</v>
      </c>
      <c r="H118" s="20" t="n">
        <f aca="false">CONCOR!J87</f>
        <v>0.0745281961931179</v>
      </c>
      <c r="I118" s="21" t="n">
        <f aca="false">CONCOR!K87</f>
        <v>0.0627363663295786</v>
      </c>
      <c r="J118" s="34" t="str">
        <f aca="false">IF(AND(ISNUMBER(H118),ISNUMBER(H$127)),IF(H118&gt;H$127,"Above",IF(H118&lt;H$127,"Below","At")),"-")</f>
        <v>Below</v>
      </c>
      <c r="K118" s="34" t="str">
        <f aca="false">IF(J118="Below","Better",IF(J118="Above","Weaker","-"))</f>
        <v>Better</v>
      </c>
      <c r="L118" s="34" t="n">
        <f aca="false">IF(ISNUMBER(H118),RANK(H118,H$115:H$124,1),"-")</f>
        <v>2</v>
      </c>
      <c r="N118" s="34" t="str">
        <f aca="false">IF(AND(ISNUMBER(I118),ISNUMBER(I$127)),IF(I118&gt;I$127,"Above",IF(I118&lt;I$127,"Below","At")),"-")</f>
        <v>Below</v>
      </c>
      <c r="O118" s="34" t="str">
        <f aca="false">IF(N118="Below","Better",IF(N118="Above","Weaker","-"))</f>
        <v>Better</v>
      </c>
    </row>
    <row r="119" customFormat="false" ht="15" hidden="false" customHeight="false" outlineLevel="0" collapsed="false">
      <c r="A119" s="18" t="s">
        <v>113</v>
      </c>
      <c r="B119" s="20" t="n">
        <f aca="false">JetFreight!D87</f>
        <v>2.15990730011588</v>
      </c>
      <c r="C119" s="20" t="n">
        <f aca="false">JetFreight!E87</f>
        <v>1.44310264746865</v>
      </c>
      <c r="D119" s="20" t="n">
        <f aca="false">JetFreight!F87</f>
        <v>2.0201066885515</v>
      </c>
      <c r="E119" s="20" t="n">
        <f aca="false">JetFreight!G87</f>
        <v>0.977988431876607</v>
      </c>
      <c r="F119" s="20" t="n">
        <f aca="false">JetFreight!H87</f>
        <v>0.893085787451985</v>
      </c>
      <c r="G119" s="20" t="n">
        <f aca="false">JetFreight!I87</f>
        <v>0.97381565006811</v>
      </c>
      <c r="H119" s="20" t="n">
        <f aca="false">JetFreight!J87</f>
        <v>1.01758483308147</v>
      </c>
      <c r="I119" s="21" t="n">
        <f aca="false">JetFreight!K87</f>
        <v>1.35508447694488</v>
      </c>
      <c r="J119" s="34" t="str">
        <f aca="false">IF(AND(ISNUMBER(H119),ISNUMBER(H$127)),IF(H119&gt;H$127,"Above",IF(H119&lt;H$127,"Below","At")),"-")</f>
        <v>Above</v>
      </c>
      <c r="K119" s="34" t="str">
        <f aca="false">IF(J119="Below","Better",IF(J119="Above","Weaker","-"))</f>
        <v>Weaker</v>
      </c>
      <c r="L119" s="34" t="n">
        <f aca="false">IF(ISNUMBER(H119),RANK(H119,H$115:H$124,1),"-")</f>
        <v>8</v>
      </c>
      <c r="N119" s="34" t="str">
        <f aca="false">IF(AND(ISNUMBER(I119),ISNUMBER(I$127)),IF(I119&gt;I$127,"Above",IF(I119&lt;I$127,"Below","At")),"-")</f>
        <v>Above</v>
      </c>
      <c r="O119" s="34" t="str">
        <f aca="false">IF(N119="Below","Better",IF(N119="Above","Weaker","-"))</f>
        <v>Weaker</v>
      </c>
    </row>
    <row r="120" customFormat="false" ht="15" hidden="false" customHeight="false" outlineLevel="0" collapsed="false">
      <c r="A120" s="18" t="s">
        <v>114</v>
      </c>
      <c r="B120" s="20" t="n">
        <f aca="false">Patel!D87</f>
        <v>0.510123498277745</v>
      </c>
      <c r="C120" s="20" t="n">
        <f aca="false">Patel!E87</f>
        <v>0.529240267535586</v>
      </c>
      <c r="D120" s="20" t="n">
        <f aca="false">Patel!F87</f>
        <v>0.409176189663995</v>
      </c>
      <c r="E120" s="20" t="n">
        <f aca="false">Patel!G87</f>
        <v>0.265613051236299</v>
      </c>
      <c r="F120" s="20" t="n">
        <f aca="false">Patel!H87</f>
        <v>0.202128551076846</v>
      </c>
      <c r="G120" s="20" t="n">
        <f aca="false">Patel!I87</f>
        <v>0.107430544139405</v>
      </c>
      <c r="H120" s="20" t="n">
        <f aca="false">Patel!J87</f>
        <v>0.0506800518134715</v>
      </c>
      <c r="I120" s="21" t="n">
        <f aca="false">Patel!K87</f>
        <v>0.296341736249049</v>
      </c>
      <c r="J120" s="34" t="str">
        <f aca="false">IF(AND(ISNUMBER(H120),ISNUMBER(H$127)),IF(H120&gt;H$127,"Above",IF(H120&lt;H$127,"Below","At")),"-")</f>
        <v>Below</v>
      </c>
      <c r="K120" s="34" t="str">
        <f aca="false">IF(J120="Below","Better",IF(J120="Above","Weaker","-"))</f>
        <v>Better</v>
      </c>
      <c r="L120" s="34" t="n">
        <f aca="false">IF(ISNUMBER(H120),RANK(H120,H$115:H$124,1),"-")</f>
        <v>1</v>
      </c>
      <c r="N120" s="34" t="str">
        <f aca="false">IF(AND(ISNUMBER(I120),ISNUMBER(I$127)),IF(I120&gt;I$127,"Above",IF(I120&lt;I$127,"Below","At")),"-")</f>
        <v>Below</v>
      </c>
      <c r="O120" s="34" t="str">
        <f aca="false">IF(N120="Below","Better",IF(N120="Above","Weaker","-"))</f>
        <v>Better</v>
      </c>
    </row>
    <row r="121" customFormat="false" ht="15" hidden="false" customHeight="false" outlineLevel="0" collapsed="false">
      <c r="A121" s="18" t="s">
        <v>115</v>
      </c>
      <c r="B121" s="20" t="n">
        <f aca="false">Sical!D87</f>
        <v>2.60168802115111</v>
      </c>
      <c r="C121" s="20" t="str">
        <f aca="false">Sical!E87</f>
        <v>N/M</v>
      </c>
      <c r="D121" s="20" t="str">
        <f aca="false">Sical!F87</f>
        <v>N/M</v>
      </c>
      <c r="E121" s="20" t="n">
        <f aca="false">Sical!G87</f>
        <v>9.03344544095665</v>
      </c>
      <c r="F121" s="20" t="n">
        <f aca="false">Sical!H87</f>
        <v>17.6619080779944</v>
      </c>
      <c r="G121" s="20" t="str">
        <f aca="false">Sical!I87</f>
        <v>N/M</v>
      </c>
      <c r="H121" s="20" t="n">
        <f aca="false">Sical!J87</f>
        <v>3.69449310686267</v>
      </c>
      <c r="I121" s="21" t="n">
        <f aca="false">Sical!K87</f>
        <v>8.24788366174122</v>
      </c>
      <c r="J121" s="34" t="str">
        <f aca="false">IF(AND(ISNUMBER(H121),ISNUMBER(H$127)),IF(H121&gt;H$127,"Above",IF(H121&lt;H$127,"Below","At")),"-")</f>
        <v>Above</v>
      </c>
      <c r="K121" s="34" t="str">
        <f aca="false">IF(J121="Below","Better",IF(J121="Above","Weaker","-"))</f>
        <v>Weaker</v>
      </c>
      <c r="L121" s="34" t="n">
        <f aca="false">IF(ISNUMBER(H121),RANK(H121,H$115:H$124,1),"-")</f>
        <v>10</v>
      </c>
      <c r="N121" s="34" t="str">
        <f aca="false">IF(AND(ISNUMBER(I121),ISNUMBER(I$127)),IF(I121&gt;I$127,"Above",IF(I121&lt;I$127,"Below","At")),"-")</f>
        <v>Above</v>
      </c>
      <c r="O121" s="34" t="str">
        <f aca="false">IF(N121="Below","Better",IF(N121="Above","Weaker","-"))</f>
        <v>Weaker</v>
      </c>
    </row>
    <row r="122" customFormat="false" ht="15" hidden="false" customHeight="false" outlineLevel="0" collapsed="false">
      <c r="A122" s="18" t="s">
        <v>86</v>
      </c>
      <c r="B122" s="20" t="n">
        <f aca="false">TCI!D87</f>
        <v>0.41220248268857</v>
      </c>
      <c r="C122" s="20" t="n">
        <f aca="false">TCI!E87</f>
        <v>0.254319446700464</v>
      </c>
      <c r="D122" s="20" t="n">
        <f aca="false">TCI!F87</f>
        <v>0.0672805324831502</v>
      </c>
      <c r="E122" s="20" t="n">
        <f aca="false">TCI!G87</f>
        <v>0.0539843341422855</v>
      </c>
      <c r="F122" s="20" t="n">
        <f aca="false">TCI!H87</f>
        <v>0.0966553882085217</v>
      </c>
      <c r="G122" s="20" t="n">
        <f aca="false">TCI!I87</f>
        <v>0.112245040027845</v>
      </c>
      <c r="H122" s="20" t="n">
        <f aca="false">TCI!J87</f>
        <v>0.121746382487851</v>
      </c>
      <c r="I122" s="21" t="n">
        <f aca="false">TCI!K87</f>
        <v>0.159776229534098</v>
      </c>
      <c r="J122" s="34" t="str">
        <f aca="false">IF(AND(ISNUMBER(H122),ISNUMBER(H$127)),IF(H122&gt;H$127,"Above",IF(H122&lt;H$127,"Below","At")),"-")</f>
        <v>Below</v>
      </c>
      <c r="K122" s="34" t="str">
        <f aca="false">IF(J122="Below","Better",IF(J122="Above","Weaker","-"))</f>
        <v>Better</v>
      </c>
      <c r="L122" s="34" t="n">
        <f aca="false">IF(ISNUMBER(H122),RANK(H122,H$115:H$124,1),"-")</f>
        <v>3</v>
      </c>
      <c r="N122" s="34" t="str">
        <f aca="false">IF(AND(ISNUMBER(I122),ISNUMBER(I$127)),IF(I122&gt;I$127,"Above",IF(I122&lt;I$127,"Below","At")),"-")</f>
        <v>Below</v>
      </c>
      <c r="O122" s="34" t="str">
        <f aca="false">IF(N122="Below","Better",IF(N122="Above","Weaker","-"))</f>
        <v>Better</v>
      </c>
    </row>
    <row r="123" customFormat="false" ht="15" hidden="false" customHeight="false" outlineLevel="0" collapsed="false">
      <c r="A123" s="18" t="s">
        <v>116</v>
      </c>
      <c r="B123" s="20" t="n">
        <f aca="false">Shreeji!D87</f>
        <v>1.80316831683168</v>
      </c>
      <c r="C123" s="20" t="n">
        <f aca="false">Shreeji!E87</f>
        <v>1.96523178807947</v>
      </c>
      <c r="D123" s="20" t="n">
        <f aca="false">Shreeji!F87</f>
        <v>1.39663760896638</v>
      </c>
      <c r="E123" s="20" t="n">
        <f aca="false">Shreeji!G87</f>
        <v>1.12643959813771</v>
      </c>
      <c r="F123" s="20" t="n">
        <f aca="false">Shreeji!H87</f>
        <v>0.835746201966041</v>
      </c>
      <c r="G123" s="20" t="n">
        <f aca="false">Shreeji!I87</f>
        <v>0.731947868967947</v>
      </c>
      <c r="H123" s="20" t="n">
        <f aca="false">Shreeji!J87</f>
        <v>0.666611212776576</v>
      </c>
      <c r="I123" s="21" t="n">
        <f aca="false">Shreeji!K87</f>
        <v>1.21796894224654</v>
      </c>
      <c r="J123" s="34" t="str">
        <f aca="false">IF(AND(ISNUMBER(H123),ISNUMBER(H$127)),IF(H123&gt;H$127,"Above",IF(H123&lt;H$127,"Below","At")),"-")</f>
        <v>Above</v>
      </c>
      <c r="K123" s="34" t="str">
        <f aca="false">IF(J123="Below","Better",IF(J123="Above","Weaker","-"))</f>
        <v>Weaker</v>
      </c>
      <c r="L123" s="34" t="n">
        <f aca="false">IF(ISNUMBER(H123),RANK(H123,H$115:H$124,1),"-")</f>
        <v>7</v>
      </c>
      <c r="N123" s="34" t="str">
        <f aca="false">IF(AND(ISNUMBER(I123),ISNUMBER(I$127)),IF(I123&gt;I$127,"Above",IF(I123&lt;I$127,"Below","At")),"-")</f>
        <v>Above</v>
      </c>
      <c r="O123" s="34" t="str">
        <f aca="false">IF(N123="Below","Better",IF(N123="Above","Weaker","-"))</f>
        <v>Weaker</v>
      </c>
    </row>
    <row r="124" customFormat="false" ht="15" hidden="false" customHeight="false" outlineLevel="0" collapsed="false">
      <c r="A124" s="18" t="s">
        <v>117</v>
      </c>
      <c r="B124" s="20" t="n">
        <f aca="false">MahindraLog!D87</f>
        <v>0.369595152850454</v>
      </c>
      <c r="C124" s="20" t="n">
        <f aca="false">MahindraLog!E87</f>
        <v>0.474386508467416</v>
      </c>
      <c r="D124" s="20" t="n">
        <f aca="false">MahindraLog!F87</f>
        <v>0.736385595081247</v>
      </c>
      <c r="E124" s="20" t="n">
        <f aca="false">MahindraLog!G87</f>
        <v>1.48494667687432</v>
      </c>
      <c r="F124" s="20" t="n">
        <f aca="false">MahindraLog!H87</f>
        <v>1.50118788961764</v>
      </c>
      <c r="G124" s="20" t="n">
        <f aca="false">MahindraLog!I87</f>
        <v>1.98405955969672</v>
      </c>
      <c r="H124" s="20" t="n">
        <f aca="false">MahindraLog!J87</f>
        <v>0.553082279235261</v>
      </c>
      <c r="I124" s="21" t="n">
        <f aca="false">MahindraLog!K87</f>
        <v>1.01480623740329</v>
      </c>
      <c r="J124" s="34" t="str">
        <f aca="false">IF(AND(ISNUMBER(H124),ISNUMBER(H$127)),IF(H124&gt;H$127,"Above",IF(H124&lt;H$127,"Below","At")),"-")</f>
        <v>Below</v>
      </c>
      <c r="K124" s="34" t="str">
        <f aca="false">IF(J124="Below","Better",IF(J124="Above","Weaker","-"))</f>
        <v>Better</v>
      </c>
      <c r="L124" s="34" t="n">
        <f aca="false">IF(ISNUMBER(H124),RANK(H124,H$115:H$124,1),"-")</f>
        <v>5</v>
      </c>
      <c r="N124" s="34" t="str">
        <f aca="false">IF(AND(ISNUMBER(I124),ISNUMBER(I$127)),IF(I124&gt;I$127,"Above",IF(I124&lt;I$127,"Below","At")),"-")</f>
        <v>Above</v>
      </c>
      <c r="O124" s="34" t="str">
        <f aca="false">IF(N124="Below","Better",IF(N124="Above","Weaker","-"))</f>
        <v>Weaker</v>
      </c>
    </row>
    <row r="125" customFormat="false" ht="15" hidden="false" customHeight="false" outlineLevel="0" collapsed="false">
      <c r="A125" s="12" t="s">
        <v>176</v>
      </c>
      <c r="B125" s="21" t="n">
        <f aca="false">Industry!D87</f>
        <v>0.286562043068481</v>
      </c>
      <c r="C125" s="21" t="n">
        <f aca="false">Industry!E87</f>
        <v>0.439210877634976</v>
      </c>
      <c r="D125" s="21" t="n">
        <f aca="false">Industry!F87</f>
        <v>0.405732636546491</v>
      </c>
      <c r="E125" s="21" t="n">
        <f aca="false">Industry!G87</f>
        <v>0.259071887342371</v>
      </c>
      <c r="F125" s="21" t="n">
        <f aca="false">Industry!H87</f>
        <v>0.292522050543132</v>
      </c>
      <c r="G125" s="21" t="n">
        <f aca="false">Industry!I87</f>
        <v>0.258753277167223</v>
      </c>
      <c r="H125" s="21" t="n">
        <f aca="false">Industry!J87</f>
        <v>0.225607763190417</v>
      </c>
      <c r="I125" s="21" t="n">
        <f aca="false">Industry!K87</f>
        <v>0.309637219356156</v>
      </c>
    </row>
    <row r="126" customFormat="false" ht="15" hidden="false" customHeight="false" outlineLevel="0" collapsed="false">
      <c r="A126" s="35" t="s">
        <v>177</v>
      </c>
      <c r="B126" s="37" t="n">
        <f aca="false">IFERROR(AVERAGE(B115:B124),"N/M")</f>
        <v>1.0386515677819</v>
      </c>
      <c r="C126" s="37" t="n">
        <f aca="false">IFERROR(AVERAGE(C115:C124),"N/M")</f>
        <v>0.952159751513337</v>
      </c>
      <c r="D126" s="37" t="n">
        <f aca="false">IFERROR(AVERAGE(D115:D124),"N/M")</f>
        <v>0.739254386386325</v>
      </c>
      <c r="E126" s="37" t="n">
        <f aca="false">IFERROR(AVERAGE(E115:E124),"N/M")</f>
        <v>1.43805245069177</v>
      </c>
      <c r="F126" s="37" t="n">
        <f aca="false">IFERROR(AVERAGE(F115:F124),"N/M")</f>
        <v>2.28956020401531</v>
      </c>
      <c r="G126" s="37" t="n">
        <f aca="false">IFERROR(AVERAGE(G115:G124),"N/M")</f>
        <v>0.695916544262784</v>
      </c>
      <c r="H126" s="37" t="n">
        <f aca="false">IFERROR(AVERAGE(H115:H124),"N/M")</f>
        <v>0.83456191187902</v>
      </c>
      <c r="I126" s="37" t="n">
        <f aca="false">IFERROR(AVERAGE(I115:I124),"N/M")</f>
        <v>1.46054126383379</v>
      </c>
    </row>
    <row r="127" customFormat="false" ht="15" hidden="false" customHeight="false" outlineLevel="0" collapsed="false">
      <c r="A127" s="35" t="s">
        <v>178</v>
      </c>
      <c r="B127" s="37" t="n">
        <f aca="false">IFERROR(MEDIAN(B115:B124),"N/M")</f>
        <v>0.721529714917236</v>
      </c>
      <c r="C127" s="37" t="n">
        <f aca="false">IFERROR(MEDIAN(C115:C124),"N/M")</f>
        <v>0.529240267535586</v>
      </c>
      <c r="D127" s="37" t="n">
        <f aca="false">IFERROR(MEDIAN(D115:D124),"N/M")</f>
        <v>0.732917742017105</v>
      </c>
      <c r="E127" s="37" t="n">
        <f aca="false">IFERROR(MEDIAN(E115:E124),"N/M")</f>
        <v>0.684373372861808</v>
      </c>
      <c r="F127" s="37" t="n">
        <f aca="false">IFERROR(MEDIAN(F115:F124),"N/M")</f>
        <v>0.758430307760989</v>
      </c>
      <c r="G127" s="37" t="n">
        <f aca="false">IFERROR(MEDIAN(G115:G124),"N/M")</f>
        <v>0.645903889573071</v>
      </c>
      <c r="H127" s="37" t="n">
        <f aca="false">IFERROR(MEDIAN(H115:H124),"N/M")</f>
        <v>0.597871824038763</v>
      </c>
      <c r="I127" s="37" t="n">
        <f aca="false">IFERROR(MEDIAN(I115:I124),"N/M")</f>
        <v>0.945463934460655</v>
      </c>
    </row>
    <row r="128" customFormat="false" ht="15" hidden="false" customHeight="false" outlineLevel="0" collapsed="false">
      <c r="A128" s="35" t="s">
        <v>179</v>
      </c>
      <c r="B128" s="37" t="n">
        <f aca="false">IFERROR(STDEV(B115:B124),"N/M")</f>
        <v>0.861053539399464</v>
      </c>
      <c r="C128" s="37" t="n">
        <f aca="false">IFERROR(STDEV(C115:C124),"N/M")</f>
        <v>0.860018826050729</v>
      </c>
      <c r="D128" s="37" t="n">
        <f aca="false">IFERROR(STDEV(D115:D124),"N/M")</f>
        <v>0.6949215690855</v>
      </c>
      <c r="E128" s="37" t="n">
        <f aca="false">IFERROR(STDEV(E115:E124),"N/M")</f>
        <v>2.71844131446823</v>
      </c>
      <c r="F128" s="37" t="n">
        <f aca="false">IFERROR(STDEV(F115:F124),"N/M")</f>
        <v>5.42106895267285</v>
      </c>
      <c r="G128" s="37" t="n">
        <f aca="false">IFERROR(STDEV(G115:G124),"N/M")</f>
        <v>0.6615359145886</v>
      </c>
      <c r="H128" s="37" t="n">
        <f aca="false">IFERROR(STDEV(H115:H124),"N/M")</f>
        <v>1.07827542361038</v>
      </c>
      <c r="I128" s="37" t="n">
        <f aca="false">IFERROR(STDEV(I115:I124),"N/M")</f>
        <v>2.43272954973917</v>
      </c>
    </row>
    <row r="129" customFormat="false" ht="15" hidden="false" customHeight="false" outlineLevel="0" collapsed="false">
      <c r="A129" s="35" t="s">
        <v>102</v>
      </c>
      <c r="B129" s="37" t="n">
        <f aca="false">IFERROR(MIN(B115:B124),"N/M")</f>
        <v>0.00696787808204179</v>
      </c>
      <c r="C129" s="37" t="n">
        <f aca="false">IFERROR(MIN(C115:C124),"N/M")</f>
        <v>0.0709641257806319</v>
      </c>
      <c r="D129" s="37" t="n">
        <f aca="false">IFERROR(MIN(D115:D124),"N/M")</f>
        <v>0</v>
      </c>
      <c r="E129" s="37" t="n">
        <f aca="false">IFERROR(MIN(E115:E124),"N/M")</f>
        <v>0</v>
      </c>
      <c r="F129" s="37" t="n">
        <f aca="false">IFERROR(MIN(F115:F124),"N/M")</f>
        <v>0.0793946821548463</v>
      </c>
      <c r="G129" s="37" t="n">
        <f aca="false">IFERROR(MIN(G115:G124),"N/M")</f>
        <v>0.0695766088974968</v>
      </c>
      <c r="H129" s="37" t="n">
        <f aca="false">IFERROR(MIN(H115:H124),"N/M")</f>
        <v>0.0506800518134715</v>
      </c>
      <c r="I129" s="37" t="n">
        <f aca="false">IFERROR(MIN(I115:I124),"N/M")</f>
        <v>0.0627363663295786</v>
      </c>
    </row>
    <row r="130" customFormat="false" ht="15" hidden="false" customHeight="false" outlineLevel="0" collapsed="false">
      <c r="A130" s="35" t="s">
        <v>103</v>
      </c>
      <c r="B130" s="37" t="n">
        <f aca="false">IFERROR(MAX(B115:B124),"N/M")</f>
        <v>2.60168802115111</v>
      </c>
      <c r="C130" s="37" t="n">
        <f aca="false">IFERROR(MAX(C115:C124),"N/M")</f>
        <v>2.57137306574769</v>
      </c>
      <c r="D130" s="37" t="n">
        <f aca="false">IFERROR(MAX(D115:D124),"N/M")</f>
        <v>2.0201066885515</v>
      </c>
      <c r="E130" s="37" t="n">
        <f aca="false">IFERROR(MAX(E115:E124),"N/M")</f>
        <v>9.03344544095665</v>
      </c>
      <c r="F130" s="37" t="n">
        <f aca="false">IFERROR(MAX(F115:F124),"N/M")</f>
        <v>17.6619080779944</v>
      </c>
      <c r="G130" s="37" t="n">
        <f aca="false">IFERROR(MAX(G115:G124),"N/M")</f>
        <v>1.98405955969672</v>
      </c>
      <c r="H130" s="37" t="n">
        <f aca="false">IFERROR(MAX(H115:H124),"N/M")</f>
        <v>3.69449310686267</v>
      </c>
      <c r="I130" s="37" t="n">
        <f aca="false">IFERROR(MAX(I115:I124),"N/M")</f>
        <v>8.24788366174122</v>
      </c>
    </row>
    <row r="132" customFormat="false" ht="15" hidden="false" customHeight="false" outlineLevel="0" collapsed="false">
      <c r="A132" s="16" t="s">
        <v>186</v>
      </c>
      <c r="B132" s="17"/>
      <c r="C132" s="17"/>
      <c r="D132" s="17"/>
      <c r="E132" s="17"/>
      <c r="F132" s="17"/>
      <c r="G132" s="17"/>
      <c r="H132" s="17"/>
      <c r="I132" s="17"/>
      <c r="J132" s="17"/>
      <c r="K132" s="17"/>
      <c r="L132" s="17"/>
      <c r="M132" s="17"/>
    </row>
    <row r="133" customFormat="false" ht="15" hidden="false" customHeight="false" outlineLevel="0" collapsed="false">
      <c r="A133" s="18" t="s">
        <v>110</v>
      </c>
      <c r="B133" s="20" t="n">
        <f aca="false">Tiger!D88</f>
        <v>0.99449715370019</v>
      </c>
      <c r="C133" s="20" t="n">
        <f aca="false">Tiger!E88</f>
        <v>0.997379704621248</v>
      </c>
      <c r="D133" s="20" t="n">
        <f aca="false">Tiger!F88</f>
        <v>0.629047427112723</v>
      </c>
      <c r="E133" s="20" t="n">
        <f aca="false">Tiger!G88</f>
        <v>0.224111441155383</v>
      </c>
      <c r="F133" s="20" t="n">
        <f aca="false">Tiger!H88</f>
        <v>0.295497608950645</v>
      </c>
      <c r="G133" s="20" t="n">
        <f aca="false">Tiger!I88</f>
        <v>0.414967462039046</v>
      </c>
      <c r="H133" s="20" t="n">
        <f aca="false">Tiger!J88</f>
        <v>0.641580197524691</v>
      </c>
      <c r="I133" s="21" t="n">
        <f aca="false">Tiger!K88</f>
        <v>0.599582999300561</v>
      </c>
      <c r="J133" s="34" t="str">
        <f aca="false">IF(AND(ISNUMBER(H133),ISNUMBER(H$145)),IF(H133&gt;H$145,"Above",IF(H133&lt;H$145,"Below","At")),"-")</f>
        <v>Below</v>
      </c>
      <c r="K133" s="34" t="str">
        <f aca="false">IF(J133="Below","Better",IF(J133="Above","Weaker","-"))</f>
        <v>Better</v>
      </c>
      <c r="L133" s="34" t="n">
        <f aca="false">IF(ISNUMBER(H133),RANK(H133,H$133:H$142,1),"-")</f>
        <v>4</v>
      </c>
      <c r="N133" s="34" t="str">
        <f aca="false">IF(AND(ISNUMBER(I133),ISNUMBER(I$145)),IF(I133&gt;I$145,"Above",IF(I133&lt;I$145,"Below","At")),"-")</f>
        <v>Below</v>
      </c>
      <c r="O133" s="34" t="str">
        <f aca="false">IF(N133="Below","Better",IF(N133="Above","Weaker","-"))</f>
        <v>Better</v>
      </c>
    </row>
    <row r="134" customFormat="false" ht="15" hidden="false" customHeight="false" outlineLevel="0" collapsed="false">
      <c r="A134" s="18" t="s">
        <v>111</v>
      </c>
      <c r="B134" s="20" t="n">
        <f aca="false">Allcargo!D88</f>
        <v>1.47049447732675</v>
      </c>
      <c r="C134" s="20" t="n">
        <f aca="false">Allcargo!E88</f>
        <v>2.20260210024786</v>
      </c>
      <c r="D134" s="20" t="n">
        <f aca="false">Allcargo!F88</f>
        <v>2.03754870704924</v>
      </c>
      <c r="E134" s="20" t="n">
        <f aca="false">Allcargo!G88</f>
        <v>1.56939755953692</v>
      </c>
      <c r="F134" s="20" t="n">
        <f aca="false">Allcargo!H88</f>
        <v>1.84081328347141</v>
      </c>
      <c r="G134" s="20" t="n">
        <f aca="false">Allcargo!I88</f>
        <v>2.09786476868327</v>
      </c>
      <c r="H134" s="20" t="n">
        <f aca="false">Allcargo!J88</f>
        <v>2.02439024390244</v>
      </c>
      <c r="I134" s="21" t="n">
        <f aca="false">Allcargo!K88</f>
        <v>1.89187302003113</v>
      </c>
      <c r="J134" s="34" t="str">
        <f aca="false">IF(AND(ISNUMBER(H134),ISNUMBER(H$145)),IF(H134&gt;H$145,"Above",IF(H134&lt;H$145,"Below","At")),"-")</f>
        <v>Above</v>
      </c>
      <c r="K134" s="34" t="str">
        <f aca="false">IF(J134="Below","Better",IF(J134="Above","Weaker","-"))</f>
        <v>Weaker</v>
      </c>
      <c r="L134" s="34" t="n">
        <f aca="false">IF(ISNUMBER(H134),RANK(H134,H$133:H$142,1),"-")</f>
        <v>9</v>
      </c>
      <c r="N134" s="34" t="str">
        <f aca="false">IF(AND(ISNUMBER(I134),ISNUMBER(I$145)),IF(I134&gt;I$145,"Above",IF(I134&lt;I$145,"Below","At")),"-")</f>
        <v>Above</v>
      </c>
      <c r="O134" s="34" t="str">
        <f aca="false">IF(N134="Below","Better",IF(N134="Above","Weaker","-"))</f>
        <v>Weaker</v>
      </c>
    </row>
    <row r="135" customFormat="false" ht="15" hidden="false" customHeight="false" outlineLevel="0" collapsed="false">
      <c r="A135" s="18" t="s">
        <v>112</v>
      </c>
      <c r="B135" s="20" t="n">
        <f aca="false">BlueDart!D88</f>
        <v>4.38025385571379</v>
      </c>
      <c r="C135" s="20" t="n">
        <f aca="false">BlueDart!E88</f>
        <v>3.89463815122643</v>
      </c>
      <c r="D135" s="20" t="n">
        <f aca="false">BlueDart!F88</f>
        <v>2.24402802784436</v>
      </c>
      <c r="E135" s="20" t="n">
        <f aca="false">BlueDart!G88</f>
        <v>1.73240869476754</v>
      </c>
      <c r="F135" s="20" t="n">
        <f aca="false">BlueDart!H88</f>
        <v>1.53124840009654</v>
      </c>
      <c r="G135" s="20" t="n">
        <f aca="false">BlueDart!I88</f>
        <v>1.34936884236453</v>
      </c>
      <c r="H135" s="20" t="n">
        <f aca="false">BlueDart!J88</f>
        <v>1.32259135651694</v>
      </c>
      <c r="I135" s="21" t="n">
        <f aca="false">BlueDart!K88</f>
        <v>2.35064818979002</v>
      </c>
      <c r="J135" s="34" t="str">
        <f aca="false">IF(AND(ISNUMBER(H135),ISNUMBER(H$145)),IF(H135&gt;H$145,"Above",IF(H135&lt;H$145,"Below","At")),"-")</f>
        <v>Above</v>
      </c>
      <c r="K135" s="34" t="str">
        <f aca="false">IF(J135="Below","Better",IF(J135="Above","Weaker","-"))</f>
        <v>Weaker</v>
      </c>
      <c r="L135" s="34" t="n">
        <f aca="false">IF(ISNUMBER(H135),RANK(H135,H$133:H$142,1),"-")</f>
        <v>6</v>
      </c>
      <c r="N135" s="34" t="str">
        <f aca="false">IF(AND(ISNUMBER(I135),ISNUMBER(I$145)),IF(I135&gt;I$145,"Above",IF(I135&lt;I$145,"Below","At")),"-")</f>
        <v>Above</v>
      </c>
      <c r="O135" s="34" t="str">
        <f aca="false">IF(N135="Below","Better",IF(N135="Above","Weaker","-"))</f>
        <v>Weaker</v>
      </c>
    </row>
    <row r="136" customFormat="false" ht="15" hidden="false" customHeight="false" outlineLevel="0" collapsed="false">
      <c r="A136" s="18" t="s">
        <v>67</v>
      </c>
      <c r="B136" s="20" t="n">
        <f aca="false">CONCOR!D88</f>
        <v>0.173466320263585</v>
      </c>
      <c r="C136" s="20" t="n">
        <f aca="false">CONCOR!E88</f>
        <v>0.218232380443809</v>
      </c>
      <c r="D136" s="20" t="n">
        <f aca="false">CONCOR!F88</f>
        <v>0.2088884343432</v>
      </c>
      <c r="E136" s="20" t="n">
        <f aca="false">CONCOR!G88</f>
        <v>0.199449850036032</v>
      </c>
      <c r="F136" s="20" t="n">
        <f aca="false">CONCOR!H88</f>
        <v>0.187339140554892</v>
      </c>
      <c r="G136" s="20" t="n">
        <f aca="false">CONCOR!I88</f>
        <v>0.169269213808388</v>
      </c>
      <c r="H136" s="20" t="n">
        <f aca="false">CONCOR!J88</f>
        <v>0.172567578530947</v>
      </c>
      <c r="I136" s="21" t="n">
        <f aca="false">CONCOR!K88</f>
        <v>0.18988755971155</v>
      </c>
      <c r="J136" s="34" t="str">
        <f aca="false">IF(AND(ISNUMBER(H136),ISNUMBER(H$145)),IF(H136&gt;H$145,"Above",IF(H136&lt;H$145,"Below","At")),"-")</f>
        <v>Below</v>
      </c>
      <c r="K136" s="34" t="str">
        <f aca="false">IF(J136="Below","Better",IF(J136="Above","Weaker","-"))</f>
        <v>Better</v>
      </c>
      <c r="L136" s="34" t="n">
        <f aca="false">IF(ISNUMBER(H136),RANK(H136,H$133:H$142,1),"-")</f>
        <v>1</v>
      </c>
      <c r="N136" s="34" t="str">
        <f aca="false">IF(AND(ISNUMBER(I136),ISNUMBER(I$145)),IF(I136&gt;I$145,"Above",IF(I136&lt;I$145,"Below","At")),"-")</f>
        <v>Below</v>
      </c>
      <c r="O136" s="34" t="str">
        <f aca="false">IF(N136="Below","Better",IF(N136="Above","Weaker","-"))</f>
        <v>Better</v>
      </c>
    </row>
    <row r="137" customFormat="false" ht="15" hidden="false" customHeight="false" outlineLevel="0" collapsed="false">
      <c r="A137" s="18" t="s">
        <v>113</v>
      </c>
      <c r="B137" s="20" t="n">
        <f aca="false">JetFreight!D88</f>
        <v>4.08748551564311</v>
      </c>
      <c r="C137" s="20" t="n">
        <f aca="false">JetFreight!E88</f>
        <v>3.55968416163493</v>
      </c>
      <c r="D137" s="20" t="n">
        <f aca="false">JetFreight!F88</f>
        <v>3.51415675010258</v>
      </c>
      <c r="E137" s="20" t="n">
        <f aca="false">JetFreight!G88</f>
        <v>1.47204370179949</v>
      </c>
      <c r="F137" s="20" t="n">
        <f aca="false">JetFreight!H88</f>
        <v>1.72983354673496</v>
      </c>
      <c r="G137" s="20" t="n">
        <f aca="false">JetFreight!I88</f>
        <v>1.76116240351143</v>
      </c>
      <c r="H137" s="20" t="n">
        <f aca="false">JetFreight!J88</f>
        <v>1.66643769748592</v>
      </c>
      <c r="I137" s="21" t="n">
        <f aca="false">JetFreight!K88</f>
        <v>2.54154339670177</v>
      </c>
      <c r="J137" s="34" t="str">
        <f aca="false">IF(AND(ISNUMBER(H137),ISNUMBER(H$145)),IF(H137&gt;H$145,"Above",IF(H137&lt;H$145,"Below","At")),"-")</f>
        <v>Above</v>
      </c>
      <c r="K137" s="34" t="str">
        <f aca="false">IF(J137="Below","Better",IF(J137="Above","Weaker","-"))</f>
        <v>Weaker</v>
      </c>
      <c r="L137" s="34" t="n">
        <f aca="false">IF(ISNUMBER(H137),RANK(H137,H$133:H$142,1),"-")</f>
        <v>8</v>
      </c>
      <c r="N137" s="34" t="str">
        <f aca="false">IF(AND(ISNUMBER(I137),ISNUMBER(I$145)),IF(I137&gt;I$145,"Above",IF(I137&lt;I$145,"Below","At")),"-")</f>
        <v>Above</v>
      </c>
      <c r="O137" s="34" t="str">
        <f aca="false">IF(N137="Below","Better",IF(N137="Above","Weaker","-"))</f>
        <v>Weaker</v>
      </c>
    </row>
    <row r="138" customFormat="false" ht="15" hidden="false" customHeight="false" outlineLevel="0" collapsed="false">
      <c r="A138" s="18" t="s">
        <v>114</v>
      </c>
      <c r="B138" s="20" t="n">
        <f aca="false">Patel!D88</f>
        <v>0.725531378644039</v>
      </c>
      <c r="C138" s="20" t="n">
        <f aca="false">Patel!E88</f>
        <v>0.631795575373006</v>
      </c>
      <c r="D138" s="20" t="n">
        <f aca="false">Patel!F88</f>
        <v>0.526948661095003</v>
      </c>
      <c r="E138" s="20" t="n">
        <f aca="false">Patel!G88</f>
        <v>0.462741099498683</v>
      </c>
      <c r="F138" s="20" t="n">
        <f aca="false">Patel!H88</f>
        <v>0.609318696052962</v>
      </c>
      <c r="G138" s="20" t="n">
        <f aca="false">Patel!I88</f>
        <v>0.381883938845964</v>
      </c>
      <c r="H138" s="20" t="n">
        <f aca="false">Patel!J88</f>
        <v>0.322215025906736</v>
      </c>
      <c r="I138" s="21" t="n">
        <f aca="false">Patel!K88</f>
        <v>0.522919196488056</v>
      </c>
      <c r="J138" s="34" t="str">
        <f aca="false">IF(AND(ISNUMBER(H138),ISNUMBER(H$145)),IF(H138&gt;H$145,"Above",IF(H138&lt;H$145,"Below","At")),"-")</f>
        <v>Below</v>
      </c>
      <c r="K138" s="34" t="str">
        <f aca="false">IF(J138="Below","Better",IF(J138="Above","Weaker","-"))</f>
        <v>Better</v>
      </c>
      <c r="L138" s="34" t="n">
        <f aca="false">IF(ISNUMBER(H138),RANK(H138,H$133:H$142,1),"-")</f>
        <v>2</v>
      </c>
      <c r="N138" s="34" t="str">
        <f aca="false">IF(AND(ISNUMBER(I138),ISNUMBER(I$145)),IF(I138&gt;I$145,"Above",IF(I138&lt;I$145,"Below","At")),"-")</f>
        <v>Below</v>
      </c>
      <c r="O138" s="34" t="str">
        <f aca="false">IF(N138="Below","Better",IF(N138="Above","Weaker","-"))</f>
        <v>Better</v>
      </c>
    </row>
    <row r="139" customFormat="false" ht="15" hidden="false" customHeight="false" outlineLevel="0" collapsed="false">
      <c r="A139" s="18" t="s">
        <v>115</v>
      </c>
      <c r="B139" s="20" t="n">
        <f aca="false">Sical!D88</f>
        <v>4.62729306487696</v>
      </c>
      <c r="C139" s="20" t="str">
        <f aca="false">Sical!E88</f>
        <v>N/M</v>
      </c>
      <c r="D139" s="20" t="str">
        <f aca="false">Sical!F88</f>
        <v>N/M</v>
      </c>
      <c r="E139" s="20" t="n">
        <f aca="false">Sical!G88</f>
        <v>13.8170777279522</v>
      </c>
      <c r="F139" s="20" t="n">
        <f aca="false">Sical!H88</f>
        <v>25.724930362117</v>
      </c>
      <c r="G139" s="20" t="str">
        <f aca="false">Sical!I88</f>
        <v>N/M</v>
      </c>
      <c r="H139" s="20" t="n">
        <f aca="false">Sical!J88</f>
        <v>5.90631426612842</v>
      </c>
      <c r="I139" s="21" t="n">
        <f aca="false">Sical!K88</f>
        <v>12.5189038552686</v>
      </c>
      <c r="J139" s="34" t="str">
        <f aca="false">IF(AND(ISNUMBER(H139),ISNUMBER(H$145)),IF(H139&gt;H$145,"Above",IF(H139&lt;H$145,"Below","At")),"-")</f>
        <v>Above</v>
      </c>
      <c r="K139" s="34" t="str">
        <f aca="false">IF(J139="Below","Better",IF(J139="Above","Weaker","-"))</f>
        <v>Weaker</v>
      </c>
      <c r="L139" s="34" t="n">
        <f aca="false">IF(ISNUMBER(H139),RANK(H139,H$133:H$142,1),"-")</f>
        <v>10</v>
      </c>
      <c r="N139" s="34" t="str">
        <f aca="false">IF(AND(ISNUMBER(I139),ISNUMBER(I$145)),IF(I139&gt;I$145,"Above",IF(I139&lt;I$145,"Below","At")),"-")</f>
        <v>Above</v>
      </c>
      <c r="O139" s="34" t="str">
        <f aca="false">IF(N139="Below","Better",IF(N139="Above","Weaker","-"))</f>
        <v>Weaker</v>
      </c>
    </row>
    <row r="140" customFormat="false" ht="15" hidden="false" customHeight="false" outlineLevel="0" collapsed="false">
      <c r="A140" s="18" t="s">
        <v>86</v>
      </c>
      <c r="B140" s="20" t="n">
        <f aca="false">TCI!D88</f>
        <v>0.644043793766909</v>
      </c>
      <c r="C140" s="20" t="n">
        <f aca="false">TCI!E88</f>
        <v>0.486530849526806</v>
      </c>
      <c r="D140" s="20" t="n">
        <f aca="false">TCI!F88</f>
        <v>0.277393237687726</v>
      </c>
      <c r="E140" s="20" t="n">
        <f aca="false">TCI!G88</f>
        <v>0.234529524794481</v>
      </c>
      <c r="F140" s="20" t="n">
        <f aca="false">TCI!H88</f>
        <v>0.248315716980567</v>
      </c>
      <c r="G140" s="20" t="n">
        <f aca="false">TCI!I88</f>
        <v>0.361656804733728</v>
      </c>
      <c r="H140" s="20" t="n">
        <f aca="false">TCI!J88</f>
        <v>0.356926566354507</v>
      </c>
      <c r="I140" s="21" t="n">
        <f aca="false">TCI!K88</f>
        <v>0.372770927692103</v>
      </c>
      <c r="J140" s="34" t="str">
        <f aca="false">IF(AND(ISNUMBER(H140),ISNUMBER(H$145)),IF(H140&gt;H$145,"Above",IF(H140&lt;H$145,"Below","At")),"-")</f>
        <v>Below</v>
      </c>
      <c r="K140" s="34" t="str">
        <f aca="false">IF(J140="Below","Better",IF(J140="Above","Weaker","-"))</f>
        <v>Better</v>
      </c>
      <c r="L140" s="34" t="n">
        <f aca="false">IF(ISNUMBER(H140),RANK(H140,H$133:H$142,1),"-")</f>
        <v>3</v>
      </c>
      <c r="N140" s="34" t="str">
        <f aca="false">IF(AND(ISNUMBER(I140),ISNUMBER(I$145)),IF(I140&gt;I$145,"Above",IF(I140&lt;I$145,"Below","At")),"-")</f>
        <v>Below</v>
      </c>
      <c r="O140" s="34" t="str">
        <f aca="false">IF(N140="Below","Better",IF(N140="Above","Weaker","-"))</f>
        <v>Better</v>
      </c>
    </row>
    <row r="141" customFormat="false" ht="15" hidden="false" customHeight="false" outlineLevel="0" collapsed="false">
      <c r="A141" s="18" t="s">
        <v>116</v>
      </c>
      <c r="B141" s="20" t="n">
        <f aca="false">Shreeji!D88</f>
        <v>2.14257425742574</v>
      </c>
      <c r="C141" s="20" t="n">
        <f aca="false">Shreeji!E88</f>
        <v>2.3932119205298</v>
      </c>
      <c r="D141" s="20" t="n">
        <f aca="false">Shreeji!F88</f>
        <v>1.78922789539228</v>
      </c>
      <c r="E141" s="20" t="n">
        <f aca="false">Shreeji!G88</f>
        <v>1.56456750796373</v>
      </c>
      <c r="F141" s="20" t="n">
        <f aca="false">Shreeji!H88</f>
        <v>1.15192135835567</v>
      </c>
      <c r="G141" s="20" t="n">
        <f aca="false">Shreeji!I88</f>
        <v>1.02518492426911</v>
      </c>
      <c r="H141" s="20" t="n">
        <f aca="false">Shreeji!J88</f>
        <v>0.988354683081018</v>
      </c>
      <c r="I141" s="21" t="n">
        <f aca="false">Shreeji!K88</f>
        <v>1.57929179243105</v>
      </c>
      <c r="J141" s="34" t="str">
        <f aca="false">IF(AND(ISNUMBER(H141),ISNUMBER(H$145)),IF(H141&gt;H$145,"Above",IF(H141&lt;H$145,"Below","At")),"-")</f>
        <v>Below</v>
      </c>
      <c r="K141" s="34" t="str">
        <f aca="false">IF(J141="Below","Better",IF(J141="Above","Weaker","-"))</f>
        <v>Better</v>
      </c>
      <c r="L141" s="34" t="n">
        <f aca="false">IF(ISNUMBER(H141),RANK(H141,H$133:H$142,1),"-")</f>
        <v>5</v>
      </c>
      <c r="N141" s="34" t="str">
        <f aca="false">IF(AND(ISNUMBER(I141),ISNUMBER(I$145)),IF(I141&gt;I$145,"Above",IF(I141&lt;I$145,"Below","At")),"-")</f>
        <v>Below</v>
      </c>
      <c r="O141" s="34" t="str">
        <f aca="false">IF(N141="Below","Better",IF(N141="Above","Weaker","-"))</f>
        <v>Better</v>
      </c>
    </row>
    <row r="142" customFormat="false" ht="15" hidden="false" customHeight="false" outlineLevel="0" collapsed="false">
      <c r="A142" s="18" t="s">
        <v>117</v>
      </c>
      <c r="B142" s="20" t="n">
        <f aca="false">MahindraLog!D88</f>
        <v>1.61055723859359</v>
      </c>
      <c r="C142" s="20" t="n">
        <f aca="false">MahindraLog!E88</f>
        <v>1.96963348942013</v>
      </c>
      <c r="D142" s="20" t="n">
        <f aca="false">MahindraLog!F88</f>
        <v>2.61484409310496</v>
      </c>
      <c r="E142" s="20" t="n">
        <f aca="false">MahindraLog!G88</f>
        <v>3.54526679366888</v>
      </c>
      <c r="F142" s="20" t="n">
        <f aca="false">MahindraLog!H88</f>
        <v>4.03015412106321</v>
      </c>
      <c r="G142" s="20" t="n">
        <f aca="false">MahindraLog!I88</f>
        <v>4.88928473554399</v>
      </c>
      <c r="H142" s="20" t="n">
        <f aca="false">MahindraLog!J88</f>
        <v>1.64305657229439</v>
      </c>
      <c r="I142" s="21" t="n">
        <f aca="false">MahindraLog!K88</f>
        <v>2.90039957766988</v>
      </c>
      <c r="J142" s="34" t="str">
        <f aca="false">IF(AND(ISNUMBER(H142),ISNUMBER(H$145)),IF(H142&gt;H$145,"Above",IF(H142&lt;H$145,"Below","At")),"-")</f>
        <v>Above</v>
      </c>
      <c r="K142" s="34" t="str">
        <f aca="false">IF(J142="Below","Better",IF(J142="Above","Weaker","-"))</f>
        <v>Weaker</v>
      </c>
      <c r="L142" s="34" t="n">
        <f aca="false">IF(ISNUMBER(H142),RANK(H142,H$133:H$142,1),"-")</f>
        <v>7</v>
      </c>
      <c r="N142" s="34" t="str">
        <f aca="false">IF(AND(ISNUMBER(I142),ISNUMBER(I$145)),IF(I142&gt;I$145,"Above",IF(I142&lt;I$145,"Below","At")),"-")</f>
        <v>Above</v>
      </c>
      <c r="O142" s="34" t="str">
        <f aca="false">IF(N142="Below","Better",IF(N142="Above","Weaker","-"))</f>
        <v>Weaker</v>
      </c>
    </row>
    <row r="143" customFormat="false" ht="15" hidden="false" customHeight="false" outlineLevel="0" collapsed="false">
      <c r="A143" s="12" t="s">
        <v>176</v>
      </c>
      <c r="B143" s="21" t="n">
        <f aca="false">Industry!D88</f>
        <v>0.743669064411507</v>
      </c>
      <c r="C143" s="21" t="n">
        <f aca="false">Industry!E88</f>
        <v>0.969196355707703</v>
      </c>
      <c r="D143" s="21" t="n">
        <f aca="false">Industry!F88</f>
        <v>0.946296635962035</v>
      </c>
      <c r="E143" s="21" t="n">
        <f aca="false">Industry!G88</f>
        <v>0.675481485464146</v>
      </c>
      <c r="F143" s="21" t="n">
        <f aca="false">Industry!H88</f>
        <v>0.669845273599986</v>
      </c>
      <c r="G143" s="21" t="n">
        <f aca="false">Industry!I88</f>
        <v>0.540303791470008</v>
      </c>
      <c r="H143" s="21" t="n">
        <f aca="false">Industry!J88</f>
        <v>0.494858449036955</v>
      </c>
      <c r="I143" s="21" t="n">
        <f aca="false">Industry!K88</f>
        <v>0.719950150807477</v>
      </c>
    </row>
    <row r="144" customFormat="false" ht="15" hidden="false" customHeight="false" outlineLevel="0" collapsed="false">
      <c r="A144" s="35" t="s">
        <v>177</v>
      </c>
      <c r="B144" s="37" t="n">
        <f aca="false">IFERROR(AVERAGE(B133:B142),"N/M")</f>
        <v>2.08561970559547</v>
      </c>
      <c r="C144" s="37" t="n">
        <f aca="false">IFERROR(AVERAGE(C133:C142),"N/M")</f>
        <v>1.81707870366934</v>
      </c>
      <c r="D144" s="37" t="n">
        <f aca="false">IFERROR(AVERAGE(D133:D142),"N/M")</f>
        <v>1.53800924819245</v>
      </c>
      <c r="E144" s="37" t="n">
        <f aca="false">IFERROR(AVERAGE(E133:E142),"N/M")</f>
        <v>2.48215939011733</v>
      </c>
      <c r="F144" s="37" t="n">
        <f aca="false">IFERROR(AVERAGE(F133:F142),"N/M")</f>
        <v>3.73493722343778</v>
      </c>
      <c r="G144" s="37" t="n">
        <f aca="false">IFERROR(AVERAGE(G133:G142),"N/M")</f>
        <v>1.38340478819994</v>
      </c>
      <c r="H144" s="37" t="n">
        <f aca="false">IFERROR(AVERAGE(H133:H142),"N/M")</f>
        <v>1.5044434187726</v>
      </c>
      <c r="I144" s="37" t="n">
        <f aca="false">IFERROR(AVERAGE(I133:I142),"N/M")</f>
        <v>2.54678205150848</v>
      </c>
    </row>
    <row r="145" customFormat="false" ht="15" hidden="false" customHeight="false" outlineLevel="0" collapsed="false">
      <c r="A145" s="35" t="s">
        <v>178</v>
      </c>
      <c r="B145" s="37" t="n">
        <f aca="false">IFERROR(MEDIAN(B133:B142),"N/M")</f>
        <v>1.54052585796017</v>
      </c>
      <c r="C145" s="37" t="n">
        <f aca="false">IFERROR(MEDIAN(C133:C142),"N/M")</f>
        <v>1.96963348942013</v>
      </c>
      <c r="D145" s="37" t="n">
        <f aca="false">IFERROR(MEDIAN(D133:D142),"N/M")</f>
        <v>1.78922789539228</v>
      </c>
      <c r="E145" s="37" t="n">
        <f aca="false">IFERROR(MEDIAN(E133:E142),"N/M")</f>
        <v>1.51830560488161</v>
      </c>
      <c r="F145" s="37" t="n">
        <f aca="false">IFERROR(MEDIAN(F133:F142),"N/M")</f>
        <v>1.34158487922611</v>
      </c>
      <c r="G145" s="37" t="n">
        <f aca="false">IFERROR(MEDIAN(G133:G142),"N/M")</f>
        <v>1.02518492426911</v>
      </c>
      <c r="H145" s="37" t="n">
        <f aca="false">IFERROR(MEDIAN(H133:H142),"N/M")</f>
        <v>1.15547301979898</v>
      </c>
      <c r="I145" s="37" t="n">
        <f aca="false">IFERROR(MEDIAN(I133:I142),"N/M")</f>
        <v>1.73558240623109</v>
      </c>
    </row>
    <row r="146" customFormat="false" ht="15" hidden="false" customHeight="false" outlineLevel="0" collapsed="false">
      <c r="A146" s="35" t="s">
        <v>179</v>
      </c>
      <c r="B146" s="37" t="n">
        <f aca="false">IFERROR(STDEV(B133:B142),"N/M")</f>
        <v>1.67049838350228</v>
      </c>
      <c r="C146" s="37" t="n">
        <f aca="false">IFERROR(STDEV(C133:C142),"N/M")</f>
        <v>1.33511364106766</v>
      </c>
      <c r="D146" s="37" t="n">
        <f aca="false">IFERROR(STDEV(D133:D142),"N/M")</f>
        <v>1.17686103661982</v>
      </c>
      <c r="E146" s="37" t="n">
        <f aca="false">IFERROR(STDEV(E133:E142),"N/M")</f>
        <v>4.11376515204419</v>
      </c>
      <c r="F146" s="37" t="n">
        <f aca="false">IFERROR(STDEV(F133:F142),"N/M")</f>
        <v>7.81113543195345</v>
      </c>
      <c r="G146" s="37" t="n">
        <f aca="false">IFERROR(STDEV(G133:G142),"N/M")</f>
        <v>1.48040691207111</v>
      </c>
      <c r="H146" s="37" t="n">
        <f aca="false">IFERROR(STDEV(H133:H142),"N/M")</f>
        <v>1.67413560641393</v>
      </c>
      <c r="I146" s="37" t="n">
        <f aca="false">IFERROR(STDEV(I133:I142),"N/M")</f>
        <v>3.63838454410081</v>
      </c>
    </row>
    <row r="147" customFormat="false" ht="15" hidden="false" customHeight="false" outlineLevel="0" collapsed="false">
      <c r="A147" s="35" t="s">
        <v>102</v>
      </c>
      <c r="B147" s="37" t="n">
        <f aca="false">IFERROR(MIN(B133:B142),"N/M")</f>
        <v>0.173466320263585</v>
      </c>
      <c r="C147" s="37" t="n">
        <f aca="false">IFERROR(MIN(C133:C142),"N/M")</f>
        <v>0.218232380443809</v>
      </c>
      <c r="D147" s="37" t="n">
        <f aca="false">IFERROR(MIN(D133:D142),"N/M")</f>
        <v>0.2088884343432</v>
      </c>
      <c r="E147" s="37" t="n">
        <f aca="false">IFERROR(MIN(E133:E142),"N/M")</f>
        <v>0.199449850036032</v>
      </c>
      <c r="F147" s="37" t="n">
        <f aca="false">IFERROR(MIN(F133:F142),"N/M")</f>
        <v>0.187339140554892</v>
      </c>
      <c r="G147" s="37" t="n">
        <f aca="false">IFERROR(MIN(G133:G142),"N/M")</f>
        <v>0.169269213808388</v>
      </c>
      <c r="H147" s="37" t="n">
        <f aca="false">IFERROR(MIN(H133:H142),"N/M")</f>
        <v>0.172567578530947</v>
      </c>
      <c r="I147" s="37" t="n">
        <f aca="false">IFERROR(MIN(I133:I142),"N/M")</f>
        <v>0.18988755971155</v>
      </c>
    </row>
    <row r="148" customFormat="false" ht="15" hidden="false" customHeight="false" outlineLevel="0" collapsed="false">
      <c r="A148" s="35" t="s">
        <v>103</v>
      </c>
      <c r="B148" s="37" t="n">
        <f aca="false">IFERROR(MAX(B133:B142),"N/M")</f>
        <v>4.62729306487696</v>
      </c>
      <c r="C148" s="37" t="n">
        <f aca="false">IFERROR(MAX(C133:C142),"N/M")</f>
        <v>3.89463815122643</v>
      </c>
      <c r="D148" s="37" t="n">
        <f aca="false">IFERROR(MAX(D133:D142),"N/M")</f>
        <v>3.51415675010258</v>
      </c>
      <c r="E148" s="37" t="n">
        <f aca="false">IFERROR(MAX(E133:E142),"N/M")</f>
        <v>13.8170777279522</v>
      </c>
      <c r="F148" s="37" t="n">
        <f aca="false">IFERROR(MAX(F133:F142),"N/M")</f>
        <v>25.724930362117</v>
      </c>
      <c r="G148" s="37" t="n">
        <f aca="false">IFERROR(MAX(G133:G142),"N/M")</f>
        <v>4.88928473554399</v>
      </c>
      <c r="H148" s="37" t="n">
        <f aca="false">IFERROR(MAX(H133:H142),"N/M")</f>
        <v>5.90631426612842</v>
      </c>
      <c r="I148" s="37" t="n">
        <f aca="false">IFERROR(MAX(I133:I142),"N/M")</f>
        <v>12.5189038552686</v>
      </c>
    </row>
    <row r="150" customFormat="false" ht="15" hidden="false" customHeight="false" outlineLevel="0" collapsed="false">
      <c r="A150" s="16" t="s">
        <v>187</v>
      </c>
      <c r="B150" s="17"/>
      <c r="C150" s="17"/>
      <c r="D150" s="17"/>
      <c r="E150" s="17"/>
      <c r="F150" s="17"/>
      <c r="G150" s="17"/>
      <c r="H150" s="17"/>
      <c r="I150" s="17"/>
      <c r="J150" s="17"/>
      <c r="K150" s="17"/>
      <c r="L150" s="17"/>
      <c r="M150" s="17"/>
    </row>
    <row r="151" customFormat="false" ht="15" hidden="false" customHeight="false" outlineLevel="0" collapsed="false">
      <c r="A151" s="18" t="s">
        <v>110</v>
      </c>
      <c r="B151" s="20" t="n">
        <f aca="false">Tiger!D89</f>
        <v>0.348872609647037</v>
      </c>
      <c r="C151" s="20" t="n">
        <f aca="false">Tiger!E89</f>
        <v>0.178413834227788</v>
      </c>
      <c r="D151" s="20" t="n">
        <f aca="false">Tiger!F89</f>
        <v>0</v>
      </c>
      <c r="E151" s="20" t="n">
        <f aca="false">Tiger!G89</f>
        <v>0</v>
      </c>
      <c r="F151" s="20" t="n">
        <f aca="false">Tiger!H89</f>
        <v>0.0838556902075498</v>
      </c>
      <c r="G151" s="20" t="n">
        <f aca="false">Tiger!I89</f>
        <v>0.17568603403342</v>
      </c>
      <c r="H151" s="20" t="n">
        <f aca="false">Tiger!J89</f>
        <v>0.193054603609778</v>
      </c>
      <c r="I151" s="21" t="n">
        <f aca="false">Tiger!K89</f>
        <v>0.139983253103653</v>
      </c>
      <c r="J151" s="34" t="str">
        <f aca="false">IF(AND(ISNUMBER(H151),ISNUMBER(H$163)),IF(H151&gt;H$163,"Above",IF(H151&lt;H$163,"Below","At")),"-")</f>
        <v>Below</v>
      </c>
      <c r="K151" s="34" t="str">
        <f aca="false">IF(J151="Below","Better",IF(J151="Above","Weaker","-"))</f>
        <v>Better</v>
      </c>
      <c r="L151" s="34" t="n">
        <f aca="false">IF(ISNUMBER(H151),RANK(H151,H$151:H$160,1),"-")</f>
        <v>4</v>
      </c>
      <c r="N151" s="34" t="str">
        <f aca="false">IF(AND(ISNUMBER(I151),ISNUMBER(I$163)),IF(I151&gt;I$163,"Above",IF(I151&lt;I$163,"Below","At")),"-")</f>
        <v>Below</v>
      </c>
      <c r="O151" s="34" t="str">
        <f aca="false">IF(N151="Below","Better",IF(N151="Above","Weaker","-"))</f>
        <v>Better</v>
      </c>
    </row>
    <row r="152" customFormat="false" ht="15" hidden="false" customHeight="false" outlineLevel="0" collapsed="false">
      <c r="A152" s="18" t="s">
        <v>111</v>
      </c>
      <c r="B152" s="20" t="n">
        <f aca="false">Allcargo!D89</f>
        <v>0.302463336691228</v>
      </c>
      <c r="C152" s="20" t="n">
        <f aca="false">Allcargo!E89</f>
        <v>0.282414022728547</v>
      </c>
      <c r="D152" s="20" t="n">
        <f aca="false">Allcargo!F89</f>
        <v>0.241285922532278</v>
      </c>
      <c r="E152" s="20" t="n">
        <f aca="false">Allcargo!G89</f>
        <v>0.163120518334636</v>
      </c>
      <c r="F152" s="20" t="n">
        <f aca="false">Allcargo!H89</f>
        <v>0.257715523739858</v>
      </c>
      <c r="G152" s="20" t="n">
        <f aca="false">Allcargo!I89</f>
        <v>0.448592762780012</v>
      </c>
      <c r="H152" s="20" t="n">
        <f aca="false">Allcargo!J89</f>
        <v>0.399193548387097</v>
      </c>
      <c r="I152" s="21" t="n">
        <f aca="false">Allcargo!K89</f>
        <v>0.299255090741951</v>
      </c>
      <c r="J152" s="34" t="str">
        <f aca="false">IF(AND(ISNUMBER(H152),ISNUMBER(H$163)),IF(H152&gt;H$163,"Above",IF(H152&lt;H$163,"Below","At")),"-")</f>
        <v>Above</v>
      </c>
      <c r="K152" s="34" t="str">
        <f aca="false">IF(J152="Below","Better",IF(J152="Above","Weaker","-"))</f>
        <v>Weaker</v>
      </c>
      <c r="L152" s="34" t="n">
        <f aca="false">IF(ISNUMBER(H152),RANK(H152,H$151:H$160,1),"-")</f>
        <v>9</v>
      </c>
      <c r="N152" s="34" t="str">
        <f aca="false">IF(AND(ISNUMBER(I152),ISNUMBER(I$163)),IF(I152&gt;I$163,"Above",IF(I152&lt;I$163,"Below","At")),"-")</f>
        <v>Above</v>
      </c>
      <c r="O152" s="34" t="str">
        <f aca="false">IF(N152="Below","Better",IF(N152="Above","Weaker","-"))</f>
        <v>Weaker</v>
      </c>
    </row>
    <row r="153" customFormat="false" ht="15" hidden="false" customHeight="false" outlineLevel="0" collapsed="false">
      <c r="A153" s="18" t="s">
        <v>112</v>
      </c>
      <c r="B153" s="20" t="n">
        <f aca="false">BlueDart!D89</f>
        <v>0.200697518545587</v>
      </c>
      <c r="C153" s="20" t="n">
        <f aca="false">BlueDart!E89</f>
        <v>0.525344874595763</v>
      </c>
      <c r="D153" s="20" t="n">
        <f aca="false">BlueDart!F89</f>
        <v>0.376822353257258</v>
      </c>
      <c r="E153" s="20" t="n">
        <f aca="false">BlueDart!G89</f>
        <v>0.347541451548848</v>
      </c>
      <c r="F153" s="20" t="n">
        <f aca="false">BlueDart!H89</f>
        <v>0.31002051489497</v>
      </c>
      <c r="G153" s="20" t="n">
        <f aca="false">BlueDart!I89</f>
        <v>0.274926558114646</v>
      </c>
      <c r="H153" s="20" t="n">
        <f aca="false">BlueDart!J89</f>
        <v>0.276700146600918</v>
      </c>
      <c r="I153" s="21" t="n">
        <f aca="false">BlueDart!K89</f>
        <v>0.330293345365427</v>
      </c>
      <c r="J153" s="34" t="str">
        <f aca="false">IF(AND(ISNUMBER(H153),ISNUMBER(H$163)),IF(H153&gt;H$163,"Above",IF(H153&lt;H$163,"Below","At")),"-")</f>
        <v>Above</v>
      </c>
      <c r="K153" s="34" t="str">
        <f aca="false">IF(J153="Below","Better",IF(J153="Above","Weaker","-"))</f>
        <v>Weaker</v>
      </c>
      <c r="L153" s="34" t="n">
        <f aca="false">IF(ISNUMBER(H153),RANK(H153,H$151:H$160,1),"-")</f>
        <v>6</v>
      </c>
      <c r="N153" s="34" t="str">
        <f aca="false">IF(AND(ISNUMBER(I153),ISNUMBER(I$163)),IF(I153&gt;I$163,"Above",IF(I153&lt;I$163,"Below","At")),"-")</f>
        <v>Above</v>
      </c>
      <c r="O153" s="34" t="str">
        <f aca="false">IF(N153="Below","Better",IF(N153="Above","Weaker","-"))</f>
        <v>Weaker</v>
      </c>
    </row>
    <row r="154" customFormat="false" ht="15" hidden="false" customHeight="false" outlineLevel="0" collapsed="false">
      <c r="A154" s="18" t="s">
        <v>67</v>
      </c>
      <c r="B154" s="20" t="n">
        <f aca="false">CONCOR!D89</f>
        <v>0.00593785945256329</v>
      </c>
      <c r="C154" s="20" t="n">
        <f aca="false">CONCOR!E89</f>
        <v>0.0582517152883256</v>
      </c>
      <c r="D154" s="20" t="n">
        <f aca="false">CONCOR!F89</f>
        <v>0.0565501689706251</v>
      </c>
      <c r="E154" s="20" t="n">
        <f aca="false">CONCOR!G89</f>
        <v>0.0578267011064191</v>
      </c>
      <c r="F154" s="20" t="n">
        <f aca="false">CONCOR!H89</f>
        <v>0.0668677376522279</v>
      </c>
      <c r="G154" s="20" t="n">
        <f aca="false">CONCOR!I89</f>
        <v>0.0595043537243926</v>
      </c>
      <c r="H154" s="20" t="n">
        <f aca="false">CONCOR!J89</f>
        <v>0.0635598302031263</v>
      </c>
      <c r="I154" s="21" t="n">
        <f aca="false">CONCOR!K89</f>
        <v>0.0526426237710971</v>
      </c>
      <c r="J154" s="34" t="str">
        <f aca="false">IF(AND(ISNUMBER(H154),ISNUMBER(H$163)),IF(H154&gt;H$163,"Above",IF(H154&lt;H$163,"Below","At")),"-")</f>
        <v>Below</v>
      </c>
      <c r="K154" s="34" t="str">
        <f aca="false">IF(J154="Below","Better",IF(J154="Above","Weaker","-"))</f>
        <v>Better</v>
      </c>
      <c r="L154" s="34" t="n">
        <f aca="false">IF(ISNUMBER(H154),RANK(H154,H$151:H$160,1),"-")</f>
        <v>2</v>
      </c>
      <c r="N154" s="34" t="str">
        <f aca="false">IF(AND(ISNUMBER(I154),ISNUMBER(I$163)),IF(I154&gt;I$163,"Above",IF(I154&lt;I$163,"Below","At")),"-")</f>
        <v>Below</v>
      </c>
      <c r="O154" s="34" t="str">
        <f aca="false">IF(N154="Below","Better",IF(N154="Above","Weaker","-"))</f>
        <v>Better</v>
      </c>
    </row>
    <row r="155" customFormat="false" ht="15" hidden="false" customHeight="false" outlineLevel="0" collapsed="false">
      <c r="A155" s="18" t="s">
        <v>113</v>
      </c>
      <c r="B155" s="20" t="n">
        <f aca="false">JetFreight!D89</f>
        <v>0.4245530121854</v>
      </c>
      <c r="C155" s="20" t="n">
        <f aca="false">JetFreight!E89</f>
        <v>0.316491799938882</v>
      </c>
      <c r="D155" s="20" t="n">
        <f aca="false">JetFreight!F89</f>
        <v>0.447504772293428</v>
      </c>
      <c r="E155" s="20" t="n">
        <f aca="false">JetFreight!G89</f>
        <v>0.395619394254517</v>
      </c>
      <c r="F155" s="20" t="n">
        <f aca="false">JetFreight!H89</f>
        <v>0.327157598499062</v>
      </c>
      <c r="G155" s="20" t="n">
        <f aca="false">JetFreight!I89</f>
        <v>0.352683220961465</v>
      </c>
      <c r="H155" s="20" t="n">
        <f aca="false">JetFreight!J89</f>
        <v>0.381627080220516</v>
      </c>
      <c r="I155" s="21" t="n">
        <f aca="false">JetFreight!K89</f>
        <v>0.377948125479039</v>
      </c>
      <c r="J155" s="34" t="str">
        <f aca="false">IF(AND(ISNUMBER(H155),ISNUMBER(H$163)),IF(H155&gt;H$163,"Above",IF(H155&lt;H$163,"Below","At")),"-")</f>
        <v>Above</v>
      </c>
      <c r="K155" s="34" t="str">
        <f aca="false">IF(J155="Below","Better",IF(J155="Above","Weaker","-"))</f>
        <v>Weaker</v>
      </c>
      <c r="L155" s="34" t="n">
        <f aca="false">IF(ISNUMBER(H155),RANK(H155,H$151:H$160,1),"-")</f>
        <v>8</v>
      </c>
      <c r="N155" s="34" t="str">
        <f aca="false">IF(AND(ISNUMBER(I155),ISNUMBER(I$163)),IF(I155&gt;I$163,"Above",IF(I155&lt;I$163,"Below","At")),"-")</f>
        <v>Above</v>
      </c>
      <c r="O155" s="34" t="str">
        <f aca="false">IF(N155="Below","Better",IF(N155="Above","Weaker","-"))</f>
        <v>Weaker</v>
      </c>
    </row>
    <row r="156" customFormat="false" ht="15" hidden="false" customHeight="false" outlineLevel="0" collapsed="false">
      <c r="A156" s="18" t="s">
        <v>114</v>
      </c>
      <c r="B156" s="20" t="n">
        <f aca="false">Patel!D89</f>
        <v>0.295632698768197</v>
      </c>
      <c r="C156" s="20" t="n">
        <f aca="false">Patel!E89</f>
        <v>0.324330005254861</v>
      </c>
      <c r="D156" s="20" t="n">
        <f aca="false">Patel!F89</f>
        <v>0.267969840826585</v>
      </c>
      <c r="E156" s="20" t="n">
        <f aca="false">Patel!G89</f>
        <v>0.181585826314261</v>
      </c>
      <c r="F156" s="20" t="n">
        <f aca="false">Patel!H89</f>
        <v>0.125598833576338</v>
      </c>
      <c r="G156" s="20" t="n">
        <f aca="false">Patel!I89</f>
        <v>0.077742088984059</v>
      </c>
      <c r="H156" s="20" t="n">
        <f aca="false">Patel!J89</f>
        <v>0.0383296595640461</v>
      </c>
      <c r="I156" s="21" t="n">
        <f aca="false">Patel!K89</f>
        <v>0.187312707612621</v>
      </c>
      <c r="J156" s="34" t="str">
        <f aca="false">IF(AND(ISNUMBER(H156),ISNUMBER(H$163)),IF(H156&gt;H$163,"Above",IF(H156&lt;H$163,"Below","At")),"-")</f>
        <v>Below</v>
      </c>
      <c r="K156" s="34" t="str">
        <f aca="false">IF(J156="Below","Better",IF(J156="Above","Weaker","-"))</f>
        <v>Better</v>
      </c>
      <c r="L156" s="34" t="n">
        <f aca="false">IF(ISNUMBER(H156),RANK(H156,H$151:H$160,1),"-")</f>
        <v>1</v>
      </c>
      <c r="N156" s="34" t="str">
        <f aca="false">IF(AND(ISNUMBER(I156),ISNUMBER(I$163)),IF(I156&gt;I$163,"Above",IF(I156&lt;I$163,"Below","At")),"-")</f>
        <v>Below</v>
      </c>
      <c r="O156" s="34" t="str">
        <f aca="false">IF(N156="Below","Better",IF(N156="Above","Weaker","-"))</f>
        <v>Better</v>
      </c>
    </row>
    <row r="157" customFormat="false" ht="15" hidden="false" customHeight="false" outlineLevel="0" collapsed="false">
      <c r="A157" s="18" t="s">
        <v>115</v>
      </c>
      <c r="B157" s="20" t="n">
        <f aca="false">Sical!D89</f>
        <v>0.462333841716842</v>
      </c>
      <c r="C157" s="20" t="n">
        <f aca="false">Sical!E89</f>
        <v>0.730361743671508</v>
      </c>
      <c r="D157" s="20" t="n">
        <f aca="false">Sical!F89</f>
        <v>1.12820168883098</v>
      </c>
      <c r="E157" s="20" t="n">
        <f aca="false">Sical!G89</f>
        <v>0.609664443071336</v>
      </c>
      <c r="F157" s="20" t="n">
        <f aca="false">Sical!H89</f>
        <v>0.660877608984548</v>
      </c>
      <c r="G157" s="20" t="n">
        <f aca="false">Sical!I89</f>
        <v>0.707641079973455</v>
      </c>
      <c r="H157" s="20" t="n">
        <f aca="false">Sical!J89</f>
        <v>0.534944250217816</v>
      </c>
      <c r="I157" s="21" t="n">
        <f aca="false">Sical!K89</f>
        <v>0.690574950923783</v>
      </c>
      <c r="J157" s="34" t="str">
        <f aca="false">IF(AND(ISNUMBER(H157),ISNUMBER(H$163)),IF(H157&gt;H$163,"Above",IF(H157&lt;H$163,"Below","At")),"-")</f>
        <v>Above</v>
      </c>
      <c r="K157" s="34" t="str">
        <f aca="false">IF(J157="Below","Better",IF(J157="Above","Weaker","-"))</f>
        <v>Weaker</v>
      </c>
      <c r="L157" s="34" t="n">
        <f aca="false">IF(ISNUMBER(H157),RANK(H157,H$151:H$160,1),"-")</f>
        <v>10</v>
      </c>
      <c r="N157" s="34" t="str">
        <f aca="false">IF(AND(ISNUMBER(I157),ISNUMBER(I$163)),IF(I157&gt;I$163,"Above",IF(I157&lt;I$163,"Below","At")),"-")</f>
        <v>Above</v>
      </c>
      <c r="O157" s="34" t="str">
        <f aca="false">IF(N157="Below","Better",IF(N157="Above","Weaker","-"))</f>
        <v>Weaker</v>
      </c>
    </row>
    <row r="158" customFormat="false" ht="15" hidden="false" customHeight="false" outlineLevel="0" collapsed="false">
      <c r="A158" s="18" t="s">
        <v>86</v>
      </c>
      <c r="B158" s="20" t="n">
        <f aca="false">TCI!D89</f>
        <v>0.250724758215907</v>
      </c>
      <c r="C158" s="20" t="n">
        <f aca="false">TCI!E89</f>
        <v>0.17108252195467</v>
      </c>
      <c r="D158" s="20" t="n">
        <f aca="false">TCI!F89</f>
        <v>0.0526701805662742</v>
      </c>
      <c r="E158" s="20" t="n">
        <f aca="false">TCI!G89</f>
        <v>0.0437286699573042</v>
      </c>
      <c r="F158" s="20" t="n">
        <f aca="false">TCI!H89</f>
        <v>0.0774286399616215</v>
      </c>
      <c r="G158" s="20" t="n">
        <f aca="false">TCI!I89</f>
        <v>0.0824326949622192</v>
      </c>
      <c r="H158" s="20" t="n">
        <f aca="false">TCI!J89</f>
        <v>0.0897221599949452</v>
      </c>
      <c r="I158" s="21" t="n">
        <f aca="false">TCI!K89</f>
        <v>0.10968423223042</v>
      </c>
      <c r="J158" s="34" t="str">
        <f aca="false">IF(AND(ISNUMBER(H158),ISNUMBER(H$163)),IF(H158&gt;H$163,"Above",IF(H158&lt;H$163,"Below","At")),"-")</f>
        <v>Below</v>
      </c>
      <c r="K158" s="34" t="str">
        <f aca="false">IF(J158="Below","Better",IF(J158="Above","Weaker","-"))</f>
        <v>Better</v>
      </c>
      <c r="L158" s="34" t="n">
        <f aca="false">IF(ISNUMBER(H158),RANK(H158,H$151:H$160,1),"-")</f>
        <v>3</v>
      </c>
      <c r="N158" s="34" t="str">
        <f aca="false">IF(AND(ISNUMBER(I158),ISNUMBER(I$163)),IF(I158&gt;I$163,"Above",IF(I158&lt;I$163,"Below","At")),"-")</f>
        <v>Below</v>
      </c>
      <c r="O158" s="34" t="str">
        <f aca="false">IF(N158="Below","Better",IF(N158="Above","Weaker","-"))</f>
        <v>Better</v>
      </c>
    </row>
    <row r="159" customFormat="false" ht="15" hidden="false" customHeight="false" outlineLevel="0" collapsed="false">
      <c r="A159" s="18" t="s">
        <v>116</v>
      </c>
      <c r="B159" s="20" t="n">
        <f aca="false">Shreeji!D89</f>
        <v>0.573787019533712</v>
      </c>
      <c r="C159" s="20" t="n">
        <f aca="false">Shreeji!E89</f>
        <v>0.579165650158575</v>
      </c>
      <c r="D159" s="20" t="n">
        <f aca="false">Shreeji!F89</f>
        <v>0.500725527402612</v>
      </c>
      <c r="E159" s="20" t="n">
        <f aca="false">Shreeji!G89</f>
        <v>0.439231798203707</v>
      </c>
      <c r="F159" s="20" t="n">
        <f aca="false">Shreeji!H89</f>
        <v>0.388372093023256</v>
      </c>
      <c r="G159" s="20" t="n">
        <f aca="false">Shreeji!I89</f>
        <v>0.361422732411514</v>
      </c>
      <c r="H159" s="20" t="n">
        <f aca="false">Shreeji!J89</f>
        <v>0.335257697456493</v>
      </c>
      <c r="I159" s="21" t="n">
        <f aca="false">Shreeji!K89</f>
        <v>0.453994645455695</v>
      </c>
      <c r="J159" s="34" t="str">
        <f aca="false">IF(AND(ISNUMBER(H159),ISNUMBER(H$163)),IF(H159&gt;H$163,"Above",IF(H159&lt;H$163,"Below","At")),"-")</f>
        <v>Above</v>
      </c>
      <c r="K159" s="34" t="str">
        <f aca="false">IF(J159="Below","Better",IF(J159="Above","Weaker","-"))</f>
        <v>Weaker</v>
      </c>
      <c r="L159" s="34" t="n">
        <f aca="false">IF(ISNUMBER(H159),RANK(H159,H$151:H$160,1),"-")</f>
        <v>7</v>
      </c>
      <c r="N159" s="34" t="str">
        <f aca="false">IF(AND(ISNUMBER(I159),ISNUMBER(I$163)),IF(I159&gt;I$163,"Above",IF(I159&lt;I$163,"Below","At")),"-")</f>
        <v>Above</v>
      </c>
      <c r="O159" s="34" t="str">
        <f aca="false">IF(N159="Below","Better",IF(N159="Above","Weaker","-"))</f>
        <v>Weaker</v>
      </c>
    </row>
    <row r="160" customFormat="false" ht="15" hidden="false" customHeight="false" outlineLevel="0" collapsed="false">
      <c r="A160" s="18" t="s">
        <v>117</v>
      </c>
      <c r="B160" s="20" t="n">
        <f aca="false">MahindraLog!D89</f>
        <v>0.141577111348675</v>
      </c>
      <c r="C160" s="20" t="n">
        <f aca="false">MahindraLog!E89</f>
        <v>0.159745810436711</v>
      </c>
      <c r="D160" s="20" t="n">
        <f aca="false">MahindraLog!F89</f>
        <v>0.203711578180051</v>
      </c>
      <c r="E160" s="20" t="n">
        <f aca="false">MahindraLog!G89</f>
        <v>0.326701763457034</v>
      </c>
      <c r="F160" s="20" t="n">
        <f aca="false">MahindraLog!H89</f>
        <v>0.298437752300985</v>
      </c>
      <c r="G160" s="20" t="n">
        <f aca="false">MahindraLog!I89</f>
        <v>0.33689312858694</v>
      </c>
      <c r="H160" s="20" t="n">
        <f aca="false">MahindraLog!J89</f>
        <v>0.209258585318566</v>
      </c>
      <c r="I160" s="21" t="n">
        <f aca="false">MahindraLog!K89</f>
        <v>0.239475104232709</v>
      </c>
      <c r="J160" s="34" t="str">
        <f aca="false">IF(AND(ISNUMBER(H160),ISNUMBER(H$163)),IF(H160&gt;H$163,"Above",IF(H160&lt;H$163,"Below","At")),"-")</f>
        <v>Below</v>
      </c>
      <c r="K160" s="34" t="str">
        <f aca="false">IF(J160="Below","Better",IF(J160="Above","Weaker","-"))</f>
        <v>Better</v>
      </c>
      <c r="L160" s="34" t="n">
        <f aca="false">IF(ISNUMBER(H160),RANK(H160,H$151:H$160,1),"-")</f>
        <v>5</v>
      </c>
      <c r="N160" s="34" t="str">
        <f aca="false">IF(AND(ISNUMBER(I160),ISNUMBER(I$163)),IF(I160&gt;I$163,"Above",IF(I160&lt;I$163,"Below","At")),"-")</f>
        <v>Below</v>
      </c>
      <c r="O160" s="34" t="str">
        <f aca="false">IF(N160="Below","Better",IF(N160="Above","Weaker","-"))</f>
        <v>Better</v>
      </c>
    </row>
    <row r="161" customFormat="false" ht="15" hidden="false" customHeight="false" outlineLevel="0" collapsed="false">
      <c r="A161" s="12" t="s">
        <v>176</v>
      </c>
      <c r="B161" s="21" t="n">
        <f aca="false">Industry!D89</f>
        <v>0.164344283509552</v>
      </c>
      <c r="C161" s="21" t="n">
        <f aca="false">Industry!E89</f>
        <v>0.223040671572404</v>
      </c>
      <c r="D161" s="21" t="n">
        <f aca="false">Industry!F89</f>
        <v>0.208463925308046</v>
      </c>
      <c r="E161" s="21" t="n">
        <f aca="false">Industry!G89</f>
        <v>0.154625335815395</v>
      </c>
      <c r="F161" s="21" t="n">
        <f aca="false">Industry!H89</f>
        <v>0.175179134958109</v>
      </c>
      <c r="G161" s="21" t="n">
        <f aca="false">Industry!I89</f>
        <v>0.16798846993701</v>
      </c>
      <c r="H161" s="21" t="n">
        <f aca="false">Industry!J89</f>
        <v>0.150922492585009</v>
      </c>
      <c r="I161" s="21" t="n">
        <f aca="false">Industry!K89</f>
        <v>0.177794901955075</v>
      </c>
    </row>
    <row r="162" customFormat="false" ht="15" hidden="false" customHeight="false" outlineLevel="0" collapsed="false">
      <c r="A162" s="35" t="s">
        <v>177</v>
      </c>
      <c r="B162" s="37" t="n">
        <f aca="false">IFERROR(AVERAGE(B151:B160),"N/M")</f>
        <v>0.300657976610515</v>
      </c>
      <c r="C162" s="37" t="n">
        <f aca="false">IFERROR(AVERAGE(C151:C160),"N/M")</f>
        <v>0.332560197825563</v>
      </c>
      <c r="D162" s="37" t="n">
        <f aca="false">IFERROR(AVERAGE(D151:D160),"N/M")</f>
        <v>0.327544203286009</v>
      </c>
      <c r="E162" s="37" t="n">
        <f aca="false">IFERROR(AVERAGE(E151:E160),"N/M")</f>
        <v>0.256502056624806</v>
      </c>
      <c r="F162" s="37" t="n">
        <f aca="false">IFERROR(AVERAGE(F151:F160),"N/M")</f>
        <v>0.259633199284042</v>
      </c>
      <c r="G162" s="37" t="n">
        <f aca="false">IFERROR(AVERAGE(G151:G160),"N/M")</f>
        <v>0.287752465453212</v>
      </c>
      <c r="H162" s="37" t="n">
        <f aca="false">IFERROR(AVERAGE(H151:H160),"N/M")</f>
        <v>0.25216475615733</v>
      </c>
      <c r="I162" s="37" t="n">
        <f aca="false">IFERROR(AVERAGE(I151:I160),"N/M")</f>
        <v>0.28811640789164</v>
      </c>
    </row>
    <row r="163" customFormat="false" ht="15" hidden="false" customHeight="false" outlineLevel="0" collapsed="false">
      <c r="A163" s="35" t="s">
        <v>178</v>
      </c>
      <c r="B163" s="37" t="n">
        <f aca="false">IFERROR(MEDIAN(B151:B160),"N/M")</f>
        <v>0.299048017729713</v>
      </c>
      <c r="C163" s="37" t="n">
        <f aca="false">IFERROR(MEDIAN(C151:C160),"N/M")</f>
        <v>0.299452911333714</v>
      </c>
      <c r="D163" s="37" t="n">
        <f aca="false">IFERROR(MEDIAN(D151:D160),"N/M")</f>
        <v>0.254627881679431</v>
      </c>
      <c r="E163" s="37" t="n">
        <f aca="false">IFERROR(MEDIAN(E151:E160),"N/M")</f>
        <v>0.254143794885647</v>
      </c>
      <c r="F163" s="37" t="n">
        <f aca="false">IFERROR(MEDIAN(F151:F160),"N/M")</f>
        <v>0.278076638020422</v>
      </c>
      <c r="G163" s="37" t="n">
        <f aca="false">IFERROR(MEDIAN(G151:G160),"N/M")</f>
        <v>0.305909843350793</v>
      </c>
      <c r="H163" s="37" t="n">
        <f aca="false">IFERROR(MEDIAN(H151:H160),"N/M")</f>
        <v>0.242979365959742</v>
      </c>
      <c r="I163" s="37" t="n">
        <f aca="false">IFERROR(MEDIAN(I151:I160),"N/M")</f>
        <v>0.26936509748733</v>
      </c>
    </row>
    <row r="164" customFormat="false" ht="15" hidden="false" customHeight="false" outlineLevel="0" collapsed="false">
      <c r="A164" s="35" t="s">
        <v>179</v>
      </c>
      <c r="B164" s="37" t="n">
        <f aca="false">IFERROR(STDEV(B151:B160),"N/M")</f>
        <v>0.164348475128385</v>
      </c>
      <c r="C164" s="37" t="n">
        <f aca="false">IFERROR(STDEV(C151:C160),"N/M")</f>
        <v>0.214479451553442</v>
      </c>
      <c r="D164" s="37" t="n">
        <f aca="false">IFERROR(STDEV(D151:D160),"N/M")</f>
        <v>0.328374087009133</v>
      </c>
      <c r="E164" s="37" t="n">
        <f aca="false">IFERROR(STDEV(E151:E160),"N/M")</f>
        <v>0.198761136048384</v>
      </c>
      <c r="F164" s="37" t="n">
        <f aca="false">IFERROR(STDEV(F151:F160),"N/M")</f>
        <v>0.18420961625251</v>
      </c>
      <c r="G164" s="37" t="n">
        <f aca="false">IFERROR(STDEV(G151:G160),"N/M")</f>
        <v>0.20147106814707</v>
      </c>
      <c r="H164" s="37" t="n">
        <f aca="false">IFERROR(STDEV(H151:H160),"N/M")</f>
        <v>0.162913895779649</v>
      </c>
      <c r="I164" s="37" t="n">
        <f aca="false">IFERROR(STDEV(I151:I160),"N/M")</f>
        <v>0.188920297312618</v>
      </c>
    </row>
    <row r="165" customFormat="false" ht="15" hidden="false" customHeight="false" outlineLevel="0" collapsed="false">
      <c r="A165" s="35" t="s">
        <v>102</v>
      </c>
      <c r="B165" s="37" t="n">
        <f aca="false">IFERROR(MIN(B151:B160),"N/M")</f>
        <v>0.00593785945256329</v>
      </c>
      <c r="C165" s="37" t="n">
        <f aca="false">IFERROR(MIN(C151:C160),"N/M")</f>
        <v>0.0582517152883256</v>
      </c>
      <c r="D165" s="37" t="n">
        <f aca="false">IFERROR(MIN(D151:D160),"N/M")</f>
        <v>0</v>
      </c>
      <c r="E165" s="37" t="n">
        <f aca="false">IFERROR(MIN(E151:E160),"N/M")</f>
        <v>0</v>
      </c>
      <c r="F165" s="37" t="n">
        <f aca="false">IFERROR(MIN(F151:F160),"N/M")</f>
        <v>0.0668677376522279</v>
      </c>
      <c r="G165" s="37" t="n">
        <f aca="false">IFERROR(MIN(G151:G160),"N/M")</f>
        <v>0.0595043537243926</v>
      </c>
      <c r="H165" s="37" t="n">
        <f aca="false">IFERROR(MIN(H151:H160),"N/M")</f>
        <v>0.0383296595640461</v>
      </c>
      <c r="I165" s="37" t="n">
        <f aca="false">IFERROR(MIN(I151:I160),"N/M")</f>
        <v>0.0526426237710971</v>
      </c>
    </row>
    <row r="166" customFormat="false" ht="15" hidden="false" customHeight="false" outlineLevel="0" collapsed="false">
      <c r="A166" s="35" t="s">
        <v>103</v>
      </c>
      <c r="B166" s="37" t="n">
        <f aca="false">IFERROR(MAX(B151:B160),"N/M")</f>
        <v>0.573787019533712</v>
      </c>
      <c r="C166" s="37" t="n">
        <f aca="false">IFERROR(MAX(C151:C160),"N/M")</f>
        <v>0.730361743671508</v>
      </c>
      <c r="D166" s="37" t="n">
        <f aca="false">IFERROR(MAX(D151:D160),"N/M")</f>
        <v>1.12820168883098</v>
      </c>
      <c r="E166" s="37" t="n">
        <f aca="false">IFERROR(MAX(E151:E160),"N/M")</f>
        <v>0.609664443071336</v>
      </c>
      <c r="F166" s="37" t="n">
        <f aca="false">IFERROR(MAX(F151:F160),"N/M")</f>
        <v>0.660877608984548</v>
      </c>
      <c r="G166" s="37" t="n">
        <f aca="false">IFERROR(MAX(G151:G160),"N/M")</f>
        <v>0.707641079973455</v>
      </c>
      <c r="H166" s="37" t="n">
        <f aca="false">IFERROR(MAX(H151:H160),"N/M")</f>
        <v>0.534944250217816</v>
      </c>
      <c r="I166" s="37" t="n">
        <f aca="false">IFERROR(MAX(I151:I160),"N/M")</f>
        <v>0.690574950923783</v>
      </c>
    </row>
    <row r="168" customFormat="false" ht="15" hidden="false" customHeight="false" outlineLevel="0" collapsed="false">
      <c r="A168" s="16" t="s">
        <v>188</v>
      </c>
      <c r="B168" s="17"/>
      <c r="C168" s="17"/>
      <c r="D168" s="17"/>
      <c r="E168" s="17"/>
      <c r="F168" s="17"/>
      <c r="G168" s="17"/>
      <c r="H168" s="17"/>
      <c r="I168" s="17"/>
      <c r="J168" s="17"/>
      <c r="K168" s="17"/>
      <c r="L168" s="17"/>
      <c r="M168" s="17"/>
    </row>
    <row r="169" customFormat="false" ht="15" hidden="false" customHeight="false" outlineLevel="0" collapsed="false">
      <c r="A169" s="18" t="s">
        <v>110</v>
      </c>
      <c r="B169" s="20" t="n">
        <f aca="false">Tiger!D90</f>
        <v>0.410316661071948</v>
      </c>
      <c r="C169" s="20" t="n">
        <f aca="false">Tiger!E90</f>
        <v>0.262732701088866</v>
      </c>
      <c r="D169" s="20" t="n">
        <f aca="false">Tiger!F90</f>
        <v>0</v>
      </c>
      <c r="E169" s="20" t="n">
        <f aca="false">Tiger!G90</f>
        <v>0</v>
      </c>
      <c r="F169" s="20" t="n">
        <f aca="false">Tiger!H90</f>
        <v>0.0979897452592171</v>
      </c>
      <c r="G169" s="20" t="n">
        <f aca="false">Tiger!I90</f>
        <v>0.19909659485754</v>
      </c>
      <c r="H169" s="20" t="n">
        <f aca="false">Tiger!J90</f>
        <v>0.240649325992026</v>
      </c>
      <c r="I169" s="21" t="n">
        <f aca="false">Tiger!K90</f>
        <v>0.1729692897528</v>
      </c>
      <c r="J169" s="34" t="str">
        <f aca="false">IF(AND(ISNUMBER(H169),ISNUMBER(H$181)),IF(H169&gt;H$181,"Above",IF(H169&lt;H$181,"Below","At")),"-")</f>
        <v>Below</v>
      </c>
      <c r="K169" s="34" t="str">
        <f aca="false">IF(J169="Below","Better",IF(J169="Above","Weaker","-"))</f>
        <v>Better</v>
      </c>
      <c r="L169" s="34" t="n">
        <f aca="false">IF(ISNUMBER(H169),RANK(H169,H$169:H$178,1),"-")</f>
        <v>4</v>
      </c>
      <c r="N169" s="34" t="str">
        <f aca="false">IF(AND(ISNUMBER(I169),ISNUMBER(I$181)),IF(I169&gt;I$181,"Above",IF(I169&lt;I$181,"Below","At")),"-")</f>
        <v>Below</v>
      </c>
      <c r="O169" s="34" t="str">
        <f aca="false">IF(N169="Below","Better",IF(N169="Above","Weaker","-"))</f>
        <v>Better</v>
      </c>
    </row>
    <row r="170" customFormat="false" ht="15" hidden="false" customHeight="false" outlineLevel="0" collapsed="false">
      <c r="A170" s="18" t="s">
        <v>111</v>
      </c>
      <c r="B170" s="20" t="n">
        <f aca="false">Allcargo!D90</f>
        <v>0.427666816038239</v>
      </c>
      <c r="C170" s="20" t="n">
        <f aca="false">Allcargo!E90</f>
        <v>0.474916703265876</v>
      </c>
      <c r="D170" s="20" t="n">
        <f aca="false">Allcargo!F90</f>
        <v>0.422938564391402</v>
      </c>
      <c r="E170" s="20" t="n">
        <f aca="false">Allcargo!G90</f>
        <v>0.295338681730317</v>
      </c>
      <c r="F170" s="20" t="n">
        <f aca="false">Allcargo!H90</f>
        <v>0.422673355053036</v>
      </c>
      <c r="G170" s="20" t="n">
        <f aca="false">Allcargo!I90</f>
        <v>0.581533879374535</v>
      </c>
      <c r="H170" s="20" t="n">
        <f aca="false">Allcargo!J90</f>
        <v>0.546961325966851</v>
      </c>
      <c r="I170" s="21" t="n">
        <f aca="false">Allcargo!K90</f>
        <v>0.453147046545751</v>
      </c>
      <c r="J170" s="34" t="str">
        <f aca="false">IF(AND(ISNUMBER(H170),ISNUMBER(H$181)),IF(H170&gt;H$181,"Above",IF(H170&lt;H$181,"Below","At")),"-")</f>
        <v>Above</v>
      </c>
      <c r="K170" s="34" t="str">
        <f aca="false">IF(J170="Below","Better",IF(J170="Above","Weaker","-"))</f>
        <v>Weaker</v>
      </c>
      <c r="L170" s="34" t="n">
        <f aca="false">IF(ISNUMBER(H170),RANK(H170,H$169:H$178,1),"-")</f>
        <v>9</v>
      </c>
      <c r="N170" s="34" t="str">
        <f aca="false">IF(AND(ISNUMBER(I170),ISNUMBER(I$181)),IF(I170&gt;I$181,"Above",IF(I170&lt;I$181,"Below","At")),"-")</f>
        <v>Below</v>
      </c>
      <c r="O170" s="34" t="str">
        <f aca="false">IF(N170="Below","Better",IF(N170="Above","Weaker","-"))</f>
        <v>Better</v>
      </c>
    </row>
    <row r="171" customFormat="false" ht="15" hidden="false" customHeight="false" outlineLevel="0" collapsed="false">
      <c r="A171" s="18" t="s">
        <v>112</v>
      </c>
      <c r="B171" s="20" t="n">
        <f aca="false">BlueDart!D90</f>
        <v>0.519185368768551</v>
      </c>
      <c r="C171" s="20" t="n">
        <f aca="false">BlueDart!E90</f>
        <v>0.719995648286986</v>
      </c>
      <c r="D171" s="20" t="n">
        <f aca="false">BlueDart!F90</f>
        <v>0.550040507139061</v>
      </c>
      <c r="E171" s="20" t="n">
        <f aca="false">BlueDart!G90</f>
        <v>0.48708092359873</v>
      </c>
      <c r="F171" s="20" t="n">
        <f aca="false">BlueDart!H90</f>
        <v>0.439693962019818</v>
      </c>
      <c r="G171" s="20" t="n">
        <f aca="false">BlueDart!I90</f>
        <v>0.392431109534963</v>
      </c>
      <c r="H171" s="20" t="n">
        <f aca="false">BlueDart!J90</f>
        <v>0.391231802873167</v>
      </c>
      <c r="I171" s="21" t="n">
        <f aca="false">BlueDart!K90</f>
        <v>0.499951331745897</v>
      </c>
      <c r="J171" s="34" t="str">
        <f aca="false">IF(AND(ISNUMBER(H171),ISNUMBER(H$181)),IF(H171&gt;H$181,"Above",IF(H171&lt;H$181,"Below","At")),"-")</f>
        <v>Above</v>
      </c>
      <c r="K171" s="34" t="str">
        <f aca="false">IF(J171="Below","Better",IF(J171="Above","Weaker","-"))</f>
        <v>Weaker</v>
      </c>
      <c r="L171" s="34" t="n">
        <f aca="false">IF(ISNUMBER(H171),RANK(H171,H$169:H$178,1),"-")</f>
        <v>6</v>
      </c>
      <c r="N171" s="34" t="str">
        <f aca="false">IF(AND(ISNUMBER(I171),ISNUMBER(I$181)),IF(I171&gt;I$181,"Above",IF(I171&lt;I$181,"Below","At")),"-")</f>
        <v>Above</v>
      </c>
      <c r="O171" s="34" t="str">
        <f aca="false">IF(N171="Below","Better",IF(N171="Above","Weaker","-"))</f>
        <v>Weaker</v>
      </c>
    </row>
    <row r="172" customFormat="false" ht="15" hidden="false" customHeight="false" outlineLevel="0" collapsed="false">
      <c r="A172" s="18" t="s">
        <v>67</v>
      </c>
      <c r="B172" s="20" t="n">
        <f aca="false">CONCOR!D90</f>
        <v>0.00691966271586876</v>
      </c>
      <c r="C172" s="20" t="n">
        <f aca="false">CONCOR!E90</f>
        <v>0.0662619074461581</v>
      </c>
      <c r="D172" s="20" t="n">
        <f aca="false">CONCOR!F90</f>
        <v>0.0639884151101356</v>
      </c>
      <c r="E172" s="20" t="n">
        <f aca="false">CONCOR!G90</f>
        <v>0.0648614247621967</v>
      </c>
      <c r="F172" s="20" t="n">
        <f aca="false">CONCOR!H90</f>
        <v>0.0735548205558572</v>
      </c>
      <c r="G172" s="20" t="n">
        <f aca="false">CONCOR!I90</f>
        <v>0.0650506081740281</v>
      </c>
      <c r="H172" s="20" t="n">
        <f aca="false">CONCOR!J90</f>
        <v>0.0693589953778407</v>
      </c>
      <c r="I172" s="21" t="n">
        <f aca="false">CONCOR!K90</f>
        <v>0.0585708334488693</v>
      </c>
      <c r="J172" s="34" t="str">
        <f aca="false">IF(AND(ISNUMBER(H172),ISNUMBER(H$181)),IF(H172&gt;H$181,"Above",IF(H172&lt;H$181,"Below","At")),"-")</f>
        <v>Below</v>
      </c>
      <c r="K172" s="34" t="str">
        <f aca="false">IF(J172="Below","Better",IF(J172="Above","Weaker","-"))</f>
        <v>Better</v>
      </c>
      <c r="L172" s="34" t="n">
        <f aca="false">IF(ISNUMBER(H172),RANK(H172,H$169:H$178,1),"-")</f>
        <v>2</v>
      </c>
      <c r="N172" s="34" t="str">
        <f aca="false">IF(AND(ISNUMBER(I172),ISNUMBER(I$181)),IF(I172&gt;I$181,"Above",IF(I172&lt;I$181,"Below","At")),"-")</f>
        <v>Below</v>
      </c>
      <c r="O172" s="34" t="str">
        <f aca="false">IF(N172="Below","Better",IF(N172="Above","Weaker","-"))</f>
        <v>Better</v>
      </c>
    </row>
    <row r="173" customFormat="false" ht="15" hidden="false" customHeight="false" outlineLevel="0" collapsed="false">
      <c r="A173" s="18" t="s">
        <v>113</v>
      </c>
      <c r="B173" s="20" t="n">
        <f aca="false">JetFreight!D90</f>
        <v>0.683535020168684</v>
      </c>
      <c r="C173" s="20" t="n">
        <f aca="false">JetFreight!E90</f>
        <v>0.590684410646388</v>
      </c>
      <c r="D173" s="20" t="n">
        <f aca="false">JetFreight!F90</f>
        <v>0.668885869565218</v>
      </c>
      <c r="E173" s="20" t="n">
        <f aca="false">JetFreight!G90</f>
        <v>0.494435870359841</v>
      </c>
      <c r="F173" s="20" t="n">
        <f aca="false">JetFreight!H90</f>
        <v>0.471761920865742</v>
      </c>
      <c r="G173" s="20" t="n">
        <f aca="false">JetFreight!I90</f>
        <v>0.493367073077218</v>
      </c>
      <c r="H173" s="20" t="n">
        <f aca="false">JetFreight!J90</f>
        <v>0.504357891869808</v>
      </c>
      <c r="I173" s="21" t="n">
        <f aca="false">JetFreight!K90</f>
        <v>0.558146865221843</v>
      </c>
      <c r="J173" s="34" t="str">
        <f aca="false">IF(AND(ISNUMBER(H173),ISNUMBER(H$181)),IF(H173&gt;H$181,"Above",IF(H173&lt;H$181,"Below","At")),"-")</f>
        <v>Above</v>
      </c>
      <c r="K173" s="34" t="str">
        <f aca="false">IF(J173="Below","Better",IF(J173="Above","Weaker","-"))</f>
        <v>Weaker</v>
      </c>
      <c r="L173" s="34" t="n">
        <f aca="false">IF(ISNUMBER(H173),RANK(H173,H$169:H$178,1),"-")</f>
        <v>8</v>
      </c>
      <c r="N173" s="34" t="str">
        <f aca="false">IF(AND(ISNUMBER(I173),ISNUMBER(I$181)),IF(I173&gt;I$181,"Above",IF(I173&lt;I$181,"Below","At")),"-")</f>
        <v>Above</v>
      </c>
      <c r="O173" s="34" t="str">
        <f aca="false">IF(N173="Below","Better",IF(N173="Above","Weaker","-"))</f>
        <v>Weaker</v>
      </c>
    </row>
    <row r="174" customFormat="false" ht="15" hidden="false" customHeight="false" outlineLevel="0" collapsed="false">
      <c r="A174" s="18" t="s">
        <v>114</v>
      </c>
      <c r="B174" s="20" t="n">
        <f aca="false">Patel!D90</f>
        <v>0.337802503477051</v>
      </c>
      <c r="C174" s="20" t="n">
        <f aca="false">Patel!E90</f>
        <v>0.346080520354379</v>
      </c>
      <c r="D174" s="20" t="n">
        <f aca="false">Patel!F90</f>
        <v>0.29036552892762</v>
      </c>
      <c r="E174" s="20" t="n">
        <f aca="false">Patel!G90</f>
        <v>0.209869083585096</v>
      </c>
      <c r="F174" s="20" t="n">
        <f aca="false">Patel!H90</f>
        <v>0.168142209829209</v>
      </c>
      <c r="G174" s="20" t="n">
        <f aca="false">Patel!I90</f>
        <v>0.0970088324797744</v>
      </c>
      <c r="H174" s="20" t="n">
        <f aca="false">Patel!J90</f>
        <v>0.0482354754199414</v>
      </c>
      <c r="I174" s="21" t="n">
        <f aca="false">Patel!K90</f>
        <v>0.213929164867582</v>
      </c>
      <c r="J174" s="34" t="str">
        <f aca="false">IF(AND(ISNUMBER(H174),ISNUMBER(H$181)),IF(H174&gt;H$181,"Above",IF(H174&lt;H$181,"Below","At")),"-")</f>
        <v>Below</v>
      </c>
      <c r="K174" s="34" t="str">
        <f aca="false">IF(J174="Below","Better",IF(J174="Above","Weaker","-"))</f>
        <v>Better</v>
      </c>
      <c r="L174" s="34" t="n">
        <f aca="false">IF(ISNUMBER(H174),RANK(H174,H$169:H$178,1),"-")</f>
        <v>1</v>
      </c>
      <c r="N174" s="34" t="str">
        <f aca="false">IF(AND(ISNUMBER(I174),ISNUMBER(I$181)),IF(I174&gt;I$181,"Above",IF(I174&lt;I$181,"Below","At")),"-")</f>
        <v>Below</v>
      </c>
      <c r="O174" s="34" t="str">
        <f aca="false">IF(N174="Below","Better",IF(N174="Above","Weaker","-"))</f>
        <v>Better</v>
      </c>
    </row>
    <row r="175" customFormat="false" ht="15" hidden="false" customHeight="false" outlineLevel="0" collapsed="false">
      <c r="A175" s="18" t="s">
        <v>115</v>
      </c>
      <c r="B175" s="20" t="n">
        <f aca="false">Sical!D90</f>
        <v>0.722352409723595</v>
      </c>
      <c r="C175" s="20" t="n">
        <f aca="false">Sical!E90</f>
        <v>2.11981489554341</v>
      </c>
      <c r="D175" s="20" t="n">
        <f aca="false">Sical!F90</f>
        <v>2.11430452477855</v>
      </c>
      <c r="E175" s="20" t="n">
        <f aca="false">Sical!G90</f>
        <v>0.900333339540774</v>
      </c>
      <c r="F175" s="20" t="n">
        <f aca="false">Sical!H90</f>
        <v>0.946414911282348</v>
      </c>
      <c r="G175" s="20" t="n">
        <f aca="false">Sical!I90</f>
        <v>1.00791005422616</v>
      </c>
      <c r="H175" s="20" t="n">
        <f aca="false">Sical!J90</f>
        <v>0.78698445663108</v>
      </c>
      <c r="I175" s="21" t="n">
        <f aca="false">Sical!K90</f>
        <v>1.22830208453227</v>
      </c>
      <c r="J175" s="34" t="str">
        <f aca="false">IF(AND(ISNUMBER(H175),ISNUMBER(H$181)),IF(H175&gt;H$181,"Above",IF(H175&lt;H$181,"Below","At")),"-")</f>
        <v>Above</v>
      </c>
      <c r="K175" s="34" t="str">
        <f aca="false">IF(J175="Below","Better",IF(J175="Above","Weaker","-"))</f>
        <v>Weaker</v>
      </c>
      <c r="L175" s="34" t="n">
        <f aca="false">IF(ISNUMBER(H175),RANK(H175,H$169:H$178,1),"-")</f>
        <v>10</v>
      </c>
      <c r="N175" s="34" t="str">
        <f aca="false">IF(AND(ISNUMBER(I175),ISNUMBER(I$181)),IF(I175&gt;I$181,"Above",IF(I175&lt;I$181,"Below","At")),"-")</f>
        <v>Above</v>
      </c>
      <c r="O175" s="34" t="str">
        <f aca="false">IF(N175="Below","Better",IF(N175="Above","Weaker","-"))</f>
        <v>Weaker</v>
      </c>
    </row>
    <row r="176" customFormat="false" ht="15" hidden="false" customHeight="false" outlineLevel="0" collapsed="false">
      <c r="A176" s="18" t="s">
        <v>86</v>
      </c>
      <c r="B176" s="20" t="n">
        <f aca="false">TCI!D90</f>
        <v>0.291886247008866</v>
      </c>
      <c r="C176" s="20" t="n">
        <f aca="false">TCI!E90</f>
        <v>0.202754926083193</v>
      </c>
      <c r="D176" s="20" t="n">
        <f aca="false">TCI!F90</f>
        <v>0.0630392201819837</v>
      </c>
      <c r="E176" s="20" t="n">
        <f aca="false">TCI!G90</f>
        <v>0.0512192946266294</v>
      </c>
      <c r="F176" s="20" t="n">
        <f aca="false">TCI!H90</f>
        <v>0.0881365187713311</v>
      </c>
      <c r="G176" s="20" t="n">
        <f aca="false">TCI!I90</f>
        <v>0.100917546033773</v>
      </c>
      <c r="H176" s="20" t="n">
        <f aca="false">TCI!J90</f>
        <v>0.1085328951254</v>
      </c>
      <c r="I176" s="21" t="n">
        <f aca="false">TCI!K90</f>
        <v>0.129498092547311</v>
      </c>
      <c r="J176" s="34" t="str">
        <f aca="false">IF(AND(ISNUMBER(H176),ISNUMBER(H$181)),IF(H176&gt;H$181,"Above",IF(H176&lt;H$181,"Below","At")),"-")</f>
        <v>Below</v>
      </c>
      <c r="K176" s="34" t="str">
        <f aca="false">IF(J176="Below","Better",IF(J176="Above","Weaker","-"))</f>
        <v>Better</v>
      </c>
      <c r="L176" s="34" t="n">
        <f aca="false">IF(ISNUMBER(H176),RANK(H176,H$169:H$178,1),"-")</f>
        <v>3</v>
      </c>
      <c r="N176" s="34" t="str">
        <f aca="false">IF(AND(ISNUMBER(I176),ISNUMBER(I$181)),IF(I176&gt;I$181,"Above",IF(I176&lt;I$181,"Below","At")),"-")</f>
        <v>Below</v>
      </c>
      <c r="O176" s="34" t="str">
        <f aca="false">IF(N176="Below","Better",IF(N176="Above","Weaker","-"))</f>
        <v>Better</v>
      </c>
    </row>
    <row r="177" customFormat="false" ht="15" hidden="false" customHeight="false" outlineLevel="0" collapsed="false">
      <c r="A177" s="18" t="s">
        <v>116</v>
      </c>
      <c r="B177" s="20" t="n">
        <f aca="false">Shreeji!D90</f>
        <v>0.643260808137892</v>
      </c>
      <c r="C177" s="20" t="n">
        <f aca="false">Shreeji!E90</f>
        <v>0.662758235622557</v>
      </c>
      <c r="D177" s="20" t="n">
        <f aca="false">Shreeji!F90</f>
        <v>0.582748765913224</v>
      </c>
      <c r="E177" s="20" t="n">
        <f aca="false">Shreeji!G90</f>
        <v>0.52973035261581</v>
      </c>
      <c r="F177" s="20" t="n">
        <f aca="false">Shreeji!H90</f>
        <v>0.45526238925129</v>
      </c>
      <c r="G177" s="20" t="n">
        <f aca="false">Shreeji!I90</f>
        <v>0.422615415904007</v>
      </c>
      <c r="H177" s="20" t="n">
        <f aca="false">Shreeji!J90</f>
        <v>0.399980035935316</v>
      </c>
      <c r="I177" s="21" t="n">
        <f aca="false">Shreeji!K90</f>
        <v>0.528050857625728</v>
      </c>
      <c r="J177" s="34" t="str">
        <f aca="false">IF(AND(ISNUMBER(H177),ISNUMBER(H$181)),IF(H177&gt;H$181,"Above",IF(H177&lt;H$181,"Below","At")),"-")</f>
        <v>Above</v>
      </c>
      <c r="K177" s="34" t="str">
        <f aca="false">IF(J177="Below","Better",IF(J177="Above","Weaker","-"))</f>
        <v>Weaker</v>
      </c>
      <c r="L177" s="34" t="n">
        <f aca="false">IF(ISNUMBER(H177),RANK(H177,H$169:H$178,1),"-")</f>
        <v>7</v>
      </c>
      <c r="N177" s="34" t="str">
        <f aca="false">IF(AND(ISNUMBER(I177),ISNUMBER(I$181)),IF(I177&gt;I$181,"Above",IF(I177&lt;I$181,"Below","At")),"-")</f>
        <v>Above</v>
      </c>
      <c r="O177" s="34" t="str">
        <f aca="false">IF(N177="Below","Better",IF(N177="Above","Weaker","-"))</f>
        <v>Weaker</v>
      </c>
    </row>
    <row r="178" customFormat="false" ht="15" hidden="false" customHeight="false" outlineLevel="0" collapsed="false">
      <c r="A178" s="18" t="s">
        <v>117</v>
      </c>
      <c r="B178" s="20" t="n">
        <f aca="false">MahindraLog!D90</f>
        <v>0.269857229036799</v>
      </c>
      <c r="C178" s="20" t="n">
        <f aca="false">MahindraLog!E90</f>
        <v>0.321751796929102</v>
      </c>
      <c r="D178" s="20" t="n">
        <f aca="false">MahindraLog!F90</f>
        <v>0.424091052797977</v>
      </c>
      <c r="E178" s="20" t="n">
        <f aca="false">MahindraLog!G90</f>
        <v>0.597576877883816</v>
      </c>
      <c r="F178" s="20" t="n">
        <f aca="false">MahindraLog!H90</f>
        <v>0.600189972072482</v>
      </c>
      <c r="G178" s="20" t="n">
        <f aca="false">MahindraLog!I90</f>
        <v>0.664886045336966</v>
      </c>
      <c r="H178" s="20" t="n">
        <f aca="false">MahindraLog!J90</f>
        <v>0.356119110126992</v>
      </c>
      <c r="I178" s="21" t="n">
        <f aca="false">MahindraLog!K90</f>
        <v>0.462067440597733</v>
      </c>
      <c r="J178" s="34" t="str">
        <f aca="false">IF(AND(ISNUMBER(H178),ISNUMBER(H$181)),IF(H178&gt;H$181,"Above",IF(H178&lt;H$181,"Below","At")),"-")</f>
        <v>Below</v>
      </c>
      <c r="K178" s="34" t="str">
        <f aca="false">IF(J178="Below","Better",IF(J178="Above","Weaker","-"))</f>
        <v>Better</v>
      </c>
      <c r="L178" s="34" t="n">
        <f aca="false">IF(ISNUMBER(H178),RANK(H178,H$169:H$178,1),"-")</f>
        <v>5</v>
      </c>
      <c r="N178" s="34" t="str">
        <f aca="false">IF(AND(ISNUMBER(I178),ISNUMBER(I$181)),IF(I178&gt;I$181,"Above",IF(I178&lt;I$181,"Below","At")),"-")</f>
        <v>Above</v>
      </c>
      <c r="O178" s="34" t="str">
        <f aca="false">IF(N178="Below","Better",IF(N178="Above","Weaker","-"))</f>
        <v>Weaker</v>
      </c>
    </row>
    <row r="179" customFormat="false" ht="15" hidden="false" customHeight="false" outlineLevel="0" collapsed="false">
      <c r="A179" s="12" t="s">
        <v>176</v>
      </c>
      <c r="B179" s="21" t="n">
        <f aca="false">Industry!D90</f>
        <v>0.222734725163369</v>
      </c>
      <c r="C179" s="21" t="n">
        <f aca="false">Industry!E90</f>
        <v>0.30517479019942</v>
      </c>
      <c r="D179" s="21" t="n">
        <f aca="false">Industry!F90</f>
        <v>0.288627172762573</v>
      </c>
      <c r="E179" s="21" t="n">
        <f aca="false">Industry!G90</f>
        <v>0.20576417434688</v>
      </c>
      <c r="F179" s="21" t="n">
        <f aca="false">Industry!H90</f>
        <v>0.226318808580644</v>
      </c>
      <c r="G179" s="21" t="n">
        <f aca="false">Industry!I90</f>
        <v>0.205563140816235</v>
      </c>
      <c r="H179" s="21" t="n">
        <f aca="false">Industry!J90</f>
        <v>0.1840782752576</v>
      </c>
      <c r="I179" s="21" t="n">
        <f aca="false">Industry!K90</f>
        <v>0.23403729816096</v>
      </c>
    </row>
    <row r="180" customFormat="false" ht="15" hidden="false" customHeight="false" outlineLevel="0" collapsed="false">
      <c r="A180" s="35" t="s">
        <v>177</v>
      </c>
      <c r="B180" s="37" t="n">
        <f aca="false">IFERROR(AVERAGE(B169:B178),"N/M")</f>
        <v>0.431278272614749</v>
      </c>
      <c r="C180" s="37" t="n">
        <f aca="false">IFERROR(AVERAGE(C169:C178),"N/M")</f>
        <v>0.576775174526691</v>
      </c>
      <c r="D180" s="37" t="n">
        <f aca="false">IFERROR(AVERAGE(D169:D178),"N/M")</f>
        <v>0.518040244880517</v>
      </c>
      <c r="E180" s="37" t="n">
        <f aca="false">IFERROR(AVERAGE(E169:E178),"N/M")</f>
        <v>0.363044584870321</v>
      </c>
      <c r="F180" s="37" t="n">
        <f aca="false">IFERROR(AVERAGE(F169:F178),"N/M")</f>
        <v>0.376381980496033</v>
      </c>
      <c r="G180" s="37" t="n">
        <f aca="false">IFERROR(AVERAGE(G169:G178),"N/M")</f>
        <v>0.402481715899896</v>
      </c>
      <c r="H180" s="37" t="n">
        <f aca="false">IFERROR(AVERAGE(H169:H178),"N/M")</f>
        <v>0.345241131531842</v>
      </c>
      <c r="I180" s="37" t="n">
        <f aca="false">IFERROR(AVERAGE(I169:I178),"N/M")</f>
        <v>0.430463300688579</v>
      </c>
    </row>
    <row r="181" customFormat="false" ht="15" hidden="false" customHeight="false" outlineLevel="0" collapsed="false">
      <c r="A181" s="35" t="s">
        <v>178</v>
      </c>
      <c r="B181" s="37" t="n">
        <f aca="false">IFERROR(MEDIAN(B169:B178),"N/M")</f>
        <v>0.418991738555094</v>
      </c>
      <c r="C181" s="37" t="n">
        <f aca="false">IFERROR(MEDIAN(C169:C178),"N/M")</f>
        <v>0.410498611810128</v>
      </c>
      <c r="D181" s="37" t="n">
        <f aca="false">IFERROR(MEDIAN(D169:D178),"N/M")</f>
        <v>0.423514808594689</v>
      </c>
      <c r="E181" s="37" t="n">
        <f aca="false">IFERROR(MEDIAN(E169:E178),"N/M")</f>
        <v>0.391209802664524</v>
      </c>
      <c r="F181" s="37" t="n">
        <f aca="false">IFERROR(MEDIAN(F169:F178),"N/M")</f>
        <v>0.431183658536427</v>
      </c>
      <c r="G181" s="37" t="n">
        <f aca="false">IFERROR(MEDIAN(G169:G178),"N/M")</f>
        <v>0.407523262719485</v>
      </c>
      <c r="H181" s="37" t="n">
        <f aca="false">IFERROR(MEDIAN(H169:H178),"N/M")</f>
        <v>0.37367545650008</v>
      </c>
      <c r="I181" s="37" t="n">
        <f aca="false">IFERROR(MEDIAN(I169:I178),"N/M")</f>
        <v>0.457607243571742</v>
      </c>
    </row>
    <row r="182" customFormat="false" ht="15" hidden="false" customHeight="false" outlineLevel="0" collapsed="false">
      <c r="A182" s="35" t="s">
        <v>179</v>
      </c>
      <c r="B182" s="37" t="n">
        <f aca="false">IFERROR(STDEV(B169:B178),"N/M")</f>
        <v>0.220045233734071</v>
      </c>
      <c r="C182" s="37" t="n">
        <f aca="false">IFERROR(STDEV(C169:C178),"N/M")</f>
        <v>0.580884378471578</v>
      </c>
      <c r="D182" s="37" t="n">
        <f aca="false">IFERROR(STDEV(D169:D178),"N/M")</f>
        <v>0.608028372123394</v>
      </c>
      <c r="E182" s="37" t="n">
        <f aca="false">IFERROR(STDEV(E169:E178),"N/M")</f>
        <v>0.288697041027713</v>
      </c>
      <c r="F182" s="37" t="n">
        <f aca="false">IFERROR(STDEV(F169:F178),"N/M")</f>
        <v>0.27731932722592</v>
      </c>
      <c r="G182" s="37" t="n">
        <f aca="false">IFERROR(STDEV(G169:G178),"N/M")</f>
        <v>0.301054738819065</v>
      </c>
      <c r="H182" s="37" t="n">
        <f aca="false">IFERROR(STDEV(H169:H178),"N/M")</f>
        <v>0.235152365083009</v>
      </c>
      <c r="I182" s="37" t="n">
        <f aca="false">IFERROR(STDEV(I169:I178),"N/M")</f>
        <v>0.33512673733919</v>
      </c>
    </row>
    <row r="183" customFormat="false" ht="15" hidden="false" customHeight="false" outlineLevel="0" collapsed="false">
      <c r="A183" s="35" t="s">
        <v>102</v>
      </c>
      <c r="B183" s="37" t="n">
        <f aca="false">IFERROR(MIN(B169:B178),"N/M")</f>
        <v>0.00691966271586876</v>
      </c>
      <c r="C183" s="37" t="n">
        <f aca="false">IFERROR(MIN(C169:C178),"N/M")</f>
        <v>0.0662619074461581</v>
      </c>
      <c r="D183" s="37" t="n">
        <f aca="false">IFERROR(MIN(D169:D178),"N/M")</f>
        <v>0</v>
      </c>
      <c r="E183" s="37" t="n">
        <f aca="false">IFERROR(MIN(E169:E178),"N/M")</f>
        <v>0</v>
      </c>
      <c r="F183" s="37" t="n">
        <f aca="false">IFERROR(MIN(F169:F178),"N/M")</f>
        <v>0.0735548205558572</v>
      </c>
      <c r="G183" s="37" t="n">
        <f aca="false">IFERROR(MIN(G169:G178),"N/M")</f>
        <v>0.0650506081740281</v>
      </c>
      <c r="H183" s="37" t="n">
        <f aca="false">IFERROR(MIN(H169:H178),"N/M")</f>
        <v>0.0482354754199414</v>
      </c>
      <c r="I183" s="37" t="n">
        <f aca="false">IFERROR(MIN(I169:I178),"N/M")</f>
        <v>0.0585708334488693</v>
      </c>
    </row>
    <row r="184" customFormat="false" ht="15" hidden="false" customHeight="false" outlineLevel="0" collapsed="false">
      <c r="A184" s="35" t="s">
        <v>103</v>
      </c>
      <c r="B184" s="37" t="n">
        <f aca="false">IFERROR(MAX(B169:B178),"N/M")</f>
        <v>0.722352409723595</v>
      </c>
      <c r="C184" s="37" t="n">
        <f aca="false">IFERROR(MAX(C169:C178),"N/M")</f>
        <v>2.11981489554341</v>
      </c>
      <c r="D184" s="37" t="n">
        <f aca="false">IFERROR(MAX(D169:D178),"N/M")</f>
        <v>2.11430452477855</v>
      </c>
      <c r="E184" s="37" t="n">
        <f aca="false">IFERROR(MAX(E169:E178),"N/M")</f>
        <v>0.900333339540774</v>
      </c>
      <c r="F184" s="37" t="n">
        <f aca="false">IFERROR(MAX(F169:F178),"N/M")</f>
        <v>0.946414911282348</v>
      </c>
      <c r="G184" s="37" t="n">
        <f aca="false">IFERROR(MAX(G169:G178),"N/M")</f>
        <v>1.00791005422616</v>
      </c>
      <c r="H184" s="37" t="n">
        <f aca="false">IFERROR(MAX(H169:H178),"N/M")</f>
        <v>0.78698445663108</v>
      </c>
      <c r="I184" s="37" t="n">
        <f aca="false">IFERROR(MAX(I169:I178),"N/M")</f>
        <v>1.22830208453227</v>
      </c>
    </row>
    <row r="186" customFormat="false" ht="15" hidden="false" customHeight="false" outlineLevel="0" collapsed="false">
      <c r="A186" s="16" t="s">
        <v>189</v>
      </c>
      <c r="B186" s="17"/>
      <c r="C186" s="17"/>
      <c r="D186" s="17"/>
      <c r="E186" s="17"/>
      <c r="F186" s="17"/>
      <c r="G186" s="17"/>
      <c r="H186" s="17"/>
      <c r="I186" s="17"/>
      <c r="J186" s="17"/>
      <c r="K186" s="17"/>
      <c r="L186" s="17"/>
      <c r="M186" s="17"/>
    </row>
    <row r="187" customFormat="false" ht="15" hidden="false" customHeight="false" outlineLevel="0" collapsed="false">
      <c r="A187" s="18" t="s">
        <v>110</v>
      </c>
      <c r="B187" s="23" t="n">
        <f aca="false">Tiger!D91</f>
        <v>0.501379507182951</v>
      </c>
      <c r="C187" s="23" t="n">
        <f aca="false">Tiger!E91</f>
        <v>0.500655933214073</v>
      </c>
      <c r="D187" s="23" t="n">
        <f aca="false">Tiger!F91</f>
        <v>0.613855670103093</v>
      </c>
      <c r="E187" s="23" t="n">
        <f aca="false">Tiger!G91</f>
        <v>0.816919086268931</v>
      </c>
      <c r="F187" s="23" t="n">
        <f aca="false">Tiger!H91</f>
        <v>0.771904164925477</v>
      </c>
      <c r="G187" s="23" t="n">
        <f aca="false">Tiger!I91</f>
        <v>0.706730032193776</v>
      </c>
      <c r="H187" s="23" t="n">
        <f aca="false">Tiger!J91</f>
        <v>0.609169141725687</v>
      </c>
      <c r="I187" s="24" t="n">
        <f aca="false">Tiger!K91</f>
        <v>0.645801933659141</v>
      </c>
      <c r="J187" s="34" t="str">
        <f aca="false">IF(AND(ISNUMBER(H187),ISNUMBER(H$199)),IF(H187&gt;H$199,"Above",IF(H187&lt;H$199,"Below","At")),"-")</f>
        <v>Above</v>
      </c>
      <c r="K187" s="34" t="str">
        <f aca="false">IF(J187="Above","Better",IF(J187="Below","Weaker","-"))</f>
        <v>Better</v>
      </c>
      <c r="L187" s="34" t="n">
        <f aca="false">IF(ISNUMBER(H187),RANK(H187,H$187:H$196,0),"-")</f>
        <v>4</v>
      </c>
      <c r="N187" s="34" t="str">
        <f aca="false">IF(AND(ISNUMBER(I187),ISNUMBER(I$199)),IF(I187&gt;I$199,"Above",IF(I187&lt;I$199,"Below","At")),"-")</f>
        <v>Above</v>
      </c>
      <c r="O187" s="34" t="str">
        <f aca="false">IF(N187="Above","Better",IF(N187="Below","Weaker","-"))</f>
        <v>Better</v>
      </c>
    </row>
    <row r="188" customFormat="false" ht="15" hidden="false" customHeight="false" outlineLevel="0" collapsed="false">
      <c r="A188" s="18" t="s">
        <v>111</v>
      </c>
      <c r="B188" s="23" t="n">
        <f aca="false">Allcargo!D91</f>
        <v>0.404777265918875</v>
      </c>
      <c r="C188" s="23" t="n">
        <f aca="false">Allcargo!E91</f>
        <v>0.312246095112036</v>
      </c>
      <c r="D188" s="23" t="n">
        <f aca="false">Allcargo!F91</f>
        <v>0.329212827988338</v>
      </c>
      <c r="E188" s="23" t="n">
        <f aca="false">Allcargo!G91</f>
        <v>0.389196290892495</v>
      </c>
      <c r="F188" s="23" t="n">
        <f aca="false">Allcargo!H91</f>
        <v>0.35201187132511</v>
      </c>
      <c r="G188" s="23" t="n">
        <f aca="false">Allcargo!I91</f>
        <v>0.322802986789202</v>
      </c>
      <c r="H188" s="23" t="n">
        <f aca="false">Allcargo!J91</f>
        <v>0.330645161290323</v>
      </c>
      <c r="I188" s="24" t="n">
        <f aca="false">Allcargo!K91</f>
        <v>0.348698928473768</v>
      </c>
      <c r="J188" s="34" t="str">
        <f aca="false">IF(AND(ISNUMBER(H188),ISNUMBER(H$199)),IF(H188&gt;H$199,"Above",IF(H188&lt;H$199,"Below","At")),"-")</f>
        <v>Below</v>
      </c>
      <c r="K188" s="34" t="str">
        <f aca="false">IF(J188="Above","Better",IF(J188="Below","Weaker","-"))</f>
        <v>Weaker</v>
      </c>
      <c r="L188" s="34" t="n">
        <f aca="false">IF(ISNUMBER(H188),RANK(H188,H$187:H$196,0),"-")</f>
        <v>9</v>
      </c>
      <c r="N188" s="34" t="str">
        <f aca="false">IF(AND(ISNUMBER(I188),ISNUMBER(I$199)),IF(I188&gt;I$199,"Above",IF(I188&lt;I$199,"Below","At")),"-")</f>
        <v>Below</v>
      </c>
      <c r="O188" s="34" t="str">
        <f aca="false">IF(N188="Above","Better",IF(N188="Below","Weaker","-"))</f>
        <v>Weaker</v>
      </c>
    </row>
    <row r="189" customFormat="false" ht="15" hidden="false" customHeight="false" outlineLevel="0" collapsed="false">
      <c r="A189" s="18" t="s">
        <v>112</v>
      </c>
      <c r="B189" s="23" t="n">
        <f aca="false">BlueDart!D91</f>
        <v>0.185864835901378</v>
      </c>
      <c r="C189" s="23" t="n">
        <f aca="false">BlueDart!E91</f>
        <v>0.204305194603493</v>
      </c>
      <c r="D189" s="23" t="n">
        <f aca="false">BlueDart!F91</f>
        <v>0.30825874234647</v>
      </c>
      <c r="E189" s="23" t="n">
        <f aca="false">BlueDart!G91</f>
        <v>0.365977462271644</v>
      </c>
      <c r="F189" s="23" t="n">
        <f aca="false">BlueDart!H91</f>
        <v>0.395061978098183</v>
      </c>
      <c r="G189" s="23" t="n">
        <f aca="false">BlueDart!I91</f>
        <v>0.425646233987485</v>
      </c>
      <c r="H189" s="23" t="n">
        <f aca="false">BlueDart!J91</f>
        <v>0.430553569914099</v>
      </c>
      <c r="I189" s="24" t="n">
        <f aca="false">BlueDart!K91</f>
        <v>0.330809716731822</v>
      </c>
      <c r="J189" s="34" t="str">
        <f aca="false">IF(AND(ISNUMBER(H189),ISNUMBER(H$199)),IF(H189&gt;H$199,"Above",IF(H189&lt;H$199,"Below","At")),"-")</f>
        <v>Below</v>
      </c>
      <c r="K189" s="34" t="str">
        <f aca="false">IF(J189="Above","Better",IF(J189="Below","Weaker","-"))</f>
        <v>Weaker</v>
      </c>
      <c r="L189" s="34" t="n">
        <f aca="false">IF(ISNUMBER(H189),RANK(H189,H$187:H$196,0),"-")</f>
        <v>6</v>
      </c>
      <c r="N189" s="34" t="str">
        <f aca="false">IF(AND(ISNUMBER(I189),ISNUMBER(I$199)),IF(I189&gt;I$199,"Above",IF(I189&lt;I$199,"Below","At")),"-")</f>
        <v>Below</v>
      </c>
      <c r="O189" s="34" t="str">
        <f aca="false">IF(N189="Above","Better",IF(N189="Below","Weaker","-"))</f>
        <v>Weaker</v>
      </c>
    </row>
    <row r="190" customFormat="false" ht="15" hidden="false" customHeight="false" outlineLevel="0" collapsed="false">
      <c r="A190" s="18" t="s">
        <v>67</v>
      </c>
      <c r="B190" s="23" t="n">
        <f aca="false">CONCOR!D91</f>
        <v>0.852176140662801</v>
      </c>
      <c r="C190" s="23" t="n">
        <f aca="false">CONCOR!E91</f>
        <v>0.820861451438103</v>
      </c>
      <c r="D190" s="23" t="n">
        <f aca="false">CONCOR!F91</f>
        <v>0.827206193384842</v>
      </c>
      <c r="E190" s="23" t="n">
        <f aca="false">CONCOR!G91</f>
        <v>0.833715557153106</v>
      </c>
      <c r="F190" s="23" t="n">
        <f aca="false">CONCOR!H91</f>
        <v>0.842219350684135</v>
      </c>
      <c r="G190" s="23" t="n">
        <f aca="false">CONCOR!I91</f>
        <v>0.855235037569264</v>
      </c>
      <c r="H190" s="23" t="n">
        <f aca="false">CONCOR!J91</f>
        <v>0.852829310915156</v>
      </c>
      <c r="I190" s="24" t="n">
        <f aca="false">CONCOR!K91</f>
        <v>0.84060614882963</v>
      </c>
      <c r="J190" s="34" t="str">
        <f aca="false">IF(AND(ISNUMBER(H190),ISNUMBER(H$199)),IF(H190&gt;H$199,"Above",IF(H190&lt;H$199,"Below","At")),"-")</f>
        <v>Above</v>
      </c>
      <c r="K190" s="34" t="str">
        <f aca="false">IF(J190="Above","Better",IF(J190="Below","Weaker","-"))</f>
        <v>Better</v>
      </c>
      <c r="L190" s="34" t="n">
        <f aca="false">IF(ISNUMBER(H190),RANK(H190,H$187:H$196,0),"-")</f>
        <v>1</v>
      </c>
      <c r="N190" s="34" t="str">
        <f aca="false">IF(AND(ISNUMBER(I190),ISNUMBER(I$199)),IF(I190&gt;I$199,"Above",IF(I190&lt;I$199,"Below","At")),"-")</f>
        <v>Above</v>
      </c>
      <c r="O190" s="34" t="str">
        <f aca="false">IF(N190="Above","Better",IF(N190="Below","Weaker","-"))</f>
        <v>Better</v>
      </c>
    </row>
    <row r="191" customFormat="false" ht="15" hidden="false" customHeight="false" outlineLevel="0" collapsed="false">
      <c r="A191" s="18" t="s">
        <v>113</v>
      </c>
      <c r="B191" s="23" t="n">
        <f aca="false">JetFreight!D91</f>
        <v>0.196560756178112</v>
      </c>
      <c r="C191" s="23" t="n">
        <f aca="false">JetFreight!E91</f>
        <v>0.219313435876541</v>
      </c>
      <c r="D191" s="23" t="n">
        <f aca="false">JetFreight!F91</f>
        <v>0.221525315880374</v>
      </c>
      <c r="E191" s="23" t="n">
        <f aca="false">JetFreight!G91</f>
        <v>0.404523592876641</v>
      </c>
      <c r="F191" s="23" t="n">
        <f aca="false">JetFreight!H91</f>
        <v>0.366322701688555</v>
      </c>
      <c r="G191" s="23" t="n">
        <f aca="false">JetFreight!I91</f>
        <v>0.36216631036562</v>
      </c>
      <c r="H191" s="23" t="n">
        <f aca="false">JetFreight!J91</f>
        <v>0.375032201555979</v>
      </c>
      <c r="I191" s="24" t="n">
        <f aca="false">JetFreight!K91</f>
        <v>0.306492044917403</v>
      </c>
      <c r="J191" s="34" t="str">
        <f aca="false">IF(AND(ISNUMBER(H191),ISNUMBER(H$199)),IF(H191&gt;H$199,"Above",IF(H191&lt;H$199,"Below","At")),"-")</f>
        <v>Below</v>
      </c>
      <c r="K191" s="34" t="str">
        <f aca="false">IF(J191="Above","Better",IF(J191="Below","Weaker","-"))</f>
        <v>Weaker</v>
      </c>
      <c r="L191" s="34" t="n">
        <f aca="false">IF(ISNUMBER(H191),RANK(H191,H$187:H$196,0),"-")</f>
        <v>8</v>
      </c>
      <c r="N191" s="34" t="str">
        <f aca="false">IF(AND(ISNUMBER(I191),ISNUMBER(I$199)),IF(I191&gt;I$199,"Above",IF(I191&lt;I$199,"Below","At")),"-")</f>
        <v>Below</v>
      </c>
      <c r="O191" s="34" t="str">
        <f aca="false">IF(N191="Above","Better",IF(N191="Below","Weaker","-"))</f>
        <v>Weaker</v>
      </c>
    </row>
    <row r="192" customFormat="false" ht="15" hidden="false" customHeight="false" outlineLevel="0" collapsed="false">
      <c r="A192" s="18" t="s">
        <v>114</v>
      </c>
      <c r="B192" s="23" t="n">
        <f aca="false">Patel!D91</f>
        <v>0.579531622766444</v>
      </c>
      <c r="C192" s="23" t="n">
        <f aca="false">Patel!E91</f>
        <v>0.612821860220704</v>
      </c>
      <c r="D192" s="23" t="n">
        <f aca="false">Patel!F91</f>
        <v>0.654900865679978</v>
      </c>
      <c r="E192" s="23" t="n">
        <f aca="false">Patel!G91</f>
        <v>0.68364798141156</v>
      </c>
      <c r="F192" s="23" t="n">
        <f aca="false">Patel!H91</f>
        <v>0.621380962299521</v>
      </c>
      <c r="G192" s="23" t="n">
        <f aca="false">Patel!I91</f>
        <v>0.723649773970973</v>
      </c>
      <c r="H192" s="23" t="n">
        <f aca="false">Patel!J91</f>
        <v>0.756306637276513</v>
      </c>
      <c r="I192" s="24" t="n">
        <f aca="false">Patel!K91</f>
        <v>0.661748529089385</v>
      </c>
      <c r="J192" s="34" t="str">
        <f aca="false">IF(AND(ISNUMBER(H192),ISNUMBER(H$199)),IF(H192&gt;H$199,"Above",IF(H192&lt;H$199,"Below","At")),"-")</f>
        <v>Above</v>
      </c>
      <c r="K192" s="34" t="str">
        <f aca="false">IF(J192="Above","Better",IF(J192="Below","Weaker","-"))</f>
        <v>Better</v>
      </c>
      <c r="L192" s="34" t="n">
        <f aca="false">IF(ISNUMBER(H192),RANK(H192,H$187:H$196,0),"-")</f>
        <v>2</v>
      </c>
      <c r="N192" s="34" t="str">
        <f aca="false">IF(AND(ISNUMBER(I192),ISNUMBER(I$199)),IF(I192&gt;I$199,"Above",IF(I192&lt;I$199,"Below","At")),"-")</f>
        <v>Above</v>
      </c>
      <c r="O192" s="34" t="str">
        <f aca="false">IF(N192="Above","Better",IF(N192="Below","Weaker","-"))</f>
        <v>Better</v>
      </c>
    </row>
    <row r="193" customFormat="false" ht="15" hidden="false" customHeight="false" outlineLevel="0" collapsed="false">
      <c r="A193" s="18" t="s">
        <v>115</v>
      </c>
      <c r="B193" s="23" t="n">
        <f aca="false">Sical!D91</f>
        <v>0.177705335135565</v>
      </c>
      <c r="C193" s="23" t="n">
        <f aca="false">Sical!E91</f>
        <v>-0.385821404226312</v>
      </c>
      <c r="D193" s="23" t="n">
        <f aca="false">Sical!F91</f>
        <v>-0.594597529350145</v>
      </c>
      <c r="E193" s="23" t="n">
        <f aca="false">Sical!G91</f>
        <v>0.067489691176656</v>
      </c>
      <c r="F193" s="23" t="n">
        <f aca="false">Sical!H91</f>
        <v>0.0374182453031764</v>
      </c>
      <c r="G193" s="23" t="n">
        <f aca="false">Sical!I91</f>
        <v>-0.00555355043019641</v>
      </c>
      <c r="H193" s="23" t="n">
        <f aca="false">Sical!J91</f>
        <v>0.144795032699922</v>
      </c>
      <c r="I193" s="24" t="n">
        <f aca="false">Sical!K91</f>
        <v>-0.0797948828130478</v>
      </c>
      <c r="J193" s="34" t="str">
        <f aca="false">IF(AND(ISNUMBER(H193),ISNUMBER(H$199)),IF(H193&gt;H$199,"Above",IF(H193&lt;H$199,"Below","At")),"-")</f>
        <v>Below</v>
      </c>
      <c r="K193" s="34" t="str">
        <f aca="false">IF(J193="Above","Better",IF(J193="Below","Weaker","-"))</f>
        <v>Weaker</v>
      </c>
      <c r="L193" s="34" t="n">
        <f aca="false">IF(ISNUMBER(H193),RANK(H193,H$187:H$196,0),"-")</f>
        <v>10</v>
      </c>
      <c r="N193" s="34" t="str">
        <f aca="false">IF(AND(ISNUMBER(I193),ISNUMBER(I$199)),IF(I193&gt;I$199,"Above",IF(I193&lt;I$199,"Below","At")),"-")</f>
        <v>Below</v>
      </c>
      <c r="O193" s="34" t="str">
        <f aca="false">IF(N193="Above","Better",IF(N193="Below","Weaker","-"))</f>
        <v>Weaker</v>
      </c>
    </row>
    <row r="194" customFormat="false" ht="15" hidden="false" customHeight="false" outlineLevel="0" collapsed="false">
      <c r="A194" s="18" t="s">
        <v>86</v>
      </c>
      <c r="B194" s="23" t="n">
        <f aca="false">TCI!D91</f>
        <v>0.608256303020222</v>
      </c>
      <c r="C194" s="23" t="n">
        <f aca="false">TCI!E91</f>
        <v>0.672707196300919</v>
      </c>
      <c r="D194" s="23" t="n">
        <f aca="false">TCI!F91</f>
        <v>0.782844288271129</v>
      </c>
      <c r="E194" s="23" t="n">
        <f aca="false">TCI!G91</f>
        <v>0.810025179565046</v>
      </c>
      <c r="F194" s="23" t="n">
        <f aca="false">TCI!H91</f>
        <v>0.801079395538498</v>
      </c>
      <c r="G194" s="23" t="n">
        <f aca="false">TCI!I91</f>
        <v>0.734399443768469</v>
      </c>
      <c r="H194" s="23" t="n">
        <f aca="false">TCI!J91</f>
        <v>0.736959556099326</v>
      </c>
      <c r="I194" s="24" t="n">
        <f aca="false">TCI!K91</f>
        <v>0.735181623223373</v>
      </c>
      <c r="J194" s="34" t="str">
        <f aca="false">IF(AND(ISNUMBER(H194),ISNUMBER(H$199)),IF(H194&gt;H$199,"Above",IF(H194&lt;H$199,"Below","At")),"-")</f>
        <v>Above</v>
      </c>
      <c r="K194" s="34" t="str">
        <f aca="false">IF(J194="Above","Better",IF(J194="Below","Weaker","-"))</f>
        <v>Better</v>
      </c>
      <c r="L194" s="34" t="n">
        <f aca="false">IF(ISNUMBER(H194),RANK(H194,H$187:H$196,0),"-")</f>
        <v>3</v>
      </c>
      <c r="N194" s="34" t="str">
        <f aca="false">IF(AND(ISNUMBER(I194),ISNUMBER(I$199)),IF(I194&gt;I$199,"Above",IF(I194&lt;I$199,"Below","At")),"-")</f>
        <v>Above</v>
      </c>
      <c r="O194" s="34" t="str">
        <f aca="false">IF(N194="Above","Better",IF(N194="Below","Weaker","-"))</f>
        <v>Better</v>
      </c>
    </row>
    <row r="195" customFormat="false" ht="15" hidden="false" customHeight="false" outlineLevel="0" collapsed="false">
      <c r="A195" s="18" t="s">
        <v>116</v>
      </c>
      <c r="B195" s="23" t="n">
        <f aca="false">Shreeji!D91</f>
        <v>0.318210459987398</v>
      </c>
      <c r="C195" s="23" t="n">
        <f aca="false">Shreeji!E91</f>
        <v>0.294706025859966</v>
      </c>
      <c r="D195" s="23" t="n">
        <f aca="false">Shreeji!F91</f>
        <v>0.35852215649068</v>
      </c>
      <c r="E195" s="23" t="n">
        <f aca="false">Shreeji!G91</f>
        <v>0.389929294859545</v>
      </c>
      <c r="F195" s="23" t="n">
        <f aca="false">Shreeji!H91</f>
        <v>0.464700996677741</v>
      </c>
      <c r="G195" s="23" t="n">
        <f aca="false">Shreeji!I91</f>
        <v>0.493782068005914</v>
      </c>
      <c r="H195" s="23" t="n">
        <f aca="false">Shreeji!J91</f>
        <v>0.502928380187416</v>
      </c>
      <c r="I195" s="24" t="n">
        <f aca="false">Shreeji!K91</f>
        <v>0.40325419743838</v>
      </c>
      <c r="J195" s="34" t="str">
        <f aca="false">IF(AND(ISNUMBER(H195),ISNUMBER(H$199)),IF(H195&gt;H$199,"Above",IF(H195&lt;H$199,"Below","At")),"-")</f>
        <v>Above</v>
      </c>
      <c r="K195" s="34" t="str">
        <f aca="false">IF(J195="Above","Better",IF(J195="Below","Weaker","-"))</f>
        <v>Better</v>
      </c>
      <c r="L195" s="34" t="n">
        <f aca="false">IF(ISNUMBER(H195),RANK(H195,H$187:H$196,0),"-")</f>
        <v>5</v>
      </c>
      <c r="N195" s="34" t="str">
        <f aca="false">IF(AND(ISNUMBER(I195),ISNUMBER(I$199)),IF(I195&gt;I$199,"Above",IF(I195&lt;I$199,"Below","At")),"-")</f>
        <v>Above</v>
      </c>
      <c r="O195" s="34" t="str">
        <f aca="false">IF(N195="Above","Better",IF(N195="Below","Weaker","-"))</f>
        <v>Better</v>
      </c>
    </row>
    <row r="196" customFormat="false" ht="15" hidden="false" customHeight="false" outlineLevel="0" collapsed="false">
      <c r="A196" s="18" t="s">
        <v>117</v>
      </c>
      <c r="B196" s="23" t="n">
        <f aca="false">MahindraLog!D91</f>
        <v>0.383059978619254</v>
      </c>
      <c r="C196" s="23" t="n">
        <f aca="false">MahindraLog!E91</f>
        <v>0.336741892076138</v>
      </c>
      <c r="D196" s="23" t="n">
        <f aca="false">MahindraLog!F91</f>
        <v>0.276637103632608</v>
      </c>
      <c r="E196" s="23" t="n">
        <f aca="false">MahindraLog!G91</f>
        <v>0.220009087561792</v>
      </c>
      <c r="F196" s="23" t="n">
        <f aca="false">MahindraLog!H91</f>
        <v>0.198801065719361</v>
      </c>
      <c r="G196" s="23" t="n">
        <f aca="false">MahindraLog!I91</f>
        <v>0.169799906933457</v>
      </c>
      <c r="H196" s="23" t="n">
        <f aca="false">MahindraLog!J91</f>
        <v>0.378349828180908</v>
      </c>
      <c r="I196" s="24" t="n">
        <f aca="false">MahindraLog!K91</f>
        <v>0.280485551817645</v>
      </c>
      <c r="J196" s="34" t="str">
        <f aca="false">IF(AND(ISNUMBER(H196),ISNUMBER(H$199)),IF(H196&gt;H$199,"Above",IF(H196&lt;H$199,"Below","At")),"-")</f>
        <v>Below</v>
      </c>
      <c r="K196" s="34" t="str">
        <f aca="false">IF(J196="Above","Better",IF(J196="Below","Weaker","-"))</f>
        <v>Weaker</v>
      </c>
      <c r="L196" s="34" t="n">
        <f aca="false">IF(ISNUMBER(H196),RANK(H196,H$187:H$196,0),"-")</f>
        <v>7</v>
      </c>
      <c r="N196" s="34" t="str">
        <f aca="false">IF(AND(ISNUMBER(I196),ISNUMBER(I$199)),IF(I196&gt;I$199,"Above",IF(I196&lt;I$199,"Below","At")),"-")</f>
        <v>Below</v>
      </c>
      <c r="O196" s="34" t="str">
        <f aca="false">IF(N196="Above","Better",IF(N196="Below","Weaker","-"))</f>
        <v>Weaker</v>
      </c>
    </row>
    <row r="197" customFormat="false" ht="15" hidden="false" customHeight="false" outlineLevel="0" collapsed="false">
      <c r="A197" s="12" t="s">
        <v>176</v>
      </c>
      <c r="B197" s="24" t="n">
        <f aca="false">Industry!D91</f>
        <v>0.573503321478897</v>
      </c>
      <c r="C197" s="24" t="n">
        <f aca="false">Industry!E91</f>
        <v>0.507821374491938</v>
      </c>
      <c r="D197" s="24" t="n">
        <f aca="false">Industry!F91</f>
        <v>0.513796294728583</v>
      </c>
      <c r="E197" s="24" t="n">
        <f aca="false">Industry!G91</f>
        <v>0.596843360356786</v>
      </c>
      <c r="F197" s="24" t="n">
        <f aca="false">Industry!H91</f>
        <v>0.598857879714879</v>
      </c>
      <c r="G197" s="24" t="n">
        <f aca="false">Industry!I91</f>
        <v>0.649222579037891</v>
      </c>
      <c r="H197" s="24" t="n">
        <f aca="false">Industry!J91</f>
        <v>0.668959660123163</v>
      </c>
      <c r="I197" s="24" t="n">
        <f aca="false">Industry!K91</f>
        <v>0.587000638561734</v>
      </c>
    </row>
    <row r="198" customFormat="false" ht="15" hidden="false" customHeight="false" outlineLevel="0" collapsed="false">
      <c r="A198" s="35" t="s">
        <v>177</v>
      </c>
      <c r="B198" s="39" t="n">
        <f aca="false">IFERROR(AVERAGE(B187:B196),"N/M")</f>
        <v>0.4207522205373</v>
      </c>
      <c r="C198" s="39" t="n">
        <f aca="false">IFERROR(AVERAGE(C187:C196),"N/M")</f>
        <v>0.358853768047566</v>
      </c>
      <c r="D198" s="39" t="n">
        <f aca="false">IFERROR(AVERAGE(D187:D196),"N/M")</f>
        <v>0.377836563442737</v>
      </c>
      <c r="E198" s="39" t="n">
        <f aca="false">IFERROR(AVERAGE(E187:E196),"N/M")</f>
        <v>0.498143322403742</v>
      </c>
      <c r="F198" s="39" t="n">
        <f aca="false">IFERROR(AVERAGE(F187:F196),"N/M")</f>
        <v>0.485090073225976</v>
      </c>
      <c r="G198" s="39" t="n">
        <f aca="false">IFERROR(AVERAGE(G187:G196),"N/M")</f>
        <v>0.478865824315396</v>
      </c>
      <c r="H198" s="39" t="n">
        <f aca="false">IFERROR(AVERAGE(H187:H196),"N/M")</f>
        <v>0.511756881984533</v>
      </c>
      <c r="I198" s="39" t="n">
        <f aca="false">IFERROR(AVERAGE(I187:I196),"N/M")</f>
        <v>0.44732837913675</v>
      </c>
    </row>
    <row r="199" customFormat="false" ht="15" hidden="false" customHeight="false" outlineLevel="0" collapsed="false">
      <c r="A199" s="35" t="s">
        <v>178</v>
      </c>
      <c r="B199" s="39" t="n">
        <f aca="false">IFERROR(MEDIAN(B187:B196),"N/M")</f>
        <v>0.393918622269064</v>
      </c>
      <c r="C199" s="39" t="n">
        <f aca="false">IFERROR(MEDIAN(C187:C196),"N/M")</f>
        <v>0.324493993594087</v>
      </c>
      <c r="D199" s="39" t="n">
        <f aca="false">IFERROR(MEDIAN(D187:D196),"N/M")</f>
        <v>0.343867492239509</v>
      </c>
      <c r="E199" s="39" t="n">
        <f aca="false">IFERROR(MEDIAN(E187:E196),"N/M")</f>
        <v>0.397226443868093</v>
      </c>
      <c r="F199" s="39" t="n">
        <f aca="false">IFERROR(MEDIAN(F187:F196),"N/M")</f>
        <v>0.429881487387962</v>
      </c>
      <c r="G199" s="39" t="n">
        <f aca="false">IFERROR(MEDIAN(G187:G196),"N/M")</f>
        <v>0.459714150996699</v>
      </c>
      <c r="H199" s="39" t="n">
        <f aca="false">IFERROR(MEDIAN(H187:H196),"N/M")</f>
        <v>0.466740975050758</v>
      </c>
      <c r="I199" s="39" t="n">
        <f aca="false">IFERROR(MEDIAN(I187:I196),"N/M")</f>
        <v>0.375976562956074</v>
      </c>
    </row>
    <row r="200" customFormat="false" ht="15" hidden="false" customHeight="false" outlineLevel="0" collapsed="false">
      <c r="A200" s="35" t="s">
        <v>179</v>
      </c>
      <c r="B200" s="39" t="n">
        <f aca="false">IFERROR(STDEV(B187:B196),"N/M")</f>
        <v>0.218503099219553</v>
      </c>
      <c r="C200" s="39" t="n">
        <f aca="false">IFERROR(STDEV(C187:C196),"N/M")</f>
        <v>0.333539393133468</v>
      </c>
      <c r="D200" s="39" t="n">
        <f aca="false">IFERROR(STDEV(D187:D196),"N/M")</f>
        <v>0.406381724836277</v>
      </c>
      <c r="E200" s="39" t="n">
        <f aca="false">IFERROR(STDEV(E187:E196),"N/M")</f>
        <v>0.270502081765728</v>
      </c>
      <c r="F200" s="39" t="n">
        <f aca="false">IFERROR(STDEV(F187:F196),"N/M")</f>
        <v>0.268935314884443</v>
      </c>
      <c r="G200" s="39" t="n">
        <f aca="false">IFERROR(STDEV(G187:G196),"N/M")</f>
        <v>0.276888579967255</v>
      </c>
      <c r="H200" s="39" t="n">
        <f aca="false">IFERROR(STDEV(H187:H196),"N/M")</f>
        <v>0.222851677666154</v>
      </c>
      <c r="I200" s="39" t="n">
        <f aca="false">IFERROR(STDEV(I187:I196),"N/M")</f>
        <v>0.273591723983044</v>
      </c>
    </row>
    <row r="201" customFormat="false" ht="15" hidden="false" customHeight="false" outlineLevel="0" collapsed="false">
      <c r="A201" s="35" t="s">
        <v>102</v>
      </c>
      <c r="B201" s="39" t="n">
        <f aca="false">IFERROR(MIN(B187:B196),"N/M")</f>
        <v>0.177705335135565</v>
      </c>
      <c r="C201" s="39" t="n">
        <f aca="false">IFERROR(MIN(C187:C196),"N/M")</f>
        <v>-0.385821404226312</v>
      </c>
      <c r="D201" s="39" t="n">
        <f aca="false">IFERROR(MIN(D187:D196),"N/M")</f>
        <v>-0.594597529350145</v>
      </c>
      <c r="E201" s="39" t="n">
        <f aca="false">IFERROR(MIN(E187:E196),"N/M")</f>
        <v>0.067489691176656</v>
      </c>
      <c r="F201" s="39" t="n">
        <f aca="false">IFERROR(MIN(F187:F196),"N/M")</f>
        <v>0.0374182453031764</v>
      </c>
      <c r="G201" s="39" t="n">
        <f aca="false">IFERROR(MIN(G187:G196),"N/M")</f>
        <v>-0.00555355043019641</v>
      </c>
      <c r="H201" s="39" t="n">
        <f aca="false">IFERROR(MIN(H187:H196),"N/M")</f>
        <v>0.144795032699922</v>
      </c>
      <c r="I201" s="39" t="n">
        <f aca="false">IFERROR(MIN(I187:I196),"N/M")</f>
        <v>-0.0797948828130478</v>
      </c>
    </row>
    <row r="202" customFormat="false" ht="15" hidden="false" customHeight="false" outlineLevel="0" collapsed="false">
      <c r="A202" s="35" t="s">
        <v>103</v>
      </c>
      <c r="B202" s="39" t="n">
        <f aca="false">IFERROR(MAX(B187:B196),"N/M")</f>
        <v>0.852176140662801</v>
      </c>
      <c r="C202" s="39" t="n">
        <f aca="false">IFERROR(MAX(C187:C196),"N/M")</f>
        <v>0.820861451438103</v>
      </c>
      <c r="D202" s="39" t="n">
        <f aca="false">IFERROR(MAX(D187:D196),"N/M")</f>
        <v>0.827206193384842</v>
      </c>
      <c r="E202" s="39" t="n">
        <f aca="false">IFERROR(MAX(E187:E196),"N/M")</f>
        <v>0.833715557153106</v>
      </c>
      <c r="F202" s="39" t="n">
        <f aca="false">IFERROR(MAX(F187:F196),"N/M")</f>
        <v>0.842219350684135</v>
      </c>
      <c r="G202" s="39" t="n">
        <f aca="false">IFERROR(MAX(G187:G196),"N/M")</f>
        <v>0.855235037569264</v>
      </c>
      <c r="H202" s="39" t="n">
        <f aca="false">IFERROR(MAX(H187:H196),"N/M")</f>
        <v>0.852829310915156</v>
      </c>
      <c r="I202" s="39" t="n">
        <f aca="false">IFERROR(MAX(I187:I196),"N/M")</f>
        <v>0.84060614882963</v>
      </c>
    </row>
    <row r="204" customFormat="false" ht="15" hidden="false" customHeight="false" outlineLevel="0" collapsed="false">
      <c r="A204" s="16" t="s">
        <v>190</v>
      </c>
      <c r="B204" s="17"/>
      <c r="C204" s="17"/>
      <c r="D204" s="17"/>
      <c r="E204" s="17"/>
      <c r="F204" s="17"/>
      <c r="G204" s="17"/>
      <c r="H204" s="17"/>
      <c r="I204" s="17"/>
      <c r="J204" s="17"/>
      <c r="K204" s="17"/>
      <c r="L204" s="17"/>
      <c r="M204" s="17"/>
    </row>
    <row r="205" customFormat="false" ht="15" hidden="false" customHeight="false" outlineLevel="0" collapsed="false">
      <c r="A205" s="18" t="s">
        <v>110</v>
      </c>
      <c r="B205" s="20" t="n">
        <f aca="false">Tiger!D92</f>
        <v>0.695825426944972</v>
      </c>
      <c r="C205" s="20" t="n">
        <f aca="false">Tiger!E92</f>
        <v>0.356360171510243</v>
      </c>
      <c r="D205" s="20" t="n">
        <f aca="false">Tiger!F92</f>
        <v>0</v>
      </c>
      <c r="E205" s="20" t="n">
        <f aca="false">Tiger!G92</f>
        <v>0</v>
      </c>
      <c r="F205" s="20" t="n">
        <f aca="false">Tiger!H92</f>
        <v>0.108634846160787</v>
      </c>
      <c r="G205" s="20" t="n">
        <f aca="false">Tiger!I92</f>
        <v>0.248590021691974</v>
      </c>
      <c r="H205" s="20" t="n">
        <f aca="false">Tiger!J92</f>
        <v>0.316914614326791</v>
      </c>
      <c r="I205" s="21" t="n">
        <f aca="false">Tiger!K92</f>
        <v>0.246617868662109</v>
      </c>
      <c r="J205" s="34" t="str">
        <f aca="false">IF(AND(ISNUMBER(H205),ISNUMBER(H$217)),IF(H205&gt;H$217,"Above",IF(H205&lt;H$217,"Below","At")),"-")</f>
        <v>Below</v>
      </c>
      <c r="K205" s="34" t="str">
        <f aca="false">IF(J205="Below","Better",IF(J205="Above","Weaker","-"))</f>
        <v>Better</v>
      </c>
      <c r="L205" s="34" t="n">
        <f aca="false">IF(ISNUMBER(H205),RANK(H205,H$205:H$214,1),"-")</f>
        <v>4</v>
      </c>
      <c r="N205" s="34" t="str">
        <f aca="false">IF(AND(ISNUMBER(I205),ISNUMBER(I$217)),IF(I205&gt;I$217,"Above",IF(I205&lt;I$217,"Below","At")),"-")</f>
        <v>Below</v>
      </c>
      <c r="O205" s="34" t="str">
        <f aca="false">IF(N205="Below","Better",IF(N205="Above","Weaker","-"))</f>
        <v>Better</v>
      </c>
    </row>
    <row r="206" customFormat="false" ht="15" hidden="false" customHeight="false" outlineLevel="0" collapsed="false">
      <c r="A206" s="18" t="s">
        <v>111</v>
      </c>
      <c r="B206" s="20" t="n">
        <f aca="false">Allcargo!D92</f>
        <v>0.7472340028895</v>
      </c>
      <c r="C206" s="20" t="n">
        <f aca="false">Allcargo!E92</f>
        <v>0.904459742329891</v>
      </c>
      <c r="D206" s="20" t="n">
        <f aca="false">Allcargo!F92</f>
        <v>0.732917742017105</v>
      </c>
      <c r="E206" s="20" t="n">
        <f aca="false">Allcargo!G92</f>
        <v>0.419121461719411</v>
      </c>
      <c r="F206" s="20" t="n">
        <f aca="false">Allcargo!H92</f>
        <v>0.73212168319698</v>
      </c>
      <c r="G206" s="20" t="n">
        <f aca="false">Allcargo!I92</f>
        <v>1.38967971530249</v>
      </c>
      <c r="H206" s="20" t="n">
        <f aca="false">Allcargo!J92</f>
        <v>1.20731707317073</v>
      </c>
      <c r="I206" s="21" t="n">
        <f aca="false">Allcargo!K92</f>
        <v>0.876121631518016</v>
      </c>
      <c r="J206" s="34" t="str">
        <f aca="false">IF(AND(ISNUMBER(H206),ISNUMBER(H$217)),IF(H206&gt;H$217,"Above",IF(H206&lt;H$217,"Below","At")),"-")</f>
        <v>Above</v>
      </c>
      <c r="K206" s="34" t="str">
        <f aca="false">IF(J206="Below","Better",IF(J206="Above","Weaker","-"))</f>
        <v>Weaker</v>
      </c>
      <c r="L206" s="34" t="n">
        <f aca="false">IF(ISNUMBER(H206),RANK(H206,H$205:H$214,1),"-")</f>
        <v>9</v>
      </c>
      <c r="N206" s="34" t="str">
        <f aca="false">IF(AND(ISNUMBER(I206),ISNUMBER(I$217)),IF(I206&gt;I$217,"Above",IF(I206&lt;I$217,"Below","At")),"-")</f>
        <v>Below</v>
      </c>
      <c r="O206" s="34" t="str">
        <f aca="false">IF(N206="Below","Better",IF(N206="Above","Weaker","-"))</f>
        <v>Better</v>
      </c>
    </row>
    <row r="207" customFormat="false" ht="15" hidden="false" customHeight="false" outlineLevel="0" collapsed="false">
      <c r="A207" s="18" t="s">
        <v>112</v>
      </c>
      <c r="B207" s="20" t="n">
        <f aca="false">BlueDart!D92</f>
        <v>1.07980359798708</v>
      </c>
      <c r="C207" s="20" t="n">
        <f aca="false">BlueDart!E92</f>
        <v>2.57137306574769</v>
      </c>
      <c r="D207" s="20" t="n">
        <f aca="false">BlueDart!F92</f>
        <v>1.22242227548481</v>
      </c>
      <c r="E207" s="20" t="n">
        <f aca="false">BlueDart!G92</f>
        <v>0.949625284004205</v>
      </c>
      <c r="F207" s="20" t="n">
        <f aca="false">BlueDart!H92</f>
        <v>0.784738932324998</v>
      </c>
      <c r="G207" s="20" t="n">
        <f aca="false">BlueDart!I92</f>
        <v>0.645903889573071</v>
      </c>
      <c r="H207" s="20" t="n">
        <f aca="false">BlueDart!J92</f>
        <v>0.642661368842264</v>
      </c>
      <c r="I207" s="21" t="n">
        <f aca="false">BlueDart!K92</f>
        <v>1.12807548770916</v>
      </c>
      <c r="J207" s="34" t="str">
        <f aca="false">IF(AND(ISNUMBER(H207),ISNUMBER(H$217)),IF(H207&gt;H$217,"Above",IF(H207&lt;H$217,"Below","At")),"-")</f>
        <v>Above</v>
      </c>
      <c r="K207" s="34" t="str">
        <f aca="false">IF(J207="Below","Better",IF(J207="Above","Weaker","-"))</f>
        <v>Weaker</v>
      </c>
      <c r="L207" s="34" t="n">
        <f aca="false">IF(ISNUMBER(H207),RANK(H207,H$205:H$214,1),"-")</f>
        <v>6</v>
      </c>
      <c r="N207" s="34" t="str">
        <f aca="false">IF(AND(ISNUMBER(I207),ISNUMBER(I$217)),IF(I207&gt;I$217,"Above",IF(I207&lt;I$217,"Below","At")),"-")</f>
        <v>Above</v>
      </c>
      <c r="O207" s="34" t="str">
        <f aca="false">IF(N207="Below","Better",IF(N207="Above","Weaker","-"))</f>
        <v>Weaker</v>
      </c>
    </row>
    <row r="208" customFormat="false" ht="15" hidden="false" customHeight="false" outlineLevel="0" collapsed="false">
      <c r="A208" s="18" t="s">
        <v>67</v>
      </c>
      <c r="B208" s="20" t="n">
        <f aca="false">CONCOR!D92</f>
        <v>0.00696787808204179</v>
      </c>
      <c r="C208" s="20" t="n">
        <f aca="false">CONCOR!E92</f>
        <v>0.0709641257806319</v>
      </c>
      <c r="D208" s="20" t="n">
        <f aca="false">CONCOR!F92</f>
        <v>0.0683628452287424</v>
      </c>
      <c r="E208" s="20" t="n">
        <f aca="false">CONCOR!G92</f>
        <v>0.0693602279701729</v>
      </c>
      <c r="F208" s="20" t="n">
        <f aca="false">CONCOR!H92</f>
        <v>0.0793946821548463</v>
      </c>
      <c r="G208" s="20" t="n">
        <f aca="false">CONCOR!I92</f>
        <v>0.0695766088974968</v>
      </c>
      <c r="H208" s="20" t="n">
        <f aca="false">CONCOR!J92</f>
        <v>0.0745281961931179</v>
      </c>
      <c r="I208" s="21" t="n">
        <f aca="false">CONCOR!K92</f>
        <v>0.0627363663295786</v>
      </c>
      <c r="J208" s="34" t="str">
        <f aca="false">IF(AND(ISNUMBER(H208),ISNUMBER(H$217)),IF(H208&gt;H$217,"Above",IF(H208&lt;H$217,"Below","At")),"-")</f>
        <v>Below</v>
      </c>
      <c r="K208" s="34" t="str">
        <f aca="false">IF(J208="Below","Better",IF(J208="Above","Weaker","-"))</f>
        <v>Better</v>
      </c>
      <c r="L208" s="34" t="n">
        <f aca="false">IF(ISNUMBER(H208),RANK(H208,H$205:H$214,1),"-")</f>
        <v>2</v>
      </c>
      <c r="N208" s="34" t="str">
        <f aca="false">IF(AND(ISNUMBER(I208),ISNUMBER(I$217)),IF(I208&gt;I$217,"Above",IF(I208&lt;I$217,"Below","At")),"-")</f>
        <v>Below</v>
      </c>
      <c r="O208" s="34" t="str">
        <f aca="false">IF(N208="Below","Better",IF(N208="Above","Weaker","-"))</f>
        <v>Better</v>
      </c>
    </row>
    <row r="209" customFormat="false" ht="15" hidden="false" customHeight="false" outlineLevel="0" collapsed="false">
      <c r="A209" s="18" t="s">
        <v>113</v>
      </c>
      <c r="B209" s="20" t="n">
        <f aca="false">JetFreight!D92</f>
        <v>2.15990730011588</v>
      </c>
      <c r="C209" s="20" t="n">
        <f aca="false">JetFreight!E92</f>
        <v>1.44310264746865</v>
      </c>
      <c r="D209" s="20" t="n">
        <f aca="false">JetFreight!F92</f>
        <v>2.0201066885515</v>
      </c>
      <c r="E209" s="20" t="n">
        <f aca="false">JetFreight!G92</f>
        <v>0.977988431876607</v>
      </c>
      <c r="F209" s="20" t="n">
        <f aca="false">JetFreight!H92</f>
        <v>0.893085787451985</v>
      </c>
      <c r="G209" s="20" t="n">
        <f aca="false">JetFreight!I92</f>
        <v>0.97381565006811</v>
      </c>
      <c r="H209" s="20" t="n">
        <f aca="false">JetFreight!J92</f>
        <v>1.01758483308147</v>
      </c>
      <c r="I209" s="21" t="n">
        <f aca="false">JetFreight!K92</f>
        <v>1.35508447694488</v>
      </c>
      <c r="J209" s="34" t="str">
        <f aca="false">IF(AND(ISNUMBER(H209),ISNUMBER(H$217)),IF(H209&gt;H$217,"Above",IF(H209&lt;H$217,"Below","At")),"-")</f>
        <v>Above</v>
      </c>
      <c r="K209" s="34" t="str">
        <f aca="false">IF(J209="Below","Better",IF(J209="Above","Weaker","-"))</f>
        <v>Weaker</v>
      </c>
      <c r="L209" s="34" t="n">
        <f aca="false">IF(ISNUMBER(H209),RANK(H209,H$205:H$214,1),"-")</f>
        <v>8</v>
      </c>
      <c r="N209" s="34" t="str">
        <f aca="false">IF(AND(ISNUMBER(I209),ISNUMBER(I$217)),IF(I209&gt;I$217,"Above",IF(I209&lt;I$217,"Below","At")),"-")</f>
        <v>Above</v>
      </c>
      <c r="O209" s="34" t="str">
        <f aca="false">IF(N209="Below","Better",IF(N209="Above","Weaker","-"))</f>
        <v>Weaker</v>
      </c>
    </row>
    <row r="210" customFormat="false" ht="15" hidden="false" customHeight="false" outlineLevel="0" collapsed="false">
      <c r="A210" s="18" t="s">
        <v>114</v>
      </c>
      <c r="B210" s="20" t="n">
        <f aca="false">Patel!D92</f>
        <v>0.510123498277745</v>
      </c>
      <c r="C210" s="20" t="n">
        <f aca="false">Patel!E92</f>
        <v>0.529240267535586</v>
      </c>
      <c r="D210" s="20" t="n">
        <f aca="false">Patel!F92</f>
        <v>0.409176189663995</v>
      </c>
      <c r="E210" s="20" t="n">
        <f aca="false">Patel!G92</f>
        <v>0.265613051236299</v>
      </c>
      <c r="F210" s="20" t="n">
        <f aca="false">Patel!H92</f>
        <v>0.202128551076846</v>
      </c>
      <c r="G210" s="20" t="n">
        <f aca="false">Patel!I92</f>
        <v>0.107430544139405</v>
      </c>
      <c r="H210" s="20" t="n">
        <f aca="false">Patel!J92</f>
        <v>0.0506800518134715</v>
      </c>
      <c r="I210" s="21" t="n">
        <f aca="false">Patel!K92</f>
        <v>0.296341736249049</v>
      </c>
      <c r="J210" s="34" t="str">
        <f aca="false">IF(AND(ISNUMBER(H210),ISNUMBER(H$217)),IF(H210&gt;H$217,"Above",IF(H210&lt;H$217,"Below","At")),"-")</f>
        <v>Below</v>
      </c>
      <c r="K210" s="34" t="str">
        <f aca="false">IF(J210="Below","Better",IF(J210="Above","Weaker","-"))</f>
        <v>Better</v>
      </c>
      <c r="L210" s="34" t="n">
        <f aca="false">IF(ISNUMBER(H210),RANK(H210,H$205:H$214,1),"-")</f>
        <v>1</v>
      </c>
      <c r="N210" s="34" t="str">
        <f aca="false">IF(AND(ISNUMBER(I210),ISNUMBER(I$217)),IF(I210&gt;I$217,"Above",IF(I210&lt;I$217,"Below","At")),"-")</f>
        <v>Below</v>
      </c>
      <c r="O210" s="34" t="str">
        <f aca="false">IF(N210="Below","Better",IF(N210="Above","Weaker","-"))</f>
        <v>Better</v>
      </c>
    </row>
    <row r="211" customFormat="false" ht="15" hidden="false" customHeight="false" outlineLevel="0" collapsed="false">
      <c r="A211" s="18" t="s">
        <v>115</v>
      </c>
      <c r="B211" s="20" t="n">
        <f aca="false">Sical!D92</f>
        <v>2.60168802115111</v>
      </c>
      <c r="C211" s="20" t="str">
        <f aca="false">Sical!E92</f>
        <v>N/M</v>
      </c>
      <c r="D211" s="20" t="str">
        <f aca="false">Sical!F92</f>
        <v>N/M</v>
      </c>
      <c r="E211" s="20" t="n">
        <f aca="false">Sical!G92</f>
        <v>9.03344544095665</v>
      </c>
      <c r="F211" s="20" t="n">
        <f aca="false">Sical!H92</f>
        <v>17.6619080779944</v>
      </c>
      <c r="G211" s="20" t="str">
        <f aca="false">Sical!I92</f>
        <v>N/M</v>
      </c>
      <c r="H211" s="20" t="n">
        <f aca="false">Sical!J92</f>
        <v>3.69449310686267</v>
      </c>
      <c r="I211" s="21" t="n">
        <f aca="false">Sical!K92</f>
        <v>8.24788366174122</v>
      </c>
      <c r="J211" s="34" t="str">
        <f aca="false">IF(AND(ISNUMBER(H211),ISNUMBER(H$217)),IF(H211&gt;H$217,"Above",IF(H211&lt;H$217,"Below","At")),"-")</f>
        <v>Above</v>
      </c>
      <c r="K211" s="34" t="str">
        <f aca="false">IF(J211="Below","Better",IF(J211="Above","Weaker","-"))</f>
        <v>Weaker</v>
      </c>
      <c r="L211" s="34" t="n">
        <f aca="false">IF(ISNUMBER(H211),RANK(H211,H$205:H$214,1),"-")</f>
        <v>10</v>
      </c>
      <c r="N211" s="34" t="str">
        <f aca="false">IF(AND(ISNUMBER(I211),ISNUMBER(I$217)),IF(I211&gt;I$217,"Above",IF(I211&lt;I$217,"Below","At")),"-")</f>
        <v>Above</v>
      </c>
      <c r="O211" s="34" t="str">
        <f aca="false">IF(N211="Below","Better",IF(N211="Above","Weaker","-"))</f>
        <v>Weaker</v>
      </c>
    </row>
    <row r="212" customFormat="false" ht="15" hidden="false" customHeight="false" outlineLevel="0" collapsed="false">
      <c r="A212" s="18" t="s">
        <v>86</v>
      </c>
      <c r="B212" s="20" t="n">
        <f aca="false">TCI!D92</f>
        <v>0.41220248268857</v>
      </c>
      <c r="C212" s="20" t="n">
        <f aca="false">TCI!E92</f>
        <v>0.254319446700464</v>
      </c>
      <c r="D212" s="20" t="n">
        <f aca="false">TCI!F92</f>
        <v>0.0672805324831502</v>
      </c>
      <c r="E212" s="20" t="n">
        <f aca="false">TCI!G92</f>
        <v>0.0539843341422855</v>
      </c>
      <c r="F212" s="20" t="n">
        <f aca="false">TCI!H92</f>
        <v>0.0966553882085217</v>
      </c>
      <c r="G212" s="20" t="n">
        <f aca="false">TCI!I92</f>
        <v>0.112245040027845</v>
      </c>
      <c r="H212" s="20" t="n">
        <f aca="false">TCI!J92</f>
        <v>0.121746382487851</v>
      </c>
      <c r="I212" s="21" t="n">
        <f aca="false">TCI!K92</f>
        <v>0.159776229534098</v>
      </c>
      <c r="J212" s="34" t="str">
        <f aca="false">IF(AND(ISNUMBER(H212),ISNUMBER(H$217)),IF(H212&gt;H$217,"Above",IF(H212&lt;H$217,"Below","At")),"-")</f>
        <v>Below</v>
      </c>
      <c r="K212" s="34" t="str">
        <f aca="false">IF(J212="Below","Better",IF(J212="Above","Weaker","-"))</f>
        <v>Better</v>
      </c>
      <c r="L212" s="34" t="n">
        <f aca="false">IF(ISNUMBER(H212),RANK(H212,H$205:H$214,1),"-")</f>
        <v>3</v>
      </c>
      <c r="N212" s="34" t="str">
        <f aca="false">IF(AND(ISNUMBER(I212),ISNUMBER(I$217)),IF(I212&gt;I$217,"Above",IF(I212&lt;I$217,"Below","At")),"-")</f>
        <v>Below</v>
      </c>
      <c r="O212" s="34" t="str">
        <f aca="false">IF(N212="Below","Better",IF(N212="Above","Weaker","-"))</f>
        <v>Better</v>
      </c>
    </row>
    <row r="213" customFormat="false" ht="15" hidden="false" customHeight="false" outlineLevel="0" collapsed="false">
      <c r="A213" s="18" t="s">
        <v>116</v>
      </c>
      <c r="B213" s="20" t="n">
        <f aca="false">Shreeji!D92</f>
        <v>1.80316831683168</v>
      </c>
      <c r="C213" s="20" t="n">
        <f aca="false">Shreeji!E92</f>
        <v>1.96523178807947</v>
      </c>
      <c r="D213" s="20" t="n">
        <f aca="false">Shreeji!F92</f>
        <v>1.39663760896638</v>
      </c>
      <c r="E213" s="20" t="n">
        <f aca="false">Shreeji!G92</f>
        <v>1.12643959813771</v>
      </c>
      <c r="F213" s="20" t="n">
        <f aca="false">Shreeji!H92</f>
        <v>0.835746201966041</v>
      </c>
      <c r="G213" s="20" t="n">
        <f aca="false">Shreeji!I92</f>
        <v>0.731947868967947</v>
      </c>
      <c r="H213" s="20" t="n">
        <f aca="false">Shreeji!J92</f>
        <v>0.666611212776576</v>
      </c>
      <c r="I213" s="21" t="n">
        <f aca="false">Shreeji!K92</f>
        <v>1.21796894224654</v>
      </c>
      <c r="J213" s="34" t="str">
        <f aca="false">IF(AND(ISNUMBER(H213),ISNUMBER(H$217)),IF(H213&gt;H$217,"Above",IF(H213&lt;H$217,"Below","At")),"-")</f>
        <v>Above</v>
      </c>
      <c r="K213" s="34" t="str">
        <f aca="false">IF(J213="Below","Better",IF(J213="Above","Weaker","-"))</f>
        <v>Weaker</v>
      </c>
      <c r="L213" s="34" t="n">
        <f aca="false">IF(ISNUMBER(H213),RANK(H213,H$205:H$214,1),"-")</f>
        <v>7</v>
      </c>
      <c r="N213" s="34" t="str">
        <f aca="false">IF(AND(ISNUMBER(I213),ISNUMBER(I$217)),IF(I213&gt;I$217,"Above",IF(I213&lt;I$217,"Below","At")),"-")</f>
        <v>Above</v>
      </c>
      <c r="O213" s="34" t="str">
        <f aca="false">IF(N213="Below","Better",IF(N213="Above","Weaker","-"))</f>
        <v>Weaker</v>
      </c>
    </row>
    <row r="214" customFormat="false" ht="15" hidden="false" customHeight="false" outlineLevel="0" collapsed="false">
      <c r="A214" s="18" t="s">
        <v>117</v>
      </c>
      <c r="B214" s="20" t="n">
        <f aca="false">MahindraLog!D92</f>
        <v>0.369595152850454</v>
      </c>
      <c r="C214" s="20" t="n">
        <f aca="false">MahindraLog!E92</f>
        <v>0.474386508467416</v>
      </c>
      <c r="D214" s="20" t="n">
        <f aca="false">MahindraLog!F92</f>
        <v>0.736385595081247</v>
      </c>
      <c r="E214" s="20" t="n">
        <f aca="false">MahindraLog!G92</f>
        <v>1.48494667687432</v>
      </c>
      <c r="F214" s="20" t="n">
        <f aca="false">MahindraLog!H92</f>
        <v>1.50118788961764</v>
      </c>
      <c r="G214" s="20" t="n">
        <f aca="false">MahindraLog!I92</f>
        <v>1.98405955969672</v>
      </c>
      <c r="H214" s="20" t="n">
        <f aca="false">MahindraLog!J92</f>
        <v>0.553082279235261</v>
      </c>
      <c r="I214" s="21" t="n">
        <f aca="false">MahindraLog!K92</f>
        <v>1.01480623740329</v>
      </c>
      <c r="J214" s="34" t="str">
        <f aca="false">IF(AND(ISNUMBER(H214),ISNUMBER(H$217)),IF(H214&gt;H$217,"Above",IF(H214&lt;H$217,"Below","At")),"-")</f>
        <v>Below</v>
      </c>
      <c r="K214" s="34" t="str">
        <f aca="false">IF(J214="Below","Better",IF(J214="Above","Weaker","-"))</f>
        <v>Better</v>
      </c>
      <c r="L214" s="34" t="n">
        <f aca="false">IF(ISNUMBER(H214),RANK(H214,H$205:H$214,1),"-")</f>
        <v>5</v>
      </c>
      <c r="N214" s="34" t="str">
        <f aca="false">IF(AND(ISNUMBER(I214),ISNUMBER(I$217)),IF(I214&gt;I$217,"Above",IF(I214&lt;I$217,"Below","At")),"-")</f>
        <v>Above</v>
      </c>
      <c r="O214" s="34" t="str">
        <f aca="false">IF(N214="Below","Better",IF(N214="Above","Weaker","-"))</f>
        <v>Weaker</v>
      </c>
    </row>
    <row r="215" customFormat="false" ht="15" hidden="false" customHeight="false" outlineLevel="0" collapsed="false">
      <c r="A215" s="12" t="s">
        <v>176</v>
      </c>
      <c r="B215" s="21" t="n">
        <f aca="false">Industry!D92</f>
        <v>0.286562043068481</v>
      </c>
      <c r="C215" s="21" t="n">
        <f aca="false">Industry!E92</f>
        <v>0.439210877634976</v>
      </c>
      <c r="D215" s="21" t="n">
        <f aca="false">Industry!F92</f>
        <v>0.405732636546491</v>
      </c>
      <c r="E215" s="21" t="n">
        <f aca="false">Industry!G92</f>
        <v>0.259071887342371</v>
      </c>
      <c r="F215" s="21" t="n">
        <f aca="false">Industry!H92</f>
        <v>0.292522050543132</v>
      </c>
      <c r="G215" s="21" t="n">
        <f aca="false">Industry!I92</f>
        <v>0.258753277167223</v>
      </c>
      <c r="H215" s="21" t="n">
        <f aca="false">Industry!J92</f>
        <v>0.225607763190417</v>
      </c>
      <c r="I215" s="21" t="n">
        <f aca="false">Industry!K92</f>
        <v>0.309637219356156</v>
      </c>
    </row>
    <row r="216" customFormat="false" ht="15" hidden="false" customHeight="false" outlineLevel="0" collapsed="false">
      <c r="A216" s="35" t="s">
        <v>177</v>
      </c>
      <c r="B216" s="37" t="n">
        <f aca="false">IFERROR(AVERAGE(B205:B214),"N/M")</f>
        <v>1.0386515677819</v>
      </c>
      <c r="C216" s="37" t="n">
        <f aca="false">IFERROR(AVERAGE(C205:C214),"N/M")</f>
        <v>0.952159751513337</v>
      </c>
      <c r="D216" s="37" t="n">
        <f aca="false">IFERROR(AVERAGE(D205:D214),"N/M")</f>
        <v>0.739254386386325</v>
      </c>
      <c r="E216" s="37" t="n">
        <f aca="false">IFERROR(AVERAGE(E205:E214),"N/M")</f>
        <v>1.43805245069177</v>
      </c>
      <c r="F216" s="37" t="n">
        <f aca="false">IFERROR(AVERAGE(F205:F214),"N/M")</f>
        <v>2.28956020401531</v>
      </c>
      <c r="G216" s="37" t="n">
        <f aca="false">IFERROR(AVERAGE(G205:G214),"N/M")</f>
        <v>0.695916544262784</v>
      </c>
      <c r="H216" s="37" t="n">
        <f aca="false">IFERROR(AVERAGE(H205:H214),"N/M")</f>
        <v>0.83456191187902</v>
      </c>
      <c r="I216" s="37" t="n">
        <f aca="false">IFERROR(AVERAGE(I205:I214),"N/M")</f>
        <v>1.46054126383379</v>
      </c>
    </row>
    <row r="217" customFormat="false" ht="15" hidden="false" customHeight="false" outlineLevel="0" collapsed="false">
      <c r="A217" s="35" t="s">
        <v>178</v>
      </c>
      <c r="B217" s="37" t="n">
        <f aca="false">IFERROR(MEDIAN(B205:B214),"N/M")</f>
        <v>0.721529714917236</v>
      </c>
      <c r="C217" s="37" t="n">
        <f aca="false">IFERROR(MEDIAN(C205:C214),"N/M")</f>
        <v>0.529240267535586</v>
      </c>
      <c r="D217" s="37" t="n">
        <f aca="false">IFERROR(MEDIAN(D205:D214),"N/M")</f>
        <v>0.732917742017105</v>
      </c>
      <c r="E217" s="37" t="n">
        <f aca="false">IFERROR(MEDIAN(E205:E214),"N/M")</f>
        <v>0.684373372861808</v>
      </c>
      <c r="F217" s="37" t="n">
        <f aca="false">IFERROR(MEDIAN(F205:F214),"N/M")</f>
        <v>0.758430307760989</v>
      </c>
      <c r="G217" s="37" t="n">
        <f aca="false">IFERROR(MEDIAN(G205:G214),"N/M")</f>
        <v>0.645903889573071</v>
      </c>
      <c r="H217" s="37" t="n">
        <f aca="false">IFERROR(MEDIAN(H205:H214),"N/M")</f>
        <v>0.597871824038763</v>
      </c>
      <c r="I217" s="37" t="n">
        <f aca="false">IFERROR(MEDIAN(I205:I214),"N/M")</f>
        <v>0.945463934460655</v>
      </c>
    </row>
    <row r="218" customFormat="false" ht="15" hidden="false" customHeight="false" outlineLevel="0" collapsed="false">
      <c r="A218" s="35" t="s">
        <v>179</v>
      </c>
      <c r="B218" s="37" t="n">
        <f aca="false">IFERROR(STDEV(B205:B214),"N/M")</f>
        <v>0.861053539399464</v>
      </c>
      <c r="C218" s="37" t="n">
        <f aca="false">IFERROR(STDEV(C205:C214),"N/M")</f>
        <v>0.860018826050729</v>
      </c>
      <c r="D218" s="37" t="n">
        <f aca="false">IFERROR(STDEV(D205:D214),"N/M")</f>
        <v>0.6949215690855</v>
      </c>
      <c r="E218" s="37" t="n">
        <f aca="false">IFERROR(STDEV(E205:E214),"N/M")</f>
        <v>2.71844131446823</v>
      </c>
      <c r="F218" s="37" t="n">
        <f aca="false">IFERROR(STDEV(F205:F214),"N/M")</f>
        <v>5.42106895267285</v>
      </c>
      <c r="G218" s="37" t="n">
        <f aca="false">IFERROR(STDEV(G205:G214),"N/M")</f>
        <v>0.6615359145886</v>
      </c>
      <c r="H218" s="37" t="n">
        <f aca="false">IFERROR(STDEV(H205:H214),"N/M")</f>
        <v>1.07827542361038</v>
      </c>
      <c r="I218" s="37" t="n">
        <f aca="false">IFERROR(STDEV(I205:I214),"N/M")</f>
        <v>2.43272954973917</v>
      </c>
    </row>
    <row r="219" customFormat="false" ht="15" hidden="false" customHeight="false" outlineLevel="0" collapsed="false">
      <c r="A219" s="35" t="s">
        <v>102</v>
      </c>
      <c r="B219" s="37" t="n">
        <f aca="false">IFERROR(MIN(B205:B214),"N/M")</f>
        <v>0.00696787808204179</v>
      </c>
      <c r="C219" s="37" t="n">
        <f aca="false">IFERROR(MIN(C205:C214),"N/M")</f>
        <v>0.0709641257806319</v>
      </c>
      <c r="D219" s="37" t="n">
        <f aca="false">IFERROR(MIN(D205:D214),"N/M")</f>
        <v>0</v>
      </c>
      <c r="E219" s="37" t="n">
        <f aca="false">IFERROR(MIN(E205:E214),"N/M")</f>
        <v>0</v>
      </c>
      <c r="F219" s="37" t="n">
        <f aca="false">IFERROR(MIN(F205:F214),"N/M")</f>
        <v>0.0793946821548463</v>
      </c>
      <c r="G219" s="37" t="n">
        <f aca="false">IFERROR(MIN(G205:G214),"N/M")</f>
        <v>0.0695766088974968</v>
      </c>
      <c r="H219" s="37" t="n">
        <f aca="false">IFERROR(MIN(H205:H214),"N/M")</f>
        <v>0.0506800518134715</v>
      </c>
      <c r="I219" s="37" t="n">
        <f aca="false">IFERROR(MIN(I205:I214),"N/M")</f>
        <v>0.0627363663295786</v>
      </c>
    </row>
    <row r="220" customFormat="false" ht="15" hidden="false" customHeight="false" outlineLevel="0" collapsed="false">
      <c r="A220" s="35" t="s">
        <v>103</v>
      </c>
      <c r="B220" s="37" t="n">
        <f aca="false">IFERROR(MAX(B205:B214),"N/M")</f>
        <v>2.60168802115111</v>
      </c>
      <c r="C220" s="37" t="n">
        <f aca="false">IFERROR(MAX(C205:C214),"N/M")</f>
        <v>2.57137306574769</v>
      </c>
      <c r="D220" s="37" t="n">
        <f aca="false">IFERROR(MAX(D205:D214),"N/M")</f>
        <v>2.0201066885515</v>
      </c>
      <c r="E220" s="37" t="n">
        <f aca="false">IFERROR(MAX(E205:E214),"N/M")</f>
        <v>9.03344544095665</v>
      </c>
      <c r="F220" s="37" t="n">
        <f aca="false">IFERROR(MAX(F205:F214),"N/M")</f>
        <v>17.6619080779944</v>
      </c>
      <c r="G220" s="37" t="n">
        <f aca="false">IFERROR(MAX(G205:G214),"N/M")</f>
        <v>1.98405955969672</v>
      </c>
      <c r="H220" s="37" t="n">
        <f aca="false">IFERROR(MAX(H205:H214),"N/M")</f>
        <v>3.69449310686267</v>
      </c>
      <c r="I220" s="37" t="n">
        <f aca="false">IFERROR(MAX(I205:I214),"N/M")</f>
        <v>8.24788366174122</v>
      </c>
    </row>
    <row r="222" customFormat="false" ht="15" hidden="false" customHeight="false" outlineLevel="0" collapsed="false">
      <c r="A222" s="16" t="s">
        <v>191</v>
      </c>
      <c r="B222" s="17"/>
      <c r="C222" s="17"/>
      <c r="D222" s="17"/>
      <c r="E222" s="17"/>
      <c r="F222" s="17"/>
      <c r="G222" s="17"/>
      <c r="H222" s="17"/>
      <c r="I222" s="17"/>
      <c r="J222" s="17"/>
      <c r="K222" s="17"/>
      <c r="L222" s="17"/>
      <c r="M222" s="17"/>
    </row>
    <row r="223" customFormat="false" ht="15" hidden="false" customHeight="false" outlineLevel="0" collapsed="false">
      <c r="A223" s="18" t="s">
        <v>110</v>
      </c>
      <c r="B223" s="20" t="str">
        <f aca="false">Tiger!D93</f>
        <v>N/M</v>
      </c>
      <c r="C223" s="20" t="str">
        <f aca="false">Tiger!E93</f>
        <v>N/M</v>
      </c>
      <c r="D223" s="20" t="n">
        <f aca="false">Tiger!F93</f>
        <v>0</v>
      </c>
      <c r="E223" s="20" t="n">
        <f aca="false">Tiger!G93</f>
        <v>0</v>
      </c>
      <c r="F223" s="20" t="n">
        <f aca="false">Tiger!H93</f>
        <v>0.626105044201768</v>
      </c>
      <c r="G223" s="20" t="n">
        <f aca="false">Tiger!I93</f>
        <v>0.85331347728965</v>
      </c>
      <c r="H223" s="20" t="n">
        <f aca="false">Tiger!J93</f>
        <v>1.4334181509754</v>
      </c>
      <c r="I223" s="21" t="n">
        <f aca="false">Tiger!K93</f>
        <v>0.582567334493364</v>
      </c>
      <c r="J223" s="34" t="str">
        <f aca="false">IF(AND(ISNUMBER(H223),ISNUMBER(H$235)),IF(H223&gt;H$235,"Above",IF(H223&lt;H$235,"Below","At")),"-")</f>
        <v>Below</v>
      </c>
      <c r="K223" s="34" t="str">
        <f aca="false">IF(J223="Below","Better",IF(J223="Above","Weaker","-"))</f>
        <v>Better</v>
      </c>
      <c r="L223" s="34" t="n">
        <f aca="false">IF(ISNUMBER(H223),RANK(H223,H$223:H$232,1),"-")</f>
        <v>5</v>
      </c>
      <c r="N223" s="34" t="str">
        <f aca="false">IF(AND(ISNUMBER(I223),ISNUMBER(I$235)),IF(I223&gt;I$235,"Above",IF(I223&lt;I$235,"Below","At")),"-")</f>
        <v>Below</v>
      </c>
      <c r="O223" s="34" t="str">
        <f aca="false">IF(N223="Below","Better",IF(N223="Above","Weaker","-"))</f>
        <v>Better</v>
      </c>
    </row>
    <row r="224" customFormat="false" ht="15" hidden="false" customHeight="false" outlineLevel="0" collapsed="false">
      <c r="A224" s="18" t="s">
        <v>111</v>
      </c>
      <c r="B224" s="20" t="n">
        <f aca="false">Allcargo!D93</f>
        <v>2.62099292171383</v>
      </c>
      <c r="C224" s="20" t="n">
        <f aca="false">Allcargo!E93</f>
        <v>3.39464514644489</v>
      </c>
      <c r="D224" s="20" t="n">
        <f aca="false">Allcargo!F93</f>
        <v>1.4898578491568</v>
      </c>
      <c r="E224" s="20" t="n">
        <f aca="false">Allcargo!G93</f>
        <v>0.936914180408604</v>
      </c>
      <c r="F224" s="20" t="n">
        <f aca="false">Allcargo!H93</f>
        <v>2.62246970751595</v>
      </c>
      <c r="G224" s="20" t="n">
        <f aca="false">Allcargo!I93</f>
        <v>2.87132352941176</v>
      </c>
      <c r="H224" s="20" t="n">
        <f aca="false">Allcargo!J93</f>
        <v>2.56666666666667</v>
      </c>
      <c r="I224" s="21" t="n">
        <f aca="false">Allcargo!K93</f>
        <v>2.35755285733121</v>
      </c>
      <c r="J224" s="34" t="str">
        <f aca="false">IF(AND(ISNUMBER(H224),ISNUMBER(H$235)),IF(H224&gt;H$235,"Above",IF(H224&lt;H$235,"Below","At")),"-")</f>
        <v>Above</v>
      </c>
      <c r="K224" s="34" t="str">
        <f aca="false">IF(J224="Below","Better",IF(J224="Above","Weaker","-"))</f>
        <v>Weaker</v>
      </c>
      <c r="L224" s="34" t="n">
        <f aca="false">IF(ISNUMBER(H224),RANK(H224,H$223:H$232,1),"-")</f>
        <v>7</v>
      </c>
      <c r="N224" s="34" t="str">
        <f aca="false">IF(AND(ISNUMBER(I224),ISNUMBER(I$235)),IF(I224&gt;I$235,"Above",IF(I224&lt;I$235,"Below","At")),"-")</f>
        <v>Above</v>
      </c>
      <c r="O224" s="34" t="str">
        <f aca="false">IF(N224="Below","Better",IF(N224="Above","Weaker","-"))</f>
        <v>Weaker</v>
      </c>
    </row>
    <row r="225" customFormat="false" ht="15" hidden="false" customHeight="false" outlineLevel="0" collapsed="false">
      <c r="A225" s="18" t="s">
        <v>112</v>
      </c>
      <c r="B225" s="20" t="n">
        <f aca="false">BlueDart!D93</f>
        <v>1.2453300124533</v>
      </c>
      <c r="C225" s="20" t="n">
        <f aca="false">BlueDart!E93</f>
        <v>2.2360225636807</v>
      </c>
      <c r="D225" s="20" t="n">
        <f aca="false">BlueDart!F93</f>
        <v>1.07169500216161</v>
      </c>
      <c r="E225" s="20" t="n">
        <f aca="false">BlueDart!G93</f>
        <v>1.15534331067631</v>
      </c>
      <c r="F225" s="20" t="n">
        <f aca="false">BlueDart!H93</f>
        <v>1.18739071733693</v>
      </c>
      <c r="G225" s="20" t="n">
        <f aca="false">BlueDart!I93</f>
        <v>1.10105295384716</v>
      </c>
      <c r="H225" s="20" t="n">
        <f aca="false">BlueDart!J93</f>
        <v>1.20395166902136</v>
      </c>
      <c r="I225" s="21" t="n">
        <f aca="false">BlueDart!K93</f>
        <v>1.31439803273962</v>
      </c>
      <c r="J225" s="34" t="str">
        <f aca="false">IF(AND(ISNUMBER(H225),ISNUMBER(H$235)),IF(H225&gt;H$235,"Above",IF(H225&lt;H$235,"Below","At")),"-")</f>
        <v>Below</v>
      </c>
      <c r="K225" s="34" t="str">
        <f aca="false">IF(J225="Below","Better",IF(J225="Above","Weaker","-"))</f>
        <v>Better</v>
      </c>
      <c r="L225" s="34" t="n">
        <f aca="false">IF(ISNUMBER(H225),RANK(H225,H$223:H$232,1),"-")</f>
        <v>4</v>
      </c>
      <c r="N225" s="34" t="str">
        <f aca="false">IF(AND(ISNUMBER(I225),ISNUMBER(I$235)),IF(I225&gt;I$235,"Above",IF(I225&lt;I$235,"Below","At")),"-")</f>
        <v>Below</v>
      </c>
      <c r="O225" s="34" t="str">
        <f aca="false">IF(N225="Below","Better",IF(N225="Above","Weaker","-"))</f>
        <v>Better</v>
      </c>
    </row>
    <row r="226" customFormat="false" ht="15" hidden="false" customHeight="false" outlineLevel="0" collapsed="false">
      <c r="A226" s="18" t="s">
        <v>67</v>
      </c>
      <c r="B226" s="20" t="n">
        <f aca="false">CONCOR!D93</f>
        <v>0.0616935768173165</v>
      </c>
      <c r="C226" s="20" t="n">
        <f aca="false">CONCOR!E93</f>
        <v>0.569025636181886</v>
      </c>
      <c r="D226" s="20" t="n">
        <f aca="false">CONCOR!F93</f>
        <v>0.36422899545754</v>
      </c>
      <c r="E226" s="20" t="n">
        <f aca="false">CONCOR!G93</f>
        <v>0.353785758423903</v>
      </c>
      <c r="F226" s="20" t="n">
        <f aca="false">CONCOR!H93</f>
        <v>0.397943091636709</v>
      </c>
      <c r="G226" s="20" t="n">
        <f aca="false">CONCOR!I93</f>
        <v>0.362436155263667</v>
      </c>
      <c r="H226" s="20" t="n">
        <f aca="false">CONCOR!J93</f>
        <v>0.411360311834973</v>
      </c>
      <c r="I226" s="21" t="n">
        <f aca="false">CONCOR!K93</f>
        <v>0.360067646516571</v>
      </c>
      <c r="J226" s="34" t="str">
        <f aca="false">IF(AND(ISNUMBER(H226),ISNUMBER(H$235)),IF(H226&gt;H$235,"Above",IF(H226&lt;H$235,"Below","At")),"-")</f>
        <v>Below</v>
      </c>
      <c r="K226" s="34" t="str">
        <f aca="false">IF(J226="Below","Better",IF(J226="Above","Weaker","-"))</f>
        <v>Better</v>
      </c>
      <c r="L226" s="34" t="n">
        <f aca="false">IF(ISNUMBER(H226),RANK(H226,H$223:H$232,1),"-")</f>
        <v>1</v>
      </c>
      <c r="N226" s="34" t="str">
        <f aca="false">IF(AND(ISNUMBER(I226),ISNUMBER(I$235)),IF(I226&gt;I$235,"Above",IF(I226&lt;I$235,"Below","At")),"-")</f>
        <v>Below</v>
      </c>
      <c r="O226" s="34" t="str">
        <f aca="false">IF(N226="Below","Better",IF(N226="Above","Weaker","-"))</f>
        <v>Better</v>
      </c>
    </row>
    <row r="227" customFormat="false" ht="15" hidden="false" customHeight="false" outlineLevel="0" collapsed="false">
      <c r="A227" s="18" t="s">
        <v>113</v>
      </c>
      <c r="B227" s="20" t="str">
        <f aca="false">JetFreight!D93</f>
        <v>N/M</v>
      </c>
      <c r="C227" s="20" t="n">
        <f aca="false">JetFreight!E93</f>
        <v>3.13521695257316</v>
      </c>
      <c r="D227" s="20" t="n">
        <f aca="false">JetFreight!F93</f>
        <v>4.36436170212766</v>
      </c>
      <c r="E227" s="20" t="n">
        <f aca="false">JetFreight!G93</f>
        <v>6.98050458715596</v>
      </c>
      <c r="F227" s="20" t="n">
        <f aca="false">JetFreight!H93</f>
        <v>6.66666666666667</v>
      </c>
      <c r="G227" s="20" t="n">
        <f aca="false">JetFreight!I93</f>
        <v>4.20797907128842</v>
      </c>
      <c r="H227" s="20" t="n">
        <f aca="false">JetFreight!J93</f>
        <v>3.61317073170732</v>
      </c>
      <c r="I227" s="21" t="n">
        <f aca="false">JetFreight!K93</f>
        <v>4.8279832852532</v>
      </c>
      <c r="J227" s="34" t="str">
        <f aca="false">IF(AND(ISNUMBER(H227),ISNUMBER(H$235)),IF(H227&gt;H$235,"Above",IF(H227&lt;H$235,"Below","At")),"-")</f>
        <v>Above</v>
      </c>
      <c r="K227" s="34" t="str">
        <f aca="false">IF(J227="Below","Better",IF(J227="Above","Weaker","-"))</f>
        <v>Weaker</v>
      </c>
      <c r="L227" s="34" t="n">
        <f aca="false">IF(ISNUMBER(H227),RANK(H227,H$223:H$232,1),"-")</f>
        <v>10</v>
      </c>
      <c r="N227" s="34" t="str">
        <f aca="false">IF(AND(ISNUMBER(I227),ISNUMBER(I$235)),IF(I227&gt;I$235,"Above",IF(I227&lt;I$235,"Below","At")),"-")</f>
        <v>Above</v>
      </c>
      <c r="O227" s="34" t="str">
        <f aca="false">IF(N227="Below","Better",IF(N227="Above","Weaker","-"))</f>
        <v>Weaker</v>
      </c>
    </row>
    <row r="228" customFormat="false" ht="15" hidden="false" customHeight="false" outlineLevel="0" collapsed="false">
      <c r="A228" s="18" t="s">
        <v>114</v>
      </c>
      <c r="B228" s="20" t="n">
        <f aca="false">Patel!D93</f>
        <v>2.51636966431828</v>
      </c>
      <c r="C228" s="20" t="n">
        <f aca="false">Patel!E93</f>
        <v>6.03913894324853</v>
      </c>
      <c r="D228" s="20" t="n">
        <f aca="false">Patel!F93</f>
        <v>4.70392156862745</v>
      </c>
      <c r="E228" s="20" t="n">
        <f aca="false">Patel!G93</f>
        <v>2.5352798053528</v>
      </c>
      <c r="F228" s="20" t="n">
        <f aca="false">Patel!H93</f>
        <v>2.17886178861789</v>
      </c>
      <c r="G228" s="20" t="n">
        <f aca="false">Patel!I93</f>
        <v>1.14048865619546</v>
      </c>
      <c r="H228" s="20" t="n">
        <f aca="false">Patel!J93</f>
        <v>0.473883421650265</v>
      </c>
      <c r="I228" s="21" t="n">
        <f aca="false">Patel!K93</f>
        <v>2.79827769257295</v>
      </c>
      <c r="J228" s="34" t="str">
        <f aca="false">IF(AND(ISNUMBER(H228),ISNUMBER(H$235)),IF(H228&gt;H$235,"Above",IF(H228&lt;H$235,"Below","At")),"-")</f>
        <v>Below</v>
      </c>
      <c r="K228" s="34" t="str">
        <f aca="false">IF(J228="Below","Better",IF(J228="Above","Weaker","-"))</f>
        <v>Better</v>
      </c>
      <c r="L228" s="34" t="n">
        <f aca="false">IF(ISNUMBER(H228),RANK(H228,H$223:H$232,1),"-")</f>
        <v>2</v>
      </c>
      <c r="N228" s="34" t="str">
        <f aca="false">IF(AND(ISNUMBER(I228),ISNUMBER(I$235)),IF(I228&gt;I$235,"Above",IF(I228&lt;I$235,"Below","At")),"-")</f>
        <v>Above</v>
      </c>
      <c r="O228" s="34" t="str">
        <f aca="false">IF(N228="Below","Better",IF(N228="Above","Weaker","-"))</f>
        <v>Weaker</v>
      </c>
    </row>
    <row r="229" customFormat="false" ht="15" hidden="false" customHeight="false" outlineLevel="0" collapsed="false">
      <c r="A229" s="18" t="s">
        <v>115</v>
      </c>
      <c r="B229" s="20" t="n">
        <f aca="false">Sical!D93</f>
        <v>196.203987730061</v>
      </c>
      <c r="C229" s="20" t="str">
        <f aca="false">Sical!E93</f>
        <v>N/M</v>
      </c>
      <c r="D229" s="20" t="str">
        <f aca="false">Sical!F93</f>
        <v>N/M</v>
      </c>
      <c r="E229" s="20" t="str">
        <f aca="false">Sical!G93</f>
        <v>N/M</v>
      </c>
      <c r="F229" s="20" t="n">
        <f aca="false">Sical!H93</f>
        <v>7.95935979915268</v>
      </c>
      <c r="G229" s="20" t="n">
        <f aca="false">Sical!I93</f>
        <v>12.0931157978512</v>
      </c>
      <c r="H229" s="20" t="n">
        <f aca="false">Sical!J93</f>
        <v>2.83987119437939</v>
      </c>
      <c r="I229" s="21" t="n">
        <f aca="false">Sical!K93</f>
        <v>54.7740836303612</v>
      </c>
      <c r="J229" s="34" t="str">
        <f aca="false">IF(AND(ISNUMBER(H229),ISNUMBER(H$235)),IF(H229&gt;H$235,"Above",IF(H229&lt;H$235,"Below","At")),"-")</f>
        <v>Above</v>
      </c>
      <c r="K229" s="34" t="str">
        <f aca="false">IF(J229="Below","Better",IF(J229="Above","Weaker","-"))</f>
        <v>Weaker</v>
      </c>
      <c r="L229" s="34" t="n">
        <f aca="false">IF(ISNUMBER(H229),RANK(H229,H$223:H$232,1),"-")</f>
        <v>8</v>
      </c>
      <c r="N229" s="34" t="str">
        <f aca="false">IF(AND(ISNUMBER(I229),ISNUMBER(I$235)),IF(I229&gt;I$235,"Above",IF(I229&lt;I$235,"Below","At")),"-")</f>
        <v>Above</v>
      </c>
      <c r="O229" s="34" t="str">
        <f aca="false">IF(N229="Below","Better",IF(N229="Above","Weaker","-"))</f>
        <v>Weaker</v>
      </c>
    </row>
    <row r="230" customFormat="false" ht="15" hidden="false" customHeight="false" outlineLevel="0" collapsed="false">
      <c r="A230" s="18" t="s">
        <v>86</v>
      </c>
      <c r="B230" s="20" t="n">
        <f aca="false">TCI!D93</f>
        <v>1.5296100318933</v>
      </c>
      <c r="C230" s="20" t="n">
        <f aca="false">TCI!E93</f>
        <v>1.01266339869281</v>
      </c>
      <c r="D230" s="20" t="n">
        <f aca="false">TCI!F93</f>
        <v>0.210882713884993</v>
      </c>
      <c r="E230" s="20" t="n">
        <f aca="false">TCI!G93</f>
        <v>0.185498526026733</v>
      </c>
      <c r="F230" s="20" t="n">
        <f aca="false">TCI!H93</f>
        <v>0.365565013872898</v>
      </c>
      <c r="G230" s="20" t="n">
        <f aca="false">TCI!I93</f>
        <v>0.404867923264924</v>
      </c>
      <c r="H230" s="20" t="n">
        <f aca="false">TCI!J93</f>
        <v>0.4806301732361</v>
      </c>
      <c r="I230" s="21" t="n">
        <f aca="false">TCI!K93</f>
        <v>0.598531111553109</v>
      </c>
      <c r="J230" s="34" t="str">
        <f aca="false">IF(AND(ISNUMBER(H230),ISNUMBER(H$235)),IF(H230&gt;H$235,"Above",IF(H230&lt;H$235,"Below","At")),"-")</f>
        <v>Below</v>
      </c>
      <c r="K230" s="34" t="str">
        <f aca="false">IF(J230="Below","Better",IF(J230="Above","Weaker","-"))</f>
        <v>Better</v>
      </c>
      <c r="L230" s="34" t="n">
        <f aca="false">IF(ISNUMBER(H230),RANK(H230,H$223:H$232,1),"-")</f>
        <v>3</v>
      </c>
      <c r="N230" s="34" t="str">
        <f aca="false">IF(AND(ISNUMBER(I230),ISNUMBER(I$235)),IF(I230&gt;I$235,"Above",IF(I230&lt;I$235,"Below","At")),"-")</f>
        <v>Below</v>
      </c>
      <c r="O230" s="34" t="str">
        <f aca="false">IF(N230="Below","Better",IF(N230="Above","Weaker","-"))</f>
        <v>Better</v>
      </c>
    </row>
    <row r="231" customFormat="false" ht="15" hidden="false" customHeight="false" outlineLevel="0" collapsed="false">
      <c r="A231" s="18" t="s">
        <v>116</v>
      </c>
      <c r="B231" s="20" t="n">
        <f aca="false">Shreeji!D93</f>
        <v>4.5989898989899</v>
      </c>
      <c r="C231" s="20" t="n">
        <f aca="false">Shreeji!E93</f>
        <v>6.28042328042328</v>
      </c>
      <c r="D231" s="20" t="n">
        <f aca="false">Shreeji!F93</f>
        <v>2.26680141485599</v>
      </c>
      <c r="E231" s="20" t="n">
        <f aca="false">Shreeji!G93</f>
        <v>2.24902152641879</v>
      </c>
      <c r="F231" s="20" t="n">
        <f aca="false">Shreeji!H93</f>
        <v>1.51818181818182</v>
      </c>
      <c r="G231" s="20" t="n">
        <f aca="false">Shreeji!I93</f>
        <v>3.61705831157528</v>
      </c>
      <c r="H231" s="20" t="n">
        <f aca="false">Shreeji!J93</f>
        <v>3.41894197952218</v>
      </c>
      <c r="I231" s="21" t="n">
        <f aca="false">Shreeji!K93</f>
        <v>3.42134546142389</v>
      </c>
      <c r="J231" s="34" t="str">
        <f aca="false">IF(AND(ISNUMBER(H231),ISNUMBER(H$235)),IF(H231&gt;H$235,"Above",IF(H231&lt;H$235,"Below","At")),"-")</f>
        <v>Above</v>
      </c>
      <c r="K231" s="34" t="str">
        <f aca="false">IF(J231="Below","Better",IF(J231="Above","Weaker","-"))</f>
        <v>Weaker</v>
      </c>
      <c r="L231" s="34" t="n">
        <f aca="false">IF(ISNUMBER(H231),RANK(H231,H$223:H$232,1),"-")</f>
        <v>9</v>
      </c>
      <c r="N231" s="34" t="str">
        <f aca="false">IF(AND(ISNUMBER(I231),ISNUMBER(I$235)),IF(I231&gt;I$235,"Above",IF(I231&lt;I$235,"Below","At")),"-")</f>
        <v>Above</v>
      </c>
      <c r="O231" s="34" t="str">
        <f aca="false">IF(N231="Below","Better",IF(N231="Above","Weaker","-"))</f>
        <v>Weaker</v>
      </c>
    </row>
    <row r="232" customFormat="false" ht="15" hidden="false" customHeight="false" outlineLevel="0" collapsed="false">
      <c r="A232" s="18" t="s">
        <v>117</v>
      </c>
      <c r="B232" s="20" t="n">
        <f aca="false">MahindraLog!D93</f>
        <v>1.16865021770682</v>
      </c>
      <c r="C232" s="20" t="n">
        <f aca="false">MahindraLog!E93</f>
        <v>1.80931918893514</v>
      </c>
      <c r="D232" s="20" t="n">
        <f aca="false">MahindraLog!F93</f>
        <v>2.03396512509477</v>
      </c>
      <c r="E232" s="20" t="n">
        <f aca="false">MahindraLog!G93</f>
        <v>3.0261964369943</v>
      </c>
      <c r="F232" s="20" t="n">
        <f aca="false">MahindraLog!H93</f>
        <v>2.94819747966183</v>
      </c>
      <c r="G232" s="20" t="n">
        <f aca="false">MahindraLog!I93</f>
        <v>2.89728539985327</v>
      </c>
      <c r="H232" s="20" t="n">
        <f aca="false">MahindraLog!J93</f>
        <v>1.68307214091439</v>
      </c>
      <c r="I232" s="21" t="n">
        <f aca="false">MahindraLog!K93</f>
        <v>2.22381228416579</v>
      </c>
      <c r="J232" s="34" t="str">
        <f aca="false">IF(AND(ISNUMBER(H232),ISNUMBER(H$235)),IF(H232&gt;H$235,"Above",IF(H232&lt;H$235,"Below","At")),"-")</f>
        <v>Above</v>
      </c>
      <c r="K232" s="34" t="str">
        <f aca="false">IF(J232="Below","Better",IF(J232="Above","Weaker","-"))</f>
        <v>Weaker</v>
      </c>
      <c r="L232" s="34" t="n">
        <f aca="false">IF(ISNUMBER(H232),RANK(H232,H$223:H$232,1),"-")</f>
        <v>6</v>
      </c>
      <c r="N232" s="34" t="str">
        <f aca="false">IF(AND(ISNUMBER(I232),ISNUMBER(I$235)),IF(I232&gt;I$235,"Above",IF(I232&lt;I$235,"Below","At")),"-")</f>
        <v>Below</v>
      </c>
      <c r="O232" s="34" t="str">
        <f aca="false">IF(N232="Below","Better",IF(N232="Above","Weaker","-"))</f>
        <v>Better</v>
      </c>
    </row>
    <row r="233" customFormat="false" ht="15" hidden="false" customHeight="false" outlineLevel="0" collapsed="false">
      <c r="A233" s="12" t="s">
        <v>176</v>
      </c>
      <c r="B233" s="21" t="n">
        <f aca="false">Industry!D93</f>
        <v>1.61670363161786</v>
      </c>
      <c r="C233" s="21" t="n">
        <f aca="false">Industry!E93</f>
        <v>3.03907837393038</v>
      </c>
      <c r="D233" s="21" t="n">
        <f aca="false">Industry!F93</f>
        <v>1.26850651307183</v>
      </c>
      <c r="E233" s="21" t="n">
        <f aca="false">Industry!G93</f>
        <v>1.02287090311653</v>
      </c>
      <c r="F233" s="21" t="n">
        <f aca="false">Industry!H93</f>
        <v>1.11402922807075</v>
      </c>
      <c r="G233" s="21" t="n">
        <f aca="false">Industry!I93</f>
        <v>0.985135506137977</v>
      </c>
      <c r="H233" s="21" t="n">
        <f aca="false">Industry!J93</f>
        <v>0.910707659577977</v>
      </c>
      <c r="I233" s="21" t="n">
        <f aca="false">Industry!K93</f>
        <v>1.42243311650333</v>
      </c>
    </row>
    <row r="234" customFormat="false" ht="15" hidden="false" customHeight="false" outlineLevel="0" collapsed="false">
      <c r="A234" s="35" t="s">
        <v>177</v>
      </c>
      <c r="B234" s="37" t="n">
        <f aca="false">IFERROR(AVERAGE(B223:B232),"N/M")</f>
        <v>26.2432030067443</v>
      </c>
      <c r="C234" s="37" t="n">
        <f aca="false">IFERROR(AVERAGE(C223:C232),"N/M")</f>
        <v>3.05955688877255</v>
      </c>
      <c r="D234" s="37" t="n">
        <f aca="false">IFERROR(AVERAGE(D223:D232),"N/M")</f>
        <v>1.8339682634852</v>
      </c>
      <c r="E234" s="37" t="n">
        <f aca="false">IFERROR(AVERAGE(E223:E232),"N/M")</f>
        <v>1.9358382368286</v>
      </c>
      <c r="F234" s="37" t="n">
        <f aca="false">IFERROR(AVERAGE(F223:F232),"N/M")</f>
        <v>2.64707411268451</v>
      </c>
      <c r="G234" s="37" t="n">
        <f aca="false">IFERROR(AVERAGE(G223:G232),"N/M")</f>
        <v>2.95489212758408</v>
      </c>
      <c r="H234" s="37" t="n">
        <f aca="false">IFERROR(AVERAGE(H223:H232),"N/M")</f>
        <v>1.81249664399081</v>
      </c>
      <c r="I234" s="37" t="n">
        <f aca="false">IFERROR(AVERAGE(I223:I232),"N/M")</f>
        <v>7.32586193364109</v>
      </c>
    </row>
    <row r="235" customFormat="false" ht="15" hidden="false" customHeight="false" outlineLevel="0" collapsed="false">
      <c r="A235" s="35" t="s">
        <v>178</v>
      </c>
      <c r="B235" s="37" t="n">
        <f aca="false">IFERROR(MEDIAN(B223:B232),"N/M")</f>
        <v>2.02298984810579</v>
      </c>
      <c r="C235" s="37" t="n">
        <f aca="false">IFERROR(MEDIAN(C223:C232),"N/M")</f>
        <v>2.68561975812693</v>
      </c>
      <c r="D235" s="37" t="n">
        <f aca="false">IFERROR(MEDIAN(D223:D232),"N/M")</f>
        <v>1.4898578491568</v>
      </c>
      <c r="E235" s="37" t="n">
        <f aca="false">IFERROR(MEDIAN(E223:E232),"N/M")</f>
        <v>1.15534331067631</v>
      </c>
      <c r="F235" s="37" t="n">
        <f aca="false">IFERROR(MEDIAN(F223:F232),"N/M")</f>
        <v>1.84852180339985</v>
      </c>
      <c r="G235" s="37" t="n">
        <f aca="false">IFERROR(MEDIAN(G223:G232),"N/M")</f>
        <v>2.00590609280361</v>
      </c>
      <c r="H235" s="37" t="n">
        <f aca="false">IFERROR(MEDIAN(H223:H232),"N/M")</f>
        <v>1.5582451459449</v>
      </c>
      <c r="I235" s="37" t="n">
        <f aca="false">IFERROR(MEDIAN(I223:I232),"N/M")</f>
        <v>2.2906825707485</v>
      </c>
    </row>
    <row r="236" customFormat="false" ht="15" hidden="false" customHeight="false" outlineLevel="0" collapsed="false">
      <c r="A236" s="35" t="s">
        <v>179</v>
      </c>
      <c r="B236" s="37" t="n">
        <f aca="false">IFERROR(STDEV(B223:B232),"N/M")</f>
        <v>68.6876696151761</v>
      </c>
      <c r="C236" s="37" t="n">
        <f aca="false">IFERROR(STDEV(C223:C232),"N/M")</f>
        <v>2.13821421112056</v>
      </c>
      <c r="D236" s="37" t="n">
        <f aca="false">IFERROR(STDEV(D223:D232),"N/M")</f>
        <v>1.72207427687344</v>
      </c>
      <c r="E236" s="37" t="n">
        <f aca="false">IFERROR(STDEV(E223:E232),"N/M")</f>
        <v>2.1799089426165</v>
      </c>
      <c r="F236" s="37" t="n">
        <f aca="false">IFERROR(STDEV(F223:F232),"N/M")</f>
        <v>2.63399296537467</v>
      </c>
      <c r="G236" s="37" t="n">
        <f aca="false">IFERROR(STDEV(G223:G232),"N/M")</f>
        <v>3.49436035969531</v>
      </c>
      <c r="H236" s="37" t="n">
        <f aca="false">IFERROR(STDEV(H223:H232),"N/M")</f>
        <v>1.22506596397318</v>
      </c>
      <c r="I236" s="37" t="n">
        <f aca="false">IFERROR(STDEV(I223:I232),"N/M")</f>
        <v>16.7312794353421</v>
      </c>
    </row>
    <row r="237" customFormat="false" ht="15" hidden="false" customHeight="false" outlineLevel="0" collapsed="false">
      <c r="A237" s="35" t="s">
        <v>102</v>
      </c>
      <c r="B237" s="37" t="n">
        <f aca="false">IFERROR(MIN(B223:B232),"N/M")</f>
        <v>0.0616935768173165</v>
      </c>
      <c r="C237" s="37" t="n">
        <f aca="false">IFERROR(MIN(C223:C232),"N/M")</f>
        <v>0.569025636181886</v>
      </c>
      <c r="D237" s="37" t="n">
        <f aca="false">IFERROR(MIN(D223:D232),"N/M")</f>
        <v>0</v>
      </c>
      <c r="E237" s="37" t="n">
        <f aca="false">IFERROR(MIN(E223:E232),"N/M")</f>
        <v>0</v>
      </c>
      <c r="F237" s="37" t="n">
        <f aca="false">IFERROR(MIN(F223:F232),"N/M")</f>
        <v>0.365565013872898</v>
      </c>
      <c r="G237" s="37" t="n">
        <f aca="false">IFERROR(MIN(G223:G232),"N/M")</f>
        <v>0.362436155263667</v>
      </c>
      <c r="H237" s="37" t="n">
        <f aca="false">IFERROR(MIN(H223:H232),"N/M")</f>
        <v>0.411360311834973</v>
      </c>
      <c r="I237" s="37" t="n">
        <f aca="false">IFERROR(MIN(I223:I232),"N/M")</f>
        <v>0.360067646516571</v>
      </c>
    </row>
    <row r="238" customFormat="false" ht="15" hidden="false" customHeight="false" outlineLevel="0" collapsed="false">
      <c r="A238" s="35" t="s">
        <v>103</v>
      </c>
      <c r="B238" s="37" t="n">
        <f aca="false">IFERROR(MAX(B223:B232),"N/M")</f>
        <v>196.203987730061</v>
      </c>
      <c r="C238" s="37" t="n">
        <f aca="false">IFERROR(MAX(C223:C232),"N/M")</f>
        <v>6.28042328042328</v>
      </c>
      <c r="D238" s="37" t="n">
        <f aca="false">IFERROR(MAX(D223:D232),"N/M")</f>
        <v>4.70392156862745</v>
      </c>
      <c r="E238" s="37" t="n">
        <f aca="false">IFERROR(MAX(E223:E232),"N/M")</f>
        <v>6.98050458715596</v>
      </c>
      <c r="F238" s="37" t="n">
        <f aca="false">IFERROR(MAX(F223:F232),"N/M")</f>
        <v>7.95935979915268</v>
      </c>
      <c r="G238" s="37" t="n">
        <f aca="false">IFERROR(MAX(G223:G232),"N/M")</f>
        <v>12.0931157978512</v>
      </c>
      <c r="H238" s="37" t="n">
        <f aca="false">IFERROR(MAX(H223:H232),"N/M")</f>
        <v>3.61317073170732</v>
      </c>
      <c r="I238" s="37" t="n">
        <f aca="false">IFERROR(MAX(I223:I232),"N/M")</f>
        <v>54.7740836303612</v>
      </c>
    </row>
    <row r="240" customFormat="false" ht="15" hidden="false" customHeight="false" outlineLevel="0" collapsed="false">
      <c r="A240" s="16" t="s">
        <v>192</v>
      </c>
      <c r="B240" s="17"/>
      <c r="C240" s="17"/>
      <c r="D240" s="17"/>
      <c r="E240" s="17"/>
      <c r="F240" s="17"/>
      <c r="G240" s="17"/>
      <c r="H240" s="17"/>
      <c r="I240" s="17"/>
      <c r="J240" s="17"/>
      <c r="K240" s="17"/>
      <c r="L240" s="17"/>
      <c r="M240" s="17"/>
    </row>
    <row r="241" customFormat="false" ht="15" hidden="false" customHeight="false" outlineLevel="0" collapsed="false">
      <c r="A241" s="18" t="s">
        <v>110</v>
      </c>
      <c r="B241" s="20" t="n">
        <f aca="false">Tiger!D96</f>
        <v>-1.72747747747748</v>
      </c>
      <c r="C241" s="20" t="n">
        <f aca="false">Tiger!E96</f>
        <v>-5.18367346938776</v>
      </c>
      <c r="D241" s="20" t="n">
        <f aca="false">Tiger!F96</f>
        <v>25.7549668874172</v>
      </c>
      <c r="E241" s="20" t="n">
        <f aca="false">Tiger!G96</f>
        <v>31.4271844660194</v>
      </c>
      <c r="F241" s="20" t="n">
        <f aca="false">Tiger!H96</f>
        <v>24.2763157894737</v>
      </c>
      <c r="G241" s="20" t="n">
        <f aca="false">Tiger!I96</f>
        <v>11.7731343283582</v>
      </c>
      <c r="H241" s="20" t="n">
        <f aca="false">Tiger!J96</f>
        <v>6.52941176470588</v>
      </c>
      <c r="I241" s="21" t="n">
        <f aca="false">Tiger!K96</f>
        <v>13.2642660413013</v>
      </c>
      <c r="J241" s="34" t="str">
        <f aca="false">IF(AND(ISNUMBER(H241),ISNUMBER(H$253)),IF(H241&gt;H$253,"Above",IF(H241&lt;H$253,"Below","At")),"-")</f>
        <v>Above</v>
      </c>
      <c r="K241" s="34" t="str">
        <f aca="false">IF(J241="Above","Better",IF(J241="Below","Weaker","-"))</f>
        <v>Better</v>
      </c>
      <c r="L241" s="34" t="n">
        <f aca="false">IF(ISNUMBER(H241),RANK(H241,H$241:H$250,0),"-")</f>
        <v>4</v>
      </c>
      <c r="N241" s="34" t="str">
        <f aca="false">IF(AND(ISNUMBER(I241),ISNUMBER(I$253)),IF(I241&gt;I$253,"Above",IF(I241&lt;I$253,"Below","At")),"-")</f>
        <v>Above</v>
      </c>
      <c r="O241" s="34" t="str">
        <f aca="false">IF(N241="Above","Better",IF(N241="Below","Weaker","-"))</f>
        <v>Better</v>
      </c>
    </row>
    <row r="242" customFormat="false" ht="15" hidden="false" customHeight="false" outlineLevel="0" collapsed="false">
      <c r="A242" s="18" t="s">
        <v>111</v>
      </c>
      <c r="B242" s="20" t="n">
        <f aca="false">Allcargo!D96</f>
        <v>5.08943633685902</v>
      </c>
      <c r="C242" s="20" t="n">
        <f aca="false">Allcargo!E96</f>
        <v>2.11050610820244</v>
      </c>
      <c r="D242" s="20" t="n">
        <f aca="false">Allcargo!F96</f>
        <v>13.6973287600042</v>
      </c>
      <c r="E242" s="20" t="n">
        <f aca="false">Allcargo!G96</f>
        <v>11.4632464648826</v>
      </c>
      <c r="F242" s="20" t="n">
        <f aca="false">Allcargo!H96</f>
        <v>2.17822846495629</v>
      </c>
      <c r="G242" s="20" t="n">
        <f aca="false">Allcargo!I96</f>
        <v>1.2</v>
      </c>
      <c r="H242" s="20" t="n">
        <f aca="false">Allcargo!J96</f>
        <v>1.06451612903226</v>
      </c>
      <c r="I242" s="21" t="n">
        <f aca="false">Allcargo!K96</f>
        <v>5.2576088948481</v>
      </c>
      <c r="J242" s="34" t="str">
        <f aca="false">IF(AND(ISNUMBER(H242),ISNUMBER(H$253)),IF(H242&gt;H$253,"Above",IF(H242&lt;H$253,"Below","At")),"-")</f>
        <v>Below</v>
      </c>
      <c r="K242" s="34" t="str">
        <f aca="false">IF(J242="Above","Better",IF(J242="Below","Weaker","-"))</f>
        <v>Weaker</v>
      </c>
      <c r="L242" s="34" t="n">
        <f aca="false">IF(ISNUMBER(H242),RANK(H242,H$241:H$250,0),"-")</f>
        <v>10</v>
      </c>
      <c r="N242" s="34" t="str">
        <f aca="false">IF(AND(ISNUMBER(I242),ISNUMBER(I$253)),IF(I242&gt;I$253,"Above",IF(I242&lt;I$253,"Below","At")),"-")</f>
        <v>Above</v>
      </c>
      <c r="O242" s="34" t="str">
        <f aca="false">IF(N242="Above","Better",IF(N242="Below","Weaker","-"))</f>
        <v>Better</v>
      </c>
    </row>
    <row r="243" customFormat="false" ht="15" hidden="false" customHeight="false" outlineLevel="0" collapsed="false">
      <c r="A243" s="18" t="s">
        <v>112</v>
      </c>
      <c r="B243" s="20" t="n">
        <f aca="false">BlueDart!D96</f>
        <v>0.666723462259329</v>
      </c>
      <c r="C243" s="20" t="n">
        <f aca="false">BlueDart!E96</f>
        <v>2.25993690851735</v>
      </c>
      <c r="D243" s="20" t="n">
        <f aca="false">BlueDart!F96</f>
        <v>6.89042198459239</v>
      </c>
      <c r="E243" s="20" t="n">
        <f aca="false">BlueDart!G96</f>
        <v>8.6020942408377</v>
      </c>
      <c r="F243" s="20" t="n">
        <f aca="false">BlueDart!H96</f>
        <v>6.03074558032283</v>
      </c>
      <c r="G243" s="20" t="n">
        <f aca="false">BlueDart!I96</f>
        <v>5.21458914916859</v>
      </c>
      <c r="H243" s="20" t="n">
        <f aca="false">BlueDart!J96</f>
        <v>4.81539000467071</v>
      </c>
      <c r="I243" s="21" t="n">
        <f aca="false">BlueDart!K96</f>
        <v>4.9257001900527</v>
      </c>
      <c r="J243" s="34" t="str">
        <f aca="false">IF(AND(ISNUMBER(H243),ISNUMBER(H$253)),IF(H243&gt;H$253,"Above",IF(H243&lt;H$253,"Below","At")),"-")</f>
        <v>Above</v>
      </c>
      <c r="K243" s="34" t="str">
        <f aca="false">IF(J243="Above","Better",IF(J243="Below","Weaker","-"))</f>
        <v>Better</v>
      </c>
      <c r="L243" s="34" t="n">
        <f aca="false">IF(ISNUMBER(H243),RANK(H243,H$241:H$250,0),"-")</f>
        <v>5</v>
      </c>
      <c r="N243" s="34" t="str">
        <f aca="false">IF(AND(ISNUMBER(I243),ISNUMBER(I$253)),IF(I243&gt;I$253,"Above",IF(I243&lt;I$253,"Below","At")),"-")</f>
        <v>Below</v>
      </c>
      <c r="O243" s="34" t="str">
        <f aca="false">IF(N243="Above","Better",IF(N243="Below","Weaker","-"))</f>
        <v>Weaker</v>
      </c>
    </row>
    <row r="244" customFormat="false" ht="15" hidden="false" customHeight="false" outlineLevel="0" collapsed="false">
      <c r="A244" s="18" t="s">
        <v>67</v>
      </c>
      <c r="B244" s="20" t="n">
        <f aca="false">CONCOR!D96</f>
        <v>12.7095176571921</v>
      </c>
      <c r="C244" s="20" t="n">
        <f aca="false">CONCOR!E96</f>
        <v>16.519004837595</v>
      </c>
      <c r="D244" s="20" t="n">
        <f aca="false">CONCOR!F96</f>
        <v>23.1908020369192</v>
      </c>
      <c r="E244" s="20" t="n">
        <f aca="false">CONCOR!G96</f>
        <v>25.1680581323438</v>
      </c>
      <c r="F244" s="20" t="n">
        <f aca="false">CONCOR!H96</f>
        <v>24.2613969050606</v>
      </c>
      <c r="G244" s="20" t="n">
        <f aca="false">CONCOR!I96</f>
        <v>24.410277324633</v>
      </c>
      <c r="H244" s="20" t="n">
        <f aca="false">CONCOR!J96</f>
        <v>22.0208837386986</v>
      </c>
      <c r="I244" s="21" t="n">
        <f aca="false">CONCOR!K96</f>
        <v>21.1828486617775</v>
      </c>
      <c r="J244" s="34" t="str">
        <f aca="false">IF(AND(ISNUMBER(H244),ISNUMBER(H$253)),IF(H244&gt;H$253,"Above",IF(H244&lt;H$253,"Below","At")),"-")</f>
        <v>Above</v>
      </c>
      <c r="K244" s="34" t="str">
        <f aca="false">IF(J244="Above","Better",IF(J244="Below","Weaker","-"))</f>
        <v>Better</v>
      </c>
      <c r="L244" s="34" t="n">
        <f aca="false">IF(ISNUMBER(H244),RANK(H244,H$241:H$250,0),"-")</f>
        <v>3</v>
      </c>
      <c r="N244" s="34" t="str">
        <f aca="false">IF(AND(ISNUMBER(I244),ISNUMBER(I$253)),IF(I244&gt;I$253,"Above",IF(I244&lt;I$253,"Below","At")),"-")</f>
        <v>Above</v>
      </c>
      <c r="O244" s="34" t="str">
        <f aca="false">IF(N244="Above","Better",IF(N244="Below","Weaker","-"))</f>
        <v>Better</v>
      </c>
    </row>
    <row r="245" customFormat="false" ht="15" hidden="false" customHeight="false" outlineLevel="0" collapsed="false">
      <c r="A245" s="18" t="s">
        <v>113</v>
      </c>
      <c r="B245" s="20" t="n">
        <f aca="false">JetFreight!D96</f>
        <v>-0.895196506550218</v>
      </c>
      <c r="C245" s="20" t="n">
        <f aca="false">JetFreight!E96</f>
        <v>1.99742268041237</v>
      </c>
      <c r="D245" s="20" t="n">
        <f aca="false">JetFreight!F96</f>
        <v>2.11386138613861</v>
      </c>
      <c r="E245" s="20" t="n">
        <f aca="false">JetFreight!G96</f>
        <v>1.17029702970297</v>
      </c>
      <c r="F245" s="20" t="n">
        <f aca="false">JetFreight!H96</f>
        <v>1.03703703703704</v>
      </c>
      <c r="G245" s="20" t="n">
        <f aca="false">JetFreight!I96</f>
        <v>1.91449275362319</v>
      </c>
      <c r="H245" s="20" t="n">
        <f aca="false">JetFreight!J96</f>
        <v>2.65571428571429</v>
      </c>
      <c r="I245" s="21" t="n">
        <f aca="false">JetFreight!K96</f>
        <v>1.42766123801118</v>
      </c>
      <c r="J245" s="34" t="str">
        <f aca="false">IF(AND(ISNUMBER(H245),ISNUMBER(H$253)),IF(H245&gt;H$253,"Above",IF(H245&lt;H$253,"Below","At")),"-")</f>
        <v>Below</v>
      </c>
      <c r="K245" s="34" t="str">
        <f aca="false">IF(J245="Above","Better",IF(J245="Below","Weaker","-"))</f>
        <v>Weaker</v>
      </c>
      <c r="L245" s="34" t="n">
        <f aca="false">IF(ISNUMBER(H245),RANK(H245,H$241:H$250,0),"-")</f>
        <v>6</v>
      </c>
      <c r="N245" s="34" t="str">
        <f aca="false">IF(AND(ISNUMBER(I245),ISNUMBER(I$253)),IF(I245&gt;I$253,"Above",IF(I245&lt;I$253,"Below","At")),"-")</f>
        <v>Below</v>
      </c>
      <c r="O245" s="34" t="str">
        <f aca="false">IF(N245="Above","Better",IF(N245="Below","Weaker","-"))</f>
        <v>Weaker</v>
      </c>
    </row>
    <row r="246" customFormat="false" ht="15" hidden="false" customHeight="false" outlineLevel="0" collapsed="false">
      <c r="A246" s="18" t="s">
        <v>114</v>
      </c>
      <c r="B246" s="20" t="n">
        <f aca="false">Patel!D96</f>
        <v>2.7361299052774</v>
      </c>
      <c r="C246" s="20" t="n">
        <f aca="false">Patel!E96</f>
        <v>1.0368906455863</v>
      </c>
      <c r="D246" s="20" t="n">
        <f aca="false">Patel!F96</f>
        <v>1.41760299625468</v>
      </c>
      <c r="E246" s="20" t="n">
        <f aca="false">Patel!G96</f>
        <v>1.9727463312369</v>
      </c>
      <c r="F246" s="20" t="n">
        <f aca="false">Patel!H96</f>
        <v>3.19305019305019</v>
      </c>
      <c r="G246" s="20" t="n">
        <f aca="false">Patel!I96</f>
        <v>7.5</v>
      </c>
      <c r="H246" s="20" t="n">
        <f aca="false">Patel!J96</f>
        <v>30.4571428571429</v>
      </c>
      <c r="I246" s="21" t="n">
        <f aca="false">Patel!K96</f>
        <v>6.90193756122119</v>
      </c>
      <c r="J246" s="34" t="str">
        <f aca="false">IF(AND(ISNUMBER(H246),ISNUMBER(H$253)),IF(H246&gt;H$253,"Above",IF(H246&lt;H$253,"Below","At")),"-")</f>
        <v>Above</v>
      </c>
      <c r="K246" s="34" t="str">
        <f aca="false">IF(J246="Above","Better",IF(J246="Below","Weaker","-"))</f>
        <v>Better</v>
      </c>
      <c r="L246" s="34" t="n">
        <f aca="false">IF(ISNUMBER(H246),RANK(H246,H$241:H$250,0),"-")</f>
        <v>1</v>
      </c>
      <c r="N246" s="34" t="str">
        <f aca="false">IF(AND(ISNUMBER(I246),ISNUMBER(I$253)),IF(I246&gt;I$253,"Above",IF(I246&lt;I$253,"Below","At")),"-")</f>
        <v>Above</v>
      </c>
      <c r="O246" s="34" t="str">
        <f aca="false">IF(N246="Above","Better",IF(N246="Below","Weaker","-"))</f>
        <v>Better</v>
      </c>
    </row>
    <row r="247" customFormat="false" ht="15" hidden="false" customHeight="false" outlineLevel="0" collapsed="false">
      <c r="A247" s="18" t="s">
        <v>115</v>
      </c>
      <c r="B247" s="20" t="n">
        <f aca="false">Sical!D96</f>
        <v>-1.41665151790584</v>
      </c>
      <c r="C247" s="20" t="n">
        <f aca="false">Sical!E96</f>
        <v>-7.38206767727567</v>
      </c>
      <c r="D247" s="20" t="n">
        <f aca="false">Sical!F96</f>
        <v>-10.8144329896907</v>
      </c>
      <c r="E247" s="20" t="n">
        <f aca="false">Sical!G96</f>
        <v>-41.7227671657202</v>
      </c>
      <c r="F247" s="20" t="n">
        <f aca="false">Sical!H96</f>
        <v>0.393312914752425</v>
      </c>
      <c r="G247" s="20" t="n">
        <f aca="false">Sical!I96</f>
        <v>0.28971098265896</v>
      </c>
      <c r="H247" s="20" t="n">
        <f aca="false">Sical!J96</f>
        <v>1.79269647320189</v>
      </c>
      <c r="I247" s="21" t="n">
        <f aca="false">Sical!K96</f>
        <v>-8.40859985428273</v>
      </c>
      <c r="J247" s="34" t="str">
        <f aca="false">IF(AND(ISNUMBER(H247),ISNUMBER(H$253)),IF(H247&gt;H$253,"Above",IF(H247&lt;H$253,"Below","At")),"-")</f>
        <v>Below</v>
      </c>
      <c r="K247" s="34" t="str">
        <f aca="false">IF(J247="Above","Better",IF(J247="Below","Weaker","-"))</f>
        <v>Weaker</v>
      </c>
      <c r="L247" s="34" t="n">
        <f aca="false">IF(ISNUMBER(H247),RANK(H247,H$241:H$250,0),"-")</f>
        <v>8</v>
      </c>
      <c r="N247" s="34" t="str">
        <f aca="false">IF(AND(ISNUMBER(I247),ISNUMBER(I$253)),IF(I247&gt;I$253,"Above",IF(I247&lt;I$253,"Below","At")),"-")</f>
        <v>Below</v>
      </c>
      <c r="O247" s="34" t="str">
        <f aca="false">IF(N247="Above","Better",IF(N247="Below","Weaker","-"))</f>
        <v>Weaker</v>
      </c>
    </row>
    <row r="248" customFormat="false" ht="15" hidden="false" customHeight="false" outlineLevel="0" collapsed="false">
      <c r="A248" s="18" t="s">
        <v>86</v>
      </c>
      <c r="B248" s="20" t="n">
        <f aca="false">TCI!D96</f>
        <v>5.63607226107226</v>
      </c>
      <c r="C248" s="20" t="n">
        <f aca="false">TCI!E96</f>
        <v>7.52621722846442</v>
      </c>
      <c r="D248" s="20" t="n">
        <f aca="false">TCI!F96</f>
        <v>26.7575993764614</v>
      </c>
      <c r="E248" s="20" t="n">
        <f aca="false">TCI!G96</f>
        <v>38.0702647657841</v>
      </c>
      <c r="F248" s="20" t="n">
        <f aca="false">TCI!H96</f>
        <v>30.2456669178598</v>
      </c>
      <c r="G248" s="20" t="n">
        <f aca="false">TCI!I96</f>
        <v>23.7872023809524</v>
      </c>
      <c r="H248" s="20" t="n">
        <f aca="false">TCI!J96</f>
        <v>22.9346204475647</v>
      </c>
      <c r="I248" s="21" t="n">
        <f aca="false">TCI!K96</f>
        <v>22.1368061968799</v>
      </c>
      <c r="J248" s="34" t="str">
        <f aca="false">IF(AND(ISNUMBER(H248),ISNUMBER(H$253)),IF(H248&gt;H$253,"Above",IF(H248&lt;H$253,"Below","At")),"-")</f>
        <v>Above</v>
      </c>
      <c r="K248" s="34" t="str">
        <f aca="false">IF(J248="Above","Better",IF(J248="Below","Weaker","-"))</f>
        <v>Better</v>
      </c>
      <c r="L248" s="34" t="n">
        <f aca="false">IF(ISNUMBER(H248),RANK(H248,H$241:H$250,0),"-")</f>
        <v>2</v>
      </c>
      <c r="N248" s="34" t="str">
        <f aca="false">IF(AND(ISNUMBER(I248),ISNUMBER(I$253)),IF(I248&gt;I$253,"Above",IF(I248&lt;I$253,"Below","At")),"-")</f>
        <v>Above</v>
      </c>
      <c r="O248" s="34" t="str">
        <f aca="false">IF(N248="Above","Better",IF(N248="Below","Weaker","-"))</f>
        <v>Better</v>
      </c>
    </row>
    <row r="249" customFormat="false" ht="15" hidden="false" customHeight="false" outlineLevel="0" collapsed="false">
      <c r="A249" s="18" t="s">
        <v>116</v>
      </c>
      <c r="B249" s="20" t="n">
        <f aca="false">Shreeji!D96</f>
        <v>1.62322946175637</v>
      </c>
      <c r="C249" s="20" t="n">
        <f aca="false">Shreeji!E96</f>
        <v>0.771971496437055</v>
      </c>
      <c r="D249" s="20" t="n">
        <f aca="false">Shreeji!F96</f>
        <v>3.85714285714286</v>
      </c>
      <c r="E249" s="20" t="n">
        <f aca="false">Shreeji!G96</f>
        <v>4.60377358490566</v>
      </c>
      <c r="F249" s="20" t="n">
        <f aca="false">Shreeji!H96</f>
        <v>5.32056451612903</v>
      </c>
      <c r="G249" s="20" t="n">
        <f aca="false">Shreeji!I96</f>
        <v>1.52054794520548</v>
      </c>
      <c r="H249" s="20" t="n">
        <f aca="false">Shreeji!J96</f>
        <v>1.85576923076923</v>
      </c>
      <c r="I249" s="21" t="n">
        <f aca="false">Shreeji!K96</f>
        <v>2.79328558462081</v>
      </c>
      <c r="J249" s="34" t="str">
        <f aca="false">IF(AND(ISNUMBER(H249),ISNUMBER(H$253)),IF(H249&gt;H$253,"Above",IF(H249&lt;H$253,"Below","At")),"-")</f>
        <v>Below</v>
      </c>
      <c r="K249" s="34" t="str">
        <f aca="false">IF(J249="Above","Better",IF(J249="Below","Weaker","-"))</f>
        <v>Weaker</v>
      </c>
      <c r="L249" s="34" t="n">
        <f aca="false">IF(ISNUMBER(H249),RANK(H249,H$241:H$250,0),"-")</f>
        <v>7</v>
      </c>
      <c r="N249" s="34" t="str">
        <f aca="false">IF(AND(ISNUMBER(I249),ISNUMBER(I$253)),IF(I249&gt;I$253,"Above",IF(I249&lt;I$253,"Below","At")),"-")</f>
        <v>Below</v>
      </c>
      <c r="O249" s="34" t="str">
        <f aca="false">IF(N249="Above","Better",IF(N249="Below","Weaker","-"))</f>
        <v>Weaker</v>
      </c>
    </row>
    <row r="250" customFormat="false" ht="15" hidden="false" customHeight="false" outlineLevel="0" collapsed="false">
      <c r="A250" s="18" t="s">
        <v>117</v>
      </c>
      <c r="B250" s="20" t="n">
        <f aca="false">MahindraLog!D96</f>
        <v>5.60521837776517</v>
      </c>
      <c r="C250" s="20" t="n">
        <f aca="false">MahindraLog!E96</f>
        <v>2.95121951219512</v>
      </c>
      <c r="D250" s="20" t="n">
        <f aca="false">MahindraLog!F96</f>
        <v>1.88229376257545</v>
      </c>
      <c r="E250" s="20" t="n">
        <f aca="false">MahindraLog!G96</f>
        <v>1.66976924568548</v>
      </c>
      <c r="F250" s="20" t="n">
        <f aca="false">MahindraLog!H96</f>
        <v>0.612822769953052</v>
      </c>
      <c r="G250" s="20" t="n">
        <f aca="false">MahindraLog!I96</f>
        <v>0.905553503263145</v>
      </c>
      <c r="H250" s="20" t="n">
        <f aca="false">MahindraLog!J96</f>
        <v>1.44201546254332</v>
      </c>
      <c r="I250" s="21" t="n">
        <f aca="false">MahindraLog!K96</f>
        <v>2.15269894771153</v>
      </c>
      <c r="J250" s="34" t="str">
        <f aca="false">IF(AND(ISNUMBER(H250),ISNUMBER(H$253)),IF(H250&gt;H$253,"Above",IF(H250&lt;H$253,"Below","At")),"-")</f>
        <v>Below</v>
      </c>
      <c r="K250" s="34" t="str">
        <f aca="false">IF(J250="Above","Better",IF(J250="Below","Weaker","-"))</f>
        <v>Weaker</v>
      </c>
      <c r="L250" s="34" t="n">
        <f aca="false">IF(ISNUMBER(H250),RANK(H250,H$241:H$250,0),"-")</f>
        <v>9</v>
      </c>
      <c r="N250" s="34" t="str">
        <f aca="false">IF(AND(ISNUMBER(I250),ISNUMBER(I$253)),IF(I250&gt;I$253,"Above",IF(I250&lt;I$253,"Below","At")),"-")</f>
        <v>Below</v>
      </c>
      <c r="O250" s="34" t="str">
        <f aca="false">IF(N250="Above","Better",IF(N250="Below","Weaker","-"))</f>
        <v>Weaker</v>
      </c>
    </row>
    <row r="251" customFormat="false" ht="15" hidden="false" customHeight="false" outlineLevel="0" collapsed="false">
      <c r="A251" s="12" t="s">
        <v>176</v>
      </c>
      <c r="B251" s="21" t="n">
        <f aca="false">Industry!D96</f>
        <v>3.49503297665636</v>
      </c>
      <c r="C251" s="21" t="n">
        <f aca="false">Industry!E96</f>
        <v>1.02068910480219</v>
      </c>
      <c r="D251" s="21" t="n">
        <f aca="false">Industry!F96</f>
        <v>11.1188813340307</v>
      </c>
      <c r="E251" s="21" t="n">
        <f aca="false">Industry!G96</f>
        <v>9.28362460789962</v>
      </c>
      <c r="F251" s="21" t="n">
        <f aca="false">Industry!H96</f>
        <v>7.14960277234258</v>
      </c>
      <c r="G251" s="21" t="n">
        <f aca="false">Industry!I96</f>
        <v>7.53495324237314</v>
      </c>
      <c r="H251" s="21" t="n">
        <f aca="false">Industry!J96</f>
        <v>7.36237220795581</v>
      </c>
      <c r="I251" s="21" t="n">
        <f aca="false">Industry!K96</f>
        <v>6.70930803515149</v>
      </c>
    </row>
    <row r="252" customFormat="false" ht="15" hidden="false" customHeight="false" outlineLevel="0" collapsed="false">
      <c r="A252" s="35" t="s">
        <v>177</v>
      </c>
      <c r="B252" s="37" t="n">
        <f aca="false">IFERROR(AVERAGE(B241:B250),"N/M")</f>
        <v>3.00270019602481</v>
      </c>
      <c r="C252" s="37" t="n">
        <f aca="false">IFERROR(AVERAGE(C241:C250),"N/M")</f>
        <v>2.26074282707467</v>
      </c>
      <c r="D252" s="37" t="n">
        <f aca="false">IFERROR(AVERAGE(D241:D250),"N/M")</f>
        <v>9.47475870578152</v>
      </c>
      <c r="E252" s="37" t="n">
        <f aca="false">IFERROR(AVERAGE(E241:E250),"N/M")</f>
        <v>8.24246670956785</v>
      </c>
      <c r="F252" s="37" t="n">
        <f aca="false">IFERROR(AVERAGE(F241:F250),"N/M")</f>
        <v>9.7549141088595</v>
      </c>
      <c r="G252" s="37" t="n">
        <f aca="false">IFERROR(AVERAGE(G241:G250),"N/M")</f>
        <v>7.85155083678629</v>
      </c>
      <c r="H252" s="37" t="n">
        <f aca="false">IFERROR(AVERAGE(H241:H250),"N/M")</f>
        <v>9.55681603940437</v>
      </c>
      <c r="I252" s="37" t="n">
        <f aca="false">IFERROR(AVERAGE(I241:I250),"N/M")</f>
        <v>7.16342134621415</v>
      </c>
    </row>
    <row r="253" customFormat="false" ht="15" hidden="false" customHeight="false" outlineLevel="0" collapsed="false">
      <c r="A253" s="35" t="s">
        <v>178</v>
      </c>
      <c r="B253" s="37" t="n">
        <f aca="false">IFERROR(MEDIAN(B241:B250),"N/M")</f>
        <v>2.17967968351689</v>
      </c>
      <c r="C253" s="37" t="n">
        <f aca="false">IFERROR(MEDIAN(C241:C250),"N/M")</f>
        <v>2.05396439430741</v>
      </c>
      <c r="D253" s="37" t="n">
        <f aca="false">IFERROR(MEDIAN(D241:D250),"N/M")</f>
        <v>5.37378242086762</v>
      </c>
      <c r="E253" s="37" t="n">
        <f aca="false">IFERROR(MEDIAN(E241:E250),"N/M")</f>
        <v>6.60293391287168</v>
      </c>
      <c r="F253" s="37" t="n">
        <f aca="false">IFERROR(MEDIAN(F241:F250),"N/M")</f>
        <v>4.25680735458961</v>
      </c>
      <c r="G253" s="37" t="n">
        <f aca="false">IFERROR(MEDIAN(G241:G250),"N/M")</f>
        <v>3.56454095139589</v>
      </c>
      <c r="H253" s="37" t="n">
        <f aca="false">IFERROR(MEDIAN(H241:H250),"N/M")</f>
        <v>3.7355521451925</v>
      </c>
      <c r="I253" s="37" t="n">
        <f aca="false">IFERROR(MEDIAN(I241:I250),"N/M")</f>
        <v>5.0916545424504</v>
      </c>
    </row>
    <row r="254" customFormat="false" ht="15" hidden="false" customHeight="false" outlineLevel="0" collapsed="false">
      <c r="A254" s="35" t="s">
        <v>179</v>
      </c>
      <c r="B254" s="37" t="n">
        <f aca="false">IFERROR(STDEV(B241:B250),"N/M")</f>
        <v>4.43238282906759</v>
      </c>
      <c r="C254" s="37" t="n">
        <f aca="false">IFERROR(STDEV(C241:C250),"N/M")</f>
        <v>6.52949977802265</v>
      </c>
      <c r="D254" s="37" t="n">
        <f aca="false">IFERROR(STDEV(D241:D250),"N/M")</f>
        <v>12.455857603592</v>
      </c>
      <c r="E254" s="37" t="n">
        <f aca="false">IFERROR(STDEV(E241:E250),"N/M")</f>
        <v>22.0264918449369</v>
      </c>
      <c r="F254" s="37" t="n">
        <f aca="false">IFERROR(STDEV(F241:F250),"N/M")</f>
        <v>11.6542600847512</v>
      </c>
      <c r="G254" s="37" t="n">
        <f aca="false">IFERROR(STDEV(G241:G250),"N/M")</f>
        <v>9.28316319902605</v>
      </c>
      <c r="H254" s="37" t="n">
        <f aca="false">IFERROR(STDEV(H241:H250),"N/M")</f>
        <v>11.0953975400262</v>
      </c>
      <c r="I254" s="37" t="n">
        <f aca="false">IFERROR(STDEV(I241:I250),"N/M")</f>
        <v>9.34681768063691</v>
      </c>
    </row>
    <row r="255" customFormat="false" ht="15" hidden="false" customHeight="false" outlineLevel="0" collapsed="false">
      <c r="A255" s="35" t="s">
        <v>102</v>
      </c>
      <c r="B255" s="37" t="n">
        <f aca="false">IFERROR(MIN(B241:B250),"N/M")</f>
        <v>-1.72747747747748</v>
      </c>
      <c r="C255" s="37" t="n">
        <f aca="false">IFERROR(MIN(C241:C250),"N/M")</f>
        <v>-7.38206767727567</v>
      </c>
      <c r="D255" s="37" t="n">
        <f aca="false">IFERROR(MIN(D241:D250),"N/M")</f>
        <v>-10.8144329896907</v>
      </c>
      <c r="E255" s="37" t="n">
        <f aca="false">IFERROR(MIN(E241:E250),"N/M")</f>
        <v>-41.7227671657202</v>
      </c>
      <c r="F255" s="37" t="n">
        <f aca="false">IFERROR(MIN(F241:F250),"N/M")</f>
        <v>0.393312914752425</v>
      </c>
      <c r="G255" s="37" t="n">
        <f aca="false">IFERROR(MIN(G241:G250),"N/M")</f>
        <v>0.28971098265896</v>
      </c>
      <c r="H255" s="37" t="n">
        <f aca="false">IFERROR(MIN(H241:H250),"N/M")</f>
        <v>1.06451612903226</v>
      </c>
      <c r="I255" s="37" t="n">
        <f aca="false">IFERROR(MIN(I241:I250),"N/M")</f>
        <v>-8.40859985428273</v>
      </c>
    </row>
    <row r="256" customFormat="false" ht="15" hidden="false" customHeight="false" outlineLevel="0" collapsed="false">
      <c r="A256" s="35" t="s">
        <v>103</v>
      </c>
      <c r="B256" s="37" t="n">
        <f aca="false">IFERROR(MAX(B241:B250),"N/M")</f>
        <v>12.7095176571921</v>
      </c>
      <c r="C256" s="37" t="n">
        <f aca="false">IFERROR(MAX(C241:C250),"N/M")</f>
        <v>16.519004837595</v>
      </c>
      <c r="D256" s="37" t="n">
        <f aca="false">IFERROR(MAX(D241:D250),"N/M")</f>
        <v>26.7575993764614</v>
      </c>
      <c r="E256" s="37" t="n">
        <f aca="false">IFERROR(MAX(E241:E250),"N/M")</f>
        <v>38.0702647657841</v>
      </c>
      <c r="F256" s="37" t="n">
        <f aca="false">IFERROR(MAX(F241:F250),"N/M")</f>
        <v>30.2456669178598</v>
      </c>
      <c r="G256" s="37" t="n">
        <f aca="false">IFERROR(MAX(G241:G250),"N/M")</f>
        <v>24.410277324633</v>
      </c>
      <c r="H256" s="37" t="n">
        <f aca="false">IFERROR(MAX(H241:H250),"N/M")</f>
        <v>30.4571428571429</v>
      </c>
      <c r="I256" s="37" t="n">
        <f aca="false">IFERROR(MAX(I241:I250),"N/M")</f>
        <v>22.1368061968799</v>
      </c>
    </row>
    <row r="258" customFormat="false" ht="15" hidden="false" customHeight="false" outlineLevel="0" collapsed="false">
      <c r="A258" s="16" t="s">
        <v>193</v>
      </c>
      <c r="B258" s="17"/>
      <c r="C258" s="17"/>
      <c r="D258" s="17"/>
      <c r="E258" s="17"/>
      <c r="F258" s="17"/>
      <c r="G258" s="17"/>
      <c r="H258" s="17"/>
      <c r="I258" s="17"/>
      <c r="J258" s="17"/>
      <c r="K258" s="17"/>
      <c r="L258" s="17"/>
      <c r="M258" s="17"/>
    </row>
    <row r="259" customFormat="false" ht="15" hidden="false" customHeight="false" outlineLevel="0" collapsed="false">
      <c r="A259" s="18" t="s">
        <v>110</v>
      </c>
      <c r="B259" s="20" t="n">
        <f aca="false">Tiger!D97</f>
        <v>-1.50675675675676</v>
      </c>
      <c r="C259" s="20" t="n">
        <f aca="false">Tiger!E97</f>
        <v>-4.72959183673469</v>
      </c>
      <c r="D259" s="20" t="n">
        <f aca="false">Tiger!F97</f>
        <v>26.2847682119205</v>
      </c>
      <c r="E259" s="20" t="n">
        <f aca="false">Tiger!G97</f>
        <v>32.1844660194175</v>
      </c>
      <c r="F259" s="20" t="n">
        <f aca="false">Tiger!H97</f>
        <v>25.3026315789474</v>
      </c>
      <c r="G259" s="20" t="n">
        <f aca="false">Tiger!I97</f>
        <v>12.0268656716418</v>
      </c>
      <c r="H259" s="20" t="n">
        <f aca="false">Tiger!J97</f>
        <v>6.71157495256167</v>
      </c>
      <c r="I259" s="21" t="n">
        <f aca="false">Tiger!K97</f>
        <v>13.7534225487139</v>
      </c>
      <c r="J259" s="34" t="str">
        <f aca="false">IF(AND(ISNUMBER(H259),ISNUMBER(H$271)),IF(H259&gt;H$271,"Above",IF(H259&lt;H$271,"Below","At")),"-")</f>
        <v>Above</v>
      </c>
      <c r="K259" s="34" t="str">
        <f aca="false">IF(J259="Above","Better",IF(J259="Below","Weaker","-"))</f>
        <v>Better</v>
      </c>
      <c r="L259" s="34" t="n">
        <f aca="false">IF(ISNUMBER(H259),RANK(H259,H$259:H$268,0),"-")</f>
        <v>5</v>
      </c>
      <c r="N259" s="34" t="str">
        <f aca="false">IF(AND(ISNUMBER(I259),ISNUMBER(I$271)),IF(I259&gt;I$271,"Above",IF(I259&lt;I$271,"Below","At")),"-")</f>
        <v>Above</v>
      </c>
      <c r="O259" s="34" t="str">
        <f aca="false">IF(N259="Above","Better",IF(N259="Below","Weaker","-"))</f>
        <v>Better</v>
      </c>
    </row>
    <row r="260" customFormat="false" ht="15" hidden="false" customHeight="false" outlineLevel="0" collapsed="false">
      <c r="A260" s="18" t="s">
        <v>111</v>
      </c>
      <c r="B260" s="20" t="n">
        <f aca="false">Allcargo!D97</f>
        <v>8.19025304592315</v>
      </c>
      <c r="C260" s="20" t="n">
        <f aca="false">Allcargo!E97</f>
        <v>4.24726003490402</v>
      </c>
      <c r="D260" s="20" t="n">
        <f aca="false">Allcargo!F97</f>
        <v>16.1666146970169</v>
      </c>
      <c r="E260" s="20" t="n">
        <f aca="false">Allcargo!G97</f>
        <v>14.7121654785556</v>
      </c>
      <c r="F260" s="20" t="n">
        <f aca="false">Allcargo!H97</f>
        <v>5.04493335244374</v>
      </c>
      <c r="G260" s="20" t="n">
        <f aca="false">Allcargo!I97</f>
        <v>3.62666666666667</v>
      </c>
      <c r="H260" s="20" t="n">
        <f aca="false">Allcargo!J97</f>
        <v>4.35483870967742</v>
      </c>
      <c r="I260" s="21" t="n">
        <f aca="false">Allcargo!K97</f>
        <v>8.04896171216964</v>
      </c>
      <c r="J260" s="34" t="str">
        <f aca="false">IF(AND(ISNUMBER(H260),ISNUMBER(H$271)),IF(H260&gt;H$271,"Above",IF(H260&lt;H$271,"Below","At")),"-")</f>
        <v>Below</v>
      </c>
      <c r="K260" s="34" t="str">
        <f aca="false">IF(J260="Above","Better",IF(J260="Below","Weaker","-"))</f>
        <v>Weaker</v>
      </c>
      <c r="L260" s="34" t="n">
        <f aca="false">IF(ISNUMBER(H260),RANK(H260,H$259:H$268,0),"-")</f>
        <v>7</v>
      </c>
      <c r="N260" s="34" t="str">
        <f aca="false">IF(AND(ISNUMBER(I260),ISNUMBER(I$271)),IF(I260&gt;I$271,"Above",IF(I260&lt;I$271,"Below","At")),"-")</f>
        <v>Below</v>
      </c>
      <c r="O260" s="34" t="str">
        <f aca="false">IF(N260="Above","Better",IF(N260="Below","Weaker","-"))</f>
        <v>Weaker</v>
      </c>
    </row>
    <row r="261" customFormat="false" ht="15" hidden="false" customHeight="false" outlineLevel="0" collapsed="false">
      <c r="A261" s="18" t="s">
        <v>112</v>
      </c>
      <c r="B261" s="20" t="n">
        <f aca="false">BlueDart!D97</f>
        <v>3.62574544215369</v>
      </c>
      <c r="C261" s="20" t="n">
        <f aca="false">BlueDart!E97</f>
        <v>6.13555655700766</v>
      </c>
      <c r="D261" s="20" t="n">
        <f aca="false">BlueDart!F97</f>
        <v>11.4364723467862</v>
      </c>
      <c r="E261" s="20" t="n">
        <f aca="false">BlueDart!G97</f>
        <v>14.5030665669409</v>
      </c>
      <c r="F261" s="20" t="n">
        <f aca="false">BlueDart!H97</f>
        <v>11.5759672047143</v>
      </c>
      <c r="G261" s="20" t="n">
        <f aca="false">BlueDart!I97</f>
        <v>11.1004976332079</v>
      </c>
      <c r="H261" s="20" t="n">
        <f aca="false">BlueDart!J97</f>
        <v>11.0749649696404</v>
      </c>
      <c r="I261" s="21" t="n">
        <f aca="false">BlueDart!K97</f>
        <v>9.92175296006444</v>
      </c>
      <c r="J261" s="34" t="str">
        <f aca="false">IF(AND(ISNUMBER(H261),ISNUMBER(H$271)),IF(H261&gt;H$271,"Above",IF(H261&lt;H$271,"Below","At")),"-")</f>
        <v>Above</v>
      </c>
      <c r="K261" s="34" t="str">
        <f aca="false">IF(J261="Above","Better",IF(J261="Below","Weaker","-"))</f>
        <v>Better</v>
      </c>
      <c r="L261" s="34" t="n">
        <f aca="false">IF(ISNUMBER(H261),RANK(H261,H$259:H$268,0),"-")</f>
        <v>4</v>
      </c>
      <c r="N261" s="34" t="str">
        <f aca="false">IF(AND(ISNUMBER(I261),ISNUMBER(I$271)),IF(I261&gt;I$271,"Above",IF(I261&lt;I$271,"Below","At")),"-")</f>
        <v>Above</v>
      </c>
      <c r="O261" s="34" t="str">
        <f aca="false">IF(N261="Above","Better",IF(N261="Below","Weaker","-"))</f>
        <v>Better</v>
      </c>
    </row>
    <row r="262" customFormat="false" ht="15" hidden="false" customHeight="false" outlineLevel="0" collapsed="false">
      <c r="A262" s="18" t="s">
        <v>67</v>
      </c>
      <c r="B262" s="20" t="n">
        <f aca="false">CONCOR!D97</f>
        <v>24.4323858742463</v>
      </c>
      <c r="C262" s="20" t="n">
        <f aca="false">CONCOR!E97</f>
        <v>29.2667588113338</v>
      </c>
      <c r="D262" s="20" t="n">
        <f aca="false">CONCOR!F97</f>
        <v>32.1249204328453</v>
      </c>
      <c r="E262" s="20" t="n">
        <f aca="false">CONCOR!G97</f>
        <v>34.0272108843537</v>
      </c>
      <c r="F262" s="20" t="n">
        <f aca="false">CONCOR!H97</f>
        <v>32.8855430085041</v>
      </c>
      <c r="G262" s="20" t="n">
        <f aca="false">CONCOR!I97</f>
        <v>32.3118542686242</v>
      </c>
      <c r="H262" s="20" t="n">
        <f aca="false">CONCOR!J97</f>
        <v>29.8590347637845</v>
      </c>
      <c r="I262" s="21" t="n">
        <f aca="false">CONCOR!K97</f>
        <v>30.7011011490989</v>
      </c>
      <c r="J262" s="34" t="str">
        <f aca="false">IF(AND(ISNUMBER(H262),ISNUMBER(H$271)),IF(H262&gt;H$271,"Above",IF(H262&lt;H$271,"Below","At")),"-")</f>
        <v>Above</v>
      </c>
      <c r="K262" s="34" t="str">
        <f aca="false">IF(J262="Above","Better",IF(J262="Below","Weaker","-"))</f>
        <v>Better</v>
      </c>
      <c r="L262" s="34" t="n">
        <f aca="false">IF(ISNUMBER(H262),RANK(H262,H$259:H$268,0),"-")</f>
        <v>2</v>
      </c>
      <c r="N262" s="34" t="str">
        <f aca="false">IF(AND(ISNUMBER(I262),ISNUMBER(I$271)),IF(I262&gt;I$271,"Above",IF(I262&lt;I$271,"Below","At")),"-")</f>
        <v>Above</v>
      </c>
      <c r="O262" s="34" t="str">
        <f aca="false">IF(N262="Above","Better",IF(N262="Below","Weaker","-"))</f>
        <v>Better</v>
      </c>
    </row>
    <row r="263" customFormat="false" ht="15" hidden="false" customHeight="false" outlineLevel="0" collapsed="false">
      <c r="A263" s="18" t="s">
        <v>113</v>
      </c>
      <c r="B263" s="20" t="n">
        <f aca="false">JetFreight!D97</f>
        <v>-0.617903930131004</v>
      </c>
      <c r="C263" s="20" t="n">
        <f aca="false">JetFreight!E97</f>
        <v>2.55412371134021</v>
      </c>
      <c r="D263" s="20" t="n">
        <f aca="false">JetFreight!F97</f>
        <v>2.79207920792079</v>
      </c>
      <c r="E263" s="20" t="n">
        <f aca="false">JetFreight!G97</f>
        <v>1.72673267326733</v>
      </c>
      <c r="F263" s="20" t="n">
        <f aca="false">JetFreight!H97</f>
        <v>1.40909090909091</v>
      </c>
      <c r="G263" s="20" t="n">
        <f aca="false">JetFreight!I97</f>
        <v>2.21594202898551</v>
      </c>
      <c r="H263" s="20" t="n">
        <f aca="false">JetFreight!J97</f>
        <v>2.92857142857143</v>
      </c>
      <c r="I263" s="21" t="n">
        <f aca="false">JetFreight!K97</f>
        <v>1.85837657557788</v>
      </c>
      <c r="J263" s="34" t="str">
        <f aca="false">IF(AND(ISNUMBER(H263),ISNUMBER(H$271)),IF(H263&gt;H$271,"Above",IF(H263&lt;H$271,"Below","At")),"-")</f>
        <v>Below</v>
      </c>
      <c r="K263" s="34" t="str">
        <f aca="false">IF(J263="Above","Better",IF(J263="Below","Weaker","-"))</f>
        <v>Weaker</v>
      </c>
      <c r="L263" s="34" t="n">
        <f aca="false">IF(ISNUMBER(H263),RANK(H263,H$259:H$268,0),"-")</f>
        <v>8</v>
      </c>
      <c r="N263" s="34" t="str">
        <f aca="false">IF(AND(ISNUMBER(I263),ISNUMBER(I$271)),IF(I263&gt;I$271,"Above",IF(I263&lt;I$271,"Below","At")),"-")</f>
        <v>Below</v>
      </c>
      <c r="O263" s="34" t="str">
        <f aca="false">IF(N263="Above","Better",IF(N263="Below","Weaker","-"))</f>
        <v>Weaker</v>
      </c>
    </row>
    <row r="264" customFormat="false" ht="15" hidden="false" customHeight="false" outlineLevel="0" collapsed="false">
      <c r="A264" s="18" t="s">
        <v>114</v>
      </c>
      <c r="B264" s="20" t="n">
        <f aca="false">Patel!D97</f>
        <v>3.26522327469553</v>
      </c>
      <c r="C264" s="20" t="n">
        <f aca="false">Patel!E97</f>
        <v>1.34650856389987</v>
      </c>
      <c r="D264" s="20" t="n">
        <f aca="false">Patel!F97</f>
        <v>1.91011235955056</v>
      </c>
      <c r="E264" s="20" t="n">
        <f aca="false">Patel!G97</f>
        <v>2.58490566037736</v>
      </c>
      <c r="F264" s="20" t="n">
        <f aca="false">Patel!H97</f>
        <v>4.27413127413128</v>
      </c>
      <c r="G264" s="20" t="n">
        <f aca="false">Patel!I97</f>
        <v>9.71186440677966</v>
      </c>
      <c r="H264" s="20" t="n">
        <f aca="false">Patel!J97</f>
        <v>37.7428571428572</v>
      </c>
      <c r="I264" s="21" t="n">
        <f aca="false">Patel!K97</f>
        <v>8.69080038318449</v>
      </c>
      <c r="J264" s="34" t="str">
        <f aca="false">IF(AND(ISNUMBER(H264),ISNUMBER(H$271)),IF(H264&gt;H$271,"Above",IF(H264&lt;H$271,"Below","At")),"-")</f>
        <v>Above</v>
      </c>
      <c r="K264" s="34" t="str">
        <f aca="false">IF(J264="Above","Better",IF(J264="Below","Weaker","-"))</f>
        <v>Better</v>
      </c>
      <c r="L264" s="34" t="n">
        <f aca="false">IF(ISNUMBER(H264),RANK(H264,H$259:H$268,0),"-")</f>
        <v>1</v>
      </c>
      <c r="N264" s="34" t="str">
        <f aca="false">IF(AND(ISNUMBER(I264),ISNUMBER(I$271)),IF(I264&gt;I$271,"Above",IF(I264&lt;I$271,"Below","At")),"-")</f>
        <v>Above</v>
      </c>
      <c r="O264" s="34" t="str">
        <f aca="false">IF(N264="Above","Better",IF(N264="Below","Weaker","-"))</f>
        <v>Better</v>
      </c>
    </row>
    <row r="265" customFormat="false" ht="15" hidden="false" customHeight="false" outlineLevel="0" collapsed="false">
      <c r="A265" s="18" t="s">
        <v>115</v>
      </c>
      <c r="B265" s="20" t="n">
        <f aca="false">Sical!D97</f>
        <v>0.118523904744592</v>
      </c>
      <c r="C265" s="20" t="n">
        <f aca="false">Sical!E97</f>
        <v>-6.81629427401394</v>
      </c>
      <c r="D265" s="20" t="n">
        <f aca="false">Sical!F97</f>
        <v>-7.47938144329897</v>
      </c>
      <c r="E265" s="20" t="n">
        <f aca="false">Sical!G97</f>
        <v>-38.84873515746</v>
      </c>
      <c r="F265" s="20" t="n">
        <f aca="false">Sical!H97</f>
        <v>1.62659520163349</v>
      </c>
      <c r="G265" s="20" t="n">
        <f aca="false">Sical!I97</f>
        <v>1.16208092485549</v>
      </c>
      <c r="H265" s="20" t="n">
        <f aca="false">Sical!J97</f>
        <v>2.37156345459595</v>
      </c>
      <c r="I265" s="21" t="n">
        <f aca="false">Sical!K97</f>
        <v>-6.83794962699191</v>
      </c>
      <c r="J265" s="34" t="str">
        <f aca="false">IF(AND(ISNUMBER(H265),ISNUMBER(H$271)),IF(H265&gt;H$271,"Above",IF(H265&lt;H$271,"Below","At")),"-")</f>
        <v>Below</v>
      </c>
      <c r="K265" s="34" t="str">
        <f aca="false">IF(J265="Above","Better",IF(J265="Below","Weaker","-"))</f>
        <v>Weaker</v>
      </c>
      <c r="L265" s="34" t="n">
        <f aca="false">IF(ISNUMBER(H265),RANK(H265,H$259:H$268,0),"-")</f>
        <v>10</v>
      </c>
      <c r="N265" s="34" t="str">
        <f aca="false">IF(AND(ISNUMBER(I265),ISNUMBER(I$271)),IF(I265&gt;I$271,"Above",IF(I265&lt;I$271,"Below","At")),"-")</f>
        <v>Below</v>
      </c>
      <c r="O265" s="34" t="str">
        <f aca="false">IF(N265="Above","Better",IF(N265="Below","Weaker","-"))</f>
        <v>Weaker</v>
      </c>
    </row>
    <row r="266" customFormat="false" ht="15" hidden="false" customHeight="false" outlineLevel="0" collapsed="false">
      <c r="A266" s="18" t="s">
        <v>86</v>
      </c>
      <c r="B266" s="20" t="n">
        <f aca="false">TCI!D97</f>
        <v>8.03962703962704</v>
      </c>
      <c r="C266" s="20" t="n">
        <f aca="false">TCI!E97</f>
        <v>11.0022471910112</v>
      </c>
      <c r="D266" s="20" t="n">
        <f aca="false">TCI!F97</f>
        <v>35.5666406858924</v>
      </c>
      <c r="E266" s="20" t="n">
        <f aca="false">TCI!G97</f>
        <v>50.4338085539715</v>
      </c>
      <c r="F266" s="20" t="n">
        <f aca="false">TCI!H97</f>
        <v>39.9253956292389</v>
      </c>
      <c r="G266" s="20" t="n">
        <f aca="false">TCI!I97</f>
        <v>29.6319444444444</v>
      </c>
      <c r="H266" s="20" t="n">
        <f aca="false">TCI!J97</f>
        <v>28.5204036858271</v>
      </c>
      <c r="I266" s="21" t="n">
        <f aca="false">TCI!K97</f>
        <v>29.0171524614304</v>
      </c>
      <c r="J266" s="34" t="str">
        <f aca="false">IF(AND(ISNUMBER(H266),ISNUMBER(H$271)),IF(H266&gt;H$271,"Above",IF(H266&lt;H$271,"Below","At")),"-")</f>
        <v>Above</v>
      </c>
      <c r="K266" s="34" t="str">
        <f aca="false">IF(J266="Above","Better",IF(J266="Below","Weaker","-"))</f>
        <v>Better</v>
      </c>
      <c r="L266" s="34" t="n">
        <f aca="false">IF(ISNUMBER(H266),RANK(H266,H$259:H$268,0),"-")</f>
        <v>3</v>
      </c>
      <c r="N266" s="34" t="str">
        <f aca="false">IF(AND(ISNUMBER(I266),ISNUMBER(I$271)),IF(I266&gt;I$271,"Above",IF(I266&lt;I$271,"Below","At")),"-")</f>
        <v>Above</v>
      </c>
      <c r="O266" s="34" t="str">
        <f aca="false">IF(N266="Above","Better",IF(N266="Below","Weaker","-"))</f>
        <v>Better</v>
      </c>
    </row>
    <row r="267" customFormat="false" ht="15" hidden="false" customHeight="false" outlineLevel="0" collapsed="false">
      <c r="A267" s="18" t="s">
        <v>116</v>
      </c>
      <c r="B267" s="20" t="n">
        <f aca="false">Shreeji!D97</f>
        <v>2.80453257790368</v>
      </c>
      <c r="C267" s="20" t="n">
        <f aca="false">Shreeji!E97</f>
        <v>1.79572446555819</v>
      </c>
      <c r="D267" s="20" t="n">
        <f aca="false">Shreeji!F97</f>
        <v>4.79176755447942</v>
      </c>
      <c r="E267" s="20" t="n">
        <f aca="false">Shreeji!G97</f>
        <v>5.50943396226415</v>
      </c>
      <c r="F267" s="20" t="n">
        <f aca="false">Shreeji!H97</f>
        <v>6.20967741935484</v>
      </c>
      <c r="G267" s="20" t="n">
        <f aca="false">Shreeji!I97</f>
        <v>2.62328767123288</v>
      </c>
      <c r="H267" s="20" t="n">
        <f aca="false">Shreeji!J97</f>
        <v>2.81730769230769</v>
      </c>
      <c r="I267" s="21" t="n">
        <f aca="false">Shreeji!K97</f>
        <v>3.79310447758584</v>
      </c>
      <c r="J267" s="34" t="str">
        <f aca="false">IF(AND(ISNUMBER(H267),ISNUMBER(H$271)),IF(H267&gt;H$271,"Above",IF(H267&lt;H$271,"Below","At")),"-")</f>
        <v>Below</v>
      </c>
      <c r="K267" s="34" t="str">
        <f aca="false">IF(J267="Above","Better",IF(J267="Below","Weaker","-"))</f>
        <v>Weaker</v>
      </c>
      <c r="L267" s="34" t="n">
        <f aca="false">IF(ISNUMBER(H267),RANK(H267,H$259:H$268,0),"-")</f>
        <v>9</v>
      </c>
      <c r="N267" s="34" t="str">
        <f aca="false">IF(AND(ISNUMBER(I267),ISNUMBER(I$271)),IF(I267&gt;I$271,"Above",IF(I267&lt;I$271,"Below","At")),"-")</f>
        <v>Below</v>
      </c>
      <c r="O267" s="34" t="str">
        <f aca="false">IF(N267="Above","Better",IF(N267="Below","Weaker","-"))</f>
        <v>Weaker</v>
      </c>
    </row>
    <row r="268" customFormat="false" ht="15" hidden="false" customHeight="false" outlineLevel="0" collapsed="false">
      <c r="A268" s="18" t="s">
        <v>117</v>
      </c>
      <c r="B268" s="20" t="n">
        <f aca="false">MahindraLog!D97</f>
        <v>9.77027793533749</v>
      </c>
      <c r="C268" s="20" t="n">
        <f aca="false">MahindraLog!E97</f>
        <v>7.41363862618218</v>
      </c>
      <c r="D268" s="20" t="n">
        <f aca="false">MahindraLog!F97</f>
        <v>6.63480885311871</v>
      </c>
      <c r="E268" s="20" t="n">
        <f aca="false">MahindraLog!G97</f>
        <v>5.34438627108784</v>
      </c>
      <c r="F268" s="20" t="n">
        <f aca="false">MahindraLog!H97</f>
        <v>3.67899061032864</v>
      </c>
      <c r="G268" s="20" t="n">
        <f aca="false">MahindraLog!I97</f>
        <v>3.69240241349588</v>
      </c>
      <c r="H268" s="20" t="n">
        <f aca="false">MahindraLog!J97</f>
        <v>5.14596107704612</v>
      </c>
      <c r="I268" s="21" t="n">
        <f aca="false">MahindraLog!K97</f>
        <v>5.95435225522812</v>
      </c>
      <c r="J268" s="34" t="str">
        <f aca="false">IF(AND(ISNUMBER(H268),ISNUMBER(H$271)),IF(H268&gt;H$271,"Above",IF(H268&lt;H$271,"Below","At")),"-")</f>
        <v>Below</v>
      </c>
      <c r="K268" s="34" t="str">
        <f aca="false">IF(J268="Above","Better",IF(J268="Below","Weaker","-"))</f>
        <v>Weaker</v>
      </c>
      <c r="L268" s="34" t="n">
        <f aca="false">IF(ISNUMBER(H268),RANK(H268,H$259:H$268,0),"-")</f>
        <v>6</v>
      </c>
      <c r="N268" s="34" t="str">
        <f aca="false">IF(AND(ISNUMBER(I268),ISNUMBER(I$271)),IF(I268&gt;I$271,"Above",IF(I268&lt;I$271,"Below","At")),"-")</f>
        <v>Below</v>
      </c>
      <c r="O268" s="34" t="str">
        <f aca="false">IF(N268="Above","Better",IF(N268="Below","Weaker","-"))</f>
        <v>Weaker</v>
      </c>
    </row>
    <row r="269" customFormat="false" ht="15" hidden="false" customHeight="false" outlineLevel="0" collapsed="false">
      <c r="A269" s="12" t="s">
        <v>176</v>
      </c>
      <c r="B269" s="21" t="n">
        <f aca="false">Industry!D97</f>
        <v>7.25530226321119</v>
      </c>
      <c r="C269" s="21" t="n">
        <f aca="false">Industry!E97</f>
        <v>4.13381082536959</v>
      </c>
      <c r="D269" s="21" t="n">
        <f aca="false">Industry!F97</f>
        <v>15.827062117343</v>
      </c>
      <c r="E269" s="21" t="n">
        <f aca="false">Industry!G97</f>
        <v>14.4751936495743</v>
      </c>
      <c r="F269" s="21" t="n">
        <f aca="false">Industry!H97</f>
        <v>11.5048445272166</v>
      </c>
      <c r="G269" s="21" t="n">
        <f aca="false">Industry!I97</f>
        <v>11.726352905105</v>
      </c>
      <c r="H269" s="21" t="n">
        <f aca="false">Industry!J97</f>
        <v>11.7518290614855</v>
      </c>
      <c r="I269" s="21" t="n">
        <f aca="false">Industry!K97</f>
        <v>10.9534850499007</v>
      </c>
    </row>
    <row r="270" customFormat="false" ht="15" hidden="false" customHeight="false" outlineLevel="0" collapsed="false">
      <c r="A270" s="35" t="s">
        <v>177</v>
      </c>
      <c r="B270" s="37" t="n">
        <f aca="false">IFERROR(AVERAGE(B259:B268),"N/M")</f>
        <v>5.81219084077438</v>
      </c>
      <c r="C270" s="37" t="n">
        <f aca="false">IFERROR(AVERAGE(C259:C268),"N/M")</f>
        <v>5.22159318504885</v>
      </c>
      <c r="D270" s="37" t="n">
        <f aca="false">IFERROR(AVERAGE(D259:D268),"N/M")</f>
        <v>13.0228802906232</v>
      </c>
      <c r="E270" s="37" t="n">
        <f aca="false">IFERROR(AVERAGE(E259:E268),"N/M")</f>
        <v>12.2177440912776</v>
      </c>
      <c r="F270" s="37" t="n">
        <f aca="false">IFERROR(AVERAGE(F259:F268),"N/M")</f>
        <v>13.1932956188388</v>
      </c>
      <c r="G270" s="37" t="n">
        <f aca="false">IFERROR(AVERAGE(G259:G268),"N/M")</f>
        <v>10.8103406129934</v>
      </c>
      <c r="H270" s="37" t="n">
        <f aca="false">IFERROR(AVERAGE(H259:H268),"N/M")</f>
        <v>13.1527077876869</v>
      </c>
      <c r="I270" s="37" t="n">
        <f aca="false">IFERROR(AVERAGE(I259:I268),"N/M")</f>
        <v>10.4901074896062</v>
      </c>
    </row>
    <row r="271" customFormat="false" ht="15" hidden="false" customHeight="false" outlineLevel="0" collapsed="false">
      <c r="A271" s="35" t="s">
        <v>178</v>
      </c>
      <c r="B271" s="37" t="n">
        <f aca="false">IFERROR(MEDIAN(B259:B268),"N/M")</f>
        <v>3.44548435842461</v>
      </c>
      <c r="C271" s="37" t="n">
        <f aca="false">IFERROR(MEDIAN(C259:C268),"N/M")</f>
        <v>3.40069187312211</v>
      </c>
      <c r="D271" s="37" t="n">
        <f aca="false">IFERROR(MEDIAN(D259:D268),"N/M")</f>
        <v>9.03564059995248</v>
      </c>
      <c r="E271" s="37" t="n">
        <f aca="false">IFERROR(MEDIAN(E259:E268),"N/M")</f>
        <v>10.0062502646025</v>
      </c>
      <c r="F271" s="37" t="n">
        <f aca="false">IFERROR(MEDIAN(F259:F268),"N/M")</f>
        <v>5.62730538589929</v>
      </c>
      <c r="G271" s="37" t="n">
        <f aca="false">IFERROR(MEDIAN(G259:G268),"N/M")</f>
        <v>6.70213341013777</v>
      </c>
      <c r="H271" s="37" t="n">
        <f aca="false">IFERROR(MEDIAN(H259:H268),"N/M")</f>
        <v>5.9287680148039</v>
      </c>
      <c r="I271" s="37" t="n">
        <f aca="false">IFERROR(MEDIAN(I259:I268),"N/M")</f>
        <v>8.36988104767707</v>
      </c>
    </row>
    <row r="272" customFormat="false" ht="15" hidden="false" customHeight="false" outlineLevel="0" collapsed="false">
      <c r="A272" s="35" t="s">
        <v>179</v>
      </c>
      <c r="B272" s="37" t="n">
        <f aca="false">IFERROR(STDEV(B259:B268),"N/M")</f>
        <v>7.60584073642596</v>
      </c>
      <c r="C272" s="37" t="n">
        <f aca="false">IFERROR(STDEV(C259:C268),"N/M")</f>
        <v>9.97764577327804</v>
      </c>
      <c r="D272" s="37" t="n">
        <f aca="false">IFERROR(STDEV(D259:D268),"N/M")</f>
        <v>14.2144324521451</v>
      </c>
      <c r="E272" s="37" t="n">
        <f aca="false">IFERROR(STDEV(E259:E268),"N/M")</f>
        <v>24.1502655113714</v>
      </c>
      <c r="F272" s="37" t="n">
        <f aca="false">IFERROR(STDEV(F259:F268),"N/M")</f>
        <v>14.179554174083</v>
      </c>
      <c r="G272" s="37" t="n">
        <f aca="false">IFERROR(STDEV(G259:G268),"N/M")</f>
        <v>11.3313198605675</v>
      </c>
      <c r="H272" s="37" t="n">
        <f aca="false">IFERROR(STDEV(H259:H268),"N/M")</f>
        <v>13.4777393287833</v>
      </c>
      <c r="I272" s="37" t="n">
        <f aca="false">IFERROR(STDEV(I259:I268),"N/M")</f>
        <v>11.6050557842773</v>
      </c>
    </row>
    <row r="273" customFormat="false" ht="15" hidden="false" customHeight="false" outlineLevel="0" collapsed="false">
      <c r="A273" s="35" t="s">
        <v>102</v>
      </c>
      <c r="B273" s="37" t="n">
        <f aca="false">IFERROR(MIN(B259:B268),"N/M")</f>
        <v>-1.50675675675676</v>
      </c>
      <c r="C273" s="37" t="n">
        <f aca="false">IFERROR(MIN(C259:C268),"N/M")</f>
        <v>-6.81629427401394</v>
      </c>
      <c r="D273" s="37" t="n">
        <f aca="false">IFERROR(MIN(D259:D268),"N/M")</f>
        <v>-7.47938144329897</v>
      </c>
      <c r="E273" s="37" t="n">
        <f aca="false">IFERROR(MIN(E259:E268),"N/M")</f>
        <v>-38.84873515746</v>
      </c>
      <c r="F273" s="37" t="n">
        <f aca="false">IFERROR(MIN(F259:F268),"N/M")</f>
        <v>1.40909090909091</v>
      </c>
      <c r="G273" s="37" t="n">
        <f aca="false">IFERROR(MIN(G259:G268),"N/M")</f>
        <v>1.16208092485549</v>
      </c>
      <c r="H273" s="37" t="n">
        <f aca="false">IFERROR(MIN(H259:H268),"N/M")</f>
        <v>2.37156345459595</v>
      </c>
      <c r="I273" s="37" t="n">
        <f aca="false">IFERROR(MIN(I259:I268),"N/M")</f>
        <v>-6.83794962699191</v>
      </c>
    </row>
    <row r="274" customFormat="false" ht="15" hidden="false" customHeight="false" outlineLevel="0" collapsed="false">
      <c r="A274" s="35" t="s">
        <v>103</v>
      </c>
      <c r="B274" s="37" t="n">
        <f aca="false">IFERROR(MAX(B259:B268),"N/M")</f>
        <v>24.4323858742463</v>
      </c>
      <c r="C274" s="37" t="n">
        <f aca="false">IFERROR(MAX(C259:C268),"N/M")</f>
        <v>29.2667588113338</v>
      </c>
      <c r="D274" s="37" t="n">
        <f aca="false">IFERROR(MAX(D259:D268),"N/M")</f>
        <v>35.5666406858924</v>
      </c>
      <c r="E274" s="37" t="n">
        <f aca="false">IFERROR(MAX(E259:E268),"N/M")</f>
        <v>50.4338085539715</v>
      </c>
      <c r="F274" s="37" t="n">
        <f aca="false">IFERROR(MAX(F259:F268),"N/M")</f>
        <v>39.9253956292389</v>
      </c>
      <c r="G274" s="37" t="n">
        <f aca="false">IFERROR(MAX(G259:G268),"N/M")</f>
        <v>32.3118542686242</v>
      </c>
      <c r="H274" s="37" t="n">
        <f aca="false">IFERROR(MAX(H259:H268),"N/M")</f>
        <v>37.7428571428572</v>
      </c>
      <c r="I274" s="37" t="n">
        <f aca="false">IFERROR(MAX(I259:I268),"N/M")</f>
        <v>30.7011011490989</v>
      </c>
    </row>
    <row r="276" customFormat="false" ht="15" hidden="false" customHeight="false" outlineLevel="0" collapsed="false">
      <c r="A276" s="16" t="s">
        <v>194</v>
      </c>
      <c r="B276" s="17"/>
      <c r="C276" s="17"/>
      <c r="D276" s="17"/>
      <c r="E276" s="17"/>
      <c r="F276" s="17"/>
      <c r="G276" s="17"/>
      <c r="H276" s="17"/>
      <c r="I276" s="17"/>
      <c r="J276" s="17"/>
      <c r="K276" s="17"/>
      <c r="L276" s="17"/>
      <c r="M276" s="17"/>
    </row>
    <row r="277" customFormat="false" ht="15" hidden="false" customHeight="false" outlineLevel="0" collapsed="false">
      <c r="A277" s="18" t="s">
        <v>110</v>
      </c>
      <c r="B277" s="20" t="str">
        <f aca="false">Tiger!D98</f>
        <v>N/M</v>
      </c>
      <c r="C277" s="20" t="str">
        <f aca="false">Tiger!E98</f>
        <v>N/M</v>
      </c>
      <c r="D277" s="20" t="n">
        <f aca="false">Tiger!F98</f>
        <v>31.7264150943396</v>
      </c>
      <c r="E277" s="20" t="str">
        <f aca="false">Tiger!G98</f>
        <v>N/M</v>
      </c>
      <c r="F277" s="20" t="str">
        <f aca="false">Tiger!H98</f>
        <v>N/M</v>
      </c>
      <c r="G277" s="20" t="str">
        <f aca="false">Tiger!I98</f>
        <v>N/M</v>
      </c>
      <c r="H277" s="20" t="str">
        <f aca="false">Tiger!J98</f>
        <v>N/M</v>
      </c>
      <c r="I277" s="21" t="n">
        <f aca="false">Tiger!K98</f>
        <v>31.7264150943396</v>
      </c>
      <c r="J277" s="34" t="str">
        <f aca="false">IF(AND(ISNUMBER(H277),ISNUMBER(H$289)),IF(H277&gt;H$289,"Above",IF(H277&lt;H$289,"Below","At")),"-")</f>
        <v>-</v>
      </c>
      <c r="K277" s="34" t="str">
        <f aca="false">IF(J277="Above","Better",IF(J277="Below","Weaker","-"))</f>
        <v>-</v>
      </c>
      <c r="L277" s="34" t="str">
        <f aca="false">IF(ISNUMBER(H277),RANK(H277,H$277:H$286,0),"-")</f>
        <v>-</v>
      </c>
      <c r="N277" s="34" t="str">
        <f aca="false">IF(AND(ISNUMBER(I277),ISNUMBER(I$289)),IF(I277&gt;I$289,"Above",IF(I277&lt;I$289,"Below","At")),"-")</f>
        <v>Above</v>
      </c>
      <c r="O277" s="34" t="str">
        <f aca="false">IF(N277="Above","Better",IF(N277="Below","Weaker","-"))</f>
        <v>Better</v>
      </c>
    </row>
    <row r="278" customFormat="false" ht="15" hidden="false" customHeight="false" outlineLevel="0" collapsed="false">
      <c r="A278" s="18" t="s">
        <v>111</v>
      </c>
      <c r="B278" s="20" t="n">
        <f aca="false">Allcargo!D98</f>
        <v>3.02536969203636</v>
      </c>
      <c r="C278" s="20" t="n">
        <f aca="false">Allcargo!E98</f>
        <v>3.51851851851852</v>
      </c>
      <c r="D278" s="20" t="n">
        <f aca="false">Allcargo!F98</f>
        <v>12.5589472256139</v>
      </c>
      <c r="E278" s="20" t="n">
        <f aca="false">Allcargo!G98</f>
        <v>7.88465873512837</v>
      </c>
      <c r="F278" s="20" t="n">
        <f aca="false">Allcargo!H98</f>
        <v>1.52319902319902</v>
      </c>
      <c r="G278" s="20" t="n">
        <f aca="false">Allcargo!I98</f>
        <v>0.206349206349206</v>
      </c>
      <c r="H278" s="20" t="str">
        <f aca="false">Allcargo!J98</f>
        <v>N/M</v>
      </c>
      <c r="I278" s="21" t="n">
        <f aca="false">Allcargo!K98</f>
        <v>4.78617373347423</v>
      </c>
      <c r="J278" s="34" t="str">
        <f aca="false">IF(AND(ISNUMBER(H278),ISNUMBER(H$289)),IF(H278&gt;H$289,"Above",IF(H278&lt;H$289,"Below","At")),"-")</f>
        <v>-</v>
      </c>
      <c r="K278" s="34" t="str">
        <f aca="false">IF(J278="Above","Better",IF(J278="Below","Weaker","-"))</f>
        <v>-</v>
      </c>
      <c r="L278" s="34" t="str">
        <f aca="false">IF(ISNUMBER(H278),RANK(H278,H$277:H$286,0),"-")</f>
        <v>-</v>
      </c>
      <c r="N278" s="34" t="str">
        <f aca="false">IF(AND(ISNUMBER(I278),ISNUMBER(I$289)),IF(I278&gt;I$289,"Above",IF(I278&lt;I$289,"Below","At")),"-")</f>
        <v>Below</v>
      </c>
      <c r="O278" s="34" t="str">
        <f aca="false">IF(N278="Above","Better",IF(N278="Below","Weaker","-"))</f>
        <v>Weaker</v>
      </c>
    </row>
    <row r="279" customFormat="false" ht="15" hidden="false" customHeight="false" outlineLevel="0" collapsed="false">
      <c r="A279" s="18" t="s">
        <v>112</v>
      </c>
      <c r="B279" s="20" t="str">
        <f aca="false">BlueDart!D98</f>
        <v>N/M</v>
      </c>
      <c r="C279" s="20" t="n">
        <f aca="false">BlueDart!E98</f>
        <v>2.85662177328844</v>
      </c>
      <c r="D279" s="20" t="n">
        <f aca="false">BlueDart!F98</f>
        <v>2.68104657687991</v>
      </c>
      <c r="E279" s="20" t="n">
        <f aca="false">BlueDart!G98</f>
        <v>5.19823232323232</v>
      </c>
      <c r="F279" s="20" t="n">
        <f aca="false">BlueDart!H98</f>
        <v>5.06750841750842</v>
      </c>
      <c r="G279" s="20" t="n">
        <f aca="false">BlueDart!I98</f>
        <v>4.24949494949495</v>
      </c>
      <c r="H279" s="20" t="n">
        <f aca="false">BlueDart!J98</f>
        <v>4.16481481481481</v>
      </c>
      <c r="I279" s="21" t="n">
        <f aca="false">BlueDart!K98</f>
        <v>4.03628647586981</v>
      </c>
      <c r="J279" s="34" t="str">
        <f aca="false">IF(AND(ISNUMBER(H279),ISNUMBER(H$289)),IF(H279&gt;H$289,"Above",IF(H279&lt;H$289,"Below","At")),"-")</f>
        <v>At</v>
      </c>
      <c r="K279" s="34" t="str">
        <f aca="false">IF(J279="Above","Better",IF(J279="Below","Weaker","-"))</f>
        <v>-</v>
      </c>
      <c r="L279" s="34" t="n">
        <f aca="false">IF(ISNUMBER(H279),RANK(H279,H$277:H$286,0),"-")</f>
        <v>3</v>
      </c>
      <c r="N279" s="34" t="str">
        <f aca="false">IF(AND(ISNUMBER(I279),ISNUMBER(I$289)),IF(I279&gt;I$289,"Above",IF(I279&lt;I$289,"Below","At")),"-")</f>
        <v>Below</v>
      </c>
      <c r="O279" s="34" t="str">
        <f aca="false">IF(N279="Above","Better",IF(N279="Below","Weaker","-"))</f>
        <v>Weaker</v>
      </c>
    </row>
    <row r="280" customFormat="false" ht="15" hidden="false" customHeight="false" outlineLevel="0" collapsed="false">
      <c r="A280" s="18" t="s">
        <v>67</v>
      </c>
      <c r="B280" s="20" t="n">
        <f aca="false">CONCOR!D98</f>
        <v>1.83961705037611</v>
      </c>
      <c r="C280" s="20" t="n">
        <f aca="false">CONCOR!E98</f>
        <v>1.65849335302807</v>
      </c>
      <c r="D280" s="20" t="n">
        <f aca="false">CONCOR!F98</f>
        <v>1.92410233966118</v>
      </c>
      <c r="E280" s="20" t="n">
        <f aca="false">CONCOR!G98</f>
        <v>1.75144353430912</v>
      </c>
      <c r="F280" s="20" t="n">
        <f aca="false">CONCOR!H98</f>
        <v>1.79904381332953</v>
      </c>
      <c r="G280" s="20" t="n">
        <f aca="false">CONCOR!I98</f>
        <v>1.84103039817326</v>
      </c>
      <c r="H280" s="20" t="n">
        <f aca="false">CONCOR!J98</f>
        <v>1.89590680773752</v>
      </c>
      <c r="I280" s="21" t="n">
        <f aca="false">CONCOR!K98</f>
        <v>1.81566247094497</v>
      </c>
      <c r="J280" s="34" t="str">
        <f aca="false">IF(AND(ISNUMBER(H280),ISNUMBER(H$289)),IF(H280&gt;H$289,"Above",IF(H280&lt;H$289,"Below","At")),"-")</f>
        <v>Below</v>
      </c>
      <c r="K280" s="34" t="str">
        <f aca="false">IF(J280="Above","Better",IF(J280="Below","Weaker","-"))</f>
        <v>Weaker</v>
      </c>
      <c r="L280" s="34" t="n">
        <f aca="false">IF(ISNUMBER(H280),RANK(H280,H$277:H$286,0),"-")</f>
        <v>4</v>
      </c>
      <c r="N280" s="34" t="str">
        <f aca="false">IF(AND(ISNUMBER(I280),ISNUMBER(I$289)),IF(I280&gt;I$289,"Above",IF(I280&lt;I$289,"Below","At")),"-")</f>
        <v>Below</v>
      </c>
      <c r="O280" s="34" t="str">
        <f aca="false">IF(N280="Above","Better",IF(N280="Below","Weaker","-"))</f>
        <v>Weaker</v>
      </c>
    </row>
    <row r="281" customFormat="false" ht="15" hidden="false" customHeight="false" outlineLevel="0" collapsed="false">
      <c r="A281" s="18" t="s">
        <v>113</v>
      </c>
      <c r="B281" s="20" t="str">
        <f aca="false">JetFreight!D98</f>
        <v>N/M</v>
      </c>
      <c r="C281" s="20" t="str">
        <f aca="false">JetFreight!E98</f>
        <v>N/M</v>
      </c>
      <c r="D281" s="20" t="n">
        <f aca="false">JetFreight!F98</f>
        <v>23.5</v>
      </c>
      <c r="E281" s="20" t="str">
        <f aca="false">JetFreight!G98</f>
        <v>N/M</v>
      </c>
      <c r="F281" s="20" t="str">
        <f aca="false">JetFreight!H98</f>
        <v>N/M</v>
      </c>
      <c r="G281" s="20" t="str">
        <f aca="false">JetFreight!I98</f>
        <v>N/M</v>
      </c>
      <c r="H281" s="20" t="str">
        <f aca="false">JetFreight!J98</f>
        <v>N/M</v>
      </c>
      <c r="I281" s="21" t="n">
        <f aca="false">JetFreight!K98</f>
        <v>23.5</v>
      </c>
      <c r="J281" s="34" t="str">
        <f aca="false">IF(AND(ISNUMBER(H281),ISNUMBER(H$289)),IF(H281&gt;H$289,"Above",IF(H281&lt;H$289,"Below","At")),"-")</f>
        <v>-</v>
      </c>
      <c r="K281" s="34" t="str">
        <f aca="false">IF(J281="Above","Better",IF(J281="Below","Weaker","-"))</f>
        <v>-</v>
      </c>
      <c r="L281" s="34" t="str">
        <f aca="false">IF(ISNUMBER(H281),RANK(H281,H$277:H$286,0),"-")</f>
        <v>-</v>
      </c>
      <c r="N281" s="34" t="str">
        <f aca="false">IF(AND(ISNUMBER(I281),ISNUMBER(I$289)),IF(I281&gt;I$289,"Above",IF(I281&lt;I$289,"Below","At")),"-")</f>
        <v>Above</v>
      </c>
      <c r="O281" s="34" t="str">
        <f aca="false">IF(N281="Above","Better",IF(N281="Below","Weaker","-"))</f>
        <v>Better</v>
      </c>
    </row>
    <row r="282" customFormat="false" ht="15" hidden="false" customHeight="false" outlineLevel="0" collapsed="false">
      <c r="A282" s="18" t="s">
        <v>114</v>
      </c>
      <c r="B282" s="20" t="n">
        <f aca="false">Patel!D98</f>
        <v>63.1764705882353</v>
      </c>
      <c r="C282" s="20" t="n">
        <f aca="false">Patel!E98</f>
        <v>0.192307692307692</v>
      </c>
      <c r="D282" s="20" t="n">
        <f aca="false">Patel!F98</f>
        <v>6.30555555555556</v>
      </c>
      <c r="E282" s="20" t="n">
        <f aca="false">Patel!G98</f>
        <v>7.53846153846154</v>
      </c>
      <c r="F282" s="20" t="n">
        <f aca="false">Patel!H98</f>
        <v>8.52307692307692</v>
      </c>
      <c r="G282" s="20" t="n">
        <f aca="false">Patel!I98</f>
        <v>3.63636363636364</v>
      </c>
      <c r="H282" s="20" t="n">
        <f aca="false">Patel!J98</f>
        <v>6.90647482014389</v>
      </c>
      <c r="I282" s="21" t="n">
        <f aca="false">Patel!K98</f>
        <v>13.7541015363064</v>
      </c>
      <c r="J282" s="34" t="str">
        <f aca="false">IF(AND(ISNUMBER(H282),ISNUMBER(H$289)),IF(H282&gt;H$289,"Above",IF(H282&lt;H$289,"Below","At")),"-")</f>
        <v>Above</v>
      </c>
      <c r="K282" s="34" t="str">
        <f aca="false">IF(J282="Above","Better",IF(J282="Below","Weaker","-"))</f>
        <v>Better</v>
      </c>
      <c r="L282" s="34" t="n">
        <f aca="false">IF(ISNUMBER(H282),RANK(H282,H$277:H$286,0),"-")</f>
        <v>1</v>
      </c>
      <c r="N282" s="34" t="str">
        <f aca="false">IF(AND(ISNUMBER(I282),ISNUMBER(I$289)),IF(I282&gt;I$289,"Above",IF(I282&lt;I$289,"Below","At")),"-")</f>
        <v>Above</v>
      </c>
      <c r="O282" s="34" t="str">
        <f aca="false">IF(N282="Above","Better",IF(N282="Below","Weaker","-"))</f>
        <v>Better</v>
      </c>
    </row>
    <row r="283" customFormat="false" ht="15" hidden="false" customHeight="false" outlineLevel="0" collapsed="false">
      <c r="A283" s="18" t="s">
        <v>115</v>
      </c>
      <c r="B283" s="20" t="str">
        <f aca="false">Sical!D98</f>
        <v>N/M</v>
      </c>
      <c r="C283" s="20" t="str">
        <f aca="false">Sical!E98</f>
        <v>N/M</v>
      </c>
      <c r="D283" s="20" t="str">
        <f aca="false">Sical!F98</f>
        <v>N/M</v>
      </c>
      <c r="E283" s="20" t="str">
        <f aca="false">Sical!G98</f>
        <v>N/M</v>
      </c>
      <c r="F283" s="20" t="str">
        <f aca="false">Sical!H98</f>
        <v>N/M</v>
      </c>
      <c r="G283" s="20" t="str">
        <f aca="false">Sical!I98</f>
        <v>N/M</v>
      </c>
      <c r="H283" s="20" t="str">
        <f aca="false">Sical!J98</f>
        <v>N/M</v>
      </c>
      <c r="I283" s="21" t="str">
        <f aca="false">Sical!K98</f>
        <v>N/M</v>
      </c>
      <c r="J283" s="34" t="str">
        <f aca="false">IF(AND(ISNUMBER(H283),ISNUMBER(H$289)),IF(H283&gt;H$289,"Above",IF(H283&lt;H$289,"Below","At")),"-")</f>
        <v>-</v>
      </c>
      <c r="K283" s="34" t="str">
        <f aca="false">IF(J283="Above","Better",IF(J283="Below","Weaker","-"))</f>
        <v>-</v>
      </c>
      <c r="L283" s="34" t="str">
        <f aca="false">IF(ISNUMBER(H283),RANK(H283,H$277:H$286,0),"-")</f>
        <v>-</v>
      </c>
      <c r="N283" s="34" t="str">
        <f aca="false">IF(AND(ISNUMBER(I283),ISNUMBER(I$289)),IF(I283&gt;I$289,"Above",IF(I283&lt;I$289,"Below","At")),"-")</f>
        <v>-</v>
      </c>
      <c r="O283" s="34" t="str">
        <f aca="false">IF(N283="Above","Better",IF(N283="Below","Weaker","-"))</f>
        <v>-</v>
      </c>
    </row>
    <row r="284" customFormat="false" ht="15" hidden="false" customHeight="false" outlineLevel="0" collapsed="false">
      <c r="A284" s="18" t="s">
        <v>86</v>
      </c>
      <c r="B284" s="20" t="n">
        <f aca="false">TCI!D98</f>
        <v>9.26219908913468</v>
      </c>
      <c r="C284" s="20" t="n">
        <f aca="false">TCI!E98</f>
        <v>7.63122406639004</v>
      </c>
      <c r="D284" s="20" t="n">
        <f aca="false">TCI!F98</f>
        <v>9.36037491919845</v>
      </c>
      <c r="E284" s="20" t="n">
        <f aca="false">TCI!G98</f>
        <v>5.84635224760501</v>
      </c>
      <c r="F284" s="20" t="n">
        <f aca="false">TCI!H98</f>
        <v>6.44615950018376</v>
      </c>
      <c r="G284" s="20" t="n">
        <f aca="false">TCI!I98</f>
        <v>6.72943864229765</v>
      </c>
      <c r="H284" s="20" t="n">
        <f aca="false">TCI!J98</f>
        <v>5.94462540716612</v>
      </c>
      <c r="I284" s="21" t="n">
        <f aca="false">TCI!K98</f>
        <v>7.3171962674251</v>
      </c>
      <c r="J284" s="34" t="str">
        <f aca="false">IF(AND(ISNUMBER(H284),ISNUMBER(H$289)),IF(H284&gt;H$289,"Above",IF(H284&lt;H$289,"Below","At")),"-")</f>
        <v>Above</v>
      </c>
      <c r="K284" s="34" t="str">
        <f aca="false">IF(J284="Above","Better",IF(J284="Below","Weaker","-"))</f>
        <v>Better</v>
      </c>
      <c r="L284" s="34" t="n">
        <f aca="false">IF(ISNUMBER(H284),RANK(H284,H$277:H$286,0),"-")</f>
        <v>2</v>
      </c>
      <c r="N284" s="34" t="str">
        <f aca="false">IF(AND(ISNUMBER(I284),ISNUMBER(I$289)),IF(I284&gt;I$289,"Above",IF(I284&lt;I$289,"Below","At")),"-")</f>
        <v>At</v>
      </c>
      <c r="O284" s="34" t="str">
        <f aca="false">IF(N284="Above","Better",IF(N284="Below","Weaker","-"))</f>
        <v>-</v>
      </c>
    </row>
    <row r="285" customFormat="false" ht="15" hidden="false" customHeight="false" outlineLevel="0" collapsed="false">
      <c r="A285" s="18" t="s">
        <v>116</v>
      </c>
      <c r="B285" s="20" t="n">
        <f aca="false">Shreeji!D98</f>
        <v>2.82692307692308</v>
      </c>
      <c r="C285" s="20" t="n">
        <f aca="false">Shreeji!E98</f>
        <v>-1.03809523809524</v>
      </c>
      <c r="D285" s="20" t="n">
        <f aca="false">Shreeji!F98</f>
        <v>4.21428571428571</v>
      </c>
      <c r="E285" s="20" t="n">
        <f aca="false">Shreeji!G98</f>
        <v>9.21904761904762</v>
      </c>
      <c r="F285" s="20" t="n">
        <f aca="false">Shreeji!H98</f>
        <v>23.2571428571429</v>
      </c>
      <c r="G285" s="20" t="str">
        <f aca="false">Shreeji!I98</f>
        <v>N/M</v>
      </c>
      <c r="H285" s="20" t="str">
        <f aca="false">Shreeji!J98</f>
        <v>N/M</v>
      </c>
      <c r="I285" s="21" t="n">
        <f aca="false">Shreeji!K98</f>
        <v>7.69586080586081</v>
      </c>
      <c r="J285" s="34" t="str">
        <f aca="false">IF(AND(ISNUMBER(H285),ISNUMBER(H$289)),IF(H285&gt;H$289,"Above",IF(H285&lt;H$289,"Below","At")),"-")</f>
        <v>-</v>
      </c>
      <c r="K285" s="34" t="str">
        <f aca="false">IF(J285="Above","Better",IF(J285="Below","Weaker","-"))</f>
        <v>-</v>
      </c>
      <c r="L285" s="34" t="str">
        <f aca="false">IF(ISNUMBER(H285),RANK(H285,H$277:H$286,0),"-")</f>
        <v>-</v>
      </c>
      <c r="N285" s="34" t="str">
        <f aca="false">IF(AND(ISNUMBER(I285),ISNUMBER(I$289)),IF(I285&gt;I$289,"Above",IF(I285&lt;I$289,"Below","At")),"-")</f>
        <v>Above</v>
      </c>
      <c r="O285" s="34" t="str">
        <f aca="false">IF(N285="Above","Better",IF(N285="Below","Weaker","-"))</f>
        <v>Better</v>
      </c>
    </row>
    <row r="286" customFormat="false" ht="15" hidden="false" customHeight="false" outlineLevel="0" collapsed="false">
      <c r="A286" s="18" t="s">
        <v>117</v>
      </c>
      <c r="B286" s="20" t="n">
        <f aca="false">MahindraLog!D98</f>
        <v>5.13699906803355</v>
      </c>
      <c r="C286" s="20" t="n">
        <f aca="false">MahindraLog!E98</f>
        <v>1.67410714285714</v>
      </c>
      <c r="D286" s="20" t="n">
        <f aca="false">MahindraLog!F98</f>
        <v>1.22199025748086</v>
      </c>
      <c r="E286" s="20" t="n">
        <f aca="false">MahindraLog!G98</f>
        <v>1.46</v>
      </c>
      <c r="F286" s="20" t="n">
        <f aca="false">MahindraLog!H98</f>
        <v>-3.03942254303165</v>
      </c>
      <c r="G286" s="20" t="n">
        <f aca="false">MahindraLog!I98</f>
        <v>-1.98835274542429</v>
      </c>
      <c r="H286" s="20" t="n">
        <f aca="false">MahindraLog!J98</f>
        <v>0.0923387096774194</v>
      </c>
      <c r="I286" s="21" t="n">
        <f aca="false">MahindraLog!K98</f>
        <v>0.651094269941862</v>
      </c>
      <c r="J286" s="34" t="str">
        <f aca="false">IF(AND(ISNUMBER(H286),ISNUMBER(H$289)),IF(H286&gt;H$289,"Above",IF(H286&lt;H$289,"Below","At")),"-")</f>
        <v>Below</v>
      </c>
      <c r="K286" s="34" t="str">
        <f aca="false">IF(J286="Above","Better",IF(J286="Below","Weaker","-"))</f>
        <v>Weaker</v>
      </c>
      <c r="L286" s="34" t="n">
        <f aca="false">IF(ISNUMBER(H286),RANK(H286,H$277:H$286,0),"-")</f>
        <v>5</v>
      </c>
      <c r="N286" s="34" t="str">
        <f aca="false">IF(AND(ISNUMBER(I286),ISNUMBER(I$289)),IF(I286&gt;I$289,"Above",IF(I286&lt;I$289,"Below","At")),"-")</f>
        <v>Below</v>
      </c>
      <c r="O286" s="34" t="str">
        <f aca="false">IF(N286="Above","Better",IF(N286="Below","Weaker","-"))</f>
        <v>Weaker</v>
      </c>
    </row>
    <row r="287" customFormat="false" ht="15" hidden="false" customHeight="false" outlineLevel="0" collapsed="false">
      <c r="A287" s="12" t="s">
        <v>176</v>
      </c>
      <c r="B287" s="21" t="n">
        <f aca="false">Industry!D98</f>
        <v>2.08347662967016</v>
      </c>
      <c r="C287" s="21" t="n">
        <f aca="false">Industry!E98</f>
        <v>-0.498738140860868</v>
      </c>
      <c r="D287" s="21" t="n">
        <f aca="false">Industry!F98</f>
        <v>3.02040339728856</v>
      </c>
      <c r="E287" s="21" t="n">
        <f aca="false">Industry!G98</f>
        <v>1.92275560122412</v>
      </c>
      <c r="F287" s="21" t="n">
        <f aca="false">Industry!H98</f>
        <v>2.16069129763131</v>
      </c>
      <c r="G287" s="21" t="n">
        <f aca="false">Industry!I98</f>
        <v>1.72762645914397</v>
      </c>
      <c r="H287" s="21" t="n">
        <f aca="false">Industry!J98</f>
        <v>2.50338296648844</v>
      </c>
      <c r="I287" s="21" t="n">
        <f aca="false">Industry!K98</f>
        <v>1.84565688722653</v>
      </c>
    </row>
    <row r="288" customFormat="false" ht="15" hidden="false" customHeight="false" outlineLevel="0" collapsed="false">
      <c r="A288" s="35" t="s">
        <v>177</v>
      </c>
      <c r="B288" s="37" t="n">
        <f aca="false">IFERROR(AVERAGE(B277:B286),"N/M")</f>
        <v>14.2112630941232</v>
      </c>
      <c r="C288" s="37" t="n">
        <f aca="false">IFERROR(AVERAGE(C277:C286),"N/M")</f>
        <v>2.35616818689924</v>
      </c>
      <c r="D288" s="37" t="n">
        <f aca="false">IFERROR(AVERAGE(D277:D286),"N/M")</f>
        <v>10.3880797425572</v>
      </c>
      <c r="E288" s="37" t="n">
        <f aca="false">IFERROR(AVERAGE(E277:E286),"N/M")</f>
        <v>5.55688514254057</v>
      </c>
      <c r="F288" s="37" t="n">
        <f aca="false">IFERROR(AVERAGE(F277:F286),"N/M")</f>
        <v>6.2252439987727</v>
      </c>
      <c r="G288" s="37" t="n">
        <f aca="false">IFERROR(AVERAGE(G277:G286),"N/M")</f>
        <v>2.44572068120907</v>
      </c>
      <c r="H288" s="37" t="n">
        <f aca="false">IFERROR(AVERAGE(H277:H286),"N/M")</f>
        <v>3.80083211190795</v>
      </c>
      <c r="I288" s="37" t="n">
        <f aca="false">IFERROR(AVERAGE(I277:I286),"N/M")</f>
        <v>10.5869767393514</v>
      </c>
    </row>
    <row r="289" customFormat="false" ht="15" hidden="false" customHeight="false" outlineLevel="0" collapsed="false">
      <c r="A289" s="35" t="s">
        <v>178</v>
      </c>
      <c r="B289" s="37" t="n">
        <f aca="false">IFERROR(MEDIAN(B277:B286),"N/M")</f>
        <v>4.08118438003496</v>
      </c>
      <c r="C289" s="37" t="n">
        <f aca="false">IFERROR(MEDIAN(C277:C286),"N/M")</f>
        <v>1.67410714285714</v>
      </c>
      <c r="D289" s="37" t="n">
        <f aca="false">IFERROR(MEDIAN(D277:D286),"N/M")</f>
        <v>6.30555555555556</v>
      </c>
      <c r="E289" s="37" t="n">
        <f aca="false">IFERROR(MEDIAN(E277:E286),"N/M")</f>
        <v>5.84635224760501</v>
      </c>
      <c r="F289" s="37" t="n">
        <f aca="false">IFERROR(MEDIAN(F277:F286),"N/M")</f>
        <v>5.06750841750842</v>
      </c>
      <c r="G289" s="37" t="n">
        <f aca="false">IFERROR(MEDIAN(G277:G286),"N/M")</f>
        <v>2.73869701726845</v>
      </c>
      <c r="H289" s="37" t="n">
        <f aca="false">IFERROR(MEDIAN(H277:H286),"N/M")</f>
        <v>4.16481481481481</v>
      </c>
      <c r="I289" s="37" t="n">
        <f aca="false">IFERROR(MEDIAN(I277:I286),"N/M")</f>
        <v>7.3171962674251</v>
      </c>
    </row>
    <row r="290" customFormat="false" ht="15" hidden="false" customHeight="false" outlineLevel="0" collapsed="false">
      <c r="A290" s="35" t="s">
        <v>179</v>
      </c>
      <c r="B290" s="37" t="n">
        <f aca="false">IFERROR(STDEV(B277:B286),"N/M")</f>
        <v>24.1338437955662</v>
      </c>
      <c r="C290" s="37" t="n">
        <f aca="false">IFERROR(STDEV(C277:C286),"N/M")</f>
        <v>2.78636562859285</v>
      </c>
      <c r="D290" s="37" t="n">
        <f aca="false">IFERROR(STDEV(D277:D286),"N/M")</f>
        <v>10.6234002197896</v>
      </c>
      <c r="E290" s="37" t="n">
        <f aca="false">IFERROR(STDEV(E277:E286),"N/M")</f>
        <v>3.00651752226441</v>
      </c>
      <c r="F290" s="37" t="n">
        <f aca="false">IFERROR(STDEV(F277:F286),"N/M")</f>
        <v>8.40921410685347</v>
      </c>
      <c r="G290" s="37" t="n">
        <f aca="false">IFERROR(STDEV(G277:G286),"N/M")</f>
        <v>3.10041655012137</v>
      </c>
      <c r="H290" s="37" t="n">
        <f aca="false">IFERROR(STDEV(H277:H286),"N/M")</f>
        <v>2.81757934497347</v>
      </c>
      <c r="I290" s="37" t="n">
        <f aca="false">IFERROR(STDEV(I277:I286),"N/M")</f>
        <v>10.5766328038009</v>
      </c>
    </row>
    <row r="291" customFormat="false" ht="15" hidden="false" customHeight="false" outlineLevel="0" collapsed="false">
      <c r="A291" s="35" t="s">
        <v>102</v>
      </c>
      <c r="B291" s="37" t="n">
        <f aca="false">IFERROR(MIN(B277:B286),"N/M")</f>
        <v>1.83961705037611</v>
      </c>
      <c r="C291" s="37" t="n">
        <f aca="false">IFERROR(MIN(C277:C286),"N/M")</f>
        <v>-1.03809523809524</v>
      </c>
      <c r="D291" s="37" t="n">
        <f aca="false">IFERROR(MIN(D277:D286),"N/M")</f>
        <v>1.22199025748086</v>
      </c>
      <c r="E291" s="37" t="n">
        <f aca="false">IFERROR(MIN(E277:E286),"N/M")</f>
        <v>1.46</v>
      </c>
      <c r="F291" s="37" t="n">
        <f aca="false">IFERROR(MIN(F277:F286),"N/M")</f>
        <v>-3.03942254303165</v>
      </c>
      <c r="G291" s="37" t="n">
        <f aca="false">IFERROR(MIN(G277:G286),"N/M")</f>
        <v>-1.98835274542429</v>
      </c>
      <c r="H291" s="37" t="n">
        <f aca="false">IFERROR(MIN(H277:H286),"N/M")</f>
        <v>0.0923387096774194</v>
      </c>
      <c r="I291" s="37" t="n">
        <f aca="false">IFERROR(MIN(I277:I286),"N/M")</f>
        <v>0.651094269941862</v>
      </c>
    </row>
    <row r="292" customFormat="false" ht="15" hidden="false" customHeight="false" outlineLevel="0" collapsed="false">
      <c r="A292" s="35" t="s">
        <v>103</v>
      </c>
      <c r="B292" s="37" t="n">
        <f aca="false">IFERROR(MAX(B277:B286),"N/M")</f>
        <v>63.1764705882353</v>
      </c>
      <c r="C292" s="37" t="n">
        <f aca="false">IFERROR(MAX(C277:C286),"N/M")</f>
        <v>7.63122406639004</v>
      </c>
      <c r="D292" s="37" t="n">
        <f aca="false">IFERROR(MAX(D277:D286),"N/M")</f>
        <v>31.7264150943396</v>
      </c>
      <c r="E292" s="37" t="n">
        <f aca="false">IFERROR(MAX(E277:E286),"N/M")</f>
        <v>9.21904761904762</v>
      </c>
      <c r="F292" s="37" t="n">
        <f aca="false">IFERROR(MAX(F277:F286),"N/M")</f>
        <v>23.2571428571429</v>
      </c>
      <c r="G292" s="37" t="n">
        <f aca="false">IFERROR(MAX(G277:G286),"N/M")</f>
        <v>6.72943864229765</v>
      </c>
      <c r="H292" s="37" t="n">
        <f aca="false">IFERROR(MAX(H277:H286),"N/M")</f>
        <v>6.90647482014389</v>
      </c>
      <c r="I292" s="37" t="n">
        <f aca="false">IFERROR(MAX(I277:I286),"N/M")</f>
        <v>31.7264150943396</v>
      </c>
    </row>
    <row r="294" customFormat="false" ht="15" hidden="false" customHeight="false" outlineLevel="0" collapsed="false">
      <c r="A294" s="16" t="s">
        <v>195</v>
      </c>
      <c r="B294" s="17"/>
      <c r="C294" s="17"/>
      <c r="D294" s="17"/>
      <c r="E294" s="17"/>
      <c r="F294" s="17"/>
      <c r="G294" s="17"/>
      <c r="H294" s="17"/>
      <c r="I294" s="17"/>
      <c r="J294" s="17"/>
      <c r="K294" s="17"/>
      <c r="L294" s="17"/>
      <c r="M294" s="17"/>
    </row>
    <row r="295" customFormat="false" ht="15" hidden="false" customHeight="false" outlineLevel="0" collapsed="false">
      <c r="A295" s="18" t="s">
        <v>110</v>
      </c>
      <c r="B295" s="20" t="n">
        <f aca="false">Tiger!D99</f>
        <v>-1.50675675675676</v>
      </c>
      <c r="C295" s="20" t="n">
        <f aca="false">Tiger!E99</f>
        <v>-0.391634980988593</v>
      </c>
      <c r="D295" s="20" t="n">
        <f aca="false">Tiger!F99</f>
        <v>2.18820510828034</v>
      </c>
      <c r="E295" s="20" t="n">
        <f aca="false">Tiger!G99</f>
        <v>32.1844660194175</v>
      </c>
      <c r="F295" s="20" t="n">
        <f aca="false">Tiger!H99</f>
        <v>25.3026315789474</v>
      </c>
      <c r="G295" s="20" t="n">
        <f aca="false">Tiger!I99</f>
        <v>12.0268656716418</v>
      </c>
      <c r="H295" s="20" t="n">
        <f aca="false">Tiger!J99</f>
        <v>6.71157495256167</v>
      </c>
      <c r="I295" s="21" t="n">
        <f aca="false">Tiger!K99</f>
        <v>10.9307645133005</v>
      </c>
      <c r="J295" s="34" t="str">
        <f aca="false">IF(AND(ISNUMBER(H295),ISNUMBER(H$307)),IF(H295&gt;H$307,"Above",IF(H295&lt;H$307,"Below","At")),"-")</f>
        <v>Above</v>
      </c>
      <c r="K295" s="34" t="str">
        <f aca="false">IF(J295="Above","Better",IF(J295="Below","Weaker","-"))</f>
        <v>Better</v>
      </c>
      <c r="L295" s="34" t="n">
        <f aca="false">IF(ISNUMBER(H295),RANK(H295,H$295:H$304,0),"-")</f>
        <v>4</v>
      </c>
      <c r="N295" s="34" t="str">
        <f aca="false">IF(AND(ISNUMBER(I295),ISNUMBER(I$307)),IF(I295&gt;I$307,"Above",IF(I295&lt;I$307,"Below","At")),"-")</f>
        <v>Above</v>
      </c>
      <c r="O295" s="34" t="str">
        <f aca="false">IF(N295="Above","Better",IF(N295="Below","Weaker","-"))</f>
        <v>Better</v>
      </c>
    </row>
    <row r="296" customFormat="false" ht="15" hidden="false" customHeight="false" outlineLevel="0" collapsed="false">
      <c r="A296" s="18" t="s">
        <v>111</v>
      </c>
      <c r="B296" s="20" t="n">
        <f aca="false">Allcargo!D99</f>
        <v>8.19025304592315</v>
      </c>
      <c r="C296" s="20" t="n">
        <f aca="false">Allcargo!E99</f>
        <v>4.24726003490402</v>
      </c>
      <c r="D296" s="20" t="n">
        <f aca="false">Allcargo!F99</f>
        <v>16.1666146970169</v>
      </c>
      <c r="E296" s="20" t="n">
        <f aca="false">Allcargo!G99</f>
        <v>0.765235724377514</v>
      </c>
      <c r="F296" s="20" t="n">
        <f aca="false">Allcargo!H99</f>
        <v>5.04493335244374</v>
      </c>
      <c r="G296" s="20" t="n">
        <f aca="false">Allcargo!I99</f>
        <v>0.238567193502552</v>
      </c>
      <c r="H296" s="20" t="n">
        <f aca="false">Allcargo!J99</f>
        <v>1.8</v>
      </c>
      <c r="I296" s="21" t="n">
        <f aca="false">Allcargo!K99</f>
        <v>5.20755200688113</v>
      </c>
      <c r="J296" s="34" t="str">
        <f aca="false">IF(AND(ISNUMBER(H296),ISNUMBER(H$307)),IF(H296&gt;H$307,"Above",IF(H296&lt;H$307,"Below","At")),"-")</f>
        <v>Below</v>
      </c>
      <c r="K296" s="34" t="str">
        <f aca="false">IF(J296="Above","Better",IF(J296="Below","Weaker","-"))</f>
        <v>Weaker</v>
      </c>
      <c r="L296" s="34" t="n">
        <f aca="false">IF(ISNUMBER(H296),RANK(H296,H$295:H$304,0),"-")</f>
        <v>7</v>
      </c>
      <c r="N296" s="34" t="str">
        <f aca="false">IF(AND(ISNUMBER(I296),ISNUMBER(I$307)),IF(I296&gt;I$307,"Above",IF(I296&lt;I$307,"Below","At")),"-")</f>
        <v>Above</v>
      </c>
      <c r="O296" s="34" t="str">
        <f aca="false">IF(N296="Above","Better",IF(N296="Below","Weaker","-"))</f>
        <v>Better</v>
      </c>
    </row>
    <row r="297" customFormat="false" ht="15" hidden="false" customHeight="false" outlineLevel="0" collapsed="false">
      <c r="A297" s="18" t="s">
        <v>112</v>
      </c>
      <c r="B297" s="20" t="n">
        <f aca="false">BlueDart!D99</f>
        <v>2.65894039735099</v>
      </c>
      <c r="C297" s="20" t="n">
        <f aca="false">BlueDart!E99</f>
        <v>6.13555655700766</v>
      </c>
      <c r="D297" s="20" t="n">
        <f aca="false">BlueDart!F99</f>
        <v>1.42406366249302</v>
      </c>
      <c r="E297" s="20" t="n">
        <f aca="false">BlueDart!G99</f>
        <v>14.5030665669409</v>
      </c>
      <c r="F297" s="20" t="n">
        <f aca="false">BlueDart!H99</f>
        <v>6.47178946833644</v>
      </c>
      <c r="G297" s="20" t="n">
        <f aca="false">BlueDart!I99</f>
        <v>5.28263964810081</v>
      </c>
      <c r="H297" s="20" t="n">
        <f aca="false">BlueDart!J99</f>
        <v>11.0749649696404</v>
      </c>
      <c r="I297" s="21" t="n">
        <f aca="false">BlueDart!K99</f>
        <v>6.79300303855288</v>
      </c>
      <c r="J297" s="34" t="str">
        <f aca="false">IF(AND(ISNUMBER(H297),ISNUMBER(H$307)),IF(H297&gt;H$307,"Above",IF(H297&lt;H$307,"Below","At")),"-")</f>
        <v>Above</v>
      </c>
      <c r="K297" s="34" t="str">
        <f aca="false">IF(J297="Above","Better",IF(J297="Below","Weaker","-"))</f>
        <v>Better</v>
      </c>
      <c r="L297" s="34" t="n">
        <f aca="false">IF(ISNUMBER(H297),RANK(H297,H$295:H$304,0),"-")</f>
        <v>3</v>
      </c>
      <c r="N297" s="34" t="str">
        <f aca="false">IF(AND(ISNUMBER(I297),ISNUMBER(I$307)),IF(I297&gt;I$307,"Above",IF(I297&lt;I$307,"Below","At")),"-")</f>
        <v>Above</v>
      </c>
      <c r="O297" s="34" t="str">
        <f aca="false">IF(N297="Above","Better",IF(N297="Below","Weaker","-"))</f>
        <v>Better</v>
      </c>
    </row>
    <row r="298" customFormat="false" ht="15" hidden="false" customHeight="false" outlineLevel="0" collapsed="false">
      <c r="A298" s="18" t="s">
        <v>67</v>
      </c>
      <c r="B298" s="20" t="n">
        <f aca="false">CONCOR!D99</f>
        <v>1.15124847894541</v>
      </c>
      <c r="C298" s="20" t="n">
        <f aca="false">CONCOR!E99</f>
        <v>29.2667588113338</v>
      </c>
      <c r="D298" s="20" t="n">
        <f aca="false">CONCOR!F99</f>
        <v>32.1249204328453</v>
      </c>
      <c r="E298" s="20" t="n">
        <f aca="false">CONCOR!G99</f>
        <v>34.0272108843537</v>
      </c>
      <c r="F298" s="20" t="n">
        <f aca="false">CONCOR!H99</f>
        <v>32.8855430085041</v>
      </c>
      <c r="G298" s="20" t="n">
        <f aca="false">CONCOR!I99</f>
        <v>13.4725200551828</v>
      </c>
      <c r="H298" s="20" t="n">
        <f aca="false">CONCOR!J99</f>
        <v>29.8590347637845</v>
      </c>
      <c r="I298" s="21" t="n">
        <f aca="false">CONCOR!K99</f>
        <v>24.6838909192785</v>
      </c>
      <c r="J298" s="34" t="str">
        <f aca="false">IF(AND(ISNUMBER(H298),ISNUMBER(H$307)),IF(H298&gt;H$307,"Above",IF(H298&lt;H$307,"Below","At")),"-")</f>
        <v>Above</v>
      </c>
      <c r="K298" s="34" t="str">
        <f aca="false">IF(J298="Above","Better",IF(J298="Below","Weaker","-"))</f>
        <v>Better</v>
      </c>
      <c r="L298" s="34" t="n">
        <f aca="false">IF(ISNUMBER(H298),RANK(H298,H$295:H$304,0),"-")</f>
        <v>1</v>
      </c>
      <c r="N298" s="34" t="str">
        <f aca="false">IF(AND(ISNUMBER(I298),ISNUMBER(I$307)),IF(I298&gt;I$307,"Above",IF(I298&lt;I$307,"Below","At")),"-")</f>
        <v>Above</v>
      </c>
      <c r="O298" s="34" t="str">
        <f aca="false">IF(N298="Above","Better",IF(N298="Below","Weaker","-"))</f>
        <v>Better</v>
      </c>
    </row>
    <row r="299" customFormat="false" ht="15" hidden="false" customHeight="false" outlineLevel="0" collapsed="false">
      <c r="A299" s="18" t="s">
        <v>113</v>
      </c>
      <c r="B299" s="20" t="n">
        <f aca="false">JetFreight!D99</f>
        <v>-0.266478342749529</v>
      </c>
      <c r="C299" s="20" t="n">
        <f aca="false">JetFreight!E99</f>
        <v>0.734450547984596</v>
      </c>
      <c r="D299" s="20" t="n">
        <f aca="false">JetFreight!F99</f>
        <v>2.79207920792079</v>
      </c>
      <c r="E299" s="20" t="n">
        <f aca="false">JetFreight!G99</f>
        <v>1.72673267326733</v>
      </c>
      <c r="F299" s="20" t="n">
        <f aca="false">JetFreight!H99</f>
        <v>0.760217983651226</v>
      </c>
      <c r="G299" s="20" t="n">
        <f aca="false">JetFreight!I99</f>
        <v>2.21594202898551</v>
      </c>
      <c r="H299" s="20" t="n">
        <f aca="false">JetFreight!J99</f>
        <v>2.92857142857143</v>
      </c>
      <c r="I299" s="21" t="n">
        <f aca="false">JetFreight!K99</f>
        <v>1.55593078966162</v>
      </c>
      <c r="J299" s="34" t="str">
        <f aca="false">IF(AND(ISNUMBER(H299),ISNUMBER(H$307)),IF(H299&gt;H$307,"Above",IF(H299&lt;H$307,"Below","At")),"-")</f>
        <v>Above</v>
      </c>
      <c r="K299" s="34" t="str">
        <f aca="false">IF(J299="Above","Better",IF(J299="Below","Weaker","-"))</f>
        <v>Better</v>
      </c>
      <c r="L299" s="34" t="n">
        <f aca="false">IF(ISNUMBER(H299),RANK(H299,H$295:H$304,0),"-")</f>
        <v>5</v>
      </c>
      <c r="N299" s="34" t="str">
        <f aca="false">IF(AND(ISNUMBER(I299),ISNUMBER(I$307)),IF(I299&gt;I$307,"Above",IF(I299&lt;I$307,"Below","At")),"-")</f>
        <v>Below</v>
      </c>
      <c r="O299" s="34" t="str">
        <f aca="false">IF(N299="Above","Better",IF(N299="Below","Weaker","-"))</f>
        <v>Weaker</v>
      </c>
    </row>
    <row r="300" customFormat="false" ht="15" hidden="false" customHeight="false" outlineLevel="0" collapsed="false">
      <c r="A300" s="18" t="s">
        <v>114</v>
      </c>
      <c r="B300" s="20" t="n">
        <f aca="false">Patel!D99</f>
        <v>0.925690196578969</v>
      </c>
      <c r="C300" s="20" t="n">
        <f aca="false">Patel!E99</f>
        <v>1.34650856389987</v>
      </c>
      <c r="D300" s="20" t="n">
        <f aca="false">Patel!F99</f>
        <v>0.534591194968553</v>
      </c>
      <c r="E300" s="20" t="n">
        <f aca="false">Patel!G99</f>
        <v>0.57375523499302</v>
      </c>
      <c r="F300" s="20" t="n">
        <f aca="false">Patel!H99</f>
        <v>1.11700465177274</v>
      </c>
      <c r="G300" s="20" t="n">
        <f aca="false">Patel!I99</f>
        <v>0.930412137415412</v>
      </c>
      <c r="H300" s="20" t="n">
        <f aca="false">Patel!J99</f>
        <v>1.72200669860101</v>
      </c>
      <c r="I300" s="21" t="n">
        <f aca="false">Patel!K99</f>
        <v>1.02142409688994</v>
      </c>
      <c r="J300" s="34" t="str">
        <f aca="false">IF(AND(ISNUMBER(H300),ISNUMBER(H$307)),IF(H300&gt;H$307,"Above",IF(H300&lt;H$307,"Below","At")),"-")</f>
        <v>Below</v>
      </c>
      <c r="K300" s="34" t="str">
        <f aca="false">IF(J300="Above","Better",IF(J300="Below","Weaker","-"))</f>
        <v>Weaker</v>
      </c>
      <c r="L300" s="34" t="n">
        <f aca="false">IF(ISNUMBER(H300),RANK(H300,H$295:H$304,0),"-")</f>
        <v>8</v>
      </c>
      <c r="N300" s="34" t="str">
        <f aca="false">IF(AND(ISNUMBER(I300),ISNUMBER(I$307)),IF(I300&gt;I$307,"Above",IF(I300&lt;I$307,"Below","At")),"-")</f>
        <v>Below</v>
      </c>
      <c r="O300" s="34" t="str">
        <f aca="false">IF(N300="Above","Better",IF(N300="Below","Weaker","-"))</f>
        <v>Weaker</v>
      </c>
    </row>
    <row r="301" customFormat="false" ht="15" hidden="false" customHeight="false" outlineLevel="0" collapsed="false">
      <c r="A301" s="18" t="s">
        <v>115</v>
      </c>
      <c r="B301" s="20" t="n">
        <f aca="false">Sical!D99</f>
        <v>0.03441178022906</v>
      </c>
      <c r="C301" s="20" t="n">
        <f aca="false">Sical!E99</f>
        <v>-6.15518359932529</v>
      </c>
      <c r="D301" s="20" t="n">
        <f aca="false">Sical!F99</f>
        <v>-7.47938144329897</v>
      </c>
      <c r="E301" s="20" t="n">
        <f aca="false">Sical!G99</f>
        <v>-0.577872660671638</v>
      </c>
      <c r="F301" s="20" t="n">
        <f aca="false">Sical!H99</f>
        <v>1.62659520163349</v>
      </c>
      <c r="G301" s="20" t="n">
        <f aca="false">Sical!I99</f>
        <v>1.16208092485549</v>
      </c>
      <c r="H301" s="20" t="n">
        <f aca="false">Sical!J99</f>
        <v>0.796007645098703</v>
      </c>
      <c r="I301" s="21" t="n">
        <f aca="false">Sical!K99</f>
        <v>-1.51333459306845</v>
      </c>
      <c r="J301" s="34" t="str">
        <f aca="false">IF(AND(ISNUMBER(H301),ISNUMBER(H$307)),IF(H301&gt;H$307,"Above",IF(H301&lt;H$307,"Below","At")),"-")</f>
        <v>Below</v>
      </c>
      <c r="K301" s="34" t="str">
        <f aca="false">IF(J301="Above","Better",IF(J301="Below","Weaker","-"))</f>
        <v>Weaker</v>
      </c>
      <c r="L301" s="34" t="n">
        <f aca="false">IF(ISNUMBER(H301),RANK(H301,H$295:H$304,0),"-")</f>
        <v>9</v>
      </c>
      <c r="N301" s="34" t="str">
        <f aca="false">IF(AND(ISNUMBER(I301),ISNUMBER(I$307)),IF(I301&gt;I$307,"Above",IF(I301&lt;I$307,"Below","At")),"-")</f>
        <v>Below</v>
      </c>
      <c r="O301" s="34" t="str">
        <f aca="false">IF(N301="Above","Better",IF(N301="Below","Weaker","-"))</f>
        <v>Weaker</v>
      </c>
    </row>
    <row r="302" customFormat="false" ht="15" hidden="false" customHeight="false" outlineLevel="0" collapsed="false">
      <c r="A302" s="18" t="s">
        <v>86</v>
      </c>
      <c r="B302" s="20" t="n">
        <f aca="false">TCI!D99</f>
        <v>3.1381873021247</v>
      </c>
      <c r="C302" s="20" t="n">
        <f aca="false">TCI!E99</f>
        <v>1.71784688496797</v>
      </c>
      <c r="D302" s="20" t="n">
        <f aca="false">TCI!F99</f>
        <v>1.90168056278621</v>
      </c>
      <c r="E302" s="20" t="n">
        <f aca="false">TCI!G99</f>
        <v>33.5297103416282</v>
      </c>
      <c r="F302" s="20" t="n">
        <f aca="false">TCI!H99</f>
        <v>39.9253956292389</v>
      </c>
      <c r="G302" s="20" t="n">
        <f aca="false">TCI!I99</f>
        <v>29.6319444444444</v>
      </c>
      <c r="H302" s="20" t="n">
        <f aca="false">TCI!J99</f>
        <v>28.5204036858271</v>
      </c>
      <c r="I302" s="21" t="n">
        <f aca="false">TCI!K99</f>
        <v>19.7664526930025</v>
      </c>
      <c r="J302" s="34" t="str">
        <f aca="false">IF(AND(ISNUMBER(H302),ISNUMBER(H$307)),IF(H302&gt;H$307,"Above",IF(H302&lt;H$307,"Below","At")),"-")</f>
        <v>Above</v>
      </c>
      <c r="K302" s="34" t="str">
        <f aca="false">IF(J302="Above","Better",IF(J302="Below","Weaker","-"))</f>
        <v>Better</v>
      </c>
      <c r="L302" s="34" t="n">
        <f aca="false">IF(ISNUMBER(H302),RANK(H302,H$295:H$304,0),"-")</f>
        <v>2</v>
      </c>
      <c r="N302" s="34" t="str">
        <f aca="false">IF(AND(ISNUMBER(I302),ISNUMBER(I$307)),IF(I302&gt;I$307,"Above",IF(I302&lt;I$307,"Below","At")),"-")</f>
        <v>Above</v>
      </c>
      <c r="O302" s="34" t="str">
        <f aca="false">IF(N302="Above","Better",IF(N302="Below","Weaker","-"))</f>
        <v>Better</v>
      </c>
    </row>
    <row r="303" customFormat="false" ht="15" hidden="false" customHeight="false" outlineLevel="0" collapsed="false">
      <c r="A303" s="18" t="s">
        <v>116</v>
      </c>
      <c r="B303" s="20" t="n">
        <f aca="false">Shreeji!D99</f>
        <v>2.80453257790368</v>
      </c>
      <c r="C303" s="20" t="n">
        <f aca="false">Shreeji!E99</f>
        <v>1.79572446555819</v>
      </c>
      <c r="D303" s="20" t="n">
        <f aca="false">Shreeji!F99</f>
        <v>2.59463227398658</v>
      </c>
      <c r="E303" s="20" t="n">
        <f aca="false">Shreeji!G99</f>
        <v>5.50943396226415</v>
      </c>
      <c r="F303" s="20" t="n">
        <f aca="false">Shreeji!H99</f>
        <v>6.20967741935484</v>
      </c>
      <c r="G303" s="20" t="n">
        <f aca="false">Shreeji!I99</f>
        <v>0.951261208954262</v>
      </c>
      <c r="H303" s="20" t="n">
        <f aca="false">Shreeji!J99</f>
        <v>2.00732791327913</v>
      </c>
      <c r="I303" s="21" t="n">
        <f aca="false">Shreeji!K99</f>
        <v>3.12465568875726</v>
      </c>
      <c r="J303" s="34" t="str">
        <f aca="false">IF(AND(ISNUMBER(H303),ISNUMBER(H$307)),IF(H303&gt;H$307,"Above",IF(H303&lt;H$307,"Below","At")),"-")</f>
        <v>Below</v>
      </c>
      <c r="K303" s="34" t="str">
        <f aca="false">IF(J303="Above","Better",IF(J303="Below","Weaker","-"))</f>
        <v>Weaker</v>
      </c>
      <c r="L303" s="34" t="n">
        <f aca="false">IF(ISNUMBER(H303),RANK(H303,H$295:H$304,0),"-")</f>
        <v>6</v>
      </c>
      <c r="N303" s="34" t="str">
        <f aca="false">IF(AND(ISNUMBER(I303),ISNUMBER(I$307)),IF(I303&gt;I$307,"Above",IF(I303&lt;I$307,"Below","At")),"-")</f>
        <v>Below</v>
      </c>
      <c r="O303" s="34" t="str">
        <f aca="false">IF(N303="Above","Better",IF(N303="Below","Weaker","-"))</f>
        <v>Weaker</v>
      </c>
    </row>
    <row r="304" customFormat="false" ht="15" hidden="false" customHeight="false" outlineLevel="0" collapsed="false">
      <c r="A304" s="18" t="s">
        <v>117</v>
      </c>
      <c r="B304" s="20" t="n">
        <f aca="false">MahindraLog!D99</f>
        <v>9.77027793533749</v>
      </c>
      <c r="C304" s="20" t="n">
        <f aca="false">MahindraLog!E99</f>
        <v>7.41363862618218</v>
      </c>
      <c r="D304" s="20" t="n">
        <f aca="false">MahindraLog!F99</f>
        <v>6.63480885311871</v>
      </c>
      <c r="E304" s="20" t="n">
        <f aca="false">MahindraLog!G99</f>
        <v>5.34438627108784</v>
      </c>
      <c r="F304" s="20" t="n">
        <f aca="false">MahindraLog!H99</f>
        <v>1.53916032408544</v>
      </c>
      <c r="G304" s="20" t="n">
        <f aca="false">MahindraLog!I99</f>
        <v>3.69240241349588</v>
      </c>
      <c r="H304" s="20" t="n">
        <f aca="false">MahindraLog!J99</f>
        <v>0.506523141110717</v>
      </c>
      <c r="I304" s="21" t="n">
        <f aca="false">MahindraLog!K99</f>
        <v>4.98588536634547</v>
      </c>
      <c r="J304" s="34" t="str">
        <f aca="false">IF(AND(ISNUMBER(H304),ISNUMBER(H$307)),IF(H304&gt;H$307,"Above",IF(H304&lt;H$307,"Below","At")),"-")</f>
        <v>Below</v>
      </c>
      <c r="K304" s="34" t="str">
        <f aca="false">IF(J304="Above","Better",IF(J304="Below","Weaker","-"))</f>
        <v>Weaker</v>
      </c>
      <c r="L304" s="34" t="n">
        <f aca="false">IF(ISNUMBER(H304),RANK(H304,H$295:H$304,0),"-")</f>
        <v>10</v>
      </c>
      <c r="N304" s="34" t="str">
        <f aca="false">IF(AND(ISNUMBER(I304),ISNUMBER(I$307)),IF(I304&gt;I$307,"Above",IF(I304&lt;I$307,"Below","At")),"-")</f>
        <v>Below</v>
      </c>
      <c r="O304" s="34" t="str">
        <f aca="false">IF(N304="Above","Better",IF(N304="Below","Weaker","-"))</f>
        <v>Weaker</v>
      </c>
    </row>
    <row r="305" customFormat="false" ht="15" hidden="false" customHeight="false" outlineLevel="0" collapsed="false">
      <c r="A305" s="12" t="s">
        <v>176</v>
      </c>
      <c r="B305" s="21" t="n">
        <f aca="false">Industry!D99</f>
        <v>1.61806271998682</v>
      </c>
      <c r="C305" s="21" t="str">
        <f aca="false">Industry!E99</f>
        <v>N/M</v>
      </c>
      <c r="D305" s="21" t="n">
        <f aca="false">Industry!F99</f>
        <v>4.17492982707684</v>
      </c>
      <c r="E305" s="21" t="n">
        <f aca="false">Industry!G99</f>
        <v>1.15217312967267</v>
      </c>
      <c r="F305" s="21" t="n">
        <f aca="false">Industry!H99</f>
        <v>7.82038611708482</v>
      </c>
      <c r="G305" s="21" t="n">
        <f aca="false">Industry!I99</f>
        <v>2.35441495362575</v>
      </c>
      <c r="H305" s="21" t="n">
        <f aca="false">Industry!J99</f>
        <v>4.99688930926197</v>
      </c>
      <c r="I305" s="21" t="n">
        <f aca="false">Industry!K99</f>
        <v>3.68614267611815</v>
      </c>
    </row>
    <row r="306" customFormat="false" ht="15" hidden="false" customHeight="false" outlineLevel="0" collapsed="false">
      <c r="A306" s="35" t="s">
        <v>177</v>
      </c>
      <c r="B306" s="37" t="n">
        <f aca="false">IFERROR(AVERAGE(B295:B304),"N/M")</f>
        <v>2.69003066148872</v>
      </c>
      <c r="C306" s="37" t="n">
        <f aca="false">IFERROR(AVERAGE(C295:C304),"N/M")</f>
        <v>4.61109259115244</v>
      </c>
      <c r="D306" s="37" t="n">
        <f aca="false">IFERROR(AVERAGE(D295:D304),"N/M")</f>
        <v>5.88822145501175</v>
      </c>
      <c r="E306" s="37" t="n">
        <f aca="false">IFERROR(AVERAGE(E295:E304),"N/M")</f>
        <v>12.7586125017659</v>
      </c>
      <c r="F306" s="37" t="n">
        <f aca="false">IFERROR(AVERAGE(F295:F304),"N/M")</f>
        <v>12.0882948617968</v>
      </c>
      <c r="G306" s="37" t="n">
        <f aca="false">IFERROR(AVERAGE(G295:G304),"N/M")</f>
        <v>6.9604635726579</v>
      </c>
      <c r="H306" s="37" t="n">
        <f aca="false">IFERROR(AVERAGE(H295:H304),"N/M")</f>
        <v>8.59264151984747</v>
      </c>
      <c r="I306" s="37" t="n">
        <f aca="false">IFERROR(AVERAGE(I295:I304),"N/M")</f>
        <v>7.65562245196014</v>
      </c>
    </row>
    <row r="307" customFormat="false" ht="15" hidden="false" customHeight="false" outlineLevel="0" collapsed="false">
      <c r="A307" s="35" t="s">
        <v>178</v>
      </c>
      <c r="B307" s="37" t="n">
        <f aca="false">IFERROR(MEDIAN(B295:B304),"N/M")</f>
        <v>1.9050944381482</v>
      </c>
      <c r="C307" s="37" t="n">
        <f aca="false">IFERROR(MEDIAN(C295:C304),"N/M")</f>
        <v>1.75678567526308</v>
      </c>
      <c r="D307" s="37" t="n">
        <f aca="false">IFERROR(MEDIAN(D295:D304),"N/M")</f>
        <v>2.39141869113346</v>
      </c>
      <c r="E307" s="37" t="n">
        <f aca="false">IFERROR(MEDIAN(E295:E304),"N/M")</f>
        <v>5.426910116676</v>
      </c>
      <c r="F307" s="37" t="n">
        <f aca="false">IFERROR(MEDIAN(F295:F304),"N/M")</f>
        <v>5.62730538589929</v>
      </c>
      <c r="G307" s="37" t="n">
        <f aca="false">IFERROR(MEDIAN(G295:G304),"N/M")</f>
        <v>2.95417222124069</v>
      </c>
      <c r="H307" s="37" t="n">
        <f aca="false">IFERROR(MEDIAN(H295:H304),"N/M")</f>
        <v>2.46794967092528</v>
      </c>
      <c r="I307" s="37" t="n">
        <f aca="false">IFERROR(MEDIAN(I295:I304),"N/M")</f>
        <v>5.0967186866133</v>
      </c>
    </row>
    <row r="308" customFormat="false" ht="15" hidden="false" customHeight="false" outlineLevel="0" collapsed="false">
      <c r="A308" s="35" t="s">
        <v>179</v>
      </c>
      <c r="B308" s="37" t="n">
        <f aca="false">IFERROR(STDEV(B295:B304),"N/M")</f>
        <v>3.64362912881326</v>
      </c>
      <c r="C308" s="37" t="n">
        <f aca="false">IFERROR(STDEV(C295:C304),"N/M")</f>
        <v>9.43477917378718</v>
      </c>
      <c r="D308" s="37" t="n">
        <f aca="false">IFERROR(STDEV(D295:D304),"N/M")</f>
        <v>10.9131238953508</v>
      </c>
      <c r="E308" s="37" t="n">
        <f aca="false">IFERROR(STDEV(E295:E304),"N/M")</f>
        <v>14.7708273663527</v>
      </c>
      <c r="F308" s="37" t="n">
        <f aca="false">IFERROR(STDEV(F295:F304),"N/M")</f>
        <v>14.7843256172483</v>
      </c>
      <c r="G308" s="37" t="n">
        <f aca="false">IFERROR(STDEV(G295:G304),"N/M")</f>
        <v>9.24574570000367</v>
      </c>
      <c r="H308" s="37" t="n">
        <f aca="false">IFERROR(STDEV(H295:H304),"N/M")</f>
        <v>11.3237311521778</v>
      </c>
      <c r="I308" s="37" t="n">
        <f aca="false">IFERROR(STDEV(I295:I304),"N/M")</f>
        <v>8.47901729237467</v>
      </c>
    </row>
    <row r="309" customFormat="false" ht="15" hidden="false" customHeight="false" outlineLevel="0" collapsed="false">
      <c r="A309" s="35" t="s">
        <v>102</v>
      </c>
      <c r="B309" s="37" t="n">
        <f aca="false">IFERROR(MIN(B295:B304),"N/M")</f>
        <v>-1.50675675675676</v>
      </c>
      <c r="C309" s="37" t="n">
        <f aca="false">IFERROR(MIN(C295:C304),"N/M")</f>
        <v>-6.15518359932529</v>
      </c>
      <c r="D309" s="37" t="n">
        <f aca="false">IFERROR(MIN(D295:D304),"N/M")</f>
        <v>-7.47938144329897</v>
      </c>
      <c r="E309" s="37" t="n">
        <f aca="false">IFERROR(MIN(E295:E304),"N/M")</f>
        <v>-0.577872660671638</v>
      </c>
      <c r="F309" s="37" t="n">
        <f aca="false">IFERROR(MIN(F295:F304),"N/M")</f>
        <v>0.760217983651226</v>
      </c>
      <c r="G309" s="37" t="n">
        <f aca="false">IFERROR(MIN(G295:G304),"N/M")</f>
        <v>0.238567193502552</v>
      </c>
      <c r="H309" s="37" t="n">
        <f aca="false">IFERROR(MIN(H295:H304),"N/M")</f>
        <v>0.506523141110717</v>
      </c>
      <c r="I309" s="37" t="n">
        <f aca="false">IFERROR(MIN(I295:I304),"N/M")</f>
        <v>-1.51333459306845</v>
      </c>
    </row>
    <row r="310" customFormat="false" ht="15" hidden="false" customHeight="false" outlineLevel="0" collapsed="false">
      <c r="A310" s="35" t="s">
        <v>103</v>
      </c>
      <c r="B310" s="37" t="n">
        <f aca="false">IFERROR(MAX(B295:B304),"N/M")</f>
        <v>9.77027793533749</v>
      </c>
      <c r="C310" s="37" t="n">
        <f aca="false">IFERROR(MAX(C295:C304),"N/M")</f>
        <v>29.2667588113338</v>
      </c>
      <c r="D310" s="37" t="n">
        <f aca="false">IFERROR(MAX(D295:D304),"N/M")</f>
        <v>32.1249204328453</v>
      </c>
      <c r="E310" s="37" t="n">
        <f aca="false">IFERROR(MAX(E295:E304),"N/M")</f>
        <v>34.0272108843537</v>
      </c>
      <c r="F310" s="37" t="n">
        <f aca="false">IFERROR(MAX(F295:F304),"N/M")</f>
        <v>39.9253956292389</v>
      </c>
      <c r="G310" s="37" t="n">
        <f aca="false">IFERROR(MAX(G295:G304),"N/M")</f>
        <v>29.6319444444444</v>
      </c>
      <c r="H310" s="37" t="n">
        <f aca="false">IFERROR(MAX(H295:H304),"N/M")</f>
        <v>29.8590347637845</v>
      </c>
      <c r="I310" s="37" t="n">
        <f aca="false">IFERROR(MAX(I295:I304),"N/M")</f>
        <v>24.6838909192785</v>
      </c>
    </row>
    <row r="312" customFormat="false" ht="15" hidden="false" customHeight="false" outlineLevel="0" collapsed="false">
      <c r="A312" s="16" t="s">
        <v>196</v>
      </c>
      <c r="B312" s="17"/>
      <c r="C312" s="17"/>
      <c r="D312" s="17"/>
      <c r="E312" s="17"/>
      <c r="F312" s="17"/>
      <c r="G312" s="17"/>
      <c r="H312" s="17"/>
      <c r="I312" s="17"/>
      <c r="J312" s="17"/>
      <c r="K312" s="17"/>
      <c r="L312" s="17"/>
      <c r="M312" s="17"/>
    </row>
    <row r="313" customFormat="false" ht="15" hidden="false" customHeight="false" outlineLevel="0" collapsed="false">
      <c r="A313" s="18" t="s">
        <v>110</v>
      </c>
      <c r="B313" s="20" t="n">
        <f aca="false">Tiger!D100</f>
        <v>0.527027027027027</v>
      </c>
      <c r="C313" s="20" t="n">
        <f aca="false">Tiger!E100</f>
        <v>1.11575834389523</v>
      </c>
      <c r="D313" s="20" t="n">
        <f aca="false">Tiger!F100</f>
        <v>2.64470141204857</v>
      </c>
      <c r="E313" s="20" t="n">
        <f aca="false">Tiger!G100</f>
        <v>24.2912621359223</v>
      </c>
      <c r="F313" s="20" t="n">
        <f aca="false">Tiger!H100</f>
        <v>-16.3947368421053</v>
      </c>
      <c r="G313" s="20" t="n">
        <f aca="false">Tiger!I100</f>
        <v>-2.72238805970149</v>
      </c>
      <c r="H313" s="20" t="n">
        <f aca="false">Tiger!J100</f>
        <v>-1.89943074003795</v>
      </c>
      <c r="I313" s="21" t="n">
        <f aca="false">Tiger!K100</f>
        <v>1.08031332529264</v>
      </c>
      <c r="J313" s="34" t="str">
        <f aca="false">IF(AND(ISNUMBER(H313),ISNUMBER(H$325)),IF(H313&gt;H$325,"Above",IF(H313&lt;H$325,"Below","At")),"-")</f>
        <v>Below</v>
      </c>
      <c r="K313" s="34" t="str">
        <f aca="false">IF(J313="Above","Better",IF(J313="Below","Weaker","-"))</f>
        <v>Weaker</v>
      </c>
      <c r="L313" s="34" t="n">
        <f aca="false">IF(ISNUMBER(H313),RANK(H313,H$313:H$322,0),"-")</f>
        <v>10</v>
      </c>
      <c r="N313" s="34" t="str">
        <f aca="false">IF(AND(ISNUMBER(I313),ISNUMBER(I$325)),IF(I313&gt;I$325,"Above",IF(I313&lt;I$325,"Below","At")),"-")</f>
        <v>Below</v>
      </c>
      <c r="O313" s="34" t="str">
        <f aca="false">IF(N313="Above","Better",IF(N313="Below","Weaker","-"))</f>
        <v>Weaker</v>
      </c>
    </row>
    <row r="314" customFormat="false" ht="15" hidden="false" customHeight="false" outlineLevel="0" collapsed="false">
      <c r="A314" s="18" t="s">
        <v>111</v>
      </c>
      <c r="B314" s="20" t="n">
        <f aca="false">Allcargo!D100</f>
        <v>5.22908019815236</v>
      </c>
      <c r="C314" s="20" t="n">
        <f aca="false">Allcargo!E100</f>
        <v>2.74848167539267</v>
      </c>
      <c r="D314" s="20" t="n">
        <f aca="false">Allcargo!F100</f>
        <v>11.5098222637979</v>
      </c>
      <c r="E314" s="20" t="n">
        <f aca="false">Allcargo!G100</f>
        <v>1.10926112942783</v>
      </c>
      <c r="F314" s="20" t="n">
        <f aca="false">Allcargo!H100</f>
        <v>-0.869428120968898</v>
      </c>
      <c r="G314" s="20" t="n">
        <f aca="false">Allcargo!I100</f>
        <v>0.197344185801744</v>
      </c>
      <c r="H314" s="20" t="n">
        <f aca="false">Allcargo!J100</f>
        <v>2.06666666666667</v>
      </c>
      <c r="I314" s="21" t="n">
        <f aca="false">Allcargo!K100</f>
        <v>3.1416039997529</v>
      </c>
      <c r="J314" s="34" t="str">
        <f aca="false">IF(AND(ISNUMBER(H314),ISNUMBER(H$325)),IF(H314&gt;H$325,"Above",IF(H314&lt;H$325,"Below","At")),"-")</f>
        <v>Above</v>
      </c>
      <c r="K314" s="34" t="str">
        <f aca="false">IF(J314="Above","Better",IF(J314="Below","Weaker","-"))</f>
        <v>Better</v>
      </c>
      <c r="L314" s="34" t="n">
        <f aca="false">IF(ISNUMBER(H314),RANK(H314,H$313:H$322,0),"-")</f>
        <v>4</v>
      </c>
      <c r="N314" s="34" t="str">
        <f aca="false">IF(AND(ISNUMBER(I314),ISNUMBER(I$325)),IF(I314&gt;I$325,"Above",IF(I314&lt;I$325,"Below","At")),"-")</f>
        <v>Above</v>
      </c>
      <c r="O314" s="34" t="str">
        <f aca="false">IF(N314="Above","Better",IF(N314="Below","Weaker","-"))</f>
        <v>Better</v>
      </c>
    </row>
    <row r="315" customFormat="false" ht="15" hidden="false" customHeight="false" outlineLevel="0" collapsed="false">
      <c r="A315" s="18" t="s">
        <v>112</v>
      </c>
      <c r="B315" s="20" t="n">
        <f aca="false">BlueDart!D100</f>
        <v>2.29195301761839</v>
      </c>
      <c r="C315" s="20" t="n">
        <f aca="false">BlueDart!E100</f>
        <v>7.10374042361424</v>
      </c>
      <c r="D315" s="20" t="n">
        <f aca="false">BlueDart!F100</f>
        <v>1.41724852215594</v>
      </c>
      <c r="E315" s="20" t="n">
        <f aca="false">BlueDart!G100</f>
        <v>12.7810022438295</v>
      </c>
      <c r="F315" s="20" t="n">
        <f aca="false">BlueDart!H100</f>
        <v>6.72102949566884</v>
      </c>
      <c r="G315" s="20" t="n">
        <f aca="false">BlueDart!I100</f>
        <v>4.79380905731085</v>
      </c>
      <c r="H315" s="20" t="n">
        <f aca="false">BlueDart!J100</f>
        <v>10.3877860812704</v>
      </c>
      <c r="I315" s="21" t="n">
        <f aca="false">BlueDart!K100</f>
        <v>6.49950983449545</v>
      </c>
      <c r="J315" s="34" t="str">
        <f aca="false">IF(AND(ISNUMBER(H315),ISNUMBER(H$325)),IF(H315&gt;H$325,"Above",IF(H315&lt;H$325,"Below","At")),"-")</f>
        <v>Above</v>
      </c>
      <c r="K315" s="34" t="str">
        <f aca="false">IF(J315="Above","Better",IF(J315="Below","Weaker","-"))</f>
        <v>Better</v>
      </c>
      <c r="L315" s="34" t="n">
        <f aca="false">IF(ISNUMBER(H315),RANK(H315,H$313:H$322,0),"-")</f>
        <v>3</v>
      </c>
      <c r="N315" s="34" t="str">
        <f aca="false">IF(AND(ISNUMBER(I315),ISNUMBER(I$325)),IF(I315&gt;I$325,"Above",IF(I315&lt;I$325,"Below","At")),"-")</f>
        <v>Above</v>
      </c>
      <c r="O315" s="34" t="str">
        <f aca="false">IF(N315="Above","Better",IF(N315="Below","Weaker","-"))</f>
        <v>Better</v>
      </c>
    </row>
    <row r="316" customFormat="false" ht="15" hidden="false" customHeight="false" outlineLevel="0" collapsed="false">
      <c r="A316" s="18" t="s">
        <v>67</v>
      </c>
      <c r="B316" s="20" t="n">
        <f aca="false">CONCOR!D100</f>
        <v>4.48861497573455</v>
      </c>
      <c r="C316" s="20" t="n">
        <f aca="false">CONCOR!E100</f>
        <v>27.690393918452</v>
      </c>
      <c r="D316" s="20" t="n">
        <f aca="false">CONCOR!F100</f>
        <v>27.2377466581795</v>
      </c>
      <c r="E316" s="20" t="n">
        <f aca="false">CONCOR!G100</f>
        <v>27.7605132962276</v>
      </c>
      <c r="F316" s="20" t="n">
        <f aca="false">CONCOR!H100</f>
        <v>25.0236999860588</v>
      </c>
      <c r="G316" s="20" t="n">
        <f aca="false">CONCOR!I100</f>
        <v>12.1327840840937</v>
      </c>
      <c r="H316" s="20" t="n">
        <f aca="false">CONCOR!J100</f>
        <v>24.0323443270088</v>
      </c>
      <c r="I316" s="21" t="n">
        <f aca="false">CONCOR!K100</f>
        <v>21.1951567493936</v>
      </c>
      <c r="J316" s="34" t="str">
        <f aca="false">IF(AND(ISNUMBER(H316),ISNUMBER(H$325)),IF(H316&gt;H$325,"Above",IF(H316&lt;H$325,"Below","At")),"-")</f>
        <v>Above</v>
      </c>
      <c r="K316" s="34" t="str">
        <f aca="false">IF(J316="Above","Better",IF(J316="Below","Weaker","-"))</f>
        <v>Better</v>
      </c>
      <c r="L316" s="34" t="n">
        <f aca="false">IF(ISNUMBER(H316),RANK(H316,H$313:H$322,0),"-")</f>
        <v>1</v>
      </c>
      <c r="N316" s="34" t="str">
        <f aca="false">IF(AND(ISNUMBER(I316),ISNUMBER(I$325)),IF(I316&gt;I$325,"Above",IF(I316&lt;I$325,"Below","At")),"-")</f>
        <v>Above</v>
      </c>
      <c r="O316" s="34" t="str">
        <f aca="false">IF(N316="Above","Better",IF(N316="Below","Weaker","-"))</f>
        <v>Better</v>
      </c>
    </row>
    <row r="317" customFormat="false" ht="15" hidden="false" customHeight="false" outlineLevel="0" collapsed="false">
      <c r="A317" s="18" t="s">
        <v>113</v>
      </c>
      <c r="B317" s="20" t="n">
        <f aca="false">JetFreight!D100</f>
        <v>1.1939736346516</v>
      </c>
      <c r="C317" s="20" t="n">
        <f aca="false">JetFreight!E100</f>
        <v>0.838207436700886</v>
      </c>
      <c r="D317" s="20" t="n">
        <f aca="false">JetFreight!F100</f>
        <v>-2.1980198019802</v>
      </c>
      <c r="E317" s="20" t="n">
        <f aca="false">JetFreight!G100</f>
        <v>-7.54851485148515</v>
      </c>
      <c r="F317" s="20" t="n">
        <f aca="false">JetFreight!H100</f>
        <v>1.5322434150772</v>
      </c>
      <c r="G317" s="20" t="n">
        <f aca="false">JetFreight!I100</f>
        <v>0.252173913043478</v>
      </c>
      <c r="H317" s="20" t="n">
        <f aca="false">JetFreight!J100</f>
        <v>-0.352857142857143</v>
      </c>
      <c r="I317" s="21" t="n">
        <f aca="false">JetFreight!K100</f>
        <v>-0.897541913835617</v>
      </c>
      <c r="J317" s="34" t="str">
        <f aca="false">IF(AND(ISNUMBER(H317),ISNUMBER(H$325)),IF(H317&gt;H$325,"Above",IF(H317&lt;H$325,"Below","At")),"-")</f>
        <v>Below</v>
      </c>
      <c r="K317" s="34" t="str">
        <f aca="false">IF(J317="Above","Better",IF(J317="Below","Weaker","-"))</f>
        <v>Weaker</v>
      </c>
      <c r="L317" s="34" t="n">
        <f aca="false">IF(ISNUMBER(H317),RANK(H317,H$313:H$322,0),"-")</f>
        <v>9</v>
      </c>
      <c r="N317" s="34" t="str">
        <f aca="false">IF(AND(ISNUMBER(I317),ISNUMBER(I$325)),IF(I317&gt;I$325,"Above",IF(I317&lt;I$325,"Below","At")),"-")</f>
        <v>Below</v>
      </c>
      <c r="O317" s="34" t="str">
        <f aca="false">IF(N317="Above","Better",IF(N317="Below","Weaker","-"))</f>
        <v>Weaker</v>
      </c>
    </row>
    <row r="318" customFormat="false" ht="15" hidden="false" customHeight="false" outlineLevel="0" collapsed="false">
      <c r="A318" s="18" t="s">
        <v>114</v>
      </c>
      <c r="B318" s="20" t="n">
        <f aca="false">Patel!D100</f>
        <v>-0.51981359981952</v>
      </c>
      <c r="C318" s="20" t="n">
        <f aca="false">Patel!E100</f>
        <v>0.628458498023715</v>
      </c>
      <c r="D318" s="20" t="n">
        <f aca="false">Patel!F100</f>
        <v>0.477463312368973</v>
      </c>
      <c r="E318" s="20" t="n">
        <f aca="false">Patel!G100</f>
        <v>-0.214518380642159</v>
      </c>
      <c r="F318" s="20" t="n">
        <f aca="false">Patel!H100</f>
        <v>1.24616146787654</v>
      </c>
      <c r="G318" s="20" t="n">
        <f aca="false">Patel!I100</f>
        <v>0.0763165278508278</v>
      </c>
      <c r="H318" s="20" t="n">
        <f aca="false">Patel!J100</f>
        <v>1.12627841604184</v>
      </c>
      <c r="I318" s="21" t="n">
        <f aca="false">Patel!K100</f>
        <v>0.402906605957175</v>
      </c>
      <c r="J318" s="34" t="str">
        <f aca="false">IF(AND(ISNUMBER(H318),ISNUMBER(H$325)),IF(H318&gt;H$325,"Above",IF(H318&lt;H$325,"Below","At")),"-")</f>
        <v>Above</v>
      </c>
      <c r="K318" s="34" t="str">
        <f aca="false">IF(J318="Above","Better",IF(J318="Below","Weaker","-"))</f>
        <v>Better</v>
      </c>
      <c r="L318" s="34" t="n">
        <f aca="false">IF(ISNUMBER(H318),RANK(H318,H$313:H$322,0),"-")</f>
        <v>5</v>
      </c>
      <c r="N318" s="34" t="str">
        <f aca="false">IF(AND(ISNUMBER(I318),ISNUMBER(I$325)),IF(I318&gt;I$325,"Above",IF(I318&lt;I$325,"Below","At")),"-")</f>
        <v>Below</v>
      </c>
      <c r="O318" s="34" t="str">
        <f aca="false">IF(N318="Above","Better",IF(N318="Below","Weaker","-"))</f>
        <v>Weaker</v>
      </c>
    </row>
    <row r="319" customFormat="false" ht="15" hidden="false" customHeight="false" outlineLevel="0" collapsed="false">
      <c r="A319" s="18" t="s">
        <v>115</v>
      </c>
      <c r="B319" s="20" t="n">
        <f aca="false">Sical!D100</f>
        <v>1.41890536760437</v>
      </c>
      <c r="C319" s="20" t="n">
        <f aca="false">Sical!E100</f>
        <v>1.04152069547165</v>
      </c>
      <c r="D319" s="20" t="n">
        <f aca="false">Sical!F100</f>
        <v>3.40815370196814</v>
      </c>
      <c r="E319" s="20" t="n">
        <f aca="false">Sical!G100</f>
        <v>0.00997550280681007</v>
      </c>
      <c r="F319" s="20" t="n">
        <f aca="false">Sical!H100</f>
        <v>0.31955079122001</v>
      </c>
      <c r="G319" s="20" t="n">
        <f aca="false">Sical!I100</f>
        <v>0.353294797687861</v>
      </c>
      <c r="H319" s="20" t="n">
        <f aca="false">Sical!J100</f>
        <v>0.280746490285397</v>
      </c>
      <c r="I319" s="21" t="n">
        <f aca="false">Sical!K100</f>
        <v>0.976021049577748</v>
      </c>
      <c r="J319" s="34" t="str">
        <f aca="false">IF(AND(ISNUMBER(H319),ISNUMBER(H$325)),IF(H319&gt;H$325,"Above",IF(H319&lt;H$325,"Below","At")),"-")</f>
        <v>Below</v>
      </c>
      <c r="K319" s="34" t="str">
        <f aca="false">IF(J319="Above","Better",IF(J319="Below","Weaker","-"))</f>
        <v>Weaker</v>
      </c>
      <c r="L319" s="34" t="n">
        <f aca="false">IF(ISNUMBER(H319),RANK(H319,H$313:H$322,0),"-")</f>
        <v>7</v>
      </c>
      <c r="N319" s="34" t="str">
        <f aca="false">IF(AND(ISNUMBER(I319),ISNUMBER(I$325)),IF(I319&gt;I$325,"Above",IF(I319&lt;I$325,"Below","At")),"-")</f>
        <v>Below</v>
      </c>
      <c r="O319" s="34" t="str">
        <f aca="false">IF(N319="Above","Better",IF(N319="Below","Weaker","-"))</f>
        <v>Weaker</v>
      </c>
    </row>
    <row r="320" customFormat="false" ht="15" hidden="false" customHeight="false" outlineLevel="0" collapsed="false">
      <c r="A320" s="18" t="s">
        <v>86</v>
      </c>
      <c r="B320" s="20" t="n">
        <f aca="false">TCI!D100</f>
        <v>2.94278987587614</v>
      </c>
      <c r="C320" s="20" t="n">
        <f aca="false">TCI!E100</f>
        <v>1.92129151026766</v>
      </c>
      <c r="D320" s="20" t="n">
        <f aca="false">TCI!F100</f>
        <v>1.69055868053088</v>
      </c>
      <c r="E320" s="20" t="n">
        <f aca="false">TCI!G100</f>
        <v>27.356712342699</v>
      </c>
      <c r="F320" s="20" t="n">
        <f aca="false">TCI!H100</f>
        <v>25.0896759608139</v>
      </c>
      <c r="G320" s="20" t="n">
        <f aca="false">TCI!I100</f>
        <v>19.969246031746</v>
      </c>
      <c r="H320" s="20" t="n">
        <f aca="false">TCI!J100</f>
        <v>21.2553751645459</v>
      </c>
      <c r="I320" s="21" t="n">
        <f aca="false">TCI!K100</f>
        <v>14.3179499380685</v>
      </c>
      <c r="J320" s="34" t="str">
        <f aca="false">IF(AND(ISNUMBER(H320),ISNUMBER(H$325)),IF(H320&gt;H$325,"Above",IF(H320&lt;H$325,"Below","At")),"-")</f>
        <v>Above</v>
      </c>
      <c r="K320" s="34" t="str">
        <f aca="false">IF(J320="Above","Better",IF(J320="Below","Weaker","-"))</f>
        <v>Better</v>
      </c>
      <c r="L320" s="34" t="n">
        <f aca="false">IF(ISNUMBER(H320),RANK(H320,H$313:H$322,0),"-")</f>
        <v>2</v>
      </c>
      <c r="N320" s="34" t="str">
        <f aca="false">IF(AND(ISNUMBER(I320),ISNUMBER(I$325)),IF(I320&gt;I$325,"Above",IF(I320&lt;I$325,"Below","At")),"-")</f>
        <v>Above</v>
      </c>
      <c r="O320" s="34" t="str">
        <f aca="false">IF(N320="Above","Better",IF(N320="Below","Weaker","-"))</f>
        <v>Better</v>
      </c>
    </row>
    <row r="321" customFormat="false" ht="15" hidden="false" customHeight="false" outlineLevel="0" collapsed="false">
      <c r="A321" s="18" t="s">
        <v>116</v>
      </c>
      <c r="B321" s="20" t="n">
        <f aca="false">Shreeji!D100</f>
        <v>1.55524079320113</v>
      </c>
      <c r="C321" s="20" t="n">
        <f aca="false">Shreeji!E100</f>
        <v>1.54869358669834</v>
      </c>
      <c r="D321" s="20" t="n">
        <f aca="false">Shreeji!F100</f>
        <v>1.12228662280572</v>
      </c>
      <c r="E321" s="20" t="n">
        <f aca="false">Shreeji!G100</f>
        <v>3.70080862533693</v>
      </c>
      <c r="F321" s="20" t="n">
        <f aca="false">Shreeji!H100</f>
        <v>1.19959677419355</v>
      </c>
      <c r="G321" s="20" t="n">
        <f aca="false">Shreeji!I100</f>
        <v>1.11021869556803</v>
      </c>
      <c r="H321" s="20" t="n">
        <f aca="false">Shreeji!J100</f>
        <v>0.169560975609756</v>
      </c>
      <c r="I321" s="21" t="n">
        <f aca="false">Shreeji!K100</f>
        <v>1.48662943905906</v>
      </c>
      <c r="J321" s="34" t="str">
        <f aca="false">IF(AND(ISNUMBER(H321),ISNUMBER(H$325)),IF(H321&gt;H$325,"Above",IF(H321&lt;H$325,"Below","At")),"-")</f>
        <v>Below</v>
      </c>
      <c r="K321" s="34" t="str">
        <f aca="false">IF(J321="Above","Better",IF(J321="Below","Weaker","-"))</f>
        <v>Weaker</v>
      </c>
      <c r="L321" s="34" t="n">
        <f aca="false">IF(ISNUMBER(H321),RANK(H321,H$313:H$322,0),"-")</f>
        <v>8</v>
      </c>
      <c r="N321" s="34" t="str">
        <f aca="false">IF(AND(ISNUMBER(I321),ISNUMBER(I$325)),IF(I321&gt;I$325,"Above",IF(I321&lt;I$325,"Below","At")),"-")</f>
        <v>Below</v>
      </c>
      <c r="O321" s="34" t="str">
        <f aca="false">IF(N321="Above","Better",IF(N321="Below","Weaker","-"))</f>
        <v>Weaker</v>
      </c>
    </row>
    <row r="322" customFormat="false" ht="15" hidden="false" customHeight="false" outlineLevel="0" collapsed="false">
      <c r="A322" s="18" t="s">
        <v>117</v>
      </c>
      <c r="B322" s="20" t="n">
        <f aca="false">MahindraLog!D100</f>
        <v>6.30289279636982</v>
      </c>
      <c r="C322" s="20" t="n">
        <f aca="false">MahindraLog!E100</f>
        <v>15.1174713787954</v>
      </c>
      <c r="D322" s="20" t="n">
        <f aca="false">MahindraLog!F100</f>
        <v>6.78169014084507</v>
      </c>
      <c r="E322" s="20" t="n">
        <f aca="false">MahindraLog!G100</f>
        <v>2.45336435912352</v>
      </c>
      <c r="F322" s="20" t="n">
        <f aca="false">MahindraLog!H100</f>
        <v>1.55008593174564</v>
      </c>
      <c r="G322" s="20" t="n">
        <f aca="false">MahindraLog!I100</f>
        <v>4.50067725649551</v>
      </c>
      <c r="H322" s="20" t="n">
        <f aca="false">MahindraLog!J100</f>
        <v>0.362392673422562</v>
      </c>
      <c r="I322" s="21" t="n">
        <f aca="false">MahindraLog!K100</f>
        <v>5.29551064811394</v>
      </c>
      <c r="J322" s="34" t="str">
        <f aca="false">IF(AND(ISNUMBER(H322),ISNUMBER(H$325)),IF(H322&gt;H$325,"Above",IF(H322&lt;H$325,"Below","At")),"-")</f>
        <v>Below</v>
      </c>
      <c r="K322" s="34" t="str">
        <f aca="false">IF(J322="Above","Better",IF(J322="Below","Weaker","-"))</f>
        <v>Weaker</v>
      </c>
      <c r="L322" s="34" t="n">
        <f aca="false">IF(ISNUMBER(H322),RANK(H322,H$313:H$322,0),"-")</f>
        <v>6</v>
      </c>
      <c r="N322" s="34" t="str">
        <f aca="false">IF(AND(ISNUMBER(I322),ISNUMBER(I$325)),IF(I322&gt;I$325,"Above",IF(I322&lt;I$325,"Below","At")),"-")</f>
        <v>Above</v>
      </c>
      <c r="O322" s="34" t="str">
        <f aca="false">IF(N322="Above","Better",IF(N322="Below","Weaker","-"))</f>
        <v>Better</v>
      </c>
    </row>
    <row r="323" customFormat="false" ht="15" hidden="false" customHeight="false" outlineLevel="0" collapsed="false">
      <c r="A323" s="12" t="s">
        <v>176</v>
      </c>
      <c r="B323" s="21" t="n">
        <f aca="false">Industry!D100</f>
        <v>3.55630675061965</v>
      </c>
      <c r="C323" s="21" t="str">
        <f aca="false">Industry!E100</f>
        <v>N/M</v>
      </c>
      <c r="D323" s="21" t="n">
        <f aca="false">Industry!F100</f>
        <v>3.68957912935199</v>
      </c>
      <c r="E323" s="21" t="n">
        <f aca="false">Industry!G100</f>
        <v>1.27755234498477</v>
      </c>
      <c r="F323" s="21" t="n">
        <f aca="false">Industry!H100</f>
        <v>5.18036642129631</v>
      </c>
      <c r="G323" s="21" t="n">
        <f aca="false">Industry!I100</f>
        <v>2.04471909325126</v>
      </c>
      <c r="H323" s="21" t="n">
        <f aca="false">Industry!J100</f>
        <v>4.02237166497444</v>
      </c>
      <c r="I323" s="21" t="n">
        <f aca="false">Industry!K100</f>
        <v>3.29514923407974</v>
      </c>
    </row>
    <row r="324" customFormat="false" ht="15" hidden="false" customHeight="false" outlineLevel="0" collapsed="false">
      <c r="A324" s="35" t="s">
        <v>177</v>
      </c>
      <c r="B324" s="37" t="n">
        <f aca="false">IFERROR(AVERAGE(B313:B322),"N/M")</f>
        <v>2.54306640864159</v>
      </c>
      <c r="C324" s="37" t="n">
        <f aca="false">IFERROR(AVERAGE(C313:C322),"N/M")</f>
        <v>5.97540174673118</v>
      </c>
      <c r="D324" s="37" t="n">
        <f aca="false">IFERROR(AVERAGE(D313:D322),"N/M")</f>
        <v>5.40916515127205</v>
      </c>
      <c r="E324" s="37" t="n">
        <f aca="false">IFERROR(AVERAGE(E313:E322),"N/M")</f>
        <v>9.16998664032462</v>
      </c>
      <c r="F324" s="37" t="n">
        <f aca="false">IFERROR(AVERAGE(F313:F322),"N/M")</f>
        <v>4.54178788595803</v>
      </c>
      <c r="G324" s="37" t="n">
        <f aca="false">IFERROR(AVERAGE(G313:G322),"N/M")</f>
        <v>4.06634764898965</v>
      </c>
      <c r="H324" s="37" t="n">
        <f aca="false">IFERROR(AVERAGE(H313:H322),"N/M")</f>
        <v>5.74288629119562</v>
      </c>
      <c r="I324" s="37" t="n">
        <f aca="false">IFERROR(AVERAGE(I313:I322),"N/M")</f>
        <v>5.34980596758753</v>
      </c>
    </row>
    <row r="325" customFormat="false" ht="15" hidden="false" customHeight="false" outlineLevel="0" collapsed="false">
      <c r="A325" s="35" t="s">
        <v>178</v>
      </c>
      <c r="B325" s="37" t="n">
        <f aca="false">IFERROR(MEDIAN(B313:B322),"N/M")</f>
        <v>1.92359690540976</v>
      </c>
      <c r="C325" s="37" t="n">
        <f aca="false">IFERROR(MEDIAN(C313:C322),"N/M")</f>
        <v>1.734992548483</v>
      </c>
      <c r="D325" s="37" t="n">
        <f aca="false">IFERROR(MEDIAN(D313:D322),"N/M")</f>
        <v>2.16763004628973</v>
      </c>
      <c r="E325" s="37" t="n">
        <f aca="false">IFERROR(MEDIAN(E313:E322),"N/M")</f>
        <v>3.07708649223022</v>
      </c>
      <c r="F325" s="37" t="n">
        <f aca="false">IFERROR(MEDIAN(F313:F322),"N/M")</f>
        <v>1.38920244147687</v>
      </c>
      <c r="G325" s="37" t="n">
        <f aca="false">IFERROR(MEDIAN(G313:G322),"N/M")</f>
        <v>0.731756746627945</v>
      </c>
      <c r="H325" s="37" t="n">
        <f aca="false">IFERROR(MEDIAN(H313:H322),"N/M")</f>
        <v>0.744335544732203</v>
      </c>
      <c r="I325" s="37" t="n">
        <f aca="false">IFERROR(MEDIAN(I313:I322),"N/M")</f>
        <v>2.31411671940598</v>
      </c>
    </row>
    <row r="326" customFormat="false" ht="15" hidden="false" customHeight="false" outlineLevel="0" collapsed="false">
      <c r="A326" s="35" t="s">
        <v>179</v>
      </c>
      <c r="B326" s="37" t="n">
        <f aca="false">IFERROR(STDEV(B313:B322),"N/M")</f>
        <v>2.18235851254799</v>
      </c>
      <c r="C326" s="37" t="n">
        <f aca="false">IFERROR(STDEV(C313:C322),"N/M")</f>
        <v>8.85548117865787</v>
      </c>
      <c r="D326" s="37" t="n">
        <f aca="false">IFERROR(STDEV(D313:D322),"N/M")</f>
        <v>8.54768860997423</v>
      </c>
      <c r="E326" s="37" t="n">
        <f aca="false">IFERROR(STDEV(E313:E322),"N/M")</f>
        <v>12.9509344530698</v>
      </c>
      <c r="F326" s="37" t="n">
        <f aca="false">IFERROR(STDEV(F313:F322),"N/M")</f>
        <v>12.3466557211674</v>
      </c>
      <c r="G326" s="37" t="n">
        <f aca="false">IFERROR(STDEV(G313:G322),"N/M")</f>
        <v>6.93411266344773</v>
      </c>
      <c r="H326" s="37" t="n">
        <f aca="false">IFERROR(STDEV(H313:H322),"N/M")</f>
        <v>9.52746949508945</v>
      </c>
      <c r="I326" s="37" t="n">
        <f aca="false">IFERROR(STDEV(I313:I322),"N/M")</f>
        <v>7.09841558405519</v>
      </c>
    </row>
    <row r="327" customFormat="false" ht="15" hidden="false" customHeight="false" outlineLevel="0" collapsed="false">
      <c r="A327" s="35" t="s">
        <v>102</v>
      </c>
      <c r="B327" s="37" t="n">
        <f aca="false">IFERROR(MIN(B313:B322),"N/M")</f>
        <v>-0.51981359981952</v>
      </c>
      <c r="C327" s="37" t="n">
        <f aca="false">IFERROR(MIN(C313:C322),"N/M")</f>
        <v>0.628458498023715</v>
      </c>
      <c r="D327" s="37" t="n">
        <f aca="false">IFERROR(MIN(D313:D322),"N/M")</f>
        <v>-2.1980198019802</v>
      </c>
      <c r="E327" s="37" t="n">
        <f aca="false">IFERROR(MIN(E313:E322),"N/M")</f>
        <v>-7.54851485148515</v>
      </c>
      <c r="F327" s="37" t="n">
        <f aca="false">IFERROR(MIN(F313:F322),"N/M")</f>
        <v>-16.3947368421053</v>
      </c>
      <c r="G327" s="37" t="n">
        <f aca="false">IFERROR(MIN(G313:G322),"N/M")</f>
        <v>-2.72238805970149</v>
      </c>
      <c r="H327" s="37" t="n">
        <f aca="false">IFERROR(MIN(H313:H322),"N/M")</f>
        <v>-1.89943074003795</v>
      </c>
      <c r="I327" s="37" t="n">
        <f aca="false">IFERROR(MIN(I313:I322),"N/M")</f>
        <v>-0.897541913835617</v>
      </c>
    </row>
    <row r="328" customFormat="false" ht="15" hidden="false" customHeight="false" outlineLevel="0" collapsed="false">
      <c r="A328" s="35" t="s">
        <v>103</v>
      </c>
      <c r="B328" s="37" t="n">
        <f aca="false">IFERROR(MAX(B313:B322),"N/M")</f>
        <v>6.30289279636982</v>
      </c>
      <c r="C328" s="37" t="n">
        <f aca="false">IFERROR(MAX(C313:C322),"N/M")</f>
        <v>27.690393918452</v>
      </c>
      <c r="D328" s="37" t="n">
        <f aca="false">IFERROR(MAX(D313:D322),"N/M")</f>
        <v>27.2377466581795</v>
      </c>
      <c r="E328" s="37" t="n">
        <f aca="false">IFERROR(MAX(E313:E322),"N/M")</f>
        <v>27.7605132962276</v>
      </c>
      <c r="F328" s="37" t="n">
        <f aca="false">IFERROR(MAX(F313:F322),"N/M")</f>
        <v>25.0896759608139</v>
      </c>
      <c r="G328" s="37" t="n">
        <f aca="false">IFERROR(MAX(G313:G322),"N/M")</f>
        <v>19.969246031746</v>
      </c>
      <c r="H328" s="37" t="n">
        <f aca="false">IFERROR(MAX(H313:H322),"N/M")</f>
        <v>24.0323443270088</v>
      </c>
      <c r="I328" s="37" t="n">
        <f aca="false">IFERROR(MAX(I313:I322),"N/M")</f>
        <v>21.1951567493936</v>
      </c>
    </row>
    <row r="330" customFormat="false" ht="15" hidden="false" customHeight="false" outlineLevel="0" collapsed="false">
      <c r="A330" s="16" t="s">
        <v>197</v>
      </c>
      <c r="B330" s="17"/>
      <c r="C330" s="17"/>
      <c r="D330" s="17"/>
      <c r="E330" s="17"/>
      <c r="F330" s="17"/>
      <c r="G330" s="17"/>
      <c r="H330" s="17"/>
      <c r="I330" s="17"/>
      <c r="J330" s="17"/>
      <c r="K330" s="17"/>
      <c r="L330" s="17"/>
      <c r="M330" s="17"/>
    </row>
    <row r="331" customFormat="false" ht="15" hidden="false" customHeight="false" outlineLevel="0" collapsed="false">
      <c r="A331" s="18" t="s">
        <v>110</v>
      </c>
      <c r="B331" s="20" t="n">
        <f aca="false">Tiger!D101</f>
        <v>17.6666666666666</v>
      </c>
      <c r="C331" s="20" t="str">
        <f aca="false">Tiger!E101</f>
        <v>N/M</v>
      </c>
      <c r="D331" s="20" t="n">
        <f aca="false">Tiger!F101</f>
        <v>1473.99999999998</v>
      </c>
      <c r="E331" s="20" t="n">
        <f aca="false">Tiger!G101</f>
        <v>38.3863636363636</v>
      </c>
      <c r="F331" s="20" t="n">
        <f aca="false">Tiger!H101</f>
        <v>-7.41379310344827</v>
      </c>
      <c r="G331" s="20" t="n">
        <f aca="false">Tiger!I101</f>
        <v>-26.3768115942029</v>
      </c>
      <c r="H331" s="20" t="n">
        <f aca="false">Tiger!J101</f>
        <v>-9.32275132275133</v>
      </c>
      <c r="I331" s="21" t="n">
        <f aca="false">Tiger!K101</f>
        <v>247.823279047101</v>
      </c>
      <c r="J331" s="34" t="str">
        <f aca="false">IF(AND(ISNUMBER(H331),ISNUMBER(H$343)),IF(H331&gt;H$343,"Above",IF(H331&lt;H$343,"Below","At")),"-")</f>
        <v>Below</v>
      </c>
      <c r="K331" s="34" t="str">
        <f aca="false">IF(J331="Above","Better",IF(J331="Below","Weaker","-"))</f>
        <v>Weaker</v>
      </c>
      <c r="L331" s="34" t="n">
        <f aca="false">IF(ISNUMBER(H331),RANK(H331,H$331:H$340,0),"-")</f>
        <v>8</v>
      </c>
      <c r="N331" s="34" t="str">
        <f aca="false">IF(AND(ISNUMBER(I331),ISNUMBER(I$343)),IF(I331&gt;I$343,"Above",IF(I331&lt;I$343,"Below","At")),"-")</f>
        <v>Above</v>
      </c>
      <c r="O331" s="34" t="str">
        <f aca="false">IF(N331="Above","Better",IF(N331="Below","Weaker","-"))</f>
        <v>Better</v>
      </c>
    </row>
    <row r="332" customFormat="false" ht="15" hidden="false" customHeight="false" outlineLevel="0" collapsed="false">
      <c r="A332" s="18" t="s">
        <v>111</v>
      </c>
      <c r="B332" s="20" t="n">
        <f aca="false">Allcargo!D101</f>
        <v>0.451846508535947</v>
      </c>
      <c r="C332" s="20" t="n">
        <f aca="false">Allcargo!E101</f>
        <v>0.266788025889968</v>
      </c>
      <c r="D332" s="20" t="n">
        <f aca="false">Allcargo!F101</f>
        <v>1.50486673981524</v>
      </c>
      <c r="E332" s="20" t="str">
        <f aca="false">Allcargo!G101</f>
        <v>N/M</v>
      </c>
      <c r="F332" s="20" t="n">
        <f aca="false">Allcargo!H101</f>
        <v>-0.128519900168444</v>
      </c>
      <c r="G332" s="20" t="str">
        <f aca="false">Allcargo!I101</f>
        <v>N/M</v>
      </c>
      <c r="H332" s="20" t="n">
        <f aca="false">Allcargo!J101</f>
        <v>1.37719298245614</v>
      </c>
      <c r="I332" s="21" t="n">
        <f aca="false">Allcargo!K101</f>
        <v>0.69443487130577</v>
      </c>
      <c r="J332" s="34" t="str">
        <f aca="false">IF(AND(ISNUMBER(H332),ISNUMBER(H$343)),IF(H332&gt;H$343,"Above",IF(H332&lt;H$343,"Below","At")),"-")</f>
        <v>Above</v>
      </c>
      <c r="K332" s="34" t="str">
        <f aca="false">IF(J332="Above","Better",IF(J332="Below","Weaker","-"))</f>
        <v>Better</v>
      </c>
      <c r="L332" s="34" t="n">
        <f aca="false">IF(ISNUMBER(H332),RANK(H332,H$331:H$340,0),"-")</f>
        <v>3</v>
      </c>
      <c r="N332" s="34" t="str">
        <f aca="false">IF(AND(ISNUMBER(I332),ISNUMBER(I$343)),IF(I332&gt;I$343,"Above",IF(I332&lt;I$343,"Below","At")),"-")</f>
        <v>Below</v>
      </c>
      <c r="O332" s="34" t="str">
        <f aca="false">IF(N332="Above","Better",IF(N332="Below","Weaker","-"))</f>
        <v>Weaker</v>
      </c>
    </row>
    <row r="333" customFormat="false" ht="15" hidden="false" customHeight="false" outlineLevel="0" collapsed="false">
      <c r="A333" s="18" t="s">
        <v>112</v>
      </c>
      <c r="B333" s="20" t="n">
        <f aca="false">BlueDart!D101</f>
        <v>0.283283540285688</v>
      </c>
      <c r="C333" s="20" t="n">
        <f aca="false">BlueDart!E101</f>
        <v>2.22704467864034</v>
      </c>
      <c r="D333" s="20" t="n">
        <f aca="false">BlueDart!F101</f>
        <v>2.76007190780392</v>
      </c>
      <c r="E333" s="20" t="n">
        <f aca="false">BlueDart!G101</f>
        <v>0.937625912456503</v>
      </c>
      <c r="F333" s="20" t="n">
        <f aca="false">BlueDart!H101</f>
        <v>1.86784170122651</v>
      </c>
      <c r="G333" s="20" t="n">
        <f aca="false">BlueDart!I101</f>
        <v>1.53447304151794</v>
      </c>
      <c r="H333" s="20" t="n">
        <f aca="false">BlueDart!J101</f>
        <v>1.14469576028142</v>
      </c>
      <c r="I333" s="21" t="n">
        <f aca="false">BlueDart!K101</f>
        <v>1.53643379174462</v>
      </c>
      <c r="J333" s="34" t="str">
        <f aca="false">IF(AND(ISNUMBER(H333),ISNUMBER(H$343)),IF(H333&gt;H$343,"Above",IF(H333&lt;H$343,"Below","At")),"-")</f>
        <v>Below</v>
      </c>
      <c r="K333" s="34" t="str">
        <f aca="false">IF(J333="Above","Better",IF(J333="Below","Weaker","-"))</f>
        <v>Weaker</v>
      </c>
      <c r="L333" s="34" t="n">
        <f aca="false">IF(ISNUMBER(H333),RANK(H333,H$331:H$340,0),"-")</f>
        <v>5</v>
      </c>
      <c r="N333" s="34" t="str">
        <f aca="false">IF(AND(ISNUMBER(I333),ISNUMBER(I$343)),IF(I333&gt;I$343,"Above",IF(I333&lt;I$343,"Below","At")),"-")</f>
        <v>Below</v>
      </c>
      <c r="O333" s="34" t="str">
        <f aca="false">IF(N333="Above","Better",IF(N333="Below","Weaker","-"))</f>
        <v>Weaker</v>
      </c>
    </row>
    <row r="334" customFormat="false" ht="15" hidden="false" customHeight="false" outlineLevel="0" collapsed="false">
      <c r="A334" s="18" t="s">
        <v>67</v>
      </c>
      <c r="B334" s="20" t="n">
        <f aca="false">CONCOR!D101</f>
        <v>2.60550553532455</v>
      </c>
      <c r="C334" s="20" t="n">
        <f aca="false">CONCOR!E101</f>
        <v>1.21388633307382</v>
      </c>
      <c r="D334" s="20" t="n">
        <f aca="false">CONCOR!F101</f>
        <v>3.01415270838378</v>
      </c>
      <c r="E334" s="20" t="n">
        <f aca="false">CONCOR!G101</f>
        <v>2.5454561914936</v>
      </c>
      <c r="F334" s="20" t="n">
        <f aca="false">CONCOR!H101</f>
        <v>1.29937581298721</v>
      </c>
      <c r="G334" s="20" t="n">
        <f aca="false">CONCOR!I101</f>
        <v>1.54662353270741</v>
      </c>
      <c r="H334" s="20" t="n">
        <f aca="false">CONCOR!J101</f>
        <v>1.17509533285237</v>
      </c>
      <c r="I334" s="21" t="n">
        <f aca="false">CONCOR!K101</f>
        <v>1.91429934954611</v>
      </c>
      <c r="J334" s="34" t="str">
        <f aca="false">IF(AND(ISNUMBER(H334),ISNUMBER(H$343)),IF(H334&gt;H$343,"Above",IF(H334&lt;H$343,"Below","At")),"-")</f>
        <v>Above</v>
      </c>
      <c r="K334" s="34" t="str">
        <f aca="false">IF(J334="Above","Better",IF(J334="Below","Weaker","-"))</f>
        <v>Better</v>
      </c>
      <c r="L334" s="34" t="n">
        <f aca="false">IF(ISNUMBER(H334),RANK(H334,H$331:H$340,0),"-")</f>
        <v>4</v>
      </c>
      <c r="N334" s="34" t="str">
        <f aca="false">IF(AND(ISNUMBER(I334),ISNUMBER(I$343)),IF(I334&gt;I$343,"Above",IF(I334&lt;I$343,"Below","At")),"-")</f>
        <v>Above</v>
      </c>
      <c r="O334" s="34" t="str">
        <f aca="false">IF(N334="Above","Better",IF(N334="Below","Weaker","-"))</f>
        <v>Better</v>
      </c>
    </row>
    <row r="335" customFormat="false" ht="15" hidden="false" customHeight="false" outlineLevel="0" collapsed="false">
      <c r="A335" s="18" t="s">
        <v>113</v>
      </c>
      <c r="B335" s="20" t="n">
        <f aca="false">JetFreight!D101</f>
        <v>12.4174757281553</v>
      </c>
      <c r="C335" s="20" t="n">
        <f aca="false">JetFreight!E101</f>
        <v>0.637179487179487</v>
      </c>
      <c r="D335" s="20" t="n">
        <f aca="false">JetFreight!F101</f>
        <v>-1.97383177570093</v>
      </c>
      <c r="E335" s="20" t="n">
        <f aca="false">JetFreight!G101</f>
        <v>-17.6863636363636</v>
      </c>
      <c r="F335" s="20" t="str">
        <f aca="false">JetFreight!H101</f>
        <v>N/M</v>
      </c>
      <c r="G335" s="20" t="n">
        <f aca="false">JetFreight!I101</f>
        <v>-0.651162790697674</v>
      </c>
      <c r="H335" s="20" t="str">
        <f aca="false">JetFreight!J101</f>
        <v>N/M</v>
      </c>
      <c r="I335" s="21" t="n">
        <f aca="false">JetFreight!K101</f>
        <v>-1.45134059748548</v>
      </c>
      <c r="J335" s="34" t="str">
        <f aca="false">IF(AND(ISNUMBER(H335),ISNUMBER(H$343)),IF(H335&gt;H$343,"Above",IF(H335&lt;H$343,"Below","At")),"-")</f>
        <v>-</v>
      </c>
      <c r="K335" s="34" t="str">
        <f aca="false">IF(J335="Above","Better",IF(J335="Below","Weaker","-"))</f>
        <v>-</v>
      </c>
      <c r="L335" s="34" t="str">
        <f aca="false">IF(ISNUMBER(H335),RANK(H335,H$331:H$340,0),"-")</f>
        <v>-</v>
      </c>
      <c r="N335" s="34" t="str">
        <f aca="false">IF(AND(ISNUMBER(I335),ISNUMBER(I$343)),IF(I335&gt;I$343,"Above",IF(I335&lt;I$343,"Below","At")),"-")</f>
        <v>Below</v>
      </c>
      <c r="O335" s="34" t="str">
        <f aca="false">IF(N335="Above","Better",IF(N335="Below","Weaker","-"))</f>
        <v>Weaker</v>
      </c>
    </row>
    <row r="336" customFormat="false" ht="15" hidden="false" customHeight="false" outlineLevel="0" collapsed="false">
      <c r="A336" s="18" t="s">
        <v>114</v>
      </c>
      <c r="B336" s="20" t="str">
        <f aca="false">Patel!D101</f>
        <v>N/M</v>
      </c>
      <c r="C336" s="20" t="n">
        <f aca="false">Patel!E101</f>
        <v>1.5016501650165</v>
      </c>
      <c r="D336" s="20" t="n">
        <f aca="false">Patel!F101</f>
        <v>1.58578856152513</v>
      </c>
      <c r="E336" s="20" t="n">
        <f aca="false">Patel!G101</f>
        <v>-3.92792792792794</v>
      </c>
      <c r="F336" s="20" t="str">
        <f aca="false">Patel!H101</f>
        <v>N/M</v>
      </c>
      <c r="G336" s="20" t="n">
        <f aca="false">Patel!I101</f>
        <v>0.709677419354837</v>
      </c>
      <c r="H336" s="20" t="n">
        <f aca="false">Patel!J101</f>
        <v>6.23622047244095</v>
      </c>
      <c r="I336" s="21" t="n">
        <f aca="false">Patel!K101</f>
        <v>1.2210817380819</v>
      </c>
      <c r="J336" s="34" t="str">
        <f aca="false">IF(AND(ISNUMBER(H336),ISNUMBER(H$343)),IF(H336&gt;H$343,"Above",IF(H336&lt;H$343,"Below","At")),"-")</f>
        <v>Above</v>
      </c>
      <c r="K336" s="34" t="str">
        <f aca="false">IF(J336="Above","Better",IF(J336="Below","Weaker","-"))</f>
        <v>Better</v>
      </c>
      <c r="L336" s="34" t="n">
        <f aca="false">IF(ISNUMBER(H336),RANK(H336,H$331:H$340,0),"-")</f>
        <v>2</v>
      </c>
      <c r="N336" s="34" t="str">
        <f aca="false">IF(AND(ISNUMBER(I336),ISNUMBER(I$343)),IF(I336&gt;I$343,"Above",IF(I336&lt;I$343,"Below","At")),"-")</f>
        <v>Below</v>
      </c>
      <c r="O336" s="34" t="str">
        <f aca="false">IF(N336="Above","Better",IF(N336="Below","Weaker","-"))</f>
        <v>Weaker</v>
      </c>
    </row>
    <row r="337" customFormat="false" ht="15" hidden="false" customHeight="false" outlineLevel="0" collapsed="false">
      <c r="A337" s="18" t="s">
        <v>115</v>
      </c>
      <c r="B337" s="20" t="n">
        <f aca="false">Sical!D101</f>
        <v>0.782249217349423</v>
      </c>
      <c r="C337" s="20" t="str">
        <f aca="false">Sical!E101</f>
        <v>N/M</v>
      </c>
      <c r="D337" s="20" t="n">
        <f aca="false">Sical!F101</f>
        <v>6.9865563598759</v>
      </c>
      <c r="E337" s="20" t="str">
        <f aca="false">Sical!G101</f>
        <v>N/M</v>
      </c>
      <c r="F337" s="20" t="n">
        <f aca="false">Sical!H101</f>
        <v>0.765325670498084</v>
      </c>
      <c r="G337" s="20" t="n">
        <f aca="false">Sical!I101</f>
        <v>0.160916767189385</v>
      </c>
      <c r="H337" s="20" t="str">
        <f aca="false">Sical!J101</f>
        <v>N/M</v>
      </c>
      <c r="I337" s="21" t="n">
        <f aca="false">Sical!K101</f>
        <v>2.1737620037282</v>
      </c>
      <c r="J337" s="34" t="str">
        <f aca="false">IF(AND(ISNUMBER(H337),ISNUMBER(H$343)),IF(H337&gt;H$343,"Above",IF(H337&lt;H$343,"Below","At")),"-")</f>
        <v>-</v>
      </c>
      <c r="K337" s="34" t="str">
        <f aca="false">IF(J337="Above","Better",IF(J337="Below","Weaker","-"))</f>
        <v>-</v>
      </c>
      <c r="L337" s="34" t="str">
        <f aca="false">IF(ISNUMBER(H337),RANK(H337,H$331:H$340,0),"-")</f>
        <v>-</v>
      </c>
      <c r="N337" s="34" t="str">
        <f aca="false">IF(AND(ISNUMBER(I337),ISNUMBER(I$343)),IF(I337&gt;I$343,"Above",IF(I337&lt;I$343,"Below","At")),"-")</f>
        <v>Above</v>
      </c>
      <c r="O337" s="34" t="str">
        <f aca="false">IF(N337="Above","Better",IF(N337="Below","Weaker","-"))</f>
        <v>Better</v>
      </c>
    </row>
    <row r="338" customFormat="false" ht="15" hidden="false" customHeight="false" outlineLevel="0" collapsed="false">
      <c r="A338" s="18" t="s">
        <v>86</v>
      </c>
      <c r="B338" s="20" t="n">
        <f aca="false">TCI!D101</f>
        <v>1.67496723460026</v>
      </c>
      <c r="C338" s="20" t="n">
        <f aca="false">TCI!E101</f>
        <v>2.78639356254572</v>
      </c>
      <c r="D338" s="20" t="n">
        <f aca="false">TCI!F101</f>
        <v>3.2910928277589</v>
      </c>
      <c r="E338" s="20" t="n">
        <f aca="false">TCI!G101</f>
        <v>2.77415384615385</v>
      </c>
      <c r="F338" s="20" t="n">
        <f aca="false">TCI!H101</f>
        <v>1.06157120056748</v>
      </c>
      <c r="G338" s="20" t="n">
        <f aca="false">TCI!I101</f>
        <v>0.981983706052819</v>
      </c>
      <c r="H338" s="20" t="n">
        <f aca="false">TCI!J101</f>
        <v>0.999685060625829</v>
      </c>
      <c r="I338" s="21" t="n">
        <f aca="false">TCI!K101</f>
        <v>1.93854963404355</v>
      </c>
      <c r="J338" s="34" t="str">
        <f aca="false">IF(AND(ISNUMBER(H338),ISNUMBER(H$343)),IF(H338&gt;H$343,"Above",IF(H338&lt;H$343,"Below","At")),"-")</f>
        <v>Below</v>
      </c>
      <c r="K338" s="34" t="str">
        <f aca="false">IF(J338="Above","Better",IF(J338="Below","Weaker","-"))</f>
        <v>Weaker</v>
      </c>
      <c r="L338" s="34" t="n">
        <f aca="false">IF(ISNUMBER(H338),RANK(H338,H$331:H$340,0),"-")</f>
        <v>6</v>
      </c>
      <c r="N338" s="34" t="str">
        <f aca="false">IF(AND(ISNUMBER(I338),ISNUMBER(I$343)),IF(I338&gt;I$343,"Above",IF(I338&lt;I$343,"Below","At")),"-")</f>
        <v>Above</v>
      </c>
      <c r="O338" s="34" t="str">
        <f aca="false">IF(N338="Above","Better",IF(N338="Below","Weaker","-"))</f>
        <v>Better</v>
      </c>
    </row>
    <row r="339" customFormat="false" ht="15" hidden="false" customHeight="false" outlineLevel="0" collapsed="false">
      <c r="A339" s="18" t="s">
        <v>116</v>
      </c>
      <c r="B339" s="20" t="n">
        <f aca="false">Shreeji!D101</f>
        <v>0.43510054844607</v>
      </c>
      <c r="C339" s="20" t="n">
        <f aca="false">Shreeji!E101</f>
        <v>2.30685920577617</v>
      </c>
      <c r="D339" s="20" t="str">
        <f aca="false">Shreeji!F101</f>
        <v>N/M</v>
      </c>
      <c r="E339" s="20" t="n">
        <f aca="false">Shreeji!G101</f>
        <v>0.999005964214712</v>
      </c>
      <c r="F339" s="20" t="n">
        <f aca="false">Shreeji!H101</f>
        <v>0.0748815165876777</v>
      </c>
      <c r="G339" s="20" t="n">
        <f aca="false">Shreeji!I101</f>
        <v>25.8571428571428</v>
      </c>
      <c r="H339" s="20" t="n">
        <f aca="false">Shreeji!J101</f>
        <v>9.83333333333296</v>
      </c>
      <c r="I339" s="21" t="n">
        <f aca="false">Shreeji!K101</f>
        <v>6.58438723758341</v>
      </c>
      <c r="J339" s="34" t="str">
        <f aca="false">IF(AND(ISNUMBER(H339),ISNUMBER(H$343)),IF(H339&gt;H$343,"Above",IF(H339&lt;H$343,"Below","At")),"-")</f>
        <v>Above</v>
      </c>
      <c r="K339" s="34" t="str">
        <f aca="false">IF(J339="Above","Better",IF(J339="Below","Weaker","-"))</f>
        <v>Better</v>
      </c>
      <c r="L339" s="34" t="n">
        <f aca="false">IF(ISNUMBER(H339),RANK(H339,H$331:H$340,0),"-")</f>
        <v>1</v>
      </c>
      <c r="N339" s="34" t="str">
        <f aca="false">IF(AND(ISNUMBER(I339),ISNUMBER(I$343)),IF(I339&gt;I$343,"Above",IF(I339&lt;I$343,"Below","At")),"-")</f>
        <v>Above</v>
      </c>
      <c r="O339" s="34" t="str">
        <f aca="false">IF(N339="Above","Better",IF(N339="Below","Weaker","-"))</f>
        <v>Better</v>
      </c>
    </row>
    <row r="340" customFormat="false" ht="15" hidden="false" customHeight="false" outlineLevel="0" collapsed="false">
      <c r="A340" s="18" t="s">
        <v>117</v>
      </c>
      <c r="B340" s="20" t="n">
        <f aca="false">MahindraLog!D101</f>
        <v>0.347737547346556</v>
      </c>
      <c r="C340" s="20" t="n">
        <f aca="false">MahindraLog!E101</f>
        <v>1.41585113050186</v>
      </c>
      <c r="D340" s="20" t="n">
        <f aca="false">MahindraLog!F101</f>
        <v>0.653347473572577</v>
      </c>
      <c r="E340" s="20" t="n">
        <f aca="false">MahindraLog!G101</f>
        <v>0.234766707957294</v>
      </c>
      <c r="F340" s="20" t="n">
        <f aca="false">MahindraLog!H101</f>
        <v>0.99517459203369</v>
      </c>
      <c r="G340" s="20" t="n">
        <f aca="false">MahindraLog!I101</f>
        <v>0.982703817187366</v>
      </c>
      <c r="H340" s="20" t="n">
        <f aca="false">MahindraLog!J101</f>
        <v>0.534669955516202</v>
      </c>
      <c r="I340" s="21" t="n">
        <f aca="false">MahindraLog!K101</f>
        <v>0.737750174873649</v>
      </c>
      <c r="J340" s="34" t="str">
        <f aca="false">IF(AND(ISNUMBER(H340),ISNUMBER(H$343)),IF(H340&gt;H$343,"Above",IF(H340&lt;H$343,"Below","At")),"-")</f>
        <v>Below</v>
      </c>
      <c r="K340" s="34" t="str">
        <f aca="false">IF(J340="Above","Better",IF(J340="Below","Weaker","-"))</f>
        <v>Weaker</v>
      </c>
      <c r="L340" s="34" t="n">
        <f aca="false">IF(ISNUMBER(H340),RANK(H340,H$331:H$340,0),"-")</f>
        <v>7</v>
      </c>
      <c r="N340" s="34" t="str">
        <f aca="false">IF(AND(ISNUMBER(I340),ISNUMBER(I$343)),IF(I340&gt;I$343,"Above",IF(I340&lt;I$343,"Below","At")),"-")</f>
        <v>Below</v>
      </c>
      <c r="O340" s="34" t="str">
        <f aca="false">IF(N340="Above","Better",IF(N340="Below","Weaker","-"))</f>
        <v>Weaker</v>
      </c>
    </row>
    <row r="341" customFormat="false" ht="15" hidden="false" customHeight="false" outlineLevel="0" collapsed="false">
      <c r="A341" s="12" t="s">
        <v>176</v>
      </c>
      <c r="B341" s="21" t="n">
        <f aca="false">Industry!D101</f>
        <v>1.26875089306168</v>
      </c>
      <c r="C341" s="21" t="n">
        <f aca="false">Industry!E101</f>
        <v>1.57709155688396</v>
      </c>
      <c r="D341" s="21" t="n">
        <f aca="false">Industry!F101</f>
        <v>2.13960234104755</v>
      </c>
      <c r="E341" s="21" t="n">
        <f aca="false">Industry!G101</f>
        <v>10.7503475619175</v>
      </c>
      <c r="F341" s="21" t="n">
        <f aca="false">Industry!H101</f>
        <v>0.828013454900643</v>
      </c>
      <c r="G341" s="21" t="n">
        <f aca="false">Industry!I101</f>
        <v>6.99487367264738</v>
      </c>
      <c r="H341" s="21" t="n">
        <f aca="false">Industry!J101</f>
        <v>1.0893440644913</v>
      </c>
      <c r="I341" s="21" t="n">
        <f aca="false">Industry!K101</f>
        <v>3.52114622070715</v>
      </c>
    </row>
    <row r="342" customFormat="false" ht="15" hidden="false" customHeight="false" outlineLevel="0" collapsed="false">
      <c r="A342" s="35" t="s">
        <v>177</v>
      </c>
      <c r="B342" s="37" t="n">
        <f aca="false">IFERROR(AVERAGE(B331:B340),"N/M")</f>
        <v>4.0738702807456</v>
      </c>
      <c r="C342" s="37" t="n">
        <f aca="false">IFERROR(AVERAGE(C331:C340),"N/M")</f>
        <v>1.54445657357798</v>
      </c>
      <c r="D342" s="37" t="n">
        <f aca="false">IFERROR(AVERAGE(D331:D340),"N/M")</f>
        <v>165.758004978112</v>
      </c>
      <c r="E342" s="37" t="n">
        <f aca="false">IFERROR(AVERAGE(E331:E340),"N/M")</f>
        <v>3.0328850867935</v>
      </c>
      <c r="F342" s="37" t="n">
        <f aca="false">IFERROR(AVERAGE(F331:F340),"N/M")</f>
        <v>-0.184767813714509</v>
      </c>
      <c r="G342" s="37" t="n">
        <f aca="false">IFERROR(AVERAGE(G331:G340),"N/M")</f>
        <v>0.527282972916892</v>
      </c>
      <c r="H342" s="37" t="n">
        <f aca="false">IFERROR(AVERAGE(H331:H340),"N/M")</f>
        <v>1.49726769684432</v>
      </c>
      <c r="I342" s="37" t="n">
        <f aca="false">IFERROR(AVERAGE(I331:I340),"N/M")</f>
        <v>26.3172637250523</v>
      </c>
    </row>
    <row r="343" customFormat="false" ht="15" hidden="false" customHeight="false" outlineLevel="0" collapsed="false">
      <c r="A343" s="35" t="s">
        <v>178</v>
      </c>
      <c r="B343" s="37" t="n">
        <f aca="false">IFERROR(MEDIAN(B331:B340),"N/M")</f>
        <v>0.782249217349423</v>
      </c>
      <c r="C343" s="37" t="n">
        <f aca="false">IFERROR(MEDIAN(C331:C340),"N/M")</f>
        <v>1.45875064775918</v>
      </c>
      <c r="D343" s="37" t="n">
        <f aca="false">IFERROR(MEDIAN(D331:D340),"N/M")</f>
        <v>2.76007190780392</v>
      </c>
      <c r="E343" s="37" t="n">
        <f aca="false">IFERROR(MEDIAN(E331:E340),"N/M")</f>
        <v>0.968315938335607</v>
      </c>
      <c r="F343" s="37" t="n">
        <f aca="false">IFERROR(MEDIAN(F331:F340),"N/M")</f>
        <v>0.880250131265887</v>
      </c>
      <c r="G343" s="37" t="n">
        <f aca="false">IFERROR(MEDIAN(G331:G340),"N/M")</f>
        <v>0.981983706052819</v>
      </c>
      <c r="H343" s="37" t="n">
        <f aca="false">IFERROR(MEDIAN(H331:H340),"N/M")</f>
        <v>1.1598955465669</v>
      </c>
      <c r="I343" s="37" t="n">
        <f aca="false">IFERROR(MEDIAN(I331:I340),"N/M")</f>
        <v>1.72536657064536</v>
      </c>
    </row>
    <row r="344" customFormat="false" ht="15" hidden="false" customHeight="false" outlineLevel="0" collapsed="false">
      <c r="A344" s="35" t="s">
        <v>179</v>
      </c>
      <c r="B344" s="37" t="n">
        <f aca="false">IFERROR(STDEV(B331:B340),"N/M")</f>
        <v>6.40056423178414</v>
      </c>
      <c r="C344" s="37" t="n">
        <f aca="false">IFERROR(STDEV(C331:C340),"N/M")</f>
        <v>0.859636870269424</v>
      </c>
      <c r="D344" s="37" t="n">
        <f aca="false">IFERROR(STDEV(D331:D340),"N/M")</f>
        <v>490.596575949927</v>
      </c>
      <c r="E344" s="37" t="n">
        <f aca="false">IFERROR(STDEV(E331:E340),"N/M")</f>
        <v>15.7854788676656</v>
      </c>
      <c r="F344" s="37" t="n">
        <f aca="false">IFERROR(STDEV(F331:F340),"N/M")</f>
        <v>2.99030765296741</v>
      </c>
      <c r="G344" s="37" t="n">
        <f aca="false">IFERROR(STDEV(G331:G340),"N/M")</f>
        <v>13.0836538307006</v>
      </c>
      <c r="H344" s="37" t="n">
        <f aca="false">IFERROR(STDEV(H331:H340),"N/M")</f>
        <v>5.48292385659691</v>
      </c>
      <c r="I344" s="37" t="n">
        <f aca="false">IFERROR(STDEV(I331:I340),"N/M")</f>
        <v>77.8551935220429</v>
      </c>
    </row>
    <row r="345" customFormat="false" ht="15" hidden="false" customHeight="false" outlineLevel="0" collapsed="false">
      <c r="A345" s="35" t="s">
        <v>102</v>
      </c>
      <c r="B345" s="37" t="n">
        <f aca="false">IFERROR(MIN(B331:B340),"N/M")</f>
        <v>0.283283540285688</v>
      </c>
      <c r="C345" s="37" t="n">
        <f aca="false">IFERROR(MIN(C331:C340),"N/M")</f>
        <v>0.266788025889968</v>
      </c>
      <c r="D345" s="37" t="n">
        <f aca="false">IFERROR(MIN(D331:D340),"N/M")</f>
        <v>-1.97383177570093</v>
      </c>
      <c r="E345" s="37" t="n">
        <f aca="false">IFERROR(MIN(E331:E340),"N/M")</f>
        <v>-17.6863636363636</v>
      </c>
      <c r="F345" s="37" t="n">
        <f aca="false">IFERROR(MIN(F331:F340),"N/M")</f>
        <v>-7.41379310344827</v>
      </c>
      <c r="G345" s="37" t="n">
        <f aca="false">IFERROR(MIN(G331:G340),"N/M")</f>
        <v>-26.3768115942029</v>
      </c>
      <c r="H345" s="37" t="n">
        <f aca="false">IFERROR(MIN(H331:H340),"N/M")</f>
        <v>-9.32275132275133</v>
      </c>
      <c r="I345" s="37" t="n">
        <f aca="false">IFERROR(MIN(I331:I340),"N/M")</f>
        <v>-1.45134059748548</v>
      </c>
    </row>
    <row r="346" customFormat="false" ht="15" hidden="false" customHeight="false" outlineLevel="0" collapsed="false">
      <c r="A346" s="35" t="s">
        <v>103</v>
      </c>
      <c r="B346" s="37" t="n">
        <f aca="false">IFERROR(MAX(B331:B340),"N/M")</f>
        <v>17.6666666666666</v>
      </c>
      <c r="C346" s="37" t="n">
        <f aca="false">IFERROR(MAX(C331:C340),"N/M")</f>
        <v>2.78639356254572</v>
      </c>
      <c r="D346" s="37" t="n">
        <f aca="false">IFERROR(MAX(D331:D340),"N/M")</f>
        <v>1473.99999999998</v>
      </c>
      <c r="E346" s="37" t="n">
        <f aca="false">IFERROR(MAX(E331:E340),"N/M")</f>
        <v>38.3863636363636</v>
      </c>
      <c r="F346" s="37" t="n">
        <f aca="false">IFERROR(MAX(F331:F340),"N/M")</f>
        <v>1.86784170122651</v>
      </c>
      <c r="G346" s="37" t="n">
        <f aca="false">IFERROR(MAX(G331:G340),"N/M")</f>
        <v>25.8571428571428</v>
      </c>
      <c r="H346" s="37" t="n">
        <f aca="false">IFERROR(MAX(H331:H340),"N/M")</f>
        <v>9.83333333333296</v>
      </c>
      <c r="I346" s="37" t="n">
        <f aca="false">IFERROR(MAX(I331:I340),"N/M")</f>
        <v>247.823279047101</v>
      </c>
    </row>
    <row r="348" customFormat="false" ht="15" hidden="false" customHeight="false" outlineLevel="0" collapsed="false">
      <c r="A348" s="16" t="s">
        <v>198</v>
      </c>
      <c r="B348" s="17"/>
      <c r="C348" s="17"/>
      <c r="D348" s="17"/>
      <c r="E348" s="17"/>
      <c r="F348" s="17"/>
      <c r="G348" s="17"/>
      <c r="H348" s="17"/>
      <c r="I348" s="17"/>
      <c r="J348" s="17"/>
      <c r="K348" s="17"/>
      <c r="L348" s="17"/>
      <c r="M348" s="17"/>
    </row>
    <row r="349" customFormat="false" ht="15" hidden="false" customHeight="false" outlineLevel="0" collapsed="false">
      <c r="A349" s="18" t="s">
        <v>110</v>
      </c>
      <c r="B349" s="20" t="n">
        <f aca="false">Tiger!D102</f>
        <v>-1.55855855855856</v>
      </c>
      <c r="C349" s="20" t="n">
        <f aca="false">Tiger!E102</f>
        <v>-0.404309252217997</v>
      </c>
      <c r="D349" s="20" t="n">
        <f aca="false">Tiger!F102</f>
        <v>2.18214936247723</v>
      </c>
      <c r="E349" s="20" t="n">
        <f aca="false">Tiger!G102</f>
        <v>24.2912621359223</v>
      </c>
      <c r="F349" s="20" t="n">
        <f aca="false">Tiger!H102</f>
        <v>19.0789473684211</v>
      </c>
      <c r="G349" s="20" t="n">
        <f aca="false">Tiger!I102</f>
        <v>9.31641791044776</v>
      </c>
      <c r="H349" s="20" t="n">
        <f aca="false">Tiger!J102</f>
        <v>5.26565464895636</v>
      </c>
      <c r="I349" s="21" t="n">
        <f aca="false">Tiger!K102</f>
        <v>8.31022337363545</v>
      </c>
      <c r="J349" s="34" t="str">
        <f aca="false">IF(AND(ISNUMBER(H349),ISNUMBER(H$361)),IF(H349&gt;H$361,"Above",IF(H349&lt;H$361,"Below","At")),"-")</f>
        <v>Above</v>
      </c>
      <c r="K349" s="34" t="str">
        <f aca="false">IF(J349="Above","Better",IF(J349="Below","Weaker","-"))</f>
        <v>Better</v>
      </c>
      <c r="L349" s="34" t="n">
        <f aca="false">IF(ISNUMBER(H349),RANK(H349,H$349:H$358,0),"-")</f>
        <v>4</v>
      </c>
      <c r="N349" s="34" t="str">
        <f aca="false">IF(AND(ISNUMBER(I349),ISNUMBER(I$361)),IF(I349&gt;I$361,"Above",IF(I349&lt;I$361,"Below","At")),"-")</f>
        <v>Above</v>
      </c>
      <c r="O349" s="34" t="str">
        <f aca="false">IF(N349="Above","Better",IF(N349="Below","Weaker","-"))</f>
        <v>Better</v>
      </c>
    </row>
    <row r="350" customFormat="false" ht="15" hidden="false" customHeight="false" outlineLevel="0" collapsed="false">
      <c r="A350" s="18" t="s">
        <v>111</v>
      </c>
      <c r="B350" s="20" t="n">
        <f aca="false">Allcargo!D102</f>
        <v>7.08649082875887</v>
      </c>
      <c r="C350" s="20" t="n">
        <f aca="false">Allcargo!E102</f>
        <v>4.34373472949389</v>
      </c>
      <c r="D350" s="20" t="n">
        <f aca="false">Allcargo!F102</f>
        <v>13.0911547656169</v>
      </c>
      <c r="E350" s="20" t="n">
        <f aca="false">Allcargo!G102</f>
        <v>0.811824617044582</v>
      </c>
      <c r="F350" s="20" t="n">
        <f aca="false">Allcargo!H102</f>
        <v>4.93951555109646</v>
      </c>
      <c r="G350" s="20" t="n">
        <f aca="false">Allcargo!I102</f>
        <v>0.282421457014051</v>
      </c>
      <c r="H350" s="20" t="n">
        <f aca="false">Allcargo!J102</f>
        <v>1.82666666666667</v>
      </c>
      <c r="I350" s="21" t="n">
        <f aca="false">Allcargo!K102</f>
        <v>4.62597265938449</v>
      </c>
      <c r="J350" s="34" t="str">
        <f aca="false">IF(AND(ISNUMBER(H350),ISNUMBER(H$361)),IF(H350&gt;H$361,"Above",IF(H350&lt;H$361,"Below","At")),"-")</f>
        <v>Below</v>
      </c>
      <c r="K350" s="34" t="str">
        <f aca="false">IF(J350="Above","Better",IF(J350="Below","Weaker","-"))</f>
        <v>Weaker</v>
      </c>
      <c r="L350" s="34" t="n">
        <f aca="false">IF(ISNUMBER(H350),RANK(H350,H$349:H$358,0),"-")</f>
        <v>7</v>
      </c>
      <c r="N350" s="34" t="str">
        <f aca="false">IF(AND(ISNUMBER(I350),ISNUMBER(I$361)),IF(I350&gt;I$361,"Above",IF(I350&lt;I$361,"Below","At")),"-")</f>
        <v>Below</v>
      </c>
      <c r="O350" s="34" t="str">
        <f aca="false">IF(N350="Above","Better",IF(N350="Below","Weaker","-"))</f>
        <v>Weaker</v>
      </c>
    </row>
    <row r="351" customFormat="false" ht="15" hidden="false" customHeight="false" outlineLevel="0" collapsed="false">
      <c r="A351" s="18" t="s">
        <v>112</v>
      </c>
      <c r="B351" s="20" t="n">
        <f aca="false">BlueDart!D102</f>
        <v>2.64182181681869</v>
      </c>
      <c r="C351" s="20" t="n">
        <f aca="false">BlueDart!E102</f>
        <v>5.79324019828752</v>
      </c>
      <c r="D351" s="20" t="n">
        <f aca="false">BlueDart!F102</f>
        <v>1.59164549504768</v>
      </c>
      <c r="E351" s="20" t="n">
        <f aca="false">BlueDart!G102</f>
        <v>12.4436798803291</v>
      </c>
      <c r="F351" s="20" t="n">
        <f aca="false">BlueDart!H102</f>
        <v>6.4824750499002</v>
      </c>
      <c r="G351" s="20" t="n">
        <f aca="false">BlueDart!I102</f>
        <v>5.525783619818</v>
      </c>
      <c r="H351" s="20" t="n">
        <f aca="false">BlueDart!J102</f>
        <v>10.1482951891639</v>
      </c>
      <c r="I351" s="21" t="n">
        <f aca="false">BlueDart!K102</f>
        <v>6.37527732133788</v>
      </c>
      <c r="J351" s="34" t="str">
        <f aca="false">IF(AND(ISNUMBER(H351),ISNUMBER(H$361)),IF(H351&gt;H$361,"Above",IF(H351&lt;H$361,"Below","At")),"-")</f>
        <v>Above</v>
      </c>
      <c r="K351" s="34" t="str">
        <f aca="false">IF(J351="Above","Better",IF(J351="Below","Weaker","-"))</f>
        <v>Better</v>
      </c>
      <c r="L351" s="34" t="n">
        <f aca="false">IF(ISNUMBER(H351),RANK(H351,H$349:H$358,0),"-")</f>
        <v>3</v>
      </c>
      <c r="N351" s="34" t="str">
        <f aca="false">IF(AND(ISNUMBER(I351),ISNUMBER(I$361)),IF(I351&gt;I$361,"Above",IF(I351&lt;I$361,"Below","At")),"-")</f>
        <v>Above</v>
      </c>
      <c r="O351" s="34" t="str">
        <f aca="false">IF(N351="Above","Better",IF(N351="Below","Weaker","-"))</f>
        <v>Better</v>
      </c>
    </row>
    <row r="352" customFormat="false" ht="15" hidden="false" customHeight="false" outlineLevel="0" collapsed="false">
      <c r="A352" s="18" t="s">
        <v>67</v>
      </c>
      <c r="B352" s="20" t="n">
        <f aca="false">CONCOR!D102</f>
        <v>1.33099091140291</v>
      </c>
      <c r="C352" s="20" t="n">
        <f aca="false">CONCOR!E102</f>
        <v>25.387007601935</v>
      </c>
      <c r="D352" s="20" t="n">
        <f aca="false">CONCOR!F102</f>
        <v>26.7246976448122</v>
      </c>
      <c r="E352" s="20" t="n">
        <f aca="false">CONCOR!G102</f>
        <v>28.0080395794681</v>
      </c>
      <c r="F352" s="20" t="n">
        <f aca="false">CONCOR!H102</f>
        <v>27.198243412798</v>
      </c>
      <c r="G352" s="20" t="n">
        <f aca="false">CONCOR!I102</f>
        <v>12.8966180371353</v>
      </c>
      <c r="H352" s="20" t="n">
        <f aca="false">CONCOR!J102</f>
        <v>24.6512160957596</v>
      </c>
      <c r="I352" s="21" t="n">
        <f aca="false">CONCOR!K102</f>
        <v>20.885259040473</v>
      </c>
      <c r="J352" s="34" t="str">
        <f aca="false">IF(AND(ISNUMBER(H352),ISNUMBER(H$361)),IF(H352&gt;H$361,"Above",IF(H352&lt;H$361,"Below","At")),"-")</f>
        <v>Above</v>
      </c>
      <c r="K352" s="34" t="str">
        <f aca="false">IF(J352="Above","Better",IF(J352="Below","Weaker","-"))</f>
        <v>Better</v>
      </c>
      <c r="L352" s="34" t="n">
        <f aca="false">IF(ISNUMBER(H352),RANK(H352,H$349:H$358,0),"-")</f>
        <v>2</v>
      </c>
      <c r="N352" s="34" t="str">
        <f aca="false">IF(AND(ISNUMBER(I352),ISNUMBER(I$361)),IF(I352&gt;I$361,"Above",IF(I352&lt;I$361,"Below","At")),"-")</f>
        <v>Above</v>
      </c>
      <c r="O352" s="34" t="str">
        <f aca="false">IF(N352="Above","Better",IF(N352="Below","Weaker","-"))</f>
        <v>Better</v>
      </c>
    </row>
    <row r="353" customFormat="false" ht="15" hidden="false" customHeight="false" outlineLevel="0" collapsed="false">
      <c r="A353" s="18" t="s">
        <v>113</v>
      </c>
      <c r="B353" s="20" t="n">
        <f aca="false">JetFreight!D102</f>
        <v>-0.256120527306968</v>
      </c>
      <c r="C353" s="20" t="n">
        <f aca="false">JetFreight!E102</f>
        <v>0.847373637264619</v>
      </c>
      <c r="D353" s="20" t="n">
        <f aca="false">JetFreight!F102</f>
        <v>2.37623762376238</v>
      </c>
      <c r="E353" s="20" t="n">
        <f aca="false">JetFreight!G102</f>
        <v>1.56831683168317</v>
      </c>
      <c r="F353" s="20" t="n">
        <f aca="false">JetFreight!H102</f>
        <v>0.763851044504995</v>
      </c>
      <c r="G353" s="20" t="n">
        <f aca="false">JetFreight!I102</f>
        <v>1.84202898550725</v>
      </c>
      <c r="H353" s="20" t="n">
        <f aca="false">JetFreight!J102</f>
        <v>2.24428571428571</v>
      </c>
      <c r="I353" s="21" t="n">
        <f aca="false">JetFreight!K102</f>
        <v>1.34085332995731</v>
      </c>
      <c r="J353" s="34" t="str">
        <f aca="false">IF(AND(ISNUMBER(H353),ISNUMBER(H$361)),IF(H353&gt;H$361,"Above",IF(H353&lt;H$361,"Below","At")),"-")</f>
        <v>Above</v>
      </c>
      <c r="K353" s="34" t="str">
        <f aca="false">IF(J353="Above","Better",IF(J353="Below","Weaker","-"))</f>
        <v>Better</v>
      </c>
      <c r="L353" s="34" t="n">
        <f aca="false">IF(ISNUMBER(H353),RANK(H353,H$349:H$358,0),"-")</f>
        <v>5</v>
      </c>
      <c r="N353" s="34" t="str">
        <f aca="false">IF(AND(ISNUMBER(I353),ISNUMBER(I$361)),IF(I353&gt;I$361,"Above",IF(I353&lt;I$361,"Below","At")),"-")</f>
        <v>Below</v>
      </c>
      <c r="O353" s="34" t="str">
        <f aca="false">IF(N353="Above","Better",IF(N353="Below","Weaker","-"))</f>
        <v>Weaker</v>
      </c>
    </row>
    <row r="354" customFormat="false" ht="15" hidden="false" customHeight="false" outlineLevel="0" collapsed="false">
      <c r="A354" s="18" t="s">
        <v>114</v>
      </c>
      <c r="B354" s="20" t="n">
        <f aca="false">Patel!D102</f>
        <v>0.957844415471534</v>
      </c>
      <c r="C354" s="20" t="n">
        <f aca="false">Patel!E102</f>
        <v>1.31620553359684</v>
      </c>
      <c r="D354" s="20" t="n">
        <f aca="false">Patel!F102</f>
        <v>0.536687631027254</v>
      </c>
      <c r="E354" s="20" t="n">
        <f aca="false">Patel!G102</f>
        <v>0.585853885528153</v>
      </c>
      <c r="F354" s="20" t="n">
        <f aca="false">Patel!H102</f>
        <v>1.12332990750257</v>
      </c>
      <c r="G354" s="20" t="n">
        <f aca="false">Patel!I102</f>
        <v>0.931316434995912</v>
      </c>
      <c r="H354" s="20" t="n">
        <f aca="false">Patel!J102</f>
        <v>1.74581005586592</v>
      </c>
      <c r="I354" s="21" t="n">
        <f aca="false">Patel!K102</f>
        <v>1.02814969485545</v>
      </c>
      <c r="J354" s="34" t="str">
        <f aca="false">IF(AND(ISNUMBER(H354),ISNUMBER(H$361)),IF(H354&gt;H$361,"Above",IF(H354&lt;H$361,"Below","At")),"-")</f>
        <v>Below</v>
      </c>
      <c r="K354" s="34" t="str">
        <f aca="false">IF(J354="Above","Better",IF(J354="Below","Weaker","-"))</f>
        <v>Weaker</v>
      </c>
      <c r="L354" s="34" t="n">
        <f aca="false">IF(ISNUMBER(H354),RANK(H354,H$349:H$358,0),"-")</f>
        <v>8</v>
      </c>
      <c r="N354" s="34" t="str">
        <f aca="false">IF(AND(ISNUMBER(I354),ISNUMBER(I$361)),IF(I354&gt;I$361,"Above",IF(I354&lt;I$361,"Below","At")),"-")</f>
        <v>Below</v>
      </c>
      <c r="O354" s="34" t="str">
        <f aca="false">IF(N354="Above","Better",IF(N354="Below","Weaker","-"))</f>
        <v>Weaker</v>
      </c>
    </row>
    <row r="355" customFormat="false" ht="15" hidden="false" customHeight="false" outlineLevel="0" collapsed="false">
      <c r="A355" s="18" t="s">
        <v>115</v>
      </c>
      <c r="B355" s="20" t="n">
        <f aca="false">Sical!D102</f>
        <v>0.171108882672719</v>
      </c>
      <c r="C355" s="20" t="n">
        <f aca="false">Sical!E102</f>
        <v>-6.10899182561308</v>
      </c>
      <c r="D355" s="20" t="n">
        <f aca="false">Sical!F102</f>
        <v>-7.86832239925024</v>
      </c>
      <c r="E355" s="20" t="n">
        <f aca="false">Sical!G102</f>
        <v>-0.582787458051437</v>
      </c>
      <c r="F355" s="20" t="n">
        <f aca="false">Sical!H102</f>
        <v>1.51123021949975</v>
      </c>
      <c r="G355" s="20" t="n">
        <f aca="false">Sical!I102</f>
        <v>1.27514450867052</v>
      </c>
      <c r="H355" s="20" t="n">
        <f aca="false">Sical!J102</f>
        <v>0.836833187862608</v>
      </c>
      <c r="I355" s="21" t="n">
        <f aca="false">Sical!K102</f>
        <v>-1.53796926917274</v>
      </c>
      <c r="J355" s="34" t="str">
        <f aca="false">IF(AND(ISNUMBER(H355),ISNUMBER(H$361)),IF(H355&gt;H$361,"Above",IF(H355&lt;H$361,"Below","At")),"-")</f>
        <v>Below</v>
      </c>
      <c r="K355" s="34" t="str">
        <f aca="false">IF(J355="Above","Better",IF(J355="Below","Weaker","-"))</f>
        <v>Weaker</v>
      </c>
      <c r="L355" s="34" t="n">
        <f aca="false">IF(ISNUMBER(H355),RANK(H355,H$349:H$358,0),"-")</f>
        <v>10</v>
      </c>
      <c r="N355" s="34" t="str">
        <f aca="false">IF(AND(ISNUMBER(I355),ISNUMBER(I$361)),IF(I355&gt;I$361,"Above",IF(I355&lt;I$361,"Below","At")),"-")</f>
        <v>Below</v>
      </c>
      <c r="O355" s="34" t="str">
        <f aca="false">IF(N355="Above","Better",IF(N355="Below","Weaker","-"))</f>
        <v>Weaker</v>
      </c>
    </row>
    <row r="356" customFormat="false" ht="15" hidden="false" customHeight="false" outlineLevel="0" collapsed="false">
      <c r="A356" s="18" t="s">
        <v>86</v>
      </c>
      <c r="B356" s="20" t="n">
        <f aca="false">TCI!D102</f>
        <v>3.13917151162791</v>
      </c>
      <c r="C356" s="20" t="n">
        <f aca="false">TCI!E102</f>
        <v>1.76267600978383</v>
      </c>
      <c r="D356" s="20" t="n">
        <f aca="false">TCI!F102</f>
        <v>1.94067638266069</v>
      </c>
      <c r="E356" s="20" t="n">
        <f aca="false">TCI!G102</f>
        <v>31.6339915373766</v>
      </c>
      <c r="F356" s="20" t="n">
        <f aca="false">TCI!H102</f>
        <v>37.1152976639035</v>
      </c>
      <c r="G356" s="20" t="n">
        <f aca="false">TCI!I102</f>
        <v>27.3000992063492</v>
      </c>
      <c r="H356" s="20" t="n">
        <f aca="false">TCI!J102</f>
        <v>26.6055287406757</v>
      </c>
      <c r="I356" s="21" t="n">
        <f aca="false">TCI!K102</f>
        <v>18.4996344360539</v>
      </c>
      <c r="J356" s="34" t="str">
        <f aca="false">IF(AND(ISNUMBER(H356),ISNUMBER(H$361)),IF(H356&gt;H$361,"Above",IF(H356&lt;H$361,"Below","At")),"-")</f>
        <v>Above</v>
      </c>
      <c r="K356" s="34" t="str">
        <f aca="false">IF(J356="Above","Better",IF(J356="Below","Weaker","-"))</f>
        <v>Better</v>
      </c>
      <c r="L356" s="34" t="n">
        <f aca="false">IF(ISNUMBER(H356),RANK(H356,H$349:H$358,0),"-")</f>
        <v>1</v>
      </c>
      <c r="N356" s="34" t="str">
        <f aca="false">IF(AND(ISNUMBER(I356),ISNUMBER(I$361)),IF(I356&gt;I$361,"Above",IF(I356&lt;I$361,"Below","At")),"-")</f>
        <v>Above</v>
      </c>
      <c r="O356" s="34" t="str">
        <f aca="false">IF(N356="Above","Better",IF(N356="Below","Weaker","-"))</f>
        <v>Better</v>
      </c>
    </row>
    <row r="357" customFormat="false" ht="15" hidden="false" customHeight="false" outlineLevel="0" collapsed="false">
      <c r="A357" s="18" t="s">
        <v>116</v>
      </c>
      <c r="B357" s="20" t="n">
        <f aca="false">Shreeji!D102</f>
        <v>2.59773371104816</v>
      </c>
      <c r="C357" s="20" t="n">
        <f aca="false">Shreeji!E102</f>
        <v>1.76484560570071</v>
      </c>
      <c r="D357" s="20" t="n">
        <f aca="false">Shreeji!F102</f>
        <v>2.49481481481482</v>
      </c>
      <c r="E357" s="20" t="n">
        <f aca="false">Shreeji!G102</f>
        <v>4.51482479784367</v>
      </c>
      <c r="F357" s="20" t="n">
        <f aca="false">Shreeji!H102</f>
        <v>5.17137096774194</v>
      </c>
      <c r="G357" s="20" t="n">
        <f aca="false">Shreeji!I102</f>
        <v>1.12108559498956</v>
      </c>
      <c r="H357" s="20" t="n">
        <f aca="false">Shreeji!J102</f>
        <v>2.00353982300885</v>
      </c>
      <c r="I357" s="21" t="n">
        <f aca="false">Shreeji!K102</f>
        <v>2.8097450450211</v>
      </c>
      <c r="J357" s="34" t="str">
        <f aca="false">IF(AND(ISNUMBER(H357),ISNUMBER(H$361)),IF(H357&gt;H$361,"Above",IF(H357&lt;H$361,"Below","At")),"-")</f>
        <v>Below</v>
      </c>
      <c r="K357" s="34" t="str">
        <f aca="false">IF(J357="Above","Better",IF(J357="Below","Weaker","-"))</f>
        <v>Weaker</v>
      </c>
      <c r="L357" s="34" t="n">
        <f aca="false">IF(ISNUMBER(H357),RANK(H357,H$349:H$358,0),"-")</f>
        <v>6</v>
      </c>
      <c r="N357" s="34" t="str">
        <f aca="false">IF(AND(ISNUMBER(I357),ISNUMBER(I$361)),IF(I357&gt;I$361,"Above",IF(I357&lt;I$361,"Below","At")),"-")</f>
        <v>Below</v>
      </c>
      <c r="O357" s="34" t="str">
        <f aca="false">IF(N357="Above","Better",IF(N357="Below","Weaker","-"))</f>
        <v>Weaker</v>
      </c>
    </row>
    <row r="358" customFormat="false" ht="15" hidden="false" customHeight="false" outlineLevel="0" collapsed="false">
      <c r="A358" s="18" t="s">
        <v>117</v>
      </c>
      <c r="B358" s="20" t="n">
        <f aca="false">MahindraLog!D102</f>
        <v>8.29154849688032</v>
      </c>
      <c r="C358" s="20" t="n">
        <f aca="false">MahindraLog!E102</f>
        <v>6.9556993529119</v>
      </c>
      <c r="D358" s="20" t="n">
        <f aca="false">MahindraLog!F102</f>
        <v>6.34138162307176</v>
      </c>
      <c r="E358" s="20" t="n">
        <f aca="false">MahindraLog!G102</f>
        <v>5.18421562924181</v>
      </c>
      <c r="F358" s="20" t="n">
        <f aca="false">MahindraLog!H102</f>
        <v>1.36514853916032</v>
      </c>
      <c r="G358" s="20" t="n">
        <f aca="false">MahindraLog!I102</f>
        <v>3.3454008127078</v>
      </c>
      <c r="H358" s="20" t="n">
        <f aca="false">MahindraLog!J102</f>
        <v>1.20788981465737</v>
      </c>
      <c r="I358" s="21" t="n">
        <f aca="false">MahindraLog!K102</f>
        <v>4.67018346694733</v>
      </c>
      <c r="J358" s="34" t="str">
        <f aca="false">IF(AND(ISNUMBER(H358),ISNUMBER(H$361)),IF(H358&gt;H$361,"Above",IF(H358&lt;H$361,"Below","At")),"-")</f>
        <v>Below</v>
      </c>
      <c r="K358" s="34" t="str">
        <f aca="false">IF(J358="Above","Better",IF(J358="Below","Weaker","-"))</f>
        <v>Weaker</v>
      </c>
      <c r="L358" s="34" t="n">
        <f aca="false">IF(ISNUMBER(H358),RANK(H358,H$349:H$358,0),"-")</f>
        <v>9</v>
      </c>
      <c r="N358" s="34" t="str">
        <f aca="false">IF(AND(ISNUMBER(I358),ISNUMBER(I$361)),IF(I358&gt;I$361,"Above",IF(I358&lt;I$361,"Below","At")),"-")</f>
        <v>Above</v>
      </c>
      <c r="O358" s="34" t="str">
        <f aca="false">IF(N358="Above","Better",IF(N358="Below","Weaker","-"))</f>
        <v>Better</v>
      </c>
    </row>
    <row r="359" customFormat="false" ht="15" hidden="false" customHeight="false" outlineLevel="0" collapsed="false">
      <c r="A359" s="12" t="s">
        <v>176</v>
      </c>
      <c r="B359" s="21" t="n">
        <f aca="false">Industry!D102</f>
        <v>1.83219099840073</v>
      </c>
      <c r="C359" s="21" t="n">
        <f aca="false">Industry!E102</f>
        <v>2.76397924237666</v>
      </c>
      <c r="D359" s="21" t="n">
        <f aca="false">Industry!F102</f>
        <v>4.25395291030864</v>
      </c>
      <c r="E359" s="21" t="n">
        <f aca="false">Industry!G102</f>
        <v>1.32742100046113</v>
      </c>
      <c r="F359" s="21" t="n">
        <f aca="false">Industry!H102</f>
        <v>7.41030517852511</v>
      </c>
      <c r="G359" s="21" t="n">
        <f aca="false">Industry!I102</f>
        <v>2.49374060162008</v>
      </c>
      <c r="H359" s="21" t="n">
        <f aca="false">Industry!J102</f>
        <v>5.01933338034459</v>
      </c>
      <c r="I359" s="21" t="n">
        <f aca="false">Industry!K102</f>
        <v>3.58584618743385</v>
      </c>
    </row>
    <row r="360" customFormat="false" ht="15" hidden="false" customHeight="false" outlineLevel="0" collapsed="false">
      <c r="A360" s="35" t="s">
        <v>177</v>
      </c>
      <c r="B360" s="37" t="n">
        <f aca="false">IFERROR(AVERAGE(B349:B358),"N/M")</f>
        <v>2.44020314888156</v>
      </c>
      <c r="C360" s="37" t="n">
        <f aca="false">IFERROR(AVERAGE(C349:C358),"N/M")</f>
        <v>4.16574815911433</v>
      </c>
      <c r="D360" s="37" t="n">
        <f aca="false">IFERROR(AVERAGE(D349:D358),"N/M")</f>
        <v>4.94111229440407</v>
      </c>
      <c r="E360" s="37" t="n">
        <f aca="false">IFERROR(AVERAGE(E349:E358),"N/M")</f>
        <v>10.8459221436386</v>
      </c>
      <c r="F360" s="37" t="n">
        <f aca="false">IFERROR(AVERAGE(F349:F358),"N/M")</f>
        <v>10.4749409724529</v>
      </c>
      <c r="G360" s="37" t="n">
        <f aca="false">IFERROR(AVERAGE(G349:G358),"N/M")</f>
        <v>6.38363165676353</v>
      </c>
      <c r="H360" s="37" t="n">
        <f aca="false">IFERROR(AVERAGE(H349:H358),"N/M")</f>
        <v>7.65357199369028</v>
      </c>
      <c r="I360" s="37" t="n">
        <f aca="false">IFERROR(AVERAGE(I349:I358),"N/M")</f>
        <v>6.70073290984932</v>
      </c>
    </row>
    <row r="361" customFormat="false" ht="15" hidden="false" customHeight="false" outlineLevel="0" collapsed="false">
      <c r="A361" s="35" t="s">
        <v>178</v>
      </c>
      <c r="B361" s="37" t="n">
        <f aca="false">IFERROR(MEDIAN(B349:B358),"N/M")</f>
        <v>1.96436231122553</v>
      </c>
      <c r="C361" s="37" t="n">
        <f aca="false">IFERROR(MEDIAN(C349:C358),"N/M")</f>
        <v>1.76376080774227</v>
      </c>
      <c r="D361" s="37" t="n">
        <f aca="false">IFERROR(MEDIAN(D349:D358),"N/M")</f>
        <v>2.2791934931198</v>
      </c>
      <c r="E361" s="37" t="n">
        <f aca="false">IFERROR(MEDIAN(E349:E358),"N/M")</f>
        <v>4.84952021354274</v>
      </c>
      <c r="F361" s="37" t="n">
        <f aca="false">IFERROR(MEDIAN(F349:F358),"N/M")</f>
        <v>5.0554432594192</v>
      </c>
      <c r="G361" s="37" t="n">
        <f aca="false">IFERROR(MEDIAN(G349:G358),"N/M")</f>
        <v>2.59371489910752</v>
      </c>
      <c r="H361" s="37" t="n">
        <f aca="false">IFERROR(MEDIAN(H349:H358),"N/M")</f>
        <v>2.12391276864728</v>
      </c>
      <c r="I361" s="37" t="n">
        <f aca="false">IFERROR(MEDIAN(I349:I358),"N/M")</f>
        <v>4.64807806316591</v>
      </c>
    </row>
    <row r="362" customFormat="false" ht="15" hidden="false" customHeight="false" outlineLevel="0" collapsed="false">
      <c r="A362" s="35" t="s">
        <v>179</v>
      </c>
      <c r="B362" s="37" t="n">
        <f aca="false">IFERROR(STDEV(B349:B358),"N/M")</f>
        <v>3.13079753548906</v>
      </c>
      <c r="C362" s="37" t="n">
        <f aca="false">IFERROR(STDEV(C349:C358),"N/M")</f>
        <v>8.28608195526621</v>
      </c>
      <c r="D362" s="37" t="n">
        <f aca="false">IFERROR(STDEV(D349:D358),"N/M")</f>
        <v>9.23029724076107</v>
      </c>
      <c r="E362" s="37" t="n">
        <f aca="false">IFERROR(STDEV(E349:E358),"N/M")</f>
        <v>12.4935151750769</v>
      </c>
      <c r="F362" s="37" t="n">
        <f aca="false">IFERROR(STDEV(F349:F358),"N/M")</f>
        <v>12.8374853651022</v>
      </c>
      <c r="G362" s="37" t="n">
        <f aca="false">IFERROR(STDEV(G349:G358),"N/M")</f>
        <v>8.43178698251756</v>
      </c>
      <c r="H362" s="37" t="n">
        <f aca="false">IFERROR(STDEV(H349:H358),"N/M")</f>
        <v>9.87744246989014</v>
      </c>
      <c r="I362" s="37" t="n">
        <f aca="false">IFERROR(STDEV(I349:I358),"N/M")</f>
        <v>7.41965490666773</v>
      </c>
    </row>
    <row r="363" customFormat="false" ht="15" hidden="false" customHeight="false" outlineLevel="0" collapsed="false">
      <c r="A363" s="35" t="s">
        <v>102</v>
      </c>
      <c r="B363" s="37" t="n">
        <f aca="false">IFERROR(MIN(B349:B358),"N/M")</f>
        <v>-1.55855855855856</v>
      </c>
      <c r="C363" s="37" t="n">
        <f aca="false">IFERROR(MIN(C349:C358),"N/M")</f>
        <v>-6.10899182561308</v>
      </c>
      <c r="D363" s="37" t="n">
        <f aca="false">IFERROR(MIN(D349:D358),"N/M")</f>
        <v>-7.86832239925024</v>
      </c>
      <c r="E363" s="37" t="n">
        <f aca="false">IFERROR(MIN(E349:E358),"N/M")</f>
        <v>-0.582787458051437</v>
      </c>
      <c r="F363" s="37" t="n">
        <f aca="false">IFERROR(MIN(F349:F358),"N/M")</f>
        <v>0.763851044504995</v>
      </c>
      <c r="G363" s="37" t="n">
        <f aca="false">IFERROR(MIN(G349:G358),"N/M")</f>
        <v>0.282421457014051</v>
      </c>
      <c r="H363" s="37" t="n">
        <f aca="false">IFERROR(MIN(H349:H358),"N/M")</f>
        <v>0.836833187862608</v>
      </c>
      <c r="I363" s="37" t="n">
        <f aca="false">IFERROR(MIN(I349:I358),"N/M")</f>
        <v>-1.53796926917274</v>
      </c>
    </row>
    <row r="364" customFormat="false" ht="15" hidden="false" customHeight="false" outlineLevel="0" collapsed="false">
      <c r="A364" s="35" t="s">
        <v>103</v>
      </c>
      <c r="B364" s="37" t="n">
        <f aca="false">IFERROR(MAX(B349:B358),"N/M")</f>
        <v>8.29154849688032</v>
      </c>
      <c r="C364" s="37" t="n">
        <f aca="false">IFERROR(MAX(C349:C358),"N/M")</f>
        <v>25.387007601935</v>
      </c>
      <c r="D364" s="37" t="n">
        <f aca="false">IFERROR(MAX(D349:D358),"N/M")</f>
        <v>26.7246976448122</v>
      </c>
      <c r="E364" s="37" t="n">
        <f aca="false">IFERROR(MAX(E349:E358),"N/M")</f>
        <v>31.6339915373766</v>
      </c>
      <c r="F364" s="37" t="n">
        <f aca="false">IFERROR(MAX(F349:F358),"N/M")</f>
        <v>37.1152976639035</v>
      </c>
      <c r="G364" s="37" t="n">
        <f aca="false">IFERROR(MAX(G349:G358),"N/M")</f>
        <v>27.3000992063492</v>
      </c>
      <c r="H364" s="37" t="n">
        <f aca="false">IFERROR(MAX(H349:H358),"N/M")</f>
        <v>26.6055287406757</v>
      </c>
      <c r="I364" s="37" t="n">
        <f aca="false">IFERROR(MAX(I349:I358),"N/M")</f>
        <v>20.885259040473</v>
      </c>
    </row>
    <row r="366" customFormat="false" ht="15" hidden="false" customHeight="false" outlineLevel="0" collapsed="false">
      <c r="A366" s="16" t="s">
        <v>199</v>
      </c>
      <c r="B366" s="17"/>
      <c r="C366" s="17"/>
      <c r="D366" s="17"/>
      <c r="E366" s="17"/>
      <c r="F366" s="17"/>
      <c r="G366" s="17"/>
      <c r="H366" s="17"/>
      <c r="I366" s="17"/>
      <c r="J366" s="17"/>
      <c r="K366" s="17"/>
      <c r="L366" s="17"/>
      <c r="M366" s="17"/>
    </row>
    <row r="367" customFormat="false" ht="15" hidden="false" customHeight="false" outlineLevel="0" collapsed="false">
      <c r="A367" s="18" t="s">
        <v>110</v>
      </c>
      <c r="B367" s="20" t="str">
        <f aca="false">Tiger!D105</f>
        <v>N/M</v>
      </c>
      <c r="C367" s="20" t="str">
        <f aca="false">Tiger!E105</f>
        <v>N/M</v>
      </c>
      <c r="D367" s="20" t="str">
        <f aca="false">Tiger!F105</f>
        <v>N/M</v>
      </c>
      <c r="E367" s="20" t="str">
        <f aca="false">Tiger!G105</f>
        <v>N/M</v>
      </c>
      <c r="F367" s="20" t="str">
        <f aca="false">Tiger!H105</f>
        <v>N/M</v>
      </c>
      <c r="G367" s="20" t="str">
        <f aca="false">Tiger!I105</f>
        <v>N/M</v>
      </c>
      <c r="H367" s="20" t="str">
        <f aca="false">Tiger!J105</f>
        <v>N/M</v>
      </c>
      <c r="I367" s="21" t="str">
        <f aca="false">Tiger!K105</f>
        <v>N/M</v>
      </c>
      <c r="J367" s="34" t="str">
        <f aca="false">IF(AND(ISNUMBER(H367),ISNUMBER(H$379)),IF(H367&gt;H$379,"Above",IF(H367&lt;H$379,"Below","At")),"-")</f>
        <v>-</v>
      </c>
      <c r="K367" s="34" t="str">
        <f aca="false">IF(J367="Above","Better",IF(J367="Below","Weaker","-"))</f>
        <v>-</v>
      </c>
      <c r="L367" s="34" t="str">
        <f aca="false">IF(ISNUMBER(H367),RANK(H367,H$367:H$376,0),"-")</f>
        <v>-</v>
      </c>
      <c r="N367" s="34" t="str">
        <f aca="false">IF(AND(ISNUMBER(I367),ISNUMBER(I$379)),IF(I367&gt;I$379,"Above",IF(I367&lt;I$379,"Below","At")),"-")</f>
        <v>-</v>
      </c>
      <c r="O367" s="34" t="str">
        <f aca="false">IF(N367="Above","Better",IF(N367="Below","Weaker","-"))</f>
        <v>-</v>
      </c>
    </row>
    <row r="368" customFormat="false" ht="15" hidden="false" customHeight="false" outlineLevel="0" collapsed="false">
      <c r="A368" s="18" t="s">
        <v>111</v>
      </c>
      <c r="B368" s="20" t="n">
        <f aca="false">Allcargo!D105</f>
        <v>648.532451923077</v>
      </c>
      <c r="C368" s="20" t="n">
        <f aca="false">Allcargo!E105</f>
        <v>921.561612720045</v>
      </c>
      <c r="D368" s="20" t="n">
        <f aca="false">Allcargo!F105</f>
        <v>1761.40607424072</v>
      </c>
      <c r="E368" s="20" t="n">
        <f aca="false">Allcargo!G105</f>
        <v>2630.48124428179</v>
      </c>
      <c r="F368" s="20" t="n">
        <f aca="false">Allcargo!H105</f>
        <v>3312.27</v>
      </c>
      <c r="G368" s="20" t="n">
        <f aca="false">Allcargo!I105</f>
        <v>943.333333333333</v>
      </c>
      <c r="H368" s="20" t="str">
        <f aca="false">Allcargo!J105</f>
        <v>N/M</v>
      </c>
      <c r="I368" s="21" t="n">
        <f aca="false">Allcargo!K105</f>
        <v>1702.93078608316</v>
      </c>
      <c r="J368" s="34" t="str">
        <f aca="false">IF(AND(ISNUMBER(H368),ISNUMBER(H$379)),IF(H368&gt;H$379,"Above",IF(H368&lt;H$379,"Below","At")),"-")</f>
        <v>-</v>
      </c>
      <c r="K368" s="34" t="str">
        <f aca="false">IF(J368="Above","Better",IF(J368="Below","Weaker","-"))</f>
        <v>-</v>
      </c>
      <c r="L368" s="34" t="str">
        <f aca="false">IF(ISNUMBER(H368),RANK(H368,H$367:H$376,0),"-")</f>
        <v>-</v>
      </c>
      <c r="N368" s="34" t="str">
        <f aca="false">IF(AND(ISNUMBER(I368),ISNUMBER(I$379)),IF(I368&gt;I$379,"Above",IF(I368&lt;I$379,"Below","At")),"-")</f>
        <v>Above</v>
      </c>
      <c r="O368" s="34" t="str">
        <f aca="false">IF(N368="Above","Better",IF(N368="Below","Weaker","-"))</f>
        <v>Better</v>
      </c>
    </row>
    <row r="369" customFormat="false" ht="15" hidden="false" customHeight="false" outlineLevel="0" collapsed="false">
      <c r="A369" s="18" t="s">
        <v>112</v>
      </c>
      <c r="B369" s="20" t="n">
        <f aca="false">BlueDart!D105</f>
        <v>65.0675471698113</v>
      </c>
      <c r="C369" s="20" t="n">
        <f aca="false">BlueDart!E105</f>
        <v>56.2399183256764</v>
      </c>
      <c r="D369" s="20" t="n">
        <f aca="false">BlueDart!F105</f>
        <v>71.1987419499775</v>
      </c>
      <c r="E369" s="20" t="n">
        <f aca="false">BlueDart!G105</f>
        <v>83.8888888888889</v>
      </c>
      <c r="F369" s="20" t="n">
        <f aca="false">BlueDart!H105</f>
        <v>70.07150690941</v>
      </c>
      <c r="G369" s="20" t="n">
        <f aca="false">BlueDart!I105</f>
        <v>68.1737616099071</v>
      </c>
      <c r="H369" s="20" t="n">
        <f aca="false">BlueDart!J105</f>
        <v>69.6112403461431</v>
      </c>
      <c r="I369" s="21" t="n">
        <f aca="false">BlueDart!K105</f>
        <v>69.1788007428306</v>
      </c>
      <c r="J369" s="34" t="str">
        <f aca="false">IF(AND(ISNUMBER(H369),ISNUMBER(H$379)),IF(H369&gt;H$379,"Above",IF(H369&lt;H$379,"Below","At")),"-")</f>
        <v>Below</v>
      </c>
      <c r="K369" s="34" t="str">
        <f aca="false">IF(J369="Above","Better",IF(J369="Below","Weaker","-"))</f>
        <v>Weaker</v>
      </c>
      <c r="L369" s="34" t="n">
        <f aca="false">IF(ISNUMBER(H369),RANK(H369,H$367:H$376,0),"-")</f>
        <v>5</v>
      </c>
      <c r="N369" s="34" t="str">
        <f aca="false">IF(AND(ISNUMBER(I369),ISNUMBER(I$379)),IF(I369&gt;I$379,"Above",IF(I369&lt;I$379,"Below","At")),"-")</f>
        <v>Below</v>
      </c>
      <c r="O369" s="34" t="str">
        <f aca="false">IF(N369="Above","Better",IF(N369="Below","Weaker","-"))</f>
        <v>Weaker</v>
      </c>
    </row>
    <row r="370" customFormat="false" ht="15" hidden="false" customHeight="false" outlineLevel="0" collapsed="false">
      <c r="A370" s="18" t="s">
        <v>67</v>
      </c>
      <c r="B370" s="20" t="n">
        <f aca="false">CONCOR!D105</f>
        <v>171.838053450339</v>
      </c>
      <c r="C370" s="20" t="n">
        <f aca="false">CONCOR!E105</f>
        <v>162.872201307708</v>
      </c>
      <c r="D370" s="20" t="n">
        <f aca="false">CONCOR!F105</f>
        <v>175.457718603814</v>
      </c>
      <c r="E370" s="20" t="n">
        <f aca="false">CONCOR!G105</f>
        <v>154.493967146388</v>
      </c>
      <c r="F370" s="20" t="n">
        <f aca="false">CONCOR!H105</f>
        <v>130.150159744409</v>
      </c>
      <c r="G370" s="20" t="n">
        <f aca="false">CONCOR!I105</f>
        <v>118.224125908955</v>
      </c>
      <c r="H370" s="20" t="n">
        <f aca="false">CONCOR!J105</f>
        <v>117.654263111632</v>
      </c>
      <c r="I370" s="21" t="n">
        <f aca="false">CONCOR!K105</f>
        <v>147.241498467606</v>
      </c>
      <c r="J370" s="34" t="str">
        <f aca="false">IF(AND(ISNUMBER(H370),ISNUMBER(H$379)),IF(H370&gt;H$379,"Above",IF(H370&lt;H$379,"Below","At")),"-")</f>
        <v>Below</v>
      </c>
      <c r="K370" s="34" t="str">
        <f aca="false">IF(J370="Above","Better",IF(J370="Below","Weaker","-"))</f>
        <v>Weaker</v>
      </c>
      <c r="L370" s="34" t="n">
        <f aca="false">IF(ISNUMBER(H370),RANK(H370,H$367:H$376,0),"-")</f>
        <v>4</v>
      </c>
      <c r="N370" s="34" t="str">
        <f aca="false">IF(AND(ISNUMBER(I370),ISNUMBER(I$379)),IF(I370&gt;I$379,"Above",IF(I370&lt;I$379,"Below","At")),"-")</f>
        <v>Below</v>
      </c>
      <c r="O370" s="34" t="str">
        <f aca="false">IF(N370="Above","Better",IF(N370="Below","Weaker","-"))</f>
        <v>Weaker</v>
      </c>
    </row>
    <row r="371" customFormat="false" ht="15" hidden="false" customHeight="false" outlineLevel="0" collapsed="false">
      <c r="A371" s="18" t="s">
        <v>113</v>
      </c>
      <c r="B371" s="20" t="str">
        <f aca="false">JetFreight!D105</f>
        <v>N/M</v>
      </c>
      <c r="C371" s="20" t="str">
        <f aca="false">JetFreight!E105</f>
        <v>N/M</v>
      </c>
      <c r="D371" s="20" t="str">
        <f aca="false">JetFreight!F105</f>
        <v>N/M</v>
      </c>
      <c r="E371" s="20" t="str">
        <f aca="false">JetFreight!G105</f>
        <v>N/M</v>
      </c>
      <c r="F371" s="20" t="str">
        <f aca="false">JetFreight!H105</f>
        <v>N/M</v>
      </c>
      <c r="G371" s="20" t="str">
        <f aca="false">JetFreight!I105</f>
        <v>N/M</v>
      </c>
      <c r="H371" s="20" t="str">
        <f aca="false">JetFreight!J105</f>
        <v>N/M</v>
      </c>
      <c r="I371" s="21" t="str">
        <f aca="false">JetFreight!K105</f>
        <v>N/M</v>
      </c>
      <c r="J371" s="34" t="str">
        <f aca="false">IF(AND(ISNUMBER(H371),ISNUMBER(H$379)),IF(H371&gt;H$379,"Above",IF(H371&lt;H$379,"Below","At")),"-")</f>
        <v>-</v>
      </c>
      <c r="K371" s="34" t="str">
        <f aca="false">IF(J371="Above","Better",IF(J371="Below","Weaker","-"))</f>
        <v>-</v>
      </c>
      <c r="L371" s="34" t="str">
        <f aca="false">IF(ISNUMBER(H371),RANK(H371,H$367:H$376,0),"-")</f>
        <v>-</v>
      </c>
      <c r="N371" s="34" t="str">
        <f aca="false">IF(AND(ISNUMBER(I371),ISNUMBER(I$379)),IF(I371&gt;I$379,"Above",IF(I371&lt;I$379,"Below","At")),"-")</f>
        <v>-</v>
      </c>
      <c r="O371" s="34" t="str">
        <f aca="false">IF(N371="Above","Better",IF(N371="Below","Weaker","-"))</f>
        <v>-</v>
      </c>
    </row>
    <row r="372" customFormat="false" ht="15" hidden="false" customHeight="false" outlineLevel="0" collapsed="false">
      <c r="A372" s="18" t="s">
        <v>114</v>
      </c>
      <c r="B372" s="20" t="str">
        <f aca="false">Patel!D105</f>
        <v>N/M</v>
      </c>
      <c r="C372" s="20" t="str">
        <f aca="false">Patel!E105</f>
        <v>N/M</v>
      </c>
      <c r="D372" s="20" t="str">
        <f aca="false">Patel!F105</f>
        <v>N/M</v>
      </c>
      <c r="E372" s="20" t="str">
        <f aca="false">Patel!G105</f>
        <v>N/M</v>
      </c>
      <c r="F372" s="20" t="str">
        <f aca="false">Patel!H105</f>
        <v>N/M</v>
      </c>
      <c r="G372" s="20" t="str">
        <f aca="false">Patel!I105</f>
        <v>N/M</v>
      </c>
      <c r="H372" s="20" t="str">
        <f aca="false">Patel!J105</f>
        <v>N/M</v>
      </c>
      <c r="I372" s="21" t="str">
        <f aca="false">Patel!K105</f>
        <v>N/M</v>
      </c>
      <c r="J372" s="34" t="str">
        <f aca="false">IF(AND(ISNUMBER(H372),ISNUMBER(H$379)),IF(H372&gt;H$379,"Above",IF(H372&lt;H$379,"Below","At")),"-")</f>
        <v>-</v>
      </c>
      <c r="K372" s="34" t="str">
        <f aca="false">IF(J372="Above","Better",IF(J372="Below","Weaker","-"))</f>
        <v>-</v>
      </c>
      <c r="L372" s="34" t="str">
        <f aca="false">IF(ISNUMBER(H372),RANK(H372,H$367:H$376,0),"-")</f>
        <v>-</v>
      </c>
      <c r="N372" s="34" t="str">
        <f aca="false">IF(AND(ISNUMBER(I372),ISNUMBER(I$379)),IF(I372&gt;I$379,"Above",IF(I372&lt;I$379,"Below","At")),"-")</f>
        <v>-</v>
      </c>
      <c r="O372" s="34" t="str">
        <f aca="false">IF(N372="Above","Better",IF(N372="Below","Weaker","-"))</f>
        <v>-</v>
      </c>
    </row>
    <row r="373" customFormat="false" ht="15" hidden="false" customHeight="false" outlineLevel="0" collapsed="false">
      <c r="A373" s="18" t="s">
        <v>115</v>
      </c>
      <c r="B373" s="20" t="n">
        <f aca="false">Sical!D105</f>
        <v>54.185593770279</v>
      </c>
      <c r="C373" s="20" t="n">
        <f aca="false">Sical!E105</f>
        <v>24.5679642629228</v>
      </c>
      <c r="D373" s="20" t="n">
        <f aca="false">Sical!F105</f>
        <v>25.3851185609158</v>
      </c>
      <c r="E373" s="20" t="n">
        <f aca="false">Sical!G105</f>
        <v>57.1296625222025</v>
      </c>
      <c r="F373" s="20" t="n">
        <f aca="false">Sical!H105</f>
        <v>84.8930481283422</v>
      </c>
      <c r="G373" s="20" t="n">
        <f aca="false">Sical!I105</f>
        <v>83.3208556149733</v>
      </c>
      <c r="H373" s="20" t="n">
        <f aca="false">Sical!J105</f>
        <v>268.701570680628</v>
      </c>
      <c r="I373" s="21" t="n">
        <f aca="false">Sical!K105</f>
        <v>85.454830505752</v>
      </c>
      <c r="J373" s="34" t="str">
        <f aca="false">IF(AND(ISNUMBER(H373),ISNUMBER(H$379)),IF(H373&gt;H$379,"Above",IF(H373&lt;H$379,"Below","At")),"-")</f>
        <v>At</v>
      </c>
      <c r="K373" s="34" t="str">
        <f aca="false">IF(J373="Above","Better",IF(J373="Below","Weaker","-"))</f>
        <v>-</v>
      </c>
      <c r="L373" s="34" t="n">
        <f aca="false">IF(ISNUMBER(H373),RANK(H373,H$367:H$376,0),"-")</f>
        <v>3</v>
      </c>
      <c r="N373" s="34" t="str">
        <f aca="false">IF(AND(ISNUMBER(I373),ISNUMBER(I$379)),IF(I373&gt;I$379,"Above",IF(I373&lt;I$379,"Below","At")),"-")</f>
        <v>Below</v>
      </c>
      <c r="O373" s="34" t="str">
        <f aca="false">IF(N373="Above","Better",IF(N373="Below","Weaker","-"))</f>
        <v>Weaker</v>
      </c>
    </row>
    <row r="374" customFormat="false" ht="15" hidden="false" customHeight="false" outlineLevel="0" collapsed="false">
      <c r="A374" s="18" t="s">
        <v>86</v>
      </c>
      <c r="B374" s="20" t="n">
        <f aca="false">TCI!D105</f>
        <v>375.552941176471</v>
      </c>
      <c r="C374" s="20" t="n">
        <f aca="false">TCI!E105</f>
        <v>338.338686131387</v>
      </c>
      <c r="D374" s="20" t="n">
        <f aca="false">TCI!F105</f>
        <v>334.188703465982</v>
      </c>
      <c r="E374" s="20" t="n">
        <f aca="false">TCI!G105</f>
        <v>455.586924219911</v>
      </c>
      <c r="F374" s="20" t="n">
        <f aca="false">TCI!H105</f>
        <v>422.015434083601</v>
      </c>
      <c r="G374" s="20" t="n">
        <f aca="false">TCI!I105</f>
        <v>428.19649122807</v>
      </c>
      <c r="H374" s="20" t="n">
        <f aca="false">TCI!J105</f>
        <v>374.016877637131</v>
      </c>
      <c r="I374" s="21" t="n">
        <f aca="false">TCI!K105</f>
        <v>389.699436848936</v>
      </c>
      <c r="J374" s="34" t="str">
        <f aca="false">IF(AND(ISNUMBER(H374),ISNUMBER(H$379)),IF(H374&gt;H$379,"Above",IF(H374&lt;H$379,"Below","At")),"-")</f>
        <v>Above</v>
      </c>
      <c r="K374" s="34" t="str">
        <f aca="false">IF(J374="Above","Better",IF(J374="Below","Weaker","-"))</f>
        <v>Better</v>
      </c>
      <c r="L374" s="34" t="n">
        <f aca="false">IF(ISNUMBER(H374),RANK(H374,H$367:H$376,0),"-")</f>
        <v>2</v>
      </c>
      <c r="N374" s="34" t="str">
        <f aca="false">IF(AND(ISNUMBER(I374),ISNUMBER(I$379)),IF(I374&gt;I$379,"Above",IF(I374&lt;I$379,"Below","At")),"-")</f>
        <v>Above</v>
      </c>
      <c r="O374" s="34" t="str">
        <f aca="false">IF(N374="Above","Better",IF(N374="Below","Weaker","-"))</f>
        <v>Better</v>
      </c>
    </row>
    <row r="375" customFormat="false" ht="15" hidden="false" customHeight="false" outlineLevel="0" collapsed="false">
      <c r="A375" s="18" t="s">
        <v>116</v>
      </c>
      <c r="B375" s="20" t="n">
        <f aca="false">Shreeji!D105</f>
        <v>30.3702359346642</v>
      </c>
      <c r="C375" s="20" t="n">
        <f aca="false">Shreeji!E105</f>
        <v>19.3840985442329</v>
      </c>
      <c r="D375" s="20" t="n">
        <f aca="false">Shreeji!F105</f>
        <v>22.4981617647059</v>
      </c>
      <c r="E375" s="20" t="n">
        <f aca="false">Shreeji!G105</f>
        <v>49.1557788944724</v>
      </c>
      <c r="F375" s="20" t="n">
        <f aca="false">Shreeji!H105</f>
        <v>817.411764705882</v>
      </c>
      <c r="G375" s="20" t="n">
        <f aca="false">Shreeji!I105</f>
        <v>653.894736842105</v>
      </c>
      <c r="H375" s="20" t="n">
        <f aca="false">Shreeji!J105</f>
        <v>1115.11111111111</v>
      </c>
      <c r="I375" s="21" t="n">
        <f aca="false">Shreeji!K105</f>
        <v>386.832269685311</v>
      </c>
      <c r="J375" s="34" t="str">
        <f aca="false">IF(AND(ISNUMBER(H375),ISNUMBER(H$379)),IF(H375&gt;H$379,"Above",IF(H375&lt;H$379,"Below","At")),"-")</f>
        <v>Above</v>
      </c>
      <c r="K375" s="34" t="str">
        <f aca="false">IF(J375="Above","Better",IF(J375="Below","Weaker","-"))</f>
        <v>Better</v>
      </c>
      <c r="L375" s="34" t="n">
        <f aca="false">IF(ISNUMBER(H375),RANK(H375,H$367:H$376,0),"-")</f>
        <v>1</v>
      </c>
      <c r="N375" s="34" t="str">
        <f aca="false">IF(AND(ISNUMBER(I375),ISNUMBER(I$379)),IF(I375&gt;I$379,"Above",IF(I375&lt;I$379,"Below","At")),"-")</f>
        <v>At</v>
      </c>
      <c r="O375" s="34" t="str">
        <f aca="false">IF(N375="Above","Better",IF(N375="Below","Weaker","-"))</f>
        <v>-</v>
      </c>
    </row>
    <row r="376" customFormat="false" ht="15" hidden="false" customHeight="false" outlineLevel="0" collapsed="false">
      <c r="A376" s="18" t="s">
        <v>117</v>
      </c>
      <c r="B376" s="20" t="str">
        <f aca="false">MahindraLog!D105</f>
        <v>N/M</v>
      </c>
      <c r="C376" s="20" t="str">
        <f aca="false">MahindraLog!E105</f>
        <v>N/M</v>
      </c>
      <c r="D376" s="20" t="n">
        <f aca="false">MahindraLog!F105</f>
        <v>4981.41258741259</v>
      </c>
      <c r="E376" s="20" t="n">
        <f aca="false">MahindraLog!G105</f>
        <v>4777.48913043478</v>
      </c>
      <c r="F376" s="20" t="n">
        <f aca="false">MahindraLog!H105</f>
        <v>22910.8780487805</v>
      </c>
      <c r="G376" s="20" t="str">
        <f aca="false">MahindraLog!I105</f>
        <v>N/M</v>
      </c>
      <c r="H376" s="20" t="str">
        <f aca="false">MahindraLog!J105</f>
        <v>N/M</v>
      </c>
      <c r="I376" s="21" t="n">
        <f aca="false">MahindraLog!K105</f>
        <v>10889.926588876</v>
      </c>
      <c r="J376" s="34" t="str">
        <f aca="false">IF(AND(ISNUMBER(H376),ISNUMBER(H$379)),IF(H376&gt;H$379,"Above",IF(H376&lt;H$379,"Below","At")),"-")</f>
        <v>-</v>
      </c>
      <c r="K376" s="34" t="str">
        <f aca="false">IF(J376="Above","Better",IF(J376="Below","Weaker","-"))</f>
        <v>-</v>
      </c>
      <c r="L376" s="34" t="str">
        <f aca="false">IF(ISNUMBER(H376),RANK(H376,H$367:H$376,0),"-")</f>
        <v>-</v>
      </c>
      <c r="N376" s="34" t="str">
        <f aca="false">IF(AND(ISNUMBER(I376),ISNUMBER(I$379)),IF(I376&gt;I$379,"Above",IF(I376&lt;I$379,"Below","At")),"-")</f>
        <v>Above</v>
      </c>
      <c r="O376" s="34" t="str">
        <f aca="false">IF(N376="Above","Better",IF(N376="Below","Weaker","-"))</f>
        <v>Better</v>
      </c>
    </row>
    <row r="377" customFormat="false" ht="15" hidden="false" customHeight="false" outlineLevel="0" collapsed="false">
      <c r="A377" s="12" t="s">
        <v>176</v>
      </c>
      <c r="B377" s="21" t="n">
        <f aca="false">Industry!D105</f>
        <v>218.968632819475</v>
      </c>
      <c r="C377" s="21" t="n">
        <f aca="false">Industry!E105</f>
        <v>222.450503262913</v>
      </c>
      <c r="D377" s="21" t="n">
        <f aca="false">Industry!F105</f>
        <v>319.081670822943</v>
      </c>
      <c r="E377" s="21" t="n">
        <f aca="false">Industry!G105</f>
        <v>340.415456348143</v>
      </c>
      <c r="F377" s="21" t="n">
        <f aca="false">Industry!H105</f>
        <v>273.13534604692</v>
      </c>
      <c r="G377" s="21" t="n">
        <f aca="false">Industry!I105</f>
        <v>187.026735624123</v>
      </c>
      <c r="H377" s="21" t="n">
        <f aca="false">Industry!J105</f>
        <v>196.986121819584</v>
      </c>
      <c r="I377" s="21" t="n">
        <f aca="false">Industry!K105</f>
        <v>251.152066677729</v>
      </c>
    </row>
    <row r="378" customFormat="false" ht="15" hidden="false" customHeight="false" outlineLevel="0" collapsed="false">
      <c r="A378" s="35" t="s">
        <v>177</v>
      </c>
      <c r="B378" s="37" t="n">
        <f aca="false">IFERROR(AVERAGE(B367:B376),"N/M")</f>
        <v>224.257803904107</v>
      </c>
      <c r="C378" s="37" t="n">
        <f aca="false">IFERROR(AVERAGE(C367:C376),"N/M")</f>
        <v>253.827413548662</v>
      </c>
      <c r="D378" s="37" t="n">
        <f aca="false">IFERROR(AVERAGE(D367:D376),"N/M")</f>
        <v>1053.07815799982</v>
      </c>
      <c r="E378" s="37" t="n">
        <f aca="false">IFERROR(AVERAGE(E367:E376),"N/M")</f>
        <v>1172.60365662692</v>
      </c>
      <c r="F378" s="37" t="n">
        <f aca="false">IFERROR(AVERAGE(F367:F376),"N/M")</f>
        <v>3963.95570890745</v>
      </c>
      <c r="G378" s="37" t="n">
        <f aca="false">IFERROR(AVERAGE(G367:G376),"N/M")</f>
        <v>382.523884089557</v>
      </c>
      <c r="H378" s="37" t="n">
        <f aca="false">IFERROR(AVERAGE(H367:H376),"N/M")</f>
        <v>389.019012577329</v>
      </c>
      <c r="I378" s="37" t="n">
        <f aca="false">IFERROR(AVERAGE(I367:I376),"N/M")</f>
        <v>1953.03774445851</v>
      </c>
    </row>
    <row r="379" customFormat="false" ht="15" hidden="false" customHeight="false" outlineLevel="0" collapsed="false">
      <c r="A379" s="35" t="s">
        <v>178</v>
      </c>
      <c r="B379" s="37" t="n">
        <f aca="false">IFERROR(MEDIAN(B367:B376),"N/M")</f>
        <v>118.452800310075</v>
      </c>
      <c r="C379" s="37" t="n">
        <f aca="false">IFERROR(MEDIAN(C367:C376),"N/M")</f>
        <v>109.556059816692</v>
      </c>
      <c r="D379" s="37" t="n">
        <f aca="false">IFERROR(MEDIAN(D367:D376),"N/M")</f>
        <v>175.457718603814</v>
      </c>
      <c r="E379" s="37" t="n">
        <f aca="false">IFERROR(MEDIAN(E367:E376),"N/M")</f>
        <v>154.493967146388</v>
      </c>
      <c r="F379" s="37" t="n">
        <f aca="false">IFERROR(MEDIAN(F367:F376),"N/M")</f>
        <v>422.015434083601</v>
      </c>
      <c r="G379" s="37" t="n">
        <f aca="false">IFERROR(MEDIAN(G367:G376),"N/M")</f>
        <v>273.210308568513</v>
      </c>
      <c r="H379" s="37" t="n">
        <f aca="false">IFERROR(MEDIAN(H367:H376),"N/M")</f>
        <v>268.701570680628</v>
      </c>
      <c r="I379" s="37" t="n">
        <f aca="false">IFERROR(MEDIAN(I367:I376),"N/M")</f>
        <v>386.832269685311</v>
      </c>
    </row>
    <row r="380" customFormat="false" ht="15" hidden="false" customHeight="false" outlineLevel="0" collapsed="false">
      <c r="A380" s="35" t="s">
        <v>179</v>
      </c>
      <c r="B380" s="37" t="n">
        <f aca="false">IFERROR(STDEV(B367:B376),"N/M")</f>
        <v>243.928476920412</v>
      </c>
      <c r="C380" s="37" t="n">
        <f aca="false">IFERROR(STDEV(C367:C376),"N/M")</f>
        <v>348.668423541897</v>
      </c>
      <c r="D380" s="37" t="n">
        <f aca="false">IFERROR(STDEV(D367:D376),"N/M")</f>
        <v>1839.51509957267</v>
      </c>
      <c r="E380" s="37" t="n">
        <f aca="false">IFERROR(STDEV(E367:E376),"N/M")</f>
        <v>1842.23523132541</v>
      </c>
      <c r="F380" s="37" t="n">
        <f aca="false">IFERROR(STDEV(F367:F376),"N/M")</f>
        <v>8433.70387604797</v>
      </c>
      <c r="G380" s="37" t="n">
        <f aca="false">IFERROR(STDEV(G367:G376),"N/M")</f>
        <v>360.118918984615</v>
      </c>
      <c r="H380" s="37" t="n">
        <f aca="false">IFERROR(STDEV(H367:H376),"N/M")</f>
        <v>423.547883551787</v>
      </c>
      <c r="I380" s="37" t="n">
        <f aca="false">IFERROR(STDEV(I367:I376),"N/M")</f>
        <v>3981.73438976222</v>
      </c>
    </row>
    <row r="381" customFormat="false" ht="15" hidden="false" customHeight="false" outlineLevel="0" collapsed="false">
      <c r="A381" s="35" t="s">
        <v>102</v>
      </c>
      <c r="B381" s="37" t="n">
        <f aca="false">IFERROR(MIN(B367:B376),"N/M")</f>
        <v>30.3702359346642</v>
      </c>
      <c r="C381" s="37" t="n">
        <f aca="false">IFERROR(MIN(C367:C376),"N/M")</f>
        <v>19.3840985442329</v>
      </c>
      <c r="D381" s="37" t="n">
        <f aca="false">IFERROR(MIN(D367:D376),"N/M")</f>
        <v>22.4981617647059</v>
      </c>
      <c r="E381" s="37" t="n">
        <f aca="false">IFERROR(MIN(E367:E376),"N/M")</f>
        <v>49.1557788944724</v>
      </c>
      <c r="F381" s="37" t="n">
        <f aca="false">IFERROR(MIN(F367:F376),"N/M")</f>
        <v>70.07150690941</v>
      </c>
      <c r="G381" s="37" t="n">
        <f aca="false">IFERROR(MIN(G367:G376),"N/M")</f>
        <v>68.1737616099071</v>
      </c>
      <c r="H381" s="37" t="n">
        <f aca="false">IFERROR(MIN(H367:H376),"N/M")</f>
        <v>69.6112403461431</v>
      </c>
      <c r="I381" s="37" t="n">
        <f aca="false">IFERROR(MIN(I367:I376),"N/M")</f>
        <v>69.1788007428306</v>
      </c>
    </row>
    <row r="382" customFormat="false" ht="15" hidden="false" customHeight="false" outlineLevel="0" collapsed="false">
      <c r="A382" s="35" t="s">
        <v>103</v>
      </c>
      <c r="B382" s="37" t="n">
        <f aca="false">IFERROR(MAX(B367:B376),"N/M")</f>
        <v>648.532451923077</v>
      </c>
      <c r="C382" s="37" t="n">
        <f aca="false">IFERROR(MAX(C367:C376),"N/M")</f>
        <v>921.561612720045</v>
      </c>
      <c r="D382" s="37" t="n">
        <f aca="false">IFERROR(MAX(D367:D376),"N/M")</f>
        <v>4981.41258741259</v>
      </c>
      <c r="E382" s="37" t="n">
        <f aca="false">IFERROR(MAX(E367:E376),"N/M")</f>
        <v>4777.48913043478</v>
      </c>
      <c r="F382" s="37" t="n">
        <f aca="false">IFERROR(MAX(F367:F376),"N/M")</f>
        <v>22910.8780487805</v>
      </c>
      <c r="G382" s="37" t="n">
        <f aca="false">IFERROR(MAX(G367:G376),"N/M")</f>
        <v>943.333333333333</v>
      </c>
      <c r="H382" s="37" t="n">
        <f aca="false">IFERROR(MAX(H367:H376),"N/M")</f>
        <v>1115.11111111111</v>
      </c>
      <c r="I382" s="37" t="n">
        <f aca="false">IFERROR(MAX(I367:I376),"N/M")</f>
        <v>10889.926588876</v>
      </c>
    </row>
    <row r="384" customFormat="false" ht="15" hidden="false" customHeight="false" outlineLevel="0" collapsed="false">
      <c r="A384" s="16" t="s">
        <v>200</v>
      </c>
      <c r="B384" s="17"/>
      <c r="C384" s="17"/>
      <c r="D384" s="17"/>
      <c r="E384" s="17"/>
      <c r="F384" s="17"/>
      <c r="G384" s="17"/>
      <c r="H384" s="17"/>
      <c r="I384" s="17"/>
      <c r="J384" s="17"/>
      <c r="K384" s="17"/>
      <c r="L384" s="17"/>
      <c r="M384" s="17"/>
    </row>
    <row r="385" customFormat="false" ht="15" hidden="false" customHeight="false" outlineLevel="0" collapsed="false">
      <c r="A385" s="18" t="s">
        <v>110</v>
      </c>
      <c r="B385" s="26" t="str">
        <f aca="false">Tiger!D106</f>
        <v>N/M</v>
      </c>
      <c r="C385" s="26" t="str">
        <f aca="false">Tiger!E106</f>
        <v>N/M</v>
      </c>
      <c r="D385" s="26" t="str">
        <f aca="false">Tiger!F106</f>
        <v>N/M</v>
      </c>
      <c r="E385" s="26" t="str">
        <f aca="false">Tiger!G106</f>
        <v>N/M</v>
      </c>
      <c r="F385" s="26" t="str">
        <f aca="false">Tiger!H106</f>
        <v>N/M</v>
      </c>
      <c r="G385" s="26" t="str">
        <f aca="false">Tiger!I106</f>
        <v>N/M</v>
      </c>
      <c r="H385" s="26" t="str">
        <f aca="false">Tiger!J106</f>
        <v>N/M</v>
      </c>
      <c r="I385" s="27" t="str">
        <f aca="false">Tiger!K106</f>
        <v>N/M</v>
      </c>
      <c r="J385" s="34" t="str">
        <f aca="false">IF(AND(ISNUMBER(H385),ISNUMBER(H$397)),IF(H385&gt;H$397,"Above",IF(H385&lt;H$397,"Below","At")),"-")</f>
        <v>-</v>
      </c>
      <c r="K385" s="34" t="str">
        <f aca="false">IF(J385="Below","Better",IF(J385="Above","Weaker","-"))</f>
        <v>-</v>
      </c>
      <c r="L385" s="34" t="str">
        <f aca="false">IF(ISNUMBER(H385),RANK(H385,H$385:H$394,1),"-")</f>
        <v>-</v>
      </c>
      <c r="N385" s="34" t="str">
        <f aca="false">IF(AND(ISNUMBER(I385),ISNUMBER(I$397)),IF(I385&gt;I$397,"Above",IF(I385&lt;I$397,"Below","At")),"-")</f>
        <v>-</v>
      </c>
      <c r="O385" s="34" t="str">
        <f aca="false">IF(N385="Below","Better",IF(N385="Above","Weaker","-"))</f>
        <v>-</v>
      </c>
    </row>
    <row r="386" customFormat="false" ht="15" hidden="false" customHeight="false" outlineLevel="0" collapsed="false">
      <c r="A386" s="18" t="s">
        <v>111</v>
      </c>
      <c r="B386" s="26" t="n">
        <f aca="false">Allcargo!D106</f>
        <v>0.562809153061924</v>
      </c>
      <c r="C386" s="26" t="n">
        <f aca="false">Allcargo!E106</f>
        <v>0.396066844540844</v>
      </c>
      <c r="D386" s="26" t="n">
        <f aca="false">Allcargo!F106</f>
        <v>0.207220813722548</v>
      </c>
      <c r="E386" s="26" t="n">
        <f aca="false">Allcargo!G106</f>
        <v>0.138757879682072</v>
      </c>
      <c r="F386" s="26" t="n">
        <f aca="false">Allcargo!H106</f>
        <v>0.110196330613144</v>
      </c>
      <c r="G386" s="26" t="n">
        <f aca="false">Allcargo!I106</f>
        <v>0.386925795053004</v>
      </c>
      <c r="H386" s="26" t="str">
        <f aca="false">Allcargo!J106</f>
        <v>N/M</v>
      </c>
      <c r="I386" s="27" t="n">
        <f aca="false">Allcargo!K106</f>
        <v>0.300329469445589</v>
      </c>
      <c r="J386" s="34" t="str">
        <f aca="false">IF(AND(ISNUMBER(H386),ISNUMBER(H$397)),IF(H386&gt;H$397,"Above",IF(H386&lt;H$397,"Below","At")),"-")</f>
        <v>-</v>
      </c>
      <c r="K386" s="34" t="str">
        <f aca="false">IF(J386="Below","Better",IF(J386="Above","Weaker","-"))</f>
        <v>-</v>
      </c>
      <c r="L386" s="34" t="str">
        <f aca="false">IF(ISNUMBER(H386),RANK(H386,H$385:H$394,1),"-")</f>
        <v>-</v>
      </c>
      <c r="N386" s="34" t="str">
        <f aca="false">IF(AND(ISNUMBER(I386),ISNUMBER(I$397)),IF(I386&gt;I$397,"Above",IF(I386&lt;I$397,"Below","At")),"-")</f>
        <v>Below</v>
      </c>
      <c r="O386" s="34" t="str">
        <f aca="false">IF(N386="Below","Better",IF(N386="Above","Weaker","-"))</f>
        <v>Better</v>
      </c>
    </row>
    <row r="387" customFormat="false" ht="15" hidden="false" customHeight="false" outlineLevel="0" collapsed="false">
      <c r="A387" s="18" t="s">
        <v>112</v>
      </c>
      <c r="B387" s="26" t="n">
        <f aca="false">BlueDart!D106</f>
        <v>5.60955523722808</v>
      </c>
      <c r="C387" s="26" t="n">
        <f aca="false">BlueDart!E106</f>
        <v>6.49005209940639</v>
      </c>
      <c r="D387" s="26" t="n">
        <f aca="false">BlueDart!F106</f>
        <v>5.12649507566356</v>
      </c>
      <c r="E387" s="26" t="n">
        <f aca="false">BlueDart!G106</f>
        <v>4.35099337748344</v>
      </c>
      <c r="F387" s="26" t="n">
        <f aca="false">BlueDart!H106</f>
        <v>5.20896461484524</v>
      </c>
      <c r="G387" s="26" t="n">
        <f aca="false">BlueDart!I106</f>
        <v>5.35396597430759</v>
      </c>
      <c r="H387" s="26" t="n">
        <f aca="false">BlueDart!J106</f>
        <v>5.24340606754069</v>
      </c>
      <c r="I387" s="27" t="n">
        <f aca="false">BlueDart!K106</f>
        <v>5.34049034949643</v>
      </c>
      <c r="J387" s="34" t="str">
        <f aca="false">IF(AND(ISNUMBER(H387),ISNUMBER(H$397)),IF(H387&gt;H$397,"Above",IF(H387&lt;H$397,"Below","At")),"-")</f>
        <v>Above</v>
      </c>
      <c r="K387" s="34" t="str">
        <f aca="false">IF(J387="Below","Better",IF(J387="Above","Weaker","-"))</f>
        <v>Weaker</v>
      </c>
      <c r="L387" s="34" t="n">
        <f aca="false">IF(ISNUMBER(H387),RANK(H387,H$385:H$394,1),"-")</f>
        <v>5</v>
      </c>
      <c r="N387" s="34" t="str">
        <f aca="false">IF(AND(ISNUMBER(I387),ISNUMBER(I$397)),IF(I387&gt;I$397,"Above",IF(I387&lt;I$397,"Below","At")),"-")</f>
        <v>Above</v>
      </c>
      <c r="O387" s="34" t="str">
        <f aca="false">IF(N387="Below","Better",IF(N387="Above","Weaker","-"))</f>
        <v>Weaker</v>
      </c>
    </row>
    <row r="388" customFormat="false" ht="15" hidden="false" customHeight="false" outlineLevel="0" collapsed="false">
      <c r="A388" s="18" t="s">
        <v>67</v>
      </c>
      <c r="B388" s="26" t="n">
        <f aca="false">CONCOR!D106</f>
        <v>2.12409296236287</v>
      </c>
      <c r="C388" s="26" t="n">
        <f aca="false">CONCOR!E106</f>
        <v>2.24102085604173</v>
      </c>
      <c r="D388" s="26" t="n">
        <f aca="false">CONCOR!F106</f>
        <v>2.08027325844909</v>
      </c>
      <c r="E388" s="26" t="n">
        <f aca="false">CONCOR!G106</f>
        <v>2.3625517988942</v>
      </c>
      <c r="F388" s="26" t="n">
        <f aca="false">CONCOR!H106</f>
        <v>2.80445295431671</v>
      </c>
      <c r="G388" s="26" t="n">
        <f aca="false">CONCOR!I106</f>
        <v>3.08735630053284</v>
      </c>
      <c r="H388" s="26" t="n">
        <f aca="false">CONCOR!J106</f>
        <v>3.10231002555074</v>
      </c>
      <c r="I388" s="27" t="n">
        <f aca="false">CONCOR!K106</f>
        <v>2.54315116516403</v>
      </c>
      <c r="J388" s="34" t="str">
        <f aca="false">IF(AND(ISNUMBER(H388),ISNUMBER(H$397)),IF(H388&gt;H$397,"Above",IF(H388&lt;H$397,"Below","At")),"-")</f>
        <v>Above</v>
      </c>
      <c r="K388" s="34" t="str">
        <f aca="false">IF(J388="Below","Better",IF(J388="Above","Weaker","-"))</f>
        <v>Weaker</v>
      </c>
      <c r="L388" s="34" t="n">
        <f aca="false">IF(ISNUMBER(H388),RANK(H388,H$385:H$394,1),"-")</f>
        <v>4</v>
      </c>
      <c r="N388" s="34" t="str">
        <f aca="false">IF(AND(ISNUMBER(I388),ISNUMBER(I$397)),IF(I388&gt;I$397,"Above",IF(I388&lt;I$397,"Below","At")),"-")</f>
        <v>At</v>
      </c>
      <c r="O388" s="34" t="str">
        <f aca="false">IF(N388="Below","Better",IF(N388="Above","Weaker","-"))</f>
        <v>-</v>
      </c>
    </row>
    <row r="389" customFormat="false" ht="15" hidden="false" customHeight="false" outlineLevel="0" collapsed="false">
      <c r="A389" s="18" t="s">
        <v>113</v>
      </c>
      <c r="B389" s="26" t="str">
        <f aca="false">JetFreight!D106</f>
        <v>N/M</v>
      </c>
      <c r="C389" s="26" t="str">
        <f aca="false">JetFreight!E106</f>
        <v>N/M</v>
      </c>
      <c r="D389" s="26" t="str">
        <f aca="false">JetFreight!F106</f>
        <v>N/M</v>
      </c>
      <c r="E389" s="26" t="str">
        <f aca="false">JetFreight!G106</f>
        <v>N/M</v>
      </c>
      <c r="F389" s="26" t="str">
        <f aca="false">JetFreight!H106</f>
        <v>N/M</v>
      </c>
      <c r="G389" s="26" t="str">
        <f aca="false">JetFreight!I106</f>
        <v>N/M</v>
      </c>
      <c r="H389" s="26" t="str">
        <f aca="false">JetFreight!J106</f>
        <v>N/M</v>
      </c>
      <c r="I389" s="27" t="str">
        <f aca="false">JetFreight!K106</f>
        <v>N/M</v>
      </c>
      <c r="J389" s="34" t="str">
        <f aca="false">IF(AND(ISNUMBER(H389),ISNUMBER(H$397)),IF(H389&gt;H$397,"Above",IF(H389&lt;H$397,"Below","At")),"-")</f>
        <v>-</v>
      </c>
      <c r="K389" s="34" t="str">
        <f aca="false">IF(J389="Below","Better",IF(J389="Above","Weaker","-"))</f>
        <v>-</v>
      </c>
      <c r="L389" s="34" t="str">
        <f aca="false">IF(ISNUMBER(H389),RANK(H389,H$385:H$394,1),"-")</f>
        <v>-</v>
      </c>
      <c r="N389" s="34" t="str">
        <f aca="false">IF(AND(ISNUMBER(I389),ISNUMBER(I$397)),IF(I389&gt;I$397,"Above",IF(I389&lt;I$397,"Below","At")),"-")</f>
        <v>-</v>
      </c>
      <c r="O389" s="34" t="str">
        <f aca="false">IF(N389="Below","Better",IF(N389="Above","Weaker","-"))</f>
        <v>-</v>
      </c>
    </row>
    <row r="390" customFormat="false" ht="15" hidden="false" customHeight="false" outlineLevel="0" collapsed="false">
      <c r="A390" s="18" t="s">
        <v>114</v>
      </c>
      <c r="B390" s="26" t="str">
        <f aca="false">Patel!D106</f>
        <v>N/M</v>
      </c>
      <c r="C390" s="26" t="str">
        <f aca="false">Patel!E106</f>
        <v>N/M</v>
      </c>
      <c r="D390" s="26" t="str">
        <f aca="false">Patel!F106</f>
        <v>N/M</v>
      </c>
      <c r="E390" s="26" t="str">
        <f aca="false">Patel!G106</f>
        <v>N/M</v>
      </c>
      <c r="F390" s="26" t="str">
        <f aca="false">Patel!H106</f>
        <v>N/M</v>
      </c>
      <c r="G390" s="26" t="str">
        <f aca="false">Patel!I106</f>
        <v>N/M</v>
      </c>
      <c r="H390" s="26" t="str">
        <f aca="false">Patel!J106</f>
        <v>N/M</v>
      </c>
      <c r="I390" s="27" t="str">
        <f aca="false">Patel!K106</f>
        <v>N/M</v>
      </c>
      <c r="J390" s="34" t="str">
        <f aca="false">IF(AND(ISNUMBER(H390),ISNUMBER(H$397)),IF(H390&gt;H$397,"Above",IF(H390&lt;H$397,"Below","At")),"-")</f>
        <v>-</v>
      </c>
      <c r="K390" s="34" t="str">
        <f aca="false">IF(J390="Below","Better",IF(J390="Above","Weaker","-"))</f>
        <v>-</v>
      </c>
      <c r="L390" s="34" t="str">
        <f aca="false">IF(ISNUMBER(H390),RANK(H390,H$385:H$394,1),"-")</f>
        <v>-</v>
      </c>
      <c r="N390" s="34" t="str">
        <f aca="false">IF(AND(ISNUMBER(I390),ISNUMBER(I$397)),IF(I390&gt;I$397,"Above",IF(I390&lt;I$397,"Below","At")),"-")</f>
        <v>-</v>
      </c>
      <c r="O390" s="34" t="str">
        <f aca="false">IF(N390="Below","Better",IF(N390="Above","Weaker","-"))</f>
        <v>-</v>
      </c>
    </row>
    <row r="391" customFormat="false" ht="15" hidden="false" customHeight="false" outlineLevel="0" collapsed="false">
      <c r="A391" s="18" t="s">
        <v>115</v>
      </c>
      <c r="B391" s="26" t="n">
        <f aca="false">Sical!D106</f>
        <v>6.73610778443114</v>
      </c>
      <c r="C391" s="26" t="n">
        <f aca="false">Sical!E106</f>
        <v>14.8567458049769</v>
      </c>
      <c r="D391" s="26" t="n">
        <f aca="false">Sical!F106</f>
        <v>14.3785028667139</v>
      </c>
      <c r="E391" s="26" t="n">
        <f aca="false">Sical!G106</f>
        <v>6.38897525183435</v>
      </c>
      <c r="F391" s="26" t="n">
        <f aca="false">Sical!H106</f>
        <v>4.29952755905512</v>
      </c>
      <c r="G391" s="26" t="n">
        <f aca="false">Sical!I106</f>
        <v>4.38065592709069</v>
      </c>
      <c r="H391" s="26" t="n">
        <f aca="false">Sical!J106</f>
        <v>1.3583843186158</v>
      </c>
      <c r="I391" s="27" t="n">
        <f aca="false">Sical!K106</f>
        <v>7.48555707324541</v>
      </c>
      <c r="J391" s="34" t="str">
        <f aca="false">IF(AND(ISNUMBER(H391),ISNUMBER(H$397)),IF(H391&gt;H$397,"Above",IF(H391&lt;H$397,"Below","At")),"-")</f>
        <v>At</v>
      </c>
      <c r="K391" s="34" t="str">
        <f aca="false">IF(J391="Below","Better",IF(J391="Above","Weaker","-"))</f>
        <v>-</v>
      </c>
      <c r="L391" s="34" t="n">
        <f aca="false">IF(ISNUMBER(H391),RANK(H391,H$385:H$394,1),"-")</f>
        <v>3</v>
      </c>
      <c r="N391" s="34" t="str">
        <f aca="false">IF(AND(ISNUMBER(I391),ISNUMBER(I$397)),IF(I391&gt;I$397,"Above",IF(I391&lt;I$397,"Below","At")),"-")</f>
        <v>Above</v>
      </c>
      <c r="O391" s="34" t="str">
        <f aca="false">IF(N391="Below","Better",IF(N391="Above","Weaker","-"))</f>
        <v>Weaker</v>
      </c>
    </row>
    <row r="392" customFormat="false" ht="15" hidden="false" customHeight="false" outlineLevel="0" collapsed="false">
      <c r="A392" s="18" t="s">
        <v>86</v>
      </c>
      <c r="B392" s="26" t="n">
        <f aca="false">TCI!D106</f>
        <v>0.971900256876136</v>
      </c>
      <c r="C392" s="26" t="n">
        <f aca="false">TCI!E106</f>
        <v>1.07880066620067</v>
      </c>
      <c r="D392" s="26" t="n">
        <f aca="false">TCI!F106</f>
        <v>1.09219730114891</v>
      </c>
      <c r="E392" s="26" t="n">
        <f aca="false">TCI!G106</f>
        <v>0.801164345585597</v>
      </c>
      <c r="F392" s="26" t="n">
        <f aca="false">TCI!H106</f>
        <v>0.864897277495528</v>
      </c>
      <c r="G392" s="26" t="n">
        <f aca="false">TCI!I106</f>
        <v>0.852412402897506</v>
      </c>
      <c r="H392" s="26" t="n">
        <f aca="false">TCI!J106</f>
        <v>0.975891789445184</v>
      </c>
      <c r="I392" s="27" t="n">
        <f aca="false">TCI!K106</f>
        <v>0.948180577092791</v>
      </c>
      <c r="J392" s="34" t="str">
        <f aca="false">IF(AND(ISNUMBER(H392),ISNUMBER(H$397)),IF(H392&gt;H$397,"Above",IF(H392&lt;H$397,"Below","At")),"-")</f>
        <v>Below</v>
      </c>
      <c r="K392" s="34" t="str">
        <f aca="false">IF(J392="Below","Better",IF(J392="Above","Weaker","-"))</f>
        <v>Better</v>
      </c>
      <c r="L392" s="34" t="n">
        <f aca="false">IF(ISNUMBER(H392),RANK(H392,H$385:H$394,1),"-")</f>
        <v>2</v>
      </c>
      <c r="N392" s="34" t="str">
        <f aca="false">IF(AND(ISNUMBER(I392),ISNUMBER(I$397)),IF(I392&gt;I$397,"Above",IF(I392&lt;I$397,"Below","At")),"-")</f>
        <v>Below</v>
      </c>
      <c r="O392" s="34" t="str">
        <f aca="false">IF(N392="Below","Better",IF(N392="Above","Weaker","-"))</f>
        <v>Better</v>
      </c>
    </row>
    <row r="393" customFormat="false" ht="15" hidden="false" customHeight="false" outlineLevel="0" collapsed="false">
      <c r="A393" s="18" t="s">
        <v>116</v>
      </c>
      <c r="B393" s="26" t="n">
        <f aca="false">Shreeji!D106</f>
        <v>12.0183458826342</v>
      </c>
      <c r="C393" s="26" t="n">
        <f aca="false">Shreeji!E106</f>
        <v>18.8298671288273</v>
      </c>
      <c r="D393" s="26" t="n">
        <f aca="false">Shreeji!F106</f>
        <v>16.2235476754637</v>
      </c>
      <c r="E393" s="26" t="n">
        <f aca="false">Shreeji!G106</f>
        <v>7.42537313432836</v>
      </c>
      <c r="F393" s="26" t="n">
        <f aca="false">Shreeji!H106</f>
        <v>0.446531375935521</v>
      </c>
      <c r="G393" s="26" t="n">
        <f aca="false">Shreeji!I106</f>
        <v>0.558193818415969</v>
      </c>
      <c r="H393" s="26" t="n">
        <f aca="false">Shreeji!J106</f>
        <v>0.327321642088481</v>
      </c>
      <c r="I393" s="27" t="n">
        <f aca="false">Shreeji!K106</f>
        <v>7.97559723681335</v>
      </c>
      <c r="J393" s="34" t="str">
        <f aca="false">IF(AND(ISNUMBER(H393),ISNUMBER(H$397)),IF(H393&gt;H$397,"Above",IF(H393&lt;H$397,"Below","At")),"-")</f>
        <v>Below</v>
      </c>
      <c r="K393" s="34" t="str">
        <f aca="false">IF(J393="Below","Better",IF(J393="Above","Weaker","-"))</f>
        <v>Better</v>
      </c>
      <c r="L393" s="34" t="n">
        <f aca="false">IF(ISNUMBER(H393),RANK(H393,H$385:H$394,1),"-")</f>
        <v>1</v>
      </c>
      <c r="N393" s="34" t="str">
        <f aca="false">IF(AND(ISNUMBER(I393),ISNUMBER(I$397)),IF(I393&gt;I$397,"Above",IF(I393&lt;I$397,"Below","At")),"-")</f>
        <v>Above</v>
      </c>
      <c r="O393" s="34" t="str">
        <f aca="false">IF(N393="Below","Better",IF(N393="Above","Weaker","-"))</f>
        <v>Weaker</v>
      </c>
    </row>
    <row r="394" customFormat="false" ht="15" hidden="false" customHeight="false" outlineLevel="0" collapsed="false">
      <c r="A394" s="18" t="s">
        <v>117</v>
      </c>
      <c r="B394" s="26" t="str">
        <f aca="false">MahindraLog!D106</f>
        <v>N/M</v>
      </c>
      <c r="C394" s="26" t="str">
        <f aca="false">MahindraLog!E106</f>
        <v>N/M</v>
      </c>
      <c r="D394" s="26" t="n">
        <f aca="false">MahindraLog!F106</f>
        <v>0.0732723888244691</v>
      </c>
      <c r="E394" s="26" t="n">
        <f aca="false">MahindraLog!G106</f>
        <v>0.0763999645074614</v>
      </c>
      <c r="F394" s="26" t="n">
        <f aca="false">MahindraLog!H106</f>
        <v>0.0159312968810215</v>
      </c>
      <c r="G394" s="26" t="str">
        <f aca="false">MahindraLog!I106</f>
        <v>N/M</v>
      </c>
      <c r="H394" s="26" t="str">
        <f aca="false">MahindraLog!J106</f>
        <v>N/M</v>
      </c>
      <c r="I394" s="27" t="n">
        <f aca="false">MahindraLog!K106</f>
        <v>0.0552012167376507</v>
      </c>
      <c r="J394" s="34" t="str">
        <f aca="false">IF(AND(ISNUMBER(H394),ISNUMBER(H$397)),IF(H394&gt;H$397,"Above",IF(H394&lt;H$397,"Below","At")),"-")</f>
        <v>-</v>
      </c>
      <c r="K394" s="34" t="str">
        <f aca="false">IF(J394="Below","Better",IF(J394="Above","Weaker","-"))</f>
        <v>-</v>
      </c>
      <c r="L394" s="34" t="str">
        <f aca="false">IF(ISNUMBER(H394),RANK(H394,H$385:H$394,1),"-")</f>
        <v>-</v>
      </c>
      <c r="N394" s="34" t="str">
        <f aca="false">IF(AND(ISNUMBER(I394),ISNUMBER(I$397)),IF(I394&gt;I$397,"Above",IF(I394&lt;I$397,"Below","At")),"-")</f>
        <v>Below</v>
      </c>
      <c r="O394" s="34" t="str">
        <f aca="false">IF(N394="Below","Better",IF(N394="Above","Weaker","-"))</f>
        <v>Better</v>
      </c>
    </row>
    <row r="395" customFormat="false" ht="15" hidden="false" customHeight="false" outlineLevel="0" collapsed="false">
      <c r="A395" s="12" t="s">
        <v>176</v>
      </c>
      <c r="B395" s="27" t="n">
        <f aca="false">Industry!D106</f>
        <v>1.66690541608724</v>
      </c>
      <c r="C395" s="27" t="n">
        <f aca="false">Industry!E106</f>
        <v>1.64081444926473</v>
      </c>
      <c r="D395" s="27" t="n">
        <f aca="false">Industry!F106</f>
        <v>1.14390776210564</v>
      </c>
      <c r="E395" s="27" t="n">
        <f aca="false">Industry!G106</f>
        <v>1.07221923444837</v>
      </c>
      <c r="F395" s="27" t="n">
        <f aca="false">Industry!H106</f>
        <v>1.33633381868233</v>
      </c>
      <c r="G395" s="27" t="n">
        <f aca="false">Industry!I106</f>
        <v>1.95159263611144</v>
      </c>
      <c r="H395" s="27" t="n">
        <f aca="false">Industry!J106</f>
        <v>1.85292241213976</v>
      </c>
      <c r="I395" s="27" t="n">
        <f aca="false">Industry!K106</f>
        <v>1.52352796126279</v>
      </c>
    </row>
    <row r="396" customFormat="false" ht="15" hidden="false" customHeight="false" outlineLevel="0" collapsed="false">
      <c r="A396" s="35" t="s">
        <v>177</v>
      </c>
      <c r="B396" s="38" t="n">
        <f aca="false">IFERROR(AVERAGE(B385:B394),"N/M")</f>
        <v>4.67046854609905</v>
      </c>
      <c r="C396" s="38" t="n">
        <f aca="false">IFERROR(AVERAGE(C385:C394),"N/M")</f>
        <v>7.31542556666563</v>
      </c>
      <c r="D396" s="38" t="n">
        <f aca="false">IFERROR(AVERAGE(D385:D394),"N/M")</f>
        <v>5.59735848285517</v>
      </c>
      <c r="E396" s="38" t="n">
        <f aca="false">IFERROR(AVERAGE(E385:E394),"N/M")</f>
        <v>3.07774510747364</v>
      </c>
      <c r="F396" s="38" t="n">
        <f aca="false">IFERROR(AVERAGE(F385:F394),"N/M")</f>
        <v>1.96435734416318</v>
      </c>
      <c r="G396" s="38" t="n">
        <f aca="false">IFERROR(AVERAGE(G385:G394),"N/M")</f>
        <v>2.43658503638293</v>
      </c>
      <c r="H396" s="38" t="n">
        <f aca="false">IFERROR(AVERAGE(H385:H394),"N/M")</f>
        <v>2.20146276864818</v>
      </c>
      <c r="I396" s="38" t="n">
        <f aca="false">IFERROR(AVERAGE(I385:I394),"N/M")</f>
        <v>3.52121529828503</v>
      </c>
    </row>
    <row r="397" customFormat="false" ht="15" hidden="false" customHeight="false" outlineLevel="0" collapsed="false">
      <c r="A397" s="35" t="s">
        <v>178</v>
      </c>
      <c r="B397" s="38" t="n">
        <f aca="false">IFERROR(MEDIAN(B385:B394),"N/M")</f>
        <v>3.86682409979547</v>
      </c>
      <c r="C397" s="38" t="n">
        <f aca="false">IFERROR(MEDIAN(C385:C394),"N/M")</f>
        <v>4.36553647772406</v>
      </c>
      <c r="D397" s="38" t="n">
        <f aca="false">IFERROR(MEDIAN(D385:D394),"N/M")</f>
        <v>2.08027325844909</v>
      </c>
      <c r="E397" s="38" t="n">
        <f aca="false">IFERROR(MEDIAN(E385:E394),"N/M")</f>
        <v>2.3625517988942</v>
      </c>
      <c r="F397" s="38" t="n">
        <f aca="false">IFERROR(MEDIAN(F385:F394),"N/M")</f>
        <v>0.864897277495528</v>
      </c>
      <c r="G397" s="38" t="n">
        <f aca="false">IFERROR(MEDIAN(G385:G394),"N/M")</f>
        <v>1.96988435171517</v>
      </c>
      <c r="H397" s="38" t="n">
        <f aca="false">IFERROR(MEDIAN(H385:H394),"N/M")</f>
        <v>1.3583843186158</v>
      </c>
      <c r="I397" s="38" t="n">
        <f aca="false">IFERROR(MEDIAN(I385:I394),"N/M")</f>
        <v>2.54315116516403</v>
      </c>
    </row>
    <row r="398" customFormat="false" ht="15" hidden="false" customHeight="false" outlineLevel="0" collapsed="false">
      <c r="A398" s="35" t="s">
        <v>179</v>
      </c>
      <c r="B398" s="38" t="n">
        <f aca="false">IFERROR(STDEV(B385:B394),"N/M")</f>
        <v>4.3858032861007</v>
      </c>
      <c r="C398" s="38" t="n">
        <f aca="false">IFERROR(STDEV(C385:C394),"N/M")</f>
        <v>7.78020199258862</v>
      </c>
      <c r="D398" s="38" t="n">
        <f aca="false">IFERROR(STDEV(D385:D394),"N/M")</f>
        <v>6.8615059427076</v>
      </c>
      <c r="E398" s="38" t="n">
        <f aca="false">IFERROR(STDEV(E385:E394),"N/M")</f>
        <v>3.02289363889036</v>
      </c>
      <c r="F398" s="38" t="n">
        <f aca="false">IFERROR(STDEV(F385:F394),"N/M")</f>
        <v>2.13826807415098</v>
      </c>
      <c r="G398" s="38" t="n">
        <f aca="false">IFERROR(STDEV(G385:G394),"N/M")</f>
        <v>2.14257256163218</v>
      </c>
      <c r="H398" s="38" t="n">
        <f aca="false">IFERROR(STDEV(H385:H394),"N/M")</f>
        <v>1.98684141756344</v>
      </c>
      <c r="I398" s="38" t="n">
        <f aca="false">IFERROR(STDEV(I385:I394),"N/M")</f>
        <v>3.387028248475</v>
      </c>
    </row>
    <row r="399" customFormat="false" ht="15" hidden="false" customHeight="false" outlineLevel="0" collapsed="false">
      <c r="A399" s="35" t="s">
        <v>102</v>
      </c>
      <c r="B399" s="38" t="n">
        <f aca="false">IFERROR(MIN(B385:B394),"N/M")</f>
        <v>0.562809153061924</v>
      </c>
      <c r="C399" s="38" t="n">
        <f aca="false">IFERROR(MIN(C385:C394),"N/M")</f>
        <v>0.396066844540844</v>
      </c>
      <c r="D399" s="38" t="n">
        <f aca="false">IFERROR(MIN(D385:D394),"N/M")</f>
        <v>0.0732723888244691</v>
      </c>
      <c r="E399" s="38" t="n">
        <f aca="false">IFERROR(MIN(E385:E394),"N/M")</f>
        <v>0.0763999645074614</v>
      </c>
      <c r="F399" s="38" t="n">
        <f aca="false">IFERROR(MIN(F385:F394),"N/M")</f>
        <v>0.0159312968810215</v>
      </c>
      <c r="G399" s="38" t="n">
        <f aca="false">IFERROR(MIN(G385:G394),"N/M")</f>
        <v>0.386925795053004</v>
      </c>
      <c r="H399" s="38" t="n">
        <f aca="false">IFERROR(MIN(H385:H394),"N/M")</f>
        <v>0.327321642088481</v>
      </c>
      <c r="I399" s="38" t="n">
        <f aca="false">IFERROR(MIN(I385:I394),"N/M")</f>
        <v>0.0552012167376507</v>
      </c>
    </row>
    <row r="400" customFormat="false" ht="15" hidden="false" customHeight="false" outlineLevel="0" collapsed="false">
      <c r="A400" s="35" t="s">
        <v>103</v>
      </c>
      <c r="B400" s="38" t="n">
        <f aca="false">IFERROR(MAX(B385:B394),"N/M")</f>
        <v>12.0183458826342</v>
      </c>
      <c r="C400" s="38" t="n">
        <f aca="false">IFERROR(MAX(C385:C394),"N/M")</f>
        <v>18.8298671288273</v>
      </c>
      <c r="D400" s="38" t="n">
        <f aca="false">IFERROR(MAX(D385:D394),"N/M")</f>
        <v>16.2235476754637</v>
      </c>
      <c r="E400" s="38" t="n">
        <f aca="false">IFERROR(MAX(E385:E394),"N/M")</f>
        <v>7.42537313432836</v>
      </c>
      <c r="F400" s="38" t="n">
        <f aca="false">IFERROR(MAX(F385:F394),"N/M")</f>
        <v>5.20896461484524</v>
      </c>
      <c r="G400" s="38" t="n">
        <f aca="false">IFERROR(MAX(G385:G394),"N/M")</f>
        <v>5.35396597430759</v>
      </c>
      <c r="H400" s="38" t="n">
        <f aca="false">IFERROR(MAX(H385:H394),"N/M")</f>
        <v>5.24340606754069</v>
      </c>
      <c r="I400" s="38" t="n">
        <f aca="false">IFERROR(MAX(I385:I394),"N/M")</f>
        <v>7.97559723681335</v>
      </c>
    </row>
    <row r="402" customFormat="false" ht="15" hidden="false" customHeight="false" outlineLevel="0" collapsed="false">
      <c r="A402" s="16" t="s">
        <v>201</v>
      </c>
      <c r="B402" s="17"/>
      <c r="C402" s="17"/>
      <c r="D402" s="17"/>
      <c r="E402" s="17"/>
      <c r="F402" s="17"/>
      <c r="G402" s="17"/>
      <c r="H402" s="17"/>
      <c r="I402" s="17"/>
      <c r="J402" s="17"/>
      <c r="K402" s="17"/>
      <c r="L402" s="17"/>
      <c r="M402" s="17"/>
    </row>
    <row r="403" customFormat="false" ht="15" hidden="false" customHeight="false" outlineLevel="0" collapsed="false">
      <c r="A403" s="18" t="s">
        <v>110</v>
      </c>
      <c r="B403" s="20" t="n">
        <f aca="false">Tiger!D107</f>
        <v>3.61378483667965</v>
      </c>
      <c r="C403" s="20" t="n">
        <f aca="false">Tiger!E107</f>
        <v>3.08896862636857</v>
      </c>
      <c r="D403" s="20" t="n">
        <f aca="false">Tiger!F107</f>
        <v>11.0008047929894</v>
      </c>
      <c r="E403" s="20" t="n">
        <f aca="false">Tiger!G107</f>
        <v>7.34740590030519</v>
      </c>
      <c r="F403" s="20" t="n">
        <f aca="false">Tiger!H107</f>
        <v>4.03493156436309</v>
      </c>
      <c r="G403" s="20" t="n">
        <f aca="false">Tiger!I107</f>
        <v>6.21916855105236</v>
      </c>
      <c r="H403" s="20" t="n">
        <f aca="false">Tiger!J107</f>
        <v>4.34431762162982</v>
      </c>
      <c r="I403" s="21" t="n">
        <f aca="false">Tiger!K107</f>
        <v>5.66419741334115</v>
      </c>
      <c r="J403" s="34" t="str">
        <f aca="false">IF(AND(ISNUMBER(H403),ISNUMBER(H$415)),IF(H403&gt;H$415,"Above",IF(H403&lt;H$415,"Below","At")),"-")</f>
        <v>Below</v>
      </c>
      <c r="K403" s="34" t="str">
        <f aca="false">IF(J403="Above","Better",IF(J403="Below","Weaker","-"))</f>
        <v>Weaker</v>
      </c>
      <c r="L403" s="34" t="n">
        <f aca="false">IF(ISNUMBER(H403),RANK(H403,H$403:H$412,0),"-")</f>
        <v>9</v>
      </c>
      <c r="N403" s="34" t="str">
        <f aca="false">IF(AND(ISNUMBER(I403),ISNUMBER(I$415)),IF(I403&gt;I$415,"Above",IF(I403&lt;I$415,"Below","At")),"-")</f>
        <v>Below</v>
      </c>
      <c r="O403" s="34" t="str">
        <f aca="false">IF(N403="Above","Better",IF(N403="Below","Weaker","-"))</f>
        <v>Weaker</v>
      </c>
    </row>
    <row r="404" customFormat="false" ht="15" hidden="false" customHeight="false" outlineLevel="0" collapsed="false">
      <c r="A404" s="18" t="s">
        <v>111</v>
      </c>
      <c r="B404" s="20" t="n">
        <f aca="false">Allcargo!D107</f>
        <v>7.02236837074141</v>
      </c>
      <c r="C404" s="20" t="n">
        <f aca="false">Allcargo!E107</f>
        <v>6.31314665087092</v>
      </c>
      <c r="D404" s="20" t="n">
        <f aca="false">Allcargo!F107</f>
        <v>7.25902710607088</v>
      </c>
      <c r="E404" s="20" t="n">
        <f aca="false">Allcargo!G107</f>
        <v>7.05892681515199</v>
      </c>
      <c r="F404" s="20" t="n">
        <f aca="false">Allcargo!H107</f>
        <v>6.08040358860031</v>
      </c>
      <c r="G404" s="20" t="n">
        <f aca="false">Allcargo!I107</f>
        <v>1.50690826378963</v>
      </c>
      <c r="H404" s="20" t="n">
        <f aca="false">Allcargo!J107</f>
        <v>5.11940298507463</v>
      </c>
      <c r="I404" s="21" t="n">
        <f aca="false">Allcargo!K107</f>
        <v>5.76574054004283</v>
      </c>
      <c r="J404" s="34" t="str">
        <f aca="false">IF(AND(ISNUMBER(H404),ISNUMBER(H$415)),IF(H404&gt;H$415,"Above",IF(H404&lt;H$415,"Below","At")),"-")</f>
        <v>Above</v>
      </c>
      <c r="K404" s="34" t="str">
        <f aca="false">IF(J404="Above","Better",IF(J404="Below","Weaker","-"))</f>
        <v>Better</v>
      </c>
      <c r="L404" s="34" t="n">
        <f aca="false">IF(ISNUMBER(H404),RANK(H404,H$403:H$412,0),"-")</f>
        <v>5</v>
      </c>
      <c r="N404" s="34" t="str">
        <f aca="false">IF(AND(ISNUMBER(I404),ISNUMBER(I$415)),IF(I404&gt;I$415,"Above",IF(I404&lt;I$415,"Below","At")),"-")</f>
        <v>Below</v>
      </c>
      <c r="O404" s="34" t="str">
        <f aca="false">IF(N404="Above","Better",IF(N404="Below","Weaker","-"))</f>
        <v>Weaker</v>
      </c>
    </row>
    <row r="405" customFormat="false" ht="15" hidden="false" customHeight="false" outlineLevel="0" collapsed="false">
      <c r="A405" s="18" t="s">
        <v>112</v>
      </c>
      <c r="B405" s="20" t="n">
        <f aca="false">BlueDart!D107</f>
        <v>6.23032622026</v>
      </c>
      <c r="C405" s="20" t="n">
        <f aca="false">BlueDart!E107</f>
        <v>6.28615399321321</v>
      </c>
      <c r="D405" s="20" t="n">
        <f aca="false">BlueDart!F107</f>
        <v>8.03419161513029</v>
      </c>
      <c r="E405" s="20" t="n">
        <f aca="false">BlueDart!G107</f>
        <v>8.50225615820231</v>
      </c>
      <c r="F405" s="20" t="n">
        <f aca="false">BlueDart!H107</f>
        <v>8.06039369898018</v>
      </c>
      <c r="G405" s="20" t="n">
        <f aca="false">BlueDart!I107</f>
        <v>7.8545849009969</v>
      </c>
      <c r="H405" s="20" t="n">
        <f aca="false">BlueDart!J107</f>
        <v>7.2061677834235</v>
      </c>
      <c r="I405" s="21" t="n">
        <f aca="false">BlueDart!K107</f>
        <v>7.45343919574377</v>
      </c>
      <c r="J405" s="34" t="str">
        <f aca="false">IF(AND(ISNUMBER(H405),ISNUMBER(H$415)),IF(H405&gt;H$415,"Above",IF(H405&lt;H$415,"Below","At")),"-")</f>
        <v>Above</v>
      </c>
      <c r="K405" s="34" t="str">
        <f aca="false">IF(J405="Above","Better",IF(J405="Below","Weaker","-"))</f>
        <v>Better</v>
      </c>
      <c r="L405" s="34" t="n">
        <f aca="false">IF(ISNUMBER(H405),RANK(H405,H$403:H$412,0),"-")</f>
        <v>3</v>
      </c>
      <c r="N405" s="34" t="str">
        <f aca="false">IF(AND(ISNUMBER(I405),ISNUMBER(I$415)),IF(I405&gt;I$415,"Above",IF(I405&lt;I$415,"Below","At")),"-")</f>
        <v>Above</v>
      </c>
      <c r="O405" s="34" t="str">
        <f aca="false">IF(N405="Above","Better",IF(N405="Below","Weaker","-"))</f>
        <v>Better</v>
      </c>
    </row>
    <row r="406" customFormat="false" ht="15" hidden="false" customHeight="false" outlineLevel="0" collapsed="false">
      <c r="A406" s="18" t="s">
        <v>67</v>
      </c>
      <c r="B406" s="20" t="n">
        <f aca="false">CONCOR!D107</f>
        <v>50.2116027834378</v>
      </c>
      <c r="C406" s="20" t="n">
        <f aca="false">CONCOR!E107</f>
        <v>39.4711048332617</v>
      </c>
      <c r="D406" s="20" t="n">
        <f aca="false">CONCOR!F107</f>
        <v>44.6548796498906</v>
      </c>
      <c r="E406" s="20" t="n">
        <f aca="false">CONCOR!G107</f>
        <v>41.079754601227</v>
      </c>
      <c r="F406" s="20" t="n">
        <f aca="false">CONCOR!H107</f>
        <v>31.488128377272</v>
      </c>
      <c r="G406" s="20" t="n">
        <f aca="false">CONCOR!I107</f>
        <v>24.2281866386772</v>
      </c>
      <c r="H406" s="20" t="n">
        <f aca="false">CONCOR!J107</f>
        <v>20.5183737118062</v>
      </c>
      <c r="I406" s="21" t="n">
        <f aca="false">CONCOR!K107</f>
        <v>35.9502900850818</v>
      </c>
      <c r="J406" s="34" t="str">
        <f aca="false">IF(AND(ISNUMBER(H406),ISNUMBER(H$415)),IF(H406&gt;H$415,"Above",IF(H406&lt;H$415,"Below","At")),"-")</f>
        <v>Above</v>
      </c>
      <c r="K406" s="34" t="str">
        <f aca="false">IF(J406="Above","Better",IF(J406="Below","Weaker","-"))</f>
        <v>Better</v>
      </c>
      <c r="L406" s="34" t="n">
        <f aca="false">IF(ISNUMBER(H406),RANK(H406,H$403:H$412,0),"-")</f>
        <v>1</v>
      </c>
      <c r="N406" s="34" t="str">
        <f aca="false">IF(AND(ISNUMBER(I406),ISNUMBER(I$415)),IF(I406&gt;I$415,"Above",IF(I406&lt;I$415,"Below","At")),"-")</f>
        <v>Above</v>
      </c>
      <c r="O406" s="34" t="str">
        <f aca="false">IF(N406="Above","Better",IF(N406="Below","Weaker","-"))</f>
        <v>Better</v>
      </c>
    </row>
    <row r="407" customFormat="false" ht="15" hidden="false" customHeight="false" outlineLevel="0" collapsed="false">
      <c r="A407" s="18" t="s">
        <v>113</v>
      </c>
      <c r="B407" s="20" t="n">
        <f aca="false">JetFreight!D107</f>
        <v>5.1606128421415</v>
      </c>
      <c r="C407" s="20" t="n">
        <f aca="false">JetFreight!E107</f>
        <v>7.60754634199846</v>
      </c>
      <c r="D407" s="20" t="n">
        <f aca="false">JetFreight!F107</f>
        <v>11.2102098416984</v>
      </c>
      <c r="E407" s="20" t="n">
        <f aca="false">JetFreight!G107</f>
        <v>9.59120727356428</v>
      </c>
      <c r="F407" s="20" t="n">
        <f aca="false">JetFreight!H107</f>
        <v>6.79344779257183</v>
      </c>
      <c r="G407" s="20" t="n">
        <f aca="false">JetFreight!I107</f>
        <v>5.93166689308518</v>
      </c>
      <c r="H407" s="20" t="n">
        <f aca="false">JetFreight!J107</f>
        <v>5.07056405572048</v>
      </c>
      <c r="I407" s="21" t="n">
        <f aca="false">JetFreight!K107</f>
        <v>7.3378935772543</v>
      </c>
      <c r="J407" s="34" t="str">
        <f aca="false">IF(AND(ISNUMBER(H407),ISNUMBER(H$415)),IF(H407&gt;H$415,"Above",IF(H407&lt;H$415,"Below","At")),"-")</f>
        <v>Below</v>
      </c>
      <c r="K407" s="34" t="str">
        <f aca="false">IF(J407="Above","Better",IF(J407="Below","Weaker","-"))</f>
        <v>Weaker</v>
      </c>
      <c r="L407" s="34" t="n">
        <f aca="false">IF(ISNUMBER(H407),RANK(H407,H$403:H$412,0),"-")</f>
        <v>7</v>
      </c>
      <c r="N407" s="34" t="str">
        <f aca="false">IF(AND(ISNUMBER(I407),ISNUMBER(I$415)),IF(I407&gt;I$415,"Above",IF(I407&lt;I$415,"Below","At")),"-")</f>
        <v>Above</v>
      </c>
      <c r="O407" s="34" t="str">
        <f aca="false">IF(N407="Above","Better",IF(N407="Below","Weaker","-"))</f>
        <v>Better</v>
      </c>
    </row>
    <row r="408" customFormat="false" ht="15" hidden="false" customHeight="false" outlineLevel="0" collapsed="false">
      <c r="A408" s="18" t="s">
        <v>114</v>
      </c>
      <c r="B408" s="20" t="n">
        <f aca="false">Patel!D107</f>
        <v>3.6932971881146</v>
      </c>
      <c r="C408" s="20" t="n">
        <f aca="false">Patel!E107</f>
        <v>2.64206136802141</v>
      </c>
      <c r="D408" s="20" t="n">
        <f aca="false">Patel!F107</f>
        <v>3.43955963302752</v>
      </c>
      <c r="E408" s="20" t="n">
        <f aca="false">Patel!G107</f>
        <v>4.02720694645441</v>
      </c>
      <c r="F408" s="20" t="n">
        <f aca="false">Patel!H107</f>
        <v>3.52994775847406</v>
      </c>
      <c r="G408" s="20" t="n">
        <f aca="false">Patel!I107</f>
        <v>4.33099526066351</v>
      </c>
      <c r="H408" s="20" t="n">
        <f aca="false">Patel!J107</f>
        <v>5.09581222800885</v>
      </c>
      <c r="I408" s="21" t="n">
        <f aca="false">Patel!K107</f>
        <v>3.82269719753777</v>
      </c>
      <c r="J408" s="34" t="str">
        <f aca="false">IF(AND(ISNUMBER(H408),ISNUMBER(H$415)),IF(H408&gt;H$415,"Above",IF(H408&lt;H$415,"Below","At")),"-")</f>
        <v>Below</v>
      </c>
      <c r="K408" s="34" t="str">
        <f aca="false">IF(J408="Above","Better",IF(J408="Below","Weaker","-"))</f>
        <v>Weaker</v>
      </c>
      <c r="L408" s="34" t="n">
        <f aca="false">IF(ISNUMBER(H408),RANK(H408,H$403:H$412,0),"-")</f>
        <v>6</v>
      </c>
      <c r="N408" s="34" t="str">
        <f aca="false">IF(AND(ISNUMBER(I408),ISNUMBER(I$415)),IF(I408&gt;I$415,"Above",IF(I408&lt;I$415,"Below","At")),"-")</f>
        <v>Below</v>
      </c>
      <c r="O408" s="34" t="str">
        <f aca="false">IF(N408="Above","Better",IF(N408="Below","Weaker","-"))</f>
        <v>Weaker</v>
      </c>
    </row>
    <row r="409" customFormat="false" ht="15" hidden="false" customHeight="false" outlineLevel="0" collapsed="false">
      <c r="A409" s="18" t="s">
        <v>115</v>
      </c>
      <c r="B409" s="20" t="n">
        <f aca="false">Sical!D107</f>
        <v>3.15612105618224</v>
      </c>
      <c r="C409" s="20" t="n">
        <f aca="false">Sical!E107</f>
        <v>2.22186438434729</v>
      </c>
      <c r="D409" s="20" t="n">
        <f aca="false">Sical!F107</f>
        <v>1.96790388086643</v>
      </c>
      <c r="E409" s="20" t="n">
        <f aca="false">Sical!G107</f>
        <v>3.9927702255486</v>
      </c>
      <c r="F409" s="20" t="n">
        <f aca="false">Sical!H107</f>
        <v>4.47913290113452</v>
      </c>
      <c r="G409" s="20" t="n">
        <f aca="false">Sical!I107</f>
        <v>3.81822876323264</v>
      </c>
      <c r="H409" s="20" t="n">
        <f aca="false">Sical!J107</f>
        <v>4.58924321751547</v>
      </c>
      <c r="I409" s="21" t="n">
        <f aca="false">Sical!K107</f>
        <v>3.46075206126103</v>
      </c>
      <c r="J409" s="34" t="str">
        <f aca="false">IF(AND(ISNUMBER(H409),ISNUMBER(H$415)),IF(H409&gt;H$415,"Above",IF(H409&lt;H$415,"Below","At")),"-")</f>
        <v>Below</v>
      </c>
      <c r="K409" s="34" t="str">
        <f aca="false">IF(J409="Above","Better",IF(J409="Below","Weaker","-"))</f>
        <v>Weaker</v>
      </c>
      <c r="L409" s="34" t="n">
        <f aca="false">IF(ISNUMBER(H409),RANK(H409,H$403:H$412,0),"-")</f>
        <v>8</v>
      </c>
      <c r="N409" s="34" t="str">
        <f aca="false">IF(AND(ISNUMBER(I409),ISNUMBER(I$415)),IF(I409&gt;I$415,"Above",IF(I409&lt;I$415,"Below","At")),"-")</f>
        <v>Below</v>
      </c>
      <c r="O409" s="34" t="str">
        <f aca="false">IF(N409="Above","Better",IF(N409="Below","Weaker","-"))</f>
        <v>Weaker</v>
      </c>
    </row>
    <row r="410" customFormat="false" ht="15" hidden="false" customHeight="false" outlineLevel="0" collapsed="false">
      <c r="A410" s="18" t="s">
        <v>86</v>
      </c>
      <c r="B410" s="20" t="n">
        <f aca="false">TCI!D107</f>
        <v>5.4227737983599</v>
      </c>
      <c r="C410" s="20" t="n">
        <f aca="false">TCI!E107</f>
        <v>5.61409940501232</v>
      </c>
      <c r="D410" s="20" t="n">
        <f aca="false">TCI!F107</f>
        <v>6.39427444593786</v>
      </c>
      <c r="E410" s="20" t="n">
        <f aca="false">TCI!G107</f>
        <v>7.07577911631561</v>
      </c>
      <c r="F410" s="20" t="n">
        <f aca="false">TCI!H107</f>
        <v>6.92918022625136</v>
      </c>
      <c r="G410" s="20" t="n">
        <f aca="false">TCI!I107</f>
        <v>6.79255383498669</v>
      </c>
      <c r="H410" s="20" t="n">
        <f aca="false">TCI!J107</f>
        <v>6.39251376528483</v>
      </c>
      <c r="I410" s="21" t="n">
        <f aca="false">TCI!K107</f>
        <v>6.37445351316408</v>
      </c>
      <c r="J410" s="34" t="str">
        <f aca="false">IF(AND(ISNUMBER(H410),ISNUMBER(H$415)),IF(H410&gt;H$415,"Above",IF(H410&lt;H$415,"Below","At")),"-")</f>
        <v>Above</v>
      </c>
      <c r="K410" s="34" t="str">
        <f aca="false">IF(J410="Above","Better",IF(J410="Below","Weaker","-"))</f>
        <v>Better</v>
      </c>
      <c r="L410" s="34" t="n">
        <f aca="false">IF(ISNUMBER(H410),RANK(H410,H$403:H$412,0),"-")</f>
        <v>4</v>
      </c>
      <c r="N410" s="34" t="str">
        <f aca="false">IF(AND(ISNUMBER(I410),ISNUMBER(I$415)),IF(I410&gt;I$415,"Above",IF(I410&lt;I$415,"Below","At")),"-")</f>
        <v>Above</v>
      </c>
      <c r="O410" s="34" t="str">
        <f aca="false">IF(N410="Above","Better",IF(N410="Below","Weaker","-"))</f>
        <v>Better</v>
      </c>
    </row>
    <row r="411" customFormat="false" ht="15" hidden="false" customHeight="false" outlineLevel="0" collapsed="false">
      <c r="A411" s="18" t="s">
        <v>116</v>
      </c>
      <c r="B411" s="20" t="n">
        <f aca="false">Shreeji!D107</f>
        <v>3.86847195357834</v>
      </c>
      <c r="C411" s="20" t="n">
        <f aca="false">Shreeji!E107</f>
        <v>3.41258079772978</v>
      </c>
      <c r="D411" s="20" t="n">
        <f aca="false">Shreeji!F107</f>
        <v>4.03747996547898</v>
      </c>
      <c r="E411" s="20" t="n">
        <f aca="false">Shreeji!G107</f>
        <v>3.72544709761215</v>
      </c>
      <c r="F411" s="20" t="n">
        <f aca="false">Shreeji!H107</f>
        <v>4.16424237386751</v>
      </c>
      <c r="G411" s="20" t="n">
        <f aca="false">Shreeji!I107</f>
        <v>3.49519803158981</v>
      </c>
      <c r="H411" s="20" t="n">
        <f aca="false">Shreeji!J107</f>
        <v>3.45789978599365</v>
      </c>
      <c r="I411" s="21" t="n">
        <f aca="false">Shreeji!K107</f>
        <v>3.73733142940717</v>
      </c>
      <c r="J411" s="34" t="str">
        <f aca="false">IF(AND(ISNUMBER(H411),ISNUMBER(H$415)),IF(H411&gt;H$415,"Above",IF(H411&lt;H$415,"Below","At")),"-")</f>
        <v>Below</v>
      </c>
      <c r="K411" s="34" t="str">
        <f aca="false">IF(J411="Above","Better",IF(J411="Below","Weaker","-"))</f>
        <v>Weaker</v>
      </c>
      <c r="L411" s="34" t="n">
        <f aca="false">IF(ISNUMBER(H411),RANK(H411,H$403:H$412,0),"-")</f>
        <v>10</v>
      </c>
      <c r="N411" s="34" t="str">
        <f aca="false">IF(AND(ISNUMBER(I411),ISNUMBER(I$415)),IF(I411&gt;I$415,"Above",IF(I411&lt;I$415,"Below","At")),"-")</f>
        <v>Below</v>
      </c>
      <c r="O411" s="34" t="str">
        <f aca="false">IF(N411="Above","Better",IF(N411="Below","Weaker","-"))</f>
        <v>Weaker</v>
      </c>
    </row>
    <row r="412" customFormat="false" ht="15" hidden="false" customHeight="false" outlineLevel="0" collapsed="false">
      <c r="A412" s="18" t="s">
        <v>117</v>
      </c>
      <c r="B412" s="20" t="n">
        <f aca="false">MahindraLog!D107</f>
        <v>6.5872283897903</v>
      </c>
      <c r="C412" s="20" t="n">
        <f aca="false">MahindraLog!E107</f>
        <v>6.39174328995427</v>
      </c>
      <c r="D412" s="20" t="n">
        <f aca="false">MahindraLog!F107</f>
        <v>8.49822473063109</v>
      </c>
      <c r="E412" s="20" t="n">
        <f aca="false">MahindraLog!G107</f>
        <v>8.9860433331289</v>
      </c>
      <c r="F412" s="20" t="n">
        <f aca="false">MahindraLog!H107</f>
        <v>8.13055323798906</v>
      </c>
      <c r="G412" s="20" t="n">
        <f aca="false">MahindraLog!I107</f>
        <v>9.20094951017332</v>
      </c>
      <c r="H412" s="20" t="n">
        <f aca="false">MahindraLog!J107</f>
        <v>10.6478333295302</v>
      </c>
      <c r="I412" s="21" t="n">
        <f aca="false">MahindraLog!K107</f>
        <v>8.34893940302816</v>
      </c>
      <c r="J412" s="34" t="str">
        <f aca="false">IF(AND(ISNUMBER(H412),ISNUMBER(H$415)),IF(H412&gt;H$415,"Above",IF(H412&lt;H$415,"Below","At")),"-")</f>
        <v>Above</v>
      </c>
      <c r="K412" s="34" t="str">
        <f aca="false">IF(J412="Above","Better",IF(J412="Below","Weaker","-"))</f>
        <v>Better</v>
      </c>
      <c r="L412" s="34" t="n">
        <f aca="false">IF(ISNUMBER(H412),RANK(H412,H$403:H$412,0),"-")</f>
        <v>2</v>
      </c>
      <c r="N412" s="34" t="str">
        <f aca="false">IF(AND(ISNUMBER(I412),ISNUMBER(I$415)),IF(I412&gt;I$415,"Above",IF(I412&lt;I$415,"Below","At")),"-")</f>
        <v>Above</v>
      </c>
      <c r="O412" s="34" t="str">
        <f aca="false">IF(N412="Above","Better",IF(N412="Below","Weaker","-"))</f>
        <v>Better</v>
      </c>
    </row>
    <row r="413" customFormat="false" ht="15" hidden="false" customHeight="false" outlineLevel="0" collapsed="false">
      <c r="A413" s="12" t="s">
        <v>176</v>
      </c>
      <c r="B413" s="21" t="n">
        <f aca="false">Industry!D107</f>
        <v>7.67601352888538</v>
      </c>
      <c r="C413" s="21" t="n">
        <f aca="false">Industry!E107</f>
        <v>7.27323697374537</v>
      </c>
      <c r="D413" s="21" t="n">
        <f aca="false">Industry!F107</f>
        <v>8.53682999935461</v>
      </c>
      <c r="E413" s="21" t="n">
        <f aca="false">Industry!G107</f>
        <v>8.77142021965173</v>
      </c>
      <c r="F413" s="21" t="n">
        <f aca="false">Industry!H107</f>
        <v>8.17054049148162</v>
      </c>
      <c r="G413" s="21" t="n">
        <f aca="false">Industry!I107</f>
        <v>7.0866708565646</v>
      </c>
      <c r="H413" s="21" t="n">
        <f aca="false">Industry!J107</f>
        <v>8.74970507412774</v>
      </c>
      <c r="I413" s="21" t="n">
        <f aca="false">Industry!K107</f>
        <v>8.0377738776873</v>
      </c>
    </row>
    <row r="414" customFormat="false" ht="15" hidden="false" customHeight="false" outlineLevel="0" collapsed="false">
      <c r="A414" s="35" t="s">
        <v>177</v>
      </c>
      <c r="B414" s="37" t="n">
        <f aca="false">IFERROR(AVERAGE(B403:B412),"N/M")</f>
        <v>9.49665874392857</v>
      </c>
      <c r="C414" s="37" t="n">
        <f aca="false">IFERROR(AVERAGE(C403:C412),"N/M")</f>
        <v>8.30492696907779</v>
      </c>
      <c r="D414" s="37" t="n">
        <f aca="false">IFERROR(AVERAGE(D403:D412),"N/M")</f>
        <v>10.6496555661721</v>
      </c>
      <c r="E414" s="37" t="n">
        <f aca="false">IFERROR(AVERAGE(E403:E412),"N/M")</f>
        <v>10.138679746751</v>
      </c>
      <c r="F414" s="37" t="n">
        <f aca="false">IFERROR(AVERAGE(F403:F412),"N/M")</f>
        <v>8.36903615195039</v>
      </c>
      <c r="G414" s="37" t="n">
        <f aca="false">IFERROR(AVERAGE(G403:G412),"N/M")</f>
        <v>7.33784406482473</v>
      </c>
      <c r="H414" s="37" t="n">
        <f aca="false">IFERROR(AVERAGE(H403:H412),"N/M")</f>
        <v>7.24421284839876</v>
      </c>
      <c r="I414" s="37" t="n">
        <f aca="false">IFERROR(AVERAGE(I403:I412),"N/M")</f>
        <v>8.7915734415862</v>
      </c>
    </row>
    <row r="415" customFormat="false" ht="15" hidden="false" customHeight="false" outlineLevel="0" collapsed="false">
      <c r="A415" s="35" t="s">
        <v>178</v>
      </c>
      <c r="B415" s="37" t="n">
        <f aca="false">IFERROR(MEDIAN(B403:B412),"N/M")</f>
        <v>5.2916933202507</v>
      </c>
      <c r="C415" s="37" t="n">
        <f aca="false">IFERROR(MEDIAN(C403:C412),"N/M")</f>
        <v>5.95012669911277</v>
      </c>
      <c r="D415" s="37" t="n">
        <f aca="false">IFERROR(MEDIAN(D403:D412),"N/M")</f>
        <v>7.64660936060058</v>
      </c>
      <c r="E415" s="37" t="n">
        <f aca="false">IFERROR(MEDIAN(E403:E412),"N/M")</f>
        <v>7.2115925083104</v>
      </c>
      <c r="F415" s="37" t="n">
        <f aca="false">IFERROR(MEDIAN(F403:F412),"N/M")</f>
        <v>6.43692569058607</v>
      </c>
      <c r="G415" s="37" t="n">
        <f aca="false">IFERROR(MEDIAN(G403:G412),"N/M")</f>
        <v>6.07541772206877</v>
      </c>
      <c r="H415" s="37" t="n">
        <f aca="false">IFERROR(MEDIAN(H403:H412),"N/M")</f>
        <v>5.10760760654174</v>
      </c>
      <c r="I415" s="37" t="n">
        <f aca="false">IFERROR(MEDIAN(I403:I412),"N/M")</f>
        <v>6.07009702660345</v>
      </c>
    </row>
    <row r="416" customFormat="false" ht="15" hidden="false" customHeight="false" outlineLevel="0" collapsed="false">
      <c r="A416" s="35" t="s">
        <v>179</v>
      </c>
      <c r="B416" s="37" t="n">
        <f aca="false">IFERROR(STDEV(B403:B412),"N/M")</f>
        <v>14.3702100897694</v>
      </c>
      <c r="C416" s="37" t="n">
        <f aca="false">IFERROR(STDEV(C403:C412),"N/M")</f>
        <v>11.1104225844885</v>
      </c>
      <c r="D416" s="37" t="n">
        <f aca="false">IFERROR(STDEV(D403:D412),"N/M")</f>
        <v>12.3330895916288</v>
      </c>
      <c r="E416" s="37" t="n">
        <f aca="false">IFERROR(STDEV(E403:E412),"N/M")</f>
        <v>11.0783351980509</v>
      </c>
      <c r="F416" s="37" t="n">
        <f aca="false">IFERROR(STDEV(F403:F412),"N/M")</f>
        <v>8.29625711748573</v>
      </c>
      <c r="G416" s="37" t="n">
        <f aca="false">IFERROR(STDEV(G403:G412),"N/M")</f>
        <v>6.34860035569834</v>
      </c>
      <c r="H416" s="37" t="n">
        <f aca="false">IFERROR(STDEV(H403:H412),"N/M")</f>
        <v>5.07898099678045</v>
      </c>
      <c r="I416" s="37" t="n">
        <f aca="false">IFERROR(STDEV(I403:I412),"N/M")</f>
        <v>9.69035584357166</v>
      </c>
    </row>
    <row r="417" customFormat="false" ht="15" hidden="false" customHeight="false" outlineLevel="0" collapsed="false">
      <c r="A417" s="35" t="s">
        <v>102</v>
      </c>
      <c r="B417" s="37" t="n">
        <f aca="false">IFERROR(MIN(B403:B412),"N/M")</f>
        <v>3.15612105618224</v>
      </c>
      <c r="C417" s="37" t="n">
        <f aca="false">IFERROR(MIN(C403:C412),"N/M")</f>
        <v>2.22186438434729</v>
      </c>
      <c r="D417" s="37" t="n">
        <f aca="false">IFERROR(MIN(D403:D412),"N/M")</f>
        <v>1.96790388086643</v>
      </c>
      <c r="E417" s="37" t="n">
        <f aca="false">IFERROR(MIN(E403:E412),"N/M")</f>
        <v>3.72544709761215</v>
      </c>
      <c r="F417" s="37" t="n">
        <f aca="false">IFERROR(MIN(F403:F412),"N/M")</f>
        <v>3.52994775847406</v>
      </c>
      <c r="G417" s="37" t="n">
        <f aca="false">IFERROR(MIN(G403:G412),"N/M")</f>
        <v>1.50690826378963</v>
      </c>
      <c r="H417" s="37" t="n">
        <f aca="false">IFERROR(MIN(H403:H412),"N/M")</f>
        <v>3.45789978599365</v>
      </c>
      <c r="I417" s="37" t="n">
        <f aca="false">IFERROR(MIN(I403:I412),"N/M")</f>
        <v>3.46075206126103</v>
      </c>
    </row>
    <row r="418" customFormat="false" ht="15" hidden="false" customHeight="false" outlineLevel="0" collapsed="false">
      <c r="A418" s="35" t="s">
        <v>103</v>
      </c>
      <c r="B418" s="37" t="n">
        <f aca="false">IFERROR(MAX(B403:B412),"N/M")</f>
        <v>50.2116027834378</v>
      </c>
      <c r="C418" s="37" t="n">
        <f aca="false">IFERROR(MAX(C403:C412),"N/M")</f>
        <v>39.4711048332617</v>
      </c>
      <c r="D418" s="37" t="n">
        <f aca="false">IFERROR(MAX(D403:D412),"N/M")</f>
        <v>44.6548796498906</v>
      </c>
      <c r="E418" s="37" t="n">
        <f aca="false">IFERROR(MAX(E403:E412),"N/M")</f>
        <v>41.079754601227</v>
      </c>
      <c r="F418" s="37" t="n">
        <f aca="false">IFERROR(MAX(F403:F412),"N/M")</f>
        <v>31.488128377272</v>
      </c>
      <c r="G418" s="37" t="n">
        <f aca="false">IFERROR(MAX(G403:G412),"N/M")</f>
        <v>24.2281866386772</v>
      </c>
      <c r="H418" s="37" t="n">
        <f aca="false">IFERROR(MAX(H403:H412),"N/M")</f>
        <v>20.5183737118062</v>
      </c>
      <c r="I418" s="37" t="n">
        <f aca="false">IFERROR(MAX(I403:I412),"N/M")</f>
        <v>35.9502900850818</v>
      </c>
    </row>
    <row r="420" customFormat="false" ht="15" hidden="false" customHeight="false" outlineLevel="0" collapsed="false">
      <c r="A420" s="16" t="s">
        <v>202</v>
      </c>
      <c r="B420" s="17"/>
      <c r="C420" s="17"/>
      <c r="D420" s="17"/>
      <c r="E420" s="17"/>
      <c r="F420" s="17"/>
      <c r="G420" s="17"/>
      <c r="H420" s="17"/>
      <c r="I420" s="17"/>
      <c r="J420" s="17"/>
      <c r="K420" s="17"/>
      <c r="L420" s="17"/>
      <c r="M420" s="17"/>
    </row>
    <row r="421" customFormat="false" ht="15" hidden="false" customHeight="false" outlineLevel="0" collapsed="false">
      <c r="A421" s="18" t="s">
        <v>110</v>
      </c>
      <c r="B421" s="26" t="n">
        <f aca="false">Tiger!D108</f>
        <v>101.002139445403</v>
      </c>
      <c r="C421" s="26" t="n">
        <f aca="false">Tiger!E108</f>
        <v>118.162417346756</v>
      </c>
      <c r="D421" s="26" t="n">
        <f aca="false">Tiger!F108</f>
        <v>33.1793906780901</v>
      </c>
      <c r="E421" s="26" t="n">
        <f aca="false">Tiger!G108</f>
        <v>49.6773970231914</v>
      </c>
      <c r="F421" s="26" t="n">
        <f aca="false">Tiger!H108</f>
        <v>90.4600224756514</v>
      </c>
      <c r="G421" s="26" t="n">
        <f aca="false">Tiger!I108</f>
        <v>58.6895172568104</v>
      </c>
      <c r="H421" s="26" t="n">
        <f aca="false">Tiger!J108</f>
        <v>84.0177979120841</v>
      </c>
      <c r="I421" s="27" t="n">
        <f aca="false">Tiger!K108</f>
        <v>76.4555260197124</v>
      </c>
      <c r="J421" s="34" t="str">
        <f aca="false">IF(AND(ISNUMBER(H421),ISNUMBER(H$433)),IF(H421&gt;H$433,"Above",IF(H421&lt;H$433,"Below","At")),"-")</f>
        <v>Above</v>
      </c>
      <c r="K421" s="34" t="str">
        <f aca="false">IF(J421="Below","Better",IF(J421="Above","Weaker","-"))</f>
        <v>Weaker</v>
      </c>
      <c r="L421" s="34" t="n">
        <f aca="false">IF(ISNUMBER(H421),RANK(H421,H$421:H$430,1),"-")</f>
        <v>9</v>
      </c>
      <c r="N421" s="34" t="str">
        <f aca="false">IF(AND(ISNUMBER(I421),ISNUMBER(I$433)),IF(I421&gt;I$433,"Above",IF(I421&lt;I$433,"Below","At")),"-")</f>
        <v>Above</v>
      </c>
      <c r="O421" s="34" t="str">
        <f aca="false">IF(N421="Below","Better",IF(N421="Above","Weaker","-"))</f>
        <v>Weaker</v>
      </c>
    </row>
    <row r="422" customFormat="false" ht="15" hidden="false" customHeight="false" outlineLevel="0" collapsed="false">
      <c r="A422" s="18" t="s">
        <v>111</v>
      </c>
      <c r="B422" s="26" t="n">
        <f aca="false">Allcargo!D108</f>
        <v>51.9767663457769</v>
      </c>
      <c r="C422" s="26" t="n">
        <f aca="false">Allcargo!E108</f>
        <v>57.8158595364876</v>
      </c>
      <c r="D422" s="26" t="n">
        <f aca="false">Allcargo!F108</f>
        <v>50.2822202846912</v>
      </c>
      <c r="E422" s="26" t="n">
        <f aca="false">Allcargo!G108</f>
        <v>51.7075767404936</v>
      </c>
      <c r="F422" s="26" t="n">
        <f aca="false">Allcargo!H108</f>
        <v>60.0289100355626</v>
      </c>
      <c r="G422" s="26" t="n">
        <f aca="false">Allcargo!I108</f>
        <v>242.217797042325</v>
      </c>
      <c r="H422" s="26" t="n">
        <f aca="false">Allcargo!J108</f>
        <v>71.2973760932945</v>
      </c>
      <c r="I422" s="27" t="n">
        <f aca="false">Allcargo!K108</f>
        <v>83.6180722969474</v>
      </c>
      <c r="J422" s="34" t="str">
        <f aca="false">IF(AND(ISNUMBER(H422),ISNUMBER(H$433)),IF(H422&gt;H$433,"Above",IF(H422&lt;H$433,"Below","At")),"-")</f>
        <v>Below</v>
      </c>
      <c r="K422" s="34" t="str">
        <f aca="false">IF(J422="Below","Better",IF(J422="Above","Weaker","-"))</f>
        <v>Better</v>
      </c>
      <c r="L422" s="34" t="n">
        <f aca="false">IF(ISNUMBER(H422),RANK(H422,H$421:H$430,1),"-")</f>
        <v>5</v>
      </c>
      <c r="N422" s="34" t="str">
        <f aca="false">IF(AND(ISNUMBER(I422),ISNUMBER(I$433)),IF(I422&gt;I$433,"Above",IF(I422&lt;I$433,"Below","At")),"-")</f>
        <v>Above</v>
      </c>
      <c r="O422" s="34" t="str">
        <f aca="false">IF(N422="Below","Better",IF(N422="Above","Weaker","-"))</f>
        <v>Weaker</v>
      </c>
    </row>
    <row r="423" customFormat="false" ht="15" hidden="false" customHeight="false" outlineLevel="0" collapsed="false">
      <c r="A423" s="18" t="s">
        <v>112</v>
      </c>
      <c r="B423" s="26" t="n">
        <f aca="false">BlueDart!D108</f>
        <v>58.5844122917802</v>
      </c>
      <c r="C423" s="26" t="n">
        <f aca="false">BlueDart!E108</f>
        <v>58.0641200317506</v>
      </c>
      <c r="D423" s="26" t="n">
        <f aca="false">BlueDart!F108</f>
        <v>45.4308308147167</v>
      </c>
      <c r="E423" s="26" t="n">
        <f aca="false">BlueDart!G108</f>
        <v>42.929781602484</v>
      </c>
      <c r="F423" s="26" t="n">
        <f aca="false">BlueDart!H108</f>
        <v>45.2831478996095</v>
      </c>
      <c r="G423" s="26" t="n">
        <f aca="false">BlueDart!I108</f>
        <v>46.4696740312368</v>
      </c>
      <c r="H423" s="26" t="n">
        <f aca="false">BlueDart!J108</f>
        <v>50.6510548976694</v>
      </c>
      <c r="I423" s="27" t="n">
        <f aca="false">BlueDart!K108</f>
        <v>49.6304316527496</v>
      </c>
      <c r="J423" s="34" t="str">
        <f aca="false">IF(AND(ISNUMBER(H423),ISNUMBER(H$433)),IF(H423&gt;H$433,"Above",IF(H423&lt;H$433,"Below","At")),"-")</f>
        <v>Below</v>
      </c>
      <c r="K423" s="34" t="str">
        <f aca="false">IF(J423="Below","Better",IF(J423="Above","Weaker","-"))</f>
        <v>Better</v>
      </c>
      <c r="L423" s="34" t="n">
        <f aca="false">IF(ISNUMBER(H423),RANK(H423,H$421:H$430,1),"-")</f>
        <v>3</v>
      </c>
      <c r="N423" s="34" t="str">
        <f aca="false">IF(AND(ISNUMBER(I423),ISNUMBER(I$433)),IF(I423&gt;I$433,"Above",IF(I423&lt;I$433,"Below","At")),"-")</f>
        <v>Below</v>
      </c>
      <c r="O423" s="34" t="str">
        <f aca="false">IF(N423="Below","Better",IF(N423="Above","Weaker","-"))</f>
        <v>Better</v>
      </c>
    </row>
    <row r="424" customFormat="false" ht="15" hidden="false" customHeight="false" outlineLevel="0" collapsed="false">
      <c r="A424" s="18" t="s">
        <v>67</v>
      </c>
      <c r="B424" s="26" t="n">
        <f aca="false">CONCOR!D108</f>
        <v>7.26923618778397</v>
      </c>
      <c r="C424" s="26" t="n">
        <f aca="false">CONCOR!E108</f>
        <v>9.24727092240956</v>
      </c>
      <c r="D424" s="26" t="n">
        <f aca="false">CONCOR!F108</f>
        <v>8.17379876201042</v>
      </c>
      <c r="E424" s="26" t="n">
        <f aca="false">CONCOR!G108</f>
        <v>8.88515531660693</v>
      </c>
      <c r="F424" s="26" t="n">
        <f aca="false">CONCOR!H108</f>
        <v>11.5916702201791</v>
      </c>
      <c r="G424" s="26" t="n">
        <f aca="false">CONCOR!I108</f>
        <v>15.0650977493018</v>
      </c>
      <c r="H424" s="26" t="n">
        <f aca="false">CONCOR!J108</f>
        <v>17.7889342072944</v>
      </c>
      <c r="I424" s="27" t="n">
        <f aca="false">CONCOR!K108</f>
        <v>11.145880480798</v>
      </c>
      <c r="J424" s="34" t="str">
        <f aca="false">IF(AND(ISNUMBER(H424),ISNUMBER(H$433)),IF(H424&gt;H$433,"Above",IF(H424&lt;H$433,"Below","At")),"-")</f>
        <v>Below</v>
      </c>
      <c r="K424" s="34" t="str">
        <f aca="false">IF(J424="Below","Better",IF(J424="Above","Weaker","-"))</f>
        <v>Better</v>
      </c>
      <c r="L424" s="34" t="n">
        <f aca="false">IF(ISNUMBER(H424),RANK(H424,H$421:H$430,1),"-")</f>
        <v>1</v>
      </c>
      <c r="N424" s="34" t="str">
        <f aca="false">IF(AND(ISNUMBER(I424),ISNUMBER(I$433)),IF(I424&gt;I$433,"Above",IF(I424&lt;I$433,"Below","At")),"-")</f>
        <v>Below</v>
      </c>
      <c r="O424" s="34" t="str">
        <f aca="false">IF(N424="Below","Better",IF(N424="Above","Weaker","-"))</f>
        <v>Better</v>
      </c>
    </row>
    <row r="425" customFormat="false" ht="15" hidden="false" customHeight="false" outlineLevel="0" collapsed="false">
      <c r="A425" s="18" t="s">
        <v>113</v>
      </c>
      <c r="B425" s="26" t="n">
        <f aca="false">JetFreight!D108</f>
        <v>70.7280338915205</v>
      </c>
      <c r="C425" s="26" t="n">
        <f aca="false">JetFreight!E108</f>
        <v>47.9786758557052</v>
      </c>
      <c r="D425" s="26" t="n">
        <f aca="false">JetFreight!F108</f>
        <v>32.5596046063578</v>
      </c>
      <c r="E425" s="26" t="n">
        <f aca="false">JetFreight!G108</f>
        <v>38.0556888814226</v>
      </c>
      <c r="F425" s="26" t="n">
        <f aca="false">JetFreight!H108</f>
        <v>53.7282409675839</v>
      </c>
      <c r="G425" s="26" t="n">
        <f aca="false">JetFreight!I108</f>
        <v>61.5341364542061</v>
      </c>
      <c r="H425" s="26" t="n">
        <f aca="false">JetFreight!J108</f>
        <v>71.9841019636102</v>
      </c>
      <c r="I425" s="27" t="n">
        <f aca="false">JetFreight!K108</f>
        <v>53.7954975172009</v>
      </c>
      <c r="J425" s="34" t="str">
        <f aca="false">IF(AND(ISNUMBER(H425),ISNUMBER(H$433)),IF(H425&gt;H$433,"Above",IF(H425&lt;H$433,"Below","At")),"-")</f>
        <v>Above</v>
      </c>
      <c r="K425" s="34" t="str">
        <f aca="false">IF(J425="Below","Better",IF(J425="Above","Weaker","-"))</f>
        <v>Weaker</v>
      </c>
      <c r="L425" s="34" t="n">
        <f aca="false">IF(ISNUMBER(H425),RANK(H425,H$421:H$430,1),"-")</f>
        <v>7</v>
      </c>
      <c r="N425" s="34" t="str">
        <f aca="false">IF(AND(ISNUMBER(I425),ISNUMBER(I$433)),IF(I425&gt;I$433,"Above",IF(I425&lt;I$433,"Below","At")),"-")</f>
        <v>Below</v>
      </c>
      <c r="O425" s="34" t="str">
        <f aca="false">IF(N425="Below","Better",IF(N425="Above","Weaker","-"))</f>
        <v>Better</v>
      </c>
    </row>
    <row r="426" customFormat="false" ht="15" hidden="false" customHeight="false" outlineLevel="0" collapsed="false">
      <c r="A426" s="18" t="s">
        <v>114</v>
      </c>
      <c r="B426" s="26" t="n">
        <f aca="false">Patel!D108</f>
        <v>98.82768198958</v>
      </c>
      <c r="C426" s="26" t="n">
        <f aca="false">Patel!E108</f>
        <v>138.149705535925</v>
      </c>
      <c r="D426" s="26" t="n">
        <f aca="false">Patel!F108</f>
        <v>106.118235745988</v>
      </c>
      <c r="E426" s="26" t="n">
        <f aca="false">Patel!G108</f>
        <v>90.6335345694983</v>
      </c>
      <c r="F426" s="26" t="n">
        <f aca="false">Patel!H108</f>
        <v>103.400963689554</v>
      </c>
      <c r="G426" s="26" t="n">
        <f aca="false">Patel!I108</f>
        <v>84.2762409174473</v>
      </c>
      <c r="H426" s="26" t="n">
        <f aca="false">Patel!J108</f>
        <v>71.6274430195442</v>
      </c>
      <c r="I426" s="27" t="n">
        <f aca="false">Patel!K108</f>
        <v>99.0048293525053</v>
      </c>
      <c r="J426" s="34" t="str">
        <f aca="false">IF(AND(ISNUMBER(H426),ISNUMBER(H$433)),IF(H426&gt;H$433,"Above",IF(H426&lt;H$433,"Below","At")),"-")</f>
        <v>Above</v>
      </c>
      <c r="K426" s="34" t="str">
        <f aca="false">IF(J426="Below","Better",IF(J426="Above","Weaker","-"))</f>
        <v>Weaker</v>
      </c>
      <c r="L426" s="34" t="n">
        <f aca="false">IF(ISNUMBER(H426),RANK(H426,H$421:H$430,1),"-")</f>
        <v>6</v>
      </c>
      <c r="N426" s="34" t="str">
        <f aca="false">IF(AND(ISNUMBER(I426),ISNUMBER(I$433)),IF(I426&gt;I$433,"Above",IF(I426&lt;I$433,"Below","At")),"-")</f>
        <v>Above</v>
      </c>
      <c r="O426" s="34" t="str">
        <f aca="false">IF(N426="Below","Better",IF(N426="Above","Weaker","-"))</f>
        <v>Weaker</v>
      </c>
    </row>
    <row r="427" customFormat="false" ht="15" hidden="false" customHeight="false" outlineLevel="0" collapsed="false">
      <c r="A427" s="18" t="s">
        <v>115</v>
      </c>
      <c r="B427" s="26" t="n">
        <f aca="false">Sical!D108</f>
        <v>115.648288992285</v>
      </c>
      <c r="C427" s="26" t="n">
        <f aca="false">Sical!E108</f>
        <v>164.276452951572</v>
      </c>
      <c r="D427" s="26" t="n">
        <f aca="false">Sical!F108</f>
        <v>185.476538538711</v>
      </c>
      <c r="E427" s="26" t="n">
        <f aca="false">Sical!G108</f>
        <v>91.4152278697304</v>
      </c>
      <c r="F427" s="26" t="n">
        <f aca="false">Sical!H108</f>
        <v>81.4889863856348</v>
      </c>
      <c r="G427" s="26" t="n">
        <f aca="false">Sical!I108</f>
        <v>95.594062753584</v>
      </c>
      <c r="H427" s="26" t="n">
        <f aca="false">Sical!J108</f>
        <v>79.5338104127774</v>
      </c>
      <c r="I427" s="27" t="n">
        <f aca="false">Sical!K108</f>
        <v>116.204766843471</v>
      </c>
      <c r="J427" s="34" t="str">
        <f aca="false">IF(AND(ISNUMBER(H427),ISNUMBER(H$433)),IF(H427&gt;H$433,"Above",IF(H427&lt;H$433,"Below","At")),"-")</f>
        <v>Above</v>
      </c>
      <c r="K427" s="34" t="str">
        <f aca="false">IF(J427="Below","Better",IF(J427="Above","Weaker","-"))</f>
        <v>Weaker</v>
      </c>
      <c r="L427" s="34" t="n">
        <f aca="false">IF(ISNUMBER(H427),RANK(H427,H$421:H$430,1),"-")</f>
        <v>8</v>
      </c>
      <c r="N427" s="34" t="str">
        <f aca="false">IF(AND(ISNUMBER(I427),ISNUMBER(I$433)),IF(I427&gt;I$433,"Above",IF(I427&lt;I$433,"Below","At")),"-")</f>
        <v>Above</v>
      </c>
      <c r="O427" s="34" t="str">
        <f aca="false">IF(N427="Below","Better",IF(N427="Above","Weaker","-"))</f>
        <v>Weaker</v>
      </c>
    </row>
    <row r="428" customFormat="false" ht="15" hidden="false" customHeight="false" outlineLevel="0" collapsed="false">
      <c r="A428" s="18" t="s">
        <v>86</v>
      </c>
      <c r="B428" s="26" t="n">
        <f aca="false">TCI!D108</f>
        <v>67.3087267830336</v>
      </c>
      <c r="C428" s="26" t="n">
        <f aca="false">TCI!E108</f>
        <v>65.014880155867</v>
      </c>
      <c r="D428" s="26" t="n">
        <f aca="false">TCI!F108</f>
        <v>57.0823168579942</v>
      </c>
      <c r="E428" s="26" t="n">
        <f aca="false">TCI!G108</f>
        <v>51.5844254038921</v>
      </c>
      <c r="F428" s="26" t="n">
        <f aca="false">TCI!H108</f>
        <v>52.6757838708235</v>
      </c>
      <c r="G428" s="26" t="n">
        <f aca="false">TCI!I108</f>
        <v>53.7353120589165</v>
      </c>
      <c r="H428" s="26" t="n">
        <f aca="false">TCI!J108</f>
        <v>57.0980389564694</v>
      </c>
      <c r="I428" s="27" t="n">
        <f aca="false">TCI!K108</f>
        <v>57.7856405838566</v>
      </c>
      <c r="J428" s="34" t="str">
        <f aca="false">IF(AND(ISNUMBER(H428),ISNUMBER(H$433)),IF(H428&gt;H$433,"Above",IF(H428&lt;H$433,"Below","At")),"-")</f>
        <v>Below</v>
      </c>
      <c r="K428" s="34" t="str">
        <f aca="false">IF(J428="Below","Better",IF(J428="Above","Weaker","-"))</f>
        <v>Better</v>
      </c>
      <c r="L428" s="34" t="n">
        <f aca="false">IF(ISNUMBER(H428),RANK(H428,H$421:H$430,1),"-")</f>
        <v>4</v>
      </c>
      <c r="N428" s="34" t="str">
        <f aca="false">IF(AND(ISNUMBER(I428),ISNUMBER(I$433)),IF(I428&gt;I$433,"Above",IF(I428&lt;I$433,"Below","At")),"-")</f>
        <v>Below</v>
      </c>
      <c r="O428" s="34" t="str">
        <f aca="false">IF(N428="Below","Better",IF(N428="Above","Weaker","-"))</f>
        <v>Better</v>
      </c>
    </row>
    <row r="429" customFormat="false" ht="15" hidden="false" customHeight="false" outlineLevel="0" collapsed="false">
      <c r="A429" s="18" t="s">
        <v>116</v>
      </c>
      <c r="B429" s="26" t="n">
        <f aca="false">Shreeji!D108</f>
        <v>94.3525</v>
      </c>
      <c r="C429" s="26" t="n">
        <f aca="false">Shreeji!E108</f>
        <v>106.957174535711</v>
      </c>
      <c r="D429" s="26" t="n">
        <f aca="false">Shreeji!F108</f>
        <v>90.4029253694882</v>
      </c>
      <c r="E429" s="26" t="n">
        <f aca="false">Shreeji!G108</f>
        <v>97.9748176357005</v>
      </c>
      <c r="F429" s="26" t="n">
        <f aca="false">Shreeji!H108</f>
        <v>87.650998003992</v>
      </c>
      <c r="G429" s="26" t="n">
        <f aca="false">Shreeji!I108</f>
        <v>104.42898991734</v>
      </c>
      <c r="H429" s="26" t="n">
        <f aca="false">Shreeji!J108</f>
        <v>105.555401425584</v>
      </c>
      <c r="I429" s="27" t="n">
        <f aca="false">Shreeji!K108</f>
        <v>98.1889724125451</v>
      </c>
      <c r="J429" s="34" t="str">
        <f aca="false">IF(AND(ISNUMBER(H429),ISNUMBER(H$433)),IF(H429&gt;H$433,"Above",IF(H429&lt;H$433,"Below","At")),"-")</f>
        <v>Above</v>
      </c>
      <c r="K429" s="34" t="str">
        <f aca="false">IF(J429="Below","Better",IF(J429="Above","Weaker","-"))</f>
        <v>Weaker</v>
      </c>
      <c r="L429" s="34" t="n">
        <f aca="false">IF(ISNUMBER(H429),RANK(H429,H$421:H$430,1),"-")</f>
        <v>10</v>
      </c>
      <c r="N429" s="34" t="str">
        <f aca="false">IF(AND(ISNUMBER(I429),ISNUMBER(I$433)),IF(I429&gt;I$433,"Above",IF(I429&lt;I$433,"Below","At")),"-")</f>
        <v>Above</v>
      </c>
      <c r="O429" s="34" t="str">
        <f aca="false">IF(N429="Below","Better",IF(N429="Above","Weaker","-"))</f>
        <v>Weaker</v>
      </c>
    </row>
    <row r="430" customFormat="false" ht="15" hidden="false" customHeight="false" outlineLevel="0" collapsed="false">
      <c r="A430" s="18" t="s">
        <v>117</v>
      </c>
      <c r="B430" s="26" t="n">
        <f aca="false">MahindraLog!D108</f>
        <v>55.4102542680503</v>
      </c>
      <c r="C430" s="26" t="n">
        <f aca="false">MahindraLog!E108</f>
        <v>57.1049216844582</v>
      </c>
      <c r="D430" s="26" t="n">
        <f aca="false">MahindraLog!F108</f>
        <v>42.9501468329485</v>
      </c>
      <c r="E430" s="26" t="n">
        <f aca="false">MahindraLog!G108</f>
        <v>40.6185443880904</v>
      </c>
      <c r="F430" s="26" t="n">
        <f aca="false">MahindraLog!H108</f>
        <v>44.8923940740687</v>
      </c>
      <c r="G430" s="26" t="n">
        <f aca="false">MahindraLog!I108</f>
        <v>39.6698188155936</v>
      </c>
      <c r="H430" s="26" t="n">
        <f aca="false">MahindraLog!J108</f>
        <v>34.279274356007</v>
      </c>
      <c r="I430" s="27" t="n">
        <f aca="false">MahindraLog!K108</f>
        <v>44.9893363456024</v>
      </c>
      <c r="J430" s="34" t="str">
        <f aca="false">IF(AND(ISNUMBER(H430),ISNUMBER(H$433)),IF(H430&gt;H$433,"Above",IF(H430&lt;H$433,"Below","At")),"-")</f>
        <v>Below</v>
      </c>
      <c r="K430" s="34" t="str">
        <f aca="false">IF(J430="Below","Better",IF(J430="Above","Weaker","-"))</f>
        <v>Better</v>
      </c>
      <c r="L430" s="34" t="n">
        <f aca="false">IF(ISNUMBER(H430),RANK(H430,H$421:H$430,1),"-")</f>
        <v>2</v>
      </c>
      <c r="N430" s="34" t="str">
        <f aca="false">IF(AND(ISNUMBER(I430),ISNUMBER(I$433)),IF(I430&gt;I$433,"Above",IF(I430&lt;I$433,"Below","At")),"-")</f>
        <v>Below</v>
      </c>
      <c r="O430" s="34" t="str">
        <f aca="false">IF(N430="Below","Better",IF(N430="Above","Weaker","-"))</f>
        <v>Better</v>
      </c>
    </row>
    <row r="431" customFormat="false" ht="15" hidden="false" customHeight="false" outlineLevel="0" collapsed="false">
      <c r="A431" s="12" t="s">
        <v>176</v>
      </c>
      <c r="B431" s="27" t="n">
        <f aca="false">Industry!D108</f>
        <v>47.5507239045996</v>
      </c>
      <c r="C431" s="27" t="n">
        <f aca="false">Industry!E108</f>
        <v>50.1839829112625</v>
      </c>
      <c r="D431" s="27" t="n">
        <f aca="false">Industry!F108</f>
        <v>42.7559175979367</v>
      </c>
      <c r="E431" s="27" t="n">
        <f aca="false">Industry!G108</f>
        <v>41.6124174717161</v>
      </c>
      <c r="F431" s="27" t="n">
        <f aca="false">Industry!H108</f>
        <v>44.6726872451754</v>
      </c>
      <c r="G431" s="27" t="n">
        <f aca="false">Industry!I108</f>
        <v>51.505143584013</v>
      </c>
      <c r="H431" s="27" t="n">
        <f aca="false">Industry!J108</f>
        <v>41.7156917756324</v>
      </c>
      <c r="I431" s="27" t="n">
        <f aca="false">Industry!K108</f>
        <v>45.7137949271908</v>
      </c>
    </row>
    <row r="432" customFormat="false" ht="15" hidden="false" customHeight="false" outlineLevel="0" collapsed="false">
      <c r="A432" s="35" t="s">
        <v>177</v>
      </c>
      <c r="B432" s="38" t="n">
        <f aca="false">IFERROR(AVERAGE(B421:B430),"N/M")</f>
        <v>72.1108040195213</v>
      </c>
      <c r="C432" s="38" t="n">
        <f aca="false">IFERROR(AVERAGE(C421:C430),"N/M")</f>
        <v>82.2771478556642</v>
      </c>
      <c r="D432" s="38" t="n">
        <f aca="false">IFERROR(AVERAGE(D421:D430),"N/M")</f>
        <v>65.1656008490996</v>
      </c>
      <c r="E432" s="38" t="n">
        <f aca="false">IFERROR(AVERAGE(E421:E430),"N/M")</f>
        <v>56.348214943111</v>
      </c>
      <c r="F432" s="38" t="n">
        <f aca="false">IFERROR(AVERAGE(F421:F430),"N/M")</f>
        <v>63.120111762266</v>
      </c>
      <c r="G432" s="38" t="n">
        <f aca="false">IFERROR(AVERAGE(G421:G430),"N/M")</f>
        <v>80.1680646996762</v>
      </c>
      <c r="H432" s="38" t="n">
        <f aca="false">IFERROR(AVERAGE(H421:H430),"N/M")</f>
        <v>64.3833233244334</v>
      </c>
      <c r="I432" s="38" t="n">
        <f aca="false">IFERROR(AVERAGE(I421:I430),"N/M")</f>
        <v>69.0818953505388</v>
      </c>
    </row>
    <row r="433" customFormat="false" ht="15" hidden="false" customHeight="false" outlineLevel="0" collapsed="false">
      <c r="A433" s="35" t="s">
        <v>178</v>
      </c>
      <c r="B433" s="38" t="n">
        <f aca="false">IFERROR(MEDIAN(B421:B430),"N/M")</f>
        <v>69.018380337277</v>
      </c>
      <c r="C433" s="38" t="n">
        <f aca="false">IFERROR(MEDIAN(C421:C430),"N/M")</f>
        <v>61.5395000938088</v>
      </c>
      <c r="D433" s="38" t="n">
        <f aca="false">IFERROR(MEDIAN(D421:D430),"N/M")</f>
        <v>47.8565255497039</v>
      </c>
      <c r="E433" s="38" t="n">
        <f aca="false">IFERROR(MEDIAN(E421:E430),"N/M")</f>
        <v>50.6309112135417</v>
      </c>
      <c r="F433" s="38" t="n">
        <f aca="false">IFERROR(MEDIAN(F421:F430),"N/M")</f>
        <v>56.8785755015732</v>
      </c>
      <c r="G433" s="38" t="n">
        <f aca="false">IFERROR(MEDIAN(G421:G430),"N/M")</f>
        <v>60.1118268555083</v>
      </c>
      <c r="H433" s="38" t="n">
        <f aca="false">IFERROR(MEDIAN(H421:H430),"N/M")</f>
        <v>71.4624095564193</v>
      </c>
      <c r="I433" s="38" t="n">
        <f aca="false">IFERROR(MEDIAN(I421:I430),"N/M")</f>
        <v>67.1205833017845</v>
      </c>
    </row>
    <row r="434" customFormat="false" ht="15" hidden="false" customHeight="false" outlineLevel="0" collapsed="false">
      <c r="A434" s="35" t="s">
        <v>179</v>
      </c>
      <c r="B434" s="38" t="n">
        <f aca="false">IFERROR(STDEV(B421:B430),"N/M")</f>
        <v>31.6848342536137</v>
      </c>
      <c r="C434" s="38" t="n">
        <f aca="false">IFERROR(STDEV(C421:C430),"N/M")</f>
        <v>47.5727341691173</v>
      </c>
      <c r="D434" s="38" t="n">
        <f aca="false">IFERROR(STDEV(D421:D430),"N/M")</f>
        <v>50.873414538744</v>
      </c>
      <c r="E434" s="38" t="n">
        <f aca="false">IFERROR(STDEV(E421:E430),"N/M")</f>
        <v>28.3657012028047</v>
      </c>
      <c r="F434" s="38" t="n">
        <f aca="false">IFERROR(STDEV(F421:F430),"N/M")</f>
        <v>27.5310565937115</v>
      </c>
      <c r="G434" s="38" t="n">
        <f aca="false">IFERROR(STDEV(G421:G430),"N/M")</f>
        <v>62.9151758992384</v>
      </c>
      <c r="H434" s="38" t="n">
        <f aca="false">IFERROR(STDEV(H421:H430),"N/M")</f>
        <v>25.3578489366451</v>
      </c>
      <c r="I434" s="38" t="n">
        <f aca="false">IFERROR(STDEV(I421:I430),"N/M")</f>
        <v>31.4563397433369</v>
      </c>
    </row>
    <row r="435" customFormat="false" ht="15" hidden="false" customHeight="false" outlineLevel="0" collapsed="false">
      <c r="A435" s="35" t="s">
        <v>102</v>
      </c>
      <c r="B435" s="38" t="n">
        <f aca="false">IFERROR(MIN(B421:B430),"N/M")</f>
        <v>7.26923618778397</v>
      </c>
      <c r="C435" s="38" t="n">
        <f aca="false">IFERROR(MIN(C421:C430),"N/M")</f>
        <v>9.24727092240956</v>
      </c>
      <c r="D435" s="38" t="n">
        <f aca="false">IFERROR(MIN(D421:D430),"N/M")</f>
        <v>8.17379876201042</v>
      </c>
      <c r="E435" s="38" t="n">
        <f aca="false">IFERROR(MIN(E421:E430),"N/M")</f>
        <v>8.88515531660693</v>
      </c>
      <c r="F435" s="38" t="n">
        <f aca="false">IFERROR(MIN(F421:F430),"N/M")</f>
        <v>11.5916702201791</v>
      </c>
      <c r="G435" s="38" t="n">
        <f aca="false">IFERROR(MIN(G421:G430),"N/M")</f>
        <v>15.0650977493018</v>
      </c>
      <c r="H435" s="38" t="n">
        <f aca="false">IFERROR(MIN(H421:H430),"N/M")</f>
        <v>17.7889342072944</v>
      </c>
      <c r="I435" s="38" t="n">
        <f aca="false">IFERROR(MIN(I421:I430),"N/M")</f>
        <v>11.145880480798</v>
      </c>
    </row>
    <row r="436" customFormat="false" ht="15" hidden="false" customHeight="false" outlineLevel="0" collapsed="false">
      <c r="A436" s="35" t="s">
        <v>103</v>
      </c>
      <c r="B436" s="38" t="n">
        <f aca="false">IFERROR(MAX(B421:B430),"N/M")</f>
        <v>115.648288992285</v>
      </c>
      <c r="C436" s="38" t="n">
        <f aca="false">IFERROR(MAX(C421:C430),"N/M")</f>
        <v>164.276452951572</v>
      </c>
      <c r="D436" s="38" t="n">
        <f aca="false">IFERROR(MAX(D421:D430),"N/M")</f>
        <v>185.476538538711</v>
      </c>
      <c r="E436" s="38" t="n">
        <f aca="false">IFERROR(MAX(E421:E430),"N/M")</f>
        <v>97.9748176357005</v>
      </c>
      <c r="F436" s="38" t="n">
        <f aca="false">IFERROR(MAX(F421:F430),"N/M")</f>
        <v>103.400963689554</v>
      </c>
      <c r="G436" s="38" t="n">
        <f aca="false">IFERROR(MAX(G421:G430),"N/M")</f>
        <v>242.217797042325</v>
      </c>
      <c r="H436" s="38" t="n">
        <f aca="false">IFERROR(MAX(H421:H430),"N/M")</f>
        <v>105.555401425584</v>
      </c>
      <c r="I436" s="38" t="n">
        <f aca="false">IFERROR(MAX(I421:I430),"N/M")</f>
        <v>116.204766843471</v>
      </c>
    </row>
    <row r="438" customFormat="false" ht="15" hidden="false" customHeight="false" outlineLevel="0" collapsed="false">
      <c r="A438" s="16" t="s">
        <v>203</v>
      </c>
      <c r="B438" s="17"/>
      <c r="C438" s="17"/>
      <c r="D438" s="17"/>
      <c r="E438" s="17"/>
      <c r="F438" s="17"/>
      <c r="G438" s="17"/>
      <c r="H438" s="17"/>
      <c r="I438" s="17"/>
      <c r="J438" s="17"/>
      <c r="K438" s="17"/>
      <c r="L438" s="17"/>
      <c r="M438" s="17"/>
    </row>
    <row r="439" customFormat="false" ht="15" hidden="false" customHeight="false" outlineLevel="0" collapsed="false">
      <c r="A439" s="18" t="s">
        <v>110</v>
      </c>
      <c r="B439" s="20" t="n">
        <f aca="false">Tiger!D109</f>
        <v>13.8784557907846</v>
      </c>
      <c r="C439" s="20" t="n">
        <f aca="false">Tiger!E109</f>
        <v>7.27174677608441</v>
      </c>
      <c r="D439" s="20" t="n">
        <f aca="false">Tiger!F109</f>
        <v>15.1962566119626</v>
      </c>
      <c r="E439" s="20" t="n">
        <f aca="false">Tiger!G109</f>
        <v>11.2390101892285</v>
      </c>
      <c r="F439" s="20" t="n">
        <f aca="false">Tiger!H109</f>
        <v>9.66471002582766</v>
      </c>
      <c r="G439" s="20" t="n">
        <f aca="false">Tiger!I109</f>
        <v>21.9711802378774</v>
      </c>
      <c r="H439" s="20" t="n">
        <f aca="false">Tiger!J109</f>
        <v>13.7403602401601</v>
      </c>
      <c r="I439" s="21" t="n">
        <f aca="false">Tiger!K109</f>
        <v>13.2802456959893</v>
      </c>
      <c r="J439" s="34" t="str">
        <f aca="false">IF(AND(ISNUMBER(H439),ISNUMBER(H$451)),IF(H439&gt;H$451,"Above",IF(H439&lt;H$451,"Below","At")),"-")</f>
        <v>Above</v>
      </c>
      <c r="K439" s="34" t="s">
        <v>204</v>
      </c>
      <c r="L439" s="34" t="n">
        <f aca="false">IF(ISNUMBER(H439),RANK(H439,H$439:H$448,0),"-")</f>
        <v>1</v>
      </c>
      <c r="N439" s="34" t="str">
        <f aca="false">IF(AND(ISNUMBER(I439),ISNUMBER(I$451)),IF(I439&gt;I$451,"Above",IF(I439&lt;I$451,"Below","At")),"-")</f>
        <v>Above</v>
      </c>
      <c r="O439" s="34" t="s">
        <v>204</v>
      </c>
    </row>
    <row r="440" customFormat="false" ht="15" hidden="false" customHeight="false" outlineLevel="0" collapsed="false">
      <c r="A440" s="18" t="s">
        <v>111</v>
      </c>
      <c r="B440" s="20" t="n">
        <f aca="false">Allcargo!D109</f>
        <v>3.76111527402631</v>
      </c>
      <c r="C440" s="20" t="n">
        <f aca="false">Allcargo!E109</f>
        <v>3.59339364872704</v>
      </c>
      <c r="D440" s="20" t="n">
        <f aca="false">Allcargo!F109</f>
        <v>4.41762151075778</v>
      </c>
      <c r="E440" s="20" t="n">
        <f aca="false">Allcargo!G109</f>
        <v>3.90531454511373</v>
      </c>
      <c r="F440" s="20" t="n">
        <f aca="false">Allcargo!H109</f>
        <v>3.29423952897806</v>
      </c>
      <c r="G440" s="20" t="n">
        <f aca="false">Allcargo!I109</f>
        <v>0.886116773282483</v>
      </c>
      <c r="H440" s="20" t="n">
        <f aca="false">Allcargo!J109</f>
        <v>3.47866205305652</v>
      </c>
      <c r="I440" s="21" t="n">
        <f aca="false">Allcargo!K109</f>
        <v>3.33378047627742</v>
      </c>
      <c r="J440" s="34" t="str">
        <f aca="false">IF(AND(ISNUMBER(H440),ISNUMBER(H$451)),IF(H440&gt;H$451,"Above",IF(H440&lt;H$451,"Below","At")),"-")</f>
        <v>Below</v>
      </c>
      <c r="K440" s="34" t="s">
        <v>204</v>
      </c>
      <c r="L440" s="34" t="n">
        <f aca="false">IF(ISNUMBER(H440),RANK(H440,H$439:H$448,0),"-")</f>
        <v>8</v>
      </c>
      <c r="N440" s="34" t="str">
        <f aca="false">IF(AND(ISNUMBER(I440),ISNUMBER(I$451)),IF(I440&gt;I$451,"Above",IF(I440&lt;I$451,"Below","At")),"-")</f>
        <v>Below</v>
      </c>
      <c r="O440" s="34" t="s">
        <v>204</v>
      </c>
    </row>
    <row r="441" customFormat="false" ht="15" hidden="false" customHeight="false" outlineLevel="0" collapsed="false">
      <c r="A441" s="18" t="s">
        <v>112</v>
      </c>
      <c r="B441" s="20" t="n">
        <f aca="false">BlueDart!D109</f>
        <v>1.51199130137407</v>
      </c>
      <c r="C441" s="20" t="n">
        <f aca="false">BlueDart!E109</f>
        <v>1.37529542957957</v>
      </c>
      <c r="D441" s="20" t="n">
        <f aca="false">BlueDart!F109</f>
        <v>2.83961413254487</v>
      </c>
      <c r="E441" s="20" t="n">
        <f aca="false">BlueDart!G109</f>
        <v>3.43754995397344</v>
      </c>
      <c r="F441" s="20" t="n">
        <f aca="false">BlueDart!H109</f>
        <v>3.28655054989146</v>
      </c>
      <c r="G441" s="20" t="n">
        <f aca="false">BlueDart!I109</f>
        <v>3.32785809078072</v>
      </c>
      <c r="H441" s="20" t="n">
        <f aca="false">BlueDart!J109</f>
        <v>3.24581643057032</v>
      </c>
      <c r="I441" s="21" t="n">
        <f aca="false">BlueDart!K109</f>
        <v>2.71781084124492</v>
      </c>
      <c r="J441" s="34" t="str">
        <f aca="false">IF(AND(ISNUMBER(H441),ISNUMBER(H$451)),IF(H441&gt;H$451,"Above",IF(H441&lt;H$451,"Below","At")),"-")</f>
        <v>Below</v>
      </c>
      <c r="K441" s="34" t="s">
        <v>204</v>
      </c>
      <c r="L441" s="34" t="n">
        <f aca="false">IF(ISNUMBER(H441),RANK(H441,H$439:H$448,0),"-")</f>
        <v>9</v>
      </c>
      <c r="N441" s="34" t="str">
        <f aca="false">IF(AND(ISNUMBER(I441),ISNUMBER(I$451)),IF(I441&gt;I$451,"Above",IF(I441&lt;I$451,"Below","At")),"-")</f>
        <v>Below</v>
      </c>
      <c r="O441" s="34" t="s">
        <v>204</v>
      </c>
    </row>
    <row r="442" customFormat="false" ht="15" hidden="false" customHeight="false" outlineLevel="0" collapsed="false">
      <c r="A442" s="18" t="s">
        <v>67</v>
      </c>
      <c r="B442" s="20" t="n">
        <f aca="false">CONCOR!D109</f>
        <v>2.55498158483136</v>
      </c>
      <c r="C442" s="20" t="n">
        <f aca="false">CONCOR!E109</f>
        <v>2.59072400186579</v>
      </c>
      <c r="D442" s="20" t="n">
        <f aca="false">CONCOR!F109</f>
        <v>3.23802914642609</v>
      </c>
      <c r="E442" s="20" t="n">
        <f aca="false">CONCOR!G109</f>
        <v>3.57613852790546</v>
      </c>
      <c r="F442" s="20" t="n">
        <f aca="false">CONCOR!H109</f>
        <v>4.16801625350795</v>
      </c>
      <c r="G442" s="20" t="n">
        <f aca="false">CONCOR!I109</f>
        <v>4.72738280643195</v>
      </c>
      <c r="H442" s="20" t="n">
        <f aca="false">CONCOR!J109</f>
        <v>4.81248801534037</v>
      </c>
      <c r="I442" s="21" t="n">
        <f aca="false">CONCOR!K109</f>
        <v>3.666822905187</v>
      </c>
      <c r="J442" s="34" t="str">
        <f aca="false">IF(AND(ISNUMBER(H442),ISNUMBER(H$451)),IF(H442&gt;H$451,"Above",IF(H442&lt;H$451,"Below","At")),"-")</f>
        <v>Below</v>
      </c>
      <c r="K442" s="34" t="s">
        <v>204</v>
      </c>
      <c r="L442" s="34" t="n">
        <f aca="false">IF(ISNUMBER(H442),RANK(H442,H$439:H$448,0),"-")</f>
        <v>6</v>
      </c>
      <c r="N442" s="34" t="str">
        <f aca="false">IF(AND(ISNUMBER(I442),ISNUMBER(I$451)),IF(I442&gt;I$451,"Above",IF(I442&lt;I$451,"Below","At")),"-")</f>
        <v>Below</v>
      </c>
      <c r="O442" s="34" t="s">
        <v>204</v>
      </c>
    </row>
    <row r="443" customFormat="false" ht="15" hidden="false" customHeight="false" outlineLevel="0" collapsed="false">
      <c r="A443" s="18" t="s">
        <v>113</v>
      </c>
      <c r="B443" s="20" t="n">
        <f aca="false">JetFreight!D109</f>
        <v>9.8610292843528</v>
      </c>
      <c r="C443" s="20" t="n">
        <f aca="false">JetFreight!E109</f>
        <v>8.29756468797565</v>
      </c>
      <c r="D443" s="20" t="n">
        <f aca="false">JetFreight!F109</f>
        <v>10.4430348865577</v>
      </c>
      <c r="E443" s="20" t="n">
        <f aca="false">JetFreight!G109</f>
        <v>11.4943418701608</v>
      </c>
      <c r="F443" s="20" t="n">
        <f aca="false">JetFreight!H109</f>
        <v>8.49837408165723</v>
      </c>
      <c r="G443" s="20" t="n">
        <f aca="false">JetFreight!I109</f>
        <v>7.59750719079578</v>
      </c>
      <c r="H443" s="20" t="n">
        <f aca="false">JetFreight!J109</f>
        <v>8.06408060453401</v>
      </c>
      <c r="I443" s="21" t="n">
        <f aca="false">JetFreight!K109</f>
        <v>9.17941894371914</v>
      </c>
      <c r="J443" s="34" t="str">
        <f aca="false">IF(AND(ISNUMBER(H443),ISNUMBER(H$451)),IF(H443&gt;H$451,"Above",IF(H443&lt;H$451,"Below","At")),"-")</f>
        <v>Above</v>
      </c>
      <c r="K443" s="34" t="s">
        <v>204</v>
      </c>
      <c r="L443" s="34" t="n">
        <f aca="false">IF(ISNUMBER(H443),RANK(H443,H$439:H$448,0),"-")</f>
        <v>4</v>
      </c>
      <c r="N443" s="34" t="str">
        <f aca="false">IF(AND(ISNUMBER(I443),ISNUMBER(I$451)),IF(I443&gt;I$451,"Above",IF(I443&lt;I$451,"Below","At")),"-")</f>
        <v>Above</v>
      </c>
      <c r="O443" s="34" t="s">
        <v>204</v>
      </c>
    </row>
    <row r="444" customFormat="false" ht="15" hidden="false" customHeight="false" outlineLevel="0" collapsed="false">
      <c r="A444" s="18" t="s">
        <v>114</v>
      </c>
      <c r="B444" s="20" t="n">
        <f aca="false">Patel!D109</f>
        <v>12.7960199004975</v>
      </c>
      <c r="C444" s="20" t="n">
        <f aca="false">Patel!E109</f>
        <v>10.1170212765957</v>
      </c>
      <c r="D444" s="20" t="n">
        <f aca="false">Patel!F109</f>
        <v>16.3306169965076</v>
      </c>
      <c r="E444" s="20" t="n">
        <f aca="false">Patel!G109</f>
        <v>13.4941907592543</v>
      </c>
      <c r="F444" s="20" t="n">
        <f aca="false">Patel!H109</f>
        <v>7.30491711937596</v>
      </c>
      <c r="G444" s="20" t="n">
        <f aca="false">Patel!I109</f>
        <v>7.65479385215906</v>
      </c>
      <c r="H444" s="20" t="n">
        <f aca="false">Patel!J109</f>
        <v>9.6895263708352</v>
      </c>
      <c r="I444" s="21" t="n">
        <f aca="false">Patel!K109</f>
        <v>11.0552980393179</v>
      </c>
      <c r="J444" s="34" t="str">
        <f aca="false">IF(AND(ISNUMBER(H444),ISNUMBER(H$451)),IF(H444&gt;H$451,"Above",IF(H444&lt;H$451,"Below","At")),"-")</f>
        <v>Above</v>
      </c>
      <c r="K444" s="34" t="s">
        <v>204</v>
      </c>
      <c r="L444" s="34" t="n">
        <f aca="false">IF(ISNUMBER(H444),RANK(H444,H$439:H$448,0),"-")</f>
        <v>3</v>
      </c>
      <c r="N444" s="34" t="str">
        <f aca="false">IF(AND(ISNUMBER(I444),ISNUMBER(I$451)),IF(I444&gt;I$451,"Above",IF(I444&lt;I$451,"Below","At")),"-")</f>
        <v>Above</v>
      </c>
      <c r="O444" s="34" t="s">
        <v>204</v>
      </c>
    </row>
    <row r="445" customFormat="false" ht="15" hidden="false" customHeight="false" outlineLevel="0" collapsed="false">
      <c r="A445" s="18" t="s">
        <v>115</v>
      </c>
      <c r="B445" s="20" t="n">
        <f aca="false">Sical!D109</f>
        <v>0.96604384797825</v>
      </c>
      <c r="C445" s="20" t="n">
        <f aca="false">Sical!E109</f>
        <v>0.36137668201424</v>
      </c>
      <c r="D445" s="20" t="n">
        <f aca="false">Sical!F109</f>
        <v>0.332965111914287</v>
      </c>
      <c r="E445" s="20" t="n">
        <f aca="false">Sical!G109</f>
        <v>0.652281484485906</v>
      </c>
      <c r="F445" s="20" t="n">
        <f aca="false">Sical!H109</f>
        <v>0.651161836789106</v>
      </c>
      <c r="G445" s="20" t="n">
        <f aca="false">Sical!I109</f>
        <v>0.639286080623654</v>
      </c>
      <c r="H445" s="20" t="n">
        <f aca="false">Sical!J109</f>
        <v>0.939498782653267</v>
      </c>
      <c r="I445" s="21" t="n">
        <f aca="false">Sical!K109</f>
        <v>0.648944832351244</v>
      </c>
      <c r="J445" s="34" t="str">
        <f aca="false">IF(AND(ISNUMBER(H445),ISNUMBER(H$451)),IF(H445&gt;H$451,"Above",IF(H445&lt;H$451,"Below","At")),"-")</f>
        <v>Below</v>
      </c>
      <c r="K445" s="34" t="s">
        <v>204</v>
      </c>
      <c r="L445" s="34" t="n">
        <f aca="false">IF(ISNUMBER(H445),RANK(H445,H$439:H$448,0),"-")</f>
        <v>10</v>
      </c>
      <c r="N445" s="34" t="str">
        <f aca="false">IF(AND(ISNUMBER(I445),ISNUMBER(I$451)),IF(I445&gt;I$451,"Above",IF(I445&lt;I$451,"Below","At")),"-")</f>
        <v>Below</v>
      </c>
      <c r="O445" s="34" t="s">
        <v>204</v>
      </c>
    </row>
    <row r="446" customFormat="false" ht="15" hidden="false" customHeight="false" outlineLevel="0" collapsed="false">
      <c r="A446" s="18" t="s">
        <v>86</v>
      </c>
      <c r="B446" s="20" t="n">
        <f aca="false">TCI!D109</f>
        <v>9.10051315467948</v>
      </c>
      <c r="C446" s="20" t="n">
        <f aca="false">TCI!E109</f>
        <v>9.10656188605108</v>
      </c>
      <c r="D446" s="20" t="n">
        <f aca="false">TCI!F109</f>
        <v>9.10032509525641</v>
      </c>
      <c r="E446" s="20" t="n">
        <f aca="false">TCI!G109</f>
        <v>10.0896720798986</v>
      </c>
      <c r="F446" s="20" t="n">
        <f aca="false">TCI!H109</f>
        <v>10.7376912378303</v>
      </c>
      <c r="G446" s="20" t="n">
        <f aca="false">TCI!I109</f>
        <v>8.70318071601769</v>
      </c>
      <c r="H446" s="20" t="n">
        <f aca="false">TCI!J109</f>
        <v>6.99259350156457</v>
      </c>
      <c r="I446" s="21" t="n">
        <f aca="false">TCI!K109</f>
        <v>9.11864823875689</v>
      </c>
      <c r="J446" s="34" t="str">
        <f aca="false">IF(AND(ISNUMBER(H446),ISNUMBER(H$451)),IF(H446&gt;H$451,"Above",IF(H446&lt;H$451,"Below","At")),"-")</f>
        <v>Above</v>
      </c>
      <c r="K446" s="34" t="s">
        <v>204</v>
      </c>
      <c r="L446" s="34" t="n">
        <f aca="false">IF(ISNUMBER(H446),RANK(H446,H$439:H$448,0),"-")</f>
        <v>5</v>
      </c>
      <c r="N446" s="34" t="str">
        <f aca="false">IF(AND(ISNUMBER(I446),ISNUMBER(I$451)),IF(I446&gt;I$451,"Above",IF(I446&lt;I$451,"Below","At")),"-")</f>
        <v>Above</v>
      </c>
      <c r="O446" s="34" t="s">
        <v>204</v>
      </c>
    </row>
    <row r="447" customFormat="false" ht="15" hidden="false" customHeight="false" outlineLevel="0" collapsed="false">
      <c r="A447" s="18" t="s">
        <v>116</v>
      </c>
      <c r="B447" s="20" t="n">
        <f aca="false">Shreeji!D109</f>
        <v>9.39584503088153</v>
      </c>
      <c r="C447" s="20" t="n">
        <f aca="false">Shreeji!E109</f>
        <v>9.15388683236383</v>
      </c>
      <c r="D447" s="20" t="n">
        <f aca="false">Shreeji!F109</f>
        <v>10.6657952069717</v>
      </c>
      <c r="E447" s="20" t="n">
        <f aca="false">Shreeji!G109</f>
        <v>9.62479501475894</v>
      </c>
      <c r="F447" s="20" t="n">
        <f aca="false">Shreeji!H109</f>
        <v>11.7199887545685</v>
      </c>
      <c r="G447" s="20" t="n">
        <f aca="false">Shreeji!I109</f>
        <v>10.853814793244</v>
      </c>
      <c r="H447" s="20" t="n">
        <f aca="false">Shreeji!J109</f>
        <v>11.1542095026396</v>
      </c>
      <c r="I447" s="21" t="n">
        <f aca="false">Shreeji!K109</f>
        <v>10.3669050193469</v>
      </c>
      <c r="J447" s="34" t="str">
        <f aca="false">IF(AND(ISNUMBER(H447),ISNUMBER(H$451)),IF(H447&gt;H$451,"Above",IF(H447&lt;H$451,"Below","At")),"-")</f>
        <v>Above</v>
      </c>
      <c r="K447" s="34" t="s">
        <v>204</v>
      </c>
      <c r="L447" s="34" t="n">
        <f aca="false">IF(ISNUMBER(H447),RANK(H447,H$439:H$448,0),"-")</f>
        <v>2</v>
      </c>
      <c r="N447" s="34" t="str">
        <f aca="false">IF(AND(ISNUMBER(I447),ISNUMBER(I$451)),IF(I447&gt;I$451,"Above",IF(I447&lt;I$451,"Below","At")),"-")</f>
        <v>Above</v>
      </c>
      <c r="O447" s="34" t="s">
        <v>204</v>
      </c>
    </row>
    <row r="448" customFormat="false" ht="15" hidden="false" customHeight="false" outlineLevel="0" collapsed="false">
      <c r="A448" s="18" t="s">
        <v>117</v>
      </c>
      <c r="B448" s="20" t="n">
        <f aca="false">MahindraLog!D109</f>
        <v>4.37356885835787</v>
      </c>
      <c r="C448" s="20" t="n">
        <f aca="false">MahindraLog!E109</f>
        <v>3.63631595510333</v>
      </c>
      <c r="D448" s="20" t="n">
        <f aca="false">MahindraLog!F109</f>
        <v>3.79727388548613</v>
      </c>
      <c r="E448" s="20" t="n">
        <f aca="false">MahindraLog!G109</f>
        <v>4.0254331977873</v>
      </c>
      <c r="F448" s="20" t="n">
        <f aca="false">MahindraLog!H109</f>
        <v>3.90960851722674</v>
      </c>
      <c r="G448" s="20" t="n">
        <f aca="false">MahindraLog!I109</f>
        <v>4.18656805344815</v>
      </c>
      <c r="H448" s="20" t="n">
        <f aca="false">MahindraLog!J109</f>
        <v>4.7298383621534</v>
      </c>
      <c r="I448" s="21" t="n">
        <f aca="false">MahindraLog!K109</f>
        <v>4.09408668993756</v>
      </c>
      <c r="J448" s="34" t="str">
        <f aca="false">IF(AND(ISNUMBER(H448),ISNUMBER(H$451)),IF(H448&gt;H$451,"Above",IF(H448&lt;H$451,"Below","At")),"-")</f>
        <v>Below</v>
      </c>
      <c r="K448" s="34" t="s">
        <v>204</v>
      </c>
      <c r="L448" s="34" t="n">
        <f aca="false">IF(ISNUMBER(H448),RANK(H448,H$439:H$448,0),"-")</f>
        <v>7</v>
      </c>
      <c r="N448" s="34" t="str">
        <f aca="false">IF(AND(ISNUMBER(I448),ISNUMBER(I$451)),IF(I448&gt;I$451,"Above",IF(I448&lt;I$451,"Below","At")),"-")</f>
        <v>Below</v>
      </c>
      <c r="O448" s="34" t="s">
        <v>204</v>
      </c>
    </row>
    <row r="449" customFormat="false" ht="15" hidden="false" customHeight="false" outlineLevel="0" collapsed="false">
      <c r="A449" s="12" t="s">
        <v>176</v>
      </c>
      <c r="B449" s="21" t="n">
        <f aca="false">Industry!D109</f>
        <v>3.00291729858478</v>
      </c>
      <c r="C449" s="21" t="n">
        <f aca="false">Industry!E109</f>
        <v>2.78645438253401</v>
      </c>
      <c r="D449" s="21" t="n">
        <f aca="false">Industry!F109</f>
        <v>3.76965035952236</v>
      </c>
      <c r="E449" s="21" t="n">
        <f aca="false">Industry!G109</f>
        <v>3.93809713351115</v>
      </c>
      <c r="F449" s="21" t="n">
        <f aca="false">Industry!H109</f>
        <v>3.8760662463974</v>
      </c>
      <c r="G449" s="21" t="n">
        <f aca="false">Industry!I109</f>
        <v>3.57614729643659</v>
      </c>
      <c r="H449" s="21" t="n">
        <f aca="false">Industry!J109</f>
        <v>4.51222582528368</v>
      </c>
      <c r="I449" s="21" t="n">
        <f aca="false">Industry!K109</f>
        <v>3.63736550603857</v>
      </c>
    </row>
    <row r="450" customFormat="false" ht="15" hidden="false" customHeight="false" outlineLevel="0" collapsed="false">
      <c r="A450" s="35" t="s">
        <v>177</v>
      </c>
      <c r="B450" s="37" t="n">
        <f aca="false">IFERROR(AVERAGE(B439:B448),"N/M")</f>
        <v>6.81995640277637</v>
      </c>
      <c r="C450" s="37" t="n">
        <f aca="false">IFERROR(AVERAGE(C439:C448),"N/M")</f>
        <v>5.55038871763607</v>
      </c>
      <c r="D450" s="37" t="n">
        <f aca="false">IFERROR(AVERAGE(D439:D448),"N/M")</f>
        <v>7.63615325843851</v>
      </c>
      <c r="E450" s="37" t="n">
        <f aca="false">IFERROR(AVERAGE(E439:E448),"N/M")</f>
        <v>7.1538727622567</v>
      </c>
      <c r="F450" s="37" t="n">
        <f aca="false">IFERROR(AVERAGE(F439:F448),"N/M")</f>
        <v>6.32352579056529</v>
      </c>
      <c r="G450" s="37" t="n">
        <f aca="false">IFERROR(AVERAGE(G439:G448),"N/M")</f>
        <v>7.05476885946609</v>
      </c>
      <c r="H450" s="37" t="n">
        <f aca="false">IFERROR(AVERAGE(H439:H448),"N/M")</f>
        <v>6.68470738635074</v>
      </c>
      <c r="I450" s="37" t="n">
        <f aca="false">IFERROR(AVERAGE(I439:I448),"N/M")</f>
        <v>6.74619616821282</v>
      </c>
    </row>
    <row r="451" customFormat="false" ht="15" hidden="false" customHeight="false" outlineLevel="0" collapsed="false">
      <c r="A451" s="35" t="s">
        <v>178</v>
      </c>
      <c r="B451" s="37" t="n">
        <f aca="false">IFERROR(MEDIAN(B439:B448),"N/M")</f>
        <v>6.73704100651868</v>
      </c>
      <c r="C451" s="37" t="n">
        <f aca="false">IFERROR(MEDIAN(C439:C448),"N/M")</f>
        <v>5.45403136559387</v>
      </c>
      <c r="D451" s="37" t="n">
        <f aca="false">IFERROR(MEDIAN(D439:D448),"N/M")</f>
        <v>6.75897330300709</v>
      </c>
      <c r="E451" s="37" t="n">
        <f aca="false">IFERROR(MEDIAN(E439:E448),"N/M")</f>
        <v>6.82511410627312</v>
      </c>
      <c r="F451" s="37" t="n">
        <f aca="false">IFERROR(MEDIAN(F439:F448),"N/M")</f>
        <v>5.73646668644195</v>
      </c>
      <c r="G451" s="37" t="n">
        <f aca="false">IFERROR(MEDIAN(G439:G448),"N/M")</f>
        <v>6.16244499861387</v>
      </c>
      <c r="H451" s="37" t="n">
        <f aca="false">IFERROR(MEDIAN(H439:H448),"N/M")</f>
        <v>5.90254075845247</v>
      </c>
      <c r="I451" s="37" t="n">
        <f aca="false">IFERROR(MEDIAN(I439:I448),"N/M")</f>
        <v>6.60636746434722</v>
      </c>
    </row>
    <row r="452" customFormat="false" ht="15" hidden="false" customHeight="false" outlineLevel="0" collapsed="false">
      <c r="A452" s="35" t="s">
        <v>179</v>
      </c>
      <c r="B452" s="37" t="n">
        <f aca="false">IFERROR(STDEV(B439:B448),"N/M")</f>
        <v>4.74451883892784</v>
      </c>
      <c r="C452" s="37" t="n">
        <f aca="false">IFERROR(STDEV(C439:C448),"N/M")</f>
        <v>3.61487848131596</v>
      </c>
      <c r="D452" s="37" t="n">
        <f aca="false">IFERROR(STDEV(D439:D448),"N/M")</f>
        <v>5.50487418599001</v>
      </c>
      <c r="E452" s="37" t="n">
        <f aca="false">IFERROR(STDEV(E439:E448),"N/M")</f>
        <v>4.4680870601939</v>
      </c>
      <c r="F452" s="37" t="n">
        <f aca="false">IFERROR(STDEV(F439:F448),"N/M")</f>
        <v>3.74925177571407</v>
      </c>
      <c r="G452" s="37" t="n">
        <f aca="false">IFERROR(STDEV(G439:G448),"N/M")</f>
        <v>6.20973955779832</v>
      </c>
      <c r="H452" s="37" t="n">
        <f aca="false">IFERROR(STDEV(H439:H448),"N/M")</f>
        <v>3.98920662796388</v>
      </c>
      <c r="I452" s="37" t="n">
        <f aca="false">IFERROR(STDEV(I439:I448),"N/M")</f>
        <v>4.31387894644855</v>
      </c>
    </row>
    <row r="453" customFormat="false" ht="15" hidden="false" customHeight="false" outlineLevel="0" collapsed="false">
      <c r="A453" s="35" t="s">
        <v>102</v>
      </c>
      <c r="B453" s="37" t="n">
        <f aca="false">IFERROR(MIN(B439:B448),"N/M")</f>
        <v>0.96604384797825</v>
      </c>
      <c r="C453" s="37" t="n">
        <f aca="false">IFERROR(MIN(C439:C448),"N/M")</f>
        <v>0.36137668201424</v>
      </c>
      <c r="D453" s="37" t="n">
        <f aca="false">IFERROR(MIN(D439:D448),"N/M")</f>
        <v>0.332965111914287</v>
      </c>
      <c r="E453" s="37" t="n">
        <f aca="false">IFERROR(MIN(E439:E448),"N/M")</f>
        <v>0.652281484485906</v>
      </c>
      <c r="F453" s="37" t="n">
        <f aca="false">IFERROR(MIN(F439:F448),"N/M")</f>
        <v>0.651161836789106</v>
      </c>
      <c r="G453" s="37" t="n">
        <f aca="false">IFERROR(MIN(G439:G448),"N/M")</f>
        <v>0.639286080623654</v>
      </c>
      <c r="H453" s="37" t="n">
        <f aca="false">IFERROR(MIN(H439:H448),"N/M")</f>
        <v>0.939498782653267</v>
      </c>
      <c r="I453" s="37" t="n">
        <f aca="false">IFERROR(MIN(I439:I448),"N/M")</f>
        <v>0.648944832351244</v>
      </c>
    </row>
    <row r="454" customFormat="false" ht="15" hidden="false" customHeight="false" outlineLevel="0" collapsed="false">
      <c r="A454" s="35" t="s">
        <v>103</v>
      </c>
      <c r="B454" s="37" t="n">
        <f aca="false">IFERROR(MAX(B439:B448),"N/M")</f>
        <v>13.8784557907846</v>
      </c>
      <c r="C454" s="37" t="n">
        <f aca="false">IFERROR(MAX(C439:C448),"N/M")</f>
        <v>10.1170212765957</v>
      </c>
      <c r="D454" s="37" t="n">
        <f aca="false">IFERROR(MAX(D439:D448),"N/M")</f>
        <v>16.3306169965076</v>
      </c>
      <c r="E454" s="37" t="n">
        <f aca="false">IFERROR(MAX(E439:E448),"N/M")</f>
        <v>13.4941907592543</v>
      </c>
      <c r="F454" s="37" t="n">
        <f aca="false">IFERROR(MAX(F439:F448),"N/M")</f>
        <v>11.7199887545685</v>
      </c>
      <c r="G454" s="37" t="n">
        <f aca="false">IFERROR(MAX(G439:G448),"N/M")</f>
        <v>21.9711802378774</v>
      </c>
      <c r="H454" s="37" t="n">
        <f aca="false">IFERROR(MAX(H439:H448),"N/M")</f>
        <v>13.7403602401601</v>
      </c>
      <c r="I454" s="37" t="n">
        <f aca="false">IFERROR(MAX(I439:I448),"N/M")</f>
        <v>13.2802456959893</v>
      </c>
    </row>
    <row r="456" customFormat="false" ht="15" hidden="false" customHeight="false" outlineLevel="0" collapsed="false">
      <c r="A456" s="16" t="s">
        <v>205</v>
      </c>
      <c r="B456" s="17"/>
      <c r="C456" s="17"/>
      <c r="D456" s="17"/>
      <c r="E456" s="17"/>
      <c r="F456" s="17"/>
      <c r="G456" s="17"/>
      <c r="H456" s="17"/>
      <c r="I456" s="17"/>
      <c r="J456" s="17"/>
      <c r="K456" s="17"/>
      <c r="L456" s="17"/>
      <c r="M456" s="17"/>
    </row>
    <row r="457" customFormat="false" ht="15" hidden="false" customHeight="false" outlineLevel="0" collapsed="false">
      <c r="A457" s="18" t="s">
        <v>110</v>
      </c>
      <c r="B457" s="26" t="n">
        <f aca="false">Tiger!D110</f>
        <v>26.29975593123</v>
      </c>
      <c r="C457" s="26" t="n">
        <f aca="false">Tiger!E110</f>
        <v>50.1942671051783</v>
      </c>
      <c r="D457" s="26" t="n">
        <f aca="false">Tiger!F110</f>
        <v>24.0190732046911</v>
      </c>
      <c r="E457" s="26" t="n">
        <f aca="false">Tiger!G110</f>
        <v>32.4761695073305</v>
      </c>
      <c r="F457" s="26" t="n">
        <f aca="false">Tiger!H110</f>
        <v>37.7662650017006</v>
      </c>
      <c r="G457" s="26" t="n">
        <f aca="false">Tiger!I110</f>
        <v>16.6126715109621</v>
      </c>
      <c r="H457" s="26" t="n">
        <f aca="false">Tiger!J110</f>
        <v>26.5640779150159</v>
      </c>
      <c r="I457" s="27" t="n">
        <f aca="false">Tiger!K110</f>
        <v>30.5617543108727</v>
      </c>
      <c r="J457" s="34" t="str">
        <f aca="false">IF(AND(ISNUMBER(H457),ISNUMBER(H$469)),IF(H457&gt;H$469,"Above",IF(H457&lt;H$469,"Below","At")),"-")</f>
        <v>Below</v>
      </c>
      <c r="K457" s="34" t="s">
        <v>204</v>
      </c>
      <c r="L457" s="34" t="n">
        <f aca="false">IF(ISNUMBER(H457),RANK(H457,H$457:H$466,0),"-")</f>
        <v>10</v>
      </c>
      <c r="N457" s="34" t="str">
        <f aca="false">IF(AND(ISNUMBER(I457),ISNUMBER(I$469)),IF(I457&gt;I$469,"Above",IF(I457&lt;I$469,"Below","At")),"-")</f>
        <v>Below</v>
      </c>
      <c r="O457" s="34" t="s">
        <v>204</v>
      </c>
    </row>
    <row r="458" customFormat="false" ht="15" hidden="false" customHeight="false" outlineLevel="0" collapsed="false">
      <c r="A458" s="18" t="s">
        <v>111</v>
      </c>
      <c r="B458" s="26" t="n">
        <f aca="false">Allcargo!D110</f>
        <v>97.0456828379162</v>
      </c>
      <c r="C458" s="26" t="n">
        <f aca="false">Allcargo!E110</f>
        <v>101.575289456334</v>
      </c>
      <c r="D458" s="26" t="n">
        <f aca="false">Allcargo!F110</f>
        <v>82.6236469356085</v>
      </c>
      <c r="E458" s="26" t="n">
        <f aca="false">Allcargo!G110</f>
        <v>93.4623820395421</v>
      </c>
      <c r="F458" s="26" t="n">
        <f aca="false">Allcargo!H110</f>
        <v>110.7994718627</v>
      </c>
      <c r="G458" s="26" t="n">
        <f aca="false">Allcargo!I110</f>
        <v>411.909593639576</v>
      </c>
      <c r="H458" s="26" t="n">
        <f aca="false">Allcargo!J110</f>
        <v>104.925397877984</v>
      </c>
      <c r="I458" s="27" t="n">
        <f aca="false">Allcargo!K110</f>
        <v>143.191637807094</v>
      </c>
      <c r="J458" s="34" t="str">
        <f aca="false">IF(AND(ISNUMBER(H458),ISNUMBER(H$469)),IF(H458&gt;H$469,"Above",IF(H458&lt;H$469,"Below","At")),"-")</f>
        <v>Above</v>
      </c>
      <c r="K458" s="34" t="s">
        <v>204</v>
      </c>
      <c r="L458" s="34" t="n">
        <f aca="false">IF(ISNUMBER(H458),RANK(H458,H$457:H$466,0),"-")</f>
        <v>3</v>
      </c>
      <c r="N458" s="34" t="str">
        <f aca="false">IF(AND(ISNUMBER(I458),ISNUMBER(I$469)),IF(I458&gt;I$469,"Above",IF(I458&lt;I$469,"Below","At")),"-")</f>
        <v>Above</v>
      </c>
      <c r="O458" s="34" t="s">
        <v>204</v>
      </c>
    </row>
    <row r="459" customFormat="false" ht="15" hidden="false" customHeight="false" outlineLevel="0" collapsed="false">
      <c r="A459" s="18" t="s">
        <v>112</v>
      </c>
      <c r="B459" s="26" t="n">
        <f aca="false">BlueDart!D110</f>
        <v>241.40350521084</v>
      </c>
      <c r="C459" s="26" t="n">
        <f aca="false">BlueDart!E110</f>
        <v>265.397522706507</v>
      </c>
      <c r="D459" s="26" t="n">
        <f aca="false">BlueDart!F110</f>
        <v>128.538591147553</v>
      </c>
      <c r="E459" s="26" t="n">
        <f aca="false">BlueDart!G110</f>
        <v>106.180275163158</v>
      </c>
      <c r="F459" s="26" t="n">
        <f aca="false">BlueDart!H110</f>
        <v>111.058690398678</v>
      </c>
      <c r="G459" s="26" t="n">
        <f aca="false">BlueDart!I110</f>
        <v>109.680157639886</v>
      </c>
      <c r="H459" s="26" t="n">
        <f aca="false">BlueDart!J110</f>
        <v>112.452446959814</v>
      </c>
      <c r="I459" s="27" t="n">
        <f aca="false">BlueDart!K110</f>
        <v>153.530169889491</v>
      </c>
      <c r="J459" s="34" t="str">
        <f aca="false">IF(AND(ISNUMBER(H459),ISNUMBER(H$469)),IF(H459&gt;H$469,"Above",IF(H459&lt;H$469,"Below","At")),"-")</f>
        <v>Above</v>
      </c>
      <c r="K459" s="34" t="s">
        <v>204</v>
      </c>
      <c r="L459" s="34" t="n">
        <f aca="false">IF(ISNUMBER(H459),RANK(H459,H$457:H$466,0),"-")</f>
        <v>2</v>
      </c>
      <c r="N459" s="34" t="str">
        <f aca="false">IF(AND(ISNUMBER(I459),ISNUMBER(I$469)),IF(I459&gt;I$469,"Above",IF(I459&lt;I$469,"Below","At")),"-")</f>
        <v>Above</v>
      </c>
      <c r="O459" s="34" t="s">
        <v>204</v>
      </c>
    </row>
    <row r="460" customFormat="false" ht="15" hidden="false" customHeight="false" outlineLevel="0" collapsed="false">
      <c r="A460" s="18" t="s">
        <v>67</v>
      </c>
      <c r="B460" s="26" t="n">
        <f aca="false">CONCOR!D110</f>
        <v>142.858172507765</v>
      </c>
      <c r="C460" s="26" t="n">
        <f aca="false">CONCOR!E110</f>
        <v>140.887257668951</v>
      </c>
      <c r="D460" s="26" t="n">
        <f aca="false">CONCOR!F110</f>
        <v>112.722888984141</v>
      </c>
      <c r="E460" s="26" t="n">
        <f aca="false">CONCOR!G110</f>
        <v>102.065397397729</v>
      </c>
      <c r="F460" s="26" t="n">
        <f aca="false">CONCOR!H110</f>
        <v>87.5716354735428</v>
      </c>
      <c r="G460" s="26" t="n">
        <f aca="false">CONCOR!I110</f>
        <v>77.2097405573736</v>
      </c>
      <c r="H460" s="26" t="n">
        <f aca="false">CONCOR!J110</f>
        <v>75.8443447207599</v>
      </c>
      <c r="I460" s="27" t="n">
        <f aca="false">CONCOR!K110</f>
        <v>105.594205330037</v>
      </c>
      <c r="J460" s="34" t="str">
        <f aca="false">IF(AND(ISNUMBER(H460),ISNUMBER(H$469)),IF(H460&gt;H$469,"Above",IF(H460&lt;H$469,"Below","At")),"-")</f>
        <v>Above</v>
      </c>
      <c r="K460" s="34" t="s">
        <v>204</v>
      </c>
      <c r="L460" s="34" t="n">
        <f aca="false">IF(ISNUMBER(H460),RANK(H460,H$457:H$466,0),"-")</f>
        <v>5</v>
      </c>
      <c r="N460" s="34" t="str">
        <f aca="false">IF(AND(ISNUMBER(I460),ISNUMBER(I$469)),IF(I460&gt;I$469,"Above",IF(I460&lt;I$469,"Below","At")),"-")</f>
        <v>Above</v>
      </c>
      <c r="O460" s="34" t="s">
        <v>204</v>
      </c>
    </row>
    <row r="461" customFormat="false" ht="15" hidden="false" customHeight="false" outlineLevel="0" collapsed="false">
      <c r="A461" s="18" t="s">
        <v>113</v>
      </c>
      <c r="B461" s="26" t="n">
        <f aca="false">JetFreight!D110</f>
        <v>37.0143916496802</v>
      </c>
      <c r="C461" s="26" t="n">
        <f aca="false">JetFreight!E110</f>
        <v>43.9888104191507</v>
      </c>
      <c r="D461" s="26" t="n">
        <f aca="false">JetFreight!F110</f>
        <v>34.9515254870812</v>
      </c>
      <c r="E461" s="26" t="n">
        <f aca="false">JetFreight!G110</f>
        <v>31.7547541323385</v>
      </c>
      <c r="F461" s="26" t="n">
        <f aca="false">JetFreight!H110</f>
        <v>42.9493920240356</v>
      </c>
      <c r="G461" s="26" t="n">
        <f aca="false">JetFreight!I110</f>
        <v>48.042073647813</v>
      </c>
      <c r="H461" s="26" t="n">
        <f aca="false">JetFreight!J110</f>
        <v>45.26244440002</v>
      </c>
      <c r="I461" s="27" t="n">
        <f aca="false">JetFreight!K110</f>
        <v>40.5661988228742</v>
      </c>
      <c r="J461" s="34" t="str">
        <f aca="false">IF(AND(ISNUMBER(H461),ISNUMBER(H$469)),IF(H461&gt;H$469,"Above",IF(H461&lt;H$469,"Below","At")),"-")</f>
        <v>Below</v>
      </c>
      <c r="K461" s="34" t="s">
        <v>204</v>
      </c>
      <c r="L461" s="34" t="n">
        <f aca="false">IF(ISNUMBER(H461),RANK(H461,H$457:H$466,0),"-")</f>
        <v>7</v>
      </c>
      <c r="N461" s="34" t="str">
        <f aca="false">IF(AND(ISNUMBER(I461),ISNUMBER(I$469)),IF(I461&gt;I$469,"Above",IF(I461&lt;I$469,"Below","At")),"-")</f>
        <v>Below</v>
      </c>
      <c r="O461" s="34" t="s">
        <v>204</v>
      </c>
    </row>
    <row r="462" customFormat="false" ht="15" hidden="false" customHeight="false" outlineLevel="0" collapsed="false">
      <c r="A462" s="18" t="s">
        <v>114</v>
      </c>
      <c r="B462" s="26" t="n">
        <f aca="false">Patel!D110</f>
        <v>28.5244945567652</v>
      </c>
      <c r="C462" s="26" t="n">
        <f aca="false">Patel!E110</f>
        <v>36.0778128286015</v>
      </c>
      <c r="D462" s="26" t="n">
        <f aca="false">Patel!F110</f>
        <v>22.3506558311948</v>
      </c>
      <c r="E462" s="26" t="n">
        <f aca="false">Patel!G110</f>
        <v>27.048676464699</v>
      </c>
      <c r="F462" s="26" t="n">
        <f aca="false">Patel!H110</f>
        <v>49.9663437702605</v>
      </c>
      <c r="G462" s="26" t="n">
        <f aca="false">Patel!I110</f>
        <v>47.6825381648979</v>
      </c>
      <c r="H462" s="26" t="n">
        <f aca="false">Patel!J110</f>
        <v>37.6695398754086</v>
      </c>
      <c r="I462" s="27" t="n">
        <f aca="false">Patel!K110</f>
        <v>35.6171516416896</v>
      </c>
      <c r="J462" s="34" t="str">
        <f aca="false">IF(AND(ISNUMBER(H462),ISNUMBER(H$469)),IF(H462&gt;H$469,"Above",IF(H462&lt;H$469,"Below","At")),"-")</f>
        <v>Below</v>
      </c>
      <c r="K462" s="34" t="s">
        <v>204</v>
      </c>
      <c r="L462" s="34" t="n">
        <f aca="false">IF(ISNUMBER(H462),RANK(H462,H$457:H$466,0),"-")</f>
        <v>8</v>
      </c>
      <c r="N462" s="34" t="str">
        <f aca="false">IF(AND(ISNUMBER(I462),ISNUMBER(I$469)),IF(I462&gt;I$469,"Above",IF(I462&lt;I$469,"Below","At")),"-")</f>
        <v>Below</v>
      </c>
      <c r="O462" s="34" t="s">
        <v>204</v>
      </c>
    </row>
    <row r="463" customFormat="false" ht="15" hidden="false" customHeight="false" outlineLevel="0" collapsed="false">
      <c r="A463" s="18" t="s">
        <v>115</v>
      </c>
      <c r="B463" s="26" t="n">
        <f aca="false">Sical!D110</f>
        <v>377.829640718563</v>
      </c>
      <c r="C463" s="26" t="n">
        <f aca="false">Sical!E110</f>
        <v>1010.02642994441</v>
      </c>
      <c r="D463" s="26" t="n">
        <f aca="false">Sical!F110</f>
        <v>1096.21094504928</v>
      </c>
      <c r="E463" s="26" t="n">
        <f aca="false">Sical!G110</f>
        <v>559.574368859595</v>
      </c>
      <c r="F463" s="26" t="n">
        <f aca="false">Sical!H110</f>
        <v>560.536535433071</v>
      </c>
      <c r="G463" s="26" t="n">
        <f aca="false">Sical!I110</f>
        <v>570.949393492074</v>
      </c>
      <c r="H463" s="26" t="n">
        <f aca="false">Sical!J110</f>
        <v>388.505027083902</v>
      </c>
      <c r="I463" s="27" t="n">
        <f aca="false">Sical!K110</f>
        <v>651.947477225843</v>
      </c>
      <c r="J463" s="34" t="str">
        <f aca="false">IF(AND(ISNUMBER(H463),ISNUMBER(H$469)),IF(H463&gt;H$469,"Above",IF(H463&lt;H$469,"Below","At")),"-")</f>
        <v>Above</v>
      </c>
      <c r="K463" s="34" t="s">
        <v>204</v>
      </c>
      <c r="L463" s="34" t="n">
        <f aca="false">IF(ISNUMBER(H463),RANK(H463,H$457:H$466,0),"-")</f>
        <v>1</v>
      </c>
      <c r="N463" s="34" t="str">
        <f aca="false">IF(AND(ISNUMBER(I463),ISNUMBER(I$469)),IF(I463&gt;I$469,"Above",IF(I463&lt;I$469,"Below","At")),"-")</f>
        <v>Above</v>
      </c>
      <c r="O463" s="34" t="s">
        <v>204</v>
      </c>
    </row>
    <row r="464" customFormat="false" ht="15" hidden="false" customHeight="false" outlineLevel="0" collapsed="false">
      <c r="A464" s="18" t="s">
        <v>86</v>
      </c>
      <c r="B464" s="26" t="n">
        <f aca="false">TCI!D110</f>
        <v>40.1076284156918</v>
      </c>
      <c r="C464" s="26" t="n">
        <f aca="false">TCI!E110</f>
        <v>40.0809882551928</v>
      </c>
      <c r="D464" s="26" t="n">
        <f aca="false">TCI!F110</f>
        <v>40.1084572451437</v>
      </c>
      <c r="E464" s="26" t="n">
        <f aca="false">TCI!G110</f>
        <v>36.1756058184665</v>
      </c>
      <c r="F464" s="26" t="n">
        <f aca="false">TCI!H110</f>
        <v>33.9924097197036</v>
      </c>
      <c r="G464" s="26" t="n">
        <f aca="false">TCI!I110</f>
        <v>41.9386902225573</v>
      </c>
      <c r="H464" s="26" t="n">
        <f aca="false">TCI!J110</f>
        <v>52.1980864350734</v>
      </c>
      <c r="I464" s="27" t="n">
        <f aca="false">TCI!K110</f>
        <v>40.657409444547</v>
      </c>
      <c r="J464" s="34" t="str">
        <f aca="false">IF(AND(ISNUMBER(H464),ISNUMBER(H$469)),IF(H464&gt;H$469,"Above",IF(H464&lt;H$469,"Below","At")),"-")</f>
        <v>Below</v>
      </c>
      <c r="K464" s="34" t="s">
        <v>204</v>
      </c>
      <c r="L464" s="34" t="n">
        <f aca="false">IF(ISNUMBER(H464),RANK(H464,H$457:H$466,0),"-")</f>
        <v>6</v>
      </c>
      <c r="N464" s="34" t="str">
        <f aca="false">IF(AND(ISNUMBER(I464),ISNUMBER(I$469)),IF(I464&gt;I$469,"Above",IF(I464&lt;I$469,"Below","At")),"-")</f>
        <v>Below</v>
      </c>
      <c r="O464" s="34" t="s">
        <v>204</v>
      </c>
    </row>
    <row r="465" customFormat="false" ht="15" hidden="false" customHeight="false" outlineLevel="0" collapsed="false">
      <c r="A465" s="18" t="s">
        <v>116</v>
      </c>
      <c r="B465" s="26" t="n">
        <f aca="false">Shreeji!D110</f>
        <v>38.8469582885144</v>
      </c>
      <c r="C465" s="26" t="n">
        <f aca="false">Shreeji!E110</f>
        <v>39.8737723859041</v>
      </c>
      <c r="D465" s="26" t="n">
        <f aca="false">Shreeji!F110</f>
        <v>34.2215458779312</v>
      </c>
      <c r="E465" s="26" t="n">
        <f aca="false">Shreeji!G110</f>
        <v>37.9228855721393</v>
      </c>
      <c r="F465" s="26" t="n">
        <f aca="false">Shreeji!H110</f>
        <v>31.1433745922088</v>
      </c>
      <c r="G465" s="26" t="n">
        <f aca="false">Shreeji!I110</f>
        <v>33.6287293410603</v>
      </c>
      <c r="H465" s="26" t="n">
        <f aca="false">Shreeji!J110</f>
        <v>32.7230719410124</v>
      </c>
      <c r="I465" s="27" t="n">
        <f aca="false">Shreeji!K110</f>
        <v>35.4800482855386</v>
      </c>
      <c r="J465" s="34" t="str">
        <f aca="false">IF(AND(ISNUMBER(H465),ISNUMBER(H$469)),IF(H465&gt;H$469,"Above",IF(H465&lt;H$469,"Below","At")),"-")</f>
        <v>Below</v>
      </c>
      <c r="K465" s="34" t="s">
        <v>204</v>
      </c>
      <c r="L465" s="34" t="n">
        <f aca="false">IF(ISNUMBER(H465),RANK(H465,H$457:H$466,0),"-")</f>
        <v>9</v>
      </c>
      <c r="N465" s="34" t="str">
        <f aca="false">IF(AND(ISNUMBER(I465),ISNUMBER(I$469)),IF(I465&gt;I$469,"Above",IF(I465&lt;I$469,"Below","At")),"-")</f>
        <v>Below</v>
      </c>
      <c r="O465" s="34" t="s">
        <v>204</v>
      </c>
    </row>
    <row r="466" customFormat="false" ht="15" hidden="false" customHeight="false" outlineLevel="0" collapsed="false">
      <c r="A466" s="18" t="s">
        <v>117</v>
      </c>
      <c r="B466" s="26" t="n">
        <f aca="false">MahindraLog!D110</f>
        <v>83.4558713537771</v>
      </c>
      <c r="C466" s="26" t="n">
        <f aca="false">MahindraLog!E110</f>
        <v>100.376316169047</v>
      </c>
      <c r="D466" s="26" t="n">
        <f aca="false">MahindraLog!F110</f>
        <v>96.1215890681723</v>
      </c>
      <c r="E466" s="26" t="n">
        <f aca="false">MahindraLog!G110</f>
        <v>90.6734709200076</v>
      </c>
      <c r="F466" s="26" t="n">
        <f aca="false">MahindraLog!H110</f>
        <v>93.3597311320855</v>
      </c>
      <c r="G466" s="26" t="n">
        <f aca="false">MahindraLog!I110</f>
        <v>87.1835821943412</v>
      </c>
      <c r="H466" s="26" t="n">
        <f aca="false">MahindraLog!J110</f>
        <v>77.1696561389094</v>
      </c>
      <c r="I466" s="27" t="n">
        <f aca="false">MahindraLog!K110</f>
        <v>89.7628881394771</v>
      </c>
      <c r="J466" s="34" t="str">
        <f aca="false">IF(AND(ISNUMBER(H466),ISNUMBER(H$469)),IF(H466&gt;H$469,"Above",IF(H466&lt;H$469,"Below","At")),"-")</f>
        <v>Above</v>
      </c>
      <c r="K466" s="34" t="s">
        <v>204</v>
      </c>
      <c r="L466" s="34" t="n">
        <f aca="false">IF(ISNUMBER(H466),RANK(H466,H$457:H$466,0),"-")</f>
        <v>4</v>
      </c>
      <c r="N466" s="34" t="str">
        <f aca="false">IF(AND(ISNUMBER(I466),ISNUMBER(I$469)),IF(I466&gt;I$469,"Above",IF(I466&lt;I$469,"Below","At")),"-")</f>
        <v>Above</v>
      </c>
      <c r="O466" s="34" t="s">
        <v>204</v>
      </c>
    </row>
    <row r="467" customFormat="false" ht="15" hidden="false" customHeight="false" outlineLevel="0" collapsed="false">
      <c r="A467" s="12" t="s">
        <v>176</v>
      </c>
      <c r="B467" s="27" t="n">
        <f aca="false">Industry!D110</f>
        <v>121.548468941192</v>
      </c>
      <c r="C467" s="27" t="n">
        <f aca="false">Industry!E110</f>
        <v>130.990839931881</v>
      </c>
      <c r="D467" s="27" t="n">
        <f aca="false">Industry!F110</f>
        <v>96.8259560407211</v>
      </c>
      <c r="E467" s="27" t="n">
        <f aca="false">Industry!G110</f>
        <v>92.6843568417957</v>
      </c>
      <c r="F467" s="27" t="n">
        <f aca="false">Industry!H110</f>
        <v>94.1676371860901</v>
      </c>
      <c r="G467" s="27" t="n">
        <f aca="false">Industry!I110</f>
        <v>102.06514713857</v>
      </c>
      <c r="H467" s="27" t="n">
        <f aca="false">Industry!J110</f>
        <v>80.8913414649527</v>
      </c>
      <c r="I467" s="27" t="n">
        <f aca="false">Industry!K110</f>
        <v>102.739106792172</v>
      </c>
    </row>
    <row r="468" customFormat="false" ht="15" hidden="false" customHeight="false" outlineLevel="0" collapsed="false">
      <c r="A468" s="35" t="s">
        <v>177</v>
      </c>
      <c r="B468" s="38" t="n">
        <f aca="false">IFERROR(AVERAGE(B457:B466),"N/M")</f>
        <v>111.338610147074</v>
      </c>
      <c r="C468" s="38" t="n">
        <f aca="false">IFERROR(AVERAGE(C457:C466),"N/M")</f>
        <v>182.847846693928</v>
      </c>
      <c r="D468" s="38" t="n">
        <f aca="false">IFERROR(AVERAGE(D457:D466),"N/M")</f>
        <v>167.18689188308</v>
      </c>
      <c r="E468" s="38" t="n">
        <f aca="false">IFERROR(AVERAGE(E457:E466),"N/M")</f>
        <v>111.7333985875</v>
      </c>
      <c r="F468" s="38" t="n">
        <f aca="false">IFERROR(AVERAGE(F457:F466),"N/M")</f>
        <v>115.914384940799</v>
      </c>
      <c r="G468" s="38" t="n">
        <f aca="false">IFERROR(AVERAGE(G457:G466),"N/M")</f>
        <v>144.483717041054</v>
      </c>
      <c r="H468" s="38" t="n">
        <f aca="false">IFERROR(AVERAGE(H457:H466),"N/M")</f>
        <v>95.3314093347899</v>
      </c>
      <c r="I468" s="38" t="n">
        <f aca="false">IFERROR(AVERAGE(I457:I466),"N/M")</f>
        <v>132.690894089746</v>
      </c>
    </row>
    <row r="469" customFormat="false" ht="15" hidden="false" customHeight="false" outlineLevel="0" collapsed="false">
      <c r="A469" s="35" t="s">
        <v>178</v>
      </c>
      <c r="B469" s="38" t="n">
        <f aca="false">IFERROR(MEDIAN(B457:B466),"N/M")</f>
        <v>61.7817498847345</v>
      </c>
      <c r="C469" s="38" t="n">
        <f aca="false">IFERROR(MEDIAN(C457:C466),"N/M")</f>
        <v>75.2852916371125</v>
      </c>
      <c r="D469" s="38" t="n">
        <f aca="false">IFERROR(MEDIAN(D457:D466),"N/M")</f>
        <v>61.3660520903761</v>
      </c>
      <c r="E469" s="38" t="n">
        <f aca="false">IFERROR(MEDIAN(E457:E466),"N/M")</f>
        <v>64.2981782460734</v>
      </c>
      <c r="F469" s="38" t="n">
        <f aca="false">IFERROR(MEDIAN(F457:F466),"N/M")</f>
        <v>68.7689896219017</v>
      </c>
      <c r="G469" s="38" t="n">
        <f aca="false">IFERROR(MEDIAN(G457:G466),"N/M")</f>
        <v>62.6259071025933</v>
      </c>
      <c r="H469" s="38" t="n">
        <f aca="false">IFERROR(MEDIAN(H457:H466),"N/M")</f>
        <v>64.0212155779166</v>
      </c>
      <c r="I469" s="38" t="n">
        <f aca="false">IFERROR(MEDIAN(I457:I466),"N/M")</f>
        <v>65.2101487920121</v>
      </c>
    </row>
    <row r="470" customFormat="false" ht="15" hidden="false" customHeight="false" outlineLevel="0" collapsed="false">
      <c r="A470" s="35" t="s">
        <v>179</v>
      </c>
      <c r="B470" s="38" t="n">
        <f aca="false">IFERROR(STDEV(B457:B466),"N/M")</f>
        <v>115.398984339016</v>
      </c>
      <c r="C470" s="38" t="n">
        <f aca="false">IFERROR(STDEV(C457:C466),"N/M")</f>
        <v>299.156320954417</v>
      </c>
      <c r="D470" s="38" t="n">
        <f aca="false">IFERROR(STDEV(D457:D466),"N/M")</f>
        <v>328.724199372207</v>
      </c>
      <c r="E470" s="38" t="n">
        <f aca="false">IFERROR(STDEV(E457:E466),"N/M")</f>
        <v>160.717128538575</v>
      </c>
      <c r="F470" s="38" t="n">
        <f aca="false">IFERROR(STDEV(F457:F466),"N/M")</f>
        <v>159.418428414969</v>
      </c>
      <c r="G470" s="38" t="n">
        <f aca="false">IFERROR(STDEV(G457:G466),"N/M")</f>
        <v>188.631541988907</v>
      </c>
      <c r="H470" s="38" t="n">
        <f aca="false">IFERROR(STDEV(H457:H466),"N/M")</f>
        <v>107.179271120564</v>
      </c>
      <c r="I470" s="38" t="n">
        <f aca="false">IFERROR(STDEV(I457:I466),"N/M")</f>
        <v>188.269820376685</v>
      </c>
    </row>
    <row r="471" customFormat="false" ht="15" hidden="false" customHeight="false" outlineLevel="0" collapsed="false">
      <c r="A471" s="35" t="s">
        <v>102</v>
      </c>
      <c r="B471" s="38" t="n">
        <f aca="false">IFERROR(MIN(B457:B466),"N/M")</f>
        <v>26.29975593123</v>
      </c>
      <c r="C471" s="38" t="n">
        <f aca="false">IFERROR(MIN(C457:C466),"N/M")</f>
        <v>36.0778128286015</v>
      </c>
      <c r="D471" s="38" t="n">
        <f aca="false">IFERROR(MIN(D457:D466),"N/M")</f>
        <v>22.3506558311948</v>
      </c>
      <c r="E471" s="38" t="n">
        <f aca="false">IFERROR(MIN(E457:E466),"N/M")</f>
        <v>27.048676464699</v>
      </c>
      <c r="F471" s="38" t="n">
        <f aca="false">IFERROR(MIN(F457:F466),"N/M")</f>
        <v>31.1433745922088</v>
      </c>
      <c r="G471" s="38" t="n">
        <f aca="false">IFERROR(MIN(G457:G466),"N/M")</f>
        <v>16.6126715109621</v>
      </c>
      <c r="H471" s="38" t="n">
        <f aca="false">IFERROR(MIN(H457:H466),"N/M")</f>
        <v>26.5640779150159</v>
      </c>
      <c r="I471" s="38" t="n">
        <f aca="false">IFERROR(MIN(I457:I466),"N/M")</f>
        <v>30.5617543108727</v>
      </c>
    </row>
    <row r="472" customFormat="false" ht="15" hidden="false" customHeight="false" outlineLevel="0" collapsed="false">
      <c r="A472" s="35" t="s">
        <v>103</v>
      </c>
      <c r="B472" s="38" t="n">
        <f aca="false">IFERROR(MAX(B457:B466),"N/M")</f>
        <v>377.829640718563</v>
      </c>
      <c r="C472" s="38" t="n">
        <f aca="false">IFERROR(MAX(C457:C466),"N/M")</f>
        <v>1010.02642994441</v>
      </c>
      <c r="D472" s="38" t="n">
        <f aca="false">IFERROR(MAX(D457:D466),"N/M")</f>
        <v>1096.21094504928</v>
      </c>
      <c r="E472" s="38" t="n">
        <f aca="false">IFERROR(MAX(E457:E466),"N/M")</f>
        <v>559.574368859595</v>
      </c>
      <c r="F472" s="38" t="n">
        <f aca="false">IFERROR(MAX(F457:F466),"N/M")</f>
        <v>560.536535433071</v>
      </c>
      <c r="G472" s="38" t="n">
        <f aca="false">IFERROR(MAX(G457:G466),"N/M")</f>
        <v>570.949393492074</v>
      </c>
      <c r="H472" s="38" t="n">
        <f aca="false">IFERROR(MAX(H457:H466),"N/M")</f>
        <v>388.505027083902</v>
      </c>
      <c r="I472" s="38" t="n">
        <f aca="false">IFERROR(MAX(I457:I466),"N/M")</f>
        <v>651.947477225843</v>
      </c>
    </row>
    <row r="474" customFormat="false" ht="15" hidden="false" customHeight="false" outlineLevel="0" collapsed="false">
      <c r="A474" s="16" t="s">
        <v>206</v>
      </c>
      <c r="B474" s="17"/>
      <c r="C474" s="17"/>
      <c r="D474" s="17"/>
      <c r="E474" s="17"/>
      <c r="F474" s="17"/>
      <c r="G474" s="17"/>
      <c r="H474" s="17"/>
      <c r="I474" s="17"/>
      <c r="J474" s="17"/>
      <c r="K474" s="17"/>
      <c r="L474" s="17"/>
      <c r="M474" s="17"/>
    </row>
    <row r="475" customFormat="false" ht="15" hidden="false" customHeight="false" outlineLevel="0" collapsed="false">
      <c r="A475" s="18" t="s">
        <v>110</v>
      </c>
      <c r="B475" s="26" t="n">
        <f aca="false">Tiger!D111</f>
        <v>74.7023835141726</v>
      </c>
      <c r="C475" s="26" t="n">
        <f aca="false">Tiger!E111</f>
        <v>67.9681502415781</v>
      </c>
      <c r="D475" s="26" t="n">
        <f aca="false">Tiger!F111</f>
        <v>9.160317473399</v>
      </c>
      <c r="E475" s="26" t="n">
        <f aca="false">Tiger!G111</f>
        <v>17.2012275158609</v>
      </c>
      <c r="F475" s="26" t="n">
        <f aca="false">Tiger!H111</f>
        <v>52.6937574739508</v>
      </c>
      <c r="G475" s="26" t="n">
        <f aca="false">Tiger!I111</f>
        <v>42.0768457458483</v>
      </c>
      <c r="H475" s="26" t="n">
        <f aca="false">Tiger!J111</f>
        <v>57.4537199970682</v>
      </c>
      <c r="I475" s="27" t="n">
        <f aca="false">Tiger!K111</f>
        <v>45.8937717088397</v>
      </c>
      <c r="J475" s="34" t="str">
        <f aca="false">IF(AND(ISNUMBER(H475),ISNUMBER(H$487)),IF(H475&gt;H$487,"Above",IF(H475&lt;H$487,"Below","At")),"-")</f>
        <v>Above</v>
      </c>
      <c r="K475" s="34" t="str">
        <f aca="false">IF(J475="Below","Better",IF(J475="Above","Weaker","-"))</f>
        <v>Weaker</v>
      </c>
      <c r="L475" s="34" t="n">
        <f aca="false">IF(ISNUMBER(H475),RANK(H475,H$475:H$484,1),"-")</f>
        <v>9</v>
      </c>
      <c r="N475" s="34" t="str">
        <f aca="false">IF(AND(ISNUMBER(I475),ISNUMBER(I$487)),IF(I475&gt;I$487,"Above",IF(I475&lt;I$487,"Below","At")),"-")</f>
        <v>Above</v>
      </c>
      <c r="O475" s="34" t="str">
        <f aca="false">IF(N475="Below","Better",IF(N475="Above","Weaker","-"))</f>
        <v>Weaker</v>
      </c>
    </row>
    <row r="476" customFormat="false" ht="15" hidden="false" customHeight="false" outlineLevel="0" collapsed="false">
      <c r="A476" s="18" t="s">
        <v>111</v>
      </c>
      <c r="B476" s="26" t="n">
        <f aca="false">Allcargo!D111</f>
        <v>-44.5061073390774</v>
      </c>
      <c r="C476" s="26" t="n">
        <f aca="false">Allcargo!E111</f>
        <v>-43.3633630753051</v>
      </c>
      <c r="D476" s="26" t="n">
        <f aca="false">Allcargo!F111</f>
        <v>-32.1342058371948</v>
      </c>
      <c r="E476" s="26" t="n">
        <f aca="false">Allcargo!G111</f>
        <v>-41.6160474193664</v>
      </c>
      <c r="F476" s="26" t="n">
        <f aca="false">Allcargo!H111</f>
        <v>-50.6603654965247</v>
      </c>
      <c r="G476" s="26" t="n">
        <f aca="false">Allcargo!I111</f>
        <v>-169.304870802198</v>
      </c>
      <c r="H476" s="26" t="n">
        <f aca="false">Allcargo!J111</f>
        <v>-33.6280217846896</v>
      </c>
      <c r="I476" s="27" t="n">
        <f aca="false">Allcargo!K111</f>
        <v>-59.3161402506222</v>
      </c>
      <c r="J476" s="34" t="str">
        <f aca="false">IF(AND(ISNUMBER(H476),ISNUMBER(H$487)),IF(H476&gt;H$487,"Above",IF(H476&lt;H$487,"Below","At")),"-")</f>
        <v>Below</v>
      </c>
      <c r="K476" s="34" t="str">
        <f aca="false">IF(J476="Below","Better",IF(J476="Above","Weaker","-"))</f>
        <v>Better</v>
      </c>
      <c r="L476" s="34" t="n">
        <f aca="false">IF(ISNUMBER(H476),RANK(H476,H$475:H$484,1),"-")</f>
        <v>5</v>
      </c>
      <c r="N476" s="34" t="str">
        <f aca="false">IF(AND(ISNUMBER(I476),ISNUMBER(I$487)),IF(I476&gt;I$487,"Above",IF(I476&lt;I$487,"Below","At")),"-")</f>
        <v>Below</v>
      </c>
      <c r="O476" s="34" t="str">
        <f aca="false">IF(N476="Below","Better",IF(N476="Above","Weaker","-"))</f>
        <v>Better</v>
      </c>
    </row>
    <row r="477" customFormat="false" ht="15" hidden="false" customHeight="false" outlineLevel="0" collapsed="false">
      <c r="A477" s="18" t="s">
        <v>112</v>
      </c>
      <c r="B477" s="26" t="n">
        <f aca="false">BlueDart!D111</f>
        <v>-177.209537681832</v>
      </c>
      <c r="C477" s="26" t="n">
        <f aca="false">BlueDart!E111</f>
        <v>-200.84335057535</v>
      </c>
      <c r="D477" s="26" t="n">
        <f aca="false">BlueDart!F111</f>
        <v>-77.9812652571731</v>
      </c>
      <c r="E477" s="26" t="n">
        <f aca="false">BlueDart!G111</f>
        <v>-58.8995001831902</v>
      </c>
      <c r="F477" s="26" t="n">
        <f aca="false">BlueDart!H111</f>
        <v>-60.566577884223</v>
      </c>
      <c r="G477" s="26" t="n">
        <f aca="false">BlueDart!I111</f>
        <v>-57.8565176343419</v>
      </c>
      <c r="H477" s="26" t="n">
        <f aca="false">BlueDart!J111</f>
        <v>-56.5579859946034</v>
      </c>
      <c r="I477" s="27" t="n">
        <f aca="false">BlueDart!K111</f>
        <v>-98.5592478872448</v>
      </c>
      <c r="J477" s="34" t="str">
        <f aca="false">IF(AND(ISNUMBER(H477),ISNUMBER(H$487)),IF(H477&gt;H$487,"Above",IF(H477&lt;H$487,"Below","At")),"-")</f>
        <v>Below</v>
      </c>
      <c r="K477" s="34" t="str">
        <f aca="false">IF(J477="Below","Better",IF(J477="Above","Weaker","-"))</f>
        <v>Better</v>
      </c>
      <c r="L477" s="34" t="n">
        <f aca="false">IF(ISNUMBER(H477),RANK(H477,H$475:H$484,1),"-")</f>
        <v>2</v>
      </c>
      <c r="N477" s="34" t="str">
        <f aca="false">IF(AND(ISNUMBER(I477),ISNUMBER(I$487)),IF(I477&gt;I$487,"Above",IF(I477&lt;I$487,"Below","At")),"-")</f>
        <v>Below</v>
      </c>
      <c r="O477" s="34" t="str">
        <f aca="false">IF(N477="Below","Better",IF(N477="Above","Weaker","-"))</f>
        <v>Better</v>
      </c>
    </row>
    <row r="478" customFormat="false" ht="15" hidden="false" customHeight="false" outlineLevel="0" collapsed="false">
      <c r="A478" s="18" t="s">
        <v>67</v>
      </c>
      <c r="B478" s="26" t="n">
        <f aca="false">CONCOR!D111</f>
        <v>-133.464843357618</v>
      </c>
      <c r="C478" s="26" t="n">
        <f aca="false">CONCOR!E111</f>
        <v>-129.398965890499</v>
      </c>
      <c r="D478" s="26" t="n">
        <f aca="false">CONCOR!F111</f>
        <v>-102.468816963681</v>
      </c>
      <c r="E478" s="26" t="n">
        <f aca="false">CONCOR!G111</f>
        <v>-90.8176902822278</v>
      </c>
      <c r="F478" s="26" t="n">
        <f aca="false">CONCOR!H111</f>
        <v>-73.175512299047</v>
      </c>
      <c r="G478" s="26" t="n">
        <f aca="false">CONCOR!I111</f>
        <v>-59.057286507539</v>
      </c>
      <c r="H478" s="26" t="n">
        <f aca="false">CONCOR!J111</f>
        <v>-54.9531004879147</v>
      </c>
      <c r="I478" s="27" t="n">
        <f aca="false">CONCOR!K111</f>
        <v>-91.9051736840752</v>
      </c>
      <c r="J478" s="34" t="str">
        <f aca="false">IF(AND(ISNUMBER(H478),ISNUMBER(H$487)),IF(H478&gt;H$487,"Above",IF(H478&lt;H$487,"Below","At")),"-")</f>
        <v>Below</v>
      </c>
      <c r="K478" s="34" t="str">
        <f aca="false">IF(J478="Below","Better",IF(J478="Above","Weaker","-"))</f>
        <v>Better</v>
      </c>
      <c r="L478" s="34" t="n">
        <f aca="false">IF(ISNUMBER(H478),RANK(H478,H$475:H$484,1),"-")</f>
        <v>3</v>
      </c>
      <c r="N478" s="34" t="str">
        <f aca="false">IF(AND(ISNUMBER(I478),ISNUMBER(I$487)),IF(I478&gt;I$487,"Above",IF(I478&lt;I$487,"Below","At")),"-")</f>
        <v>Below</v>
      </c>
      <c r="O478" s="34" t="str">
        <f aca="false">IF(N478="Below","Better",IF(N478="Above","Weaker","-"))</f>
        <v>Better</v>
      </c>
    </row>
    <row r="479" customFormat="false" ht="15" hidden="false" customHeight="false" outlineLevel="0" collapsed="false">
      <c r="A479" s="18" t="s">
        <v>113</v>
      </c>
      <c r="B479" s="26" t="n">
        <f aca="false">JetFreight!D111</f>
        <v>33.7136422418403</v>
      </c>
      <c r="C479" s="26" t="n">
        <f aca="false">JetFreight!E111</f>
        <v>3.98986543655449</v>
      </c>
      <c r="D479" s="26" t="n">
        <f aca="false">JetFreight!F111</f>
        <v>-2.39192088072341</v>
      </c>
      <c r="E479" s="26" t="n">
        <f aca="false">JetFreight!G111</f>
        <v>6.30093474908417</v>
      </c>
      <c r="F479" s="26" t="n">
        <f aca="false">JetFreight!H111</f>
        <v>10.7788489435483</v>
      </c>
      <c r="G479" s="26" t="n">
        <f aca="false">JetFreight!I111</f>
        <v>13.492062806393</v>
      </c>
      <c r="H479" s="26" t="n">
        <f aca="false">JetFreight!J111</f>
        <v>26.7216575635902</v>
      </c>
      <c r="I479" s="27" t="n">
        <f aca="false">JetFreight!K111</f>
        <v>13.2292986943267</v>
      </c>
      <c r="J479" s="34" t="str">
        <f aca="false">IF(AND(ISNUMBER(H479),ISNUMBER(H$487)),IF(H479&gt;H$487,"Above",IF(H479&lt;H$487,"Below","At")),"-")</f>
        <v>Above</v>
      </c>
      <c r="K479" s="34" t="str">
        <f aca="false">IF(J479="Below","Better",IF(J479="Above","Weaker","-"))</f>
        <v>Weaker</v>
      </c>
      <c r="L479" s="34" t="n">
        <f aca="false">IF(ISNUMBER(H479),RANK(H479,H$475:H$484,1),"-")</f>
        <v>7</v>
      </c>
      <c r="N479" s="34" t="str">
        <f aca="false">IF(AND(ISNUMBER(I479),ISNUMBER(I$487)),IF(I479&gt;I$487,"Above",IF(I479&lt;I$487,"Below","At")),"-")</f>
        <v>Above</v>
      </c>
      <c r="O479" s="34" t="str">
        <f aca="false">IF(N479="Below","Better",IF(N479="Above","Weaker","-"))</f>
        <v>Weaker</v>
      </c>
    </row>
    <row r="480" customFormat="false" ht="15" hidden="false" customHeight="false" outlineLevel="0" collapsed="false">
      <c r="A480" s="18" t="s">
        <v>114</v>
      </c>
      <c r="B480" s="26" t="n">
        <f aca="false">Patel!D111</f>
        <v>70.3031874328149</v>
      </c>
      <c r="C480" s="26" t="n">
        <f aca="false">Patel!E111</f>
        <v>102.071892707323</v>
      </c>
      <c r="D480" s="26" t="n">
        <f aca="false">Patel!F111</f>
        <v>83.7675799147936</v>
      </c>
      <c r="E480" s="26" t="n">
        <f aca="false">Patel!G111</f>
        <v>63.5848581047993</v>
      </c>
      <c r="F480" s="26" t="n">
        <f aca="false">Patel!H111</f>
        <v>53.4346199192938</v>
      </c>
      <c r="G480" s="26" t="n">
        <f aca="false">Patel!I111</f>
        <v>36.5937027525494</v>
      </c>
      <c r="H480" s="26" t="n">
        <f aca="false">Patel!J111</f>
        <v>33.9579031441355</v>
      </c>
      <c r="I480" s="27" t="n">
        <f aca="false">Patel!K111</f>
        <v>63.3876777108157</v>
      </c>
      <c r="J480" s="34" t="str">
        <f aca="false">IF(AND(ISNUMBER(H480),ISNUMBER(H$487)),IF(H480&gt;H$487,"Above",IF(H480&lt;H$487,"Below","At")),"-")</f>
        <v>Above</v>
      </c>
      <c r="K480" s="34" t="str">
        <f aca="false">IF(J480="Below","Better",IF(J480="Above","Weaker","-"))</f>
        <v>Weaker</v>
      </c>
      <c r="L480" s="34" t="n">
        <f aca="false">IF(ISNUMBER(H480),RANK(H480,H$475:H$484,1),"-")</f>
        <v>8</v>
      </c>
      <c r="N480" s="34" t="str">
        <f aca="false">IF(AND(ISNUMBER(I480),ISNUMBER(I$487)),IF(I480&gt;I$487,"Above",IF(I480&lt;I$487,"Below","At")),"-")</f>
        <v>Above</v>
      </c>
      <c r="O480" s="34" t="str">
        <f aca="false">IF(N480="Below","Better",IF(N480="Above","Weaker","-"))</f>
        <v>Weaker</v>
      </c>
    </row>
    <row r="481" customFormat="false" ht="15" hidden="false" customHeight="false" outlineLevel="0" collapsed="false">
      <c r="A481" s="18" t="s">
        <v>115</v>
      </c>
      <c r="B481" s="26" t="n">
        <f aca="false">Sical!D111</f>
        <v>-255.445243941847</v>
      </c>
      <c r="C481" s="26" t="n">
        <f aca="false">Sical!E111</f>
        <v>-830.893231187864</v>
      </c>
      <c r="D481" s="26" t="n">
        <f aca="false">Sical!F111</f>
        <v>-896.355903643857</v>
      </c>
      <c r="E481" s="26" t="n">
        <f aca="false">Sical!G111</f>
        <v>-461.77016573803</v>
      </c>
      <c r="F481" s="26" t="n">
        <f aca="false">Sical!H111</f>
        <v>-474.748021488381</v>
      </c>
      <c r="G481" s="26" t="n">
        <f aca="false">Sical!I111</f>
        <v>-470.974674811399</v>
      </c>
      <c r="H481" s="26" t="n">
        <f aca="false">Sical!J111</f>
        <v>-307.612832352508</v>
      </c>
      <c r="I481" s="27" t="n">
        <f aca="false">Sical!K111</f>
        <v>-528.257153309127</v>
      </c>
      <c r="J481" s="34" t="str">
        <f aca="false">IF(AND(ISNUMBER(H481),ISNUMBER(H$487)),IF(H481&gt;H$487,"Above",IF(H481&lt;H$487,"Below","At")),"-")</f>
        <v>Below</v>
      </c>
      <c r="K481" s="34" t="str">
        <f aca="false">IF(J481="Below","Better",IF(J481="Above","Weaker","-"))</f>
        <v>Better</v>
      </c>
      <c r="L481" s="34" t="n">
        <f aca="false">IF(ISNUMBER(H481),RANK(H481,H$475:H$484,1),"-")</f>
        <v>1</v>
      </c>
      <c r="N481" s="34" t="str">
        <f aca="false">IF(AND(ISNUMBER(I481),ISNUMBER(I$487)),IF(I481&gt;I$487,"Above",IF(I481&lt;I$487,"Below","At")),"-")</f>
        <v>Below</v>
      </c>
      <c r="O481" s="34" t="str">
        <f aca="false">IF(N481="Below","Better",IF(N481="Above","Weaker","-"))</f>
        <v>Better</v>
      </c>
    </row>
    <row r="482" customFormat="false" ht="15" hidden="false" customHeight="false" outlineLevel="0" collapsed="false">
      <c r="A482" s="18" t="s">
        <v>86</v>
      </c>
      <c r="B482" s="26" t="n">
        <f aca="false">TCI!D111</f>
        <v>28.1729986242179</v>
      </c>
      <c r="C482" s="26" t="n">
        <f aca="false">TCI!E111</f>
        <v>26.0126925668748</v>
      </c>
      <c r="D482" s="26" t="n">
        <f aca="false">TCI!F111</f>
        <v>18.0660569139994</v>
      </c>
      <c r="E482" s="26" t="n">
        <f aca="false">TCI!G111</f>
        <v>16.2099839310112</v>
      </c>
      <c r="F482" s="26" t="n">
        <f aca="false">TCI!H111</f>
        <v>19.5482714286153</v>
      </c>
      <c r="G482" s="26" t="n">
        <f aca="false">TCI!I111</f>
        <v>12.6490342392567</v>
      </c>
      <c r="H482" s="26" t="n">
        <f aca="false">TCI!J111</f>
        <v>5.87584431084115</v>
      </c>
      <c r="I482" s="27" t="n">
        <f aca="false">TCI!K111</f>
        <v>18.0764117164024</v>
      </c>
      <c r="J482" s="34" t="str">
        <f aca="false">IF(AND(ISNUMBER(H482),ISNUMBER(H$487)),IF(H482&gt;H$487,"Above",IF(H482&lt;H$487,"Below","At")),"-")</f>
        <v>Above</v>
      </c>
      <c r="K482" s="34" t="str">
        <f aca="false">IF(J482="Below","Better",IF(J482="Above","Weaker","-"))</f>
        <v>Weaker</v>
      </c>
      <c r="L482" s="34" t="n">
        <f aca="false">IF(ISNUMBER(H482),RANK(H482,H$475:H$484,1),"-")</f>
        <v>6</v>
      </c>
      <c r="N482" s="34" t="str">
        <f aca="false">IF(AND(ISNUMBER(I482),ISNUMBER(I$487)),IF(I482&gt;I$487,"Above",IF(I482&lt;I$487,"Below","At")),"-")</f>
        <v>Above</v>
      </c>
      <c r="O482" s="34" t="str">
        <f aca="false">IF(N482="Below","Better",IF(N482="Above","Weaker","-"))</f>
        <v>Weaker</v>
      </c>
    </row>
    <row r="483" customFormat="false" ht="15" hidden="false" customHeight="false" outlineLevel="0" collapsed="false">
      <c r="A483" s="18" t="s">
        <v>116</v>
      </c>
      <c r="B483" s="26" t="n">
        <f aca="false">Shreeji!D111</f>
        <v>67.5238875941198</v>
      </c>
      <c r="C483" s="26" t="n">
        <f aca="false">Shreeji!E111</f>
        <v>85.9132692786342</v>
      </c>
      <c r="D483" s="26" t="n">
        <f aca="false">Shreeji!F111</f>
        <v>72.4049271670207</v>
      </c>
      <c r="E483" s="26" t="n">
        <f aca="false">Shreeji!G111</f>
        <v>67.4773051978896</v>
      </c>
      <c r="F483" s="26" t="n">
        <f aca="false">Shreeji!H111</f>
        <v>56.9541547877188</v>
      </c>
      <c r="G483" s="26" t="n">
        <f aca="false">Shreeji!I111</f>
        <v>71.358454394696</v>
      </c>
      <c r="H483" s="26" t="n">
        <f aca="false">Shreeji!J111</f>
        <v>73.1596511266598</v>
      </c>
      <c r="I483" s="27" t="n">
        <f aca="false">Shreeji!K111</f>
        <v>70.6845213638198</v>
      </c>
      <c r="J483" s="34" t="str">
        <f aca="false">IF(AND(ISNUMBER(H483),ISNUMBER(H$487)),IF(H483&gt;H$487,"Above",IF(H483&lt;H$487,"Below","At")),"-")</f>
        <v>Above</v>
      </c>
      <c r="K483" s="34" t="str">
        <f aca="false">IF(J483="Below","Better",IF(J483="Above","Weaker","-"))</f>
        <v>Weaker</v>
      </c>
      <c r="L483" s="34" t="n">
        <f aca="false">IF(ISNUMBER(H483),RANK(H483,H$475:H$484,1),"-")</f>
        <v>10</v>
      </c>
      <c r="N483" s="34" t="str">
        <f aca="false">IF(AND(ISNUMBER(I483),ISNUMBER(I$487)),IF(I483&gt;I$487,"Above",IF(I483&lt;I$487,"Below","At")),"-")</f>
        <v>Above</v>
      </c>
      <c r="O483" s="34" t="str">
        <f aca="false">IF(N483="Below","Better",IF(N483="Above","Weaker","-"))</f>
        <v>Weaker</v>
      </c>
    </row>
    <row r="484" customFormat="false" ht="15" hidden="false" customHeight="false" outlineLevel="0" collapsed="false">
      <c r="A484" s="18" t="s">
        <v>117</v>
      </c>
      <c r="B484" s="26" t="n">
        <f aca="false">MahindraLog!D111</f>
        <v>-28.0456170857268</v>
      </c>
      <c r="C484" s="26" t="n">
        <f aca="false">MahindraLog!E111</f>
        <v>-43.2713944845884</v>
      </c>
      <c r="D484" s="26" t="n">
        <f aca="false">MahindraLog!F111</f>
        <v>-53.0981698463993</v>
      </c>
      <c r="E484" s="26" t="n">
        <f aca="false">MahindraLog!G111</f>
        <v>-49.9785265674097</v>
      </c>
      <c r="F484" s="26" t="n">
        <f aca="false">MahindraLog!H111</f>
        <v>-48.4514057611358</v>
      </c>
      <c r="G484" s="26" t="n">
        <f aca="false">MahindraLog!I111</f>
        <v>-47.5137633787477</v>
      </c>
      <c r="H484" s="26" t="n">
        <f aca="false">MahindraLog!J111</f>
        <v>-42.8903817829024</v>
      </c>
      <c r="I484" s="27" t="n">
        <f aca="false">MahindraLog!K111</f>
        <v>-44.7498941295586</v>
      </c>
      <c r="J484" s="34" t="str">
        <f aca="false">IF(AND(ISNUMBER(H484),ISNUMBER(H$487)),IF(H484&gt;H$487,"Above",IF(H484&lt;H$487,"Below","At")),"-")</f>
        <v>Below</v>
      </c>
      <c r="K484" s="34" t="str">
        <f aca="false">IF(J484="Below","Better",IF(J484="Above","Weaker","-"))</f>
        <v>Better</v>
      </c>
      <c r="L484" s="34" t="n">
        <f aca="false">IF(ISNUMBER(H484),RANK(H484,H$475:H$484,1),"-")</f>
        <v>4</v>
      </c>
      <c r="N484" s="34" t="str">
        <f aca="false">IF(AND(ISNUMBER(I484),ISNUMBER(I$487)),IF(I484&gt;I$487,"Above",IF(I484&lt;I$487,"Below","At")),"-")</f>
        <v>Below</v>
      </c>
      <c r="O484" s="34" t="str">
        <f aca="false">IF(N484="Below","Better",IF(N484="Above","Weaker","-"))</f>
        <v>Better</v>
      </c>
    </row>
    <row r="485" customFormat="false" ht="15" hidden="false" customHeight="false" outlineLevel="0" collapsed="false">
      <c r="A485" s="12" t="s">
        <v>176</v>
      </c>
      <c r="B485" s="27" t="n">
        <f aca="false">Industry!D111</f>
        <v>-72.3308396205053</v>
      </c>
      <c r="C485" s="27" t="n">
        <f aca="false">Industry!E111</f>
        <v>-79.1660425713534</v>
      </c>
      <c r="D485" s="27" t="n">
        <f aca="false">Industry!F111</f>
        <v>-52.9261306806787</v>
      </c>
      <c r="E485" s="27" t="n">
        <f aca="false">Industry!G111</f>
        <v>-49.9997201356312</v>
      </c>
      <c r="F485" s="27" t="n">
        <f aca="false">Industry!H111</f>
        <v>-48.1586161222324</v>
      </c>
      <c r="G485" s="27" t="n">
        <f aca="false">Industry!I111</f>
        <v>-48.6084109184455</v>
      </c>
      <c r="H485" s="27" t="n">
        <f aca="false">Industry!J111</f>
        <v>-37.3227272771805</v>
      </c>
      <c r="I485" s="27" t="n">
        <f aca="false">Industry!K111</f>
        <v>-55.5017839037181</v>
      </c>
    </row>
    <row r="486" customFormat="false" ht="15" hidden="false" customHeight="false" outlineLevel="0" collapsed="false">
      <c r="A486" s="35" t="s">
        <v>177</v>
      </c>
      <c r="B486" s="38" t="n">
        <f aca="false">IFERROR(AVERAGE(B475:B484),"N/M")</f>
        <v>-36.4255249998936</v>
      </c>
      <c r="C486" s="38" t="n">
        <f aca="false">IFERROR(AVERAGE(C475:C484),"N/M")</f>
        <v>-96.1814434982642</v>
      </c>
      <c r="D486" s="38" t="n">
        <f aca="false">IFERROR(AVERAGE(D475:D484),"N/M")</f>
        <v>-98.1031400959816</v>
      </c>
      <c r="E486" s="38" t="n">
        <f aca="false">IFERROR(AVERAGE(E475:E484),"N/M")</f>
        <v>-53.2307620691579</v>
      </c>
      <c r="F486" s="38" t="n">
        <f aca="false">IFERROR(AVERAGE(F475:F484),"N/M")</f>
        <v>-51.4192230376184</v>
      </c>
      <c r="G486" s="38" t="n">
        <f aca="false">IFERROR(AVERAGE(G475:G484),"N/M")</f>
        <v>-62.8537013195482</v>
      </c>
      <c r="H486" s="38" t="n">
        <f aca="false">IFERROR(AVERAGE(H475:H484),"N/M")</f>
        <v>-29.8473546260324</v>
      </c>
      <c r="I486" s="38" t="n">
        <f aca="false">IFERROR(AVERAGE(I475:I484),"N/M")</f>
        <v>-61.1515928066423</v>
      </c>
    </row>
    <row r="487" customFormat="false" ht="15" hidden="false" customHeight="false" outlineLevel="0" collapsed="false">
      <c r="A487" s="35" t="s">
        <v>178</v>
      </c>
      <c r="B487" s="38" t="n">
        <f aca="false">IFERROR(MEDIAN(B475:B484),"N/M")</f>
        <v>0.0636907692455395</v>
      </c>
      <c r="C487" s="38" t="n">
        <f aca="false">IFERROR(MEDIAN(C475:C484),"N/M")</f>
        <v>-19.6407645240169</v>
      </c>
      <c r="D487" s="38" t="n">
        <f aca="false">IFERROR(MEDIAN(D475:D484),"N/M")</f>
        <v>-17.2630633589591</v>
      </c>
      <c r="E487" s="38" t="n">
        <f aca="false">IFERROR(MEDIAN(E475:E484),"N/M")</f>
        <v>-17.6575563351411</v>
      </c>
      <c r="F487" s="38" t="n">
        <f aca="false">IFERROR(MEDIAN(F475:F484),"N/M")</f>
        <v>-18.8362784087938</v>
      </c>
      <c r="G487" s="38" t="n">
        <f aca="false">IFERROR(MEDIAN(G475:G484),"N/M")</f>
        <v>-17.4323645697455</v>
      </c>
      <c r="H487" s="38" t="n">
        <f aca="false">IFERROR(MEDIAN(H475:H484),"N/M")</f>
        <v>-13.8760887369242</v>
      </c>
      <c r="I487" s="38" t="n">
        <f aca="false">IFERROR(MEDIAN(I475:I484),"N/M")</f>
        <v>-15.7602977176159</v>
      </c>
    </row>
    <row r="488" customFormat="false" ht="15" hidden="false" customHeight="false" outlineLevel="0" collapsed="false">
      <c r="A488" s="35" t="s">
        <v>179</v>
      </c>
      <c r="B488" s="38" t="n">
        <f aca="false">IFERROR(STDEV(B475:B484),"N/M")</f>
        <v>115.940744448684</v>
      </c>
      <c r="C488" s="38" t="n">
        <f aca="false">IFERROR(STDEV(C475:C484),"N/M")</f>
        <v>275.241673473505</v>
      </c>
      <c r="D488" s="38" t="n">
        <f aca="false">IFERROR(STDEV(D475:D484),"N/M")</f>
        <v>286.806186992409</v>
      </c>
      <c r="E488" s="38" t="n">
        <f aca="false">IFERROR(STDEV(E475:E484),"N/M")</f>
        <v>152.766294513536</v>
      </c>
      <c r="F488" s="38" t="n">
        <f aca="false">IFERROR(STDEV(F475:F484),"N/M")</f>
        <v>157.147234984384</v>
      </c>
      <c r="G488" s="38" t="n">
        <f aca="false">IFERROR(STDEV(G475:G484),"N/M")</f>
        <v>159.377862047267</v>
      </c>
      <c r="H488" s="38" t="n">
        <f aca="false">IFERROR(STDEV(H475:H484),"N/M")</f>
        <v>108.249230321913</v>
      </c>
      <c r="I488" s="38" t="n">
        <f aca="false">IFERROR(STDEV(I475:I484),"N/M")</f>
        <v>175.42462748028</v>
      </c>
    </row>
    <row r="489" customFormat="false" ht="15" hidden="false" customHeight="false" outlineLevel="0" collapsed="false">
      <c r="A489" s="35" t="s">
        <v>102</v>
      </c>
      <c r="B489" s="38" t="n">
        <f aca="false">IFERROR(MIN(B475:B484),"N/M")</f>
        <v>-255.445243941847</v>
      </c>
      <c r="C489" s="38" t="n">
        <f aca="false">IFERROR(MIN(C475:C484),"N/M")</f>
        <v>-830.893231187864</v>
      </c>
      <c r="D489" s="38" t="n">
        <f aca="false">IFERROR(MIN(D475:D484),"N/M")</f>
        <v>-896.355903643857</v>
      </c>
      <c r="E489" s="38" t="n">
        <f aca="false">IFERROR(MIN(E475:E484),"N/M")</f>
        <v>-461.77016573803</v>
      </c>
      <c r="F489" s="38" t="n">
        <f aca="false">IFERROR(MIN(F475:F484),"N/M")</f>
        <v>-474.748021488381</v>
      </c>
      <c r="G489" s="38" t="n">
        <f aca="false">IFERROR(MIN(G475:G484),"N/M")</f>
        <v>-470.974674811399</v>
      </c>
      <c r="H489" s="38" t="n">
        <f aca="false">IFERROR(MIN(H475:H484),"N/M")</f>
        <v>-307.612832352508</v>
      </c>
      <c r="I489" s="38" t="n">
        <f aca="false">IFERROR(MIN(I475:I484),"N/M")</f>
        <v>-528.257153309127</v>
      </c>
    </row>
    <row r="490" customFormat="false" ht="15" hidden="false" customHeight="false" outlineLevel="0" collapsed="false">
      <c r="A490" s="35" t="s">
        <v>103</v>
      </c>
      <c r="B490" s="38" t="n">
        <f aca="false">IFERROR(MAX(B475:B484),"N/M")</f>
        <v>74.7023835141726</v>
      </c>
      <c r="C490" s="38" t="n">
        <f aca="false">IFERROR(MAX(C475:C484),"N/M")</f>
        <v>102.071892707323</v>
      </c>
      <c r="D490" s="38" t="n">
        <f aca="false">IFERROR(MAX(D475:D484),"N/M")</f>
        <v>83.7675799147936</v>
      </c>
      <c r="E490" s="38" t="n">
        <f aca="false">IFERROR(MAX(E475:E484),"N/M")</f>
        <v>67.4773051978896</v>
      </c>
      <c r="F490" s="38" t="n">
        <f aca="false">IFERROR(MAX(F475:F484),"N/M")</f>
        <v>56.9541547877188</v>
      </c>
      <c r="G490" s="38" t="n">
        <f aca="false">IFERROR(MAX(G475:G484),"N/M")</f>
        <v>71.358454394696</v>
      </c>
      <c r="H490" s="38" t="n">
        <f aca="false">IFERROR(MAX(H475:H484),"N/M")</f>
        <v>73.1596511266598</v>
      </c>
      <c r="I490" s="38" t="n">
        <f aca="false">IFERROR(MAX(I475:I484),"N/M")</f>
        <v>70.6845213638198</v>
      </c>
    </row>
    <row r="492" customFormat="false" ht="15" hidden="false" customHeight="false" outlineLevel="0" collapsed="false">
      <c r="A492" s="16" t="s">
        <v>207</v>
      </c>
      <c r="B492" s="17"/>
      <c r="C492" s="17"/>
      <c r="D492" s="17"/>
      <c r="E492" s="17"/>
      <c r="F492" s="17"/>
      <c r="G492" s="17"/>
      <c r="H492" s="17"/>
      <c r="I492" s="17"/>
      <c r="J492" s="17"/>
      <c r="K492" s="17"/>
      <c r="L492" s="17"/>
      <c r="M492" s="17"/>
    </row>
    <row r="493" customFormat="false" ht="15" hidden="false" customHeight="false" outlineLevel="0" collapsed="false">
      <c r="A493" s="18" t="s">
        <v>110</v>
      </c>
      <c r="B493" s="20" t="n">
        <f aca="false">Tiger!D112</f>
        <v>29.9384309831182</v>
      </c>
      <c r="C493" s="20" t="n">
        <f aca="false">Tiger!E112</f>
        <v>18.3866374589266</v>
      </c>
      <c r="D493" s="20" t="n">
        <f aca="false">Tiger!F112</f>
        <v>74.6945962355799</v>
      </c>
      <c r="E493" s="20" t="n">
        <f aca="false">Tiger!G112</f>
        <v>56.42578125</v>
      </c>
      <c r="F493" s="20" t="n">
        <f aca="false">Tiger!H112</f>
        <v>29.0169082125604</v>
      </c>
      <c r="G493" s="20" t="n">
        <f aca="false">Tiger!I112</f>
        <v>59.7892976588629</v>
      </c>
      <c r="H493" s="20" t="n">
        <f aca="false">Tiger!J112</f>
        <v>61.2314270443613</v>
      </c>
      <c r="I493" s="21" t="n">
        <f aca="false">Tiger!K112</f>
        <v>47.0690112633442</v>
      </c>
      <c r="J493" s="34" t="str">
        <f aca="false">IF(AND(ISNUMBER(H493),ISNUMBER(H$505)),IF(H493&gt;H$505,"Above",IF(H493&lt;H$505,"Below","At")),"-")</f>
        <v>Above</v>
      </c>
      <c r="K493" s="34" t="str">
        <f aca="false">IF(J493="Above","Better",IF(J493="Below","Weaker","-"))</f>
        <v>Better</v>
      </c>
      <c r="L493" s="34" t="n">
        <f aca="false">IF(ISNUMBER(H493),RANK(H493,H$493:H$502,0),"-")</f>
        <v>1</v>
      </c>
      <c r="N493" s="34" t="str">
        <f aca="false">IF(AND(ISNUMBER(I493),ISNUMBER(I$505)),IF(I493&gt;I$505,"Above",IF(I493&lt;I$505,"Below","At")),"-")</f>
        <v>Above</v>
      </c>
      <c r="O493" s="34" t="str">
        <f aca="false">IF(N493="Above","Better",IF(N493="Below","Weaker","-"))</f>
        <v>Better</v>
      </c>
    </row>
    <row r="494" customFormat="false" ht="15" hidden="false" customHeight="false" outlineLevel="0" collapsed="false">
      <c r="A494" s="18" t="s">
        <v>111</v>
      </c>
      <c r="B494" s="20" t="n">
        <f aca="false">Allcargo!D112</f>
        <v>4.12171741966252</v>
      </c>
      <c r="C494" s="20" t="n">
        <f aca="false">Allcargo!E112</f>
        <v>4.09079307556673</v>
      </c>
      <c r="D494" s="20" t="n">
        <f aca="false">Allcargo!F112</f>
        <v>5.72750709100524</v>
      </c>
      <c r="E494" s="20" t="n">
        <f aca="false">Allcargo!G112</f>
        <v>6.41960367306584</v>
      </c>
      <c r="F494" s="20" t="n">
        <f aca="false">Allcargo!H112</f>
        <v>5.22274642938406</v>
      </c>
      <c r="G494" s="20" t="n">
        <f aca="false">Allcargo!I112</f>
        <v>1.09146061474668</v>
      </c>
      <c r="H494" s="20" t="n">
        <f aca="false">Allcargo!J112</f>
        <v>2.66926070038911</v>
      </c>
      <c r="I494" s="21" t="n">
        <f aca="false">Allcargo!K112</f>
        <v>4.1918698576886</v>
      </c>
      <c r="J494" s="34" t="str">
        <f aca="false">IF(AND(ISNUMBER(H494),ISNUMBER(H$505)),IF(H494&gt;H$505,"Above",IF(H494&lt;H$505,"Below","At")),"-")</f>
        <v>Below</v>
      </c>
      <c r="K494" s="34" t="str">
        <f aca="false">IF(J494="Above","Better",IF(J494="Below","Weaker","-"))</f>
        <v>Weaker</v>
      </c>
      <c r="L494" s="34" t="n">
        <f aca="false">IF(ISNUMBER(H494),RANK(H494,H$493:H$502,0),"-")</f>
        <v>8</v>
      </c>
      <c r="N494" s="34" t="str">
        <f aca="false">IF(AND(ISNUMBER(I494),ISNUMBER(I$505)),IF(I494&gt;I$505,"Above",IF(I494&lt;I$505,"Below","At")),"-")</f>
        <v>Below</v>
      </c>
      <c r="O494" s="34" t="str">
        <f aca="false">IF(N494="Above","Better",IF(N494="Below","Weaker","-"))</f>
        <v>Weaker</v>
      </c>
    </row>
    <row r="495" customFormat="false" ht="15" hidden="false" customHeight="false" outlineLevel="0" collapsed="false">
      <c r="A495" s="18" t="s">
        <v>112</v>
      </c>
      <c r="B495" s="20" t="n">
        <f aca="false">BlueDart!D112</f>
        <v>2.73795993687859</v>
      </c>
      <c r="C495" s="20" t="n">
        <f aca="false">BlueDart!E112</f>
        <v>2.02461085660805</v>
      </c>
      <c r="D495" s="20" t="n">
        <f aca="false">BlueDart!F112</f>
        <v>2.92080594692141</v>
      </c>
      <c r="E495" s="20" t="n">
        <f aca="false">BlueDart!G112</f>
        <v>3.59944326524931</v>
      </c>
      <c r="F495" s="20" t="n">
        <f aca="false">BlueDart!H112</f>
        <v>3.23222388229122</v>
      </c>
      <c r="G495" s="20" t="n">
        <f aca="false">BlueDart!I112</f>
        <v>3.14630980275679</v>
      </c>
      <c r="H495" s="20" t="n">
        <f aca="false">BlueDart!J112</f>
        <v>3.19092949783838</v>
      </c>
      <c r="I495" s="21" t="n">
        <f aca="false">BlueDart!K112</f>
        <v>2.97889759836339</v>
      </c>
      <c r="J495" s="34" t="str">
        <f aca="false">IF(AND(ISNUMBER(H495),ISNUMBER(H$505)),IF(H495&gt;H$505,"Above",IF(H495&lt;H$505,"Below","At")),"-")</f>
        <v>Below</v>
      </c>
      <c r="K495" s="34" t="str">
        <f aca="false">IF(J495="Above","Better",IF(J495="Below","Weaker","-"))</f>
        <v>Weaker</v>
      </c>
      <c r="L495" s="34" t="n">
        <f aca="false">IF(ISNUMBER(H495),RANK(H495,H$493:H$502,0),"-")</f>
        <v>7</v>
      </c>
      <c r="N495" s="34" t="str">
        <f aca="false">IF(AND(ISNUMBER(I495),ISNUMBER(I$505)),IF(I495&gt;I$505,"Above",IF(I495&lt;I$505,"Below","At")),"-")</f>
        <v>Below</v>
      </c>
      <c r="O495" s="34" t="str">
        <f aca="false">IF(N495="Above","Better",IF(N495="Below","Weaker","-"))</f>
        <v>Weaker</v>
      </c>
    </row>
    <row r="496" customFormat="false" ht="15" hidden="false" customHeight="false" outlineLevel="0" collapsed="false">
      <c r="A496" s="18" t="s">
        <v>67</v>
      </c>
      <c r="B496" s="20" t="n">
        <f aca="false">CONCOR!D112</f>
        <v>1.31766659570797</v>
      </c>
      <c r="C496" s="20" t="n">
        <f aca="false">CONCOR!E112</f>
        <v>1.16744668039297</v>
      </c>
      <c r="D496" s="20" t="n">
        <f aca="false">CONCOR!F112</f>
        <v>1.34430704613544</v>
      </c>
      <c r="E496" s="20" t="n">
        <f aca="false">CONCOR!G112</f>
        <v>1.44033005977044</v>
      </c>
      <c r="F496" s="20" t="n">
        <f aca="false">CONCOR!H112</f>
        <v>1.48742162958889</v>
      </c>
      <c r="G496" s="20" t="n">
        <f aca="false">CONCOR!I112</f>
        <v>1.41139644078604</v>
      </c>
      <c r="H496" s="20" t="n">
        <f aca="false">CONCOR!J112</f>
        <v>1.32048430038026</v>
      </c>
      <c r="I496" s="21" t="n">
        <f aca="false">CONCOR!K112</f>
        <v>1.35557896468029</v>
      </c>
      <c r="J496" s="34" t="str">
        <f aca="false">IF(AND(ISNUMBER(H496),ISNUMBER(H$505)),IF(H496&gt;H$505,"Above",IF(H496&lt;H$505,"Below","At")),"-")</f>
        <v>Below</v>
      </c>
      <c r="K496" s="34" t="str">
        <f aca="false">IF(J496="Above","Better",IF(J496="Below","Weaker","-"))</f>
        <v>Weaker</v>
      </c>
      <c r="L496" s="34" t="n">
        <f aca="false">IF(ISNUMBER(H496),RANK(H496,H$493:H$502,0),"-")</f>
        <v>9</v>
      </c>
      <c r="N496" s="34" t="str">
        <f aca="false">IF(AND(ISNUMBER(I496),ISNUMBER(I$505)),IF(I496&gt;I$505,"Above",IF(I496&lt;I$505,"Below","At")),"-")</f>
        <v>Below</v>
      </c>
      <c r="O496" s="34" t="str">
        <f aca="false">IF(N496="Above","Better",IF(N496="Below","Weaker","-"))</f>
        <v>Weaker</v>
      </c>
    </row>
    <row r="497" customFormat="false" ht="15" hidden="false" customHeight="false" outlineLevel="0" collapsed="false">
      <c r="A497" s="18" t="s">
        <v>113</v>
      </c>
      <c r="B497" s="20" t="n">
        <f aca="false">JetFreight!D112</f>
        <v>20.1872053872054</v>
      </c>
      <c r="C497" s="20" t="n">
        <f aca="false">JetFreight!E112</f>
        <v>16.167365967366</v>
      </c>
      <c r="D497" s="20" t="n">
        <f aca="false">JetFreight!F112</f>
        <v>15.299279852621</v>
      </c>
      <c r="E497" s="20" t="n">
        <f aca="false">JetFreight!G112</f>
        <v>13.5047804245665</v>
      </c>
      <c r="F497" s="20" t="n">
        <f aca="false">JetFreight!H112</f>
        <v>13.4385721712008</v>
      </c>
      <c r="G497" s="20" t="n">
        <f aca="false">JetFreight!I112</f>
        <v>16.3134690827573</v>
      </c>
      <c r="H497" s="20" t="n">
        <f aca="false">JetFreight!J112</f>
        <v>17.5075891977134</v>
      </c>
      <c r="I497" s="21" t="n">
        <f aca="false">JetFreight!K112</f>
        <v>16.0597517262043</v>
      </c>
      <c r="J497" s="34" t="str">
        <f aca="false">IF(AND(ISNUMBER(H497),ISNUMBER(H$505)),IF(H497&gt;H$505,"Above",IF(H497&lt;H$505,"Below","At")),"-")</f>
        <v>Above</v>
      </c>
      <c r="K497" s="34" t="str">
        <f aca="false">IF(J497="Above","Better",IF(J497="Below","Weaker","-"))</f>
        <v>Better</v>
      </c>
      <c r="L497" s="34" t="n">
        <f aca="false">IF(ISNUMBER(H497),RANK(H497,H$493:H$502,0),"-")</f>
        <v>2</v>
      </c>
      <c r="N497" s="34" t="str">
        <f aca="false">IF(AND(ISNUMBER(I497),ISNUMBER(I$505)),IF(I497&gt;I$505,"Above",IF(I497&lt;I$505,"Below","At")),"-")</f>
        <v>Above</v>
      </c>
      <c r="O497" s="34" t="str">
        <f aca="false">IF(N497="Above","Better",IF(N497="Below","Weaker","-"))</f>
        <v>Better</v>
      </c>
    </row>
    <row r="498" customFormat="false" ht="15" hidden="false" customHeight="false" outlineLevel="0" collapsed="false">
      <c r="A498" s="18" t="s">
        <v>114</v>
      </c>
      <c r="B498" s="20" t="n">
        <f aca="false">Patel!D112</f>
        <v>6.26867556838686</v>
      </c>
      <c r="C498" s="20" t="n">
        <f aca="false">Patel!E112</f>
        <v>4.07272378393937</v>
      </c>
      <c r="D498" s="20" t="n">
        <f aca="false">Patel!F112</f>
        <v>4.25881497637223</v>
      </c>
      <c r="E498" s="20" t="n">
        <f aca="false">Patel!G112</f>
        <v>4.96972944012858</v>
      </c>
      <c r="F498" s="20" t="n">
        <f aca="false">Patel!H112</f>
        <v>5.61015640084959</v>
      </c>
      <c r="G498" s="20" t="n">
        <f aca="false">Patel!I112</f>
        <v>7.16699780403639</v>
      </c>
      <c r="H498" s="20" t="n">
        <f aca="false">Patel!J112</f>
        <v>7.68208216820822</v>
      </c>
      <c r="I498" s="21" t="n">
        <f aca="false">Patel!K112</f>
        <v>5.71845430598875</v>
      </c>
      <c r="J498" s="34" t="str">
        <f aca="false">IF(AND(ISNUMBER(H498),ISNUMBER(H$505)),IF(H498&gt;H$505,"Above",IF(H498&lt;H$505,"Below","At")),"-")</f>
        <v>Above</v>
      </c>
      <c r="K498" s="34" t="str">
        <f aca="false">IF(J498="Above","Better",IF(J498="Below","Weaker","-"))</f>
        <v>Better</v>
      </c>
      <c r="L498" s="34" t="n">
        <f aca="false">IF(ISNUMBER(H498),RANK(H498,H$493:H$502,0),"-")</f>
        <v>4</v>
      </c>
      <c r="N498" s="34" t="str">
        <f aca="false">IF(AND(ISNUMBER(I498),ISNUMBER(I$505)),IF(I498&gt;I$505,"Above",IF(I498&lt;I$505,"Below","At")),"-")</f>
        <v>Above</v>
      </c>
      <c r="O498" s="34" t="str">
        <f aca="false">IF(N498="Above","Better",IF(N498="Below","Weaker","-"))</f>
        <v>Better</v>
      </c>
    </row>
    <row r="499" customFormat="false" ht="15" hidden="false" customHeight="false" outlineLevel="0" collapsed="false">
      <c r="A499" s="18" t="s">
        <v>115</v>
      </c>
      <c r="B499" s="20" t="n">
        <f aca="false">Sical!D112</f>
        <v>1.08897213260291</v>
      </c>
      <c r="C499" s="20" t="n">
        <f aca="false">Sical!E112</f>
        <v>0.566051307988423</v>
      </c>
      <c r="D499" s="20" t="n">
        <f aca="false">Sical!F112</f>
        <v>0.435143781922955</v>
      </c>
      <c r="E499" s="20" t="n">
        <f aca="false">Sical!G112</f>
        <v>0.572690892095577</v>
      </c>
      <c r="F499" s="20" t="n">
        <f aca="false">Sical!H112</f>
        <v>0.380324090002064</v>
      </c>
      <c r="G499" s="20" t="n">
        <f aca="false">Sical!I112</f>
        <v>0.382699009696008</v>
      </c>
      <c r="H499" s="20" t="n">
        <f aca="false">Sical!J112</f>
        <v>0.666430515357035</v>
      </c>
      <c r="I499" s="21" t="n">
        <f aca="false">Sical!K112</f>
        <v>0.58461596138071</v>
      </c>
      <c r="J499" s="34" t="str">
        <f aca="false">IF(AND(ISNUMBER(H499),ISNUMBER(H$505)),IF(H499&gt;H$505,"Above",IF(H499&lt;H$505,"Below","At")),"-")</f>
        <v>Below</v>
      </c>
      <c r="K499" s="34" t="str">
        <f aca="false">IF(J499="Above","Better",IF(J499="Below","Weaker","-"))</f>
        <v>Weaker</v>
      </c>
      <c r="L499" s="34" t="n">
        <f aca="false">IF(ISNUMBER(H499),RANK(H499,H$493:H$502,0),"-")</f>
        <v>10</v>
      </c>
      <c r="N499" s="34" t="str">
        <f aca="false">IF(AND(ISNUMBER(I499),ISNUMBER(I$505)),IF(I499&gt;I$505,"Above",IF(I499&lt;I$505,"Below","At")),"-")</f>
        <v>Below</v>
      </c>
      <c r="O499" s="34" t="str">
        <f aca="false">IF(N499="Above","Better",IF(N499="Below","Weaker","-"))</f>
        <v>Weaker</v>
      </c>
    </row>
    <row r="500" customFormat="false" ht="15" hidden="false" customHeight="false" outlineLevel="0" collapsed="false">
      <c r="A500" s="18" t="s">
        <v>86</v>
      </c>
      <c r="B500" s="20" t="n">
        <f aca="false">TCI!D112</f>
        <v>3.62736566745856</v>
      </c>
      <c r="C500" s="20" t="n">
        <f aca="false">TCI!E112</f>
        <v>3.55554286801789</v>
      </c>
      <c r="D500" s="20" t="n">
        <f aca="false">TCI!F112</f>
        <v>4.05834443766423</v>
      </c>
      <c r="E500" s="20" t="n">
        <f aca="false">TCI!G112</f>
        <v>4.75015226577756</v>
      </c>
      <c r="F500" s="20" t="n">
        <f aca="false">TCI!H112</f>
        <v>4.86892029230993</v>
      </c>
      <c r="G500" s="20" t="n">
        <f aca="false">TCI!I112</f>
        <v>4.92120428599601</v>
      </c>
      <c r="H500" s="20" t="n">
        <f aca="false">TCI!J112</f>
        <v>4.56018623718344</v>
      </c>
      <c r="I500" s="21" t="n">
        <f aca="false">TCI!K112</f>
        <v>4.33453086491537</v>
      </c>
      <c r="J500" s="34" t="str">
        <f aca="false">IF(AND(ISNUMBER(H500),ISNUMBER(H$505)),IF(H500&gt;H$505,"Above",IF(H500&lt;H$505,"Below","At")),"-")</f>
        <v>Below</v>
      </c>
      <c r="K500" s="34" t="str">
        <f aca="false">IF(J500="Above","Better",IF(J500="Below","Weaker","-"))</f>
        <v>Weaker</v>
      </c>
      <c r="L500" s="34" t="n">
        <f aca="false">IF(ISNUMBER(H500),RANK(H500,H$493:H$502,0),"-")</f>
        <v>6</v>
      </c>
      <c r="N500" s="34" t="str">
        <f aca="false">IF(AND(ISNUMBER(I500),ISNUMBER(I$505)),IF(I500&gt;I$505,"Above",IF(I500&lt;I$505,"Below","At")),"-")</f>
        <v>Below</v>
      </c>
      <c r="O500" s="34" t="str">
        <f aca="false">IF(N500="Above","Better",IF(N500="Below","Weaker","-"))</f>
        <v>Weaker</v>
      </c>
    </row>
    <row r="501" customFormat="false" ht="15" hidden="false" customHeight="false" outlineLevel="0" collapsed="false">
      <c r="A501" s="18" t="s">
        <v>116</v>
      </c>
      <c r="B501" s="20" t="n">
        <f aca="false">Shreeji!D112</f>
        <v>4.71495927989713</v>
      </c>
      <c r="C501" s="20" t="n">
        <f aca="false">Shreeji!E112</f>
        <v>4.22113884555382</v>
      </c>
      <c r="D501" s="20" t="n">
        <f aca="false">Shreeji!F112</f>
        <v>7.26280771789754</v>
      </c>
      <c r="E501" s="20" t="n">
        <f aca="false">Shreeji!G112</f>
        <v>9.19782930439073</v>
      </c>
      <c r="F501" s="20" t="n">
        <f aca="false">Shreeji!H112</f>
        <v>9.38553765455227</v>
      </c>
      <c r="G501" s="20" t="n">
        <f aca="false">Shreeji!I112</f>
        <v>7.09114331723028</v>
      </c>
      <c r="H501" s="20" t="n">
        <f aca="false">Shreeji!J112</f>
        <v>8.70642883686362</v>
      </c>
      <c r="I501" s="21" t="n">
        <f aca="false">Shreeji!K112</f>
        <v>7.22569213662648</v>
      </c>
      <c r="J501" s="34" t="str">
        <f aca="false">IF(AND(ISNUMBER(H501),ISNUMBER(H$505)),IF(H501&gt;H$505,"Above",IF(H501&lt;H$505,"Below","At")),"-")</f>
        <v>Above</v>
      </c>
      <c r="K501" s="34" t="str">
        <f aca="false">IF(J501="Above","Better",IF(J501="Below","Weaker","-"))</f>
        <v>Better</v>
      </c>
      <c r="L501" s="34" t="n">
        <f aca="false">IF(ISNUMBER(H501),RANK(H501,H$493:H$502,0),"-")</f>
        <v>3</v>
      </c>
      <c r="N501" s="34" t="str">
        <f aca="false">IF(AND(ISNUMBER(I501),ISNUMBER(I$505)),IF(I501&gt;I$505,"Above",IF(I501&lt;I$505,"Below","At")),"-")</f>
        <v>Above</v>
      </c>
      <c r="O501" s="34" t="str">
        <f aca="false">IF(N501="Above","Better",IF(N501="Below","Weaker","-"))</f>
        <v>Better</v>
      </c>
    </row>
    <row r="502" customFormat="false" ht="15" hidden="false" customHeight="false" outlineLevel="0" collapsed="false">
      <c r="A502" s="18" t="s">
        <v>117</v>
      </c>
      <c r="B502" s="20" t="n">
        <f aca="false">MahindraLog!D112</f>
        <v>22.9671485757766</v>
      </c>
      <c r="C502" s="20" t="n">
        <f aca="false">MahindraLog!E112</f>
        <v>11.0320443482964</v>
      </c>
      <c r="D502" s="20" t="n">
        <f aca="false">MahindraLog!F112</f>
        <v>9.61547482206509</v>
      </c>
      <c r="E502" s="20" t="n">
        <f aca="false">MahindraLog!G112</f>
        <v>7.71038091157168</v>
      </c>
      <c r="F502" s="20" t="n">
        <f aca="false">MahindraLog!H112</f>
        <v>6.61032373474521</v>
      </c>
      <c r="G502" s="20" t="n">
        <f aca="false">MahindraLog!I112</f>
        <v>6.91471612629194</v>
      </c>
      <c r="H502" s="20" t="n">
        <f aca="false">MahindraLog!J112</f>
        <v>6.73975214489991</v>
      </c>
      <c r="I502" s="21" t="n">
        <f aca="false">MahindraLog!K112</f>
        <v>10.2271200948067</v>
      </c>
      <c r="J502" s="34" t="str">
        <f aca="false">IF(AND(ISNUMBER(H502),ISNUMBER(H$505)),IF(H502&gt;H$505,"Above",IF(H502&lt;H$505,"Below","At")),"-")</f>
        <v>Above</v>
      </c>
      <c r="K502" s="34" t="str">
        <f aca="false">IF(J502="Above","Better",IF(J502="Below","Weaker","-"))</f>
        <v>Better</v>
      </c>
      <c r="L502" s="34" t="n">
        <f aca="false">IF(ISNUMBER(H502),RANK(H502,H$493:H$502,0),"-")</f>
        <v>5</v>
      </c>
      <c r="N502" s="34" t="str">
        <f aca="false">IF(AND(ISNUMBER(I502),ISNUMBER(I$505)),IF(I502&gt;I$505,"Above",IF(I502&lt;I$505,"Below","At")),"-")</f>
        <v>Above</v>
      </c>
      <c r="O502" s="34" t="str">
        <f aca="false">IF(N502="Above","Better",IF(N502="Below","Weaker","-"))</f>
        <v>Better</v>
      </c>
    </row>
    <row r="503" customFormat="false" ht="15" hidden="false" customHeight="false" outlineLevel="0" collapsed="false">
      <c r="A503" s="12" t="s">
        <v>176</v>
      </c>
      <c r="B503" s="21" t="n">
        <f aca="false">Industry!D112</f>
        <v>2.57541405636571</v>
      </c>
      <c r="C503" s="21" t="n">
        <f aca="false">Industry!E112</f>
        <v>2.3449611234815</v>
      </c>
      <c r="D503" s="21" t="n">
        <f aca="false">Industry!F112</f>
        <v>3.18120044362455</v>
      </c>
      <c r="E503" s="21" t="n">
        <f aca="false">Industry!G112</f>
        <v>3.44869583634682</v>
      </c>
      <c r="F503" s="21" t="n">
        <f aca="false">Industry!H112</f>
        <v>3.07725839025996</v>
      </c>
      <c r="G503" s="21" t="n">
        <f aca="false">Industry!I112</f>
        <v>2.33223196009091</v>
      </c>
      <c r="H503" s="21" t="n">
        <f aca="false">Industry!J112</f>
        <v>2.52033554446376</v>
      </c>
      <c r="I503" s="21" t="n">
        <f aca="false">Industry!K112</f>
        <v>2.78287105066189</v>
      </c>
    </row>
    <row r="504" customFormat="false" ht="15" hidden="false" customHeight="false" outlineLevel="0" collapsed="false">
      <c r="A504" s="35" t="s">
        <v>177</v>
      </c>
      <c r="B504" s="37" t="n">
        <f aca="false">IFERROR(AVERAGE(B493:B502),"N/M")</f>
        <v>9.69701015466947</v>
      </c>
      <c r="C504" s="37" t="n">
        <f aca="false">IFERROR(AVERAGE(C493:C502),"N/M")</f>
        <v>6.52843551926562</v>
      </c>
      <c r="D504" s="37" t="n">
        <f aca="false">IFERROR(AVERAGE(D493:D502),"N/M")</f>
        <v>12.5617081908185</v>
      </c>
      <c r="E504" s="37" t="n">
        <f aca="false">IFERROR(AVERAGE(E493:E502),"N/M")</f>
        <v>10.8590721486616</v>
      </c>
      <c r="F504" s="37" t="n">
        <f aca="false">IFERROR(AVERAGE(F493:F502),"N/M")</f>
        <v>7.92531344974844</v>
      </c>
      <c r="G504" s="37" t="n">
        <f aca="false">IFERROR(AVERAGE(G493:G502),"N/M")</f>
        <v>10.822869414316</v>
      </c>
      <c r="H504" s="37" t="n">
        <f aca="false">IFERROR(AVERAGE(H493:H502),"N/M")</f>
        <v>11.4274570643195</v>
      </c>
      <c r="I504" s="37" t="n">
        <f aca="false">IFERROR(AVERAGE(I493:I502),"N/M")</f>
        <v>9.97455227739988</v>
      </c>
    </row>
    <row r="505" customFormat="false" ht="15" hidden="false" customHeight="false" outlineLevel="0" collapsed="false">
      <c r="A505" s="35" t="s">
        <v>178</v>
      </c>
      <c r="B505" s="37" t="n">
        <f aca="false">IFERROR(MEDIAN(B493:B502),"N/M")</f>
        <v>4.41833834977982</v>
      </c>
      <c r="C505" s="37" t="n">
        <f aca="false">IFERROR(MEDIAN(C493:C502),"N/M")</f>
        <v>4.08175842975305</v>
      </c>
      <c r="D505" s="37" t="n">
        <f aca="false">IFERROR(MEDIAN(D493:D502),"N/M")</f>
        <v>4.99316103368873</v>
      </c>
      <c r="E505" s="37" t="n">
        <f aca="false">IFERROR(MEDIAN(E493:E502),"N/M")</f>
        <v>5.69466655659721</v>
      </c>
      <c r="F505" s="37" t="n">
        <f aca="false">IFERROR(MEDIAN(F493:F502),"N/M")</f>
        <v>5.41645141511682</v>
      </c>
      <c r="G505" s="37" t="n">
        <f aca="false">IFERROR(MEDIAN(G493:G502),"N/M")</f>
        <v>5.91796020614398</v>
      </c>
      <c r="H505" s="37" t="n">
        <f aca="false">IFERROR(MEDIAN(H493:H502),"N/M")</f>
        <v>5.64996919104167</v>
      </c>
      <c r="I505" s="37" t="n">
        <f aca="false">IFERROR(MEDIAN(I493:I502),"N/M")</f>
        <v>5.02649258545206</v>
      </c>
    </row>
    <row r="506" customFormat="false" ht="15" hidden="false" customHeight="false" outlineLevel="0" collapsed="false">
      <c r="A506" s="35" t="s">
        <v>179</v>
      </c>
      <c r="B506" s="37" t="n">
        <f aca="false">IFERROR(STDEV(B493:B502),"N/M")</f>
        <v>10.5044687111147</v>
      </c>
      <c r="C506" s="37" t="n">
        <f aca="false">IFERROR(STDEV(C493:C502),"N/M")</f>
        <v>6.36411308983683</v>
      </c>
      <c r="D506" s="37" t="n">
        <f aca="false">IFERROR(STDEV(D493:D502),"N/M")</f>
        <v>22.2574104939688</v>
      </c>
      <c r="E506" s="37" t="n">
        <f aca="false">IFERROR(STDEV(E493:E502),"N/M")</f>
        <v>16.448354961105</v>
      </c>
      <c r="F506" s="37" t="n">
        <f aca="false">IFERROR(STDEV(F493:F502),"N/M")</f>
        <v>8.31007827918479</v>
      </c>
      <c r="G506" s="37" t="n">
        <f aca="false">IFERROR(STDEV(G493:G502),"N/M")</f>
        <v>17.8152716521361</v>
      </c>
      <c r="H506" s="37" t="n">
        <f aca="false">IFERROR(STDEV(H493:H502),"N/M")</f>
        <v>18.1673278993585</v>
      </c>
      <c r="I506" s="37" t="n">
        <f aca="false">IFERROR(STDEV(I493:I502),"N/M")</f>
        <v>13.8058320171944</v>
      </c>
    </row>
    <row r="507" customFormat="false" ht="15" hidden="false" customHeight="false" outlineLevel="0" collapsed="false">
      <c r="A507" s="35" t="s">
        <v>102</v>
      </c>
      <c r="B507" s="37" t="n">
        <f aca="false">IFERROR(MIN(B493:B502),"N/M")</f>
        <v>1.08897213260291</v>
      </c>
      <c r="C507" s="37" t="n">
        <f aca="false">IFERROR(MIN(C493:C502),"N/M")</f>
        <v>0.566051307988423</v>
      </c>
      <c r="D507" s="37" t="n">
        <f aca="false">IFERROR(MIN(D493:D502),"N/M")</f>
        <v>0.435143781922955</v>
      </c>
      <c r="E507" s="37" t="n">
        <f aca="false">IFERROR(MIN(E493:E502),"N/M")</f>
        <v>0.572690892095577</v>
      </c>
      <c r="F507" s="37" t="n">
        <f aca="false">IFERROR(MIN(F493:F502),"N/M")</f>
        <v>0.380324090002064</v>
      </c>
      <c r="G507" s="37" t="n">
        <f aca="false">IFERROR(MIN(G493:G502),"N/M")</f>
        <v>0.382699009696008</v>
      </c>
      <c r="H507" s="37" t="n">
        <f aca="false">IFERROR(MIN(H493:H502),"N/M")</f>
        <v>0.666430515357035</v>
      </c>
      <c r="I507" s="37" t="n">
        <f aca="false">IFERROR(MIN(I493:I502),"N/M")</f>
        <v>0.58461596138071</v>
      </c>
    </row>
    <row r="508" customFormat="false" ht="15" hidden="false" customHeight="false" outlineLevel="0" collapsed="false">
      <c r="A508" s="35" t="s">
        <v>103</v>
      </c>
      <c r="B508" s="37" t="n">
        <f aca="false">IFERROR(MAX(B493:B502),"N/M")</f>
        <v>29.9384309831182</v>
      </c>
      <c r="C508" s="37" t="n">
        <f aca="false">IFERROR(MAX(C493:C502),"N/M")</f>
        <v>18.3866374589266</v>
      </c>
      <c r="D508" s="37" t="n">
        <f aca="false">IFERROR(MAX(D493:D502),"N/M")</f>
        <v>74.6945962355799</v>
      </c>
      <c r="E508" s="37" t="n">
        <f aca="false">IFERROR(MAX(E493:E502),"N/M")</f>
        <v>56.42578125</v>
      </c>
      <c r="F508" s="37" t="n">
        <f aca="false">IFERROR(MAX(F493:F502),"N/M")</f>
        <v>29.0169082125604</v>
      </c>
      <c r="G508" s="37" t="n">
        <f aca="false">IFERROR(MAX(G493:G502),"N/M")</f>
        <v>59.7892976588629</v>
      </c>
      <c r="H508" s="37" t="n">
        <f aca="false">IFERROR(MAX(H493:H502),"N/M")</f>
        <v>61.2314270443613</v>
      </c>
      <c r="I508" s="37" t="n">
        <f aca="false">IFERROR(MAX(I493:I502),"N/M")</f>
        <v>47.0690112633442</v>
      </c>
    </row>
    <row r="510" customFormat="false" ht="15" hidden="false" customHeight="false" outlineLevel="0" collapsed="false">
      <c r="A510" s="16" t="s">
        <v>208</v>
      </c>
      <c r="B510" s="17"/>
      <c r="C510" s="17"/>
      <c r="D510" s="17"/>
      <c r="E510" s="17"/>
      <c r="F510" s="17"/>
      <c r="G510" s="17"/>
      <c r="H510" s="17"/>
      <c r="I510" s="17"/>
      <c r="J510" s="17"/>
      <c r="K510" s="17"/>
      <c r="L510" s="17"/>
      <c r="M510" s="17"/>
    </row>
    <row r="511" customFormat="false" ht="15" hidden="false" customHeight="false" outlineLevel="0" collapsed="false">
      <c r="A511" s="18" t="s">
        <v>110</v>
      </c>
      <c r="B511" s="20" t="n">
        <f aca="false">Tiger!D113</f>
        <v>2.62008430017816</v>
      </c>
      <c r="C511" s="20" t="n">
        <f aca="false">Tiger!E113</f>
        <v>1.77677815410669</v>
      </c>
      <c r="D511" s="20" t="n">
        <f aca="false">Tiger!F113</f>
        <v>5.99814724524622</v>
      </c>
      <c r="E511" s="20" t="n">
        <f aca="false">Tiger!G113</f>
        <v>3.59985047350058</v>
      </c>
      <c r="F511" s="20" t="n">
        <f aca="false">Tiger!H113</f>
        <v>1.82644722338363</v>
      </c>
      <c r="G511" s="20" t="n">
        <f aca="false">Tiger!I113</f>
        <v>3.16155274560085</v>
      </c>
      <c r="H511" s="20" t="n">
        <f aca="false">Tiger!J113</f>
        <v>2.49970543954965</v>
      </c>
      <c r="I511" s="21" t="n">
        <f aca="false">Tiger!K113</f>
        <v>3.06893794022368</v>
      </c>
      <c r="J511" s="34" t="str">
        <f aca="false">IF(AND(ISNUMBER(H511),ISNUMBER(H$523)),IF(H511&gt;H$523,"Above",IF(H511&lt;H$523,"Below","At")),"-")</f>
        <v>Above</v>
      </c>
      <c r="K511" s="34" t="str">
        <f aca="false">IF(J511="Above","Better",IF(J511="Below","Weaker","-"))</f>
        <v>Better</v>
      </c>
      <c r="L511" s="34" t="n">
        <f aca="false">IF(ISNUMBER(H511),RANK(H511,H$511:H$520,0),"-")</f>
        <v>1</v>
      </c>
      <c r="N511" s="34" t="str">
        <f aca="false">IF(AND(ISNUMBER(I511),ISNUMBER(I$523)),IF(I511&gt;I$523,"Above",IF(I511&lt;I$523,"Below","At")),"-")</f>
        <v>Above</v>
      </c>
      <c r="O511" s="34" t="str">
        <f aca="false">IF(N511="Above","Better",IF(N511="Below","Weaker","-"))</f>
        <v>Better</v>
      </c>
    </row>
    <row r="512" customFormat="false" ht="15" hidden="false" customHeight="false" outlineLevel="0" collapsed="false">
      <c r="A512" s="18" t="s">
        <v>111</v>
      </c>
      <c r="B512" s="20" t="n">
        <f aca="false">Allcargo!D113</f>
        <v>1.59435548017375</v>
      </c>
      <c r="C512" s="20" t="n">
        <f aca="false">Allcargo!E113</f>
        <v>1.66448790689231</v>
      </c>
      <c r="D512" s="20" t="n">
        <f aca="false">Allcargo!F113</f>
        <v>2.25356218822541</v>
      </c>
      <c r="E512" s="20" t="n">
        <f aca="false">Allcargo!G113</f>
        <v>2.14445272752653</v>
      </c>
      <c r="F512" s="20" t="n">
        <f aca="false">Allcargo!H113</f>
        <v>1.80191505961028</v>
      </c>
      <c r="G512" s="20" t="n">
        <f aca="false">Allcargo!I113</f>
        <v>0.440452446408999</v>
      </c>
      <c r="H512" s="20" t="n">
        <f aca="false">Allcargo!J113</f>
        <v>1.18377911993098</v>
      </c>
      <c r="I512" s="21" t="n">
        <f aca="false">Allcargo!K113</f>
        <v>1.58328641839546</v>
      </c>
      <c r="J512" s="34" t="str">
        <f aca="false">IF(AND(ISNUMBER(H512),ISNUMBER(H$523)),IF(H512&gt;H$523,"Above",IF(H512&lt;H$523,"Below","At")),"-")</f>
        <v>Below</v>
      </c>
      <c r="K512" s="34" t="str">
        <f aca="false">IF(J512="Above","Better",IF(J512="Below","Weaker","-"))</f>
        <v>Weaker</v>
      </c>
      <c r="L512" s="34" t="n">
        <f aca="false">IF(ISNUMBER(H512),RANK(H512,H$511:H$520,0),"-")</f>
        <v>8</v>
      </c>
      <c r="N512" s="34" t="str">
        <f aca="false">IF(AND(ISNUMBER(I512),ISNUMBER(I$523)),IF(I512&gt;I$523,"Above",IF(I512&lt;I$523,"Below","At")),"-")</f>
        <v>Below</v>
      </c>
      <c r="O512" s="34" t="str">
        <f aca="false">IF(N512="Above","Better",IF(N512="Below","Weaker","-"))</f>
        <v>Weaker</v>
      </c>
    </row>
    <row r="513" customFormat="false" ht="15" hidden="false" customHeight="false" outlineLevel="0" collapsed="false">
      <c r="A513" s="18" t="s">
        <v>112</v>
      </c>
      <c r="B513" s="20" t="n">
        <f aca="false">BlueDart!D113</f>
        <v>1.42636762839591</v>
      </c>
      <c r="C513" s="20" t="n">
        <f aca="false">BlueDart!E113</f>
        <v>1.18743206300941</v>
      </c>
      <c r="D513" s="20" t="n">
        <f aca="false">BlueDart!F113</f>
        <v>1.54046233184718</v>
      </c>
      <c r="E513" s="20" t="n">
        <f aca="false">BlueDart!G113</f>
        <v>1.70931623649162</v>
      </c>
      <c r="F513" s="20" t="n">
        <f aca="false">BlueDart!H113</f>
        <v>1.57626489765019</v>
      </c>
      <c r="G513" s="20" t="n">
        <f aca="false">BlueDart!I113</f>
        <v>1.60596659582293</v>
      </c>
      <c r="H513" s="20" t="n">
        <f aca="false">BlueDart!J113</f>
        <v>1.57668484044772</v>
      </c>
      <c r="I513" s="21" t="n">
        <f aca="false">BlueDart!K113</f>
        <v>1.51749922766642</v>
      </c>
      <c r="J513" s="34" t="str">
        <f aca="false">IF(AND(ISNUMBER(H513),ISNUMBER(H$523)),IF(H513&gt;H$523,"Above",IF(H513&lt;H$523,"Below","At")),"-")</f>
        <v>Below</v>
      </c>
      <c r="K513" s="34" t="str">
        <f aca="false">IF(J513="Above","Better",IF(J513="Below","Weaker","-"))</f>
        <v>Weaker</v>
      </c>
      <c r="L513" s="34" t="n">
        <f aca="false">IF(ISNUMBER(H513),RANK(H513,H$511:H$520,0),"-")</f>
        <v>6</v>
      </c>
      <c r="N513" s="34" t="str">
        <f aca="false">IF(AND(ISNUMBER(I513),ISNUMBER(I$523)),IF(I513&gt;I$523,"Above",IF(I513&lt;I$523,"Below","At")),"-")</f>
        <v>Below</v>
      </c>
      <c r="O513" s="34" t="str">
        <f aca="false">IF(N513="Above","Better",IF(N513="Below","Weaker","-"))</f>
        <v>Weaker</v>
      </c>
    </row>
    <row r="514" customFormat="false" ht="15" hidden="false" customHeight="false" outlineLevel="0" collapsed="false">
      <c r="A514" s="18" t="s">
        <v>67</v>
      </c>
      <c r="B514" s="20" t="n">
        <f aca="false">CONCOR!D113</f>
        <v>0.531210369318297</v>
      </c>
      <c r="C514" s="20" t="n">
        <f aca="false">CONCOR!E113</f>
        <v>0.53118097656907</v>
      </c>
      <c r="D514" s="20" t="n">
        <f aca="false">CONCOR!F113</f>
        <v>0.602275790342706</v>
      </c>
      <c r="E514" s="20" t="n">
        <f aca="false">CONCOR!G113</f>
        <v>0.617298615802431</v>
      </c>
      <c r="F514" s="20" t="n">
        <f aca="false">CONCOR!H113</f>
        <v>0.62926522785332</v>
      </c>
      <c r="G514" s="20" t="n">
        <f aca="false">CONCOR!I113</f>
        <v>0.623313281024793</v>
      </c>
      <c r="H514" s="20" t="n">
        <f aca="false">CONCOR!J113</f>
        <v>0.61234665990401</v>
      </c>
      <c r="I514" s="21" t="n">
        <f aca="false">CONCOR!K113</f>
        <v>0.592412988687804</v>
      </c>
      <c r="J514" s="34" t="str">
        <f aca="false">IF(AND(ISNUMBER(H514),ISNUMBER(H$523)),IF(H514&gt;H$523,"Above",IF(H514&lt;H$523,"Below","At")),"-")</f>
        <v>Below</v>
      </c>
      <c r="K514" s="34" t="str">
        <f aca="false">IF(J514="Above","Better",IF(J514="Below","Weaker","-"))</f>
        <v>Weaker</v>
      </c>
      <c r="L514" s="34" t="n">
        <f aca="false">IF(ISNUMBER(H514),RANK(H514,H$511:H$520,0),"-")</f>
        <v>9</v>
      </c>
      <c r="N514" s="34" t="str">
        <f aca="false">IF(AND(ISNUMBER(I514),ISNUMBER(I$523)),IF(I514&gt;I$523,"Above",IF(I514&lt;I$523,"Below","At")),"-")</f>
        <v>Below</v>
      </c>
      <c r="O514" s="34" t="str">
        <f aca="false">IF(N514="Above","Better",IF(N514="Below","Weaker","-"))</f>
        <v>Weaker</v>
      </c>
    </row>
    <row r="515" customFormat="false" ht="15" hidden="false" customHeight="false" outlineLevel="0" collapsed="false">
      <c r="A515" s="18" t="s">
        <v>113</v>
      </c>
      <c r="B515" s="20" t="n">
        <f aca="false">JetFreight!D113</f>
        <v>3.30518191841235</v>
      </c>
      <c r="C515" s="20" t="n">
        <f aca="false">JetFreight!E113</f>
        <v>3.72932573394989</v>
      </c>
      <c r="D515" s="20" t="n">
        <f aca="false">JetFreight!F113</f>
        <v>4.38812566048612</v>
      </c>
      <c r="E515" s="20" t="n">
        <f aca="false">JetFreight!G113</f>
        <v>3.15829764656839</v>
      </c>
      <c r="F515" s="20" t="n">
        <f aca="false">JetFreight!H113</f>
        <v>2.39054312311202</v>
      </c>
      <c r="G515" s="20" t="n">
        <f aca="false">JetFreight!I113</f>
        <v>2.47389444460183</v>
      </c>
      <c r="H515" s="20" t="n">
        <f aca="false">JetFreight!J113</f>
        <v>2.35886539891639</v>
      </c>
      <c r="I515" s="21" t="n">
        <f aca="false">JetFreight!K113</f>
        <v>3.11489056086385</v>
      </c>
      <c r="J515" s="34" t="str">
        <f aca="false">IF(AND(ISNUMBER(H515),ISNUMBER(H$523)),IF(H515&gt;H$523,"Above",IF(H515&lt;H$523,"Below","At")),"-")</f>
        <v>Above</v>
      </c>
      <c r="K515" s="34" t="str">
        <f aca="false">IF(J515="Above","Better",IF(J515="Below","Weaker","-"))</f>
        <v>Better</v>
      </c>
      <c r="L515" s="34" t="n">
        <f aca="false">IF(ISNUMBER(H515),RANK(H515,H$511:H$520,0),"-")</f>
        <v>3</v>
      </c>
      <c r="N515" s="34" t="str">
        <f aca="false">IF(AND(ISNUMBER(I515),ISNUMBER(I$523)),IF(I515&gt;I$523,"Above",IF(I515&lt;I$523,"Below","At")),"-")</f>
        <v>Above</v>
      </c>
      <c r="O515" s="34" t="str">
        <f aca="false">IF(N515="Above","Better",IF(N515="Below","Weaker","-"))</f>
        <v>Better</v>
      </c>
    </row>
    <row r="516" customFormat="false" ht="15" hidden="false" customHeight="false" outlineLevel="0" collapsed="false">
      <c r="A516" s="18" t="s">
        <v>114</v>
      </c>
      <c r="B516" s="20" t="n">
        <f aca="false">Patel!D113</f>
        <v>1.60685460558267</v>
      </c>
      <c r="C516" s="20" t="n">
        <f aca="false">Patel!E113</f>
        <v>1.07280952260608</v>
      </c>
      <c r="D516" s="20" t="n">
        <f aca="false">Patel!F113</f>
        <v>1.26882360904291</v>
      </c>
      <c r="E516" s="20" t="n">
        <f aca="false">Patel!G113</f>
        <v>1.58473804100228</v>
      </c>
      <c r="F516" s="20" t="n">
        <f aca="false">Patel!H113</f>
        <v>1.59559570553832</v>
      </c>
      <c r="G516" s="20" t="n">
        <f aca="false">Patel!I113</f>
        <v>1.90298756108396</v>
      </c>
      <c r="H516" s="20" t="n">
        <f aca="false">Patel!J113</f>
        <v>2.15508085928071</v>
      </c>
      <c r="I516" s="21" t="n">
        <f aca="false">Patel!K113</f>
        <v>1.59812712916242</v>
      </c>
      <c r="J516" s="34" t="str">
        <f aca="false">IF(AND(ISNUMBER(H516),ISNUMBER(H$523)),IF(H516&gt;H$523,"Above",IF(H516&lt;H$523,"Below","At")),"-")</f>
        <v>Above</v>
      </c>
      <c r="K516" s="34" t="str">
        <f aca="false">IF(J516="Above","Better",IF(J516="Below","Weaker","-"))</f>
        <v>Better</v>
      </c>
      <c r="L516" s="34" t="n">
        <f aca="false">IF(ISNUMBER(H516),RANK(H516,H$511:H$520,0),"-")</f>
        <v>4</v>
      </c>
      <c r="N516" s="34" t="str">
        <f aca="false">IF(AND(ISNUMBER(I516),ISNUMBER(I$523)),IF(I516&gt;I$523,"Above",IF(I516&lt;I$523,"Below","At")),"-")</f>
        <v>Below</v>
      </c>
      <c r="O516" s="34" t="str">
        <f aca="false">IF(N516="Above","Better",IF(N516="Below","Weaker","-"))</f>
        <v>Weaker</v>
      </c>
    </row>
    <row r="517" customFormat="false" ht="15" hidden="false" customHeight="false" outlineLevel="0" collapsed="false">
      <c r="A517" s="18" t="s">
        <v>115</v>
      </c>
      <c r="B517" s="20" t="n">
        <f aca="false">Sical!D113</f>
        <v>0.364709636247607</v>
      </c>
      <c r="C517" s="20" t="n">
        <f aca="false">Sical!E113</f>
        <v>0.223935082258782</v>
      </c>
      <c r="D517" s="20" t="n">
        <f aca="false">Sical!F113</f>
        <v>0.211651863715783</v>
      </c>
      <c r="E517" s="20" t="n">
        <f aca="false">Sical!G113</f>
        <v>0.332495261999754</v>
      </c>
      <c r="F517" s="20" t="n">
        <f aca="false">Sical!H113</f>
        <v>0.28334881932652</v>
      </c>
      <c r="G517" s="20" t="n">
        <f aca="false">Sical!I113</f>
        <v>0.272765839712257</v>
      </c>
      <c r="H517" s="20" t="n">
        <f aca="false">Sical!J113</f>
        <v>0.436872748691693</v>
      </c>
      <c r="I517" s="21" t="n">
        <f aca="false">Sical!K113</f>
        <v>0.303682750278914</v>
      </c>
      <c r="J517" s="34" t="str">
        <f aca="false">IF(AND(ISNUMBER(H517),ISNUMBER(H$523)),IF(H517&gt;H$523,"Above",IF(H517&lt;H$523,"Below","At")),"-")</f>
        <v>Below</v>
      </c>
      <c r="K517" s="34" t="str">
        <f aca="false">IF(J517="Above","Better",IF(J517="Below","Weaker","-"))</f>
        <v>Weaker</v>
      </c>
      <c r="L517" s="34" t="n">
        <f aca="false">IF(ISNUMBER(H517),RANK(H517,H$511:H$520,0),"-")</f>
        <v>10</v>
      </c>
      <c r="N517" s="34" t="str">
        <f aca="false">IF(AND(ISNUMBER(I517),ISNUMBER(I$523)),IF(I517&gt;I$523,"Above",IF(I517&lt;I$523,"Below","At")),"-")</f>
        <v>Below</v>
      </c>
      <c r="O517" s="34" t="str">
        <f aca="false">IF(N517="Above","Better",IF(N517="Below","Weaker","-"))</f>
        <v>Weaker</v>
      </c>
    </row>
    <row r="518" customFormat="false" ht="15" hidden="false" customHeight="false" outlineLevel="0" collapsed="false">
      <c r="A518" s="18" t="s">
        <v>86</v>
      </c>
      <c r="B518" s="20" t="n">
        <f aca="false">TCI!D113</f>
        <v>1.64754021344116</v>
      </c>
      <c r="C518" s="20" t="n">
        <f aca="false">TCI!E113</f>
        <v>1.63780452525182</v>
      </c>
      <c r="D518" s="20" t="n">
        <f aca="false">TCI!F113</f>
        <v>1.82779373163126</v>
      </c>
      <c r="E518" s="20" t="n">
        <f aca="false">TCI!G113</f>
        <v>1.9259815577631</v>
      </c>
      <c r="F518" s="20" t="n">
        <f aca="false">TCI!H113</f>
        <v>1.74880005910076</v>
      </c>
      <c r="G518" s="20" t="n">
        <f aca="false">TCI!I113</f>
        <v>1.65277816106545</v>
      </c>
      <c r="H518" s="20" t="n">
        <f aca="false">TCI!J113</f>
        <v>1.53268525489059</v>
      </c>
      <c r="I518" s="21" t="n">
        <f aca="false">TCI!K113</f>
        <v>1.71048335759202</v>
      </c>
      <c r="J518" s="34" t="str">
        <f aca="false">IF(AND(ISNUMBER(H518),ISNUMBER(H$523)),IF(H518&gt;H$523,"Above",IF(H518&lt;H$523,"Below","At")),"-")</f>
        <v>Below</v>
      </c>
      <c r="K518" s="34" t="str">
        <f aca="false">IF(J518="Above","Better",IF(J518="Below","Weaker","-"))</f>
        <v>Weaker</v>
      </c>
      <c r="L518" s="34" t="n">
        <f aca="false">IF(ISNUMBER(H518),RANK(H518,H$511:H$520,0),"-")</f>
        <v>7</v>
      </c>
      <c r="N518" s="34" t="str">
        <f aca="false">IF(AND(ISNUMBER(I518),ISNUMBER(I$523)),IF(I518&gt;I$523,"Above",IF(I518&lt;I$523,"Below","At")),"-")</f>
        <v>Above</v>
      </c>
      <c r="O518" s="34" t="str">
        <f aca="false">IF(N518="Above","Better",IF(N518="Below","Weaker","-"))</f>
        <v>Better</v>
      </c>
    </row>
    <row r="519" customFormat="false" ht="15" hidden="false" customHeight="false" outlineLevel="0" collapsed="false">
      <c r="A519" s="18" t="s">
        <v>116</v>
      </c>
      <c r="B519" s="20" t="n">
        <f aca="false">Shreeji!D113</f>
        <v>1.46072637939048</v>
      </c>
      <c r="C519" s="20" t="n">
        <f aca="false">Shreeji!E113</f>
        <v>1.34172193640364</v>
      </c>
      <c r="D519" s="20" t="n">
        <f aca="false">Shreeji!F113</f>
        <v>1.90872530162616</v>
      </c>
      <c r="E519" s="20" t="n">
        <f aca="false">Shreeji!G113</f>
        <v>1.91958815958816</v>
      </c>
      <c r="F519" s="20" t="n">
        <f aca="false">Shreeji!H113</f>
        <v>2.22607304718742</v>
      </c>
      <c r="G519" s="20" t="n">
        <f aca="false">Shreeji!I113</f>
        <v>1.87076766217766</v>
      </c>
      <c r="H519" s="20" t="n">
        <f aca="false">Shreeji!J113</f>
        <v>1.99812374738817</v>
      </c>
      <c r="I519" s="21" t="n">
        <f aca="false">Shreeji!K113</f>
        <v>1.81796089053738</v>
      </c>
      <c r="J519" s="34" t="str">
        <f aca="false">IF(AND(ISNUMBER(H519),ISNUMBER(H$523)),IF(H519&gt;H$523,"Above",IF(H519&lt;H$523,"Below","At")),"-")</f>
        <v>Above</v>
      </c>
      <c r="K519" s="34" t="str">
        <f aca="false">IF(J519="Above","Better",IF(J519="Below","Weaker","-"))</f>
        <v>Better</v>
      </c>
      <c r="L519" s="34" t="n">
        <f aca="false">IF(ISNUMBER(H519),RANK(H519,H$511:H$520,0),"-")</f>
        <v>5</v>
      </c>
      <c r="N519" s="34" t="str">
        <f aca="false">IF(AND(ISNUMBER(I519),ISNUMBER(I$523)),IF(I519&gt;I$523,"Above",IF(I519&lt;I$523,"Below","At")),"-")</f>
        <v>Above</v>
      </c>
      <c r="O519" s="34" t="str">
        <f aca="false">IF(N519="Above","Better",IF(N519="Below","Weaker","-"))</f>
        <v>Better</v>
      </c>
    </row>
    <row r="520" customFormat="false" ht="15" hidden="false" customHeight="false" outlineLevel="0" collapsed="false">
      <c r="A520" s="18" t="s">
        <v>117</v>
      </c>
      <c r="B520" s="20" t="n">
        <f aca="false">MahindraLog!D113</f>
        <v>2.64271493557167</v>
      </c>
      <c r="C520" s="20" t="n">
        <f aca="false">MahindraLog!E113</f>
        <v>2.09968572779588</v>
      </c>
      <c r="D520" s="20" t="n">
        <f aca="false">MahindraLog!F113</f>
        <v>2.26124613296854</v>
      </c>
      <c r="E520" s="20" t="n">
        <f aca="false">MahindraLog!G113</f>
        <v>2.26495567951453</v>
      </c>
      <c r="F520" s="20" t="n">
        <f aca="false">MahindraLog!H113</f>
        <v>2.18919155331661</v>
      </c>
      <c r="G520" s="20" t="n">
        <f aca="false">MahindraLog!I113</f>
        <v>2.41488528481013</v>
      </c>
      <c r="H520" s="20" t="n">
        <f aca="false">MahindraLog!J113</f>
        <v>2.46289020920826</v>
      </c>
      <c r="I520" s="21" t="n">
        <f aca="false">MahindraLog!K113</f>
        <v>2.33365278902652</v>
      </c>
      <c r="J520" s="34" t="str">
        <f aca="false">IF(AND(ISNUMBER(H520),ISNUMBER(H$523)),IF(H520&gt;H$523,"Above",IF(H520&lt;H$523,"Below","At")),"-")</f>
        <v>Above</v>
      </c>
      <c r="K520" s="34" t="str">
        <f aca="false">IF(J520="Above","Better",IF(J520="Below","Weaker","-"))</f>
        <v>Better</v>
      </c>
      <c r="L520" s="34" t="n">
        <f aca="false">IF(ISNUMBER(H520),RANK(H520,H$511:H$520,0),"-")</f>
        <v>2</v>
      </c>
      <c r="N520" s="34" t="str">
        <f aca="false">IF(AND(ISNUMBER(I520),ISNUMBER(I$523)),IF(I520&gt;I$523,"Above",IF(I520&lt;I$523,"Below","At")),"-")</f>
        <v>Above</v>
      </c>
      <c r="O520" s="34" t="str">
        <f aca="false">IF(N520="Above","Better",IF(N520="Below","Weaker","-"))</f>
        <v>Better</v>
      </c>
    </row>
    <row r="521" customFormat="false" ht="15" hidden="false" customHeight="false" outlineLevel="0" collapsed="false">
      <c r="A521" s="12" t="s">
        <v>176</v>
      </c>
      <c r="B521" s="21" t="n">
        <f aca="false">Industry!D113</f>
        <v>0.998420014854898</v>
      </c>
      <c r="C521" s="21" t="n">
        <f aca="false">Industry!E113</f>
        <v>1.01701044879171</v>
      </c>
      <c r="D521" s="21" t="n">
        <f aca="false">Industry!F113</f>
        <v>1.35528683693451</v>
      </c>
      <c r="E521" s="21" t="n">
        <f aca="false">Industry!G113</f>
        <v>1.37244539926846</v>
      </c>
      <c r="F521" s="21" t="n">
        <f aca="false">Industry!H113</f>
        <v>1.24067414532106</v>
      </c>
      <c r="G521" s="21" t="n">
        <f aca="false">Industry!I113</f>
        <v>0.99819894131503</v>
      </c>
      <c r="H521" s="21" t="n">
        <f aca="false">Industry!J113</f>
        <v>1.110171846003</v>
      </c>
      <c r="I521" s="21" t="n">
        <f aca="false">Industry!K113</f>
        <v>1.1560296617841</v>
      </c>
    </row>
    <row r="522" customFormat="false" ht="15" hidden="false" customHeight="false" outlineLevel="0" collapsed="false">
      <c r="A522" s="35" t="s">
        <v>177</v>
      </c>
      <c r="B522" s="37" t="n">
        <f aca="false">IFERROR(AVERAGE(B511:B520),"N/M")</f>
        <v>1.7199745466712</v>
      </c>
      <c r="C522" s="37" t="n">
        <f aca="false">IFERROR(AVERAGE(C511:C520),"N/M")</f>
        <v>1.52651616288436</v>
      </c>
      <c r="D522" s="37" t="n">
        <f aca="false">IFERROR(AVERAGE(D511:D520),"N/M")</f>
        <v>2.22608138551323</v>
      </c>
      <c r="E522" s="37" t="n">
        <f aca="false">IFERROR(AVERAGE(E511:E520),"N/M")</f>
        <v>1.92569743997574</v>
      </c>
      <c r="F522" s="37" t="n">
        <f aca="false">IFERROR(AVERAGE(F511:F520),"N/M")</f>
        <v>1.62674447160791</v>
      </c>
      <c r="G522" s="37" t="n">
        <f aca="false">IFERROR(AVERAGE(G511:G520),"N/M")</f>
        <v>1.64193640223089</v>
      </c>
      <c r="H522" s="37" t="n">
        <f aca="false">IFERROR(AVERAGE(H511:H520),"N/M")</f>
        <v>1.68170342782082</v>
      </c>
      <c r="I522" s="37" t="n">
        <f aca="false">IFERROR(AVERAGE(I511:I520),"N/M")</f>
        <v>1.76409340524345</v>
      </c>
    </row>
    <row r="523" customFormat="false" ht="15" hidden="false" customHeight="false" outlineLevel="0" collapsed="false">
      <c r="A523" s="35" t="s">
        <v>178</v>
      </c>
      <c r="B523" s="37" t="n">
        <f aca="false">IFERROR(MEDIAN(B511:B520),"N/M")</f>
        <v>1.60060504287821</v>
      </c>
      <c r="C523" s="37" t="n">
        <f aca="false">IFERROR(MEDIAN(C511:C520),"N/M")</f>
        <v>1.48976323082773</v>
      </c>
      <c r="D523" s="37" t="n">
        <f aca="false">IFERROR(MEDIAN(D511:D520),"N/M")</f>
        <v>1.86825951662871</v>
      </c>
      <c r="E523" s="37" t="n">
        <f aca="false">IFERROR(MEDIAN(E511:E520),"N/M")</f>
        <v>1.92278485867563</v>
      </c>
      <c r="F523" s="37" t="n">
        <f aca="false">IFERROR(MEDIAN(F511:F520),"N/M")</f>
        <v>1.77535755935552</v>
      </c>
      <c r="G523" s="37" t="n">
        <f aca="false">IFERROR(MEDIAN(G511:G520),"N/M")</f>
        <v>1.76177291162156</v>
      </c>
      <c r="H523" s="37" t="n">
        <f aca="false">IFERROR(MEDIAN(H511:H520),"N/M")</f>
        <v>1.78740429391795</v>
      </c>
      <c r="I523" s="37" t="n">
        <f aca="false">IFERROR(MEDIAN(I511:I520),"N/M")</f>
        <v>1.65430524337722</v>
      </c>
    </row>
    <row r="524" customFormat="false" ht="15" hidden="false" customHeight="false" outlineLevel="0" collapsed="false">
      <c r="A524" s="35" t="s">
        <v>179</v>
      </c>
      <c r="B524" s="37" t="n">
        <f aca="false">IFERROR(STDEV(B511:B520),"N/M")</f>
        <v>0.919641880186678</v>
      </c>
      <c r="C524" s="37" t="n">
        <f aca="false">IFERROR(STDEV(C511:C520),"N/M")</f>
        <v>0.961326165923035</v>
      </c>
      <c r="D524" s="37" t="n">
        <f aca="false">IFERROR(STDEV(D511:D520),"N/M")</f>
        <v>1.73990238668922</v>
      </c>
      <c r="E524" s="37" t="n">
        <f aca="false">IFERROR(STDEV(E511:E520),"N/M")</f>
        <v>0.994336958418016</v>
      </c>
      <c r="F524" s="37" t="n">
        <f aca="false">IFERROR(STDEV(F511:F520),"N/M")</f>
        <v>0.678854303218034</v>
      </c>
      <c r="G524" s="37" t="n">
        <f aca="false">IFERROR(STDEV(G511:G520),"N/M")</f>
        <v>0.947308796455572</v>
      </c>
      <c r="H524" s="37" t="n">
        <f aca="false">IFERROR(STDEV(H511:H520),"N/M")</f>
        <v>0.748066223872596</v>
      </c>
      <c r="I524" s="37" t="n">
        <f aca="false">IFERROR(STDEV(I511:I520),"N/M")</f>
        <v>0.911904282886123</v>
      </c>
    </row>
    <row r="525" customFormat="false" ht="15" hidden="false" customHeight="false" outlineLevel="0" collapsed="false">
      <c r="A525" s="35" t="s">
        <v>102</v>
      </c>
      <c r="B525" s="37" t="n">
        <f aca="false">IFERROR(MIN(B511:B520),"N/M")</f>
        <v>0.364709636247607</v>
      </c>
      <c r="C525" s="37" t="n">
        <f aca="false">IFERROR(MIN(C511:C520),"N/M")</f>
        <v>0.223935082258782</v>
      </c>
      <c r="D525" s="37" t="n">
        <f aca="false">IFERROR(MIN(D511:D520),"N/M")</f>
        <v>0.211651863715783</v>
      </c>
      <c r="E525" s="37" t="n">
        <f aca="false">IFERROR(MIN(E511:E520),"N/M")</f>
        <v>0.332495261999754</v>
      </c>
      <c r="F525" s="37" t="n">
        <f aca="false">IFERROR(MIN(F511:F520),"N/M")</f>
        <v>0.28334881932652</v>
      </c>
      <c r="G525" s="37" t="n">
        <f aca="false">IFERROR(MIN(G511:G520),"N/M")</f>
        <v>0.272765839712257</v>
      </c>
      <c r="H525" s="37" t="n">
        <f aca="false">IFERROR(MIN(H511:H520),"N/M")</f>
        <v>0.436872748691693</v>
      </c>
      <c r="I525" s="37" t="n">
        <f aca="false">IFERROR(MIN(I511:I520),"N/M")</f>
        <v>0.303682750278914</v>
      </c>
    </row>
    <row r="526" customFormat="false" ht="15" hidden="false" customHeight="false" outlineLevel="0" collapsed="false">
      <c r="A526" s="35" t="s">
        <v>103</v>
      </c>
      <c r="B526" s="37" t="n">
        <f aca="false">IFERROR(MAX(B511:B520),"N/M")</f>
        <v>3.30518191841235</v>
      </c>
      <c r="C526" s="37" t="n">
        <f aca="false">IFERROR(MAX(C511:C520),"N/M")</f>
        <v>3.72932573394989</v>
      </c>
      <c r="D526" s="37" t="n">
        <f aca="false">IFERROR(MAX(D511:D520),"N/M")</f>
        <v>5.99814724524622</v>
      </c>
      <c r="E526" s="37" t="n">
        <f aca="false">IFERROR(MAX(E511:E520),"N/M")</f>
        <v>3.59985047350058</v>
      </c>
      <c r="F526" s="37" t="n">
        <f aca="false">IFERROR(MAX(F511:F520),"N/M")</f>
        <v>2.39054312311202</v>
      </c>
      <c r="G526" s="37" t="n">
        <f aca="false">IFERROR(MAX(G511:G520),"N/M")</f>
        <v>3.16155274560085</v>
      </c>
      <c r="H526" s="37" t="n">
        <f aca="false">IFERROR(MAX(H511:H520),"N/M")</f>
        <v>2.49970543954965</v>
      </c>
      <c r="I526" s="37" t="n">
        <f aca="false">IFERROR(MAX(I511:I520),"N/M")</f>
        <v>3.11489056086385</v>
      </c>
    </row>
    <row r="528" customFormat="false" ht="15" hidden="false" customHeight="false" outlineLevel="0" collapsed="false">
      <c r="A528" s="16" t="s">
        <v>209</v>
      </c>
      <c r="B528" s="17"/>
      <c r="C528" s="17"/>
      <c r="D528" s="17"/>
      <c r="E528" s="17"/>
      <c r="F528" s="17"/>
      <c r="G528" s="17"/>
      <c r="H528" s="17"/>
      <c r="I528" s="17"/>
      <c r="J528" s="17"/>
      <c r="K528" s="17"/>
      <c r="L528" s="17"/>
      <c r="M528" s="17"/>
    </row>
    <row r="529" customFormat="false" ht="15" hidden="false" customHeight="false" outlineLevel="0" collapsed="false">
      <c r="A529" s="18" t="s">
        <v>110</v>
      </c>
      <c r="B529" s="20" t="n">
        <f aca="false">Tiger!D114</f>
        <v>3.17380776923887</v>
      </c>
      <c r="C529" s="20" t="n">
        <f aca="false">Tiger!E114</f>
        <v>2.29471669742328</v>
      </c>
      <c r="D529" s="20" t="n">
        <f aca="false">Tiger!F114</f>
        <v>9.36454289411586</v>
      </c>
      <c r="E529" s="20" t="n">
        <f aca="false">Tiger!G114</f>
        <v>5.03719632686272</v>
      </c>
      <c r="F529" s="20" t="n">
        <f aca="false">Tiger!H114</f>
        <v>2.17922902494331</v>
      </c>
      <c r="G529" s="20" t="n">
        <f aca="false">Tiger!I114</f>
        <v>3.62923363221113</v>
      </c>
      <c r="H529" s="20" t="n">
        <f aca="false">Tiger!J114</f>
        <v>2.98841819699499</v>
      </c>
      <c r="I529" s="21" t="n">
        <f aca="false">Tiger!K114</f>
        <v>4.09530636311288</v>
      </c>
      <c r="J529" s="34" t="str">
        <f aca="false">IF(AND(ISNUMBER(H529),ISNUMBER(H$541)),IF(H529&gt;H$541,"Above",IF(H529&lt;H$541,"Below","At")),"-")</f>
        <v>Above</v>
      </c>
      <c r="K529" s="34" t="str">
        <f aca="false">IF(J529="Above","Better",IF(J529="Below","Weaker","-"))</f>
        <v>Better</v>
      </c>
      <c r="L529" s="34" t="n">
        <f aca="false">IF(ISNUMBER(H529),RANK(H529,H$529:H$538,0),"-")</f>
        <v>3</v>
      </c>
      <c r="N529" s="34" t="str">
        <f aca="false">IF(AND(ISNUMBER(I529),ISNUMBER(I$541)),IF(I529&gt;I$541,"Above",IF(I529&lt;I$541,"Below","At")),"-")</f>
        <v>Above</v>
      </c>
      <c r="O529" s="34" t="str">
        <f aca="false">IF(N529="Above","Better",IF(N529="Below","Weaker","-"))</f>
        <v>Better</v>
      </c>
    </row>
    <row r="530" customFormat="false" ht="15" hidden="false" customHeight="false" outlineLevel="0" collapsed="false">
      <c r="A530" s="18" t="s">
        <v>111</v>
      </c>
      <c r="B530" s="20" t="n">
        <f aca="false">Allcargo!D114</f>
        <v>2.31521290375446</v>
      </c>
      <c r="C530" s="20" t="n">
        <f aca="false">Allcargo!E114</f>
        <v>2.59277965410999</v>
      </c>
      <c r="D530" s="20" t="n">
        <f aca="false">Allcargo!F114</f>
        <v>3.87914098319288</v>
      </c>
      <c r="E530" s="20" t="n">
        <f aca="false">Allcargo!G114</f>
        <v>3.81107783451338</v>
      </c>
      <c r="F530" s="20" t="n">
        <f aca="false">Allcargo!H114</f>
        <v>3.10200215511829</v>
      </c>
      <c r="G530" s="20" t="n">
        <f aca="false">Allcargo!I114</f>
        <v>0.686772536803268</v>
      </c>
      <c r="H530" s="20" t="n">
        <f aca="false">Allcargo!J114</f>
        <v>1.57701149425287</v>
      </c>
      <c r="I530" s="21" t="n">
        <f aca="false">Allcargo!K114</f>
        <v>2.56628536596359</v>
      </c>
      <c r="J530" s="34" t="str">
        <f aca="false">IF(AND(ISNUMBER(H530),ISNUMBER(H$541)),IF(H530&gt;H$541,"Above",IF(H530&lt;H$541,"Below","At")),"-")</f>
        <v>Below</v>
      </c>
      <c r="K530" s="34" t="str">
        <f aca="false">IF(J530="Above","Better",IF(J530="Below","Weaker","-"))</f>
        <v>Weaker</v>
      </c>
      <c r="L530" s="34" t="n">
        <f aca="false">IF(ISNUMBER(H530),RANK(H530,H$529:H$538,0),"-")</f>
        <v>8</v>
      </c>
      <c r="N530" s="34" t="str">
        <f aca="false">IF(AND(ISNUMBER(I530),ISNUMBER(I$541)),IF(I530&gt;I$541,"Above",IF(I530&lt;I$541,"Below","At")),"-")</f>
        <v>Above</v>
      </c>
      <c r="O530" s="34" t="str">
        <f aca="false">IF(N530="Above","Better",IF(N530="Below","Weaker","-"))</f>
        <v>Better</v>
      </c>
    </row>
    <row r="531" customFormat="false" ht="15" hidden="false" customHeight="false" outlineLevel="0" collapsed="false">
      <c r="A531" s="18" t="s">
        <v>112</v>
      </c>
      <c r="B531" s="20" t="n">
        <f aca="false">BlueDart!D114</f>
        <v>2.92472930090318</v>
      </c>
      <c r="C531" s="20" t="n">
        <f aca="false">BlueDart!E114</f>
        <v>2.09773073806835</v>
      </c>
      <c r="D531" s="20" t="n">
        <f aca="false">BlueDart!F114</f>
        <v>2.1769232287934</v>
      </c>
      <c r="E531" s="20" t="n">
        <f aca="false">BlueDart!G114</f>
        <v>2.44109089278677</v>
      </c>
      <c r="F531" s="20" t="n">
        <f aca="false">BlueDart!H114</f>
        <v>2.22275059494675</v>
      </c>
      <c r="G531" s="20" t="n">
        <f aca="false">BlueDart!I114</f>
        <v>2.28521548064919</v>
      </c>
      <c r="H531" s="20" t="n">
        <f aca="false">BlueDart!J114</f>
        <v>2.23925203655219</v>
      </c>
      <c r="I531" s="21" t="n">
        <f aca="false">BlueDart!K114</f>
        <v>2.34109889609998</v>
      </c>
      <c r="J531" s="34" t="str">
        <f aca="false">IF(AND(ISNUMBER(H531),ISNUMBER(H$541)),IF(H531&gt;H$541,"Above",IF(H531&lt;H$541,"Below","At")),"-")</f>
        <v>Below</v>
      </c>
      <c r="K531" s="34" t="str">
        <f aca="false">IF(J531="Above","Better",IF(J531="Below","Weaker","-"))</f>
        <v>Weaker</v>
      </c>
      <c r="L531" s="34" t="n">
        <f aca="false">IF(ISNUMBER(H531),RANK(H531,H$529:H$538,0),"-")</f>
        <v>6</v>
      </c>
      <c r="N531" s="34" t="str">
        <f aca="false">IF(AND(ISNUMBER(I531),ISNUMBER(I$541)),IF(I531&gt;I$541,"Above",IF(I531&lt;I$541,"Below","At")),"-")</f>
        <v>Above</v>
      </c>
      <c r="O531" s="34" t="str">
        <f aca="false">IF(N531="Above","Better",IF(N531="Below","Weaker","-"))</f>
        <v>Better</v>
      </c>
    </row>
    <row r="532" customFormat="false" ht="15" hidden="false" customHeight="false" outlineLevel="0" collapsed="false">
      <c r="A532" s="18" t="s">
        <v>67</v>
      </c>
      <c r="B532" s="20" t="n">
        <f aca="false">CONCOR!D114</f>
        <v>0.615651998476489</v>
      </c>
      <c r="C532" s="20" t="n">
        <f aca="false">CONCOR!E114</f>
        <v>0.61133752078945</v>
      </c>
      <c r="D532" s="20" t="n">
        <f aca="false">CONCOR!F114</f>
        <v>0.683248352083968</v>
      </c>
      <c r="E532" s="20" t="n">
        <f aca="false">CONCOR!G114</f>
        <v>0.695377412696048</v>
      </c>
      <c r="F532" s="20" t="n">
        <f aca="false">CONCOR!H114</f>
        <v>0.698797330919328</v>
      </c>
      <c r="G532" s="20" t="n">
        <f aca="false">CONCOR!I114</f>
        <v>0.683489951674362</v>
      </c>
      <c r="H532" s="20" t="n">
        <f aca="false">CONCOR!J114</f>
        <v>0.668804678038618</v>
      </c>
      <c r="I532" s="21" t="n">
        <f aca="false">CONCOR!K114</f>
        <v>0.665243892096895</v>
      </c>
      <c r="J532" s="34" t="str">
        <f aca="false">IF(AND(ISNUMBER(H532),ISNUMBER(H$541)),IF(H532&gt;H$541,"Above",IF(H532&lt;H$541,"Below","At")),"-")</f>
        <v>Below</v>
      </c>
      <c r="K532" s="34" t="str">
        <f aca="false">IF(J532="Above","Better",IF(J532="Below","Weaker","-"))</f>
        <v>Weaker</v>
      </c>
      <c r="L532" s="34" t="n">
        <f aca="false">IF(ISNUMBER(H532),RANK(H532,H$529:H$538,0),"-")</f>
        <v>9</v>
      </c>
      <c r="N532" s="34" t="str">
        <f aca="false">IF(AND(ISNUMBER(I532),ISNUMBER(I$541)),IF(I532&gt;I$541,"Above",IF(I532&lt;I$541,"Below","At")),"-")</f>
        <v>Below</v>
      </c>
      <c r="O532" s="34" t="str">
        <f aca="false">IF(N532="Above","Better",IF(N532="Below","Weaker","-"))</f>
        <v>Weaker</v>
      </c>
    </row>
    <row r="533" customFormat="false" ht="15" hidden="false" customHeight="false" outlineLevel="0" collapsed="false">
      <c r="A533" s="18" t="s">
        <v>113</v>
      </c>
      <c r="B533" s="20" t="n">
        <f aca="false">JetFreight!D114</f>
        <v>4.84727948904519</v>
      </c>
      <c r="C533" s="20" t="n">
        <f aca="false">JetFreight!E114</f>
        <v>6.47358596229233</v>
      </c>
      <c r="D533" s="20" t="n">
        <f aca="false">JetFreight!F114</f>
        <v>7.23866877971474</v>
      </c>
      <c r="E533" s="20" t="n">
        <f aca="false">JetFreight!G114</f>
        <v>4.23659193736973</v>
      </c>
      <c r="F533" s="20" t="n">
        <f aca="false">JetFreight!H114</f>
        <v>3.21280914702349</v>
      </c>
      <c r="G533" s="20" t="n">
        <f aca="false">JetFreight!I114</f>
        <v>3.51143994531344</v>
      </c>
      <c r="H533" s="20" t="n">
        <f aca="false">JetFreight!J114</f>
        <v>3.20323150719515</v>
      </c>
      <c r="I533" s="21" t="n">
        <f aca="false">JetFreight!K114</f>
        <v>4.67480096685058</v>
      </c>
      <c r="J533" s="34" t="str">
        <f aca="false">IF(AND(ISNUMBER(H533),ISNUMBER(H$541)),IF(H533&gt;H$541,"Above",IF(H533&lt;H$541,"Below","At")),"-")</f>
        <v>Above</v>
      </c>
      <c r="K533" s="34" t="str">
        <f aca="false">IF(J533="Above","Better",IF(J533="Below","Weaker","-"))</f>
        <v>Better</v>
      </c>
      <c r="L533" s="34" t="n">
        <f aca="false">IF(ISNUMBER(H533),RANK(H533,H$529:H$538,0),"-")</f>
        <v>2</v>
      </c>
      <c r="N533" s="34" t="str">
        <f aca="false">IF(AND(ISNUMBER(I533),ISNUMBER(I$541)),IF(I533&gt;I$541,"Above",IF(I533&lt;I$541,"Below","At")),"-")</f>
        <v>Above</v>
      </c>
      <c r="O533" s="34" t="str">
        <f aca="false">IF(N533="Above","Better",IF(N533="Below","Weaker","-"))</f>
        <v>Better</v>
      </c>
    </row>
    <row r="534" customFormat="false" ht="15" hidden="false" customHeight="false" outlineLevel="0" collapsed="false">
      <c r="A534" s="18" t="s">
        <v>114</v>
      </c>
      <c r="B534" s="20" t="n">
        <f aca="false">Patel!D114</f>
        <v>1.80862638935888</v>
      </c>
      <c r="C534" s="20" t="n">
        <f aca="false">Patel!E114</f>
        <v>1.18545617023653</v>
      </c>
      <c r="D534" s="20" t="n">
        <f aca="false">Patel!F114</f>
        <v>1.36399091914547</v>
      </c>
      <c r="E534" s="20" t="n">
        <f aca="false">Patel!G114</f>
        <v>1.77141220280722</v>
      </c>
      <c r="F534" s="20" t="n">
        <f aca="false">Patel!H114</f>
        <v>1.98734610123119</v>
      </c>
      <c r="G534" s="20" t="n">
        <f aca="false">Patel!I114</f>
        <v>2.46380041699619</v>
      </c>
      <c r="H534" s="20" t="n">
        <f aca="false">Patel!J114</f>
        <v>2.70038939926657</v>
      </c>
      <c r="I534" s="21" t="n">
        <f aca="false">Patel!K114</f>
        <v>1.89728879986315</v>
      </c>
      <c r="J534" s="34" t="str">
        <f aca="false">IF(AND(ISNUMBER(H534),ISNUMBER(H$541)),IF(H534&gt;H$541,"Above",IF(H534&lt;H$541,"Below","At")),"-")</f>
        <v>Above</v>
      </c>
      <c r="K534" s="34" t="str">
        <f aca="false">IF(J534="Above","Better",IF(J534="Below","Weaker","-"))</f>
        <v>Better</v>
      </c>
      <c r="L534" s="34" t="n">
        <f aca="false">IF(ISNUMBER(H534),RANK(H534,H$529:H$538,0),"-")</f>
        <v>4</v>
      </c>
      <c r="N534" s="34" t="str">
        <f aca="false">IF(AND(ISNUMBER(I534),ISNUMBER(I$541)),IF(I534&gt;I$541,"Above",IF(I534&lt;I$541,"Below","At")),"-")</f>
        <v>Below</v>
      </c>
      <c r="O534" s="34" t="str">
        <f aca="false">IF(N534="Above","Better",IF(N534="Below","Weaker","-"))</f>
        <v>Weaker</v>
      </c>
    </row>
    <row r="535" customFormat="false" ht="15" hidden="false" customHeight="false" outlineLevel="0" collapsed="false">
      <c r="A535" s="18" t="s">
        <v>115</v>
      </c>
      <c r="B535" s="20" t="n">
        <f aca="false">Sical!D114</f>
        <v>0.531187122736418</v>
      </c>
      <c r="C535" s="20" t="n">
        <f aca="false">Sical!E114</f>
        <v>0.425476372514647</v>
      </c>
      <c r="D535" s="20" t="n">
        <f aca="false">Sical!F114</f>
        <v>0.487309857384308</v>
      </c>
      <c r="E535" s="20" t="n">
        <f aca="false">Sical!G114</f>
        <v>0.571426489554719</v>
      </c>
      <c r="F535" s="20" t="n">
        <f aca="false">Sical!H114</f>
        <v>0.412112287503728</v>
      </c>
      <c r="G535" s="20" t="n">
        <f aca="false">Sical!I114</f>
        <v>0.389499561018437</v>
      </c>
      <c r="H535" s="20" t="n">
        <f aca="false">Sical!J114</f>
        <v>0.632588959872721</v>
      </c>
      <c r="I535" s="21" t="n">
        <f aca="false">Sical!K114</f>
        <v>0.492800092940711</v>
      </c>
      <c r="J535" s="34" t="str">
        <f aca="false">IF(AND(ISNUMBER(H535),ISNUMBER(H$541)),IF(H535&gt;H$541,"Above",IF(H535&lt;H$541,"Below","At")),"-")</f>
        <v>Below</v>
      </c>
      <c r="K535" s="34" t="str">
        <f aca="false">IF(J535="Above","Better",IF(J535="Below","Weaker","-"))</f>
        <v>Weaker</v>
      </c>
      <c r="L535" s="34" t="n">
        <f aca="false">IF(ISNUMBER(H535),RANK(H535,H$529:H$538,0),"-")</f>
        <v>10</v>
      </c>
      <c r="N535" s="34" t="str">
        <f aca="false">IF(AND(ISNUMBER(I535),ISNUMBER(I$541)),IF(I535&gt;I$541,"Above",IF(I535&lt;I$541,"Below","At")),"-")</f>
        <v>Below</v>
      </c>
      <c r="O535" s="34" t="str">
        <f aca="false">IF(N535="Above","Better",IF(N535="Below","Weaker","-"))</f>
        <v>Weaker</v>
      </c>
    </row>
    <row r="536" customFormat="false" ht="15" hidden="false" customHeight="false" outlineLevel="0" collapsed="false">
      <c r="A536" s="18" t="s">
        <v>86</v>
      </c>
      <c r="B536" s="20" t="n">
        <f aca="false">TCI!D114</f>
        <v>1.93565250214551</v>
      </c>
      <c r="C536" s="20" t="n">
        <f aca="false">TCI!E114</f>
        <v>1.92397181038951</v>
      </c>
      <c r="D536" s="20" t="n">
        <f aca="false">TCI!F114</f>
        <v>2.17711193506363</v>
      </c>
      <c r="E536" s="20" t="n">
        <f aca="false">TCI!G114</f>
        <v>2.27853995427945</v>
      </c>
      <c r="F536" s="20" t="n">
        <f aca="false">TCI!H114</f>
        <v>2.01658665651089</v>
      </c>
      <c r="G536" s="20" t="n">
        <f aca="false">TCI!I114</f>
        <v>1.95545165440096</v>
      </c>
      <c r="H536" s="20" t="n">
        <f aca="false">TCI!J114</f>
        <v>1.86417819905213</v>
      </c>
      <c r="I536" s="21" t="n">
        <f aca="false">TCI!K114</f>
        <v>2.02164181597744</v>
      </c>
      <c r="J536" s="34" t="str">
        <f aca="false">IF(AND(ISNUMBER(H536),ISNUMBER(H$541)),IF(H536&gt;H$541,"Above",IF(H536&lt;H$541,"Below","At")),"-")</f>
        <v>Below</v>
      </c>
      <c r="K536" s="34" t="str">
        <f aca="false">IF(J536="Above","Better",IF(J536="Below","Weaker","-"))</f>
        <v>Weaker</v>
      </c>
      <c r="L536" s="34" t="n">
        <f aca="false">IF(ISNUMBER(H536),RANK(H536,H$529:H$538,0),"-")</f>
        <v>7</v>
      </c>
      <c r="N536" s="34" t="str">
        <f aca="false">IF(AND(ISNUMBER(I536),ISNUMBER(I$541)),IF(I536&gt;I$541,"Above",IF(I536&lt;I$541,"Below","At")),"-")</f>
        <v>Below</v>
      </c>
      <c r="O536" s="34" t="str">
        <f aca="false">IF(N536="Above","Better",IF(N536="Below","Weaker","-"))</f>
        <v>Weaker</v>
      </c>
    </row>
    <row r="537" customFormat="false" ht="15" hidden="false" customHeight="false" outlineLevel="0" collapsed="false">
      <c r="A537" s="18" t="s">
        <v>116</v>
      </c>
      <c r="B537" s="20" t="n">
        <f aca="false">Shreeji!D114</f>
        <v>1.6566265060241</v>
      </c>
      <c r="C537" s="20" t="n">
        <f aca="false">Shreeji!E114</f>
        <v>1.51987080466227</v>
      </c>
      <c r="D537" s="20" t="n">
        <f aca="false">Shreeji!F114</f>
        <v>2.20347194186516</v>
      </c>
      <c r="E537" s="20" t="n">
        <f aca="false">Shreeji!G114</f>
        <v>2.27699071812408</v>
      </c>
      <c r="F537" s="20" t="n">
        <f aca="false">Shreeji!H114</f>
        <v>2.64393899414217</v>
      </c>
      <c r="G537" s="20" t="n">
        <f aca="false">Shreeji!I114</f>
        <v>2.19030092016911</v>
      </c>
      <c r="H537" s="20" t="n">
        <f aca="false">Shreeji!J114</f>
        <v>2.36036671368124</v>
      </c>
      <c r="I537" s="21" t="n">
        <f aca="false">Shreeji!K114</f>
        <v>2.1216523712383</v>
      </c>
      <c r="J537" s="34" t="str">
        <f aca="false">IF(AND(ISNUMBER(H537),ISNUMBER(H$541)),IF(H537&gt;H$541,"Above",IF(H537&lt;H$541,"Below","At")),"-")</f>
        <v>Above</v>
      </c>
      <c r="K537" s="34" t="str">
        <f aca="false">IF(J537="Above","Better",IF(J537="Below","Weaker","-"))</f>
        <v>Better</v>
      </c>
      <c r="L537" s="34" t="n">
        <f aca="false">IF(ISNUMBER(H537),RANK(H537,H$529:H$538,0),"-")</f>
        <v>5</v>
      </c>
      <c r="N537" s="34" t="str">
        <f aca="false">IF(AND(ISNUMBER(I537),ISNUMBER(I$541)),IF(I537&gt;I$541,"Above",IF(I537&lt;I$541,"Below","At")),"-")</f>
        <v>Below</v>
      </c>
      <c r="O537" s="34" t="str">
        <f aca="false">IF(N537="Above","Better",IF(N537="Below","Weaker","-"))</f>
        <v>Weaker</v>
      </c>
    </row>
    <row r="538" customFormat="false" ht="15" hidden="false" customHeight="false" outlineLevel="0" collapsed="false">
      <c r="A538" s="18" t="s">
        <v>117</v>
      </c>
      <c r="B538" s="20" t="n">
        <f aca="false">MahindraLog!D114</f>
        <v>5.41574418622793</v>
      </c>
      <c r="C538" s="20" t="n">
        <f aca="false">MahindraLog!E114</f>
        <v>4.122185804773</v>
      </c>
      <c r="D538" s="20" t="n">
        <f aca="false">MahindraLog!F114</f>
        <v>4.63576722420009</v>
      </c>
      <c r="E538" s="20" t="n">
        <f aca="false">MahindraLog!G114</f>
        <v>4.37451697929729</v>
      </c>
      <c r="F538" s="20" t="n">
        <f aca="false">MahindraLog!H114</f>
        <v>4.19106520316044</v>
      </c>
      <c r="G538" s="20" t="n">
        <f aca="false">MahindraLog!I114</f>
        <v>4.80994476879319</v>
      </c>
      <c r="H538" s="20" t="n">
        <f aca="false">MahindraLog!J114</f>
        <v>4.47069644448277</v>
      </c>
      <c r="I538" s="21" t="n">
        <f aca="false">MahindraLog!K114</f>
        <v>4.57427437299067</v>
      </c>
      <c r="J538" s="34" t="str">
        <f aca="false">IF(AND(ISNUMBER(H538),ISNUMBER(H$541)),IF(H538&gt;H$541,"Above",IF(H538&lt;H$541,"Below","At")),"-")</f>
        <v>Above</v>
      </c>
      <c r="K538" s="34" t="str">
        <f aca="false">IF(J538="Above","Better",IF(J538="Below","Weaker","-"))</f>
        <v>Better</v>
      </c>
      <c r="L538" s="34" t="n">
        <f aca="false">IF(ISNUMBER(H538),RANK(H538,H$529:H$538,0),"-")</f>
        <v>1</v>
      </c>
      <c r="N538" s="34" t="str">
        <f aca="false">IF(AND(ISNUMBER(I538),ISNUMBER(I$541)),IF(I538&gt;I$541,"Above",IF(I538&lt;I$541,"Below","At")),"-")</f>
        <v>Above</v>
      </c>
      <c r="O538" s="34" t="str">
        <f aca="false">IF(N538="Above","Better",IF(N538="Below","Weaker","-"))</f>
        <v>Better</v>
      </c>
    </row>
    <row r="539" customFormat="false" ht="15" hidden="false" customHeight="false" outlineLevel="0" collapsed="false">
      <c r="A539" s="12" t="s">
        <v>176</v>
      </c>
      <c r="B539" s="21" t="n">
        <f aca="false">Industry!D114</f>
        <v>1.31662837685087</v>
      </c>
      <c r="C539" s="21" t="n">
        <f aca="false">Industry!E114</f>
        <v>1.38516437868021</v>
      </c>
      <c r="D539" s="21" t="n">
        <f aca="false">Industry!F114</f>
        <v>1.86591423259888</v>
      </c>
      <c r="E539" s="21" t="n">
        <f aca="false">Industry!G114</f>
        <v>1.8633846841704</v>
      </c>
      <c r="F539" s="21" t="n">
        <f aca="false">Industry!H114</f>
        <v>1.62613247168969</v>
      </c>
      <c r="G539" s="21" t="n">
        <f aca="false">Industry!I114</f>
        <v>1.25703693321033</v>
      </c>
      <c r="H539" s="21" t="n">
        <f aca="false">Industry!J114</f>
        <v>1.35617915624317</v>
      </c>
      <c r="I539" s="21" t="n">
        <f aca="false">Industry!K114</f>
        <v>1.52434860477765</v>
      </c>
    </row>
    <row r="540" customFormat="false" ht="15" hidden="false" customHeight="false" outlineLevel="0" collapsed="false">
      <c r="A540" s="35" t="s">
        <v>177</v>
      </c>
      <c r="B540" s="37" t="n">
        <f aca="false">IFERROR(AVERAGE(B529:B538),"N/M")</f>
        <v>2.5224518167911</v>
      </c>
      <c r="C540" s="37" t="n">
        <f aca="false">IFERROR(AVERAGE(C529:C538),"N/M")</f>
        <v>2.32471115352594</v>
      </c>
      <c r="D540" s="37" t="n">
        <f aca="false">IFERROR(AVERAGE(D529:D538),"N/M")</f>
        <v>3.42101761155595</v>
      </c>
      <c r="E540" s="37" t="n">
        <f aca="false">IFERROR(AVERAGE(E529:E538),"N/M")</f>
        <v>2.74942207482914</v>
      </c>
      <c r="F540" s="37" t="n">
        <f aca="false">IFERROR(AVERAGE(F529:F538),"N/M")</f>
        <v>2.26666374954996</v>
      </c>
      <c r="G540" s="37" t="n">
        <f aca="false">IFERROR(AVERAGE(G529:G538),"N/M")</f>
        <v>2.26051488680293</v>
      </c>
      <c r="H540" s="37" t="n">
        <f aca="false">IFERROR(AVERAGE(H529:H538),"N/M")</f>
        <v>2.27049376293893</v>
      </c>
      <c r="I540" s="37" t="n">
        <f aca="false">IFERROR(AVERAGE(I529:I538),"N/M")</f>
        <v>2.54503929371342</v>
      </c>
    </row>
    <row r="541" customFormat="false" ht="15" hidden="false" customHeight="false" outlineLevel="0" collapsed="false">
      <c r="A541" s="35" t="s">
        <v>178</v>
      </c>
      <c r="B541" s="37" t="n">
        <f aca="false">IFERROR(MEDIAN(B529:B538),"N/M")</f>
        <v>2.12543270294998</v>
      </c>
      <c r="C541" s="37" t="n">
        <f aca="false">IFERROR(MEDIAN(C529:C538),"N/M")</f>
        <v>2.01085127422893</v>
      </c>
      <c r="D541" s="37" t="n">
        <f aca="false">IFERROR(MEDIAN(D529:D538),"N/M")</f>
        <v>2.1902919384644</v>
      </c>
      <c r="E541" s="37" t="n">
        <f aca="false">IFERROR(MEDIAN(E529:E538),"N/M")</f>
        <v>2.35981542353311</v>
      </c>
      <c r="F541" s="37" t="n">
        <f aca="false">IFERROR(MEDIAN(F529:F538),"N/M")</f>
        <v>2.20098980994503</v>
      </c>
      <c r="G541" s="37" t="n">
        <f aca="false">IFERROR(MEDIAN(G529:G538),"N/M")</f>
        <v>2.23775820040915</v>
      </c>
      <c r="H541" s="37" t="n">
        <f aca="false">IFERROR(MEDIAN(H529:H538),"N/M")</f>
        <v>2.29980937511672</v>
      </c>
      <c r="I541" s="37" t="n">
        <f aca="false">IFERROR(MEDIAN(I529:I538),"N/M")</f>
        <v>2.23137563366914</v>
      </c>
    </row>
    <row r="542" customFormat="false" ht="15" hidden="false" customHeight="false" outlineLevel="0" collapsed="false">
      <c r="A542" s="35" t="s">
        <v>179</v>
      </c>
      <c r="B542" s="37" t="n">
        <f aca="false">IFERROR(STDEV(B529:B538),"N/M")</f>
        <v>1.61965560238399</v>
      </c>
      <c r="C542" s="37" t="n">
        <f aca="false">IFERROR(STDEV(C529:C538),"N/M")</f>
        <v>1.80176955247709</v>
      </c>
      <c r="D542" s="37" t="n">
        <f aca="false">IFERROR(STDEV(D529:D538),"N/M")</f>
        <v>2.91540576578462</v>
      </c>
      <c r="E542" s="37" t="n">
        <f aca="false">IFERROR(STDEV(E529:E538),"N/M")</f>
        <v>1.55180499413037</v>
      </c>
      <c r="F542" s="37" t="n">
        <f aca="false">IFERROR(STDEV(F529:F538),"N/M")</f>
        <v>1.12971654553033</v>
      </c>
      <c r="G542" s="37" t="n">
        <f aca="false">IFERROR(STDEV(G529:G538),"N/M")</f>
        <v>1.43535117312581</v>
      </c>
      <c r="H542" s="37" t="n">
        <f aca="false">IFERROR(STDEV(H529:H538),"N/M")</f>
        <v>1.16972553981021</v>
      </c>
      <c r="I542" s="37" t="n">
        <f aca="false">IFERROR(STDEV(I529:I538),"N/M")</f>
        <v>1.48013323185583</v>
      </c>
    </row>
    <row r="543" customFormat="false" ht="15" hidden="false" customHeight="false" outlineLevel="0" collapsed="false">
      <c r="A543" s="35" t="s">
        <v>102</v>
      </c>
      <c r="B543" s="37" t="n">
        <f aca="false">IFERROR(MIN(B529:B538),"N/M")</f>
        <v>0.531187122736418</v>
      </c>
      <c r="C543" s="37" t="n">
        <f aca="false">IFERROR(MIN(C529:C538),"N/M")</f>
        <v>0.425476372514647</v>
      </c>
      <c r="D543" s="37" t="n">
        <f aca="false">IFERROR(MIN(D529:D538),"N/M")</f>
        <v>0.487309857384308</v>
      </c>
      <c r="E543" s="37" t="n">
        <f aca="false">IFERROR(MIN(E529:E538),"N/M")</f>
        <v>0.571426489554719</v>
      </c>
      <c r="F543" s="37" t="n">
        <f aca="false">IFERROR(MIN(F529:F538),"N/M")</f>
        <v>0.412112287503728</v>
      </c>
      <c r="G543" s="37" t="n">
        <f aca="false">IFERROR(MIN(G529:G538),"N/M")</f>
        <v>0.389499561018437</v>
      </c>
      <c r="H543" s="37" t="n">
        <f aca="false">IFERROR(MIN(H529:H538),"N/M")</f>
        <v>0.632588959872721</v>
      </c>
      <c r="I543" s="37" t="n">
        <f aca="false">IFERROR(MIN(I529:I538),"N/M")</f>
        <v>0.492800092940711</v>
      </c>
    </row>
    <row r="544" customFormat="false" ht="15" hidden="false" customHeight="false" outlineLevel="0" collapsed="false">
      <c r="A544" s="35" t="s">
        <v>103</v>
      </c>
      <c r="B544" s="37" t="n">
        <f aca="false">IFERROR(MAX(B529:B538),"N/M")</f>
        <v>5.41574418622793</v>
      </c>
      <c r="C544" s="37" t="n">
        <f aca="false">IFERROR(MAX(C529:C538),"N/M")</f>
        <v>6.47358596229233</v>
      </c>
      <c r="D544" s="37" t="n">
        <f aca="false">IFERROR(MAX(D529:D538),"N/M")</f>
        <v>9.36454289411586</v>
      </c>
      <c r="E544" s="37" t="n">
        <f aca="false">IFERROR(MAX(E529:E538),"N/M")</f>
        <v>5.03719632686272</v>
      </c>
      <c r="F544" s="37" t="n">
        <f aca="false">IFERROR(MAX(F529:F538),"N/M")</f>
        <v>4.19106520316044</v>
      </c>
      <c r="G544" s="37" t="n">
        <f aca="false">IFERROR(MAX(G529:G538),"N/M")</f>
        <v>4.80994476879319</v>
      </c>
      <c r="H544" s="37" t="n">
        <f aca="false">IFERROR(MAX(H529:H538),"N/M")</f>
        <v>4.47069644448277</v>
      </c>
      <c r="I544" s="37" t="n">
        <f aca="false">IFERROR(MAX(I529:I538),"N/M")</f>
        <v>4.67480096685058</v>
      </c>
    </row>
    <row r="546" customFormat="false" ht="15" hidden="false" customHeight="false" outlineLevel="0" collapsed="false">
      <c r="A546" s="16" t="s">
        <v>210</v>
      </c>
      <c r="B546" s="17"/>
      <c r="C546" s="17"/>
      <c r="D546" s="17"/>
      <c r="E546" s="17"/>
      <c r="F546" s="17"/>
      <c r="G546" s="17"/>
      <c r="H546" s="17"/>
      <c r="I546" s="17"/>
      <c r="J546" s="17"/>
      <c r="K546" s="17"/>
      <c r="L546" s="17"/>
      <c r="M546" s="17"/>
    </row>
    <row r="547" customFormat="false" ht="15" hidden="false" customHeight="false" outlineLevel="0" collapsed="false">
      <c r="A547" s="18" t="s">
        <v>110</v>
      </c>
      <c r="B547" s="20" t="n">
        <f aca="false">Tiger!D115</f>
        <v>2.87987772842337</v>
      </c>
      <c r="C547" s="20" t="n">
        <f aca="false">Tiger!E115</f>
        <v>1.97204111600587</v>
      </c>
      <c r="D547" s="20" t="n">
        <f aca="false">Tiger!F115</f>
        <v>6.71334242837654</v>
      </c>
      <c r="E547" s="20" t="n">
        <f aca="false">Tiger!G115</f>
        <v>4.03679552864462</v>
      </c>
      <c r="F547" s="20" t="n">
        <f aca="false">Tiger!H115</f>
        <v>2.09076273767567</v>
      </c>
      <c r="G547" s="20" t="n">
        <f aca="false">Tiger!I115</f>
        <v>3.5983092354658</v>
      </c>
      <c r="H547" s="20" t="n">
        <f aca="false">Tiger!J115</f>
        <v>2.76330832871029</v>
      </c>
      <c r="I547" s="21" t="n">
        <f aca="false">Tiger!K115</f>
        <v>3.43634815761459</v>
      </c>
      <c r="J547" s="34" t="str">
        <f aca="false">IF(AND(ISNUMBER(H547),ISNUMBER(H$559)),IF(H547&gt;H$559,"Above",IF(H547&lt;H$559,"Below","At")),"-")</f>
        <v>Above</v>
      </c>
      <c r="K547" s="34" t="str">
        <f aca="false">IF(J547="Above","Better",IF(J547="Below","Weaker","-"))</f>
        <v>Better</v>
      </c>
      <c r="L547" s="34" t="n">
        <f aca="false">IF(ISNUMBER(H547),RANK(H547,H$547:H$556,0),"-")</f>
        <v>5</v>
      </c>
      <c r="N547" s="34" t="str">
        <f aca="false">IF(AND(ISNUMBER(I547),ISNUMBER(I$559)),IF(I547&gt;I$559,"Above",IF(I547&lt;I$559,"Below","At")),"-")</f>
        <v>Above</v>
      </c>
      <c r="O547" s="34" t="str">
        <f aca="false">IF(N547="Above","Better",IF(N547="Below","Weaker","-"))</f>
        <v>Better</v>
      </c>
    </row>
    <row r="548" customFormat="false" ht="15" hidden="false" customHeight="false" outlineLevel="0" collapsed="false">
      <c r="A548" s="18" t="s">
        <v>111</v>
      </c>
      <c r="B548" s="20" t="n">
        <f aca="false">Allcargo!D115</f>
        <v>3.28904210785521</v>
      </c>
      <c r="C548" s="20" t="n">
        <f aca="false">Allcargo!E115</f>
        <v>3.29300501882058</v>
      </c>
      <c r="D548" s="20" t="n">
        <f aca="false">Allcargo!F115</f>
        <v>4.07101074451295</v>
      </c>
      <c r="E548" s="20" t="n">
        <f aca="false">Allcargo!G115</f>
        <v>3.59398466300116</v>
      </c>
      <c r="F548" s="20" t="n">
        <f aca="false">Allcargo!H115</f>
        <v>3.03690910943001</v>
      </c>
      <c r="G548" s="20" t="n">
        <f aca="false">Allcargo!I115</f>
        <v>0.782141176282895</v>
      </c>
      <c r="H548" s="20" t="n">
        <f aca="false">Allcargo!J115</f>
        <v>2.13707165109034</v>
      </c>
      <c r="I548" s="21" t="n">
        <f aca="false">Allcargo!K115</f>
        <v>2.88616635299902</v>
      </c>
      <c r="J548" s="34" t="str">
        <f aca="false">IF(AND(ISNUMBER(H548),ISNUMBER(H$559)),IF(H548&gt;H$559,"Above",IF(H548&lt;H$559,"Below","At")),"-")</f>
        <v>Below</v>
      </c>
      <c r="K548" s="34" t="str">
        <f aca="false">IF(J548="Above","Better",IF(J548="Below","Weaker","-"))</f>
        <v>Weaker</v>
      </c>
      <c r="L548" s="34" t="n">
        <f aca="false">IF(ISNUMBER(H548),RANK(H548,H$547:H$556,0),"-")</f>
        <v>8</v>
      </c>
      <c r="N548" s="34" t="str">
        <f aca="false">IF(AND(ISNUMBER(I548),ISNUMBER(I$559)),IF(I548&gt;I$559,"Above",IF(I548&lt;I$559,"Below","At")),"-")</f>
        <v>Below</v>
      </c>
      <c r="O548" s="34" t="str">
        <f aca="false">IF(N548="Above","Better",IF(N548="Below","Weaker","-"))</f>
        <v>Weaker</v>
      </c>
    </row>
    <row r="549" customFormat="false" ht="15" hidden="false" customHeight="false" outlineLevel="0" collapsed="false">
      <c r="A549" s="18" t="s">
        <v>112</v>
      </c>
      <c r="B549" s="20" t="n">
        <f aca="false">BlueDart!D115</f>
        <v>3.13744923469136</v>
      </c>
      <c r="C549" s="20" t="n">
        <f aca="false">BlueDart!E115</f>
        <v>3.10893120532506</v>
      </c>
      <c r="D549" s="20" t="n">
        <f aca="false">BlueDart!F115</f>
        <v>3.88098747398663</v>
      </c>
      <c r="E549" s="20" t="n">
        <f aca="false">BlueDart!G115</f>
        <v>4.51410816990897</v>
      </c>
      <c r="F549" s="20" t="n">
        <f aca="false">BlueDart!H115</f>
        <v>4.329551291798</v>
      </c>
      <c r="G549" s="20" t="n">
        <f aca="false">BlueDart!I115</f>
        <v>4.32745388040111</v>
      </c>
      <c r="H549" s="20" t="n">
        <f aca="false">BlueDart!J115</f>
        <v>4.0421135776465</v>
      </c>
      <c r="I549" s="21" t="n">
        <f aca="false">BlueDart!K115</f>
        <v>3.90579926196538</v>
      </c>
      <c r="J549" s="34" t="str">
        <f aca="false">IF(AND(ISNUMBER(H549),ISNUMBER(H$559)),IF(H549&gt;H$559,"Above",IF(H549&lt;H$559,"Below","At")),"-")</f>
        <v>Above</v>
      </c>
      <c r="K549" s="34" t="str">
        <f aca="false">IF(J549="Above","Better",IF(J549="Below","Weaker","-"))</f>
        <v>Better</v>
      </c>
      <c r="L549" s="34" t="n">
        <f aca="false">IF(ISNUMBER(H549),RANK(H549,H$547:H$556,0),"-")</f>
        <v>2</v>
      </c>
      <c r="N549" s="34" t="str">
        <f aca="false">IF(AND(ISNUMBER(I549),ISNUMBER(I$559)),IF(I549&gt;I$559,"Above",IF(I549&lt;I$559,"Below","At")),"-")</f>
        <v>Above</v>
      </c>
      <c r="O549" s="34" t="str">
        <f aca="false">IF(N549="Above","Better",IF(N549="Below","Weaker","-"))</f>
        <v>Better</v>
      </c>
    </row>
    <row r="550" customFormat="false" ht="15" hidden="false" customHeight="false" outlineLevel="0" collapsed="false">
      <c r="A550" s="18" t="s">
        <v>67</v>
      </c>
      <c r="B550" s="20" t="n">
        <f aca="false">CONCOR!D115</f>
        <v>1.2163619057908</v>
      </c>
      <c r="C550" s="20" t="n">
        <f aca="false">CONCOR!E115</f>
        <v>1.45034159440812</v>
      </c>
      <c r="D550" s="20" t="n">
        <f aca="false">CONCOR!F115</f>
        <v>1.54898511885485</v>
      </c>
      <c r="E550" s="20" t="n">
        <f aca="false">CONCOR!G115</f>
        <v>1.47039807621694</v>
      </c>
      <c r="F550" s="20" t="n">
        <f aca="false">CONCOR!H115</f>
        <v>1.4644383257489</v>
      </c>
      <c r="G550" s="20" t="n">
        <f aca="false">CONCOR!I115</f>
        <v>1.48768606496455</v>
      </c>
      <c r="H550" s="20" t="n">
        <f aca="false">CONCOR!J115</f>
        <v>1.51920303071883</v>
      </c>
      <c r="I550" s="21" t="n">
        <f aca="false">CONCOR!K115</f>
        <v>1.451059159529</v>
      </c>
      <c r="J550" s="34" t="str">
        <f aca="false">IF(AND(ISNUMBER(H550),ISNUMBER(H$559)),IF(H550&gt;H$559,"Above",IF(H550&lt;H$559,"Below","At")),"-")</f>
        <v>Below</v>
      </c>
      <c r="K550" s="34" t="str">
        <f aca="false">IF(J550="Above","Better",IF(J550="Below","Weaker","-"))</f>
        <v>Weaker</v>
      </c>
      <c r="L550" s="34" t="n">
        <f aca="false">IF(ISNUMBER(H550),RANK(H550,H$547:H$556,0),"-")</f>
        <v>9</v>
      </c>
      <c r="N550" s="34" t="str">
        <f aca="false">IF(AND(ISNUMBER(I550),ISNUMBER(I$559)),IF(I550&gt;I$559,"Above",IF(I550&lt;I$559,"Below","At")),"-")</f>
        <v>Below</v>
      </c>
      <c r="O550" s="34" t="str">
        <f aca="false">IF(N550="Above","Better",IF(N550="Below","Weaker","-"))</f>
        <v>Weaker</v>
      </c>
    </row>
    <row r="551" customFormat="false" ht="15" hidden="false" customHeight="false" outlineLevel="0" collapsed="false">
      <c r="A551" s="18" t="s">
        <v>113</v>
      </c>
      <c r="B551" s="20" t="n">
        <f aca="false">JetFreight!D115</f>
        <v>3.98643617021277</v>
      </c>
      <c r="C551" s="20" t="n">
        <f aca="false">JetFreight!E115</f>
        <v>4.89194526731556</v>
      </c>
      <c r="D551" s="20" t="n">
        <f aca="false">JetFreight!F115</f>
        <v>6.17535320759819</v>
      </c>
      <c r="E551" s="20" t="n">
        <f aca="false">JetFreight!G115</f>
        <v>4.13341930364051</v>
      </c>
      <c r="F551" s="20" t="n">
        <f aca="false">JetFreight!H115</f>
        <v>2.91359230595837</v>
      </c>
      <c r="G551" s="20" t="n">
        <f aca="false">JetFreight!I115</f>
        <v>2.92118819830066</v>
      </c>
      <c r="H551" s="20" t="n">
        <f aca="false">JetFreight!J115</f>
        <v>2.73053155839764</v>
      </c>
      <c r="I551" s="21" t="n">
        <f aca="false">JetFreight!K115</f>
        <v>3.96463800163196</v>
      </c>
      <c r="J551" s="34" t="str">
        <f aca="false">IF(AND(ISNUMBER(H551),ISNUMBER(H$559)),IF(H551&gt;H$559,"Above",IF(H551&lt;H$559,"Below","At")),"-")</f>
        <v>Below</v>
      </c>
      <c r="K551" s="34" t="str">
        <f aca="false">IF(J551="Above","Better",IF(J551="Below","Weaker","-"))</f>
        <v>Weaker</v>
      </c>
      <c r="L551" s="34" t="n">
        <f aca="false">IF(ISNUMBER(H551),RANK(H551,H$547:H$556,0),"-")</f>
        <v>6</v>
      </c>
      <c r="N551" s="34" t="str">
        <f aca="false">IF(AND(ISNUMBER(I551),ISNUMBER(I$559)),IF(I551&gt;I$559,"Above",IF(I551&lt;I$559,"Below","At")),"-")</f>
        <v>Above</v>
      </c>
      <c r="O551" s="34" t="str">
        <f aca="false">IF(N551="Above","Better",IF(N551="Below","Weaker","-"))</f>
        <v>Better</v>
      </c>
    </row>
    <row r="552" customFormat="false" ht="15" hidden="false" customHeight="false" outlineLevel="0" collapsed="false">
      <c r="A552" s="18" t="s">
        <v>114</v>
      </c>
      <c r="B552" s="20" t="n">
        <f aca="false">Patel!D115</f>
        <v>2.37480347255452</v>
      </c>
      <c r="C552" s="20" t="n">
        <f aca="false">Patel!E115</f>
        <v>1.5809467058955</v>
      </c>
      <c r="D552" s="20" t="n">
        <f aca="false">Patel!F115</f>
        <v>1.92784565387305</v>
      </c>
      <c r="E552" s="20" t="n">
        <f aca="false">Patel!G115</f>
        <v>2.44308853869453</v>
      </c>
      <c r="F552" s="20" t="n">
        <f aca="false">Patel!H115</f>
        <v>2.31985308794762</v>
      </c>
      <c r="G552" s="20" t="n">
        <f aca="false">Patel!I115</f>
        <v>2.68408067358528</v>
      </c>
      <c r="H552" s="20" t="n">
        <f aca="false">Patel!J115</f>
        <v>3.1131450488145</v>
      </c>
      <c r="I552" s="21" t="n">
        <f aca="false">Patel!K115</f>
        <v>2.34910902590929</v>
      </c>
      <c r="J552" s="34" t="str">
        <f aca="false">IF(AND(ISNUMBER(H552),ISNUMBER(H$559)),IF(H552&gt;H$559,"Above",IF(H552&lt;H$559,"Below","At")),"-")</f>
        <v>Above</v>
      </c>
      <c r="K552" s="34" t="str">
        <f aca="false">IF(J552="Above","Better",IF(J552="Below","Weaker","-"))</f>
        <v>Better</v>
      </c>
      <c r="L552" s="34" t="n">
        <f aca="false">IF(ISNUMBER(H552),RANK(H552,H$547:H$556,0),"-")</f>
        <v>4</v>
      </c>
      <c r="N552" s="34" t="str">
        <f aca="false">IF(AND(ISNUMBER(I552),ISNUMBER(I$559)),IF(I552&gt;I$559,"Above",IF(I552&lt;I$559,"Below","At")),"-")</f>
        <v>Below</v>
      </c>
      <c r="O552" s="34" t="str">
        <f aca="false">IF(N552="Above","Better",IF(N552="Below","Weaker","-"))</f>
        <v>Weaker</v>
      </c>
    </row>
    <row r="553" customFormat="false" ht="15" hidden="false" customHeight="false" outlineLevel="0" collapsed="false">
      <c r="A553" s="18" t="s">
        <v>115</v>
      </c>
      <c r="B553" s="20" t="n">
        <f aca="false">Sical!D115</f>
        <v>1.51014555854997</v>
      </c>
      <c r="C553" s="20" t="n">
        <f aca="false">Sical!E115</f>
        <v>0.982692682926829</v>
      </c>
      <c r="D553" s="20" t="n">
        <f aca="false">Sical!F115</f>
        <v>0.791995368846411</v>
      </c>
      <c r="E553" s="20" t="n">
        <f aca="false">Sical!G115</f>
        <v>1.35275650313945</v>
      </c>
      <c r="F553" s="20" t="n">
        <f aca="false">Sical!H115</f>
        <v>1.14385492924955</v>
      </c>
      <c r="G553" s="20" t="n">
        <f aca="false">Sical!I115</f>
        <v>1.09931608682724</v>
      </c>
      <c r="H553" s="20" t="n">
        <f aca="false">Sical!J115</f>
        <v>1.44125560538117</v>
      </c>
      <c r="I553" s="21" t="n">
        <f aca="false">Sical!K115</f>
        <v>1.18885953356009</v>
      </c>
      <c r="J553" s="34" t="str">
        <f aca="false">IF(AND(ISNUMBER(H553),ISNUMBER(H$559)),IF(H553&gt;H$559,"Above",IF(H553&lt;H$559,"Below","At")),"-")</f>
        <v>Below</v>
      </c>
      <c r="K553" s="34" t="str">
        <f aca="false">IF(J553="Above","Better",IF(J553="Below","Weaker","-"))</f>
        <v>Weaker</v>
      </c>
      <c r="L553" s="34" t="n">
        <f aca="false">IF(ISNUMBER(H553),RANK(H553,H$547:H$556,0),"-")</f>
        <v>10</v>
      </c>
      <c r="N553" s="34" t="str">
        <f aca="false">IF(AND(ISNUMBER(I553),ISNUMBER(I$559)),IF(I553&gt;I$559,"Above",IF(I553&lt;I$559,"Below","At")),"-")</f>
        <v>Below</v>
      </c>
      <c r="O553" s="34" t="str">
        <f aca="false">IF(N553="Above","Better",IF(N553="Below","Weaker","-"))</f>
        <v>Weaker</v>
      </c>
    </row>
    <row r="554" customFormat="false" ht="15" hidden="false" customHeight="false" outlineLevel="0" collapsed="false">
      <c r="A554" s="18" t="s">
        <v>86</v>
      </c>
      <c r="B554" s="20" t="n">
        <f aca="false">TCI!D115</f>
        <v>3.56908449825672</v>
      </c>
      <c r="C554" s="20" t="n">
        <f aca="false">TCI!E115</f>
        <v>3.6545365631011</v>
      </c>
      <c r="D554" s="20" t="n">
        <f aca="false">TCI!F115</f>
        <v>4.06170816065809</v>
      </c>
      <c r="E554" s="20" t="n">
        <f aca="false">TCI!G115</f>
        <v>4.1488285877243</v>
      </c>
      <c r="F554" s="20" t="n">
        <f aca="false">TCI!H115</f>
        <v>4.05311820159536</v>
      </c>
      <c r="G554" s="20" t="n">
        <f aca="false">TCI!I115</f>
        <v>3.91927229893332</v>
      </c>
      <c r="H554" s="20" t="n">
        <f aca="false">TCI!J115</f>
        <v>3.55833864057434</v>
      </c>
      <c r="I554" s="21" t="n">
        <f aca="false">TCI!K115</f>
        <v>3.85212670726332</v>
      </c>
      <c r="J554" s="34" t="str">
        <f aca="false">IF(AND(ISNUMBER(H554),ISNUMBER(H$559)),IF(H554&gt;H$559,"Above",IF(H554&lt;H$559,"Below","At")),"-")</f>
        <v>Above</v>
      </c>
      <c r="K554" s="34" t="str">
        <f aca="false">IF(J554="Above","Better",IF(J554="Below","Weaker","-"))</f>
        <v>Better</v>
      </c>
      <c r="L554" s="34" t="n">
        <f aca="false">IF(ISNUMBER(H554),RANK(H554,H$547:H$556,0),"-")</f>
        <v>3</v>
      </c>
      <c r="N554" s="34" t="str">
        <f aca="false">IF(AND(ISNUMBER(I554),ISNUMBER(I$559)),IF(I554&gt;I$559,"Above",IF(I554&lt;I$559,"Below","At")),"-")</f>
        <v>Above</v>
      </c>
      <c r="O554" s="34" t="str">
        <f aca="false">IF(N554="Above","Better",IF(N554="Below","Weaker","-"))</f>
        <v>Better</v>
      </c>
    </row>
    <row r="555" customFormat="false" ht="15" hidden="false" customHeight="false" outlineLevel="0" collapsed="false">
      <c r="A555" s="18" t="s">
        <v>116</v>
      </c>
      <c r="B555" s="20" t="n">
        <f aca="false">Shreeji!D115</f>
        <v>2.12539851222104</v>
      </c>
      <c r="C555" s="20" t="n">
        <f aca="false">Shreeji!E115</f>
        <v>1.98641828026062</v>
      </c>
      <c r="D555" s="20" t="n">
        <f aca="false">Shreeji!F115</f>
        <v>2.60877877798136</v>
      </c>
      <c r="E555" s="20" t="n">
        <f aca="false">Shreeji!G115</f>
        <v>2.60864698474885</v>
      </c>
      <c r="F555" s="20" t="n">
        <f aca="false">Shreeji!H115</f>
        <v>3.159288687098</v>
      </c>
      <c r="G555" s="20" t="n">
        <f aca="false">Shreeji!I115</f>
        <v>2.6400479616307</v>
      </c>
      <c r="H555" s="20" t="n">
        <f aca="false">Shreeji!J115</f>
        <v>2.68542609891684</v>
      </c>
      <c r="I555" s="21" t="n">
        <f aca="false">Shreeji!K115</f>
        <v>2.5448579004082</v>
      </c>
      <c r="J555" s="34" t="str">
        <f aca="false">IF(AND(ISNUMBER(H555),ISNUMBER(H$559)),IF(H555&gt;H$559,"Above",IF(H555&lt;H$559,"Below","At")),"-")</f>
        <v>Below</v>
      </c>
      <c r="K555" s="34" t="str">
        <f aca="false">IF(J555="Above","Better",IF(J555="Below","Weaker","-"))</f>
        <v>Weaker</v>
      </c>
      <c r="L555" s="34" t="n">
        <f aca="false">IF(ISNUMBER(H555),RANK(H555,H$547:H$556,0),"-")</f>
        <v>7</v>
      </c>
      <c r="N555" s="34" t="str">
        <f aca="false">IF(AND(ISNUMBER(I555),ISNUMBER(I$559)),IF(I555&gt;I$559,"Above",IF(I555&lt;I$559,"Below","At")),"-")</f>
        <v>Below</v>
      </c>
      <c r="O555" s="34" t="str">
        <f aca="false">IF(N555="Above","Better",IF(N555="Below","Weaker","-"))</f>
        <v>Weaker</v>
      </c>
    </row>
    <row r="556" customFormat="false" ht="15" hidden="false" customHeight="false" outlineLevel="0" collapsed="false">
      <c r="A556" s="18" t="s">
        <v>117</v>
      </c>
      <c r="B556" s="20" t="n">
        <f aca="false">MahindraLog!D115</f>
        <v>3.12343879350682</v>
      </c>
      <c r="C556" s="20" t="n">
        <f aca="false">MahindraLog!E115</f>
        <v>2.67432542056228</v>
      </c>
      <c r="D556" s="20" t="n">
        <f aca="false">MahindraLog!F115</f>
        <v>3.17129509075592</v>
      </c>
      <c r="E556" s="20" t="n">
        <f aca="false">MahindraLog!G115</f>
        <v>3.46163426068115</v>
      </c>
      <c r="F556" s="20" t="n">
        <f aca="false">MahindraLog!H115</f>
        <v>3.40030013709966</v>
      </c>
      <c r="G556" s="20" t="n">
        <f aca="false">MahindraLog!I115</f>
        <v>3.81580493537015</v>
      </c>
      <c r="H556" s="20" t="n">
        <f aca="false">MahindraLog!J115</f>
        <v>4.13035524607577</v>
      </c>
      <c r="I556" s="21" t="n">
        <f aca="false">MahindraLog!K115</f>
        <v>3.39673626915025</v>
      </c>
      <c r="J556" s="34" t="str">
        <f aca="false">IF(AND(ISNUMBER(H556),ISNUMBER(H$559)),IF(H556&gt;H$559,"Above",IF(H556&lt;H$559,"Below","At")),"-")</f>
        <v>Above</v>
      </c>
      <c r="K556" s="34" t="str">
        <f aca="false">IF(J556="Above","Better",IF(J556="Below","Weaker","-"))</f>
        <v>Better</v>
      </c>
      <c r="L556" s="34" t="n">
        <f aca="false">IF(ISNUMBER(H556),RANK(H556,H$547:H$556,0),"-")</f>
        <v>1</v>
      </c>
      <c r="N556" s="34" t="str">
        <f aca="false">IF(AND(ISNUMBER(I556),ISNUMBER(I$559)),IF(I556&gt;I$559,"Above",IF(I556&lt;I$559,"Below","At")),"-")</f>
        <v>Above</v>
      </c>
      <c r="O556" s="34" t="str">
        <f aca="false">IF(N556="Above","Better",IF(N556="Below","Weaker","-"))</f>
        <v>Better</v>
      </c>
    </row>
    <row r="557" customFormat="false" ht="15" hidden="false" customHeight="false" outlineLevel="0" collapsed="false">
      <c r="A557" s="12" t="s">
        <v>176</v>
      </c>
      <c r="B557" s="21" t="n">
        <f aca="false">Industry!D115</f>
        <v>2.19452088057896</v>
      </c>
      <c r="C557" s="21" t="n">
        <f aca="false">Industry!E115</f>
        <v>2.39709292208026</v>
      </c>
      <c r="D557" s="21" t="n">
        <f aca="false">Industry!F115</f>
        <v>2.95390703795837</v>
      </c>
      <c r="E557" s="21" t="n">
        <f aca="false">Industry!G115</f>
        <v>2.83839050956432</v>
      </c>
      <c r="F557" s="21" t="n">
        <f aca="false">Industry!H115</f>
        <v>2.58019327742848</v>
      </c>
      <c r="G557" s="21" t="n">
        <f aca="false">Industry!I115</f>
        <v>2.18116303798614</v>
      </c>
      <c r="H557" s="21" t="n">
        <f aca="false">Industry!J115</f>
        <v>2.52039562897702</v>
      </c>
      <c r="I557" s="21" t="n">
        <f aca="false">Industry!K115</f>
        <v>2.52366618493908</v>
      </c>
    </row>
    <row r="558" customFormat="false" ht="15" hidden="false" customHeight="false" outlineLevel="0" collapsed="false">
      <c r="A558" s="35" t="s">
        <v>177</v>
      </c>
      <c r="B558" s="37" t="n">
        <f aca="false">IFERROR(AVERAGE(B547:B556),"N/M")</f>
        <v>2.72120379820626</v>
      </c>
      <c r="C558" s="37" t="n">
        <f aca="false">IFERROR(AVERAGE(C547:C556),"N/M")</f>
        <v>2.55951838546215</v>
      </c>
      <c r="D558" s="37" t="n">
        <f aca="false">IFERROR(AVERAGE(D547:D556),"N/M")</f>
        <v>3.4951302025444</v>
      </c>
      <c r="E558" s="37" t="n">
        <f aca="false">IFERROR(AVERAGE(E547:E556),"N/M")</f>
        <v>3.17636606164005</v>
      </c>
      <c r="F558" s="37" t="n">
        <f aca="false">IFERROR(AVERAGE(F547:F556),"N/M")</f>
        <v>2.79116688136011</v>
      </c>
      <c r="G558" s="37" t="n">
        <f aca="false">IFERROR(AVERAGE(G547:G556),"N/M")</f>
        <v>2.72753005117617</v>
      </c>
      <c r="H558" s="37" t="n">
        <f aca="false">IFERROR(AVERAGE(H547:H556),"N/M")</f>
        <v>2.81207487863262</v>
      </c>
      <c r="I558" s="37" t="n">
        <f aca="false">IFERROR(AVERAGE(I547:I556),"N/M")</f>
        <v>2.89757003700311</v>
      </c>
    </row>
    <row r="559" customFormat="false" ht="15" hidden="false" customHeight="false" outlineLevel="0" collapsed="false">
      <c r="A559" s="35" t="s">
        <v>178</v>
      </c>
      <c r="B559" s="37" t="n">
        <f aca="false">IFERROR(MEDIAN(B547:B556),"N/M")</f>
        <v>3.00165826096509</v>
      </c>
      <c r="C559" s="37" t="n">
        <f aca="false">IFERROR(MEDIAN(C547:C556),"N/M")</f>
        <v>2.33037185041145</v>
      </c>
      <c r="D559" s="37" t="n">
        <f aca="false">IFERROR(MEDIAN(D547:D556),"N/M")</f>
        <v>3.52614128237128</v>
      </c>
      <c r="E559" s="37" t="n">
        <f aca="false">IFERROR(MEDIAN(E547:E556),"N/M")</f>
        <v>3.52780946184115</v>
      </c>
      <c r="F559" s="37" t="n">
        <f aca="false">IFERROR(MEDIAN(F547:F556),"N/M")</f>
        <v>2.97525070769419</v>
      </c>
      <c r="G559" s="37" t="n">
        <f aca="false">IFERROR(MEDIAN(G547:G556),"N/M")</f>
        <v>2.80263443594297</v>
      </c>
      <c r="H559" s="37" t="n">
        <f aca="false">IFERROR(MEDIAN(H547:H556),"N/M")</f>
        <v>2.74691994355397</v>
      </c>
      <c r="I559" s="37" t="n">
        <f aca="false">IFERROR(MEDIAN(I547:I556),"N/M")</f>
        <v>3.14145131107464</v>
      </c>
    </row>
    <row r="560" customFormat="false" ht="15" hidden="false" customHeight="false" outlineLevel="0" collapsed="false">
      <c r="A560" s="35" t="s">
        <v>179</v>
      </c>
      <c r="B560" s="37" t="n">
        <f aca="false">IFERROR(STDEV(B547:B556),"N/M")</f>
        <v>0.894959586858746</v>
      </c>
      <c r="C560" s="37" t="n">
        <f aca="false">IFERROR(STDEV(C547:C556),"N/M")</f>
        <v>1.19443831367414</v>
      </c>
      <c r="D560" s="37" t="n">
        <f aca="false">IFERROR(STDEV(D547:D556),"N/M")</f>
        <v>1.90855697677459</v>
      </c>
      <c r="E560" s="37" t="n">
        <f aca="false">IFERROR(STDEV(E547:E556),"N/M")</f>
        <v>1.14227792858738</v>
      </c>
      <c r="F560" s="37" t="n">
        <f aca="false">IFERROR(STDEV(F547:F556),"N/M")</f>
        <v>1.03963828792443</v>
      </c>
      <c r="G560" s="37" t="n">
        <f aca="false">IFERROR(STDEV(G547:G556),"N/M")</f>
        <v>1.24465437400317</v>
      </c>
      <c r="H560" s="37" t="n">
        <f aca="false">IFERROR(STDEV(H547:H556),"N/M")</f>
        <v>0.938661637837292</v>
      </c>
      <c r="I560" s="37" t="n">
        <f aca="false">IFERROR(STDEV(I547:I556),"N/M")</f>
        <v>1.00239813102472</v>
      </c>
    </row>
    <row r="561" customFormat="false" ht="15" hidden="false" customHeight="false" outlineLevel="0" collapsed="false">
      <c r="A561" s="35" t="s">
        <v>102</v>
      </c>
      <c r="B561" s="37" t="n">
        <f aca="false">IFERROR(MIN(B547:B556),"N/M")</f>
        <v>1.2163619057908</v>
      </c>
      <c r="C561" s="37" t="n">
        <f aca="false">IFERROR(MIN(C547:C556),"N/M")</f>
        <v>0.982692682926829</v>
      </c>
      <c r="D561" s="37" t="n">
        <f aca="false">IFERROR(MIN(D547:D556),"N/M")</f>
        <v>0.791995368846411</v>
      </c>
      <c r="E561" s="37" t="n">
        <f aca="false">IFERROR(MIN(E547:E556),"N/M")</f>
        <v>1.35275650313945</v>
      </c>
      <c r="F561" s="37" t="n">
        <f aca="false">IFERROR(MIN(F547:F556),"N/M")</f>
        <v>1.14385492924955</v>
      </c>
      <c r="G561" s="37" t="n">
        <f aca="false">IFERROR(MIN(G547:G556),"N/M")</f>
        <v>0.782141176282895</v>
      </c>
      <c r="H561" s="37" t="n">
        <f aca="false">IFERROR(MIN(H547:H556),"N/M")</f>
        <v>1.44125560538117</v>
      </c>
      <c r="I561" s="37" t="n">
        <f aca="false">IFERROR(MIN(I547:I556),"N/M")</f>
        <v>1.18885953356009</v>
      </c>
    </row>
    <row r="562" customFormat="false" ht="15" hidden="false" customHeight="false" outlineLevel="0" collapsed="false">
      <c r="A562" s="35" t="s">
        <v>103</v>
      </c>
      <c r="B562" s="37" t="n">
        <f aca="false">IFERROR(MAX(B547:B556),"N/M")</f>
        <v>3.98643617021277</v>
      </c>
      <c r="C562" s="37" t="n">
        <f aca="false">IFERROR(MAX(C547:C556),"N/M")</f>
        <v>4.89194526731556</v>
      </c>
      <c r="D562" s="37" t="n">
        <f aca="false">IFERROR(MAX(D547:D556),"N/M")</f>
        <v>6.71334242837654</v>
      </c>
      <c r="E562" s="37" t="n">
        <f aca="false">IFERROR(MAX(E547:E556),"N/M")</f>
        <v>4.51410816990897</v>
      </c>
      <c r="F562" s="37" t="n">
        <f aca="false">IFERROR(MAX(F547:F556),"N/M")</f>
        <v>4.329551291798</v>
      </c>
      <c r="G562" s="37" t="n">
        <f aca="false">IFERROR(MAX(G547:G556),"N/M")</f>
        <v>4.32745388040111</v>
      </c>
      <c r="H562" s="37" t="n">
        <f aca="false">IFERROR(MAX(H547:H556),"N/M")</f>
        <v>4.13035524607577</v>
      </c>
      <c r="I562" s="37" t="n">
        <f aca="false">IFERROR(MAX(I547:I556),"N/M")</f>
        <v>3.96463800163196</v>
      </c>
    </row>
    <row r="564" customFormat="false" ht="15" hidden="false" customHeight="false" outlineLevel="0" collapsed="false">
      <c r="A564" s="16" t="s">
        <v>211</v>
      </c>
      <c r="B564" s="17"/>
      <c r="C564" s="17"/>
      <c r="D564" s="17"/>
      <c r="E564" s="17"/>
      <c r="F564" s="17"/>
      <c r="G564" s="17"/>
      <c r="H564" s="17"/>
      <c r="I564" s="17"/>
      <c r="J564" s="17"/>
      <c r="K564" s="17"/>
      <c r="L564" s="17"/>
      <c r="M564" s="17"/>
    </row>
    <row r="565" customFormat="false" ht="15" hidden="false" customHeight="false" outlineLevel="0" collapsed="false">
      <c r="A565" s="18" t="s">
        <v>110</v>
      </c>
      <c r="B565" s="20" t="n">
        <f aca="false">Tiger!D116</f>
        <v>3.79506545820745</v>
      </c>
      <c r="C565" s="20" t="n">
        <f aca="false">Tiger!E116</f>
        <v>3.48567275747508</v>
      </c>
      <c r="D565" s="20" t="n">
        <f aca="false">Tiger!F116</f>
        <v>10.0246088657106</v>
      </c>
      <c r="E565" s="20" t="n">
        <f aca="false">Tiger!G116</f>
        <v>5.11991965973535</v>
      </c>
      <c r="F565" s="20" t="n">
        <f aca="false">Tiger!H116</f>
        <v>2.34171539961014</v>
      </c>
      <c r="G565" s="20" t="n">
        <f aca="false">Tiger!I116</f>
        <v>3.53370231271002</v>
      </c>
      <c r="H565" s="20" t="n">
        <f aca="false">Tiger!J116</f>
        <v>3.04902326076542</v>
      </c>
      <c r="I565" s="21" t="n">
        <f aca="false">Tiger!K116</f>
        <v>4.47852967345915</v>
      </c>
      <c r="J565" s="34" t="str">
        <f aca="false">IF(AND(ISNUMBER(H565),ISNUMBER(H$577)),IF(H565&gt;H$577,"Above",IF(H565&lt;H$577,"Below","At")),"-")</f>
        <v>Below</v>
      </c>
      <c r="K565" s="34" t="str">
        <f aca="false">IF(J565="Above","Better",IF(J565="Below","Weaker","-"))</f>
        <v>Weaker</v>
      </c>
      <c r="L565" s="34" t="n">
        <f aca="false">IF(ISNUMBER(H565),RANK(H565,H$565:H$574,0),"-")</f>
        <v>9</v>
      </c>
      <c r="N565" s="34" t="str">
        <f aca="false">IF(AND(ISNUMBER(I565),ISNUMBER(I$577)),IF(I565&gt;I$577,"Above",IF(I565&lt;I$577,"Below","At")),"-")</f>
        <v>Below</v>
      </c>
      <c r="O565" s="34" t="str">
        <f aca="false">IF(N565="Above","Better",IF(N565="Below","Weaker","-"))</f>
        <v>Weaker</v>
      </c>
    </row>
    <row r="566" customFormat="false" ht="15" hidden="false" customHeight="false" outlineLevel="0" collapsed="false">
      <c r="A566" s="18" t="s">
        <v>111</v>
      </c>
      <c r="B566" s="20" t="n">
        <f aca="false">Allcargo!D116</f>
        <v>7.33128418027224</v>
      </c>
      <c r="C566" s="20" t="n">
        <f aca="false">Allcargo!E116</f>
        <v>12.2398274454938</v>
      </c>
      <c r="D566" s="20" t="n">
        <f aca="false">Allcargo!F116</f>
        <v>13.4449107413651</v>
      </c>
      <c r="E566" s="20" t="n">
        <f aca="false">Allcargo!G116</f>
        <v>14.2678043536684</v>
      </c>
      <c r="F566" s="20" t="n">
        <f aca="false">Allcargo!H116</f>
        <v>10.4356376686811</v>
      </c>
      <c r="G566" s="20" t="n">
        <f aca="false">Allcargo!I116</f>
        <v>3.39273356401384</v>
      </c>
      <c r="H566" s="20" t="n">
        <f aca="false">Allcargo!J116</f>
        <v>4.27858627858628</v>
      </c>
      <c r="I566" s="21" t="n">
        <f aca="false">Allcargo!K116</f>
        <v>9.34154060458295</v>
      </c>
      <c r="J566" s="34" t="str">
        <f aca="false">IF(AND(ISNUMBER(H566),ISNUMBER(H$577)),IF(H566&gt;H$577,"Above",IF(H566&lt;H$577,"Below","At")),"-")</f>
        <v>Below</v>
      </c>
      <c r="K566" s="34" t="str">
        <f aca="false">IF(J566="Above","Better",IF(J566="Below","Weaker","-"))</f>
        <v>Weaker</v>
      </c>
      <c r="L566" s="34" t="n">
        <f aca="false">IF(ISNUMBER(H566),RANK(H566,H$565:H$574,0),"-")</f>
        <v>6</v>
      </c>
      <c r="N566" s="34" t="str">
        <f aca="false">IF(AND(ISNUMBER(I566),ISNUMBER(I$577)),IF(I566&gt;I$577,"Above",IF(I566&lt;I$577,"Below","At")),"-")</f>
        <v>Above</v>
      </c>
      <c r="O566" s="34" t="str">
        <f aca="false">IF(N566="Above","Better",IF(N566="Below","Weaker","-"))</f>
        <v>Better</v>
      </c>
    </row>
    <row r="567" customFormat="false" ht="15" hidden="false" customHeight="false" outlineLevel="0" collapsed="false">
      <c r="A567" s="18" t="s">
        <v>112</v>
      </c>
      <c r="B567" s="20" t="str">
        <f aca="false">BlueDart!D116</f>
        <v>N/M</v>
      </c>
      <c r="C567" s="20" t="n">
        <f aca="false">BlueDart!E116</f>
        <v>8.78756213587044</v>
      </c>
      <c r="D567" s="20" t="n">
        <f aca="false">BlueDart!F116</f>
        <v>19.6423354413468</v>
      </c>
      <c r="E567" s="20" t="n">
        <f aca="false">BlueDart!G116</f>
        <v>20.4540673073121</v>
      </c>
      <c r="F567" s="20" t="n">
        <f aca="false">BlueDart!H116</f>
        <v>22.2703559651645</v>
      </c>
      <c r="G567" s="20" t="n">
        <f aca="false">BlueDart!I116</f>
        <v>19.7438216208753</v>
      </c>
      <c r="H567" s="20" t="n">
        <f aca="false">BlueDart!J116</f>
        <v>13.8345498783455</v>
      </c>
      <c r="I567" s="21" t="n">
        <f aca="false">BlueDart!K116</f>
        <v>17.4554487248191</v>
      </c>
      <c r="J567" s="34" t="str">
        <f aca="false">IF(AND(ISNUMBER(H567),ISNUMBER(H$577)),IF(H567&gt;H$577,"Above",IF(H567&lt;H$577,"Below","At")),"-")</f>
        <v>Above</v>
      </c>
      <c r="K567" s="34" t="str">
        <f aca="false">IF(J567="Above","Better",IF(J567="Below","Weaker","-"))</f>
        <v>Better</v>
      </c>
      <c r="L567" s="34" t="n">
        <f aca="false">IF(ISNUMBER(H567),RANK(H567,H$565:H$574,0),"-")</f>
        <v>1</v>
      </c>
      <c r="N567" s="34" t="str">
        <f aca="false">IF(AND(ISNUMBER(I567),ISNUMBER(I$577)),IF(I567&gt;I$577,"Above",IF(I567&lt;I$577,"Below","At")),"-")</f>
        <v>Above</v>
      </c>
      <c r="O567" s="34" t="str">
        <f aca="false">IF(N567="Above","Better",IF(N567="Below","Weaker","-"))</f>
        <v>Better</v>
      </c>
    </row>
    <row r="568" customFormat="false" ht="15" hidden="false" customHeight="false" outlineLevel="0" collapsed="false">
      <c r="A568" s="18" t="s">
        <v>67</v>
      </c>
      <c r="B568" s="20" t="n">
        <f aca="false">CONCOR!D116</f>
        <v>2.48649049994289</v>
      </c>
      <c r="C568" s="20" t="n">
        <f aca="false">CONCOR!E116</f>
        <v>2.09786429823445</v>
      </c>
      <c r="D568" s="20" t="n">
        <f aca="false">CONCOR!F116</f>
        <v>2.01089172911784</v>
      </c>
      <c r="E568" s="20" t="n">
        <f aca="false">CONCOR!G116</f>
        <v>1.88490025334681</v>
      </c>
      <c r="F568" s="20" t="n">
        <f aca="false">CONCOR!H116</f>
        <v>1.8227528941914</v>
      </c>
      <c r="G568" s="20" t="n">
        <f aca="false">CONCOR!I116</f>
        <v>1.89512539957052</v>
      </c>
      <c r="H568" s="20" t="n">
        <f aca="false">CONCOR!J116</f>
        <v>1.90747887983831</v>
      </c>
      <c r="I568" s="21" t="n">
        <f aca="false">CONCOR!K116</f>
        <v>2.01507199346317</v>
      </c>
      <c r="J568" s="34" t="str">
        <f aca="false">IF(AND(ISNUMBER(H568),ISNUMBER(H$577)),IF(H568&gt;H$577,"Above",IF(H568&lt;H$577,"Below","At")),"-")</f>
        <v>Below</v>
      </c>
      <c r="K568" s="34" t="str">
        <f aca="false">IF(J568="Above","Better",IF(J568="Below","Weaker","-"))</f>
        <v>Weaker</v>
      </c>
      <c r="L568" s="34" t="n">
        <f aca="false">IF(ISNUMBER(H568),RANK(H568,H$565:H$574,0),"-")</f>
        <v>10</v>
      </c>
      <c r="N568" s="34" t="str">
        <f aca="false">IF(AND(ISNUMBER(I568),ISNUMBER(I$577)),IF(I568&gt;I$577,"Above",IF(I568&lt;I$577,"Below","At")),"-")</f>
        <v>Below</v>
      </c>
      <c r="O568" s="34" t="str">
        <f aca="false">IF(N568="Above","Better",IF(N568="Below","Weaker","-"))</f>
        <v>Weaker</v>
      </c>
    </row>
    <row r="569" customFormat="false" ht="15" hidden="false" customHeight="false" outlineLevel="0" collapsed="false">
      <c r="A569" s="18" t="s">
        <v>113</v>
      </c>
      <c r="B569" s="20" t="n">
        <f aca="false">JetFreight!D116</f>
        <v>7.65526046986721</v>
      </c>
      <c r="C569" s="20" t="n">
        <f aca="false">JetFreight!E116</f>
        <v>14.5832632464256</v>
      </c>
      <c r="D569" s="20" t="n">
        <f aca="false">JetFreight!F116</f>
        <v>10.8313967275314</v>
      </c>
      <c r="E569" s="20" t="n">
        <f aca="false">JetFreight!G116</f>
        <v>4.51500704301658</v>
      </c>
      <c r="F569" s="20" t="n">
        <f aca="false">JetFreight!H116</f>
        <v>4.26777459828307</v>
      </c>
      <c r="G569" s="20" t="n">
        <f aca="false">JetFreight!I116</f>
        <v>4.20726536904991</v>
      </c>
      <c r="H569" s="20" t="n">
        <f aca="false">JetFreight!J116</f>
        <v>3.63285340314136</v>
      </c>
      <c r="I569" s="21" t="n">
        <f aca="false">JetFreight!K116</f>
        <v>7.09897440818788</v>
      </c>
      <c r="J569" s="34" t="str">
        <f aca="false">IF(AND(ISNUMBER(H569),ISNUMBER(H$577)),IF(H569&gt;H$577,"Above",IF(H569&lt;H$577,"Below","At")),"-")</f>
        <v>Below</v>
      </c>
      <c r="K569" s="34" t="str">
        <f aca="false">IF(J569="Above","Better",IF(J569="Below","Weaker","-"))</f>
        <v>Weaker</v>
      </c>
      <c r="L569" s="34" t="n">
        <f aca="false">IF(ISNUMBER(H569),RANK(H569,H$565:H$574,0),"-")</f>
        <v>7</v>
      </c>
      <c r="N569" s="34" t="str">
        <f aca="false">IF(AND(ISNUMBER(I569),ISNUMBER(I$577)),IF(I569&gt;I$577,"Above",IF(I569&lt;I$577,"Below","At")),"-")</f>
        <v>Above</v>
      </c>
      <c r="O569" s="34" t="str">
        <f aca="false">IF(N569="Above","Better",IF(N569="Below","Weaker","-"))</f>
        <v>Better</v>
      </c>
    </row>
    <row r="570" customFormat="false" ht="15" hidden="false" customHeight="false" outlineLevel="0" collapsed="false">
      <c r="A570" s="18" t="s">
        <v>114</v>
      </c>
      <c r="B570" s="20" t="n">
        <f aca="false">Patel!D116</f>
        <v>2.99827392767757</v>
      </c>
      <c r="C570" s="20" t="n">
        <f aca="false">Patel!E116</f>
        <v>1.84501043115438</v>
      </c>
      <c r="D570" s="20" t="n">
        <f aca="false">Patel!F116</f>
        <v>2.29096597575284</v>
      </c>
      <c r="E570" s="20" t="n">
        <f aca="false">Patel!G116</f>
        <v>3.14369633981021</v>
      </c>
      <c r="F570" s="20" t="n">
        <f aca="false">Patel!H116</f>
        <v>3.22188955422488</v>
      </c>
      <c r="G570" s="20" t="n">
        <f aca="false">Patel!I116</f>
        <v>4.11936530833033</v>
      </c>
      <c r="H570" s="20" t="n">
        <f aca="false">Patel!J116</f>
        <v>4.50252143217348</v>
      </c>
      <c r="I570" s="21" t="n">
        <f aca="false">Patel!K116</f>
        <v>3.16024613844624</v>
      </c>
      <c r="J570" s="34" t="str">
        <f aca="false">IF(AND(ISNUMBER(H570),ISNUMBER(H$577)),IF(H570&gt;H$577,"Above",IF(H570&lt;H$577,"Below","At")),"-")</f>
        <v>Above</v>
      </c>
      <c r="K570" s="34" t="str">
        <f aca="false">IF(J570="Above","Better",IF(J570="Below","Weaker","-"))</f>
        <v>Better</v>
      </c>
      <c r="L570" s="34" t="n">
        <f aca="false">IF(ISNUMBER(H570),RANK(H570,H$565:H$574,0),"-")</f>
        <v>5</v>
      </c>
      <c r="N570" s="34" t="str">
        <f aca="false">IF(AND(ISNUMBER(I570),ISNUMBER(I$577)),IF(I570&gt;I$577,"Above",IF(I570&lt;I$577,"Below","At")),"-")</f>
        <v>Below</v>
      </c>
      <c r="O570" s="34" t="str">
        <f aca="false">IF(N570="Above","Better",IF(N570="Below","Weaker","-"))</f>
        <v>Weaker</v>
      </c>
    </row>
    <row r="571" customFormat="false" ht="15" hidden="false" customHeight="false" outlineLevel="0" collapsed="false">
      <c r="A571" s="18" t="s">
        <v>115</v>
      </c>
      <c r="B571" s="20" t="str">
        <f aca="false">Sical!D116</f>
        <v>N/M</v>
      </c>
      <c r="C571" s="20" t="str">
        <f aca="false">Sical!E116</f>
        <v>N/M</v>
      </c>
      <c r="D571" s="20" t="str">
        <f aca="false">Sical!F116</f>
        <v>N/M</v>
      </c>
      <c r="E571" s="20" t="str">
        <f aca="false">Sical!G116</f>
        <v>N/M</v>
      </c>
      <c r="F571" s="20" t="str">
        <f aca="false">Sical!H116</f>
        <v>N/M</v>
      </c>
      <c r="G571" s="20" t="str">
        <f aca="false">Sical!I116</f>
        <v>N/M</v>
      </c>
      <c r="H571" s="20" t="n">
        <f aca="false">Sical!J116</f>
        <v>9.4691873312055</v>
      </c>
      <c r="I571" s="21" t="n">
        <f aca="false">Sical!K116</f>
        <v>9.4691873312055</v>
      </c>
      <c r="J571" s="34" t="str">
        <f aca="false">IF(AND(ISNUMBER(H571),ISNUMBER(H$577)),IF(H571&gt;H$577,"Above",IF(H571&lt;H$577,"Below","At")),"-")</f>
        <v>Above</v>
      </c>
      <c r="K571" s="34" t="str">
        <f aca="false">IF(J571="Above","Better",IF(J571="Below","Weaker","-"))</f>
        <v>Better</v>
      </c>
      <c r="L571" s="34" t="n">
        <f aca="false">IF(ISNUMBER(H571),RANK(H571,H$565:H$574,0),"-")</f>
        <v>3</v>
      </c>
      <c r="N571" s="34" t="str">
        <f aca="false">IF(AND(ISNUMBER(I571),ISNUMBER(I$577)),IF(I571&gt;I$577,"Above",IF(I571&lt;I$577,"Below","At")),"-")</f>
        <v>Above</v>
      </c>
      <c r="O571" s="34" t="str">
        <f aca="false">IF(N571="Above","Better",IF(N571="Below","Weaker","-"))</f>
        <v>Better</v>
      </c>
    </row>
    <row r="572" customFormat="false" ht="15" hidden="false" customHeight="false" outlineLevel="0" collapsed="false">
      <c r="A572" s="18" t="s">
        <v>86</v>
      </c>
      <c r="B572" s="20" t="n">
        <f aca="false">TCI!D116</f>
        <v>5.25399679096832</v>
      </c>
      <c r="C572" s="20" t="n">
        <f aca="false">TCI!E116</f>
        <v>5.52347445600757</v>
      </c>
      <c r="D572" s="20" t="n">
        <f aca="false">TCI!F116</f>
        <v>6.20548414738646</v>
      </c>
      <c r="E572" s="20" t="n">
        <f aca="false">TCI!G116</f>
        <v>5.4778572669872</v>
      </c>
      <c r="F572" s="20" t="n">
        <f aca="false">TCI!H116</f>
        <v>5.88264702012893</v>
      </c>
      <c r="G572" s="20" t="n">
        <f aca="false">TCI!I116</f>
        <v>5.85828312074497</v>
      </c>
      <c r="H572" s="20" t="n">
        <f aca="false">TCI!J116</f>
        <v>5.74462839850916</v>
      </c>
      <c r="I572" s="21" t="n">
        <f aca="false">TCI!K116</f>
        <v>5.70662445724751</v>
      </c>
      <c r="J572" s="34" t="str">
        <f aca="false">IF(AND(ISNUMBER(H572),ISNUMBER(H$577)),IF(H572&gt;H$577,"Above",IF(H572&lt;H$577,"Below","At")),"-")</f>
        <v>Above</v>
      </c>
      <c r="K572" s="34" t="str">
        <f aca="false">IF(J572="Above","Better",IF(J572="Below","Weaker","-"))</f>
        <v>Better</v>
      </c>
      <c r="L572" s="34" t="n">
        <f aca="false">IF(ISNUMBER(H572),RANK(H572,H$565:H$574,0),"-")</f>
        <v>4</v>
      </c>
      <c r="N572" s="34" t="str">
        <f aca="false">IF(AND(ISNUMBER(I572),ISNUMBER(I$577)),IF(I572&gt;I$577,"Above",IF(I572&lt;I$577,"Below","At")),"-")</f>
        <v>Below</v>
      </c>
      <c r="O572" s="34" t="str">
        <f aca="false">IF(N572="Above","Better",IF(N572="Below","Weaker","-"))</f>
        <v>Weaker</v>
      </c>
    </row>
    <row r="573" customFormat="false" ht="15" hidden="false" customHeight="false" outlineLevel="0" collapsed="false">
      <c r="A573" s="18" t="s">
        <v>116</v>
      </c>
      <c r="B573" s="20" t="n">
        <f aca="false">Shreeji!D116</f>
        <v>2.50969655487109</v>
      </c>
      <c r="C573" s="20" t="n">
        <f aca="false">Shreeji!E116</f>
        <v>2.34112048453385</v>
      </c>
      <c r="D573" s="20" t="n">
        <f aca="false">Shreeji!F116</f>
        <v>2.90576752440107</v>
      </c>
      <c r="E573" s="20" t="n">
        <f aca="false">Shreeji!G116</f>
        <v>3.32335115864528</v>
      </c>
      <c r="F573" s="20" t="n">
        <f aca="false">Shreeji!H116</f>
        <v>3.74383500224182</v>
      </c>
      <c r="G573" s="20" t="n">
        <f aca="false">Shreeji!I116</f>
        <v>3.35896262395118</v>
      </c>
      <c r="H573" s="20" t="n">
        <f aca="false">Shreeji!J116</f>
        <v>3.21165181631254</v>
      </c>
      <c r="I573" s="21" t="n">
        <f aca="false">Shreeji!K116</f>
        <v>3.05634073785098</v>
      </c>
      <c r="J573" s="34" t="str">
        <f aca="false">IF(AND(ISNUMBER(H573),ISNUMBER(H$577)),IF(H573&gt;H$577,"Above",IF(H573&lt;H$577,"Below","At")),"-")</f>
        <v>Below</v>
      </c>
      <c r="K573" s="34" t="str">
        <f aca="false">IF(J573="Above","Better",IF(J573="Below","Weaker","-"))</f>
        <v>Weaker</v>
      </c>
      <c r="L573" s="34" t="n">
        <f aca="false">IF(ISNUMBER(H573),RANK(H573,H$565:H$574,0),"-")</f>
        <v>8</v>
      </c>
      <c r="N573" s="34" t="str">
        <f aca="false">IF(AND(ISNUMBER(I573),ISNUMBER(I$577)),IF(I573&gt;I$577,"Above",IF(I573&lt;I$577,"Below","At")),"-")</f>
        <v>Below</v>
      </c>
      <c r="O573" s="34" t="str">
        <f aca="false">IF(N573="Above","Better",IF(N573="Below","Weaker","-"))</f>
        <v>Weaker</v>
      </c>
    </row>
    <row r="574" customFormat="false" ht="15" hidden="false" customHeight="false" outlineLevel="0" collapsed="false">
      <c r="A574" s="18" t="s">
        <v>117</v>
      </c>
      <c r="B574" s="20" t="n">
        <f aca="false">MahindraLog!D116</f>
        <v>6.98685614218715</v>
      </c>
      <c r="C574" s="20" t="n">
        <f aca="false">MahindraLog!E116</f>
        <v>7.79507511524039</v>
      </c>
      <c r="D574" s="20" t="n">
        <f aca="false">MahindraLog!F116</f>
        <v>13.0714060231075</v>
      </c>
      <c r="E574" s="20" t="n">
        <f aca="false">MahindraLog!G116</f>
        <v>11.0908324141958</v>
      </c>
      <c r="F574" s="20" t="n">
        <f aca="false">MahindraLog!H116</f>
        <v>14.7427370337644</v>
      </c>
      <c r="G574" s="20" t="n">
        <f aca="false">MahindraLog!I116</f>
        <v>19.775290725924</v>
      </c>
      <c r="H574" s="20" t="n">
        <f aca="false">MahindraLog!J116</f>
        <v>13.259514653229</v>
      </c>
      <c r="I574" s="21" t="n">
        <f aca="false">MahindraLog!K116</f>
        <v>12.3888160153783</v>
      </c>
      <c r="J574" s="34" t="str">
        <f aca="false">IF(AND(ISNUMBER(H574),ISNUMBER(H$577)),IF(H574&gt;H$577,"Above",IF(H574&lt;H$577,"Below","At")),"-")</f>
        <v>Above</v>
      </c>
      <c r="K574" s="34" t="str">
        <f aca="false">IF(J574="Above","Better",IF(J574="Below","Weaker","-"))</f>
        <v>Better</v>
      </c>
      <c r="L574" s="34" t="n">
        <f aca="false">IF(ISNUMBER(H574),RANK(H574,H$565:H$574,0),"-")</f>
        <v>2</v>
      </c>
      <c r="N574" s="34" t="str">
        <f aca="false">IF(AND(ISNUMBER(I574),ISNUMBER(I$577)),IF(I574&gt;I$577,"Above",IF(I574&lt;I$577,"Below","At")),"-")</f>
        <v>Above</v>
      </c>
      <c r="O574" s="34" t="str">
        <f aca="false">IF(N574="Above","Better",IF(N574="Below","Weaker","-"))</f>
        <v>Better</v>
      </c>
    </row>
    <row r="575" customFormat="false" ht="15" hidden="false" customHeight="false" outlineLevel="0" collapsed="false">
      <c r="A575" s="12" t="s">
        <v>176</v>
      </c>
      <c r="B575" s="21" t="n">
        <f aca="false">Industry!D116</f>
        <v>6.66062944664812</v>
      </c>
      <c r="C575" s="21" t="n">
        <f aca="false">Industry!E116</f>
        <v>5.74363053682133</v>
      </c>
      <c r="D575" s="21" t="n">
        <f aca="false">Industry!F116</f>
        <v>6.49184730574092</v>
      </c>
      <c r="E575" s="21" t="n">
        <f aca="false">Industry!G116</f>
        <v>5.78845666288209</v>
      </c>
      <c r="F575" s="21" t="n">
        <f aca="false">Industry!H116</f>
        <v>4.97325565948021</v>
      </c>
      <c r="G575" s="21" t="n">
        <f aca="false">Industry!I116</f>
        <v>4.14060846920646</v>
      </c>
      <c r="H575" s="21" t="n">
        <f aca="false">Industry!J116</f>
        <v>4.11916522924366</v>
      </c>
      <c r="I575" s="21" t="n">
        <f aca="false">Industry!K116</f>
        <v>5.41679904428897</v>
      </c>
    </row>
    <row r="576" customFormat="false" ht="15" hidden="false" customHeight="false" outlineLevel="0" collapsed="false">
      <c r="A576" s="35" t="s">
        <v>177</v>
      </c>
      <c r="B576" s="37" t="n">
        <f aca="false">IFERROR(AVERAGE(B565:B574),"N/M")</f>
        <v>4.87711550299924</v>
      </c>
      <c r="C576" s="37" t="n">
        <f aca="false">IFERROR(AVERAGE(C565:C574),"N/M")</f>
        <v>6.52209670782617</v>
      </c>
      <c r="D576" s="37" t="n">
        <f aca="false">IFERROR(AVERAGE(D565:D574),"N/M")</f>
        <v>8.93641857507995</v>
      </c>
      <c r="E576" s="37" t="n">
        <f aca="false">IFERROR(AVERAGE(E565:E574),"N/M")</f>
        <v>7.69749286630196</v>
      </c>
      <c r="F576" s="37" t="n">
        <f aca="false">IFERROR(AVERAGE(F565:F574),"N/M")</f>
        <v>7.63659390403224</v>
      </c>
      <c r="G576" s="37" t="n">
        <f aca="false">IFERROR(AVERAGE(G565:G574),"N/M")</f>
        <v>7.32050556057446</v>
      </c>
      <c r="H576" s="37" t="n">
        <f aca="false">IFERROR(AVERAGE(H565:H574),"N/M")</f>
        <v>6.28899953321066</v>
      </c>
      <c r="I576" s="37" t="n">
        <f aca="false">IFERROR(AVERAGE(I565:I574),"N/M")</f>
        <v>7.41707800846408</v>
      </c>
    </row>
    <row r="577" customFormat="false" ht="15" hidden="false" customHeight="false" outlineLevel="0" collapsed="false">
      <c r="A577" s="35" t="s">
        <v>178</v>
      </c>
      <c r="B577" s="37" t="n">
        <f aca="false">IFERROR(MEDIAN(B565:B574),"N/M")</f>
        <v>4.52453112458788</v>
      </c>
      <c r="C577" s="37" t="n">
        <f aca="false">IFERROR(MEDIAN(C565:C574),"N/M")</f>
        <v>5.52347445600757</v>
      </c>
      <c r="D577" s="37" t="n">
        <f aca="false">IFERROR(MEDIAN(D565:D574),"N/M")</f>
        <v>10.0246088657106</v>
      </c>
      <c r="E577" s="37" t="n">
        <f aca="false">IFERROR(MEDIAN(E565:E574),"N/M")</f>
        <v>5.11991965973535</v>
      </c>
      <c r="F577" s="37" t="n">
        <f aca="false">IFERROR(MEDIAN(F565:F574),"N/M")</f>
        <v>4.26777459828307</v>
      </c>
      <c r="G577" s="37" t="n">
        <f aca="false">IFERROR(MEDIAN(G565:G574),"N/M")</f>
        <v>4.11936530833033</v>
      </c>
      <c r="H577" s="37" t="n">
        <f aca="false">IFERROR(MEDIAN(H565:H574),"N/M")</f>
        <v>4.39055385537988</v>
      </c>
      <c r="I577" s="37" t="n">
        <f aca="false">IFERROR(MEDIAN(I565:I574),"N/M")</f>
        <v>6.40279943271769</v>
      </c>
    </row>
    <row r="578" customFormat="false" ht="15" hidden="false" customHeight="false" outlineLevel="0" collapsed="false">
      <c r="A578" s="35" t="s">
        <v>179</v>
      </c>
      <c r="B578" s="37" t="n">
        <f aca="false">IFERROR(STDEV(B565:B574),"N/M")</f>
        <v>2.21535926686813</v>
      </c>
      <c r="C578" s="37" t="n">
        <f aca="false">IFERROR(STDEV(C565:C574),"N/M")</f>
        <v>4.65798113221077</v>
      </c>
      <c r="D578" s="37" t="n">
        <f aca="false">IFERROR(STDEV(D565:D574),"N/M")</f>
        <v>6.04946378151164</v>
      </c>
      <c r="E578" s="37" t="n">
        <f aca="false">IFERROR(STDEV(E565:E574),"N/M")</f>
        <v>6.25269173045947</v>
      </c>
      <c r="F578" s="37" t="n">
        <f aca="false">IFERROR(STDEV(F565:F574),"N/M")</f>
        <v>6.92264268047984</v>
      </c>
      <c r="G578" s="37" t="n">
        <f aca="false">IFERROR(STDEV(G565:G574),"N/M")</f>
        <v>7.1277096368896</v>
      </c>
      <c r="H578" s="37" t="n">
        <f aca="false">IFERROR(STDEV(H565:H574),"N/M")</f>
        <v>4.33829154274855</v>
      </c>
      <c r="I578" s="37" t="n">
        <f aca="false">IFERROR(STDEV(I565:I574),"N/M")</f>
        <v>4.84632733878931</v>
      </c>
    </row>
    <row r="579" customFormat="false" ht="15" hidden="false" customHeight="false" outlineLevel="0" collapsed="false">
      <c r="A579" s="35" t="s">
        <v>102</v>
      </c>
      <c r="B579" s="37" t="n">
        <f aca="false">IFERROR(MIN(B565:B574),"N/M")</f>
        <v>2.48649049994289</v>
      </c>
      <c r="C579" s="37" t="n">
        <f aca="false">IFERROR(MIN(C565:C574),"N/M")</f>
        <v>1.84501043115438</v>
      </c>
      <c r="D579" s="37" t="n">
        <f aca="false">IFERROR(MIN(D565:D574),"N/M")</f>
        <v>2.01089172911784</v>
      </c>
      <c r="E579" s="37" t="n">
        <f aca="false">IFERROR(MIN(E565:E574),"N/M")</f>
        <v>1.88490025334681</v>
      </c>
      <c r="F579" s="37" t="n">
        <f aca="false">IFERROR(MIN(F565:F574),"N/M")</f>
        <v>1.8227528941914</v>
      </c>
      <c r="G579" s="37" t="n">
        <f aca="false">IFERROR(MIN(G565:G574),"N/M")</f>
        <v>1.89512539957052</v>
      </c>
      <c r="H579" s="37" t="n">
        <f aca="false">IFERROR(MIN(H565:H574),"N/M")</f>
        <v>1.90747887983831</v>
      </c>
      <c r="I579" s="37" t="n">
        <f aca="false">IFERROR(MIN(I565:I574),"N/M")</f>
        <v>2.01507199346317</v>
      </c>
    </row>
    <row r="580" customFormat="false" ht="15" hidden="false" customHeight="false" outlineLevel="0" collapsed="false">
      <c r="A580" s="35" t="s">
        <v>103</v>
      </c>
      <c r="B580" s="37" t="n">
        <f aca="false">IFERROR(MAX(B565:B574),"N/M")</f>
        <v>7.65526046986721</v>
      </c>
      <c r="C580" s="37" t="n">
        <f aca="false">IFERROR(MAX(C565:C574),"N/M")</f>
        <v>14.5832632464256</v>
      </c>
      <c r="D580" s="37" t="n">
        <f aca="false">IFERROR(MAX(D565:D574),"N/M")</f>
        <v>19.6423354413468</v>
      </c>
      <c r="E580" s="37" t="n">
        <f aca="false">IFERROR(MAX(E565:E574),"N/M")</f>
        <v>20.4540673073121</v>
      </c>
      <c r="F580" s="37" t="n">
        <f aca="false">IFERROR(MAX(F565:F574),"N/M")</f>
        <v>22.2703559651645</v>
      </c>
      <c r="G580" s="37" t="n">
        <f aca="false">IFERROR(MAX(G565:G574),"N/M")</f>
        <v>19.775290725924</v>
      </c>
      <c r="H580" s="37" t="n">
        <f aca="false">IFERROR(MAX(H565:H574),"N/M")</f>
        <v>13.8345498783455</v>
      </c>
      <c r="I580" s="37" t="n">
        <f aca="false">IFERROR(MAX(I565:I574),"N/M")</f>
        <v>17.4554487248191</v>
      </c>
    </row>
    <row r="582" customFormat="false" ht="15" hidden="false" customHeight="false" outlineLevel="0" collapsed="false">
      <c r="A582" s="16" t="s">
        <v>212</v>
      </c>
      <c r="B582" s="17"/>
      <c r="C582" s="17"/>
      <c r="D582" s="17"/>
      <c r="E582" s="17"/>
      <c r="F582" s="17"/>
      <c r="G582" s="17"/>
      <c r="H582" s="17"/>
      <c r="I582" s="17"/>
      <c r="J582" s="17"/>
      <c r="K582" s="17"/>
      <c r="L582" s="17"/>
      <c r="M582" s="17"/>
    </row>
    <row r="583" customFormat="false" ht="15" hidden="false" customHeight="false" outlineLevel="0" collapsed="false">
      <c r="A583" s="18" t="s">
        <v>110</v>
      </c>
      <c r="B583" s="23" t="n">
        <f aca="false">Tiger!D119</f>
        <v>0.0758590951306888</v>
      </c>
      <c r="C583" s="23" t="n">
        <f aca="false">Tiger!E119</f>
        <v>0.0762494787633288</v>
      </c>
      <c r="D583" s="23" t="n">
        <f aca="false">Tiger!F119</f>
        <v>0.0892523288517501</v>
      </c>
      <c r="E583" s="23" t="n">
        <f aca="false">Tiger!G119</f>
        <v>0.109126572054921</v>
      </c>
      <c r="F583" s="23" t="n">
        <f aca="false">Tiger!H119</f>
        <v>0.143386331474236</v>
      </c>
      <c r="G583" s="23" t="n">
        <f aca="false">Tiger!I119</f>
        <v>0.104454513247935</v>
      </c>
      <c r="H583" s="23" t="n">
        <f aca="false">Tiger!J119</f>
        <v>0.10107887294438</v>
      </c>
      <c r="I583" s="24" t="n">
        <f aca="false">Tiger!K119</f>
        <v>0.0999153132096057</v>
      </c>
      <c r="J583" s="34" t="str">
        <f aca="false">IF(AND(ISNUMBER(H583),ISNUMBER(H$595)),IF(H583&gt;H$595,"Above",IF(H583&lt;H$595,"Below","At")),"-")</f>
        <v>Below</v>
      </c>
      <c r="K583" s="34" t="str">
        <f aca="false">IF(J583="Above","Better",IF(J583="Below","Weaker","-"))</f>
        <v>Weaker</v>
      </c>
      <c r="L583" s="34" t="n">
        <f aca="false">IF(ISNUMBER(H583),RANK(H583,H$583:H$592,0),"-")</f>
        <v>8</v>
      </c>
      <c r="N583" s="34" t="str">
        <f aca="false">IF(AND(ISNUMBER(I583),ISNUMBER(I$595)),IF(I583&gt;I$595,"Above",IF(I583&lt;I$595,"Below","At")),"-")</f>
        <v>Below</v>
      </c>
      <c r="O583" s="34" t="str">
        <f aca="false">IF(N583="Above","Better",IF(N583="Below","Weaker","-"))</f>
        <v>Weaker</v>
      </c>
    </row>
    <row r="584" customFormat="false" ht="15" hidden="false" customHeight="false" outlineLevel="0" collapsed="false">
      <c r="A584" s="18" t="s">
        <v>111</v>
      </c>
      <c r="B584" s="23" t="n">
        <f aca="false">Allcargo!D119</f>
        <v>0.265503168968071</v>
      </c>
      <c r="C584" s="23" t="n">
        <f aca="false">Allcargo!E119</f>
        <v>0.227064897457635</v>
      </c>
      <c r="D584" s="23" t="n">
        <f aca="false">Allcargo!F119</f>
        <v>0.178530547065742</v>
      </c>
      <c r="E584" s="23" t="n">
        <f aca="false">Allcargo!G119</f>
        <v>0.203602948793874</v>
      </c>
      <c r="F584" s="23" t="n">
        <f aca="false">Allcargo!H119</f>
        <v>0.233784008858265</v>
      </c>
      <c r="G584" s="23" t="n">
        <f aca="false">Allcargo!I119</f>
        <v>0.278429372768995</v>
      </c>
      <c r="H584" s="23" t="n">
        <f aca="false">Allcargo!J119</f>
        <v>0.267249757045675</v>
      </c>
      <c r="I584" s="24" t="n">
        <f aca="false">Allcargo!K119</f>
        <v>0.236309242994037</v>
      </c>
      <c r="J584" s="34" t="str">
        <f aca="false">IF(AND(ISNUMBER(H584),ISNUMBER(H$595)),IF(H584&gt;H$595,"Above",IF(H584&lt;H$595,"Below","At")),"-")</f>
        <v>Above</v>
      </c>
      <c r="K584" s="34" t="str">
        <f aca="false">IF(J584="Above","Better",IF(J584="Below","Weaker","-"))</f>
        <v>Better</v>
      </c>
      <c r="L584" s="34" t="n">
        <f aca="false">IF(ISNUMBER(H584),RANK(H584,H$583:H$592,0),"-")</f>
        <v>4</v>
      </c>
      <c r="N584" s="34" t="str">
        <f aca="false">IF(AND(ISNUMBER(I584),ISNUMBER(I$595)),IF(I584&gt;I$595,"Above",IF(I584&lt;I$595,"Below","At")),"-")</f>
        <v>Above</v>
      </c>
      <c r="O584" s="34" t="str">
        <f aca="false">IF(N584="Above","Better",IF(N584="Below","Weaker","-"))</f>
        <v>Better</v>
      </c>
    </row>
    <row r="585" customFormat="false" ht="15" hidden="false" customHeight="false" outlineLevel="0" collapsed="false">
      <c r="A585" s="18" t="s">
        <v>112</v>
      </c>
      <c r="B585" s="23" t="n">
        <f aca="false">BlueDart!D119</f>
        <v>0.456938771010951</v>
      </c>
      <c r="C585" s="23" t="n">
        <f aca="false">BlueDart!E119</f>
        <v>0.497401258466058</v>
      </c>
      <c r="D585" s="23" t="n">
        <f aca="false">BlueDart!F119</f>
        <v>0.46106441687885</v>
      </c>
      <c r="E585" s="23" t="n">
        <f aca="false">BlueDart!G119</f>
        <v>0.397135079327639</v>
      </c>
      <c r="F585" s="23" t="n">
        <f aca="false">BlueDart!H119</f>
        <v>0.393571926201111</v>
      </c>
      <c r="G585" s="23" t="n">
        <f aca="false">BlueDart!I119</f>
        <v>0.384071829907451</v>
      </c>
      <c r="H585" s="23" t="n">
        <f aca="false">BlueDart!J119</f>
        <v>0.39087557483618</v>
      </c>
      <c r="I585" s="24" t="n">
        <f aca="false">BlueDart!K119</f>
        <v>0.425865550946891</v>
      </c>
      <c r="J585" s="34" t="str">
        <f aca="false">IF(AND(ISNUMBER(H585),ISNUMBER(H$595)),IF(H585&gt;H$595,"Above",IF(H585&lt;H$595,"Below","At")),"-")</f>
        <v>Above</v>
      </c>
      <c r="K585" s="34" t="str">
        <f aca="false">IF(J585="Above","Better",IF(J585="Below","Weaker","-"))</f>
        <v>Better</v>
      </c>
      <c r="L585" s="34" t="n">
        <f aca="false">IF(ISNUMBER(H585),RANK(H585,H$583:H$592,0),"-")</f>
        <v>1</v>
      </c>
      <c r="N585" s="34" t="str">
        <f aca="false">IF(AND(ISNUMBER(I585),ISNUMBER(I$595)),IF(I585&gt;I$595,"Above",IF(I585&lt;I$595,"Below","At")),"-")</f>
        <v>Above</v>
      </c>
      <c r="O585" s="34" t="str">
        <f aca="false">IF(N585="Above","Better",IF(N585="Below","Weaker","-"))</f>
        <v>Better</v>
      </c>
    </row>
    <row r="586" customFormat="false" ht="15" hidden="false" customHeight="false" outlineLevel="0" collapsed="false">
      <c r="A586" s="18" t="s">
        <v>67</v>
      </c>
      <c r="B586" s="23" t="n">
        <f aca="false">CONCOR!D119</f>
        <v>0.34030599041081</v>
      </c>
      <c r="C586" s="23" t="n">
        <f aca="false">CONCOR!E119</f>
        <v>0.360505859581645</v>
      </c>
      <c r="D586" s="23" t="n">
        <f aca="false">CONCOR!F119</f>
        <v>0.362845677294247</v>
      </c>
      <c r="E586" s="23" t="n">
        <f aca="false">CONCOR!G119</f>
        <v>0.349523571694381</v>
      </c>
      <c r="F586" s="23" t="n">
        <f aca="false">CONCOR!H119</f>
        <v>0.34093264967221</v>
      </c>
      <c r="G586" s="23" t="n">
        <f aca="false">CONCOR!I119</f>
        <v>0.332255356688744</v>
      </c>
      <c r="H586" s="23" t="n">
        <f aca="false">CONCOR!J119</f>
        <v>0.336564610302711</v>
      </c>
      <c r="I586" s="24" t="n">
        <f aca="false">CONCOR!K119</f>
        <v>0.34613338794925</v>
      </c>
      <c r="J586" s="34" t="str">
        <f aca="false">IF(AND(ISNUMBER(H586),ISNUMBER(H$595)),IF(H586&gt;H$595,"Above",IF(H586&lt;H$595,"Below","At")),"-")</f>
        <v>Above</v>
      </c>
      <c r="K586" s="34" t="str">
        <f aca="false">IF(J586="Above","Better",IF(J586="Below","Weaker","-"))</f>
        <v>Better</v>
      </c>
      <c r="L586" s="34" t="n">
        <f aca="false">IF(ISNUMBER(H586),RANK(H586,H$583:H$592,0),"-")</f>
        <v>2</v>
      </c>
      <c r="N586" s="34" t="str">
        <f aca="false">IF(AND(ISNUMBER(I586),ISNUMBER(I$595)),IF(I586&gt;I$595,"Above",IF(I586&lt;I$595,"Below","At")),"-")</f>
        <v>Above</v>
      </c>
      <c r="O586" s="34" t="str">
        <f aca="false">IF(N586="Above","Better",IF(N586="Below","Weaker","-"))</f>
        <v>Better</v>
      </c>
    </row>
    <row r="587" customFormat="false" ht="15" hidden="false" customHeight="false" outlineLevel="0" collapsed="false">
      <c r="A587" s="18" t="s">
        <v>113</v>
      </c>
      <c r="B587" s="23" t="n">
        <f aca="false">JetFreight!D119</f>
        <v>0.050837280672493</v>
      </c>
      <c r="C587" s="23" t="n">
        <f aca="false">JetFreight!E119</f>
        <v>0.056806712996338</v>
      </c>
      <c r="D587" s="23" t="n">
        <f aca="false">JetFreight!F119</f>
        <v>0.0628338733689465</v>
      </c>
      <c r="E587" s="23" t="n">
        <f aca="false">JetFreight!G119</f>
        <v>0.0736998728071229</v>
      </c>
      <c r="F587" s="23" t="n">
        <f aca="false">JetFreight!H119</f>
        <v>0.0901565360909817</v>
      </c>
      <c r="G587" s="23" t="n">
        <f aca="false">JetFreight!I119</f>
        <v>0.0925726587728741</v>
      </c>
      <c r="H587" s="23" t="n">
        <f aca="false">JetFreight!J119</f>
        <v>0.098856061970816</v>
      </c>
      <c r="I587" s="24" t="n">
        <f aca="false">JetFreight!K119</f>
        <v>0.0751089995256532</v>
      </c>
      <c r="J587" s="34" t="str">
        <f aca="false">IF(AND(ISNUMBER(H587),ISNUMBER(H$595)),IF(H587&gt;H$595,"Above",IF(H587&lt;H$595,"Below","At")),"-")</f>
        <v>Below</v>
      </c>
      <c r="K587" s="34" t="str">
        <f aca="false">IF(J587="Above","Better",IF(J587="Below","Weaker","-"))</f>
        <v>Weaker</v>
      </c>
      <c r="L587" s="34" t="n">
        <f aca="false">IF(ISNUMBER(H587),RANK(H587,H$583:H$592,0),"-")</f>
        <v>9</v>
      </c>
      <c r="N587" s="34" t="str">
        <f aca="false">IF(AND(ISNUMBER(I587),ISNUMBER(I$595)),IF(I587&gt;I$595,"Above",IF(I587&lt;I$595,"Below","At")),"-")</f>
        <v>Below</v>
      </c>
      <c r="O587" s="34" t="str">
        <f aca="false">IF(N587="Above","Better",IF(N587="Below","Weaker","-"))</f>
        <v>Weaker</v>
      </c>
    </row>
    <row r="588" customFormat="false" ht="15" hidden="false" customHeight="false" outlineLevel="0" collapsed="false">
      <c r="A588" s="18" t="s">
        <v>114</v>
      </c>
      <c r="B588" s="23" t="n">
        <f aca="false">Patel!D119</f>
        <v>0.111597248208169</v>
      </c>
      <c r="C588" s="23" t="n">
        <f aca="false">Patel!E119</f>
        <v>0.103886925795053</v>
      </c>
      <c r="D588" s="23" t="n">
        <f aca="false">Patel!F119</f>
        <v>0.101997268692386</v>
      </c>
      <c r="E588" s="23" t="n">
        <f aca="false">Patel!G119</f>
        <v>0.102666379186431</v>
      </c>
      <c r="F588" s="23" t="n">
        <f aca="false">Patel!H119</f>
        <v>0.0975391498881433</v>
      </c>
      <c r="G588" s="23" t="n">
        <f aca="false">Patel!I119</f>
        <v>0.0843911406810821</v>
      </c>
      <c r="H588" s="23" t="n">
        <f aca="false">Patel!J119</f>
        <v>0.092064736517892</v>
      </c>
      <c r="I588" s="24" t="n">
        <f aca="false">Patel!K119</f>
        <v>0.099163264138451</v>
      </c>
      <c r="J588" s="34" t="str">
        <f aca="false">IF(AND(ISNUMBER(H588),ISNUMBER(H$595)),IF(H588&gt;H$595,"Above",IF(H588&lt;H$595,"Below","At")),"-")</f>
        <v>Below</v>
      </c>
      <c r="K588" s="34" t="str">
        <f aca="false">IF(J588="Above","Better",IF(J588="Below","Weaker","-"))</f>
        <v>Weaker</v>
      </c>
      <c r="L588" s="34" t="n">
        <f aca="false">IF(ISNUMBER(H588),RANK(H588,H$583:H$592,0),"-")</f>
        <v>10</v>
      </c>
      <c r="N588" s="34" t="str">
        <f aca="false">IF(AND(ISNUMBER(I588),ISNUMBER(I$595)),IF(I588&gt;I$595,"Above",IF(I588&lt;I$595,"Below","At")),"-")</f>
        <v>Below</v>
      </c>
      <c r="O588" s="34" t="str">
        <f aca="false">IF(N588="Above","Better",IF(N588="Below","Weaker","-"))</f>
        <v>Weaker</v>
      </c>
    </row>
    <row r="589" customFormat="false" ht="15" hidden="false" customHeight="false" outlineLevel="0" collapsed="false">
      <c r="A589" s="18" t="s">
        <v>115</v>
      </c>
      <c r="B589" s="23" t="n">
        <f aca="false">Sical!D119</f>
        <v>0.169848087170922</v>
      </c>
      <c r="C589" s="23" t="n">
        <f aca="false">Sical!E119</f>
        <v>0.235589619363422</v>
      </c>
      <c r="D589" s="23" t="n">
        <f aca="false">Sical!F119</f>
        <v>0.110098317424829</v>
      </c>
      <c r="E589" s="23" t="n">
        <f aca="false">Sical!G119</f>
        <v>0.179719976537196</v>
      </c>
      <c r="F589" s="23" t="n">
        <f aca="false">Sical!H119</f>
        <v>0.281966619928536</v>
      </c>
      <c r="G589" s="23" t="n">
        <f aca="false">Sical!I119</f>
        <v>0.297583626363718</v>
      </c>
      <c r="H589" s="23" t="n">
        <f aca="false">Sical!J119</f>
        <v>0.334655673096868</v>
      </c>
      <c r="I589" s="24" t="n">
        <f aca="false">Sical!K119</f>
        <v>0.229923131412213</v>
      </c>
      <c r="J589" s="34" t="str">
        <f aca="false">IF(AND(ISNUMBER(H589),ISNUMBER(H$595)),IF(H589&gt;H$595,"Above",IF(H589&lt;H$595,"Below","At")),"-")</f>
        <v>Above</v>
      </c>
      <c r="K589" s="34" t="str">
        <f aca="false">IF(J589="Above","Better",IF(J589="Below","Weaker","-"))</f>
        <v>Better</v>
      </c>
      <c r="L589" s="34" t="n">
        <f aca="false">IF(ISNUMBER(H589),RANK(H589,H$583:H$592,0),"-")</f>
        <v>3</v>
      </c>
      <c r="N589" s="34" t="str">
        <f aca="false">IF(AND(ISNUMBER(I589),ISNUMBER(I$595)),IF(I589&gt;I$595,"Above",IF(I589&lt;I$595,"Below","At")),"-")</f>
        <v>Above</v>
      </c>
      <c r="O589" s="34" t="str">
        <f aca="false">IF(N589="Above","Better",IF(N589="Below","Weaker","-"))</f>
        <v>Better</v>
      </c>
    </row>
    <row r="590" customFormat="false" ht="15" hidden="false" customHeight="false" outlineLevel="0" collapsed="false">
      <c r="A590" s="18" t="s">
        <v>86</v>
      </c>
      <c r="B590" s="23" t="n">
        <f aca="false">TCI!D119</f>
        <v>0.177825037529803</v>
      </c>
      <c r="C590" s="23" t="n">
        <f aca="false">TCI!E119</f>
        <v>0.172984488240395</v>
      </c>
      <c r="D590" s="23" t="n">
        <f aca="false">TCI!F119</f>
        <v>0.201140907263694</v>
      </c>
      <c r="E590" s="23" t="n">
        <f aca="false">TCI!G119</f>
        <v>0.189413546874215</v>
      </c>
      <c r="F590" s="23" t="n">
        <f aca="false">TCI!H119</f>
        <v>0.184652582089626</v>
      </c>
      <c r="G590" s="23" t="n">
        <f aca="false">TCI!I119</f>
        <v>0.184937819750745</v>
      </c>
      <c r="H590" s="23" t="n">
        <f aca="false">TCI!J119</f>
        <v>0.188717389668421</v>
      </c>
      <c r="I590" s="24" t="n">
        <f aca="false">TCI!K119</f>
        <v>0.1856673959167</v>
      </c>
      <c r="J590" s="34" t="str">
        <f aca="false">IF(AND(ISNUMBER(H590),ISNUMBER(H$595)),IF(H590&gt;H$595,"Above",IF(H590&lt;H$595,"Below","At")),"-")</f>
        <v>Above</v>
      </c>
      <c r="K590" s="34" t="str">
        <f aca="false">IF(J590="Above","Better",IF(J590="Below","Weaker","-"))</f>
        <v>Better</v>
      </c>
      <c r="L590" s="34" t="n">
        <f aca="false">IF(ISNUMBER(H590),RANK(H590,H$583:H$592,0),"-")</f>
        <v>5</v>
      </c>
      <c r="N590" s="34" t="str">
        <f aca="false">IF(AND(ISNUMBER(I590),ISNUMBER(I$595)),IF(I590&gt;I$595,"Above",IF(I590&lt;I$595,"Below","At")),"-")</f>
        <v>Below</v>
      </c>
      <c r="O590" s="34" t="str">
        <f aca="false">IF(N590="Above","Better",IF(N590="Below","Weaker","-"))</f>
        <v>Weaker</v>
      </c>
    </row>
    <row r="591" customFormat="false" ht="15" hidden="false" customHeight="false" outlineLevel="0" collapsed="false">
      <c r="A591" s="18" t="s">
        <v>116</v>
      </c>
      <c r="B591" s="23" t="n">
        <f aca="false">Shreeji!D119</f>
        <v>0.239363636363636</v>
      </c>
      <c r="C591" s="23" t="n">
        <f aca="false">Shreeji!E119</f>
        <v>0.20031414580061</v>
      </c>
      <c r="D591" s="23" t="n">
        <f aca="false">Shreeji!F119</f>
        <v>0.252534505924026</v>
      </c>
      <c r="E591" s="23" t="n">
        <f aca="false">Shreeji!G119</f>
        <v>0.212990774511907</v>
      </c>
      <c r="F591" s="23" t="n">
        <f aca="false">Shreeji!H119</f>
        <v>0.167904191616766</v>
      </c>
      <c r="G591" s="23" t="n">
        <f aca="false">Shreeji!I119</f>
        <v>0.153601598691979</v>
      </c>
      <c r="H591" s="23" t="n">
        <f aca="false">Shreeji!J119</f>
        <v>0.143283964317726</v>
      </c>
      <c r="I591" s="24" t="n">
        <f aca="false">Shreeji!K119</f>
        <v>0.195713259603807</v>
      </c>
      <c r="J591" s="34" t="str">
        <f aca="false">IF(AND(ISNUMBER(H591),ISNUMBER(H$595)),IF(H591&gt;H$595,"Above",IF(H591&lt;H$595,"Below","At")),"-")</f>
        <v>Below</v>
      </c>
      <c r="K591" s="34" t="str">
        <f aca="false">IF(J591="Above","Better",IF(J591="Below","Weaker","-"))</f>
        <v>Weaker</v>
      </c>
      <c r="L591" s="34" t="n">
        <f aca="false">IF(ISNUMBER(H591),RANK(H591,H$583:H$592,0),"-")</f>
        <v>6</v>
      </c>
      <c r="N591" s="34" t="str">
        <f aca="false">IF(AND(ISNUMBER(I591),ISNUMBER(I$595)),IF(I591&gt;I$595,"Above",IF(I591&lt;I$595,"Below","At")),"-")</f>
        <v>Above</v>
      </c>
      <c r="O591" s="34" t="str">
        <f aca="false">IF(N591="Above","Better",IF(N591="Below","Weaker","-"))</f>
        <v>Better</v>
      </c>
    </row>
    <row r="592" customFormat="false" ht="15" hidden="false" customHeight="false" outlineLevel="0" collapsed="false">
      <c r="A592" s="18" t="s">
        <v>117</v>
      </c>
      <c r="B592" s="23" t="n">
        <f aca="false">MahindraLog!D119</f>
        <v>0.152612686322073</v>
      </c>
      <c r="C592" s="23" t="n">
        <f aca="false">MahindraLog!E119</f>
        <v>0.15029475567757</v>
      </c>
      <c r="D592" s="23" t="n">
        <f aca="false">MahindraLog!F119</f>
        <v>0.13984147837595</v>
      </c>
      <c r="E592" s="23" t="n">
        <f aca="false">MahindraLog!G119</f>
        <v>0.1429326344649</v>
      </c>
      <c r="F592" s="23" t="n">
        <f aca="false">MahindraLog!H119</f>
        <v>0.146975010761047</v>
      </c>
      <c r="G592" s="23" t="n">
        <f aca="false">MahindraLog!I119</f>
        <v>0.136747460617249</v>
      </c>
      <c r="H592" s="23" t="n">
        <f aca="false">MahindraLog!J119</f>
        <v>0.137522323660938</v>
      </c>
      <c r="I592" s="24" t="n">
        <f aca="false">MahindraLog!K119</f>
        <v>0.143846621411389</v>
      </c>
      <c r="J592" s="34" t="str">
        <f aca="false">IF(AND(ISNUMBER(H592),ISNUMBER(H$595)),IF(H592&gt;H$595,"Above",IF(H592&lt;H$595,"Below","At")),"-")</f>
        <v>Below</v>
      </c>
      <c r="K592" s="34" t="str">
        <f aca="false">IF(J592="Above","Better",IF(J592="Below","Weaker","-"))</f>
        <v>Weaker</v>
      </c>
      <c r="L592" s="34" t="n">
        <f aca="false">IF(ISNUMBER(H592),RANK(H592,H$583:H$592,0),"-")</f>
        <v>7</v>
      </c>
      <c r="N592" s="34" t="str">
        <f aca="false">IF(AND(ISNUMBER(I592),ISNUMBER(I$595)),IF(I592&gt;I$595,"Above",IF(I592&lt;I$595,"Below","At")),"-")</f>
        <v>Below</v>
      </c>
      <c r="O592" s="34" t="str">
        <f aca="false">IF(N592="Above","Better",IF(N592="Below","Weaker","-"))</f>
        <v>Weaker</v>
      </c>
    </row>
    <row r="593" customFormat="false" ht="15" hidden="false" customHeight="false" outlineLevel="0" collapsed="false">
      <c r="A593" s="12" t="s">
        <v>176</v>
      </c>
      <c r="B593" s="24" t="n">
        <f aca="false">Industry!D119</f>
        <v>0.273093637535156</v>
      </c>
      <c r="C593" s="24" t="n">
        <f aca="false">Industry!E119</f>
        <v>0.271793336203422</v>
      </c>
      <c r="D593" s="24" t="n">
        <f aca="false">Industry!F119</f>
        <v>0.238828911117363</v>
      </c>
      <c r="E593" s="24" t="n">
        <f aca="false">Industry!G119</f>
        <v>0.244009022648027</v>
      </c>
      <c r="F593" s="24" t="n">
        <f aca="false">Industry!H119</f>
        <v>0.259449007572536</v>
      </c>
      <c r="G593" s="24" t="n">
        <f aca="false">Industry!I119</f>
        <v>0.262302558152078</v>
      </c>
      <c r="H593" s="24" t="n">
        <f aca="false">Industry!J119</f>
        <v>0.262721507967986</v>
      </c>
      <c r="I593" s="24" t="n">
        <f aca="false">Industry!K119</f>
        <v>0.258885425885224</v>
      </c>
    </row>
    <row r="594" customFormat="false" ht="15" hidden="false" customHeight="false" outlineLevel="0" collapsed="false">
      <c r="A594" s="35" t="s">
        <v>177</v>
      </c>
      <c r="B594" s="39" t="n">
        <f aca="false">IFERROR(AVERAGE(B583:B592),"N/M")</f>
        <v>0.204069100178762</v>
      </c>
      <c r="C594" s="39" t="n">
        <f aca="false">IFERROR(AVERAGE(C583:C592),"N/M")</f>
        <v>0.208109814214206</v>
      </c>
      <c r="D594" s="39" t="n">
        <f aca="false">IFERROR(AVERAGE(D583:D592),"N/M")</f>
        <v>0.196013932114042</v>
      </c>
      <c r="E594" s="39" t="n">
        <f aca="false">IFERROR(AVERAGE(E583:E592),"N/M")</f>
        <v>0.196081135625259</v>
      </c>
      <c r="F594" s="39" t="n">
        <f aca="false">IFERROR(AVERAGE(F583:F592),"N/M")</f>
        <v>0.208086900658092</v>
      </c>
      <c r="G594" s="39" t="n">
        <f aca="false">IFERROR(AVERAGE(G583:G592),"N/M")</f>
        <v>0.204904537749077</v>
      </c>
      <c r="H594" s="39" t="n">
        <f aca="false">IFERROR(AVERAGE(H583:H592),"N/M")</f>
        <v>0.209086896436161</v>
      </c>
      <c r="I594" s="39" t="n">
        <f aca="false">IFERROR(AVERAGE(I583:I592),"N/M")</f>
        <v>0.2037646167108</v>
      </c>
    </row>
    <row r="595" customFormat="false" ht="15" hidden="false" customHeight="false" outlineLevel="0" collapsed="false">
      <c r="A595" s="35" t="s">
        <v>178</v>
      </c>
      <c r="B595" s="39" t="n">
        <f aca="false">IFERROR(MEDIAN(B583:B592),"N/M")</f>
        <v>0.173836562350363</v>
      </c>
      <c r="C595" s="39" t="n">
        <f aca="false">IFERROR(MEDIAN(C583:C592),"N/M")</f>
        <v>0.186649317020502</v>
      </c>
      <c r="D595" s="39" t="n">
        <f aca="false">IFERROR(MEDIAN(D583:D592),"N/M")</f>
        <v>0.159186012720846</v>
      </c>
      <c r="E595" s="39" t="n">
        <f aca="false">IFERROR(MEDIAN(E583:E592),"N/M")</f>
        <v>0.184566761705706</v>
      </c>
      <c r="F595" s="39" t="n">
        <f aca="false">IFERROR(MEDIAN(F583:F592),"N/M")</f>
        <v>0.176278386853196</v>
      </c>
      <c r="G595" s="39" t="n">
        <f aca="false">IFERROR(MEDIAN(G583:G592),"N/M")</f>
        <v>0.169269709221362</v>
      </c>
      <c r="H595" s="39" t="n">
        <f aca="false">IFERROR(MEDIAN(H583:H592),"N/M")</f>
        <v>0.166000676993073</v>
      </c>
      <c r="I595" s="39" t="n">
        <f aca="false">IFERROR(MEDIAN(I583:I592),"N/M")</f>
        <v>0.190690327760254</v>
      </c>
    </row>
    <row r="596" customFormat="false" ht="15" hidden="false" customHeight="false" outlineLevel="0" collapsed="false">
      <c r="A596" s="35" t="s">
        <v>179</v>
      </c>
      <c r="B596" s="39" t="n">
        <f aca="false">IFERROR(STDEV(B583:B592),"N/M")</f>
        <v>0.124944361027214</v>
      </c>
      <c r="C596" s="39" t="n">
        <f aca="false">IFERROR(STDEV(C583:C592),"N/M")</f>
        <v>0.134910611628972</v>
      </c>
      <c r="D596" s="39" t="n">
        <f aca="false">IFERROR(STDEV(D583:D592),"N/M")</f>
        <v>0.12915196000168</v>
      </c>
      <c r="E596" s="39" t="n">
        <f aca="false">IFERROR(STDEV(E583:E592),"N/M")</f>
        <v>0.104727836055056</v>
      </c>
      <c r="F596" s="39" t="n">
        <f aca="false">IFERROR(STDEV(F583:F592),"N/M")</f>
        <v>0.102406739275057</v>
      </c>
      <c r="G596" s="39" t="n">
        <f aca="false">IFERROR(STDEV(G583:G592),"N/M")</f>
        <v>0.10914956627962</v>
      </c>
      <c r="H596" s="39" t="n">
        <f aca="false">IFERROR(STDEV(H583:H592),"N/M")</f>
        <v>0.113443727522956</v>
      </c>
      <c r="I596" s="39" t="n">
        <f aca="false">IFERROR(STDEV(I583:I592),"N/M")</f>
        <v>0.112349653189973</v>
      </c>
    </row>
    <row r="597" customFormat="false" ht="15" hidden="false" customHeight="false" outlineLevel="0" collapsed="false">
      <c r="A597" s="35" t="s">
        <v>102</v>
      </c>
      <c r="B597" s="39" t="n">
        <f aca="false">IFERROR(MIN(B583:B592),"N/M")</f>
        <v>0.050837280672493</v>
      </c>
      <c r="C597" s="39" t="n">
        <f aca="false">IFERROR(MIN(C583:C592),"N/M")</f>
        <v>0.056806712996338</v>
      </c>
      <c r="D597" s="39" t="n">
        <f aca="false">IFERROR(MIN(D583:D592),"N/M")</f>
        <v>0.0628338733689465</v>
      </c>
      <c r="E597" s="39" t="n">
        <f aca="false">IFERROR(MIN(E583:E592),"N/M")</f>
        <v>0.0736998728071229</v>
      </c>
      <c r="F597" s="39" t="n">
        <f aca="false">IFERROR(MIN(F583:F592),"N/M")</f>
        <v>0.0901565360909817</v>
      </c>
      <c r="G597" s="39" t="n">
        <f aca="false">IFERROR(MIN(G583:G592),"N/M")</f>
        <v>0.0843911406810821</v>
      </c>
      <c r="H597" s="39" t="n">
        <f aca="false">IFERROR(MIN(H583:H592),"N/M")</f>
        <v>0.092064736517892</v>
      </c>
      <c r="I597" s="39" t="n">
        <f aca="false">IFERROR(MIN(I583:I592),"N/M")</f>
        <v>0.0751089995256532</v>
      </c>
    </row>
    <row r="598" customFormat="false" ht="15" hidden="false" customHeight="false" outlineLevel="0" collapsed="false">
      <c r="A598" s="35" t="s">
        <v>103</v>
      </c>
      <c r="B598" s="39" t="n">
        <f aca="false">IFERROR(MAX(B583:B592),"N/M")</f>
        <v>0.456938771010951</v>
      </c>
      <c r="C598" s="39" t="n">
        <f aca="false">IFERROR(MAX(C583:C592),"N/M")</f>
        <v>0.497401258466058</v>
      </c>
      <c r="D598" s="39" t="n">
        <f aca="false">IFERROR(MAX(D583:D592),"N/M")</f>
        <v>0.46106441687885</v>
      </c>
      <c r="E598" s="39" t="n">
        <f aca="false">IFERROR(MAX(E583:E592),"N/M")</f>
        <v>0.397135079327639</v>
      </c>
      <c r="F598" s="39" t="n">
        <f aca="false">IFERROR(MAX(F583:F592),"N/M")</f>
        <v>0.393571926201111</v>
      </c>
      <c r="G598" s="39" t="n">
        <f aca="false">IFERROR(MAX(G583:G592),"N/M")</f>
        <v>0.384071829907451</v>
      </c>
      <c r="H598" s="39" t="n">
        <f aca="false">IFERROR(MAX(H583:H592),"N/M")</f>
        <v>0.39087557483618</v>
      </c>
      <c r="I598" s="39" t="n">
        <f aca="false">IFERROR(MAX(I583:I592),"N/M")</f>
        <v>0.425865550946891</v>
      </c>
    </row>
    <row r="600" customFormat="false" ht="15" hidden="false" customHeight="false" outlineLevel="0" collapsed="false">
      <c r="A600" s="16" t="s">
        <v>213</v>
      </c>
      <c r="B600" s="17"/>
      <c r="C600" s="17"/>
      <c r="D600" s="17"/>
      <c r="E600" s="17"/>
      <c r="F600" s="17"/>
      <c r="G600" s="17"/>
      <c r="H600" s="17"/>
      <c r="I600" s="17"/>
      <c r="J600" s="17"/>
      <c r="K600" s="17"/>
      <c r="L600" s="17"/>
      <c r="M600" s="17"/>
    </row>
    <row r="601" customFormat="false" ht="15" hidden="false" customHeight="false" outlineLevel="0" collapsed="false">
      <c r="A601" s="18" t="s">
        <v>110</v>
      </c>
      <c r="B601" s="23" t="n">
        <f aca="false">Tiger!D120</f>
        <v>-0.0220660993469226</v>
      </c>
      <c r="C601" s="23" t="n">
        <f aca="false">Tiger!E120</f>
        <v>-0.0551490273067999</v>
      </c>
      <c r="D601" s="23" t="n">
        <f aca="false">Tiger!F120</f>
        <v>0.0643065456902139</v>
      </c>
      <c r="E601" s="23" t="n">
        <f aca="false">Tiger!G120</f>
        <v>0.0753306367313548</v>
      </c>
      <c r="F601" s="23" t="n">
        <f aca="false">Tiger!H120</f>
        <v>0.078766281641681</v>
      </c>
      <c r="G601" s="23" t="n">
        <f aca="false">Tiger!I120</f>
        <v>0.0739021974393778</v>
      </c>
      <c r="H601" s="23" t="n">
        <f aca="false">Tiger!J120</f>
        <v>0.0608589421521732</v>
      </c>
      <c r="I601" s="24" t="n">
        <f aca="false">Tiger!K120</f>
        <v>0.0394213538572969</v>
      </c>
      <c r="J601" s="34" t="str">
        <f aca="false">IF(AND(ISNUMBER(H601),ISNUMBER(H$613)),IF(H601&gt;H$613,"Above",IF(H601&lt;H$613,"Below","At")),"-")</f>
        <v>Below</v>
      </c>
      <c r="K601" s="34" t="str">
        <f aca="false">IF(J601="Above","Better",IF(J601="Below","Weaker","-"))</f>
        <v>Weaker</v>
      </c>
      <c r="L601" s="34" t="n">
        <f aca="false">IF(ISNUMBER(H601),RANK(H601,H$601:H$610,0),"-")</f>
        <v>6</v>
      </c>
      <c r="N601" s="34" t="str">
        <f aca="false">IF(AND(ISNUMBER(I601),ISNUMBER(I$613)),IF(I601&gt;I$613,"Above",IF(I601&lt;I$613,"Below","At")),"-")</f>
        <v>Below</v>
      </c>
      <c r="O601" s="34" t="str">
        <f aca="false">IF(N601="Above","Better",IF(N601="Below","Weaker","-"))</f>
        <v>Weaker</v>
      </c>
    </row>
    <row r="602" customFormat="false" ht="15" hidden="false" customHeight="false" outlineLevel="0" collapsed="false">
      <c r="A602" s="18" t="s">
        <v>111</v>
      </c>
      <c r="B602" s="23" t="n">
        <f aca="false">Allcargo!D120</f>
        <v>0.0821906212967666</v>
      </c>
      <c r="C602" s="23" t="n">
        <f aca="false">Allcargo!E120</f>
        <v>0.0581472805762546</v>
      </c>
      <c r="D602" s="23" t="n">
        <f aca="false">Allcargo!F120</f>
        <v>0.0804393212933882</v>
      </c>
      <c r="E602" s="23" t="n">
        <f aca="false">Allcargo!G120</f>
        <v>0.06928758044392</v>
      </c>
      <c r="F602" s="23" t="n">
        <f aca="false">Allcargo!H120</f>
        <v>0.053323183317616</v>
      </c>
      <c r="G602" s="23" t="n">
        <f aca="false">Allcargo!I120</f>
        <v>0.133924175283112</v>
      </c>
      <c r="H602" s="23" t="n">
        <f aca="false">Allcargo!J120</f>
        <v>0.129001433349259</v>
      </c>
      <c r="I602" s="24" t="n">
        <f aca="false">Allcargo!K120</f>
        <v>0.0866162279371881</v>
      </c>
      <c r="J602" s="34" t="str">
        <f aca="false">IF(AND(ISNUMBER(H602),ISNUMBER(H$613)),IF(H602&gt;H$613,"Above",IF(H602&lt;H$613,"Below","At")),"-")</f>
        <v>Above</v>
      </c>
      <c r="K602" s="34" t="str">
        <f aca="false">IF(J602="Above","Better",IF(J602="Below","Weaker","-"))</f>
        <v>Better</v>
      </c>
      <c r="L602" s="34" t="n">
        <f aca="false">IF(ISNUMBER(H602),RANK(H602,H$601:H$610,0),"-")</f>
        <v>4</v>
      </c>
      <c r="N602" s="34" t="str">
        <f aca="false">IF(AND(ISNUMBER(I602),ISNUMBER(I$613)),IF(I602&gt;I$613,"Above",IF(I602&lt;I$613,"Below","At")),"-")</f>
        <v>Above</v>
      </c>
      <c r="O602" s="34" t="str">
        <f aca="false">IF(N602="Above","Better",IF(N602="Below","Weaker","-"))</f>
        <v>Better</v>
      </c>
    </row>
    <row r="603" customFormat="false" ht="15" hidden="false" customHeight="false" outlineLevel="0" collapsed="false">
      <c r="A603" s="18" t="s">
        <v>112</v>
      </c>
      <c r="B603" s="23" t="n">
        <f aca="false">BlueDart!D120</f>
        <v>0.136140442914677</v>
      </c>
      <c r="C603" s="23" t="n">
        <f aca="false">BlueDart!E120</f>
        <v>0.207379561198813</v>
      </c>
      <c r="D603" s="23" t="n">
        <f aca="false">BlueDart!F120</f>
        <v>0.225790048375637</v>
      </c>
      <c r="E603" s="23" t="n">
        <f aca="false">BlueDart!G120</f>
        <v>0.186299753657665</v>
      </c>
      <c r="F603" s="23" t="n">
        <f aca="false">BlueDart!H120</f>
        <v>0.16990288523912</v>
      </c>
      <c r="G603" s="23" t="n">
        <f aca="false">BlueDart!I120</f>
        <v>0.158821149294346</v>
      </c>
      <c r="H603" s="23" t="n">
        <f aca="false">BlueDart!J120</f>
        <v>0.154505528875915</v>
      </c>
      <c r="I603" s="24" t="n">
        <f aca="false">BlueDart!K120</f>
        <v>0.176977052793739</v>
      </c>
      <c r="J603" s="34" t="str">
        <f aca="false">IF(AND(ISNUMBER(H603),ISNUMBER(H$613)),IF(H603&gt;H$613,"Above",IF(H603&lt;H$613,"Below","At")),"-")</f>
        <v>Above</v>
      </c>
      <c r="K603" s="34" t="str">
        <f aca="false">IF(J603="Above","Better",IF(J603="Below","Weaker","-"))</f>
        <v>Better</v>
      </c>
      <c r="L603" s="34" t="n">
        <f aca="false">IF(ISNUMBER(H603),RANK(H603,H$601:H$610,0),"-")</f>
        <v>3</v>
      </c>
      <c r="N603" s="34" t="str">
        <f aca="false">IF(AND(ISNUMBER(I603),ISNUMBER(I$613)),IF(I603&gt;I$613,"Above",IF(I603&lt;I$613,"Below","At")),"-")</f>
        <v>Above</v>
      </c>
      <c r="O603" s="34" t="str">
        <f aca="false">IF(N603="Above","Better",IF(N603="Below","Weaker","-"))</f>
        <v>Better</v>
      </c>
    </row>
    <row r="604" customFormat="false" ht="15" hidden="false" customHeight="false" outlineLevel="0" collapsed="false">
      <c r="A604" s="18" t="s">
        <v>67</v>
      </c>
      <c r="B604" s="23" t="n">
        <f aca="false">CONCOR!D120</f>
        <v>0.190034987581</v>
      </c>
      <c r="C604" s="23" t="n">
        <f aca="false">CONCOR!E120</f>
        <v>0.191043523764842</v>
      </c>
      <c r="D604" s="23" t="n">
        <f aca="false">CONCOR!F120</f>
        <v>0.254793960360924</v>
      </c>
      <c r="E604" s="23" t="n">
        <f aca="false">CONCOR!G120</f>
        <v>0.258860059749241</v>
      </c>
      <c r="F604" s="23" t="n">
        <f aca="false">CONCOR!H120</f>
        <v>0.260545793335476</v>
      </c>
      <c r="G604" s="23" t="n">
        <f aca="false">CONCOR!I120</f>
        <v>0.254648929115147</v>
      </c>
      <c r="H604" s="23" t="n">
        <f aca="false">CONCOR!J120</f>
        <v>0.247541298582842</v>
      </c>
      <c r="I604" s="24" t="n">
        <f aca="false">CONCOR!K120</f>
        <v>0.23678122178421</v>
      </c>
      <c r="J604" s="34" t="str">
        <f aca="false">IF(AND(ISNUMBER(H604),ISNUMBER(H$613)),IF(H604&gt;H$613,"Above",IF(H604&lt;H$613,"Below","At")),"-")</f>
        <v>Above</v>
      </c>
      <c r="K604" s="34" t="str">
        <f aca="false">IF(J604="Above","Better",IF(J604="Below","Weaker","-"))</f>
        <v>Better</v>
      </c>
      <c r="L604" s="34" t="n">
        <f aca="false">IF(ISNUMBER(H604),RANK(H604,H$601:H$610,0),"-")</f>
        <v>2</v>
      </c>
      <c r="N604" s="34" t="str">
        <f aca="false">IF(AND(ISNUMBER(I604),ISNUMBER(I$613)),IF(I604&gt;I$613,"Above",IF(I604&lt;I$613,"Below","At")),"-")</f>
        <v>Above</v>
      </c>
      <c r="O604" s="34" t="str">
        <f aca="false">IF(N604="Above","Better",IF(N604="Below","Weaker","-"))</f>
        <v>Better</v>
      </c>
    </row>
    <row r="605" customFormat="false" ht="15" hidden="false" customHeight="false" outlineLevel="0" collapsed="false">
      <c r="A605" s="18" t="s">
        <v>113</v>
      </c>
      <c r="B605" s="23" t="n">
        <f aca="false">JetFreight!D120</f>
        <v>-0.00941889103374825</v>
      </c>
      <c r="C605" s="23" t="n">
        <f aca="false">JetFreight!E120</f>
        <v>0.0285270157459915</v>
      </c>
      <c r="D605" s="23" t="n">
        <f aca="false">JetFreight!F120</f>
        <v>0.0246686786510957</v>
      </c>
      <c r="E605" s="23" t="n">
        <f aca="false">JetFreight!G120</f>
        <v>0.0208907309360102</v>
      </c>
      <c r="F605" s="23" t="n">
        <f aca="false">JetFreight!H120</f>
        <v>0.0214488891166748</v>
      </c>
      <c r="G605" s="23" t="n">
        <f aca="false">JetFreight!I120</f>
        <v>0.0349365931680567</v>
      </c>
      <c r="H605" s="23" t="n">
        <f aca="false">JetFreight!J120</f>
        <v>0.0457579071895717</v>
      </c>
      <c r="I605" s="24" t="n">
        <f aca="false">JetFreight!K120</f>
        <v>0.0238301319676646</v>
      </c>
      <c r="J605" s="34" t="str">
        <f aca="false">IF(AND(ISNUMBER(H605),ISNUMBER(H$613)),IF(H605&gt;H$613,"Above",IF(H605&lt;H$613,"Below","At")),"-")</f>
        <v>Below</v>
      </c>
      <c r="K605" s="34" t="str">
        <f aca="false">IF(J605="Above","Better",IF(J605="Below","Weaker","-"))</f>
        <v>Weaker</v>
      </c>
      <c r="L605" s="34" t="n">
        <f aca="false">IF(ISNUMBER(H605),RANK(H605,H$601:H$610,0),"-")</f>
        <v>9</v>
      </c>
      <c r="N605" s="34" t="str">
        <f aca="false">IF(AND(ISNUMBER(I605),ISNUMBER(I$613)),IF(I605&gt;I$613,"Above",IF(I605&lt;I$613,"Below","At")),"-")</f>
        <v>Below</v>
      </c>
      <c r="O605" s="34" t="str">
        <f aca="false">IF(N605="Above","Better",IF(N605="Below","Weaker","-"))</f>
        <v>Weaker</v>
      </c>
    </row>
    <row r="606" customFormat="false" ht="15" hidden="false" customHeight="false" outlineLevel="0" collapsed="false">
      <c r="A606" s="18" t="s">
        <v>114</v>
      </c>
      <c r="B606" s="23" t="n">
        <f aca="false">Patel!D120</f>
        <v>0.0663915256568992</v>
      </c>
      <c r="C606" s="23" t="n">
        <f aca="false">Patel!E120</f>
        <v>0.0470317533364013</v>
      </c>
      <c r="D606" s="23" t="n">
        <f aca="false">Patel!F120</f>
        <v>0.0430688679643626</v>
      </c>
      <c r="E606" s="23" t="n">
        <f aca="false">Patel!G120</f>
        <v>0.0439901530557637</v>
      </c>
      <c r="F606" s="23" t="n">
        <f aca="false">Patel!H120</f>
        <v>0.0378435662518802</v>
      </c>
      <c r="G606" s="23" t="n">
        <f aca="false">Patel!I120</f>
        <v>0.0331846875542943</v>
      </c>
      <c r="H606" s="23" t="n">
        <f aca="false">Patel!J120</f>
        <v>0.0366964831379521</v>
      </c>
      <c r="I606" s="24" t="n">
        <f aca="false">Patel!K120</f>
        <v>0.0440295767082219</v>
      </c>
      <c r="J606" s="34" t="str">
        <f aca="false">IF(AND(ISNUMBER(H606),ISNUMBER(H$613)),IF(H606&gt;H$613,"Above",IF(H606&lt;H$613,"Below","At")),"-")</f>
        <v>Below</v>
      </c>
      <c r="K606" s="34" t="str">
        <f aca="false">IF(J606="Above","Better",IF(J606="Below","Weaker","-"))</f>
        <v>Weaker</v>
      </c>
      <c r="L606" s="34" t="n">
        <f aca="false">IF(ISNUMBER(H606),RANK(H606,H$601:H$610,0),"-")</f>
        <v>10</v>
      </c>
      <c r="N606" s="34" t="str">
        <f aca="false">IF(AND(ISNUMBER(I606),ISNUMBER(I$613)),IF(I606&gt;I$613,"Above",IF(I606&lt;I$613,"Below","At")),"-")</f>
        <v>Below</v>
      </c>
      <c r="O606" s="34" t="str">
        <f aca="false">IF(N606="Above","Better",IF(N606="Below","Weaker","-"))</f>
        <v>Weaker</v>
      </c>
    </row>
    <row r="607" customFormat="false" ht="15" hidden="false" customHeight="false" outlineLevel="0" collapsed="false">
      <c r="A607" s="18" t="s">
        <v>115</v>
      </c>
      <c r="B607" s="23" t="n">
        <f aca="false">Sical!D120</f>
        <v>0.00630055178145202</v>
      </c>
      <c r="C607" s="23" t="str">
        <f aca="false">Sical!E120</f>
        <v>N/M</v>
      </c>
      <c r="D607" s="23" t="n">
        <f aca="false">Sical!F120</f>
        <v>-0.698756676298048</v>
      </c>
      <c r="E607" s="23" t="str">
        <f aca="false">Sical!G120</f>
        <v>N/M</v>
      </c>
      <c r="F607" s="23" t="n">
        <f aca="false">Sical!H120</f>
        <v>0.237603459846395</v>
      </c>
      <c r="G607" s="23" t="n">
        <f aca="false">Sical!I120</f>
        <v>0.200566662676084</v>
      </c>
      <c r="H607" s="23" t="n">
        <f aca="false">Sical!J120</f>
        <v>0.357202610005019</v>
      </c>
      <c r="I607" s="24" t="n">
        <f aca="false">Sical!K120</f>
        <v>0.0205833216021806</v>
      </c>
      <c r="J607" s="34" t="str">
        <f aca="false">IF(AND(ISNUMBER(H607),ISNUMBER(H$613)),IF(H607&gt;H$613,"Above",IF(H607&lt;H$613,"Below","At")),"-")</f>
        <v>Above</v>
      </c>
      <c r="K607" s="34" t="str">
        <f aca="false">IF(J607="Above","Better",IF(J607="Below","Weaker","-"))</f>
        <v>Better</v>
      </c>
      <c r="L607" s="34" t="n">
        <f aca="false">IF(ISNUMBER(H607),RANK(H607,H$601:H$610,0),"-")</f>
        <v>1</v>
      </c>
      <c r="N607" s="34" t="str">
        <f aca="false">IF(AND(ISNUMBER(I607),ISNUMBER(I$613)),IF(I607&gt;I$613,"Above",IF(I607&lt;I$613,"Below","At")),"-")</f>
        <v>Below</v>
      </c>
      <c r="O607" s="34" t="str">
        <f aca="false">IF(N607="Above","Better",IF(N607="Below","Weaker","-"))</f>
        <v>Weaker</v>
      </c>
    </row>
    <row r="608" customFormat="false" ht="15" hidden="false" customHeight="false" outlineLevel="0" collapsed="false">
      <c r="A608" s="18" t="s">
        <v>86</v>
      </c>
      <c r="B608" s="23" t="n">
        <f aca="false">TCI!D120</f>
        <v>0.100249970933612</v>
      </c>
      <c r="C608" s="23" t="n">
        <f aca="false">TCI!E120</f>
        <v>0.103687441098714</v>
      </c>
      <c r="D608" s="23" t="n">
        <f aca="false">TCI!F120</f>
        <v>0.138140647231556</v>
      </c>
      <c r="E608" s="23" t="n">
        <f aca="false">TCI!G120</f>
        <v>0.128556818240812</v>
      </c>
      <c r="F608" s="23" t="n">
        <f aca="false">TCI!H120</f>
        <v>0.127885701596007</v>
      </c>
      <c r="G608" s="23" t="n">
        <f aca="false">TCI!I120</f>
        <v>0.129118575195608</v>
      </c>
      <c r="H608" s="23" t="n">
        <f aca="false">TCI!J120</f>
        <v>0.128766282006835</v>
      </c>
      <c r="I608" s="24" t="n">
        <f aca="false">TCI!K120</f>
        <v>0.122343633757592</v>
      </c>
      <c r="J608" s="34" t="str">
        <f aca="false">IF(AND(ISNUMBER(H608),ISNUMBER(H$613)),IF(H608&gt;H$613,"Above",IF(H608&lt;H$613,"Below","At")),"-")</f>
        <v>Above</v>
      </c>
      <c r="K608" s="34" t="str">
        <f aca="false">IF(J608="Above","Better",IF(J608="Below","Weaker","-"))</f>
        <v>Better</v>
      </c>
      <c r="L608" s="34" t="n">
        <f aca="false">IF(ISNUMBER(H608),RANK(H608,H$601:H$610,0),"-")</f>
        <v>5</v>
      </c>
      <c r="N608" s="34" t="str">
        <f aca="false">IF(AND(ISNUMBER(I608),ISNUMBER(I$613)),IF(I608&gt;I$613,"Above",IF(I608&lt;I$613,"Below","At")),"-")</f>
        <v>Above</v>
      </c>
      <c r="O608" s="34" t="str">
        <f aca="false">IF(N608="Above","Better",IF(N608="Below","Weaker","-"))</f>
        <v>Better</v>
      </c>
    </row>
    <row r="609" customFormat="false" ht="15" hidden="false" customHeight="false" outlineLevel="0" collapsed="false">
      <c r="A609" s="18" t="s">
        <v>116</v>
      </c>
      <c r="B609" s="23" t="n">
        <f aca="false">Shreeji!D120</f>
        <v>0.0893098782138024</v>
      </c>
      <c r="C609" s="23" t="n">
        <f aca="false">Shreeji!E120</f>
        <v>0.069562016930438</v>
      </c>
      <c r="D609" s="23" t="n">
        <f aca="false">Shreeji!F120</f>
        <v>0.11863085960916</v>
      </c>
      <c r="E609" s="23" t="n">
        <f aca="false">Shreeji!G120</f>
        <v>0.109158878504673</v>
      </c>
      <c r="F609" s="23" t="n">
        <f aca="false">Shreeji!H120</f>
        <v>0.117369102964713</v>
      </c>
      <c r="G609" s="23" t="n">
        <f aca="false">Shreeji!I120</f>
        <v>0.0516056591062205</v>
      </c>
      <c r="H609" s="23" t="n">
        <f aca="false">Shreeji!J120</f>
        <v>0.0491899605473013</v>
      </c>
      <c r="I609" s="24" t="n">
        <f aca="false">Shreeji!K120</f>
        <v>0.0864037651251868</v>
      </c>
      <c r="J609" s="34" t="str">
        <f aca="false">IF(AND(ISNUMBER(H609),ISNUMBER(H$613)),IF(H609&gt;H$613,"Above",IF(H609&lt;H$613,"Below","At")),"-")</f>
        <v>Below</v>
      </c>
      <c r="K609" s="34" t="str">
        <f aca="false">IF(J609="Above","Better",IF(J609="Below","Weaker","-"))</f>
        <v>Weaker</v>
      </c>
      <c r="L609" s="34" t="n">
        <f aca="false">IF(ISNUMBER(H609),RANK(H609,H$601:H$610,0),"-")</f>
        <v>8</v>
      </c>
      <c r="N609" s="34" t="str">
        <f aca="false">IF(AND(ISNUMBER(I609),ISNUMBER(I$613)),IF(I609&gt;I$613,"Above",IF(I609&lt;I$613,"Below","At")),"-")</f>
        <v>Above</v>
      </c>
      <c r="O609" s="34" t="str">
        <f aca="false">IF(N609="Above","Better",IF(N609="Below","Weaker","-"))</f>
        <v>Better</v>
      </c>
    </row>
    <row r="610" customFormat="false" ht="15" hidden="false" customHeight="false" outlineLevel="0" collapsed="false">
      <c r="A610" s="18" t="s">
        <v>117</v>
      </c>
      <c r="B610" s="23" t="n">
        <f aca="false">MahindraLog!D120</f>
        <v>0.0494273883687097</v>
      </c>
      <c r="C610" s="23" t="n">
        <f aca="false">MahindraLog!E120</f>
        <v>0.0454365188317195</v>
      </c>
      <c r="D610" s="23" t="n">
        <f aca="false">MahindraLog!F120</f>
        <v>0.0476259252572667</v>
      </c>
      <c r="E610" s="23" t="n">
        <f aca="false">MahindraLog!G120</f>
        <v>0.0535801768314969</v>
      </c>
      <c r="F610" s="23" t="n">
        <f aca="false">MahindraLog!H120</f>
        <v>0.04538240047489</v>
      </c>
      <c r="G610" s="23" t="n">
        <f aca="false">MahindraLog!I120</f>
        <v>0.0489943303432838</v>
      </c>
      <c r="H610" s="23" t="n">
        <f aca="false">MahindraLog!J120</f>
        <v>0.0550984435992036</v>
      </c>
      <c r="I610" s="24" t="n">
        <f aca="false">MahindraLog!K120</f>
        <v>0.0493635976723672</v>
      </c>
      <c r="J610" s="34" t="str">
        <f aca="false">IF(AND(ISNUMBER(H610),ISNUMBER(H$613)),IF(H610&gt;H$613,"Above",IF(H610&lt;H$613,"Below","At")),"-")</f>
        <v>Below</v>
      </c>
      <c r="K610" s="34" t="str">
        <f aca="false">IF(J610="Above","Better",IF(J610="Below","Weaker","-"))</f>
        <v>Weaker</v>
      </c>
      <c r="L610" s="34" t="n">
        <f aca="false">IF(ISNUMBER(H610),RANK(H610,H$601:H$610,0),"-")</f>
        <v>7</v>
      </c>
      <c r="N610" s="34" t="str">
        <f aca="false">IF(AND(ISNUMBER(I610),ISNUMBER(I$613)),IF(I610&gt;I$613,"Above",IF(I610&lt;I$613,"Below","At")),"-")</f>
        <v>Below</v>
      </c>
      <c r="O610" s="34" t="str">
        <f aca="false">IF(N610="Above","Better",IF(N610="Below","Weaker","-"))</f>
        <v>Weaker</v>
      </c>
    </row>
    <row r="611" customFormat="false" ht="15" hidden="false" customHeight="false" outlineLevel="0" collapsed="false">
      <c r="A611" s="12" t="s">
        <v>176</v>
      </c>
      <c r="B611" s="24" t="n">
        <f aca="false">Industry!D120</f>
        <v>0.106516692500729</v>
      </c>
      <c r="C611" s="24" t="n">
        <f aca="false">Industry!E120</f>
        <v>0.0769882726081687</v>
      </c>
      <c r="D611" s="24" t="n">
        <f aca="false">Industry!F120</f>
        <v>0.125997437566085</v>
      </c>
      <c r="E611" s="24" t="n">
        <f aca="false">Industry!G120</f>
        <v>0.108166145250328</v>
      </c>
      <c r="F611" s="24" t="n">
        <f aca="false">Industry!H120</f>
        <v>0.126104816372768</v>
      </c>
      <c r="G611" s="24" t="n">
        <f aca="false">Industry!I120</f>
        <v>0.154674812708553</v>
      </c>
      <c r="H611" s="24" t="n">
        <f aca="false">Industry!J120</f>
        <v>0.152238023728936</v>
      </c>
      <c r="I611" s="24" t="n">
        <f aca="false">Industry!K120</f>
        <v>0.121526600105081</v>
      </c>
    </row>
    <row r="612" customFormat="false" ht="15" hidden="false" customHeight="false" outlineLevel="0" collapsed="false">
      <c r="A612" s="35" t="s">
        <v>177</v>
      </c>
      <c r="B612" s="39" t="n">
        <f aca="false">IFERROR(AVERAGE(B601:B610),"N/M")</f>
        <v>0.0688560376366248</v>
      </c>
      <c r="C612" s="39" t="n">
        <f aca="false">IFERROR(AVERAGE(C601:C610),"N/M")</f>
        <v>0.0772962315751527</v>
      </c>
      <c r="D612" s="39" t="n">
        <f aca="false">IFERROR(AVERAGE(D601:D610),"N/M")</f>
        <v>0.0298708178135556</v>
      </c>
      <c r="E612" s="39" t="n">
        <f aca="false">IFERROR(AVERAGE(E601:E610),"N/M")</f>
        <v>0.105106087572326</v>
      </c>
      <c r="F612" s="39" t="n">
        <f aca="false">IFERROR(AVERAGE(F601:F610),"N/M")</f>
        <v>0.115007126378445</v>
      </c>
      <c r="G612" s="39" t="n">
        <f aca="false">IFERROR(AVERAGE(G601:G610),"N/M")</f>
        <v>0.111970295917553</v>
      </c>
      <c r="H612" s="39" t="n">
        <f aca="false">IFERROR(AVERAGE(H601:H610),"N/M")</f>
        <v>0.126461888944607</v>
      </c>
      <c r="I612" s="39" t="n">
        <f aca="false">IFERROR(AVERAGE(I601:I610),"N/M")</f>
        <v>0.0886349883205647</v>
      </c>
    </row>
    <row r="613" customFormat="false" ht="15" hidden="false" customHeight="false" outlineLevel="0" collapsed="false">
      <c r="A613" s="35" t="s">
        <v>178</v>
      </c>
      <c r="B613" s="39" t="n">
        <f aca="false">IFERROR(MEDIAN(B601:B610),"N/M")</f>
        <v>0.0742910734768329</v>
      </c>
      <c r="C613" s="39" t="n">
        <f aca="false">IFERROR(MEDIAN(C601:C610),"N/M")</f>
        <v>0.0581472805762546</v>
      </c>
      <c r="D613" s="39" t="n">
        <f aca="false">IFERROR(MEDIAN(D601:D610),"N/M")</f>
        <v>0.072372933491801</v>
      </c>
      <c r="E613" s="39" t="n">
        <f aca="false">IFERROR(MEDIAN(E601:E610),"N/M")</f>
        <v>0.0753306367313548</v>
      </c>
      <c r="F613" s="39" t="n">
        <f aca="false">IFERROR(MEDIAN(F601:F610),"N/M")</f>
        <v>0.098067692303197</v>
      </c>
      <c r="G613" s="39" t="n">
        <f aca="false">IFERROR(MEDIAN(G601:G610),"N/M")</f>
        <v>0.101510386317493</v>
      </c>
      <c r="H613" s="39" t="n">
        <f aca="false">IFERROR(MEDIAN(H601:H610),"N/M")</f>
        <v>0.0948126120795039</v>
      </c>
      <c r="I613" s="39" t="n">
        <f aca="false">IFERROR(MEDIAN(I601:I610),"N/M")</f>
        <v>0.067883681398777</v>
      </c>
    </row>
    <row r="614" customFormat="false" ht="15" hidden="false" customHeight="false" outlineLevel="0" collapsed="false">
      <c r="A614" s="35" t="s">
        <v>179</v>
      </c>
      <c r="B614" s="39" t="n">
        <f aca="false">IFERROR(STDEV(B601:B610),"N/M")</f>
        <v>0.0662351143537606</v>
      </c>
      <c r="C614" s="39" t="n">
        <f aca="false">IFERROR(STDEV(C601:C610),"N/M")</f>
        <v>0.0812667509034032</v>
      </c>
      <c r="D614" s="39" t="n">
        <f aca="false">IFERROR(STDEV(D601:D610),"N/M")</f>
        <v>0.26744323980013</v>
      </c>
      <c r="E614" s="39" t="n">
        <f aca="false">IFERROR(STDEV(E601:E610),"N/M")</f>
        <v>0.0761994942604293</v>
      </c>
      <c r="F614" s="39" t="n">
        <f aca="false">IFERROR(STDEV(F601:F610),"N/M")</f>
        <v>0.0843732543326767</v>
      </c>
      <c r="G614" s="39" t="n">
        <f aca="false">IFERROR(STDEV(G601:G610),"N/M")</f>
        <v>0.0762874334496853</v>
      </c>
      <c r="H614" s="39" t="n">
        <f aca="false">IFERROR(STDEV(H601:H610),"N/M")</f>
        <v>0.104689014958057</v>
      </c>
      <c r="I614" s="39" t="n">
        <f aca="false">IFERROR(STDEV(I601:I610),"N/M")</f>
        <v>0.0712441177362765</v>
      </c>
    </row>
    <row r="615" customFormat="false" ht="15" hidden="false" customHeight="false" outlineLevel="0" collapsed="false">
      <c r="A615" s="35" t="s">
        <v>102</v>
      </c>
      <c r="B615" s="39" t="n">
        <f aca="false">IFERROR(MIN(B601:B610),"N/M")</f>
        <v>-0.0220660993469226</v>
      </c>
      <c r="C615" s="39" t="n">
        <f aca="false">IFERROR(MIN(C601:C610),"N/M")</f>
        <v>-0.0551490273067999</v>
      </c>
      <c r="D615" s="39" t="n">
        <f aca="false">IFERROR(MIN(D601:D610),"N/M")</f>
        <v>-0.698756676298048</v>
      </c>
      <c r="E615" s="39" t="n">
        <f aca="false">IFERROR(MIN(E601:E610),"N/M")</f>
        <v>0.0208907309360102</v>
      </c>
      <c r="F615" s="39" t="n">
        <f aca="false">IFERROR(MIN(F601:F610),"N/M")</f>
        <v>0.0214488891166748</v>
      </c>
      <c r="G615" s="39" t="n">
        <f aca="false">IFERROR(MIN(G601:G610),"N/M")</f>
        <v>0.0331846875542943</v>
      </c>
      <c r="H615" s="39" t="n">
        <f aca="false">IFERROR(MIN(H601:H610),"N/M")</f>
        <v>0.0366964831379521</v>
      </c>
      <c r="I615" s="39" t="n">
        <f aca="false">IFERROR(MIN(I601:I610),"N/M")</f>
        <v>0.0205833216021806</v>
      </c>
    </row>
    <row r="616" customFormat="false" ht="15" hidden="false" customHeight="false" outlineLevel="0" collapsed="false">
      <c r="A616" s="35" t="s">
        <v>103</v>
      </c>
      <c r="B616" s="39" t="n">
        <f aca="false">IFERROR(MAX(B601:B610),"N/M")</f>
        <v>0.190034987581</v>
      </c>
      <c r="C616" s="39" t="n">
        <f aca="false">IFERROR(MAX(C601:C610),"N/M")</f>
        <v>0.207379561198813</v>
      </c>
      <c r="D616" s="39" t="n">
        <f aca="false">IFERROR(MAX(D601:D610),"N/M")</f>
        <v>0.254793960360924</v>
      </c>
      <c r="E616" s="39" t="n">
        <f aca="false">IFERROR(MAX(E601:E610),"N/M")</f>
        <v>0.258860059749241</v>
      </c>
      <c r="F616" s="39" t="n">
        <f aca="false">IFERROR(MAX(F601:F610),"N/M")</f>
        <v>0.260545793335476</v>
      </c>
      <c r="G616" s="39" t="n">
        <f aca="false">IFERROR(MAX(G601:G610),"N/M")</f>
        <v>0.254648929115147</v>
      </c>
      <c r="H616" s="39" t="n">
        <f aca="false">IFERROR(MAX(H601:H610),"N/M")</f>
        <v>0.357202610005019</v>
      </c>
      <c r="I616" s="39" t="n">
        <f aca="false">IFERROR(MAX(I601:I610),"N/M")</f>
        <v>0.23678122178421</v>
      </c>
    </row>
    <row r="618" customFormat="false" ht="15" hidden="false" customHeight="false" outlineLevel="0" collapsed="false">
      <c r="A618" s="16" t="s">
        <v>214</v>
      </c>
      <c r="B618" s="17"/>
      <c r="C618" s="17"/>
      <c r="D618" s="17"/>
      <c r="E618" s="17"/>
      <c r="F618" s="17"/>
      <c r="G618" s="17"/>
      <c r="H618" s="17"/>
      <c r="I618" s="17"/>
      <c r="J618" s="17"/>
      <c r="K618" s="17"/>
      <c r="L618" s="17"/>
      <c r="M618" s="17"/>
    </row>
    <row r="619" customFormat="false" ht="15" hidden="false" customHeight="false" outlineLevel="0" collapsed="false">
      <c r="A619" s="18" t="s">
        <v>110</v>
      </c>
      <c r="B619" s="23" t="n">
        <f aca="false">Tiger!D121</f>
        <v>-0.027829375082924</v>
      </c>
      <c r="C619" s="23" t="n">
        <f aca="false">Tiger!E121</f>
        <v>-0.0565318401143741</v>
      </c>
      <c r="D619" s="23" t="n">
        <f aca="false">Tiger!F121</f>
        <v>0.0611272780478289</v>
      </c>
      <c r="E619" s="23" t="n">
        <f aca="false">Tiger!G121</f>
        <v>0.0610130379600785</v>
      </c>
      <c r="F619" s="23" t="n">
        <f aca="false">Tiger!H121</f>
        <v>0.0638891201198701</v>
      </c>
      <c r="G619" s="23" t="n">
        <f aca="false">Tiger!I121</f>
        <v>0.0585855195689059</v>
      </c>
      <c r="H619" s="23" t="n">
        <f aca="false">Tiger!J121</f>
        <v>0.0471526832163681</v>
      </c>
      <c r="I619" s="24" t="n">
        <f aca="false">Tiger!K121</f>
        <v>0.0296294891022505</v>
      </c>
      <c r="J619" s="34" t="str">
        <f aca="false">IF(AND(ISNUMBER(H619),ISNUMBER(H$631)),IF(H619&gt;H$631,"Above",IF(H619&lt;H$631,"Below","At")),"-")</f>
        <v>Below</v>
      </c>
      <c r="K619" s="34" t="str">
        <f aca="false">IF(J619="Above","Better",IF(J619="Below","Weaker","-"))</f>
        <v>Weaker</v>
      </c>
      <c r="L619" s="34" t="n">
        <f aca="false">IF(ISNUMBER(H619),RANK(H619,H$619:H$628,0),"-")</f>
        <v>7</v>
      </c>
      <c r="N619" s="34" t="str">
        <f aca="false">IF(AND(ISNUMBER(I619),ISNUMBER(I$631)),IF(I619&gt;I$631,"Above",IF(I619&lt;I$631,"Below","At")),"-")</f>
        <v>Below</v>
      </c>
      <c r="O619" s="34" t="str">
        <f aca="false">IF(N619="Above","Better",IF(N619="Below","Weaker","-"))</f>
        <v>Weaker</v>
      </c>
    </row>
    <row r="620" customFormat="false" ht="15" hidden="false" customHeight="false" outlineLevel="0" collapsed="false">
      <c r="A620" s="18" t="s">
        <v>111</v>
      </c>
      <c r="B620" s="23" t="n">
        <f aca="false">Allcargo!D121</f>
        <v>0.0701243084897852</v>
      </c>
      <c r="C620" s="23" t="n">
        <f aca="false">Allcargo!E121</f>
        <v>0.0612577514026348</v>
      </c>
      <c r="D620" s="23" t="n">
        <f aca="false">Allcargo!F121</f>
        <v>0.0672151908030925</v>
      </c>
      <c r="E620" s="23" t="n">
        <f aca="false">Allcargo!G121</f>
        <v>0.0631662804412222</v>
      </c>
      <c r="F620" s="23" t="n">
        <f aca="false">Allcargo!H121</f>
        <v>0.0362951356653105</v>
      </c>
      <c r="G620" s="23" t="n">
        <f aca="false">Allcargo!I121</f>
        <v>0.103008669046405</v>
      </c>
      <c r="H620" s="23" t="n">
        <f aca="false">Allcargo!J121</f>
        <v>0.114188532555879</v>
      </c>
      <c r="I620" s="24" t="n">
        <f aca="false">Allcargo!K121</f>
        <v>0.0736079812006185</v>
      </c>
      <c r="J620" s="34" t="str">
        <f aca="false">IF(AND(ISNUMBER(H620),ISNUMBER(H$631)),IF(H620&gt;H$631,"Above",IF(H620&lt;H$631,"Below","At")),"-")</f>
        <v>Above</v>
      </c>
      <c r="K620" s="34" t="str">
        <f aca="false">IF(J620="Above","Better",IF(J620="Below","Weaker","-"))</f>
        <v>Better</v>
      </c>
      <c r="L620" s="34" t="n">
        <f aca="false">IF(ISNUMBER(H620),RANK(H620,H$619:H$628,0),"-")</f>
        <v>4</v>
      </c>
      <c r="N620" s="34" t="str">
        <f aca="false">IF(AND(ISNUMBER(I620),ISNUMBER(I$631)),IF(I620&gt;I$631,"Above",IF(I620&lt;I$631,"Below","At")),"-")</f>
        <v>Above</v>
      </c>
      <c r="O620" s="34" t="str">
        <f aca="false">IF(N620="Above","Better",IF(N620="Below","Weaker","-"))</f>
        <v>Better</v>
      </c>
    </row>
    <row r="621" customFormat="false" ht="15" hidden="false" customHeight="false" outlineLevel="0" collapsed="false">
      <c r="A621" s="18" t="s">
        <v>112</v>
      </c>
      <c r="B621" s="23" t="n">
        <f aca="false">BlueDart!D121</f>
        <v>0.149477344234724</v>
      </c>
      <c r="C621" s="23" t="n">
        <f aca="false">BlueDart!E121</f>
        <v>0.208717416890451</v>
      </c>
      <c r="D621" s="23" t="n">
        <f aca="false">BlueDart!F121</f>
        <v>0.226734444472156</v>
      </c>
      <c r="E621" s="23" t="n">
        <f aca="false">BlueDart!G121</f>
        <v>0.18127805855126</v>
      </c>
      <c r="F621" s="23" t="n">
        <f aca="false">BlueDart!H121</f>
        <v>0.16192625806072</v>
      </c>
      <c r="G621" s="23" t="n">
        <f aca="false">BlueDart!I121</f>
        <v>0.153187487107049</v>
      </c>
      <c r="H621" s="23" t="n">
        <f aca="false">BlueDart!J121</f>
        <v>0.154808431364886</v>
      </c>
      <c r="I621" s="24" t="n">
        <f aca="false">BlueDart!K121</f>
        <v>0.176589920097321</v>
      </c>
      <c r="J621" s="34" t="str">
        <f aca="false">IF(AND(ISNUMBER(H621),ISNUMBER(H$631)),IF(H621&gt;H$631,"Above",IF(H621&lt;H$631,"Below","At")),"-")</f>
        <v>Above</v>
      </c>
      <c r="K621" s="34" t="str">
        <f aca="false">IF(J621="Above","Better",IF(J621="Below","Weaker","-"))</f>
        <v>Better</v>
      </c>
      <c r="L621" s="34" t="n">
        <f aca="false">IF(ISNUMBER(H621),RANK(H621,H$619:H$628,0),"-")</f>
        <v>3</v>
      </c>
      <c r="N621" s="34" t="str">
        <f aca="false">IF(AND(ISNUMBER(I621),ISNUMBER(I$631)),IF(I621&gt;I$631,"Above",IF(I621&lt;I$631,"Below","At")),"-")</f>
        <v>Above</v>
      </c>
      <c r="O621" s="34" t="str">
        <f aca="false">IF(N621="Above","Better",IF(N621="Below","Weaker","-"))</f>
        <v>Better</v>
      </c>
    </row>
    <row r="622" customFormat="false" ht="15" hidden="false" customHeight="false" outlineLevel="0" collapsed="false">
      <c r="A622" s="18" t="s">
        <v>67</v>
      </c>
      <c r="B622" s="23" t="n">
        <f aca="false">CONCOR!D121</f>
        <v>0.259441033831679</v>
      </c>
      <c r="C622" s="23" t="n">
        <f aca="false">CONCOR!E121</f>
        <v>0.162965141246102</v>
      </c>
      <c r="D622" s="23" t="n">
        <f aca="false">CONCOR!F121</f>
        <v>0.228476635135435</v>
      </c>
      <c r="E622" s="23" t="n">
        <f aca="false">CONCOR!G121</f>
        <v>0.228641518303073</v>
      </c>
      <c r="F622" s="23" t="n">
        <f aca="false">CONCOR!H121</f>
        <v>0.226347763482835</v>
      </c>
      <c r="G622" s="23" t="n">
        <f aca="false">CONCOR!I121</f>
        <v>0.217171785367874</v>
      </c>
      <c r="H622" s="23" t="n">
        <f aca="false">CONCOR!J121</f>
        <v>0.214927464238785</v>
      </c>
      <c r="I622" s="24" t="n">
        <f aca="false">CONCOR!K121</f>
        <v>0.219710191657969</v>
      </c>
      <c r="J622" s="34" t="str">
        <f aca="false">IF(AND(ISNUMBER(H622),ISNUMBER(H$631)),IF(H622&gt;H$631,"Above",IF(H622&lt;H$631,"Below","At")),"-")</f>
        <v>Above</v>
      </c>
      <c r="K622" s="34" t="str">
        <f aca="false">IF(J622="Above","Better",IF(J622="Below","Weaker","-"))</f>
        <v>Better</v>
      </c>
      <c r="L622" s="34" t="n">
        <f aca="false">IF(ISNUMBER(H622),RANK(H622,H$619:H$628,0),"-")</f>
        <v>1</v>
      </c>
      <c r="N622" s="34" t="str">
        <f aca="false">IF(AND(ISNUMBER(I622),ISNUMBER(I$631)),IF(I622&gt;I$631,"Above",IF(I622&lt;I$631,"Below","At")),"-")</f>
        <v>Above</v>
      </c>
      <c r="O622" s="34" t="str">
        <f aca="false">IF(N622="Above","Better",IF(N622="Below","Weaker","-"))</f>
        <v>Better</v>
      </c>
    </row>
    <row r="623" customFormat="false" ht="15" hidden="false" customHeight="false" outlineLevel="0" collapsed="false">
      <c r="A623" s="18" t="s">
        <v>113</v>
      </c>
      <c r="B623" s="23" t="n">
        <f aca="false">JetFreight!D121</f>
        <v>-0.0117085862966177</v>
      </c>
      <c r="C623" s="23" t="n">
        <f aca="false">JetFreight!E121</f>
        <v>0.0268462181723812</v>
      </c>
      <c r="D623" s="23" t="n">
        <f aca="false">JetFreight!F121</f>
        <v>0.023601015850775</v>
      </c>
      <c r="E623" s="23" t="n">
        <f aca="false">JetFreight!G121</f>
        <v>0.019198924860208</v>
      </c>
      <c r="F623" s="23" t="n">
        <f aca="false">JetFreight!H121</f>
        <v>0.0152409933723598</v>
      </c>
      <c r="G623" s="23" t="n">
        <f aca="false">JetFreight!I121</f>
        <v>0.032682133614273</v>
      </c>
      <c r="H623" s="23" t="n">
        <f aca="false">JetFreight!J121</f>
        <v>0.0373130967393262</v>
      </c>
      <c r="I623" s="24" t="n">
        <f aca="false">JetFreight!K121</f>
        <v>0.0204533994732436</v>
      </c>
      <c r="J623" s="34" t="str">
        <f aca="false">IF(AND(ISNUMBER(H623),ISNUMBER(H$631)),IF(H623&gt;H$631,"Above",IF(H623&lt;H$631,"Below","At")),"-")</f>
        <v>Below</v>
      </c>
      <c r="K623" s="34" t="str">
        <f aca="false">IF(J623="Above","Better",IF(J623="Below","Weaker","-"))</f>
        <v>Weaker</v>
      </c>
      <c r="L623" s="34" t="n">
        <f aca="false">IF(ISNUMBER(H623),RANK(H623,H$619:H$628,0),"-")</f>
        <v>8</v>
      </c>
      <c r="N623" s="34" t="str">
        <f aca="false">IF(AND(ISNUMBER(I623),ISNUMBER(I$631)),IF(I623&gt;I$631,"Above",IF(I623&lt;I$631,"Below","At")),"-")</f>
        <v>Below</v>
      </c>
      <c r="O623" s="34" t="str">
        <f aca="false">IF(N623="Above","Better",IF(N623="Below","Weaker","-"))</f>
        <v>Weaker</v>
      </c>
    </row>
    <row r="624" customFormat="false" ht="15" hidden="false" customHeight="false" outlineLevel="0" collapsed="false">
      <c r="A624" s="18" t="s">
        <v>114</v>
      </c>
      <c r="B624" s="23" t="n">
        <f aca="false">Patel!D121</f>
        <v>0.0232866066031491</v>
      </c>
      <c r="C624" s="23" t="n">
        <f aca="false">Patel!E121</f>
        <v>0.0243580683156656</v>
      </c>
      <c r="D624" s="23" t="n">
        <f aca="false">Patel!F121</f>
        <v>0.0328183680437008</v>
      </c>
      <c r="E624" s="23" t="n">
        <f aca="false">Patel!G121</f>
        <v>0.0370849504096591</v>
      </c>
      <c r="F624" s="23" t="n">
        <f aca="false">Patel!H121</f>
        <v>0.0313199105145415</v>
      </c>
      <c r="G624" s="23" t="n">
        <f aca="false">Patel!I121</f>
        <v>0.0257083661618372</v>
      </c>
      <c r="H624" s="23" t="n">
        <f aca="false">Patel!J121</f>
        <v>0.0290362322898582</v>
      </c>
      <c r="I624" s="24" t="n">
        <f aca="false">Patel!K121</f>
        <v>0.0290875003340588</v>
      </c>
      <c r="J624" s="34" t="str">
        <f aca="false">IF(AND(ISNUMBER(H624),ISNUMBER(H$631)),IF(H624&gt;H$631,"Above",IF(H624&lt;H$631,"Below","At")),"-")</f>
        <v>Below</v>
      </c>
      <c r="K624" s="34" t="str">
        <f aca="false">IF(J624="Above","Better",IF(J624="Below","Weaker","-"))</f>
        <v>Weaker</v>
      </c>
      <c r="L624" s="34" t="n">
        <f aca="false">IF(ISNUMBER(H624),RANK(H624,H$619:H$628,0),"-")</f>
        <v>10</v>
      </c>
      <c r="N624" s="34" t="str">
        <f aca="false">IF(AND(ISNUMBER(I624),ISNUMBER(I$631)),IF(I624&gt;I$631,"Above",IF(I624&lt;I$631,"Below","At")),"-")</f>
        <v>Below</v>
      </c>
      <c r="O624" s="34" t="str">
        <f aca="false">IF(N624="Above","Better",IF(N624="Below","Weaker","-"))</f>
        <v>Weaker</v>
      </c>
    </row>
    <row r="625" customFormat="false" ht="15" hidden="false" customHeight="false" outlineLevel="0" collapsed="false">
      <c r="A625" s="18" t="s">
        <v>115</v>
      </c>
      <c r="B625" s="23" t="n">
        <f aca="false">Sical!D121</f>
        <v>-0.0223395371033165</v>
      </c>
      <c r="C625" s="23" t="n">
        <f aca="false">Sical!E121</f>
        <v>-0.0187637749935467</v>
      </c>
      <c r="D625" s="23" t="n">
        <f aca="false">Sical!F121</f>
        <v>-0.112248115343824</v>
      </c>
      <c r="E625" s="23" t="n">
        <f aca="false">Sical!G121</f>
        <v>0.0703629083675499</v>
      </c>
      <c r="F625" s="23" t="n">
        <f aca="false">Sical!H121</f>
        <v>0.0750825455696775</v>
      </c>
      <c r="G625" s="23" t="n">
        <f aca="false">Sical!I121</f>
        <v>0.0968803534397258</v>
      </c>
      <c r="H625" s="23" t="n">
        <f aca="false">Sical!J121</f>
        <v>0.203069902509853</v>
      </c>
      <c r="I625" s="24" t="n">
        <f aca="false">Sical!K121</f>
        <v>0.0417206117780169</v>
      </c>
      <c r="J625" s="34" t="str">
        <f aca="false">IF(AND(ISNUMBER(H625),ISNUMBER(H$631)),IF(H625&gt;H$631,"Above",IF(H625&lt;H$631,"Below","At")),"-")</f>
        <v>Above</v>
      </c>
      <c r="K625" s="34" t="str">
        <f aca="false">IF(J625="Above","Better",IF(J625="Below","Weaker","-"))</f>
        <v>Better</v>
      </c>
      <c r="L625" s="34" t="n">
        <f aca="false">IF(ISNUMBER(H625),RANK(H625,H$619:H$628,0),"-")</f>
        <v>2</v>
      </c>
      <c r="N625" s="34" t="str">
        <f aca="false">IF(AND(ISNUMBER(I625),ISNUMBER(I$631)),IF(I625&gt;I$631,"Above",IF(I625&lt;I$631,"Below","At")),"-")</f>
        <v>Below</v>
      </c>
      <c r="O625" s="34" t="str">
        <f aca="false">IF(N625="Above","Better",IF(N625="Below","Weaker","-"))</f>
        <v>Weaker</v>
      </c>
    </row>
    <row r="626" customFormat="false" ht="15" hidden="false" customHeight="false" outlineLevel="0" collapsed="false">
      <c r="A626" s="18" t="s">
        <v>86</v>
      </c>
      <c r="B626" s="23" t="n">
        <f aca="false">TCI!D121</f>
        <v>0.0888352515232685</v>
      </c>
      <c r="C626" s="23" t="n">
        <f aca="false">TCI!E121</f>
        <v>0.0938556018255844</v>
      </c>
      <c r="D626" s="23" t="n">
        <f aca="false">TCI!F121</f>
        <v>0.126374351373661</v>
      </c>
      <c r="E626" s="23" t="n">
        <f aca="false">TCI!G121</f>
        <v>0.112455288335708</v>
      </c>
      <c r="F626" s="23" t="n">
        <f aca="false">TCI!H121</f>
        <v>0.102187731409004</v>
      </c>
      <c r="G626" s="23" t="n">
        <f aca="false">TCI!I121</f>
        <v>0.102979219819314</v>
      </c>
      <c r="H626" s="23" t="n">
        <f aca="false">TCI!J121</f>
        <v>0.105557103545621</v>
      </c>
      <c r="I626" s="24" t="n">
        <f aca="false">TCI!K121</f>
        <v>0.104606363976023</v>
      </c>
      <c r="J626" s="34" t="str">
        <f aca="false">IF(AND(ISNUMBER(H626),ISNUMBER(H$631)),IF(H626&gt;H$631,"Above",IF(H626&lt;H$631,"Below","At")),"-")</f>
        <v>Above</v>
      </c>
      <c r="K626" s="34" t="str">
        <f aca="false">IF(J626="Above","Better",IF(J626="Below","Weaker","-"))</f>
        <v>Better</v>
      </c>
      <c r="L626" s="34" t="n">
        <f aca="false">IF(ISNUMBER(H626),RANK(H626,H$619:H$628,0),"-")</f>
        <v>5</v>
      </c>
      <c r="N626" s="34" t="str">
        <f aca="false">IF(AND(ISNUMBER(I626),ISNUMBER(I$631)),IF(I626&gt;I$631,"Above",IF(I626&lt;I$631,"Below","At")),"-")</f>
        <v>Above</v>
      </c>
      <c r="O626" s="34" t="str">
        <f aca="false">IF(N626="Above","Better",IF(N626="Below","Weaker","-"))</f>
        <v>Better</v>
      </c>
    </row>
    <row r="627" customFormat="false" ht="15" hidden="false" customHeight="false" outlineLevel="0" collapsed="false">
      <c r="A627" s="18" t="s">
        <v>116</v>
      </c>
      <c r="B627" s="23" t="n">
        <f aca="false">Shreeji!D121</f>
        <v>0.0822727272727273</v>
      </c>
      <c r="C627" s="23" t="n">
        <f aca="false">Shreeji!E121</f>
        <v>0.0656934306569343</v>
      </c>
      <c r="D627" s="23" t="n">
        <f aca="false">Shreeji!F121</f>
        <v>0.102052033711982</v>
      </c>
      <c r="E627" s="23" t="n">
        <f aca="false">Shreeji!G121</f>
        <v>0.10528856468569</v>
      </c>
      <c r="F627" s="23" t="n">
        <f aca="false">Shreeji!H121</f>
        <v>0.0753692614770459</v>
      </c>
      <c r="G627" s="23" t="n">
        <f aca="false">Shreeji!I121</f>
        <v>0.0409664819692979</v>
      </c>
      <c r="H627" s="23" t="n">
        <f aca="false">Shreeji!J121</f>
        <v>0.0330786631951855</v>
      </c>
      <c r="I627" s="24" t="n">
        <f aca="false">Shreeji!K121</f>
        <v>0.0721030232812661</v>
      </c>
      <c r="J627" s="34" t="str">
        <f aca="false">IF(AND(ISNUMBER(H627),ISNUMBER(H$631)),IF(H627&gt;H$631,"Above",IF(H627&lt;H$631,"Below","At")),"-")</f>
        <v>Below</v>
      </c>
      <c r="K627" s="34" t="str">
        <f aca="false">IF(J627="Above","Better",IF(J627="Below","Weaker","-"))</f>
        <v>Weaker</v>
      </c>
      <c r="L627" s="34" t="n">
        <f aca="false">IF(ISNUMBER(H627),RANK(H627,H$619:H$628,0),"-")</f>
        <v>9</v>
      </c>
      <c r="N627" s="34" t="str">
        <f aca="false">IF(AND(ISNUMBER(I627),ISNUMBER(I$631)),IF(I627&gt;I$631,"Above",IF(I627&lt;I$631,"Below","At")),"-")</f>
        <v>Above</v>
      </c>
      <c r="O627" s="34" t="str">
        <f aca="false">IF(N627="Above","Better",IF(N627="Below","Weaker","-"))</f>
        <v>Better</v>
      </c>
    </row>
    <row r="628" customFormat="false" ht="15" hidden="false" customHeight="false" outlineLevel="0" collapsed="false">
      <c r="A628" s="18" t="s">
        <v>117</v>
      </c>
      <c r="B628" s="23" t="n">
        <f aca="false">MahindraLog!D121</f>
        <v>0.0456564702086345</v>
      </c>
      <c r="C628" s="23" t="n">
        <f aca="false">MahindraLog!E121</f>
        <v>0.041265794859853</v>
      </c>
      <c r="D628" s="23" t="n">
        <f aca="false">MahindraLog!F121</f>
        <v>0.0445232276200503</v>
      </c>
      <c r="E628" s="23" t="n">
        <f aca="false">MahindraLog!G121</f>
        <v>0.0507030608643426</v>
      </c>
      <c r="F628" s="23" t="n">
        <f aca="false">MahindraLog!H121</f>
        <v>0.0419980493900257</v>
      </c>
      <c r="G628" s="23" t="n">
        <f aca="false">MahindraLog!I121</f>
        <v>0.0465844257743459</v>
      </c>
      <c r="H628" s="23" t="n">
        <f aca="false">MahindraLog!J121</f>
        <v>0.0541196976840541</v>
      </c>
      <c r="I628" s="24" t="n">
        <f aca="false">MahindraLog!K121</f>
        <v>0.046407246628758</v>
      </c>
      <c r="J628" s="34" t="str">
        <f aca="false">IF(AND(ISNUMBER(H628),ISNUMBER(H$631)),IF(H628&gt;H$631,"Above",IF(H628&lt;H$631,"Below","At")),"-")</f>
        <v>Below</v>
      </c>
      <c r="K628" s="34" t="str">
        <f aca="false">IF(J628="Above","Better",IF(J628="Below","Weaker","-"))</f>
        <v>Weaker</v>
      </c>
      <c r="L628" s="34" t="n">
        <f aca="false">IF(ISNUMBER(H628),RANK(H628,H$619:H$628,0),"-")</f>
        <v>6</v>
      </c>
      <c r="N628" s="34" t="str">
        <f aca="false">IF(AND(ISNUMBER(I628),ISNUMBER(I$631)),IF(I628&gt;I$631,"Above",IF(I628&lt;I$631,"Below","At")),"-")</f>
        <v>Below</v>
      </c>
      <c r="O628" s="34" t="str">
        <f aca="false">IF(N628="Above","Better",IF(N628="Below","Weaker","-"))</f>
        <v>Weaker</v>
      </c>
    </row>
    <row r="629" customFormat="false" ht="15" hidden="false" customHeight="false" outlineLevel="0" collapsed="false">
      <c r="A629" s="12" t="s">
        <v>176</v>
      </c>
      <c r="B629" s="24" t="n">
        <f aca="false">Industry!D121</f>
        <v>0.12118768012652</v>
      </c>
      <c r="C629" s="24" t="n">
        <f aca="false">Industry!E121</f>
        <v>0.100554018927381</v>
      </c>
      <c r="D629" s="24" t="n">
        <f aca="false">Industry!F121</f>
        <v>0.115496490773641</v>
      </c>
      <c r="E629" s="24" t="n">
        <f aca="false">Industry!G121</f>
        <v>0.112425565058091</v>
      </c>
      <c r="F629" s="24" t="n">
        <f aca="false">Industry!H121</f>
        <v>0.105544994065112</v>
      </c>
      <c r="G629" s="24" t="n">
        <f aca="false">Industry!I121</f>
        <v>0.132776833489844</v>
      </c>
      <c r="H629" s="24" t="n">
        <f aca="false">Industry!J121</f>
        <v>0.133859477047691</v>
      </c>
      <c r="I629" s="24" t="n">
        <f aca="false">Industry!K121</f>
        <v>0.117406437069754</v>
      </c>
    </row>
    <row r="630" customFormat="false" ht="15" hidden="false" customHeight="false" outlineLevel="0" collapsed="false">
      <c r="A630" s="35" t="s">
        <v>177</v>
      </c>
      <c r="B630" s="39" t="n">
        <f aca="false">IFERROR(AVERAGE(B619:B628),"N/M")</f>
        <v>0.065721624368111</v>
      </c>
      <c r="C630" s="39" t="n">
        <f aca="false">IFERROR(AVERAGE(C619:C628),"N/M")</f>
        <v>0.0609663808261686</v>
      </c>
      <c r="D630" s="39" t="n">
        <f aca="false">IFERROR(AVERAGE(D619:D628),"N/M")</f>
        <v>0.0800674429714858</v>
      </c>
      <c r="E630" s="39" t="n">
        <f aca="false">IFERROR(AVERAGE(E619:E628),"N/M")</f>
        <v>0.0929192592778792</v>
      </c>
      <c r="F630" s="39" t="n">
        <f aca="false">IFERROR(AVERAGE(F619:F628),"N/M")</f>
        <v>0.082965676906139</v>
      </c>
      <c r="G630" s="39" t="n">
        <f aca="false">IFERROR(AVERAGE(G619:G628),"N/M")</f>
        <v>0.0877754441869028</v>
      </c>
      <c r="H630" s="39" t="n">
        <f aca="false">IFERROR(AVERAGE(H619:H628),"N/M")</f>
        <v>0.0993251807339816</v>
      </c>
      <c r="I630" s="39" t="n">
        <f aca="false">IFERROR(AVERAGE(I619:I628),"N/M")</f>
        <v>0.0813915727529525</v>
      </c>
    </row>
    <row r="631" customFormat="false" ht="15" hidden="false" customHeight="false" outlineLevel="0" collapsed="false">
      <c r="A631" s="35" t="s">
        <v>178</v>
      </c>
      <c r="B631" s="39" t="n">
        <f aca="false">IFERROR(MEDIAN(B619:B628),"N/M")</f>
        <v>0.0578903893492099</v>
      </c>
      <c r="C631" s="39" t="n">
        <f aca="false">IFERROR(MEDIAN(C619:C628),"N/M")</f>
        <v>0.0512617731312439</v>
      </c>
      <c r="D631" s="39" t="n">
        <f aca="false">IFERROR(MEDIAN(D619:D628),"N/M")</f>
        <v>0.0641712344254607</v>
      </c>
      <c r="E631" s="39" t="n">
        <f aca="false">IFERROR(MEDIAN(E619:E628),"N/M")</f>
        <v>0.066764594404386</v>
      </c>
      <c r="F631" s="39" t="n">
        <f aca="false">IFERROR(MEDIAN(F619:F628),"N/M")</f>
        <v>0.0694858328447738</v>
      </c>
      <c r="G631" s="39" t="n">
        <f aca="false">IFERROR(MEDIAN(G619:G628),"N/M")</f>
        <v>0.0777329365043158</v>
      </c>
      <c r="H631" s="39" t="n">
        <f aca="false">IFERROR(MEDIAN(H619:H628),"N/M")</f>
        <v>0.0798384006148374</v>
      </c>
      <c r="I631" s="39" t="n">
        <f aca="false">IFERROR(MEDIAN(I619:I628),"N/M")</f>
        <v>0.0592551349550121</v>
      </c>
    </row>
    <row r="632" customFormat="false" ht="15" hidden="false" customHeight="false" outlineLevel="0" collapsed="false">
      <c r="A632" s="35" t="s">
        <v>179</v>
      </c>
      <c r="B632" s="39" t="n">
        <f aca="false">IFERROR(STDEV(B619:B628),"N/M")</f>
        <v>0.0882390244570049</v>
      </c>
      <c r="C632" s="39" t="n">
        <f aca="false">IFERROR(STDEV(C619:C628),"N/M")</f>
        <v>0.0791576790288909</v>
      </c>
      <c r="D632" s="39" t="n">
        <f aca="false">IFERROR(STDEV(D619:D628),"N/M")</f>
        <v>0.100198501632882</v>
      </c>
      <c r="E632" s="39" t="n">
        <f aca="false">IFERROR(STDEV(E619:E628),"N/M")</f>
        <v>0.0662561242354384</v>
      </c>
      <c r="F632" s="39" t="n">
        <f aca="false">IFERROR(STDEV(F619:F628),"N/M")</f>
        <v>0.0656225331239737</v>
      </c>
      <c r="G632" s="39" t="n">
        <f aca="false">IFERROR(STDEV(G619:G628),"N/M")</f>
        <v>0.0607322717259862</v>
      </c>
      <c r="H632" s="39" t="n">
        <f aca="false">IFERROR(STDEV(H619:H628),"N/M")</f>
        <v>0.0710282757103918</v>
      </c>
      <c r="I632" s="39" t="n">
        <f aca="false">IFERROR(STDEV(I619:I628),"N/M")</f>
        <v>0.0673355875285477</v>
      </c>
    </row>
    <row r="633" customFormat="false" ht="15" hidden="false" customHeight="false" outlineLevel="0" collapsed="false">
      <c r="A633" s="35" t="s">
        <v>102</v>
      </c>
      <c r="B633" s="39" t="n">
        <f aca="false">IFERROR(MIN(B619:B628),"N/M")</f>
        <v>-0.027829375082924</v>
      </c>
      <c r="C633" s="39" t="n">
        <f aca="false">IFERROR(MIN(C619:C628),"N/M")</f>
        <v>-0.0565318401143741</v>
      </c>
      <c r="D633" s="39" t="n">
        <f aca="false">IFERROR(MIN(D619:D628),"N/M")</f>
        <v>-0.112248115343824</v>
      </c>
      <c r="E633" s="39" t="n">
        <f aca="false">IFERROR(MIN(E619:E628),"N/M")</f>
        <v>0.019198924860208</v>
      </c>
      <c r="F633" s="39" t="n">
        <f aca="false">IFERROR(MIN(F619:F628),"N/M")</f>
        <v>0.0152409933723598</v>
      </c>
      <c r="G633" s="39" t="n">
        <f aca="false">IFERROR(MIN(G619:G628),"N/M")</f>
        <v>0.0257083661618372</v>
      </c>
      <c r="H633" s="39" t="n">
        <f aca="false">IFERROR(MIN(H619:H628),"N/M")</f>
        <v>0.0290362322898582</v>
      </c>
      <c r="I633" s="39" t="n">
        <f aca="false">IFERROR(MIN(I619:I628),"N/M")</f>
        <v>0.0204533994732436</v>
      </c>
    </row>
    <row r="634" customFormat="false" ht="15" hidden="false" customHeight="false" outlineLevel="0" collapsed="false">
      <c r="A634" s="35" t="s">
        <v>103</v>
      </c>
      <c r="B634" s="39" t="n">
        <f aca="false">IFERROR(MAX(B619:B628),"N/M")</f>
        <v>0.259441033831679</v>
      </c>
      <c r="C634" s="39" t="n">
        <f aca="false">IFERROR(MAX(C619:C628),"N/M")</f>
        <v>0.208717416890451</v>
      </c>
      <c r="D634" s="39" t="n">
        <f aca="false">IFERROR(MAX(D619:D628),"N/M")</f>
        <v>0.228476635135435</v>
      </c>
      <c r="E634" s="39" t="n">
        <f aca="false">IFERROR(MAX(E619:E628),"N/M")</f>
        <v>0.228641518303073</v>
      </c>
      <c r="F634" s="39" t="n">
        <f aca="false">IFERROR(MAX(F619:F628),"N/M")</f>
        <v>0.226347763482835</v>
      </c>
      <c r="G634" s="39" t="n">
        <f aca="false">IFERROR(MAX(G619:G628),"N/M")</f>
        <v>0.217171785367874</v>
      </c>
      <c r="H634" s="39" t="n">
        <f aca="false">IFERROR(MAX(H619:H628),"N/M")</f>
        <v>0.214927464238785</v>
      </c>
      <c r="I634" s="39" t="n">
        <f aca="false">IFERROR(MAX(I619:I628),"N/M")</f>
        <v>0.219710191657969</v>
      </c>
    </row>
    <row r="636" customFormat="false" ht="15" hidden="false" customHeight="false" outlineLevel="0" collapsed="false">
      <c r="A636" s="16" t="s">
        <v>215</v>
      </c>
      <c r="B636" s="17"/>
      <c r="C636" s="17"/>
      <c r="D636" s="17"/>
      <c r="E636" s="17"/>
      <c r="F636" s="17"/>
      <c r="G636" s="17"/>
      <c r="H636" s="17"/>
      <c r="I636" s="17"/>
      <c r="J636" s="17"/>
      <c r="K636" s="17"/>
      <c r="L636" s="17"/>
      <c r="M636" s="17"/>
    </row>
    <row r="637" customFormat="false" ht="15" hidden="false" customHeight="false" outlineLevel="0" collapsed="false">
      <c r="A637" s="18" t="s">
        <v>110</v>
      </c>
      <c r="B637" s="23" t="n">
        <f aca="false">Tiger!D122</f>
        <v>-0.0254411569590023</v>
      </c>
      <c r="C637" s="23" t="n">
        <f aca="false">Tiger!E122</f>
        <v>-0.0605230237683922</v>
      </c>
      <c r="D637" s="23" t="n">
        <f aca="false">Tiger!F122</f>
        <v>0.063224463917023</v>
      </c>
      <c r="E637" s="23" t="n">
        <f aca="false">Tiger!G122</f>
        <v>0.0746971270335756</v>
      </c>
      <c r="F637" s="23" t="n">
        <f aca="false">Tiger!H122</f>
        <v>0.0767918088737202</v>
      </c>
      <c r="G637" s="23" t="n">
        <f aca="false">Tiger!I122</f>
        <v>0.0735395573455651</v>
      </c>
      <c r="H637" s="23" t="n">
        <f aca="false">Tiger!J122</f>
        <v>0.0600712265633183</v>
      </c>
      <c r="I637" s="24" t="n">
        <f aca="false">Tiger!K122</f>
        <v>0.0374800004294011</v>
      </c>
      <c r="J637" s="34" t="str">
        <f aca="false">IF(AND(ISNUMBER(H637),ISNUMBER(H$649)),IF(H637&gt;H$649,"Above",IF(H637&lt;H$649,"Below","At")),"-")</f>
        <v>Above</v>
      </c>
      <c r="K637" s="34" t="str">
        <f aca="false">IF(J637="Above","Better",IF(J637="Below","Weaker","-"))</f>
        <v>Better</v>
      </c>
      <c r="L637" s="34" t="n">
        <f aca="false">IF(ISNUMBER(H637),RANK(H637,H$637:H$646,0),"-")</f>
        <v>5</v>
      </c>
      <c r="N637" s="34" t="str">
        <f aca="false">IF(AND(ISNUMBER(I637),ISNUMBER(I$649)),IF(I637&gt;I$649,"Above",IF(I637&lt;I$649,"Below","At")),"-")</f>
        <v>Below</v>
      </c>
      <c r="O637" s="34" t="str">
        <f aca="false">IF(N637="Above","Better",IF(N637="Below","Weaker","-"))</f>
        <v>Weaker</v>
      </c>
    </row>
    <row r="638" customFormat="false" ht="15" hidden="false" customHeight="false" outlineLevel="0" collapsed="false">
      <c r="A638" s="18" t="s">
        <v>111</v>
      </c>
      <c r="B638" s="23" t="n">
        <f aca="false">Allcargo!D122</f>
        <v>0.0517448381757198</v>
      </c>
      <c r="C638" s="23" t="n">
        <f aca="false">Allcargo!E122</f>
        <v>0.0287985444985283</v>
      </c>
      <c r="D638" s="23" t="n">
        <f aca="false">Allcargo!F122</f>
        <v>0.0691331367124015</v>
      </c>
      <c r="E638" s="23" t="n">
        <f aca="false">Allcargo!G122</f>
        <v>0.0543417261424305</v>
      </c>
      <c r="F638" s="23" t="n">
        <f aca="false">Allcargo!H122</f>
        <v>0.0234372349383283</v>
      </c>
      <c r="G638" s="23" t="n">
        <f aca="false">Allcargo!I122</f>
        <v>0.0458949515553289</v>
      </c>
      <c r="H638" s="23" t="n">
        <f aca="false">Allcargo!J122</f>
        <v>0.0320699708454811</v>
      </c>
      <c r="I638" s="24" t="n">
        <f aca="false">Allcargo!K122</f>
        <v>0.0436314861240312</v>
      </c>
      <c r="J638" s="34" t="str">
        <f aca="false">IF(AND(ISNUMBER(H638),ISNUMBER(H$649)),IF(H638&gt;H$649,"Above",IF(H638&lt;H$649,"Below","At")),"-")</f>
        <v>Below</v>
      </c>
      <c r="K638" s="34" t="str">
        <f aca="false">IF(J638="Above","Better",IF(J638="Below","Weaker","-"))</f>
        <v>Weaker</v>
      </c>
      <c r="L638" s="34" t="n">
        <f aca="false">IF(ISNUMBER(H638),RANK(H638,H$637:H$646,0),"-")</f>
        <v>8</v>
      </c>
      <c r="N638" s="34" t="str">
        <f aca="false">IF(AND(ISNUMBER(I638),ISNUMBER(I$649)),IF(I638&gt;I$649,"Above",IF(I638&lt;I$649,"Below","At")),"-")</f>
        <v>Above</v>
      </c>
      <c r="O638" s="34" t="str">
        <f aca="false">IF(N638="Above","Better",IF(N638="Below","Weaker","-"))</f>
        <v>Better</v>
      </c>
    </row>
    <row r="639" customFormat="false" ht="15" hidden="false" customHeight="false" outlineLevel="0" collapsed="false">
      <c r="A639" s="18" t="s">
        <v>112</v>
      </c>
      <c r="B639" s="23" t="n">
        <f aca="false">BlueDart!D122</f>
        <v>0.024647809695981</v>
      </c>
      <c r="C639" s="23" t="n">
        <f aca="false">BlueDart!E122</f>
        <v>0.0762561090954433</v>
      </c>
      <c r="D639" s="23" t="n">
        <f aca="false">BlueDart!F122</f>
        <v>0.13587152447914</v>
      </c>
      <c r="E639" s="23" t="n">
        <f aca="false">BlueDart!G122</f>
        <v>0.111180498896025</v>
      </c>
      <c r="F639" s="23" t="n">
        <f aca="false">BlueDart!H122</f>
        <v>0.0893650706268046</v>
      </c>
      <c r="G639" s="23" t="n">
        <f aca="false">BlueDart!I122</f>
        <v>0.0751077763287169</v>
      </c>
      <c r="H639" s="23" t="n">
        <f aca="false">BlueDart!J122</f>
        <v>0.0671548703117468</v>
      </c>
      <c r="I639" s="24" t="n">
        <f aca="false">BlueDart!K122</f>
        <v>0.0827976656334082</v>
      </c>
      <c r="J639" s="34" t="str">
        <f aca="false">IF(AND(ISNUMBER(H639),ISNUMBER(H$649)),IF(H639&gt;H$649,"Above",IF(H639&lt;H$649,"Below","At")),"-")</f>
        <v>Above</v>
      </c>
      <c r="K639" s="34" t="str">
        <f aca="false">IF(J639="Above","Better",IF(J639="Below","Weaker","-"))</f>
        <v>Better</v>
      </c>
      <c r="L639" s="34" t="n">
        <f aca="false">IF(ISNUMBER(H639),RANK(H639,H$637:H$646,0),"-")</f>
        <v>4</v>
      </c>
      <c r="N639" s="34" t="str">
        <f aca="false">IF(AND(ISNUMBER(I639),ISNUMBER(I$649)),IF(I639&gt;I$649,"Above",IF(I639&lt;I$649,"Below","At")),"-")</f>
        <v>Above</v>
      </c>
      <c r="O639" s="34" t="str">
        <f aca="false">IF(N639="Above","Better",IF(N639="Below","Weaker","-"))</f>
        <v>Better</v>
      </c>
    </row>
    <row r="640" customFormat="false" ht="15" hidden="false" customHeight="false" outlineLevel="0" collapsed="false">
      <c r="A640" s="18" t="s">
        <v>67</v>
      </c>
      <c r="B640" s="23" t="n">
        <f aca="false">CONCOR!D122</f>
        <v>0.0903837054210622</v>
      </c>
      <c r="C640" s="23" t="n">
        <f aca="false">CONCOR!E122</f>
        <v>0.111573218319984</v>
      </c>
      <c r="D640" s="23" t="n">
        <f aca="false">CONCOR!F122</f>
        <v>0.190430081813941</v>
      </c>
      <c r="E640" s="23" t="n">
        <f aca="false">CONCOR!G122</f>
        <v>0.199271157725679</v>
      </c>
      <c r="F640" s="23" t="n">
        <f aca="false">CONCOR!H122</f>
        <v>0.201108002509993</v>
      </c>
      <c r="G640" s="23" t="n">
        <f aca="false">CONCOR!I122</f>
        <v>0.202049730955933</v>
      </c>
      <c r="H640" s="23" t="n">
        <f aca="false">CONCOR!J122</f>
        <v>0.190473148385775</v>
      </c>
      <c r="I640" s="24" t="n">
        <f aca="false">CONCOR!K122</f>
        <v>0.169327006447481</v>
      </c>
      <c r="J640" s="34" t="str">
        <f aca="false">IF(AND(ISNUMBER(H640),ISNUMBER(H$649)),IF(H640&gt;H$649,"Above",IF(H640&lt;H$649,"Below","At")),"-")</f>
        <v>Above</v>
      </c>
      <c r="K640" s="34" t="str">
        <f aca="false">IF(J640="Above","Better",IF(J640="Below","Weaker","-"))</f>
        <v>Better</v>
      </c>
      <c r="L640" s="34" t="n">
        <f aca="false">IF(ISNUMBER(H640),RANK(H640,H$637:H$646,0),"-")</f>
        <v>2</v>
      </c>
      <c r="N640" s="34" t="str">
        <f aca="false">IF(AND(ISNUMBER(I640),ISNUMBER(I$649)),IF(I640&gt;I$649,"Above",IF(I640&lt;I$649,"Below","At")),"-")</f>
        <v>Above</v>
      </c>
      <c r="O640" s="34" t="str">
        <f aca="false">IF(N640="Above","Better",IF(N640="Below","Weaker","-"))</f>
        <v>Better</v>
      </c>
    </row>
    <row r="641" customFormat="false" ht="15" hidden="false" customHeight="false" outlineLevel="0" collapsed="false">
      <c r="A641" s="18" t="s">
        <v>113</v>
      </c>
      <c r="B641" s="23" t="n">
        <f aca="false">JetFreight!D122</f>
        <v>-0.0136766962439122</v>
      </c>
      <c r="C641" s="23" t="n">
        <f aca="false">JetFreight!E122</f>
        <v>0.0223478185645492</v>
      </c>
      <c r="D641" s="23" t="n">
        <f aca="false">JetFreight!F122</f>
        <v>0.0186969086610036</v>
      </c>
      <c r="E641" s="23" t="n">
        <f aca="false">JetFreight!G122</f>
        <v>0.0141832057404785</v>
      </c>
      <c r="F641" s="23" t="n">
        <f aca="false">JetFreight!H122</f>
        <v>0.0158857054439487</v>
      </c>
      <c r="G641" s="23" t="n">
        <f aca="false">JetFreight!I122</f>
        <v>0.0302544488468497</v>
      </c>
      <c r="H641" s="23" t="n">
        <f aca="false">JetFreight!J122</f>
        <v>0.0418618266978923</v>
      </c>
      <c r="I641" s="24" t="n">
        <f aca="false">JetFreight!K122</f>
        <v>0.0185076025301157</v>
      </c>
      <c r="J641" s="34" t="str">
        <f aca="false">IF(AND(ISNUMBER(H641),ISNUMBER(H$649)),IF(H641&gt;H$649,"Above",IF(H641&lt;H$649,"Below","At")),"-")</f>
        <v>Below</v>
      </c>
      <c r="K641" s="34" t="str">
        <f aca="false">IF(J641="Above","Better",IF(J641="Below","Weaker","-"))</f>
        <v>Weaker</v>
      </c>
      <c r="L641" s="34" t="n">
        <f aca="false">IF(ISNUMBER(H641),RANK(H641,H$637:H$646,0),"-")</f>
        <v>6</v>
      </c>
      <c r="N641" s="34" t="str">
        <f aca="false">IF(AND(ISNUMBER(I641),ISNUMBER(I$649)),IF(I641&gt;I$649,"Above",IF(I641&lt;I$649,"Below","At")),"-")</f>
        <v>Below</v>
      </c>
      <c r="O641" s="34" t="str">
        <f aca="false">IF(N641="Above","Better",IF(N641="Below","Weaker","-"))</f>
        <v>Weaker</v>
      </c>
    </row>
    <row r="642" customFormat="false" ht="15" hidden="false" customHeight="false" outlineLevel="0" collapsed="false">
      <c r="A642" s="18" t="s">
        <v>114</v>
      </c>
      <c r="B642" s="23" t="n">
        <f aca="false">Patel!D122</f>
        <v>0.0582021242911833</v>
      </c>
      <c r="C642" s="23" t="n">
        <f aca="false">Patel!E122</f>
        <v>0.0370789163722026</v>
      </c>
      <c r="D642" s="23" t="n">
        <f aca="false">Patel!F122</f>
        <v>0.0323062478661659</v>
      </c>
      <c r="E642" s="23" t="n">
        <f aca="false">Patel!G122</f>
        <v>0.0338148627281874</v>
      </c>
      <c r="F642" s="23" t="n">
        <f aca="false">Patel!H122</f>
        <v>0.0284632593357426</v>
      </c>
      <c r="G642" s="23" t="n">
        <f aca="false">Patel!I122</f>
        <v>0.025825089731244</v>
      </c>
      <c r="H642" s="23" t="n">
        <f aca="false">Patel!J122</f>
        <v>0.0298482387859103</v>
      </c>
      <c r="I642" s="24" t="n">
        <f aca="false">Patel!K122</f>
        <v>0.0350769627300909</v>
      </c>
      <c r="J642" s="34" t="str">
        <f aca="false">IF(AND(ISNUMBER(H642),ISNUMBER(H$649)),IF(H642&gt;H$649,"Above",IF(H642&lt;H$649,"Below","At")),"-")</f>
        <v>Below</v>
      </c>
      <c r="K642" s="34" t="str">
        <f aca="false">IF(J642="Above","Better",IF(J642="Below","Weaker","-"))</f>
        <v>Weaker</v>
      </c>
      <c r="L642" s="34" t="n">
        <f aca="false">IF(ISNUMBER(H642),RANK(H642,H$637:H$646,0),"-")</f>
        <v>9</v>
      </c>
      <c r="N642" s="34" t="str">
        <f aca="false">IF(AND(ISNUMBER(I642),ISNUMBER(I$649)),IF(I642&gt;I$649,"Above",IF(I642&lt;I$649,"Below","At")),"-")</f>
        <v>Below</v>
      </c>
      <c r="O642" s="34" t="str">
        <f aca="false">IF(N642="Above","Better",IF(N642="Below","Weaker","-"))</f>
        <v>Weaker</v>
      </c>
    </row>
    <row r="643" customFormat="false" ht="15" hidden="false" customHeight="false" outlineLevel="0" collapsed="false">
      <c r="A643" s="18" t="s">
        <v>115</v>
      </c>
      <c r="B643" s="23" t="n">
        <f aca="false">Sical!D122</f>
        <v>-0.0774775312176887</v>
      </c>
      <c r="C643" s="23" t="n">
        <f aca="false">Sical!E122</f>
        <v>-2.04020808927189</v>
      </c>
      <c r="D643" s="23" t="n">
        <f aca="false">Sical!F122</f>
        <v>-0.661507151661077</v>
      </c>
      <c r="E643" s="23" t="n">
        <f aca="false">Sical!G122</f>
        <v>-2.06107979903599</v>
      </c>
      <c r="F643" s="23" t="n">
        <f aca="false">Sical!H122</f>
        <v>0.0697001221222127</v>
      </c>
      <c r="G643" s="23" t="n">
        <f aca="false">Sical!I122</f>
        <v>0.0564872419078532</v>
      </c>
      <c r="H643" s="23" t="n">
        <f aca="false">Sical!J122</f>
        <v>0.334759386019498</v>
      </c>
      <c r="I643" s="24" t="n">
        <f aca="false">Sical!K122</f>
        <v>-0.625617974448153</v>
      </c>
      <c r="J643" s="34" t="str">
        <f aca="false">IF(AND(ISNUMBER(H643),ISNUMBER(H$649)),IF(H643&gt;H$649,"Above",IF(H643&lt;H$649,"Below","At")),"-")</f>
        <v>Above</v>
      </c>
      <c r="K643" s="34" t="str">
        <f aca="false">IF(J643="Above","Better",IF(J643="Below","Weaker","-"))</f>
        <v>Better</v>
      </c>
      <c r="L643" s="34" t="n">
        <f aca="false">IF(ISNUMBER(H643),RANK(H643,H$637:H$646,0),"-")</f>
        <v>1</v>
      </c>
      <c r="N643" s="34" t="str">
        <f aca="false">IF(AND(ISNUMBER(I643),ISNUMBER(I$649)),IF(I643&gt;I$649,"Above",IF(I643&lt;I$649,"Below","At")),"-")</f>
        <v>Below</v>
      </c>
      <c r="O643" s="34" t="str">
        <f aca="false">IF(N643="Above","Better",IF(N643="Below","Weaker","-"))</f>
        <v>Weaker</v>
      </c>
    </row>
    <row r="644" customFormat="false" ht="15" hidden="false" customHeight="false" outlineLevel="0" collapsed="false">
      <c r="A644" s="18" t="s">
        <v>86</v>
      </c>
      <c r="B644" s="23" t="n">
        <f aca="false">TCI!D122</f>
        <v>0.0711704883289671</v>
      </c>
      <c r="C644" s="23" t="n">
        <f aca="false">TCI!E122</f>
        <v>0.0717066503948416</v>
      </c>
      <c r="D644" s="23" t="n">
        <f aca="false">TCI!F122</f>
        <v>0.10534520269669</v>
      </c>
      <c r="E644" s="23" t="n">
        <f aca="false">TCI!G122</f>
        <v>0.0988349191158392</v>
      </c>
      <c r="F644" s="23" t="n">
        <f aca="false">TCI!H122</f>
        <v>0.0997351065786008</v>
      </c>
      <c r="G644" s="23" t="n">
        <f aca="false">TCI!I122</f>
        <v>0.106761684677344</v>
      </c>
      <c r="H644" s="23" t="n">
        <f aca="false">TCI!J122</f>
        <v>0.10630556239157</v>
      </c>
      <c r="I644" s="24" t="n">
        <f aca="false">TCI!K122</f>
        <v>0.0942656591691218</v>
      </c>
      <c r="J644" s="34" t="str">
        <f aca="false">IF(AND(ISNUMBER(H644),ISNUMBER(H$649)),IF(H644&gt;H$649,"Above",IF(H644&lt;H$649,"Below","At")),"-")</f>
        <v>Above</v>
      </c>
      <c r="K644" s="34" t="str">
        <f aca="false">IF(J644="Above","Better",IF(J644="Below","Weaker","-"))</f>
        <v>Better</v>
      </c>
      <c r="L644" s="34" t="n">
        <f aca="false">IF(ISNUMBER(H644),RANK(H644,H$637:H$646,0),"-")</f>
        <v>3</v>
      </c>
      <c r="N644" s="34" t="str">
        <f aca="false">IF(AND(ISNUMBER(I644),ISNUMBER(I$649)),IF(I644&gt;I$649,"Above",IF(I644&lt;I$649,"Below","At")),"-")</f>
        <v>Above</v>
      </c>
      <c r="O644" s="34" t="str">
        <f aca="false">IF(N644="Above","Better",IF(N644="Below","Weaker","-"))</f>
        <v>Better</v>
      </c>
    </row>
    <row r="645" customFormat="false" ht="15" hidden="false" customHeight="false" outlineLevel="0" collapsed="false">
      <c r="A645" s="18" t="s">
        <v>116</v>
      </c>
      <c r="B645" s="23" t="n">
        <f aca="false">Shreeji!D122</f>
        <v>0.0520909090909091</v>
      </c>
      <c r="C645" s="23" t="n">
        <f aca="false">Shreeji!E122</f>
        <v>0.0300286427053497</v>
      </c>
      <c r="D645" s="23" t="n">
        <f aca="false">Shreeji!F122</f>
        <v>0.0972883840234518</v>
      </c>
      <c r="E645" s="23" t="n">
        <f aca="false">Shreeji!G122</f>
        <v>0.091611242222699</v>
      </c>
      <c r="F645" s="23" t="n">
        <f aca="false">Shreeji!H122</f>
        <v>0.105349301397206</v>
      </c>
      <c r="G645" s="23" t="n">
        <f aca="false">Shreeji!I122</f>
        <v>0.030247978926333</v>
      </c>
      <c r="H645" s="23" t="n">
        <f aca="false">Shreeji!J122</f>
        <v>0.0329506167570106</v>
      </c>
      <c r="I645" s="24" t="n">
        <f aca="false">Shreeji!K122</f>
        <v>0.062795296446137</v>
      </c>
      <c r="J645" s="34" t="str">
        <f aca="false">IF(AND(ISNUMBER(H645),ISNUMBER(H$649)),IF(H645&gt;H$649,"Above",IF(H645&lt;H$649,"Below","At")),"-")</f>
        <v>Below</v>
      </c>
      <c r="K645" s="34" t="str">
        <f aca="false">IF(J645="Above","Better",IF(J645="Below","Weaker","-"))</f>
        <v>Weaker</v>
      </c>
      <c r="L645" s="34" t="n">
        <f aca="false">IF(ISNUMBER(H645),RANK(H645,H$637:H$646,0),"-")</f>
        <v>7</v>
      </c>
      <c r="N645" s="34" t="str">
        <f aca="false">IF(AND(ISNUMBER(I645),ISNUMBER(I$649)),IF(I645&gt;I$649,"Above",IF(I645&lt;I$649,"Below","At")),"-")</f>
        <v>Above</v>
      </c>
      <c r="O645" s="34" t="str">
        <f aca="false">IF(N645="Above","Better",IF(N645="Below","Weaker","-"))</f>
        <v>Better</v>
      </c>
    </row>
    <row r="646" customFormat="false" ht="15" hidden="false" customHeight="false" outlineLevel="0" collapsed="false">
      <c r="A646" s="18" t="s">
        <v>117</v>
      </c>
      <c r="B646" s="23" t="n">
        <f aca="false">MahindraLog!D122</f>
        <v>0.0284690332282766</v>
      </c>
      <c r="C646" s="23" t="n">
        <f aca="false">MahindraLog!E122</f>
        <v>0.018166386822399</v>
      </c>
      <c r="D646" s="23" t="n">
        <f aca="false">MahindraLog!F122</f>
        <v>0.0135554825684174</v>
      </c>
      <c r="E646" s="23" t="n">
        <f aca="false">MahindraLog!G122</f>
        <v>0.0167911721061016</v>
      </c>
      <c r="F646" s="23" t="n">
        <f aca="false">MahindraLog!H122</f>
        <v>0.00758631085894039</v>
      </c>
      <c r="G646" s="23" t="n">
        <f aca="false">MahindraLog!I122</f>
        <v>0.0120461994846703</v>
      </c>
      <c r="H646" s="23" t="n">
        <f aca="false">MahindraLog!J122</f>
        <v>0.0154558312974155</v>
      </c>
      <c r="I646" s="24" t="n">
        <f aca="false">MahindraLog!K122</f>
        <v>0.0160100594808887</v>
      </c>
      <c r="J646" s="34" t="str">
        <f aca="false">IF(AND(ISNUMBER(H646),ISNUMBER(H$649)),IF(H646&gt;H$649,"Above",IF(H646&lt;H$649,"Below","At")),"-")</f>
        <v>Below</v>
      </c>
      <c r="K646" s="34" t="str">
        <f aca="false">IF(J646="Above","Better",IF(J646="Below","Weaker","-"))</f>
        <v>Weaker</v>
      </c>
      <c r="L646" s="34" t="n">
        <f aca="false">IF(ISNUMBER(H646),RANK(H646,H$637:H$646,0),"-")</f>
        <v>10</v>
      </c>
      <c r="N646" s="34" t="str">
        <f aca="false">IF(AND(ISNUMBER(I646),ISNUMBER(I$649)),IF(I646&gt;I$649,"Above",IF(I646&lt;I$649,"Below","At")),"-")</f>
        <v>Below</v>
      </c>
      <c r="O646" s="34" t="str">
        <f aca="false">IF(N646="Above","Better",IF(N646="Below","Weaker","-"))</f>
        <v>Weaker</v>
      </c>
    </row>
    <row r="647" customFormat="false" ht="15" hidden="false" customHeight="false" outlineLevel="0" collapsed="false">
      <c r="A647" s="12" t="s">
        <v>176</v>
      </c>
      <c r="B647" s="24" t="n">
        <f aca="false">Industry!D122</f>
        <v>0.0504688179827569</v>
      </c>
      <c r="C647" s="24" t="n">
        <f aca="false">Industry!E122</f>
        <v>0.0185240234787291</v>
      </c>
      <c r="D647" s="24" t="n">
        <f aca="false">Industry!F122</f>
        <v>0.0895796488418871</v>
      </c>
      <c r="E647" s="24" t="n">
        <f aca="false">Industry!G122</f>
        <v>0.0690407295052778</v>
      </c>
      <c r="F647" s="24" t="n">
        <f aca="false">Industry!H122</f>
        <v>0.080210640904388</v>
      </c>
      <c r="G647" s="24" t="n">
        <f aca="false">Industry!I122</f>
        <v>0.101963388981013</v>
      </c>
      <c r="H647" s="24" t="n">
        <f aca="false">Industry!J122</f>
        <v>0.0974428248364031</v>
      </c>
      <c r="I647" s="24" t="n">
        <f aca="false">Industry!K122</f>
        <v>0.0724614392186364</v>
      </c>
    </row>
    <row r="648" customFormat="false" ht="15" hidden="false" customHeight="false" outlineLevel="0" collapsed="false">
      <c r="A648" s="35" t="s">
        <v>177</v>
      </c>
      <c r="B648" s="39" t="n">
        <f aca="false">IFERROR(AVERAGE(B637:B646),"N/M")</f>
        <v>0.0260113523811496</v>
      </c>
      <c r="C648" s="39" t="n">
        <f aca="false">IFERROR(AVERAGE(C637:C646),"N/M")</f>
        <v>-0.170477482626698</v>
      </c>
      <c r="D648" s="39" t="n">
        <f aca="false">IFERROR(AVERAGE(D637:D646),"N/M")</f>
        <v>0.00643442810771563</v>
      </c>
      <c r="E648" s="39" t="n">
        <f aca="false">IFERROR(AVERAGE(E637:E646),"N/M")</f>
        <v>-0.136635388732497</v>
      </c>
      <c r="F648" s="39" t="n">
        <f aca="false">IFERROR(AVERAGE(F637:F646),"N/M")</f>
        <v>0.0717421922685497</v>
      </c>
      <c r="G648" s="39" t="n">
        <f aca="false">IFERROR(AVERAGE(G637:G646),"N/M")</f>
        <v>0.0658214659759839</v>
      </c>
      <c r="H648" s="39" t="n">
        <f aca="false">IFERROR(AVERAGE(H637:H646),"N/M")</f>
        <v>0.0910950678055618</v>
      </c>
      <c r="I648" s="39" t="n">
        <f aca="false">IFERROR(AVERAGE(I637:I646),"N/M")</f>
        <v>-0.00657262354574777</v>
      </c>
    </row>
    <row r="649" customFormat="false" ht="15" hidden="false" customHeight="false" outlineLevel="0" collapsed="false">
      <c r="A649" s="35" t="s">
        <v>178</v>
      </c>
      <c r="B649" s="39" t="n">
        <f aca="false">IFERROR(MEDIAN(B637:B646),"N/M")</f>
        <v>0.0401069357019982</v>
      </c>
      <c r="C649" s="39" t="n">
        <f aca="false">IFERROR(MEDIAN(C637:C646),"N/M")</f>
        <v>0.029413593601939</v>
      </c>
      <c r="D649" s="39" t="n">
        <f aca="false">IFERROR(MEDIAN(D637:D646),"N/M")</f>
        <v>0.0661788003147122</v>
      </c>
      <c r="E649" s="39" t="n">
        <f aca="false">IFERROR(MEDIAN(E637:E646),"N/M")</f>
        <v>0.0645194265880031</v>
      </c>
      <c r="F649" s="39" t="n">
        <f aca="false">IFERROR(MEDIAN(F637:F646),"N/M")</f>
        <v>0.0732459654979664</v>
      </c>
      <c r="G649" s="39" t="n">
        <f aca="false">IFERROR(MEDIAN(G637:G646),"N/M")</f>
        <v>0.0511910967315911</v>
      </c>
      <c r="H649" s="39" t="n">
        <f aca="false">IFERROR(MEDIAN(H637:H646),"N/M")</f>
        <v>0.0509665266306053</v>
      </c>
      <c r="I649" s="39" t="n">
        <f aca="false">IFERROR(MEDIAN(I637:I646),"N/M")</f>
        <v>0.0405557432767162</v>
      </c>
    </row>
    <row r="650" customFormat="false" ht="15" hidden="false" customHeight="false" outlineLevel="0" collapsed="false">
      <c r="A650" s="35" t="s">
        <v>179</v>
      </c>
      <c r="B650" s="39" t="n">
        <f aca="false">IFERROR(STDEV(B637:B646),"N/M")</f>
        <v>0.0511013145670524</v>
      </c>
      <c r="C650" s="39" t="n">
        <f aca="false">IFERROR(STDEV(C637:C646),"N/M")</f>
        <v>0.658519142405706</v>
      </c>
      <c r="D650" s="39" t="n">
        <f aca="false">IFERROR(STDEV(D637:D646),"N/M")</f>
        <v>0.241020691654539</v>
      </c>
      <c r="E650" s="39" t="n">
        <f aca="false">IFERROR(STDEV(E637:E646),"N/M")</f>
        <v>0.678376160625262</v>
      </c>
      <c r="F650" s="39" t="n">
        <f aca="false">IFERROR(STDEV(F637:F646),"N/M")</f>
        <v>0.0581484189077682</v>
      </c>
      <c r="G650" s="39" t="n">
        <f aca="false">IFERROR(STDEV(G637:G646),"N/M")</f>
        <v>0.0556638871404752</v>
      </c>
      <c r="H650" s="39" t="n">
        <f aca="false">IFERROR(STDEV(H637:H646),"N/M")</f>
        <v>0.0998756967717792</v>
      </c>
      <c r="I650" s="39" t="n">
        <f aca="false">IFERROR(STDEV(I637:I646),"N/M")</f>
        <v>0.222226089111209</v>
      </c>
    </row>
    <row r="651" customFormat="false" ht="15" hidden="false" customHeight="false" outlineLevel="0" collapsed="false">
      <c r="A651" s="35" t="s">
        <v>102</v>
      </c>
      <c r="B651" s="39" t="n">
        <f aca="false">IFERROR(MIN(B637:B646),"N/M")</f>
        <v>-0.0774775312176887</v>
      </c>
      <c r="C651" s="39" t="n">
        <f aca="false">IFERROR(MIN(C637:C646),"N/M")</f>
        <v>-2.04020808927189</v>
      </c>
      <c r="D651" s="39" t="n">
        <f aca="false">IFERROR(MIN(D637:D646),"N/M")</f>
        <v>-0.661507151661077</v>
      </c>
      <c r="E651" s="39" t="n">
        <f aca="false">IFERROR(MIN(E637:E646),"N/M")</f>
        <v>-2.06107979903599</v>
      </c>
      <c r="F651" s="39" t="n">
        <f aca="false">IFERROR(MIN(F637:F646),"N/M")</f>
        <v>0.00758631085894039</v>
      </c>
      <c r="G651" s="39" t="n">
        <f aca="false">IFERROR(MIN(G637:G646),"N/M")</f>
        <v>0.0120461994846703</v>
      </c>
      <c r="H651" s="39" t="n">
        <f aca="false">IFERROR(MIN(H637:H646),"N/M")</f>
        <v>0.0154558312974155</v>
      </c>
      <c r="I651" s="39" t="n">
        <f aca="false">IFERROR(MIN(I637:I646),"N/M")</f>
        <v>-0.625617974448153</v>
      </c>
    </row>
    <row r="652" customFormat="false" ht="15" hidden="false" customHeight="false" outlineLevel="0" collapsed="false">
      <c r="A652" s="35" t="s">
        <v>103</v>
      </c>
      <c r="B652" s="39" t="n">
        <f aca="false">IFERROR(MAX(B637:B646),"N/M")</f>
        <v>0.0903837054210622</v>
      </c>
      <c r="C652" s="39" t="n">
        <f aca="false">IFERROR(MAX(C637:C646),"N/M")</f>
        <v>0.111573218319984</v>
      </c>
      <c r="D652" s="39" t="n">
        <f aca="false">IFERROR(MAX(D637:D646),"N/M")</f>
        <v>0.190430081813941</v>
      </c>
      <c r="E652" s="39" t="n">
        <f aca="false">IFERROR(MAX(E637:E646),"N/M")</f>
        <v>0.199271157725679</v>
      </c>
      <c r="F652" s="39" t="n">
        <f aca="false">IFERROR(MAX(F637:F646),"N/M")</f>
        <v>0.201108002509993</v>
      </c>
      <c r="G652" s="39" t="n">
        <f aca="false">IFERROR(MAX(G637:G646),"N/M")</f>
        <v>0.202049730955933</v>
      </c>
      <c r="H652" s="39" t="n">
        <f aca="false">IFERROR(MAX(H637:H646),"N/M")</f>
        <v>0.334759386019498</v>
      </c>
      <c r="I652" s="39" t="n">
        <f aca="false">IFERROR(MAX(I637:I646),"N/M")</f>
        <v>0.169327006447481</v>
      </c>
    </row>
    <row r="654" customFormat="false" ht="15" hidden="false" customHeight="false" outlineLevel="0" collapsed="false">
      <c r="A654" s="16" t="s">
        <v>216</v>
      </c>
      <c r="B654" s="17"/>
      <c r="C654" s="17"/>
      <c r="D654" s="17"/>
      <c r="E654" s="17"/>
      <c r="F654" s="17"/>
      <c r="G654" s="17"/>
      <c r="H654" s="17"/>
      <c r="I654" s="17"/>
      <c r="J654" s="17"/>
      <c r="K654" s="17"/>
      <c r="L654" s="17"/>
      <c r="M654" s="17"/>
    </row>
    <row r="655" customFormat="false" ht="15" hidden="false" customHeight="false" outlineLevel="0" collapsed="false">
      <c r="A655" s="18" t="s">
        <v>110</v>
      </c>
      <c r="B655" s="23" t="n">
        <f aca="false">Tiger!D123</f>
        <v>-0.0401685020565212</v>
      </c>
      <c r="C655" s="23" t="n">
        <f aca="false">Tiger!E123</f>
        <v>-0.0721987252040269</v>
      </c>
      <c r="D655" s="23" t="n">
        <f aca="false">Tiger!F123</f>
        <v>0.0607696184422299</v>
      </c>
      <c r="E655" s="23" t="n">
        <f aca="false">Tiger!G123</f>
        <v>0.0723202953732549</v>
      </c>
      <c r="F655" s="23" t="n">
        <f aca="false">Tiger!H123</f>
        <v>0.0736285690501956</v>
      </c>
      <c r="G655" s="23" t="n">
        <f aca="false">Tiger!I123</f>
        <v>0.0672931699949656</v>
      </c>
      <c r="H655" s="23" t="n">
        <f aca="false">Tiger!J123</f>
        <v>0.0508711288013687</v>
      </c>
      <c r="I655" s="24" t="n">
        <f aca="false">Tiger!K123</f>
        <v>0.0303593649144952</v>
      </c>
      <c r="J655" s="34" t="str">
        <f aca="false">IF(AND(ISNUMBER(H655),ISNUMBER(H$667)),IF(H655&gt;H$667,"Above",IF(H655&lt;H$667,"Below","At")),"-")</f>
        <v>Above</v>
      </c>
      <c r="K655" s="34" t="str">
        <f aca="false">IF(J655="Above","Better",IF(J655="Below","Weaker","-"))</f>
        <v>Better</v>
      </c>
      <c r="L655" s="34" t="n">
        <f aca="false">IF(ISNUMBER(H655),RANK(H655,H$655:H$664,0),"-")</f>
        <v>5</v>
      </c>
      <c r="N655" s="34" t="str">
        <f aca="false">IF(AND(ISNUMBER(I655),ISNUMBER(I$667)),IF(I655&gt;I$667,"Above",IF(I655&lt;I$667,"Below","At")),"-")</f>
        <v>Above</v>
      </c>
      <c r="O655" s="34" t="str">
        <f aca="false">IF(N655="Above","Better",IF(N655="Below","Weaker","-"))</f>
        <v>Better</v>
      </c>
    </row>
    <row r="656" customFormat="false" ht="15" hidden="false" customHeight="false" outlineLevel="0" collapsed="false">
      <c r="A656" s="18" t="s">
        <v>111</v>
      </c>
      <c r="B656" s="23" t="n">
        <f aca="false">Allcargo!D123</f>
        <v>0.0415777322820926</v>
      </c>
      <c r="C656" s="23" t="n">
        <f aca="false">Allcargo!E123</f>
        <v>0.0151532182013888</v>
      </c>
      <c r="D656" s="23" t="n">
        <f aca="false">Allcargo!F123</f>
        <v>0.0640859382459189</v>
      </c>
      <c r="E656" s="23" t="n">
        <f aca="false">Allcargo!G123</f>
        <v>0.0496012081479073</v>
      </c>
      <c r="F656" s="23" t="n">
        <f aca="false">Allcargo!H123</f>
        <v>0.0126774660181298</v>
      </c>
      <c r="G656" s="23" t="n">
        <f aca="false">Allcargo!I123</f>
        <v>0.00764915859255482</v>
      </c>
      <c r="H656" s="23" t="n">
        <f aca="false">Allcargo!J123</f>
        <v>0.00194363459669582</v>
      </c>
      <c r="I656" s="24" t="n">
        <f aca="false">Allcargo!K123</f>
        <v>0.0275269080120983</v>
      </c>
      <c r="J656" s="34" t="str">
        <f aca="false">IF(AND(ISNUMBER(H656),ISNUMBER(H$667)),IF(H656&gt;H$667,"Above",IF(H656&lt;H$667,"Below","At")),"-")</f>
        <v>Below</v>
      </c>
      <c r="K656" s="34" t="str">
        <f aca="false">IF(J656="Above","Better",IF(J656="Below","Weaker","-"))</f>
        <v>Weaker</v>
      </c>
      <c r="L656" s="34" t="n">
        <f aca="false">IF(ISNUMBER(H656),RANK(H656,H$655:H$664,0),"-")</f>
        <v>10</v>
      </c>
      <c r="N656" s="34" t="str">
        <f aca="false">IF(AND(ISNUMBER(I656),ISNUMBER(I$667)),IF(I656&gt;I$667,"Above",IF(I656&lt;I$667,"Below","At")),"-")</f>
        <v>Below</v>
      </c>
      <c r="O656" s="34" t="str">
        <f aca="false">IF(N656="Above","Better",IF(N656="Below","Weaker","-"))</f>
        <v>Weaker</v>
      </c>
    </row>
    <row r="657" customFormat="false" ht="15" hidden="false" customHeight="false" outlineLevel="0" collapsed="false">
      <c r="A657" s="18" t="s">
        <v>112</v>
      </c>
      <c r="B657" s="23" t="n">
        <f aca="false">BlueDart!D123</f>
        <v>-0.0123207553706462</v>
      </c>
      <c r="C657" s="23" t="n">
        <f aca="false">BlueDart!E123</f>
        <v>0.0425135259250699</v>
      </c>
      <c r="D657" s="23" t="n">
        <f aca="false">BlueDart!F123</f>
        <v>0.116152627032371</v>
      </c>
      <c r="E657" s="23" t="n">
        <f aca="false">BlueDart!G123</f>
        <v>0.0982556813128599</v>
      </c>
      <c r="F657" s="23" t="n">
        <f aca="false">BlueDart!H123</f>
        <v>0.0745468247836396</v>
      </c>
      <c r="G657" s="23" t="n">
        <f aca="false">BlueDart!I123</f>
        <v>0.0607043834284935</v>
      </c>
      <c r="H657" s="23" t="n">
        <f aca="false">BlueDart!J123</f>
        <v>0.0532089863342062</v>
      </c>
      <c r="I657" s="24" t="n">
        <f aca="false">BlueDart!K123</f>
        <v>0.0618658962065705</v>
      </c>
      <c r="J657" s="34" t="str">
        <f aca="false">IF(AND(ISNUMBER(H657),ISNUMBER(H$667)),IF(H657&gt;H$667,"Above",IF(H657&lt;H$667,"Below","At")),"-")</f>
        <v>Above</v>
      </c>
      <c r="K657" s="34" t="str">
        <f aca="false">IF(J657="Above","Better",IF(J657="Below","Weaker","-"))</f>
        <v>Better</v>
      </c>
      <c r="L657" s="34" t="n">
        <f aca="false">IF(ISNUMBER(H657),RANK(H657,H$655:H$664,0),"-")</f>
        <v>4</v>
      </c>
      <c r="N657" s="34" t="str">
        <f aca="false">IF(AND(ISNUMBER(I657),ISNUMBER(I$667)),IF(I657&gt;I$667,"Above",IF(I657&lt;I$667,"Below","At")),"-")</f>
        <v>Above</v>
      </c>
      <c r="O657" s="34" t="str">
        <f aca="false">IF(N657="Above","Better",IF(N657="Below","Weaker","-"))</f>
        <v>Better</v>
      </c>
    </row>
    <row r="658" customFormat="false" ht="15" hidden="false" customHeight="false" outlineLevel="0" collapsed="false">
      <c r="A658" s="18" t="s">
        <v>67</v>
      </c>
      <c r="B658" s="23" t="n">
        <f aca="false">CONCOR!D123</f>
        <v>0.0832722077341366</v>
      </c>
      <c r="C658" s="23" t="n">
        <f aca="false">CONCOR!E123</f>
        <v>0.10481898467111</v>
      </c>
      <c r="D658" s="23" t="n">
        <f aca="false">CONCOR!F123</f>
        <v>0.182218633089107</v>
      </c>
      <c r="E658" s="23" t="n">
        <f aca="false">CONCOR!G123</f>
        <v>0.191353536243806</v>
      </c>
      <c r="F658" s="23" t="n">
        <f aca="false">CONCOR!H123</f>
        <v>0.192818784733417</v>
      </c>
      <c r="G658" s="23" t="n">
        <f aca="false">CONCOR!I123</f>
        <v>0.193772490666163</v>
      </c>
      <c r="H658" s="23" t="n">
        <f aca="false">CONCOR!J123</f>
        <v>0.181823488787825</v>
      </c>
      <c r="I658" s="24" t="n">
        <f aca="false">CONCOR!K123</f>
        <v>0.161439732275081</v>
      </c>
      <c r="J658" s="34" t="str">
        <f aca="false">IF(AND(ISNUMBER(H658),ISNUMBER(H$667)),IF(H658&gt;H$667,"Above",IF(H658&lt;H$667,"Below","At")),"-")</f>
        <v>Above</v>
      </c>
      <c r="K658" s="34" t="str">
        <f aca="false">IF(J658="Above","Better",IF(J658="Below","Weaker","-"))</f>
        <v>Better</v>
      </c>
      <c r="L658" s="34" t="n">
        <f aca="false">IF(ISNUMBER(H658),RANK(H658,H$655:H$664,0),"-")</f>
        <v>1</v>
      </c>
      <c r="N658" s="34" t="str">
        <f aca="false">IF(AND(ISNUMBER(I658),ISNUMBER(I$667)),IF(I658&gt;I$667,"Above",IF(I658&lt;I$667,"Below","At")),"-")</f>
        <v>Above</v>
      </c>
      <c r="O658" s="34" t="str">
        <f aca="false">IF(N658="Above","Better",IF(N658="Below","Weaker","-"))</f>
        <v>Better</v>
      </c>
    </row>
    <row r="659" customFormat="false" ht="15" hidden="false" customHeight="false" outlineLevel="0" collapsed="false">
      <c r="A659" s="18" t="s">
        <v>113</v>
      </c>
      <c r="B659" s="23" t="n">
        <f aca="false">JetFreight!D123</f>
        <v>-0.0289545666822336</v>
      </c>
      <c r="C659" s="23" t="n">
        <f aca="false">JetFreight!E123</f>
        <v>0.0111594913348136</v>
      </c>
      <c r="D659" s="23" t="n">
        <f aca="false">JetFreight!F123</f>
        <v>0.00985200105088011</v>
      </c>
      <c r="E659" s="23" t="n">
        <f aca="false">JetFreight!G123</f>
        <v>0.00206388442247234</v>
      </c>
      <c r="F659" s="23" t="n">
        <f aca="false">JetFreight!H123</f>
        <v>0.000567346622998169</v>
      </c>
      <c r="G659" s="23" t="n">
        <f aca="false">JetFreight!I123</f>
        <v>0.0144515951721137</v>
      </c>
      <c r="H659" s="23" t="n">
        <f aca="false">JetFreight!J123</f>
        <v>0.0260989010989011</v>
      </c>
      <c r="I659" s="24" t="n">
        <f aca="false">JetFreight!K123</f>
        <v>0.00503409328856362</v>
      </c>
      <c r="J659" s="34" t="str">
        <f aca="false">IF(AND(ISNUMBER(H659),ISNUMBER(H$667)),IF(H659&gt;H$667,"Above",IF(H659&lt;H$667,"Below","At")),"-")</f>
        <v>Below</v>
      </c>
      <c r="K659" s="34" t="str">
        <f aca="false">IF(J659="Above","Better",IF(J659="Below","Weaker","-"))</f>
        <v>Weaker</v>
      </c>
      <c r="L659" s="34" t="n">
        <f aca="false">IF(ISNUMBER(H659),RANK(H659,H$655:H$664,0),"-")</f>
        <v>7</v>
      </c>
      <c r="N659" s="34" t="str">
        <f aca="false">IF(AND(ISNUMBER(I659),ISNUMBER(I$667)),IF(I659&gt;I$667,"Above",IF(I659&lt;I$667,"Below","At")),"-")</f>
        <v>Below</v>
      </c>
      <c r="O659" s="34" t="str">
        <f aca="false">IF(N659="Above","Better",IF(N659="Below","Weaker","-"))</f>
        <v>Weaker</v>
      </c>
    </row>
    <row r="660" customFormat="false" ht="15" hidden="false" customHeight="false" outlineLevel="0" collapsed="false">
      <c r="A660" s="18" t="s">
        <v>114</v>
      </c>
      <c r="B660" s="23" t="n">
        <f aca="false">Patel!D123</f>
        <v>0.0369304280245243</v>
      </c>
      <c r="C660" s="23" t="n">
        <f aca="false">Patel!E123</f>
        <v>0.00131919905771496</v>
      </c>
      <c r="D660" s="23" t="n">
        <f aca="false">Patel!F123</f>
        <v>0.00951689996585866</v>
      </c>
      <c r="E660" s="23" t="n">
        <f aca="false">Patel!G123</f>
        <v>0.01667385367256</v>
      </c>
      <c r="F660" s="23" t="n">
        <f aca="false">Patel!H123</f>
        <v>0.0195491309585269</v>
      </c>
      <c r="G660" s="23" t="n">
        <f aca="false">Patel!I123</f>
        <v>0.0223817444337448</v>
      </c>
      <c r="H660" s="23" t="n">
        <f aca="false">Patel!J123</f>
        <v>0.0288682309458476</v>
      </c>
      <c r="I660" s="24" t="n">
        <f aca="false">Patel!K123</f>
        <v>0.0193199267226825</v>
      </c>
      <c r="J660" s="34" t="str">
        <f aca="false">IF(AND(ISNUMBER(H660),ISNUMBER(H$667)),IF(H660&gt;H$667,"Above",IF(H660&lt;H$667,"Below","At")),"-")</f>
        <v>Below</v>
      </c>
      <c r="K660" s="34" t="str">
        <f aca="false">IF(J660="Above","Better",IF(J660="Below","Weaker","-"))</f>
        <v>Weaker</v>
      </c>
      <c r="L660" s="34" t="n">
        <f aca="false">IF(ISNUMBER(H660),RANK(H660,H$655:H$664,0),"-")</f>
        <v>6</v>
      </c>
      <c r="N660" s="34" t="str">
        <f aca="false">IF(AND(ISNUMBER(I660),ISNUMBER(I$667)),IF(I660&gt;I$667,"Above",IF(I660&lt;I$667,"Below","At")),"-")</f>
        <v>Below</v>
      </c>
      <c r="O660" s="34" t="str">
        <f aca="false">IF(N660="Above","Better",IF(N660="Below","Weaker","-"))</f>
        <v>Weaker</v>
      </c>
    </row>
    <row r="661" customFormat="false" ht="15" hidden="false" customHeight="false" outlineLevel="0" collapsed="false">
      <c r="A661" s="18" t="s">
        <v>115</v>
      </c>
      <c r="B661" s="23" t="n">
        <f aca="false">Sical!D123</f>
        <v>-0.13216813807365</v>
      </c>
      <c r="C661" s="23" t="n">
        <f aca="false">Sical!E123</f>
        <v>-2.31658161745726</v>
      </c>
      <c r="D661" s="23" t="n">
        <f aca="false">Sical!F123</f>
        <v>-0.722676068449566</v>
      </c>
      <c r="E661" s="23" t="n">
        <f aca="false">Sical!G123</f>
        <v>-2.11047920226467</v>
      </c>
      <c r="F661" s="23" t="n">
        <f aca="false">Sical!H123</f>
        <v>-0.107512777601882</v>
      </c>
      <c r="G661" s="23" t="n">
        <f aca="false">Sical!I123</f>
        <v>-0.138490668109278</v>
      </c>
      <c r="H661" s="23" t="n">
        <f aca="false">Sical!J123</f>
        <v>0.148024268823895</v>
      </c>
      <c r="I661" s="24" t="n">
        <f aca="false">Sical!K123</f>
        <v>-0.768554886161773</v>
      </c>
      <c r="J661" s="34" t="str">
        <f aca="false">IF(AND(ISNUMBER(H661),ISNUMBER(H$667)),IF(H661&gt;H$667,"Above",IF(H661&lt;H$667,"Below","At")),"-")</f>
        <v>Above</v>
      </c>
      <c r="K661" s="34" t="str">
        <f aca="false">IF(J661="Above","Better",IF(J661="Below","Weaker","-"))</f>
        <v>Better</v>
      </c>
      <c r="L661" s="34" t="n">
        <f aca="false">IF(ISNUMBER(H661),RANK(H661,H$655:H$664,0),"-")</f>
        <v>2</v>
      </c>
      <c r="N661" s="34" t="str">
        <f aca="false">IF(AND(ISNUMBER(I661),ISNUMBER(I$667)),IF(I661&gt;I$667,"Above",IF(I661&lt;I$667,"Below","At")),"-")</f>
        <v>Below</v>
      </c>
      <c r="O661" s="34" t="str">
        <f aca="false">IF(N661="Above","Better",IF(N661="Below","Weaker","-"))</f>
        <v>Weaker</v>
      </c>
    </row>
    <row r="662" customFormat="false" ht="15" hidden="false" customHeight="false" outlineLevel="0" collapsed="false">
      <c r="A662" s="18" t="s">
        <v>86</v>
      </c>
      <c r="B662" s="23" t="n">
        <f aca="false">TCI!D123</f>
        <v>0.0585428134106496</v>
      </c>
      <c r="C662" s="23" t="n">
        <f aca="false">TCI!E123</f>
        <v>0.0621790685807472</v>
      </c>
      <c r="D662" s="23" t="n">
        <f aca="false">TCI!F123</f>
        <v>0.101408182741553</v>
      </c>
      <c r="E662" s="23" t="n">
        <f aca="false">TCI!G123</f>
        <v>0.0962388006038223</v>
      </c>
      <c r="F662" s="23" t="n">
        <f aca="false">TCI!H123</f>
        <v>0.0964376059200946</v>
      </c>
      <c r="G662" s="23" t="n">
        <f aca="false">TCI!I123</f>
        <v>0.102273486234856</v>
      </c>
      <c r="H662" s="23" t="n">
        <f aca="false">TCI!J123</f>
        <v>0.101670405571137</v>
      </c>
      <c r="I662" s="24" t="n">
        <f aca="false">TCI!K123</f>
        <v>0.0883929090089799</v>
      </c>
      <c r="J662" s="34" t="str">
        <f aca="false">IF(AND(ISNUMBER(H662),ISNUMBER(H$667)),IF(H662&gt;H$667,"Above",IF(H662&lt;H$667,"Below","At")),"-")</f>
        <v>Above</v>
      </c>
      <c r="K662" s="34" t="str">
        <f aca="false">IF(J662="Above","Better",IF(J662="Below","Weaker","-"))</f>
        <v>Better</v>
      </c>
      <c r="L662" s="34" t="n">
        <f aca="false">IF(ISNUMBER(H662),RANK(H662,H$655:H$664,0),"-")</f>
        <v>3</v>
      </c>
      <c r="N662" s="34" t="str">
        <f aca="false">IF(AND(ISNUMBER(I662),ISNUMBER(I$667)),IF(I662&gt;I$667,"Above",IF(I662&lt;I$667,"Below","At")),"-")</f>
        <v>Above</v>
      </c>
      <c r="O662" s="34" t="str">
        <f aca="false">IF(N662="Above","Better",IF(N662="Below","Weaker","-"))</f>
        <v>Better</v>
      </c>
    </row>
    <row r="663" customFormat="false" ht="15" hidden="false" customHeight="false" outlineLevel="0" collapsed="false">
      <c r="A663" s="18" t="s">
        <v>116</v>
      </c>
      <c r="B663" s="23" t="n">
        <f aca="false">Shreeji!D123</f>
        <v>0.02</v>
      </c>
      <c r="C663" s="23" t="n">
        <f aca="false">Shreeji!E123</f>
        <v>-0.00886999907604176</v>
      </c>
      <c r="D663" s="23" t="n">
        <f aca="false">Shreeji!F123</f>
        <v>0.0720654696470014</v>
      </c>
      <c r="E663" s="23" t="n">
        <f aca="false">Shreeji!G123</f>
        <v>0.0717120789530144</v>
      </c>
      <c r="F663" s="23" t="n">
        <f aca="false">Shreeji!H123</f>
        <v>0.0855489021956088</v>
      </c>
      <c r="G663" s="23" t="n">
        <f aca="false">Shreeji!I123</f>
        <v>0.0103551639567626</v>
      </c>
      <c r="H663" s="23" t="n">
        <f aca="false">Shreeji!J123</f>
        <v>0.0151948439967562</v>
      </c>
      <c r="I663" s="24" t="n">
        <f aca="false">Shreeji!K123</f>
        <v>0.0380009228104431</v>
      </c>
      <c r="J663" s="34" t="str">
        <f aca="false">IF(AND(ISNUMBER(H663),ISNUMBER(H$667)),IF(H663&gt;H$667,"Above",IF(H663&lt;H$667,"Below","At")),"-")</f>
        <v>Below</v>
      </c>
      <c r="K663" s="34" t="str">
        <f aca="false">IF(J663="Above","Better",IF(J663="Below","Weaker","-"))</f>
        <v>Weaker</v>
      </c>
      <c r="L663" s="34" t="n">
        <f aca="false">IF(ISNUMBER(H663),RANK(H663,H$655:H$664,0),"-")</f>
        <v>8</v>
      </c>
      <c r="N663" s="34" t="str">
        <f aca="false">IF(AND(ISNUMBER(I663),ISNUMBER(I$667)),IF(I663&gt;I$667,"Above",IF(I663&lt;I$667,"Below","At")),"-")</f>
        <v>Above</v>
      </c>
      <c r="O663" s="34" t="str">
        <f aca="false">IF(N663="Above","Better",IF(N663="Below","Weaker","-"))</f>
        <v>Better</v>
      </c>
    </row>
    <row r="664" customFormat="false" ht="15" hidden="false" customHeight="false" outlineLevel="0" collapsed="false">
      <c r="A664" s="18" t="s">
        <v>117</v>
      </c>
      <c r="B664" s="23" t="n">
        <f aca="false">MahindraLog!D123</f>
        <v>0.0233900101983786</v>
      </c>
      <c r="C664" s="23" t="n">
        <f aca="false">MahindraLog!E123</f>
        <v>0.0120108342627431</v>
      </c>
      <c r="D664" s="23" t="n">
        <f aca="false">MahindraLog!F123</f>
        <v>0.00635390604623306</v>
      </c>
      <c r="E664" s="23" t="n">
        <f aca="false">MahindraLog!G123</f>
        <v>0.00673518853262978</v>
      </c>
      <c r="F664" s="23" t="n">
        <f aca="false">MahindraLog!H123</f>
        <v>-0.00479297925706097</v>
      </c>
      <c r="G664" s="23" t="n">
        <f aca="false">MahindraLog!I123</f>
        <v>-0.00125638224160214</v>
      </c>
      <c r="H664" s="23" t="n">
        <f aca="false">MahindraLog!J123</f>
        <v>0.00473761661880474</v>
      </c>
      <c r="I664" s="24" t="n">
        <f aca="false">MahindraLog!K123</f>
        <v>0.00673974202287518</v>
      </c>
      <c r="J664" s="34" t="str">
        <f aca="false">IF(AND(ISNUMBER(H664),ISNUMBER(H$667)),IF(H664&gt;H$667,"Above",IF(H664&lt;H$667,"Below","At")),"-")</f>
        <v>Below</v>
      </c>
      <c r="K664" s="34" t="str">
        <f aca="false">IF(J664="Above","Better",IF(J664="Below","Weaker","-"))</f>
        <v>Weaker</v>
      </c>
      <c r="L664" s="34" t="n">
        <f aca="false">IF(ISNUMBER(H664),RANK(H664,H$655:H$664,0),"-")</f>
        <v>9</v>
      </c>
      <c r="N664" s="34" t="str">
        <f aca="false">IF(AND(ISNUMBER(I664),ISNUMBER(I$667)),IF(I664&gt;I$667,"Above",IF(I664&lt;I$667,"Below","At")),"-")</f>
        <v>Below</v>
      </c>
      <c r="O664" s="34" t="str">
        <f aca="false">IF(N664="Above","Better",IF(N664="Below","Weaker","-"))</f>
        <v>Weaker</v>
      </c>
    </row>
    <row r="665" customFormat="false" ht="15" hidden="false" customHeight="false" outlineLevel="0" collapsed="false">
      <c r="A665" s="12" t="s">
        <v>176</v>
      </c>
      <c r="B665" s="24" t="n">
        <f aca="false">Industry!D123</f>
        <v>0.0360286629628064</v>
      </c>
      <c r="C665" s="24" t="n">
        <f aca="false">Industry!E123</f>
        <v>0.00037547717645508</v>
      </c>
      <c r="D665" s="24" t="n">
        <f aca="false">Industry!F123</f>
        <v>0.0815231145421894</v>
      </c>
      <c r="E665" s="24" t="n">
        <f aca="false">Industry!G123</f>
        <v>0.0616039004195208</v>
      </c>
      <c r="F665" s="24" t="n">
        <f aca="false">Industry!H123</f>
        <v>0.0689917461687709</v>
      </c>
      <c r="G665" s="24" t="n">
        <f aca="false">Industry!I123</f>
        <v>0.0884313356687748</v>
      </c>
      <c r="H665" s="24" t="n">
        <f aca="false">Industry!J123</f>
        <v>0.0842075764566613</v>
      </c>
      <c r="I665" s="24" t="n">
        <f aca="false">Industry!K123</f>
        <v>0.0601659733421684</v>
      </c>
    </row>
    <row r="666" customFormat="false" ht="15" hidden="false" customHeight="false" outlineLevel="0" collapsed="false">
      <c r="A666" s="35" t="s">
        <v>177</v>
      </c>
      <c r="B666" s="39" t="n">
        <f aca="false">IFERROR(AVERAGE(B655:B664),"N/M")</f>
        <v>0.00501012294667309</v>
      </c>
      <c r="C666" s="39" t="n">
        <f aca="false">IFERROR(AVERAGE(C655:C664),"N/M")</f>
        <v>-0.214849601970374</v>
      </c>
      <c r="D666" s="39" t="n">
        <f aca="false">IFERROR(AVERAGE(D655:D664),"N/M")</f>
        <v>-0.0100252792188414</v>
      </c>
      <c r="E666" s="39" t="n">
        <f aca="false">IFERROR(AVERAGE(E655:E664),"N/M")</f>
        <v>-0.150552467500234</v>
      </c>
      <c r="F666" s="39" t="n">
        <f aca="false">IFERROR(AVERAGE(F655:F664),"N/M")</f>
        <v>0.0443468873423668</v>
      </c>
      <c r="G666" s="39" t="n">
        <f aca="false">IFERROR(AVERAGE(G655:G664),"N/M")</f>
        <v>0.0339134142128773</v>
      </c>
      <c r="H666" s="39" t="n">
        <f aca="false">IFERROR(AVERAGE(H655:H664),"N/M")</f>
        <v>0.0612441505575438</v>
      </c>
      <c r="I666" s="39" t="n">
        <f aca="false">IFERROR(AVERAGE(I655:I664),"N/M")</f>
        <v>-0.0329875390899984</v>
      </c>
    </row>
    <row r="667" customFormat="false" ht="15" hidden="false" customHeight="false" outlineLevel="0" collapsed="false">
      <c r="A667" s="35" t="s">
        <v>178</v>
      </c>
      <c r="B667" s="39" t="n">
        <f aca="false">IFERROR(MEDIAN(B655:B664),"N/M")</f>
        <v>0.0216950050991893</v>
      </c>
      <c r="C667" s="39" t="n">
        <f aca="false">IFERROR(MEDIAN(C655:C664),"N/M")</f>
        <v>0.0115851627987784</v>
      </c>
      <c r="D667" s="39" t="n">
        <f aca="false">IFERROR(MEDIAN(D655:D664),"N/M")</f>
        <v>0.0624277783440744</v>
      </c>
      <c r="E667" s="39" t="n">
        <f aca="false">IFERROR(MEDIAN(E655:E664),"N/M")</f>
        <v>0.0606566435504608</v>
      </c>
      <c r="F667" s="39" t="n">
        <f aca="false">IFERROR(MEDIAN(F655:F664),"N/M")</f>
        <v>0.0465888500043613</v>
      </c>
      <c r="G667" s="39" t="n">
        <f aca="false">IFERROR(MEDIAN(G655:G664),"N/M")</f>
        <v>0.0184166698029292</v>
      </c>
      <c r="H667" s="39" t="n">
        <f aca="false">IFERROR(MEDIAN(H655:H664),"N/M")</f>
        <v>0.0398696798736081</v>
      </c>
      <c r="I667" s="39" t="n">
        <f aca="false">IFERROR(MEDIAN(I655:I664),"N/M")</f>
        <v>0.0289431364632968</v>
      </c>
    </row>
    <row r="668" customFormat="false" ht="15" hidden="false" customHeight="false" outlineLevel="0" collapsed="false">
      <c r="A668" s="35" t="s">
        <v>179</v>
      </c>
      <c r="B668" s="39" t="n">
        <f aca="false">IFERROR(STDEV(B655:B664),"N/M")</f>
        <v>0.0616641967076512</v>
      </c>
      <c r="C668" s="39" t="n">
        <f aca="false">IFERROR(STDEV(C655:C664),"N/M")</f>
        <v>0.739924847473301</v>
      </c>
      <c r="D668" s="39" t="n">
        <f aca="false">IFERROR(STDEV(D655:D664),"N/M")</f>
        <v>0.256353859509234</v>
      </c>
      <c r="E668" s="39" t="n">
        <f aca="false">IFERROR(STDEV(E655:E664),"N/M")</f>
        <v>0.690905608361848</v>
      </c>
      <c r="F668" s="39" t="n">
        <f aca="false">IFERROR(STDEV(F655:F664),"N/M")</f>
        <v>0.0797461388062679</v>
      </c>
      <c r="G668" s="39" t="n">
        <f aca="false">IFERROR(STDEV(G655:G664),"N/M")</f>
        <v>0.0848375009910221</v>
      </c>
      <c r="H668" s="39" t="n">
        <f aca="false">IFERROR(STDEV(H655:H664),"N/M")</f>
        <v>0.0623521167859369</v>
      </c>
      <c r="I668" s="39" t="n">
        <f aca="false">IFERROR(STDEV(I655:I664),"N/M")</f>
        <v>0.262692434427298</v>
      </c>
    </row>
    <row r="669" customFormat="false" ht="15" hidden="false" customHeight="false" outlineLevel="0" collapsed="false">
      <c r="A669" s="35" t="s">
        <v>102</v>
      </c>
      <c r="B669" s="39" t="n">
        <f aca="false">IFERROR(MIN(B655:B664),"N/M")</f>
        <v>-0.13216813807365</v>
      </c>
      <c r="C669" s="39" t="n">
        <f aca="false">IFERROR(MIN(C655:C664),"N/M")</f>
        <v>-2.31658161745726</v>
      </c>
      <c r="D669" s="39" t="n">
        <f aca="false">IFERROR(MIN(D655:D664),"N/M")</f>
        <v>-0.722676068449566</v>
      </c>
      <c r="E669" s="39" t="n">
        <f aca="false">IFERROR(MIN(E655:E664),"N/M")</f>
        <v>-2.11047920226467</v>
      </c>
      <c r="F669" s="39" t="n">
        <f aca="false">IFERROR(MIN(F655:F664),"N/M")</f>
        <v>-0.107512777601882</v>
      </c>
      <c r="G669" s="39" t="n">
        <f aca="false">IFERROR(MIN(G655:G664),"N/M")</f>
        <v>-0.138490668109278</v>
      </c>
      <c r="H669" s="39" t="n">
        <f aca="false">IFERROR(MIN(H655:H664),"N/M")</f>
        <v>0.00194363459669582</v>
      </c>
      <c r="I669" s="39" t="n">
        <f aca="false">IFERROR(MIN(I655:I664),"N/M")</f>
        <v>-0.768554886161773</v>
      </c>
    </row>
    <row r="670" customFormat="false" ht="15" hidden="false" customHeight="false" outlineLevel="0" collapsed="false">
      <c r="A670" s="35" t="s">
        <v>103</v>
      </c>
      <c r="B670" s="39" t="n">
        <f aca="false">IFERROR(MAX(B655:B664),"N/M")</f>
        <v>0.0832722077341366</v>
      </c>
      <c r="C670" s="39" t="n">
        <f aca="false">IFERROR(MAX(C655:C664),"N/M")</f>
        <v>0.10481898467111</v>
      </c>
      <c r="D670" s="39" t="n">
        <f aca="false">IFERROR(MAX(D655:D664),"N/M")</f>
        <v>0.182218633089107</v>
      </c>
      <c r="E670" s="39" t="n">
        <f aca="false">IFERROR(MAX(E655:E664),"N/M")</f>
        <v>0.191353536243806</v>
      </c>
      <c r="F670" s="39" t="n">
        <f aca="false">IFERROR(MAX(F655:F664),"N/M")</f>
        <v>0.192818784733417</v>
      </c>
      <c r="G670" s="39" t="n">
        <f aca="false">IFERROR(MAX(G655:G664),"N/M")</f>
        <v>0.193772490666163</v>
      </c>
      <c r="H670" s="39" t="n">
        <f aca="false">IFERROR(MAX(H655:H664),"N/M")</f>
        <v>0.181823488787825</v>
      </c>
      <c r="I670" s="39" t="n">
        <f aca="false">IFERROR(MAX(I655:I664),"N/M")</f>
        <v>0.161439732275081</v>
      </c>
    </row>
    <row r="672" customFormat="false" ht="15" hidden="false" customHeight="false" outlineLevel="0" collapsed="false">
      <c r="A672" s="16" t="s">
        <v>217</v>
      </c>
      <c r="B672" s="17"/>
      <c r="C672" s="17"/>
      <c r="D672" s="17"/>
      <c r="E672" s="17"/>
      <c r="F672" s="17"/>
      <c r="G672" s="17"/>
      <c r="H672" s="17"/>
      <c r="I672" s="17"/>
      <c r="J672" s="17"/>
      <c r="K672" s="17"/>
      <c r="L672" s="17"/>
      <c r="M672" s="17"/>
    </row>
    <row r="673" customFormat="false" ht="15" hidden="false" customHeight="false" outlineLevel="0" collapsed="false">
      <c r="A673" s="18" t="s">
        <v>110</v>
      </c>
      <c r="B673" s="23" t="n">
        <f aca="false">Tiger!D124</f>
        <v>-0.0409314050683296</v>
      </c>
      <c r="C673" s="23" t="n">
        <f aca="false">Tiger!E124</f>
        <v>-0.0739858223625425</v>
      </c>
      <c r="D673" s="23" t="n">
        <f aca="false">Tiger!F124</f>
        <v>0.0546731478922469</v>
      </c>
      <c r="E673" s="23" t="n">
        <f aca="false">Tiger!G124</f>
        <v>0.0535594784815969</v>
      </c>
      <c r="F673" s="23" t="n">
        <f aca="false">Tiger!H124</f>
        <v>0.0539415633064181</v>
      </c>
      <c r="G673" s="23" t="n">
        <f aca="false">Tiger!I124</f>
        <v>0.0503626633849826</v>
      </c>
      <c r="H673" s="23" t="n">
        <f aca="false">Tiger!J124</f>
        <v>0.0375685206522119</v>
      </c>
      <c r="I673" s="24" t="n">
        <f aca="false">Tiger!K124</f>
        <v>0.0193125923266549</v>
      </c>
      <c r="J673" s="34" t="str">
        <f aca="false">IF(AND(ISNUMBER(H673),ISNUMBER(H$685)),IF(H673&gt;H$685,"Above",IF(H673&lt;H$685,"Below","At")),"-")</f>
        <v>Above</v>
      </c>
      <c r="K673" s="34" t="str">
        <f aca="false">IF(J673="Above","Better",IF(J673="Below","Weaker","-"))</f>
        <v>Better</v>
      </c>
      <c r="L673" s="34" t="n">
        <f aca="false">IF(ISNUMBER(H673),RANK(H673,H$673:H$682,0),"-")</f>
        <v>5</v>
      </c>
      <c r="N673" s="34" t="str">
        <f aca="false">IF(AND(ISNUMBER(I673),ISNUMBER(I$685)),IF(I673&gt;I$685,"Above",IF(I673&lt;I$685,"Below","At")),"-")</f>
        <v>Below</v>
      </c>
      <c r="O673" s="34" t="str">
        <f aca="false">IF(N673="Above","Better",IF(N673="Below","Weaker","-"))</f>
        <v>Weaker</v>
      </c>
    </row>
    <row r="674" customFormat="false" ht="15" hidden="false" customHeight="false" outlineLevel="0" collapsed="false">
      <c r="A674" s="18" t="s">
        <v>111</v>
      </c>
      <c r="B674" s="23" t="n">
        <f aca="false">Allcargo!D124</f>
        <v>0.0303556649387986</v>
      </c>
      <c r="C674" s="23" t="n">
        <f aca="false">Allcargo!E124</f>
        <v>0.0164696468884846</v>
      </c>
      <c r="D674" s="23" t="n">
        <f aca="false">Allcargo!F124</f>
        <v>0.0485634815964277</v>
      </c>
      <c r="E674" s="23" t="n">
        <f aca="false">Allcargo!G124</f>
        <v>0.0348788445035863</v>
      </c>
      <c r="F674" s="23" t="n">
        <f aca="false">Allcargo!H124</f>
        <v>0.0115431948355577</v>
      </c>
      <c r="G674" s="23" t="n">
        <f aca="false">Allcargo!I124</f>
        <v>0.0331463539010709</v>
      </c>
      <c r="H674" s="23" t="n">
        <f aca="false">Allcargo!J124</f>
        <v>0.00388726919339164</v>
      </c>
      <c r="I674" s="24" t="n">
        <f aca="false">Allcargo!K124</f>
        <v>0.0255492079796168</v>
      </c>
      <c r="J674" s="34" t="str">
        <f aca="false">IF(AND(ISNUMBER(H674),ISNUMBER(H$685)),IF(H674&gt;H$685,"Above",IF(H674&lt;H$685,"Below","At")),"-")</f>
        <v>Below</v>
      </c>
      <c r="K674" s="34" t="str">
        <f aca="false">IF(J674="Above","Better",IF(J674="Below","Weaker","-"))</f>
        <v>Weaker</v>
      </c>
      <c r="L674" s="34" t="n">
        <f aca="false">IF(ISNUMBER(H674),RANK(H674,H$673:H$682,0),"-")</f>
        <v>9</v>
      </c>
      <c r="N674" s="34" t="str">
        <f aca="false">IF(AND(ISNUMBER(I674),ISNUMBER(I$685)),IF(I674&gt;I$685,"Above",IF(I674&lt;I$685,"Below","At")),"-")</f>
        <v>Above</v>
      </c>
      <c r="O674" s="34" t="str">
        <f aca="false">IF(N674="Above","Better",IF(N674="Below","Weaker","-"))</f>
        <v>Better</v>
      </c>
    </row>
    <row r="675" customFormat="false" ht="15" hidden="false" customHeight="false" outlineLevel="0" collapsed="false">
      <c r="A675" s="18" t="s">
        <v>112</v>
      </c>
      <c r="B675" s="23" t="n">
        <f aca="false">BlueDart!D124</f>
        <v>-0.0131837121629666</v>
      </c>
      <c r="C675" s="23" t="n">
        <f aca="false">BlueDart!E124</f>
        <v>0.030962887720376</v>
      </c>
      <c r="D675" s="23" t="n">
        <f aca="false">BlueDart!F124</f>
        <v>0.0866593054286485</v>
      </c>
      <c r="E675" s="23" t="n">
        <f aca="false">BlueDart!G124</f>
        <v>0.0716384840552026</v>
      </c>
      <c r="F675" s="23" t="n">
        <f aca="false">BlueDart!H124</f>
        <v>0.0571411757782616</v>
      </c>
      <c r="G675" s="23" t="n">
        <f aca="false">BlueDart!I124</f>
        <v>0.0441279819865808</v>
      </c>
      <c r="H675" s="23" t="n">
        <f aca="false">BlueDart!J124</f>
        <v>0.040285757090189</v>
      </c>
      <c r="I675" s="24" t="n">
        <f aca="false">BlueDart!K124</f>
        <v>0.0453759828423274</v>
      </c>
      <c r="J675" s="34" t="str">
        <f aca="false">IF(AND(ISNUMBER(H675),ISNUMBER(H$685)),IF(H675&gt;H$685,"Above",IF(H675&lt;H$685,"Below","At")),"-")</f>
        <v>Above</v>
      </c>
      <c r="K675" s="34" t="str">
        <f aca="false">IF(J675="Above","Better",IF(J675="Below","Weaker","-"))</f>
        <v>Better</v>
      </c>
      <c r="L675" s="34" t="n">
        <f aca="false">IF(ISNUMBER(H675),RANK(H675,H$673:H$682,0),"-")</f>
        <v>4</v>
      </c>
      <c r="N675" s="34" t="str">
        <f aca="false">IF(AND(ISNUMBER(I675),ISNUMBER(I$685)),IF(I675&gt;I$685,"Above",IF(I675&lt;I$685,"Below","At")),"-")</f>
        <v>Above</v>
      </c>
      <c r="O675" s="34" t="str">
        <f aca="false">IF(N675="Above","Better",IF(N675="Below","Weaker","-"))</f>
        <v>Better</v>
      </c>
    </row>
    <row r="676" customFormat="false" ht="15" hidden="false" customHeight="false" outlineLevel="0" collapsed="false">
      <c r="A676" s="18" t="s">
        <v>67</v>
      </c>
      <c r="B676" s="23" t="n">
        <f aca="false">CONCOR!D124</f>
        <v>0.0617922382994884</v>
      </c>
      <c r="C676" s="23" t="n">
        <f aca="false">CONCOR!E124</f>
        <v>0.0786142385033328</v>
      </c>
      <c r="D676" s="23" t="n">
        <f aca="false">CONCOR!F124</f>
        <v>0.137874980562492</v>
      </c>
      <c r="E676" s="23" t="n">
        <f aca="false">CONCOR!G124</f>
        <v>0.143696016217169</v>
      </c>
      <c r="F676" s="23" t="n">
        <f aca="false">CONCOR!H124</f>
        <v>0.145675519823977</v>
      </c>
      <c r="G676" s="23" t="n">
        <f aca="false">CONCOR!I124</f>
        <v>0.14515664418444</v>
      </c>
      <c r="H676" s="23" t="n">
        <f aca="false">CONCOR!J124</f>
        <v>0.13677763006156</v>
      </c>
      <c r="I676" s="24" t="n">
        <f aca="false">CONCOR!K124</f>
        <v>0.121369609664637</v>
      </c>
      <c r="J676" s="34" t="str">
        <f aca="false">IF(AND(ISNUMBER(H676),ISNUMBER(H$685)),IF(H676&gt;H$685,"Above",IF(H676&lt;H$685,"Below","At")),"-")</f>
        <v>Above</v>
      </c>
      <c r="K676" s="34" t="str">
        <f aca="false">IF(J676="Above","Better",IF(J676="Below","Weaker","-"))</f>
        <v>Better</v>
      </c>
      <c r="L676" s="34" t="n">
        <f aca="false">IF(ISNUMBER(H676),RANK(H676,H$673:H$682,0),"-")</f>
        <v>1</v>
      </c>
      <c r="N676" s="34" t="str">
        <f aca="false">IF(AND(ISNUMBER(I676),ISNUMBER(I$685)),IF(I676&gt;I$685,"Above",IF(I676&lt;I$685,"Below","At")),"-")</f>
        <v>Above</v>
      </c>
      <c r="O676" s="34" t="str">
        <f aca="false">IF(N676="Above","Better",IF(N676="Below","Weaker","-"))</f>
        <v>Better</v>
      </c>
    </row>
    <row r="677" customFormat="false" ht="15" hidden="false" customHeight="false" outlineLevel="0" collapsed="false">
      <c r="A677" s="18" t="s">
        <v>113</v>
      </c>
      <c r="B677" s="23" t="n">
        <f aca="false">JetFreight!D124</f>
        <v>-0.0285876309293482</v>
      </c>
      <c r="C677" s="23" t="n">
        <f aca="false">JetFreight!E124</f>
        <v>0.00723780962542172</v>
      </c>
      <c r="D677" s="23" t="n">
        <f aca="false">JetFreight!F124</f>
        <v>0.00617392065855154</v>
      </c>
      <c r="E677" s="23" t="n">
        <f aca="false">JetFreight!G124</f>
        <v>0.000143991936451559</v>
      </c>
      <c r="F677" s="23" t="n">
        <f aca="false">JetFreight!H124</f>
        <v>0.000670500554452382</v>
      </c>
      <c r="G677" s="23" t="n">
        <f aca="false">JetFreight!I124</f>
        <v>0.00854270205895152</v>
      </c>
      <c r="H677" s="23" t="n">
        <f aca="false">JetFreight!J124</f>
        <v>0.0153125562961629</v>
      </c>
      <c r="I677" s="24" t="n">
        <f aca="false">JetFreight!K124</f>
        <v>0.00135626431437763</v>
      </c>
      <c r="J677" s="34" t="str">
        <f aca="false">IF(AND(ISNUMBER(H677),ISNUMBER(H$685)),IF(H677&gt;H$685,"Above",IF(H677&lt;H$685,"Below","At")),"-")</f>
        <v>Below</v>
      </c>
      <c r="K677" s="34" t="str">
        <f aca="false">IF(J677="Above","Better",IF(J677="Below","Weaker","-"))</f>
        <v>Weaker</v>
      </c>
      <c r="L677" s="34" t="n">
        <f aca="false">IF(ISNUMBER(H677),RANK(H677,H$673:H$682,0),"-")</f>
        <v>7</v>
      </c>
      <c r="N677" s="34" t="str">
        <f aca="false">IF(AND(ISNUMBER(I677),ISNUMBER(I$685)),IF(I677&gt;I$685,"Above",IF(I677&lt;I$685,"Below","At")),"-")</f>
        <v>Below</v>
      </c>
      <c r="O677" s="34" t="str">
        <f aca="false">IF(N677="Above","Better",IF(N677="Below","Weaker","-"))</f>
        <v>Weaker</v>
      </c>
    </row>
    <row r="678" customFormat="false" ht="15" hidden="false" customHeight="false" outlineLevel="0" collapsed="false">
      <c r="A678" s="18" t="s">
        <v>114</v>
      </c>
      <c r="B678" s="23" t="n">
        <f aca="false">Patel!D124</f>
        <v>0.0309144814484327</v>
      </c>
      <c r="C678" s="23" t="n">
        <f aca="false">Patel!E124</f>
        <v>0.000235571260306243</v>
      </c>
      <c r="D678" s="23" t="n">
        <f aca="false">Patel!F124</f>
        <v>0.00968760669170365</v>
      </c>
      <c r="E678" s="23" t="n">
        <f aca="false">Patel!G124</f>
        <v>0.0176081644386948</v>
      </c>
      <c r="F678" s="23" t="n">
        <f aca="false">Patel!H124</f>
        <v>0.0190672861813801</v>
      </c>
      <c r="G678" s="23" t="n">
        <f aca="false">Patel!I124</f>
        <v>0.022177478187283</v>
      </c>
      <c r="H678" s="23" t="n">
        <f aca="false">Patel!J124</f>
        <v>0.0268802150417203</v>
      </c>
      <c r="I678" s="24" t="n">
        <f aca="false">Patel!K124</f>
        <v>0.0180815433213601</v>
      </c>
      <c r="J678" s="34" t="str">
        <f aca="false">IF(AND(ISNUMBER(H678),ISNUMBER(H$685)),IF(H678&gt;H$685,"Above",IF(H678&lt;H$685,"Below","At")),"-")</f>
        <v>Below</v>
      </c>
      <c r="K678" s="34" t="str">
        <f aca="false">IF(J678="Above","Better",IF(J678="Below","Weaker","-"))</f>
        <v>Weaker</v>
      </c>
      <c r="L678" s="34" t="n">
        <f aca="false">IF(ISNUMBER(H678),RANK(H678,H$673:H$682,0),"-")</f>
        <v>6</v>
      </c>
      <c r="N678" s="34" t="str">
        <f aca="false">IF(AND(ISNUMBER(I678),ISNUMBER(I$685)),IF(I678&gt;I$685,"Above",IF(I678&lt;I$685,"Below","At")),"-")</f>
        <v>Below</v>
      </c>
      <c r="O678" s="34" t="str">
        <f aca="false">IF(N678="Above","Better",IF(N678="Below","Weaker","-"))</f>
        <v>Weaker</v>
      </c>
    </row>
    <row r="679" customFormat="false" ht="15" hidden="false" customHeight="false" outlineLevel="0" collapsed="false">
      <c r="A679" s="18" t="s">
        <v>115</v>
      </c>
      <c r="B679" s="23" t="n">
        <f aca="false">Sical!D124</f>
        <v>-0.106418515867335</v>
      </c>
      <c r="C679" s="23" t="n">
        <f aca="false">Sical!E124</f>
        <v>-2.3024442547108</v>
      </c>
      <c r="D679" s="23" t="n">
        <f aca="false">Sical!F124</f>
        <v>-0.746467165419784</v>
      </c>
      <c r="E679" s="23" t="n">
        <f aca="false">Sical!G124</f>
        <v>-2.12680115273775</v>
      </c>
      <c r="F679" s="23" t="n">
        <f aca="false">Sical!H124</f>
        <v>-0.12795694061242</v>
      </c>
      <c r="G679" s="23" t="n">
        <f aca="false">Sical!I124</f>
        <v>-0.116445766837977</v>
      </c>
      <c r="H679" s="23" t="n">
        <f aca="false">Sical!J124</f>
        <v>0.127774320680357</v>
      </c>
      <c r="I679" s="24" t="n">
        <f aca="false">Sical!K124</f>
        <v>-0.771251353643673</v>
      </c>
      <c r="J679" s="34" t="str">
        <f aca="false">IF(AND(ISNUMBER(H679),ISNUMBER(H$685)),IF(H679&gt;H$685,"Above",IF(H679&lt;H$685,"Below","At")),"-")</f>
        <v>Above</v>
      </c>
      <c r="K679" s="34" t="str">
        <f aca="false">IF(J679="Above","Better",IF(J679="Below","Weaker","-"))</f>
        <v>Better</v>
      </c>
      <c r="L679" s="34" t="n">
        <f aca="false">IF(ISNUMBER(H679),RANK(H679,H$673:H$682,0),"-")</f>
        <v>2</v>
      </c>
      <c r="N679" s="34" t="str">
        <f aca="false">IF(AND(ISNUMBER(I679),ISNUMBER(I$685)),IF(I679&gt;I$685,"Above",IF(I679&lt;I$685,"Below","At")),"-")</f>
        <v>Below</v>
      </c>
      <c r="O679" s="34" t="str">
        <f aca="false">IF(N679="Above","Better",IF(N679="Below","Weaker","-"))</f>
        <v>Weaker</v>
      </c>
    </row>
    <row r="680" customFormat="false" ht="15" hidden="false" customHeight="false" outlineLevel="0" collapsed="false">
      <c r="A680" s="18" t="s">
        <v>86</v>
      </c>
      <c r="B680" s="23" t="n">
        <f aca="false">TCI!D124</f>
        <v>0.0523798310422983</v>
      </c>
      <c r="C680" s="23" t="n">
        <f aca="false">TCI!E124</f>
        <v>0.0525016146931726</v>
      </c>
      <c r="D680" s="23" t="n">
        <f aca="false">TCI!F124</f>
        <v>0.0888698635391447</v>
      </c>
      <c r="E680" s="23" t="n">
        <f aca="false">TCI!G124</f>
        <v>0.0838953409983159</v>
      </c>
      <c r="F680" s="23" t="n">
        <f aca="false">TCI!H124</f>
        <v>0.0871713060289345</v>
      </c>
      <c r="G680" s="23" t="n">
        <f aca="false">TCI!I124</f>
        <v>0.0918077020691129</v>
      </c>
      <c r="H680" s="23" t="n">
        <f aca="false">TCI!J124</f>
        <v>0.0927946599088426</v>
      </c>
      <c r="I680" s="24" t="n">
        <f aca="false">TCI!K124</f>
        <v>0.0784886168971174</v>
      </c>
      <c r="J680" s="34" t="str">
        <f aca="false">IF(AND(ISNUMBER(H680),ISNUMBER(H$685)),IF(H680&gt;H$685,"Above",IF(H680&lt;H$685,"Below","At")),"-")</f>
        <v>Above</v>
      </c>
      <c r="K680" s="34" t="str">
        <f aca="false">IF(J680="Above","Better",IF(J680="Below","Weaker","-"))</f>
        <v>Better</v>
      </c>
      <c r="L680" s="34" t="n">
        <f aca="false">IF(ISNUMBER(H680),RANK(H680,H$673:H$682,0),"-")</f>
        <v>3</v>
      </c>
      <c r="N680" s="34" t="str">
        <f aca="false">IF(AND(ISNUMBER(I680),ISNUMBER(I$685)),IF(I680&gt;I$685,"Above",IF(I680&lt;I$685,"Below","At")),"-")</f>
        <v>Above</v>
      </c>
      <c r="O680" s="34" t="str">
        <f aca="false">IF(N680="Above","Better",IF(N680="Below","Weaker","-"))</f>
        <v>Better</v>
      </c>
    </row>
    <row r="681" customFormat="false" ht="15" hidden="false" customHeight="false" outlineLevel="0" collapsed="false">
      <c r="A681" s="18" t="s">
        <v>116</v>
      </c>
      <c r="B681" s="23" t="n">
        <f aca="false">Shreeji!D124</f>
        <v>0.0133636363636364</v>
      </c>
      <c r="C681" s="23" t="n">
        <f aca="false">Shreeji!E124</f>
        <v>-0.0100711447842558</v>
      </c>
      <c r="D681" s="23" t="n">
        <f aca="false">Shreeji!F124</f>
        <v>0.054049102235251</v>
      </c>
      <c r="E681" s="23" t="n">
        <f aca="false">Shreeji!G124</f>
        <v>0.0519201888006865</v>
      </c>
      <c r="F681" s="23" t="n">
        <f aca="false">Shreeji!H124</f>
        <v>0.0649900199600799</v>
      </c>
      <c r="G681" s="23" t="n">
        <f aca="false">Shreeji!I124</f>
        <v>0.00694886002361704</v>
      </c>
      <c r="H681" s="23" t="n">
        <f aca="false">Shreeji!J124</f>
        <v>0.013487558154424</v>
      </c>
      <c r="I681" s="24" t="n">
        <f aca="false">Shreeji!K124</f>
        <v>0.027812602964777</v>
      </c>
      <c r="J681" s="34" t="str">
        <f aca="false">IF(AND(ISNUMBER(H681),ISNUMBER(H$685)),IF(H681&gt;H$685,"Above",IF(H681&lt;H$685,"Below","At")),"-")</f>
        <v>Below</v>
      </c>
      <c r="K681" s="34" t="str">
        <f aca="false">IF(J681="Above","Better",IF(J681="Below","Weaker","-"))</f>
        <v>Weaker</v>
      </c>
      <c r="L681" s="34" t="n">
        <f aca="false">IF(ISNUMBER(H681),RANK(H681,H$673:H$682,0),"-")</f>
        <v>8</v>
      </c>
      <c r="N681" s="34" t="str">
        <f aca="false">IF(AND(ISNUMBER(I681),ISNUMBER(I$685)),IF(I681&gt;I$685,"Above",IF(I681&lt;I$685,"Below","At")),"-")</f>
        <v>Above</v>
      </c>
      <c r="O681" s="34" t="str">
        <f aca="false">IF(N681="Above","Better",IF(N681="Below","Weaker","-"))</f>
        <v>Better</v>
      </c>
    </row>
    <row r="682" customFormat="false" ht="15" hidden="false" customHeight="false" outlineLevel="0" collapsed="false">
      <c r="A682" s="18" t="s">
        <v>117</v>
      </c>
      <c r="B682" s="23" t="n">
        <f aca="false">MahindraLog!D124</f>
        <v>0.0158795093254666</v>
      </c>
      <c r="C682" s="23" t="n">
        <f aca="false">MahindraLog!E124</f>
        <v>0.00919196499699729</v>
      </c>
      <c r="D682" s="23" t="n">
        <f aca="false">MahindraLog!F124</f>
        <v>0.00424076739535737</v>
      </c>
      <c r="E682" s="23" t="n">
        <f aca="false">MahindraLog!G124</f>
        <v>0.00512451518927362</v>
      </c>
      <c r="F682" s="23" t="n">
        <f aca="false">MahindraLog!H124</f>
        <v>-0.00994193575337316</v>
      </c>
      <c r="G682" s="23" t="n">
        <f aca="false">MahindraLog!I124</f>
        <v>-0.00587239939523296</v>
      </c>
      <c r="H682" s="23" t="n">
        <f aca="false">MahindraLog!J124</f>
        <v>0.000327175574700327</v>
      </c>
      <c r="I682" s="24" t="n">
        <f aca="false">MahindraLog!K124</f>
        <v>0.00270708533331272</v>
      </c>
      <c r="J682" s="34" t="str">
        <f aca="false">IF(AND(ISNUMBER(H682),ISNUMBER(H$685)),IF(H682&gt;H$685,"Above",IF(H682&lt;H$685,"Below","At")),"-")</f>
        <v>Below</v>
      </c>
      <c r="K682" s="34" t="str">
        <f aca="false">IF(J682="Above","Better",IF(J682="Below","Weaker","-"))</f>
        <v>Weaker</v>
      </c>
      <c r="L682" s="34" t="n">
        <f aca="false">IF(ISNUMBER(H682),RANK(H682,H$673:H$682,0),"-")</f>
        <v>10</v>
      </c>
      <c r="N682" s="34" t="str">
        <f aca="false">IF(AND(ISNUMBER(I682),ISNUMBER(I$685)),IF(I682&gt;I$685,"Above",IF(I682&lt;I$685,"Below","At")),"-")</f>
        <v>Below</v>
      </c>
      <c r="O682" s="34" t="str">
        <f aca="false">IF(N682="Above","Better",IF(N682="Below","Weaker","-"))</f>
        <v>Weaker</v>
      </c>
    </row>
    <row r="683" customFormat="false" ht="15" hidden="false" customHeight="false" outlineLevel="0" collapsed="false">
      <c r="A683" s="12" t="s">
        <v>176</v>
      </c>
      <c r="B683" s="24" t="n">
        <f aca="false">Industry!D124</f>
        <v>0.0263345811699051</v>
      </c>
      <c r="C683" s="24" t="n">
        <f aca="false">Industry!E124</f>
        <v>-0.00772787789496705</v>
      </c>
      <c r="D683" s="24" t="n">
        <f aca="false">Industry!F124</f>
        <v>0.0609109488110273</v>
      </c>
      <c r="E683" s="24" t="n">
        <f aca="false">Industry!G124</f>
        <v>0.0409789706411641</v>
      </c>
      <c r="F683" s="24" t="n">
        <f aca="false">Industry!H124</f>
        <v>0.0532687901080975</v>
      </c>
      <c r="G683" s="24" t="n">
        <f aca="false">Industry!I124</f>
        <v>0.0690813084926445</v>
      </c>
      <c r="H683" s="24" t="n">
        <f aca="false">Industry!J124</f>
        <v>0.0656051876479138</v>
      </c>
      <c r="I683" s="24" t="n">
        <f aca="false">Industry!K124</f>
        <v>0.0440645584251122</v>
      </c>
    </row>
    <row r="684" customFormat="false" ht="15" hidden="false" customHeight="false" outlineLevel="0" collapsed="false">
      <c r="A684" s="35" t="s">
        <v>177</v>
      </c>
      <c r="B684" s="39" t="n">
        <f aca="false">IFERROR(AVERAGE(B673:B682),"N/M")</f>
        <v>0.00155640973901418</v>
      </c>
      <c r="C684" s="39" t="n">
        <f aca="false">IFERROR(AVERAGE(C673:C682),"N/M")</f>
        <v>-0.219128748816951</v>
      </c>
      <c r="D684" s="39" t="n">
        <f aca="false">IFERROR(AVERAGE(D673:D682),"N/M")</f>
        <v>-0.025567498941996</v>
      </c>
      <c r="E684" s="39" t="n">
        <f aca="false">IFERROR(AVERAGE(E673:E682),"N/M")</f>
        <v>-0.166433612811677</v>
      </c>
      <c r="F684" s="39" t="n">
        <f aca="false">IFERROR(AVERAGE(F673:F682),"N/M")</f>
        <v>0.0302301690103268</v>
      </c>
      <c r="G684" s="39" t="n">
        <f aca="false">IFERROR(AVERAGE(G673:G682),"N/M")</f>
        <v>0.0279952219562829</v>
      </c>
      <c r="H684" s="39" t="n">
        <f aca="false">IFERROR(AVERAGE(H673:H682),"N/M")</f>
        <v>0.0495095662653559</v>
      </c>
      <c r="I684" s="39" t="n">
        <f aca="false">IFERROR(AVERAGE(I673:I682),"N/M")</f>
        <v>-0.0431197847999492</v>
      </c>
    </row>
    <row r="685" customFormat="false" ht="15" hidden="false" customHeight="false" outlineLevel="0" collapsed="false">
      <c r="A685" s="35" t="s">
        <v>178</v>
      </c>
      <c r="B685" s="39" t="n">
        <f aca="false">IFERROR(MEDIAN(B673:B682),"N/M")</f>
        <v>0.0146215728445515</v>
      </c>
      <c r="C685" s="39" t="n">
        <f aca="false">IFERROR(MEDIAN(C673:C682),"N/M")</f>
        <v>0.00821488731120951</v>
      </c>
      <c r="D685" s="39" t="n">
        <f aca="false">IFERROR(MEDIAN(D673:D682),"N/M")</f>
        <v>0.0513062919158393</v>
      </c>
      <c r="E685" s="39" t="n">
        <f aca="false">IFERROR(MEDIAN(E673:E682),"N/M")</f>
        <v>0.0433995166521364</v>
      </c>
      <c r="F685" s="39" t="n">
        <f aca="false">IFERROR(MEDIAN(F673:F682),"N/M")</f>
        <v>0.0365044247438991</v>
      </c>
      <c r="G685" s="39" t="n">
        <f aca="false">IFERROR(MEDIAN(G673:G682),"N/M")</f>
        <v>0.0276619160441769</v>
      </c>
      <c r="H685" s="39" t="n">
        <f aca="false">IFERROR(MEDIAN(H673:H682),"N/M")</f>
        <v>0.0322243678469661</v>
      </c>
      <c r="I685" s="39" t="n">
        <f aca="false">IFERROR(MEDIAN(I673:I682),"N/M")</f>
        <v>0.0224309001531358</v>
      </c>
    </row>
    <row r="686" customFormat="false" ht="15" hidden="false" customHeight="false" outlineLevel="0" collapsed="false">
      <c r="A686" s="35" t="s">
        <v>179</v>
      </c>
      <c r="B686" s="39" t="n">
        <f aca="false">IFERROR(STDEV(B673:B682),"N/M")</f>
        <v>0.0503730128370397</v>
      </c>
      <c r="C686" s="39" t="n">
        <f aca="false">IFERROR(STDEV(C673:C682),"N/M")</f>
        <v>0.733102561542823</v>
      </c>
      <c r="D686" s="39" t="n">
        <f aca="false">IFERROR(STDEV(D673:D682),"N/M")</f>
        <v>0.256799160301018</v>
      </c>
      <c r="E686" s="39" t="n">
        <f aca="false">IFERROR(STDEV(E673:E682),"N/M")</f>
        <v>0.690106103005225</v>
      </c>
      <c r="F686" s="39" t="n">
        <f aca="false">IFERROR(STDEV(F673:F682),"N/M")</f>
        <v>0.0723027189132711</v>
      </c>
      <c r="G686" s="39" t="n">
        <f aca="false">IFERROR(STDEV(G673:G682),"N/M")</f>
        <v>0.0678653446683951</v>
      </c>
      <c r="H686" s="39" t="n">
        <f aca="false">IFERROR(STDEV(H673:H682),"N/M")</f>
        <v>0.050904881822528</v>
      </c>
      <c r="I686" s="39" t="n">
        <f aca="false">IFERROR(STDEV(I673:I682),"N/M")</f>
        <v>0.258482947244096</v>
      </c>
    </row>
    <row r="687" customFormat="false" ht="15" hidden="false" customHeight="false" outlineLevel="0" collapsed="false">
      <c r="A687" s="35" t="s">
        <v>102</v>
      </c>
      <c r="B687" s="39" t="n">
        <f aca="false">IFERROR(MIN(B673:B682),"N/M")</f>
        <v>-0.106418515867335</v>
      </c>
      <c r="C687" s="39" t="n">
        <f aca="false">IFERROR(MIN(C673:C682),"N/M")</f>
        <v>-2.3024442547108</v>
      </c>
      <c r="D687" s="39" t="n">
        <f aca="false">IFERROR(MIN(D673:D682),"N/M")</f>
        <v>-0.746467165419784</v>
      </c>
      <c r="E687" s="39" t="n">
        <f aca="false">IFERROR(MIN(E673:E682),"N/M")</f>
        <v>-2.12680115273775</v>
      </c>
      <c r="F687" s="39" t="n">
        <f aca="false">IFERROR(MIN(F673:F682),"N/M")</f>
        <v>-0.12795694061242</v>
      </c>
      <c r="G687" s="39" t="n">
        <f aca="false">IFERROR(MIN(G673:G682),"N/M")</f>
        <v>-0.116445766837977</v>
      </c>
      <c r="H687" s="39" t="n">
        <f aca="false">IFERROR(MIN(H673:H682),"N/M")</f>
        <v>0.000327175574700327</v>
      </c>
      <c r="I687" s="39" t="n">
        <f aca="false">IFERROR(MIN(I673:I682),"N/M")</f>
        <v>-0.771251353643673</v>
      </c>
    </row>
    <row r="688" customFormat="false" ht="15" hidden="false" customHeight="false" outlineLevel="0" collapsed="false">
      <c r="A688" s="35" t="s">
        <v>103</v>
      </c>
      <c r="B688" s="39" t="n">
        <f aca="false">IFERROR(MAX(B673:B682),"N/M")</f>
        <v>0.0617922382994884</v>
      </c>
      <c r="C688" s="39" t="n">
        <f aca="false">IFERROR(MAX(C673:C682),"N/M")</f>
        <v>0.0786142385033328</v>
      </c>
      <c r="D688" s="39" t="n">
        <f aca="false">IFERROR(MAX(D673:D682),"N/M")</f>
        <v>0.137874980562492</v>
      </c>
      <c r="E688" s="39" t="n">
        <f aca="false">IFERROR(MAX(E673:E682),"N/M")</f>
        <v>0.143696016217169</v>
      </c>
      <c r="F688" s="39" t="n">
        <f aca="false">IFERROR(MAX(F673:F682),"N/M")</f>
        <v>0.145675519823977</v>
      </c>
      <c r="G688" s="39" t="n">
        <f aca="false">IFERROR(MAX(G673:G682),"N/M")</f>
        <v>0.14515664418444</v>
      </c>
      <c r="H688" s="39" t="n">
        <f aca="false">IFERROR(MAX(H673:H682),"N/M")</f>
        <v>0.13677763006156</v>
      </c>
      <c r="I688" s="39" t="n">
        <f aca="false">IFERROR(MAX(I673:I682),"N/M")</f>
        <v>0.121369609664637</v>
      </c>
    </row>
    <row r="690" customFormat="false" ht="15" hidden="false" customHeight="false" outlineLevel="0" collapsed="false">
      <c r="A690" s="16" t="s">
        <v>218</v>
      </c>
      <c r="B690" s="17"/>
      <c r="C690" s="17"/>
      <c r="D690" s="17"/>
      <c r="E690" s="17"/>
      <c r="F690" s="17"/>
      <c r="G690" s="17"/>
      <c r="H690" s="17"/>
      <c r="I690" s="17"/>
      <c r="J690" s="17"/>
      <c r="K690" s="17"/>
      <c r="L690" s="17"/>
      <c r="M690" s="17"/>
    </row>
    <row r="691" customFormat="false" ht="15" hidden="false" customHeight="false" outlineLevel="0" collapsed="false">
      <c r="A691" s="18" t="s">
        <v>110</v>
      </c>
      <c r="B691" s="23" t="n">
        <f aca="false">Tiger!D127</f>
        <v>0.924140904869311</v>
      </c>
      <c r="C691" s="23" t="n">
        <f aca="false">Tiger!E127</f>
        <v>0.923750521236671</v>
      </c>
      <c r="D691" s="23" t="n">
        <f aca="false">Tiger!F127</f>
        <v>0.91074767114825</v>
      </c>
      <c r="E691" s="23" t="n">
        <f aca="false">Tiger!G127</f>
        <v>0.890873427945079</v>
      </c>
      <c r="F691" s="23" t="n">
        <f aca="false">Tiger!H127</f>
        <v>0.856613668525764</v>
      </c>
      <c r="G691" s="23" t="n">
        <f aca="false">Tiger!I127</f>
        <v>0.895545486752065</v>
      </c>
      <c r="H691" s="23" t="n">
        <f aca="false">Tiger!J127</f>
        <v>0.89892112705562</v>
      </c>
      <c r="I691" s="24" t="n">
        <f aca="false">Tiger!K127</f>
        <v>0.900084686790394</v>
      </c>
      <c r="J691" s="34" t="str">
        <f aca="false">IF(AND(ISNUMBER(H691),ISNUMBER(H$703)),IF(H691&gt;H$703,"Above",IF(H691&lt;H$703,"Below","At")),"-")</f>
        <v>Above</v>
      </c>
      <c r="K691" s="34" t="str">
        <f aca="false">IF(J691="Below","Better",IF(J691="Above","Weaker","-"))</f>
        <v>Weaker</v>
      </c>
      <c r="L691" s="34" t="n">
        <f aca="false">IF(ISNUMBER(H691),RANK(H691,H$691:H$700,1),"-")</f>
        <v>8</v>
      </c>
      <c r="N691" s="34" t="str">
        <f aca="false">IF(AND(ISNUMBER(I691),ISNUMBER(I$703)),IF(I691&gt;I$703,"Above",IF(I691&lt;I$703,"Below","At")),"-")</f>
        <v>Above</v>
      </c>
      <c r="O691" s="34" t="str">
        <f aca="false">IF(N691="Below","Better",IF(N691="Above","Weaker","-"))</f>
        <v>Weaker</v>
      </c>
    </row>
    <row r="692" customFormat="false" ht="15" hidden="false" customHeight="false" outlineLevel="0" collapsed="false">
      <c r="A692" s="18" t="s">
        <v>111</v>
      </c>
      <c r="B692" s="23" t="n">
        <f aca="false">Allcargo!D127</f>
        <v>0.734496831031929</v>
      </c>
      <c r="C692" s="23" t="n">
        <f aca="false">Allcargo!E127</f>
        <v>0.772935102542365</v>
      </c>
      <c r="D692" s="23" t="n">
        <f aca="false">Allcargo!F127</f>
        <v>0.821469452934258</v>
      </c>
      <c r="E692" s="23" t="n">
        <f aca="false">Allcargo!G127</f>
        <v>0.796397051206126</v>
      </c>
      <c r="F692" s="23" t="n">
        <f aca="false">Allcargo!H127</f>
        <v>0.766215991141735</v>
      </c>
      <c r="G692" s="23" t="n">
        <f aca="false">Allcargo!I127</f>
        <v>0.721570627231005</v>
      </c>
      <c r="H692" s="23" t="n">
        <f aca="false">Allcargo!J127</f>
        <v>0.732750242954325</v>
      </c>
      <c r="I692" s="24" t="n">
        <f aca="false">Allcargo!K127</f>
        <v>0.763690757005963</v>
      </c>
      <c r="J692" s="34" t="str">
        <f aca="false">IF(AND(ISNUMBER(H692),ISNUMBER(H$703)),IF(H692&gt;H$703,"Above",IF(H692&lt;H$703,"Below","At")),"-")</f>
        <v>Below</v>
      </c>
      <c r="K692" s="34" t="str">
        <f aca="false">IF(J692="Below","Better",IF(J692="Above","Weaker","-"))</f>
        <v>Better</v>
      </c>
      <c r="L692" s="34" t="n">
        <f aca="false">IF(ISNUMBER(H692),RANK(H692,H$691:H$700,1),"-")</f>
        <v>4</v>
      </c>
      <c r="N692" s="34" t="str">
        <f aca="false">IF(AND(ISNUMBER(I692),ISNUMBER(I$703)),IF(I692&gt;I$703,"Above",IF(I692&lt;I$703,"Below","At")),"-")</f>
        <v>Below</v>
      </c>
      <c r="O692" s="34" t="str">
        <f aca="false">IF(N692="Below","Better",IF(N692="Above","Weaker","-"))</f>
        <v>Better</v>
      </c>
    </row>
    <row r="693" customFormat="false" ht="15" hidden="false" customHeight="false" outlineLevel="0" collapsed="false">
      <c r="A693" s="18" t="s">
        <v>112</v>
      </c>
      <c r="B693" s="23" t="n">
        <f aca="false">BlueDart!D127</f>
        <v>0.543061228989049</v>
      </c>
      <c r="C693" s="23" t="n">
        <f aca="false">BlueDart!E127</f>
        <v>0.502598741533942</v>
      </c>
      <c r="D693" s="23" t="n">
        <f aca="false">BlueDart!F127</f>
        <v>0.53893558312115</v>
      </c>
      <c r="E693" s="23" t="n">
        <f aca="false">BlueDart!G127</f>
        <v>0.602864920672361</v>
      </c>
      <c r="F693" s="23" t="n">
        <f aca="false">BlueDart!H127</f>
        <v>0.606428073798889</v>
      </c>
      <c r="G693" s="23" t="n">
        <f aca="false">BlueDart!I127</f>
        <v>0.61592817009255</v>
      </c>
      <c r="H693" s="23" t="n">
        <f aca="false">BlueDart!J127</f>
        <v>0.60912442516382</v>
      </c>
      <c r="I693" s="24" t="n">
        <f aca="false">BlueDart!K127</f>
        <v>0.574134449053109</v>
      </c>
      <c r="J693" s="34" t="str">
        <f aca="false">IF(AND(ISNUMBER(H693),ISNUMBER(H$703)),IF(H693&gt;H$703,"Above",IF(H693&lt;H$703,"Below","At")),"-")</f>
        <v>Below</v>
      </c>
      <c r="K693" s="34" t="str">
        <f aca="false">IF(J693="Below","Better",IF(J693="Above","Weaker","-"))</f>
        <v>Better</v>
      </c>
      <c r="L693" s="34" t="n">
        <f aca="false">IF(ISNUMBER(H693),RANK(H693,H$691:H$700,1),"-")</f>
        <v>1</v>
      </c>
      <c r="N693" s="34" t="str">
        <f aca="false">IF(AND(ISNUMBER(I693),ISNUMBER(I$703)),IF(I693&gt;I$703,"Above",IF(I693&lt;I$703,"Below","At")),"-")</f>
        <v>Below</v>
      </c>
      <c r="O693" s="34" t="str">
        <f aca="false">IF(N693="Below","Better",IF(N693="Above","Weaker","-"))</f>
        <v>Better</v>
      </c>
    </row>
    <row r="694" customFormat="false" ht="15" hidden="false" customHeight="false" outlineLevel="0" collapsed="false">
      <c r="A694" s="18" t="s">
        <v>67</v>
      </c>
      <c r="B694" s="23" t="n">
        <f aca="false">CONCOR!D127</f>
        <v>0.65969400958919</v>
      </c>
      <c r="C694" s="23" t="n">
        <f aca="false">CONCOR!E127</f>
        <v>0.639494140418355</v>
      </c>
      <c r="D694" s="23" t="n">
        <f aca="false">CONCOR!F127</f>
        <v>0.637154322705754</v>
      </c>
      <c r="E694" s="23" t="n">
        <f aca="false">CONCOR!G127</f>
        <v>0.650476428305619</v>
      </c>
      <c r="F694" s="23" t="n">
        <f aca="false">CONCOR!H127</f>
        <v>0.65906735032779</v>
      </c>
      <c r="G694" s="23" t="n">
        <f aca="false">CONCOR!I127</f>
        <v>0.667744643311256</v>
      </c>
      <c r="H694" s="23" t="n">
        <f aca="false">CONCOR!J127</f>
        <v>0.663435389697289</v>
      </c>
      <c r="I694" s="24" t="n">
        <f aca="false">CONCOR!K127</f>
        <v>0.65386661205075</v>
      </c>
      <c r="J694" s="34" t="str">
        <f aca="false">IF(AND(ISNUMBER(H694),ISNUMBER(H$703)),IF(H694&gt;H$703,"Above",IF(H694&lt;H$703,"Below","At")),"-")</f>
        <v>Below</v>
      </c>
      <c r="K694" s="34" t="str">
        <f aca="false">IF(J694="Below","Better",IF(J694="Above","Weaker","-"))</f>
        <v>Better</v>
      </c>
      <c r="L694" s="34" t="n">
        <f aca="false">IF(ISNUMBER(H694),RANK(H694,H$691:H$700,1),"-")</f>
        <v>2</v>
      </c>
      <c r="N694" s="34" t="str">
        <f aca="false">IF(AND(ISNUMBER(I694),ISNUMBER(I$703)),IF(I694&gt;I$703,"Above",IF(I694&lt;I$703,"Below","At")),"-")</f>
        <v>Below</v>
      </c>
      <c r="O694" s="34" t="str">
        <f aca="false">IF(N694="Below","Better",IF(N694="Above","Weaker","-"))</f>
        <v>Better</v>
      </c>
    </row>
    <row r="695" customFormat="false" ht="15" hidden="false" customHeight="false" outlineLevel="0" collapsed="false">
      <c r="A695" s="18" t="s">
        <v>113</v>
      </c>
      <c r="B695" s="23" t="n">
        <f aca="false">JetFreight!D127</f>
        <v>0.949162719327507</v>
      </c>
      <c r="C695" s="23" t="n">
        <f aca="false">JetFreight!E127</f>
        <v>0.943193287003662</v>
      </c>
      <c r="D695" s="23" t="n">
        <f aca="false">JetFreight!F127</f>
        <v>0.937166126631054</v>
      </c>
      <c r="E695" s="23" t="n">
        <f aca="false">JetFreight!G127</f>
        <v>0.926300127192877</v>
      </c>
      <c r="F695" s="23" t="n">
        <f aca="false">JetFreight!H127</f>
        <v>0.909843463909018</v>
      </c>
      <c r="G695" s="23" t="n">
        <f aca="false">JetFreight!I127</f>
        <v>0.907427341227126</v>
      </c>
      <c r="H695" s="23" t="n">
        <f aca="false">JetFreight!J127</f>
        <v>0.901143938029184</v>
      </c>
      <c r="I695" s="24" t="n">
        <f aca="false">JetFreight!K127</f>
        <v>0.924891000474347</v>
      </c>
      <c r="J695" s="34" t="str">
        <f aca="false">IF(AND(ISNUMBER(H695),ISNUMBER(H$703)),IF(H695&gt;H$703,"Above",IF(H695&lt;H$703,"Below","At")),"-")</f>
        <v>Above</v>
      </c>
      <c r="K695" s="34" t="str">
        <f aca="false">IF(J695="Below","Better",IF(J695="Above","Weaker","-"))</f>
        <v>Weaker</v>
      </c>
      <c r="L695" s="34" t="n">
        <f aca="false">IF(ISNUMBER(H695),RANK(H695,H$691:H$700,1),"-")</f>
        <v>9</v>
      </c>
      <c r="N695" s="34" t="str">
        <f aca="false">IF(AND(ISNUMBER(I695),ISNUMBER(I$703)),IF(I695&gt;I$703,"Above",IF(I695&lt;I$703,"Below","At")),"-")</f>
        <v>Above</v>
      </c>
      <c r="O695" s="34" t="str">
        <f aca="false">IF(N695="Below","Better",IF(N695="Above","Weaker","-"))</f>
        <v>Weaker</v>
      </c>
    </row>
    <row r="696" customFormat="false" ht="15" hidden="false" customHeight="false" outlineLevel="0" collapsed="false">
      <c r="A696" s="18" t="s">
        <v>114</v>
      </c>
      <c r="B696" s="23" t="n">
        <f aca="false">Patel!D127</f>
        <v>0.888402751791831</v>
      </c>
      <c r="C696" s="23" t="n">
        <f aca="false">Patel!E127</f>
        <v>0.896113074204947</v>
      </c>
      <c r="D696" s="23" t="n">
        <f aca="false">Patel!F127</f>
        <v>0.898002731307614</v>
      </c>
      <c r="E696" s="23" t="n">
        <f aca="false">Patel!G127</f>
        <v>0.897333620813569</v>
      </c>
      <c r="F696" s="23" t="n">
        <f aca="false">Patel!H127</f>
        <v>0.902460850111857</v>
      </c>
      <c r="G696" s="23" t="n">
        <f aca="false">Patel!I127</f>
        <v>0.915608859318918</v>
      </c>
      <c r="H696" s="23" t="n">
        <f aca="false">Patel!J127</f>
        <v>0.907935263482108</v>
      </c>
      <c r="I696" s="24" t="n">
        <f aca="false">Patel!K127</f>
        <v>0.900836735861549</v>
      </c>
      <c r="J696" s="34" t="str">
        <f aca="false">IF(AND(ISNUMBER(H696),ISNUMBER(H$703)),IF(H696&gt;H$703,"Above",IF(H696&lt;H$703,"Below","At")),"-")</f>
        <v>Above</v>
      </c>
      <c r="K696" s="34" t="str">
        <f aca="false">IF(J696="Below","Better",IF(J696="Above","Weaker","-"))</f>
        <v>Weaker</v>
      </c>
      <c r="L696" s="34" t="n">
        <f aca="false">IF(ISNUMBER(H696),RANK(H696,H$691:H$700,1),"-")</f>
        <v>10</v>
      </c>
      <c r="N696" s="34" t="str">
        <f aca="false">IF(AND(ISNUMBER(I696),ISNUMBER(I$703)),IF(I696&gt;I$703,"Above",IF(I696&lt;I$703,"Below","At")),"-")</f>
        <v>Above</v>
      </c>
      <c r="O696" s="34" t="str">
        <f aca="false">IF(N696="Below","Better",IF(N696="Above","Weaker","-"))</f>
        <v>Weaker</v>
      </c>
    </row>
    <row r="697" customFormat="false" ht="15" hidden="false" customHeight="false" outlineLevel="0" collapsed="false">
      <c r="A697" s="18" t="s">
        <v>115</v>
      </c>
      <c r="B697" s="23" t="n">
        <f aca="false">Sical!D127</f>
        <v>0.830151912829078</v>
      </c>
      <c r="C697" s="23" t="n">
        <f aca="false">Sical!E127</f>
        <v>0.764410380636578</v>
      </c>
      <c r="D697" s="23" t="n">
        <f aca="false">Sical!F127</f>
        <v>0.889901682575171</v>
      </c>
      <c r="E697" s="23" t="n">
        <f aca="false">Sical!G127</f>
        <v>0.820280023462804</v>
      </c>
      <c r="F697" s="23" t="n">
        <f aca="false">Sical!H127</f>
        <v>0.718033380071464</v>
      </c>
      <c r="G697" s="23" t="n">
        <f aca="false">Sical!I127</f>
        <v>0.702416373636282</v>
      </c>
      <c r="H697" s="23" t="n">
        <f aca="false">Sical!J127</f>
        <v>0.665344326903132</v>
      </c>
      <c r="I697" s="24" t="n">
        <f aca="false">Sical!K127</f>
        <v>0.770076868587787</v>
      </c>
      <c r="J697" s="34" t="str">
        <f aca="false">IF(AND(ISNUMBER(H697),ISNUMBER(H$703)),IF(H697&gt;H$703,"Above",IF(H697&lt;H$703,"Below","At")),"-")</f>
        <v>Below</v>
      </c>
      <c r="K697" s="34" t="str">
        <f aca="false">IF(J697="Below","Better",IF(J697="Above","Weaker","-"))</f>
        <v>Better</v>
      </c>
      <c r="L697" s="34" t="n">
        <f aca="false">IF(ISNUMBER(H697),RANK(H697,H$691:H$700,1),"-")</f>
        <v>3</v>
      </c>
      <c r="N697" s="34" t="str">
        <f aca="false">IF(AND(ISNUMBER(I697),ISNUMBER(I$703)),IF(I697&gt;I$703,"Above",IF(I697&lt;I$703,"Below","At")),"-")</f>
        <v>Below</v>
      </c>
      <c r="O697" s="34" t="str">
        <f aca="false">IF(N697="Below","Better",IF(N697="Above","Weaker","-"))</f>
        <v>Better</v>
      </c>
    </row>
    <row r="698" customFormat="false" ht="15" hidden="false" customHeight="false" outlineLevel="0" collapsed="false">
      <c r="A698" s="18" t="s">
        <v>86</v>
      </c>
      <c r="B698" s="23" t="n">
        <f aca="false">TCI!D127</f>
        <v>0.822174962470197</v>
      </c>
      <c r="C698" s="23" t="n">
        <f aca="false">TCI!E127</f>
        <v>0.827015511759605</v>
      </c>
      <c r="D698" s="23" t="n">
        <f aca="false">TCI!F127</f>
        <v>0.798859092736306</v>
      </c>
      <c r="E698" s="23" t="n">
        <f aca="false">TCI!G127</f>
        <v>0.810586453125785</v>
      </c>
      <c r="F698" s="23" t="n">
        <f aca="false">TCI!H127</f>
        <v>0.815347417910374</v>
      </c>
      <c r="G698" s="23" t="n">
        <f aca="false">TCI!I127</f>
        <v>0.815062180249255</v>
      </c>
      <c r="H698" s="23" t="n">
        <f aca="false">TCI!J127</f>
        <v>0.811282610331579</v>
      </c>
      <c r="I698" s="24" t="n">
        <f aca="false">TCI!K127</f>
        <v>0.8143326040833</v>
      </c>
      <c r="J698" s="34" t="str">
        <f aca="false">IF(AND(ISNUMBER(H698),ISNUMBER(H$703)),IF(H698&gt;H$703,"Above",IF(H698&lt;H$703,"Below","At")),"-")</f>
        <v>Below</v>
      </c>
      <c r="K698" s="34" t="str">
        <f aca="false">IF(J698="Below","Better",IF(J698="Above","Weaker","-"))</f>
        <v>Better</v>
      </c>
      <c r="L698" s="34" t="n">
        <f aca="false">IF(ISNUMBER(H698),RANK(H698,H$691:H$700,1),"-")</f>
        <v>5</v>
      </c>
      <c r="N698" s="34" t="str">
        <f aca="false">IF(AND(ISNUMBER(I698),ISNUMBER(I$703)),IF(I698&gt;I$703,"Above",IF(I698&lt;I$703,"Below","At")),"-")</f>
        <v>Above</v>
      </c>
      <c r="O698" s="34" t="str">
        <f aca="false">IF(N698="Below","Better",IF(N698="Above","Weaker","-"))</f>
        <v>Weaker</v>
      </c>
    </row>
    <row r="699" customFormat="false" ht="15" hidden="false" customHeight="false" outlineLevel="0" collapsed="false">
      <c r="A699" s="18" t="s">
        <v>116</v>
      </c>
      <c r="B699" s="23" t="n">
        <f aca="false">Shreeji!D127</f>
        <v>0.760636363636364</v>
      </c>
      <c r="C699" s="23" t="n">
        <f aca="false">Shreeji!E127</f>
        <v>0.79968585419939</v>
      </c>
      <c r="D699" s="23" t="n">
        <f aca="false">Shreeji!F127</f>
        <v>0.747465494075974</v>
      </c>
      <c r="E699" s="23" t="n">
        <f aca="false">Shreeji!G127</f>
        <v>0.787009225488093</v>
      </c>
      <c r="F699" s="23" t="n">
        <f aca="false">Shreeji!H127</f>
        <v>0.832095808383234</v>
      </c>
      <c r="G699" s="23" t="n">
        <f aca="false">Shreeji!I127</f>
        <v>0.846398401308021</v>
      </c>
      <c r="H699" s="23" t="n">
        <f aca="false">Shreeji!J127</f>
        <v>0.856716035682274</v>
      </c>
      <c r="I699" s="24" t="n">
        <f aca="false">Shreeji!K127</f>
        <v>0.804286740396193</v>
      </c>
      <c r="J699" s="34" t="str">
        <f aca="false">IF(AND(ISNUMBER(H699),ISNUMBER(H$703)),IF(H699&gt;H$703,"Above",IF(H699&lt;H$703,"Below","At")),"-")</f>
        <v>Above</v>
      </c>
      <c r="K699" s="34" t="str">
        <f aca="false">IF(J699="Below","Better",IF(J699="Above","Weaker","-"))</f>
        <v>Weaker</v>
      </c>
      <c r="L699" s="34" t="n">
        <f aca="false">IF(ISNUMBER(H699),RANK(H699,H$691:H$700,1),"-")</f>
        <v>6</v>
      </c>
      <c r="N699" s="34" t="str">
        <f aca="false">IF(AND(ISNUMBER(I699),ISNUMBER(I$703)),IF(I699&gt;I$703,"Above",IF(I699&lt;I$703,"Below","At")),"-")</f>
        <v>Below</v>
      </c>
      <c r="O699" s="34" t="str">
        <f aca="false">IF(N699="Below","Better",IF(N699="Above","Weaker","-"))</f>
        <v>Better</v>
      </c>
    </row>
    <row r="700" customFormat="false" ht="15" hidden="false" customHeight="false" outlineLevel="0" collapsed="false">
      <c r="A700" s="18" t="s">
        <v>117</v>
      </c>
      <c r="B700" s="23" t="n">
        <f aca="false">MahindraLog!D127</f>
        <v>0.847387313677927</v>
      </c>
      <c r="C700" s="23" t="n">
        <f aca="false">MahindraLog!E127</f>
        <v>0.84970524432243</v>
      </c>
      <c r="D700" s="23" t="n">
        <f aca="false">MahindraLog!F127</f>
        <v>0.86015852162405</v>
      </c>
      <c r="E700" s="23" t="n">
        <f aca="false">MahindraLog!G127</f>
        <v>0.8570673655351</v>
      </c>
      <c r="F700" s="23" t="n">
        <f aca="false">MahindraLog!H127</f>
        <v>0.853024989238953</v>
      </c>
      <c r="G700" s="23" t="n">
        <f aca="false">MahindraLog!I127</f>
        <v>0.863252539382751</v>
      </c>
      <c r="H700" s="23" t="n">
        <f aca="false">MahindraLog!J127</f>
        <v>0.862477676339063</v>
      </c>
      <c r="I700" s="24" t="n">
        <f aca="false">MahindraLog!K127</f>
        <v>0.856153378588611</v>
      </c>
      <c r="J700" s="34" t="str">
        <f aca="false">IF(AND(ISNUMBER(H700),ISNUMBER(H$703)),IF(H700&gt;H$703,"Above",IF(H700&lt;H$703,"Below","At")),"-")</f>
        <v>Above</v>
      </c>
      <c r="K700" s="34" t="str">
        <f aca="false">IF(J700="Below","Better",IF(J700="Above","Weaker","-"))</f>
        <v>Weaker</v>
      </c>
      <c r="L700" s="34" t="n">
        <f aca="false">IF(ISNUMBER(H700),RANK(H700,H$691:H$700,1),"-")</f>
        <v>7</v>
      </c>
      <c r="N700" s="34" t="str">
        <f aca="false">IF(AND(ISNUMBER(I700),ISNUMBER(I$703)),IF(I700&gt;I$703,"Above",IF(I700&lt;I$703,"Below","At")),"-")</f>
        <v>Above</v>
      </c>
      <c r="O700" s="34" t="str">
        <f aca="false">IF(N700="Below","Better",IF(N700="Above","Weaker","-"))</f>
        <v>Weaker</v>
      </c>
    </row>
    <row r="701" customFormat="false" ht="15" hidden="false" customHeight="false" outlineLevel="0" collapsed="false">
      <c r="A701" s="12" t="s">
        <v>176</v>
      </c>
      <c r="B701" s="24" t="n">
        <f aca="false">Industry!D127</f>
        <v>0.726906362464844</v>
      </c>
      <c r="C701" s="24" t="n">
        <f aca="false">Industry!E127</f>
        <v>0.728206663796578</v>
      </c>
      <c r="D701" s="24" t="n">
        <f aca="false">Industry!F127</f>
        <v>0.761171088882637</v>
      </c>
      <c r="E701" s="24" t="n">
        <f aca="false">Industry!G127</f>
        <v>0.755990977351973</v>
      </c>
      <c r="F701" s="24" t="n">
        <f aca="false">Industry!H127</f>
        <v>0.740550992427464</v>
      </c>
      <c r="G701" s="24" t="n">
        <f aca="false">Industry!I127</f>
        <v>0.737697441847922</v>
      </c>
      <c r="H701" s="24" t="n">
        <f aca="false">Industry!J127</f>
        <v>0.737278492032014</v>
      </c>
      <c r="I701" s="24" t="n">
        <f aca="false">Industry!K127</f>
        <v>0.741114574114776</v>
      </c>
    </row>
    <row r="702" customFormat="false" ht="15" hidden="false" customHeight="false" outlineLevel="0" collapsed="false">
      <c r="A702" s="35" t="s">
        <v>177</v>
      </c>
      <c r="B702" s="39" t="n">
        <f aca="false">IFERROR(AVERAGE(B691:B700),"N/M")</f>
        <v>0.795930899821238</v>
      </c>
      <c r="C702" s="39" t="n">
        <f aca="false">IFERROR(AVERAGE(C691:C700),"N/M")</f>
        <v>0.791890185785795</v>
      </c>
      <c r="D702" s="39" t="n">
        <f aca="false">IFERROR(AVERAGE(D691:D700),"N/M")</f>
        <v>0.803986067885958</v>
      </c>
      <c r="E702" s="39" t="n">
        <f aca="false">IFERROR(AVERAGE(E691:E700),"N/M")</f>
        <v>0.803918864374741</v>
      </c>
      <c r="F702" s="39" t="n">
        <f aca="false">IFERROR(AVERAGE(F691:F700),"N/M")</f>
        <v>0.791913099341908</v>
      </c>
      <c r="G702" s="39" t="n">
        <f aca="false">IFERROR(AVERAGE(G691:G700),"N/M")</f>
        <v>0.795095462250923</v>
      </c>
      <c r="H702" s="39" t="n">
        <f aca="false">IFERROR(AVERAGE(H691:H700),"N/M")</f>
        <v>0.790913103563839</v>
      </c>
      <c r="I702" s="39" t="n">
        <f aca="false">IFERROR(AVERAGE(I691:I700),"N/M")</f>
        <v>0.7962353832892</v>
      </c>
    </row>
    <row r="703" customFormat="false" ht="15" hidden="false" customHeight="false" outlineLevel="0" collapsed="false">
      <c r="A703" s="35" t="s">
        <v>178</v>
      </c>
      <c r="B703" s="39" t="n">
        <f aca="false">IFERROR(MEDIAN(B691:B700),"N/M")</f>
        <v>0.826163437649638</v>
      </c>
      <c r="C703" s="39" t="n">
        <f aca="false">IFERROR(MEDIAN(C691:C700),"N/M")</f>
        <v>0.813350682979498</v>
      </c>
      <c r="D703" s="39" t="n">
        <f aca="false">IFERROR(MEDIAN(D691:D700),"N/M")</f>
        <v>0.840813987279154</v>
      </c>
      <c r="E703" s="39" t="n">
        <f aca="false">IFERROR(MEDIAN(E691:E700),"N/M")</f>
        <v>0.815433238294294</v>
      </c>
      <c r="F703" s="39" t="n">
        <f aca="false">IFERROR(MEDIAN(F691:F700),"N/M")</f>
        <v>0.823721613146804</v>
      </c>
      <c r="G703" s="39" t="n">
        <f aca="false">IFERROR(MEDIAN(G691:G700),"N/M")</f>
        <v>0.830730290778638</v>
      </c>
      <c r="H703" s="39" t="n">
        <f aca="false">IFERROR(MEDIAN(H691:H700),"N/M")</f>
        <v>0.833999323006927</v>
      </c>
      <c r="I703" s="39" t="n">
        <f aca="false">IFERROR(MEDIAN(I691:I700),"N/M")</f>
        <v>0.809309672239746</v>
      </c>
    </row>
    <row r="704" customFormat="false" ht="15" hidden="false" customHeight="false" outlineLevel="0" collapsed="false">
      <c r="A704" s="35" t="s">
        <v>179</v>
      </c>
      <c r="B704" s="39" t="n">
        <f aca="false">IFERROR(STDEV(B691:B700),"N/M")</f>
        <v>0.124944361027214</v>
      </c>
      <c r="C704" s="39" t="n">
        <f aca="false">IFERROR(STDEV(C691:C700),"N/M")</f>
        <v>0.134910611628972</v>
      </c>
      <c r="D704" s="39" t="n">
        <f aca="false">IFERROR(STDEV(D691:D700),"N/M")</f>
        <v>0.12915196000168</v>
      </c>
      <c r="E704" s="39" t="n">
        <f aca="false">IFERROR(STDEV(E691:E700),"N/M")</f>
        <v>0.104727836055056</v>
      </c>
      <c r="F704" s="39" t="n">
        <f aca="false">IFERROR(STDEV(F691:F700),"N/M")</f>
        <v>0.102406739275057</v>
      </c>
      <c r="G704" s="39" t="n">
        <f aca="false">IFERROR(STDEV(G691:G700),"N/M")</f>
        <v>0.10914956627962</v>
      </c>
      <c r="H704" s="39" t="n">
        <f aca="false">IFERROR(STDEV(H691:H700),"N/M")</f>
        <v>0.113443727522956</v>
      </c>
      <c r="I704" s="39" t="n">
        <f aca="false">IFERROR(STDEV(I691:I700),"N/M")</f>
        <v>0.112349653189973</v>
      </c>
    </row>
    <row r="705" customFormat="false" ht="15" hidden="false" customHeight="false" outlineLevel="0" collapsed="false">
      <c r="A705" s="35" t="s">
        <v>102</v>
      </c>
      <c r="B705" s="39" t="n">
        <f aca="false">IFERROR(MIN(B691:B700),"N/M")</f>
        <v>0.543061228989049</v>
      </c>
      <c r="C705" s="39" t="n">
        <f aca="false">IFERROR(MIN(C691:C700),"N/M")</f>
        <v>0.502598741533942</v>
      </c>
      <c r="D705" s="39" t="n">
        <f aca="false">IFERROR(MIN(D691:D700),"N/M")</f>
        <v>0.53893558312115</v>
      </c>
      <c r="E705" s="39" t="n">
        <f aca="false">IFERROR(MIN(E691:E700),"N/M")</f>
        <v>0.602864920672361</v>
      </c>
      <c r="F705" s="39" t="n">
        <f aca="false">IFERROR(MIN(F691:F700),"N/M")</f>
        <v>0.606428073798889</v>
      </c>
      <c r="G705" s="39" t="n">
        <f aca="false">IFERROR(MIN(G691:G700),"N/M")</f>
        <v>0.61592817009255</v>
      </c>
      <c r="H705" s="39" t="n">
        <f aca="false">IFERROR(MIN(H691:H700),"N/M")</f>
        <v>0.60912442516382</v>
      </c>
      <c r="I705" s="39" t="n">
        <f aca="false">IFERROR(MIN(I691:I700),"N/M")</f>
        <v>0.574134449053109</v>
      </c>
    </row>
    <row r="706" customFormat="false" ht="15" hidden="false" customHeight="false" outlineLevel="0" collapsed="false">
      <c r="A706" s="35" t="s">
        <v>103</v>
      </c>
      <c r="B706" s="39" t="n">
        <f aca="false">IFERROR(MAX(B691:B700),"N/M")</f>
        <v>0.949162719327507</v>
      </c>
      <c r="C706" s="39" t="n">
        <f aca="false">IFERROR(MAX(C691:C700),"N/M")</f>
        <v>0.943193287003662</v>
      </c>
      <c r="D706" s="39" t="n">
        <f aca="false">IFERROR(MAX(D691:D700),"N/M")</f>
        <v>0.937166126631054</v>
      </c>
      <c r="E706" s="39" t="n">
        <f aca="false">IFERROR(MAX(E691:E700),"N/M")</f>
        <v>0.926300127192877</v>
      </c>
      <c r="F706" s="39" t="n">
        <f aca="false">IFERROR(MAX(F691:F700),"N/M")</f>
        <v>0.909843463909018</v>
      </c>
      <c r="G706" s="39" t="n">
        <f aca="false">IFERROR(MAX(G691:G700),"N/M")</f>
        <v>0.915608859318918</v>
      </c>
      <c r="H706" s="39" t="n">
        <f aca="false">IFERROR(MAX(H691:H700),"N/M")</f>
        <v>0.907935263482108</v>
      </c>
      <c r="I706" s="39" t="n">
        <f aca="false">IFERROR(MAX(I691:I700),"N/M")</f>
        <v>0.924891000474347</v>
      </c>
    </row>
    <row r="708" customFormat="false" ht="15" hidden="false" customHeight="false" outlineLevel="0" collapsed="false">
      <c r="A708" s="16" t="s">
        <v>219</v>
      </c>
      <c r="B708" s="17"/>
      <c r="C708" s="17"/>
      <c r="D708" s="17"/>
      <c r="E708" s="17"/>
      <c r="F708" s="17"/>
      <c r="G708" s="17"/>
      <c r="H708" s="17"/>
      <c r="I708" s="17"/>
      <c r="J708" s="17"/>
      <c r="K708" s="17"/>
      <c r="L708" s="17"/>
      <c r="M708" s="17"/>
    </row>
    <row r="709" customFormat="false" ht="15" hidden="false" customHeight="false" outlineLevel="0" collapsed="false">
      <c r="A709" s="18" t="s">
        <v>110</v>
      </c>
      <c r="B709" s="23" t="n">
        <f aca="false">Tiger!D128</f>
        <v>0.103688470213613</v>
      </c>
      <c r="C709" s="23" t="n">
        <f aca="false">Tiger!E128</f>
        <v>0.132781318877703</v>
      </c>
      <c r="D709" s="23" t="n">
        <f aca="false">Tiger!F128</f>
        <v>0.0281250508039212</v>
      </c>
      <c r="E709" s="23" t="n">
        <f aca="false">Tiger!G128</f>
        <v>0.0481135340948425</v>
      </c>
      <c r="F709" s="23" t="n">
        <f aca="false">Tiger!H128</f>
        <v>0.0794972113543661</v>
      </c>
      <c r="G709" s="23" t="n">
        <f aca="false">Tiger!I128</f>
        <v>0.0458689936790289</v>
      </c>
      <c r="H709" s="23" t="n">
        <f aca="false">Tiger!J128</f>
        <v>0.0539261897280123</v>
      </c>
      <c r="I709" s="24" t="n">
        <f aca="false">Tiger!K128</f>
        <v>0.0702858241073553</v>
      </c>
      <c r="J709" s="34" t="str">
        <f aca="false">IF(AND(ISNUMBER(H709),ISNUMBER(H$721)),IF(H709&gt;H$721,"Above",IF(H709&lt;H$721,"Below","At")),"-")</f>
        <v>Below</v>
      </c>
      <c r="K709" s="34" t="str">
        <f aca="false">IF(J709="Below","Better",IF(J709="Above","Weaker","-"))</f>
        <v>Better</v>
      </c>
      <c r="L709" s="34" t="n">
        <f aca="false">IF(ISNUMBER(H709),RANK(H709,H$709:H$718,1),"-")</f>
        <v>1</v>
      </c>
      <c r="N709" s="34" t="str">
        <f aca="false">IF(AND(ISNUMBER(I709),ISNUMBER(I$721)),IF(I709&gt;I$721,"Above",IF(I709&lt;I$721,"Below","At")),"-")</f>
        <v>Below</v>
      </c>
      <c r="O709" s="34" t="str">
        <f aca="false">IF(N709="Below","Better",IF(N709="Above","Weaker","-"))</f>
        <v>Better</v>
      </c>
    </row>
    <row r="710" customFormat="false" ht="15" hidden="false" customHeight="false" outlineLevel="0" collapsed="false">
      <c r="A710" s="18" t="s">
        <v>111</v>
      </c>
      <c r="B710" s="23" t="n">
        <f aca="false">Allcargo!D128</f>
        <v>0.195378860478286</v>
      </c>
      <c r="C710" s="23" t="n">
        <f aca="false">Allcargo!E128</f>
        <v>0.165807146055</v>
      </c>
      <c r="D710" s="23" t="n">
        <f aca="false">Allcargo!F128</f>
        <v>0.111315356262649</v>
      </c>
      <c r="E710" s="23" t="n">
        <f aca="false">Allcargo!G128</f>
        <v>0.140436668352652</v>
      </c>
      <c r="F710" s="23" t="n">
        <f aca="false">Allcargo!H128</f>
        <v>0.197488873192954</v>
      </c>
      <c r="G710" s="23" t="n">
        <f aca="false">Allcargo!I128</f>
        <v>0.175420703722591</v>
      </c>
      <c r="H710" s="23" t="n">
        <f aca="false">Allcargo!J128</f>
        <v>0.153061224489796</v>
      </c>
      <c r="I710" s="24" t="n">
        <f aca="false">Allcargo!K128</f>
        <v>0.162701261793418</v>
      </c>
      <c r="J710" s="34" t="str">
        <f aca="false">IF(AND(ISNUMBER(H710),ISNUMBER(H$721)),IF(H710&gt;H$721,"Above",IF(H710&lt;H$721,"Below","At")),"-")</f>
        <v>Above</v>
      </c>
      <c r="K710" s="34" t="str">
        <f aca="false">IF(J710="Below","Better",IF(J710="Above","Weaker","-"))</f>
        <v>Weaker</v>
      </c>
      <c r="L710" s="34" t="n">
        <f aca="false">IF(ISNUMBER(H710),RANK(H710,H$709:H$718,1),"-")</f>
        <v>9</v>
      </c>
      <c r="N710" s="34" t="str">
        <f aca="false">IF(AND(ISNUMBER(I710),ISNUMBER(I$721)),IF(I710&gt;I$721,"Above",IF(I710&lt;I$721,"Below","At")),"-")</f>
        <v>Above</v>
      </c>
      <c r="O710" s="34" t="str">
        <f aca="false">IF(N710="Below","Better",IF(N710="Above","Weaker","-"))</f>
        <v>Weaker</v>
      </c>
    </row>
    <row r="711" customFormat="false" ht="15" hidden="false" customHeight="false" outlineLevel="0" collapsed="false">
      <c r="A711" s="18" t="s">
        <v>112</v>
      </c>
      <c r="B711" s="23" t="n">
        <f aca="false">BlueDart!D128</f>
        <v>0.307461426776226</v>
      </c>
      <c r="C711" s="23" t="n">
        <f aca="false">BlueDart!E128</f>
        <v>0.288683841575607</v>
      </c>
      <c r="D711" s="23" t="n">
        <f aca="false">BlueDart!F128</f>
        <v>0.234329972406694</v>
      </c>
      <c r="E711" s="23" t="n">
        <f aca="false">BlueDart!G128</f>
        <v>0.215857020776378</v>
      </c>
      <c r="F711" s="23" t="n">
        <f aca="false">BlueDart!H128</f>
        <v>0.231645668140392</v>
      </c>
      <c r="G711" s="23" t="n">
        <f aca="false">BlueDart!I128</f>
        <v>0.230884342800401</v>
      </c>
      <c r="H711" s="23" t="n">
        <f aca="false">BlueDart!J128</f>
        <v>0.236067143471294</v>
      </c>
      <c r="I711" s="24" t="n">
        <f aca="false">BlueDart!K128</f>
        <v>0.24927563084957</v>
      </c>
      <c r="J711" s="34" t="str">
        <f aca="false">IF(AND(ISNUMBER(H711),ISNUMBER(H$721)),IF(H711&gt;H$721,"Above",IF(H711&lt;H$721,"Below","At")),"-")</f>
        <v>Above</v>
      </c>
      <c r="K711" s="34" t="str">
        <f aca="false">IF(J711="Below","Better",IF(J711="Above","Weaker","-"))</f>
        <v>Weaker</v>
      </c>
      <c r="L711" s="34" t="n">
        <f aca="false">IF(ISNUMBER(H711),RANK(H711,H$709:H$718,1),"-")</f>
        <v>10</v>
      </c>
      <c r="N711" s="34" t="str">
        <f aca="false">IF(AND(ISNUMBER(I711),ISNUMBER(I$721)),IF(I711&gt;I$721,"Above",IF(I711&lt;I$721,"Below","At")),"-")</f>
        <v>Above</v>
      </c>
      <c r="O711" s="34" t="str">
        <f aca="false">IF(N711="Below","Better",IF(N711="Above","Weaker","-"))</f>
        <v>Weaker</v>
      </c>
    </row>
    <row r="712" customFormat="false" ht="15" hidden="false" customHeight="false" outlineLevel="0" collapsed="false">
      <c r="A712" s="18" t="s">
        <v>67</v>
      </c>
      <c r="B712" s="23" t="n">
        <f aca="false">CONCOR!D128</f>
        <v>0.0808649565791307</v>
      </c>
      <c r="C712" s="23" t="n">
        <f aca="false">CONCOR!E128</f>
        <v>0.197540718335543</v>
      </c>
      <c r="D712" s="23" t="n">
        <f aca="false">CONCOR!F128</f>
        <v>0.134369042158811</v>
      </c>
      <c r="E712" s="23" t="n">
        <f aca="false">CONCOR!G128</f>
        <v>0.120882053391308</v>
      </c>
      <c r="F712" s="23" t="n">
        <f aca="false">CONCOR!H128</f>
        <v>0.114584886189375</v>
      </c>
      <c r="G712" s="23" t="n">
        <f aca="false">CONCOR!I128</f>
        <v>0.11508357132087</v>
      </c>
      <c r="H712" s="23" t="n">
        <f aca="false">CONCOR!J128</f>
        <v>0.121637146063926</v>
      </c>
      <c r="I712" s="24" t="n">
        <f aca="false">CONCOR!K128</f>
        <v>0.126423196291281</v>
      </c>
      <c r="J712" s="34" t="str">
        <f aca="false">IF(AND(ISNUMBER(H712),ISNUMBER(H$721)),IF(H712&gt;H$721,"Above",IF(H712&lt;H$721,"Below","At")),"-")</f>
        <v>Above</v>
      </c>
      <c r="K712" s="34" t="str">
        <f aca="false">IF(J712="Below","Better",IF(J712="Above","Weaker","-"))</f>
        <v>Weaker</v>
      </c>
      <c r="L712" s="34" t="n">
        <f aca="false">IF(ISNUMBER(H712),RANK(H712,H$709:H$718,1),"-")</f>
        <v>7</v>
      </c>
      <c r="N712" s="34" t="str">
        <f aca="false">IF(AND(ISNUMBER(I712),ISNUMBER(I$721)),IF(I712&gt;I$721,"Above",IF(I712&lt;I$721,"Below","At")),"-")</f>
        <v>Above</v>
      </c>
      <c r="O712" s="34" t="str">
        <f aca="false">IF(N712="Below","Better",IF(N712="Above","Weaker","-"))</f>
        <v>Weaker</v>
      </c>
    </row>
    <row r="713" customFormat="false" ht="15" hidden="false" customHeight="false" outlineLevel="0" collapsed="false">
      <c r="A713" s="18" t="s">
        <v>113</v>
      </c>
      <c r="B713" s="23" t="n">
        <f aca="false">JetFreight!D128</f>
        <v>0.0625458669691107</v>
      </c>
      <c r="C713" s="23" t="n">
        <f aca="false">JetFreight!E128</f>
        <v>0.0299604948239569</v>
      </c>
      <c r="D713" s="23" t="n">
        <f aca="false">JetFreight!F128</f>
        <v>0.0392328575181715</v>
      </c>
      <c r="E713" s="23" t="n">
        <f aca="false">JetFreight!G128</f>
        <v>0.054500947946915</v>
      </c>
      <c r="F713" s="23" t="n">
        <f aca="false">JetFreight!H128</f>
        <v>0.0749155427186219</v>
      </c>
      <c r="G713" s="23" t="n">
        <f aca="false">JetFreight!I128</f>
        <v>0.0598905251586011</v>
      </c>
      <c r="H713" s="23" t="n">
        <f aca="false">JetFreight!J128</f>
        <v>0.0615429652314898</v>
      </c>
      <c r="I713" s="24" t="n">
        <f aca="false">JetFreight!K128</f>
        <v>0.0546556000524096</v>
      </c>
      <c r="J713" s="34" t="str">
        <f aca="false">IF(AND(ISNUMBER(H713),ISNUMBER(H$721)),IF(H713&gt;H$721,"Above",IF(H713&lt;H$721,"Below","At")),"-")</f>
        <v>Below</v>
      </c>
      <c r="K713" s="34" t="str">
        <f aca="false">IF(J713="Below","Better",IF(J713="Above","Weaker","-"))</f>
        <v>Better</v>
      </c>
      <c r="L713" s="34" t="n">
        <f aca="false">IF(ISNUMBER(H713),RANK(H713,H$709:H$718,1),"-")</f>
        <v>2</v>
      </c>
      <c r="N713" s="34" t="str">
        <f aca="false">IF(AND(ISNUMBER(I713),ISNUMBER(I$721)),IF(I713&gt;I$721,"Above",IF(I713&lt;I$721,"Below","At")),"-")</f>
        <v>Below</v>
      </c>
      <c r="O713" s="34" t="str">
        <f aca="false">IF(N713="Below","Better",IF(N713="Above","Weaker","-"))</f>
        <v>Better</v>
      </c>
    </row>
    <row r="714" customFormat="false" ht="15" hidden="false" customHeight="false" outlineLevel="0" collapsed="false">
      <c r="A714" s="18" t="s">
        <v>114</v>
      </c>
      <c r="B714" s="23" t="n">
        <f aca="false">Patel!D128</f>
        <v>0.08831064160502</v>
      </c>
      <c r="C714" s="23" t="n">
        <f aca="false">Patel!E128</f>
        <v>0.0795288574793875</v>
      </c>
      <c r="D714" s="23" t="n">
        <f aca="false">Patel!F128</f>
        <v>0.0691789006486856</v>
      </c>
      <c r="E714" s="23" t="n">
        <f aca="false">Patel!G128</f>
        <v>0.0655814287767716</v>
      </c>
      <c r="F714" s="23" t="n">
        <f aca="false">Patel!H128</f>
        <v>0.0662192393736018</v>
      </c>
      <c r="G714" s="23" t="n">
        <f aca="false">Patel!I128</f>
        <v>0.0586827745192448</v>
      </c>
      <c r="H714" s="23" t="n">
        <f aca="false">Patel!J128</f>
        <v>0.0630285042280338</v>
      </c>
      <c r="I714" s="24" t="n">
        <f aca="false">Patel!K128</f>
        <v>0.0700757638043922</v>
      </c>
      <c r="J714" s="34" t="str">
        <f aca="false">IF(AND(ISNUMBER(H714),ISNUMBER(H$721)),IF(H714&gt;H$721,"Above",IF(H714&lt;H$721,"Below","At")),"-")</f>
        <v>Below</v>
      </c>
      <c r="K714" s="34" t="str">
        <f aca="false">IF(J714="Below","Better",IF(J714="Above","Weaker","-"))</f>
        <v>Better</v>
      </c>
      <c r="L714" s="34" t="n">
        <f aca="false">IF(ISNUMBER(H714),RANK(H714,H$709:H$718,1),"-")</f>
        <v>3</v>
      </c>
      <c r="N714" s="34" t="str">
        <f aca="false">IF(AND(ISNUMBER(I714),ISNUMBER(I$721)),IF(I714&gt;I$721,"Above",IF(I714&lt;I$721,"Below","At")),"-")</f>
        <v>Below</v>
      </c>
      <c r="O714" s="34" t="str">
        <f aca="false">IF(N714="Below","Better",IF(N714="Above","Weaker","-"))</f>
        <v>Better</v>
      </c>
    </row>
    <row r="715" customFormat="false" ht="15" hidden="false" customHeight="false" outlineLevel="0" collapsed="false">
      <c r="A715" s="18" t="s">
        <v>115</v>
      </c>
      <c r="B715" s="23" t="n">
        <f aca="false">Sical!D128</f>
        <v>0.192187624274238</v>
      </c>
      <c r="C715" s="23" t="n">
        <f aca="false">Sical!E128</f>
        <v>0.254353394356968</v>
      </c>
      <c r="D715" s="23" t="n">
        <f aca="false">Sical!F128</f>
        <v>0.222346432768653</v>
      </c>
      <c r="E715" s="23" t="n">
        <f aca="false">Sical!G128</f>
        <v>0.109357068169646</v>
      </c>
      <c r="F715" s="23" t="n">
        <f aca="false">Sical!H128</f>
        <v>0.206884074358858</v>
      </c>
      <c r="G715" s="23" t="n">
        <f aca="false">Sical!I128</f>
        <v>0.200703272923992</v>
      </c>
      <c r="H715" s="23" t="n">
        <f aca="false">Sical!J128</f>
        <v>0.131585770587015</v>
      </c>
      <c r="I715" s="24" t="n">
        <f aca="false">Sical!K128</f>
        <v>0.188202519634196</v>
      </c>
      <c r="J715" s="34" t="str">
        <f aca="false">IF(AND(ISNUMBER(H715),ISNUMBER(H$721)),IF(H715&gt;H$721,"Above",IF(H715&lt;H$721,"Below","At")),"-")</f>
        <v>Above</v>
      </c>
      <c r="K715" s="34" t="str">
        <f aca="false">IF(J715="Below","Better",IF(J715="Above","Weaker","-"))</f>
        <v>Weaker</v>
      </c>
      <c r="L715" s="34" t="n">
        <f aca="false">IF(ISNUMBER(H715),RANK(H715,H$709:H$718,1),"-")</f>
        <v>8</v>
      </c>
      <c r="N715" s="34" t="str">
        <f aca="false">IF(AND(ISNUMBER(I715),ISNUMBER(I$721)),IF(I715&gt;I$721,"Above",IF(I715&lt;I$721,"Below","At")),"-")</f>
        <v>Above</v>
      </c>
      <c r="O715" s="34" t="str">
        <f aca="false">IF(N715="Below","Better",IF(N715="Above","Weaker","-"))</f>
        <v>Weaker</v>
      </c>
    </row>
    <row r="716" customFormat="false" ht="15" hidden="false" customHeight="false" outlineLevel="0" collapsed="false">
      <c r="A716" s="18" t="s">
        <v>86</v>
      </c>
      <c r="B716" s="23" t="n">
        <f aca="false">TCI!D128</f>
        <v>0.0889897860065346</v>
      </c>
      <c r="C716" s="23" t="n">
        <f aca="false">TCI!E128</f>
        <v>0.0791288864148102</v>
      </c>
      <c r="D716" s="23" t="n">
        <f aca="false">TCI!F128</f>
        <v>0.0747665558900335</v>
      </c>
      <c r="E716" s="23" t="n">
        <f aca="false">TCI!G128</f>
        <v>0.0769582585385069</v>
      </c>
      <c r="F716" s="23" t="n">
        <f aca="false">TCI!H128</f>
        <v>0.082464850680622</v>
      </c>
      <c r="G716" s="23" t="n">
        <f aca="false">TCI!I128</f>
        <v>0.0819585999314303</v>
      </c>
      <c r="H716" s="23" t="n">
        <f aca="false">TCI!J128</f>
        <v>0.0831602861228001</v>
      </c>
      <c r="I716" s="24" t="n">
        <f aca="false">TCI!K128</f>
        <v>0.0810610319406768</v>
      </c>
      <c r="J716" s="34" t="str">
        <f aca="false">IF(AND(ISNUMBER(H716),ISNUMBER(H$721)),IF(H716&gt;H$721,"Above",IF(H716&lt;H$721,"Below","At")),"-")</f>
        <v>Below</v>
      </c>
      <c r="K716" s="34" t="str">
        <f aca="false">IF(J716="Below","Better",IF(J716="Above","Weaker","-"))</f>
        <v>Better</v>
      </c>
      <c r="L716" s="34" t="n">
        <f aca="false">IF(ISNUMBER(H716),RANK(H716,H$709:H$718,1),"-")</f>
        <v>4</v>
      </c>
      <c r="N716" s="34" t="str">
        <f aca="false">IF(AND(ISNUMBER(I716),ISNUMBER(I$721)),IF(I716&gt;I$721,"Above",IF(I716&lt;I$721,"Below","At")),"-")</f>
        <v>Below</v>
      </c>
      <c r="O716" s="34" t="str">
        <f aca="false">IF(N716="Below","Better",IF(N716="Above","Weaker","-"))</f>
        <v>Better</v>
      </c>
    </row>
    <row r="717" customFormat="false" ht="15" hidden="false" customHeight="false" outlineLevel="0" collapsed="false">
      <c r="A717" s="18" t="s">
        <v>116</v>
      </c>
      <c r="B717" s="23" t="n">
        <f aca="false">Shreeji!D128</f>
        <v>0.157090909090909</v>
      </c>
      <c r="C717" s="23" t="n">
        <f aca="false">Shreeji!E128</f>
        <v>0.134620715143676</v>
      </c>
      <c r="D717" s="23" t="n">
        <f aca="false">Shreeji!F128</f>
        <v>0.150482472212043</v>
      </c>
      <c r="E717" s="23" t="n">
        <f aca="false">Shreeji!G128</f>
        <v>0.107702209826218</v>
      </c>
      <c r="F717" s="23" t="n">
        <f aca="false">Shreeji!H128</f>
        <v>0.0925349301397206</v>
      </c>
      <c r="G717" s="23" t="n">
        <f aca="false">Shreeji!I128</f>
        <v>0.112635116722681</v>
      </c>
      <c r="H717" s="23" t="n">
        <f aca="false">Shreeji!J128</f>
        <v>0.11020530112254</v>
      </c>
      <c r="I717" s="24" t="n">
        <f aca="false">Shreeji!K128</f>
        <v>0.123610236322541</v>
      </c>
      <c r="J717" s="34" t="str">
        <f aca="false">IF(AND(ISNUMBER(H717),ISNUMBER(H$721)),IF(H717&gt;H$721,"Above",IF(H717&lt;H$721,"Below","At")),"-")</f>
        <v>Above</v>
      </c>
      <c r="K717" s="34" t="str">
        <f aca="false">IF(J717="Below","Better",IF(J717="Above","Weaker","-"))</f>
        <v>Weaker</v>
      </c>
      <c r="L717" s="34" t="n">
        <f aca="false">IF(ISNUMBER(H717),RANK(H717,H$709:H$718,1),"-")</f>
        <v>6</v>
      </c>
      <c r="N717" s="34" t="str">
        <f aca="false">IF(AND(ISNUMBER(I717),ISNUMBER(I$721)),IF(I717&gt;I$721,"Above",IF(I717&lt;I$721,"Below","At")),"-")</f>
        <v>Above</v>
      </c>
      <c r="O717" s="34" t="str">
        <f aca="false">IF(N717="Below","Better",IF(N717="Above","Weaker","-"))</f>
        <v>Weaker</v>
      </c>
    </row>
    <row r="718" customFormat="false" ht="15" hidden="false" customHeight="false" outlineLevel="0" collapsed="false">
      <c r="A718" s="18" t="s">
        <v>117</v>
      </c>
      <c r="B718" s="23" t="n">
        <f aca="false">MahindraLog!D128</f>
        <v>0.106956216113438</v>
      </c>
      <c r="C718" s="23" t="n">
        <f aca="false">MahindraLog!E128</f>
        <v>0.109028960817717</v>
      </c>
      <c r="D718" s="23" t="n">
        <f aca="false">MahindraLog!F128</f>
        <v>0.0953182507558999</v>
      </c>
      <c r="E718" s="23" t="n">
        <f aca="false">MahindraLog!G128</f>
        <v>0.0922295736005569</v>
      </c>
      <c r="F718" s="23" t="n">
        <f aca="false">MahindraLog!H128</f>
        <v>0.104976961371021</v>
      </c>
      <c r="G718" s="23" t="n">
        <f aca="false">MahindraLog!I128</f>
        <v>0.0901630348429031</v>
      </c>
      <c r="H718" s="23" t="n">
        <f aca="false">MahindraLog!J128</f>
        <v>0.0834026259768834</v>
      </c>
      <c r="I718" s="24" t="n">
        <f aca="false">MahindraLog!K128</f>
        <v>0.0974393747826314</v>
      </c>
      <c r="J718" s="34" t="str">
        <f aca="false">IF(AND(ISNUMBER(H718),ISNUMBER(H$721)),IF(H718&gt;H$721,"Above",IF(H718&lt;H$721,"Below","At")),"-")</f>
        <v>Below</v>
      </c>
      <c r="K718" s="34" t="str">
        <f aca="false">IF(J718="Below","Better",IF(J718="Above","Weaker","-"))</f>
        <v>Better</v>
      </c>
      <c r="L718" s="34" t="n">
        <f aca="false">IF(ISNUMBER(H718),RANK(H718,H$709:H$718,1),"-")</f>
        <v>5</v>
      </c>
      <c r="N718" s="34" t="str">
        <f aca="false">IF(AND(ISNUMBER(I718),ISNUMBER(I$721)),IF(I718&gt;I$721,"Above",IF(I718&lt;I$721,"Below","At")),"-")</f>
        <v>Below</v>
      </c>
      <c r="O718" s="34" t="str">
        <f aca="false">IF(N718="Below","Better",IF(N718="Above","Weaker","-"))</f>
        <v>Better</v>
      </c>
    </row>
    <row r="719" customFormat="false" ht="15" hidden="false" customHeight="false" outlineLevel="0" collapsed="false">
      <c r="A719" s="12" t="s">
        <v>176</v>
      </c>
      <c r="B719" s="24" t="n">
        <f aca="false">Industry!D128</f>
        <v>0.151905957408636</v>
      </c>
      <c r="C719" s="24" t="n">
        <f aca="false">Industry!E128</f>
        <v>0.171239317276042</v>
      </c>
      <c r="D719" s="24" t="n">
        <f aca="false">Industry!F128</f>
        <v>0.123332420343722</v>
      </c>
      <c r="E719" s="24" t="n">
        <f aca="false">Industry!G128</f>
        <v>0.131583457589936</v>
      </c>
      <c r="F719" s="24" t="n">
        <f aca="false">Industry!H128</f>
        <v>0.153904013507423</v>
      </c>
      <c r="G719" s="24" t="n">
        <f aca="false">Industry!I128</f>
        <v>0.129525724662235</v>
      </c>
      <c r="H719" s="24" t="n">
        <f aca="false">Industry!J128</f>
        <v>0.128862030920295</v>
      </c>
      <c r="I719" s="24" t="n">
        <f aca="false">Industry!K128</f>
        <v>0.14147898881547</v>
      </c>
    </row>
    <row r="720" customFormat="false" ht="15" hidden="false" customHeight="false" outlineLevel="0" collapsed="false">
      <c r="A720" s="35" t="s">
        <v>177</v>
      </c>
      <c r="B720" s="39" t="n">
        <f aca="false">IFERROR(AVERAGE(B709:B718),"N/M")</f>
        <v>0.138347475810651</v>
      </c>
      <c r="C720" s="39" t="n">
        <f aca="false">IFERROR(AVERAGE(C709:C718),"N/M")</f>
        <v>0.147143433388037</v>
      </c>
      <c r="D720" s="39" t="n">
        <f aca="false">IFERROR(AVERAGE(D709:D718),"N/M")</f>
        <v>0.115946489142556</v>
      </c>
      <c r="E720" s="39" t="n">
        <f aca="false">IFERROR(AVERAGE(E709:E718),"N/M")</f>
        <v>0.10316187634738</v>
      </c>
      <c r="F720" s="39" t="n">
        <f aca="false">IFERROR(AVERAGE(F709:F718),"N/M")</f>
        <v>0.125121223751953</v>
      </c>
      <c r="G720" s="39" t="n">
        <f aca="false">IFERROR(AVERAGE(G709:G718),"N/M")</f>
        <v>0.117129093562174</v>
      </c>
      <c r="H720" s="39" t="n">
        <f aca="false">IFERROR(AVERAGE(H709:H718),"N/M")</f>
        <v>0.109761715702179</v>
      </c>
      <c r="I720" s="39" t="n">
        <f aca="false">IFERROR(AVERAGE(I709:I718),"N/M")</f>
        <v>0.122373043957847</v>
      </c>
    </row>
    <row r="721" customFormat="false" ht="15" hidden="false" customHeight="false" outlineLevel="0" collapsed="false">
      <c r="A721" s="35" t="s">
        <v>178</v>
      </c>
      <c r="B721" s="39" t="n">
        <f aca="false">IFERROR(MEDIAN(B709:B718),"N/M")</f>
        <v>0.105322343163526</v>
      </c>
      <c r="C721" s="39" t="n">
        <f aca="false">IFERROR(MEDIAN(C709:C718),"N/M")</f>
        <v>0.133701017010689</v>
      </c>
      <c r="D721" s="39" t="n">
        <f aca="false">IFERROR(MEDIAN(D709:D718),"N/M")</f>
        <v>0.103316803509275</v>
      </c>
      <c r="E721" s="39" t="n">
        <f aca="false">IFERROR(MEDIAN(E709:E718),"N/M")</f>
        <v>0.0999658917133872</v>
      </c>
      <c r="F721" s="39" t="n">
        <f aca="false">IFERROR(MEDIAN(F709:F718),"N/M")</f>
        <v>0.0987559457553707</v>
      </c>
      <c r="G721" s="39" t="n">
        <f aca="false">IFERROR(MEDIAN(G709:G718),"N/M")</f>
        <v>0.101399075782792</v>
      </c>
      <c r="H721" s="39" t="n">
        <f aca="false">IFERROR(MEDIAN(H709:H718),"N/M")</f>
        <v>0.0968039635497119</v>
      </c>
      <c r="I721" s="39" t="n">
        <f aca="false">IFERROR(MEDIAN(I709:I718),"N/M")</f>
        <v>0.110524805552586</v>
      </c>
    </row>
    <row r="722" customFormat="false" ht="15" hidden="false" customHeight="false" outlineLevel="0" collapsed="false">
      <c r="A722" s="35" t="s">
        <v>179</v>
      </c>
      <c r="B722" s="39" t="n">
        <f aca="false">IFERROR(STDEV(B709:B718),"N/M")</f>
        <v>0.07548276714342</v>
      </c>
      <c r="C722" s="39" t="n">
        <f aca="false">IFERROR(STDEV(C709:C718),"N/M")</f>
        <v>0.0810769427231529</v>
      </c>
      <c r="D722" s="39" t="n">
        <f aca="false">IFERROR(STDEV(D709:D718),"N/M")</f>
        <v>0.0705496467078094</v>
      </c>
      <c r="E722" s="39" t="n">
        <f aca="false">IFERROR(STDEV(E709:E718),"N/M")</f>
        <v>0.0495302895071598</v>
      </c>
      <c r="F722" s="39" t="n">
        <f aca="false">IFERROR(STDEV(F709:F718),"N/M")</f>
        <v>0.0621284876215942</v>
      </c>
      <c r="G722" s="39" t="n">
        <f aca="false">IFERROR(STDEV(G709:G718),"N/M")</f>
        <v>0.064188569155796</v>
      </c>
      <c r="H722" s="39" t="n">
        <f aca="false">IFERROR(STDEV(H709:H718),"N/M")</f>
        <v>0.0552514505695679</v>
      </c>
      <c r="I722" s="39" t="n">
        <f aca="false">IFERROR(STDEV(I709:I718),"N/M")</f>
        <v>0.0618638220862147</v>
      </c>
    </row>
    <row r="723" customFormat="false" ht="15" hidden="false" customHeight="false" outlineLevel="0" collapsed="false">
      <c r="A723" s="35" t="s">
        <v>102</v>
      </c>
      <c r="B723" s="39" t="n">
        <f aca="false">IFERROR(MIN(B709:B718),"N/M")</f>
        <v>0.0625458669691107</v>
      </c>
      <c r="C723" s="39" t="n">
        <f aca="false">IFERROR(MIN(C709:C718),"N/M")</f>
        <v>0.0299604948239569</v>
      </c>
      <c r="D723" s="39" t="n">
        <f aca="false">IFERROR(MIN(D709:D718),"N/M")</f>
        <v>0.0281250508039212</v>
      </c>
      <c r="E723" s="39" t="n">
        <f aca="false">IFERROR(MIN(E709:E718),"N/M")</f>
        <v>0.0481135340948425</v>
      </c>
      <c r="F723" s="39" t="n">
        <f aca="false">IFERROR(MIN(F709:F718),"N/M")</f>
        <v>0.0662192393736018</v>
      </c>
      <c r="G723" s="39" t="n">
        <f aca="false">IFERROR(MIN(G709:G718),"N/M")</f>
        <v>0.0458689936790289</v>
      </c>
      <c r="H723" s="39" t="n">
        <f aca="false">IFERROR(MIN(H709:H718),"N/M")</f>
        <v>0.0539261897280123</v>
      </c>
      <c r="I723" s="39" t="n">
        <f aca="false">IFERROR(MIN(I709:I718),"N/M")</f>
        <v>0.0546556000524096</v>
      </c>
    </row>
    <row r="724" customFormat="false" ht="15" hidden="false" customHeight="false" outlineLevel="0" collapsed="false">
      <c r="A724" s="35" t="s">
        <v>103</v>
      </c>
      <c r="B724" s="39" t="n">
        <f aca="false">IFERROR(MAX(B709:B718),"N/M")</f>
        <v>0.307461426776226</v>
      </c>
      <c r="C724" s="39" t="n">
        <f aca="false">IFERROR(MAX(C709:C718),"N/M")</f>
        <v>0.288683841575607</v>
      </c>
      <c r="D724" s="39" t="n">
        <f aca="false">IFERROR(MAX(D709:D718),"N/M")</f>
        <v>0.234329972406694</v>
      </c>
      <c r="E724" s="39" t="n">
        <f aca="false">IFERROR(MAX(E709:E718),"N/M")</f>
        <v>0.215857020776378</v>
      </c>
      <c r="F724" s="39" t="n">
        <f aca="false">IFERROR(MAX(F709:F718),"N/M")</f>
        <v>0.231645668140392</v>
      </c>
      <c r="G724" s="39" t="n">
        <f aca="false">IFERROR(MAX(G709:G718),"N/M")</f>
        <v>0.230884342800401</v>
      </c>
      <c r="H724" s="39" t="n">
        <f aca="false">IFERROR(MAX(H709:H718),"N/M")</f>
        <v>0.236067143471294</v>
      </c>
      <c r="I724" s="39" t="n">
        <f aca="false">IFERROR(MAX(I709:I718),"N/M")</f>
        <v>0.24927563084957</v>
      </c>
    </row>
    <row r="726" customFormat="false" ht="15" hidden="false" customHeight="false" outlineLevel="0" collapsed="false">
      <c r="A726" s="16" t="s">
        <v>220</v>
      </c>
      <c r="B726" s="17"/>
      <c r="C726" s="17"/>
      <c r="D726" s="17"/>
      <c r="E726" s="17"/>
      <c r="F726" s="17"/>
      <c r="G726" s="17"/>
      <c r="H726" s="17"/>
      <c r="I726" s="17"/>
      <c r="J726" s="17"/>
      <c r="K726" s="17"/>
      <c r="L726" s="17"/>
      <c r="M726" s="17"/>
    </row>
    <row r="727" customFormat="false" ht="15" hidden="false" customHeight="false" outlineLevel="0" collapsed="false">
      <c r="A727" s="18" t="s">
        <v>110</v>
      </c>
      <c r="B727" s="23" t="n">
        <f aca="false">Tiger!D129</f>
        <v>0.0683959134934324</v>
      </c>
      <c r="C727" s="23" t="n">
        <f aca="false">Tiger!E129</f>
        <v>0.0580210877464705</v>
      </c>
      <c r="D727" s="23" t="n">
        <f aca="false">Tiger!F129</f>
        <v>0.0167287151891532</v>
      </c>
      <c r="E727" s="23" t="n">
        <f aca="false">Tiger!G129</f>
        <v>0.0273912541825314</v>
      </c>
      <c r="F727" s="23" t="n">
        <f aca="false">Tiger!H129</f>
        <v>0.0575626404728211</v>
      </c>
      <c r="G727" s="23" t="n">
        <f aca="false">Tiger!I129</f>
        <v>0.0317167309951334</v>
      </c>
      <c r="H727" s="23" t="n">
        <f aca="false">Tiger!J129</f>
        <v>0.0383191927656157</v>
      </c>
      <c r="I727" s="24" t="n">
        <f aca="false">Tiger!K129</f>
        <v>0.0425907906921654</v>
      </c>
      <c r="J727" s="34" t="str">
        <f aca="false">IF(AND(ISNUMBER(H727),ISNUMBER(H$739)),IF(H727&gt;H$739,"Above",IF(H727&lt;H$739,"Below","At")),"-")</f>
        <v>Below</v>
      </c>
      <c r="K727" s="34" t="str">
        <f aca="false">IF(J727="Below","Better",IF(J727="Above","Weaker","-"))</f>
        <v>Better</v>
      </c>
      <c r="L727" s="34" t="n">
        <f aca="false">IF(ISNUMBER(H727),RANK(H727,H$727:H$736,1),"-")</f>
        <v>1</v>
      </c>
      <c r="N727" s="34" t="str">
        <f aca="false">IF(AND(ISNUMBER(I727),ISNUMBER(I$739)),IF(I727&gt;I$739,"Above",IF(I727&lt;I$739,"Below","At")),"-")</f>
        <v>Below</v>
      </c>
      <c r="O727" s="34" t="str">
        <f aca="false">IF(N727="Below","Better",IF(N727="Above","Weaker","-"))</f>
        <v>Better</v>
      </c>
    </row>
    <row r="728" customFormat="false" ht="15" hidden="false" customHeight="false" outlineLevel="0" collapsed="false">
      <c r="A728" s="18" t="s">
        <v>111</v>
      </c>
      <c r="B728" s="23" t="n">
        <f aca="false">Allcargo!D129</f>
        <v>0.151591834734504</v>
      </c>
      <c r="C728" s="23" t="n">
        <f aca="false">Allcargo!E129</f>
        <v>0.125394118935807</v>
      </c>
      <c r="D728" s="23" t="n">
        <f aca="false">Allcargo!F129</f>
        <v>0.084753169384631</v>
      </c>
      <c r="E728" s="23" t="n">
        <f aca="false">Allcargo!G129</f>
        <v>0.105653664635913</v>
      </c>
      <c r="F728" s="23" t="n">
        <f aca="false">Allcargo!H129</f>
        <v>0.149905001896878</v>
      </c>
      <c r="G728" s="23" t="n">
        <f aca="false">Allcargo!I129</f>
        <v>0.114227434982152</v>
      </c>
      <c r="H728" s="23" t="n">
        <f aca="false">Allcargo!J129</f>
        <v>0.1044703595724</v>
      </c>
      <c r="I728" s="24" t="n">
        <f aca="false">Allcargo!K129</f>
        <v>0.119427940591755</v>
      </c>
      <c r="J728" s="34" t="str">
        <f aca="false">IF(AND(ISNUMBER(H728),ISNUMBER(H$739)),IF(H728&gt;H$739,"Above",IF(H728&lt;H$739,"Below","At")),"-")</f>
        <v>Above</v>
      </c>
      <c r="K728" s="34" t="str">
        <f aca="false">IF(J728="Below","Better",IF(J728="Above","Weaker","-"))</f>
        <v>Weaker</v>
      </c>
      <c r="L728" s="34" t="n">
        <f aca="false">IF(ISNUMBER(H728),RANK(H728,H$727:H$736,1),"-")</f>
        <v>9</v>
      </c>
      <c r="N728" s="34" t="str">
        <f aca="false">IF(AND(ISNUMBER(I728),ISNUMBER(I$739)),IF(I728&gt;I$739,"Above",IF(I728&lt;I$739,"Below","At")),"-")</f>
        <v>Above</v>
      </c>
      <c r="O728" s="34" t="str">
        <f aca="false">IF(N728="Below","Better",IF(N728="Above","Weaker","-"))</f>
        <v>Weaker</v>
      </c>
    </row>
    <row r="729" customFormat="false" ht="15" hidden="false" customHeight="false" outlineLevel="0" collapsed="false">
      <c r="A729" s="18" t="s">
        <v>112</v>
      </c>
      <c r="B729" s="23" t="n">
        <f aca="false">BlueDart!D129</f>
        <v>0.231133843338698</v>
      </c>
      <c r="C729" s="23" t="n">
        <f aca="false">BlueDart!E129</f>
        <v>0.221952903321949</v>
      </c>
      <c r="D729" s="23" t="n">
        <f aca="false">BlueDart!F129</f>
        <v>0.173751669315654</v>
      </c>
      <c r="E729" s="23" t="n">
        <f aca="false">BlueDart!G129</f>
        <v>0.162319081554922</v>
      </c>
      <c r="F729" s="23" t="n">
        <f aca="false">BlueDart!H129</f>
        <v>0.17251695669754</v>
      </c>
      <c r="G729" s="23" t="n">
        <f aca="false">BlueDart!I129</f>
        <v>0.169491169858291</v>
      </c>
      <c r="H729" s="23" t="n">
        <f aca="false">BlueDart!J129</f>
        <v>0.169977267101783</v>
      </c>
      <c r="I729" s="24" t="n">
        <f aca="false">BlueDart!K129</f>
        <v>0.18587755588412</v>
      </c>
      <c r="J729" s="34" t="str">
        <f aca="false">IF(AND(ISNUMBER(H729),ISNUMBER(H$739)),IF(H729&gt;H$739,"Above",IF(H729&lt;H$739,"Below","At")),"-")</f>
        <v>Above</v>
      </c>
      <c r="K729" s="34" t="str">
        <f aca="false">IF(J729="Below","Better",IF(J729="Above","Weaker","-"))</f>
        <v>Weaker</v>
      </c>
      <c r="L729" s="34" t="n">
        <f aca="false">IF(ISNUMBER(H729),RANK(H729,H$727:H$736,1),"-")</f>
        <v>10</v>
      </c>
      <c r="N729" s="34" t="str">
        <f aca="false">IF(AND(ISNUMBER(I729),ISNUMBER(I$739)),IF(I729&gt;I$739,"Above",IF(I729&lt;I$739,"Below","At")),"-")</f>
        <v>Above</v>
      </c>
      <c r="O729" s="34" t="str">
        <f aca="false">IF(N729="Below","Better",IF(N729="Above","Weaker","-"))</f>
        <v>Weaker</v>
      </c>
    </row>
    <row r="730" customFormat="false" ht="15" hidden="false" customHeight="false" outlineLevel="0" collapsed="false">
      <c r="A730" s="18" t="s">
        <v>67</v>
      </c>
      <c r="B730" s="23" t="n">
        <f aca="false">CONCOR!D129</f>
        <v>0.0485937028637407</v>
      </c>
      <c r="C730" s="23" t="n">
        <f aca="false">CONCOR!E129</f>
        <v>0.0667270362279605</v>
      </c>
      <c r="D730" s="23" t="n">
        <f aca="false">CONCOR!F129</f>
        <v>0.054794824853353</v>
      </c>
      <c r="E730" s="23" t="n">
        <f aca="false">CONCOR!G129</f>
        <v>0.0527731261139511</v>
      </c>
      <c r="F730" s="23" t="n">
        <f aca="false">CONCOR!H129</f>
        <v>0.0535615439462593</v>
      </c>
      <c r="G730" s="23" t="n">
        <f aca="false">CONCOR!I129</f>
        <v>0.055073579220031</v>
      </c>
      <c r="H730" s="23" t="n">
        <f aca="false">CONCOR!J129</f>
        <v>0.0572664079735917</v>
      </c>
      <c r="I730" s="24" t="n">
        <f aca="false">CONCOR!K129</f>
        <v>0.0555414601712696</v>
      </c>
      <c r="J730" s="34" t="str">
        <f aca="false">IF(AND(ISNUMBER(H730),ISNUMBER(H$739)),IF(H730&gt;H$739,"Above",IF(H730&lt;H$739,"Below","At")),"-")</f>
        <v>Above</v>
      </c>
      <c r="K730" s="34" t="str">
        <f aca="false">IF(J730="Below","Better",IF(J730="Above","Weaker","-"))</f>
        <v>Weaker</v>
      </c>
      <c r="L730" s="34" t="n">
        <f aca="false">IF(ISNUMBER(H730),RANK(H730,H$727:H$736,1),"-")</f>
        <v>6</v>
      </c>
      <c r="N730" s="34" t="str">
        <f aca="false">IF(AND(ISNUMBER(I730),ISNUMBER(I$739)),IF(I730&gt;I$739,"Above",IF(I730&lt;I$739,"Below","At")),"-")</f>
        <v>Below</v>
      </c>
      <c r="O730" s="34" t="str">
        <f aca="false">IF(N730="Below","Better",IF(N730="Above","Weaker","-"))</f>
        <v>Better</v>
      </c>
    </row>
    <row r="731" customFormat="false" ht="15" hidden="false" customHeight="false" outlineLevel="0" collapsed="false">
      <c r="A731" s="18" t="s">
        <v>113</v>
      </c>
      <c r="B731" s="23" t="n">
        <f aca="false">JetFreight!D129</f>
        <v>0.0389619053972914</v>
      </c>
      <c r="C731" s="23" t="n">
        <f aca="false">JetFreight!E129</f>
        <v>0.025462095216125</v>
      </c>
      <c r="D731" s="23" t="n">
        <f aca="false">JetFreight!F129</f>
        <v>0.0269944828794115</v>
      </c>
      <c r="E731" s="23" t="n">
        <f aca="false">JetFreight!G129</f>
        <v>0.0410377018886942</v>
      </c>
      <c r="F731" s="23" t="n">
        <f aca="false">JetFreight!H129</f>
        <v>0.0578951440286768</v>
      </c>
      <c r="G731" s="23" t="n">
        <f aca="false">JetFreight!I129</f>
        <v>0.0459656917756453</v>
      </c>
      <c r="H731" s="23" t="n">
        <f aca="false">JetFreight!J129</f>
        <v>0.0464330751215997</v>
      </c>
      <c r="I731" s="24" t="n">
        <f aca="false">JetFreight!K129</f>
        <v>0.0403928709010634</v>
      </c>
      <c r="J731" s="34" t="str">
        <f aca="false">IF(AND(ISNUMBER(H731),ISNUMBER(H$739)),IF(H731&gt;H$739,"Above",IF(H731&lt;H$739,"Below","At")),"-")</f>
        <v>Below</v>
      </c>
      <c r="K731" s="34" t="str">
        <f aca="false">IF(J731="Below","Better",IF(J731="Above","Weaker","-"))</f>
        <v>Better</v>
      </c>
      <c r="L731" s="34" t="n">
        <f aca="false">IF(ISNUMBER(H731),RANK(H731,H$727:H$736,1),"-")</f>
        <v>3</v>
      </c>
      <c r="N731" s="34" t="str">
        <f aca="false">IF(AND(ISNUMBER(I731),ISNUMBER(I$739)),IF(I731&gt;I$739,"Above",IF(I731&lt;I$739,"Below","At")),"-")</f>
        <v>Below</v>
      </c>
      <c r="O731" s="34" t="str">
        <f aca="false">IF(N731="Below","Better",IF(N731="Above","Weaker","-"))</f>
        <v>Better</v>
      </c>
    </row>
    <row r="732" customFormat="false" ht="15" hidden="false" customHeight="false" outlineLevel="0" collapsed="false">
      <c r="A732" s="18" t="s">
        <v>114</v>
      </c>
      <c r="B732" s="23" t="n">
        <f aca="false">Patel!D129</f>
        <v>0.054488932385366</v>
      </c>
      <c r="C732" s="23" t="n">
        <f aca="false">Patel!E129</f>
        <v>0.0538515901060071</v>
      </c>
      <c r="D732" s="23" t="n">
        <f aca="false">Patel!F129</f>
        <v>0.0466029361556845</v>
      </c>
      <c r="E732" s="23" t="n">
        <f aca="false">Patel!G129</f>
        <v>0.0444516314503378</v>
      </c>
      <c r="F732" s="23" t="n">
        <f aca="false">Patel!H129</f>
        <v>0.0431595250387197</v>
      </c>
      <c r="G732" s="23" t="n">
        <f aca="false">Patel!I129</f>
        <v>0.0401529078759228</v>
      </c>
      <c r="H732" s="23" t="n">
        <f aca="false">Patel!J129</f>
        <v>0.0432603460827687</v>
      </c>
      <c r="I732" s="24" t="n">
        <f aca="false">Patel!K129</f>
        <v>0.0465668384421152</v>
      </c>
      <c r="J732" s="34" t="str">
        <f aca="false">IF(AND(ISNUMBER(H732),ISNUMBER(H$739)),IF(H732&gt;H$739,"Above",IF(H732&lt;H$739,"Below","At")),"-")</f>
        <v>Below</v>
      </c>
      <c r="K732" s="34" t="str">
        <f aca="false">IF(J732="Below","Better",IF(J732="Above","Weaker","-"))</f>
        <v>Better</v>
      </c>
      <c r="L732" s="34" t="n">
        <f aca="false">IF(ISNUMBER(H732),RANK(H732,H$727:H$736,1),"-")</f>
        <v>2</v>
      </c>
      <c r="N732" s="34" t="str">
        <f aca="false">IF(AND(ISNUMBER(I732),ISNUMBER(I$739)),IF(I732&gt;I$739,"Above",IF(I732&lt;I$739,"Below","At")),"-")</f>
        <v>Below</v>
      </c>
      <c r="O732" s="34" t="str">
        <f aca="false">IF(N732="Below","Better",IF(N732="Above","Weaker","-"))</f>
        <v>Better</v>
      </c>
    </row>
    <row r="733" customFormat="false" ht="15" hidden="false" customHeight="false" outlineLevel="0" collapsed="false">
      <c r="A733" s="18" t="s">
        <v>115</v>
      </c>
      <c r="B733" s="23" t="n">
        <f aca="false">Sical!D129</f>
        <v>0.132655293088364</v>
      </c>
      <c r="C733" s="23" t="n">
        <f aca="false">Sical!E129</f>
        <v>0.10734070647102</v>
      </c>
      <c r="D733" s="23" t="n">
        <f aca="false">Sical!F129</f>
        <v>0.0828675437842176</v>
      </c>
      <c r="E733" s="23" t="n">
        <f aca="false">Sical!G129</f>
        <v>0.0608757746550713</v>
      </c>
      <c r="F733" s="23" t="n">
        <f aca="false">Sical!H129</f>
        <v>0.111628748473472</v>
      </c>
      <c r="G733" s="23" t="n">
        <f aca="false">Sical!I129</f>
        <v>0.100126228473537</v>
      </c>
      <c r="H733" s="23" t="n">
        <f aca="false">Sical!J129</f>
        <v>0.0693320887782618</v>
      </c>
      <c r="I733" s="24" t="n">
        <f aca="false">Sical!K129</f>
        <v>0.0949751976748492</v>
      </c>
      <c r="J733" s="34" t="str">
        <f aca="false">IF(AND(ISNUMBER(H733),ISNUMBER(H$739)),IF(H733&gt;H$739,"Above",IF(H733&lt;H$739,"Below","At")),"-")</f>
        <v>Above</v>
      </c>
      <c r="K733" s="34" t="str">
        <f aca="false">IF(J733="Below","Better",IF(J733="Above","Weaker","-"))</f>
        <v>Weaker</v>
      </c>
      <c r="L733" s="34" t="n">
        <f aca="false">IF(ISNUMBER(H733),RANK(H733,H$727:H$736,1),"-")</f>
        <v>8</v>
      </c>
      <c r="N733" s="34" t="str">
        <f aca="false">IF(AND(ISNUMBER(I733),ISNUMBER(I$739)),IF(I733&gt;I$739,"Above",IF(I733&lt;I$739,"Below","At")),"-")</f>
        <v>Above</v>
      </c>
      <c r="O733" s="34" t="str">
        <f aca="false">IF(N733="Below","Better",IF(N733="Above","Weaker","-"))</f>
        <v>Weaker</v>
      </c>
    </row>
    <row r="734" customFormat="false" ht="15" hidden="false" customHeight="false" outlineLevel="0" collapsed="false">
      <c r="A734" s="18" t="s">
        <v>86</v>
      </c>
      <c r="B734" s="23" t="n">
        <f aca="false">TCI!D129</f>
        <v>0.05808288935331</v>
      </c>
      <c r="C734" s="23" t="n">
        <f aca="false">TCI!E129</f>
        <v>0.0522054389289143</v>
      </c>
      <c r="D734" s="23" t="n">
        <f aca="false">TCI!F129</f>
        <v>0.0524547304077255</v>
      </c>
      <c r="E734" s="23" t="n">
        <f aca="false">TCI!G129</f>
        <v>0.0522211089285856</v>
      </c>
      <c r="F734" s="23" t="n">
        <f aca="false">TCI!H129</f>
        <v>0.0557767142282059</v>
      </c>
      <c r="G734" s="23" t="n">
        <f aca="false">TCI!I129</f>
        <v>0.0558531361731875</v>
      </c>
      <c r="H734" s="23" t="n">
        <f aca="false">TCI!J129</f>
        <v>0.0563886453911816</v>
      </c>
      <c r="I734" s="24" t="n">
        <f aca="false">TCI!K129</f>
        <v>0.0547118090587301</v>
      </c>
      <c r="J734" s="34" t="str">
        <f aca="false">IF(AND(ISNUMBER(H734),ISNUMBER(H$739)),IF(H734&gt;H$739,"Above",IF(H734&lt;H$739,"Below","At")),"-")</f>
        <v>Below</v>
      </c>
      <c r="K734" s="34" t="str">
        <f aca="false">IF(J734="Below","Better",IF(J734="Above","Weaker","-"))</f>
        <v>Better</v>
      </c>
      <c r="L734" s="34" t="n">
        <f aca="false">IF(ISNUMBER(H734),RANK(H734,H$727:H$736,1),"-")</f>
        <v>5</v>
      </c>
      <c r="N734" s="34" t="str">
        <f aca="false">IF(AND(ISNUMBER(I734),ISNUMBER(I$739)),IF(I734&gt;I$739,"Above",IF(I734&lt;I$739,"Below","At")),"-")</f>
        <v>Below</v>
      </c>
      <c r="O734" s="34" t="str">
        <f aca="false">IF(N734="Below","Better",IF(N734="Above","Weaker","-"))</f>
        <v>Better</v>
      </c>
    </row>
    <row r="735" customFormat="false" ht="15" hidden="false" customHeight="false" outlineLevel="0" collapsed="false">
      <c r="A735" s="18" t="s">
        <v>116</v>
      </c>
      <c r="B735" s="23" t="n">
        <f aca="false">Shreeji!D129</f>
        <v>0.096</v>
      </c>
      <c r="C735" s="23" t="n">
        <f aca="false">Shreeji!E129</f>
        <v>0.0767809295019865</v>
      </c>
      <c r="D735" s="23" t="n">
        <f aca="false">Shreeji!F129</f>
        <v>0.0496518871381458</v>
      </c>
      <c r="E735" s="23" t="n">
        <f aca="false">Shreeji!G129</f>
        <v>0.0487019952799828</v>
      </c>
      <c r="F735" s="23" t="n">
        <f aca="false">Shreeji!H129</f>
        <v>0.0358083832335329</v>
      </c>
      <c r="G735" s="23" t="n">
        <f aca="false">Shreeji!I129</f>
        <v>0.0574984103914979</v>
      </c>
      <c r="H735" s="23" t="n">
        <f aca="false">Shreeji!J129</f>
        <v>0.051133210977848</v>
      </c>
      <c r="I735" s="24" t="n">
        <f aca="false">Shreeji!K129</f>
        <v>0.0593678309318563</v>
      </c>
      <c r="J735" s="34" t="str">
        <f aca="false">IF(AND(ISNUMBER(H735),ISNUMBER(H$739)),IF(H735&gt;H$739,"Above",IF(H735&lt;H$739,"Below","At")),"-")</f>
        <v>Below</v>
      </c>
      <c r="K735" s="34" t="str">
        <f aca="false">IF(J735="Below","Better",IF(J735="Above","Weaker","-"))</f>
        <v>Better</v>
      </c>
      <c r="L735" s="34" t="n">
        <f aca="false">IF(ISNUMBER(H735),RANK(H735,H$727:H$736,1),"-")</f>
        <v>4</v>
      </c>
      <c r="N735" s="34" t="str">
        <f aca="false">IF(AND(ISNUMBER(I735),ISNUMBER(I$739)),IF(I735&gt;I$739,"Above",IF(I735&lt;I$739,"Below","At")),"-")</f>
        <v>Above</v>
      </c>
      <c r="O735" s="34" t="str">
        <f aca="false">IF(N735="Below","Better",IF(N735="Above","Weaker","-"))</f>
        <v>Weaker</v>
      </c>
    </row>
    <row r="736" customFormat="false" ht="15" hidden="false" customHeight="false" outlineLevel="0" collapsed="false">
      <c r="A736" s="18" t="s">
        <v>117</v>
      </c>
      <c r="B736" s="23" t="n">
        <f aca="false">MahindraLog!D129</f>
        <v>0.0883456155614582</v>
      </c>
      <c r="C736" s="23" t="n">
        <f aca="false">MahindraLog!E129</f>
        <v>0.0908349981003272</v>
      </c>
      <c r="D736" s="23" t="n">
        <f aca="false">MahindraLog!F129</f>
        <v>0.0760005409634946</v>
      </c>
      <c r="E736" s="23" t="n">
        <f aca="false">MahindraLog!G129</f>
        <v>0.0691380557651771</v>
      </c>
      <c r="F736" s="23" t="n">
        <f aca="false">MahindraLog!H129</f>
        <v>0.0735020350637581</v>
      </c>
      <c r="G736" s="23" t="n">
        <f aca="false">MahindraLog!I129</f>
        <v>0.0661115870548402</v>
      </c>
      <c r="H736" s="23" t="n">
        <f aca="false">MahindraLog!J129</f>
        <v>0.0610632491820611</v>
      </c>
      <c r="I736" s="24" t="n">
        <f aca="false">MahindraLog!K129</f>
        <v>0.0749994402415881</v>
      </c>
      <c r="J736" s="34" t="str">
        <f aca="false">IF(AND(ISNUMBER(H736),ISNUMBER(H$739)),IF(H736&gt;H$739,"Above",IF(H736&lt;H$739,"Below","At")),"-")</f>
        <v>Above</v>
      </c>
      <c r="K736" s="34" t="str">
        <f aca="false">IF(J736="Below","Better",IF(J736="Above","Weaker","-"))</f>
        <v>Weaker</v>
      </c>
      <c r="L736" s="34" t="n">
        <f aca="false">IF(ISNUMBER(H736),RANK(H736,H$727:H$736,1),"-")</f>
        <v>7</v>
      </c>
      <c r="N736" s="34" t="str">
        <f aca="false">IF(AND(ISNUMBER(I736),ISNUMBER(I$739)),IF(I736&gt;I$739,"Above",IF(I736&lt;I$739,"Below","At")),"-")</f>
        <v>Above</v>
      </c>
      <c r="O736" s="34" t="str">
        <f aca="false">IF(N736="Below","Better",IF(N736="Above","Weaker","-"))</f>
        <v>Weaker</v>
      </c>
    </row>
    <row r="737" customFormat="false" ht="15" hidden="false" customHeight="false" outlineLevel="0" collapsed="false">
      <c r="A737" s="12" t="s">
        <v>176</v>
      </c>
      <c r="B737" s="24" t="n">
        <f aca="false">Industry!D129</f>
        <v>0.111620845259439</v>
      </c>
      <c r="C737" s="24" t="n">
        <f aca="false">Industry!E129</f>
        <v>0.108993384432506</v>
      </c>
      <c r="D737" s="24" t="n">
        <f aca="false">Industry!F129</f>
        <v>0.0832212752192724</v>
      </c>
      <c r="E737" s="24" t="n">
        <f aca="false">Industry!G129</f>
        <v>0.090554260620845</v>
      </c>
      <c r="F737" s="24" t="n">
        <f aca="false">Industry!H129</f>
        <v>0.106531232742807</v>
      </c>
      <c r="G737" s="24" t="n">
        <f aca="false">Industry!I129</f>
        <v>0.08378096730428</v>
      </c>
      <c r="H737" s="24" t="n">
        <f aca="false">Industry!J129</f>
        <v>0.0827281579764992</v>
      </c>
      <c r="I737" s="24" t="n">
        <f aca="false">Industry!K129</f>
        <v>0.0953471605079499</v>
      </c>
    </row>
    <row r="738" customFormat="false" ht="15" hidden="false" customHeight="false" outlineLevel="0" collapsed="false">
      <c r="A738" s="35" t="s">
        <v>177</v>
      </c>
      <c r="B738" s="39" t="n">
        <f aca="false">IFERROR(AVERAGE(B727:B736),"N/M")</f>
        <v>0.0968249930216164</v>
      </c>
      <c r="C738" s="39" t="n">
        <f aca="false">IFERROR(AVERAGE(C727:C736),"N/M")</f>
        <v>0.0878570904556568</v>
      </c>
      <c r="D738" s="39" t="n">
        <f aca="false">IFERROR(AVERAGE(D727:D736),"N/M")</f>
        <v>0.0664600500071471</v>
      </c>
      <c r="E738" s="39" t="n">
        <f aca="false">IFERROR(AVERAGE(E727:E736),"N/M")</f>
        <v>0.0664563394455167</v>
      </c>
      <c r="F738" s="39" t="n">
        <f aca="false">IFERROR(AVERAGE(F727:F736),"N/M")</f>
        <v>0.0811316693079864</v>
      </c>
      <c r="G738" s="39" t="n">
        <f aca="false">IFERROR(AVERAGE(G727:G736),"N/M")</f>
        <v>0.0736216876800238</v>
      </c>
      <c r="H738" s="39" t="n">
        <f aca="false">IFERROR(AVERAGE(H727:H736),"N/M")</f>
        <v>0.0697643842947112</v>
      </c>
      <c r="I738" s="39" t="n">
        <f aca="false">IFERROR(AVERAGE(I727:I736),"N/M")</f>
        <v>0.0774451734589512</v>
      </c>
    </row>
    <row r="739" customFormat="false" ht="15" hidden="false" customHeight="false" outlineLevel="0" collapsed="false">
      <c r="A739" s="35" t="s">
        <v>178</v>
      </c>
      <c r="B739" s="39" t="n">
        <f aca="false">IFERROR(MEDIAN(B727:B736),"N/M")</f>
        <v>0.0783707645274453</v>
      </c>
      <c r="C739" s="39" t="n">
        <f aca="false">IFERROR(MEDIAN(C727:C736),"N/M")</f>
        <v>0.0717539828649735</v>
      </c>
      <c r="D739" s="39" t="n">
        <f aca="false">IFERROR(MEDIAN(D727:D736),"N/M")</f>
        <v>0.0536247776305393</v>
      </c>
      <c r="E739" s="39" t="n">
        <f aca="false">IFERROR(MEDIAN(E727:E736),"N/M")</f>
        <v>0.0524971175212683</v>
      </c>
      <c r="F739" s="39" t="n">
        <f aca="false">IFERROR(MEDIAN(F727:F736),"N/M")</f>
        <v>0.057728892250749</v>
      </c>
      <c r="G739" s="39" t="n">
        <f aca="false">IFERROR(MEDIAN(G727:G736),"N/M")</f>
        <v>0.0566757732823427</v>
      </c>
      <c r="H739" s="39" t="n">
        <f aca="false">IFERROR(MEDIAN(H727:H736),"N/M")</f>
        <v>0.0568275266823867</v>
      </c>
      <c r="I739" s="39" t="n">
        <f aca="false">IFERROR(MEDIAN(I727:I736),"N/M")</f>
        <v>0.057454645551563</v>
      </c>
    </row>
    <row r="740" customFormat="false" ht="15" hidden="false" customHeight="false" outlineLevel="0" collapsed="false">
      <c r="A740" s="35" t="s">
        <v>179</v>
      </c>
      <c r="B740" s="39" t="n">
        <f aca="false">IFERROR(STDEV(B727:B736),"N/M")</f>
        <v>0.0597871823243325</v>
      </c>
      <c r="C740" s="39" t="n">
        <f aca="false">IFERROR(STDEV(C727:C736),"N/M")</f>
        <v>0.0553364377590196</v>
      </c>
      <c r="D740" s="39" t="n">
        <f aca="false">IFERROR(STDEV(D727:D736),"N/M")</f>
        <v>0.0437748520222614</v>
      </c>
      <c r="E740" s="39" t="n">
        <f aca="false">IFERROR(STDEV(E727:E736),"N/M")</f>
        <v>0.0396174961070283</v>
      </c>
      <c r="F740" s="39" t="n">
        <f aca="false">IFERROR(STDEV(F727:F736),"N/M")</f>
        <v>0.0472156164971115</v>
      </c>
      <c r="G740" s="39" t="n">
        <f aca="false">IFERROR(STDEV(G727:G736),"N/M")</f>
        <v>0.0423732478072181</v>
      </c>
      <c r="H740" s="39" t="n">
        <f aca="false">IFERROR(STDEV(H727:H736),"N/M")</f>
        <v>0.0397783689881494</v>
      </c>
      <c r="I740" s="39" t="n">
        <f aca="false">IFERROR(STDEV(I727:I736),"N/M")</f>
        <v>0.0455801603726844</v>
      </c>
    </row>
    <row r="741" customFormat="false" ht="15" hidden="false" customHeight="false" outlineLevel="0" collapsed="false">
      <c r="A741" s="35" t="s">
        <v>102</v>
      </c>
      <c r="B741" s="39" t="n">
        <f aca="false">IFERROR(MIN(B727:B736),"N/M")</f>
        <v>0.0389619053972914</v>
      </c>
      <c r="C741" s="39" t="n">
        <f aca="false">IFERROR(MIN(C727:C736),"N/M")</f>
        <v>0.025462095216125</v>
      </c>
      <c r="D741" s="39" t="n">
        <f aca="false">IFERROR(MIN(D727:D736),"N/M")</f>
        <v>0.0167287151891532</v>
      </c>
      <c r="E741" s="39" t="n">
        <f aca="false">IFERROR(MIN(E727:E736),"N/M")</f>
        <v>0.0273912541825314</v>
      </c>
      <c r="F741" s="39" t="n">
        <f aca="false">IFERROR(MIN(F727:F736),"N/M")</f>
        <v>0.0358083832335329</v>
      </c>
      <c r="G741" s="39" t="n">
        <f aca="false">IFERROR(MIN(G727:G736),"N/M")</f>
        <v>0.0317167309951334</v>
      </c>
      <c r="H741" s="39" t="n">
        <f aca="false">IFERROR(MIN(H727:H736),"N/M")</f>
        <v>0.0383191927656157</v>
      </c>
      <c r="I741" s="39" t="n">
        <f aca="false">IFERROR(MIN(I727:I736),"N/M")</f>
        <v>0.0403928709010634</v>
      </c>
    </row>
    <row r="742" customFormat="false" ht="15" hidden="false" customHeight="false" outlineLevel="0" collapsed="false">
      <c r="A742" s="35" t="s">
        <v>103</v>
      </c>
      <c r="B742" s="39" t="n">
        <f aca="false">IFERROR(MAX(B727:B736),"N/M")</f>
        <v>0.231133843338698</v>
      </c>
      <c r="C742" s="39" t="n">
        <f aca="false">IFERROR(MAX(C727:C736),"N/M")</f>
        <v>0.221952903321949</v>
      </c>
      <c r="D742" s="39" t="n">
        <f aca="false">IFERROR(MAX(D727:D736),"N/M")</f>
        <v>0.173751669315654</v>
      </c>
      <c r="E742" s="39" t="n">
        <f aca="false">IFERROR(MAX(E727:E736),"N/M")</f>
        <v>0.162319081554922</v>
      </c>
      <c r="F742" s="39" t="n">
        <f aca="false">IFERROR(MAX(F727:F736),"N/M")</f>
        <v>0.17251695669754</v>
      </c>
      <c r="G742" s="39" t="n">
        <f aca="false">IFERROR(MAX(G727:G736),"N/M")</f>
        <v>0.169491169858291</v>
      </c>
      <c r="H742" s="39" t="n">
        <f aca="false">IFERROR(MAX(H727:H736),"N/M")</f>
        <v>0.169977267101783</v>
      </c>
      <c r="I742" s="39" t="n">
        <f aca="false">IFERROR(MAX(I727:I736),"N/M")</f>
        <v>0.18587755588412</v>
      </c>
    </row>
    <row r="744" customFormat="false" ht="15" hidden="false" customHeight="false" outlineLevel="0" collapsed="false">
      <c r="A744" s="16" t="s">
        <v>221</v>
      </c>
      <c r="B744" s="17"/>
      <c r="C744" s="17"/>
      <c r="D744" s="17"/>
      <c r="E744" s="17"/>
      <c r="F744" s="17"/>
      <c r="G744" s="17"/>
      <c r="H744" s="17"/>
      <c r="I744" s="17"/>
      <c r="J744" s="17"/>
      <c r="K744" s="17"/>
      <c r="L744" s="17"/>
      <c r="M744" s="17"/>
    </row>
    <row r="745" customFormat="false" ht="15" hidden="false" customHeight="false" outlineLevel="0" collapsed="false">
      <c r="A745" s="18" t="s">
        <v>110</v>
      </c>
      <c r="B745" s="23" t="n">
        <f aca="false">Tiger!D130</f>
        <v>0.0142297996550352</v>
      </c>
      <c r="C745" s="23" t="n">
        <f aca="false">Tiger!E130</f>
        <v>0.0249597903139334</v>
      </c>
      <c r="D745" s="23" t="n">
        <f aca="false">Tiger!F130</f>
        <v>0.00448700232478744</v>
      </c>
      <c r="E745" s="23" t="n">
        <f aca="false">Tiger!G130</f>
        <v>0.0176762432214146</v>
      </c>
      <c r="F745" s="23" t="n">
        <f aca="false">Tiger!H130</f>
        <v>0.0171064679930076</v>
      </c>
      <c r="G745" s="23" t="n">
        <f aca="false">Tiger!I130</f>
        <v>0.0112621431634689</v>
      </c>
      <c r="H745" s="23" t="n">
        <f aca="false">Tiger!J130</f>
        <v>0.0123599036346496</v>
      </c>
      <c r="I745" s="24" t="n">
        <f aca="false">Tiger!K130</f>
        <v>0.0145830500437567</v>
      </c>
      <c r="J745" s="34" t="str">
        <f aca="false">IF(AND(ISNUMBER(H745),ISNUMBER(H$757)),IF(H745&gt;H$757,"Above",IF(H745&lt;H$757,"Below","At")),"-")</f>
        <v>Below</v>
      </c>
      <c r="K745" s="34" t="str">
        <f aca="false">IF(J745="Below","Better",IF(J745="Above","Weaker","-"))</f>
        <v>Better</v>
      </c>
      <c r="L745" s="34" t="n">
        <f aca="false">IF(ISNUMBER(H745),RANK(H745,H$745:H$754,1),"-")</f>
        <v>1</v>
      </c>
      <c r="N745" s="34" t="str">
        <f aca="false">IF(AND(ISNUMBER(I745),ISNUMBER(I$757)),IF(I745&gt;I$757,"Above",IF(I745&lt;I$757,"Below","At")),"-")</f>
        <v>Below</v>
      </c>
      <c r="O745" s="34" t="str">
        <f aca="false">IF(N745="Below","Better",IF(N745="Above","Weaker","-"))</f>
        <v>Better</v>
      </c>
    </row>
    <row r="746" customFormat="false" ht="15" hidden="false" customHeight="false" outlineLevel="0" collapsed="false">
      <c r="A746" s="18" t="s">
        <v>111</v>
      </c>
      <c r="B746" s="23" t="n">
        <f aca="false">Allcargo!D130</f>
        <v>0.0384768262403624</v>
      </c>
      <c r="C746" s="23" t="n">
        <f aca="false">Allcargo!E130</f>
        <v>0.0330459797487164</v>
      </c>
      <c r="D746" s="23" t="n">
        <f aca="false">Allcargo!F130</f>
        <v>0.0230295151730715</v>
      </c>
      <c r="E746" s="23" t="n">
        <f aca="false">Allcargo!G130</f>
        <v>0.0292153741917935</v>
      </c>
      <c r="F746" s="23" t="n">
        <f aca="false">Allcargo!H130</f>
        <v>0.0386168831369114</v>
      </c>
      <c r="G746" s="23" t="n">
        <f aca="false">Allcargo!I130</f>
        <v>0.0494645588985212</v>
      </c>
      <c r="H746" s="23" t="n">
        <f aca="false">Allcargo!J130</f>
        <v>0.0427599611273081</v>
      </c>
      <c r="I746" s="24" t="n">
        <f aca="false">Allcargo!K130</f>
        <v>0.0363727283595264</v>
      </c>
      <c r="J746" s="34" t="str">
        <f aca="false">IF(AND(ISNUMBER(H746),ISNUMBER(H$757)),IF(H746&gt;H$757,"Above",IF(H746&lt;H$757,"Below","At")),"-")</f>
        <v>Above</v>
      </c>
      <c r="K746" s="34" t="str">
        <f aca="false">IF(J746="Below","Better",IF(J746="Above","Weaker","-"))</f>
        <v>Weaker</v>
      </c>
      <c r="L746" s="34" t="n">
        <f aca="false">IF(ISNUMBER(H746),RANK(H746,H$745:H$754,1),"-")</f>
        <v>6</v>
      </c>
      <c r="N746" s="34" t="str">
        <f aca="false">IF(AND(ISNUMBER(I746),ISNUMBER(I$757)),IF(I746&gt;I$757,"Above",IF(I746&lt;I$757,"Below","At")),"-")</f>
        <v>Above</v>
      </c>
      <c r="O746" s="34" t="str">
        <f aca="false">IF(N746="Below","Better",IF(N746="Above","Weaker","-"))</f>
        <v>Weaker</v>
      </c>
    </row>
    <row r="747" customFormat="false" ht="15" hidden="false" customHeight="false" outlineLevel="0" collapsed="false">
      <c r="A747" s="18" t="s">
        <v>112</v>
      </c>
      <c r="B747" s="23" t="n">
        <f aca="false">BlueDart!D130</f>
        <v>0.0652319747537896</v>
      </c>
      <c r="C747" s="23" t="n">
        <f aca="false">BlueDart!E130</f>
        <v>0.0599915453464431</v>
      </c>
      <c r="D747" s="23" t="n">
        <f aca="false">BlueDart!F130</f>
        <v>0.0563928271008437</v>
      </c>
      <c r="E747" s="23" t="n">
        <f aca="false">BlueDart!G130</f>
        <v>0.0440178492020834</v>
      </c>
      <c r="F747" s="23" t="n">
        <f aca="false">BlueDart!H130</f>
        <v>0.0529402049800392</v>
      </c>
      <c r="G747" s="23" t="n">
        <f aca="false">BlueDart!I130</f>
        <v>0.0554475558461447</v>
      </c>
      <c r="H747" s="23" t="n">
        <f aca="false">BlueDart!J130</f>
        <v>0.0581919855134769</v>
      </c>
      <c r="I747" s="24" t="n">
        <f aca="false">BlueDart!K130</f>
        <v>0.0560305632489744</v>
      </c>
      <c r="J747" s="34" t="str">
        <f aca="false">IF(AND(ISNUMBER(H747),ISNUMBER(H$757)),IF(H747&gt;H$757,"Above",IF(H747&lt;H$757,"Below","At")),"-")</f>
        <v>Above</v>
      </c>
      <c r="K747" s="34" t="str">
        <f aca="false">IF(J747="Below","Better",IF(J747="Above","Weaker","-"))</f>
        <v>Weaker</v>
      </c>
      <c r="L747" s="34" t="n">
        <f aca="false">IF(ISNUMBER(H747),RANK(H747,H$745:H$754,1),"-")</f>
        <v>9</v>
      </c>
      <c r="N747" s="34" t="str">
        <f aca="false">IF(AND(ISNUMBER(I747),ISNUMBER(I$757)),IF(I747&gt;I$757,"Above",IF(I747&lt;I$757,"Below","At")),"-")</f>
        <v>Above</v>
      </c>
      <c r="O747" s="34" t="str">
        <f aca="false">IF(N747="Below","Better",IF(N747="Above","Weaker","-"))</f>
        <v>Weaker</v>
      </c>
    </row>
    <row r="748" customFormat="false" ht="15" hidden="false" customHeight="false" outlineLevel="0" collapsed="false">
      <c r="A748" s="18" t="s">
        <v>67</v>
      </c>
      <c r="B748" s="23" t="n">
        <f aca="false">CONCOR!D130</f>
        <v>0.0416108369179222</v>
      </c>
      <c r="C748" s="23" t="n">
        <f aca="false">CONCOR!E130</f>
        <v>0.137325192778058</v>
      </c>
      <c r="D748" s="23" t="n">
        <f aca="false">CONCOR!F130</f>
        <v>0.0908133437348502</v>
      </c>
      <c r="E748" s="23" t="n">
        <f aca="false">CONCOR!G130</f>
        <v>0.080209373837084</v>
      </c>
      <c r="F748" s="23" t="n">
        <f aca="false">CONCOR!H130</f>
        <v>0.0747497229415918</v>
      </c>
      <c r="G748" s="23" t="n">
        <f aca="false">CONCOR!I130</f>
        <v>0.0718159743085984</v>
      </c>
      <c r="H748" s="23" t="n">
        <f aca="false">CONCOR!J130</f>
        <v>0.0797315113939136</v>
      </c>
      <c r="I748" s="24" t="n">
        <f aca="false">CONCOR!K130</f>
        <v>0.0823222794160026</v>
      </c>
      <c r="J748" s="34" t="str">
        <f aca="false">IF(AND(ISNUMBER(H748),ISNUMBER(H$757)),IF(H748&gt;H$757,"Above",IF(H748&lt;H$757,"Below","At")),"-")</f>
        <v>Above</v>
      </c>
      <c r="K748" s="34" t="str">
        <f aca="false">IF(J748="Below","Better",IF(J748="Above","Weaker","-"))</f>
        <v>Weaker</v>
      </c>
      <c r="L748" s="34" t="n">
        <f aca="false">IF(ISNUMBER(H748),RANK(H748,H$745:H$754,1),"-")</f>
        <v>10</v>
      </c>
      <c r="N748" s="34" t="str">
        <f aca="false">IF(AND(ISNUMBER(I748),ISNUMBER(I$757)),IF(I748&gt;I$757,"Above",IF(I748&lt;I$757,"Below","At")),"-")</f>
        <v>Above</v>
      </c>
      <c r="O748" s="34" t="str">
        <f aca="false">IF(N748="Below","Better",IF(N748="Above","Weaker","-"))</f>
        <v>Weaker</v>
      </c>
    </row>
    <row r="749" customFormat="false" ht="15" hidden="false" customHeight="false" outlineLevel="0" collapsed="false">
      <c r="A749" s="18" t="s">
        <v>113</v>
      </c>
      <c r="B749" s="23" t="n">
        <f aca="false">JetFreight!D130</f>
        <v>0.0156448061912069</v>
      </c>
      <c r="C749" s="23" t="n">
        <f aca="false">JetFreight!E130</f>
        <v>0.00657458404221575</v>
      </c>
      <c r="D749" s="23" t="n">
        <f aca="false">JetFreight!F130</f>
        <v>0.0122164813030913</v>
      </c>
      <c r="E749" s="23" t="n">
        <f aca="false">JetFreight!G130</f>
        <v>0.0125752957834361</v>
      </c>
      <c r="F749" s="23" t="n">
        <f aca="false">JetFreight!H130</f>
        <v>0.0123784717745055</v>
      </c>
      <c r="G749" s="23" t="n">
        <f aca="false">JetFreight!I130</f>
        <v>0.0100084739939995</v>
      </c>
      <c r="H749" s="23" t="n">
        <f aca="false">JetFreight!J130</f>
        <v>0.0124301927580616</v>
      </c>
      <c r="I749" s="24" t="n">
        <f aca="false">JetFreight!K130</f>
        <v>0.0116897579780738</v>
      </c>
      <c r="J749" s="34" t="str">
        <f aca="false">IF(AND(ISNUMBER(H749),ISNUMBER(H$757)),IF(H749&gt;H$757,"Above",IF(H749&lt;H$757,"Below","At")),"-")</f>
        <v>Below</v>
      </c>
      <c r="K749" s="34" t="str">
        <f aca="false">IF(J749="Below","Better",IF(J749="Above","Weaker","-"))</f>
        <v>Better</v>
      </c>
      <c r="L749" s="34" t="n">
        <f aca="false">IF(ISNUMBER(H749),RANK(H749,H$745:H$754,1),"-")</f>
        <v>2</v>
      </c>
      <c r="N749" s="34" t="str">
        <f aca="false">IF(AND(ISNUMBER(I749),ISNUMBER(I$757)),IF(I749&gt;I$757,"Above",IF(I749&lt;I$757,"Below","At")),"-")</f>
        <v>Below</v>
      </c>
      <c r="O749" s="34" t="str">
        <f aca="false">IF(N749="Below","Better",IF(N749="Above","Weaker","-"))</f>
        <v>Better</v>
      </c>
    </row>
    <row r="750" customFormat="false" ht="15" hidden="false" customHeight="false" outlineLevel="0" collapsed="false">
      <c r="A750" s="18" t="s">
        <v>114</v>
      </c>
      <c r="B750" s="23" t="n">
        <f aca="false">Patel!D130</f>
        <v>0.0215595406004433</v>
      </c>
      <c r="C750" s="23" t="n">
        <f aca="false">Patel!E130</f>
        <v>0.0194581861012956</v>
      </c>
      <c r="D750" s="23" t="n">
        <f aca="false">Patel!F130</f>
        <v>0.0167292591328098</v>
      </c>
      <c r="E750" s="23" t="n">
        <f aca="false">Patel!G130</f>
        <v>0.0168535288198936</v>
      </c>
      <c r="F750" s="23" t="n">
        <f aca="false">Patel!H130</f>
        <v>0.0188951987609706</v>
      </c>
      <c r="G750" s="23" t="n">
        <f aca="false">Patel!I130</f>
        <v>0.0151157022381744</v>
      </c>
      <c r="H750" s="23" t="n">
        <f aca="false">Patel!J130</f>
        <v>0.0158481267850143</v>
      </c>
      <c r="I750" s="24" t="n">
        <f aca="false">Patel!K130</f>
        <v>0.017779934634086</v>
      </c>
      <c r="J750" s="34" t="str">
        <f aca="false">IF(AND(ISNUMBER(H750),ISNUMBER(H$757)),IF(H750&gt;H$757,"Above",IF(H750&lt;H$757,"Below","At")),"-")</f>
        <v>Below</v>
      </c>
      <c r="K750" s="34" t="str">
        <f aca="false">IF(J750="Below","Better",IF(J750="Above","Weaker","-"))</f>
        <v>Better</v>
      </c>
      <c r="L750" s="34" t="n">
        <f aca="false">IF(ISNUMBER(H750),RANK(H750,H$745:H$754,1),"-")</f>
        <v>4</v>
      </c>
      <c r="N750" s="34" t="str">
        <f aca="false">IF(AND(ISNUMBER(I750),ISNUMBER(I$757)),IF(I750&gt;I$757,"Above",IF(I750&lt;I$757,"Below","At")),"-")</f>
        <v>Below</v>
      </c>
      <c r="O750" s="34" t="str">
        <f aca="false">IF(N750="Below","Better",IF(N750="Above","Weaker","-"))</f>
        <v>Better</v>
      </c>
    </row>
    <row r="751" customFormat="false" ht="15" hidden="false" customHeight="false" outlineLevel="0" collapsed="false">
      <c r="A751" s="18" t="s">
        <v>115</v>
      </c>
      <c r="B751" s="23" t="n">
        <f aca="false">Sical!D130</f>
        <v>0.0348962061560487</v>
      </c>
      <c r="C751" s="23" t="n">
        <f aca="false">Sical!E130</f>
        <v>0.0298830490637968</v>
      </c>
      <c r="D751" s="23" t="n">
        <f aca="false">Sical!F130</f>
        <v>0.0445151489093359</v>
      </c>
      <c r="E751" s="23" t="n">
        <f aca="false">Sical!G130</f>
        <v>0.0446558363724465</v>
      </c>
      <c r="F751" s="23" t="n">
        <f aca="false">Sical!H130</f>
        <v>0.0768917635352119</v>
      </c>
      <c r="G751" s="23" t="n">
        <f aca="false">Sical!I130</f>
        <v>0.07149941393923</v>
      </c>
      <c r="H751" s="23" t="n">
        <f aca="false">Sical!J130</f>
        <v>0.0471375233354076</v>
      </c>
      <c r="I751" s="24" t="n">
        <f aca="false">Sical!K130</f>
        <v>0.0499255630444968</v>
      </c>
      <c r="J751" s="34" t="str">
        <f aca="false">IF(AND(ISNUMBER(H751),ISNUMBER(H$757)),IF(H751&gt;H$757,"Above",IF(H751&lt;H$757,"Below","At")),"-")</f>
        <v>Above</v>
      </c>
      <c r="K751" s="34" t="str">
        <f aca="false">IF(J751="Below","Better",IF(J751="Above","Weaker","-"))</f>
        <v>Weaker</v>
      </c>
      <c r="L751" s="34" t="n">
        <f aca="false">IF(ISNUMBER(H751),RANK(H751,H$745:H$754,1),"-")</f>
        <v>7</v>
      </c>
      <c r="N751" s="34" t="str">
        <f aca="false">IF(AND(ISNUMBER(I751),ISNUMBER(I$757)),IF(I751&gt;I$757,"Above",IF(I751&lt;I$757,"Below","At")),"-")</f>
        <v>Above</v>
      </c>
      <c r="O751" s="34" t="str">
        <f aca="false">IF(N751="Below","Better",IF(N751="Above","Weaker","-"))</f>
        <v>Weaker</v>
      </c>
    </row>
    <row r="752" customFormat="false" ht="15" hidden="false" customHeight="false" outlineLevel="0" collapsed="false">
      <c r="A752" s="18" t="s">
        <v>86</v>
      </c>
      <c r="B752" s="23" t="n">
        <f aca="false">TCI!D130</f>
        <v>0.0246335325111118</v>
      </c>
      <c r="C752" s="23" t="n">
        <f aca="false">TCI!E130</f>
        <v>0.0201792041792898</v>
      </c>
      <c r="D752" s="23" t="n">
        <f aca="false">TCI!F130</f>
        <v>0.0180403276042482</v>
      </c>
      <c r="E752" s="23" t="n">
        <f aca="false">TCI!G130</f>
        <v>0.0197696275283736</v>
      </c>
      <c r="F752" s="23" t="n">
        <f aca="false">TCI!H130</f>
        <v>0.0231645072634472</v>
      </c>
      <c r="G752" s="23" t="n">
        <f aca="false">TCI!I130</f>
        <v>0.0226324530586983</v>
      </c>
      <c r="H752" s="23" t="n">
        <f aca="false">TCI!J130</f>
        <v>0.0235825552140938</v>
      </c>
      <c r="I752" s="24" t="n">
        <f aca="false">TCI!K130</f>
        <v>0.0217146010513232</v>
      </c>
      <c r="J752" s="34" t="str">
        <f aca="false">IF(AND(ISNUMBER(H752),ISNUMBER(H$757)),IF(H752&gt;H$757,"Above",IF(H752&lt;H$757,"Below","At")),"-")</f>
        <v>Below</v>
      </c>
      <c r="K752" s="34" t="str">
        <f aca="false">IF(J752="Below","Better",IF(J752="Above","Weaker","-"))</f>
        <v>Better</v>
      </c>
      <c r="L752" s="34" t="n">
        <f aca="false">IF(ISNUMBER(H752),RANK(H752,H$745:H$754,1),"-")</f>
        <v>5</v>
      </c>
      <c r="N752" s="34" t="str">
        <f aca="false">IF(AND(ISNUMBER(I752),ISNUMBER(I$757)),IF(I752&gt;I$757,"Above",IF(I752&lt;I$757,"Below","At")),"-")</f>
        <v>Below</v>
      </c>
      <c r="O752" s="34" t="str">
        <f aca="false">IF(N752="Below","Better",IF(N752="Above","Weaker","-"))</f>
        <v>Better</v>
      </c>
    </row>
    <row r="753" customFormat="false" ht="15" hidden="false" customHeight="false" outlineLevel="0" collapsed="false">
      <c r="A753" s="18" t="s">
        <v>116</v>
      </c>
      <c r="B753" s="23" t="n">
        <f aca="false">Shreeji!D130</f>
        <v>0.0575454545454545</v>
      </c>
      <c r="C753" s="23" t="n">
        <f aca="false">Shreeji!E130</f>
        <v>0.0560842649912224</v>
      </c>
      <c r="D753" s="23" t="n">
        <f aca="false">Shreeji!F130</f>
        <v>0.0845853181873702</v>
      </c>
      <c r="E753" s="23" t="n">
        <f aca="false">Shreeji!G130</f>
        <v>0.0548701995279983</v>
      </c>
      <c r="F753" s="23" t="n">
        <f aca="false">Shreeji!H130</f>
        <v>0.0562075848303393</v>
      </c>
      <c r="G753" s="23" t="n">
        <f aca="false">Shreeji!I130</f>
        <v>0.052229993641566</v>
      </c>
      <c r="H753" s="23" t="n">
        <f aca="false">Shreeji!J130</f>
        <v>0.0535660933031713</v>
      </c>
      <c r="I753" s="24" t="n">
        <f aca="false">Shreeji!K130</f>
        <v>0.0592984155753031</v>
      </c>
      <c r="J753" s="34" t="str">
        <f aca="false">IF(AND(ISNUMBER(H753),ISNUMBER(H$757)),IF(H753&gt;H$757,"Above",IF(H753&lt;H$757,"Below","At")),"-")</f>
        <v>Above</v>
      </c>
      <c r="K753" s="34" t="str">
        <f aca="false">IF(J753="Below","Better",IF(J753="Above","Weaker","-"))</f>
        <v>Weaker</v>
      </c>
      <c r="L753" s="34" t="n">
        <f aca="false">IF(ISNUMBER(H753),RANK(H753,H$745:H$754,1),"-")</f>
        <v>8</v>
      </c>
      <c r="N753" s="34" t="str">
        <f aca="false">IF(AND(ISNUMBER(I753),ISNUMBER(I$757)),IF(I753&gt;I$757,"Above",IF(I753&lt;I$757,"Below","At")),"-")</f>
        <v>Above</v>
      </c>
      <c r="O753" s="34" t="str">
        <f aca="false">IF(N753="Below","Better",IF(N753="Above","Weaker","-"))</f>
        <v>Weaker</v>
      </c>
    </row>
    <row r="754" customFormat="false" ht="15" hidden="false" customHeight="false" outlineLevel="0" collapsed="false">
      <c r="A754" s="18" t="s">
        <v>117</v>
      </c>
      <c r="B754" s="23" t="n">
        <f aca="false">MahindraLog!D130</f>
        <v>0.0117943960773694</v>
      </c>
      <c r="C754" s="23" t="n">
        <f aca="false">MahindraLog!E130</f>
        <v>0.00928388464696727</v>
      </c>
      <c r="D754" s="23" t="n">
        <f aca="false">MahindraLog!F130</f>
        <v>0.0109110404853215</v>
      </c>
      <c r="E754" s="23" t="n">
        <f aca="false">MahindraLog!G130</f>
        <v>0.0156738405979381</v>
      </c>
      <c r="F754" s="23" t="n">
        <f aca="false">MahindraLog!H130</f>
        <v>0.0200328007599024</v>
      </c>
      <c r="G754" s="23" t="n">
        <f aca="false">MahindraLog!I130</f>
        <v>0.0167768799458789</v>
      </c>
      <c r="H754" s="23" t="n">
        <f aca="false">MahindraLog!J130</f>
        <v>0.0144300144300144</v>
      </c>
      <c r="I754" s="24" t="n">
        <f aca="false">MahindraLog!K130</f>
        <v>0.0141289795633417</v>
      </c>
      <c r="J754" s="34" t="str">
        <f aca="false">IF(AND(ISNUMBER(H754),ISNUMBER(H$757)),IF(H754&gt;H$757,"Above",IF(H754&lt;H$757,"Below","At")),"-")</f>
        <v>Below</v>
      </c>
      <c r="K754" s="34" t="str">
        <f aca="false">IF(J754="Below","Better",IF(J754="Above","Weaker","-"))</f>
        <v>Better</v>
      </c>
      <c r="L754" s="34" t="n">
        <f aca="false">IF(ISNUMBER(H754),RANK(H754,H$745:H$754,1),"-")</f>
        <v>3</v>
      </c>
      <c r="N754" s="34" t="str">
        <f aca="false">IF(AND(ISNUMBER(I754),ISNUMBER(I$757)),IF(I754&gt;I$757,"Above",IF(I754&lt;I$757,"Below","At")),"-")</f>
        <v>Below</v>
      </c>
      <c r="O754" s="34" t="str">
        <f aca="false">IF(N754="Below","Better",IF(N754="Above","Weaker","-"))</f>
        <v>Better</v>
      </c>
    </row>
    <row r="755" customFormat="false" ht="15" hidden="false" customHeight="false" outlineLevel="0" collapsed="false">
      <c r="A755" s="12" t="s">
        <v>176</v>
      </c>
      <c r="B755" s="24" t="n">
        <f aca="false">Industry!D130</f>
        <v>0.0366447435757098</v>
      </c>
      <c r="C755" s="24" t="n">
        <f aca="false">Industry!E130</f>
        <v>0.0559540650563994</v>
      </c>
      <c r="D755" s="24" t="n">
        <f aca="false">Industry!F130</f>
        <v>0.0378817980029075</v>
      </c>
      <c r="E755" s="24" t="n">
        <f aca="false">Industry!G130</f>
        <v>0.0383424454842008</v>
      </c>
      <c r="F755" s="24" t="n">
        <f aca="false">Industry!H130</f>
        <v>0.0443140920256692</v>
      </c>
      <c r="G755" s="24" t="n">
        <f aca="false">Industry!I130</f>
        <v>0.0449280904377362</v>
      </c>
      <c r="H755" s="24" t="n">
        <f aca="false">Industry!J130</f>
        <v>0.0460168404892534</v>
      </c>
      <c r="I755" s="24" t="n">
        <f aca="false">Industry!K130</f>
        <v>0.0434402964388395</v>
      </c>
    </row>
    <row r="756" customFormat="false" ht="15" hidden="false" customHeight="false" outlineLevel="0" collapsed="false">
      <c r="A756" s="35" t="s">
        <v>177</v>
      </c>
      <c r="B756" s="39" t="n">
        <f aca="false">IFERROR(AVERAGE(B745:B754),"N/M")</f>
        <v>0.0325623373648744</v>
      </c>
      <c r="C756" s="39" t="n">
        <f aca="false">IFERROR(AVERAGE(C745:C754),"N/M")</f>
        <v>0.0396785681211939</v>
      </c>
      <c r="D756" s="39" t="n">
        <f aca="false">IFERROR(AVERAGE(D745:D754),"N/M")</f>
        <v>0.036172026395573</v>
      </c>
      <c r="E756" s="39" t="n">
        <f aca="false">IFERROR(AVERAGE(E745:E754),"N/M")</f>
        <v>0.0335517169082462</v>
      </c>
      <c r="F756" s="39" t="n">
        <f aca="false">IFERROR(AVERAGE(F745:F754),"N/M")</f>
        <v>0.0390983605975927</v>
      </c>
      <c r="G756" s="39" t="n">
        <f aca="false">IFERROR(AVERAGE(G745:G754),"N/M")</f>
        <v>0.037625314903428</v>
      </c>
      <c r="H756" s="39" t="n">
        <f aca="false">IFERROR(AVERAGE(H745:H754),"N/M")</f>
        <v>0.0360037867495111</v>
      </c>
      <c r="I756" s="39" t="n">
        <f aca="false">IFERROR(AVERAGE(I745:I754),"N/M")</f>
        <v>0.0363845872914885</v>
      </c>
    </row>
    <row r="757" customFormat="false" ht="15" hidden="false" customHeight="false" outlineLevel="0" collapsed="false">
      <c r="A757" s="35" t="s">
        <v>178</v>
      </c>
      <c r="B757" s="39" t="n">
        <f aca="false">IFERROR(MEDIAN(B745:B754),"N/M")</f>
        <v>0.0297648693335802</v>
      </c>
      <c r="C757" s="39" t="n">
        <f aca="false">IFERROR(MEDIAN(C745:C754),"N/M")</f>
        <v>0.0274214196888651</v>
      </c>
      <c r="D757" s="39" t="n">
        <f aca="false">IFERROR(MEDIAN(D745:D754),"N/M")</f>
        <v>0.0205349213886599</v>
      </c>
      <c r="E757" s="39" t="n">
        <f aca="false">IFERROR(MEDIAN(E745:E754),"N/M")</f>
        <v>0.0244925008600835</v>
      </c>
      <c r="F757" s="39" t="n">
        <f aca="false">IFERROR(MEDIAN(F745:F754),"N/M")</f>
        <v>0.0308906952001793</v>
      </c>
      <c r="G757" s="39" t="n">
        <f aca="false">IFERROR(MEDIAN(G745:G754),"N/M")</f>
        <v>0.0360485059786098</v>
      </c>
      <c r="H757" s="39" t="n">
        <f aca="false">IFERROR(MEDIAN(H745:H754),"N/M")</f>
        <v>0.0331712581707009</v>
      </c>
      <c r="I757" s="39" t="n">
        <f aca="false">IFERROR(MEDIAN(I745:I754),"N/M")</f>
        <v>0.0290436647054248</v>
      </c>
    </row>
    <row r="758" customFormat="false" ht="15" hidden="false" customHeight="false" outlineLevel="0" collapsed="false">
      <c r="A758" s="35" t="s">
        <v>179</v>
      </c>
      <c r="B758" s="39" t="n">
        <f aca="false">IFERROR(STDEV(B745:B754),"N/M")</f>
        <v>0.0184128110166095</v>
      </c>
      <c r="C758" s="39" t="n">
        <f aca="false">IFERROR(STDEV(C745:C754),"N/M")</f>
        <v>0.03856021650362</v>
      </c>
      <c r="D758" s="39" t="n">
        <f aca="false">IFERROR(STDEV(D745:D754),"N/M")</f>
        <v>0.0314526813173557</v>
      </c>
      <c r="E758" s="39" t="n">
        <f aca="false">IFERROR(STDEV(E745:E754),"N/M")</f>
        <v>0.0220189180180786</v>
      </c>
      <c r="F758" s="39" t="n">
        <f aca="false">IFERROR(STDEV(F745:F754),"N/M")</f>
        <v>0.0245109086239233</v>
      </c>
      <c r="G758" s="39" t="n">
        <f aca="false">IFERROR(STDEV(G745:G754),"N/M")</f>
        <v>0.0249697259418699</v>
      </c>
      <c r="H758" s="39" t="n">
        <f aca="false">IFERROR(STDEV(H745:H754),"N/M")</f>
        <v>0.0236248068234672</v>
      </c>
      <c r="I758" s="39" t="n">
        <f aca="false">IFERROR(STDEV(I745:I754),"N/M")</f>
        <v>0.0243731020092233</v>
      </c>
    </row>
    <row r="759" customFormat="false" ht="15" hidden="false" customHeight="false" outlineLevel="0" collapsed="false">
      <c r="A759" s="35" t="s">
        <v>102</v>
      </c>
      <c r="B759" s="39" t="n">
        <f aca="false">IFERROR(MIN(B745:B754),"N/M")</f>
        <v>0.0117943960773694</v>
      </c>
      <c r="C759" s="39" t="n">
        <f aca="false">IFERROR(MIN(C745:C754),"N/M")</f>
        <v>0.00657458404221575</v>
      </c>
      <c r="D759" s="39" t="n">
        <f aca="false">IFERROR(MIN(D745:D754),"N/M")</f>
        <v>0.00448700232478744</v>
      </c>
      <c r="E759" s="39" t="n">
        <f aca="false">IFERROR(MIN(E745:E754),"N/M")</f>
        <v>0.0125752957834361</v>
      </c>
      <c r="F759" s="39" t="n">
        <f aca="false">IFERROR(MIN(F745:F754),"N/M")</f>
        <v>0.0123784717745055</v>
      </c>
      <c r="G759" s="39" t="n">
        <f aca="false">IFERROR(MIN(G745:G754),"N/M")</f>
        <v>0.0100084739939995</v>
      </c>
      <c r="H759" s="39" t="n">
        <f aca="false">IFERROR(MIN(H745:H754),"N/M")</f>
        <v>0.0123599036346496</v>
      </c>
      <c r="I759" s="39" t="n">
        <f aca="false">IFERROR(MIN(I745:I754),"N/M")</f>
        <v>0.0116897579780738</v>
      </c>
    </row>
    <row r="760" customFormat="false" ht="15" hidden="false" customHeight="false" outlineLevel="0" collapsed="false">
      <c r="A760" s="35" t="s">
        <v>103</v>
      </c>
      <c r="B760" s="39" t="n">
        <f aca="false">IFERROR(MAX(B745:B754),"N/M")</f>
        <v>0.0652319747537896</v>
      </c>
      <c r="C760" s="39" t="n">
        <f aca="false">IFERROR(MAX(C745:C754),"N/M")</f>
        <v>0.137325192778058</v>
      </c>
      <c r="D760" s="39" t="n">
        <f aca="false">IFERROR(MAX(D745:D754),"N/M")</f>
        <v>0.0908133437348502</v>
      </c>
      <c r="E760" s="39" t="n">
        <f aca="false">IFERROR(MAX(E745:E754),"N/M")</f>
        <v>0.080209373837084</v>
      </c>
      <c r="F760" s="39" t="n">
        <f aca="false">IFERROR(MAX(F745:F754),"N/M")</f>
        <v>0.0768917635352119</v>
      </c>
      <c r="G760" s="39" t="n">
        <f aca="false">IFERROR(MAX(G745:G754),"N/M")</f>
        <v>0.0718159743085984</v>
      </c>
      <c r="H760" s="39" t="n">
        <f aca="false">IFERROR(MAX(H745:H754),"N/M")</f>
        <v>0.0797315113939136</v>
      </c>
      <c r="I760" s="39" t="n">
        <f aca="false">IFERROR(MAX(I745:I754),"N/M")</f>
        <v>0.0823222794160026</v>
      </c>
    </row>
    <row r="762" customFormat="false" ht="15" hidden="false" customHeight="false" outlineLevel="0" collapsed="false">
      <c r="A762" s="16" t="s">
        <v>222</v>
      </c>
      <c r="B762" s="17"/>
      <c r="C762" s="17"/>
      <c r="D762" s="17"/>
      <c r="E762" s="17"/>
      <c r="F762" s="17"/>
      <c r="G762" s="17"/>
      <c r="H762" s="17"/>
      <c r="I762" s="17"/>
      <c r="J762" s="17"/>
      <c r="K762" s="17"/>
      <c r="L762" s="17"/>
      <c r="M762" s="17"/>
    </row>
    <row r="763" customFormat="false" ht="15" hidden="false" customHeight="false" outlineLevel="0" collapsed="false">
      <c r="A763" s="18" t="s">
        <v>110</v>
      </c>
      <c r="B763" s="23" t="n">
        <f aca="false">Tiger!D131</f>
        <v>0.0147273450975189</v>
      </c>
      <c r="C763" s="23" t="n">
        <f aca="false">Tiger!E131</f>
        <v>0.0116757014356347</v>
      </c>
      <c r="D763" s="23" t="n">
        <f aca="false">Tiger!F131</f>
        <v>0.00245484547479313</v>
      </c>
      <c r="E763" s="23" t="n">
        <f aca="false">Tiger!G131</f>
        <v>0.00237683166032076</v>
      </c>
      <c r="F763" s="23" t="n">
        <f aca="false">Tiger!H131</f>
        <v>0.00316323982352452</v>
      </c>
      <c r="G763" s="23" t="n">
        <f aca="false">Tiger!I131</f>
        <v>0.00624638735059947</v>
      </c>
      <c r="H763" s="23" t="n">
        <f aca="false">Tiger!J131</f>
        <v>0.00920009776194965</v>
      </c>
      <c r="I763" s="24" t="n">
        <f aca="false">Tiger!K131</f>
        <v>0.00712063551490588</v>
      </c>
      <c r="J763" s="34" t="str">
        <f aca="false">IF(AND(ISNUMBER(H763),ISNUMBER(H$775)),IF(H763&gt;H$775,"Above",IF(H763&lt;H$775,"Below","At")),"-")</f>
        <v>Below</v>
      </c>
      <c r="K763" s="34" t="str">
        <f aca="false">IF(J763="Below","Better",IF(J763="Above","Weaker","-"))</f>
        <v>Better</v>
      </c>
      <c r="L763" s="34" t="n">
        <f aca="false">IF(ISNUMBER(H763),RANK(H763,H$763:H$772,1),"-")</f>
        <v>4</v>
      </c>
      <c r="N763" s="34" t="str">
        <f aca="false">IF(AND(ISNUMBER(I763),ISNUMBER(I$775)),IF(I763&gt;I$775,"Above",IF(I763&lt;I$775,"Below","At")),"-")</f>
        <v>Below</v>
      </c>
      <c r="O763" s="34" t="str">
        <f aca="false">IF(N763="Below","Better",IF(N763="Above","Weaker","-"))</f>
        <v>Better</v>
      </c>
    </row>
    <row r="764" customFormat="false" ht="15" hidden="false" customHeight="false" outlineLevel="0" collapsed="false">
      <c r="A764" s="18" t="s">
        <v>111</v>
      </c>
      <c r="B764" s="23" t="n">
        <f aca="false">Allcargo!D131</f>
        <v>0.0101671058936272</v>
      </c>
      <c r="C764" s="23" t="n">
        <f aca="false">Allcargo!E131</f>
        <v>0.0136453262971395</v>
      </c>
      <c r="D764" s="23" t="n">
        <f aca="false">Allcargo!F131</f>
        <v>0.00504719846648264</v>
      </c>
      <c r="E764" s="23" t="n">
        <f aca="false">Allcargo!G131</f>
        <v>0.00474051799452323</v>
      </c>
      <c r="F764" s="23" t="n">
        <f aca="false">Allcargo!H131</f>
        <v>0.0107597689201985</v>
      </c>
      <c r="G764" s="23" t="n">
        <f aca="false">Allcargo!I131</f>
        <v>0.0382457929627741</v>
      </c>
      <c r="H764" s="23" t="n">
        <f aca="false">Allcargo!J131</f>
        <v>0.0301263362487852</v>
      </c>
      <c r="I764" s="24" t="n">
        <f aca="false">Allcargo!K131</f>
        <v>0.0161045781119329</v>
      </c>
      <c r="J764" s="34" t="str">
        <f aca="false">IF(AND(ISNUMBER(H764),ISNUMBER(H$775)),IF(H764&gt;H$775,"Above",IF(H764&lt;H$775,"Below","At")),"-")</f>
        <v>Above</v>
      </c>
      <c r="K764" s="34" t="str">
        <f aca="false">IF(J764="Below","Better",IF(J764="Above","Weaker","-"))</f>
        <v>Weaker</v>
      </c>
      <c r="L764" s="34" t="n">
        <f aca="false">IF(ISNUMBER(H764),RANK(H764,H$763:H$772,1),"-")</f>
        <v>9</v>
      </c>
      <c r="N764" s="34" t="str">
        <f aca="false">IF(AND(ISNUMBER(I764),ISNUMBER(I$775)),IF(I764&gt;I$775,"Above",IF(I764&lt;I$775,"Below","At")),"-")</f>
        <v>Above</v>
      </c>
      <c r="O764" s="34" t="str">
        <f aca="false">IF(N764="Below","Better",IF(N764="Above","Weaker","-"))</f>
        <v>Weaker</v>
      </c>
    </row>
    <row r="765" customFormat="false" ht="15" hidden="false" customHeight="false" outlineLevel="0" collapsed="false">
      <c r="A765" s="18" t="s">
        <v>112</v>
      </c>
      <c r="B765" s="23" t="n">
        <f aca="false">BlueDart!D131</f>
        <v>0.0369685650666272</v>
      </c>
      <c r="C765" s="23" t="n">
        <f aca="false">BlueDart!E131</f>
        <v>0.0337425831703734</v>
      </c>
      <c r="D765" s="23" t="n">
        <f aca="false">BlueDart!F131</f>
        <v>0.019718897446769</v>
      </c>
      <c r="E765" s="23" t="n">
        <f aca="false">BlueDart!G131</f>
        <v>0.0129248175831654</v>
      </c>
      <c r="F765" s="23" t="n">
        <f aca="false">BlueDart!H131</f>
        <v>0.014818245843165</v>
      </c>
      <c r="G765" s="23" t="n">
        <f aca="false">BlueDart!I131</f>
        <v>0.0144033929002234</v>
      </c>
      <c r="H765" s="23" t="n">
        <f aca="false">BlueDart!J131</f>
        <v>0.0139458839775407</v>
      </c>
      <c r="I765" s="24" t="n">
        <f aca="false">BlueDart!K131</f>
        <v>0.0209317694268377</v>
      </c>
      <c r="J765" s="34" t="str">
        <f aca="false">IF(AND(ISNUMBER(H765),ISNUMBER(H$775)),IF(H765&gt;H$775,"Above",IF(H765&lt;H$775,"Below","At")),"-")</f>
        <v>Above</v>
      </c>
      <c r="K765" s="34" t="str">
        <f aca="false">IF(J765="Below","Better",IF(J765="Above","Weaker","-"))</f>
        <v>Weaker</v>
      </c>
      <c r="L765" s="34" t="n">
        <f aca="false">IF(ISNUMBER(H765),RANK(H765,H$763:H$772,1),"-")</f>
        <v>6</v>
      </c>
      <c r="N765" s="34" t="str">
        <f aca="false">IF(AND(ISNUMBER(I765),ISNUMBER(I$775)),IF(I765&gt;I$775,"Above",IF(I765&lt;I$775,"Below","At")),"-")</f>
        <v>Above</v>
      </c>
      <c r="O765" s="34" t="str">
        <f aca="false">IF(N765="Below","Better",IF(N765="Above","Weaker","-"))</f>
        <v>Weaker</v>
      </c>
    </row>
    <row r="766" customFormat="false" ht="15" hidden="false" customHeight="false" outlineLevel="0" collapsed="false">
      <c r="A766" s="18" t="s">
        <v>67</v>
      </c>
      <c r="B766" s="23" t="n">
        <f aca="false">CONCOR!D131</f>
        <v>0.00711149768692566</v>
      </c>
      <c r="C766" s="23" t="n">
        <f aca="false">CONCOR!E131</f>
        <v>0.0067542336488732</v>
      </c>
      <c r="D766" s="23" t="n">
        <f aca="false">CONCOR!F131</f>
        <v>0.00821144872483415</v>
      </c>
      <c r="E766" s="23" t="n">
        <f aca="false">CONCOR!G131</f>
        <v>0.0079176214818732</v>
      </c>
      <c r="F766" s="23" t="n">
        <f aca="false">CONCOR!H131</f>
        <v>0.00828921777657594</v>
      </c>
      <c r="G766" s="23" t="n">
        <f aca="false">CONCOR!I131</f>
        <v>0.00827724028977092</v>
      </c>
      <c r="H766" s="23" t="n">
        <f aca="false">CONCOR!J131</f>
        <v>0.00864965959794999</v>
      </c>
      <c r="I766" s="24" t="n">
        <f aca="false">CONCOR!K131</f>
        <v>0.00788727417240044</v>
      </c>
      <c r="J766" s="34" t="str">
        <f aca="false">IF(AND(ISNUMBER(H766),ISNUMBER(H$775)),IF(H766&gt;H$775,"Above",IF(H766&lt;H$775,"Below","At")),"-")</f>
        <v>Below</v>
      </c>
      <c r="K766" s="34" t="str">
        <f aca="false">IF(J766="Below","Better",IF(J766="Above","Weaker","-"))</f>
        <v>Better</v>
      </c>
      <c r="L766" s="34" t="n">
        <f aca="false">IF(ISNUMBER(H766),RANK(H766,H$763:H$772,1),"-")</f>
        <v>3</v>
      </c>
      <c r="N766" s="34" t="str">
        <f aca="false">IF(AND(ISNUMBER(I766),ISNUMBER(I$775)),IF(I766&gt;I$775,"Above",IF(I766&lt;I$775,"Below","At")),"-")</f>
        <v>Below</v>
      </c>
      <c r="O766" s="34" t="str">
        <f aca="false">IF(N766="Below","Better",IF(N766="Above","Weaker","-"))</f>
        <v>Better</v>
      </c>
    </row>
    <row r="767" customFormat="false" ht="15" hidden="false" customHeight="false" outlineLevel="0" collapsed="false">
      <c r="A767" s="18" t="s">
        <v>113</v>
      </c>
      <c r="B767" s="23" t="n">
        <f aca="false">JetFreight!D131</f>
        <v>0.0152778704383214</v>
      </c>
      <c r="C767" s="23" t="n">
        <f aca="false">JetFreight!E131</f>
        <v>0.0111883272297356</v>
      </c>
      <c r="D767" s="23" t="n">
        <f aca="false">JetFreight!F131</f>
        <v>0.00884490761012348</v>
      </c>
      <c r="E767" s="23" t="n">
        <f aca="false">JetFreight!G131</f>
        <v>0.0121193213180062</v>
      </c>
      <c r="F767" s="23" t="n">
        <f aca="false">JetFreight!H131</f>
        <v>0.0153183588209506</v>
      </c>
      <c r="G767" s="23" t="n">
        <f aca="false">JetFreight!I131</f>
        <v>0.015802853674736</v>
      </c>
      <c r="H767" s="23" t="n">
        <f aca="false">JetFreight!J131</f>
        <v>0.0157629255989912</v>
      </c>
      <c r="I767" s="24" t="n">
        <f aca="false">JetFreight!K131</f>
        <v>0.0134735092415521</v>
      </c>
      <c r="J767" s="34" t="str">
        <f aca="false">IF(AND(ISNUMBER(H767),ISNUMBER(H$775)),IF(H767&gt;H$775,"Above",IF(H767&lt;H$775,"Below","At")),"-")</f>
        <v>Above</v>
      </c>
      <c r="K767" s="34" t="str">
        <f aca="false">IF(J767="Below","Better",IF(J767="Above","Weaker","-"))</f>
        <v>Weaker</v>
      </c>
      <c r="L767" s="34" t="n">
        <f aca="false">IF(ISNUMBER(H767),RANK(H767,H$763:H$772,1),"-")</f>
        <v>7</v>
      </c>
      <c r="N767" s="34" t="str">
        <f aca="false">IF(AND(ISNUMBER(I767),ISNUMBER(I$775)),IF(I767&gt;I$775,"Above",IF(I767&lt;I$775,"Below","At")),"-")</f>
        <v>Below</v>
      </c>
      <c r="O767" s="34" t="str">
        <f aca="false">IF(N767="Below","Better",IF(N767="Above","Weaker","-"))</f>
        <v>Better</v>
      </c>
    </row>
    <row r="768" customFormat="false" ht="15" hidden="false" customHeight="false" outlineLevel="0" collapsed="false">
      <c r="A768" s="18" t="s">
        <v>114</v>
      </c>
      <c r="B768" s="23" t="n">
        <f aca="false">Patel!D131</f>
        <v>0.021271696266659</v>
      </c>
      <c r="C768" s="23" t="n">
        <f aca="false">Patel!E131</f>
        <v>0.0357597173144876</v>
      </c>
      <c r="D768" s="23" t="n">
        <f aca="false">Patel!F131</f>
        <v>0.0227893479003073</v>
      </c>
      <c r="E768" s="23" t="n">
        <f aca="false">Patel!G131</f>
        <v>0.0171410090556274</v>
      </c>
      <c r="F768" s="23" t="n">
        <f aca="false">Patel!H131</f>
        <v>0.00891412837721563</v>
      </c>
      <c r="G768" s="23" t="n">
        <f aca="false">Patel!I131</f>
        <v>0.0034433452974992</v>
      </c>
      <c r="H768" s="23" t="n">
        <f aca="false">Patel!J131</f>
        <v>0.000980007840062721</v>
      </c>
      <c r="I768" s="24" t="n">
        <f aca="false">Patel!K131</f>
        <v>0.0157570360074084</v>
      </c>
      <c r="J768" s="34" t="str">
        <f aca="false">IF(AND(ISNUMBER(H768),ISNUMBER(H$775)),IF(H768&gt;H$775,"Above",IF(H768&lt;H$775,"Below","At")),"-")</f>
        <v>Below</v>
      </c>
      <c r="K768" s="34" t="str">
        <f aca="false">IF(J768="Below","Better",IF(J768="Above","Weaker","-"))</f>
        <v>Better</v>
      </c>
      <c r="L768" s="34" t="n">
        <f aca="false">IF(ISNUMBER(H768),RANK(H768,H$763:H$772,1),"-")</f>
        <v>1</v>
      </c>
      <c r="N768" s="34" t="str">
        <f aca="false">IF(AND(ISNUMBER(I768),ISNUMBER(I$775)),IF(I768&gt;I$775,"Above",IF(I768&lt;I$775,"Below","At")),"-")</f>
        <v>Above</v>
      </c>
      <c r="O768" s="34" t="str">
        <f aca="false">IF(N768="Below","Better",IF(N768="Above","Weaker","-"))</f>
        <v>Weaker</v>
      </c>
    </row>
    <row r="769" customFormat="false" ht="15" hidden="false" customHeight="false" outlineLevel="0" collapsed="false">
      <c r="A769" s="18" t="s">
        <v>115</v>
      </c>
      <c r="B769" s="23" t="n">
        <f aca="false">Sical!D131</f>
        <v>0.0546906068559612</v>
      </c>
      <c r="C769" s="23" t="n">
        <f aca="false">Sical!E131</f>
        <v>0.276373528185374</v>
      </c>
      <c r="D769" s="23" t="n">
        <f aca="false">Sical!F131</f>
        <v>0.0611689167884886</v>
      </c>
      <c r="E769" s="23" t="n">
        <f aca="false">Sical!G131</f>
        <v>0.0493994032286858</v>
      </c>
      <c r="F769" s="23" t="n">
        <f aca="false">Sical!H131</f>
        <v>0.177212899724094</v>
      </c>
      <c r="G769" s="23" t="n">
        <f aca="false">Sical!I131</f>
        <v>0.194977910017131</v>
      </c>
      <c r="H769" s="23" t="n">
        <f aca="false">Sical!J131</f>
        <v>0.186735117195603</v>
      </c>
      <c r="I769" s="24" t="n">
        <f aca="false">Sical!K131</f>
        <v>0.14293691171362</v>
      </c>
      <c r="J769" s="34" t="str">
        <f aca="false">IF(AND(ISNUMBER(H769),ISNUMBER(H$775)),IF(H769&gt;H$775,"Above",IF(H769&lt;H$775,"Below","At")),"-")</f>
        <v>Above</v>
      </c>
      <c r="K769" s="34" t="str">
        <f aca="false">IF(J769="Below","Better",IF(J769="Above","Weaker","-"))</f>
        <v>Weaker</v>
      </c>
      <c r="L769" s="34" t="n">
        <f aca="false">IF(ISNUMBER(H769),RANK(H769,H$763:H$772,1),"-")</f>
        <v>10</v>
      </c>
      <c r="N769" s="34" t="str">
        <f aca="false">IF(AND(ISNUMBER(I769),ISNUMBER(I$775)),IF(I769&gt;I$775,"Above",IF(I769&lt;I$775,"Below","At")),"-")</f>
        <v>Above</v>
      </c>
      <c r="O769" s="34" t="str">
        <f aca="false">IF(N769="Below","Better",IF(N769="Above","Weaker","-"))</f>
        <v>Weaker</v>
      </c>
    </row>
    <row r="770" customFormat="false" ht="15" hidden="false" customHeight="false" outlineLevel="0" collapsed="false">
      <c r="A770" s="18" t="s">
        <v>86</v>
      </c>
      <c r="B770" s="23" t="n">
        <f aca="false">TCI!D131</f>
        <v>0.0126276749183175</v>
      </c>
      <c r="C770" s="23" t="n">
        <f aca="false">TCI!E131</f>
        <v>0.0095275818140944</v>
      </c>
      <c r="D770" s="23" t="n">
        <f aca="false">TCI!F131</f>
        <v>0.003937019955137</v>
      </c>
      <c r="E770" s="23" t="n">
        <f aca="false">TCI!G131</f>
        <v>0.00259611851201696</v>
      </c>
      <c r="F770" s="23" t="n">
        <f aca="false">TCI!H131</f>
        <v>0.00329750065850616</v>
      </c>
      <c r="G770" s="23" t="n">
        <f aca="false">TCI!I131</f>
        <v>0.00448819844248828</v>
      </c>
      <c r="H770" s="23" t="n">
        <f aca="false">TCI!J131</f>
        <v>0.00463515682043293</v>
      </c>
      <c r="I770" s="24" t="n">
        <f aca="false">TCI!K131</f>
        <v>0.00587275016014189</v>
      </c>
      <c r="J770" s="34" t="str">
        <f aca="false">IF(AND(ISNUMBER(H770),ISNUMBER(H$775)),IF(H770&gt;H$775,"Above",IF(H770&lt;H$775,"Below","At")),"-")</f>
        <v>Below</v>
      </c>
      <c r="K770" s="34" t="str">
        <f aca="false">IF(J770="Below","Better",IF(J770="Above","Weaker","-"))</f>
        <v>Better</v>
      </c>
      <c r="L770" s="34" t="n">
        <f aca="false">IF(ISNUMBER(H770),RANK(H770,H$763:H$772,1),"-")</f>
        <v>2</v>
      </c>
      <c r="N770" s="34" t="str">
        <f aca="false">IF(AND(ISNUMBER(I770),ISNUMBER(I$775)),IF(I770&gt;I$775,"Above",IF(I770&lt;I$775,"Below","At")),"-")</f>
        <v>Below</v>
      </c>
      <c r="O770" s="34" t="str">
        <f aca="false">IF(N770="Below","Better",IF(N770="Above","Weaker","-"))</f>
        <v>Better</v>
      </c>
    </row>
    <row r="771" customFormat="false" ht="15" hidden="false" customHeight="false" outlineLevel="0" collapsed="false">
      <c r="A771" s="18" t="s">
        <v>116</v>
      </c>
      <c r="B771" s="23" t="n">
        <f aca="false">Shreeji!D131</f>
        <v>0.0320909090909091</v>
      </c>
      <c r="C771" s="23" t="n">
        <f aca="false">Shreeji!E131</f>
        <v>0.0388986417813915</v>
      </c>
      <c r="D771" s="23" t="n">
        <f aca="false">Shreeji!F131</f>
        <v>0.0252229143764505</v>
      </c>
      <c r="E771" s="23" t="n">
        <f aca="false">Shreeji!G131</f>
        <v>0.0198991632696846</v>
      </c>
      <c r="F771" s="23" t="n">
        <f aca="false">Shreeji!H131</f>
        <v>0.0198003992015968</v>
      </c>
      <c r="G771" s="23" t="n">
        <f aca="false">Shreeji!I131</f>
        <v>0.0198928149695704</v>
      </c>
      <c r="H771" s="23" t="n">
        <f aca="false">Shreeji!J131</f>
        <v>0.0177557727602544</v>
      </c>
      <c r="I771" s="24" t="n">
        <f aca="false">Shreeji!K131</f>
        <v>0.0247943736356939</v>
      </c>
      <c r="J771" s="34" t="str">
        <f aca="false">IF(AND(ISNUMBER(H771),ISNUMBER(H$775)),IF(H771&gt;H$775,"Above",IF(H771&lt;H$775,"Below","At")),"-")</f>
        <v>Above</v>
      </c>
      <c r="K771" s="34" t="str">
        <f aca="false">IF(J771="Below","Better",IF(J771="Above","Weaker","-"))</f>
        <v>Weaker</v>
      </c>
      <c r="L771" s="34" t="n">
        <f aca="false">IF(ISNUMBER(H771),RANK(H771,H$763:H$772,1),"-")</f>
        <v>8</v>
      </c>
      <c r="N771" s="34" t="str">
        <f aca="false">IF(AND(ISNUMBER(I771),ISNUMBER(I$775)),IF(I771&gt;I$775,"Above",IF(I771&lt;I$775,"Below","At")),"-")</f>
        <v>Above</v>
      </c>
      <c r="O771" s="34" t="str">
        <f aca="false">IF(N771="Below","Better",IF(N771="Above","Weaker","-"))</f>
        <v>Weaker</v>
      </c>
    </row>
    <row r="772" customFormat="false" ht="15" hidden="false" customHeight="false" outlineLevel="0" collapsed="false">
      <c r="A772" s="18" t="s">
        <v>117</v>
      </c>
      <c r="B772" s="23" t="n">
        <f aca="false">MahindraLog!D131</f>
        <v>0.00507902302989796</v>
      </c>
      <c r="C772" s="23" t="n">
        <f aca="false">MahindraLog!E131</f>
        <v>0.00615555255965585</v>
      </c>
      <c r="D772" s="23" t="n">
        <f aca="false">MahindraLog!F131</f>
        <v>0.00720157652218433</v>
      </c>
      <c r="E772" s="23" t="n">
        <f aca="false">MahindraLog!G131</f>
        <v>0.0100559835734719</v>
      </c>
      <c r="F772" s="23" t="n">
        <f aca="false">MahindraLog!H131</f>
        <v>0.0123792901160014</v>
      </c>
      <c r="G772" s="23" t="n">
        <f aca="false">MahindraLog!I131</f>
        <v>0.0133025817262725</v>
      </c>
      <c r="H772" s="23" t="n">
        <f aca="false">MahindraLog!J131</f>
        <v>0.0107182146786107</v>
      </c>
      <c r="I772" s="24" t="n">
        <f aca="false">MahindraLog!K131</f>
        <v>0.00927031745801351</v>
      </c>
      <c r="J772" s="34" t="str">
        <f aca="false">IF(AND(ISNUMBER(H772),ISNUMBER(H$775)),IF(H772&gt;H$775,"Above",IF(H772&lt;H$775,"Below","At")),"-")</f>
        <v>Below</v>
      </c>
      <c r="K772" s="34" t="str">
        <f aca="false">IF(J772="Below","Better",IF(J772="Above","Weaker","-"))</f>
        <v>Better</v>
      </c>
      <c r="L772" s="34" t="n">
        <f aca="false">IF(ISNUMBER(H772),RANK(H772,H$763:H$772,1),"-")</f>
        <v>5</v>
      </c>
      <c r="N772" s="34" t="str">
        <f aca="false">IF(AND(ISNUMBER(I772),ISNUMBER(I$775)),IF(I772&gt;I$775,"Above",IF(I772&lt;I$775,"Below","At")),"-")</f>
        <v>Below</v>
      </c>
      <c r="O772" s="34" t="str">
        <f aca="false">IF(N772="Below","Better",IF(N772="Above","Weaker","-"))</f>
        <v>Better</v>
      </c>
    </row>
    <row r="773" customFormat="false" ht="15" hidden="false" customHeight="false" outlineLevel="0" collapsed="false">
      <c r="A773" s="12" t="s">
        <v>176</v>
      </c>
      <c r="B773" s="24" t="n">
        <f aca="false">Industry!D131</f>
        <v>0.0144401550199505</v>
      </c>
      <c r="C773" s="24" t="n">
        <f aca="false">Industry!E131</f>
        <v>0.018148546302274</v>
      </c>
      <c r="D773" s="24" t="n">
        <f aca="false">Industry!F131</f>
        <v>0.00805653429969772</v>
      </c>
      <c r="E773" s="24" t="n">
        <f aca="false">Industry!G131</f>
        <v>0.00743682908575705</v>
      </c>
      <c r="F773" s="24" t="n">
        <f aca="false">Industry!H131</f>
        <v>0.0112188947356172</v>
      </c>
      <c r="G773" s="24" t="n">
        <f aca="false">Industry!I131</f>
        <v>0.0135320533122378</v>
      </c>
      <c r="H773" s="24" t="n">
        <f aca="false">Industry!J131</f>
        <v>0.0132352483797418</v>
      </c>
      <c r="I773" s="24" t="n">
        <f aca="false">Industry!K131</f>
        <v>0.012295465876468</v>
      </c>
    </row>
    <row r="774" customFormat="false" ht="15" hidden="false" customHeight="false" outlineLevel="0" collapsed="false">
      <c r="A774" s="35" t="s">
        <v>177</v>
      </c>
      <c r="B774" s="39" t="n">
        <f aca="false">IFERROR(AVERAGE(B763:B772),"N/M")</f>
        <v>0.0210012294344765</v>
      </c>
      <c r="C774" s="39" t="n">
        <f aca="false">IFERROR(AVERAGE(C763:C772),"N/M")</f>
        <v>0.044372119343676</v>
      </c>
      <c r="D774" s="39" t="n">
        <f aca="false">IFERROR(AVERAGE(D763:D772),"N/M")</f>
        <v>0.016459707326557</v>
      </c>
      <c r="E774" s="39" t="n">
        <f aca="false">IFERROR(AVERAGE(E763:E772),"N/M")</f>
        <v>0.0139170787677376</v>
      </c>
      <c r="F774" s="39" t="n">
        <f aca="false">IFERROR(AVERAGE(F763:F772),"N/M")</f>
        <v>0.0273953049261829</v>
      </c>
      <c r="G774" s="39" t="n">
        <f aca="false">IFERROR(AVERAGE(G763:G772),"N/M")</f>
        <v>0.0319080517631065</v>
      </c>
      <c r="H774" s="39" t="n">
        <f aca="false">IFERROR(AVERAGE(H763:H772),"N/M")</f>
        <v>0.029850917248018</v>
      </c>
      <c r="I774" s="39" t="n">
        <f aca="false">IFERROR(AVERAGE(I763:I772),"N/M")</f>
        <v>0.0264149155442506</v>
      </c>
    </row>
    <row r="775" customFormat="false" ht="15" hidden="false" customHeight="false" outlineLevel="0" collapsed="false">
      <c r="A775" s="35" t="s">
        <v>178</v>
      </c>
      <c r="B775" s="39" t="n">
        <f aca="false">IFERROR(MEDIAN(B763:B772),"N/M")</f>
        <v>0.0150026077679202</v>
      </c>
      <c r="C775" s="39" t="n">
        <f aca="false">IFERROR(MEDIAN(C763:C772),"N/M")</f>
        <v>0.0126605138663871</v>
      </c>
      <c r="D775" s="39" t="n">
        <f aca="false">IFERROR(MEDIAN(D763:D772),"N/M")</f>
        <v>0.00852817816747881</v>
      </c>
      <c r="E775" s="39" t="n">
        <f aca="false">IFERROR(MEDIAN(E763:E772),"N/M")</f>
        <v>0.011087652445739</v>
      </c>
      <c r="F775" s="39" t="n">
        <f aca="false">IFERROR(MEDIAN(F763:F772),"N/M")</f>
        <v>0.0115695295180999</v>
      </c>
      <c r="G775" s="39" t="n">
        <f aca="false">IFERROR(MEDIAN(G763:G772),"N/M")</f>
        <v>0.0138529873132479</v>
      </c>
      <c r="H775" s="39" t="n">
        <f aca="false">IFERROR(MEDIAN(H763:H772),"N/M")</f>
        <v>0.0123320493280757</v>
      </c>
      <c r="I775" s="39" t="n">
        <f aca="false">IFERROR(MEDIAN(I763:I772),"N/M")</f>
        <v>0.0146152726244802</v>
      </c>
    </row>
    <row r="776" customFormat="false" ht="15" hidden="false" customHeight="false" outlineLevel="0" collapsed="false">
      <c r="A776" s="35" t="s">
        <v>179</v>
      </c>
      <c r="B776" s="39" t="n">
        <f aca="false">IFERROR(STDEV(B763:B772),"N/M")</f>
        <v>0.0157022239091629</v>
      </c>
      <c r="C776" s="39" t="n">
        <f aca="false">IFERROR(STDEV(C763:C772),"N/M")</f>
        <v>0.0824930178053391</v>
      </c>
      <c r="D776" s="39" t="n">
        <f aca="false">IFERROR(STDEV(D763:D772),"N/M")</f>
        <v>0.0177053821766354</v>
      </c>
      <c r="E776" s="39" t="n">
        <f aca="false">IFERROR(STDEV(E763:E772),"N/M")</f>
        <v>0.0137672848150507</v>
      </c>
      <c r="F776" s="39" t="n">
        <f aca="false">IFERROR(STDEV(F763:F772),"N/M")</f>
        <v>0.0528979570156375</v>
      </c>
      <c r="G776" s="39" t="n">
        <f aca="false">IFERROR(STDEV(G763:G772),"N/M")</f>
        <v>0.0581829391698434</v>
      </c>
      <c r="H776" s="39" t="n">
        <f aca="false">IFERROR(STDEV(H763:H772),"N/M")</f>
        <v>0.0556994276092886</v>
      </c>
      <c r="I776" s="39" t="n">
        <f aca="false">IFERROR(STDEV(I763:I772),"N/M")</f>
        <v>0.0414043752772038</v>
      </c>
    </row>
    <row r="777" customFormat="false" ht="15" hidden="false" customHeight="false" outlineLevel="0" collapsed="false">
      <c r="A777" s="35" t="s">
        <v>102</v>
      </c>
      <c r="B777" s="39" t="n">
        <f aca="false">IFERROR(MIN(B763:B772),"N/M")</f>
        <v>0.00507902302989796</v>
      </c>
      <c r="C777" s="39" t="n">
        <f aca="false">IFERROR(MIN(C763:C772),"N/M")</f>
        <v>0.00615555255965585</v>
      </c>
      <c r="D777" s="39" t="n">
        <f aca="false">IFERROR(MIN(D763:D772),"N/M")</f>
        <v>0.00245484547479313</v>
      </c>
      <c r="E777" s="39" t="n">
        <f aca="false">IFERROR(MIN(E763:E772),"N/M")</f>
        <v>0.00237683166032076</v>
      </c>
      <c r="F777" s="39" t="n">
        <f aca="false">IFERROR(MIN(F763:F772),"N/M")</f>
        <v>0.00316323982352452</v>
      </c>
      <c r="G777" s="39" t="n">
        <f aca="false">IFERROR(MIN(G763:G772),"N/M")</f>
        <v>0.0034433452974992</v>
      </c>
      <c r="H777" s="39" t="n">
        <f aca="false">IFERROR(MIN(H763:H772),"N/M")</f>
        <v>0.000980007840062721</v>
      </c>
      <c r="I777" s="39" t="n">
        <f aca="false">IFERROR(MIN(I763:I772),"N/M")</f>
        <v>0.00587275016014189</v>
      </c>
    </row>
    <row r="778" customFormat="false" ht="15" hidden="false" customHeight="false" outlineLevel="0" collapsed="false">
      <c r="A778" s="35" t="s">
        <v>103</v>
      </c>
      <c r="B778" s="39" t="n">
        <f aca="false">IFERROR(MAX(B763:B772),"N/M")</f>
        <v>0.0546906068559612</v>
      </c>
      <c r="C778" s="39" t="n">
        <f aca="false">IFERROR(MAX(C763:C772),"N/M")</f>
        <v>0.276373528185374</v>
      </c>
      <c r="D778" s="39" t="n">
        <f aca="false">IFERROR(MAX(D763:D772),"N/M")</f>
        <v>0.0611689167884886</v>
      </c>
      <c r="E778" s="39" t="n">
        <f aca="false">IFERROR(MAX(E763:E772),"N/M")</f>
        <v>0.0493994032286858</v>
      </c>
      <c r="F778" s="39" t="n">
        <f aca="false">IFERROR(MAX(F763:F772),"N/M")</f>
        <v>0.177212899724094</v>
      </c>
      <c r="G778" s="39" t="n">
        <f aca="false">IFERROR(MAX(G763:G772),"N/M")</f>
        <v>0.194977910017131</v>
      </c>
      <c r="H778" s="39" t="n">
        <f aca="false">IFERROR(MAX(H763:H772),"N/M")</f>
        <v>0.186735117195603</v>
      </c>
      <c r="I778" s="39" t="n">
        <f aca="false">IFERROR(MAX(I763:I772),"N/M")</f>
        <v>0.14293691171362</v>
      </c>
    </row>
    <row r="780" customFormat="false" ht="15" hidden="false" customHeight="false" outlineLevel="0" collapsed="false">
      <c r="A780" s="16" t="s">
        <v>223</v>
      </c>
      <c r="B780" s="17"/>
      <c r="C780" s="17"/>
      <c r="D780" s="17"/>
      <c r="E780" s="17"/>
      <c r="F780" s="17"/>
      <c r="G780" s="17"/>
      <c r="H780" s="17"/>
      <c r="I780" s="17"/>
      <c r="J780" s="17"/>
      <c r="K780" s="17"/>
      <c r="L780" s="17"/>
      <c r="M780" s="17"/>
    </row>
    <row r="781" customFormat="false" ht="15" hidden="false" customHeight="false" outlineLevel="0" collapsed="false">
      <c r="A781" s="18" t="s">
        <v>110</v>
      </c>
      <c r="B781" s="23" t="n">
        <f aca="false">Tiger!D132</f>
        <v>1.02782937508292</v>
      </c>
      <c r="C781" s="23" t="n">
        <f aca="false">Tiger!E132</f>
        <v>1.05653184011437</v>
      </c>
      <c r="D781" s="23" t="n">
        <f aca="false">Tiger!F132</f>
        <v>0.938872721952171</v>
      </c>
      <c r="E781" s="23" t="n">
        <f aca="false">Tiger!G132</f>
        <v>0.938986962039922</v>
      </c>
      <c r="F781" s="23" t="n">
        <f aca="false">Tiger!H132</f>
        <v>0.93611087988013</v>
      </c>
      <c r="G781" s="23" t="n">
        <f aca="false">Tiger!I132</f>
        <v>0.941414480431094</v>
      </c>
      <c r="H781" s="23" t="n">
        <f aca="false">Tiger!J132</f>
        <v>0.952847316783632</v>
      </c>
      <c r="I781" s="24" t="n">
        <f aca="false">Tiger!K132</f>
        <v>0.97037051089775</v>
      </c>
      <c r="J781" s="34" t="str">
        <f aca="false">IF(AND(ISNUMBER(H781),ISNUMBER(H$793)),IF(H781&gt;H$793,"Above",IF(H781&lt;H$793,"Below","At")),"-")</f>
        <v>Above</v>
      </c>
      <c r="K781" s="34" t="str">
        <f aca="false">IF(J781="Below","Better",IF(J781="Above","Weaker","-"))</f>
        <v>Weaker</v>
      </c>
      <c r="L781" s="34" t="n">
        <f aca="false">IF(ISNUMBER(H781),RANK(H781,H$781:H$790,1),"-")</f>
        <v>7</v>
      </c>
      <c r="N781" s="34" t="str">
        <f aca="false">IF(AND(ISNUMBER(I781),ISNUMBER(I$793)),IF(I781&gt;I$793,"Above",IF(I781&lt;I$793,"Below","At")),"-")</f>
        <v>Above</v>
      </c>
      <c r="O781" s="34" t="str">
        <f aca="false">IF(N781="Below","Better",IF(N781="Above","Weaker","-"))</f>
        <v>Weaker</v>
      </c>
    </row>
    <row r="782" customFormat="false" ht="15" hidden="false" customHeight="false" outlineLevel="0" collapsed="false">
      <c r="A782" s="18" t="s">
        <v>111</v>
      </c>
      <c r="B782" s="23" t="n">
        <f aca="false">Allcargo!D132</f>
        <v>0.929875691510215</v>
      </c>
      <c r="C782" s="23" t="n">
        <f aca="false">Allcargo!E132</f>
        <v>0.938742248597365</v>
      </c>
      <c r="D782" s="23" t="n">
        <f aca="false">Allcargo!F132</f>
        <v>0.932784809196907</v>
      </c>
      <c r="E782" s="23" t="n">
        <f aca="false">Allcargo!G132</f>
        <v>0.936833719558778</v>
      </c>
      <c r="F782" s="23" t="n">
        <f aca="false">Allcargo!H132</f>
        <v>0.96370486433469</v>
      </c>
      <c r="G782" s="23" t="n">
        <f aca="false">Allcargo!I132</f>
        <v>0.896991330953595</v>
      </c>
      <c r="H782" s="23" t="n">
        <f aca="false">Allcargo!J132</f>
        <v>0.885811467444121</v>
      </c>
      <c r="I782" s="24" t="n">
        <f aca="false">Allcargo!K132</f>
        <v>0.926392018799382</v>
      </c>
      <c r="J782" s="34" t="str">
        <f aca="false">IF(AND(ISNUMBER(H782),ISNUMBER(H$793)),IF(H782&gt;H$793,"Above",IF(H782&lt;H$793,"Below","At")),"-")</f>
        <v>Below</v>
      </c>
      <c r="K782" s="34" t="str">
        <f aca="false">IF(J782="Below","Better",IF(J782="Above","Weaker","-"))</f>
        <v>Better</v>
      </c>
      <c r="L782" s="34" t="n">
        <f aca="false">IF(ISNUMBER(H782),RANK(H782,H$781:H$790,1),"-")</f>
        <v>4</v>
      </c>
      <c r="N782" s="34" t="str">
        <f aca="false">IF(AND(ISNUMBER(I782),ISNUMBER(I$793)),IF(I782&gt;I$793,"Above",IF(I782&lt;I$793,"Below","At")),"-")</f>
        <v>Below</v>
      </c>
      <c r="O782" s="34" t="str">
        <f aca="false">IF(N782="Below","Better",IF(N782="Above","Weaker","-"))</f>
        <v>Better</v>
      </c>
    </row>
    <row r="783" customFormat="false" ht="15" hidden="false" customHeight="false" outlineLevel="0" collapsed="false">
      <c r="A783" s="18" t="s">
        <v>112</v>
      </c>
      <c r="B783" s="23" t="n">
        <f aca="false">BlueDart!D132</f>
        <v>0.850522655765276</v>
      </c>
      <c r="C783" s="23" t="n">
        <f aca="false">BlueDart!E132</f>
        <v>0.791282583109549</v>
      </c>
      <c r="D783" s="23" t="n">
        <f aca="false">BlueDart!F132</f>
        <v>0.773265555527844</v>
      </c>
      <c r="E783" s="23" t="n">
        <f aca="false">BlueDart!G132</f>
        <v>0.81872194144874</v>
      </c>
      <c r="F783" s="23" t="n">
        <f aca="false">BlueDart!H132</f>
        <v>0.838073741939281</v>
      </c>
      <c r="G783" s="23" t="n">
        <f aca="false">BlueDart!I132</f>
        <v>0.846812512892951</v>
      </c>
      <c r="H783" s="23" t="n">
        <f aca="false">BlueDart!J132</f>
        <v>0.845191568635114</v>
      </c>
      <c r="I783" s="24" t="n">
        <f aca="false">BlueDart!K132</f>
        <v>0.823410079902679</v>
      </c>
      <c r="J783" s="34" t="str">
        <f aca="false">IF(AND(ISNUMBER(H783),ISNUMBER(H$793)),IF(H783&gt;H$793,"Above",IF(H783&lt;H$793,"Below","At")),"-")</f>
        <v>Below</v>
      </c>
      <c r="K783" s="34" t="str">
        <f aca="false">IF(J783="Below","Better",IF(J783="Above","Weaker","-"))</f>
        <v>Better</v>
      </c>
      <c r="L783" s="34" t="n">
        <f aca="false">IF(ISNUMBER(H783),RANK(H783,H$781:H$790,1),"-")</f>
        <v>3</v>
      </c>
      <c r="N783" s="34" t="str">
        <f aca="false">IF(AND(ISNUMBER(I783),ISNUMBER(I$793)),IF(I783&gt;I$793,"Above",IF(I783&lt;I$793,"Below","At")),"-")</f>
        <v>Below</v>
      </c>
      <c r="O783" s="34" t="str">
        <f aca="false">IF(N783="Below","Better",IF(N783="Above","Weaker","-"))</f>
        <v>Better</v>
      </c>
    </row>
    <row r="784" customFormat="false" ht="15" hidden="false" customHeight="false" outlineLevel="0" collapsed="false">
      <c r="A784" s="18" t="s">
        <v>67</v>
      </c>
      <c r="B784" s="23" t="n">
        <f aca="false">CONCOR!D132</f>
        <v>0.740558966168321</v>
      </c>
      <c r="C784" s="23" t="n">
        <f aca="false">CONCOR!E132</f>
        <v>0.837034858753898</v>
      </c>
      <c r="D784" s="23" t="n">
        <f aca="false">CONCOR!F132</f>
        <v>0.771523364864565</v>
      </c>
      <c r="E784" s="23" t="n">
        <f aca="false">CONCOR!G132</f>
        <v>0.771358481696927</v>
      </c>
      <c r="F784" s="23" t="n">
        <f aca="false">CONCOR!H132</f>
        <v>0.773652236517165</v>
      </c>
      <c r="G784" s="23" t="n">
        <f aca="false">CONCOR!I132</f>
        <v>0.782828214632126</v>
      </c>
      <c r="H784" s="23" t="n">
        <f aca="false">CONCOR!J132</f>
        <v>0.785072535761215</v>
      </c>
      <c r="I784" s="24" t="n">
        <f aca="false">CONCOR!K132</f>
        <v>0.780289808342031</v>
      </c>
      <c r="J784" s="34" t="str">
        <f aca="false">IF(AND(ISNUMBER(H784),ISNUMBER(H$793)),IF(H784&gt;H$793,"Above",IF(H784&lt;H$793,"Below","At")),"-")</f>
        <v>Below</v>
      </c>
      <c r="K784" s="34" t="str">
        <f aca="false">IF(J784="Below","Better",IF(J784="Above","Weaker","-"))</f>
        <v>Better</v>
      </c>
      <c r="L784" s="34" t="n">
        <f aca="false">IF(ISNUMBER(H784),RANK(H784,H$781:H$790,1),"-")</f>
        <v>1</v>
      </c>
      <c r="N784" s="34" t="str">
        <f aca="false">IF(AND(ISNUMBER(I784),ISNUMBER(I$793)),IF(I784&gt;I$793,"Above",IF(I784&lt;I$793,"Below","At")),"-")</f>
        <v>Below</v>
      </c>
      <c r="O784" s="34" t="str">
        <f aca="false">IF(N784="Below","Better",IF(N784="Above","Weaker","-"))</f>
        <v>Better</v>
      </c>
    </row>
    <row r="785" customFormat="false" ht="15" hidden="false" customHeight="false" outlineLevel="0" collapsed="false">
      <c r="A785" s="18" t="s">
        <v>113</v>
      </c>
      <c r="B785" s="23" t="n">
        <f aca="false">JetFreight!D132</f>
        <v>1.01170858629662</v>
      </c>
      <c r="C785" s="23" t="n">
        <f aca="false">JetFreight!E132</f>
        <v>0.973153781827619</v>
      </c>
      <c r="D785" s="23" t="n">
        <f aca="false">JetFreight!F132</f>
        <v>0.976398984149225</v>
      </c>
      <c r="E785" s="23" t="n">
        <f aca="false">JetFreight!G132</f>
        <v>0.980801075139792</v>
      </c>
      <c r="F785" s="23" t="n">
        <f aca="false">JetFreight!H132</f>
        <v>0.98475900662764</v>
      </c>
      <c r="G785" s="23" t="n">
        <f aca="false">JetFreight!I132</f>
        <v>0.967317866385727</v>
      </c>
      <c r="H785" s="23" t="n">
        <f aca="false">JetFreight!J132</f>
        <v>0.962686903260674</v>
      </c>
      <c r="I785" s="24" t="n">
        <f aca="false">JetFreight!K132</f>
        <v>0.979546600526756</v>
      </c>
      <c r="J785" s="34" t="str">
        <f aca="false">IF(AND(ISNUMBER(H785),ISNUMBER(H$793)),IF(H785&gt;H$793,"Above",IF(H785&lt;H$793,"Below","At")),"-")</f>
        <v>Above</v>
      </c>
      <c r="K785" s="34" t="str">
        <f aca="false">IF(J785="Below","Better",IF(J785="Above","Weaker","-"))</f>
        <v>Weaker</v>
      </c>
      <c r="L785" s="34" t="n">
        <f aca="false">IF(ISNUMBER(H785),RANK(H785,H$781:H$790,1),"-")</f>
        <v>8</v>
      </c>
      <c r="N785" s="34" t="str">
        <f aca="false">IF(AND(ISNUMBER(I785),ISNUMBER(I$793)),IF(I785&gt;I$793,"Above",IF(I785&lt;I$793,"Below","At")),"-")</f>
        <v>Above</v>
      </c>
      <c r="O785" s="34" t="str">
        <f aca="false">IF(N785="Below","Better",IF(N785="Above","Weaker","-"))</f>
        <v>Weaker</v>
      </c>
    </row>
    <row r="786" customFormat="false" ht="15" hidden="false" customHeight="false" outlineLevel="0" collapsed="false">
      <c r="A786" s="18" t="s">
        <v>114</v>
      </c>
      <c r="B786" s="23" t="n">
        <f aca="false">Patel!D132</f>
        <v>0.976713393396851</v>
      </c>
      <c r="C786" s="23" t="n">
        <f aca="false">Patel!E132</f>
        <v>0.975641931684334</v>
      </c>
      <c r="D786" s="23" t="n">
        <f aca="false">Patel!F132</f>
        <v>0.967181631956299</v>
      </c>
      <c r="E786" s="23" t="n">
        <f aca="false">Patel!G132</f>
        <v>0.962915049590341</v>
      </c>
      <c r="F786" s="23" t="n">
        <f aca="false">Patel!H132</f>
        <v>0.968680089485459</v>
      </c>
      <c r="G786" s="23" t="n">
        <f aca="false">Patel!I132</f>
        <v>0.974291633838163</v>
      </c>
      <c r="H786" s="23" t="n">
        <f aca="false">Patel!J132</f>
        <v>0.970963767710142</v>
      </c>
      <c r="I786" s="24" t="n">
        <f aca="false">Patel!K132</f>
        <v>0.970912499665941</v>
      </c>
      <c r="J786" s="34" t="str">
        <f aca="false">IF(AND(ISNUMBER(H786),ISNUMBER(H$793)),IF(H786&gt;H$793,"Above",IF(H786&lt;H$793,"Below","At")),"-")</f>
        <v>Above</v>
      </c>
      <c r="K786" s="34" t="str">
        <f aca="false">IF(J786="Below","Better",IF(J786="Above","Weaker","-"))</f>
        <v>Weaker</v>
      </c>
      <c r="L786" s="34" t="n">
        <f aca="false">IF(ISNUMBER(H786),RANK(H786,H$781:H$790,1),"-")</f>
        <v>10</v>
      </c>
      <c r="N786" s="34" t="str">
        <f aca="false">IF(AND(ISNUMBER(I786),ISNUMBER(I$793)),IF(I786&gt;I$793,"Above",IF(I786&lt;I$793,"Below","At")),"-")</f>
        <v>Above</v>
      </c>
      <c r="O786" s="34" t="str">
        <f aca="false">IF(N786="Below","Better",IF(N786="Above","Weaker","-"))</f>
        <v>Weaker</v>
      </c>
    </row>
    <row r="787" customFormat="false" ht="15" hidden="false" customHeight="false" outlineLevel="0" collapsed="false">
      <c r="A787" s="18" t="s">
        <v>115</v>
      </c>
      <c r="B787" s="23" t="n">
        <f aca="false">Sical!D132</f>
        <v>1.02233953710332</v>
      </c>
      <c r="C787" s="23" t="n">
        <f aca="false">Sical!E132</f>
        <v>1.01876377499355</v>
      </c>
      <c r="D787" s="23" t="n">
        <f aca="false">Sical!F132</f>
        <v>1.11224811534382</v>
      </c>
      <c r="E787" s="23" t="n">
        <f aca="false">Sical!G132</f>
        <v>0.92963709163245</v>
      </c>
      <c r="F787" s="23" t="n">
        <f aca="false">Sical!H132</f>
        <v>0.924917454430323</v>
      </c>
      <c r="G787" s="23" t="n">
        <f aca="false">Sical!I132</f>
        <v>0.903119646560274</v>
      </c>
      <c r="H787" s="23" t="n">
        <f aca="false">Sical!J132</f>
        <v>0.796930097490147</v>
      </c>
      <c r="I787" s="24" t="n">
        <f aca="false">Sical!K132</f>
        <v>0.958279388221983</v>
      </c>
      <c r="J787" s="34" t="str">
        <f aca="false">IF(AND(ISNUMBER(H787),ISNUMBER(H$793)),IF(H787&gt;H$793,"Above",IF(H787&lt;H$793,"Below","At")),"-")</f>
        <v>Below</v>
      </c>
      <c r="K787" s="34" t="str">
        <f aca="false">IF(J787="Below","Better",IF(J787="Above","Weaker","-"))</f>
        <v>Better</v>
      </c>
      <c r="L787" s="34" t="n">
        <f aca="false">IF(ISNUMBER(H787),RANK(H787,H$781:H$790,1),"-")</f>
        <v>2</v>
      </c>
      <c r="N787" s="34" t="str">
        <f aca="false">IF(AND(ISNUMBER(I787),ISNUMBER(I$793)),IF(I787&gt;I$793,"Above",IF(I787&lt;I$793,"Below","At")),"-")</f>
        <v>Above</v>
      </c>
      <c r="O787" s="34" t="str">
        <f aca="false">IF(N787="Below","Better",IF(N787="Above","Weaker","-"))</f>
        <v>Weaker</v>
      </c>
    </row>
    <row r="788" customFormat="false" ht="15" hidden="false" customHeight="false" outlineLevel="0" collapsed="false">
      <c r="A788" s="18" t="s">
        <v>86</v>
      </c>
      <c r="B788" s="23" t="n">
        <f aca="false">TCI!D132</f>
        <v>0.911164748476732</v>
      </c>
      <c r="C788" s="23" t="n">
        <f aca="false">TCI!E132</f>
        <v>0.906144398174416</v>
      </c>
      <c r="D788" s="23" t="n">
        <f aca="false">TCI!F132</f>
        <v>0.873625648626339</v>
      </c>
      <c r="E788" s="23" t="n">
        <f aca="false">TCI!G132</f>
        <v>0.887544711664292</v>
      </c>
      <c r="F788" s="23" t="n">
        <f aca="false">TCI!H132</f>
        <v>0.897812268590996</v>
      </c>
      <c r="G788" s="23" t="n">
        <f aca="false">TCI!I132</f>
        <v>0.897020780180686</v>
      </c>
      <c r="H788" s="23" t="n">
        <f aca="false">TCI!J132</f>
        <v>0.89444289645438</v>
      </c>
      <c r="I788" s="24" t="n">
        <f aca="false">TCI!K132</f>
        <v>0.895393636023977</v>
      </c>
      <c r="J788" s="34" t="str">
        <f aca="false">IF(AND(ISNUMBER(H788),ISNUMBER(H$793)),IF(H788&gt;H$793,"Above",IF(H788&lt;H$793,"Below","At")),"-")</f>
        <v>Below</v>
      </c>
      <c r="K788" s="34" t="str">
        <f aca="false">IF(J788="Below","Better",IF(J788="Above","Weaker","-"))</f>
        <v>Better</v>
      </c>
      <c r="L788" s="34" t="n">
        <f aca="false">IF(ISNUMBER(H788),RANK(H788,H$781:H$790,1),"-")</f>
        <v>5</v>
      </c>
      <c r="N788" s="34" t="str">
        <f aca="false">IF(AND(ISNUMBER(I788),ISNUMBER(I$793)),IF(I788&gt;I$793,"Above",IF(I788&lt;I$793,"Below","At")),"-")</f>
        <v>Below</v>
      </c>
      <c r="O788" s="34" t="str">
        <f aca="false">IF(N788="Below","Better",IF(N788="Above","Weaker","-"))</f>
        <v>Better</v>
      </c>
    </row>
    <row r="789" customFormat="false" ht="15" hidden="false" customHeight="false" outlineLevel="0" collapsed="false">
      <c r="A789" s="18" t="s">
        <v>116</v>
      </c>
      <c r="B789" s="23" t="n">
        <f aca="false">Shreeji!D132</f>
        <v>0.917727272727273</v>
      </c>
      <c r="C789" s="23" t="n">
        <f aca="false">Shreeji!E132</f>
        <v>0.934306569343066</v>
      </c>
      <c r="D789" s="23" t="n">
        <f aca="false">Shreeji!F132</f>
        <v>0.897947966288018</v>
      </c>
      <c r="E789" s="23" t="n">
        <f aca="false">Shreeji!G132</f>
        <v>0.89471143531431</v>
      </c>
      <c r="F789" s="23" t="n">
        <f aca="false">Shreeji!H132</f>
        <v>0.924630738522954</v>
      </c>
      <c r="G789" s="23" t="n">
        <f aca="false">Shreeji!I132</f>
        <v>0.959033518030702</v>
      </c>
      <c r="H789" s="23" t="n">
        <f aca="false">Shreeji!J132</f>
        <v>0.966921336804815</v>
      </c>
      <c r="I789" s="24" t="n">
        <f aca="false">Shreeji!K132</f>
        <v>0.927896976718734</v>
      </c>
      <c r="J789" s="34" t="str">
        <f aca="false">IF(AND(ISNUMBER(H789),ISNUMBER(H$793)),IF(H789&gt;H$793,"Above",IF(H789&lt;H$793,"Below","At")),"-")</f>
        <v>Above</v>
      </c>
      <c r="K789" s="34" t="str">
        <f aca="false">IF(J789="Below","Better",IF(J789="Above","Weaker","-"))</f>
        <v>Weaker</v>
      </c>
      <c r="L789" s="34" t="n">
        <f aca="false">IF(ISNUMBER(H789),RANK(H789,H$781:H$790,1),"-")</f>
        <v>9</v>
      </c>
      <c r="N789" s="34" t="str">
        <f aca="false">IF(AND(ISNUMBER(I789),ISNUMBER(I$793)),IF(I789&gt;I$793,"Above",IF(I789&lt;I$793,"Below","At")),"-")</f>
        <v>Below</v>
      </c>
      <c r="O789" s="34" t="str">
        <f aca="false">IF(N789="Below","Better",IF(N789="Above","Weaker","-"))</f>
        <v>Better</v>
      </c>
    </row>
    <row r="790" customFormat="false" ht="15" hidden="false" customHeight="false" outlineLevel="0" collapsed="false">
      <c r="A790" s="18" t="s">
        <v>117</v>
      </c>
      <c r="B790" s="23" t="n">
        <f aca="false">MahindraLog!D132</f>
        <v>0.954343529791366</v>
      </c>
      <c r="C790" s="23" t="n">
        <f aca="false">MahindraLog!E132</f>
        <v>0.958734205140147</v>
      </c>
      <c r="D790" s="23" t="n">
        <f aca="false">MahindraLog!F132</f>
        <v>0.95547677237995</v>
      </c>
      <c r="E790" s="23" t="n">
        <f aca="false">MahindraLog!G132</f>
        <v>0.949296939135657</v>
      </c>
      <c r="F790" s="23" t="n">
        <f aca="false">MahindraLog!H132</f>
        <v>0.958001950609974</v>
      </c>
      <c r="G790" s="23" t="n">
        <f aca="false">MahindraLog!I132</f>
        <v>0.953415574225654</v>
      </c>
      <c r="H790" s="23" t="n">
        <f aca="false">MahindraLog!J132</f>
        <v>0.945880302315946</v>
      </c>
      <c r="I790" s="24" t="n">
        <f aca="false">MahindraLog!K132</f>
        <v>0.953592753371242</v>
      </c>
      <c r="J790" s="34" t="str">
        <f aca="false">IF(AND(ISNUMBER(H790),ISNUMBER(H$793)),IF(H790&gt;H$793,"Above",IF(H790&lt;H$793,"Below","At")),"-")</f>
        <v>Above</v>
      </c>
      <c r="K790" s="34" t="str">
        <f aca="false">IF(J790="Below","Better",IF(J790="Above","Weaker","-"))</f>
        <v>Weaker</v>
      </c>
      <c r="L790" s="34" t="n">
        <f aca="false">IF(ISNUMBER(H790),RANK(H790,H$781:H$790,1),"-")</f>
        <v>6</v>
      </c>
      <c r="N790" s="34" t="str">
        <f aca="false">IF(AND(ISNUMBER(I790),ISNUMBER(I$793)),IF(I790&gt;I$793,"Above",IF(I790&lt;I$793,"Below","At")),"-")</f>
        <v>Above</v>
      </c>
      <c r="O790" s="34" t="str">
        <f aca="false">IF(N790="Below","Better",IF(N790="Above","Weaker","-"))</f>
        <v>Weaker</v>
      </c>
    </row>
    <row r="791" customFormat="false" ht="15" hidden="false" customHeight="false" outlineLevel="0" collapsed="false">
      <c r="A791" s="12" t="s">
        <v>176</v>
      </c>
      <c r="B791" s="24" t="n">
        <f aca="false">Industry!D132</f>
        <v>0.87881231987348</v>
      </c>
      <c r="C791" s="24" t="n">
        <f aca="false">Industry!E132</f>
        <v>0.899445981072619</v>
      </c>
      <c r="D791" s="24" t="n">
        <f aca="false">Industry!F132</f>
        <v>0.884503509226359</v>
      </c>
      <c r="E791" s="24" t="n">
        <f aca="false">Industry!G132</f>
        <v>0.887574434941909</v>
      </c>
      <c r="F791" s="24" t="n">
        <f aca="false">Industry!H132</f>
        <v>0.894455005934888</v>
      </c>
      <c r="G791" s="24" t="n">
        <f aca="false">Industry!I132</f>
        <v>0.867223166510156</v>
      </c>
      <c r="H791" s="24" t="n">
        <f aca="false">Industry!J132</f>
        <v>0.866140522952309</v>
      </c>
      <c r="I791" s="24" t="n">
        <f aca="false">Industry!K132</f>
        <v>0.882593562930246</v>
      </c>
    </row>
    <row r="792" customFormat="false" ht="15" hidden="false" customHeight="false" outlineLevel="0" collapsed="false">
      <c r="A792" s="35" t="s">
        <v>177</v>
      </c>
      <c r="B792" s="39" t="n">
        <f aca="false">IFERROR(AVERAGE(B781:B790),"N/M")</f>
        <v>0.934278375631889</v>
      </c>
      <c r="C792" s="39" t="n">
        <f aca="false">IFERROR(AVERAGE(C781:C790),"N/M")</f>
        <v>0.939033619173831</v>
      </c>
      <c r="D792" s="39" t="n">
        <f aca="false">IFERROR(AVERAGE(D781:D790),"N/M")</f>
        <v>0.919932557028514</v>
      </c>
      <c r="E792" s="39" t="n">
        <f aca="false">IFERROR(AVERAGE(E781:E790),"N/M")</f>
        <v>0.907080740722121</v>
      </c>
      <c r="F792" s="39" t="n">
        <f aca="false">IFERROR(AVERAGE(F781:F790),"N/M")</f>
        <v>0.917034323093861</v>
      </c>
      <c r="G792" s="39" t="n">
        <f aca="false">IFERROR(AVERAGE(G781:G790),"N/M")</f>
        <v>0.912224555813097</v>
      </c>
      <c r="H792" s="39" t="n">
        <f aca="false">IFERROR(AVERAGE(H781:H790),"N/M")</f>
        <v>0.900674819266018</v>
      </c>
      <c r="I792" s="39" t="n">
        <f aca="false">IFERROR(AVERAGE(I781:I790),"N/M")</f>
        <v>0.918608427247047</v>
      </c>
    </row>
    <row r="793" customFormat="false" ht="15" hidden="false" customHeight="false" outlineLevel="0" collapsed="false">
      <c r="A793" s="35" t="s">
        <v>178</v>
      </c>
      <c r="B793" s="39" t="n">
        <f aca="false">IFERROR(MEDIAN(B781:B790),"N/M")</f>
        <v>0.94210961065079</v>
      </c>
      <c r="C793" s="39" t="n">
        <f aca="false">IFERROR(MEDIAN(C781:C790),"N/M")</f>
        <v>0.948738226868756</v>
      </c>
      <c r="D793" s="39" t="n">
        <f aca="false">IFERROR(MEDIAN(D781:D790),"N/M")</f>
        <v>0.935828765574539</v>
      </c>
      <c r="E793" s="39" t="n">
        <f aca="false">IFERROR(MEDIAN(E781:E790),"N/M")</f>
        <v>0.933235405595614</v>
      </c>
      <c r="F793" s="39" t="n">
        <f aca="false">IFERROR(MEDIAN(F781:F790),"N/M")</f>
        <v>0.930514167155226</v>
      </c>
      <c r="G793" s="39" t="n">
        <f aca="false">IFERROR(MEDIAN(G781:G790),"N/M")</f>
        <v>0.922267063495684</v>
      </c>
      <c r="H793" s="39" t="n">
        <f aca="false">IFERROR(MEDIAN(H781:H790),"N/M")</f>
        <v>0.920161599385163</v>
      </c>
      <c r="I793" s="39" t="n">
        <f aca="false">IFERROR(MEDIAN(I781:I790),"N/M")</f>
        <v>0.940744865044988</v>
      </c>
    </row>
    <row r="794" customFormat="false" ht="15" hidden="false" customHeight="false" outlineLevel="0" collapsed="false">
      <c r="A794" s="35" t="s">
        <v>179</v>
      </c>
      <c r="B794" s="39" t="n">
        <f aca="false">IFERROR(STDEV(B781:B790),"N/M")</f>
        <v>0.0882390244570049</v>
      </c>
      <c r="C794" s="39" t="n">
        <f aca="false">IFERROR(STDEV(C781:C790),"N/M")</f>
        <v>0.0791576790288909</v>
      </c>
      <c r="D794" s="39" t="n">
        <f aca="false">IFERROR(STDEV(D781:D790),"N/M")</f>
        <v>0.100198501632882</v>
      </c>
      <c r="E794" s="39" t="n">
        <f aca="false">IFERROR(STDEV(E781:E790),"N/M")</f>
        <v>0.0662561242354384</v>
      </c>
      <c r="F794" s="39" t="n">
        <f aca="false">IFERROR(STDEV(F781:F790),"N/M")</f>
        <v>0.0656225331239737</v>
      </c>
      <c r="G794" s="39" t="n">
        <f aca="false">IFERROR(STDEV(G781:G790),"N/M")</f>
        <v>0.0607322717259862</v>
      </c>
      <c r="H794" s="39" t="n">
        <f aca="false">IFERROR(STDEV(H781:H790),"N/M")</f>
        <v>0.0710282757103918</v>
      </c>
      <c r="I794" s="39" t="n">
        <f aca="false">IFERROR(STDEV(I781:I790),"N/M")</f>
        <v>0.0673355875285477</v>
      </c>
    </row>
    <row r="795" customFormat="false" ht="15" hidden="false" customHeight="false" outlineLevel="0" collapsed="false">
      <c r="A795" s="35" t="s">
        <v>102</v>
      </c>
      <c r="B795" s="39" t="n">
        <f aca="false">IFERROR(MIN(B781:B790),"N/M")</f>
        <v>0.740558966168321</v>
      </c>
      <c r="C795" s="39" t="n">
        <f aca="false">IFERROR(MIN(C781:C790),"N/M")</f>
        <v>0.791282583109549</v>
      </c>
      <c r="D795" s="39" t="n">
        <f aca="false">IFERROR(MIN(D781:D790),"N/M")</f>
        <v>0.771523364864565</v>
      </c>
      <c r="E795" s="39" t="n">
        <f aca="false">IFERROR(MIN(E781:E790),"N/M")</f>
        <v>0.771358481696927</v>
      </c>
      <c r="F795" s="39" t="n">
        <f aca="false">IFERROR(MIN(F781:F790),"N/M")</f>
        <v>0.773652236517165</v>
      </c>
      <c r="G795" s="39" t="n">
        <f aca="false">IFERROR(MIN(G781:G790),"N/M")</f>
        <v>0.782828214632126</v>
      </c>
      <c r="H795" s="39" t="n">
        <f aca="false">IFERROR(MIN(H781:H790),"N/M")</f>
        <v>0.785072535761215</v>
      </c>
      <c r="I795" s="39" t="n">
        <f aca="false">IFERROR(MIN(I781:I790),"N/M")</f>
        <v>0.780289808342031</v>
      </c>
    </row>
    <row r="796" customFormat="false" ht="15" hidden="false" customHeight="false" outlineLevel="0" collapsed="false">
      <c r="A796" s="35" t="s">
        <v>103</v>
      </c>
      <c r="B796" s="39" t="n">
        <f aca="false">IFERROR(MAX(B781:B790),"N/M")</f>
        <v>1.02782937508292</v>
      </c>
      <c r="C796" s="39" t="n">
        <f aca="false">IFERROR(MAX(C781:C790),"N/M")</f>
        <v>1.05653184011437</v>
      </c>
      <c r="D796" s="39" t="n">
        <f aca="false">IFERROR(MAX(D781:D790),"N/M")</f>
        <v>1.11224811534382</v>
      </c>
      <c r="E796" s="39" t="n">
        <f aca="false">IFERROR(MAX(E781:E790),"N/M")</f>
        <v>0.980801075139792</v>
      </c>
      <c r="F796" s="39" t="n">
        <f aca="false">IFERROR(MAX(F781:F790),"N/M")</f>
        <v>0.98475900662764</v>
      </c>
      <c r="G796" s="39" t="n">
        <f aca="false">IFERROR(MAX(G781:G790),"N/M")</f>
        <v>0.974291633838163</v>
      </c>
      <c r="H796" s="39" t="n">
        <f aca="false">IFERROR(MAX(H781:H790),"N/M")</f>
        <v>0.970963767710142</v>
      </c>
      <c r="I796" s="39" t="n">
        <f aca="false">IFERROR(MAX(I781:I790),"N/M")</f>
        <v>0.979546600526756</v>
      </c>
    </row>
    <row r="798" customFormat="false" ht="15" hidden="false" customHeight="false" outlineLevel="0" collapsed="false">
      <c r="A798" s="16" t="s">
        <v>224</v>
      </c>
      <c r="B798" s="17"/>
      <c r="C798" s="17"/>
      <c r="D798" s="17"/>
      <c r="E798" s="17"/>
      <c r="F798" s="17"/>
      <c r="G798" s="17"/>
      <c r="H798" s="17"/>
      <c r="I798" s="17"/>
      <c r="J798" s="17"/>
      <c r="K798" s="17"/>
      <c r="L798" s="17"/>
      <c r="M798" s="17"/>
    </row>
    <row r="799" customFormat="false" ht="15" hidden="false" customHeight="false" outlineLevel="0" collapsed="false">
      <c r="A799" s="18" t="s">
        <v>110</v>
      </c>
      <c r="B799" s="23" t="n">
        <f aca="false">Tiger!D135</f>
        <v>-0.107243731803763</v>
      </c>
      <c r="C799" s="23" t="n">
        <f aca="false">Tiger!E135</f>
        <v>-0.131456392887384</v>
      </c>
      <c r="D799" s="23" t="n">
        <f aca="false">Tiger!F135</f>
        <v>0.32793759141882</v>
      </c>
      <c r="E799" s="23" t="n">
        <f aca="false">Tiger!G135</f>
        <v>0.192806113972421</v>
      </c>
      <c r="F799" s="23" t="n">
        <f aca="false">Tiger!H135</f>
        <v>0.0985214185259797</v>
      </c>
      <c r="G799" s="23" t="n">
        <f aca="false">Tiger!I135</f>
        <v>0.159224216700563</v>
      </c>
      <c r="H799" s="23" t="n">
        <f aca="false">Tiger!J135</f>
        <v>0.0939102354301674</v>
      </c>
      <c r="I799" s="24" t="n">
        <f aca="false">Tiger!K135</f>
        <v>0.090528493050972</v>
      </c>
      <c r="J799" s="34" t="str">
        <f aca="false">IF(AND(ISNUMBER(H799),ISNUMBER(H$811)),IF(H799&gt;H$811,"Above",IF(H799&lt;H$811,"Below","At")),"-")</f>
        <v>Above</v>
      </c>
      <c r="K799" s="34" t="str">
        <f aca="false">IF(J799="Above","Better",IF(J799="Below","Weaker","-"))</f>
        <v>Better</v>
      </c>
      <c r="L799" s="34" t="n">
        <f aca="false">IF(ISNUMBER(H799),RANK(H799,H$799:H$808,0),"-")</f>
        <v>2</v>
      </c>
      <c r="N799" s="34" t="str">
        <f aca="false">IF(AND(ISNUMBER(I799),ISNUMBER(I$811)),IF(I799&gt;I$811,"Above",IF(I799&lt;I$811,"Below","At")),"-")</f>
        <v>Above</v>
      </c>
      <c r="O799" s="34" t="str">
        <f aca="false">IF(N799="Above","Better",IF(N799="Below","Weaker","-"))</f>
        <v>Better</v>
      </c>
    </row>
    <row r="800" customFormat="false" ht="15" hidden="false" customHeight="false" outlineLevel="0" collapsed="false">
      <c r="A800" s="18" t="s">
        <v>111</v>
      </c>
      <c r="B800" s="23" t="n">
        <f aca="false">Allcargo!D135</f>
        <v>0.0483977207494919</v>
      </c>
      <c r="C800" s="23" t="n">
        <f aca="false">Allcargo!E135</f>
        <v>0.0274135280766691</v>
      </c>
      <c r="D800" s="23" t="n">
        <f aca="false">Allcargo!F135</f>
        <v>0.10944082585429</v>
      </c>
      <c r="E800" s="23" t="n">
        <f aca="false">Allcargo!G135</f>
        <v>0.0747960332286893</v>
      </c>
      <c r="F800" s="23" t="n">
        <f aca="false">Allcargo!H135</f>
        <v>0.0207998566102069</v>
      </c>
      <c r="G800" s="23" t="n">
        <f aca="false">Allcargo!I135</f>
        <v>0.0145993926652651</v>
      </c>
      <c r="H800" s="23" t="n">
        <f aca="false">Allcargo!J135</f>
        <v>0.00460166810468795</v>
      </c>
      <c r="I800" s="24" t="n">
        <f aca="false">Allcargo!K135</f>
        <v>0.0428641464699</v>
      </c>
      <c r="J800" s="34" t="str">
        <f aca="false">IF(AND(ISNUMBER(H800),ISNUMBER(H$811)),IF(H800&gt;H$811,"Above",IF(H800&lt;H$811,"Below","At")),"-")</f>
        <v>Below</v>
      </c>
      <c r="K800" s="34" t="str">
        <f aca="false">IF(J800="Above","Better",IF(J800="Below","Weaker","-"))</f>
        <v>Weaker</v>
      </c>
      <c r="L800" s="34" t="n">
        <f aca="false">IF(ISNUMBER(H800),RANK(H800,H$799:H$808,0),"-")</f>
        <v>9</v>
      </c>
      <c r="N800" s="34" t="str">
        <f aca="false">IF(AND(ISNUMBER(I800),ISNUMBER(I$811)),IF(I800&gt;I$811,"Above",IF(I800&lt;I$811,"Below","At")),"-")</f>
        <v>Below</v>
      </c>
      <c r="O800" s="34" t="str">
        <f aca="false">IF(N800="Above","Better",IF(N800="Below","Weaker","-"))</f>
        <v>Weaker</v>
      </c>
    </row>
    <row r="801" customFormat="false" ht="15" hidden="false" customHeight="false" outlineLevel="0" collapsed="false">
      <c r="A801" s="18" t="s">
        <v>112</v>
      </c>
      <c r="B801" s="23" t="n">
        <f aca="false">BlueDart!D135</f>
        <v>-0.0188048202513449</v>
      </c>
      <c r="C801" s="23" t="n">
        <f aca="false">BlueDart!E135</f>
        <v>0.036766325642535</v>
      </c>
      <c r="D801" s="23" t="n">
        <f aca="false">BlueDart!F135</f>
        <v>0.133495395716873</v>
      </c>
      <c r="E801" s="23" t="n">
        <f aca="false">BlueDart!G135</f>
        <v>0.122452823953204</v>
      </c>
      <c r="F801" s="23" t="n">
        <f aca="false">BlueDart!H135</f>
        <v>0.090069629589733</v>
      </c>
      <c r="G801" s="23" t="n">
        <f aca="false">BlueDart!I135</f>
        <v>0.070868065011525</v>
      </c>
      <c r="H801" s="23" t="n">
        <f aca="false">BlueDart!J135</f>
        <v>0.0635179424900605</v>
      </c>
      <c r="I801" s="24" t="n">
        <f aca="false">BlueDart!K135</f>
        <v>0.0711950517360836</v>
      </c>
      <c r="J801" s="34" t="str">
        <f aca="false">IF(AND(ISNUMBER(H801),ISNUMBER(H$811)),IF(H801&gt;H$811,"Above",IF(H801&lt;H$811,"Below","At")),"-")</f>
        <v>Above</v>
      </c>
      <c r="K801" s="34" t="str">
        <f aca="false">IF(J801="Above","Better",IF(J801="Below","Weaker","-"))</f>
        <v>Better</v>
      </c>
      <c r="L801" s="34" t="n">
        <f aca="false">IF(ISNUMBER(H801),RANK(H801,H$799:H$808,0),"-")</f>
        <v>4</v>
      </c>
      <c r="N801" s="34" t="str">
        <f aca="false">IF(AND(ISNUMBER(I801),ISNUMBER(I$811)),IF(I801&gt;I$811,"Above",IF(I801&lt;I$811,"Below","At")),"-")</f>
        <v>Above</v>
      </c>
      <c r="O801" s="34" t="str">
        <f aca="false">IF(N801="Above","Better",IF(N801="Below","Weaker","-"))</f>
        <v>Better</v>
      </c>
    </row>
    <row r="802" customFormat="false" ht="15" hidden="false" customHeight="false" outlineLevel="0" collapsed="false">
      <c r="A802" s="18" t="s">
        <v>67</v>
      </c>
      <c r="B802" s="23" t="n">
        <f aca="false">CONCOR!D135</f>
        <v>0.0328246777280755</v>
      </c>
      <c r="C802" s="23" t="n">
        <f aca="false">CONCOR!E135</f>
        <v>0.0417583879804341</v>
      </c>
      <c r="D802" s="23" t="n">
        <f aca="false">CONCOR!F135</f>
        <v>0.0830387628867602</v>
      </c>
      <c r="E802" s="23" t="n">
        <f aca="false">CONCOR!G135</f>
        <v>0.0887033519071821</v>
      </c>
      <c r="F802" s="23" t="n">
        <f aca="false">CONCOR!H135</f>
        <v>0.0916685391746857</v>
      </c>
      <c r="G802" s="23" t="n">
        <f aca="false">CONCOR!I135</f>
        <v>0.0904780641491516</v>
      </c>
      <c r="H802" s="23" t="n">
        <f aca="false">CONCOR!J135</f>
        <v>0.0837553249177825</v>
      </c>
      <c r="I802" s="24" t="n">
        <f aca="false">CONCOR!K135</f>
        <v>0.0731753012491531</v>
      </c>
      <c r="J802" s="34" t="str">
        <f aca="false">IF(AND(ISNUMBER(H802),ISNUMBER(H$811)),IF(H802&gt;H$811,"Above",IF(H802&lt;H$811,"Below","At")),"-")</f>
        <v>Above</v>
      </c>
      <c r="K802" s="34" t="str">
        <f aca="false">IF(J802="Above","Better",IF(J802="Below","Weaker","-"))</f>
        <v>Better</v>
      </c>
      <c r="L802" s="34" t="n">
        <f aca="false">IF(ISNUMBER(H802),RANK(H802,H$799:H$808,0),"-")</f>
        <v>3</v>
      </c>
      <c r="N802" s="34" t="str">
        <f aca="false">IF(AND(ISNUMBER(I802),ISNUMBER(I$811)),IF(I802&gt;I$811,"Above",IF(I802&lt;I$811,"Below","At")),"-")</f>
        <v>Above</v>
      </c>
      <c r="O802" s="34" t="str">
        <f aca="false">IF(N802="Above","Better",IF(N802="Below","Weaker","-"))</f>
        <v>Better</v>
      </c>
    </row>
    <row r="803" customFormat="false" ht="15" hidden="false" customHeight="false" outlineLevel="0" collapsed="false">
      <c r="A803" s="18" t="s">
        <v>113</v>
      </c>
      <c r="B803" s="23" t="n">
        <f aca="false">JetFreight!D135</f>
        <v>-0.0944873208379272</v>
      </c>
      <c r="C803" s="23" t="n">
        <f aca="false">JetFreight!E135</f>
        <v>0.0269921496935154</v>
      </c>
      <c r="D803" s="23" t="n">
        <f aca="false">JetFreight!F135</f>
        <v>0.0270919396675954</v>
      </c>
      <c r="E803" s="23" t="n">
        <f aca="false">JetFreight!G135</f>
        <v>0.000454769394019782</v>
      </c>
      <c r="F803" s="23" t="n">
        <f aca="false">JetFreight!H135</f>
        <v>0.00160286048948893</v>
      </c>
      <c r="G803" s="23" t="n">
        <f aca="false">JetFreight!I135</f>
        <v>0.0211337431655288</v>
      </c>
      <c r="H803" s="23" t="n">
        <f aca="false">JetFreight!J135</f>
        <v>0.0361202592159779</v>
      </c>
      <c r="I803" s="24" t="n">
        <f aca="false">JetFreight!K135</f>
        <v>0.00270120011259985</v>
      </c>
      <c r="J803" s="34" t="str">
        <f aca="false">IF(AND(ISNUMBER(H803),ISNUMBER(H$811)),IF(H803&gt;H$811,"Above",IF(H803&lt;H$811,"Below","At")),"-")</f>
        <v>Below</v>
      </c>
      <c r="K803" s="34" t="str">
        <f aca="false">IF(J803="Above","Better",IF(J803="Below","Weaker","-"))</f>
        <v>Weaker</v>
      </c>
      <c r="L803" s="34" t="n">
        <f aca="false">IF(ISNUMBER(H803),RANK(H803,H$799:H$808,0),"-")</f>
        <v>7</v>
      </c>
      <c r="N803" s="34" t="str">
        <f aca="false">IF(AND(ISNUMBER(I803),ISNUMBER(I$811)),IF(I803&gt;I$811,"Above",IF(I803&lt;I$811,"Below","At")),"-")</f>
        <v>Below</v>
      </c>
      <c r="O803" s="34" t="str">
        <f aca="false">IF(N803="Above","Better",IF(N803="Below","Weaker","-"))</f>
        <v>Weaker</v>
      </c>
    </row>
    <row r="804" customFormat="false" ht="15" hidden="false" customHeight="false" outlineLevel="0" collapsed="false">
      <c r="A804" s="18" t="s">
        <v>114</v>
      </c>
      <c r="B804" s="23" t="n">
        <f aca="false">Patel!D135</f>
        <v>0.0496750768946139</v>
      </c>
      <c r="C804" s="23" t="n">
        <f aca="false">Patel!E135</f>
        <v>0.000252723091308853</v>
      </c>
      <c r="D804" s="23" t="n">
        <f aca="false">Patel!F135</f>
        <v>0.0122918640855557</v>
      </c>
      <c r="E804" s="23" t="n">
        <f aca="false">Patel!G135</f>
        <v>0.0279043280182232</v>
      </c>
      <c r="F804" s="23" t="n">
        <f aca="false">Patel!H135</f>
        <v>0.0304236799472803</v>
      </c>
      <c r="G804" s="23" t="n">
        <f aca="false">Patel!I135</f>
        <v>0.0422034651266104</v>
      </c>
      <c r="H804" s="23" t="n">
        <f aca="false">Patel!J135</f>
        <v>0.057929036929761</v>
      </c>
      <c r="I804" s="24" t="n">
        <f aca="false">Patel!K135</f>
        <v>0.0315257391561934</v>
      </c>
      <c r="J804" s="34" t="str">
        <f aca="false">IF(AND(ISNUMBER(H804),ISNUMBER(H$811)),IF(H804&gt;H$811,"Above",IF(H804&lt;H$811,"Below","At")),"-")</f>
        <v>Above</v>
      </c>
      <c r="K804" s="34" t="str">
        <f aca="false">IF(J804="Above","Better",IF(J804="Below","Weaker","-"))</f>
        <v>Better</v>
      </c>
      <c r="L804" s="34" t="n">
        <f aca="false">IF(ISNUMBER(H804),RANK(H804,H$799:H$808,0),"-")</f>
        <v>5</v>
      </c>
      <c r="N804" s="34" t="str">
        <f aca="false">IF(AND(ISNUMBER(I804),ISNUMBER(I$811)),IF(I804&gt;I$811,"Above",IF(I804&lt;I$811,"Below","At")),"-")</f>
        <v>Below</v>
      </c>
      <c r="O804" s="34" t="str">
        <f aca="false">IF(N804="Above","Better",IF(N804="Below","Weaker","-"))</f>
        <v>Weaker</v>
      </c>
    </row>
    <row r="805" customFormat="false" ht="15" hidden="false" customHeight="false" outlineLevel="0" collapsed="false">
      <c r="A805" s="18" t="s">
        <v>115</v>
      </c>
      <c r="B805" s="23" t="n">
        <f aca="false">Sical!D135</f>
        <v>-0.0388118582119858</v>
      </c>
      <c r="C805" s="23" t="n">
        <f aca="false">Sical!E135</f>
        <v>-0.515598043574922</v>
      </c>
      <c r="D805" s="23" t="n">
        <f aca="false">Sical!F135</f>
        <v>-0.157991166763735</v>
      </c>
      <c r="E805" s="23" t="n">
        <f aca="false">Sical!G135</f>
        <v>-0.707151306500918</v>
      </c>
      <c r="F805" s="23" t="n">
        <f aca="false">Sical!H135</f>
        <v>-0.0362564480471629</v>
      </c>
      <c r="G805" s="23" t="n">
        <f aca="false">Sical!I135</f>
        <v>-0.0317624273724984</v>
      </c>
      <c r="H805" s="23" t="n">
        <f aca="false">Sical!J135</f>
        <v>0.0558211186878412</v>
      </c>
      <c r="I805" s="24" t="n">
        <f aca="false">Sical!K135</f>
        <v>-0.204535733111912</v>
      </c>
      <c r="J805" s="34" t="str">
        <f aca="false">IF(AND(ISNUMBER(H805),ISNUMBER(H$811)),IF(H805&gt;H$811,"Above",IF(H805&lt;H$811,"Below","At")),"-")</f>
        <v>Below</v>
      </c>
      <c r="K805" s="34" t="str">
        <f aca="false">IF(J805="Above","Better",IF(J805="Below","Weaker","-"))</f>
        <v>Weaker</v>
      </c>
      <c r="L805" s="34" t="n">
        <f aca="false">IF(ISNUMBER(H805),RANK(H805,H$799:H$808,0),"-")</f>
        <v>6</v>
      </c>
      <c r="N805" s="34" t="str">
        <f aca="false">IF(AND(ISNUMBER(I805),ISNUMBER(I$811)),IF(I805&gt;I$811,"Above",IF(I805&lt;I$811,"Below","At")),"-")</f>
        <v>Below</v>
      </c>
      <c r="O805" s="34" t="str">
        <f aca="false">IF(N805="Above","Better",IF(N805="Below","Weaker","-"))</f>
        <v>Weaker</v>
      </c>
    </row>
    <row r="806" customFormat="false" ht="15" hidden="false" customHeight="false" outlineLevel="0" collapsed="false">
      <c r="A806" s="18" t="s">
        <v>86</v>
      </c>
      <c r="B806" s="23" t="n">
        <f aca="false">TCI!D135</f>
        <v>0.0862978780154398</v>
      </c>
      <c r="C806" s="23" t="n">
        <f aca="false">TCI!E135</f>
        <v>0.0859873821275054</v>
      </c>
      <c r="D806" s="23" t="n">
        <f aca="false">TCI!F135</f>
        <v>0.162435779507774</v>
      </c>
      <c r="E806" s="23" t="n">
        <f aca="false">TCI!G135</f>
        <v>0.161580879545003</v>
      </c>
      <c r="F806" s="23" t="n">
        <f aca="false">TCI!H135</f>
        <v>0.152445185135291</v>
      </c>
      <c r="G806" s="23" t="n">
        <f aca="false">TCI!I135</f>
        <v>0.151737764997434</v>
      </c>
      <c r="H806" s="23" t="n">
        <f aca="false">TCI!J135</f>
        <v>0.14222500697487</v>
      </c>
      <c r="I806" s="24" t="n">
        <f aca="false">TCI!K135</f>
        <v>0.134672839471902</v>
      </c>
      <c r="J806" s="34" t="str">
        <f aca="false">IF(AND(ISNUMBER(H806),ISNUMBER(H$811)),IF(H806&gt;H$811,"Above",IF(H806&lt;H$811,"Below","At")),"-")</f>
        <v>Above</v>
      </c>
      <c r="K806" s="34" t="str">
        <f aca="false">IF(J806="Above","Better",IF(J806="Below","Weaker","-"))</f>
        <v>Better</v>
      </c>
      <c r="L806" s="34" t="n">
        <f aca="false">IF(ISNUMBER(H806),RANK(H806,H$799:H$808,0),"-")</f>
        <v>1</v>
      </c>
      <c r="N806" s="34" t="str">
        <f aca="false">IF(AND(ISNUMBER(I806),ISNUMBER(I$811)),IF(I806&gt;I$811,"Above",IF(I806&lt;I$811,"Below","At")),"-")</f>
        <v>Above</v>
      </c>
      <c r="O806" s="34" t="str">
        <f aca="false">IF(N806="Above","Better",IF(N806="Below","Weaker","-"))</f>
        <v>Better</v>
      </c>
    </row>
    <row r="807" customFormat="false" ht="15" hidden="false" customHeight="false" outlineLevel="0" collapsed="false">
      <c r="A807" s="18" t="s">
        <v>116</v>
      </c>
      <c r="B807" s="23" t="n">
        <f aca="false">Shreeji!D135</f>
        <v>0.0195206161609455</v>
      </c>
      <c r="C807" s="23" t="n">
        <f aca="false">Shreeji!E135</f>
        <v>-0.0135126758817331</v>
      </c>
      <c r="D807" s="23" t="n">
        <f aca="false">Shreeji!F135</f>
        <v>0.103164888966603</v>
      </c>
      <c r="E807" s="23" t="n">
        <f aca="false">Shreeji!G135</f>
        <v>0.0996653796653797</v>
      </c>
      <c r="F807" s="23" t="n">
        <f aca="false">Shreeji!H135</f>
        <v>0.144672531769306</v>
      </c>
      <c r="G807" s="23" t="n">
        <f aca="false">Shreeji!I135</f>
        <v>0.0129997026211819</v>
      </c>
      <c r="H807" s="23" t="n">
        <f aca="false">Shreeji!J135</f>
        <v>0.0269498102426336</v>
      </c>
      <c r="I807" s="24" t="n">
        <f aca="false">Shreeji!K135</f>
        <v>0.056208607649188</v>
      </c>
      <c r="J807" s="34" t="str">
        <f aca="false">IF(AND(ISNUMBER(H807),ISNUMBER(H$811)),IF(H807&gt;H$811,"Above",IF(H807&lt;H$811,"Below","At")),"-")</f>
        <v>Below</v>
      </c>
      <c r="K807" s="34" t="str">
        <f aca="false">IF(J807="Above","Better",IF(J807="Below","Weaker","-"))</f>
        <v>Weaker</v>
      </c>
      <c r="L807" s="34" t="n">
        <f aca="false">IF(ISNUMBER(H807),RANK(H807,H$799:H$808,0),"-")</f>
        <v>8</v>
      </c>
      <c r="N807" s="34" t="str">
        <f aca="false">IF(AND(ISNUMBER(I807),ISNUMBER(I$811)),IF(I807&gt;I$811,"Above",IF(I807&lt;I$811,"Below","At")),"-")</f>
        <v>Above</v>
      </c>
      <c r="O807" s="34" t="str">
        <f aca="false">IF(N807="Above","Better",IF(N807="Below","Weaker","-"))</f>
        <v>Better</v>
      </c>
    </row>
    <row r="808" customFormat="false" ht="15" hidden="false" customHeight="false" outlineLevel="0" collapsed="false">
      <c r="A808" s="18" t="s">
        <v>117</v>
      </c>
      <c r="B808" s="23" t="n">
        <f aca="false">MahindraLog!D135</f>
        <v>0.0419650164639601</v>
      </c>
      <c r="C808" s="23" t="n">
        <f aca="false">MahindraLog!E135</f>
        <v>0.0193002377145945</v>
      </c>
      <c r="D808" s="23" t="n">
        <f aca="false">MahindraLog!F135</f>
        <v>0.00958941887357094</v>
      </c>
      <c r="E808" s="23" t="n">
        <f aca="false">MahindraLog!G135</f>
        <v>0.0116067997827037</v>
      </c>
      <c r="F808" s="23" t="n">
        <f aca="false">MahindraLog!H135</f>
        <v>-0.0217648017749009</v>
      </c>
      <c r="G808" s="23" t="n">
        <f aca="false">MahindraLog!I135</f>
        <v>-0.014181170886076</v>
      </c>
      <c r="H808" s="23" t="n">
        <f aca="false">MahindraLog!J135</f>
        <v>0.000805797519621521</v>
      </c>
      <c r="I808" s="24" t="n">
        <f aca="false">MahindraLog!K135</f>
        <v>0.006760185384782</v>
      </c>
      <c r="J808" s="34" t="str">
        <f aca="false">IF(AND(ISNUMBER(H808),ISNUMBER(H$811)),IF(H808&gt;H$811,"Above",IF(H808&lt;H$811,"Below","At")),"-")</f>
        <v>Below</v>
      </c>
      <c r="K808" s="34" t="str">
        <f aca="false">IF(J808="Above","Better",IF(J808="Below","Weaker","-"))</f>
        <v>Weaker</v>
      </c>
      <c r="L808" s="34" t="n">
        <f aca="false">IF(ISNUMBER(H808),RANK(H808,H$799:H$808,0),"-")</f>
        <v>10</v>
      </c>
      <c r="N808" s="34" t="str">
        <f aca="false">IF(AND(ISNUMBER(I808),ISNUMBER(I$811)),IF(I808&gt;I$811,"Above",IF(I808&lt;I$811,"Below","At")),"-")</f>
        <v>Below</v>
      </c>
      <c r="O808" s="34" t="str">
        <f aca="false">IF(N808="Above","Better",IF(N808="Below","Weaker","-"))</f>
        <v>Weaker</v>
      </c>
    </row>
    <row r="809" customFormat="false" ht="15" hidden="false" customHeight="false" outlineLevel="0" collapsed="false">
      <c r="A809" s="12" t="s">
        <v>176</v>
      </c>
      <c r="B809" s="24" t="n">
        <f aca="false">Industry!D135</f>
        <v>0.0262929729228542</v>
      </c>
      <c r="C809" s="24" t="n">
        <f aca="false">Industry!E135</f>
        <v>-0.00785933256616801</v>
      </c>
      <c r="D809" s="24" t="n">
        <f aca="false">Industry!F135</f>
        <v>0.0825518071487768</v>
      </c>
      <c r="E809" s="24" t="n">
        <f aca="false">Industry!G135</f>
        <v>0.056241399723223</v>
      </c>
      <c r="F809" s="24" t="n">
        <f aca="false">Industry!H135</f>
        <v>0.0660892106396505</v>
      </c>
      <c r="G809" s="24" t="n">
        <f aca="false">Industry!I135</f>
        <v>0.0689568890020147</v>
      </c>
      <c r="H809" s="24" t="n">
        <f aca="false">Industry!J135</f>
        <v>0.0728330322784577</v>
      </c>
      <c r="I809" s="24" t="n">
        <f aca="false">Industry!K135</f>
        <v>0.0521579970212584</v>
      </c>
    </row>
    <row r="810" customFormat="false" ht="15" hidden="false" customHeight="false" outlineLevel="0" collapsed="false">
      <c r="A810" s="35" t="s">
        <v>177</v>
      </c>
      <c r="B810" s="39" t="n">
        <f aca="false">IFERROR(AVERAGE(B799:B808),"N/M")</f>
        <v>0.00193332549075056</v>
      </c>
      <c r="C810" s="39" t="n">
        <f aca="false">IFERROR(AVERAGE(C799:C808),"N/M")</f>
        <v>-0.0422096378017477</v>
      </c>
      <c r="D810" s="39" t="n">
        <f aca="false">IFERROR(AVERAGE(D799:D808),"N/M")</f>
        <v>0.0810495300214106</v>
      </c>
      <c r="E810" s="39" t="n">
        <f aca="false">IFERROR(AVERAGE(E799:E808),"N/M")</f>
        <v>0.00728191729659078</v>
      </c>
      <c r="F810" s="39" t="n">
        <f aca="false">IFERROR(AVERAGE(F799:F808),"N/M")</f>
        <v>0.0572182451419908</v>
      </c>
      <c r="G810" s="39" t="n">
        <f aca="false">IFERROR(AVERAGE(G799:G808),"N/M")</f>
        <v>0.0517300816178685</v>
      </c>
      <c r="H810" s="39" t="n">
        <f aca="false">IFERROR(AVERAGE(H799:H808),"N/M")</f>
        <v>0.0565636200513404</v>
      </c>
      <c r="I810" s="39" t="n">
        <f aca="false">IFERROR(AVERAGE(I799:I808),"N/M")</f>
        <v>0.0305095831168863</v>
      </c>
    </row>
    <row r="811" customFormat="false" ht="15" hidden="false" customHeight="false" outlineLevel="0" collapsed="false">
      <c r="A811" s="35" t="s">
        <v>178</v>
      </c>
      <c r="B811" s="39" t="n">
        <f aca="false">IFERROR(MEDIAN(B799:B808),"N/M")</f>
        <v>0.0261726469445105</v>
      </c>
      <c r="C811" s="39" t="n">
        <f aca="false">IFERROR(MEDIAN(C799:C808),"N/M")</f>
        <v>0.023146193704055</v>
      </c>
      <c r="D811" s="39" t="n">
        <f aca="false">IFERROR(MEDIAN(D799:D808),"N/M")</f>
        <v>0.0931018259266814</v>
      </c>
      <c r="E811" s="39" t="n">
        <f aca="false">IFERROR(MEDIAN(E799:E808),"N/M")</f>
        <v>0.0817496925679357</v>
      </c>
      <c r="F811" s="39" t="n">
        <f aca="false">IFERROR(MEDIAN(F799:F808),"N/M")</f>
        <v>0.0602466547685066</v>
      </c>
      <c r="G811" s="39" t="n">
        <f aca="false">IFERROR(MEDIAN(G799:G808),"N/M")</f>
        <v>0.0316686041460696</v>
      </c>
      <c r="H811" s="39" t="n">
        <f aca="false">IFERROR(MEDIAN(H799:H808),"N/M")</f>
        <v>0.0568750778088011</v>
      </c>
      <c r="I811" s="39" t="n">
        <f aca="false">IFERROR(MEDIAN(I799:I808),"N/M")</f>
        <v>0.049536377059544</v>
      </c>
    </row>
    <row r="812" customFormat="false" ht="15" hidden="false" customHeight="false" outlineLevel="0" collapsed="false">
      <c r="A812" s="35" t="s">
        <v>179</v>
      </c>
      <c r="B812" s="39" t="n">
        <f aca="false">IFERROR(STDEV(B799:B808),"N/M")</f>
        <v>0.0647461100132428</v>
      </c>
      <c r="C812" s="39" t="n">
        <f aca="false">IFERROR(STDEV(C799:C808),"N/M")</f>
        <v>0.175698662237933</v>
      </c>
      <c r="D812" s="39" t="n">
        <f aca="false">IFERROR(STDEV(D799:D808),"N/M")</f>
        <v>0.125394115362917</v>
      </c>
      <c r="E812" s="39" t="n">
        <f aca="false">IFERROR(STDEV(E799:E808),"N/M")</f>
        <v>0.25865452606245</v>
      </c>
      <c r="F812" s="39" t="n">
        <f aca="false">IFERROR(STDEV(F799:F808),"N/M")</f>
        <v>0.0673313278785458</v>
      </c>
      <c r="G812" s="39" t="n">
        <f aca="false">IFERROR(STDEV(G799:G808),"N/M")</f>
        <v>0.0655278645587536</v>
      </c>
      <c r="H812" s="39" t="n">
        <f aca="false">IFERROR(STDEV(H799:H808),"N/M")</f>
        <v>0.0429815179050313</v>
      </c>
      <c r="I812" s="39" t="n">
        <f aca="false">IFERROR(STDEV(I799:I808),"N/M")</f>
        <v>0.0914850763751848</v>
      </c>
    </row>
    <row r="813" customFormat="false" ht="15" hidden="false" customHeight="false" outlineLevel="0" collapsed="false">
      <c r="A813" s="35" t="s">
        <v>102</v>
      </c>
      <c r="B813" s="39" t="n">
        <f aca="false">IFERROR(MIN(B799:B808),"N/M")</f>
        <v>-0.107243731803763</v>
      </c>
      <c r="C813" s="39" t="n">
        <f aca="false">IFERROR(MIN(C799:C808),"N/M")</f>
        <v>-0.515598043574922</v>
      </c>
      <c r="D813" s="39" t="n">
        <f aca="false">IFERROR(MIN(D799:D808),"N/M")</f>
        <v>-0.157991166763735</v>
      </c>
      <c r="E813" s="39" t="n">
        <f aca="false">IFERROR(MIN(E799:E808),"N/M")</f>
        <v>-0.707151306500918</v>
      </c>
      <c r="F813" s="39" t="n">
        <f aca="false">IFERROR(MIN(F799:F808),"N/M")</f>
        <v>-0.0362564480471629</v>
      </c>
      <c r="G813" s="39" t="n">
        <f aca="false">IFERROR(MIN(G799:G808),"N/M")</f>
        <v>-0.0317624273724984</v>
      </c>
      <c r="H813" s="39" t="n">
        <f aca="false">IFERROR(MIN(H799:H808),"N/M")</f>
        <v>0.000805797519621521</v>
      </c>
      <c r="I813" s="39" t="n">
        <f aca="false">IFERROR(MIN(I799:I808),"N/M")</f>
        <v>-0.204535733111912</v>
      </c>
    </row>
    <row r="814" customFormat="false" ht="15" hidden="false" customHeight="false" outlineLevel="0" collapsed="false">
      <c r="A814" s="35" t="s">
        <v>103</v>
      </c>
      <c r="B814" s="39" t="n">
        <f aca="false">IFERROR(MAX(B799:B808),"N/M")</f>
        <v>0.0862978780154398</v>
      </c>
      <c r="C814" s="39" t="n">
        <f aca="false">IFERROR(MAX(C799:C808),"N/M")</f>
        <v>0.0859873821275054</v>
      </c>
      <c r="D814" s="39" t="n">
        <f aca="false">IFERROR(MAX(D799:D808),"N/M")</f>
        <v>0.32793759141882</v>
      </c>
      <c r="E814" s="39" t="n">
        <f aca="false">IFERROR(MAX(E799:E808),"N/M")</f>
        <v>0.192806113972421</v>
      </c>
      <c r="F814" s="39" t="n">
        <f aca="false">IFERROR(MAX(F799:F808),"N/M")</f>
        <v>0.152445185135291</v>
      </c>
      <c r="G814" s="39" t="n">
        <f aca="false">IFERROR(MAX(G799:G808),"N/M")</f>
        <v>0.159224216700563</v>
      </c>
      <c r="H814" s="39" t="n">
        <f aca="false">IFERROR(MAX(H799:H808),"N/M")</f>
        <v>0.14222500697487</v>
      </c>
      <c r="I814" s="39" t="n">
        <f aca="false">IFERROR(MAX(I799:I808),"N/M")</f>
        <v>0.134672839471902</v>
      </c>
    </row>
    <row r="816" customFormat="false" ht="15" hidden="false" customHeight="false" outlineLevel="0" collapsed="false">
      <c r="A816" s="16" t="s">
        <v>225</v>
      </c>
      <c r="B816" s="17"/>
      <c r="C816" s="17"/>
      <c r="D816" s="17"/>
      <c r="E816" s="17"/>
      <c r="F816" s="17"/>
      <c r="G816" s="17"/>
      <c r="H816" s="17"/>
      <c r="I816" s="17"/>
      <c r="J816" s="17"/>
      <c r="K816" s="17"/>
      <c r="L816" s="17"/>
      <c r="M816" s="17"/>
    </row>
    <row r="817" customFormat="false" ht="15" hidden="false" customHeight="false" outlineLevel="0" collapsed="false">
      <c r="A817" s="18" t="s">
        <v>110</v>
      </c>
      <c r="B817" s="23" t="n">
        <f aca="false">Tiger!D136</f>
        <v>-0.068656846130448</v>
      </c>
      <c r="C817" s="23" t="n">
        <f aca="false">Tiger!E136</f>
        <v>-0.110711261642676</v>
      </c>
      <c r="D817" s="23" t="n">
        <f aca="false">Tiger!F136</f>
        <v>0.341184936604546</v>
      </c>
      <c r="E817" s="23" t="n">
        <f aca="false">Tiger!G136</f>
        <v>0.199142753965771</v>
      </c>
      <c r="F817" s="23" t="n">
        <f aca="false">Tiger!H136</f>
        <v>0.102750842108445</v>
      </c>
      <c r="G817" s="23" t="n">
        <f aca="false">Tiger!I136</f>
        <v>0.174003965272103</v>
      </c>
      <c r="H817" s="23" t="n">
        <f aca="false">Tiger!J136</f>
        <v>0.110901893496783</v>
      </c>
      <c r="I817" s="24" t="n">
        <f aca="false">Tiger!K136</f>
        <v>0.106945183382075</v>
      </c>
      <c r="J817" s="34" t="str">
        <f aca="false">IF(AND(ISNUMBER(H817),ISNUMBER(H$829)),IF(H817&gt;H$829,"Above",IF(H817&lt;H$829,"Below","At")),"-")</f>
        <v>Above</v>
      </c>
      <c r="K817" s="34" t="str">
        <f aca="false">IF(J817="Above","Better",IF(J817="Below","Weaker","-"))</f>
        <v>Better</v>
      </c>
      <c r="L817" s="34" t="n">
        <f aca="false">IF(ISNUMBER(H817),RANK(H817,H$817:H$826,0),"-")</f>
        <v>3</v>
      </c>
      <c r="N817" s="34" t="str">
        <f aca="false">IF(AND(ISNUMBER(I817),ISNUMBER(I$829)),IF(I817&gt;I$829,"Above",IF(I817&lt;I$829,"Below","At")),"-")</f>
        <v>Above</v>
      </c>
      <c r="O817" s="34" t="str">
        <f aca="false">IF(N817="Above","Better",IF(N817="Below","Weaker","-"))</f>
        <v>Better</v>
      </c>
    </row>
    <row r="818" customFormat="false" ht="15" hidden="false" customHeight="false" outlineLevel="0" collapsed="false">
      <c r="A818" s="18" t="s">
        <v>111</v>
      </c>
      <c r="B818" s="23" t="n">
        <f aca="false">Allcargo!D136</f>
        <v>0.0608343595240739</v>
      </c>
      <c r="C818" s="23" t="n">
        <f aca="false">Allcargo!E136</f>
        <v>0.0409927588445197</v>
      </c>
      <c r="D818" s="23" t="n">
        <f aca="false">Allcargo!F136</f>
        <v>0.11842193771635</v>
      </c>
      <c r="E818" s="23" t="n">
        <f aca="false">Allcargo!G136</f>
        <v>0.0822126717736604</v>
      </c>
      <c r="F818" s="23" t="n">
        <f aca="false">Allcargo!H136</f>
        <v>0.037309476169434</v>
      </c>
      <c r="G818" s="23" t="n">
        <f aca="false">Allcargo!I136</f>
        <v>0.031444845740571</v>
      </c>
      <c r="H818" s="23" t="n">
        <f aca="false">Allcargo!J136</f>
        <v>0.0402645959160196</v>
      </c>
      <c r="I818" s="24" t="n">
        <f aca="false">Allcargo!K136</f>
        <v>0.0587829493835184</v>
      </c>
      <c r="J818" s="34" t="str">
        <f aca="false">IF(AND(ISNUMBER(H818),ISNUMBER(H$829)),IF(H818&gt;H$829,"Above",IF(H818&lt;H$829,"Below","At")),"-")</f>
        <v>Below</v>
      </c>
      <c r="K818" s="34" t="str">
        <f aca="false">IF(J818="Above","Better",IF(J818="Below","Weaker","-"))</f>
        <v>Weaker</v>
      </c>
      <c r="L818" s="34" t="n">
        <f aca="false">IF(ISNUMBER(H818),RANK(H818,H$817:H$826,0),"-")</f>
        <v>9</v>
      </c>
      <c r="N818" s="34" t="str">
        <f aca="false">IF(AND(ISNUMBER(I818),ISNUMBER(I$829)),IF(I818&gt;I$829,"Above",IF(I818&lt;I$829,"Below","At")),"-")</f>
        <v>Below</v>
      </c>
      <c r="O818" s="34" t="str">
        <f aca="false">IF(N818="Above","Better",IF(N818="Below","Weaker","-"))</f>
        <v>Weaker</v>
      </c>
    </row>
    <row r="819" customFormat="false" ht="15" hidden="false" customHeight="false" outlineLevel="0" collapsed="false">
      <c r="A819" s="18" t="s">
        <v>112</v>
      </c>
      <c r="B819" s="23" t="n">
        <f aca="false">BlueDart!D136</f>
        <v>0.0339259442279399</v>
      </c>
      <c r="C819" s="23" t="n">
        <f aca="false">BlueDart!E136</f>
        <v>0.0659474103412921</v>
      </c>
      <c r="D819" s="23" t="n">
        <f aca="false">BlueDart!F136</f>
        <v>0.156158525126966</v>
      </c>
      <c r="E819" s="23" t="n">
        <f aca="false">BlueDart!G136</f>
        <v>0.1385605990049</v>
      </c>
      <c r="F819" s="23" t="n">
        <f aca="false">BlueDart!H136</f>
        <v>0.107973462759518</v>
      </c>
      <c r="G819" s="23" t="n">
        <f aca="false">BlueDart!I136</f>
        <v>0.0876830053303233</v>
      </c>
      <c r="H819" s="23" t="n">
        <f aca="false">BlueDart!J136</f>
        <v>0.0801657668048234</v>
      </c>
      <c r="I819" s="24" t="n">
        <f aca="false">BlueDart!K136</f>
        <v>0.0957735305136803</v>
      </c>
      <c r="J819" s="34" t="str">
        <f aca="false">IF(AND(ISNUMBER(H819),ISNUMBER(H$829)),IF(H819&gt;H$829,"Above",IF(H819&lt;H$829,"Below","At")),"-")</f>
        <v>Above</v>
      </c>
      <c r="K819" s="34" t="str">
        <f aca="false">IF(J819="Above","Better",IF(J819="Below","Weaker","-"))</f>
        <v>Better</v>
      </c>
      <c r="L819" s="34" t="n">
        <f aca="false">IF(ISNUMBER(H819),RANK(H819,H$817:H$826,0),"-")</f>
        <v>5</v>
      </c>
      <c r="N819" s="34" t="str">
        <f aca="false">IF(AND(ISNUMBER(I819),ISNUMBER(I$829)),IF(I819&gt;I$829,"Above",IF(I819&lt;I$829,"Below","At")),"-")</f>
        <v>Above</v>
      </c>
      <c r="O819" s="34" t="str">
        <f aca="false">IF(N819="Above","Better",IF(N819="Below","Weaker","-"))</f>
        <v>Better</v>
      </c>
    </row>
    <row r="820" customFormat="false" ht="15" hidden="false" customHeight="false" outlineLevel="0" collapsed="false">
      <c r="A820" s="18" t="s">
        <v>67</v>
      </c>
      <c r="B820" s="23" t="n">
        <f aca="false">CONCOR!D136</f>
        <v>0.0356430697958837</v>
      </c>
      <c r="C820" s="23" t="n">
        <f aca="false">CONCOR!E136</f>
        <v>0.0444248937652132</v>
      </c>
      <c r="D820" s="23" t="n">
        <f aca="false">CONCOR!F136</f>
        <v>0.0867706904456233</v>
      </c>
      <c r="E820" s="23" t="n">
        <f aca="false">CONCOR!G136</f>
        <v>0.0923723734507207</v>
      </c>
      <c r="F820" s="23" t="n">
        <f aca="false">CONCOR!H136</f>
        <v>0.0956140295373798</v>
      </c>
      <c r="G820" s="23" t="n">
        <f aca="false">CONCOR!I136</f>
        <v>0.0943522083011918</v>
      </c>
      <c r="H820" s="23" t="n">
        <f aca="false">CONCOR!J136</f>
        <v>0.0877523531113164</v>
      </c>
      <c r="I820" s="24" t="n">
        <f aca="false">CONCOR!K136</f>
        <v>0.076704231201047</v>
      </c>
      <c r="J820" s="34" t="str">
        <f aca="false">IF(AND(ISNUMBER(H820),ISNUMBER(H$829)),IF(H820&gt;H$829,"Above",IF(H820&lt;H$829,"Below","At")),"-")</f>
        <v>Above</v>
      </c>
      <c r="K820" s="34" t="str">
        <f aca="false">IF(J820="Above","Better",IF(J820="Below","Weaker","-"))</f>
        <v>Better</v>
      </c>
      <c r="L820" s="34" t="n">
        <f aca="false">IF(ISNUMBER(H820),RANK(H820,H$817:H$826,0),"-")</f>
        <v>4</v>
      </c>
      <c r="N820" s="34" t="str">
        <f aca="false">IF(AND(ISNUMBER(I820),ISNUMBER(I$829)),IF(I820&gt;I$829,"Above",IF(I820&lt;I$829,"Below","At")),"-")</f>
        <v>Above</v>
      </c>
      <c r="O820" s="34" t="str">
        <f aca="false">IF(N820="Above","Better",IF(N820="Below","Weaker","-"))</f>
        <v>Better</v>
      </c>
    </row>
    <row r="821" customFormat="false" ht="15" hidden="false" customHeight="false" outlineLevel="0" collapsed="false">
      <c r="A821" s="18" t="s">
        <v>113</v>
      </c>
      <c r="B821" s="23" t="n">
        <f aca="false">JetFreight!D136</f>
        <v>-0.0439911797133407</v>
      </c>
      <c r="C821" s="23" t="n">
        <f aca="false">JetFreight!E136</f>
        <v>0.0539462302217487</v>
      </c>
      <c r="D821" s="23" t="n">
        <f aca="false">JetFreight!F136</f>
        <v>0.0514144810580587</v>
      </c>
      <c r="E821" s="23" t="n">
        <f aca="false">JetFreight!G136</f>
        <v>0.00357029227746926</v>
      </c>
      <c r="F821" s="23" t="n">
        <f aca="false">JetFreight!H136</f>
        <v>0.0382220578262746</v>
      </c>
      <c r="G821" s="23" t="n">
        <f aca="false">JetFreight!I136</f>
        <v>0.0442435415557266</v>
      </c>
      <c r="H821" s="23" t="n">
        <f aca="false">JetFreight!J136</f>
        <v>0.0579678554808318</v>
      </c>
      <c r="I821" s="24" t="n">
        <f aca="false">JetFreight!K136</f>
        <v>0.0293390398152527</v>
      </c>
      <c r="J821" s="34" t="str">
        <f aca="false">IF(AND(ISNUMBER(H821),ISNUMBER(H$829)),IF(H821&gt;H$829,"Above",IF(H821&lt;H$829,"Below","At")),"-")</f>
        <v>Below</v>
      </c>
      <c r="K821" s="34" t="str">
        <f aca="false">IF(J821="Above","Better",IF(J821="Below","Weaker","-"))</f>
        <v>Weaker</v>
      </c>
      <c r="L821" s="34" t="n">
        <f aca="false">IF(ISNUMBER(H821),RANK(H821,H$817:H$826,0),"-")</f>
        <v>8</v>
      </c>
      <c r="N821" s="34" t="str">
        <f aca="false">IF(AND(ISNUMBER(I821),ISNUMBER(I$829)),IF(I821&gt;I$829,"Above",IF(I821&lt;I$829,"Below","At")),"-")</f>
        <v>Below</v>
      </c>
      <c r="O821" s="34" t="str">
        <f aca="false">IF(N821="Above","Better",IF(N821="Below","Weaker","-"))</f>
        <v>Weaker</v>
      </c>
    </row>
    <row r="822" customFormat="false" ht="15" hidden="false" customHeight="false" outlineLevel="0" collapsed="false">
      <c r="A822" s="18" t="s">
        <v>114</v>
      </c>
      <c r="B822" s="23" t="n">
        <f aca="false">Patel!D136</f>
        <v>0.0782609703490216</v>
      </c>
      <c r="C822" s="23" t="n">
        <f aca="false">Patel!E136</f>
        <v>0.00847344421859825</v>
      </c>
      <c r="D822" s="23" t="n">
        <f aca="false">Patel!F136</f>
        <v>0.0412075267361581</v>
      </c>
      <c r="E822" s="23" t="n">
        <f aca="false">Patel!G136</f>
        <v>0.0550683371298405</v>
      </c>
      <c r="F822" s="23" t="n">
        <f aca="false">Patel!H136</f>
        <v>0.0442964495007056</v>
      </c>
      <c r="G822" s="23" t="n">
        <f aca="false">Patel!I136</f>
        <v>0.0487048491268838</v>
      </c>
      <c r="H822" s="23" t="n">
        <f aca="false">Patel!J136</f>
        <v>0.0598935415819469</v>
      </c>
      <c r="I822" s="24" t="n">
        <f aca="false">Patel!K136</f>
        <v>0.0479864455204507</v>
      </c>
      <c r="J822" s="34" t="str">
        <f aca="false">IF(AND(ISNUMBER(H822),ISNUMBER(H$829)),IF(H822&gt;H$829,"Above",IF(H822&lt;H$829,"Below","At")),"-")</f>
        <v>Below</v>
      </c>
      <c r="K822" s="34" t="str">
        <f aca="false">IF(J822="Above","Better",IF(J822="Below","Weaker","-"))</f>
        <v>Weaker</v>
      </c>
      <c r="L822" s="34" t="n">
        <f aca="false">IF(ISNUMBER(H822),RANK(H822,H$817:H$826,0),"-")</f>
        <v>6</v>
      </c>
      <c r="N822" s="34" t="str">
        <f aca="false">IF(AND(ISNUMBER(I822),ISNUMBER(I$829)),IF(I822&gt;I$829,"Above",IF(I822&lt;I$829,"Below","At")),"-")</f>
        <v>Below</v>
      </c>
      <c r="O822" s="34" t="str">
        <f aca="false">IF(N822="Above","Better",IF(N822="Below","Weaker","-"))</f>
        <v>Weaker</v>
      </c>
    </row>
    <row r="823" customFormat="false" ht="15" hidden="false" customHeight="false" outlineLevel="0" collapsed="false">
      <c r="A823" s="18" t="s">
        <v>115</v>
      </c>
      <c r="B823" s="23" t="n">
        <f aca="false">Sical!D136</f>
        <v>-0.0188656668793874</v>
      </c>
      <c r="C823" s="23" t="n">
        <f aca="false">Sical!E136</f>
        <v>-0.453708314806581</v>
      </c>
      <c r="D823" s="23" t="n">
        <f aca="false">Sical!F136</f>
        <v>-0.145044651523976</v>
      </c>
      <c r="E823" s="23" t="n">
        <f aca="false">Sical!G136</f>
        <v>-0.690726238981765</v>
      </c>
      <c r="F823" s="23" t="n">
        <f aca="false">Sical!H136</f>
        <v>0.0139566178590881</v>
      </c>
      <c r="G823" s="23" t="n">
        <f aca="false">Sical!I136</f>
        <v>0.0214208859786652</v>
      </c>
      <c r="H823" s="23" t="n">
        <f aca="false">Sical!J136</f>
        <v>0.126068927933368</v>
      </c>
      <c r="I823" s="24" t="n">
        <f aca="false">Sical!K136</f>
        <v>-0.163842634345798</v>
      </c>
      <c r="J823" s="34" t="str">
        <f aca="false">IF(AND(ISNUMBER(H823),ISNUMBER(H$829)),IF(H823&gt;H$829,"Above",IF(H823&lt;H$829,"Below","At")),"-")</f>
        <v>Above</v>
      </c>
      <c r="K823" s="34" t="str">
        <f aca="false">IF(J823="Above","Better",IF(J823="Below","Weaker","-"))</f>
        <v>Better</v>
      </c>
      <c r="L823" s="34" t="n">
        <f aca="false">IF(ISNUMBER(H823),RANK(H823,H$817:H$826,0),"-")</f>
        <v>2</v>
      </c>
      <c r="N823" s="34" t="str">
        <f aca="false">IF(AND(ISNUMBER(I823),ISNUMBER(I$829)),IF(I823&gt;I$829,"Above",IF(I823&lt;I$829,"Below","At")),"-")</f>
        <v>Below</v>
      </c>
      <c r="O823" s="34" t="str">
        <f aca="false">IF(N823="Above","Better",IF(N823="Below","Weaker","-"))</f>
        <v>Weaker</v>
      </c>
    </row>
    <row r="824" customFormat="false" ht="15" hidden="false" customHeight="false" outlineLevel="0" collapsed="false">
      <c r="A824" s="18" t="s">
        <v>86</v>
      </c>
      <c r="B824" s="23" t="n">
        <f aca="false">TCI!D136</f>
        <v>0.105020843217759</v>
      </c>
      <c r="C824" s="23" t="n">
        <f aca="false">TCI!E136</f>
        <v>0.099457690904841</v>
      </c>
      <c r="D824" s="23" t="n">
        <f aca="false">TCI!F136</f>
        <v>0.168812002477949</v>
      </c>
      <c r="E824" s="23" t="n">
        <f aca="false">TCI!G136</f>
        <v>0.165984292685002</v>
      </c>
      <c r="F824" s="23" t="n">
        <f aca="false">TCI!H136</f>
        <v>0.157712142842404</v>
      </c>
      <c r="G824" s="23" t="n">
        <f aca="false">TCI!I136</f>
        <v>0.158455121686089</v>
      </c>
      <c r="H824" s="23" t="n">
        <f aca="false">TCI!J136</f>
        <v>0.148760495272563</v>
      </c>
      <c r="I824" s="24" t="n">
        <f aca="false">TCI!K136</f>
        <v>0.143457512726658</v>
      </c>
      <c r="J824" s="34" t="str">
        <f aca="false">IF(AND(ISNUMBER(H824),ISNUMBER(H$829)),IF(H824&gt;H$829,"Above",IF(H824&lt;H$829,"Below","At")),"-")</f>
        <v>Above</v>
      </c>
      <c r="K824" s="34" t="str">
        <f aca="false">IF(J824="Above","Better",IF(J824="Below","Weaker","-"))</f>
        <v>Better</v>
      </c>
      <c r="L824" s="34" t="n">
        <f aca="false">IF(ISNUMBER(H824),RANK(H824,H$817:H$826,0),"-")</f>
        <v>1</v>
      </c>
      <c r="N824" s="34" t="str">
        <f aca="false">IF(AND(ISNUMBER(I824),ISNUMBER(I$829)),IF(I824&gt;I$829,"Above",IF(I824&lt;I$829,"Below","At")),"-")</f>
        <v>Above</v>
      </c>
      <c r="O824" s="34" t="str">
        <f aca="false">IF(N824="Above","Better",IF(N824="Below","Weaker","-"))</f>
        <v>Better</v>
      </c>
    </row>
    <row r="825" customFormat="false" ht="15" hidden="false" customHeight="false" outlineLevel="0" collapsed="false">
      <c r="A825" s="18" t="s">
        <v>116</v>
      </c>
      <c r="B825" s="23" t="n">
        <f aca="false">Shreeji!D136</f>
        <v>0.0508423320919171</v>
      </c>
      <c r="C825" s="23" t="n">
        <f aca="false">Shreeji!E136</f>
        <v>0.0386784850926672</v>
      </c>
      <c r="D825" s="23" t="n">
        <f aca="false">Shreeji!F136</f>
        <v>0.139231800431311</v>
      </c>
      <c r="E825" s="23" t="n">
        <f aca="false">Shreeji!G136</f>
        <v>0.127349788082772</v>
      </c>
      <c r="F825" s="23" t="n">
        <f aca="false">Shreeji!H136</f>
        <v>0.17813660018862</v>
      </c>
      <c r="G825" s="23" t="n">
        <f aca="false">Shreeji!I136</f>
        <v>0.0381360385116749</v>
      </c>
      <c r="H825" s="23" t="n">
        <f aca="false">Shreeji!J136</f>
        <v>0.0584417233351492</v>
      </c>
      <c r="I825" s="24" t="n">
        <f aca="false">Shreeji!K136</f>
        <v>0.0901166811048731</v>
      </c>
      <c r="J825" s="34" t="str">
        <f aca="false">IF(AND(ISNUMBER(H825),ISNUMBER(H$829)),IF(H825&gt;H$829,"Above",IF(H825&lt;H$829,"Below","At")),"-")</f>
        <v>Below</v>
      </c>
      <c r="K825" s="34" t="str">
        <f aca="false">IF(J825="Above","Better",IF(J825="Below","Weaker","-"))</f>
        <v>Weaker</v>
      </c>
      <c r="L825" s="34" t="n">
        <f aca="false">IF(ISNUMBER(H825),RANK(H825,H$817:H$826,0),"-")</f>
        <v>7</v>
      </c>
      <c r="N825" s="34" t="str">
        <f aca="false">IF(AND(ISNUMBER(I825),ISNUMBER(I$829)),IF(I825&gt;I$829,"Above",IF(I825&lt;I$829,"Below","At")),"-")</f>
        <v>Above</v>
      </c>
      <c r="O825" s="34" t="str">
        <f aca="false">IF(N825="Above","Better",IF(N825="Below","Weaker","-"))</f>
        <v>Better</v>
      </c>
    </row>
    <row r="826" customFormat="false" ht="15" hidden="false" customHeight="false" outlineLevel="0" collapsed="false">
      <c r="A826" s="18" t="s">
        <v>117</v>
      </c>
      <c r="B826" s="23" t="n">
        <f aca="false">MahindraLog!D136</f>
        <v>0.0511320645679872</v>
      </c>
      <c r="C826" s="23" t="n">
        <f aca="false">MahindraLog!E136</f>
        <v>0.0289212453800056</v>
      </c>
      <c r="D826" s="23" t="n">
        <f aca="false">MahindraLog!F136</f>
        <v>0.0189107844438758</v>
      </c>
      <c r="E826" s="23" t="n">
        <f aca="false">MahindraLog!G136</f>
        <v>0.0296880884884643</v>
      </c>
      <c r="F826" s="23" t="n">
        <f aca="false">MahindraLog!H136</f>
        <v>0.00533583558310504</v>
      </c>
      <c r="G826" s="23" t="n">
        <f aca="false">MahindraLog!I136</f>
        <v>0.0179430379746835</v>
      </c>
      <c r="H826" s="23" t="n">
        <f aca="false">MahindraLog!J136</f>
        <v>0.00922029082290702</v>
      </c>
      <c r="I826" s="24" t="n">
        <f aca="false">MahindraLog!K136</f>
        <v>0.0230216210372898</v>
      </c>
      <c r="J826" s="34" t="str">
        <f aca="false">IF(AND(ISNUMBER(H826),ISNUMBER(H$829)),IF(H826&gt;H$829,"Above",IF(H826&lt;H$829,"Below","At")),"-")</f>
        <v>Below</v>
      </c>
      <c r="K826" s="34" t="str">
        <f aca="false">IF(J826="Above","Better",IF(J826="Below","Weaker","-"))</f>
        <v>Weaker</v>
      </c>
      <c r="L826" s="34" t="n">
        <f aca="false">IF(ISNUMBER(H826),RANK(H826,H$817:H$826,0),"-")</f>
        <v>10</v>
      </c>
      <c r="N826" s="34" t="str">
        <f aca="false">IF(AND(ISNUMBER(I826),ISNUMBER(I$829)),IF(I826&gt;I$829,"Above",IF(I826&lt;I$829,"Below","At")),"-")</f>
        <v>Below</v>
      </c>
      <c r="O826" s="34" t="str">
        <f aca="false">IF(N826="Above","Better",IF(N826="Below","Weaker","-"))</f>
        <v>Weaker</v>
      </c>
    </row>
    <row r="827" customFormat="false" ht="15" hidden="false" customHeight="false" outlineLevel="0" collapsed="false">
      <c r="A827" s="12" t="s">
        <v>176</v>
      </c>
      <c r="B827" s="24" t="n">
        <f aca="false">Industry!D136</f>
        <v>0.0370254474396999</v>
      </c>
      <c r="C827" s="24" t="n">
        <f aca="false">Industry!E136</f>
        <v>-0.00785933256616801</v>
      </c>
      <c r="D827" s="24" t="n">
        <f aca="false">Industry!F136</f>
        <v>0.0908422997195873</v>
      </c>
      <c r="E827" s="24" t="n">
        <f aca="false">Industry!G136</f>
        <v>0.0631398760126109</v>
      </c>
      <c r="F827" s="24" t="n">
        <f aca="false">Industry!H136</f>
        <v>0.0768259798550235</v>
      </c>
      <c r="G827" s="24" t="n">
        <f aca="false">Industry!I136</f>
        <v>0.0795744921217658</v>
      </c>
      <c r="H827" s="24" t="n">
        <f aca="false">Industry!J136</f>
        <v>0.0843685033467771</v>
      </c>
      <c r="I827" s="24" t="n">
        <f aca="false">Industry!K136</f>
        <v>0.0605596094184709</v>
      </c>
    </row>
    <row r="828" customFormat="false" ht="15" hidden="false" customHeight="false" outlineLevel="0" collapsed="false">
      <c r="A828" s="35" t="s">
        <v>177</v>
      </c>
      <c r="B828" s="39" t="n">
        <f aca="false">IFERROR(AVERAGE(B817:B826),"N/M")</f>
        <v>0.0284145891051406</v>
      </c>
      <c r="C828" s="39" t="n">
        <f aca="false">IFERROR(AVERAGE(C817:C826),"N/M")</f>
        <v>-0.0183577417680371</v>
      </c>
      <c r="D828" s="39" t="n">
        <f aca="false">IFERROR(AVERAGE(D817:D826),"N/M")</f>
        <v>0.0977068033516861</v>
      </c>
      <c r="E828" s="39" t="n">
        <f aca="false">IFERROR(AVERAGE(E817:E826),"N/M")</f>
        <v>0.0203222957876835</v>
      </c>
      <c r="F828" s="39" t="n">
        <f aca="false">IFERROR(AVERAGE(F817:F826),"N/M")</f>
        <v>0.0781307514374974</v>
      </c>
      <c r="G828" s="39" t="n">
        <f aca="false">IFERROR(AVERAGE(G817:G826),"N/M")</f>
        <v>0.0716387499477912</v>
      </c>
      <c r="H828" s="39" t="n">
        <f aca="false">IFERROR(AVERAGE(H817:H826),"N/M")</f>
        <v>0.0779437443755709</v>
      </c>
      <c r="I828" s="39" t="n">
        <f aca="false">IFERROR(AVERAGE(I817:I826),"N/M")</f>
        <v>0.0508284560339047</v>
      </c>
    </row>
    <row r="829" customFormat="false" ht="15" hidden="false" customHeight="false" outlineLevel="0" collapsed="false">
      <c r="A829" s="35" t="s">
        <v>178</v>
      </c>
      <c r="B829" s="39" t="n">
        <f aca="false">IFERROR(MEDIAN(B817:B826),"N/M")</f>
        <v>0.0432427009439004</v>
      </c>
      <c r="C829" s="39" t="n">
        <f aca="false">IFERROR(MEDIAN(C817:C826),"N/M")</f>
        <v>0.0398356219685935</v>
      </c>
      <c r="D829" s="39" t="n">
        <f aca="false">IFERROR(MEDIAN(D817:D826),"N/M")</f>
        <v>0.102596314080987</v>
      </c>
      <c r="E829" s="39" t="n">
        <f aca="false">IFERROR(MEDIAN(E817:E826),"N/M")</f>
        <v>0.0872925226121905</v>
      </c>
      <c r="F829" s="39" t="n">
        <f aca="false">IFERROR(MEDIAN(F817:F826),"N/M")</f>
        <v>0.0699552395190427</v>
      </c>
      <c r="G829" s="39" t="n">
        <f aca="false">IFERROR(MEDIAN(G817:G826),"N/M")</f>
        <v>0.0464741953413052</v>
      </c>
      <c r="H829" s="39" t="n">
        <f aca="false">IFERROR(MEDIAN(H817:H826),"N/M")</f>
        <v>0.0700296541933851</v>
      </c>
      <c r="I829" s="39" t="n">
        <f aca="false">IFERROR(MEDIAN(I817:I826),"N/M")</f>
        <v>0.0677435902922827</v>
      </c>
    </row>
    <row r="830" customFormat="false" ht="15" hidden="false" customHeight="false" outlineLevel="0" collapsed="false">
      <c r="A830" s="35" t="s">
        <v>179</v>
      </c>
      <c r="B830" s="39" t="n">
        <f aca="false">IFERROR(STDEV(B817:B826),"N/M")</f>
        <v>0.0551833471503261</v>
      </c>
      <c r="C830" s="39" t="n">
        <f aca="false">IFERROR(STDEV(C817:C826),"N/M")</f>
        <v>0.162599535629021</v>
      </c>
      <c r="D830" s="39" t="n">
        <f aca="false">IFERROR(STDEV(D817:D826),"N/M")</f>
        <v>0.124944175994573</v>
      </c>
      <c r="E830" s="39" t="n">
        <f aca="false">IFERROR(STDEV(E817:E826),"N/M")</f>
        <v>0.257081189136381</v>
      </c>
      <c r="F830" s="39" t="n">
        <f aca="false">IFERROR(STDEV(F817:F826),"N/M")</f>
        <v>0.0595893618971534</v>
      </c>
      <c r="G830" s="39" t="n">
        <f aca="false">IFERROR(STDEV(G817:G826),"N/M")</f>
        <v>0.0559846657933779</v>
      </c>
      <c r="H830" s="39" t="n">
        <f aca="false">IFERROR(STDEV(H817:H826),"N/M")</f>
        <v>0.0418545595048569</v>
      </c>
      <c r="I830" s="39" t="n">
        <f aca="false">IFERROR(STDEV(I817:I826),"N/M")</f>
        <v>0.0838997102608849</v>
      </c>
    </row>
    <row r="831" customFormat="false" ht="15" hidden="false" customHeight="false" outlineLevel="0" collapsed="false">
      <c r="A831" s="35" t="s">
        <v>102</v>
      </c>
      <c r="B831" s="39" t="n">
        <f aca="false">IFERROR(MIN(B817:B826),"N/M")</f>
        <v>-0.068656846130448</v>
      </c>
      <c r="C831" s="39" t="n">
        <f aca="false">IFERROR(MIN(C817:C826),"N/M")</f>
        <v>-0.453708314806581</v>
      </c>
      <c r="D831" s="39" t="n">
        <f aca="false">IFERROR(MIN(D817:D826),"N/M")</f>
        <v>-0.145044651523976</v>
      </c>
      <c r="E831" s="39" t="n">
        <f aca="false">IFERROR(MIN(E817:E826),"N/M")</f>
        <v>-0.690726238981765</v>
      </c>
      <c r="F831" s="39" t="n">
        <f aca="false">IFERROR(MIN(F817:F826),"N/M")</f>
        <v>0.00533583558310504</v>
      </c>
      <c r="G831" s="39" t="n">
        <f aca="false">IFERROR(MIN(G817:G826),"N/M")</f>
        <v>0.0179430379746835</v>
      </c>
      <c r="H831" s="39" t="n">
        <f aca="false">IFERROR(MIN(H817:H826),"N/M")</f>
        <v>0.00922029082290702</v>
      </c>
      <c r="I831" s="39" t="n">
        <f aca="false">IFERROR(MIN(I817:I826),"N/M")</f>
        <v>-0.163842634345798</v>
      </c>
    </row>
    <row r="832" customFormat="false" ht="15" hidden="false" customHeight="false" outlineLevel="0" collapsed="false">
      <c r="A832" s="35" t="s">
        <v>103</v>
      </c>
      <c r="B832" s="39" t="n">
        <f aca="false">IFERROR(MAX(B817:B826),"N/M")</f>
        <v>0.105020843217759</v>
      </c>
      <c r="C832" s="39" t="n">
        <f aca="false">IFERROR(MAX(C817:C826),"N/M")</f>
        <v>0.099457690904841</v>
      </c>
      <c r="D832" s="39" t="n">
        <f aca="false">IFERROR(MAX(D817:D826),"N/M")</f>
        <v>0.341184936604546</v>
      </c>
      <c r="E832" s="39" t="n">
        <f aca="false">IFERROR(MAX(E817:E826),"N/M")</f>
        <v>0.199142753965771</v>
      </c>
      <c r="F832" s="39" t="n">
        <f aca="false">IFERROR(MAX(F817:F826),"N/M")</f>
        <v>0.17813660018862</v>
      </c>
      <c r="G832" s="39" t="n">
        <f aca="false">IFERROR(MAX(G817:G826),"N/M")</f>
        <v>0.174003965272103</v>
      </c>
      <c r="H832" s="39" t="n">
        <f aca="false">IFERROR(MAX(H817:H826),"N/M")</f>
        <v>0.148760495272563</v>
      </c>
      <c r="I832" s="39" t="n">
        <f aca="false">IFERROR(MAX(I817:I826),"N/M")</f>
        <v>0.143457512726658</v>
      </c>
    </row>
    <row r="834" customFormat="false" ht="15" hidden="false" customHeight="false" outlineLevel="0" collapsed="false">
      <c r="A834" s="16" t="s">
        <v>226</v>
      </c>
      <c r="B834" s="17"/>
      <c r="C834" s="17"/>
      <c r="D834" s="17"/>
      <c r="E834" s="17"/>
      <c r="F834" s="17"/>
      <c r="G834" s="17"/>
      <c r="H834" s="17"/>
      <c r="I834" s="17"/>
      <c r="J834" s="17"/>
      <c r="K834" s="17"/>
      <c r="L834" s="17"/>
      <c r="M834" s="17"/>
    </row>
    <row r="835" customFormat="false" ht="15" hidden="false" customHeight="false" outlineLevel="0" collapsed="false">
      <c r="A835" s="18" t="s">
        <v>110</v>
      </c>
      <c r="B835" s="23" t="n">
        <f aca="false">Tiger!D137</f>
        <v>-0.0666579759266502</v>
      </c>
      <c r="C835" s="23" t="n">
        <f aca="false">Tiger!E137</f>
        <v>-0.107535986452159</v>
      </c>
      <c r="D835" s="23" t="n">
        <f aca="false">Tiger!F137</f>
        <v>0.37922964407606</v>
      </c>
      <c r="E835" s="23" t="n">
        <f aca="false">Tiger!G137</f>
        <v>0.26889848812095</v>
      </c>
      <c r="F835" s="23" t="n">
        <f aca="false">Tiger!H137</f>
        <v>0.140256186096013</v>
      </c>
      <c r="G835" s="23" t="n">
        <f aca="false">Tiger!I137</f>
        <v>0.232499189436142</v>
      </c>
      <c r="H835" s="23" t="n">
        <f aca="false">Tiger!J137</f>
        <v>0.150160371800746</v>
      </c>
      <c r="I835" s="24" t="n">
        <f aca="false">Tiger!K137</f>
        <v>0.142407131021586</v>
      </c>
      <c r="J835" s="34" t="str">
        <f aca="false">IF(AND(ISNUMBER(H835),ISNUMBER(H$847)),IF(H835&gt;H$847,"Above",IF(H835&lt;H$847,"Below","At")),"-")</f>
        <v>Above</v>
      </c>
      <c r="K835" s="34" t="str">
        <f aca="false">IF(J835="Above","Better",IF(J835="Below","Weaker","-"))</f>
        <v>Better</v>
      </c>
      <c r="L835" s="34" t="n">
        <f aca="false">IF(ISNUMBER(H835),RANK(H835,H$835:H$844,0),"-")</f>
        <v>2</v>
      </c>
      <c r="N835" s="34" t="str">
        <f aca="false">IF(AND(ISNUMBER(I835),ISNUMBER(I$847)),IF(I835&gt;I$847,"Above",IF(I835&lt;I$847,"Below","At")),"-")</f>
        <v>Above</v>
      </c>
      <c r="O835" s="34" t="str">
        <f aca="false">IF(N835="Above","Better",IF(N835="Below","Weaker","-"))</f>
        <v>Better</v>
      </c>
    </row>
    <row r="836" customFormat="false" ht="15" hidden="false" customHeight="false" outlineLevel="0" collapsed="false">
      <c r="A836" s="18" t="s">
        <v>111</v>
      </c>
      <c r="B836" s="23" t="n">
        <f aca="false">Allcargo!D137</f>
        <v>0.082499666316163</v>
      </c>
      <c r="C836" s="23" t="n">
        <f aca="false">Allcargo!E137</f>
        <v>0.0479348290539003</v>
      </c>
      <c r="D836" s="23" t="n">
        <f aca="false">Allcargo!F137</f>
        <v>0.155795822848486</v>
      </c>
      <c r="E836" s="23" t="n">
        <f aca="false">Allcargo!G137</f>
        <v>0.116533262844635</v>
      </c>
      <c r="F836" s="23" t="n">
        <f aca="false">Allcargo!H137</f>
        <v>0.042231906590998</v>
      </c>
      <c r="G836" s="23" t="n">
        <f aca="false">Allcargo!I137</f>
        <v>0.0202145436903671</v>
      </c>
      <c r="H836" s="23" t="n">
        <f aca="false">Allcargo!J137</f>
        <v>0.0379637618636756</v>
      </c>
      <c r="I836" s="24" t="n">
        <f aca="false">Allcargo!K137</f>
        <v>0.0718819704583178</v>
      </c>
      <c r="J836" s="34" t="str">
        <f aca="false">IF(AND(ISNUMBER(H836),ISNUMBER(H$847)),IF(H836&gt;H$847,"Above",IF(H836&lt;H$847,"Below","At")),"-")</f>
        <v>Below</v>
      </c>
      <c r="K836" s="34" t="str">
        <f aca="false">IF(J836="Above","Better",IF(J836="Below","Weaker","-"))</f>
        <v>Weaker</v>
      </c>
      <c r="L836" s="34" t="n">
        <f aca="false">IF(ISNUMBER(H836),RANK(H836,H$835:H$844,0),"-")</f>
        <v>10</v>
      </c>
      <c r="N836" s="34" t="str">
        <f aca="false">IF(AND(ISNUMBER(I836),ISNUMBER(I$847)),IF(I836&gt;I$847,"Above",IF(I836&lt;I$847,"Below","At")),"-")</f>
        <v>Below</v>
      </c>
      <c r="O836" s="34" t="str">
        <f aca="false">IF(N836="Above","Better",IF(N836="Below","Weaker","-"))</f>
        <v>Weaker</v>
      </c>
    </row>
    <row r="837" customFormat="false" ht="15" hidden="false" customHeight="false" outlineLevel="0" collapsed="false">
      <c r="A837" s="18" t="s">
        <v>112</v>
      </c>
      <c r="B837" s="23" t="n">
        <f aca="false">BlueDart!D137</f>
        <v>0.03515683786121</v>
      </c>
      <c r="C837" s="23" t="n">
        <f aca="false">BlueDart!E137</f>
        <v>0.0905489489402732</v>
      </c>
      <c r="D837" s="23" t="n">
        <f aca="false">BlueDart!F137</f>
        <v>0.209304965430766</v>
      </c>
      <c r="E837" s="23" t="n">
        <f aca="false">BlueDart!G137</f>
        <v>0.190042631944215</v>
      </c>
      <c r="F837" s="23" t="n">
        <f aca="false">BlueDart!H137</f>
        <v>0.140863023905062</v>
      </c>
      <c r="G837" s="23" t="n">
        <f aca="false">BlueDart!I137</f>
        <v>0.12062057987046</v>
      </c>
      <c r="H837" s="23" t="n">
        <f aca="false">BlueDart!J137</f>
        <v>0.105882065982764</v>
      </c>
      <c r="I837" s="24" t="n">
        <f aca="false">BlueDart!K137</f>
        <v>0.127488436276393</v>
      </c>
      <c r="J837" s="34" t="str">
        <f aca="false">IF(AND(ISNUMBER(H837),ISNUMBER(H$847)),IF(H837&gt;H$847,"Above",IF(H837&lt;H$847,"Below","At")),"-")</f>
        <v>Above</v>
      </c>
      <c r="K837" s="34" t="str">
        <f aca="false">IF(J837="Above","Better",IF(J837="Below","Weaker","-"))</f>
        <v>Better</v>
      </c>
      <c r="L837" s="34" t="n">
        <f aca="false">IF(ISNUMBER(H837),RANK(H837,H$835:H$844,0),"-")</f>
        <v>5</v>
      </c>
      <c r="N837" s="34" t="str">
        <f aca="false">IF(AND(ISNUMBER(I837),ISNUMBER(I$847)),IF(I837&gt;I$847,"Above",IF(I837&lt;I$847,"Below","At")),"-")</f>
        <v>Above</v>
      </c>
      <c r="O837" s="34" t="str">
        <f aca="false">IF(N837="Above","Better",IF(N837="Below","Weaker","-"))</f>
        <v>Better</v>
      </c>
    </row>
    <row r="838" customFormat="false" ht="15" hidden="false" customHeight="false" outlineLevel="0" collapsed="false">
      <c r="A838" s="18" t="s">
        <v>67</v>
      </c>
      <c r="B838" s="23" t="n">
        <f aca="false">CONCOR!D137</f>
        <v>0.0480127615370787</v>
      </c>
      <c r="C838" s="23" t="n">
        <f aca="false">CONCOR!E137</f>
        <v>0.0592655710661629</v>
      </c>
      <c r="D838" s="23" t="n">
        <f aca="false">CONCOR!F137</f>
        <v>0.114691428029518</v>
      </c>
      <c r="E838" s="23" t="n">
        <f aca="false">CONCOR!G137</f>
        <v>0.12300980983341</v>
      </c>
      <c r="F838" s="23" t="n">
        <f aca="false">CONCOR!H137</f>
        <v>0.126550273022577</v>
      </c>
      <c r="G838" s="23" t="n">
        <f aca="false">CONCOR!I137</f>
        <v>0.12594028073232</v>
      </c>
      <c r="H838" s="23" t="n">
        <f aca="false">CONCOR!J137</f>
        <v>0.11663559621543</v>
      </c>
      <c r="I838" s="24" t="n">
        <f aca="false">CONCOR!K137</f>
        <v>0.102015102919499</v>
      </c>
      <c r="J838" s="34" t="str">
        <f aca="false">IF(AND(ISNUMBER(H838),ISNUMBER(H$847)),IF(H838&gt;H$847,"Above",IF(H838&lt;H$847,"Below","At")),"-")</f>
        <v>Above</v>
      </c>
      <c r="K838" s="34" t="str">
        <f aca="false">IF(J838="Above","Better",IF(J838="Below","Weaker","-"))</f>
        <v>Better</v>
      </c>
      <c r="L838" s="34" t="n">
        <f aca="false">IF(ISNUMBER(H838),RANK(H838,H$835:H$844,0),"-")</f>
        <v>4</v>
      </c>
      <c r="N838" s="34" t="str">
        <f aca="false">IF(AND(ISNUMBER(I838),ISNUMBER(I$847)),IF(I838&gt;I$847,"Above",IF(I838&lt;I$847,"Below","At")),"-")</f>
        <v>Above</v>
      </c>
      <c r="O838" s="34" t="str">
        <f aca="false">IF(N838="Above","Better",IF(N838="Below","Weaker","-"))</f>
        <v>Better</v>
      </c>
    </row>
    <row r="839" customFormat="false" ht="15" hidden="false" customHeight="false" outlineLevel="0" collapsed="false">
      <c r="A839" s="18" t="s">
        <v>113</v>
      </c>
      <c r="B839" s="23" t="n">
        <f aca="false">JetFreight!D137</f>
        <v>-0.0452039691289967</v>
      </c>
      <c r="C839" s="23" t="n">
        <f aca="false">JetFreight!E137</f>
        <v>0.0833422948704162</v>
      </c>
      <c r="D839" s="23" t="n">
        <f aca="false">JetFreight!F137</f>
        <v>0.082044384667115</v>
      </c>
      <c r="E839" s="23" t="n">
        <f aca="false">JetFreight!G137</f>
        <v>0.0447947853109486</v>
      </c>
      <c r="F839" s="23" t="n">
        <f aca="false">JetFreight!H137</f>
        <v>0.0379754639048147</v>
      </c>
      <c r="G839" s="23" t="n">
        <f aca="false">JetFreight!I137</f>
        <v>0.0748463129267118</v>
      </c>
      <c r="H839" s="23" t="n">
        <f aca="false">JetFreight!J137</f>
        <v>0.0987464145330925</v>
      </c>
      <c r="I839" s="24" t="n">
        <f aca="false">JetFreight!K137</f>
        <v>0.0537922410120146</v>
      </c>
      <c r="J839" s="34" t="str">
        <f aca="false">IF(AND(ISNUMBER(H839),ISNUMBER(H$847)),IF(H839&gt;H$847,"Above",IF(H839&lt;H$847,"Below","At")),"-")</f>
        <v>Below</v>
      </c>
      <c r="K839" s="34" t="str">
        <f aca="false">IF(J839="Above","Better",IF(J839="Below","Weaker","-"))</f>
        <v>Weaker</v>
      </c>
      <c r="L839" s="34" t="n">
        <f aca="false">IF(ISNUMBER(H839),RANK(H839,H$835:H$844,0),"-")</f>
        <v>6</v>
      </c>
      <c r="N839" s="34" t="str">
        <f aca="false">IF(AND(ISNUMBER(I839),ISNUMBER(I$847)),IF(I839&gt;I$847,"Above",IF(I839&lt;I$847,"Below","At")),"-")</f>
        <v>Below</v>
      </c>
      <c r="O839" s="34" t="str">
        <f aca="false">IF(N839="Above","Better",IF(N839="Below","Weaker","-"))</f>
        <v>Weaker</v>
      </c>
    </row>
    <row r="840" customFormat="false" ht="15" hidden="false" customHeight="false" outlineLevel="0" collapsed="false">
      <c r="A840" s="18" t="s">
        <v>114</v>
      </c>
      <c r="B840" s="23" t="n">
        <f aca="false">Patel!D137</f>
        <v>0.0935223514719826</v>
      </c>
      <c r="C840" s="23" t="n">
        <f aca="false">Patel!E137</f>
        <v>0.0397786145720135</v>
      </c>
      <c r="D840" s="23" t="n">
        <f aca="false">Patel!F137</f>
        <v>0.0409909300121836</v>
      </c>
      <c r="E840" s="23" t="n">
        <f aca="false">Patel!G137</f>
        <v>0.0535876993166287</v>
      </c>
      <c r="F840" s="23" t="n">
        <f aca="false">Patel!H137</f>
        <v>0.0454158543617343</v>
      </c>
      <c r="G840" s="23" t="n">
        <f aca="false">Patel!I137</f>
        <v>0.0491448245224345</v>
      </c>
      <c r="H840" s="23" t="n">
        <f aca="false">Patel!J137</f>
        <v>0.0643253680907555</v>
      </c>
      <c r="I840" s="24" t="n">
        <f aca="false">Patel!K137</f>
        <v>0.0552522346211046</v>
      </c>
      <c r="J840" s="34" t="str">
        <f aca="false">IF(AND(ISNUMBER(H840),ISNUMBER(H$847)),IF(H840&gt;H$847,"Above",IF(H840&lt;H$847,"Below","At")),"-")</f>
        <v>Below</v>
      </c>
      <c r="K840" s="34" t="str">
        <f aca="false">IF(J840="Above","Better",IF(J840="Below","Weaker","-"))</f>
        <v>Weaker</v>
      </c>
      <c r="L840" s="34" t="n">
        <f aca="false">IF(ISNUMBER(H840),RANK(H840,H$835:H$844,0),"-")</f>
        <v>8</v>
      </c>
      <c r="N840" s="34" t="str">
        <f aca="false">IF(AND(ISNUMBER(I840),ISNUMBER(I$847)),IF(I840&gt;I$847,"Above",IF(I840&lt;I$847,"Below","At")),"-")</f>
        <v>Below</v>
      </c>
      <c r="O840" s="34" t="str">
        <f aca="false">IF(N840="Above","Better",IF(N840="Below","Weaker","-"))</f>
        <v>Weaker</v>
      </c>
    </row>
    <row r="841" customFormat="false" ht="15" hidden="false" customHeight="false" outlineLevel="0" collapsed="false">
      <c r="A841" s="18" t="s">
        <v>115</v>
      </c>
      <c r="B841" s="23" t="n">
        <f aca="false">Sical!D137</f>
        <v>-0.0282568022277659</v>
      </c>
      <c r="C841" s="23" t="n">
        <f aca="false">Sical!E137</f>
        <v>-0.456874166296132</v>
      </c>
      <c r="D841" s="23" t="n">
        <f aca="false">Sical!F137</f>
        <v>-0.140009221510386</v>
      </c>
      <c r="E841" s="23" t="n">
        <f aca="false">Sical!G137</f>
        <v>-0.68529926778287</v>
      </c>
      <c r="F841" s="23" t="n">
        <f aca="false">Sical!H137</f>
        <v>0.0197494473102432</v>
      </c>
      <c r="G841" s="23" t="n">
        <f aca="false">Sical!I137</f>
        <v>0.015407789972025</v>
      </c>
      <c r="H841" s="23" t="n">
        <f aca="false">Sical!J137</f>
        <v>0.146247253120682</v>
      </c>
      <c r="I841" s="24" t="n">
        <f aca="false">Sical!K137</f>
        <v>-0.161290709630601</v>
      </c>
      <c r="J841" s="34" t="str">
        <f aca="false">IF(AND(ISNUMBER(H841),ISNUMBER(H$847)),IF(H841&gt;H$847,"Above",IF(H841&lt;H$847,"Below","At")),"-")</f>
        <v>Above</v>
      </c>
      <c r="K841" s="34" t="str">
        <f aca="false">IF(J841="Above","Better",IF(J841="Below","Weaker","-"))</f>
        <v>Better</v>
      </c>
      <c r="L841" s="34" t="n">
        <f aca="false">IF(ISNUMBER(H841),RANK(H841,H$835:H$844,0),"-")</f>
        <v>3</v>
      </c>
      <c r="N841" s="34" t="str">
        <f aca="false">IF(AND(ISNUMBER(I841),ISNUMBER(I$847)),IF(I841&gt;I$847,"Above",IF(I841&lt;I$847,"Below","At")),"-")</f>
        <v>Below</v>
      </c>
      <c r="O841" s="34" t="str">
        <f aca="false">IF(N841="Above","Better",IF(N841="Below","Weaker","-"))</f>
        <v>Weaker</v>
      </c>
    </row>
    <row r="842" customFormat="false" ht="15" hidden="false" customHeight="false" outlineLevel="0" collapsed="false">
      <c r="A842" s="18" t="s">
        <v>86</v>
      </c>
      <c r="B842" s="23" t="n">
        <f aca="false">TCI!D137</f>
        <v>0.117256241532218</v>
      </c>
      <c r="C842" s="23" t="n">
        <f aca="false">TCI!E137</f>
        <v>0.117441476507321</v>
      </c>
      <c r="D842" s="23" t="n">
        <f aca="false">TCI!F137</f>
        <v>0.192549301146434</v>
      </c>
      <c r="E842" s="23" t="n">
        <f aca="false">TCI!G137</f>
        <v>0.190354231480114</v>
      </c>
      <c r="F842" s="23" t="n">
        <f aca="false">TCI!H137</f>
        <v>0.174416760279077</v>
      </c>
      <c r="G842" s="23" t="n">
        <f aca="false">TCI!I137</f>
        <v>0.17645338087327</v>
      </c>
      <c r="H842" s="23" t="n">
        <f aca="false">TCI!J137</f>
        <v>0.162932967990411</v>
      </c>
      <c r="I842" s="24" t="n">
        <f aca="false">TCI!K137</f>
        <v>0.161629194258407</v>
      </c>
      <c r="J842" s="34" t="str">
        <f aca="false">IF(AND(ISNUMBER(H842),ISNUMBER(H$847)),IF(H842&gt;H$847,"Above",IF(H842&lt;H$847,"Below","At")),"-")</f>
        <v>Above</v>
      </c>
      <c r="K842" s="34" t="str">
        <f aca="false">IF(J842="Above","Better",IF(J842="Below","Weaker","-"))</f>
        <v>Better</v>
      </c>
      <c r="L842" s="34" t="n">
        <f aca="false">IF(ISNUMBER(H842),RANK(H842,H$835:H$844,0),"-")</f>
        <v>1</v>
      </c>
      <c r="N842" s="34" t="str">
        <f aca="false">IF(AND(ISNUMBER(I842),ISNUMBER(I$847)),IF(I842&gt;I$847,"Above",IF(I842&lt;I$847,"Below","At")),"-")</f>
        <v>Above</v>
      </c>
      <c r="O842" s="34" t="str">
        <f aca="false">IF(N842="Above","Better",IF(N842="Below","Weaker","-"))</f>
        <v>Better</v>
      </c>
    </row>
    <row r="843" customFormat="false" ht="15" hidden="false" customHeight="false" outlineLevel="0" collapsed="false">
      <c r="A843" s="18" t="s">
        <v>116</v>
      </c>
      <c r="B843" s="23" t="n">
        <f aca="false">Shreeji!D137</f>
        <v>0.0760905650355222</v>
      </c>
      <c r="C843" s="23" t="n">
        <f aca="false">Shreeji!E137</f>
        <v>0.040290088638195</v>
      </c>
      <c r="D843" s="23" t="n">
        <f aca="false">Shreeji!F137</f>
        <v>0.185696800139885</v>
      </c>
      <c r="E843" s="23" t="n">
        <f aca="false">Shreeji!G137</f>
        <v>0.175855855855856</v>
      </c>
      <c r="F843" s="23" t="n">
        <f aca="false">Shreeji!H137</f>
        <v>0.234515240380343</v>
      </c>
      <c r="G843" s="23" t="n">
        <f aca="false">Shreeji!I137</f>
        <v>0.0565869408216152</v>
      </c>
      <c r="H843" s="23" t="n">
        <f aca="false">Shreeji!J137</f>
        <v>0.0658394098332694</v>
      </c>
      <c r="I843" s="24" t="n">
        <f aca="false">Shreeji!K137</f>
        <v>0.119267842957812</v>
      </c>
      <c r="J843" s="34" t="str">
        <f aca="false">IF(AND(ISNUMBER(H843),ISNUMBER(H$847)),IF(H843&gt;H$847,"Above",IF(H843&lt;H$847,"Below","At")),"-")</f>
        <v>Below</v>
      </c>
      <c r="K843" s="34" t="str">
        <f aca="false">IF(J843="Above","Better",IF(J843="Below","Weaker","-"))</f>
        <v>Weaker</v>
      </c>
      <c r="L843" s="34" t="n">
        <f aca="false">IF(ISNUMBER(H843),RANK(H843,H$835:H$844,0),"-")</f>
        <v>7</v>
      </c>
      <c r="N843" s="34" t="str">
        <f aca="false">IF(AND(ISNUMBER(I843),ISNUMBER(I$847)),IF(I843&gt;I$847,"Above",IF(I843&lt;I$847,"Below","At")),"-")</f>
        <v>Above</v>
      </c>
      <c r="O843" s="34" t="str">
        <f aca="false">IF(N843="Above","Better",IF(N843="Below","Weaker","-"))</f>
        <v>Better</v>
      </c>
    </row>
    <row r="844" customFormat="false" ht="15" hidden="false" customHeight="false" outlineLevel="0" collapsed="false">
      <c r="A844" s="18" t="s">
        <v>117</v>
      </c>
      <c r="B844" s="23" t="n">
        <f aca="false">MahindraLog!D137</f>
        <v>0.0752355393136527</v>
      </c>
      <c r="C844" s="23" t="n">
        <f aca="false">MahindraLog!E137</f>
        <v>0.0381437031366103</v>
      </c>
      <c r="D844" s="23" t="n">
        <f aca="false">MahindraLog!F137</f>
        <v>0.0306522825383563</v>
      </c>
      <c r="E844" s="23" t="n">
        <f aca="false">MahindraLog!G137</f>
        <v>0.0380312606274208</v>
      </c>
      <c r="F844" s="23" t="n">
        <f aca="false">MahindraLog!H137</f>
        <v>0.0166078876532264</v>
      </c>
      <c r="G844" s="23" t="n">
        <f aca="false">MahindraLog!I137</f>
        <v>0.0290901898734177</v>
      </c>
      <c r="H844" s="23" t="n">
        <f aca="false">MahindraLog!J137</f>
        <v>0.0380660155775791</v>
      </c>
      <c r="I844" s="24" t="n">
        <f aca="false">MahindraLog!K137</f>
        <v>0.0379752683886091</v>
      </c>
      <c r="J844" s="34" t="str">
        <f aca="false">IF(AND(ISNUMBER(H844),ISNUMBER(H$847)),IF(H844&gt;H$847,"Above",IF(H844&lt;H$847,"Below","At")),"-")</f>
        <v>Below</v>
      </c>
      <c r="K844" s="34" t="str">
        <f aca="false">IF(J844="Above","Better",IF(J844="Below","Weaker","-"))</f>
        <v>Weaker</v>
      </c>
      <c r="L844" s="34" t="n">
        <f aca="false">IF(ISNUMBER(H844),RANK(H844,H$835:H$844,0),"-")</f>
        <v>9</v>
      </c>
      <c r="N844" s="34" t="str">
        <f aca="false">IF(AND(ISNUMBER(I844),ISNUMBER(I$847)),IF(I844&gt;I$847,"Above",IF(I844&lt;I$847,"Below","At")),"-")</f>
        <v>Below</v>
      </c>
      <c r="O844" s="34" t="str">
        <f aca="false">IF(N844="Above","Better",IF(N844="Below","Weaker","-"))</f>
        <v>Weaker</v>
      </c>
    </row>
    <row r="845" customFormat="false" ht="15" hidden="false" customHeight="false" outlineLevel="0" collapsed="false">
      <c r="A845" s="12" t="s">
        <v>176</v>
      </c>
      <c r="B845" s="24" t="n">
        <f aca="false">Industry!D137</f>
        <v>0.0503890780000533</v>
      </c>
      <c r="C845" s="24" t="n">
        <f aca="false">Industry!E137</f>
        <v>0.0188391254315305</v>
      </c>
      <c r="D845" s="24" t="n">
        <f aca="false">Industry!F137</f>
        <v>0.121406118932625</v>
      </c>
      <c r="E845" s="24" t="n">
        <f aca="false">Industry!G137</f>
        <v>0.0947546315716569</v>
      </c>
      <c r="F845" s="24" t="n">
        <f aca="false">Industry!H137</f>
        <v>0.0995152683497057</v>
      </c>
      <c r="G845" s="24" t="n">
        <f aca="false">Industry!I137</f>
        <v>0.101779746933739</v>
      </c>
      <c r="H845" s="24" t="n">
        <f aca="false">Industry!J137</f>
        <v>0.108178280728377</v>
      </c>
      <c r="I845" s="24" t="n">
        <f aca="false">Industry!K137</f>
        <v>0.0849803214210982</v>
      </c>
    </row>
    <row r="846" customFormat="false" ht="15" hidden="false" customHeight="false" outlineLevel="0" collapsed="false">
      <c r="A846" s="35" t="s">
        <v>177</v>
      </c>
      <c r="B846" s="39" t="n">
        <f aca="false">IFERROR(AVERAGE(B835:B844),"N/M")</f>
        <v>0.0387655215784414</v>
      </c>
      <c r="C846" s="39" t="n">
        <f aca="false">IFERROR(AVERAGE(C835:C844),"N/M")</f>
        <v>-0.00476646259633979</v>
      </c>
      <c r="D846" s="39" t="n">
        <f aca="false">IFERROR(AVERAGE(D835:D844),"N/M")</f>
        <v>0.125094633737842</v>
      </c>
      <c r="E846" s="39" t="n">
        <f aca="false">IFERROR(AVERAGE(E835:E844),"N/M")</f>
        <v>0.0515808757551308</v>
      </c>
      <c r="F846" s="39" t="n">
        <f aca="false">IFERROR(AVERAGE(F835:F844),"N/M")</f>
        <v>0.0978582043504089</v>
      </c>
      <c r="G846" s="39" t="n">
        <f aca="false">IFERROR(AVERAGE(G835:G844),"N/M")</f>
        <v>0.0900804032718763</v>
      </c>
      <c r="H846" s="39" t="n">
        <f aca="false">IFERROR(AVERAGE(H835:H844),"N/M")</f>
        <v>0.0986799225008405</v>
      </c>
      <c r="I846" s="39" t="n">
        <f aca="false">IFERROR(AVERAGE(I835:I844),"N/M")</f>
        <v>0.0710418712283143</v>
      </c>
    </row>
    <row r="847" customFormat="false" ht="15" hidden="false" customHeight="false" outlineLevel="0" collapsed="false">
      <c r="A847" s="35" t="s">
        <v>178</v>
      </c>
      <c r="B847" s="39" t="n">
        <f aca="false">IFERROR(MEDIAN(B835:B844),"N/M")</f>
        <v>0.0616241504253657</v>
      </c>
      <c r="C847" s="39" t="n">
        <f aca="false">IFERROR(MEDIAN(C835:C844),"N/M")</f>
        <v>0.0441124588460477</v>
      </c>
      <c r="D847" s="39" t="n">
        <f aca="false">IFERROR(MEDIAN(D835:D844),"N/M")</f>
        <v>0.135243625439002</v>
      </c>
      <c r="E847" s="39" t="n">
        <f aca="false">IFERROR(MEDIAN(E835:E844),"N/M")</f>
        <v>0.119771536339022</v>
      </c>
      <c r="F847" s="39" t="n">
        <f aca="false">IFERROR(MEDIAN(F835:F844),"N/M")</f>
        <v>0.0859830636921556</v>
      </c>
      <c r="G847" s="39" t="n">
        <f aca="false">IFERROR(MEDIAN(G835:G844),"N/M")</f>
        <v>0.0657166268741635</v>
      </c>
      <c r="H847" s="39" t="n">
        <f aca="false">IFERROR(MEDIAN(H835:H844),"N/M")</f>
        <v>0.102314240257928</v>
      </c>
      <c r="I847" s="39" t="n">
        <f aca="false">IFERROR(MEDIAN(I835:I844),"N/M")</f>
        <v>0.0869485366889086</v>
      </c>
    </row>
    <row r="848" customFormat="false" ht="15" hidden="false" customHeight="false" outlineLevel="0" collapsed="false">
      <c r="A848" s="35" t="s">
        <v>179</v>
      </c>
      <c r="B848" s="39" t="n">
        <f aca="false">IFERROR(STDEV(B835:B844),"N/M")</f>
        <v>0.0637272967388319</v>
      </c>
      <c r="C848" s="39" t="n">
        <f aca="false">IFERROR(STDEV(C835:C844),"N/M")</f>
        <v>0.169796963225631</v>
      </c>
      <c r="D848" s="39" t="n">
        <f aca="false">IFERROR(STDEV(D835:D844),"N/M")</f>
        <v>0.137062717422867</v>
      </c>
      <c r="E848" s="39" t="n">
        <f aca="false">IFERROR(STDEV(E835:E844),"N/M")</f>
        <v>0.269494967814646</v>
      </c>
      <c r="F848" s="39" t="n">
        <f aca="false">IFERROR(STDEV(F835:F844),"N/M")</f>
        <v>0.075380232979112</v>
      </c>
      <c r="G848" s="39" t="n">
        <f aca="false">IFERROR(STDEV(G835:G844),"N/M")</f>
        <v>0.0723945132174852</v>
      </c>
      <c r="H848" s="39" t="n">
        <f aca="false">IFERROR(STDEV(H835:H844),"N/M")</f>
        <v>0.0459889546202562</v>
      </c>
      <c r="I848" s="39" t="n">
        <f aca="false">IFERROR(STDEV(I835:I844),"N/M")</f>
        <v>0.0915239859398876</v>
      </c>
    </row>
    <row r="849" customFormat="false" ht="15" hidden="false" customHeight="false" outlineLevel="0" collapsed="false">
      <c r="A849" s="35" t="s">
        <v>102</v>
      </c>
      <c r="B849" s="39" t="n">
        <f aca="false">IFERROR(MIN(B835:B844),"N/M")</f>
        <v>-0.0666579759266502</v>
      </c>
      <c r="C849" s="39" t="n">
        <f aca="false">IFERROR(MIN(C835:C844),"N/M")</f>
        <v>-0.456874166296132</v>
      </c>
      <c r="D849" s="39" t="n">
        <f aca="false">IFERROR(MIN(D835:D844),"N/M")</f>
        <v>-0.140009221510386</v>
      </c>
      <c r="E849" s="39" t="n">
        <f aca="false">IFERROR(MIN(E835:E844),"N/M")</f>
        <v>-0.68529926778287</v>
      </c>
      <c r="F849" s="39" t="n">
        <f aca="false">IFERROR(MIN(F835:F844),"N/M")</f>
        <v>0.0166078876532264</v>
      </c>
      <c r="G849" s="39" t="n">
        <f aca="false">IFERROR(MIN(G835:G844),"N/M")</f>
        <v>0.015407789972025</v>
      </c>
      <c r="H849" s="39" t="n">
        <f aca="false">IFERROR(MIN(H835:H844),"N/M")</f>
        <v>0.0379637618636756</v>
      </c>
      <c r="I849" s="39" t="n">
        <f aca="false">IFERROR(MIN(I835:I844),"N/M")</f>
        <v>-0.161290709630601</v>
      </c>
    </row>
    <row r="850" customFormat="false" ht="15" hidden="false" customHeight="false" outlineLevel="0" collapsed="false">
      <c r="A850" s="35" t="s">
        <v>103</v>
      </c>
      <c r="B850" s="39" t="n">
        <f aca="false">IFERROR(MAX(B835:B844),"N/M")</f>
        <v>0.117256241532218</v>
      </c>
      <c r="C850" s="39" t="n">
        <f aca="false">IFERROR(MAX(C835:C844),"N/M")</f>
        <v>0.117441476507321</v>
      </c>
      <c r="D850" s="39" t="n">
        <f aca="false">IFERROR(MAX(D835:D844),"N/M")</f>
        <v>0.37922964407606</v>
      </c>
      <c r="E850" s="39" t="n">
        <f aca="false">IFERROR(MAX(E835:E844),"N/M")</f>
        <v>0.26889848812095</v>
      </c>
      <c r="F850" s="39" t="n">
        <f aca="false">IFERROR(MAX(F835:F844),"N/M")</f>
        <v>0.234515240380343</v>
      </c>
      <c r="G850" s="39" t="n">
        <f aca="false">IFERROR(MAX(G835:G844),"N/M")</f>
        <v>0.232499189436142</v>
      </c>
      <c r="H850" s="39" t="n">
        <f aca="false">IFERROR(MAX(H835:H844),"N/M")</f>
        <v>0.162932967990411</v>
      </c>
      <c r="I850" s="39" t="n">
        <f aca="false">IFERROR(MAX(I835:I844),"N/M")</f>
        <v>0.161629194258407</v>
      </c>
    </row>
    <row r="852" customFormat="false" ht="15" hidden="false" customHeight="false" outlineLevel="0" collapsed="false">
      <c r="A852" s="16" t="s">
        <v>227</v>
      </c>
      <c r="B852" s="17"/>
      <c r="C852" s="17"/>
      <c r="D852" s="17"/>
      <c r="E852" s="17"/>
      <c r="F852" s="17"/>
      <c r="G852" s="17"/>
      <c r="H852" s="17"/>
      <c r="I852" s="17"/>
      <c r="J852" s="17"/>
      <c r="K852" s="17"/>
      <c r="L852" s="17"/>
      <c r="M852" s="17"/>
    </row>
    <row r="853" customFormat="false" ht="15" hidden="false" customHeight="false" outlineLevel="0" collapsed="false">
      <c r="A853" s="18" t="s">
        <v>110</v>
      </c>
      <c r="B853" s="23" t="n">
        <f aca="false">Tiger!D138</f>
        <v>-0.0807453416149068</v>
      </c>
      <c r="C853" s="23" t="n">
        <f aca="false">Tiger!E138</f>
        <v>-0.138883193219876</v>
      </c>
      <c r="D853" s="23" t="n">
        <f aca="false">Tiger!F138</f>
        <v>0.53267131382806</v>
      </c>
      <c r="E853" s="23" t="n">
        <f aca="false">Tiger!G138</f>
        <v>0.278656337584558</v>
      </c>
      <c r="F853" s="23" t="n">
        <f aca="false">Tiger!H138</f>
        <v>0.122506662359687</v>
      </c>
      <c r="G853" s="23" t="n">
        <f aca="false">Tiger!I138</f>
        <v>0.199743952961822</v>
      </c>
      <c r="H853" s="23" t="n">
        <f aca="false">Tiger!J138</f>
        <v>0.132636286541399</v>
      </c>
      <c r="I853" s="24" t="n">
        <f aca="false">Tiger!K138</f>
        <v>0.149512288348678</v>
      </c>
      <c r="J853" s="34" t="str">
        <f aca="false">IF(AND(ISNUMBER(H853),ISNUMBER(H$865)),IF(H853&gt;H$865,"Above",IF(H853&lt;H$865,"Below","At")),"-")</f>
        <v>Above</v>
      </c>
      <c r="K853" s="34" t="str">
        <f aca="false">IF(J853="Above","Better",IF(J853="Below","Weaker","-"))</f>
        <v>Better</v>
      </c>
      <c r="L853" s="34" t="n">
        <f aca="false">IF(ISNUMBER(H853),RANK(H853,H$853:H$862,0),"-")</f>
        <v>3</v>
      </c>
      <c r="N853" s="34" t="str">
        <f aca="false">IF(AND(ISNUMBER(I853),ISNUMBER(I$865)),IF(I853&gt;I$865,"Above",IF(I853&lt;I$865,"Below","At")),"-")</f>
        <v>Above</v>
      </c>
      <c r="O853" s="34" t="str">
        <f aca="false">IF(N853="Above","Better",IF(N853="Below","Weaker","-"))</f>
        <v>Better</v>
      </c>
    </row>
    <row r="854" customFormat="false" ht="15" hidden="false" customHeight="false" outlineLevel="0" collapsed="false">
      <c r="A854" s="18" t="s">
        <v>111</v>
      </c>
      <c r="B854" s="23" t="n">
        <f aca="false">Allcargo!D138</f>
        <v>0.0919133260110673</v>
      </c>
      <c r="C854" s="23" t="n">
        <f aca="false">Allcargo!E138</f>
        <v>0.044642319172646</v>
      </c>
      <c r="D854" s="23" t="n">
        <f aca="false">Allcargo!F138</f>
        <v>0.211754184915993</v>
      </c>
      <c r="E854" s="23" t="n">
        <f aca="false">Allcargo!G138</f>
        <v>0.151093605728492</v>
      </c>
      <c r="F854" s="23" t="n">
        <f aca="false">Allcargo!H138</f>
        <v>0.0619082139798013</v>
      </c>
      <c r="G854" s="23" t="n">
        <f aca="false">Allcargo!I138</f>
        <v>0.0315193923061163</v>
      </c>
      <c r="H854" s="23" t="n">
        <f aca="false">Allcargo!J138</f>
        <v>0.0505747126436782</v>
      </c>
      <c r="I854" s="24" t="n">
        <f aca="false">Allcargo!K138</f>
        <v>0.091915107822542</v>
      </c>
      <c r="J854" s="34" t="str">
        <f aca="false">IF(AND(ISNUMBER(H854),ISNUMBER(H$865)),IF(H854&gt;H$865,"Above",IF(H854&lt;H$865,"Below","At")),"-")</f>
        <v>Below</v>
      </c>
      <c r="K854" s="34" t="str">
        <f aca="false">IF(J854="Above","Better",IF(J854="Below","Weaker","-"))</f>
        <v>Weaker</v>
      </c>
      <c r="L854" s="34" t="n">
        <f aca="false">IF(ISNUMBER(H854),RANK(H854,H$853:H$862,0),"-")</f>
        <v>9</v>
      </c>
      <c r="N854" s="34" t="str">
        <f aca="false">IF(AND(ISNUMBER(I854),ISNUMBER(I$865)),IF(I854&gt;I$865,"Above",IF(I854&lt;I$865,"Below","At")),"-")</f>
        <v>Above</v>
      </c>
      <c r="O854" s="34" t="str">
        <f aca="false">IF(N854="Above","Better",IF(N854="Below","Weaker","-"))</f>
        <v>Better</v>
      </c>
    </row>
    <row r="855" customFormat="false" ht="15" hidden="false" customHeight="false" outlineLevel="0" collapsed="false">
      <c r="A855" s="18" t="s">
        <v>112</v>
      </c>
      <c r="B855" s="23" t="n">
        <f aca="false">BlueDart!D138</f>
        <v>0.0720881712209209</v>
      </c>
      <c r="C855" s="23" t="n">
        <f aca="false">BlueDart!E138</f>
        <v>0.116503431293853</v>
      </c>
      <c r="D855" s="23" t="n">
        <f aca="false">BlueDart!F138</f>
        <v>0.220677334132136</v>
      </c>
      <c r="E855" s="23" t="n">
        <f aca="false">BlueDart!G138</f>
        <v>0.197879718865935</v>
      </c>
      <c r="F855" s="23" t="n">
        <f aca="false">BlueDart!H138</f>
        <v>0.152257453011201</v>
      </c>
      <c r="G855" s="23" t="n">
        <f aca="false">BlueDart!I138</f>
        <v>0.12476882252213</v>
      </c>
      <c r="H855" s="23" t="n">
        <f aca="false">BlueDart!J138</f>
        <v>0.113853670673014</v>
      </c>
      <c r="I855" s="24" t="n">
        <f aca="false">BlueDart!K138</f>
        <v>0.142575514531313</v>
      </c>
      <c r="J855" s="34" t="str">
        <f aca="false">IF(AND(ISNUMBER(H855),ISNUMBER(H$865)),IF(H855&gt;H$865,"Above",IF(H855&lt;H$865,"Below","At")),"-")</f>
        <v>Above</v>
      </c>
      <c r="K855" s="34" t="str">
        <f aca="false">IF(J855="Above","Better",IF(J855="Below","Weaker","-"))</f>
        <v>Better</v>
      </c>
      <c r="L855" s="34" t="n">
        <f aca="false">IF(ISNUMBER(H855),RANK(H855,H$853:H$862,0),"-")</f>
        <v>4</v>
      </c>
      <c r="N855" s="34" t="str">
        <f aca="false">IF(AND(ISNUMBER(I855),ISNUMBER(I$865)),IF(I855&gt;I$865,"Above",IF(I855&lt;I$865,"Below","At")),"-")</f>
        <v>Above</v>
      </c>
      <c r="O855" s="34" t="str">
        <f aca="false">IF(N855="Above","Better",IF(N855="Below","Weaker","-"))</f>
        <v>Better</v>
      </c>
    </row>
    <row r="856" customFormat="false" ht="15" hidden="false" customHeight="false" outlineLevel="0" collapsed="false">
      <c r="A856" s="18" t="s">
        <v>67</v>
      </c>
      <c r="B856" s="23" t="n">
        <f aca="false">CONCOR!D138</f>
        <v>0.0415144440490748</v>
      </c>
      <c r="C856" s="23" t="n">
        <f aca="false">CONCOR!E138</f>
        <v>0.0506949791642788</v>
      </c>
      <c r="D856" s="23" t="n">
        <f aca="false">CONCOR!F138</f>
        <v>0.0981820646021652</v>
      </c>
      <c r="E856" s="23" t="n">
        <f aca="false">CONCOR!G138</f>
        <v>0.104022011333223</v>
      </c>
      <c r="F856" s="23" t="n">
        <f aca="false">CONCOR!H138</f>
        <v>0.106300251768837</v>
      </c>
      <c r="G856" s="23" t="n">
        <f aca="false">CONCOR!I138</f>
        <v>0.103698922378496</v>
      </c>
      <c r="H856" s="23" t="n">
        <f aca="false">CONCOR!J138</f>
        <v>0.0961333119054842</v>
      </c>
      <c r="I856" s="24" t="n">
        <f aca="false">CONCOR!K138</f>
        <v>0.0857922836002226</v>
      </c>
      <c r="J856" s="34" t="str">
        <f aca="false">IF(AND(ISNUMBER(H856),ISNUMBER(H$865)),IF(H856&gt;H$865,"Above",IF(H856&lt;H$865,"Below","At")),"-")</f>
        <v>Above</v>
      </c>
      <c r="K856" s="34" t="str">
        <f aca="false">IF(J856="Above","Better",IF(J856="Below","Weaker","-"))</f>
        <v>Better</v>
      </c>
      <c r="L856" s="34" t="n">
        <f aca="false">IF(ISNUMBER(H856),RANK(H856,H$853:H$862,0),"-")</f>
        <v>5</v>
      </c>
      <c r="N856" s="34" t="str">
        <f aca="false">IF(AND(ISNUMBER(I856),ISNUMBER(I$865)),IF(I856&gt;I$865,"Above",IF(I856&lt;I$865,"Below","At")),"-")</f>
        <v>Below</v>
      </c>
      <c r="O856" s="34" t="str">
        <f aca="false">IF(N856="Above","Better",IF(N856="Below","Weaker","-"))</f>
        <v>Weaker</v>
      </c>
    </row>
    <row r="857" customFormat="false" ht="15" hidden="false" customHeight="false" outlineLevel="0" collapsed="false">
      <c r="A857" s="18" t="s">
        <v>113</v>
      </c>
      <c r="B857" s="23" t="n">
        <f aca="false">JetFreight!D138</f>
        <v>-0.0662947691810171</v>
      </c>
      <c r="C857" s="23" t="n">
        <f aca="false">JetFreight!E138</f>
        <v>0.0934564112062799</v>
      </c>
      <c r="D857" s="23" t="n">
        <f aca="false">JetFreight!F138</f>
        <v>0.0848135235076598</v>
      </c>
      <c r="E857" s="23" t="n">
        <f aca="false">JetFreight!G138</f>
        <v>0.00489092076282758</v>
      </c>
      <c r="F857" s="23" t="n">
        <f aca="false">JetFreight!H138</f>
        <v>0.0510377397572393</v>
      </c>
      <c r="G857" s="23" t="n">
        <f aca="false">JetFreight!I138</f>
        <v>0.0627991786310505</v>
      </c>
      <c r="H857" s="23" t="n">
        <f aca="false">JetFreight!J138</f>
        <v>0.0787898328187067</v>
      </c>
      <c r="I857" s="24" t="n">
        <f aca="false">JetFreight!K138</f>
        <v>0.0442132625003924</v>
      </c>
      <c r="J857" s="34" t="str">
        <f aca="false">IF(AND(ISNUMBER(H857),ISNUMBER(H$865)),IF(H857&gt;H$865,"Above",IF(H857&lt;H$865,"Below","At")),"-")</f>
        <v>Below</v>
      </c>
      <c r="K857" s="34" t="str">
        <f aca="false">IF(J857="Above","Better",IF(J857="Below","Weaker","-"))</f>
        <v>Weaker</v>
      </c>
      <c r="L857" s="34" t="n">
        <f aca="false">IF(ISNUMBER(H857),RANK(H857,H$853:H$862,0),"-")</f>
        <v>6</v>
      </c>
      <c r="N857" s="34" t="str">
        <f aca="false">IF(AND(ISNUMBER(I857),ISNUMBER(I$865)),IF(I857&gt;I$865,"Above",IF(I857&lt;I$865,"Below","At")),"-")</f>
        <v>Below</v>
      </c>
      <c r="O857" s="34" t="str">
        <f aca="false">IF(N857="Above","Better",IF(N857="Below","Weaker","-"))</f>
        <v>Weaker</v>
      </c>
    </row>
    <row r="858" customFormat="false" ht="15" hidden="false" customHeight="false" outlineLevel="0" collapsed="false">
      <c r="A858" s="18" t="s">
        <v>114</v>
      </c>
      <c r="B858" s="23" t="n">
        <f aca="false">Patel!D138</f>
        <v>0.0880360938871344</v>
      </c>
      <c r="C858" s="23" t="n">
        <f aca="false">Patel!E138</f>
        <v>0.00941902075695256</v>
      </c>
      <c r="D858" s="23" t="n">
        <f aca="false">Patel!F138</f>
        <v>0.044065428721113</v>
      </c>
      <c r="E858" s="23" t="n">
        <f aca="false">Patel!G138</f>
        <v>0.0599000604729622</v>
      </c>
      <c r="F858" s="23" t="n">
        <f aca="false">Patel!H138</f>
        <v>0.0551721065104719</v>
      </c>
      <c r="G858" s="23" t="n">
        <f aca="false">Patel!I138</f>
        <v>0.0631301260390339</v>
      </c>
      <c r="H858" s="23" t="n">
        <f aca="false">Patel!J138</f>
        <v>0.0749730271895976</v>
      </c>
      <c r="I858" s="24" t="n">
        <f aca="false">Patel!K138</f>
        <v>0.0563851233681808</v>
      </c>
      <c r="J858" s="34" t="str">
        <f aca="false">IF(AND(ISNUMBER(H858),ISNUMBER(H$865)),IF(H858&gt;H$865,"Above",IF(H858&lt;H$865,"Below","At")),"-")</f>
        <v>Below</v>
      </c>
      <c r="K858" s="34" t="str">
        <f aca="false">IF(J858="Above","Better",IF(J858="Below","Weaker","-"))</f>
        <v>Weaker</v>
      </c>
      <c r="L858" s="34" t="n">
        <f aca="false">IF(ISNUMBER(H858),RANK(H858,H$853:H$862,0),"-")</f>
        <v>7</v>
      </c>
      <c r="N858" s="34" t="str">
        <f aca="false">IF(AND(ISNUMBER(I858),ISNUMBER(I$865)),IF(I858&gt;I$865,"Above",IF(I858&lt;I$865,"Below","At")),"-")</f>
        <v>Below</v>
      </c>
      <c r="O858" s="34" t="str">
        <f aca="false">IF(N858="Above","Better",IF(N858="Below","Weaker","-"))</f>
        <v>Weaker</v>
      </c>
    </row>
    <row r="859" customFormat="false" ht="15" hidden="false" customHeight="false" outlineLevel="0" collapsed="false">
      <c r="A859" s="18" t="s">
        <v>115</v>
      </c>
      <c r="B859" s="23" t="n">
        <f aca="false">Sical!D138</f>
        <v>-0.0411550668842451</v>
      </c>
      <c r="C859" s="23" t="n">
        <f aca="false">Sical!E138</f>
        <v>-0.868060336998441</v>
      </c>
      <c r="D859" s="23" t="n">
        <f aca="false">Sical!F138</f>
        <v>-0.322358955734659</v>
      </c>
      <c r="E859" s="23" t="n">
        <f aca="false">Sical!G138</f>
        <v>-1.17775559425528</v>
      </c>
      <c r="F859" s="23" t="n">
        <f aca="false">Sical!H138</f>
        <v>0.0287242767670743</v>
      </c>
      <c r="G859" s="23" t="n">
        <f aca="false">Sical!I138</f>
        <v>0.0220017559262511</v>
      </c>
      <c r="H859" s="23" t="n">
        <f aca="false">Sical!J138</f>
        <v>0.182350182402612</v>
      </c>
      <c r="I859" s="24" t="n">
        <f aca="false">Sical!K138</f>
        <v>-0.310893391253812</v>
      </c>
      <c r="J859" s="34" t="str">
        <f aca="false">IF(AND(ISNUMBER(H859),ISNUMBER(H$865)),IF(H859&gt;H$865,"Above",IF(H859&lt;H$865,"Below","At")),"-")</f>
        <v>Above</v>
      </c>
      <c r="K859" s="34" t="str">
        <f aca="false">IF(J859="Above","Better",IF(J859="Below","Weaker","-"))</f>
        <v>Better</v>
      </c>
      <c r="L859" s="34" t="n">
        <f aca="false">IF(ISNUMBER(H859),RANK(H859,H$853:H$862,0),"-")</f>
        <v>1</v>
      </c>
      <c r="N859" s="34" t="str">
        <f aca="false">IF(AND(ISNUMBER(I859),ISNUMBER(I$865)),IF(I859&gt;I$865,"Above",IF(I859&lt;I$865,"Below","At")),"-")</f>
        <v>Below</v>
      </c>
      <c r="O859" s="34" t="str">
        <f aca="false">IF(N859="Above","Better",IF(N859="Below","Weaker","-"))</f>
        <v>Weaker</v>
      </c>
    </row>
    <row r="860" customFormat="false" ht="15" hidden="false" customHeight="false" outlineLevel="0" collapsed="false">
      <c r="A860" s="18" t="s">
        <v>86</v>
      </c>
      <c r="B860" s="23" t="n">
        <f aca="false">TCI!D138</f>
        <v>0.123977408011229</v>
      </c>
      <c r="C860" s="23" t="n">
        <f aca="false">TCI!E138</f>
        <v>0.119094289570388</v>
      </c>
      <c r="D860" s="23" t="n">
        <f aca="false">TCI!F138</f>
        <v>0.20321895678123</v>
      </c>
      <c r="E860" s="23" t="n">
        <f aca="false">TCI!G138</f>
        <v>0.198326092522107</v>
      </c>
      <c r="F860" s="23" t="n">
        <f aca="false">TCI!H138</f>
        <v>0.183696011216043</v>
      </c>
      <c r="G860" s="23" t="n">
        <f aca="false">TCI!I138</f>
        <v>0.189048960966589</v>
      </c>
      <c r="H860" s="23" t="n">
        <f aca="false">TCI!J138</f>
        <v>0.182307293651997</v>
      </c>
      <c r="I860" s="24" t="n">
        <f aca="false">TCI!K138</f>
        <v>0.171381287531369</v>
      </c>
      <c r="J860" s="34" t="str">
        <f aca="false">IF(AND(ISNUMBER(H860),ISNUMBER(H$865)),IF(H860&gt;H$865,"Above",IF(H860&lt;H$865,"Below","At")),"-")</f>
        <v>Above</v>
      </c>
      <c r="K860" s="34" t="str">
        <f aca="false">IF(J860="Above","Better",IF(J860="Below","Weaker","-"))</f>
        <v>Better</v>
      </c>
      <c r="L860" s="34" t="n">
        <f aca="false">IF(ISNUMBER(H860),RANK(H860,H$853:H$862,0),"-")</f>
        <v>2</v>
      </c>
      <c r="N860" s="34" t="str">
        <f aca="false">IF(AND(ISNUMBER(I860),ISNUMBER(I$865)),IF(I860&gt;I$865,"Above",IF(I860&lt;I$865,"Below","At")),"-")</f>
        <v>Above</v>
      </c>
      <c r="O860" s="34" t="str">
        <f aca="false">IF(N860="Above","Better",IF(N860="Below","Weaker","-"))</f>
        <v>Better</v>
      </c>
    </row>
    <row r="861" customFormat="false" ht="15" hidden="false" customHeight="false" outlineLevel="0" collapsed="false">
      <c r="A861" s="18" t="s">
        <v>116</v>
      </c>
      <c r="B861" s="23" t="n">
        <f aca="false">Shreeji!D138</f>
        <v>0.0576608707557503</v>
      </c>
      <c r="C861" s="23" t="n">
        <f aca="false">Shreeji!E138</f>
        <v>0.0456396573514956</v>
      </c>
      <c r="D861" s="23" t="n">
        <f aca="false">Shreeji!F138</f>
        <v>0.160597496972144</v>
      </c>
      <c r="E861" s="23" t="n">
        <f aca="false">Shreeji!G138</f>
        <v>0.151182806149722</v>
      </c>
      <c r="F861" s="23" t="n">
        <f aca="false">Shreeji!H138</f>
        <v>0.211469857187455</v>
      </c>
      <c r="G861" s="23" t="n">
        <f aca="false">Shreeji!I138</f>
        <v>0.0447492768229951</v>
      </c>
      <c r="H861" s="23" t="n">
        <f aca="false">Shreeji!J138</f>
        <v>0.0690367143830639</v>
      </c>
      <c r="I861" s="24" t="n">
        <f aca="false">Shreeji!K138</f>
        <v>0.105762382803232</v>
      </c>
      <c r="J861" s="34" t="str">
        <f aca="false">IF(AND(ISNUMBER(H861),ISNUMBER(H$865)),IF(H861&gt;H$865,"Above",IF(H861&lt;H$865,"Below","At")),"-")</f>
        <v>Below</v>
      </c>
      <c r="K861" s="34" t="str">
        <f aca="false">IF(J861="Above","Better",IF(J861="Below","Weaker","-"))</f>
        <v>Weaker</v>
      </c>
      <c r="L861" s="34" t="n">
        <f aca="false">IF(ISNUMBER(H861),RANK(H861,H$853:H$862,0),"-")</f>
        <v>8</v>
      </c>
      <c r="N861" s="34" t="str">
        <f aca="false">IF(AND(ISNUMBER(I861),ISNUMBER(I$865)),IF(I861&gt;I$865,"Above",IF(I861&lt;I$865,"Below","At")),"-")</f>
        <v>Above</v>
      </c>
      <c r="O861" s="34" t="str">
        <f aca="false">IF(N861="Above","Better",IF(N861="Below","Weaker","-"))</f>
        <v>Better</v>
      </c>
    </row>
    <row r="862" customFormat="false" ht="15" hidden="false" customHeight="false" outlineLevel="0" collapsed="false">
      <c r="A862" s="18" t="s">
        <v>117</v>
      </c>
      <c r="B862" s="23" t="n">
        <f aca="false">MahindraLog!D138</f>
        <v>0.105300363544567</v>
      </c>
      <c r="C862" s="23" t="n">
        <f aca="false">MahindraLog!E138</f>
        <v>0.0557436422080342</v>
      </c>
      <c r="D862" s="23" t="n">
        <f aca="false">MahindraLog!F138</f>
        <v>0.0359700239715396</v>
      </c>
      <c r="E862" s="23" t="n">
        <f aca="false">MahindraLog!G138</f>
        <v>0.0583117716940878</v>
      </c>
      <c r="F862" s="23" t="n">
        <f aca="false">MahindraLog!H138</f>
        <v>0.0317947234612633</v>
      </c>
      <c r="G862" s="23" t="n">
        <f aca="false">MahindraLog!I138</f>
        <v>0.0579415541951292</v>
      </c>
      <c r="H862" s="23" t="n">
        <f aca="false">MahindraLog!J138</f>
        <v>0.0220256136427835</v>
      </c>
      <c r="I862" s="24" t="n">
        <f aca="false">MahindraLog!K138</f>
        <v>0.0524410989596292</v>
      </c>
      <c r="J862" s="34" t="str">
        <f aca="false">IF(AND(ISNUMBER(H862),ISNUMBER(H$865)),IF(H862&gt;H$865,"Above",IF(H862&lt;H$865,"Below","At")),"-")</f>
        <v>Below</v>
      </c>
      <c r="K862" s="34" t="str">
        <f aca="false">IF(J862="Above","Better",IF(J862="Below","Weaker","-"))</f>
        <v>Weaker</v>
      </c>
      <c r="L862" s="34" t="n">
        <f aca="false">IF(ISNUMBER(H862),RANK(H862,H$853:H$862,0),"-")</f>
        <v>10</v>
      </c>
      <c r="N862" s="34" t="str">
        <f aca="false">IF(AND(ISNUMBER(I862),ISNUMBER(I$865)),IF(I862&gt;I$865,"Above",IF(I862&lt;I$865,"Below","At")),"-")</f>
        <v>Below</v>
      </c>
      <c r="O862" s="34" t="str">
        <f aca="false">IF(N862="Above","Better",IF(N862="Below","Weaker","-"))</f>
        <v>Weaker</v>
      </c>
    </row>
    <row r="863" customFormat="false" ht="15" hidden="false" customHeight="false" outlineLevel="0" collapsed="false">
      <c r="A863" s="12" t="s">
        <v>176</v>
      </c>
      <c r="B863" s="24" t="n">
        <f aca="false">Industry!D138</f>
        <v>0.049465348855949</v>
      </c>
      <c r="C863" s="24" t="n">
        <f aca="false">Industry!E138</f>
        <v>0</v>
      </c>
      <c r="D863" s="24" t="n">
        <f aca="false">Industry!F138</f>
        <v>0.126911765807592</v>
      </c>
      <c r="E863" s="24" t="n">
        <f aca="false">Industry!G138</f>
        <v>0.0869517231166811</v>
      </c>
      <c r="F863" s="24" t="n">
        <f aca="false">Industry!H138</f>
        <v>0.100612912669308</v>
      </c>
      <c r="G863" s="24" t="n">
        <f aca="false">Industry!I138</f>
        <v>0.100748359298545</v>
      </c>
      <c r="H863" s="24" t="n">
        <f aca="false">Industry!J138</f>
        <v>0.103748054070878</v>
      </c>
      <c r="I863" s="24" t="n">
        <f aca="false">Industry!K138</f>
        <v>0.0812054519741361</v>
      </c>
    </row>
    <row r="864" customFormat="false" ht="15" hidden="false" customHeight="false" outlineLevel="0" collapsed="false">
      <c r="A864" s="35" t="s">
        <v>177</v>
      </c>
      <c r="B864" s="39" t="n">
        <f aca="false">IFERROR(AVERAGE(B853:B862),"N/M")</f>
        <v>0.0392295499799575</v>
      </c>
      <c r="C864" s="39" t="n">
        <f aca="false">IFERROR(AVERAGE(C853:C862),"N/M")</f>
        <v>-0.047174977949439</v>
      </c>
      <c r="D864" s="39" t="n">
        <f aca="false">IFERROR(AVERAGE(D853:D862),"N/M")</f>
        <v>0.126959137169738</v>
      </c>
      <c r="E864" s="39" t="n">
        <f aca="false">IFERROR(AVERAGE(E853:E862),"N/M")</f>
        <v>0.00265077308586373</v>
      </c>
      <c r="F864" s="39" t="n">
        <f aca="false">IFERROR(AVERAGE(F853:F862),"N/M")</f>
        <v>0.100486729601907</v>
      </c>
      <c r="G864" s="39" t="n">
        <f aca="false">IFERROR(AVERAGE(G853:G862),"N/M")</f>
        <v>0.0899401942749613</v>
      </c>
      <c r="H864" s="39" t="n">
        <f aca="false">IFERROR(AVERAGE(H853:H862),"N/M")</f>
        <v>0.100268064585234</v>
      </c>
      <c r="I864" s="39" t="n">
        <f aca="false">IFERROR(AVERAGE(I853:I862),"N/M")</f>
        <v>0.0589084958211746</v>
      </c>
    </row>
    <row r="865" customFormat="false" ht="15" hidden="false" customHeight="false" outlineLevel="0" collapsed="false">
      <c r="A865" s="35" t="s">
        <v>178</v>
      </c>
      <c r="B865" s="39" t="n">
        <f aca="false">IFERROR(MEDIAN(B853:B862),"N/M")</f>
        <v>0.0648745209883356</v>
      </c>
      <c r="C865" s="39" t="n">
        <f aca="false">IFERROR(MEDIAN(C853:C862),"N/M")</f>
        <v>0.0481673182578872</v>
      </c>
      <c r="D865" s="39" t="n">
        <f aca="false">IFERROR(MEDIAN(D853:D862),"N/M")</f>
        <v>0.129389780787154</v>
      </c>
      <c r="E865" s="39" t="n">
        <f aca="false">IFERROR(MEDIAN(E853:E862),"N/M")</f>
        <v>0.127557808530857</v>
      </c>
      <c r="F865" s="39" t="n">
        <f aca="false">IFERROR(MEDIAN(F853:F862),"N/M")</f>
        <v>0.0841042328743194</v>
      </c>
      <c r="G865" s="39" t="n">
        <f aca="false">IFERROR(MEDIAN(G853:G862),"N/M")</f>
        <v>0.0629646523350422</v>
      </c>
      <c r="H865" s="39" t="n">
        <f aca="false">IFERROR(MEDIAN(H853:H862),"N/M")</f>
        <v>0.0874615723620954</v>
      </c>
      <c r="I865" s="39" t="n">
        <f aca="false">IFERROR(MEDIAN(I853:I862),"N/M")</f>
        <v>0.0888536957113823</v>
      </c>
    </row>
    <row r="866" customFormat="false" ht="15" hidden="false" customHeight="false" outlineLevel="0" collapsed="false">
      <c r="A866" s="35" t="s">
        <v>179</v>
      </c>
      <c r="B866" s="39" t="n">
        <f aca="false">IFERROR(STDEV(B853:B862),"N/M")</f>
        <v>0.0746256414998171</v>
      </c>
      <c r="C866" s="39" t="n">
        <f aca="false">IFERROR(STDEV(C853:C862),"N/M")</f>
        <v>0.297563265389984</v>
      </c>
      <c r="D866" s="39" t="n">
        <f aca="false">IFERROR(STDEV(D853:D862),"N/M")</f>
        <v>0.212698084690509</v>
      </c>
      <c r="E866" s="39" t="n">
        <f aca="false">IFERROR(STDEV(E853:E862),"N/M")</f>
        <v>0.42251827690744</v>
      </c>
      <c r="F866" s="39" t="n">
        <f aca="false">IFERROR(STDEV(F853:F862),"N/M")</f>
        <v>0.0652306014681372</v>
      </c>
      <c r="G866" s="39" t="n">
        <f aca="false">IFERROR(STDEV(G853:G862),"N/M")</f>
        <v>0.0630977345829961</v>
      </c>
      <c r="H866" s="39" t="n">
        <f aca="false">IFERROR(STDEV(H853:H862),"N/M")</f>
        <v>0.0531090458764232</v>
      </c>
      <c r="I866" s="39" t="n">
        <f aca="false">IFERROR(STDEV(I853:I862),"N/M")</f>
        <v>0.136985152285062</v>
      </c>
    </row>
    <row r="867" customFormat="false" ht="15" hidden="false" customHeight="false" outlineLevel="0" collapsed="false">
      <c r="A867" s="35" t="s">
        <v>102</v>
      </c>
      <c r="B867" s="39" t="n">
        <f aca="false">IFERROR(MIN(B853:B862),"N/M")</f>
        <v>-0.0807453416149068</v>
      </c>
      <c r="C867" s="39" t="n">
        <f aca="false">IFERROR(MIN(C853:C862),"N/M")</f>
        <v>-0.868060336998441</v>
      </c>
      <c r="D867" s="39" t="n">
        <f aca="false">IFERROR(MIN(D853:D862),"N/M")</f>
        <v>-0.322358955734659</v>
      </c>
      <c r="E867" s="39" t="n">
        <f aca="false">IFERROR(MIN(E853:E862),"N/M")</f>
        <v>-1.17775559425528</v>
      </c>
      <c r="F867" s="39" t="n">
        <f aca="false">IFERROR(MIN(F853:F862),"N/M")</f>
        <v>0.0287242767670743</v>
      </c>
      <c r="G867" s="39" t="n">
        <f aca="false">IFERROR(MIN(G853:G862),"N/M")</f>
        <v>0.0220017559262511</v>
      </c>
      <c r="H867" s="39" t="n">
        <f aca="false">IFERROR(MIN(H853:H862),"N/M")</f>
        <v>0.0220256136427835</v>
      </c>
      <c r="I867" s="39" t="n">
        <f aca="false">IFERROR(MIN(I853:I862),"N/M")</f>
        <v>-0.310893391253812</v>
      </c>
    </row>
    <row r="868" customFormat="false" ht="15" hidden="false" customHeight="false" outlineLevel="0" collapsed="false">
      <c r="A868" s="35" t="s">
        <v>103</v>
      </c>
      <c r="B868" s="39" t="n">
        <f aca="false">IFERROR(MAX(B853:B862),"N/M")</f>
        <v>0.123977408011229</v>
      </c>
      <c r="C868" s="39" t="n">
        <f aca="false">IFERROR(MAX(C853:C862),"N/M")</f>
        <v>0.119094289570388</v>
      </c>
      <c r="D868" s="39" t="n">
        <f aca="false">IFERROR(MAX(D853:D862),"N/M")</f>
        <v>0.53267131382806</v>
      </c>
      <c r="E868" s="39" t="n">
        <f aca="false">IFERROR(MAX(E853:E862),"N/M")</f>
        <v>0.278656337584558</v>
      </c>
      <c r="F868" s="39" t="n">
        <f aca="false">IFERROR(MAX(F853:F862),"N/M")</f>
        <v>0.211469857187455</v>
      </c>
      <c r="G868" s="39" t="n">
        <f aca="false">IFERROR(MAX(G853:G862),"N/M")</f>
        <v>0.199743952961822</v>
      </c>
      <c r="H868" s="39" t="n">
        <f aca="false">IFERROR(MAX(H853:H862),"N/M")</f>
        <v>0.182350182402612</v>
      </c>
      <c r="I868" s="39" t="n">
        <f aca="false">IFERROR(MAX(I853:I862),"N/M")</f>
        <v>0.171381287531369</v>
      </c>
    </row>
    <row r="870" customFormat="false" ht="15" hidden="false" customHeight="false" outlineLevel="0" collapsed="false">
      <c r="A870" s="16" t="s">
        <v>228</v>
      </c>
      <c r="B870" s="17"/>
      <c r="C870" s="17"/>
      <c r="D870" s="17"/>
      <c r="E870" s="17"/>
      <c r="F870" s="17"/>
      <c r="G870" s="17"/>
      <c r="H870" s="17"/>
      <c r="I870" s="17"/>
      <c r="J870" s="17"/>
      <c r="K870" s="17"/>
      <c r="L870" s="17"/>
      <c r="M870" s="17"/>
    </row>
    <row r="871" customFormat="false" ht="15" hidden="false" customHeight="false" outlineLevel="0" collapsed="false">
      <c r="A871" s="18" t="s">
        <v>110</v>
      </c>
      <c r="B871" s="23" t="n">
        <f aca="false">Tiger!D139</f>
        <v>-0.209347697005683</v>
      </c>
      <c r="C871" s="23" t="n">
        <f aca="false">Tiger!E139</f>
        <v>-0.262357414448669</v>
      </c>
      <c r="D871" s="23" t="n">
        <f aca="false">Tiger!F139</f>
        <v>0.577785413624259</v>
      </c>
      <c r="E871" s="23" t="n">
        <f aca="false">Tiger!G139</f>
        <v>0.269789608276183</v>
      </c>
      <c r="F871" s="23" t="n">
        <f aca="false">Tiger!H139</f>
        <v>0.12434040103617</v>
      </c>
      <c r="G871" s="23" t="n">
        <f aca="false">Tiger!I139</f>
        <v>0.21683458435355</v>
      </c>
      <c r="H871" s="23" t="n">
        <f aca="false">Tiger!J139</f>
        <v>0.144293951991417</v>
      </c>
      <c r="I871" s="24" t="n">
        <f aca="false">Tiger!K139</f>
        <v>0.123048406832461</v>
      </c>
      <c r="J871" s="34" t="str">
        <f aca="false">IF(AND(ISNUMBER(H871),ISNUMBER(H$883)),IF(H871&gt;H$883,"Above",IF(H871&lt;H$883,"Below","At")),"-")</f>
        <v>Above</v>
      </c>
      <c r="K871" s="34" t="str">
        <f aca="false">IF(J871="Above","Better",IF(J871="Below","Weaker","-"))</f>
        <v>Better</v>
      </c>
      <c r="L871" s="34" t="n">
        <f aca="false">IF(ISNUMBER(H871),RANK(H871,H$871:H$880,0),"-")</f>
        <v>4</v>
      </c>
      <c r="N871" s="34" t="str">
        <f aca="false">IF(AND(ISNUMBER(I871),ISNUMBER(I$883)),IF(I871&gt;I$883,"Above",IF(I871&lt;I$883,"Below","At")),"-")</f>
        <v>Above</v>
      </c>
      <c r="O871" s="34" t="str">
        <f aca="false">IF(N871="Above","Better",IF(N871="Below","Weaker","-"))</f>
        <v>Better</v>
      </c>
    </row>
    <row r="872" customFormat="false" ht="15" hidden="false" customHeight="false" outlineLevel="0" collapsed="false">
      <c r="A872" s="18" t="s">
        <v>111</v>
      </c>
      <c r="B872" s="23" t="n">
        <f aca="false">Allcargo!D139</f>
        <v>0.107613017797166</v>
      </c>
      <c r="C872" s="23" t="n">
        <f aca="false">Allcargo!E139</f>
        <v>0.0780720846014215</v>
      </c>
      <c r="D872" s="23" t="n">
        <f aca="false">Allcargo!F139</f>
        <v>0.340006978495216</v>
      </c>
      <c r="E872" s="23" t="n">
        <f aca="false">Allcargo!G139</f>
        <v>0.210706863142112</v>
      </c>
      <c r="F872" s="23" t="n">
        <f aca="false">Allcargo!H139</f>
        <v>0.0561110226112053</v>
      </c>
      <c r="G872" s="23" t="n">
        <f aca="false">Allcargo!I139</f>
        <v>0.0421581058687326</v>
      </c>
      <c r="H872" s="23" t="n">
        <f aca="false">Allcargo!J139</f>
        <v>0.0140845070422535</v>
      </c>
      <c r="I872" s="24" t="n">
        <f aca="false">Allcargo!K139</f>
        <v>0.121250368508301</v>
      </c>
      <c r="J872" s="34" t="str">
        <f aca="false">IF(AND(ISNUMBER(H872),ISNUMBER(H$883)),IF(H872&gt;H$883,"Above",IF(H872&lt;H$883,"Below","At")),"-")</f>
        <v>Below</v>
      </c>
      <c r="K872" s="34" t="str">
        <f aca="false">IF(J872="Above","Better",IF(J872="Below","Weaker","-"))</f>
        <v>Weaker</v>
      </c>
      <c r="L872" s="34" t="n">
        <f aca="false">IF(ISNUMBER(H872),RANK(H872,H$871:H$880,0),"-")</f>
        <v>9</v>
      </c>
      <c r="N872" s="34" t="str">
        <f aca="false">IF(AND(ISNUMBER(I872),ISNUMBER(I$883)),IF(I872&gt;I$883,"Above",IF(I872&lt;I$883,"Below","At")),"-")</f>
        <v>Above</v>
      </c>
      <c r="O872" s="34" t="str">
        <f aca="false">IF(N872="Above","Better",IF(N872="Below","Weaker","-"))</f>
        <v>Better</v>
      </c>
    </row>
    <row r="873" customFormat="false" ht="15" hidden="false" customHeight="false" outlineLevel="0" collapsed="false">
      <c r="A873" s="18" t="s">
        <v>112</v>
      </c>
      <c r="B873" s="23" t="n">
        <f aca="false">BlueDart!D139</f>
        <v>-0.0783491647559777</v>
      </c>
      <c r="C873" s="23" t="n">
        <f aca="false">BlueDart!E139</f>
        <v>0.188051238005523</v>
      </c>
      <c r="D873" s="23" t="n">
        <f aca="false">BlueDart!F139</f>
        <v>0.522162642166741</v>
      </c>
      <c r="E873" s="23" t="n">
        <f aca="false">BlueDart!G139</f>
        <v>0.361219565694231</v>
      </c>
      <c r="F873" s="23" t="n">
        <f aca="false">BlueDart!H139</f>
        <v>0.236380127452559</v>
      </c>
      <c r="G873" s="23" t="n">
        <f aca="false">BlueDart!I139</f>
        <v>0.172517607498864</v>
      </c>
      <c r="H873" s="23" t="n">
        <f aca="false">BlueDart!J139</f>
        <v>0.14832112762188</v>
      </c>
      <c r="I873" s="24" t="n">
        <f aca="false">BlueDart!K139</f>
        <v>0.221471877669117</v>
      </c>
      <c r="J873" s="34" t="str">
        <f aca="false">IF(AND(ISNUMBER(H873),ISNUMBER(H$883)),IF(H873&gt;H$883,"Above",IF(H873&lt;H$883,"Below","At")),"-")</f>
        <v>Above</v>
      </c>
      <c r="K873" s="34" t="str">
        <f aca="false">IF(J873="Above","Better",IF(J873="Below","Weaker","-"))</f>
        <v>Better</v>
      </c>
      <c r="L873" s="34" t="n">
        <f aca="false">IF(ISNUMBER(H873),RANK(H873,H$871:H$880,0),"-")</f>
        <v>3</v>
      </c>
      <c r="N873" s="34" t="str">
        <f aca="false">IF(AND(ISNUMBER(I873),ISNUMBER(I$883)),IF(I873&gt;I$883,"Above",IF(I873&lt;I$883,"Below","At")),"-")</f>
        <v>Above</v>
      </c>
      <c r="O873" s="34" t="str">
        <f aca="false">IF(N873="Above","Better",IF(N873="Below","Weaker","-"))</f>
        <v>Better</v>
      </c>
    </row>
    <row r="874" customFormat="false" ht="15" hidden="false" customHeight="false" outlineLevel="0" collapsed="false">
      <c r="A874" s="18" t="s">
        <v>67</v>
      </c>
      <c r="B874" s="23" t="n">
        <f aca="false">CONCOR!D139</f>
        <v>0.0396122219489916</v>
      </c>
      <c r="C874" s="23" t="n">
        <f aca="false">CONCOR!E139</f>
        <v>0.0499432620187651</v>
      </c>
      <c r="D874" s="23" t="n">
        <f aca="false">CONCOR!F139</f>
        <v>0.100762027636215</v>
      </c>
      <c r="E874" s="23" t="n">
        <f aca="false">CONCOR!G139</f>
        <v>0.106804879358081</v>
      </c>
      <c r="F874" s="23" t="n">
        <f aca="false">CONCOR!H139</f>
        <v>0.109382348398472</v>
      </c>
      <c r="G874" s="23" t="n">
        <f aca="false">CONCOR!I139</f>
        <v>0.106591827114354</v>
      </c>
      <c r="H874" s="23" t="n">
        <f aca="false">CONCOR!J139</f>
        <v>0.098073710077591</v>
      </c>
      <c r="I874" s="24" t="n">
        <f aca="false">CONCOR!K139</f>
        <v>0.0873100395074957</v>
      </c>
      <c r="J874" s="34" t="str">
        <f aca="false">IF(AND(ISNUMBER(H874),ISNUMBER(H$883)),IF(H874&gt;H$883,"Above",IF(H874&lt;H$883,"Below","At")),"-")</f>
        <v>Above</v>
      </c>
      <c r="K874" s="34" t="str">
        <f aca="false">IF(J874="Above","Better",IF(J874="Below","Weaker","-"))</f>
        <v>Better</v>
      </c>
      <c r="L874" s="34" t="n">
        <f aca="false">IF(ISNUMBER(H874),RANK(H874,H$871:H$880,0),"-")</f>
        <v>5</v>
      </c>
      <c r="N874" s="34" t="str">
        <f aca="false">IF(AND(ISNUMBER(I874),ISNUMBER(I$883)),IF(I874&gt;I$883,"Above",IF(I874&lt;I$883,"Below","At")),"-")</f>
        <v>Below</v>
      </c>
      <c r="O874" s="34" t="str">
        <f aca="false">IF(N874="Above","Better",IF(N874="Below","Weaker","-"))</f>
        <v>Weaker</v>
      </c>
    </row>
    <row r="875" customFormat="false" ht="15" hidden="false" customHeight="false" outlineLevel="0" collapsed="false">
      <c r="A875" s="18" t="s">
        <v>113</v>
      </c>
      <c r="B875" s="23" t="n">
        <f aca="false">JetFreight!D139</f>
        <v>-0.397772104896728</v>
      </c>
      <c r="C875" s="23" t="n">
        <f aca="false">JetFreight!E139</f>
        <v>0.129414797628255</v>
      </c>
      <c r="D875" s="23" t="n">
        <f aca="false">JetFreight!F139</f>
        <v>0.122875816993464</v>
      </c>
      <c r="E875" s="23" t="n">
        <f aca="false">JetFreight!G139</f>
        <v>0.00138552130239002</v>
      </c>
      <c r="F875" s="23" t="n">
        <f aca="false">JetFreight!H139</f>
        <v>0.00416933932007697</v>
      </c>
      <c r="G875" s="23" t="n">
        <f aca="false">JetFreight!I139</f>
        <v>0.0580318942045897</v>
      </c>
      <c r="H875" s="23" t="n">
        <f aca="false">JetFreight!J139</f>
        <v>0.0979403715972922</v>
      </c>
      <c r="I875" s="24" t="n">
        <f aca="false">JetFreight!K139</f>
        <v>0.00229223373561997</v>
      </c>
      <c r="J875" s="34" t="str">
        <f aca="false">IF(AND(ISNUMBER(H875),ISNUMBER(H$883)),IF(H875&gt;H$883,"Above",IF(H875&lt;H$883,"Below","At")),"-")</f>
        <v>Below</v>
      </c>
      <c r="K875" s="34" t="str">
        <f aca="false">IF(J875="Above","Better",IF(J875="Below","Weaker","-"))</f>
        <v>Weaker</v>
      </c>
      <c r="L875" s="34" t="n">
        <f aca="false">IF(ISNUMBER(H875),RANK(H875,H$871:H$880,0),"-")</f>
        <v>6</v>
      </c>
      <c r="N875" s="34" t="str">
        <f aca="false">IF(AND(ISNUMBER(I875),ISNUMBER(I$883)),IF(I875&gt;I$883,"Above",IF(I875&lt;I$883,"Below","At")),"-")</f>
        <v>Below</v>
      </c>
      <c r="O875" s="34" t="str">
        <f aca="false">IF(N875="Above","Better",IF(N875="Below","Weaker","-"))</f>
        <v>Weaker</v>
      </c>
    </row>
    <row r="876" customFormat="false" ht="15" hidden="false" customHeight="false" outlineLevel="0" collapsed="false">
      <c r="A876" s="18" t="s">
        <v>114</v>
      </c>
      <c r="B876" s="23" t="n">
        <f aca="false">Patel!D139</f>
        <v>0.0869248512808061</v>
      </c>
      <c r="C876" s="23" t="n">
        <f aca="false">Patel!E139</f>
        <v>0.000424358158285593</v>
      </c>
      <c r="D876" s="23" t="n">
        <f aca="false">Patel!F139</f>
        <v>0.0194116641012485</v>
      </c>
      <c r="E876" s="23" t="n">
        <f aca="false">Patel!G139</f>
        <v>0.0417110023409236</v>
      </c>
      <c r="F876" s="23" t="n">
        <f aca="false">Patel!H139</f>
        <v>0.0467471099485276</v>
      </c>
      <c r="G876" s="23" t="n">
        <f aca="false">Patel!I139</f>
        <v>0.063073156562513</v>
      </c>
      <c r="H876" s="23" t="n">
        <f aca="false">Patel!J139</f>
        <v>0.0783098131984664</v>
      </c>
      <c r="I876" s="24" t="n">
        <f aca="false">Patel!K139</f>
        <v>0.0480859936558244</v>
      </c>
      <c r="J876" s="34" t="str">
        <f aca="false">IF(AND(ISNUMBER(H876),ISNUMBER(H$883)),IF(H876&gt;H$883,"Above",IF(H876&lt;H$883,"Below","At")),"-")</f>
        <v>Below</v>
      </c>
      <c r="K876" s="34" t="str">
        <f aca="false">IF(J876="Above","Better",IF(J876="Below","Weaker","-"))</f>
        <v>Weaker</v>
      </c>
      <c r="L876" s="34" t="n">
        <f aca="false">IF(ISNUMBER(H876),RANK(H876,H$871:H$880,0),"-")</f>
        <v>7</v>
      </c>
      <c r="N876" s="34" t="str">
        <f aca="false">IF(AND(ISNUMBER(I876),ISNUMBER(I$883)),IF(I876&gt;I$883,"Above",IF(I876&lt;I$883,"Below","At")),"-")</f>
        <v>Below</v>
      </c>
      <c r="O876" s="34" t="str">
        <f aca="false">IF(N876="Above","Better",IF(N876="Below","Weaker","-"))</f>
        <v>Weaker</v>
      </c>
    </row>
    <row r="877" customFormat="false" ht="15" hidden="false" customHeight="false" outlineLevel="0" collapsed="false">
      <c r="A877" s="18" t="s">
        <v>115</v>
      </c>
      <c r="B877" s="23" t="n">
        <f aca="false">Sical!D139</f>
        <v>-0.19565336599097</v>
      </c>
      <c r="C877" s="23" t="str">
        <f aca="false">Sical!E139</f>
        <v>N/M</v>
      </c>
      <c r="D877" s="23" t="str">
        <f aca="false">Sical!F139</f>
        <v>N/M</v>
      </c>
      <c r="E877" s="23" t="str">
        <f aca="false">Sical!G139</f>
        <v>N/M</v>
      </c>
      <c r="F877" s="23" t="n">
        <f aca="false">Sical!H139</f>
        <v>-0.687986381322957</v>
      </c>
      <c r="G877" s="23" t="n">
        <f aca="false">Sical!I139</f>
        <v>-2.15699373695198</v>
      </c>
      <c r="H877" s="23" t="n">
        <f aca="false">Sical!J139</f>
        <v>0.779007271577616</v>
      </c>
      <c r="I877" s="24" t="n">
        <f aca="false">Sical!K139</f>
        <v>-0.565406553172074</v>
      </c>
      <c r="J877" s="34" t="str">
        <f aca="false">IF(AND(ISNUMBER(H877),ISNUMBER(H$883)),IF(H877&gt;H$883,"Above",IF(H877&lt;H$883,"Below","At")),"-")</f>
        <v>Above</v>
      </c>
      <c r="K877" s="34" t="str">
        <f aca="false">IF(J877="Above","Better",IF(J877="Below","Weaker","-"))</f>
        <v>Better</v>
      </c>
      <c r="L877" s="34" t="n">
        <f aca="false">IF(ISNUMBER(H877),RANK(H877,H$871:H$880,0),"-")</f>
        <v>1</v>
      </c>
      <c r="N877" s="34" t="str">
        <f aca="false">IF(AND(ISNUMBER(I877),ISNUMBER(I$883)),IF(I877&gt;I$883,"Above",IF(I877&lt;I$883,"Below","At")),"-")</f>
        <v>Below</v>
      </c>
      <c r="O877" s="34" t="str">
        <f aca="false">IF(N877="Above","Better",IF(N877="Below","Weaker","-"))</f>
        <v>Weaker</v>
      </c>
    </row>
    <row r="878" customFormat="false" ht="15" hidden="false" customHeight="false" outlineLevel="0" collapsed="false">
      <c r="A878" s="18" t="s">
        <v>86</v>
      </c>
      <c r="B878" s="23" t="n">
        <f aca="false">TCI!D139</f>
        <v>0.148612887230211</v>
      </c>
      <c r="C878" s="23" t="n">
        <f aca="false">TCI!E139</f>
        <v>0.134144784828592</v>
      </c>
      <c r="D878" s="23" t="n">
        <f aca="false">TCI!F139</f>
        <v>0.222777779914538</v>
      </c>
      <c r="E878" s="23" t="n">
        <f aca="false">TCI!G139</f>
        <v>0.202639149188875</v>
      </c>
      <c r="F878" s="23" t="n">
        <f aca="false">TCI!H139</f>
        <v>0.189334549507369</v>
      </c>
      <c r="G878" s="23" t="n">
        <f aca="false">TCI!I139</f>
        <v>0.198327790562621</v>
      </c>
      <c r="H878" s="23" t="n">
        <f aca="false">TCI!J139</f>
        <v>0.193295966310367</v>
      </c>
      <c r="I878" s="24" t="n">
        <f aca="false">TCI!K139</f>
        <v>0.184161843934653</v>
      </c>
      <c r="J878" s="34" t="str">
        <f aca="false">IF(AND(ISNUMBER(H878),ISNUMBER(H$883)),IF(H878&gt;H$883,"Above",IF(H878&lt;H$883,"Below","At")),"-")</f>
        <v>Above</v>
      </c>
      <c r="K878" s="34" t="str">
        <f aca="false">IF(J878="Above","Better",IF(J878="Below","Weaker","-"))</f>
        <v>Better</v>
      </c>
      <c r="L878" s="34" t="n">
        <f aca="false">IF(ISNUMBER(H878),RANK(H878,H$871:H$880,0),"-")</f>
        <v>2</v>
      </c>
      <c r="N878" s="34" t="str">
        <f aca="false">IF(AND(ISNUMBER(I878),ISNUMBER(I$883)),IF(I878&gt;I$883,"Above",IF(I878&lt;I$883,"Below","At")),"-")</f>
        <v>Above</v>
      </c>
      <c r="O878" s="34" t="str">
        <f aca="false">IF(N878="Above","Better",IF(N878="Below","Weaker","-"))</f>
        <v>Better</v>
      </c>
    </row>
    <row r="879" customFormat="false" ht="15" hidden="false" customHeight="false" outlineLevel="0" collapsed="false">
      <c r="A879" s="18" t="s">
        <v>116</v>
      </c>
      <c r="B879" s="23" t="n">
        <f aca="false">Shreeji!D139</f>
        <v>0.0597075548334687</v>
      </c>
      <c r="C879" s="23" t="n">
        <f aca="false">Shreeji!E139</f>
        <v>-0.044120623355596</v>
      </c>
      <c r="D879" s="23" t="n">
        <f aca="false">Shreeji!F139</f>
        <v>0.314498933901919</v>
      </c>
      <c r="E879" s="23" t="n">
        <f aca="false">Shreeji!G139</f>
        <v>0.265460030165912</v>
      </c>
      <c r="F879" s="23" t="n">
        <f aca="false">Shreeji!H139</f>
        <v>0.336502687060769</v>
      </c>
      <c r="G879" s="23" t="n">
        <f aca="false">Shreeji!I139</f>
        <v>0.0271445045684379</v>
      </c>
      <c r="H879" s="23" t="n">
        <f aca="false">Shreeji!J139</f>
        <v>0.054067927110959</v>
      </c>
      <c r="I879" s="24" t="n">
        <f aca="false">Shreeji!K139</f>
        <v>0.14475157346941</v>
      </c>
      <c r="J879" s="34" t="str">
        <f aca="false">IF(AND(ISNUMBER(H879),ISNUMBER(H$883)),IF(H879&gt;H$883,"Above",IF(H879&lt;H$883,"Below","At")),"-")</f>
        <v>Below</v>
      </c>
      <c r="K879" s="34" t="str">
        <f aca="false">IF(J879="Above","Better",IF(J879="Below","Weaker","-"))</f>
        <v>Weaker</v>
      </c>
      <c r="L879" s="34" t="n">
        <f aca="false">IF(ISNUMBER(H879),RANK(H879,H$871:H$880,0),"-")</f>
        <v>8</v>
      </c>
      <c r="N879" s="34" t="str">
        <f aca="false">IF(AND(ISNUMBER(I879),ISNUMBER(I$883)),IF(I879&gt;I$883,"Above",IF(I879&lt;I$883,"Below","At")),"-")</f>
        <v>Above</v>
      </c>
      <c r="O879" s="34" t="str">
        <f aca="false">IF(N879="Above","Better",IF(N879="Below","Weaker","-"))</f>
        <v>Better</v>
      </c>
    </row>
    <row r="880" customFormat="false" ht="15" hidden="false" customHeight="false" outlineLevel="0" collapsed="false">
      <c r="A880" s="18" t="s">
        <v>117</v>
      </c>
      <c r="B880" s="23" t="n">
        <f aca="false">MahindraLog!D139</f>
        <v>0.105708285788257</v>
      </c>
      <c r="C880" s="23" t="n">
        <f aca="false">MahindraLog!E139</f>
        <v>0.0539224056582578</v>
      </c>
      <c r="D880" s="23" t="n">
        <f aca="false">MahindraLog!F139</f>
        <v>0.0315107578014248</v>
      </c>
      <c r="E880" s="23" t="n">
        <f aca="false">MahindraLog!G139</f>
        <v>0.047430402021387</v>
      </c>
      <c r="F880" s="23" t="n">
        <f aca="false">MahindraLog!H139</f>
        <v>-0.103857172671562</v>
      </c>
      <c r="G880" s="23" t="n">
        <f aca="false">MahindraLog!I139</f>
        <v>-0.077067770194013</v>
      </c>
      <c r="H880" s="23" t="n">
        <f aca="false">MahindraLog!J139</f>
        <v>0.00284002827626406</v>
      </c>
      <c r="I880" s="24" t="n">
        <f aca="false">MahindraLog!K139</f>
        <v>0.00864099095428805</v>
      </c>
      <c r="J880" s="34" t="str">
        <f aca="false">IF(AND(ISNUMBER(H880),ISNUMBER(H$883)),IF(H880&gt;H$883,"Above",IF(H880&lt;H$883,"Below","At")),"-")</f>
        <v>Below</v>
      </c>
      <c r="K880" s="34" t="str">
        <f aca="false">IF(J880="Above","Better",IF(J880="Below","Weaker","-"))</f>
        <v>Weaker</v>
      </c>
      <c r="L880" s="34" t="n">
        <f aca="false">IF(ISNUMBER(H880),RANK(H880,H$871:H$880,0),"-")</f>
        <v>10</v>
      </c>
      <c r="N880" s="34" t="str">
        <f aca="false">IF(AND(ISNUMBER(I880),ISNUMBER(I$883)),IF(I880&gt;I$883,"Above",IF(I880&lt;I$883,"Below","At")),"-")</f>
        <v>Below</v>
      </c>
      <c r="O880" s="34" t="str">
        <f aca="false">IF(N880="Above","Better",IF(N880="Below","Weaker","-"))</f>
        <v>Weaker</v>
      </c>
    </row>
    <row r="881" customFormat="false" ht="15" hidden="false" customHeight="false" outlineLevel="0" collapsed="false">
      <c r="A881" s="12" t="s">
        <v>176</v>
      </c>
      <c r="B881" s="24" t="n">
        <f aca="false">Industry!D139</f>
        <v>0.0442838218187533</v>
      </c>
      <c r="C881" s="24" t="n">
        <f aca="false">Industry!E139</f>
        <v>-0.0145715597536018</v>
      </c>
      <c r="D881" s="24" t="n">
        <f aca="false">Industry!F139</f>
        <v>0.161561247443729</v>
      </c>
      <c r="E881" s="24" t="n">
        <f aca="false">Industry!G139</f>
        <v>0.101449356497972</v>
      </c>
      <c r="F881" s="24" t="n">
        <f aca="false">Industry!H139</f>
        <v>0.110541268636012</v>
      </c>
      <c r="G881" s="24" t="n">
        <f aca="false">Industry!I139</f>
        <v>0.110818749778141</v>
      </c>
      <c r="H881" s="24" t="n">
        <f aca="false">Industry!J139</f>
        <v>0.110435865141395</v>
      </c>
      <c r="I881" s="24" t="n">
        <f aca="false">Industry!K139</f>
        <v>0.0892169642232001</v>
      </c>
    </row>
    <row r="882" customFormat="false" ht="15" hidden="false" customHeight="false" outlineLevel="0" collapsed="false">
      <c r="A882" s="35" t="s">
        <v>177</v>
      </c>
      <c r="B882" s="39" t="n">
        <f aca="false">IFERROR(AVERAGE(B871:B880),"N/M")</f>
        <v>-0.0332943513770458</v>
      </c>
      <c r="C882" s="39" t="n">
        <f aca="false">IFERROR(AVERAGE(C871:C880),"N/M")</f>
        <v>0.0363883214549816</v>
      </c>
      <c r="D882" s="39" t="n">
        <f aca="false">IFERROR(AVERAGE(D871:D880),"N/M")</f>
        <v>0.250199112737225</v>
      </c>
      <c r="E882" s="39" t="n">
        <f aca="false">IFERROR(AVERAGE(E871:E880),"N/M")</f>
        <v>0.167460780165566</v>
      </c>
      <c r="F882" s="39" t="n">
        <f aca="false">IFERROR(AVERAGE(F871:F880),"N/M")</f>
        <v>0.0311124031340629</v>
      </c>
      <c r="G882" s="39" t="n">
        <f aca="false">IFERROR(AVERAGE(G871:G880),"N/M")</f>
        <v>-0.134938203641233</v>
      </c>
      <c r="H882" s="39" t="n">
        <f aca="false">IFERROR(AVERAGE(H871:H880),"N/M")</f>
        <v>0.161023467480411</v>
      </c>
      <c r="I882" s="39" t="n">
        <f aca="false">IFERROR(AVERAGE(I871:I880),"N/M")</f>
        <v>0.0375606775095097</v>
      </c>
    </row>
    <row r="883" customFormat="false" ht="15" hidden="false" customHeight="false" outlineLevel="0" collapsed="false">
      <c r="A883" s="35" t="s">
        <v>178</v>
      </c>
      <c r="B883" s="39" t="n">
        <f aca="false">IFERROR(MEDIAN(B871:B880),"N/M")</f>
        <v>0.0496598883912302</v>
      </c>
      <c r="C883" s="39" t="n">
        <f aca="false">IFERROR(MEDIAN(C871:C880),"N/M")</f>
        <v>0.0539224056582578</v>
      </c>
      <c r="D883" s="39" t="n">
        <f aca="false">IFERROR(MEDIAN(D871:D880),"N/M")</f>
        <v>0.222777779914538</v>
      </c>
      <c r="E883" s="39" t="n">
        <f aca="false">IFERROR(MEDIAN(E871:E880),"N/M")</f>
        <v>0.202639149188875</v>
      </c>
      <c r="F883" s="39" t="n">
        <f aca="false">IFERROR(MEDIAN(F871:F880),"N/M")</f>
        <v>0.0827466855048387</v>
      </c>
      <c r="G883" s="39" t="n">
        <f aca="false">IFERROR(MEDIAN(G871:G880),"N/M")</f>
        <v>0.0605525253835513</v>
      </c>
      <c r="H883" s="39" t="n">
        <f aca="false">IFERROR(MEDIAN(H871:H880),"N/M")</f>
        <v>0.0980070408374416</v>
      </c>
      <c r="I883" s="39" t="n">
        <f aca="false">IFERROR(MEDIAN(I871:I880),"N/M")</f>
        <v>0.104280204007898</v>
      </c>
    </row>
    <row r="884" customFormat="false" ht="15" hidden="false" customHeight="false" outlineLevel="0" collapsed="false">
      <c r="A884" s="35" t="s">
        <v>179</v>
      </c>
      <c r="B884" s="39" t="n">
        <f aca="false">IFERROR(STDEV(B871:B880),"N/M")</f>
        <v>0.180404927906841</v>
      </c>
      <c r="C884" s="39" t="n">
        <f aca="false">IFERROR(STDEV(C871:C880),"N/M")</f>
        <v>0.132506943148683</v>
      </c>
      <c r="D884" s="39" t="n">
        <f aca="false">IFERROR(STDEV(D871:D880),"N/M")</f>
        <v>0.204285003791018</v>
      </c>
      <c r="E884" s="39" t="n">
        <f aca="false">IFERROR(STDEV(E871:E880),"N/M")</f>
        <v>0.123594942545316</v>
      </c>
      <c r="F884" s="39" t="n">
        <f aca="false">IFERROR(STDEV(F871:F880),"N/M")</f>
        <v>0.281299584787103</v>
      </c>
      <c r="G884" s="39" t="n">
        <f aca="false">IFERROR(STDEV(G871:G880),"N/M")</f>
        <v>0.715992984157271</v>
      </c>
      <c r="H884" s="39" t="n">
        <f aca="false">IFERROR(STDEV(H871:H880),"N/M")</f>
        <v>0.225147597546914</v>
      </c>
      <c r="I884" s="39" t="n">
        <f aca="false">IFERROR(STDEV(I871:I880),"N/M")</f>
        <v>0.223445919366534</v>
      </c>
    </row>
    <row r="885" customFormat="false" ht="15" hidden="false" customHeight="false" outlineLevel="0" collapsed="false">
      <c r="A885" s="35" t="s">
        <v>102</v>
      </c>
      <c r="B885" s="39" t="n">
        <f aca="false">IFERROR(MIN(B871:B880),"N/M")</f>
        <v>-0.397772104896728</v>
      </c>
      <c r="C885" s="39" t="n">
        <f aca="false">IFERROR(MIN(C871:C880),"N/M")</f>
        <v>-0.262357414448669</v>
      </c>
      <c r="D885" s="39" t="n">
        <f aca="false">IFERROR(MIN(D871:D880),"N/M")</f>
        <v>0.0194116641012485</v>
      </c>
      <c r="E885" s="39" t="n">
        <f aca="false">IFERROR(MIN(E871:E880),"N/M")</f>
        <v>0.00138552130239002</v>
      </c>
      <c r="F885" s="39" t="n">
        <f aca="false">IFERROR(MIN(F871:F880),"N/M")</f>
        <v>-0.687986381322957</v>
      </c>
      <c r="G885" s="39" t="n">
        <f aca="false">IFERROR(MIN(G871:G880),"N/M")</f>
        <v>-2.15699373695198</v>
      </c>
      <c r="H885" s="39" t="n">
        <f aca="false">IFERROR(MIN(H871:H880),"N/M")</f>
        <v>0.00284002827626406</v>
      </c>
      <c r="I885" s="39" t="n">
        <f aca="false">IFERROR(MIN(I871:I880),"N/M")</f>
        <v>-0.565406553172074</v>
      </c>
    </row>
    <row r="886" customFormat="false" ht="15" hidden="false" customHeight="false" outlineLevel="0" collapsed="false">
      <c r="A886" s="35" t="s">
        <v>103</v>
      </c>
      <c r="B886" s="39" t="n">
        <f aca="false">IFERROR(MAX(B871:B880),"N/M")</f>
        <v>0.148612887230211</v>
      </c>
      <c r="C886" s="39" t="n">
        <f aca="false">IFERROR(MAX(C871:C880),"N/M")</f>
        <v>0.188051238005523</v>
      </c>
      <c r="D886" s="39" t="n">
        <f aca="false">IFERROR(MAX(D871:D880),"N/M")</f>
        <v>0.577785413624259</v>
      </c>
      <c r="E886" s="39" t="n">
        <f aca="false">IFERROR(MAX(E871:E880),"N/M")</f>
        <v>0.361219565694231</v>
      </c>
      <c r="F886" s="39" t="n">
        <f aca="false">IFERROR(MAX(F871:F880),"N/M")</f>
        <v>0.336502687060769</v>
      </c>
      <c r="G886" s="39" t="n">
        <f aca="false">IFERROR(MAX(G871:G880),"N/M")</f>
        <v>0.21683458435355</v>
      </c>
      <c r="H886" s="39" t="n">
        <f aca="false">IFERROR(MAX(H871:H880),"N/M")</f>
        <v>0.779007271577616</v>
      </c>
      <c r="I886" s="39" t="n">
        <f aca="false">IFERROR(MAX(I871:I880),"N/M")</f>
        <v>0.221471877669117</v>
      </c>
    </row>
    <row r="888" customFormat="false" ht="15" hidden="false" customHeight="false" outlineLevel="0" collapsed="false">
      <c r="A888" s="16" t="s">
        <v>229</v>
      </c>
      <c r="B888" s="17"/>
      <c r="C888" s="17"/>
      <c r="D888" s="17"/>
      <c r="E888" s="17"/>
      <c r="F888" s="17"/>
      <c r="G888" s="17"/>
      <c r="H888" s="17"/>
      <c r="I888" s="17"/>
      <c r="J888" s="17"/>
      <c r="K888" s="17"/>
      <c r="L888" s="17"/>
      <c r="M888" s="17"/>
    </row>
    <row r="889" customFormat="false" ht="15" hidden="false" customHeight="false" outlineLevel="0" collapsed="false">
      <c r="A889" s="18" t="s">
        <v>110</v>
      </c>
      <c r="B889" s="23" t="n">
        <f aca="false">Tiger!D140</f>
        <v>-0.209347697005683</v>
      </c>
      <c r="C889" s="23" t="n">
        <f aca="false">Tiger!E140</f>
        <v>-0.262357414448669</v>
      </c>
      <c r="D889" s="23" t="n">
        <f aca="false">Tiger!F140</f>
        <v>0.577785413624259</v>
      </c>
      <c r="E889" s="23" t="n">
        <f aca="false">Tiger!G140</f>
        <v>0.269789608276183</v>
      </c>
      <c r="F889" s="23" t="n">
        <f aca="false">Tiger!H140</f>
        <v>0.12434040103617</v>
      </c>
      <c r="G889" s="23" t="n">
        <f aca="false">Tiger!I140</f>
        <v>0.21683458435355</v>
      </c>
      <c r="H889" s="23" t="n">
        <f aca="false">Tiger!J140</f>
        <v>0.144293951991417</v>
      </c>
      <c r="I889" s="24" t="n">
        <f aca="false">Tiger!K140</f>
        <v>0.123048406832461</v>
      </c>
      <c r="J889" s="34" t="str">
        <f aca="false">IF(AND(ISNUMBER(H889),ISNUMBER(H$901)),IF(H889&gt;H$901,"Above",IF(H889&lt;H$901,"Below","At")),"-")</f>
        <v>Above</v>
      </c>
      <c r="K889" s="34" t="str">
        <f aca="false">IF(J889="Above","Better",IF(J889="Below","Weaker","-"))</f>
        <v>Better</v>
      </c>
      <c r="L889" s="34" t="n">
        <f aca="false">IF(ISNUMBER(H889),RANK(H889,H$889:H$898,0),"-")</f>
        <v>4</v>
      </c>
      <c r="N889" s="34" t="str">
        <f aca="false">IF(AND(ISNUMBER(I889),ISNUMBER(I$901)),IF(I889&gt;I$901,"Above",IF(I889&lt;I$901,"Below","At")),"-")</f>
        <v>Above</v>
      </c>
      <c r="O889" s="34" t="str">
        <f aca="false">IF(N889="Above","Better",IF(N889="Below","Weaker","-"))</f>
        <v>Better</v>
      </c>
    </row>
    <row r="890" customFormat="false" ht="15" hidden="false" customHeight="false" outlineLevel="0" collapsed="false">
      <c r="A890" s="18" t="s">
        <v>111</v>
      </c>
      <c r="B890" s="23" t="n">
        <f aca="false">Allcargo!D140</f>
        <v>0.107613017797166</v>
      </c>
      <c r="C890" s="23" t="n">
        <f aca="false">Allcargo!E140</f>
        <v>0.0780720846014215</v>
      </c>
      <c r="D890" s="23" t="n">
        <f aca="false">Allcargo!F140</f>
        <v>0.340006978495216</v>
      </c>
      <c r="E890" s="23" t="n">
        <f aca="false">Allcargo!G140</f>
        <v>0.210706863142112</v>
      </c>
      <c r="F890" s="23" t="n">
        <f aca="false">Allcargo!H140</f>
        <v>0.0561110226112053</v>
      </c>
      <c r="G890" s="23" t="n">
        <f aca="false">Allcargo!I140</f>
        <v>0.0421581058687326</v>
      </c>
      <c r="H890" s="23" t="n">
        <f aca="false">Allcargo!J140</f>
        <v>0.0140845070422535</v>
      </c>
      <c r="I890" s="24" t="n">
        <f aca="false">Allcargo!K140</f>
        <v>0.121250368508301</v>
      </c>
      <c r="J890" s="34" t="str">
        <f aca="false">IF(AND(ISNUMBER(H890),ISNUMBER(H$901)),IF(H890&gt;H$901,"Above",IF(H890&lt;H$901,"Below","At")),"-")</f>
        <v>Below</v>
      </c>
      <c r="K890" s="34" t="str">
        <f aca="false">IF(J890="Above","Better",IF(J890="Below","Weaker","-"))</f>
        <v>Weaker</v>
      </c>
      <c r="L890" s="34" t="n">
        <f aca="false">IF(ISNUMBER(H890),RANK(H890,H$889:H$898,0),"-")</f>
        <v>9</v>
      </c>
      <c r="N890" s="34" t="str">
        <f aca="false">IF(AND(ISNUMBER(I890),ISNUMBER(I$901)),IF(I890&gt;I$901,"Above",IF(I890&lt;I$901,"Below","At")),"-")</f>
        <v>Above</v>
      </c>
      <c r="O890" s="34" t="str">
        <f aca="false">IF(N890="Above","Better",IF(N890="Below","Weaker","-"))</f>
        <v>Better</v>
      </c>
    </row>
    <row r="891" customFormat="false" ht="15" hidden="false" customHeight="false" outlineLevel="0" collapsed="false">
      <c r="A891" s="18" t="s">
        <v>112</v>
      </c>
      <c r="B891" s="23" t="n">
        <f aca="false">BlueDart!D140</f>
        <v>-0.0783491647559777</v>
      </c>
      <c r="C891" s="23" t="n">
        <f aca="false">BlueDart!E140</f>
        <v>0.188051238005523</v>
      </c>
      <c r="D891" s="23" t="n">
        <f aca="false">BlueDart!F140</f>
        <v>0.522162642166741</v>
      </c>
      <c r="E891" s="23" t="n">
        <f aca="false">BlueDart!G140</f>
        <v>0.361219565694231</v>
      </c>
      <c r="F891" s="23" t="n">
        <f aca="false">BlueDart!H140</f>
        <v>0.236380127452559</v>
      </c>
      <c r="G891" s="23" t="n">
        <f aca="false">BlueDart!I140</f>
        <v>0.172517607498864</v>
      </c>
      <c r="H891" s="23" t="n">
        <f aca="false">BlueDart!J140</f>
        <v>0.14832112762188</v>
      </c>
      <c r="I891" s="24" t="n">
        <f aca="false">BlueDart!K140</f>
        <v>0.221471877669117</v>
      </c>
      <c r="J891" s="34" t="str">
        <f aca="false">IF(AND(ISNUMBER(H891),ISNUMBER(H$901)),IF(H891&gt;H$901,"Above",IF(H891&lt;H$901,"Below","At")),"-")</f>
        <v>Above</v>
      </c>
      <c r="K891" s="34" t="str">
        <f aca="false">IF(J891="Above","Better",IF(J891="Below","Weaker","-"))</f>
        <v>Better</v>
      </c>
      <c r="L891" s="34" t="n">
        <f aca="false">IF(ISNUMBER(H891),RANK(H891,H$889:H$898,0),"-")</f>
        <v>3</v>
      </c>
      <c r="N891" s="34" t="str">
        <f aca="false">IF(AND(ISNUMBER(I891),ISNUMBER(I$901)),IF(I891&gt;I$901,"Above",IF(I891&lt;I$901,"Below","At")),"-")</f>
        <v>Above</v>
      </c>
      <c r="O891" s="34" t="str">
        <f aca="false">IF(N891="Above","Better",IF(N891="Below","Weaker","-"))</f>
        <v>Better</v>
      </c>
    </row>
    <row r="892" customFormat="false" ht="15" hidden="false" customHeight="false" outlineLevel="0" collapsed="false">
      <c r="A892" s="18" t="s">
        <v>67</v>
      </c>
      <c r="B892" s="23" t="n">
        <f aca="false">CONCOR!D140</f>
        <v>0.0396122219489916</v>
      </c>
      <c r="C892" s="23" t="n">
        <f aca="false">CONCOR!E140</f>
        <v>0.0499432620187651</v>
      </c>
      <c r="D892" s="23" t="n">
        <f aca="false">CONCOR!F140</f>
        <v>0.100762027636215</v>
      </c>
      <c r="E892" s="23" t="n">
        <f aca="false">CONCOR!G140</f>
        <v>0.106804879358081</v>
      </c>
      <c r="F892" s="23" t="n">
        <f aca="false">CONCOR!H140</f>
        <v>0.109382348398472</v>
      </c>
      <c r="G892" s="23" t="n">
        <f aca="false">CONCOR!I140</f>
        <v>0.106591827114354</v>
      </c>
      <c r="H892" s="23" t="n">
        <f aca="false">CONCOR!J140</f>
        <v>0.098073710077591</v>
      </c>
      <c r="I892" s="24" t="n">
        <f aca="false">CONCOR!K140</f>
        <v>0.0873100395074957</v>
      </c>
      <c r="J892" s="34" t="str">
        <f aca="false">IF(AND(ISNUMBER(H892),ISNUMBER(H$901)),IF(H892&gt;H$901,"Above",IF(H892&lt;H$901,"Below","At")),"-")</f>
        <v>Above</v>
      </c>
      <c r="K892" s="34" t="str">
        <f aca="false">IF(J892="Above","Better",IF(J892="Below","Weaker","-"))</f>
        <v>Better</v>
      </c>
      <c r="L892" s="34" t="n">
        <f aca="false">IF(ISNUMBER(H892),RANK(H892,H$889:H$898,0),"-")</f>
        <v>5</v>
      </c>
      <c r="N892" s="34" t="str">
        <f aca="false">IF(AND(ISNUMBER(I892),ISNUMBER(I$901)),IF(I892&gt;I$901,"Above",IF(I892&lt;I$901,"Below","At")),"-")</f>
        <v>Below</v>
      </c>
      <c r="O892" s="34" t="str">
        <f aca="false">IF(N892="Above","Better",IF(N892="Below","Weaker","-"))</f>
        <v>Weaker</v>
      </c>
    </row>
    <row r="893" customFormat="false" ht="15" hidden="false" customHeight="false" outlineLevel="0" collapsed="false">
      <c r="A893" s="18" t="s">
        <v>113</v>
      </c>
      <c r="B893" s="23" t="n">
        <f aca="false">JetFreight!D140</f>
        <v>-0.397772104896728</v>
      </c>
      <c r="C893" s="23" t="n">
        <f aca="false">JetFreight!E140</f>
        <v>0.129414797628255</v>
      </c>
      <c r="D893" s="23" t="n">
        <f aca="false">JetFreight!F140</f>
        <v>0.122875816993464</v>
      </c>
      <c r="E893" s="23" t="n">
        <f aca="false">JetFreight!G140</f>
        <v>0.00138552130239002</v>
      </c>
      <c r="F893" s="23" t="n">
        <f aca="false">JetFreight!H140</f>
        <v>0.00416933932007697</v>
      </c>
      <c r="G893" s="23" t="n">
        <f aca="false">JetFreight!I140</f>
        <v>0.0580318942045897</v>
      </c>
      <c r="H893" s="23" t="n">
        <f aca="false">JetFreight!J140</f>
        <v>0.0979403715972922</v>
      </c>
      <c r="I893" s="24" t="n">
        <f aca="false">JetFreight!K140</f>
        <v>0.00229223373561997</v>
      </c>
      <c r="J893" s="34" t="str">
        <f aca="false">IF(AND(ISNUMBER(H893),ISNUMBER(H$901)),IF(H893&gt;H$901,"Above",IF(H893&lt;H$901,"Below","At")),"-")</f>
        <v>Below</v>
      </c>
      <c r="K893" s="34" t="str">
        <f aca="false">IF(J893="Above","Better",IF(J893="Below","Weaker","-"))</f>
        <v>Weaker</v>
      </c>
      <c r="L893" s="34" t="n">
        <f aca="false">IF(ISNUMBER(H893),RANK(H893,H$889:H$898,0),"-")</f>
        <v>6</v>
      </c>
      <c r="N893" s="34" t="str">
        <f aca="false">IF(AND(ISNUMBER(I893),ISNUMBER(I$901)),IF(I893&gt;I$901,"Above",IF(I893&lt;I$901,"Below","At")),"-")</f>
        <v>Below</v>
      </c>
      <c r="O893" s="34" t="str">
        <f aca="false">IF(N893="Above","Better",IF(N893="Below","Weaker","-"))</f>
        <v>Weaker</v>
      </c>
    </row>
    <row r="894" customFormat="false" ht="15" hidden="false" customHeight="false" outlineLevel="0" collapsed="false">
      <c r="A894" s="18" t="s">
        <v>114</v>
      </c>
      <c r="B894" s="23" t="n">
        <f aca="false">Patel!D140</f>
        <v>0.0869248512808061</v>
      </c>
      <c r="C894" s="23" t="n">
        <f aca="false">Patel!E140</f>
        <v>0.000424358158285593</v>
      </c>
      <c r="D894" s="23" t="n">
        <f aca="false">Patel!F140</f>
        <v>0.0194116641012485</v>
      </c>
      <c r="E894" s="23" t="n">
        <f aca="false">Patel!G140</f>
        <v>0.0417110023409236</v>
      </c>
      <c r="F894" s="23" t="n">
        <f aca="false">Patel!H140</f>
        <v>0.0467471099485276</v>
      </c>
      <c r="G894" s="23" t="n">
        <f aca="false">Patel!I140</f>
        <v>0.063073156562513</v>
      </c>
      <c r="H894" s="23" t="n">
        <f aca="false">Patel!J140</f>
        <v>0.0783098131984664</v>
      </c>
      <c r="I894" s="24" t="n">
        <f aca="false">Patel!K140</f>
        <v>0.0480859936558244</v>
      </c>
      <c r="J894" s="34" t="str">
        <f aca="false">IF(AND(ISNUMBER(H894),ISNUMBER(H$901)),IF(H894&gt;H$901,"Above",IF(H894&lt;H$901,"Below","At")),"-")</f>
        <v>Below</v>
      </c>
      <c r="K894" s="34" t="str">
        <f aca="false">IF(J894="Above","Better",IF(J894="Below","Weaker","-"))</f>
        <v>Weaker</v>
      </c>
      <c r="L894" s="34" t="n">
        <f aca="false">IF(ISNUMBER(H894),RANK(H894,H$889:H$898,0),"-")</f>
        <v>7</v>
      </c>
      <c r="N894" s="34" t="str">
        <f aca="false">IF(AND(ISNUMBER(I894),ISNUMBER(I$901)),IF(I894&gt;I$901,"Above",IF(I894&lt;I$901,"Below","At")),"-")</f>
        <v>Below</v>
      </c>
      <c r="O894" s="34" t="str">
        <f aca="false">IF(N894="Above","Better",IF(N894="Below","Weaker","-"))</f>
        <v>Weaker</v>
      </c>
    </row>
    <row r="895" customFormat="false" ht="15" hidden="false" customHeight="false" outlineLevel="0" collapsed="false">
      <c r="A895" s="18" t="s">
        <v>115</v>
      </c>
      <c r="B895" s="23" t="n">
        <f aca="false">Sical!D140</f>
        <v>-0.19565336599097</v>
      </c>
      <c r="C895" s="23" t="str">
        <f aca="false">Sical!E140</f>
        <v>N/M</v>
      </c>
      <c r="D895" s="23" t="str">
        <f aca="false">Sical!F140</f>
        <v>N/M</v>
      </c>
      <c r="E895" s="23" t="str">
        <f aca="false">Sical!G140</f>
        <v>N/M</v>
      </c>
      <c r="F895" s="23" t="n">
        <f aca="false">Sical!H140</f>
        <v>-0.687986381322957</v>
      </c>
      <c r="G895" s="23" t="n">
        <f aca="false">Sical!I140</f>
        <v>-2.15699373695198</v>
      </c>
      <c r="H895" s="23" t="n">
        <f aca="false">Sical!J140</f>
        <v>0.779007271577616</v>
      </c>
      <c r="I895" s="24" t="n">
        <f aca="false">Sical!K140</f>
        <v>-0.565406553172074</v>
      </c>
      <c r="J895" s="34" t="str">
        <f aca="false">IF(AND(ISNUMBER(H895),ISNUMBER(H$901)),IF(H895&gt;H$901,"Above",IF(H895&lt;H$901,"Below","At")),"-")</f>
        <v>Above</v>
      </c>
      <c r="K895" s="34" t="str">
        <f aca="false">IF(J895="Above","Better",IF(J895="Below","Weaker","-"))</f>
        <v>Better</v>
      </c>
      <c r="L895" s="34" t="n">
        <f aca="false">IF(ISNUMBER(H895),RANK(H895,H$889:H$898,0),"-")</f>
        <v>1</v>
      </c>
      <c r="N895" s="34" t="str">
        <f aca="false">IF(AND(ISNUMBER(I895),ISNUMBER(I$901)),IF(I895&gt;I$901,"Above",IF(I895&lt;I$901,"Below","At")),"-")</f>
        <v>Below</v>
      </c>
      <c r="O895" s="34" t="str">
        <f aca="false">IF(N895="Above","Better",IF(N895="Below","Weaker","-"))</f>
        <v>Weaker</v>
      </c>
    </row>
    <row r="896" customFormat="false" ht="15" hidden="false" customHeight="false" outlineLevel="0" collapsed="false">
      <c r="A896" s="18" t="s">
        <v>86</v>
      </c>
      <c r="B896" s="23" t="n">
        <f aca="false">TCI!D140</f>
        <v>0.148612887230211</v>
      </c>
      <c r="C896" s="23" t="n">
        <f aca="false">TCI!E140</f>
        <v>0.134144784828592</v>
      </c>
      <c r="D896" s="23" t="n">
        <f aca="false">TCI!F140</f>
        <v>0.222777779914538</v>
      </c>
      <c r="E896" s="23" t="n">
        <f aca="false">TCI!G140</f>
        <v>0.202639149188875</v>
      </c>
      <c r="F896" s="23" t="n">
        <f aca="false">TCI!H140</f>
        <v>0.189334549507369</v>
      </c>
      <c r="G896" s="23" t="n">
        <f aca="false">TCI!I140</f>
        <v>0.198327790562621</v>
      </c>
      <c r="H896" s="23" t="n">
        <f aca="false">TCI!J140</f>
        <v>0.193295966310367</v>
      </c>
      <c r="I896" s="24" t="n">
        <f aca="false">TCI!K140</f>
        <v>0.184161843934653</v>
      </c>
      <c r="J896" s="34" t="str">
        <f aca="false">IF(AND(ISNUMBER(H896),ISNUMBER(H$901)),IF(H896&gt;H$901,"Above",IF(H896&lt;H$901,"Below","At")),"-")</f>
        <v>Above</v>
      </c>
      <c r="K896" s="34" t="str">
        <f aca="false">IF(J896="Above","Better",IF(J896="Below","Weaker","-"))</f>
        <v>Better</v>
      </c>
      <c r="L896" s="34" t="n">
        <f aca="false">IF(ISNUMBER(H896),RANK(H896,H$889:H$898,0),"-")</f>
        <v>2</v>
      </c>
      <c r="N896" s="34" t="str">
        <f aca="false">IF(AND(ISNUMBER(I896),ISNUMBER(I$901)),IF(I896&gt;I$901,"Above",IF(I896&lt;I$901,"Below","At")),"-")</f>
        <v>Above</v>
      </c>
      <c r="O896" s="34" t="str">
        <f aca="false">IF(N896="Above","Better",IF(N896="Below","Weaker","-"))</f>
        <v>Better</v>
      </c>
    </row>
    <row r="897" customFormat="false" ht="15" hidden="false" customHeight="false" outlineLevel="0" collapsed="false">
      <c r="A897" s="18" t="s">
        <v>116</v>
      </c>
      <c r="B897" s="23" t="n">
        <f aca="false">Shreeji!D140</f>
        <v>0.0597075548334687</v>
      </c>
      <c r="C897" s="23" t="n">
        <f aca="false">Shreeji!E140</f>
        <v>-0.044120623355596</v>
      </c>
      <c r="D897" s="23" t="n">
        <f aca="false">Shreeji!F140</f>
        <v>0.314498933901919</v>
      </c>
      <c r="E897" s="23" t="n">
        <f aca="false">Shreeji!G140</f>
        <v>0.265460030165912</v>
      </c>
      <c r="F897" s="23" t="n">
        <f aca="false">Shreeji!H140</f>
        <v>0.336502687060769</v>
      </c>
      <c r="G897" s="23" t="n">
        <f aca="false">Shreeji!I140</f>
        <v>0.0271445045684379</v>
      </c>
      <c r="H897" s="23" t="n">
        <f aca="false">Shreeji!J140</f>
        <v>0.054067927110959</v>
      </c>
      <c r="I897" s="24" t="n">
        <f aca="false">Shreeji!K140</f>
        <v>0.14475157346941</v>
      </c>
      <c r="J897" s="34" t="str">
        <f aca="false">IF(AND(ISNUMBER(H897),ISNUMBER(H$901)),IF(H897&gt;H$901,"Above",IF(H897&lt;H$901,"Below","At")),"-")</f>
        <v>Below</v>
      </c>
      <c r="K897" s="34" t="str">
        <f aca="false">IF(J897="Above","Better",IF(J897="Below","Weaker","-"))</f>
        <v>Weaker</v>
      </c>
      <c r="L897" s="34" t="n">
        <f aca="false">IF(ISNUMBER(H897),RANK(H897,H$889:H$898,0),"-")</f>
        <v>8</v>
      </c>
      <c r="N897" s="34" t="str">
        <f aca="false">IF(AND(ISNUMBER(I897),ISNUMBER(I$901)),IF(I897&gt;I$901,"Above",IF(I897&lt;I$901,"Below","At")),"-")</f>
        <v>Above</v>
      </c>
      <c r="O897" s="34" t="str">
        <f aca="false">IF(N897="Above","Better",IF(N897="Below","Weaker","-"))</f>
        <v>Better</v>
      </c>
    </row>
    <row r="898" customFormat="false" ht="15" hidden="false" customHeight="false" outlineLevel="0" collapsed="false">
      <c r="A898" s="18" t="s">
        <v>117</v>
      </c>
      <c r="B898" s="23" t="n">
        <f aca="false">MahindraLog!D140</f>
        <v>0.105708285788257</v>
      </c>
      <c r="C898" s="23" t="n">
        <f aca="false">MahindraLog!E140</f>
        <v>0.0539224056582578</v>
      </c>
      <c r="D898" s="23" t="n">
        <f aca="false">MahindraLog!F140</f>
        <v>0.0315107578014248</v>
      </c>
      <c r="E898" s="23" t="n">
        <f aca="false">MahindraLog!G140</f>
        <v>0.047430402021387</v>
      </c>
      <c r="F898" s="23" t="n">
        <f aca="false">MahindraLog!H140</f>
        <v>-0.103857172671562</v>
      </c>
      <c r="G898" s="23" t="n">
        <f aca="false">MahindraLog!I140</f>
        <v>-0.077067770194013</v>
      </c>
      <c r="H898" s="23" t="n">
        <f aca="false">MahindraLog!J140</f>
        <v>0.00284002827626406</v>
      </c>
      <c r="I898" s="24" t="n">
        <f aca="false">MahindraLog!K140</f>
        <v>0.00864099095428805</v>
      </c>
      <c r="J898" s="34" t="str">
        <f aca="false">IF(AND(ISNUMBER(H898),ISNUMBER(H$901)),IF(H898&gt;H$901,"Above",IF(H898&lt;H$901,"Below","At")),"-")</f>
        <v>Below</v>
      </c>
      <c r="K898" s="34" t="str">
        <f aca="false">IF(J898="Above","Better",IF(J898="Below","Weaker","-"))</f>
        <v>Weaker</v>
      </c>
      <c r="L898" s="34" t="n">
        <f aca="false">IF(ISNUMBER(H898),RANK(H898,H$889:H$898,0),"-")</f>
        <v>10</v>
      </c>
      <c r="N898" s="34" t="str">
        <f aca="false">IF(AND(ISNUMBER(I898),ISNUMBER(I$901)),IF(I898&gt;I$901,"Above",IF(I898&lt;I$901,"Below","At")),"-")</f>
        <v>Below</v>
      </c>
      <c r="O898" s="34" t="str">
        <f aca="false">IF(N898="Above","Better",IF(N898="Below","Weaker","-"))</f>
        <v>Weaker</v>
      </c>
    </row>
    <row r="899" customFormat="false" ht="15" hidden="false" customHeight="false" outlineLevel="0" collapsed="false">
      <c r="A899" s="12" t="s">
        <v>176</v>
      </c>
      <c r="B899" s="24" t="n">
        <f aca="false">Industry!D140</f>
        <v>0.0442838218187533</v>
      </c>
      <c r="C899" s="24" t="n">
        <f aca="false">Industry!E140</f>
        <v>-0.0145715597536018</v>
      </c>
      <c r="D899" s="24" t="n">
        <f aca="false">Industry!F140</f>
        <v>0.161561247443729</v>
      </c>
      <c r="E899" s="24" t="n">
        <f aca="false">Industry!G140</f>
        <v>0.101449356497972</v>
      </c>
      <c r="F899" s="24" t="n">
        <f aca="false">Industry!H140</f>
        <v>0.110541268636012</v>
      </c>
      <c r="G899" s="24" t="n">
        <f aca="false">Industry!I140</f>
        <v>0.110818749778141</v>
      </c>
      <c r="H899" s="24" t="n">
        <f aca="false">Industry!J140</f>
        <v>0.110435865141395</v>
      </c>
      <c r="I899" s="24" t="n">
        <f aca="false">Industry!K140</f>
        <v>0.0892169642232001</v>
      </c>
    </row>
    <row r="900" customFormat="false" ht="15" hidden="false" customHeight="false" outlineLevel="0" collapsed="false">
      <c r="A900" s="35" t="s">
        <v>177</v>
      </c>
      <c r="B900" s="39" t="n">
        <f aca="false">IFERROR(AVERAGE(B889:B898),"N/M")</f>
        <v>-0.0332943513770458</v>
      </c>
      <c r="C900" s="39" t="n">
        <f aca="false">IFERROR(AVERAGE(C889:C898),"N/M")</f>
        <v>0.0363883214549816</v>
      </c>
      <c r="D900" s="39" t="n">
        <f aca="false">IFERROR(AVERAGE(D889:D898),"N/M")</f>
        <v>0.250199112737225</v>
      </c>
      <c r="E900" s="39" t="n">
        <f aca="false">IFERROR(AVERAGE(E889:E898),"N/M")</f>
        <v>0.167460780165566</v>
      </c>
      <c r="F900" s="39" t="n">
        <f aca="false">IFERROR(AVERAGE(F889:F898),"N/M")</f>
        <v>0.0311124031340629</v>
      </c>
      <c r="G900" s="39" t="n">
        <f aca="false">IFERROR(AVERAGE(G889:G898),"N/M")</f>
        <v>-0.134938203641233</v>
      </c>
      <c r="H900" s="39" t="n">
        <f aca="false">IFERROR(AVERAGE(H889:H898),"N/M")</f>
        <v>0.161023467480411</v>
      </c>
      <c r="I900" s="39" t="n">
        <f aca="false">IFERROR(AVERAGE(I889:I898),"N/M")</f>
        <v>0.0375606775095097</v>
      </c>
    </row>
    <row r="901" customFormat="false" ht="15" hidden="false" customHeight="false" outlineLevel="0" collapsed="false">
      <c r="A901" s="35" t="s">
        <v>178</v>
      </c>
      <c r="B901" s="39" t="n">
        <f aca="false">IFERROR(MEDIAN(B889:B898),"N/M")</f>
        <v>0.0496598883912302</v>
      </c>
      <c r="C901" s="39" t="n">
        <f aca="false">IFERROR(MEDIAN(C889:C898),"N/M")</f>
        <v>0.0539224056582578</v>
      </c>
      <c r="D901" s="39" t="n">
        <f aca="false">IFERROR(MEDIAN(D889:D898),"N/M")</f>
        <v>0.222777779914538</v>
      </c>
      <c r="E901" s="39" t="n">
        <f aca="false">IFERROR(MEDIAN(E889:E898),"N/M")</f>
        <v>0.202639149188875</v>
      </c>
      <c r="F901" s="39" t="n">
        <f aca="false">IFERROR(MEDIAN(F889:F898),"N/M")</f>
        <v>0.0827466855048387</v>
      </c>
      <c r="G901" s="39" t="n">
        <f aca="false">IFERROR(MEDIAN(G889:G898),"N/M")</f>
        <v>0.0605525253835513</v>
      </c>
      <c r="H901" s="39" t="n">
        <f aca="false">IFERROR(MEDIAN(H889:H898),"N/M")</f>
        <v>0.0980070408374416</v>
      </c>
      <c r="I901" s="39" t="n">
        <f aca="false">IFERROR(MEDIAN(I889:I898),"N/M")</f>
        <v>0.104280204007898</v>
      </c>
    </row>
    <row r="902" customFormat="false" ht="15" hidden="false" customHeight="false" outlineLevel="0" collapsed="false">
      <c r="A902" s="35" t="s">
        <v>179</v>
      </c>
      <c r="B902" s="39" t="n">
        <f aca="false">IFERROR(STDEV(B889:B898),"N/M")</f>
        <v>0.180404927906841</v>
      </c>
      <c r="C902" s="39" t="n">
        <f aca="false">IFERROR(STDEV(C889:C898),"N/M")</f>
        <v>0.132506943148683</v>
      </c>
      <c r="D902" s="39" t="n">
        <f aca="false">IFERROR(STDEV(D889:D898),"N/M")</f>
        <v>0.204285003791018</v>
      </c>
      <c r="E902" s="39" t="n">
        <f aca="false">IFERROR(STDEV(E889:E898),"N/M")</f>
        <v>0.123594942545316</v>
      </c>
      <c r="F902" s="39" t="n">
        <f aca="false">IFERROR(STDEV(F889:F898),"N/M")</f>
        <v>0.281299584787103</v>
      </c>
      <c r="G902" s="39" t="n">
        <f aca="false">IFERROR(STDEV(G889:G898),"N/M")</f>
        <v>0.715992984157271</v>
      </c>
      <c r="H902" s="39" t="n">
        <f aca="false">IFERROR(STDEV(H889:H898),"N/M")</f>
        <v>0.225147597546914</v>
      </c>
      <c r="I902" s="39" t="n">
        <f aca="false">IFERROR(STDEV(I889:I898),"N/M")</f>
        <v>0.223445919366534</v>
      </c>
    </row>
    <row r="903" customFormat="false" ht="15" hidden="false" customHeight="false" outlineLevel="0" collapsed="false">
      <c r="A903" s="35" t="s">
        <v>102</v>
      </c>
      <c r="B903" s="39" t="n">
        <f aca="false">IFERROR(MIN(B889:B898),"N/M")</f>
        <v>-0.397772104896728</v>
      </c>
      <c r="C903" s="39" t="n">
        <f aca="false">IFERROR(MIN(C889:C898),"N/M")</f>
        <v>-0.262357414448669</v>
      </c>
      <c r="D903" s="39" t="n">
        <f aca="false">IFERROR(MIN(D889:D898),"N/M")</f>
        <v>0.0194116641012485</v>
      </c>
      <c r="E903" s="39" t="n">
        <f aca="false">IFERROR(MIN(E889:E898),"N/M")</f>
        <v>0.00138552130239002</v>
      </c>
      <c r="F903" s="39" t="n">
        <f aca="false">IFERROR(MIN(F889:F898),"N/M")</f>
        <v>-0.687986381322957</v>
      </c>
      <c r="G903" s="39" t="n">
        <f aca="false">IFERROR(MIN(G889:G898),"N/M")</f>
        <v>-2.15699373695198</v>
      </c>
      <c r="H903" s="39" t="n">
        <f aca="false">IFERROR(MIN(H889:H898),"N/M")</f>
        <v>0.00284002827626406</v>
      </c>
      <c r="I903" s="39" t="n">
        <f aca="false">IFERROR(MIN(I889:I898),"N/M")</f>
        <v>-0.565406553172074</v>
      </c>
    </row>
    <row r="904" customFormat="false" ht="15" hidden="false" customHeight="false" outlineLevel="0" collapsed="false">
      <c r="A904" s="35" t="s">
        <v>103</v>
      </c>
      <c r="B904" s="39" t="n">
        <f aca="false">IFERROR(MAX(B889:B898),"N/M")</f>
        <v>0.148612887230211</v>
      </c>
      <c r="C904" s="39" t="n">
        <f aca="false">IFERROR(MAX(C889:C898),"N/M")</f>
        <v>0.188051238005523</v>
      </c>
      <c r="D904" s="39" t="n">
        <f aca="false">IFERROR(MAX(D889:D898),"N/M")</f>
        <v>0.577785413624259</v>
      </c>
      <c r="E904" s="39" t="n">
        <f aca="false">IFERROR(MAX(E889:E898),"N/M")</f>
        <v>0.361219565694231</v>
      </c>
      <c r="F904" s="39" t="n">
        <f aca="false">IFERROR(MAX(F889:F898),"N/M")</f>
        <v>0.336502687060769</v>
      </c>
      <c r="G904" s="39" t="n">
        <f aca="false">IFERROR(MAX(G889:G898),"N/M")</f>
        <v>0.21683458435355</v>
      </c>
      <c r="H904" s="39" t="n">
        <f aca="false">IFERROR(MAX(H889:H898),"N/M")</f>
        <v>0.779007271577616</v>
      </c>
      <c r="I904" s="39" t="n">
        <f aca="false">IFERROR(MAX(I889:I898),"N/M")</f>
        <v>0.221471877669117</v>
      </c>
    </row>
    <row r="906" customFormat="false" ht="15" hidden="false" customHeight="false" outlineLevel="0" collapsed="false">
      <c r="A906" s="16" t="s">
        <v>230</v>
      </c>
      <c r="B906" s="17"/>
      <c r="C906" s="17"/>
      <c r="D906" s="17"/>
      <c r="E906" s="17"/>
      <c r="F906" s="17"/>
      <c r="G906" s="17"/>
      <c r="H906" s="17"/>
      <c r="I906" s="17"/>
      <c r="J906" s="17"/>
      <c r="K906" s="17"/>
      <c r="L906" s="17"/>
      <c r="M906" s="17"/>
    </row>
    <row r="907" customFormat="false" ht="15" hidden="false" customHeight="false" outlineLevel="0" collapsed="false">
      <c r="A907" s="18" t="s">
        <v>110</v>
      </c>
      <c r="B907" s="40" t="n">
        <f aca="false">Tiger!D143</f>
        <v>-1.1674550614948</v>
      </c>
      <c r="C907" s="40" t="n">
        <f aca="false">Tiger!E143</f>
        <v>-1.17502365184484</v>
      </c>
      <c r="D907" s="40" t="n">
        <f aca="false">Tiger!F143</f>
        <v>3.18164616840114</v>
      </c>
      <c r="E907" s="40" t="n">
        <f aca="false">Tiger!G143</f>
        <v>2.19583727530747</v>
      </c>
      <c r="F907" s="40" t="n">
        <f aca="false">Tiger!H143</f>
        <v>1.22611163670766</v>
      </c>
      <c r="G907" s="40" t="n">
        <f aca="false">Tiger!I143</f>
        <v>2.55534531693472</v>
      </c>
      <c r="H907" s="40" t="n">
        <f aca="false">Tiger!J143</f>
        <v>2.03595080416272</v>
      </c>
      <c r="I907" s="41" t="n">
        <f aca="false">Tiger!K143</f>
        <v>1.26463035545344</v>
      </c>
      <c r="J907" s="34" t="str">
        <f aca="false">IF(AND(ISNUMBER(H907),ISNUMBER(H$919)),IF(H907&gt;H$919,"Above",IF(H907&lt;H$919,"Below","At")),"-")</f>
        <v>Above</v>
      </c>
      <c r="K907" s="34" t="str">
        <f aca="false">IF(J907="Above","Better",IF(J907="Below","Weaker","-"))</f>
        <v>Better</v>
      </c>
      <c r="L907" s="34" t="n">
        <f aca="false">IF(ISNUMBER(H907),RANK(H907,H$907:H$916,0),"-")</f>
        <v>5</v>
      </c>
      <c r="N907" s="34" t="str">
        <f aca="false">IF(AND(ISNUMBER(I907),ISNUMBER(I$919)),IF(I907&gt;I$919,"Above",IF(I907&lt;I$919,"Below","At")),"-")</f>
        <v>Above</v>
      </c>
      <c r="O907" s="34" t="str">
        <f aca="false">IF(N907="Above","Better",IF(N907="Below","Weaker","-"))</f>
        <v>Better</v>
      </c>
    </row>
    <row r="908" customFormat="false" ht="15" hidden="false" customHeight="false" outlineLevel="0" collapsed="false">
      <c r="A908" s="18" t="s">
        <v>111</v>
      </c>
      <c r="B908" s="40" t="n">
        <f aca="false">Allcargo!D143</f>
        <v>2.26902726902727</v>
      </c>
      <c r="C908" s="40" t="n">
        <f aca="false">Allcargo!E143</f>
        <v>1.75925925925926</v>
      </c>
      <c r="D908" s="40" t="n">
        <f aca="false">Allcargo!F143</f>
        <v>9.41921041921042</v>
      </c>
      <c r="E908" s="40" t="n">
        <f aca="false">Allcargo!G143</f>
        <v>6.40608465608466</v>
      </c>
      <c r="F908" s="40" t="n">
        <f aca="false">Allcargo!H143</f>
        <v>1.52319902319902</v>
      </c>
      <c r="G908" s="40" t="n">
        <f aca="false">Allcargo!I143</f>
        <v>0.433976196739437</v>
      </c>
      <c r="H908" s="40" t="n">
        <f aca="false">Allcargo!J143</f>
        <v>0.0534116704499933</v>
      </c>
      <c r="I908" s="41" t="n">
        <f aca="false">Allcargo!K143</f>
        <v>3.12345264199572</v>
      </c>
      <c r="J908" s="34" t="str">
        <f aca="false">IF(AND(ISNUMBER(H908),ISNUMBER(H$919)),IF(H908&gt;H$919,"Above",IF(H908&lt;H$919,"Below","At")),"-")</f>
        <v>Below</v>
      </c>
      <c r="K908" s="34" t="str">
        <f aca="false">IF(J908="Above","Better",IF(J908="Below","Weaker","-"))</f>
        <v>Weaker</v>
      </c>
      <c r="L908" s="34" t="n">
        <f aca="false">IF(ISNUMBER(H908),RANK(H908,H$907:H$916,0),"-")</f>
        <v>10</v>
      </c>
      <c r="N908" s="34" t="str">
        <f aca="false">IF(AND(ISNUMBER(I908),ISNUMBER(I$919)),IF(I908&gt;I$919,"Above",IF(I908&lt;I$919,"Below","At")),"-")</f>
        <v>Above</v>
      </c>
      <c r="O908" s="34" t="str">
        <f aca="false">IF(N908="Above","Better",IF(N908="Below","Weaker","-"))</f>
        <v>Better</v>
      </c>
    </row>
    <row r="909" customFormat="false" ht="15" hidden="false" customHeight="false" outlineLevel="0" collapsed="false">
      <c r="A909" s="18" t="s">
        <v>112</v>
      </c>
      <c r="B909" s="40" t="n">
        <f aca="false">BlueDart!D143</f>
        <v>-17.662447257384</v>
      </c>
      <c r="C909" s="40" t="n">
        <f aca="false">BlueDart!E143</f>
        <v>42.957805907173</v>
      </c>
      <c r="D909" s="40" t="n">
        <f aca="false">BlueDart!F143</f>
        <v>161.270042194093</v>
      </c>
      <c r="E909" s="40" t="n">
        <f aca="false">BlueDart!G143</f>
        <v>156.341772151899</v>
      </c>
      <c r="F909" s="40" t="n">
        <f aca="false">BlueDart!H143</f>
        <v>127.008438818565</v>
      </c>
      <c r="G909" s="40" t="n">
        <f aca="false">BlueDart!I143</f>
        <v>106.506329113924</v>
      </c>
      <c r="H909" s="40" t="n">
        <f aca="false">BlueDart!J143</f>
        <v>104.383966244726</v>
      </c>
      <c r="I909" s="41" t="n">
        <f aca="false">BlueDart!K143</f>
        <v>97.2579867389994</v>
      </c>
      <c r="J909" s="34" t="str">
        <f aca="false">IF(AND(ISNUMBER(H909),ISNUMBER(H$919)),IF(H909&gt;H$919,"Above",IF(H909&lt;H$919,"Below","At")),"-")</f>
        <v>Above</v>
      </c>
      <c r="K909" s="34" t="str">
        <f aca="false">IF(J909="Above","Better",IF(J909="Below","Weaker","-"))</f>
        <v>Better</v>
      </c>
      <c r="L909" s="34" t="n">
        <f aca="false">IF(ISNUMBER(H909),RANK(H909,H$907:H$916,0),"-")</f>
        <v>1</v>
      </c>
      <c r="N909" s="34" t="str">
        <f aca="false">IF(AND(ISNUMBER(I909),ISNUMBER(I$919)),IF(I909&gt;I$919,"Above",IF(I909&lt;I$919,"Below","At")),"-")</f>
        <v>Above</v>
      </c>
      <c r="O909" s="34" t="str">
        <f aca="false">IF(N909="Above","Better",IF(N909="Below","Weaker","-"))</f>
        <v>Better</v>
      </c>
    </row>
    <row r="910" customFormat="false" ht="15" hidden="false" customHeight="false" outlineLevel="0" collapsed="false">
      <c r="A910" s="18" t="s">
        <v>67</v>
      </c>
      <c r="B910" s="40" t="n">
        <f aca="false">CONCOR!D143</f>
        <v>5.29831932773109</v>
      </c>
      <c r="C910" s="40" t="n">
        <f aca="false">CONCOR!E143</f>
        <v>6.63419117647059</v>
      </c>
      <c r="D910" s="40" t="n">
        <f aca="false">CONCOR!F143</f>
        <v>13.8539915966387</v>
      </c>
      <c r="E910" s="40" t="n">
        <f aca="false">CONCOR!G143</f>
        <v>15.4132090336134</v>
      </c>
      <c r="F910" s="40" t="n">
        <f aca="false">CONCOR!H143</f>
        <v>16.5518644957983</v>
      </c>
      <c r="G910" s="40" t="n">
        <f aca="false">CONCOR!I143</f>
        <v>16.938156512605</v>
      </c>
      <c r="H910" s="40" t="n">
        <f aca="false">CONCOR!J143</f>
        <v>16.3051470588235</v>
      </c>
      <c r="I910" s="41" t="n">
        <f aca="false">CONCOR!K143</f>
        <v>12.999268457383</v>
      </c>
      <c r="J910" s="34" t="str">
        <f aca="false">IF(AND(ISNUMBER(H910),ISNUMBER(H$919)),IF(H910&gt;H$919,"Above",IF(H910&lt;H$919,"Below","At")),"-")</f>
        <v>Above</v>
      </c>
      <c r="K910" s="34" t="str">
        <f aca="false">IF(J910="Above","Better",IF(J910="Below","Weaker","-"))</f>
        <v>Better</v>
      </c>
      <c r="L910" s="34" t="n">
        <f aca="false">IF(ISNUMBER(H910),RANK(H910,H$907:H$916,0),"-")</f>
        <v>3</v>
      </c>
      <c r="N910" s="34" t="str">
        <f aca="false">IF(AND(ISNUMBER(I910),ISNUMBER(I$919)),IF(I910&gt;I$919,"Above",IF(I910&lt;I$919,"Below","At")),"-")</f>
        <v>Above</v>
      </c>
      <c r="O910" s="34" t="str">
        <f aca="false">IF(N910="Above","Better",IF(N910="Below","Weaker","-"))</f>
        <v>Better</v>
      </c>
    </row>
    <row r="911" customFormat="false" ht="15" hidden="false" customHeight="false" outlineLevel="0" collapsed="false">
      <c r="A911" s="18" t="s">
        <v>113</v>
      </c>
      <c r="B911" s="40" t="n">
        <f aca="false">JetFreight!D143</f>
        <v>-1.84698275862069</v>
      </c>
      <c r="C911" s="40" t="n">
        <f aca="false">JetFreight!E143</f>
        <v>0.540948275862069</v>
      </c>
      <c r="D911" s="40" t="n">
        <f aca="false">JetFreight!F143</f>
        <v>0.607758620689655</v>
      </c>
      <c r="E911" s="40" t="n">
        <f aca="false">JetFreight!G143</f>
        <v>0.0129310344827586</v>
      </c>
      <c r="F911" s="40" t="n">
        <f aca="false">JetFreight!H143</f>
        <v>0.0560344827586207</v>
      </c>
      <c r="G911" s="40" t="n">
        <f aca="false">JetFreight!I143</f>
        <v>0.803879310344828</v>
      </c>
      <c r="H911" s="40" t="n">
        <f aca="false">JetFreight!J143</f>
        <v>1.46551724137931</v>
      </c>
      <c r="I911" s="41" t="n">
        <f aca="false">JetFreight!K143</f>
        <v>0.23429802955665</v>
      </c>
      <c r="J911" s="34" t="str">
        <f aca="false">IF(AND(ISNUMBER(H911),ISNUMBER(H$919)),IF(H911&gt;H$919,"Above",IF(H911&lt;H$919,"Below","At")),"-")</f>
        <v>Below</v>
      </c>
      <c r="K911" s="34" t="str">
        <f aca="false">IF(J911="Above","Better",IF(J911="Below","Weaker","-"))</f>
        <v>Weaker</v>
      </c>
      <c r="L911" s="34" t="n">
        <f aca="false">IF(ISNUMBER(H911),RANK(H911,H$907:H$916,0),"-")</f>
        <v>6</v>
      </c>
      <c r="N911" s="34" t="str">
        <f aca="false">IF(AND(ISNUMBER(I911),ISNUMBER(I$919)),IF(I911&gt;I$919,"Above",IF(I911&lt;I$919,"Below","At")),"-")</f>
        <v>Below</v>
      </c>
      <c r="O911" s="34" t="str">
        <f aca="false">IF(N911="Above","Better",IF(N911="Below","Weaker","-"))</f>
        <v>Weaker</v>
      </c>
    </row>
    <row r="912" customFormat="false" ht="15" hidden="false" customHeight="false" outlineLevel="0" collapsed="false">
      <c r="A912" s="18" t="s">
        <v>114</v>
      </c>
      <c r="B912" s="40" t="n">
        <f aca="false">Patel!D143</f>
        <v>1.51267605633803</v>
      </c>
      <c r="C912" s="40" t="n">
        <f aca="false">Patel!E143</f>
        <v>0.00701262272089762</v>
      </c>
      <c r="D912" s="40" t="n">
        <f aca="false">Patel!F143</f>
        <v>0.318373071528752</v>
      </c>
      <c r="E912" s="40" t="n">
        <f aca="false">Patel!G143</f>
        <v>0.704022988505747</v>
      </c>
      <c r="F912" s="40" t="n">
        <f aca="false">Patel!H143</f>
        <v>0.795977011494253</v>
      </c>
      <c r="G912" s="40" t="n">
        <f aca="false">Patel!I143</f>
        <v>1.09195402298851</v>
      </c>
      <c r="H912" s="40" t="n">
        <f aca="false">Patel!J143</f>
        <v>1.37931034482759</v>
      </c>
      <c r="I912" s="41" t="n">
        <f aca="false">Patel!K143</f>
        <v>0.829903731200539</v>
      </c>
      <c r="J912" s="34" t="str">
        <f aca="false">IF(AND(ISNUMBER(H912),ISNUMBER(H$919)),IF(H912&gt;H$919,"Above",IF(H912&lt;H$919,"Below","At")),"-")</f>
        <v>Below</v>
      </c>
      <c r="K912" s="34" t="str">
        <f aca="false">IF(J912="Above","Better",IF(J912="Below","Weaker","-"))</f>
        <v>Weaker</v>
      </c>
      <c r="L912" s="34" t="n">
        <f aca="false">IF(ISNUMBER(H912),RANK(H912,H$907:H$916,0),"-")</f>
        <v>7</v>
      </c>
      <c r="N912" s="34" t="str">
        <f aca="false">IF(AND(ISNUMBER(I912),ISNUMBER(I$919)),IF(I912&gt;I$919,"Above",IF(I912&lt;I$919,"Below","At")),"-")</f>
        <v>Below</v>
      </c>
      <c r="O912" s="34" t="str">
        <f aca="false">IF(N912="Above","Better",IF(N912="Below","Weaker","-"))</f>
        <v>Weaker</v>
      </c>
    </row>
    <row r="913" customFormat="false" ht="15" hidden="false" customHeight="false" outlineLevel="0" collapsed="false">
      <c r="A913" s="18" t="s">
        <v>115</v>
      </c>
      <c r="B913" s="40" t="n">
        <f aca="false">Sical!D143</f>
        <v>-18.2799371541772</v>
      </c>
      <c r="C913" s="40" t="n">
        <f aca="false">Sical!E143</f>
        <v>-198.029236969738</v>
      </c>
      <c r="D913" s="40" t="n">
        <f aca="false">Sical!F143</f>
        <v>-44.4736662340324</v>
      </c>
      <c r="E913" s="40" t="n">
        <f aca="false">Sical!G143</f>
        <v>-127.808855308127</v>
      </c>
      <c r="F913" s="40" t="n">
        <f aca="false">Sical!H143</f>
        <v>-4.33569863139665</v>
      </c>
      <c r="G913" s="40" t="n">
        <f aca="false">Sical!I143</f>
        <v>-3.95868135910129</v>
      </c>
      <c r="H913" s="40" t="n">
        <f aca="false">Sical!J143</f>
        <v>6.17698671346202</v>
      </c>
      <c r="I913" s="41" t="n">
        <f aca="false">Sical!K143</f>
        <v>-55.8155841347302</v>
      </c>
      <c r="J913" s="34" t="str">
        <f aca="false">IF(AND(ISNUMBER(H913),ISNUMBER(H$919)),IF(H913&gt;H$919,"Above",IF(H913&lt;H$919,"Below","At")),"-")</f>
        <v>Above</v>
      </c>
      <c r="K913" s="34" t="str">
        <f aca="false">IF(J913="Above","Better",IF(J913="Below","Weaker","-"))</f>
        <v>Better</v>
      </c>
      <c r="L913" s="34" t="n">
        <f aca="false">IF(ISNUMBER(H913),RANK(H913,H$907:H$916,0),"-")</f>
        <v>4</v>
      </c>
      <c r="N913" s="34" t="str">
        <f aca="false">IF(AND(ISNUMBER(I913),ISNUMBER(I$919)),IF(I913&gt;I$919,"Above",IF(I913&lt;I$919,"Below","At")),"-")</f>
        <v>Below</v>
      </c>
      <c r="O913" s="34" t="str">
        <f aca="false">IF(N913="Above","Better",IF(N913="Below","Weaker","-"))</f>
        <v>Weaker</v>
      </c>
    </row>
    <row r="914" customFormat="false" ht="15" hidden="false" customHeight="false" outlineLevel="0" collapsed="false">
      <c r="A914" s="18" t="s">
        <v>86</v>
      </c>
      <c r="B914" s="40" t="n">
        <f aca="false">TCI!D143</f>
        <v>18.5364583333333</v>
      </c>
      <c r="C914" s="40" t="n">
        <f aca="false">TCI!E143</f>
        <v>19.083009079118</v>
      </c>
      <c r="D914" s="40" t="n">
        <f aca="false">TCI!F143</f>
        <v>37.4657179818887</v>
      </c>
      <c r="E914" s="40" t="n">
        <f aca="false">TCI!G143</f>
        <v>40.8943298969072</v>
      </c>
      <c r="F914" s="40" t="n">
        <f aca="false">TCI!H143</f>
        <v>45.1480051480052</v>
      </c>
      <c r="G914" s="40" t="n">
        <f aca="false">TCI!I143</f>
        <v>53.8355091383812</v>
      </c>
      <c r="H914" s="40" t="n">
        <f aca="false">TCI!J143</f>
        <v>59.4850065189048</v>
      </c>
      <c r="I914" s="41" t="n">
        <f aca="false">TCI!K143</f>
        <v>39.2068622995055</v>
      </c>
      <c r="J914" s="34" t="str">
        <f aca="false">IF(AND(ISNUMBER(H914),ISNUMBER(H$919)),IF(H914&gt;H$919,"Above",IF(H914&lt;H$919,"Below","At")),"-")</f>
        <v>Above</v>
      </c>
      <c r="K914" s="34" t="str">
        <f aca="false">IF(J914="Above","Better",IF(J914="Below","Weaker","-"))</f>
        <v>Better</v>
      </c>
      <c r="L914" s="34" t="n">
        <f aca="false">IF(ISNUMBER(H914),RANK(H914,H$907:H$916,0),"-")</f>
        <v>2</v>
      </c>
      <c r="N914" s="34" t="str">
        <f aca="false">IF(AND(ISNUMBER(I914),ISNUMBER(I$919)),IF(I914&gt;I$919,"Above",IF(I914&lt;I$919,"Below","At")),"-")</f>
        <v>Above</v>
      </c>
      <c r="O914" s="34" t="str">
        <f aca="false">IF(N914="Above","Better",IF(N914="Below","Weaker","-"))</f>
        <v>Better</v>
      </c>
    </row>
    <row r="915" customFormat="false" ht="15" hidden="false" customHeight="false" outlineLevel="0" collapsed="false">
      <c r="A915" s="18" t="s">
        <v>116</v>
      </c>
      <c r="B915" s="40" t="n">
        <f aca="false">Shreeji!D143</f>
        <v>0.21</v>
      </c>
      <c r="C915" s="40" t="n">
        <f aca="false">Shreeji!E143</f>
        <v>-0.155714285714286</v>
      </c>
      <c r="D915" s="40" t="n">
        <f aca="false">Shreeji!F143</f>
        <v>1.26428571428571</v>
      </c>
      <c r="E915" s="40" t="n">
        <f aca="false">Shreeji!G143</f>
        <v>1.38483547925608</v>
      </c>
      <c r="F915" s="40" t="n">
        <f aca="false">Shreeji!H143</f>
        <v>2.32904148783977</v>
      </c>
      <c r="G915" s="40" t="n">
        <f aca="false">Shreeji!I143</f>
        <v>0.218884120171674</v>
      </c>
      <c r="H915" s="40" t="n">
        <f aca="false">Shreeji!J143</f>
        <v>0.452074391988555</v>
      </c>
      <c r="I915" s="41" t="n">
        <f aca="false">Shreeji!K143</f>
        <v>0.81477241540393</v>
      </c>
      <c r="J915" s="34" t="str">
        <f aca="false">IF(AND(ISNUMBER(H915),ISNUMBER(H$919)),IF(H915&gt;H$919,"Above",IF(H915&lt;H$919,"Below","At")),"-")</f>
        <v>Below</v>
      </c>
      <c r="K915" s="34" t="str">
        <f aca="false">IF(J915="Above","Better",IF(J915="Below","Weaker","-"))</f>
        <v>Weaker</v>
      </c>
      <c r="L915" s="34" t="n">
        <f aca="false">IF(ISNUMBER(H915),RANK(H915,H$907:H$916,0),"-")</f>
        <v>8</v>
      </c>
      <c r="N915" s="34" t="str">
        <f aca="false">IF(AND(ISNUMBER(I915),ISNUMBER(I$919)),IF(I915&gt;I$919,"Above",IF(I915&lt;I$919,"Below","At")),"-")</f>
        <v>Below</v>
      </c>
      <c r="O915" s="34" t="str">
        <f aca="false">IF(N915="Above","Better",IF(N915="Below","Weaker","-"))</f>
        <v>Weaker</v>
      </c>
    </row>
    <row r="916" customFormat="false" ht="15" hidden="false" customHeight="false" outlineLevel="0" collapsed="false">
      <c r="A916" s="18" t="s">
        <v>117</v>
      </c>
      <c r="B916" s="40" t="n">
        <f aca="false">MahindraLog!D143</f>
        <v>5.60162601626016</v>
      </c>
      <c r="C916" s="40" t="n">
        <f aca="false">MahindraLog!E143</f>
        <v>3.04568527918782</v>
      </c>
      <c r="D916" s="40" t="n">
        <f aca="false">MahindraLog!F143</f>
        <v>1.77732793522267</v>
      </c>
      <c r="E916" s="40" t="n">
        <f aca="false">MahindraLog!G143</f>
        <v>2.65454545454545</v>
      </c>
      <c r="F916" s="40" t="n">
        <f aca="false">MahindraLog!H143</f>
        <v>-5.52929292929293</v>
      </c>
      <c r="G916" s="40" t="n">
        <f aca="false">MahindraLog!I143</f>
        <v>-3.61391129032258</v>
      </c>
      <c r="H916" s="40" t="n">
        <f aca="false">MahindraLog!J143</f>
        <v>0.230846774193548</v>
      </c>
      <c r="I916" s="41" t="n">
        <f aca="false">MahindraLog!K143</f>
        <v>0.595261034256306</v>
      </c>
      <c r="J916" s="34" t="str">
        <f aca="false">IF(AND(ISNUMBER(H916),ISNUMBER(H$919)),IF(H916&gt;H$919,"Above",IF(H916&lt;H$919,"Below","At")),"-")</f>
        <v>Below</v>
      </c>
      <c r="K916" s="34" t="str">
        <f aca="false">IF(J916="Above","Better",IF(J916="Below","Weaker","-"))</f>
        <v>Weaker</v>
      </c>
      <c r="L916" s="34" t="n">
        <f aca="false">IF(ISNUMBER(H916),RANK(H916,H$907:H$916,0),"-")</f>
        <v>9</v>
      </c>
      <c r="N916" s="34" t="str">
        <f aca="false">IF(AND(ISNUMBER(I916),ISNUMBER(I$919)),IF(I916&gt;I$919,"Above",IF(I916&lt;I$919,"Below","At")),"-")</f>
        <v>Below</v>
      </c>
      <c r="O916" s="34" t="str">
        <f aca="false">IF(N916="Above","Better",IF(N916="Below","Weaker","-"))</f>
        <v>Weaker</v>
      </c>
    </row>
    <row r="917" customFormat="false" ht="15" hidden="false" customHeight="false" outlineLevel="0" collapsed="false">
      <c r="A917" s="12" t="s">
        <v>176</v>
      </c>
      <c r="B917" s="41" t="str">
        <f aca="false">Industry!D143</f>
        <v>n.a.</v>
      </c>
      <c r="C917" s="41" t="str">
        <f aca="false">Industry!E143</f>
        <v>n.a.</v>
      </c>
      <c r="D917" s="41" t="str">
        <f aca="false">Industry!F143</f>
        <v>n.a.</v>
      </c>
      <c r="E917" s="41" t="str">
        <f aca="false">Industry!G143</f>
        <v>n.a.</v>
      </c>
      <c r="F917" s="41" t="str">
        <f aca="false">Industry!H143</f>
        <v>n.a.</v>
      </c>
      <c r="G917" s="41" t="str">
        <f aca="false">Industry!I143</f>
        <v>n.a.</v>
      </c>
      <c r="H917" s="41" t="str">
        <f aca="false">Industry!J143</f>
        <v>n.a.</v>
      </c>
      <c r="I917" s="41" t="str">
        <f aca="false">Industry!K143</f>
        <v>n.a.</v>
      </c>
    </row>
    <row r="918" customFormat="false" ht="15" hidden="false" customHeight="false" outlineLevel="0" collapsed="false">
      <c r="A918" s="35" t="s">
        <v>177</v>
      </c>
      <c r="B918" s="42" t="n">
        <f aca="false">IFERROR(AVERAGE(B907:B916),"N/M")</f>
        <v>-0.552871522898676</v>
      </c>
      <c r="C918" s="42" t="n">
        <f aca="false">IFERROR(AVERAGE(C907:C916),"N/M")</f>
        <v>-12.5332063307506</v>
      </c>
      <c r="D918" s="42" t="n">
        <f aca="false">IFERROR(AVERAGE(D907:D916),"N/M")</f>
        <v>18.4684687467926</v>
      </c>
      <c r="E918" s="42" t="n">
        <f aca="false">IFERROR(AVERAGE(E907:E916),"N/M")</f>
        <v>9.81987126624742</v>
      </c>
      <c r="F918" s="42" t="n">
        <f aca="false">IFERROR(AVERAGE(F907:F916),"N/M")</f>
        <v>18.4773680543679</v>
      </c>
      <c r="G918" s="42" t="n">
        <f aca="false">IFERROR(AVERAGE(G907:G916),"N/M")</f>
        <v>17.4811441082666</v>
      </c>
      <c r="H918" s="42" t="n">
        <f aca="false">IFERROR(AVERAGE(H907:H916),"N/M")</f>
        <v>19.1968217762918</v>
      </c>
      <c r="I918" s="42" t="n">
        <f aca="false">IFERROR(AVERAGE(I907:I916),"N/M")</f>
        <v>10.0510851569024</v>
      </c>
    </row>
    <row r="919" customFormat="false" ht="15" hidden="false" customHeight="false" outlineLevel="0" collapsed="false">
      <c r="A919" s="35" t="s">
        <v>178</v>
      </c>
      <c r="B919" s="42" t="n">
        <f aca="false">IFERROR(MEDIAN(B907:B916),"N/M")</f>
        <v>0.861338028169014</v>
      </c>
      <c r="C919" s="42" t="n">
        <f aca="false">IFERROR(MEDIAN(C907:C916),"N/M")</f>
        <v>1.15010376756066</v>
      </c>
      <c r="D919" s="42" t="n">
        <f aca="false">IFERROR(MEDIAN(D907:D916),"N/M")</f>
        <v>2.4794870518119</v>
      </c>
      <c r="E919" s="42" t="n">
        <f aca="false">IFERROR(MEDIAN(E907:E916),"N/M")</f>
        <v>2.42519136492646</v>
      </c>
      <c r="F919" s="42" t="n">
        <f aca="false">IFERROR(MEDIAN(F907:F916),"N/M")</f>
        <v>1.37465532995334</v>
      </c>
      <c r="G919" s="42" t="n">
        <f aca="false">IFERROR(MEDIAN(G907:G916),"N/M")</f>
        <v>0.947916666666667</v>
      </c>
      <c r="H919" s="42" t="n">
        <f aca="false">IFERROR(MEDIAN(H907:H916),"N/M")</f>
        <v>1.75073402277102</v>
      </c>
      <c r="I919" s="42" t="n">
        <f aca="false">IFERROR(MEDIAN(I907:I916),"N/M")</f>
        <v>1.04726704332699</v>
      </c>
    </row>
    <row r="920" customFormat="false" ht="15" hidden="false" customHeight="false" outlineLevel="0" collapsed="false">
      <c r="A920" s="35" t="s">
        <v>179</v>
      </c>
      <c r="B920" s="42" t="n">
        <f aca="false">IFERROR(STDEV(B907:B916),"N/M")</f>
        <v>10.8441855171358</v>
      </c>
      <c r="C920" s="42" t="n">
        <f aca="false">IFERROR(STDEV(C907:C916),"N/M")</f>
        <v>66.5936113849932</v>
      </c>
      <c r="D920" s="42" t="n">
        <f aca="false">IFERROR(STDEV(D907:D916),"N/M")</f>
        <v>54.0316529332563</v>
      </c>
      <c r="E920" s="42" t="n">
        <f aca="false">IFERROR(STDEV(E907:E916),"N/M")</f>
        <v>68.1328665564243</v>
      </c>
      <c r="F920" s="42" t="n">
        <f aca="false">IFERROR(STDEV(F907:F916),"N/M")</f>
        <v>40.9451866897732</v>
      </c>
      <c r="G920" s="42" t="n">
        <f aca="false">IFERROR(STDEV(G907:G916),"N/M")</f>
        <v>35.7618565761455</v>
      </c>
      <c r="H920" s="42" t="n">
        <f aca="false">IFERROR(STDEV(H907:H916),"N/M")</f>
        <v>35.058312660924</v>
      </c>
      <c r="I920" s="42" t="n">
        <f aca="false">IFERROR(STDEV(I907:I916),"N/M")</f>
        <v>38.4180634485209</v>
      </c>
    </row>
    <row r="921" customFormat="false" ht="15" hidden="false" customHeight="false" outlineLevel="0" collapsed="false">
      <c r="A921" s="35" t="s">
        <v>102</v>
      </c>
      <c r="B921" s="42" t="n">
        <f aca="false">IFERROR(MIN(B907:B916),"N/M")</f>
        <v>-18.2799371541772</v>
      </c>
      <c r="C921" s="42" t="n">
        <f aca="false">IFERROR(MIN(C907:C916),"N/M")</f>
        <v>-198.029236969738</v>
      </c>
      <c r="D921" s="42" t="n">
        <f aca="false">IFERROR(MIN(D907:D916),"N/M")</f>
        <v>-44.4736662340324</v>
      </c>
      <c r="E921" s="42" t="n">
        <f aca="false">IFERROR(MIN(E907:E916),"N/M")</f>
        <v>-127.808855308127</v>
      </c>
      <c r="F921" s="42" t="n">
        <f aca="false">IFERROR(MIN(F907:F916),"N/M")</f>
        <v>-5.52929292929293</v>
      </c>
      <c r="G921" s="42" t="n">
        <f aca="false">IFERROR(MIN(G907:G916),"N/M")</f>
        <v>-3.95868135910129</v>
      </c>
      <c r="H921" s="42" t="n">
        <f aca="false">IFERROR(MIN(H907:H916),"N/M")</f>
        <v>0.0534116704499933</v>
      </c>
      <c r="I921" s="42" t="n">
        <f aca="false">IFERROR(MIN(I907:I916),"N/M")</f>
        <v>-55.8155841347302</v>
      </c>
    </row>
    <row r="922" customFormat="false" ht="15" hidden="false" customHeight="false" outlineLevel="0" collapsed="false">
      <c r="A922" s="35" t="s">
        <v>103</v>
      </c>
      <c r="B922" s="42" t="n">
        <f aca="false">IFERROR(MAX(B907:B916),"N/M")</f>
        <v>18.5364583333333</v>
      </c>
      <c r="C922" s="42" t="n">
        <f aca="false">IFERROR(MAX(C907:C916),"N/M")</f>
        <v>42.957805907173</v>
      </c>
      <c r="D922" s="42" t="n">
        <f aca="false">IFERROR(MAX(D907:D916),"N/M")</f>
        <v>161.270042194093</v>
      </c>
      <c r="E922" s="42" t="n">
        <f aca="false">IFERROR(MAX(E907:E916),"N/M")</f>
        <v>156.341772151899</v>
      </c>
      <c r="F922" s="42" t="n">
        <f aca="false">IFERROR(MAX(F907:F916),"N/M")</f>
        <v>127.008438818565</v>
      </c>
      <c r="G922" s="42" t="n">
        <f aca="false">IFERROR(MAX(G907:G916),"N/M")</f>
        <v>106.506329113924</v>
      </c>
      <c r="H922" s="42" t="n">
        <f aca="false">IFERROR(MAX(H907:H916),"N/M")</f>
        <v>104.383966244726</v>
      </c>
      <c r="I922" s="42" t="n">
        <f aca="false">IFERROR(MAX(I907:I916),"N/M")</f>
        <v>97.2579867389994</v>
      </c>
    </row>
    <row r="924" customFormat="false" ht="15" hidden="false" customHeight="false" outlineLevel="0" collapsed="false">
      <c r="A924" s="16" t="s">
        <v>231</v>
      </c>
      <c r="B924" s="17"/>
      <c r="C924" s="17"/>
      <c r="D924" s="17"/>
      <c r="E924" s="17"/>
      <c r="F924" s="17"/>
      <c r="G924" s="17"/>
      <c r="H924" s="17"/>
      <c r="I924" s="17"/>
      <c r="J924" s="17"/>
      <c r="K924" s="17"/>
      <c r="L924" s="17"/>
      <c r="M924" s="17"/>
    </row>
    <row r="925" customFormat="false" ht="15" hidden="false" customHeight="false" outlineLevel="0" collapsed="false">
      <c r="A925" s="18" t="s">
        <v>110</v>
      </c>
      <c r="B925" s="40" t="n">
        <f aca="false">Tiger!D144</f>
        <v>-1.07473982970672</v>
      </c>
      <c r="C925" s="40" t="n">
        <f aca="false">Tiger!E144</f>
        <v>-1.09082308420057</v>
      </c>
      <c r="D925" s="40" t="n">
        <f aca="false">Tiger!F144</f>
        <v>3.25733207190161</v>
      </c>
      <c r="E925" s="40" t="n">
        <f aca="false">Tiger!G144</f>
        <v>2.26963103122044</v>
      </c>
      <c r="F925" s="40" t="n">
        <f aca="false">Tiger!H144</f>
        <v>1.29990539262062</v>
      </c>
      <c r="G925" s="40" t="n">
        <f aca="false">Tiger!I144</f>
        <v>2.63576158940397</v>
      </c>
      <c r="H925" s="40" t="n">
        <f aca="false">Tiger!J144</f>
        <v>2.12677388836329</v>
      </c>
      <c r="I925" s="41" t="n">
        <f aca="false">Tiger!K144</f>
        <v>1.34626300851466</v>
      </c>
      <c r="J925" s="34" t="str">
        <f aca="false">IF(AND(ISNUMBER(H925),ISNUMBER(H$937)),IF(H925&gt;H$937,"Above",IF(H925&lt;H$937,"Below","At")),"-")</f>
        <v>Below</v>
      </c>
      <c r="K925" s="34" t="str">
        <f aca="false">IF(J925="Above","Better",IF(J925="Below","Weaker","-"))</f>
        <v>Weaker</v>
      </c>
      <c r="L925" s="34" t="n">
        <f aca="false">IF(ISNUMBER(H925),RANK(H925,H$925:H$934,0),"-")</f>
        <v>6</v>
      </c>
      <c r="N925" s="34" t="str">
        <f aca="false">IF(AND(ISNUMBER(I925),ISNUMBER(I$937)),IF(I925&gt;I$937,"Above",IF(I925&lt;I$937,"Below","At")),"-")</f>
        <v>Below</v>
      </c>
      <c r="O925" s="34" t="str">
        <f aca="false">IF(N925="Above","Better",IF(N925="Below","Weaker","-"))</f>
        <v>Weaker</v>
      </c>
    </row>
    <row r="926" customFormat="false" ht="15" hidden="false" customHeight="false" outlineLevel="0" collapsed="false">
      <c r="A926" s="18" t="s">
        <v>111</v>
      </c>
      <c r="B926" s="40" t="n">
        <f aca="false">Allcargo!D144</f>
        <v>4.62555962555963</v>
      </c>
      <c r="C926" s="40" t="n">
        <f aca="false">Allcargo!E144</f>
        <v>4.87372812372812</v>
      </c>
      <c r="D926" s="40" t="n">
        <f aca="false">Allcargo!F144</f>
        <v>11.8364875864876</v>
      </c>
      <c r="E926" s="40" t="n">
        <f aca="false">Allcargo!G144</f>
        <v>9.23483923483924</v>
      </c>
      <c r="F926" s="40" t="n">
        <f aca="false">Allcargo!H144</f>
        <v>5.59340659340659</v>
      </c>
      <c r="G926" s="40" t="n">
        <f aca="false">Allcargo!I144</f>
        <v>1.64910954760986</v>
      </c>
      <c r="H926" s="40" t="n">
        <f aca="false">Allcargo!J144</f>
        <v>1.41540926692482</v>
      </c>
      <c r="I926" s="41" t="n">
        <f aca="false">Allcargo!K144</f>
        <v>5.60407713979369</v>
      </c>
      <c r="J926" s="34" t="str">
        <f aca="false">IF(AND(ISNUMBER(H926),ISNUMBER(H$937)),IF(H926&gt;H$937,"Above",IF(H926&lt;H$937,"Below","At")),"-")</f>
        <v>Below</v>
      </c>
      <c r="K926" s="34" t="str">
        <f aca="false">IF(J926="Above","Better",IF(J926="Below","Weaker","-"))</f>
        <v>Weaker</v>
      </c>
      <c r="L926" s="34" t="n">
        <f aca="false">IF(ISNUMBER(H926),RANK(H926,H$925:H$934,0),"-")</f>
        <v>9</v>
      </c>
      <c r="N926" s="34" t="str">
        <f aca="false">IF(AND(ISNUMBER(I926),ISNUMBER(I$937)),IF(I926&gt;I$937,"Above",IF(I926&lt;I$937,"Below","At")),"-")</f>
        <v>Above</v>
      </c>
      <c r="O926" s="34" t="str">
        <f aca="false">IF(N926="Above","Better",IF(N926="Below","Weaker","-"))</f>
        <v>Better</v>
      </c>
    </row>
    <row r="927" customFormat="false" ht="15" hidden="false" customHeight="false" outlineLevel="0" collapsed="false">
      <c r="A927" s="18" t="s">
        <v>112</v>
      </c>
      <c r="B927" s="40" t="n">
        <f aca="false">BlueDart!D144</f>
        <v>128.89029535865</v>
      </c>
      <c r="C927" s="40" t="n">
        <f aca="false">BlueDart!E144</f>
        <v>224.392405063291</v>
      </c>
      <c r="D927" s="40" t="n">
        <f aca="false">BlueDart!F144</f>
        <v>328.092827004219</v>
      </c>
      <c r="E927" s="40" t="n">
        <f aca="false">BlueDart!G144</f>
        <v>322.789029535865</v>
      </c>
      <c r="F927" s="40" t="n">
        <f aca="false">BlueDart!H144</f>
        <v>309.649789029536</v>
      </c>
      <c r="G927" s="40" t="n">
        <f aca="false">BlueDart!I144</f>
        <v>311.122362869198</v>
      </c>
      <c r="H927" s="40" t="n">
        <f aca="false">BlueDart!J144</f>
        <v>330.573839662447</v>
      </c>
      <c r="I927" s="41" t="n">
        <f aca="false">BlueDart!K144</f>
        <v>279.35864978903</v>
      </c>
      <c r="J927" s="34" t="str">
        <f aca="false">IF(AND(ISNUMBER(H927),ISNUMBER(H$937)),IF(H927&gt;H$937,"Above",IF(H927&lt;H$937,"Below","At")),"-")</f>
        <v>Above</v>
      </c>
      <c r="K927" s="34" t="str">
        <f aca="false">IF(J927="Above","Better",IF(J927="Below","Weaker","-"))</f>
        <v>Better</v>
      </c>
      <c r="L927" s="34" t="n">
        <f aca="false">IF(ISNUMBER(H927),RANK(H927,H$925:H$934,0),"-")</f>
        <v>1</v>
      </c>
      <c r="N927" s="34" t="str">
        <f aca="false">IF(AND(ISNUMBER(I927),ISNUMBER(I$937)),IF(I927&gt;I$937,"Above",IF(I927&lt;I$937,"Below","At")),"-")</f>
        <v>Above</v>
      </c>
      <c r="O927" s="34" t="str">
        <f aca="false">IF(N927="Above","Better",IF(N927="Below","Weaker","-"))</f>
        <v>Better</v>
      </c>
    </row>
    <row r="928" customFormat="false" ht="15" hidden="false" customHeight="false" outlineLevel="0" collapsed="false">
      <c r="A928" s="18" t="s">
        <v>67</v>
      </c>
      <c r="B928" s="40" t="n">
        <f aca="false">CONCOR!D144</f>
        <v>12.4465598739496</v>
      </c>
      <c r="C928" s="40" t="n">
        <f aca="false">CONCOR!E144</f>
        <v>13.9002100840336</v>
      </c>
      <c r="D928" s="40" t="n">
        <f aca="false">CONCOR!F144</f>
        <v>21.2255777310924</v>
      </c>
      <c r="E928" s="40" t="n">
        <f aca="false">CONCOR!G144</f>
        <v>22.936974789916</v>
      </c>
      <c r="F928" s="40" t="n">
        <f aca="false">CONCOR!H144</f>
        <v>24.6743697478992</v>
      </c>
      <c r="G928" s="40" t="n">
        <f aca="false">CONCOR!I144</f>
        <v>24.5699842436975</v>
      </c>
      <c r="H928" s="40" t="n">
        <f aca="false">CONCOR!J144</f>
        <v>24.3872111344538</v>
      </c>
      <c r="I928" s="41" t="n">
        <f aca="false">CONCOR!K144</f>
        <v>20.5915553721489</v>
      </c>
      <c r="J928" s="34" t="str">
        <f aca="false">IF(AND(ISNUMBER(H928),ISNUMBER(H$937)),IF(H928&gt;H$937,"Above",IF(H928&lt;H$937,"Below","At")),"-")</f>
        <v>Above</v>
      </c>
      <c r="K928" s="34" t="str">
        <f aca="false">IF(J928="Above","Better",IF(J928="Below","Weaker","-"))</f>
        <v>Better</v>
      </c>
      <c r="L928" s="34" t="n">
        <f aca="false">IF(ISNUMBER(H928),RANK(H928,H$925:H$934,0),"-")</f>
        <v>4</v>
      </c>
      <c r="N928" s="34" t="str">
        <f aca="false">IF(AND(ISNUMBER(I928),ISNUMBER(I$937)),IF(I928&gt;I$937,"Above",IF(I928&lt;I$937,"Below","At")),"-")</f>
        <v>Above</v>
      </c>
      <c r="O928" s="34" t="str">
        <f aca="false">IF(N928="Above","Better",IF(N928="Below","Weaker","-"))</f>
        <v>Better</v>
      </c>
    </row>
    <row r="929" customFormat="false" ht="15" hidden="false" customHeight="false" outlineLevel="0" collapsed="false">
      <c r="A929" s="18" t="s">
        <v>113</v>
      </c>
      <c r="B929" s="40" t="n">
        <f aca="false">JetFreight!D144</f>
        <v>-1.57327586206897</v>
      </c>
      <c r="C929" s="40" t="n">
        <f aca="false">JetFreight!E144</f>
        <v>1.00646551724138</v>
      </c>
      <c r="D929" s="40" t="n">
        <f aca="false">JetFreight!F144</f>
        <v>1.19827586206897</v>
      </c>
      <c r="E929" s="40" t="n">
        <f aca="false">JetFreight!G144</f>
        <v>0.618534482758621</v>
      </c>
      <c r="F929" s="40" t="n">
        <f aca="false">JetFreight!H144</f>
        <v>0.532327586206897</v>
      </c>
      <c r="G929" s="40" t="n">
        <f aca="false">JetFreight!I144</f>
        <v>1.25215517241379</v>
      </c>
      <c r="H929" s="40" t="n">
        <f aca="false">JetFreight!J144</f>
        <v>1.87715517241379</v>
      </c>
      <c r="I929" s="41" t="n">
        <f aca="false">JetFreight!K144</f>
        <v>0.701662561576355</v>
      </c>
      <c r="J929" s="34" t="str">
        <f aca="false">IF(AND(ISNUMBER(H929),ISNUMBER(H$937)),IF(H929&gt;H$937,"Above",IF(H929&lt;H$937,"Below","At")),"-")</f>
        <v>Below</v>
      </c>
      <c r="K929" s="34" t="str">
        <f aca="false">IF(J929="Above","Better",IF(J929="Below","Weaker","-"))</f>
        <v>Weaker</v>
      </c>
      <c r="L929" s="34" t="n">
        <f aca="false">IF(ISNUMBER(H929),RANK(H929,H$925:H$934,0),"-")</f>
        <v>7</v>
      </c>
      <c r="N929" s="34" t="str">
        <f aca="false">IF(AND(ISNUMBER(I929),ISNUMBER(I$937)),IF(I929&gt;I$937,"Above",IF(I929&lt;I$937,"Below","At")),"-")</f>
        <v>Below</v>
      </c>
      <c r="O929" s="34" t="str">
        <f aca="false">IF(N929="Above","Better",IF(N929="Below","Weaker","-"))</f>
        <v>Weaker</v>
      </c>
    </row>
    <row r="930" customFormat="false" ht="15" hidden="false" customHeight="false" outlineLevel="0" collapsed="false">
      <c r="A930" s="18" t="s">
        <v>114</v>
      </c>
      <c r="B930" s="40" t="n">
        <f aca="false">Patel!D144</f>
        <v>2.06338028169014</v>
      </c>
      <c r="C930" s="40" t="n">
        <f aca="false">Patel!E144</f>
        <v>0.336605890603086</v>
      </c>
      <c r="D930" s="40" t="n">
        <f aca="false">Patel!F144</f>
        <v>0.687237026647966</v>
      </c>
      <c r="E930" s="40" t="n">
        <f aca="false">Patel!G144</f>
        <v>1.1235632183908</v>
      </c>
      <c r="F930" s="40" t="n">
        <f aca="false">Patel!H144</f>
        <v>1.19827586206897</v>
      </c>
      <c r="G930" s="40" t="n">
        <f aca="false">Patel!I144</f>
        <v>1.46695402298851</v>
      </c>
      <c r="H930" s="40" t="n">
        <f aca="false">Patel!J144</f>
        <v>1.74568965517241</v>
      </c>
      <c r="I930" s="41" t="n">
        <f aca="false">Patel!K144</f>
        <v>1.2316722796517</v>
      </c>
      <c r="J930" s="34" t="str">
        <f aca="false">IF(AND(ISNUMBER(H930),ISNUMBER(H$937)),IF(H930&gt;H$937,"Above",IF(H930&lt;H$937,"Below","At")),"-")</f>
        <v>Below</v>
      </c>
      <c r="K930" s="34" t="str">
        <f aca="false">IF(J930="Above","Better",IF(J930="Below","Weaker","-"))</f>
        <v>Weaker</v>
      </c>
      <c r="L930" s="34" t="n">
        <f aca="false">IF(ISNUMBER(H930),RANK(H930,H$925:H$934,0),"-")</f>
        <v>8</v>
      </c>
      <c r="N930" s="34" t="str">
        <f aca="false">IF(AND(ISNUMBER(I930),ISNUMBER(I$937)),IF(I930&gt;I$937,"Above",IF(I930&lt;I$937,"Below","At")),"-")</f>
        <v>Below</v>
      </c>
      <c r="O930" s="34" t="str">
        <f aca="false">IF(N930="Above","Better",IF(N930="Below","Weaker","-"))</f>
        <v>Weaker</v>
      </c>
    </row>
    <row r="931" customFormat="false" ht="15" hidden="false" customHeight="false" outlineLevel="0" collapsed="false">
      <c r="A931" s="18" t="s">
        <v>115</v>
      </c>
      <c r="B931" s="40" t="n">
        <f aca="false">Sical!D144</f>
        <v>-3.85784548124872</v>
      </c>
      <c r="C931" s="40" t="n">
        <f aca="false">Sical!E144</f>
        <v>-184.580572443473</v>
      </c>
      <c r="D931" s="40" t="n">
        <f aca="false">Sical!F144</f>
        <v>-32.3194890361363</v>
      </c>
      <c r="E931" s="40" t="n">
        <f aca="false">Sical!G144</f>
        <v>-119.276923784273</v>
      </c>
      <c r="F931" s="40" t="n">
        <f aca="false">Sical!H144</f>
        <v>3.0697788471854</v>
      </c>
      <c r="G931" s="40" t="n">
        <f aca="false">Sical!I144</f>
        <v>1.82378273996536</v>
      </c>
      <c r="H931" s="40" t="n">
        <f aca="false">Sical!J144</f>
        <v>11.4026071697167</v>
      </c>
      <c r="I931" s="41" t="n">
        <f aca="false">Sical!K144</f>
        <v>-46.2483802840376</v>
      </c>
      <c r="J931" s="34" t="str">
        <f aca="false">IF(AND(ISNUMBER(H931),ISNUMBER(H$937)),IF(H931&gt;H$937,"Above",IF(H931&lt;H$937,"Below","At")),"-")</f>
        <v>Above</v>
      </c>
      <c r="K931" s="34" t="str">
        <f aca="false">IF(J931="Above","Better",IF(J931="Below","Weaker","-"))</f>
        <v>Better</v>
      </c>
      <c r="L931" s="34" t="n">
        <f aca="false">IF(ISNUMBER(H931),RANK(H931,H$925:H$934,0),"-")</f>
        <v>5</v>
      </c>
      <c r="N931" s="34" t="str">
        <f aca="false">IF(AND(ISNUMBER(I931),ISNUMBER(I$937)),IF(I931&gt;I$937,"Above",IF(I931&lt;I$937,"Below","At")),"-")</f>
        <v>Below</v>
      </c>
      <c r="O931" s="34" t="str">
        <f aca="false">IF(N931="Above","Better",IF(N931="Below","Weaker","-"))</f>
        <v>Weaker</v>
      </c>
    </row>
    <row r="932" customFormat="false" ht="15" hidden="false" customHeight="false" outlineLevel="0" collapsed="false">
      <c r="A932" s="18" t="s">
        <v>86</v>
      </c>
      <c r="B932" s="40" t="n">
        <f aca="false">TCI!D144</f>
        <v>29.27734375</v>
      </c>
      <c r="C932" s="40" t="n">
        <f aca="false">TCI!E144</f>
        <v>31.1206225680934</v>
      </c>
      <c r="D932" s="40" t="n">
        <f aca="false">TCI!F144</f>
        <v>52.0866752910737</v>
      </c>
      <c r="E932" s="40" t="n">
        <f aca="false">TCI!G144</f>
        <v>56.5399484536083</v>
      </c>
      <c r="F932" s="40" t="n">
        <f aca="false">TCI!H144</f>
        <v>61.6795366795367</v>
      </c>
      <c r="G932" s="40" t="n">
        <f aca="false">TCI!I144</f>
        <v>69.2180156657963</v>
      </c>
      <c r="H932" s="40" t="n">
        <f aca="false">TCI!J144</f>
        <v>76.0821382007823</v>
      </c>
      <c r="I932" s="41" t="n">
        <f aca="false">TCI!K144</f>
        <v>53.7148972298415</v>
      </c>
      <c r="J932" s="34" t="str">
        <f aca="false">IF(AND(ISNUMBER(H932),ISNUMBER(H$937)),IF(H932&gt;H$937,"Above",IF(H932&lt;H$937,"Below","At")),"-")</f>
        <v>Above</v>
      </c>
      <c r="K932" s="34" t="str">
        <f aca="false">IF(J932="Above","Better",IF(J932="Below","Weaker","-"))</f>
        <v>Better</v>
      </c>
      <c r="L932" s="34" t="n">
        <f aca="false">IF(ISNUMBER(H932),RANK(H932,H$925:H$934,0),"-")</f>
        <v>2</v>
      </c>
      <c r="N932" s="34" t="str">
        <f aca="false">IF(AND(ISNUMBER(I932),ISNUMBER(I$937)),IF(I932&gt;I$937,"Above",IF(I932&lt;I$937,"Below","At")),"-")</f>
        <v>Above</v>
      </c>
      <c r="O932" s="34" t="str">
        <f aca="false">IF(N932="Above","Better",IF(N932="Below","Weaker","-"))</f>
        <v>Better</v>
      </c>
    </row>
    <row r="933" customFormat="false" ht="15" hidden="false" customHeight="false" outlineLevel="0" collapsed="false">
      <c r="A933" s="18" t="s">
        <v>116</v>
      </c>
      <c r="B933" s="40" t="n">
        <f aca="false">Shreeji!D144</f>
        <v>0.805714285714286</v>
      </c>
      <c r="C933" s="40" t="n">
        <f aca="false">Shreeji!E144</f>
        <v>0.46</v>
      </c>
      <c r="D933" s="40" t="n">
        <f aca="false">Shreeji!F144</f>
        <v>1.81571428571429</v>
      </c>
      <c r="E933" s="40" t="n">
        <f aca="false">Shreeji!G144</f>
        <v>1.86552217453505</v>
      </c>
      <c r="F933" s="40" t="n">
        <f aca="false">Shreeji!H144</f>
        <v>2.95994277539342</v>
      </c>
      <c r="G933" s="40" t="n">
        <f aca="false">Shreeji!I144</f>
        <v>0.909871244635193</v>
      </c>
      <c r="H933" s="40" t="n">
        <f aca="false">Shreeji!J144</f>
        <v>1.02432045779685</v>
      </c>
      <c r="I933" s="41" t="n">
        <f aca="false">Shreeji!K144</f>
        <v>1.40586931768416</v>
      </c>
      <c r="J933" s="34" t="str">
        <f aca="false">IF(AND(ISNUMBER(H933),ISNUMBER(H$937)),IF(H933&gt;H$937,"Above",IF(H933&lt;H$937,"Below","At")),"-")</f>
        <v>Below</v>
      </c>
      <c r="K933" s="34" t="str">
        <f aca="false">IF(J933="Above","Better",IF(J933="Below","Weaker","-"))</f>
        <v>Weaker</v>
      </c>
      <c r="L933" s="34" t="n">
        <f aca="false">IF(ISNUMBER(H933),RANK(H933,H$925:H$934,0),"-")</f>
        <v>10</v>
      </c>
      <c r="N933" s="34" t="str">
        <f aca="false">IF(AND(ISNUMBER(I933),ISNUMBER(I$937)),IF(I933&gt;I$937,"Above",IF(I933&lt;I$937,"Below","At")),"-")</f>
        <v>Below</v>
      </c>
      <c r="O933" s="34" t="str">
        <f aca="false">IF(N933="Above","Better",IF(N933="Below","Weaker","-"))</f>
        <v>Weaker</v>
      </c>
    </row>
    <row r="934" customFormat="false" ht="15" hidden="false" customHeight="false" outlineLevel="0" collapsed="false">
      <c r="A934" s="18" t="s">
        <v>117</v>
      </c>
      <c r="B934" s="40" t="n">
        <f aca="false">MahindraLog!D144</f>
        <v>13.0640243902439</v>
      </c>
      <c r="C934" s="40" t="n">
        <f aca="false">MahindraLog!E144</f>
        <v>12.1472081218274</v>
      </c>
      <c r="D934" s="40" t="n">
        <f aca="false">MahindraLog!F144</f>
        <v>16.1214574898785</v>
      </c>
      <c r="E934" s="40" t="n">
        <f aca="false">MahindraLog!G144</f>
        <v>21.7959595959596</v>
      </c>
      <c r="F934" s="40" t="n">
        <f aca="false">MahindraLog!H144</f>
        <v>15.5808080808081</v>
      </c>
      <c r="G934" s="40" t="n">
        <f aca="false">MahindraLog!I144</f>
        <v>19.2006048387097</v>
      </c>
      <c r="H934" s="40" t="n">
        <f aca="false">MahindraLog!J144</f>
        <v>28.241935483871</v>
      </c>
      <c r="I934" s="41" t="n">
        <f aca="false">MahindraLog!K144</f>
        <v>18.0217140001855</v>
      </c>
      <c r="J934" s="34" t="str">
        <f aca="false">IF(AND(ISNUMBER(H934),ISNUMBER(H$937)),IF(H934&gt;H$937,"Above",IF(H934&lt;H$937,"Below","At")),"-")</f>
        <v>Above</v>
      </c>
      <c r="K934" s="34" t="str">
        <f aca="false">IF(J934="Above","Better",IF(J934="Below","Weaker","-"))</f>
        <v>Better</v>
      </c>
      <c r="L934" s="34" t="n">
        <f aca="false">IF(ISNUMBER(H934),RANK(H934,H$925:H$934,0),"-")</f>
        <v>3</v>
      </c>
      <c r="N934" s="34" t="str">
        <f aca="false">IF(AND(ISNUMBER(I934),ISNUMBER(I$937)),IF(I934&gt;I$937,"Above",IF(I934&lt;I$937,"Below","At")),"-")</f>
        <v>Above</v>
      </c>
      <c r="O934" s="34" t="str">
        <f aca="false">IF(N934="Above","Better",IF(N934="Below","Weaker","-"))</f>
        <v>Better</v>
      </c>
    </row>
    <row r="935" customFormat="false" ht="15" hidden="false" customHeight="false" outlineLevel="0" collapsed="false">
      <c r="A935" s="12" t="s">
        <v>176</v>
      </c>
      <c r="B935" s="41" t="str">
        <f aca="false">Industry!D144</f>
        <v>n.a.</v>
      </c>
      <c r="C935" s="41" t="str">
        <f aca="false">Industry!E144</f>
        <v>n.a.</v>
      </c>
      <c r="D935" s="41" t="str">
        <f aca="false">Industry!F144</f>
        <v>n.a.</v>
      </c>
      <c r="E935" s="41" t="str">
        <f aca="false">Industry!G144</f>
        <v>n.a.</v>
      </c>
      <c r="F935" s="41" t="str">
        <f aca="false">Industry!H144</f>
        <v>n.a.</v>
      </c>
      <c r="G935" s="41" t="str">
        <f aca="false">Industry!I144</f>
        <v>n.a.</v>
      </c>
      <c r="H935" s="41" t="str">
        <f aca="false">Industry!J144</f>
        <v>n.a.</v>
      </c>
      <c r="I935" s="41" t="str">
        <f aca="false">Industry!K144</f>
        <v>n.a.</v>
      </c>
    </row>
    <row r="936" customFormat="false" ht="15" hidden="false" customHeight="false" outlineLevel="0" collapsed="false">
      <c r="A936" s="35" t="s">
        <v>177</v>
      </c>
      <c r="B936" s="42" t="n">
        <f aca="false">IFERROR(AVERAGE(B925:B934),"N/M")</f>
        <v>18.4667016392783</v>
      </c>
      <c r="C936" s="42" t="n">
        <f aca="false">IFERROR(AVERAGE(C925:C934),"N/M")</f>
        <v>10.2565849841145</v>
      </c>
      <c r="D936" s="42" t="n">
        <f aca="false">IFERROR(AVERAGE(D925:D934),"N/M")</f>
        <v>40.4002095312948</v>
      </c>
      <c r="E936" s="42" t="n">
        <f aca="false">IFERROR(AVERAGE(E925:E934),"N/M")</f>
        <v>31.989707873282</v>
      </c>
      <c r="F936" s="42" t="n">
        <f aca="false">IFERROR(AVERAGE(F925:F934),"N/M")</f>
        <v>42.6238140594662</v>
      </c>
      <c r="G936" s="42" t="n">
        <f aca="false">IFERROR(AVERAGE(G925:G934),"N/M")</f>
        <v>43.3848601934418</v>
      </c>
      <c r="H936" s="42" t="n">
        <f aca="false">IFERROR(AVERAGE(H925:H934),"N/M")</f>
        <v>47.8877080091942</v>
      </c>
      <c r="I936" s="42" t="n">
        <f aca="false">IFERROR(AVERAGE(I925:I934),"N/M")</f>
        <v>33.5727980414388</v>
      </c>
    </row>
    <row r="937" customFormat="false" ht="15" hidden="false" customHeight="false" outlineLevel="0" collapsed="false">
      <c r="A937" s="35" t="s">
        <v>178</v>
      </c>
      <c r="B937" s="42" t="n">
        <f aca="false">IFERROR(MEDIAN(B925:B934),"N/M")</f>
        <v>3.34446995362488</v>
      </c>
      <c r="C937" s="42" t="n">
        <f aca="false">IFERROR(MEDIAN(C925:C934),"N/M")</f>
        <v>2.94009682048475</v>
      </c>
      <c r="D937" s="42" t="n">
        <f aca="false">IFERROR(MEDIAN(D925:D934),"N/M")</f>
        <v>7.5469098291946</v>
      </c>
      <c r="E937" s="42" t="n">
        <f aca="false">IFERROR(MEDIAN(E925:E934),"N/M")</f>
        <v>5.75223513302984</v>
      </c>
      <c r="F937" s="42" t="n">
        <f aca="false">IFERROR(MEDIAN(F925:F934),"N/M")</f>
        <v>4.331592720296</v>
      </c>
      <c r="G937" s="42" t="n">
        <f aca="false">IFERROR(MEDIAN(G925:G934),"N/M")</f>
        <v>2.22977216468467</v>
      </c>
      <c r="H937" s="42" t="n">
        <f aca="false">IFERROR(MEDIAN(H925:H934),"N/M")</f>
        <v>6.76469052904001</v>
      </c>
      <c r="I937" s="42" t="n">
        <f aca="false">IFERROR(MEDIAN(I925:I934),"N/M")</f>
        <v>3.50497322873892</v>
      </c>
    </row>
    <row r="938" customFormat="false" ht="15" hidden="false" customHeight="false" outlineLevel="0" collapsed="false">
      <c r="A938" s="35" t="s">
        <v>179</v>
      </c>
      <c r="B938" s="42" t="n">
        <f aca="false">IFERROR(STDEV(B925:B934),"N/M")</f>
        <v>40.0417583922123</v>
      </c>
      <c r="C938" s="42" t="n">
        <f aca="false">IFERROR(STDEV(C925:C934),"N/M")</f>
        <v>97.0140359089192</v>
      </c>
      <c r="D938" s="42" t="n">
        <f aca="false">IFERROR(STDEV(D925:D934),"N/M")</f>
        <v>103.251068928929</v>
      </c>
      <c r="E938" s="42" t="n">
        <f aca="false">IFERROR(STDEV(E925:E934),"N/M")</f>
        <v>111.793371453882</v>
      </c>
      <c r="F938" s="42" t="n">
        <f aca="false">IFERROR(STDEV(F925:F934),"N/M")</f>
        <v>95.698559107137</v>
      </c>
      <c r="G938" s="42" t="n">
        <f aca="false">IFERROR(STDEV(G925:G934),"N/M")</f>
        <v>96.4685818049865</v>
      </c>
      <c r="H938" s="42" t="n">
        <f aca="false">IFERROR(STDEV(H925:H934),"N/M")</f>
        <v>102.019463721703</v>
      </c>
      <c r="I938" s="42" t="n">
        <f aca="false">IFERROR(STDEV(I925:I934),"N/M")</f>
        <v>89.8023314720017</v>
      </c>
    </row>
    <row r="939" customFormat="false" ht="15" hidden="false" customHeight="false" outlineLevel="0" collapsed="false">
      <c r="A939" s="35" t="s">
        <v>102</v>
      </c>
      <c r="B939" s="42" t="n">
        <f aca="false">IFERROR(MIN(B925:B934),"N/M")</f>
        <v>-3.85784548124872</v>
      </c>
      <c r="C939" s="42" t="n">
        <f aca="false">IFERROR(MIN(C925:C934),"N/M")</f>
        <v>-184.580572443473</v>
      </c>
      <c r="D939" s="42" t="n">
        <f aca="false">IFERROR(MIN(D925:D934),"N/M")</f>
        <v>-32.3194890361363</v>
      </c>
      <c r="E939" s="42" t="n">
        <f aca="false">IFERROR(MIN(E925:E934),"N/M")</f>
        <v>-119.276923784273</v>
      </c>
      <c r="F939" s="42" t="n">
        <f aca="false">IFERROR(MIN(F925:F934),"N/M")</f>
        <v>0.532327586206897</v>
      </c>
      <c r="G939" s="42" t="n">
        <f aca="false">IFERROR(MIN(G925:G934),"N/M")</f>
        <v>0.909871244635193</v>
      </c>
      <c r="H939" s="42" t="n">
        <f aca="false">IFERROR(MIN(H925:H934),"N/M")</f>
        <v>1.02432045779685</v>
      </c>
      <c r="I939" s="42" t="n">
        <f aca="false">IFERROR(MIN(I925:I934),"N/M")</f>
        <v>-46.2483802840376</v>
      </c>
    </row>
    <row r="940" customFormat="false" ht="15" hidden="false" customHeight="false" outlineLevel="0" collapsed="false">
      <c r="A940" s="35" t="s">
        <v>103</v>
      </c>
      <c r="B940" s="42" t="n">
        <f aca="false">IFERROR(MAX(B925:B934),"N/M")</f>
        <v>128.89029535865</v>
      </c>
      <c r="C940" s="42" t="n">
        <f aca="false">IFERROR(MAX(C925:C934),"N/M")</f>
        <v>224.392405063291</v>
      </c>
      <c r="D940" s="42" t="n">
        <f aca="false">IFERROR(MAX(D925:D934),"N/M")</f>
        <v>328.092827004219</v>
      </c>
      <c r="E940" s="42" t="n">
        <f aca="false">IFERROR(MAX(E925:E934),"N/M")</f>
        <v>322.789029535865</v>
      </c>
      <c r="F940" s="42" t="n">
        <f aca="false">IFERROR(MAX(F925:F934),"N/M")</f>
        <v>309.649789029536</v>
      </c>
      <c r="G940" s="42" t="n">
        <f aca="false">IFERROR(MAX(G925:G934),"N/M")</f>
        <v>311.122362869198</v>
      </c>
      <c r="H940" s="42" t="n">
        <f aca="false">IFERROR(MAX(H925:H934),"N/M")</f>
        <v>330.573839662447</v>
      </c>
      <c r="I940" s="42" t="n">
        <f aca="false">IFERROR(MAX(I925:I934),"N/M")</f>
        <v>279.35864978903</v>
      </c>
    </row>
    <row r="942" customFormat="false" ht="15" hidden="false" customHeight="false" outlineLevel="0" collapsed="false">
      <c r="A942" s="16" t="s">
        <v>232</v>
      </c>
      <c r="B942" s="17"/>
      <c r="C942" s="17"/>
      <c r="D942" s="17"/>
      <c r="E942" s="17"/>
      <c r="F942" s="17"/>
      <c r="G942" s="17"/>
      <c r="H942" s="17"/>
      <c r="I942" s="17"/>
      <c r="J942" s="17"/>
      <c r="K942" s="17"/>
      <c r="L942" s="17"/>
      <c r="M942" s="17"/>
    </row>
    <row r="943" customFormat="false" ht="15" hidden="false" customHeight="false" outlineLevel="0" collapsed="false">
      <c r="A943" s="18" t="s">
        <v>110</v>
      </c>
      <c r="B943" s="40" t="n">
        <f aca="false">Tiger!D145</f>
        <v>4.98580889309366</v>
      </c>
      <c r="C943" s="40" t="n">
        <f aca="false">Tiger!E145</f>
        <v>3.97161778618732</v>
      </c>
      <c r="D943" s="40" t="n">
        <f aca="false">Tiger!F145</f>
        <v>7.04162724692526</v>
      </c>
      <c r="E943" s="40" t="n">
        <f aca="false">Tiger!G145</f>
        <v>9.23651844843898</v>
      </c>
      <c r="F943" s="40" t="n">
        <f aca="false">Tiger!H145</f>
        <v>10.4853358561968</v>
      </c>
      <c r="G943" s="40" t="n">
        <f aca="false">Tiger!I145</f>
        <v>13.0842005676443</v>
      </c>
      <c r="H943" s="40" t="n">
        <f aca="false">Tiger!J145</f>
        <v>15.1352885525071</v>
      </c>
      <c r="I943" s="41" t="n">
        <f aca="false">Tiger!K145</f>
        <v>9.13434247871334</v>
      </c>
      <c r="J943" s="34" t="str">
        <f aca="false">IF(AND(ISNUMBER(H943),ISNUMBER(H$955)),IF(H943&gt;H$955,"Above",IF(H943&lt;H$955,"Below","At")),"-")</f>
        <v>Below</v>
      </c>
      <c r="K943" s="34" t="str">
        <f aca="false">IF(J943="Above","Better",IF(J943="Below","Weaker","-"))</f>
        <v>Weaker</v>
      </c>
      <c r="L943" s="34" t="n">
        <f aca="false">IF(ISNUMBER(H943),RANK(H943,H$943:H$952,0),"-")</f>
        <v>8</v>
      </c>
      <c r="N943" s="34" t="str">
        <f aca="false">IF(AND(ISNUMBER(I943),ISNUMBER(I$955)),IF(I943&gt;I$955,"Above",IF(I943&lt;I$955,"Below","At")),"-")</f>
        <v>Below</v>
      </c>
      <c r="O943" s="34" t="str">
        <f aca="false">IF(N943="Above","Better",IF(N943="Below","Weaker","-"))</f>
        <v>Weaker</v>
      </c>
    </row>
    <row r="944" customFormat="false" ht="15" hidden="false" customHeight="false" outlineLevel="0" collapsed="false">
      <c r="A944" s="18" t="s">
        <v>111</v>
      </c>
      <c r="B944" s="40" t="n">
        <f aca="false">Allcargo!D145</f>
        <v>21.8325193325193</v>
      </c>
      <c r="C944" s="40" t="n">
        <f aca="false">Allcargo!E145</f>
        <v>23.2350427350427</v>
      </c>
      <c r="D944" s="40" t="n">
        <f aca="false">Allcargo!F145</f>
        <v>32.1709401709402</v>
      </c>
      <c r="E944" s="40" t="n">
        <f aca="false">Allcargo!G145</f>
        <v>28.6347171347171</v>
      </c>
      <c r="F944" s="40" t="n">
        <f aca="false">Allcargo!H145</f>
        <v>25.6576109076109</v>
      </c>
      <c r="G944" s="40" t="n">
        <f aca="false">Allcargo!I145</f>
        <v>3.7522249625779</v>
      </c>
      <c r="H944" s="40" t="n">
        <f aca="false">Allcargo!J145</f>
        <v>3.83228735478702</v>
      </c>
      <c r="I944" s="41" t="n">
        <f aca="false">Allcargo!K145</f>
        <v>19.8736203711707</v>
      </c>
      <c r="J944" s="34" t="str">
        <f aca="false">IF(AND(ISNUMBER(H944),ISNUMBER(H$955)),IF(H944&gt;H$955,"Above",IF(H944&lt;H$955,"Below","At")),"-")</f>
        <v>Below</v>
      </c>
      <c r="K944" s="34" t="str">
        <f aca="false">IF(J944="Above","Better",IF(J944="Below","Weaker","-"))</f>
        <v>Weaker</v>
      </c>
      <c r="L944" s="34" t="n">
        <f aca="false">IF(ISNUMBER(H944),RANK(H944,H$943:H$952,0),"-")</f>
        <v>10</v>
      </c>
      <c r="N944" s="34" t="str">
        <f aca="false">IF(AND(ISNUMBER(I944),ISNUMBER(I$955)),IF(I944&gt;I$955,"Above",IF(I944&lt;I$955,"Below","At")),"-")</f>
        <v>Above</v>
      </c>
      <c r="O944" s="34" t="str">
        <f aca="false">IF(N944="Above","Better",IF(N944="Below","Weaker","-"))</f>
        <v>Better</v>
      </c>
    </row>
    <row r="945" customFormat="false" ht="15" hidden="false" customHeight="false" outlineLevel="0" collapsed="false">
      <c r="A945" s="18" t="s">
        <v>112</v>
      </c>
      <c r="B945" s="40" t="n">
        <f aca="false">BlueDart!D145</f>
        <v>207.101265822785</v>
      </c>
      <c r="C945" s="40" t="n">
        <f aca="false">BlueDart!E145</f>
        <v>249.772151898734</v>
      </c>
      <c r="D945" s="40" t="n">
        <f aca="false">BlueDart!F145</f>
        <v>367.928270042194</v>
      </c>
      <c r="E945" s="40" t="n">
        <f aca="false">BlueDart!G145</f>
        <v>497.704641350211</v>
      </c>
      <c r="F945" s="40" t="n">
        <f aca="false">BlueDart!H145</f>
        <v>576.907172995781</v>
      </c>
      <c r="G945" s="40" t="n">
        <f aca="false">BlueDart!I145</f>
        <v>657.822784810127</v>
      </c>
      <c r="H945" s="40" t="n">
        <f aca="false">BlueDart!J145</f>
        <v>749.717299578059</v>
      </c>
      <c r="I945" s="41" t="n">
        <f aca="false">BlueDart!K145</f>
        <v>472.42194092827</v>
      </c>
      <c r="J945" s="34" t="str">
        <f aca="false">IF(AND(ISNUMBER(H945),ISNUMBER(H$955)),IF(H945&gt;H$955,"Above",IF(H945&lt;H$955,"Below","At")),"-")</f>
        <v>Above</v>
      </c>
      <c r="K945" s="34" t="str">
        <f aca="false">IF(J945="Above","Better",IF(J945="Below","Weaker","-"))</f>
        <v>Better</v>
      </c>
      <c r="L945" s="34" t="n">
        <f aca="false">IF(ISNUMBER(H945),RANK(H945,H$943:H$952,0),"-")</f>
        <v>1</v>
      </c>
      <c r="N945" s="34" t="str">
        <f aca="false">IF(AND(ISNUMBER(I945),ISNUMBER(I$955)),IF(I945&gt;I$955,"Above",IF(I945&lt;I$955,"Below","At")),"-")</f>
        <v>Above</v>
      </c>
      <c r="O945" s="34" t="str">
        <f aca="false">IF(N945="Above","Better",IF(N945="Below","Weaker","-"))</f>
        <v>Better</v>
      </c>
    </row>
    <row r="946" customFormat="false" ht="15" hidden="false" customHeight="false" outlineLevel="0" collapsed="false">
      <c r="A946" s="18" t="s">
        <v>67</v>
      </c>
      <c r="B946" s="40" t="n">
        <f aca="false">CONCOR!D145</f>
        <v>131.907825630252</v>
      </c>
      <c r="C946" s="40" t="n">
        <f aca="false">CONCOR!E145</f>
        <v>133.761292016807</v>
      </c>
      <c r="D946" s="40" t="n">
        <f aca="false">CONCOR!F145</f>
        <v>141.223082983193</v>
      </c>
      <c r="E946" s="40" t="n">
        <f aca="false">CONCOR!G145</f>
        <v>147.400603991597</v>
      </c>
      <c r="F946" s="40" t="n">
        <f aca="false">CONCOR!H145</f>
        <v>155.241727941176</v>
      </c>
      <c r="G946" s="40" t="n">
        <f aca="false">CONCOR!I145</f>
        <v>162.571691176471</v>
      </c>
      <c r="H946" s="40" t="n">
        <f aca="false">CONCOR!J145</f>
        <v>169.936318277311</v>
      </c>
      <c r="I946" s="41" t="n">
        <f aca="false">CONCOR!K145</f>
        <v>148.863220288115</v>
      </c>
      <c r="J946" s="34" t="str">
        <f aca="false">IF(AND(ISNUMBER(H946),ISNUMBER(H$955)),IF(H946&gt;H$955,"Above",IF(H946&lt;H$955,"Below","At")),"-")</f>
        <v>Above</v>
      </c>
      <c r="K946" s="34" t="str">
        <f aca="false">IF(J946="Above","Better",IF(J946="Below","Weaker","-"))</f>
        <v>Better</v>
      </c>
      <c r="L946" s="34" t="n">
        <f aca="false">IF(ISNUMBER(H946),RANK(H946,H$943:H$952,0),"-")</f>
        <v>3</v>
      </c>
      <c r="N946" s="34" t="str">
        <f aca="false">IF(AND(ISNUMBER(I946),ISNUMBER(I$955)),IF(I946&gt;I$955,"Above",IF(I946&lt;I$955,"Below","At")),"-")</f>
        <v>Above</v>
      </c>
      <c r="O946" s="34" t="str">
        <f aca="false">IF(N946="Above","Better",IF(N946="Below","Weaker","-"))</f>
        <v>Better</v>
      </c>
    </row>
    <row r="947" customFormat="false" ht="15" hidden="false" customHeight="false" outlineLevel="0" collapsed="false">
      <c r="A947" s="18" t="s">
        <v>113</v>
      </c>
      <c r="B947" s="40" t="n">
        <f aca="false">JetFreight!D145</f>
        <v>3.7198275862069</v>
      </c>
      <c r="C947" s="40" t="n">
        <f aca="false">JetFreight!E145</f>
        <v>4.64008620689655</v>
      </c>
      <c r="D947" s="40" t="n">
        <f aca="false">JetFreight!F145</f>
        <v>5.25215517241379</v>
      </c>
      <c r="E947" s="40" t="n">
        <f aca="false">JetFreight!G145</f>
        <v>13.4137931034483</v>
      </c>
      <c r="F947" s="40" t="n">
        <f aca="false">JetFreight!H145</f>
        <v>13.4655172413793</v>
      </c>
      <c r="G947" s="40" t="n">
        <f aca="false">JetFreight!I145</f>
        <v>14.239224137931</v>
      </c>
      <c r="H947" s="40" t="n">
        <f aca="false">JetFreight!J145</f>
        <v>15.6875</v>
      </c>
      <c r="I947" s="41" t="n">
        <f aca="false">JetFreight!K145</f>
        <v>10.0597290640394</v>
      </c>
      <c r="J947" s="34" t="str">
        <f aca="false">IF(AND(ISNUMBER(H947),ISNUMBER(H$955)),IF(H947&gt;H$955,"Above",IF(H947&lt;H$955,"Below","At")),"-")</f>
        <v>Below</v>
      </c>
      <c r="K947" s="34" t="str">
        <f aca="false">IF(J947="Above","Better",IF(J947="Below","Weaker","-"))</f>
        <v>Weaker</v>
      </c>
      <c r="L947" s="34" t="n">
        <f aca="false">IF(ISNUMBER(H947),RANK(H947,H$943:H$952,0),"-")</f>
        <v>7</v>
      </c>
      <c r="N947" s="34" t="str">
        <f aca="false">IF(AND(ISNUMBER(I947),ISNUMBER(I$955)),IF(I947&gt;I$955,"Above",IF(I947&lt;I$955,"Below","At")),"-")</f>
        <v>Below</v>
      </c>
      <c r="O947" s="34" t="str">
        <f aca="false">IF(N947="Above","Better",IF(N947="Below","Weaker","-"))</f>
        <v>Weaker</v>
      </c>
    </row>
    <row r="948" customFormat="false" ht="15" hidden="false" customHeight="false" outlineLevel="0" collapsed="false">
      <c r="A948" s="18" t="s">
        <v>114</v>
      </c>
      <c r="B948" s="40" t="n">
        <f aca="false">Patel!D145</f>
        <v>16.7647887323944</v>
      </c>
      <c r="C948" s="40" t="n">
        <f aca="false">Patel!E145</f>
        <v>16.3562412342216</v>
      </c>
      <c r="D948" s="40" t="n">
        <f aca="false">Patel!F145</f>
        <v>16.4460028050491</v>
      </c>
      <c r="E948" s="40" t="n">
        <f aca="false">Patel!G145</f>
        <v>16.9094827586207</v>
      </c>
      <c r="F948" s="40" t="n">
        <f aca="false">Patel!H145</f>
        <v>17.1451149425287</v>
      </c>
      <c r="G948" s="40" t="n">
        <f aca="false">Patel!I145</f>
        <v>17.4798850574713</v>
      </c>
      <c r="H948" s="40" t="n">
        <f aca="false">Patel!J145</f>
        <v>17.7471264367816</v>
      </c>
      <c r="I948" s="41" t="n">
        <f aca="false">Patel!K145</f>
        <v>16.9783774238668</v>
      </c>
      <c r="J948" s="34" t="str">
        <f aca="false">IF(AND(ISNUMBER(H948),ISNUMBER(H$955)),IF(H948&gt;H$955,"Above",IF(H948&lt;H$955,"Below","At")),"-")</f>
        <v>Above</v>
      </c>
      <c r="K948" s="34" t="str">
        <f aca="false">IF(J948="Above","Better",IF(J948="Below","Weaker","-"))</f>
        <v>Better</v>
      </c>
      <c r="L948" s="34" t="n">
        <f aca="false">IF(ISNUMBER(H948),RANK(H948,H$943:H$952,0),"-")</f>
        <v>5</v>
      </c>
      <c r="N948" s="34" t="str">
        <f aca="false">IF(AND(ISNUMBER(I948),ISNUMBER(I$955)),IF(I948&gt;I$955,"Above",IF(I948&lt;I$955,"Below","At")),"-")</f>
        <v>Below</v>
      </c>
      <c r="O948" s="34" t="str">
        <f aca="false">IF(N948="Above","Better",IF(N948="Below","Weaker","-"))</f>
        <v>Weaker</v>
      </c>
    </row>
    <row r="949" customFormat="false" ht="15" hidden="false" customHeight="false" outlineLevel="0" collapsed="false">
      <c r="A949" s="18" t="s">
        <v>115</v>
      </c>
      <c r="B949" s="40" t="n">
        <f aca="false">Sical!D145</f>
        <v>83.9708996516156</v>
      </c>
      <c r="C949" s="40" t="n">
        <f aca="false">Sical!E145</f>
        <v>-114.058337318123</v>
      </c>
      <c r="D949" s="40" t="n">
        <f aca="false">Sical!F145</f>
        <v>-158.974315185464</v>
      </c>
      <c r="E949" s="40" t="n">
        <f aca="false">Sical!G145</f>
        <v>8.20242455823078</v>
      </c>
      <c r="F949" s="40" t="n">
        <f aca="false">Sical!H145</f>
        <v>4.40160002452145</v>
      </c>
      <c r="G949" s="40" t="n">
        <f aca="false">Sical!I145</f>
        <v>-0.731045686523931</v>
      </c>
      <c r="H949" s="40" t="n">
        <f aca="false">Sical!J145</f>
        <v>16.456505389822</v>
      </c>
      <c r="I949" s="41" t="n">
        <f aca="false">Sical!K145</f>
        <v>-22.9617526522744</v>
      </c>
      <c r="J949" s="34" t="str">
        <f aca="false">IF(AND(ISNUMBER(H949),ISNUMBER(H$955)),IF(H949&gt;H$955,"Above",IF(H949&lt;H$955,"Below","At")),"-")</f>
        <v>Below</v>
      </c>
      <c r="K949" s="34" t="str">
        <f aca="false">IF(J949="Above","Better",IF(J949="Below","Weaker","-"))</f>
        <v>Weaker</v>
      </c>
      <c r="L949" s="34" t="n">
        <f aca="false">IF(ISNUMBER(H949),RANK(H949,H$943:H$952,0),"-")</f>
        <v>6</v>
      </c>
      <c r="N949" s="34" t="str">
        <f aca="false">IF(AND(ISNUMBER(I949),ISNUMBER(I$955)),IF(I949&gt;I$955,"Above",IF(I949&lt;I$955,"Below","At")),"-")</f>
        <v>Below</v>
      </c>
      <c r="O949" s="34" t="str">
        <f aca="false">IF(N949="Above","Better",IF(N949="Below","Weaker","-"))</f>
        <v>Weaker</v>
      </c>
    </row>
    <row r="950" customFormat="false" ht="15" hidden="false" customHeight="false" outlineLevel="0" collapsed="false">
      <c r="A950" s="18" t="s">
        <v>86</v>
      </c>
      <c r="B950" s="40" t="n">
        <f aca="false">TCI!D145</f>
        <v>133.319010416667</v>
      </c>
      <c r="C950" s="40" t="n">
        <f aca="false">TCI!E145</f>
        <v>151.713359273671</v>
      </c>
      <c r="D950" s="40" t="n">
        <f aca="false">TCI!F145</f>
        <v>185.029754204398</v>
      </c>
      <c r="E950" s="40" t="n">
        <f aca="false">TCI!G145</f>
        <v>219.302835051546</v>
      </c>
      <c r="F950" s="40" t="n">
        <f aca="false">TCI!H145</f>
        <v>257.891891891892</v>
      </c>
      <c r="G950" s="40" t="n">
        <f aca="false">TCI!I145</f>
        <v>281.298955613577</v>
      </c>
      <c r="H950" s="40" t="n">
        <f aca="false">TCI!J145</f>
        <v>334.54889178618</v>
      </c>
      <c r="I950" s="41" t="n">
        <f aca="false">TCI!K145</f>
        <v>223.300671176847</v>
      </c>
      <c r="J950" s="34" t="str">
        <f aca="false">IF(AND(ISNUMBER(H950),ISNUMBER(H$955)),IF(H950&gt;H$955,"Above",IF(H950&lt;H$955,"Below","At")),"-")</f>
        <v>Above</v>
      </c>
      <c r="K950" s="34" t="str">
        <f aca="false">IF(J950="Above","Better",IF(J950="Below","Weaker","-"))</f>
        <v>Better</v>
      </c>
      <c r="L950" s="34" t="n">
        <f aca="false">IF(ISNUMBER(H950),RANK(H950,H$943:H$952,0),"-")</f>
        <v>2</v>
      </c>
      <c r="N950" s="34" t="str">
        <f aca="false">IF(AND(ISNUMBER(I950),ISNUMBER(I$955)),IF(I950&gt;I$955,"Above",IF(I950&lt;I$955,"Below","At")),"-")</f>
        <v>Above</v>
      </c>
      <c r="O950" s="34" t="str">
        <f aca="false">IF(N950="Above","Better",IF(N950="Below","Weaker","-"))</f>
        <v>Better</v>
      </c>
    </row>
    <row r="951" customFormat="false" ht="15" hidden="false" customHeight="false" outlineLevel="0" collapsed="false">
      <c r="A951" s="18" t="s">
        <v>116</v>
      </c>
      <c r="B951" s="40" t="n">
        <f aca="false">Shreeji!D145</f>
        <v>3.60714285714286</v>
      </c>
      <c r="C951" s="40" t="n">
        <f aca="false">Shreeji!E145</f>
        <v>3.45142857142857</v>
      </c>
      <c r="D951" s="40" t="n">
        <f aca="false">Shreeji!F145</f>
        <v>4.58857142857143</v>
      </c>
      <c r="E951" s="40" t="n">
        <f aca="false">Shreeji!G145</f>
        <v>5.83834048640916</v>
      </c>
      <c r="F951" s="40" t="n">
        <f aca="false">Shreeji!H145</f>
        <v>8.00429184549356</v>
      </c>
      <c r="G951" s="40" t="n">
        <f aca="false">Shreeji!I145</f>
        <v>8.12303290414879</v>
      </c>
      <c r="H951" s="40" t="n">
        <f aca="false">Shreeji!J145</f>
        <v>8.59942775393419</v>
      </c>
      <c r="I951" s="41" t="n">
        <f aca="false">Shreeji!K145</f>
        <v>6.03031940673265</v>
      </c>
      <c r="J951" s="34" t="str">
        <f aca="false">IF(AND(ISNUMBER(H951),ISNUMBER(H$955)),IF(H951&gt;H$955,"Above",IF(H951&lt;H$955,"Below","At")),"-")</f>
        <v>Below</v>
      </c>
      <c r="K951" s="34" t="str">
        <f aca="false">IF(J951="Above","Better",IF(J951="Below","Weaker","-"))</f>
        <v>Weaker</v>
      </c>
      <c r="L951" s="34" t="n">
        <f aca="false">IF(ISNUMBER(H951),RANK(H951,H$943:H$952,0),"-")</f>
        <v>9</v>
      </c>
      <c r="N951" s="34" t="str">
        <f aca="false">IF(AND(ISNUMBER(I951),ISNUMBER(I$955)),IF(I951&gt;I$955,"Above",IF(I951&lt;I$955,"Below","At")),"-")</f>
        <v>Below</v>
      </c>
      <c r="O951" s="34" t="str">
        <f aca="false">IF(N951="Above","Better",IF(N951="Below","Weaker","-"))</f>
        <v>Weaker</v>
      </c>
    </row>
    <row r="952" customFormat="false" ht="15" hidden="false" customHeight="false" outlineLevel="0" collapsed="false">
      <c r="A952" s="18" t="s">
        <v>117</v>
      </c>
      <c r="B952" s="40" t="n">
        <f aca="false">MahindraLog!D145</f>
        <v>55.3506097560976</v>
      </c>
      <c r="C952" s="40" t="n">
        <f aca="false">MahindraLog!E145</f>
        <v>57.6710659898477</v>
      </c>
      <c r="D952" s="40" t="n">
        <f aca="false">MahindraLog!F145</f>
        <v>55.3117408906883</v>
      </c>
      <c r="E952" s="40" t="n">
        <f aca="false">MahindraLog!G145</f>
        <v>56.7343434343434</v>
      </c>
      <c r="F952" s="40" t="n">
        <f aca="false">MahindraLog!H145</f>
        <v>49.7444444444445</v>
      </c>
      <c r="G952" s="40" t="n">
        <f aca="false">MahindraLog!I145</f>
        <v>44.1411290322581</v>
      </c>
      <c r="H952" s="40" t="n">
        <f aca="false">MahindraLog!J145</f>
        <v>118.425403225806</v>
      </c>
      <c r="I952" s="41" t="n">
        <f aca="false">MahindraLog!K145</f>
        <v>62.4826766819266</v>
      </c>
      <c r="J952" s="34" t="str">
        <f aca="false">IF(AND(ISNUMBER(H952),ISNUMBER(H$955)),IF(H952&gt;H$955,"Above",IF(H952&lt;H$955,"Below","At")),"-")</f>
        <v>Above</v>
      </c>
      <c r="K952" s="34" t="str">
        <f aca="false">IF(J952="Above","Better",IF(J952="Below","Weaker","-"))</f>
        <v>Better</v>
      </c>
      <c r="L952" s="34" t="n">
        <f aca="false">IF(ISNUMBER(H952),RANK(H952,H$943:H$952,0),"-")</f>
        <v>4</v>
      </c>
      <c r="N952" s="34" t="str">
        <f aca="false">IF(AND(ISNUMBER(I952),ISNUMBER(I$955)),IF(I952&gt;I$955,"Above",IF(I952&lt;I$955,"Below","At")),"-")</f>
        <v>Above</v>
      </c>
      <c r="O952" s="34" t="str">
        <f aca="false">IF(N952="Above","Better",IF(N952="Below","Weaker","-"))</f>
        <v>Better</v>
      </c>
    </row>
    <row r="953" customFormat="false" ht="15" hidden="false" customHeight="false" outlineLevel="0" collapsed="false">
      <c r="A953" s="12" t="s">
        <v>176</v>
      </c>
      <c r="B953" s="41" t="str">
        <f aca="false">Industry!D145</f>
        <v>n.a.</v>
      </c>
      <c r="C953" s="41" t="str">
        <f aca="false">Industry!E145</f>
        <v>n.a.</v>
      </c>
      <c r="D953" s="41" t="str">
        <f aca="false">Industry!F145</f>
        <v>n.a.</v>
      </c>
      <c r="E953" s="41" t="str">
        <f aca="false">Industry!G145</f>
        <v>n.a.</v>
      </c>
      <c r="F953" s="41" t="str">
        <f aca="false">Industry!H145</f>
        <v>n.a.</v>
      </c>
      <c r="G953" s="41" t="str">
        <f aca="false">Industry!I145</f>
        <v>n.a.</v>
      </c>
      <c r="H953" s="41" t="str">
        <f aca="false">Industry!J145</f>
        <v>n.a.</v>
      </c>
      <c r="I953" s="41" t="str">
        <f aca="false">Industry!K145</f>
        <v>n.a.</v>
      </c>
    </row>
    <row r="954" customFormat="false" ht="15" hidden="false" customHeight="false" outlineLevel="0" collapsed="false">
      <c r="A954" s="35" t="s">
        <v>177</v>
      </c>
      <c r="B954" s="42" t="n">
        <f aca="false">IFERROR(AVERAGE(B943:B952),"N/M")</f>
        <v>66.2559698678774</v>
      </c>
      <c r="C954" s="42" t="n">
        <f aca="false">IFERROR(AVERAGE(C943:C952),"N/M")</f>
        <v>53.0513948394713</v>
      </c>
      <c r="D954" s="42" t="n">
        <f aca="false">IFERROR(AVERAGE(D943:D952),"N/M")</f>
        <v>65.601782975891</v>
      </c>
      <c r="E954" s="42" t="n">
        <f aca="false">IFERROR(AVERAGE(E943:E952),"N/M")</f>
        <v>100.337770031756</v>
      </c>
      <c r="F954" s="42" t="n">
        <f aca="false">IFERROR(AVERAGE(F943:F952),"N/M")</f>
        <v>111.894470809102</v>
      </c>
      <c r="G954" s="42" t="n">
        <f aca="false">IFERROR(AVERAGE(G943:G952),"N/M")</f>
        <v>120.178208257568</v>
      </c>
      <c r="H954" s="42" t="n">
        <f aca="false">IFERROR(AVERAGE(H943:H952),"N/M")</f>
        <v>145.008604835519</v>
      </c>
      <c r="I954" s="42" t="n">
        <f aca="false">IFERROR(AVERAGE(I943:I952),"N/M")</f>
        <v>94.6183145167408</v>
      </c>
    </row>
    <row r="955" customFormat="false" ht="15" hidden="false" customHeight="false" outlineLevel="0" collapsed="false">
      <c r="A955" s="35" t="s">
        <v>178</v>
      </c>
      <c r="B955" s="42" t="n">
        <f aca="false">IFERROR(MEDIAN(B943:B952),"N/M")</f>
        <v>38.5915645443085</v>
      </c>
      <c r="C955" s="42" t="n">
        <f aca="false">IFERROR(MEDIAN(C943:C952),"N/M")</f>
        <v>19.7956419846322</v>
      </c>
      <c r="D955" s="42" t="n">
        <f aca="false">IFERROR(MEDIAN(D943:D952),"N/M")</f>
        <v>24.3084714879946</v>
      </c>
      <c r="E955" s="42" t="n">
        <f aca="false">IFERROR(MEDIAN(E943:E952),"N/M")</f>
        <v>22.7720999466689</v>
      </c>
      <c r="F955" s="42" t="n">
        <f aca="false">IFERROR(MEDIAN(F943:F952),"N/M")</f>
        <v>21.4013629250698</v>
      </c>
      <c r="G955" s="42" t="n">
        <f aca="false">IFERROR(MEDIAN(G943:G952),"N/M")</f>
        <v>15.8595545977011</v>
      </c>
      <c r="H955" s="42" t="n">
        <f aca="false">IFERROR(MEDIAN(H943:H952),"N/M")</f>
        <v>17.1018159133018</v>
      </c>
      <c r="I955" s="42" t="n">
        <f aca="false">IFERROR(MEDIAN(I943:I952),"N/M")</f>
        <v>18.4259988975188</v>
      </c>
    </row>
    <row r="956" customFormat="false" ht="15" hidden="false" customHeight="false" outlineLevel="0" collapsed="false">
      <c r="A956" s="35" t="s">
        <v>179</v>
      </c>
      <c r="B956" s="42" t="n">
        <f aca="false">IFERROR(STDEV(B943:B952),"N/M")</f>
        <v>70.7815558151752</v>
      </c>
      <c r="C956" s="42" t="n">
        <f aca="false">IFERROR(STDEV(C943:C952),"N/M")</f>
        <v>101.293038070255</v>
      </c>
      <c r="D956" s="42" t="n">
        <f aca="false">IFERROR(STDEV(D943:D952),"N/M")</f>
        <v>139.940911464282</v>
      </c>
      <c r="E956" s="42" t="n">
        <f aca="false">IFERROR(STDEV(E943:E952),"N/M")</f>
        <v>156.895284631018</v>
      </c>
      <c r="F956" s="42" t="n">
        <f aca="false">IFERROR(STDEV(F943:F952),"N/M")</f>
        <v>183.190206308306</v>
      </c>
      <c r="G956" s="42" t="n">
        <f aca="false">IFERROR(STDEV(G943:G952),"N/M")</f>
        <v>209.912677813778</v>
      </c>
      <c r="H956" s="42" t="n">
        <f aca="false">IFERROR(STDEV(H943:H952),"N/M")</f>
        <v>237.528139194701</v>
      </c>
      <c r="I956" s="42" t="n">
        <f aca="false">IFERROR(STDEV(I943:I952),"N/M")</f>
        <v>153.121315782776</v>
      </c>
    </row>
    <row r="957" customFormat="false" ht="15" hidden="false" customHeight="false" outlineLevel="0" collapsed="false">
      <c r="A957" s="35" t="s">
        <v>102</v>
      </c>
      <c r="B957" s="42" t="n">
        <f aca="false">IFERROR(MIN(B943:B952),"N/M")</f>
        <v>3.60714285714286</v>
      </c>
      <c r="C957" s="42" t="n">
        <f aca="false">IFERROR(MIN(C943:C952),"N/M")</f>
        <v>-114.058337318123</v>
      </c>
      <c r="D957" s="42" t="n">
        <f aca="false">IFERROR(MIN(D943:D952),"N/M")</f>
        <v>-158.974315185464</v>
      </c>
      <c r="E957" s="42" t="n">
        <f aca="false">IFERROR(MIN(E943:E952),"N/M")</f>
        <v>5.83834048640916</v>
      </c>
      <c r="F957" s="42" t="n">
        <f aca="false">IFERROR(MIN(F943:F952),"N/M")</f>
        <v>4.40160002452145</v>
      </c>
      <c r="G957" s="42" t="n">
        <f aca="false">IFERROR(MIN(G943:G952),"N/M")</f>
        <v>-0.731045686523931</v>
      </c>
      <c r="H957" s="42" t="n">
        <f aca="false">IFERROR(MIN(H943:H952),"N/M")</f>
        <v>3.83228735478702</v>
      </c>
      <c r="I957" s="42" t="n">
        <f aca="false">IFERROR(MIN(I943:I952),"N/M")</f>
        <v>-22.9617526522744</v>
      </c>
    </row>
    <row r="958" customFormat="false" ht="15" hidden="false" customHeight="false" outlineLevel="0" collapsed="false">
      <c r="A958" s="35" t="s">
        <v>103</v>
      </c>
      <c r="B958" s="42" t="n">
        <f aca="false">IFERROR(MAX(B943:B952),"N/M")</f>
        <v>207.101265822785</v>
      </c>
      <c r="C958" s="42" t="n">
        <f aca="false">IFERROR(MAX(C943:C952),"N/M")</f>
        <v>249.772151898734</v>
      </c>
      <c r="D958" s="42" t="n">
        <f aca="false">IFERROR(MAX(D943:D952),"N/M")</f>
        <v>367.928270042194</v>
      </c>
      <c r="E958" s="42" t="n">
        <f aca="false">IFERROR(MAX(E943:E952),"N/M")</f>
        <v>497.704641350211</v>
      </c>
      <c r="F958" s="42" t="n">
        <f aca="false">IFERROR(MAX(F943:F952),"N/M")</f>
        <v>576.907172995781</v>
      </c>
      <c r="G958" s="42" t="n">
        <f aca="false">IFERROR(MAX(G943:G952),"N/M")</f>
        <v>657.822784810127</v>
      </c>
      <c r="H958" s="42" t="n">
        <f aca="false">IFERROR(MAX(H943:H952),"N/M")</f>
        <v>749.717299578059</v>
      </c>
      <c r="I958" s="42" t="n">
        <f aca="false">IFERROR(MAX(I943:I952),"N/M")</f>
        <v>472.42194092827</v>
      </c>
    </row>
    <row r="960" customFormat="false" ht="15" hidden="false" customHeight="false" outlineLevel="0" collapsed="false">
      <c r="A960" s="16" t="s">
        <v>233</v>
      </c>
      <c r="B960" s="17"/>
      <c r="C960" s="17"/>
      <c r="D960" s="17"/>
      <c r="E960" s="17"/>
      <c r="F960" s="17"/>
      <c r="G960" s="17"/>
      <c r="H960" s="17"/>
      <c r="I960" s="17"/>
      <c r="J960" s="17"/>
      <c r="K960" s="17"/>
      <c r="L960" s="17"/>
      <c r="M960" s="17"/>
    </row>
    <row r="961" customFormat="false" ht="15" hidden="false" customHeight="false" outlineLevel="0" collapsed="false">
      <c r="A961" s="18" t="s">
        <v>110</v>
      </c>
      <c r="B961" s="20" t="n">
        <f aca="false">Tiger!D146</f>
        <v>0.599702087286528</v>
      </c>
      <c r="C961" s="20" t="n">
        <f aca="false">Tiger!E146</f>
        <v>1.0675750357313</v>
      </c>
      <c r="D961" s="20" t="n">
        <f aca="false">Tiger!F146</f>
        <v>2.99930673115679</v>
      </c>
      <c r="E961" s="20" t="n">
        <f aca="false">Tiger!G146</f>
        <v>3.93330021509782</v>
      </c>
      <c r="F961" s="20" t="n">
        <f aca="false">Tiger!H146</f>
        <v>4.38707931065596</v>
      </c>
      <c r="G961" s="20" t="n">
        <f aca="false">Tiger!I146</f>
        <v>3.63033261026753</v>
      </c>
      <c r="H961" s="20" t="n">
        <f aca="false">Tiger!J146</f>
        <v>1.57909113639205</v>
      </c>
      <c r="I961" s="21" t="n">
        <f aca="false">Tiger!K146</f>
        <v>2.59948387522685</v>
      </c>
      <c r="J961" s="34" t="str">
        <f aca="false">IF(AND(ISNUMBER(H961),ISNUMBER(H$973)),IF(H961&gt;H$973,"Above",IF(H961&lt;H$973,"Below","At")),"-")</f>
        <v>Below</v>
      </c>
      <c r="K961" s="34" t="s">
        <v>204</v>
      </c>
      <c r="L961" s="34" t="n">
        <f aca="false">IF(ISNUMBER(H961),RANK(H961,H$961:H$970,0),"-")</f>
        <v>7</v>
      </c>
      <c r="N961" s="34" t="str">
        <f aca="false">IF(AND(ISNUMBER(I961),ISNUMBER(I$973)),IF(I961&gt;I$973,"Above",IF(I961&lt;I$973,"Below","At")),"-")</f>
        <v>Below</v>
      </c>
      <c r="O961" s="34" t="s">
        <v>204</v>
      </c>
    </row>
    <row r="962" customFormat="false" ht="15" hidden="false" customHeight="false" outlineLevel="0" collapsed="false">
      <c r="A962" s="18" t="s">
        <v>111</v>
      </c>
      <c r="B962" s="20" t="str">
        <f aca="false">Allcargo!D146</f>
        <v>N/C</v>
      </c>
      <c r="C962" s="20" t="str">
        <f aca="false">Allcargo!E146</f>
        <v>N/C</v>
      </c>
      <c r="D962" s="20" t="str">
        <f aca="false">Allcargo!F146</f>
        <v>N/C</v>
      </c>
      <c r="E962" s="20" t="str">
        <f aca="false">Allcargo!G146</f>
        <v>N/C</v>
      </c>
      <c r="F962" s="20" t="str">
        <f aca="false">Allcargo!H146</f>
        <v>N/C</v>
      </c>
      <c r="G962" s="20" t="str">
        <f aca="false">Allcargo!I146</f>
        <v>N/C</v>
      </c>
      <c r="H962" s="20" t="n">
        <f aca="false">Allcargo!J146</f>
        <v>1.87355470383275</v>
      </c>
      <c r="I962" s="21" t="n">
        <f aca="false">Allcargo!K146</f>
        <v>1.87355470383275</v>
      </c>
      <c r="J962" s="34" t="str">
        <f aca="false">IF(AND(ISNUMBER(H962),ISNUMBER(H$973)),IF(H962&gt;H$973,"Above",IF(H962&lt;H$973,"Below","At")),"-")</f>
        <v>Below</v>
      </c>
      <c r="K962" s="34" t="s">
        <v>204</v>
      </c>
      <c r="L962" s="34" t="n">
        <f aca="false">IF(ISNUMBER(H962),RANK(H962,H$961:H$970,0),"-")</f>
        <v>6</v>
      </c>
      <c r="N962" s="34" t="str">
        <f aca="false">IF(AND(ISNUMBER(I962),ISNUMBER(I$973)),IF(I962&gt;I$973,"Above",IF(I962&lt;I$973,"Below","At")),"-")</f>
        <v>Below</v>
      </c>
      <c r="O962" s="34" t="s">
        <v>204</v>
      </c>
    </row>
    <row r="963" customFormat="false" ht="15" hidden="false" customHeight="false" outlineLevel="0" collapsed="false">
      <c r="A963" s="18" t="s">
        <v>112</v>
      </c>
      <c r="B963" s="20" t="n">
        <f aca="false">BlueDart!D146</f>
        <v>10.6182354379317</v>
      </c>
      <c r="C963" s="20" t="n">
        <f aca="false">BlueDart!E146</f>
        <v>22.3177402189337</v>
      </c>
      <c r="D963" s="20" t="n">
        <f aca="false">BlueDart!F146</f>
        <v>18.6510539111687</v>
      </c>
      <c r="E963" s="20" t="n">
        <f aca="false">BlueDart!G146</f>
        <v>12.4832068737495</v>
      </c>
      <c r="F963" s="20" t="n">
        <f aca="false">BlueDart!H146</f>
        <v>10.7191421591931</v>
      </c>
      <c r="G963" s="20" t="n">
        <f aca="false">BlueDart!I146</f>
        <v>9.32850023091133</v>
      </c>
      <c r="H963" s="20" t="n">
        <f aca="false">BlueDart!J146</f>
        <v>6.33171997321072</v>
      </c>
      <c r="I963" s="21" t="n">
        <f aca="false">BlueDart!K146</f>
        <v>12.9213712578713</v>
      </c>
      <c r="J963" s="34" t="str">
        <f aca="false">IF(AND(ISNUMBER(H963),ISNUMBER(H$973)),IF(H963&gt;H$973,"Above",IF(H963&lt;H$973,"Below","At")),"-")</f>
        <v>Above</v>
      </c>
      <c r="K963" s="34" t="s">
        <v>204</v>
      </c>
      <c r="L963" s="34" t="n">
        <f aca="false">IF(ISNUMBER(H963),RANK(H963,H$961:H$970,0),"-")</f>
        <v>1</v>
      </c>
      <c r="N963" s="34" t="str">
        <f aca="false">IF(AND(ISNUMBER(I963),ISNUMBER(I$973)),IF(I963&gt;I$973,"Above",IF(I963&lt;I$973,"Below","At")),"-")</f>
        <v>Above</v>
      </c>
      <c r="O963" s="34" t="s">
        <v>204</v>
      </c>
    </row>
    <row r="964" customFormat="false" ht="15" hidden="false" customHeight="false" outlineLevel="0" collapsed="false">
      <c r="A964" s="18" t="s">
        <v>67</v>
      </c>
      <c r="B964" s="20" t="n">
        <f aca="false">CONCOR!D146</f>
        <v>2.01140454504733</v>
      </c>
      <c r="C964" s="20" t="n">
        <f aca="false">CONCOR!E146</f>
        <v>3.57652047753763</v>
      </c>
      <c r="D964" s="20" t="n">
        <f aca="false">CONCOR!F146</f>
        <v>3.8075928427649</v>
      </c>
      <c r="E964" s="20" t="n">
        <f aca="false">CONCOR!G146</f>
        <v>3.14924082689963</v>
      </c>
      <c r="F964" s="20" t="n">
        <f aca="false">CONCOR!H146</f>
        <v>4.545685038158</v>
      </c>
      <c r="G964" s="20" t="n">
        <f aca="false">CONCOR!I146</f>
        <v>3.40329854475967</v>
      </c>
      <c r="H964" s="20" t="n">
        <f aca="false">CONCOR!J146</f>
        <v>2.50270221404923</v>
      </c>
      <c r="I964" s="21" t="n">
        <f aca="false">CONCOR!K146</f>
        <v>3.28520635560234</v>
      </c>
      <c r="J964" s="34" t="str">
        <f aca="false">IF(AND(ISNUMBER(H964),ISNUMBER(H$973)),IF(H964&gt;H$973,"Above",IF(H964&lt;H$973,"Below","At")),"-")</f>
        <v>Above</v>
      </c>
      <c r="K964" s="34" t="s">
        <v>204</v>
      </c>
      <c r="L964" s="34" t="n">
        <f aca="false">IF(ISNUMBER(H964),RANK(H964,H$961:H$970,0),"-")</f>
        <v>5</v>
      </c>
      <c r="N964" s="34" t="str">
        <f aca="false">IF(AND(ISNUMBER(I964),ISNUMBER(I$973)),IF(I964&gt;I$973,"Above",IF(I964&lt;I$973,"Below","At")),"-")</f>
        <v>Above</v>
      </c>
      <c r="O964" s="34" t="s">
        <v>204</v>
      </c>
    </row>
    <row r="965" customFormat="false" ht="15" hidden="false" customHeight="false" outlineLevel="0" collapsed="false">
      <c r="A965" s="18" t="s">
        <v>113</v>
      </c>
      <c r="B965" s="20" t="n">
        <f aca="false">JetFreight!D146</f>
        <v>1.52695249130939</v>
      </c>
      <c r="C965" s="20" t="n">
        <f aca="false">JetFreight!E146</f>
        <v>1.54954017649791</v>
      </c>
      <c r="D965" s="20" t="n">
        <f aca="false">JetFreight!F146</f>
        <v>5.53677472302011</v>
      </c>
      <c r="E965" s="20" t="n">
        <f aca="false">JetFreight!G146</f>
        <v>0.879691516709512</v>
      </c>
      <c r="F965" s="20" t="n">
        <f aca="false">JetFreight!H146</f>
        <v>0.924583866837388</v>
      </c>
      <c r="G965" s="20" t="n">
        <f aca="false">JetFreight!I146</f>
        <v>0.809032843953383</v>
      </c>
      <c r="H965" s="20" t="n">
        <f aca="false">JetFreight!J146</f>
        <v>1.08749003984064</v>
      </c>
      <c r="I965" s="21" t="n">
        <f aca="false">JetFreight!K146</f>
        <v>1.75915223688119</v>
      </c>
      <c r="J965" s="34" t="str">
        <f aca="false">IF(AND(ISNUMBER(H965),ISNUMBER(H$973)),IF(H965&gt;H$973,"Above",IF(H965&lt;H$973,"Below","At")),"-")</f>
        <v>Below</v>
      </c>
      <c r="K965" s="34" t="s">
        <v>204</v>
      </c>
      <c r="L965" s="34" t="n">
        <f aca="false">IF(ISNUMBER(H965),RANK(H965,H$961:H$970,0),"-")</f>
        <v>8</v>
      </c>
      <c r="N965" s="34" t="str">
        <f aca="false">IF(AND(ISNUMBER(I965),ISNUMBER(I$973)),IF(I965&gt;I$973,"Above",IF(I965&lt;I$973,"Below","At")),"-")</f>
        <v>Below</v>
      </c>
      <c r="O965" s="34" t="s">
        <v>204</v>
      </c>
    </row>
    <row r="966" customFormat="false" ht="15" hidden="false" customHeight="false" outlineLevel="0" collapsed="false">
      <c r="A966" s="18" t="s">
        <v>114</v>
      </c>
      <c r="B966" s="20" t="n">
        <f aca="false">Patel!D146</f>
        <v>0.282735444845837</v>
      </c>
      <c r="C966" s="20" t="n">
        <f aca="false">Patel!E146</f>
        <v>0.578983879265992</v>
      </c>
      <c r="D966" s="20" t="n">
        <f aca="false">Patel!F146</f>
        <v>0.770399965887771</v>
      </c>
      <c r="E966" s="20" t="n">
        <f aca="false">Patel!G146</f>
        <v>0.638694876370125</v>
      </c>
      <c r="F966" s="20" t="n">
        <f aca="false">Patel!H146</f>
        <v>1.14843207910835</v>
      </c>
      <c r="G966" s="20" t="n">
        <f aca="false">Patel!I146</f>
        <v>0.764307085319744</v>
      </c>
      <c r="H966" s="20" t="n">
        <f aca="false">Patel!J146</f>
        <v>0.465427461139896</v>
      </c>
      <c r="I966" s="21" t="n">
        <f aca="false">Patel!K146</f>
        <v>0.66414011313396</v>
      </c>
      <c r="J966" s="34" t="str">
        <f aca="false">IF(AND(ISNUMBER(H966),ISNUMBER(H$973)),IF(H966&gt;H$973,"Above",IF(H966&lt;H$973,"Below","At")),"-")</f>
        <v>Below</v>
      </c>
      <c r="K966" s="34" t="s">
        <v>204</v>
      </c>
      <c r="L966" s="34" t="n">
        <f aca="false">IF(ISNUMBER(H966),RANK(H966,H$961:H$970,0),"-")</f>
        <v>10</v>
      </c>
      <c r="N966" s="34" t="str">
        <f aca="false">IF(AND(ISNUMBER(I966),ISNUMBER(I$973)),IF(I966&gt;I$973,"Above",IF(I966&lt;I$973,"Below","At")),"-")</f>
        <v>Below</v>
      </c>
      <c r="O966" s="34" t="s">
        <v>204</v>
      </c>
    </row>
    <row r="967" customFormat="false" ht="15" hidden="false" customHeight="false" outlineLevel="0" collapsed="false">
      <c r="A967" s="18" t="s">
        <v>115</v>
      </c>
      <c r="B967" s="20" t="n">
        <f aca="false">Sical!D146</f>
        <v>0.0629980150498271</v>
      </c>
      <c r="C967" s="20" t="str">
        <f aca="false">Sical!E146</f>
        <v>N/M</v>
      </c>
      <c r="D967" s="20" t="str">
        <f aca="false">Sical!F146</f>
        <v>N/M</v>
      </c>
      <c r="E967" s="20" t="n">
        <f aca="false">Sical!G146</f>
        <v>0.782695403587444</v>
      </c>
      <c r="F967" s="20" t="n">
        <f aca="false">Sical!H146</f>
        <v>33.4310248955432</v>
      </c>
      <c r="G967" s="20" t="str">
        <f aca="false">Sical!I146</f>
        <v>N/M</v>
      </c>
      <c r="H967" s="20" t="n">
        <f aca="false">Sical!J146</f>
        <v>3.82888095056745</v>
      </c>
      <c r="I967" s="21" t="n">
        <f aca="false">Sical!K146</f>
        <v>9.52639981618697</v>
      </c>
      <c r="J967" s="34" t="str">
        <f aca="false">IF(AND(ISNUMBER(H967),ISNUMBER(H$973)),IF(H967&gt;H$973,"Above",IF(H967&lt;H$973,"Below","At")),"-")</f>
        <v>Above</v>
      </c>
      <c r="K967" s="34" t="s">
        <v>204</v>
      </c>
      <c r="L967" s="34" t="n">
        <f aca="false">IF(ISNUMBER(H967),RANK(H967,H$961:H$970,0),"-")</f>
        <v>2</v>
      </c>
      <c r="N967" s="34" t="str">
        <f aca="false">IF(AND(ISNUMBER(I967),ISNUMBER(I$973)),IF(I967&gt;I$973,"Above",IF(I967&lt;I$973,"Below","At")),"-")</f>
        <v>Above</v>
      </c>
      <c r="O967" s="34" t="s">
        <v>204</v>
      </c>
    </row>
    <row r="968" customFormat="false" ht="15" hidden="false" customHeight="false" outlineLevel="0" collapsed="false">
      <c r="A968" s="18" t="s">
        <v>86</v>
      </c>
      <c r="B968" s="20" t="n">
        <f aca="false">TCI!D146</f>
        <v>1.41052652140367</v>
      </c>
      <c r="C968" s="20" t="n">
        <f aca="false">TCI!E146</f>
        <v>1.6883813081875</v>
      </c>
      <c r="D968" s="20" t="n">
        <f aca="false">TCI!F146</f>
        <v>3.23785762228375</v>
      </c>
      <c r="E968" s="20" t="n">
        <f aca="false">TCI!G146</f>
        <v>2.85837618037478</v>
      </c>
      <c r="F968" s="20" t="n">
        <f aca="false">TCI!H146</f>
        <v>3.1470551247118</v>
      </c>
      <c r="G968" s="20" t="n">
        <f aca="false">TCI!I146</f>
        <v>3.91931778628611</v>
      </c>
      <c r="H968" s="20" t="n">
        <f aca="false">TCI!J146</f>
        <v>2.758939044969</v>
      </c>
      <c r="I968" s="21" t="n">
        <f aca="false">TCI!K146</f>
        <v>2.71720765545952</v>
      </c>
      <c r="J968" s="34" t="str">
        <f aca="false">IF(AND(ISNUMBER(H968),ISNUMBER(H$973)),IF(H968&gt;H$973,"Above",IF(H968&lt;H$973,"Below","At")),"-")</f>
        <v>Above</v>
      </c>
      <c r="K968" s="34" t="s">
        <v>204</v>
      </c>
      <c r="L968" s="34" t="n">
        <f aca="false">IF(ISNUMBER(H968),RANK(H968,H$961:H$970,0),"-")</f>
        <v>4</v>
      </c>
      <c r="N968" s="34" t="str">
        <f aca="false">IF(AND(ISNUMBER(I968),ISNUMBER(I$973)),IF(I968&gt;I$973,"Above",IF(I968&lt;I$973,"Below","At")),"-")</f>
        <v>Below</v>
      </c>
      <c r="O968" s="34" t="s">
        <v>204</v>
      </c>
    </row>
    <row r="969" customFormat="false" ht="15" hidden="false" customHeight="false" outlineLevel="0" collapsed="false">
      <c r="A969" s="18" t="s">
        <v>116</v>
      </c>
      <c r="B969" s="20" t="n">
        <f aca="false">Shreeji!D146</f>
        <v>1.25029702970297</v>
      </c>
      <c r="C969" s="20" t="n">
        <f aca="false">Shreeji!E146</f>
        <v>2.39031456953642</v>
      </c>
      <c r="D969" s="20" t="n">
        <f aca="false">Shreeji!F146</f>
        <v>6.62951432129514</v>
      </c>
      <c r="E969" s="20" t="n">
        <f aca="false">Shreeji!G146</f>
        <v>8.53838519970596</v>
      </c>
      <c r="F969" s="20" t="n">
        <f aca="false">Shreeji!H146</f>
        <v>3.25075603217158</v>
      </c>
      <c r="G969" s="20" t="n">
        <f aca="false">Shreeji!I146</f>
        <v>1.0894945403311</v>
      </c>
      <c r="H969" s="20" t="n">
        <f aca="false">Shreeji!J146</f>
        <v>0.683766428214939</v>
      </c>
      <c r="I969" s="21" t="n">
        <f aca="false">Shreeji!K146</f>
        <v>3.40464687442259</v>
      </c>
      <c r="J969" s="34" t="str">
        <f aca="false">IF(AND(ISNUMBER(H969),ISNUMBER(H$973)),IF(H969&gt;H$973,"Above",IF(H969&lt;H$973,"Below","At")),"-")</f>
        <v>Below</v>
      </c>
      <c r="K969" s="34" t="s">
        <v>204</v>
      </c>
      <c r="L969" s="34" t="n">
        <f aca="false">IF(ISNUMBER(H969),RANK(H969,H$961:H$970,0),"-")</f>
        <v>9</v>
      </c>
      <c r="N969" s="34" t="str">
        <f aca="false">IF(AND(ISNUMBER(I969),ISNUMBER(I$973)),IF(I969&gt;I$973,"Above",IF(I969&lt;I$973,"Below","At")),"-")</f>
        <v>Above</v>
      </c>
      <c r="O969" s="34" t="s">
        <v>204</v>
      </c>
    </row>
    <row r="970" customFormat="false" ht="15" hidden="false" customHeight="false" outlineLevel="0" collapsed="false">
      <c r="A970" s="18" t="s">
        <v>117</v>
      </c>
      <c r="B970" s="20" t="n">
        <f aca="false">MahindraLog!D146</f>
        <v>3.73690553566511</v>
      </c>
      <c r="C970" s="20" t="n">
        <f aca="false">MahindraLog!E146</f>
        <v>9.17409780656973</v>
      </c>
      <c r="D970" s="20" t="n">
        <f aca="false">MahindraLog!F146</f>
        <v>8.32553798858147</v>
      </c>
      <c r="E970" s="20" t="n">
        <f aca="false">MahindraLog!G146</f>
        <v>5.69901721651504</v>
      </c>
      <c r="F970" s="20" t="n">
        <f aca="false">MahindraLog!H146</f>
        <v>7.5007371007371</v>
      </c>
      <c r="G970" s="20" t="n">
        <f aca="false">MahindraLog!I146</f>
        <v>5.40856124965744</v>
      </c>
      <c r="H970" s="20" t="n">
        <f aca="false">MahindraLog!J146</f>
        <v>2.81020786870733</v>
      </c>
      <c r="I970" s="21" t="n">
        <f aca="false">MahindraLog!K146</f>
        <v>6.09358068091903</v>
      </c>
      <c r="J970" s="34" t="str">
        <f aca="false">IF(AND(ISNUMBER(H970),ISNUMBER(H$973)),IF(H970&gt;H$973,"Above",IF(H970&lt;H$973,"Below","At")),"-")</f>
        <v>Above</v>
      </c>
      <c r="K970" s="34" t="s">
        <v>204</v>
      </c>
      <c r="L970" s="34" t="n">
        <f aca="false">IF(ISNUMBER(H970),RANK(H970,H$961:H$970,0),"-")</f>
        <v>3</v>
      </c>
      <c r="N970" s="34" t="str">
        <f aca="false">IF(AND(ISNUMBER(I970),ISNUMBER(I$973)),IF(I970&gt;I$973,"Above",IF(I970&lt;I$973,"Below","At")),"-")</f>
        <v>Above</v>
      </c>
      <c r="O970" s="34" t="s">
        <v>204</v>
      </c>
    </row>
    <row r="971" customFormat="false" ht="15" hidden="false" customHeight="false" outlineLevel="0" collapsed="false">
      <c r="A971" s="12" t="s">
        <v>176</v>
      </c>
      <c r="B971" s="21" t="n">
        <f aca="false">Industry!D146</f>
        <v>2.26768239592676</v>
      </c>
      <c r="C971" s="21" t="n">
        <f aca="false">Industry!E146</f>
        <v>4.73615125624305</v>
      </c>
      <c r="D971" s="21" t="n">
        <f aca="false">Industry!F146</f>
        <v>5.19406740966089</v>
      </c>
      <c r="E971" s="21" t="n">
        <f aca="false">Industry!G146</f>
        <v>3.92580224095037</v>
      </c>
      <c r="F971" s="21" t="n">
        <f aca="false">Industry!H146</f>
        <v>4.9939753496621</v>
      </c>
      <c r="G971" s="21" t="n">
        <f aca="false">Industry!I146</f>
        <v>4.05954374576094</v>
      </c>
      <c r="H971" s="21" t="n">
        <f aca="false">Industry!J146</f>
        <v>2.86137986297368</v>
      </c>
      <c r="I971" s="21" t="n">
        <f aca="false">Industry!K146</f>
        <v>4.00551460873968</v>
      </c>
    </row>
    <row r="972" customFormat="false" ht="15" hidden="false" customHeight="false" outlineLevel="0" collapsed="false">
      <c r="A972" s="35" t="s">
        <v>177</v>
      </c>
      <c r="B972" s="37" t="n">
        <f aca="false">IFERROR(AVERAGE(B961:B970),"N/M")</f>
        <v>2.38886190091581</v>
      </c>
      <c r="C972" s="37" t="n">
        <f aca="false">IFERROR(AVERAGE(C961:C970),"N/M")</f>
        <v>5.29289418403253</v>
      </c>
      <c r="D972" s="37" t="n">
        <f aca="false">IFERROR(AVERAGE(D961:D970),"N/M")</f>
        <v>6.24475476326983</v>
      </c>
      <c r="E972" s="37" t="n">
        <f aca="false">IFERROR(AVERAGE(E961:E970),"N/M")</f>
        <v>4.32917870100109</v>
      </c>
      <c r="F972" s="37" t="n">
        <f aca="false">IFERROR(AVERAGE(F961:F970),"N/M")</f>
        <v>7.67272173412406</v>
      </c>
      <c r="G972" s="37" t="n">
        <f aca="false">IFERROR(AVERAGE(G961:G970),"N/M")</f>
        <v>3.54410561143579</v>
      </c>
      <c r="H972" s="37" t="n">
        <f aca="false">IFERROR(AVERAGE(H961:H970),"N/M")</f>
        <v>2.3921779820924</v>
      </c>
      <c r="I972" s="37" t="n">
        <f aca="false">IFERROR(AVERAGE(I961:I970),"N/M")</f>
        <v>4.48447435695365</v>
      </c>
    </row>
    <row r="973" customFormat="false" ht="15" hidden="false" customHeight="false" outlineLevel="0" collapsed="false">
      <c r="A973" s="35" t="s">
        <v>178</v>
      </c>
      <c r="B973" s="37" t="n">
        <f aca="false">IFERROR(MEDIAN(B961:B970),"N/M")</f>
        <v>1.41052652140367</v>
      </c>
      <c r="C973" s="37" t="n">
        <f aca="false">IFERROR(MEDIAN(C961:C970),"N/M")</f>
        <v>2.03934793886196</v>
      </c>
      <c r="D973" s="37" t="n">
        <f aca="false">IFERROR(MEDIAN(D961:D970),"N/M")</f>
        <v>4.6721837828925</v>
      </c>
      <c r="E973" s="37" t="n">
        <f aca="false">IFERROR(MEDIAN(E961:E970),"N/M")</f>
        <v>3.14924082689963</v>
      </c>
      <c r="F973" s="37" t="n">
        <f aca="false">IFERROR(MEDIAN(F961:F970),"N/M")</f>
        <v>4.38707931065596</v>
      </c>
      <c r="G973" s="37" t="n">
        <f aca="false">IFERROR(MEDIAN(G961:G970),"N/M")</f>
        <v>3.5168155775136</v>
      </c>
      <c r="H973" s="37" t="n">
        <f aca="false">IFERROR(MEDIAN(H961:H970),"N/M")</f>
        <v>2.18812845894099</v>
      </c>
      <c r="I973" s="37" t="n">
        <f aca="false">IFERROR(MEDIAN(I961:I970),"N/M")</f>
        <v>3.00120700553093</v>
      </c>
    </row>
    <row r="974" customFormat="false" ht="15" hidden="false" customHeight="false" outlineLevel="0" collapsed="false">
      <c r="A974" s="35" t="s">
        <v>179</v>
      </c>
      <c r="B974" s="37" t="n">
        <f aca="false">IFERROR(STDEV(B961:B970),"N/M")</f>
        <v>3.27347572777768</v>
      </c>
      <c r="C974" s="37" t="n">
        <f aca="false">IFERROR(STDEV(C961:C970),"N/M")</f>
        <v>7.40038141637467</v>
      </c>
      <c r="D974" s="37" t="n">
        <f aca="false">IFERROR(STDEV(D961:D970),"N/M")</f>
        <v>5.53402301421172</v>
      </c>
      <c r="E974" s="37" t="n">
        <f aca="false">IFERROR(STDEV(E961:E970),"N/M")</f>
        <v>3.998288103045</v>
      </c>
      <c r="F974" s="37" t="n">
        <f aca="false">IFERROR(STDEV(F961:F970),"N/M")</f>
        <v>10.1335667561823</v>
      </c>
      <c r="G974" s="37" t="n">
        <f aca="false">IFERROR(STDEV(G961:G970),"N/M")</f>
        <v>2.88682921068957</v>
      </c>
      <c r="H974" s="37" t="n">
        <f aca="false">IFERROR(STDEV(H961:H970),"N/M")</f>
        <v>1.73746025841291</v>
      </c>
      <c r="I974" s="37" t="n">
        <f aca="false">IFERROR(STDEV(I961:I970),"N/M")</f>
        <v>3.90599812943318</v>
      </c>
    </row>
    <row r="975" customFormat="false" ht="15" hidden="false" customHeight="false" outlineLevel="0" collapsed="false">
      <c r="A975" s="35" t="s">
        <v>102</v>
      </c>
      <c r="B975" s="37" t="n">
        <f aca="false">IFERROR(MIN(B961:B970),"N/M")</f>
        <v>0.0629980150498271</v>
      </c>
      <c r="C975" s="37" t="n">
        <f aca="false">IFERROR(MIN(C961:C970),"N/M")</f>
        <v>0.578983879265992</v>
      </c>
      <c r="D975" s="37" t="n">
        <f aca="false">IFERROR(MIN(D961:D970),"N/M")</f>
        <v>0.770399965887771</v>
      </c>
      <c r="E975" s="37" t="n">
        <f aca="false">IFERROR(MIN(E961:E970),"N/M")</f>
        <v>0.638694876370125</v>
      </c>
      <c r="F975" s="37" t="n">
        <f aca="false">IFERROR(MIN(F961:F970),"N/M")</f>
        <v>0.924583866837388</v>
      </c>
      <c r="G975" s="37" t="n">
        <f aca="false">IFERROR(MIN(G961:G970),"N/M")</f>
        <v>0.764307085319744</v>
      </c>
      <c r="H975" s="37" t="n">
        <f aca="false">IFERROR(MIN(H961:H970),"N/M")</f>
        <v>0.465427461139896</v>
      </c>
      <c r="I975" s="37" t="n">
        <f aca="false">IFERROR(MIN(I961:I970),"N/M")</f>
        <v>0.66414011313396</v>
      </c>
    </row>
    <row r="976" customFormat="false" ht="15" hidden="false" customHeight="false" outlineLevel="0" collapsed="false">
      <c r="A976" s="35" t="s">
        <v>103</v>
      </c>
      <c r="B976" s="37" t="n">
        <f aca="false">IFERROR(MAX(B961:B970),"N/M")</f>
        <v>10.6182354379317</v>
      </c>
      <c r="C976" s="37" t="n">
        <f aca="false">IFERROR(MAX(C961:C970),"N/M")</f>
        <v>22.3177402189337</v>
      </c>
      <c r="D976" s="37" t="n">
        <f aca="false">IFERROR(MAX(D961:D970),"N/M")</f>
        <v>18.6510539111687</v>
      </c>
      <c r="E976" s="37" t="n">
        <f aca="false">IFERROR(MAX(E961:E970),"N/M")</f>
        <v>12.4832068737495</v>
      </c>
      <c r="F976" s="37" t="n">
        <f aca="false">IFERROR(MAX(F961:F970),"N/M")</f>
        <v>33.4310248955432</v>
      </c>
      <c r="G976" s="37" t="n">
        <f aca="false">IFERROR(MAX(G961:G970),"N/M")</f>
        <v>9.32850023091133</v>
      </c>
      <c r="H976" s="37" t="n">
        <f aca="false">IFERROR(MAX(H961:H970),"N/M")</f>
        <v>6.33171997321072</v>
      </c>
      <c r="I976" s="37" t="n">
        <f aca="false">IFERROR(MAX(I961:I970),"N/M")</f>
        <v>12.9213712578713</v>
      </c>
    </row>
    <row r="978" customFormat="false" ht="15" hidden="false" customHeight="false" outlineLevel="0" collapsed="false">
      <c r="A978" s="16" t="s">
        <v>234</v>
      </c>
      <c r="B978" s="17"/>
      <c r="C978" s="17"/>
      <c r="D978" s="17"/>
      <c r="E978" s="17"/>
      <c r="F978" s="17"/>
      <c r="G978" s="17"/>
      <c r="H978" s="17"/>
      <c r="I978" s="17"/>
      <c r="J978" s="17"/>
      <c r="K978" s="17"/>
      <c r="L978" s="17"/>
      <c r="M978" s="17"/>
    </row>
    <row r="979" customFormat="false" ht="15" hidden="false" customHeight="false" outlineLevel="0" collapsed="false">
      <c r="A979" s="18" t="s">
        <v>110</v>
      </c>
      <c r="B979" s="40" t="n">
        <f aca="false">Tiger!D147</f>
        <v>0</v>
      </c>
      <c r="C979" s="40" t="n">
        <f aca="false">Tiger!E147</f>
        <v>0</v>
      </c>
      <c r="D979" s="40" t="n">
        <f aca="false">Tiger!F147</f>
        <v>0.100283822138127</v>
      </c>
      <c r="E979" s="40" t="n">
        <f aca="false">Tiger!G147</f>
        <v>0</v>
      </c>
      <c r="F979" s="40" t="n">
        <f aca="false">Tiger!H147</f>
        <v>0</v>
      </c>
      <c r="G979" s="40" t="n">
        <f aca="false">Tiger!I147</f>
        <v>0</v>
      </c>
      <c r="H979" s="40" t="n">
        <f aca="false">Tiger!J147</f>
        <v>0</v>
      </c>
      <c r="I979" s="41" t="n">
        <f aca="false">Tiger!K147</f>
        <v>0.0143262603054467</v>
      </c>
      <c r="J979" s="34" t="str">
        <f aca="false">IF(AND(ISNUMBER(H979),ISNUMBER(H$991)),IF(H979&gt;H$991,"Above",IF(H979&lt;H$991,"Below","At")),"-")</f>
        <v>Below</v>
      </c>
      <c r="K979" s="34" t="str">
        <f aca="false">IF(J979="Above","Better",IF(J979="Below","Weaker","-"))</f>
        <v>Weaker</v>
      </c>
      <c r="L979" s="34" t="n">
        <f aca="false">IF(ISNUMBER(H979),RANK(H979,H$979:H$988,0),"-")</f>
        <v>6</v>
      </c>
      <c r="N979" s="34" t="str">
        <f aca="false">IF(AND(ISNUMBER(I979),ISNUMBER(I$991)),IF(I979&gt;I$991,"Above",IF(I979&lt;I$991,"Below","At")),"-")</f>
        <v>Below</v>
      </c>
      <c r="O979" s="34" t="str">
        <f aca="false">IF(N979="Above","Better",IF(N979="Below","Weaker","-"))</f>
        <v>Weaker</v>
      </c>
    </row>
    <row r="980" customFormat="false" ht="15" hidden="false" customHeight="false" outlineLevel="0" collapsed="false">
      <c r="A980" s="18" t="s">
        <v>111</v>
      </c>
      <c r="B980" s="40" t="n">
        <f aca="false">Allcargo!D147</f>
        <v>0.75</v>
      </c>
      <c r="C980" s="40" t="n">
        <f aca="false">Allcargo!E147</f>
        <v>0.5</v>
      </c>
      <c r="D980" s="40" t="n">
        <f aca="false">Allcargo!F147</f>
        <v>0.75</v>
      </c>
      <c r="E980" s="40" t="n">
        <f aca="false">Allcargo!G147</f>
        <v>0.812474562474562</v>
      </c>
      <c r="F980" s="40" t="n">
        <f aca="false">Allcargo!H147</f>
        <v>1</v>
      </c>
      <c r="G980" s="40" t="n">
        <f aca="false">Allcargo!I147</f>
        <v>2.10311541496804</v>
      </c>
      <c r="H980" s="40" t="n">
        <f aca="false">Allcargo!J147</f>
        <v>0</v>
      </c>
      <c r="I980" s="41" t="n">
        <f aca="false">Allcargo!K147</f>
        <v>0.8450842824918</v>
      </c>
      <c r="J980" s="34" t="str">
        <f aca="false">IF(AND(ISNUMBER(H980),ISNUMBER(H$991)),IF(H980&gt;H$991,"Above",IF(H980&lt;H$991,"Below","At")),"-")</f>
        <v>Below</v>
      </c>
      <c r="K980" s="34" t="str">
        <f aca="false">IF(J980="Above","Better",IF(J980="Below","Weaker","-"))</f>
        <v>Weaker</v>
      </c>
      <c r="L980" s="34" t="n">
        <f aca="false">IF(ISNUMBER(H980),RANK(H980,H$979:H$988,0),"-")</f>
        <v>6</v>
      </c>
      <c r="N980" s="34" t="str">
        <f aca="false">IF(AND(ISNUMBER(I980),ISNUMBER(I$991)),IF(I980&gt;I$991,"Above",IF(I980&lt;I$991,"Below","At")),"-")</f>
        <v>Above</v>
      </c>
      <c r="O980" s="34" t="str">
        <f aca="false">IF(N980="Above","Better",IF(N980="Below","Weaker","-"))</f>
        <v>Better</v>
      </c>
    </row>
    <row r="981" customFormat="false" ht="15" hidden="false" customHeight="false" outlineLevel="0" collapsed="false">
      <c r="A981" s="18" t="s">
        <v>112</v>
      </c>
      <c r="B981" s="40" t="n">
        <f aca="false">BlueDart!D147</f>
        <v>0</v>
      </c>
      <c r="C981" s="40" t="n">
        <f aca="false">BlueDart!E147</f>
        <v>15.0379746835443</v>
      </c>
      <c r="D981" s="40" t="n">
        <f aca="false">BlueDart!F147</f>
        <v>60.1518987341772</v>
      </c>
      <c r="E981" s="40" t="n">
        <f aca="false">BlueDart!G147</f>
        <v>30.0759493670886</v>
      </c>
      <c r="F981" s="40" t="n">
        <f aca="false">BlueDart!H147</f>
        <v>25.0632911392405</v>
      </c>
      <c r="G981" s="40" t="n">
        <f aca="false">BlueDart!I147</f>
        <v>25.0632911392405</v>
      </c>
      <c r="H981" s="40" t="n">
        <f aca="false">BlueDart!J147</f>
        <v>25.0632911392405</v>
      </c>
      <c r="I981" s="41" t="n">
        <f aca="false">BlueDart!K147</f>
        <v>25.7793851717902</v>
      </c>
      <c r="J981" s="34" t="str">
        <f aca="false">IF(AND(ISNUMBER(H981),ISNUMBER(H$991)),IF(H981&gt;H$991,"Above",IF(H981&lt;H$991,"Below","At")),"-")</f>
        <v>Above</v>
      </c>
      <c r="K981" s="34" t="str">
        <f aca="false">IF(J981="Above","Better",IF(J981="Below","Weaker","-"))</f>
        <v>Better</v>
      </c>
      <c r="L981" s="34" t="n">
        <f aca="false">IF(ISNUMBER(H981),RANK(H981,H$979:H$988,0),"-")</f>
        <v>1</v>
      </c>
      <c r="N981" s="34" t="str">
        <f aca="false">IF(AND(ISNUMBER(I981),ISNUMBER(I$991)),IF(I981&gt;I$991,"Above",IF(I981&lt;I$991,"Below","At")),"-")</f>
        <v>Above</v>
      </c>
      <c r="O981" s="34" t="str">
        <f aca="false">IF(N981="Above","Better",IF(N981="Below","Weaker","-"))</f>
        <v>Better</v>
      </c>
    </row>
    <row r="982" customFormat="false" ht="15" hidden="false" customHeight="false" outlineLevel="0" collapsed="false">
      <c r="A982" s="18" t="s">
        <v>67</v>
      </c>
      <c r="B982" s="40" t="n">
        <f aca="false">CONCOR!D147</f>
        <v>2.88012079831933</v>
      </c>
      <c r="C982" s="40" t="n">
        <f aca="false">CONCOR!E147</f>
        <v>4.00013130252101</v>
      </c>
      <c r="D982" s="40" t="n">
        <f aca="false">CONCOR!F147</f>
        <v>7.20023634453782</v>
      </c>
      <c r="E982" s="40" t="n">
        <f aca="false">CONCOR!G147</f>
        <v>8.80028886554622</v>
      </c>
      <c r="F982" s="40" t="n">
        <f aca="false">CONCOR!H147</f>
        <v>9.20036764705882</v>
      </c>
      <c r="G982" s="40" t="n">
        <f aca="false">CONCOR!I147</f>
        <v>9.20036764705882</v>
      </c>
      <c r="H982" s="40" t="n">
        <f aca="false">CONCOR!J147</f>
        <v>8.60018382352941</v>
      </c>
      <c r="I982" s="41" t="n">
        <f aca="false">CONCOR!K147</f>
        <v>7.12595663265306</v>
      </c>
      <c r="J982" s="34" t="str">
        <f aca="false">IF(AND(ISNUMBER(H982),ISNUMBER(H$991)),IF(H982&gt;H$991,"Above",IF(H982&lt;H$991,"Below","At")),"-")</f>
        <v>Above</v>
      </c>
      <c r="K982" s="34" t="str">
        <f aca="false">IF(J982="Above","Better",IF(J982="Below","Weaker","-"))</f>
        <v>Better</v>
      </c>
      <c r="L982" s="34" t="n">
        <f aca="false">IF(ISNUMBER(H982),RANK(H982,H$979:H$988,0),"-")</f>
        <v>3</v>
      </c>
      <c r="N982" s="34" t="str">
        <f aca="false">IF(AND(ISNUMBER(I982),ISNUMBER(I$991)),IF(I982&gt;I$991,"Above",IF(I982&lt;I$991,"Below","At")),"-")</f>
        <v>Above</v>
      </c>
      <c r="O982" s="34" t="str">
        <f aca="false">IF(N982="Above","Better",IF(N982="Below","Weaker","-"))</f>
        <v>Better</v>
      </c>
    </row>
    <row r="983" customFormat="false" ht="15" hidden="false" customHeight="false" outlineLevel="0" collapsed="false">
      <c r="A983" s="18" t="s">
        <v>113</v>
      </c>
      <c r="B983" s="40" t="n">
        <f aca="false">JetFreight!D147</f>
        <v>0</v>
      </c>
      <c r="C983" s="40" t="n">
        <f aca="false">JetFreight!E147</f>
        <v>0</v>
      </c>
      <c r="D983" s="40" t="n">
        <f aca="false">JetFreight!F147</f>
        <v>0.0258620689655172</v>
      </c>
      <c r="E983" s="40" t="n">
        <f aca="false">JetFreight!G147</f>
        <v>0</v>
      </c>
      <c r="F983" s="40" t="n">
        <f aca="false">JetFreight!H147</f>
        <v>0</v>
      </c>
      <c r="G983" s="40" t="n">
        <f aca="false">JetFreight!I147</f>
        <v>0</v>
      </c>
      <c r="H983" s="40" t="n">
        <f aca="false">JetFreight!J147</f>
        <v>0</v>
      </c>
      <c r="I983" s="41" t="n">
        <f aca="false">JetFreight!K147</f>
        <v>0.00369458128078818</v>
      </c>
      <c r="J983" s="34" t="str">
        <f aca="false">IF(AND(ISNUMBER(H983),ISNUMBER(H$991)),IF(H983&gt;H$991,"Above",IF(H983&lt;H$991,"Below","At")),"-")</f>
        <v>Below</v>
      </c>
      <c r="K983" s="34" t="str">
        <f aca="false">IF(J983="Above","Better",IF(J983="Below","Weaker","-"))</f>
        <v>Weaker</v>
      </c>
      <c r="L983" s="34" t="n">
        <f aca="false">IF(ISNUMBER(H983),RANK(H983,H$979:H$988,0),"-")</f>
        <v>6</v>
      </c>
      <c r="N983" s="34" t="str">
        <f aca="false">IF(AND(ISNUMBER(I983),ISNUMBER(I$991)),IF(I983&gt;I$991,"Above",IF(I983&lt;I$991,"Below","At")),"-")</f>
        <v>Below</v>
      </c>
      <c r="O983" s="34" t="str">
        <f aca="false">IF(N983="Above","Better",IF(N983="Below","Weaker","-"))</f>
        <v>Weaker</v>
      </c>
    </row>
    <row r="984" customFormat="false" ht="15" hidden="false" customHeight="false" outlineLevel="0" collapsed="false">
      <c r="A984" s="18" t="s">
        <v>114</v>
      </c>
      <c r="B984" s="40" t="n">
        <f aca="false">Patel!D147</f>
        <v>0.023943661971831</v>
      </c>
      <c r="C984" s="40" t="n">
        <f aca="false">Patel!E147</f>
        <v>0.0364656381486676</v>
      </c>
      <c r="D984" s="40" t="n">
        <f aca="false">Patel!F147</f>
        <v>0.0504908835904628</v>
      </c>
      <c r="E984" s="40" t="n">
        <f aca="false">Patel!G147</f>
        <v>0.0933908045977012</v>
      </c>
      <c r="F984" s="40" t="n">
        <f aca="false">Patel!H147</f>
        <v>0.0933908045977012</v>
      </c>
      <c r="G984" s="40" t="n">
        <f aca="false">Patel!I147</f>
        <v>0.300287356321839</v>
      </c>
      <c r="H984" s="40" t="n">
        <f aca="false">Patel!J147</f>
        <v>0.199712643678161</v>
      </c>
      <c r="I984" s="41" t="n">
        <f aca="false">Patel!K147</f>
        <v>0.113954541843766</v>
      </c>
      <c r="J984" s="34" t="str">
        <f aca="false">IF(AND(ISNUMBER(H984),ISNUMBER(H$991)),IF(H984&gt;H$991,"Above",IF(H984&lt;H$991,"Below","At")),"-")</f>
        <v>Above</v>
      </c>
      <c r="K984" s="34" t="str">
        <f aca="false">IF(J984="Above","Better",IF(J984="Below","Weaker","-"))</f>
        <v>Better</v>
      </c>
      <c r="L984" s="34" t="n">
        <f aca="false">IF(ISNUMBER(H984),RANK(H984,H$979:H$988,0),"-")</f>
        <v>5</v>
      </c>
      <c r="N984" s="34" t="str">
        <f aca="false">IF(AND(ISNUMBER(I984),ISNUMBER(I$991)),IF(I984&gt;I$991,"Above",IF(I984&lt;I$991,"Below","At")),"-")</f>
        <v>Below</v>
      </c>
      <c r="O984" s="34" t="str">
        <f aca="false">IF(N984="Above","Better",IF(N984="Below","Weaker","-"))</f>
        <v>Weaker</v>
      </c>
    </row>
    <row r="985" customFormat="false" ht="15" hidden="false" customHeight="false" outlineLevel="0" collapsed="false">
      <c r="A985" s="18" t="s">
        <v>115</v>
      </c>
      <c r="B985" s="40" t="n">
        <f aca="false">Sical!D147</f>
        <v>0</v>
      </c>
      <c r="C985" s="40" t="n">
        <f aca="false">Sical!E147</f>
        <v>0</v>
      </c>
      <c r="D985" s="40" t="n">
        <f aca="false">Sical!F147</f>
        <v>0</v>
      </c>
      <c r="E985" s="40" t="n">
        <f aca="false">Sical!G147</f>
        <v>0</v>
      </c>
      <c r="F985" s="40" t="n">
        <f aca="false">Sical!H147</f>
        <v>0</v>
      </c>
      <c r="G985" s="40" t="n">
        <f aca="false">Sical!I147</f>
        <v>0</v>
      </c>
      <c r="H985" s="40" t="n">
        <f aca="false">Sical!J147</f>
        <v>0</v>
      </c>
      <c r="I985" s="41" t="n">
        <f aca="false">Sical!K147</f>
        <v>0</v>
      </c>
      <c r="J985" s="34" t="str">
        <f aca="false">IF(AND(ISNUMBER(H985),ISNUMBER(H$991)),IF(H985&gt;H$991,"Above",IF(H985&lt;H$991,"Below","At")),"-")</f>
        <v>Below</v>
      </c>
      <c r="K985" s="34" t="str">
        <f aca="false">IF(J985="Above","Better",IF(J985="Below","Weaker","-"))</f>
        <v>Weaker</v>
      </c>
      <c r="L985" s="34" t="n">
        <f aca="false">IF(ISNUMBER(H985),RANK(H985,H$979:H$988,0),"-")</f>
        <v>6</v>
      </c>
      <c r="N985" s="34" t="str">
        <f aca="false">IF(AND(ISNUMBER(I985),ISNUMBER(I$991)),IF(I985&gt;I$991,"Above",IF(I985&lt;I$991,"Below","At")),"-")</f>
        <v>Below</v>
      </c>
      <c r="O985" s="34" t="str">
        <f aca="false">IF(N985="Above","Better",IF(N985="Below","Weaker","-"))</f>
        <v>Weaker</v>
      </c>
    </row>
    <row r="986" customFormat="false" ht="15" hidden="false" customHeight="false" outlineLevel="0" collapsed="false">
      <c r="A986" s="18" t="s">
        <v>86</v>
      </c>
      <c r="B986" s="40" t="n">
        <f aca="false">TCI!D147</f>
        <v>2.00130208333333</v>
      </c>
      <c r="C986" s="40" t="n">
        <f aca="false">TCI!E147</f>
        <v>2.50064850843061</v>
      </c>
      <c r="D986" s="40" t="n">
        <f aca="false">TCI!F147</f>
        <v>4.0025873221216</v>
      </c>
      <c r="E986" s="40" t="n">
        <f aca="false">TCI!G147</f>
        <v>6.99484536082474</v>
      </c>
      <c r="F986" s="40" t="n">
        <f aca="false">TCI!H147</f>
        <v>7.003861003861</v>
      </c>
      <c r="G986" s="40" t="n">
        <f aca="false">TCI!I147</f>
        <v>8</v>
      </c>
      <c r="H986" s="40" t="n">
        <f aca="false">TCI!J147</f>
        <v>10.006518904824</v>
      </c>
      <c r="I986" s="41" t="n">
        <f aca="false">TCI!K147</f>
        <v>5.78710902619933</v>
      </c>
      <c r="J986" s="34" t="str">
        <f aca="false">IF(AND(ISNUMBER(H986),ISNUMBER(H$991)),IF(H986&gt;H$991,"Above",IF(H986&lt;H$991,"Below","At")),"-")</f>
        <v>Above</v>
      </c>
      <c r="K986" s="34" t="str">
        <f aca="false">IF(J986="Above","Better",IF(J986="Below","Weaker","-"))</f>
        <v>Better</v>
      </c>
      <c r="L986" s="34" t="n">
        <f aca="false">IF(ISNUMBER(H986),RANK(H986,H$979:H$988,0),"-")</f>
        <v>2</v>
      </c>
      <c r="N986" s="34" t="str">
        <f aca="false">IF(AND(ISNUMBER(I986),ISNUMBER(I$991)),IF(I986&gt;I$991,"Above",IF(I986&lt;I$991,"Below","At")),"-")</f>
        <v>Above</v>
      </c>
      <c r="O986" s="34" t="str">
        <f aca="false">IF(N986="Above","Better",IF(N986="Below","Weaker","-"))</f>
        <v>Better</v>
      </c>
    </row>
    <row r="987" customFormat="false" ht="15" hidden="false" customHeight="false" outlineLevel="0" collapsed="false">
      <c r="A987" s="18" t="s">
        <v>116</v>
      </c>
      <c r="B987" s="40" t="n">
        <f aca="false">Shreeji!D147</f>
        <v>0.0742857142857143</v>
      </c>
      <c r="C987" s="40" t="n">
        <f aca="false">Shreeji!E147</f>
        <v>0.15</v>
      </c>
      <c r="D987" s="40" t="n">
        <f aca="false">Shreeji!F147</f>
        <v>0.3</v>
      </c>
      <c r="E987" s="40" t="n">
        <f aca="false">Shreeji!G147</f>
        <v>0.150214592274678</v>
      </c>
      <c r="F987" s="40" t="n">
        <f aca="false">Shreeji!H147</f>
        <v>0.100143061516452</v>
      </c>
      <c r="G987" s="40" t="n">
        <f aca="false">Shreeji!I147</f>
        <v>0</v>
      </c>
      <c r="H987" s="40" t="n">
        <f aca="false">Shreeji!J147</f>
        <v>0</v>
      </c>
      <c r="I987" s="41" t="n">
        <f aca="false">Shreeji!K147</f>
        <v>0.110663338296692</v>
      </c>
      <c r="J987" s="34" t="str">
        <f aca="false">IF(AND(ISNUMBER(H987),ISNUMBER(H$991)),IF(H987&gt;H$991,"Above",IF(H987&lt;H$991,"Below","At")),"-")</f>
        <v>Below</v>
      </c>
      <c r="K987" s="34" t="str">
        <f aca="false">IF(J987="Above","Better",IF(J987="Below","Weaker","-"))</f>
        <v>Weaker</v>
      </c>
      <c r="L987" s="34" t="n">
        <f aca="false">IF(ISNUMBER(H987),RANK(H987,H$979:H$988,0),"-")</f>
        <v>6</v>
      </c>
      <c r="N987" s="34" t="str">
        <f aca="false">IF(AND(ISNUMBER(I987),ISNUMBER(I$991)),IF(I987&gt;I$991,"Above",IF(I987&lt;I$991,"Below","At")),"-")</f>
        <v>Below</v>
      </c>
      <c r="O987" s="34" t="str">
        <f aca="false">IF(N987="Above","Better",IF(N987="Below","Weaker","-"))</f>
        <v>Weaker</v>
      </c>
    </row>
    <row r="988" customFormat="false" ht="15" hidden="false" customHeight="false" outlineLevel="0" collapsed="false">
      <c r="A988" s="18" t="s">
        <v>117</v>
      </c>
      <c r="B988" s="40" t="n">
        <f aca="false">MahindraLog!D147</f>
        <v>1.09044715447154</v>
      </c>
      <c r="C988" s="40" t="n">
        <f aca="false">MahindraLog!E147</f>
        <v>1.81928934010152</v>
      </c>
      <c r="D988" s="40" t="n">
        <f aca="false">MahindraLog!F147</f>
        <v>1.45445344129555</v>
      </c>
      <c r="E988" s="40" t="n">
        <f aca="false">MahindraLog!G147</f>
        <v>1.81818181818182</v>
      </c>
      <c r="F988" s="40" t="n">
        <f aca="false">MahindraLog!H147</f>
        <v>1.81919191919192</v>
      </c>
      <c r="G988" s="40" t="n">
        <f aca="false">MahindraLog!I147</f>
        <v>1.81754032258065</v>
      </c>
      <c r="H988" s="40" t="n">
        <f aca="false">MahindraLog!J147</f>
        <v>2.5</v>
      </c>
      <c r="I988" s="41" t="n">
        <f aca="false">MahindraLog!K147</f>
        <v>1.75987199940329</v>
      </c>
      <c r="J988" s="34" t="str">
        <f aca="false">IF(AND(ISNUMBER(H988),ISNUMBER(H$991)),IF(H988&gt;H$991,"Above",IF(H988&lt;H$991,"Below","At")),"-")</f>
        <v>Above</v>
      </c>
      <c r="K988" s="34" t="str">
        <f aca="false">IF(J988="Above","Better",IF(J988="Below","Weaker","-"))</f>
        <v>Better</v>
      </c>
      <c r="L988" s="34" t="n">
        <f aca="false">IF(ISNUMBER(H988),RANK(H988,H$979:H$988,0),"-")</f>
        <v>4</v>
      </c>
      <c r="N988" s="34" t="str">
        <f aca="false">IF(AND(ISNUMBER(I988),ISNUMBER(I$991)),IF(I988&gt;I$991,"Above",IF(I988&lt;I$991,"Below","At")),"-")</f>
        <v>Above</v>
      </c>
      <c r="O988" s="34" t="str">
        <f aca="false">IF(N988="Above","Better",IF(N988="Below","Weaker","-"))</f>
        <v>Better</v>
      </c>
    </row>
    <row r="989" customFormat="false" ht="15" hidden="false" customHeight="false" outlineLevel="0" collapsed="false">
      <c r="A989" s="12" t="s">
        <v>176</v>
      </c>
      <c r="B989" s="41" t="str">
        <f aca="false">Industry!D147</f>
        <v>n.a.</v>
      </c>
      <c r="C989" s="41" t="str">
        <f aca="false">Industry!E147</f>
        <v>n.a.</v>
      </c>
      <c r="D989" s="41" t="str">
        <f aca="false">Industry!F147</f>
        <v>n.a.</v>
      </c>
      <c r="E989" s="41" t="str">
        <f aca="false">Industry!G147</f>
        <v>n.a.</v>
      </c>
      <c r="F989" s="41" t="str">
        <f aca="false">Industry!H147</f>
        <v>n.a.</v>
      </c>
      <c r="G989" s="41" t="str">
        <f aca="false">Industry!I147</f>
        <v>n.a.</v>
      </c>
      <c r="H989" s="41" t="str">
        <f aca="false">Industry!J147</f>
        <v>n.a.</v>
      </c>
      <c r="I989" s="41" t="str">
        <f aca="false">Industry!K147</f>
        <v>n.a.</v>
      </c>
    </row>
    <row r="990" customFormat="false" ht="15" hidden="false" customHeight="false" outlineLevel="0" collapsed="false">
      <c r="A990" s="35" t="s">
        <v>177</v>
      </c>
      <c r="B990" s="42" t="n">
        <f aca="false">IFERROR(AVERAGE(B979:B988),"N/M")</f>
        <v>0.682009941238175</v>
      </c>
      <c r="C990" s="42" t="n">
        <f aca="false">IFERROR(AVERAGE(C979:C988),"N/M")</f>
        <v>2.40445094727461</v>
      </c>
      <c r="D990" s="42" t="n">
        <f aca="false">IFERROR(AVERAGE(D979:D988),"N/M")</f>
        <v>7.40358126168263</v>
      </c>
      <c r="E990" s="42" t="n">
        <f aca="false">IFERROR(AVERAGE(E979:E988),"N/M")</f>
        <v>4.87453453709883</v>
      </c>
      <c r="F990" s="42" t="n">
        <f aca="false">IFERROR(AVERAGE(F979:F988),"N/M")</f>
        <v>4.42802455754664</v>
      </c>
      <c r="G990" s="42" t="n">
        <f aca="false">IFERROR(AVERAGE(G979:G988),"N/M")</f>
        <v>4.64846018801699</v>
      </c>
      <c r="H990" s="42" t="n">
        <f aca="false">IFERROR(AVERAGE(H979:H988),"N/M")</f>
        <v>4.63697065112721</v>
      </c>
      <c r="I990" s="42" t="n">
        <f aca="false">IFERROR(AVERAGE(I979:I988),"N/M")</f>
        <v>4.15400458342644</v>
      </c>
    </row>
    <row r="991" customFormat="false" ht="15" hidden="false" customHeight="false" outlineLevel="0" collapsed="false">
      <c r="A991" s="35" t="s">
        <v>178</v>
      </c>
      <c r="B991" s="42" t="n">
        <f aca="false">IFERROR(MEDIAN(B979:B988),"N/M")</f>
        <v>0.0491146881287726</v>
      </c>
      <c r="C991" s="42" t="n">
        <f aca="false">IFERROR(MEDIAN(C979:C988),"N/M")</f>
        <v>0.325</v>
      </c>
      <c r="D991" s="42" t="n">
        <f aca="false">IFERROR(MEDIAN(D979:D988),"N/M")</f>
        <v>0.525</v>
      </c>
      <c r="E991" s="42" t="n">
        <f aca="false">IFERROR(MEDIAN(E979:E988),"N/M")</f>
        <v>0.48134457737462</v>
      </c>
      <c r="F991" s="42" t="n">
        <f aca="false">IFERROR(MEDIAN(F979:F988),"N/M")</f>
        <v>0.550071530758226</v>
      </c>
      <c r="G991" s="42" t="n">
        <f aca="false">IFERROR(MEDIAN(G979:G988),"N/M")</f>
        <v>1.05891383945124</v>
      </c>
      <c r="H991" s="42" t="n">
        <f aca="false">IFERROR(MEDIAN(H979:H988),"N/M")</f>
        <v>0.0998563218390805</v>
      </c>
      <c r="I991" s="42" t="n">
        <f aca="false">IFERROR(MEDIAN(I979:I988),"N/M")</f>
        <v>0.479519412167783</v>
      </c>
    </row>
    <row r="992" customFormat="false" ht="15" hidden="false" customHeight="false" outlineLevel="0" collapsed="false">
      <c r="A992" s="35" t="s">
        <v>179</v>
      </c>
      <c r="B992" s="42" t="n">
        <f aca="false">IFERROR(STDEV(B979:B988),"N/M")</f>
        <v>1.02233919709108</v>
      </c>
      <c r="C992" s="42" t="n">
        <f aca="false">IFERROR(STDEV(C979:C988),"N/M")</f>
        <v>4.64476737666902</v>
      </c>
      <c r="D992" s="42" t="n">
        <f aca="false">IFERROR(STDEV(D979:D988),"N/M")</f>
        <v>18.680846057647</v>
      </c>
      <c r="E992" s="42" t="n">
        <f aca="false">IFERROR(STDEV(E979:E988),"N/M")</f>
        <v>9.41229687897489</v>
      </c>
      <c r="F992" s="42" t="n">
        <f aca="false">IFERROR(STDEV(F979:F988),"N/M")</f>
        <v>7.9590869899647</v>
      </c>
      <c r="G992" s="42" t="n">
        <f aca="false">IFERROR(STDEV(G979:G988),"N/M")</f>
        <v>7.94809708983393</v>
      </c>
      <c r="H992" s="42" t="n">
        <f aca="false">IFERROR(STDEV(H979:H988),"N/M")</f>
        <v>8.12087202533846</v>
      </c>
      <c r="I992" s="42" t="n">
        <f aca="false">IFERROR(STDEV(I979:I988),"N/M")</f>
        <v>8.02860037379093</v>
      </c>
    </row>
    <row r="993" customFormat="false" ht="15" hidden="false" customHeight="false" outlineLevel="0" collapsed="false">
      <c r="A993" s="35" t="s">
        <v>102</v>
      </c>
      <c r="B993" s="42" t="n">
        <f aca="false">IFERROR(MIN(B979:B988),"N/M")</f>
        <v>0</v>
      </c>
      <c r="C993" s="42" t="n">
        <f aca="false">IFERROR(MIN(C979:C988),"N/M")</f>
        <v>0</v>
      </c>
      <c r="D993" s="42" t="n">
        <f aca="false">IFERROR(MIN(D979:D988),"N/M")</f>
        <v>0</v>
      </c>
      <c r="E993" s="42" t="n">
        <f aca="false">IFERROR(MIN(E979:E988),"N/M")</f>
        <v>0</v>
      </c>
      <c r="F993" s="42" t="n">
        <f aca="false">IFERROR(MIN(F979:F988),"N/M")</f>
        <v>0</v>
      </c>
      <c r="G993" s="42" t="n">
        <f aca="false">IFERROR(MIN(G979:G988),"N/M")</f>
        <v>0</v>
      </c>
      <c r="H993" s="42" t="n">
        <f aca="false">IFERROR(MIN(H979:H988),"N/M")</f>
        <v>0</v>
      </c>
      <c r="I993" s="42" t="n">
        <f aca="false">IFERROR(MIN(I979:I988),"N/M")</f>
        <v>0</v>
      </c>
    </row>
    <row r="994" customFormat="false" ht="15" hidden="false" customHeight="false" outlineLevel="0" collapsed="false">
      <c r="A994" s="35" t="s">
        <v>103</v>
      </c>
      <c r="B994" s="42" t="n">
        <f aca="false">IFERROR(MAX(B979:B988),"N/M")</f>
        <v>2.88012079831933</v>
      </c>
      <c r="C994" s="42" t="n">
        <f aca="false">IFERROR(MAX(C979:C988),"N/M")</f>
        <v>15.0379746835443</v>
      </c>
      <c r="D994" s="42" t="n">
        <f aca="false">IFERROR(MAX(D979:D988),"N/M")</f>
        <v>60.1518987341772</v>
      </c>
      <c r="E994" s="42" t="n">
        <f aca="false">IFERROR(MAX(E979:E988),"N/M")</f>
        <v>30.0759493670886</v>
      </c>
      <c r="F994" s="42" t="n">
        <f aca="false">IFERROR(MAX(F979:F988),"N/M")</f>
        <v>25.0632911392405</v>
      </c>
      <c r="G994" s="42" t="n">
        <f aca="false">IFERROR(MAX(G979:G988),"N/M")</f>
        <v>25.0632911392405</v>
      </c>
      <c r="H994" s="42" t="n">
        <f aca="false">IFERROR(MAX(H979:H988),"N/M")</f>
        <v>25.0632911392405</v>
      </c>
      <c r="I994" s="42" t="n">
        <f aca="false">IFERROR(MAX(I979:I988),"N/M")</f>
        <v>25.7793851717902</v>
      </c>
    </row>
    <row r="996" customFormat="false" ht="15" hidden="false" customHeight="false" outlineLevel="0" collapsed="false">
      <c r="A996" s="16" t="s">
        <v>235</v>
      </c>
      <c r="B996" s="17"/>
      <c r="C996" s="17"/>
      <c r="D996" s="17"/>
      <c r="E996" s="17"/>
      <c r="F996" s="17"/>
      <c r="G996" s="17"/>
      <c r="H996" s="17"/>
      <c r="I996" s="17"/>
      <c r="J996" s="17"/>
      <c r="K996" s="17"/>
      <c r="L996" s="17"/>
      <c r="M996" s="17"/>
    </row>
    <row r="997" customFormat="false" ht="15" hidden="false" customHeight="false" outlineLevel="0" collapsed="false">
      <c r="A997" s="18" t="s">
        <v>110</v>
      </c>
      <c r="B997" s="23" t="str">
        <f aca="false">Tiger!D148</f>
        <v>N/M</v>
      </c>
      <c r="C997" s="23" t="str">
        <f aca="false">Tiger!E148</f>
        <v>N/M</v>
      </c>
      <c r="D997" s="23" t="n">
        <f aca="false">Tiger!F148</f>
        <v>0.0315194766577461</v>
      </c>
      <c r="E997" s="23" t="n">
        <f aca="false">Tiger!G148</f>
        <v>0</v>
      </c>
      <c r="F997" s="23" t="n">
        <f aca="false">Tiger!H148</f>
        <v>0</v>
      </c>
      <c r="G997" s="23" t="n">
        <f aca="false">Tiger!I148</f>
        <v>0</v>
      </c>
      <c r="H997" s="23" t="n">
        <f aca="false">Tiger!J148</f>
        <v>0</v>
      </c>
      <c r="I997" s="24" t="n">
        <f aca="false">Tiger!K148</f>
        <v>0.00630389533154921</v>
      </c>
      <c r="J997" s="34" t="str">
        <f aca="false">IF(AND(ISNUMBER(H997),ISNUMBER(H$1009)),IF(H997&gt;H$1009,"Above",IF(H997&lt;H$1009,"Below","At")),"-")</f>
        <v>Below</v>
      </c>
      <c r="K997" s="34" t="s">
        <v>204</v>
      </c>
      <c r="L997" s="34" t="n">
        <f aca="false">IF(ISNUMBER(H997),RANK(H997,H$997:H$1006,0),"-")</f>
        <v>6</v>
      </c>
      <c r="N997" s="34" t="str">
        <f aca="false">IF(AND(ISNUMBER(I997),ISNUMBER(I$1009)),IF(I997&gt;I$1009,"Above",IF(I997&lt;I$1009,"Below","At")),"-")</f>
        <v>Below</v>
      </c>
      <c r="O997" s="34" t="s">
        <v>204</v>
      </c>
    </row>
    <row r="998" customFormat="false" ht="15" hidden="false" customHeight="false" outlineLevel="0" collapsed="false">
      <c r="A998" s="18" t="s">
        <v>111</v>
      </c>
      <c r="B998" s="23" t="n">
        <f aca="false">Allcargo!D148</f>
        <v>0.330538116591928</v>
      </c>
      <c r="C998" s="23" t="n">
        <f aca="false">Allcargo!E148</f>
        <v>0.284210526315789</v>
      </c>
      <c r="D998" s="23" t="n">
        <f aca="false">Allcargo!F148</f>
        <v>0.0796245084906883</v>
      </c>
      <c r="E998" s="23" t="n">
        <f aca="false">Allcargo!G148</f>
        <v>0.126828570974761</v>
      </c>
      <c r="F998" s="23" t="n">
        <f aca="false">Allcargo!H148</f>
        <v>0.656513026052104</v>
      </c>
      <c r="G998" s="23" t="n">
        <f aca="false">Allcargo!I148</f>
        <v>4.84615384615385</v>
      </c>
      <c r="H998" s="23" t="n">
        <f aca="false">Allcargo!J148</f>
        <v>0</v>
      </c>
      <c r="I998" s="24" t="n">
        <f aca="false">Allcargo!K148</f>
        <v>0.903409799225588</v>
      </c>
      <c r="J998" s="34" t="str">
        <f aca="false">IF(AND(ISNUMBER(H998),ISNUMBER(H$1009)),IF(H998&gt;H$1009,"Above",IF(H998&lt;H$1009,"Below","At")),"-")</f>
        <v>Below</v>
      </c>
      <c r="K998" s="34" t="s">
        <v>204</v>
      </c>
      <c r="L998" s="34" t="n">
        <f aca="false">IF(ISNUMBER(H998),RANK(H998,H$997:H$1006,0),"-")</f>
        <v>6</v>
      </c>
      <c r="N998" s="34" t="str">
        <f aca="false">IF(AND(ISNUMBER(I998),ISNUMBER(I$1009)),IF(I998&gt;I$1009,"Above",IF(I998&lt;I$1009,"Below","At")),"-")</f>
        <v>Above</v>
      </c>
      <c r="O998" s="34" t="s">
        <v>204</v>
      </c>
    </row>
    <row r="999" customFormat="false" ht="15" hidden="false" customHeight="false" outlineLevel="0" collapsed="false">
      <c r="A999" s="18" t="s">
        <v>112</v>
      </c>
      <c r="B999" s="23" t="str">
        <f aca="false">BlueDart!D148</f>
        <v>N/M</v>
      </c>
      <c r="C999" s="23" t="n">
        <f aca="false">BlueDart!E148</f>
        <v>0.350063844416069</v>
      </c>
      <c r="D999" s="23" t="n">
        <f aca="false">BlueDart!F148</f>
        <v>0.372988671149368</v>
      </c>
      <c r="E999" s="23" t="n">
        <f aca="false">BlueDart!G148</f>
        <v>0.192373087199417</v>
      </c>
      <c r="F999" s="23" t="n">
        <f aca="false">BlueDart!H148</f>
        <v>0.197335636689811</v>
      </c>
      <c r="G999" s="23" t="n">
        <f aca="false">BlueDart!I148</f>
        <v>0.235322082243879</v>
      </c>
      <c r="H999" s="23" t="n">
        <f aca="false">BlueDart!J148</f>
        <v>0.240106714095153</v>
      </c>
      <c r="I999" s="24" t="n">
        <f aca="false">BlueDart!K148</f>
        <v>0.26469833929895</v>
      </c>
      <c r="J999" s="34" t="str">
        <f aca="false">IF(AND(ISNUMBER(H999),ISNUMBER(H$1009)),IF(H999&gt;H$1009,"Above",IF(H999&lt;H$1009,"Below","At")),"-")</f>
        <v>Above</v>
      </c>
      <c r="K999" s="34" t="s">
        <v>204</v>
      </c>
      <c r="L999" s="34" t="n">
        <f aca="false">IF(ISNUMBER(H999),RANK(H999,H$997:H$1006,0),"-")</f>
        <v>3</v>
      </c>
      <c r="N999" s="34" t="str">
        <f aca="false">IF(AND(ISNUMBER(I999),ISNUMBER(I$1009)),IF(I999&gt;I$1009,"Above",IF(I999&lt;I$1009,"Below","At")),"-")</f>
        <v>Above</v>
      </c>
      <c r="O999" s="34" t="s">
        <v>204</v>
      </c>
    </row>
    <row r="1000" customFormat="false" ht="15" hidden="false" customHeight="false" outlineLevel="0" collapsed="false">
      <c r="A1000" s="18" t="s">
        <v>67</v>
      </c>
      <c r="B1000" s="23" t="n">
        <f aca="false">CONCOR!D148</f>
        <v>0.543591395717684</v>
      </c>
      <c r="C1000" s="23" t="n">
        <f aca="false">CONCOR!E148</f>
        <v>0.602956893480584</v>
      </c>
      <c r="D1000" s="23" t="n">
        <f aca="false">CONCOR!F148</f>
        <v>0.519722875123209</v>
      </c>
      <c r="E1000" s="23" t="n">
        <f aca="false">CONCOR!G148</f>
        <v>0.570957601778732</v>
      </c>
      <c r="F1000" s="23" t="n">
        <f aca="false">CONCOR!H148</f>
        <v>0.555850831753385</v>
      </c>
      <c r="G1000" s="23" t="n">
        <f aca="false">CONCOR!I148</f>
        <v>0.54317408392183</v>
      </c>
      <c r="H1000" s="23" t="n">
        <f aca="false">CONCOR!J148</f>
        <v>0.527452085682075</v>
      </c>
      <c r="I1000" s="24" t="n">
        <f aca="false">CONCOR!K148</f>
        <v>0.551957966779643</v>
      </c>
      <c r="J1000" s="34" t="str">
        <f aca="false">IF(AND(ISNUMBER(H1000),ISNUMBER(H$1009)),IF(H1000&gt;H$1009,"Above",IF(H1000&lt;H$1009,"Below","At")),"-")</f>
        <v>Above</v>
      </c>
      <c r="K1000" s="34" t="s">
        <v>204</v>
      </c>
      <c r="L1000" s="34" t="n">
        <f aca="false">IF(ISNUMBER(H1000),RANK(H1000,H$997:H$1006,0),"-")</f>
        <v>2</v>
      </c>
      <c r="N1000" s="34" t="str">
        <f aca="false">IF(AND(ISNUMBER(I1000),ISNUMBER(I$1009)),IF(I1000&gt;I$1009,"Above",IF(I1000&lt;I$1009,"Below","At")),"-")</f>
        <v>Above</v>
      </c>
      <c r="O1000" s="34" t="s">
        <v>204</v>
      </c>
    </row>
    <row r="1001" customFormat="false" ht="15" hidden="false" customHeight="false" outlineLevel="0" collapsed="false">
      <c r="A1001" s="18" t="s">
        <v>113</v>
      </c>
      <c r="B1001" s="23" t="str">
        <f aca="false">JetFreight!D148</f>
        <v>N/M</v>
      </c>
      <c r="C1001" s="23" t="n">
        <f aca="false">JetFreight!E148</f>
        <v>0</v>
      </c>
      <c r="D1001" s="23" t="n">
        <f aca="false">JetFreight!F148</f>
        <v>0.0425531914893617</v>
      </c>
      <c r="E1001" s="23" t="n">
        <f aca="false">JetFreight!G148</f>
        <v>0</v>
      </c>
      <c r="F1001" s="23" t="n">
        <f aca="false">JetFreight!H148</f>
        <v>0</v>
      </c>
      <c r="G1001" s="23" t="n">
        <f aca="false">JetFreight!I148</f>
        <v>0</v>
      </c>
      <c r="H1001" s="23" t="n">
        <f aca="false">JetFreight!J148</f>
        <v>0</v>
      </c>
      <c r="I1001" s="24" t="n">
        <f aca="false">JetFreight!K148</f>
        <v>0.00709219858156028</v>
      </c>
      <c r="J1001" s="34" t="str">
        <f aca="false">IF(AND(ISNUMBER(H1001),ISNUMBER(H$1009)),IF(H1001&gt;H$1009,"Above",IF(H1001&lt;H$1009,"Below","At")),"-")</f>
        <v>Below</v>
      </c>
      <c r="K1001" s="34" t="s">
        <v>204</v>
      </c>
      <c r="L1001" s="34" t="n">
        <f aca="false">IF(ISNUMBER(H1001),RANK(H1001,H$997:H$1006,0),"-")</f>
        <v>6</v>
      </c>
      <c r="N1001" s="34" t="str">
        <f aca="false">IF(AND(ISNUMBER(I1001),ISNUMBER(I$1009)),IF(I1001&gt;I$1009,"Above",IF(I1001&lt;I$1009,"Below","At")),"-")</f>
        <v>Below</v>
      </c>
      <c r="O1001" s="34" t="s">
        <v>204</v>
      </c>
    </row>
    <row r="1002" customFormat="false" ht="15" hidden="false" customHeight="false" outlineLevel="0" collapsed="false">
      <c r="A1002" s="18" t="s">
        <v>114</v>
      </c>
      <c r="B1002" s="23" t="n">
        <f aca="false">Patel!D148</f>
        <v>0.015828677839851</v>
      </c>
      <c r="C1002" s="23" t="n">
        <f aca="false">Patel!E148</f>
        <v>5.2</v>
      </c>
      <c r="D1002" s="23" t="n">
        <f aca="false">Patel!F148</f>
        <v>0.158590308370044</v>
      </c>
      <c r="E1002" s="23" t="n">
        <f aca="false">Patel!G148</f>
        <v>0.13265306122449</v>
      </c>
      <c r="F1002" s="23" t="n">
        <f aca="false">Patel!H148</f>
        <v>0.117328519855596</v>
      </c>
      <c r="G1002" s="23" t="n">
        <f aca="false">Patel!I148</f>
        <v>0.275</v>
      </c>
      <c r="H1002" s="23" t="n">
        <f aca="false">Patel!J148</f>
        <v>0.144791666666667</v>
      </c>
      <c r="I1002" s="24" t="n">
        <f aca="false">Patel!K148</f>
        <v>0.863456033422378</v>
      </c>
      <c r="J1002" s="34" t="str">
        <f aca="false">IF(AND(ISNUMBER(H1002),ISNUMBER(H$1009)),IF(H1002&gt;H$1009,"Above",IF(H1002&lt;H$1009,"Below","At")),"-")</f>
        <v>Above</v>
      </c>
      <c r="K1002" s="34" t="s">
        <v>204</v>
      </c>
      <c r="L1002" s="34" t="n">
        <f aca="false">IF(ISNUMBER(H1002),RANK(H1002,H$997:H$1006,0),"-")</f>
        <v>5</v>
      </c>
      <c r="N1002" s="34" t="str">
        <f aca="false">IF(AND(ISNUMBER(I1002),ISNUMBER(I$1009)),IF(I1002&gt;I$1009,"Above",IF(I1002&lt;I$1009,"Below","At")),"-")</f>
        <v>Above</v>
      </c>
      <c r="O1002" s="34" t="s">
        <v>204</v>
      </c>
    </row>
    <row r="1003" customFormat="false" ht="15" hidden="false" customHeight="false" outlineLevel="0" collapsed="false">
      <c r="A1003" s="18" t="s">
        <v>115</v>
      </c>
      <c r="B1003" s="23" t="str">
        <f aca="false">Sical!D148</f>
        <v>N/M</v>
      </c>
      <c r="C1003" s="23" t="str">
        <f aca="false">Sical!E148</f>
        <v>N/M</v>
      </c>
      <c r="D1003" s="23" t="str">
        <f aca="false">Sical!F148</f>
        <v>N/M</v>
      </c>
      <c r="E1003" s="23" t="str">
        <f aca="false">Sical!G148</f>
        <v>N/M</v>
      </c>
      <c r="F1003" s="23" t="str">
        <f aca="false">Sical!H148</f>
        <v>N/M</v>
      </c>
      <c r="G1003" s="23" t="str">
        <f aca="false">Sical!I148</f>
        <v>N/M</v>
      </c>
      <c r="H1003" s="23" t="n">
        <f aca="false">Sical!J148</f>
        <v>0</v>
      </c>
      <c r="I1003" s="24" t="n">
        <f aca="false">Sical!K148</f>
        <v>0</v>
      </c>
      <c r="J1003" s="34" t="str">
        <f aca="false">IF(AND(ISNUMBER(H1003),ISNUMBER(H$1009)),IF(H1003&gt;H$1009,"Above",IF(H1003&lt;H$1009,"Below","At")),"-")</f>
        <v>Below</v>
      </c>
      <c r="K1003" s="34" t="s">
        <v>204</v>
      </c>
      <c r="L1003" s="34" t="n">
        <f aca="false">IF(ISNUMBER(H1003),RANK(H1003,H$997:H$1006,0),"-")</f>
        <v>6</v>
      </c>
      <c r="N1003" s="34" t="str">
        <f aca="false">IF(AND(ISNUMBER(I1003),ISNUMBER(I$1009)),IF(I1003&gt;I$1009,"Above",IF(I1003&lt;I$1009,"Below","At")),"-")</f>
        <v>Below</v>
      </c>
      <c r="O1003" s="34" t="s">
        <v>204</v>
      </c>
    </row>
    <row r="1004" customFormat="false" ht="15" hidden="false" customHeight="false" outlineLevel="0" collapsed="false">
      <c r="A1004" s="18" t="s">
        <v>86</v>
      </c>
      <c r="B1004" s="23" t="n">
        <f aca="false">TCI!D148</f>
        <v>0.107965720708064</v>
      </c>
      <c r="C1004" s="23" t="n">
        <f aca="false">TCI!E148</f>
        <v>0.131040576361041</v>
      </c>
      <c r="D1004" s="23" t="n">
        <f aca="false">TCI!F148</f>
        <v>0.106833327578468</v>
      </c>
      <c r="E1004" s="23" t="n">
        <f aca="false">TCI!G148</f>
        <v>0.171046826747337</v>
      </c>
      <c r="F1004" s="23" t="n">
        <f aca="false">TCI!H148</f>
        <v>0.155131128848347</v>
      </c>
      <c r="G1004" s="23" t="n">
        <f aca="false">TCI!I148</f>
        <v>0.148600805082691</v>
      </c>
      <c r="H1004" s="23" t="n">
        <f aca="false">TCI!J148</f>
        <v>0.168219178082192</v>
      </c>
      <c r="I1004" s="24" t="n">
        <f aca="false">TCI!K148</f>
        <v>0.141262509058306</v>
      </c>
      <c r="J1004" s="34" t="str">
        <f aca="false">IF(AND(ISNUMBER(H1004),ISNUMBER(H$1009)),IF(H1004&gt;H$1009,"Above",IF(H1004&lt;H$1009,"Below","At")),"-")</f>
        <v>Above</v>
      </c>
      <c r="K1004" s="34" t="s">
        <v>204</v>
      </c>
      <c r="L1004" s="34" t="n">
        <f aca="false">IF(ISNUMBER(H1004),RANK(H1004,H$997:H$1006,0),"-")</f>
        <v>4</v>
      </c>
      <c r="N1004" s="34" t="str">
        <f aca="false">IF(AND(ISNUMBER(I1004),ISNUMBER(I$1009)),IF(I1004&gt;I$1009,"Above",IF(I1004&lt;I$1009,"Below","At")),"-")</f>
        <v>Below</v>
      </c>
      <c r="O1004" s="34" t="s">
        <v>204</v>
      </c>
    </row>
    <row r="1005" customFormat="false" ht="15" hidden="false" customHeight="false" outlineLevel="0" collapsed="false">
      <c r="A1005" s="18" t="s">
        <v>116</v>
      </c>
      <c r="B1005" s="23" t="n">
        <f aca="false">Shreeji!D148</f>
        <v>0.353741496598639</v>
      </c>
      <c r="C1005" s="23" t="str">
        <f aca="false">Shreeji!E148</f>
        <v>N/M</v>
      </c>
      <c r="D1005" s="23" t="n">
        <f aca="false">Shreeji!F148</f>
        <v>0.23728813559322</v>
      </c>
      <c r="E1005" s="23" t="n">
        <f aca="false">Shreeji!G148</f>
        <v>0.108471074380165</v>
      </c>
      <c r="F1005" s="23" t="n">
        <f aca="false">Shreeji!H148</f>
        <v>0.042997542997543</v>
      </c>
      <c r="G1005" s="23" t="n">
        <f aca="false">Shreeji!I148</f>
        <v>0</v>
      </c>
      <c r="H1005" s="23" t="n">
        <f aca="false">Shreeji!J148</f>
        <v>0</v>
      </c>
      <c r="I1005" s="24" t="n">
        <f aca="false">Shreeji!K148</f>
        <v>0.123749708261595</v>
      </c>
      <c r="J1005" s="34" t="str">
        <f aca="false">IF(AND(ISNUMBER(H1005),ISNUMBER(H$1009)),IF(H1005&gt;H$1009,"Above",IF(H1005&lt;H$1009,"Below","At")),"-")</f>
        <v>Below</v>
      </c>
      <c r="K1005" s="34" t="s">
        <v>204</v>
      </c>
      <c r="L1005" s="34" t="n">
        <f aca="false">IF(ISNUMBER(H1005),RANK(H1005,H$997:H$1006,0),"-")</f>
        <v>6</v>
      </c>
      <c r="N1005" s="34" t="str">
        <f aca="false">IF(AND(ISNUMBER(I1005),ISNUMBER(I$1009)),IF(I1005&gt;I$1009,"Above",IF(I1005&lt;I$1009,"Below","At")),"-")</f>
        <v>Below</v>
      </c>
      <c r="O1005" s="34" t="s">
        <v>204</v>
      </c>
    </row>
    <row r="1006" customFormat="false" ht="15" hidden="false" customHeight="false" outlineLevel="0" collapsed="false">
      <c r="A1006" s="18" t="s">
        <v>117</v>
      </c>
      <c r="B1006" s="23" t="n">
        <f aca="false">MahindraLog!D148</f>
        <v>0.19466618287373</v>
      </c>
      <c r="C1006" s="23" t="n">
        <f aca="false">MahindraLog!E148</f>
        <v>0.597333333333333</v>
      </c>
      <c r="D1006" s="23" t="n">
        <f aca="false">MahindraLog!F148</f>
        <v>0.818337129840547</v>
      </c>
      <c r="E1006" s="23" t="n">
        <f aca="false">MahindraLog!G148</f>
        <v>0.684931506849315</v>
      </c>
      <c r="F1006" s="23" t="str">
        <f aca="false">MahindraLog!H148</f>
        <v>N/M</v>
      </c>
      <c r="G1006" s="23" t="str">
        <f aca="false">MahindraLog!I148</f>
        <v>N/M</v>
      </c>
      <c r="H1006" s="23" t="n">
        <f aca="false">MahindraLog!J148</f>
        <v>10.8296943231441</v>
      </c>
      <c r="I1006" s="24" t="n">
        <f aca="false">MahindraLog!K148</f>
        <v>2.62499249520821</v>
      </c>
      <c r="J1006" s="34" t="str">
        <f aca="false">IF(AND(ISNUMBER(H1006),ISNUMBER(H$1009)),IF(H1006&gt;H$1009,"Above",IF(H1006&lt;H$1009,"Below","At")),"-")</f>
        <v>Above</v>
      </c>
      <c r="K1006" s="34" t="s">
        <v>204</v>
      </c>
      <c r="L1006" s="34" t="n">
        <f aca="false">IF(ISNUMBER(H1006),RANK(H1006,H$997:H$1006,0),"-")</f>
        <v>1</v>
      </c>
      <c r="N1006" s="34" t="str">
        <f aca="false">IF(AND(ISNUMBER(I1006),ISNUMBER(I$1009)),IF(I1006&gt;I$1009,"Above",IF(I1006&lt;I$1009,"Below","At")),"-")</f>
        <v>Above</v>
      </c>
      <c r="O1006" s="34" t="s">
        <v>204</v>
      </c>
    </row>
    <row r="1007" customFormat="false" ht="15" hidden="false" customHeight="false" outlineLevel="0" collapsed="false">
      <c r="A1007" s="12" t="s">
        <v>176</v>
      </c>
      <c r="B1007" s="24" t="n">
        <f aca="false">Industry!D148</f>
        <v>0.479966986794718</v>
      </c>
      <c r="C1007" s="24" t="str">
        <f aca="false">Industry!E148</f>
        <v>N/M</v>
      </c>
      <c r="D1007" s="24" t="n">
        <f aca="false">Industry!F148</f>
        <v>0.331081603502932</v>
      </c>
      <c r="E1007" s="24" t="n">
        <f aca="false">Industry!G148</f>
        <v>0.520086899948883</v>
      </c>
      <c r="F1007" s="24" t="n">
        <f aca="false">Industry!H148</f>
        <v>0.462814841294666</v>
      </c>
      <c r="G1007" s="24" t="n">
        <f aca="false">Industry!I148</f>
        <v>0.578828828828829</v>
      </c>
      <c r="H1007" s="24" t="n">
        <f aca="false">Industry!J148</f>
        <v>0.399459456817638</v>
      </c>
      <c r="I1007" s="24" t="n">
        <f aca="false">Industry!K148</f>
        <v>0.462039769531277</v>
      </c>
    </row>
    <row r="1008" customFormat="false" ht="15" hidden="false" customHeight="false" outlineLevel="0" collapsed="false">
      <c r="A1008" s="35" t="s">
        <v>177</v>
      </c>
      <c r="B1008" s="39" t="n">
        <f aca="false">IFERROR(AVERAGE(B997:B1006),"N/M")</f>
        <v>0.25772193172165</v>
      </c>
      <c r="C1008" s="39" t="n">
        <f aca="false">IFERROR(AVERAGE(C997:C1006),"N/M")</f>
        <v>1.02365788198669</v>
      </c>
      <c r="D1008" s="39" t="n">
        <f aca="false">IFERROR(AVERAGE(D997:D1006),"N/M")</f>
        <v>0.263050847143628</v>
      </c>
      <c r="E1008" s="39" t="n">
        <f aca="false">IFERROR(AVERAGE(E997:E1006),"N/M")</f>
        <v>0.220806858794913</v>
      </c>
      <c r="F1008" s="39" t="n">
        <f aca="false">IFERROR(AVERAGE(F997:F1006),"N/M")</f>
        <v>0.215644585774598</v>
      </c>
      <c r="G1008" s="39" t="n">
        <f aca="false">IFERROR(AVERAGE(G997:G1006),"N/M")</f>
        <v>0.756031352175281</v>
      </c>
      <c r="H1008" s="39" t="n">
        <f aca="false">IFERROR(AVERAGE(H997:H1006),"N/M")</f>
        <v>1.19102639676702</v>
      </c>
      <c r="I1008" s="39" t="n">
        <f aca="false">IFERROR(AVERAGE(I997:I1006),"N/M")</f>
        <v>0.548692294516777</v>
      </c>
    </row>
    <row r="1009" customFormat="false" ht="15" hidden="false" customHeight="false" outlineLevel="0" collapsed="false">
      <c r="A1009" s="35" t="s">
        <v>178</v>
      </c>
      <c r="B1009" s="39" t="n">
        <f aca="false">IFERROR(MEDIAN(B997:B1006),"N/M")</f>
        <v>0.262602149732829</v>
      </c>
      <c r="C1009" s="39" t="n">
        <f aca="false">IFERROR(MEDIAN(C997:C1006),"N/M")</f>
        <v>0.350063844416069</v>
      </c>
      <c r="D1009" s="39" t="n">
        <f aca="false">IFERROR(MEDIAN(D997:D1006),"N/M")</f>
        <v>0.158590308370044</v>
      </c>
      <c r="E1009" s="39" t="n">
        <f aca="false">IFERROR(MEDIAN(E997:E1006),"N/M")</f>
        <v>0.13265306122449</v>
      </c>
      <c r="F1009" s="39" t="n">
        <f aca="false">IFERROR(MEDIAN(F997:F1006),"N/M")</f>
        <v>0.136229824351971</v>
      </c>
      <c r="G1009" s="39" t="n">
        <f aca="false">IFERROR(MEDIAN(G997:G1006),"N/M")</f>
        <v>0.191961443663285</v>
      </c>
      <c r="H1009" s="39" t="n">
        <f aca="false">IFERROR(MEDIAN(H997:H1006),"N/M")</f>
        <v>0.0723958333333333</v>
      </c>
      <c r="I1009" s="39" t="n">
        <f aca="false">IFERROR(MEDIAN(I997:I1006),"N/M")</f>
        <v>0.202980424178628</v>
      </c>
    </row>
    <row r="1010" customFormat="false" ht="15" hidden="false" customHeight="false" outlineLevel="0" collapsed="false">
      <c r="A1010" s="35" t="s">
        <v>179</v>
      </c>
      <c r="B1010" s="39" t="n">
        <f aca="false">IFERROR(STDEV(B997:B1006),"N/M")</f>
        <v>0.190346316243342</v>
      </c>
      <c r="C1010" s="39" t="n">
        <f aca="false">IFERROR(STDEV(C997:C1006),"N/M")</f>
        <v>1.85498103593728</v>
      </c>
      <c r="D1010" s="39" t="n">
        <f aca="false">IFERROR(STDEV(D997:D1006),"N/M")</f>
        <v>0.264140246628505</v>
      </c>
      <c r="E1010" s="39" t="n">
        <f aca="false">IFERROR(STDEV(E997:E1006),"N/M")</f>
        <v>0.241876892434402</v>
      </c>
      <c r="F1010" s="39" t="n">
        <f aca="false">IFERROR(STDEV(F997:F1006),"N/M")</f>
        <v>0.252581130520954</v>
      </c>
      <c r="G1010" s="39" t="n">
        <f aca="false">IFERROR(STDEV(G997:G1006),"N/M")</f>
        <v>1.66307209808161</v>
      </c>
      <c r="H1010" s="39" t="n">
        <f aca="false">IFERROR(STDEV(H997:H1006),"N/M")</f>
        <v>3.39086943308769</v>
      </c>
      <c r="I1010" s="39" t="n">
        <f aca="false">IFERROR(STDEV(I997:I1006),"N/M")</f>
        <v>0.806345719852868</v>
      </c>
    </row>
    <row r="1011" customFormat="false" ht="15" hidden="false" customHeight="false" outlineLevel="0" collapsed="false">
      <c r="A1011" s="35" t="s">
        <v>102</v>
      </c>
      <c r="B1011" s="39" t="n">
        <f aca="false">IFERROR(MIN(B997:B1006),"N/M")</f>
        <v>0.015828677839851</v>
      </c>
      <c r="C1011" s="39" t="n">
        <f aca="false">IFERROR(MIN(C997:C1006),"N/M")</f>
        <v>0</v>
      </c>
      <c r="D1011" s="39" t="n">
        <f aca="false">IFERROR(MIN(D997:D1006),"N/M")</f>
        <v>0.0315194766577461</v>
      </c>
      <c r="E1011" s="39" t="n">
        <f aca="false">IFERROR(MIN(E997:E1006),"N/M")</f>
        <v>0</v>
      </c>
      <c r="F1011" s="39" t="n">
        <f aca="false">IFERROR(MIN(F997:F1006),"N/M")</f>
        <v>0</v>
      </c>
      <c r="G1011" s="39" t="n">
        <f aca="false">IFERROR(MIN(G997:G1006),"N/M")</f>
        <v>0</v>
      </c>
      <c r="H1011" s="39" t="n">
        <f aca="false">IFERROR(MIN(H997:H1006),"N/M")</f>
        <v>0</v>
      </c>
      <c r="I1011" s="39" t="n">
        <f aca="false">IFERROR(MIN(I997:I1006),"N/M")</f>
        <v>0</v>
      </c>
    </row>
    <row r="1012" customFormat="false" ht="15" hidden="false" customHeight="false" outlineLevel="0" collapsed="false">
      <c r="A1012" s="35" t="s">
        <v>103</v>
      </c>
      <c r="B1012" s="39" t="n">
        <f aca="false">IFERROR(MAX(B997:B1006),"N/M")</f>
        <v>0.543591395717684</v>
      </c>
      <c r="C1012" s="39" t="n">
        <f aca="false">IFERROR(MAX(C997:C1006),"N/M")</f>
        <v>5.2</v>
      </c>
      <c r="D1012" s="39" t="n">
        <f aca="false">IFERROR(MAX(D997:D1006),"N/M")</f>
        <v>0.818337129840547</v>
      </c>
      <c r="E1012" s="39" t="n">
        <f aca="false">IFERROR(MAX(E997:E1006),"N/M")</f>
        <v>0.684931506849315</v>
      </c>
      <c r="F1012" s="39" t="n">
        <f aca="false">IFERROR(MAX(F997:F1006),"N/M")</f>
        <v>0.656513026052104</v>
      </c>
      <c r="G1012" s="39" t="n">
        <f aca="false">IFERROR(MAX(G997:G1006),"N/M")</f>
        <v>4.84615384615385</v>
      </c>
      <c r="H1012" s="39" t="n">
        <f aca="false">IFERROR(MAX(H997:H1006),"N/M")</f>
        <v>10.8296943231441</v>
      </c>
      <c r="I1012" s="39" t="n">
        <f aca="false">IFERROR(MAX(I997:I1006),"N/M")</f>
        <v>2.62499249520821</v>
      </c>
    </row>
    <row r="1014" customFormat="false" ht="15" hidden="false" customHeight="false" outlineLevel="0" collapsed="false">
      <c r="A1014" s="16" t="s">
        <v>236</v>
      </c>
      <c r="B1014" s="17"/>
      <c r="C1014" s="17"/>
      <c r="D1014" s="17"/>
      <c r="E1014" s="17"/>
      <c r="F1014" s="17"/>
      <c r="G1014" s="17"/>
      <c r="H1014" s="17"/>
      <c r="I1014" s="17"/>
      <c r="J1014" s="17"/>
      <c r="K1014" s="17"/>
      <c r="L1014" s="17"/>
      <c r="M1014" s="17"/>
    </row>
    <row r="1015" customFormat="false" ht="15" hidden="false" customHeight="false" outlineLevel="0" collapsed="false">
      <c r="A1015" s="18" t="s">
        <v>110</v>
      </c>
      <c r="B1015" s="23" t="str">
        <f aca="false">Tiger!D149</f>
        <v>N/M</v>
      </c>
      <c r="C1015" s="23" t="str">
        <f aca="false">Tiger!E149</f>
        <v>N/M</v>
      </c>
      <c r="D1015" s="23" t="n">
        <f aca="false">Tiger!F149</f>
        <v>0.968480523342254</v>
      </c>
      <c r="E1015" s="23" t="n">
        <f aca="false">Tiger!G149</f>
        <v>1</v>
      </c>
      <c r="F1015" s="23" t="n">
        <f aca="false">Tiger!H149</f>
        <v>1</v>
      </c>
      <c r="G1015" s="23" t="n">
        <f aca="false">Tiger!I149</f>
        <v>1</v>
      </c>
      <c r="H1015" s="23" t="n">
        <f aca="false">Tiger!J149</f>
        <v>1</v>
      </c>
      <c r="I1015" s="24" t="n">
        <f aca="false">Tiger!K149</f>
        <v>0.993696104668451</v>
      </c>
      <c r="J1015" s="34" t="str">
        <f aca="false">IF(AND(ISNUMBER(H1015),ISNUMBER(H$1027)),IF(H1015&gt;H$1027,"Above",IF(H1015&lt;H$1027,"Below","At")),"-")</f>
        <v>Above</v>
      </c>
      <c r="K1015" s="34" t="s">
        <v>204</v>
      </c>
      <c r="L1015" s="34" t="n">
        <f aca="false">IF(ISNUMBER(H1015),RANK(H1015,H$1015:H$1024,0),"-")</f>
        <v>1</v>
      </c>
      <c r="N1015" s="34" t="str">
        <f aca="false">IF(AND(ISNUMBER(I1015),ISNUMBER(I$1027)),IF(I1015&gt;I$1027,"Above",IF(I1015&lt;I$1027,"Below","At")),"-")</f>
        <v>Above</v>
      </c>
      <c r="O1015" s="34" t="s">
        <v>204</v>
      </c>
    </row>
    <row r="1016" customFormat="false" ht="15" hidden="false" customHeight="false" outlineLevel="0" collapsed="false">
      <c r="A1016" s="18" t="s">
        <v>111</v>
      </c>
      <c r="B1016" s="23" t="n">
        <f aca="false">Allcargo!D149</f>
        <v>0.669461883408072</v>
      </c>
      <c r="C1016" s="23" t="n">
        <f aca="false">Allcargo!E149</f>
        <v>0.715789473684211</v>
      </c>
      <c r="D1016" s="23" t="n">
        <f aca="false">Allcargo!F149</f>
        <v>0.920375491509312</v>
      </c>
      <c r="E1016" s="23" t="n">
        <f aca="false">Allcargo!G149</f>
        <v>0.873171429025239</v>
      </c>
      <c r="F1016" s="23" t="n">
        <f aca="false">Allcargo!H149</f>
        <v>0.343486973947896</v>
      </c>
      <c r="G1016" s="23" t="n">
        <f aca="false">Allcargo!I149</f>
        <v>-3.84615384615385</v>
      </c>
      <c r="H1016" s="23" t="n">
        <f aca="false">Allcargo!J149</f>
        <v>1</v>
      </c>
      <c r="I1016" s="24" t="n">
        <f aca="false">Allcargo!K149</f>
        <v>0.0965902007744117</v>
      </c>
      <c r="J1016" s="34" t="str">
        <f aca="false">IF(AND(ISNUMBER(H1016),ISNUMBER(H$1027)),IF(H1016&gt;H$1027,"Above",IF(H1016&lt;H$1027,"Below","At")),"-")</f>
        <v>Above</v>
      </c>
      <c r="K1016" s="34" t="s">
        <v>204</v>
      </c>
      <c r="L1016" s="34" t="n">
        <f aca="false">IF(ISNUMBER(H1016),RANK(H1016,H$1015:H$1024,0),"-")</f>
        <v>1</v>
      </c>
      <c r="N1016" s="34" t="str">
        <f aca="false">IF(AND(ISNUMBER(I1016),ISNUMBER(I$1027)),IF(I1016&gt;I$1027,"Above",IF(I1016&lt;I$1027,"Below","At")),"-")</f>
        <v>Below</v>
      </c>
      <c r="O1016" s="34" t="s">
        <v>204</v>
      </c>
    </row>
    <row r="1017" customFormat="false" ht="15" hidden="false" customHeight="false" outlineLevel="0" collapsed="false">
      <c r="A1017" s="18" t="s">
        <v>112</v>
      </c>
      <c r="B1017" s="23" t="str">
        <f aca="false">BlueDart!D149</f>
        <v>N/M</v>
      </c>
      <c r="C1017" s="23" t="n">
        <f aca="false">BlueDart!E149</f>
        <v>0.649936155583931</v>
      </c>
      <c r="D1017" s="23" t="n">
        <f aca="false">BlueDart!F149</f>
        <v>0.627011328850632</v>
      </c>
      <c r="E1017" s="23" t="n">
        <f aca="false">BlueDart!G149</f>
        <v>0.807626912800583</v>
      </c>
      <c r="F1017" s="23" t="n">
        <f aca="false">BlueDart!H149</f>
        <v>0.802664363310189</v>
      </c>
      <c r="G1017" s="23" t="n">
        <f aca="false">BlueDart!I149</f>
        <v>0.764677917756121</v>
      </c>
      <c r="H1017" s="23" t="n">
        <f aca="false">BlueDart!J149</f>
        <v>0.759893285904847</v>
      </c>
      <c r="I1017" s="24" t="n">
        <f aca="false">BlueDart!K149</f>
        <v>0.73530166070105</v>
      </c>
      <c r="J1017" s="34" t="str">
        <f aca="false">IF(AND(ISNUMBER(H1017),ISNUMBER(H$1027)),IF(H1017&gt;H$1027,"Above",IF(H1017&lt;H$1027,"Below","At")),"-")</f>
        <v>Below</v>
      </c>
      <c r="K1017" s="34" t="s">
        <v>204</v>
      </c>
      <c r="L1017" s="34" t="n">
        <f aca="false">IF(ISNUMBER(H1017),RANK(H1017,H$1015:H$1024,0),"-")</f>
        <v>8</v>
      </c>
      <c r="N1017" s="34" t="str">
        <f aca="false">IF(AND(ISNUMBER(I1017),ISNUMBER(I$1027)),IF(I1017&gt;I$1027,"Above",IF(I1017&lt;I$1027,"Below","At")),"-")</f>
        <v>Below</v>
      </c>
      <c r="O1017" s="34" t="s">
        <v>204</v>
      </c>
    </row>
    <row r="1018" customFormat="false" ht="15" hidden="false" customHeight="false" outlineLevel="0" collapsed="false">
      <c r="A1018" s="18" t="s">
        <v>67</v>
      </c>
      <c r="B1018" s="23" t="n">
        <f aca="false">CONCOR!D149</f>
        <v>0.456408604282316</v>
      </c>
      <c r="C1018" s="23" t="n">
        <f aca="false">CONCOR!E149</f>
        <v>0.397043106519416</v>
      </c>
      <c r="D1018" s="23" t="n">
        <f aca="false">CONCOR!F149</f>
        <v>0.480277124876791</v>
      </c>
      <c r="E1018" s="23" t="n">
        <f aca="false">CONCOR!G149</f>
        <v>0.429042398221268</v>
      </c>
      <c r="F1018" s="23" t="n">
        <f aca="false">CONCOR!H149</f>
        <v>0.444149168246615</v>
      </c>
      <c r="G1018" s="23" t="n">
        <f aca="false">CONCOR!I149</f>
        <v>0.45682591607817</v>
      </c>
      <c r="H1018" s="23" t="n">
        <f aca="false">CONCOR!J149</f>
        <v>0.472547914317926</v>
      </c>
      <c r="I1018" s="24" t="n">
        <f aca="false">CONCOR!K149</f>
        <v>0.448042033220357</v>
      </c>
      <c r="J1018" s="34" t="str">
        <f aca="false">IF(AND(ISNUMBER(H1018),ISNUMBER(H$1027)),IF(H1018&gt;H$1027,"Above",IF(H1018&lt;H$1027,"Below","At")),"-")</f>
        <v>Below</v>
      </c>
      <c r="K1018" s="34" t="s">
        <v>204</v>
      </c>
      <c r="L1018" s="34" t="n">
        <f aca="false">IF(ISNUMBER(H1018),RANK(H1018,H$1015:H$1024,0),"-")</f>
        <v>9</v>
      </c>
      <c r="N1018" s="34" t="str">
        <f aca="false">IF(AND(ISNUMBER(I1018),ISNUMBER(I$1027)),IF(I1018&gt;I$1027,"Above",IF(I1018&lt;I$1027,"Below","At")),"-")</f>
        <v>Below</v>
      </c>
      <c r="O1018" s="34" t="s">
        <v>204</v>
      </c>
    </row>
    <row r="1019" customFormat="false" ht="15" hidden="false" customHeight="false" outlineLevel="0" collapsed="false">
      <c r="A1019" s="18" t="s">
        <v>113</v>
      </c>
      <c r="B1019" s="23" t="str">
        <f aca="false">JetFreight!D149</f>
        <v>N/M</v>
      </c>
      <c r="C1019" s="23" t="n">
        <f aca="false">JetFreight!E149</f>
        <v>1</v>
      </c>
      <c r="D1019" s="23" t="n">
        <f aca="false">JetFreight!F149</f>
        <v>0.957446808510638</v>
      </c>
      <c r="E1019" s="23" t="n">
        <f aca="false">JetFreight!G149</f>
        <v>1</v>
      </c>
      <c r="F1019" s="23" t="n">
        <f aca="false">JetFreight!H149</f>
        <v>1</v>
      </c>
      <c r="G1019" s="23" t="n">
        <f aca="false">JetFreight!I149</f>
        <v>1</v>
      </c>
      <c r="H1019" s="23" t="n">
        <f aca="false">JetFreight!J149</f>
        <v>1</v>
      </c>
      <c r="I1019" s="24" t="n">
        <f aca="false">JetFreight!K149</f>
        <v>0.99290780141844</v>
      </c>
      <c r="J1019" s="34" t="str">
        <f aca="false">IF(AND(ISNUMBER(H1019),ISNUMBER(H$1027)),IF(H1019&gt;H$1027,"Above",IF(H1019&lt;H$1027,"Below","At")),"-")</f>
        <v>Above</v>
      </c>
      <c r="K1019" s="34" t="s">
        <v>204</v>
      </c>
      <c r="L1019" s="34" t="n">
        <f aca="false">IF(ISNUMBER(H1019),RANK(H1019,H$1015:H$1024,0),"-")</f>
        <v>1</v>
      </c>
      <c r="N1019" s="34" t="str">
        <f aca="false">IF(AND(ISNUMBER(I1019),ISNUMBER(I$1027)),IF(I1019&gt;I$1027,"Above",IF(I1019&lt;I$1027,"Below","At")),"-")</f>
        <v>Above</v>
      </c>
      <c r="O1019" s="34" t="s">
        <v>204</v>
      </c>
    </row>
    <row r="1020" customFormat="false" ht="15" hidden="false" customHeight="false" outlineLevel="0" collapsed="false">
      <c r="A1020" s="18" t="s">
        <v>114</v>
      </c>
      <c r="B1020" s="23" t="n">
        <f aca="false">Patel!D149</f>
        <v>0.984171322160149</v>
      </c>
      <c r="C1020" s="23" t="n">
        <f aca="false">Patel!E149</f>
        <v>-4.2</v>
      </c>
      <c r="D1020" s="23" t="n">
        <f aca="false">Patel!F149</f>
        <v>0.841409691629956</v>
      </c>
      <c r="E1020" s="23" t="n">
        <f aca="false">Patel!G149</f>
        <v>0.86734693877551</v>
      </c>
      <c r="F1020" s="23" t="n">
        <f aca="false">Patel!H149</f>
        <v>0.882671480144404</v>
      </c>
      <c r="G1020" s="23" t="n">
        <f aca="false">Patel!I149</f>
        <v>0.725</v>
      </c>
      <c r="H1020" s="23" t="n">
        <f aca="false">Patel!J149</f>
        <v>0.855208333333333</v>
      </c>
      <c r="I1020" s="24" t="n">
        <f aca="false">Patel!K149</f>
        <v>0.136543966577622</v>
      </c>
      <c r="J1020" s="34" t="str">
        <f aca="false">IF(AND(ISNUMBER(H1020),ISNUMBER(H$1027)),IF(H1020&gt;H$1027,"Above",IF(H1020&lt;H$1027,"Below","At")),"-")</f>
        <v>Below</v>
      </c>
      <c r="K1020" s="34" t="s">
        <v>204</v>
      </c>
      <c r="L1020" s="34" t="n">
        <f aca="false">IF(ISNUMBER(H1020),RANK(H1020,H$1015:H$1024,0),"-")</f>
        <v>6</v>
      </c>
      <c r="N1020" s="34" t="str">
        <f aca="false">IF(AND(ISNUMBER(I1020),ISNUMBER(I$1027)),IF(I1020&gt;I$1027,"Above",IF(I1020&lt;I$1027,"Below","At")),"-")</f>
        <v>Below</v>
      </c>
      <c r="O1020" s="34" t="s">
        <v>204</v>
      </c>
    </row>
    <row r="1021" customFormat="false" ht="15" hidden="false" customHeight="false" outlineLevel="0" collapsed="false">
      <c r="A1021" s="18" t="s">
        <v>115</v>
      </c>
      <c r="B1021" s="23" t="str">
        <f aca="false">Sical!D149</f>
        <v>N/M</v>
      </c>
      <c r="C1021" s="23" t="str">
        <f aca="false">Sical!E149</f>
        <v>N/M</v>
      </c>
      <c r="D1021" s="23" t="str">
        <f aca="false">Sical!F149</f>
        <v>N/M</v>
      </c>
      <c r="E1021" s="23" t="str">
        <f aca="false">Sical!G149</f>
        <v>N/M</v>
      </c>
      <c r="F1021" s="23" t="str">
        <f aca="false">Sical!H149</f>
        <v>N/M</v>
      </c>
      <c r="G1021" s="23" t="str">
        <f aca="false">Sical!I149</f>
        <v>N/M</v>
      </c>
      <c r="H1021" s="23" t="n">
        <f aca="false">Sical!J149</f>
        <v>1</v>
      </c>
      <c r="I1021" s="24" t="n">
        <f aca="false">Sical!K149</f>
        <v>1</v>
      </c>
      <c r="J1021" s="34" t="str">
        <f aca="false">IF(AND(ISNUMBER(H1021),ISNUMBER(H$1027)),IF(H1021&gt;H$1027,"Above",IF(H1021&lt;H$1027,"Below","At")),"-")</f>
        <v>Above</v>
      </c>
      <c r="K1021" s="34" t="s">
        <v>204</v>
      </c>
      <c r="L1021" s="34" t="n">
        <f aca="false">IF(ISNUMBER(H1021),RANK(H1021,H$1015:H$1024,0),"-")</f>
        <v>1</v>
      </c>
      <c r="N1021" s="34" t="str">
        <f aca="false">IF(AND(ISNUMBER(I1021),ISNUMBER(I$1027)),IF(I1021&gt;I$1027,"Above",IF(I1021&lt;I$1027,"Below","At")),"-")</f>
        <v>Above</v>
      </c>
      <c r="O1021" s="34" t="s">
        <v>204</v>
      </c>
    </row>
    <row r="1022" customFormat="false" ht="15" hidden="false" customHeight="false" outlineLevel="0" collapsed="false">
      <c r="A1022" s="18" t="s">
        <v>86</v>
      </c>
      <c r="B1022" s="23" t="n">
        <f aca="false">TCI!D149</f>
        <v>0.892034279291936</v>
      </c>
      <c r="C1022" s="23" t="n">
        <f aca="false">TCI!E149</f>
        <v>0.868959423638959</v>
      </c>
      <c r="D1022" s="23" t="n">
        <f aca="false">TCI!F149</f>
        <v>0.893166672421532</v>
      </c>
      <c r="E1022" s="23" t="n">
        <f aca="false">TCI!G149</f>
        <v>0.828953173252663</v>
      </c>
      <c r="F1022" s="23" t="n">
        <f aca="false">TCI!H149</f>
        <v>0.844868871151653</v>
      </c>
      <c r="G1022" s="23" t="n">
        <f aca="false">TCI!I149</f>
        <v>0.851399194917309</v>
      </c>
      <c r="H1022" s="23" t="n">
        <f aca="false">TCI!J149</f>
        <v>0.831780821917808</v>
      </c>
      <c r="I1022" s="24" t="n">
        <f aca="false">TCI!K149</f>
        <v>0.858737490941694</v>
      </c>
      <c r="J1022" s="34" t="str">
        <f aca="false">IF(AND(ISNUMBER(H1022),ISNUMBER(H$1027)),IF(H1022&gt;H$1027,"Above",IF(H1022&lt;H$1027,"Below","At")),"-")</f>
        <v>Below</v>
      </c>
      <c r="K1022" s="34" t="s">
        <v>204</v>
      </c>
      <c r="L1022" s="34" t="n">
        <f aca="false">IF(ISNUMBER(H1022),RANK(H1022,H$1015:H$1024,0),"-")</f>
        <v>7</v>
      </c>
      <c r="N1022" s="34" t="str">
        <f aca="false">IF(AND(ISNUMBER(I1022),ISNUMBER(I$1027)),IF(I1022&gt;I$1027,"Above",IF(I1022&lt;I$1027,"Below","At")),"-")</f>
        <v>Above</v>
      </c>
      <c r="O1022" s="34" t="s">
        <v>204</v>
      </c>
    </row>
    <row r="1023" customFormat="false" ht="15" hidden="false" customHeight="false" outlineLevel="0" collapsed="false">
      <c r="A1023" s="18" t="s">
        <v>116</v>
      </c>
      <c r="B1023" s="23" t="n">
        <f aca="false">Shreeji!D149</f>
        <v>0.646258503401361</v>
      </c>
      <c r="C1023" s="23" t="str">
        <f aca="false">Shreeji!E149</f>
        <v>N/M</v>
      </c>
      <c r="D1023" s="23" t="n">
        <f aca="false">Shreeji!F149</f>
        <v>0.76271186440678</v>
      </c>
      <c r="E1023" s="23" t="n">
        <f aca="false">Shreeji!G149</f>
        <v>0.891528925619835</v>
      </c>
      <c r="F1023" s="23" t="n">
        <f aca="false">Shreeji!H149</f>
        <v>0.957002457002457</v>
      </c>
      <c r="G1023" s="23" t="n">
        <f aca="false">Shreeji!I149</f>
        <v>1</v>
      </c>
      <c r="H1023" s="23" t="n">
        <f aca="false">Shreeji!J149</f>
        <v>1</v>
      </c>
      <c r="I1023" s="24" t="n">
        <f aca="false">Shreeji!K149</f>
        <v>0.876250291738405</v>
      </c>
      <c r="J1023" s="34" t="str">
        <f aca="false">IF(AND(ISNUMBER(H1023),ISNUMBER(H$1027)),IF(H1023&gt;H$1027,"Above",IF(H1023&lt;H$1027,"Below","At")),"-")</f>
        <v>Above</v>
      </c>
      <c r="K1023" s="34" t="s">
        <v>204</v>
      </c>
      <c r="L1023" s="34" t="n">
        <f aca="false">IF(ISNUMBER(H1023),RANK(H1023,H$1015:H$1024,0),"-")</f>
        <v>1</v>
      </c>
      <c r="N1023" s="34" t="str">
        <f aca="false">IF(AND(ISNUMBER(I1023),ISNUMBER(I$1027)),IF(I1023&gt;I$1027,"Above",IF(I1023&lt;I$1027,"Below","At")),"-")</f>
        <v>Above</v>
      </c>
      <c r="O1023" s="34" t="s">
        <v>204</v>
      </c>
    </row>
    <row r="1024" customFormat="false" ht="15" hidden="false" customHeight="false" outlineLevel="0" collapsed="false">
      <c r="A1024" s="18" t="s">
        <v>117</v>
      </c>
      <c r="B1024" s="23" t="n">
        <f aca="false">MahindraLog!D149</f>
        <v>0.80533381712627</v>
      </c>
      <c r="C1024" s="23" t="n">
        <f aca="false">MahindraLog!E149</f>
        <v>0.402666666666667</v>
      </c>
      <c r="D1024" s="23" t="n">
        <f aca="false">MahindraLog!F149</f>
        <v>0.181662870159453</v>
      </c>
      <c r="E1024" s="23" t="n">
        <f aca="false">MahindraLog!G149</f>
        <v>0.315068493150685</v>
      </c>
      <c r="F1024" s="23" t="str">
        <f aca="false">MahindraLog!H149</f>
        <v>N/M</v>
      </c>
      <c r="G1024" s="23" t="str">
        <f aca="false">MahindraLog!I149</f>
        <v>N/M</v>
      </c>
      <c r="H1024" s="23" t="n">
        <f aca="false">MahindraLog!J149</f>
        <v>-9.8296943231441</v>
      </c>
      <c r="I1024" s="24" t="n">
        <f aca="false">MahindraLog!K149</f>
        <v>-1.62499249520821</v>
      </c>
      <c r="J1024" s="34" t="str">
        <f aca="false">IF(AND(ISNUMBER(H1024),ISNUMBER(H$1027)),IF(H1024&gt;H$1027,"Above",IF(H1024&lt;H$1027,"Below","At")),"-")</f>
        <v>Below</v>
      </c>
      <c r="K1024" s="34" t="s">
        <v>204</v>
      </c>
      <c r="L1024" s="34" t="n">
        <f aca="false">IF(ISNUMBER(H1024),RANK(H1024,H$1015:H$1024,0),"-")</f>
        <v>10</v>
      </c>
      <c r="N1024" s="34" t="str">
        <f aca="false">IF(AND(ISNUMBER(I1024),ISNUMBER(I$1027)),IF(I1024&gt;I$1027,"Above",IF(I1024&lt;I$1027,"Below","At")),"-")</f>
        <v>Below</v>
      </c>
      <c r="O1024" s="34" t="s">
        <v>204</v>
      </c>
    </row>
    <row r="1025" customFormat="false" ht="15" hidden="false" customHeight="false" outlineLevel="0" collapsed="false">
      <c r="A1025" s="12" t="s">
        <v>176</v>
      </c>
      <c r="B1025" s="24" t="n">
        <f aca="false">Industry!D149</f>
        <v>0.520033013205282</v>
      </c>
      <c r="C1025" s="24" t="str">
        <f aca="false">Industry!E149</f>
        <v>N/M</v>
      </c>
      <c r="D1025" s="24" t="n">
        <f aca="false">Industry!F149</f>
        <v>0.668918396497068</v>
      </c>
      <c r="E1025" s="24" t="n">
        <f aca="false">Industry!G149</f>
        <v>0.479913100051118</v>
      </c>
      <c r="F1025" s="24" t="n">
        <f aca="false">Industry!H149</f>
        <v>0.537185158705334</v>
      </c>
      <c r="G1025" s="24" t="n">
        <f aca="false">Industry!I149</f>
        <v>0.421171171171171</v>
      </c>
      <c r="H1025" s="24" t="n">
        <f aca="false">Industry!J149</f>
        <v>0.600540543182363</v>
      </c>
      <c r="I1025" s="24" t="n">
        <f aca="false">Industry!K149</f>
        <v>0.537960230468723</v>
      </c>
    </row>
    <row r="1026" customFormat="false" ht="15" hidden="false" customHeight="false" outlineLevel="0" collapsed="false">
      <c r="A1026" s="35" t="s">
        <v>177</v>
      </c>
      <c r="B1026" s="39" t="n">
        <f aca="false">IFERROR(AVERAGE(B1015:B1024),"N/M")</f>
        <v>0.74227806827835</v>
      </c>
      <c r="C1026" s="39" t="n">
        <f aca="false">IFERROR(AVERAGE(C1015:C1024),"N/M")</f>
        <v>-0.0236578819866881</v>
      </c>
      <c r="D1026" s="39" t="n">
        <f aca="false">IFERROR(AVERAGE(D1015:D1024),"N/M")</f>
        <v>0.736949152856372</v>
      </c>
      <c r="E1026" s="39" t="n">
        <f aca="false">IFERROR(AVERAGE(E1015:E1024),"N/M")</f>
        <v>0.779193141205087</v>
      </c>
      <c r="F1026" s="39" t="n">
        <f aca="false">IFERROR(AVERAGE(F1015:F1024),"N/M")</f>
        <v>0.784355414225402</v>
      </c>
      <c r="G1026" s="39" t="n">
        <f aca="false">IFERROR(AVERAGE(G1015:G1024),"N/M")</f>
        <v>0.243968647824719</v>
      </c>
      <c r="H1026" s="39" t="n">
        <f aca="false">IFERROR(AVERAGE(H1015:H1024),"N/M")</f>
        <v>-0.191026396767019</v>
      </c>
      <c r="I1026" s="39" t="n">
        <f aca="false">IFERROR(AVERAGE(I1015:I1024),"N/M")</f>
        <v>0.451307705483223</v>
      </c>
    </row>
    <row r="1027" customFormat="false" ht="15" hidden="false" customHeight="false" outlineLevel="0" collapsed="false">
      <c r="A1027" s="35" t="s">
        <v>178</v>
      </c>
      <c r="B1027" s="39" t="n">
        <f aca="false">IFERROR(MEDIAN(B1015:B1024),"N/M")</f>
        <v>0.737397850267171</v>
      </c>
      <c r="C1027" s="39" t="n">
        <f aca="false">IFERROR(MEDIAN(C1015:C1024),"N/M")</f>
        <v>0.649936155583931</v>
      </c>
      <c r="D1027" s="39" t="n">
        <f aca="false">IFERROR(MEDIAN(D1015:D1024),"N/M")</f>
        <v>0.841409691629956</v>
      </c>
      <c r="E1027" s="39" t="n">
        <f aca="false">IFERROR(MEDIAN(E1015:E1024),"N/M")</f>
        <v>0.86734693877551</v>
      </c>
      <c r="F1027" s="39" t="n">
        <f aca="false">IFERROR(MEDIAN(F1015:F1024),"N/M")</f>
        <v>0.863770175648029</v>
      </c>
      <c r="G1027" s="39" t="n">
        <f aca="false">IFERROR(MEDIAN(G1015:G1024),"N/M")</f>
        <v>0.808038556336715</v>
      </c>
      <c r="H1027" s="39" t="n">
        <f aca="false">IFERROR(MEDIAN(H1015:H1024),"N/M")</f>
        <v>0.927604166666667</v>
      </c>
      <c r="I1027" s="39" t="n">
        <f aca="false">IFERROR(MEDIAN(I1015:I1024),"N/M")</f>
        <v>0.797019575821372</v>
      </c>
    </row>
    <row r="1028" customFormat="false" ht="15" hidden="false" customHeight="false" outlineLevel="0" collapsed="false">
      <c r="A1028" s="35" t="s">
        <v>179</v>
      </c>
      <c r="B1028" s="39" t="n">
        <f aca="false">IFERROR(STDEV(B1015:B1024),"N/M")</f>
        <v>0.190346316243342</v>
      </c>
      <c r="C1028" s="39" t="n">
        <f aca="false">IFERROR(STDEV(C1015:C1024),"N/M")</f>
        <v>1.85498103593728</v>
      </c>
      <c r="D1028" s="39" t="n">
        <f aca="false">IFERROR(STDEV(D1015:D1024),"N/M")</f>
        <v>0.264140246628505</v>
      </c>
      <c r="E1028" s="39" t="n">
        <f aca="false">IFERROR(STDEV(E1015:E1024),"N/M")</f>
        <v>0.241876892434402</v>
      </c>
      <c r="F1028" s="39" t="n">
        <f aca="false">IFERROR(STDEV(F1015:F1024),"N/M")</f>
        <v>0.252581130520954</v>
      </c>
      <c r="G1028" s="39" t="n">
        <f aca="false">IFERROR(STDEV(G1015:G1024),"N/M")</f>
        <v>1.66307209808161</v>
      </c>
      <c r="H1028" s="39" t="n">
        <f aca="false">IFERROR(STDEV(H1015:H1024),"N/M")</f>
        <v>3.39086943308769</v>
      </c>
      <c r="I1028" s="39" t="n">
        <f aca="false">IFERROR(STDEV(I1015:I1024),"N/M")</f>
        <v>0.806345719852868</v>
      </c>
    </row>
    <row r="1029" customFormat="false" ht="15" hidden="false" customHeight="false" outlineLevel="0" collapsed="false">
      <c r="A1029" s="35" t="s">
        <v>102</v>
      </c>
      <c r="B1029" s="39" t="n">
        <f aca="false">IFERROR(MIN(B1015:B1024),"N/M")</f>
        <v>0.456408604282316</v>
      </c>
      <c r="C1029" s="39" t="n">
        <f aca="false">IFERROR(MIN(C1015:C1024),"N/M")</f>
        <v>-4.2</v>
      </c>
      <c r="D1029" s="39" t="n">
        <f aca="false">IFERROR(MIN(D1015:D1024),"N/M")</f>
        <v>0.181662870159453</v>
      </c>
      <c r="E1029" s="39" t="n">
        <f aca="false">IFERROR(MIN(E1015:E1024),"N/M")</f>
        <v>0.315068493150685</v>
      </c>
      <c r="F1029" s="39" t="n">
        <f aca="false">IFERROR(MIN(F1015:F1024),"N/M")</f>
        <v>0.343486973947896</v>
      </c>
      <c r="G1029" s="39" t="n">
        <f aca="false">IFERROR(MIN(G1015:G1024),"N/M")</f>
        <v>-3.84615384615385</v>
      </c>
      <c r="H1029" s="39" t="n">
        <f aca="false">IFERROR(MIN(H1015:H1024),"N/M")</f>
        <v>-9.8296943231441</v>
      </c>
      <c r="I1029" s="39" t="n">
        <f aca="false">IFERROR(MIN(I1015:I1024),"N/M")</f>
        <v>-1.62499249520821</v>
      </c>
    </row>
    <row r="1030" customFormat="false" ht="15" hidden="false" customHeight="false" outlineLevel="0" collapsed="false">
      <c r="A1030" s="35" t="s">
        <v>103</v>
      </c>
      <c r="B1030" s="39" t="n">
        <f aca="false">IFERROR(MAX(B1015:B1024),"N/M")</f>
        <v>0.984171322160149</v>
      </c>
      <c r="C1030" s="39" t="n">
        <f aca="false">IFERROR(MAX(C1015:C1024),"N/M")</f>
        <v>1</v>
      </c>
      <c r="D1030" s="39" t="n">
        <f aca="false">IFERROR(MAX(D1015:D1024),"N/M")</f>
        <v>0.968480523342254</v>
      </c>
      <c r="E1030" s="39" t="n">
        <f aca="false">IFERROR(MAX(E1015:E1024),"N/M")</f>
        <v>1</v>
      </c>
      <c r="F1030" s="39" t="n">
        <f aca="false">IFERROR(MAX(F1015:F1024),"N/M")</f>
        <v>1</v>
      </c>
      <c r="G1030" s="39" t="n">
        <f aca="false">IFERROR(MAX(G1015:G1024),"N/M")</f>
        <v>1</v>
      </c>
      <c r="H1030" s="39" t="n">
        <f aca="false">IFERROR(MAX(H1015:H1024),"N/M")</f>
        <v>1</v>
      </c>
      <c r="I1030" s="39" t="n">
        <f aca="false">IFERROR(MAX(I1015:I1024),"N/M")</f>
        <v>1</v>
      </c>
    </row>
    <row r="1032" customFormat="false" ht="15" hidden="false" customHeight="false" outlineLevel="0" collapsed="false">
      <c r="A1032" s="16" t="s">
        <v>237</v>
      </c>
      <c r="B1032" s="17"/>
      <c r="C1032" s="17"/>
      <c r="D1032" s="17"/>
      <c r="E1032" s="17"/>
      <c r="F1032" s="17"/>
      <c r="G1032" s="17"/>
      <c r="H1032" s="17"/>
      <c r="I1032" s="17"/>
      <c r="J1032" s="17"/>
      <c r="K1032" s="17"/>
      <c r="L1032" s="17"/>
      <c r="M1032" s="17"/>
    </row>
    <row r="1033" customFormat="false" ht="15" hidden="false" customHeight="false" outlineLevel="0" collapsed="false">
      <c r="A1033" s="18" t="s">
        <v>110</v>
      </c>
      <c r="B1033" s="23" t="n">
        <f aca="false">Tiger!D150</f>
        <v>-0.390453197824347</v>
      </c>
      <c r="C1033" s="23" t="n">
        <f aca="false">Tiger!E150</f>
        <v>-0.277128219774727</v>
      </c>
      <c r="D1033" s="23" t="n">
        <f aca="false">Tiger!F150</f>
        <v>0.150646125397781</v>
      </c>
      <c r="E1033" s="23" t="n">
        <f aca="false">Tiger!G150</f>
        <v>0.0604414333968476</v>
      </c>
      <c r="F1033" s="23" t="n">
        <f aca="false">Tiger!H150</f>
        <v>0.0266546007979927</v>
      </c>
      <c r="G1033" s="23" t="n">
        <f aca="false">Tiger!I150</f>
        <v>0.0537967435144152</v>
      </c>
      <c r="H1033" s="23" t="n">
        <f aca="false">Tiger!J150</f>
        <v>0.0851862261155952</v>
      </c>
      <c r="I1033" s="24" t="n">
        <f aca="false">Tiger!K150</f>
        <v>-0.0415508983394918</v>
      </c>
      <c r="J1033" s="34" t="str">
        <f aca="false">IF(AND(ISNUMBER(H1033),ISNUMBER(H$1045)),IF(H1033&gt;H$1045,"Above",IF(H1033&lt;H$1045,"Below","At")),"-")</f>
        <v>Above</v>
      </c>
      <c r="K1033" s="34" t="str">
        <f aca="false">IF(J1033="Above","Better",IF(J1033="Below","Weaker","-"))</f>
        <v>Better</v>
      </c>
      <c r="L1033" s="34" t="n">
        <f aca="false">IF(ISNUMBER(H1033),RANK(H1033,H$1033:H$1042,0),"-")</f>
        <v>4</v>
      </c>
      <c r="N1033" s="34" t="str">
        <f aca="false">IF(AND(ISNUMBER(I1033),ISNUMBER(I$1045)),IF(I1033&gt;I$1045,"Above",IF(I1033&lt;I$1045,"Below","At")),"-")</f>
        <v>Below</v>
      </c>
      <c r="O1033" s="34" t="str">
        <f aca="false">IF(N1033="Above","Better",IF(N1033="Below","Weaker","-"))</f>
        <v>Weaker</v>
      </c>
    </row>
    <row r="1034" customFormat="false" ht="15" hidden="false" customHeight="false" outlineLevel="0" collapsed="false">
      <c r="A1034" s="18" t="s">
        <v>111</v>
      </c>
      <c r="B1034" s="23" t="str">
        <f aca="false">Allcargo!D150</f>
        <v>N/C</v>
      </c>
      <c r="C1034" s="23" t="str">
        <f aca="false">Allcargo!E150</f>
        <v>N/C</v>
      </c>
      <c r="D1034" s="23" t="str">
        <f aca="false">Allcargo!F150</f>
        <v>N/C</v>
      </c>
      <c r="E1034" s="23" t="str">
        <f aca="false">Allcargo!G150</f>
        <v>N/C</v>
      </c>
      <c r="F1034" s="23" t="str">
        <f aca="false">Allcargo!H150</f>
        <v>N/C</v>
      </c>
      <c r="G1034" s="23" t="str">
        <f aca="false">Allcargo!I150</f>
        <v>N/C</v>
      </c>
      <c r="H1034" s="23" t="n">
        <f aca="false">Allcargo!J150</f>
        <v>0.00743895131615506</v>
      </c>
      <c r="I1034" s="24" t="n">
        <f aca="false">Allcargo!K150</f>
        <v>0.00743895131615506</v>
      </c>
      <c r="J1034" s="34" t="str">
        <f aca="false">IF(AND(ISNUMBER(H1034),ISNUMBER(H$1045)),IF(H1034&gt;H$1045,"Above",IF(H1034&lt;H$1045,"Below","At")),"-")</f>
        <v>Below</v>
      </c>
      <c r="K1034" s="34" t="str">
        <f aca="false">IF(J1034="Above","Better",IF(J1034="Below","Weaker","-"))</f>
        <v>Weaker</v>
      </c>
      <c r="L1034" s="34" t="n">
        <f aca="false">IF(ISNUMBER(H1034),RANK(H1034,H$1033:H$1042,0),"-")</f>
        <v>9</v>
      </c>
      <c r="N1034" s="34" t="str">
        <f aca="false">IF(AND(ISNUMBER(I1034),ISNUMBER(I$1045)),IF(I1034&gt;I$1045,"Above",IF(I1034&lt;I$1045,"Below","At")),"-")</f>
        <v>Below</v>
      </c>
      <c r="O1034" s="34" t="str">
        <f aca="false">IF(N1034="Above","Better",IF(N1034="Below","Weaker","-"))</f>
        <v>Weaker</v>
      </c>
    </row>
    <row r="1035" customFormat="false" ht="15" hidden="false" customHeight="false" outlineLevel="0" collapsed="false">
      <c r="A1035" s="18" t="s">
        <v>112</v>
      </c>
      <c r="B1035" s="23" t="n">
        <f aca="false">BlueDart!D150</f>
        <v>-0.00803185341733202</v>
      </c>
      <c r="C1035" s="23" t="n">
        <f aca="false">BlueDart!E150</f>
        <v>0.00770633453356409</v>
      </c>
      <c r="D1035" s="23" t="n">
        <f aca="false">BlueDart!F150</f>
        <v>0.0235010444379165</v>
      </c>
      <c r="E1035" s="23" t="n">
        <f aca="false">BlueDart!G150</f>
        <v>0.0251638548760088</v>
      </c>
      <c r="F1035" s="23" t="n">
        <f aca="false">BlueDart!H150</f>
        <v>0.0205384000224073</v>
      </c>
      <c r="G1035" s="23" t="n">
        <f aca="false">BlueDart!I150</f>
        <v>0.0173562012733519</v>
      </c>
      <c r="H1035" s="23" t="n">
        <f aca="false">BlueDart!J150</f>
        <v>0.021989459920945</v>
      </c>
      <c r="I1035" s="24" t="n">
        <f aca="false">BlueDart!K150</f>
        <v>0.0154604916638374</v>
      </c>
      <c r="J1035" s="34" t="str">
        <f aca="false">IF(AND(ISNUMBER(H1035),ISNUMBER(H$1045)),IF(H1035&gt;H$1045,"Above",IF(H1035&lt;H$1045,"Below","At")),"-")</f>
        <v>Below</v>
      </c>
      <c r="K1035" s="34" t="str">
        <f aca="false">IF(J1035="Above","Better",IF(J1035="Below","Weaker","-"))</f>
        <v>Weaker</v>
      </c>
      <c r="L1035" s="34" t="n">
        <f aca="false">IF(ISNUMBER(H1035),RANK(H1035,H$1033:H$1042,0),"-")</f>
        <v>8</v>
      </c>
      <c r="N1035" s="34" t="str">
        <f aca="false">IF(AND(ISNUMBER(I1035),ISNUMBER(I$1045)),IF(I1035&gt;I$1045,"Above",IF(I1035&lt;I$1045,"Below","At")),"-")</f>
        <v>Above</v>
      </c>
      <c r="O1035" s="34" t="str">
        <f aca="false">IF(N1035="Above","Better",IF(N1035="Below","Weaker","-"))</f>
        <v>Better</v>
      </c>
    </row>
    <row r="1036" customFormat="false" ht="15" hidden="false" customHeight="false" outlineLevel="0" collapsed="false">
      <c r="A1036" s="18" t="s">
        <v>67</v>
      </c>
      <c r="B1036" s="23" t="n">
        <f aca="false">CONCOR!D150</f>
        <v>0.0199695436745481</v>
      </c>
      <c r="C1036" s="23" t="n">
        <f aca="false">CONCOR!E150</f>
        <v>0.0138674564725556</v>
      </c>
      <c r="D1036" s="23" t="n">
        <f aca="false">CONCOR!F150</f>
        <v>0.0257643226895757</v>
      </c>
      <c r="E1036" s="23" t="n">
        <f aca="false">CONCOR!G150</f>
        <v>0.0332038109298006</v>
      </c>
      <c r="F1036" s="23" t="n">
        <f aca="false">CONCOR!H150</f>
        <v>0.0234551985259584</v>
      </c>
      <c r="G1036" s="23" t="n">
        <f aca="false">CONCOR!I150</f>
        <v>0.0306140769820074</v>
      </c>
      <c r="H1036" s="23" t="n">
        <f aca="false">CONCOR!J150</f>
        <v>0.0383379897926723</v>
      </c>
      <c r="I1036" s="24" t="n">
        <f aca="false">CONCOR!K150</f>
        <v>0.0264589141524454</v>
      </c>
      <c r="J1036" s="34" t="str">
        <f aca="false">IF(AND(ISNUMBER(H1036),ISNUMBER(H$1045)),IF(H1036&gt;H$1045,"Above",IF(H1036&lt;H$1045,"Below","At")),"-")</f>
        <v>Below</v>
      </c>
      <c r="K1036" s="34" t="str">
        <f aca="false">IF(J1036="Above","Better",IF(J1036="Below","Weaker","-"))</f>
        <v>Weaker</v>
      </c>
      <c r="L1036" s="34" t="n">
        <f aca="false">IF(ISNUMBER(H1036),RANK(H1036,H$1033:H$1042,0),"-")</f>
        <v>7</v>
      </c>
      <c r="N1036" s="34" t="str">
        <f aca="false">IF(AND(ISNUMBER(I1036),ISNUMBER(I$1045)),IF(I1036&gt;I$1045,"Above",IF(I1036&lt;I$1045,"Below","At")),"-")</f>
        <v>Above</v>
      </c>
      <c r="O1036" s="34" t="str">
        <f aca="false">IF(N1036="Above","Better",IF(N1036="Below","Weaker","-"))</f>
        <v>Better</v>
      </c>
    </row>
    <row r="1037" customFormat="false" ht="15" hidden="false" customHeight="false" outlineLevel="0" collapsed="false">
      <c r="A1037" s="18" t="s">
        <v>113</v>
      </c>
      <c r="B1037" s="23" t="n">
        <f aca="false">JetFreight!D150</f>
        <v>-0.325173020883924</v>
      </c>
      <c r="C1037" s="23" t="n">
        <f aca="false">JetFreight!E150</f>
        <v>0.0752361997026522</v>
      </c>
      <c r="D1037" s="23" t="n">
        <f aca="false">JetFreight!F150</f>
        <v>0.0208995399136745</v>
      </c>
      <c r="E1037" s="23" t="n">
        <f aca="false">JetFreight!G150</f>
        <v>0.0010958503798948</v>
      </c>
      <c r="F1037" s="23" t="n">
        <f aca="false">JetFreight!H150</f>
        <v>0.00450076166735909</v>
      </c>
      <c r="G1037" s="23" t="n">
        <f aca="false">JetFreight!I150</f>
        <v>0.0697811901340996</v>
      </c>
      <c r="H1037" s="23" t="n">
        <f aca="false">JetFreight!J150</f>
        <v>0.0859037069976149</v>
      </c>
      <c r="I1037" s="24" t="n">
        <f aca="false">JetFreight!K150</f>
        <v>-0.00967939601266131</v>
      </c>
      <c r="J1037" s="34" t="str">
        <f aca="false">IF(AND(ISNUMBER(H1037),ISNUMBER(H$1045)),IF(H1037&gt;H$1045,"Above",IF(H1037&lt;H$1045,"Below","At")),"-")</f>
        <v>Above</v>
      </c>
      <c r="K1037" s="34" t="str">
        <f aca="false">IF(J1037="Above","Better",IF(J1037="Below","Weaker","-"))</f>
        <v>Better</v>
      </c>
      <c r="L1037" s="34" t="n">
        <f aca="false">IF(ISNUMBER(H1037),RANK(H1037,H$1033:H$1042,0),"-")</f>
        <v>3</v>
      </c>
      <c r="N1037" s="34" t="str">
        <f aca="false">IF(AND(ISNUMBER(I1037),ISNUMBER(I$1045)),IF(I1037&gt;I$1045,"Above",IF(I1037&lt;I$1045,"Below","At")),"-")</f>
        <v>Below</v>
      </c>
      <c r="O1037" s="34" t="str">
        <f aca="false">IF(N1037="Above","Better",IF(N1037="Below","Weaker","-"))</f>
        <v>Weaker</v>
      </c>
    </row>
    <row r="1038" customFormat="false" ht="15" hidden="false" customHeight="false" outlineLevel="0" collapsed="false">
      <c r="A1038" s="18" t="s">
        <v>114</v>
      </c>
      <c r="B1038" s="23" t="n">
        <f aca="false">Patel!D150</f>
        <v>0.319129969691567</v>
      </c>
      <c r="C1038" s="23" t="n">
        <f aca="false">Patel!E150</f>
        <v>0.000740509263030371</v>
      </c>
      <c r="D1038" s="23" t="n">
        <f aca="false">Patel!F150</f>
        <v>0.0251281035145029</v>
      </c>
      <c r="E1038" s="23" t="n">
        <f aca="false">Patel!G150</f>
        <v>0.0651873137505322</v>
      </c>
      <c r="F1038" s="23" t="n">
        <f aca="false">Patel!H150</f>
        <v>0.0404254449717752</v>
      </c>
      <c r="G1038" s="23" t="n">
        <f aca="false">Patel!I150</f>
        <v>0.0817330855530319</v>
      </c>
      <c r="H1038" s="23" t="n">
        <f aca="false">Patel!J150</f>
        <v>0.166986724555398</v>
      </c>
      <c r="I1038" s="24" t="n">
        <f aca="false">Patel!K150</f>
        <v>0.0999044501856911</v>
      </c>
      <c r="J1038" s="34" t="str">
        <f aca="false">IF(AND(ISNUMBER(H1038),ISNUMBER(H$1045)),IF(H1038&gt;H$1045,"Above",IF(H1038&lt;H$1045,"Below","At")),"-")</f>
        <v>Above</v>
      </c>
      <c r="K1038" s="34" t="str">
        <f aca="false">IF(J1038="Above","Better",IF(J1038="Below","Weaker","-"))</f>
        <v>Better</v>
      </c>
      <c r="L1038" s="34" t="n">
        <f aca="false">IF(ISNUMBER(H1038),RANK(H1038,H$1033:H$1042,0),"-")</f>
        <v>1</v>
      </c>
      <c r="N1038" s="34" t="str">
        <f aca="false">IF(AND(ISNUMBER(I1038),ISNUMBER(I$1045)),IF(I1038&gt;I$1045,"Above",IF(I1038&lt;I$1045,"Below","At")),"-")</f>
        <v>Above</v>
      </c>
      <c r="O1038" s="34" t="str">
        <f aca="false">IF(N1038="Above","Better",IF(N1038="Below","Weaker","-"))</f>
        <v>Better</v>
      </c>
    </row>
    <row r="1039" customFormat="false" ht="15" hidden="false" customHeight="false" outlineLevel="0" collapsed="false">
      <c r="A1039" s="18" t="s">
        <v>115</v>
      </c>
      <c r="B1039" s="23" t="n">
        <f aca="false">Sical!D150</f>
        <v>-3.45556467942858</v>
      </c>
      <c r="C1039" s="23" t="n">
        <f aca="false">Sical!E150</f>
        <v>-22.840742441723</v>
      </c>
      <c r="D1039" s="23" t="n">
        <f aca="false">Sical!F150</f>
        <v>-4.56140166502896</v>
      </c>
      <c r="E1039" s="23" t="n">
        <f aca="false">Sical!G150</f>
        <v>-19.9079213875588</v>
      </c>
      <c r="F1039" s="23" t="n">
        <f aca="false">Sical!H150</f>
        <v>-0.0294644827142144</v>
      </c>
      <c r="G1039" s="23" t="n">
        <f aca="false">Sical!I150</f>
        <v>-0.0578500856218221</v>
      </c>
      <c r="H1039" s="23" t="n">
        <f aca="false">Sical!J150</f>
        <v>0.0980318475394703</v>
      </c>
      <c r="I1039" s="24" t="n">
        <f aca="false">Sical!K150</f>
        <v>-7.25070184207655</v>
      </c>
      <c r="J1039" s="34" t="str">
        <f aca="false">IF(AND(ISNUMBER(H1039),ISNUMBER(H$1045)),IF(H1039&gt;H$1045,"Above",IF(H1039&lt;H$1045,"Below","At")),"-")</f>
        <v>Above</v>
      </c>
      <c r="K1039" s="34" t="str">
        <f aca="false">IF(J1039="Above","Better",IF(J1039="Below","Weaker","-"))</f>
        <v>Better</v>
      </c>
      <c r="L1039" s="34" t="n">
        <f aca="false">IF(ISNUMBER(H1039),RANK(H1039,H$1033:H$1042,0),"-")</f>
        <v>2</v>
      </c>
      <c r="N1039" s="34" t="str">
        <f aca="false">IF(AND(ISNUMBER(I1039),ISNUMBER(I$1045)),IF(I1039&gt;I$1045,"Above",IF(I1039&lt;I$1045,"Below","At")),"-")</f>
        <v>Below</v>
      </c>
      <c r="O1039" s="34" t="str">
        <f aca="false">IF(N1039="Above","Better",IF(N1039="Below","Weaker","-"))</f>
        <v>Weaker</v>
      </c>
    </row>
    <row r="1040" customFormat="false" ht="15" hidden="false" customHeight="false" outlineLevel="0" collapsed="false">
      <c r="A1040" s="18" t="s">
        <v>86</v>
      </c>
      <c r="B1040" s="23" t="n">
        <f aca="false">TCI!D150</f>
        <v>0.0985719666755296</v>
      </c>
      <c r="C1040" s="23" t="n">
        <f aca="false">TCI!E150</f>
        <v>0.0744993522510952</v>
      </c>
      <c r="D1040" s="23" t="n">
        <f aca="false">TCI!F150</f>
        <v>0.0625366683056063</v>
      </c>
      <c r="E1040" s="23" t="n">
        <f aca="false">TCI!G150</f>
        <v>0.0652378238763775</v>
      </c>
      <c r="F1040" s="23" t="n">
        <f aca="false">TCI!H150</f>
        <v>0.055628394711687</v>
      </c>
      <c r="G1040" s="23" t="n">
        <f aca="false">TCI!I150</f>
        <v>0.0488303937763095</v>
      </c>
      <c r="H1040" s="23" t="n">
        <f aca="false">TCI!J150</f>
        <v>0.0644474610172317</v>
      </c>
      <c r="I1040" s="24" t="n">
        <f aca="false">TCI!K150</f>
        <v>0.0671074372305481</v>
      </c>
      <c r="J1040" s="34" t="str">
        <f aca="false">IF(AND(ISNUMBER(H1040),ISNUMBER(H$1045)),IF(H1040&gt;H$1045,"Above",IF(H1040&lt;H$1045,"Below","At")),"-")</f>
        <v>Below</v>
      </c>
      <c r="K1040" s="34" t="str">
        <f aca="false">IF(J1040="Above","Better",IF(J1040="Below","Weaker","-"))</f>
        <v>Weaker</v>
      </c>
      <c r="L1040" s="34" t="n">
        <f aca="false">IF(ISNUMBER(H1040),RANK(H1040,H$1033:H$1042,0),"-")</f>
        <v>6</v>
      </c>
      <c r="N1040" s="34" t="str">
        <f aca="false">IF(AND(ISNUMBER(I1040),ISNUMBER(I$1045)),IF(I1040&gt;I$1045,"Above",IF(I1040&lt;I$1045,"Below","At")),"-")</f>
        <v>Above</v>
      </c>
      <c r="O1040" s="34" t="str">
        <f aca="false">IF(N1040="Above","Better",IF(N1040="Below","Weaker","-"))</f>
        <v>Better</v>
      </c>
    </row>
    <row r="1041" customFormat="false" ht="15" hidden="false" customHeight="false" outlineLevel="0" collapsed="false">
      <c r="A1041" s="18" t="s">
        <v>116</v>
      </c>
      <c r="B1041" s="23" t="n">
        <f aca="false">Shreeji!D150</f>
        <v>0.0465631929046563</v>
      </c>
      <c r="C1041" s="23" t="n">
        <f aca="false">Shreeji!E150</f>
        <v>-0.0188744588744589</v>
      </c>
      <c r="D1041" s="23" t="n">
        <f aca="false">Shreeji!F150</f>
        <v>0.0415610030994646</v>
      </c>
      <c r="E1041" s="23" t="n">
        <f aca="false">Shreeji!G150</f>
        <v>0.0277800497343246</v>
      </c>
      <c r="F1041" s="23" t="n">
        <f aca="false">Shreeji!H150</f>
        <v>0.0895096651744724</v>
      </c>
      <c r="G1041" s="23" t="n">
        <f aca="false">Shreeji!I150</f>
        <v>0.0247326689459518</v>
      </c>
      <c r="H1041" s="23" t="n">
        <f aca="false">Shreeji!J150</f>
        <v>0.0768833999980536</v>
      </c>
      <c r="I1041" s="24" t="n">
        <f aca="false">Shreeji!K150</f>
        <v>0.0411650744260664</v>
      </c>
      <c r="J1041" s="34" t="str">
        <f aca="false">IF(AND(ISNUMBER(H1041),ISNUMBER(H$1045)),IF(H1041&gt;H$1045,"Above",IF(H1041&lt;H$1045,"Below","At")),"-")</f>
        <v>Above</v>
      </c>
      <c r="K1041" s="34" t="str">
        <f aca="false">IF(J1041="Above","Better",IF(J1041="Below","Weaker","-"))</f>
        <v>Better</v>
      </c>
      <c r="L1041" s="34" t="n">
        <f aca="false">IF(ISNUMBER(H1041),RANK(H1041,H$1033:H$1042,0),"-")</f>
        <v>5</v>
      </c>
      <c r="N1041" s="34" t="str">
        <f aca="false">IF(AND(ISNUMBER(I1041),ISNUMBER(I$1045)),IF(I1041&gt;I$1045,"Above",IF(I1041&lt;I$1045,"Below","At")),"-")</f>
        <v>Above</v>
      </c>
      <c r="O1041" s="34" t="str">
        <f aca="false">IF(N1041="Above","Better",IF(N1041="Below","Weaker","-"))</f>
        <v>Better</v>
      </c>
    </row>
    <row r="1042" customFormat="false" ht="15" hidden="false" customHeight="false" outlineLevel="0" collapsed="false">
      <c r="A1042" s="18" t="s">
        <v>117</v>
      </c>
      <c r="B1042" s="23" t="n">
        <f aca="false">MahindraLog!D150</f>
        <v>0.0270819281389488</v>
      </c>
      <c r="C1042" s="23" t="n">
        <f aca="false">MahindraLog!E150</f>
        <v>0.00575656853252404</v>
      </c>
      <c r="D1042" s="23" t="n">
        <f aca="false">MahindraLog!F150</f>
        <v>0.00385956120569527</v>
      </c>
      <c r="E1042" s="23" t="n">
        <f aca="false">MahindraLog!G150</f>
        <v>0.0082100190348729</v>
      </c>
      <c r="F1042" s="23" t="n">
        <f aca="false">MahindraLog!H150</f>
        <v>-0.0148190741029506</v>
      </c>
      <c r="G1042" s="23" t="n">
        <f aca="false">MahindraLog!I150</f>
        <v>-0.0151374352447122</v>
      </c>
      <c r="H1042" s="23" t="n">
        <f aca="false">MahindraLog!J150</f>
        <v>0.000693650162841191</v>
      </c>
      <c r="I1042" s="24" t="n">
        <f aca="false">MahindraLog!K150</f>
        <v>0.00223503110388849</v>
      </c>
      <c r="J1042" s="34" t="str">
        <f aca="false">IF(AND(ISNUMBER(H1042),ISNUMBER(H$1045)),IF(H1042&gt;H$1045,"Above",IF(H1042&lt;H$1045,"Below","At")),"-")</f>
        <v>Below</v>
      </c>
      <c r="K1042" s="34" t="str">
        <f aca="false">IF(J1042="Above","Better",IF(J1042="Below","Weaker","-"))</f>
        <v>Weaker</v>
      </c>
      <c r="L1042" s="34" t="n">
        <f aca="false">IF(ISNUMBER(H1042),RANK(H1042,H$1033:H$1042,0),"-")</f>
        <v>10</v>
      </c>
      <c r="N1042" s="34" t="str">
        <f aca="false">IF(AND(ISNUMBER(I1042),ISNUMBER(I$1045)),IF(I1042&gt;I$1045,"Above",IF(I1042&lt;I$1045,"Below","At")),"-")</f>
        <v>Below</v>
      </c>
      <c r="O1042" s="34" t="str">
        <f aca="false">IF(N1042="Above","Better",IF(N1042="Below","Weaker","-"))</f>
        <v>Weaker</v>
      </c>
    </row>
    <row r="1043" customFormat="false" ht="15" hidden="false" customHeight="false" outlineLevel="0" collapsed="false">
      <c r="A1043" s="12" t="s">
        <v>176</v>
      </c>
      <c r="B1043" s="24" t="n">
        <f aca="false">Industry!D150</f>
        <v>0.015262178554475</v>
      </c>
      <c r="C1043" s="24" t="n">
        <f aca="false">Industry!E150</f>
        <v>-0.00676742265849692</v>
      </c>
      <c r="D1043" s="24" t="n">
        <f aca="false">Industry!F150</f>
        <v>0.0228210696648743</v>
      </c>
      <c r="E1043" s="24" t="n">
        <f aca="false">Industry!G150</f>
        <v>0.0184923200261273</v>
      </c>
      <c r="F1043" s="24" t="n">
        <f aca="false">Industry!H150</f>
        <v>0.0232401630692641</v>
      </c>
      <c r="G1043" s="24" t="n">
        <f aca="false">Industry!I150</f>
        <v>0.0281566493892956</v>
      </c>
      <c r="H1043" s="24" t="n">
        <f aca="false">Industry!J150</f>
        <v>0.0365174257047344</v>
      </c>
      <c r="I1043" s="24" t="n">
        <f aca="false">Industry!K150</f>
        <v>0.0196746262500391</v>
      </c>
    </row>
    <row r="1044" customFormat="false" ht="15" hidden="false" customHeight="false" outlineLevel="0" collapsed="false">
      <c r="A1044" s="35" t="s">
        <v>177</v>
      </c>
      <c r="B1044" s="39" t="n">
        <f aca="false">IFERROR(AVERAGE(B1033:B1042),"N/M")</f>
        <v>-0.407545127829882</v>
      </c>
      <c r="C1044" s="39" t="n">
        <f aca="false">IFERROR(AVERAGE(C1033:C1042),"N/M")</f>
        <v>-2.55099318884631</v>
      </c>
      <c r="D1044" s="39" t="n">
        <f aca="false">IFERROR(AVERAGE(D1033:D1042),"N/M")</f>
        <v>-0.467500588496083</v>
      </c>
      <c r="E1044" s="39" t="n">
        <f aca="false">IFERROR(AVERAGE(E1033:E1042),"N/M")</f>
        <v>-2.18017791462001</v>
      </c>
      <c r="F1044" s="39" t="n">
        <f aca="false">IFERROR(AVERAGE(F1033:F1042),"N/M")</f>
        <v>0.0240476565616097</v>
      </c>
      <c r="G1044" s="39" t="n">
        <f aca="false">IFERROR(AVERAGE(G1033:G1042),"N/M")</f>
        <v>0.0282063154791814</v>
      </c>
      <c r="H1044" s="39" t="n">
        <f aca="false">IFERROR(AVERAGE(H1033:H1042),"N/M")</f>
        <v>0.0645899417415977</v>
      </c>
      <c r="I1044" s="39" t="n">
        <f aca="false">IFERROR(AVERAGE(I1033:I1042),"N/M")</f>
        <v>-0.704216178635008</v>
      </c>
    </row>
    <row r="1045" customFormat="false" ht="15" hidden="false" customHeight="false" outlineLevel="0" collapsed="false">
      <c r="A1045" s="35" t="s">
        <v>178</v>
      </c>
      <c r="B1045" s="39" t="n">
        <f aca="false">IFERROR(MEDIAN(B1033:B1042),"N/M")</f>
        <v>0.0199695436745481</v>
      </c>
      <c r="C1045" s="39" t="n">
        <f aca="false">IFERROR(MEDIAN(C1033:C1042),"N/M")</f>
        <v>0.00575656853252404</v>
      </c>
      <c r="D1045" s="39" t="n">
        <f aca="false">IFERROR(MEDIAN(D1033:D1042),"N/M")</f>
        <v>0.0251281035145029</v>
      </c>
      <c r="E1045" s="39" t="n">
        <f aca="false">IFERROR(MEDIAN(E1033:E1042),"N/M")</f>
        <v>0.0277800497343246</v>
      </c>
      <c r="F1045" s="39" t="n">
        <f aca="false">IFERROR(MEDIAN(F1033:F1042),"N/M")</f>
        <v>0.0234551985259584</v>
      </c>
      <c r="G1045" s="39" t="n">
        <f aca="false">IFERROR(MEDIAN(G1033:G1042),"N/M")</f>
        <v>0.0306140769820074</v>
      </c>
      <c r="H1045" s="39" t="n">
        <f aca="false">IFERROR(MEDIAN(H1033:H1042),"N/M")</f>
        <v>0.0706654305076426</v>
      </c>
      <c r="I1045" s="39" t="n">
        <f aca="false">IFERROR(MEDIAN(I1033:I1042),"N/M")</f>
        <v>0.0114497214899962</v>
      </c>
    </row>
    <row r="1046" customFormat="false" ht="15" hidden="false" customHeight="false" outlineLevel="0" collapsed="false">
      <c r="A1046" s="35" t="s">
        <v>179</v>
      </c>
      <c r="B1046" s="39" t="n">
        <f aca="false">IFERROR(STDEV(B1033:B1042),"N/M")</f>
        <v>1.16292768429696</v>
      </c>
      <c r="C1046" s="39" t="n">
        <f aca="false">IFERROR(STDEV(C1033:C1042),"N/M")</f>
        <v>7.60936981094907</v>
      </c>
      <c r="D1046" s="39" t="n">
        <f aca="false">IFERROR(STDEV(D1033:D1042),"N/M")</f>
        <v>1.53582248170447</v>
      </c>
      <c r="E1046" s="39" t="n">
        <f aca="false">IFERROR(STDEV(E1033:E1042),"N/M")</f>
        <v>6.64794598818099</v>
      </c>
      <c r="F1046" s="39" t="n">
        <f aca="false">IFERROR(STDEV(F1033:F1042),"N/M")</f>
        <v>0.0359279913431184</v>
      </c>
      <c r="G1046" s="39" t="n">
        <f aca="false">IFERROR(STDEV(G1033:G1042),"N/M")</f>
        <v>0.0434364209808244</v>
      </c>
      <c r="H1046" s="39" t="n">
        <f aca="false">IFERROR(STDEV(H1033:H1042),"N/M")</f>
        <v>0.0499844786427419</v>
      </c>
      <c r="I1046" s="39" t="n">
        <f aca="false">IFERROR(STDEV(I1033:I1042),"N/M")</f>
        <v>2.30054272372103</v>
      </c>
    </row>
    <row r="1047" customFormat="false" ht="15" hidden="false" customHeight="false" outlineLevel="0" collapsed="false">
      <c r="A1047" s="35" t="s">
        <v>102</v>
      </c>
      <c r="B1047" s="39" t="n">
        <f aca="false">IFERROR(MIN(B1033:B1042),"N/M")</f>
        <v>-3.45556467942858</v>
      </c>
      <c r="C1047" s="39" t="n">
        <f aca="false">IFERROR(MIN(C1033:C1042),"N/M")</f>
        <v>-22.840742441723</v>
      </c>
      <c r="D1047" s="39" t="n">
        <f aca="false">IFERROR(MIN(D1033:D1042),"N/M")</f>
        <v>-4.56140166502896</v>
      </c>
      <c r="E1047" s="39" t="n">
        <f aca="false">IFERROR(MIN(E1033:E1042),"N/M")</f>
        <v>-19.9079213875588</v>
      </c>
      <c r="F1047" s="39" t="n">
        <f aca="false">IFERROR(MIN(F1033:F1042),"N/M")</f>
        <v>-0.0294644827142144</v>
      </c>
      <c r="G1047" s="39" t="n">
        <f aca="false">IFERROR(MIN(G1033:G1042),"N/M")</f>
        <v>-0.0578500856218221</v>
      </c>
      <c r="H1047" s="39" t="n">
        <f aca="false">IFERROR(MIN(H1033:H1042),"N/M")</f>
        <v>0.000693650162841191</v>
      </c>
      <c r="I1047" s="39" t="n">
        <f aca="false">IFERROR(MIN(I1033:I1042),"N/M")</f>
        <v>-7.25070184207655</v>
      </c>
    </row>
    <row r="1048" customFormat="false" ht="15" hidden="false" customHeight="false" outlineLevel="0" collapsed="false">
      <c r="A1048" s="35" t="s">
        <v>103</v>
      </c>
      <c r="B1048" s="39" t="n">
        <f aca="false">IFERROR(MAX(B1033:B1042),"N/M")</f>
        <v>0.319129969691567</v>
      </c>
      <c r="C1048" s="39" t="n">
        <f aca="false">IFERROR(MAX(C1033:C1042),"N/M")</f>
        <v>0.0752361997026522</v>
      </c>
      <c r="D1048" s="39" t="n">
        <f aca="false">IFERROR(MAX(D1033:D1042),"N/M")</f>
        <v>0.150646125397781</v>
      </c>
      <c r="E1048" s="39" t="n">
        <f aca="false">IFERROR(MAX(E1033:E1042),"N/M")</f>
        <v>0.0652378238763775</v>
      </c>
      <c r="F1048" s="39" t="n">
        <f aca="false">IFERROR(MAX(F1033:F1042),"N/M")</f>
        <v>0.0895096651744724</v>
      </c>
      <c r="G1048" s="39" t="n">
        <f aca="false">IFERROR(MAX(G1033:G1042),"N/M")</f>
        <v>0.0817330855530319</v>
      </c>
      <c r="H1048" s="39" t="n">
        <f aca="false">IFERROR(MAX(H1033:H1042),"N/M")</f>
        <v>0.166986724555398</v>
      </c>
      <c r="I1048" s="39" t="n">
        <f aca="false">IFERROR(MAX(I1033:I1042),"N/M")</f>
        <v>0.0999044501856911</v>
      </c>
    </row>
    <row r="1050" customFormat="false" ht="15" hidden="false" customHeight="false" outlineLevel="0" collapsed="false">
      <c r="A1050" s="16" t="s">
        <v>238</v>
      </c>
      <c r="B1050" s="17"/>
      <c r="C1050" s="17"/>
      <c r="D1050" s="17"/>
      <c r="E1050" s="17"/>
      <c r="F1050" s="17"/>
      <c r="G1050" s="17"/>
      <c r="H1050" s="17"/>
      <c r="I1050" s="17"/>
      <c r="J1050" s="17"/>
      <c r="K1050" s="17"/>
      <c r="L1050" s="17"/>
      <c r="M1050" s="17"/>
    </row>
    <row r="1051" customFormat="false" ht="15" hidden="false" customHeight="false" outlineLevel="0" collapsed="false">
      <c r="A1051" s="18" t="s">
        <v>110</v>
      </c>
      <c r="B1051" s="23" t="n">
        <f aca="false">Tiger!D151</f>
        <v>0</v>
      </c>
      <c r="C1051" s="23" t="n">
        <f aca="false">Tiger!E151</f>
        <v>0</v>
      </c>
      <c r="D1051" s="23" t="n">
        <f aca="false">Tiger!F151</f>
        <v>0.00474828703305525</v>
      </c>
      <c r="E1051" s="23" t="n">
        <f aca="false">Tiger!G151</f>
        <v>0</v>
      </c>
      <c r="F1051" s="23" t="n">
        <f aca="false">Tiger!H151</f>
        <v>0</v>
      </c>
      <c r="G1051" s="23" t="n">
        <f aca="false">Tiger!I151</f>
        <v>0</v>
      </c>
      <c r="H1051" s="23" t="n">
        <f aca="false">Tiger!J151</f>
        <v>0</v>
      </c>
      <c r="I1051" s="24" t="n">
        <f aca="false">Tiger!K151</f>
        <v>0.000678326719007892</v>
      </c>
      <c r="J1051" s="34" t="str">
        <f aca="false">IF(AND(ISNUMBER(H1051),ISNUMBER(H$1063)),IF(H1051&gt;H$1063,"Above",IF(H1051&lt;H$1063,"Below","At")),"-")</f>
        <v>Below</v>
      </c>
      <c r="K1051" s="34" t="str">
        <f aca="false">IF(J1051="Above","Better",IF(J1051="Below","Weaker","-"))</f>
        <v>Weaker</v>
      </c>
      <c r="L1051" s="34" t="n">
        <f aca="false">IF(ISNUMBER(H1051),RANK(H1051,H$1051:H$1060,0),"-")</f>
        <v>6</v>
      </c>
      <c r="N1051" s="34" t="str">
        <f aca="false">IF(AND(ISNUMBER(I1051),ISNUMBER(I$1063)),IF(I1051&gt;I$1063,"Above",IF(I1051&lt;I$1063,"Below","At")),"-")</f>
        <v>Below</v>
      </c>
      <c r="O1051" s="34" t="str">
        <f aca="false">IF(N1051="Above","Better",IF(N1051="Below","Weaker","-"))</f>
        <v>Weaker</v>
      </c>
    </row>
    <row r="1052" customFormat="false" ht="15" hidden="false" customHeight="false" outlineLevel="0" collapsed="false">
      <c r="A1052" s="18" t="s">
        <v>111</v>
      </c>
      <c r="B1052" s="23" t="str">
        <f aca="false">Allcargo!D151</f>
        <v>N/C</v>
      </c>
      <c r="C1052" s="23" t="str">
        <f aca="false">Allcargo!E151</f>
        <v>N/C</v>
      </c>
      <c r="D1052" s="23" t="str">
        <f aca="false">Allcargo!F151</f>
        <v>N/C</v>
      </c>
      <c r="E1052" s="23" t="str">
        <f aca="false">Allcargo!G151</f>
        <v>N/C</v>
      </c>
      <c r="F1052" s="23" t="str">
        <f aca="false">Allcargo!H151</f>
        <v>N/C</v>
      </c>
      <c r="G1052" s="23" t="str">
        <f aca="false">Allcargo!I151</f>
        <v>N/C</v>
      </c>
      <c r="H1052" s="23" t="n">
        <f aca="false">Allcargo!J151</f>
        <v>0</v>
      </c>
      <c r="I1052" s="24" t="n">
        <f aca="false">Allcargo!K151</f>
        <v>0</v>
      </c>
      <c r="J1052" s="34" t="str">
        <f aca="false">IF(AND(ISNUMBER(H1052),ISNUMBER(H$1063)),IF(H1052&gt;H$1063,"Above",IF(H1052&lt;H$1063,"Below","At")),"-")</f>
        <v>Below</v>
      </c>
      <c r="K1052" s="34" t="str">
        <f aca="false">IF(J1052="Above","Better",IF(J1052="Below","Weaker","-"))</f>
        <v>Weaker</v>
      </c>
      <c r="L1052" s="34" t="n">
        <f aca="false">IF(ISNUMBER(H1052),RANK(H1052,H$1051:H$1060,0),"-")</f>
        <v>6</v>
      </c>
      <c r="N1052" s="34" t="str">
        <f aca="false">IF(AND(ISNUMBER(I1052),ISNUMBER(I$1063)),IF(I1052&gt;I$1063,"Above",IF(I1052&lt;I$1063,"Below","At")),"-")</f>
        <v>Below</v>
      </c>
      <c r="O1052" s="34" t="str">
        <f aca="false">IF(N1052="Above","Better",IF(N1052="Below","Weaker","-"))</f>
        <v>Weaker</v>
      </c>
    </row>
    <row r="1053" customFormat="false" ht="15" hidden="false" customHeight="false" outlineLevel="0" collapsed="false">
      <c r="A1053" s="18" t="s">
        <v>112</v>
      </c>
      <c r="B1053" s="23" t="n">
        <f aca="false">BlueDart!D151</f>
        <v>0</v>
      </c>
      <c r="C1053" s="23" t="n">
        <f aca="false">BlueDart!E151</f>
        <v>0.00269770909317576</v>
      </c>
      <c r="D1053" s="23" t="n">
        <f aca="false">BlueDart!F151</f>
        <v>0.00876562333552074</v>
      </c>
      <c r="E1053" s="23" t="n">
        <f aca="false">BlueDart!G151</f>
        <v>0.00484084844833591</v>
      </c>
      <c r="F1053" s="23" t="n">
        <f aca="false">BlueDart!H151</f>
        <v>0.00405295824501177</v>
      </c>
      <c r="G1053" s="23" t="n">
        <f aca="false">BlueDart!I151</f>
        <v>0.00408429742348904</v>
      </c>
      <c r="H1053" s="23" t="n">
        <f aca="false">BlueDart!J151</f>
        <v>0.00527981696634517</v>
      </c>
      <c r="I1053" s="24" t="n">
        <f aca="false">BlueDart!K151</f>
        <v>0.00424589335883977</v>
      </c>
      <c r="J1053" s="34" t="str">
        <f aca="false">IF(AND(ISNUMBER(H1053),ISNUMBER(H$1063)),IF(H1053&gt;H$1063,"Above",IF(H1053&lt;H$1063,"Below","At")),"-")</f>
        <v>Above</v>
      </c>
      <c r="K1053" s="34" t="str">
        <f aca="false">IF(J1053="Above","Better",IF(J1053="Below","Weaker","-"))</f>
        <v>Better</v>
      </c>
      <c r="L1053" s="34" t="n">
        <f aca="false">IF(ISNUMBER(H1053),RANK(H1053,H$1051:H$1060,0),"-")</f>
        <v>5</v>
      </c>
      <c r="N1053" s="34" t="str">
        <f aca="false">IF(AND(ISNUMBER(I1053),ISNUMBER(I$1063)),IF(I1053&gt;I$1063,"Above",IF(I1053&lt;I$1063,"Below","At")),"-")</f>
        <v>Below</v>
      </c>
      <c r="O1053" s="34" t="str">
        <f aca="false">IF(N1053="Above","Better",IF(N1053="Below","Weaker","-"))</f>
        <v>Weaker</v>
      </c>
    </row>
    <row r="1054" customFormat="false" ht="15" hidden="false" customHeight="false" outlineLevel="0" collapsed="false">
      <c r="A1054" s="18" t="s">
        <v>67</v>
      </c>
      <c r="B1054" s="23" t="n">
        <f aca="false">CONCOR!D151</f>
        <v>0.0108552721178928</v>
      </c>
      <c r="C1054" s="23" t="n">
        <f aca="false">CONCOR!E151</f>
        <v>0.00836147847516933</v>
      </c>
      <c r="D1054" s="23" t="n">
        <f aca="false">CONCOR!F151</f>
        <v>0.0133903078638284</v>
      </c>
      <c r="E1054" s="23" t="n">
        <f aca="false">CONCOR!G151</f>
        <v>0.0189579682583934</v>
      </c>
      <c r="F1054" s="23" t="n">
        <f aca="false">CONCOR!H151</f>
        <v>0.0130375916095948</v>
      </c>
      <c r="G1054" s="23" t="n">
        <f aca="false">CONCOR!I151</f>
        <v>0.0166287732198142</v>
      </c>
      <c r="H1054" s="23" t="n">
        <f aca="false">CONCOR!J151</f>
        <v>0.0202214526770031</v>
      </c>
      <c r="I1054" s="24" t="n">
        <f aca="false">CONCOR!K151</f>
        <v>0.0144932634602423</v>
      </c>
      <c r="J1054" s="34" t="str">
        <f aca="false">IF(AND(ISNUMBER(H1054),ISNUMBER(H$1063)),IF(H1054&gt;H$1063,"Above",IF(H1054&lt;H$1063,"Below","At")),"-")</f>
        <v>Above</v>
      </c>
      <c r="K1054" s="34" t="str">
        <f aca="false">IF(J1054="Above","Better",IF(J1054="Below","Weaker","-"))</f>
        <v>Better</v>
      </c>
      <c r="L1054" s="34" t="n">
        <f aca="false">IF(ISNUMBER(H1054),RANK(H1054,H$1051:H$1060,0),"-")</f>
        <v>2</v>
      </c>
      <c r="N1054" s="34" t="str">
        <f aca="false">IF(AND(ISNUMBER(I1054),ISNUMBER(I$1063)),IF(I1054&gt;I$1063,"Above",IF(I1054&lt;I$1063,"Below","At")),"-")</f>
        <v>Above</v>
      </c>
      <c r="O1054" s="34" t="str">
        <f aca="false">IF(N1054="Above","Better",IF(N1054="Below","Weaker","-"))</f>
        <v>Better</v>
      </c>
    </row>
    <row r="1055" customFormat="false" ht="15" hidden="false" customHeight="false" outlineLevel="0" collapsed="false">
      <c r="A1055" s="18" t="s">
        <v>113</v>
      </c>
      <c r="B1055" s="23" t="n">
        <f aca="false">JetFreight!D151</f>
        <v>0</v>
      </c>
      <c r="C1055" s="23" t="n">
        <f aca="false">JetFreight!E151</f>
        <v>0</v>
      </c>
      <c r="D1055" s="23" t="n">
        <f aca="false">JetFreight!F151</f>
        <v>0.00088934212398615</v>
      </c>
      <c r="E1055" s="23" t="n">
        <f aca="false">JetFreight!G151</f>
        <v>0</v>
      </c>
      <c r="F1055" s="23" t="n">
        <f aca="false">JetFreight!H151</f>
        <v>0</v>
      </c>
      <c r="G1055" s="23" t="n">
        <f aca="false">JetFreight!I151</f>
        <v>0</v>
      </c>
      <c r="H1055" s="23" t="n">
        <f aca="false">JetFreight!J151</f>
        <v>0</v>
      </c>
      <c r="I1055" s="24" t="n">
        <f aca="false">JetFreight!K151</f>
        <v>0.000127048874855164</v>
      </c>
      <c r="J1055" s="34" t="str">
        <f aca="false">IF(AND(ISNUMBER(H1055),ISNUMBER(H$1063)),IF(H1055&gt;H$1063,"Above",IF(H1055&lt;H$1063,"Below","At")),"-")</f>
        <v>Below</v>
      </c>
      <c r="K1055" s="34" t="str">
        <f aca="false">IF(J1055="Above","Better",IF(J1055="Below","Weaker","-"))</f>
        <v>Weaker</v>
      </c>
      <c r="L1055" s="34" t="n">
        <f aca="false">IF(ISNUMBER(H1055),RANK(H1055,H$1051:H$1060,0),"-")</f>
        <v>6</v>
      </c>
      <c r="N1055" s="34" t="str">
        <f aca="false">IF(AND(ISNUMBER(I1055),ISNUMBER(I$1063)),IF(I1055&gt;I$1063,"Above",IF(I1055&lt;I$1063,"Below","At")),"-")</f>
        <v>Below</v>
      </c>
      <c r="O1055" s="34" t="str">
        <f aca="false">IF(N1055="Above","Better",IF(N1055="Below","Weaker","-"))</f>
        <v>Weaker</v>
      </c>
    </row>
    <row r="1056" customFormat="false" ht="15" hidden="false" customHeight="false" outlineLevel="0" collapsed="false">
      <c r="A1056" s="18" t="s">
        <v>114</v>
      </c>
      <c r="B1056" s="23" t="n">
        <f aca="false">Patel!D151</f>
        <v>0.00505140547928924</v>
      </c>
      <c r="C1056" s="23" t="n">
        <f aca="false">Patel!E151</f>
        <v>0.00385064816775793</v>
      </c>
      <c r="D1056" s="23" t="n">
        <f aca="false">Patel!F151</f>
        <v>0.0039850736851194</v>
      </c>
      <c r="E1056" s="23" t="n">
        <f aca="false">Patel!G151</f>
        <v>0.00864729672200936</v>
      </c>
      <c r="F1056" s="23" t="n">
        <f aca="false">Patel!H151</f>
        <v>0.00474305762304221</v>
      </c>
      <c r="G1056" s="23" t="n">
        <f aca="false">Patel!I151</f>
        <v>0.0224765985270838</v>
      </c>
      <c r="H1056" s="23" t="n">
        <f aca="false">Patel!J151</f>
        <v>0.0241782861595836</v>
      </c>
      <c r="I1056" s="24" t="n">
        <f aca="false">Patel!K151</f>
        <v>0.0104189094805551</v>
      </c>
      <c r="J1056" s="34" t="str">
        <f aca="false">IF(AND(ISNUMBER(H1056),ISNUMBER(H$1063)),IF(H1056&gt;H$1063,"Above",IF(H1056&lt;H$1063,"Below","At")),"-")</f>
        <v>Above</v>
      </c>
      <c r="K1056" s="34" t="str">
        <f aca="false">IF(J1056="Above","Better",IF(J1056="Below","Weaker","-"))</f>
        <v>Better</v>
      </c>
      <c r="L1056" s="34" t="n">
        <f aca="false">IF(ISNUMBER(H1056),RANK(H1056,H$1051:H$1060,0),"-")</f>
        <v>1</v>
      </c>
      <c r="N1056" s="34" t="str">
        <f aca="false">IF(AND(ISNUMBER(I1056),ISNUMBER(I$1063)),IF(I1056&gt;I$1063,"Above",IF(I1056&lt;I$1063,"Below","At")),"-")</f>
        <v>Above</v>
      </c>
      <c r="O1056" s="34" t="str">
        <f aca="false">IF(N1056="Above","Better",IF(N1056="Below","Weaker","-"))</f>
        <v>Better</v>
      </c>
    </row>
    <row r="1057" customFormat="false" ht="15" hidden="false" customHeight="false" outlineLevel="0" collapsed="false">
      <c r="A1057" s="18" t="s">
        <v>115</v>
      </c>
      <c r="B1057" s="23" t="n">
        <f aca="false">Sical!D151</f>
        <v>0</v>
      </c>
      <c r="C1057" s="23" t="n">
        <f aca="false">Sical!E151</f>
        <v>0</v>
      </c>
      <c r="D1057" s="23" t="n">
        <f aca="false">Sical!F151</f>
        <v>0</v>
      </c>
      <c r="E1057" s="23" t="n">
        <f aca="false">Sical!G151</f>
        <v>0</v>
      </c>
      <c r="F1057" s="23" t="n">
        <f aca="false">Sical!H151</f>
        <v>0</v>
      </c>
      <c r="G1057" s="23" t="n">
        <f aca="false">Sical!I151</f>
        <v>0</v>
      </c>
      <c r="H1057" s="23" t="n">
        <f aca="false">Sical!J151</f>
        <v>0</v>
      </c>
      <c r="I1057" s="24" t="n">
        <f aca="false">Sical!K151</f>
        <v>0</v>
      </c>
      <c r="J1057" s="34" t="str">
        <f aca="false">IF(AND(ISNUMBER(H1057),ISNUMBER(H$1063)),IF(H1057&gt;H$1063,"Above",IF(H1057&lt;H$1063,"Below","At")),"-")</f>
        <v>Below</v>
      </c>
      <c r="K1057" s="34" t="str">
        <f aca="false">IF(J1057="Above","Better",IF(J1057="Below","Weaker","-"))</f>
        <v>Weaker</v>
      </c>
      <c r="L1057" s="34" t="n">
        <f aca="false">IF(ISNUMBER(H1057),RANK(H1057,H$1051:H$1060,0),"-")</f>
        <v>6</v>
      </c>
      <c r="N1057" s="34" t="str">
        <f aca="false">IF(AND(ISNUMBER(I1057),ISNUMBER(I$1063)),IF(I1057&gt;I$1063,"Above",IF(I1057&lt;I$1063,"Below","At")),"-")</f>
        <v>Below</v>
      </c>
      <c r="O1057" s="34" t="str">
        <f aca="false">IF(N1057="Above","Better",IF(N1057="Below","Weaker","-"))</f>
        <v>Weaker</v>
      </c>
    </row>
    <row r="1058" customFormat="false" ht="15" hidden="false" customHeight="false" outlineLevel="0" collapsed="false">
      <c r="A1058" s="18" t="s">
        <v>86</v>
      </c>
      <c r="B1058" s="23" t="n">
        <f aca="false">TCI!D151</f>
        <v>0.0106423934237348</v>
      </c>
      <c r="C1058" s="23" t="n">
        <f aca="false">TCI!E151</f>
        <v>0.00976243805750775</v>
      </c>
      <c r="D1058" s="23" t="n">
        <f aca="false">TCI!F151</f>
        <v>0.00668100037075881</v>
      </c>
      <c r="E1058" s="23" t="n">
        <f aca="false">TCI!G151</f>
        <v>0.011158722757956</v>
      </c>
      <c r="F1058" s="23" t="n">
        <f aca="false">TCI!H151</f>
        <v>0.0086296956676454</v>
      </c>
      <c r="G1058" s="23" t="n">
        <f aca="false">TCI!I151</f>
        <v>0.0072562358276644</v>
      </c>
      <c r="H1058" s="23" t="n">
        <f aca="false">TCI!J151</f>
        <v>0.0108412989218028</v>
      </c>
      <c r="I1058" s="24" t="n">
        <f aca="false">TCI!K151</f>
        <v>0.00928168357529572</v>
      </c>
      <c r="J1058" s="34" t="str">
        <f aca="false">IF(AND(ISNUMBER(H1058),ISNUMBER(H$1063)),IF(H1058&gt;H$1063,"Above",IF(H1058&lt;H$1063,"Below","At")),"-")</f>
        <v>Above</v>
      </c>
      <c r="K1058" s="34" t="str">
        <f aca="false">IF(J1058="Above","Better",IF(J1058="Below","Weaker","-"))</f>
        <v>Better</v>
      </c>
      <c r="L1058" s="34" t="n">
        <f aca="false">IF(ISNUMBER(H1058),RANK(H1058,H$1051:H$1060,0),"-")</f>
        <v>3</v>
      </c>
      <c r="N1058" s="34" t="str">
        <f aca="false">IF(AND(ISNUMBER(I1058),ISNUMBER(I$1063)),IF(I1058&gt;I$1063,"Above",IF(I1058&lt;I$1063,"Below","At")),"-")</f>
        <v>Above</v>
      </c>
      <c r="O1058" s="34" t="str">
        <f aca="false">IF(N1058="Above","Better",IF(N1058="Below","Weaker","-"))</f>
        <v>Better</v>
      </c>
    </row>
    <row r="1059" customFormat="false" ht="15" hidden="false" customHeight="false" outlineLevel="0" collapsed="false">
      <c r="A1059" s="18" t="s">
        <v>116</v>
      </c>
      <c r="B1059" s="23" t="n">
        <f aca="false">Shreeji!D151</f>
        <v>0.0164713335445043</v>
      </c>
      <c r="C1059" s="23" t="n">
        <f aca="false">Shreeji!E151</f>
        <v>0.0181818181818182</v>
      </c>
      <c r="D1059" s="23" t="n">
        <f aca="false">Shreeji!F151</f>
        <v>0.00986193293885601</v>
      </c>
      <c r="E1059" s="23" t="n">
        <f aca="false">Shreeji!G151</f>
        <v>0.00301333184101661</v>
      </c>
      <c r="F1059" s="23" t="n">
        <f aca="false">Shreeji!H151</f>
        <v>0.00384869567703505</v>
      </c>
      <c r="G1059" s="23" t="n">
        <f aca="false">Shreeji!I151</f>
        <v>0</v>
      </c>
      <c r="H1059" s="23" t="n">
        <f aca="false">Shreeji!J151</f>
        <v>0</v>
      </c>
      <c r="I1059" s="24" t="n">
        <f aca="false">Shreeji!K151</f>
        <v>0.00733958745474716</v>
      </c>
      <c r="J1059" s="34" t="str">
        <f aca="false">IF(AND(ISNUMBER(H1059),ISNUMBER(H$1063)),IF(H1059&gt;H$1063,"Above",IF(H1059&lt;H$1063,"Below","At")),"-")</f>
        <v>Below</v>
      </c>
      <c r="K1059" s="34" t="str">
        <f aca="false">IF(J1059="Above","Better",IF(J1059="Below","Weaker","-"))</f>
        <v>Weaker</v>
      </c>
      <c r="L1059" s="34" t="n">
        <f aca="false">IF(ISNUMBER(H1059),RANK(H1059,H$1051:H$1060,0),"-")</f>
        <v>6</v>
      </c>
      <c r="N1059" s="34" t="str">
        <f aca="false">IF(AND(ISNUMBER(I1059),ISNUMBER(I$1063)),IF(I1059&gt;I$1063,"Above",IF(I1059&lt;I$1063,"Below","At")),"-")</f>
        <v>Above</v>
      </c>
      <c r="O1059" s="34" t="str">
        <f aca="false">IF(N1059="Above","Better",IF(N1059="Below","Weaker","-"))</f>
        <v>Better</v>
      </c>
    </row>
    <row r="1060" customFormat="false" ht="15" hidden="false" customHeight="false" outlineLevel="0" collapsed="false">
      <c r="A1060" s="18" t="s">
        <v>117</v>
      </c>
      <c r="B1060" s="23" t="n">
        <f aca="false">MahindraLog!D151</f>
        <v>0.00527193557566982</v>
      </c>
      <c r="C1060" s="23" t="n">
        <f aca="false">MahindraLog!E151</f>
        <v>0.00343859027009436</v>
      </c>
      <c r="D1060" s="23" t="n">
        <f aca="false">MahindraLog!F151</f>
        <v>0.00315842223951259</v>
      </c>
      <c r="E1060" s="23" t="n">
        <f aca="false">MahindraLog!G151</f>
        <v>0.00562330070881705</v>
      </c>
      <c r="F1060" s="23" t="n">
        <f aca="false">MahindraLog!H151</f>
        <v>0.00487562156730253</v>
      </c>
      <c r="G1060" s="23" t="n">
        <f aca="false">MahindraLog!I151</f>
        <v>0.00761305320675482</v>
      </c>
      <c r="H1060" s="23" t="n">
        <f aca="false">MahindraLog!J151</f>
        <v>0.00751201923076923</v>
      </c>
      <c r="I1060" s="24" t="n">
        <f aca="false">MahindraLog!K151</f>
        <v>0.00535613468556006</v>
      </c>
      <c r="J1060" s="34" t="str">
        <f aca="false">IF(AND(ISNUMBER(H1060),ISNUMBER(H$1063)),IF(H1060&gt;H$1063,"Above",IF(H1060&lt;H$1063,"Below","At")),"-")</f>
        <v>Above</v>
      </c>
      <c r="K1060" s="34" t="str">
        <f aca="false">IF(J1060="Above","Better",IF(J1060="Below","Weaker","-"))</f>
        <v>Better</v>
      </c>
      <c r="L1060" s="34" t="n">
        <f aca="false">IF(ISNUMBER(H1060),RANK(H1060,H$1051:H$1060,0),"-")</f>
        <v>4</v>
      </c>
      <c r="N1060" s="34" t="str">
        <f aca="false">IF(AND(ISNUMBER(I1060),ISNUMBER(I$1063)),IF(I1060&gt;I$1063,"Above",IF(I1060&lt;I$1063,"Below","At")),"-")</f>
        <v>Above</v>
      </c>
      <c r="O1060" s="34" t="str">
        <f aca="false">IF(N1060="Above","Better",IF(N1060="Below","Weaker","-"))</f>
        <v>Better</v>
      </c>
    </row>
    <row r="1061" customFormat="false" ht="15" hidden="false" customHeight="false" outlineLevel="0" collapsed="false">
      <c r="A1061" s="12" t="s">
        <v>176</v>
      </c>
      <c r="B1061" s="24" t="n">
        <f aca="false">Industry!D151</f>
        <v>0.00847233339963572</v>
      </c>
      <c r="C1061" s="24" t="n">
        <f aca="false">Industry!E151</f>
        <v>0.00663551808826297</v>
      </c>
      <c r="D1061" s="24" t="n">
        <f aca="false">Industry!F151</f>
        <v>0.0110239630618269</v>
      </c>
      <c r="E1061" s="24" t="n">
        <f aca="false">Industry!G151</f>
        <v>0.0138106857198781</v>
      </c>
      <c r="F1061" s="24" t="n">
        <f aca="false">Industry!H151</f>
        <v>0.0103944449880648</v>
      </c>
      <c r="G1061" s="24" t="n">
        <f aca="false">Industry!I151</f>
        <v>0.0122575377450037</v>
      </c>
      <c r="H1061" s="24" t="n">
        <f aca="false">Industry!J151</f>
        <v>0.0145872310363916</v>
      </c>
      <c r="I1061" s="24" t="n">
        <f aca="false">Industry!K151</f>
        <v>0.0110259591484377</v>
      </c>
    </row>
    <row r="1062" customFormat="false" ht="15" hidden="false" customHeight="false" outlineLevel="0" collapsed="false">
      <c r="A1062" s="35" t="s">
        <v>177</v>
      </c>
      <c r="B1062" s="39" t="n">
        <f aca="false">IFERROR(AVERAGE(B1051:B1060),"N/M")</f>
        <v>0.00536581557123233</v>
      </c>
      <c r="C1062" s="39" t="n">
        <f aca="false">IFERROR(AVERAGE(C1051:C1060),"N/M")</f>
        <v>0.0051436313606137</v>
      </c>
      <c r="D1062" s="39" t="n">
        <f aca="false">IFERROR(AVERAGE(D1051:D1060),"N/M")</f>
        <v>0.00571999884340415</v>
      </c>
      <c r="E1062" s="39" t="n">
        <f aca="false">IFERROR(AVERAGE(E1051:E1060),"N/M")</f>
        <v>0.00580460763739204</v>
      </c>
      <c r="F1062" s="39" t="n">
        <f aca="false">IFERROR(AVERAGE(F1051:F1060),"N/M")</f>
        <v>0.00435418004329241</v>
      </c>
      <c r="G1062" s="39" t="n">
        <f aca="false">IFERROR(AVERAGE(G1051:G1060),"N/M")</f>
        <v>0.00645099535608959</v>
      </c>
      <c r="H1062" s="39" t="n">
        <f aca="false">IFERROR(AVERAGE(H1051:H1060),"N/M")</f>
        <v>0.00680328739555039</v>
      </c>
      <c r="I1062" s="39" t="n">
        <f aca="false">IFERROR(AVERAGE(I1051:I1060),"N/M")</f>
        <v>0.00519408476091031</v>
      </c>
    </row>
    <row r="1063" customFormat="false" ht="15" hidden="false" customHeight="false" outlineLevel="0" collapsed="false">
      <c r="A1063" s="35" t="s">
        <v>178</v>
      </c>
      <c r="B1063" s="39" t="n">
        <f aca="false">IFERROR(MEDIAN(B1051:B1060),"N/M")</f>
        <v>0.00505140547928924</v>
      </c>
      <c r="C1063" s="39" t="n">
        <f aca="false">IFERROR(MEDIAN(C1051:C1060),"N/M")</f>
        <v>0.00343859027009436</v>
      </c>
      <c r="D1063" s="39" t="n">
        <f aca="false">IFERROR(MEDIAN(D1051:D1060),"N/M")</f>
        <v>0.00474828703305525</v>
      </c>
      <c r="E1063" s="39" t="n">
        <f aca="false">IFERROR(MEDIAN(E1051:E1060),"N/M")</f>
        <v>0.00484084844833591</v>
      </c>
      <c r="F1063" s="39" t="n">
        <f aca="false">IFERROR(MEDIAN(F1051:F1060),"N/M")</f>
        <v>0.00405295824501177</v>
      </c>
      <c r="G1063" s="39" t="n">
        <f aca="false">IFERROR(MEDIAN(G1051:G1060),"N/M")</f>
        <v>0.00408429742348904</v>
      </c>
      <c r="H1063" s="39" t="n">
        <f aca="false">IFERROR(MEDIAN(H1051:H1060),"N/M")</f>
        <v>0.00263990848317258</v>
      </c>
      <c r="I1063" s="39" t="n">
        <f aca="false">IFERROR(MEDIAN(I1051:I1060),"N/M")</f>
        <v>0.00480101402219991</v>
      </c>
    </row>
    <row r="1064" customFormat="false" ht="15" hidden="false" customHeight="false" outlineLevel="0" collapsed="false">
      <c r="A1064" s="35" t="s">
        <v>179</v>
      </c>
      <c r="B1064" s="39" t="n">
        <f aca="false">IFERROR(STDEV(B1051:B1060),"N/M")</f>
        <v>0.00608876537775989</v>
      </c>
      <c r="C1064" s="39" t="n">
        <f aca="false">IFERROR(STDEV(C1051:C1060),"N/M")</f>
        <v>0.00603753434832817</v>
      </c>
      <c r="D1064" s="39" t="n">
        <f aca="false">IFERROR(STDEV(D1051:D1060),"N/M")</f>
        <v>0.00436975551313594</v>
      </c>
      <c r="E1064" s="39" t="n">
        <f aca="false">IFERROR(STDEV(E1051:E1060),"N/M")</f>
        <v>0.00632051876433656</v>
      </c>
      <c r="F1064" s="39" t="n">
        <f aca="false">IFERROR(STDEV(F1051:F1060),"N/M")</f>
        <v>0.00434924846788761</v>
      </c>
      <c r="G1064" s="39" t="n">
        <f aca="false">IFERROR(STDEV(G1051:G1060),"N/M")</f>
        <v>0.00817365075520258</v>
      </c>
      <c r="H1064" s="39" t="n">
        <f aca="false">IFERROR(STDEV(H1051:H1060),"N/M")</f>
        <v>0.00902151834074679</v>
      </c>
      <c r="I1064" s="39" t="n">
        <f aca="false">IFERROR(STDEV(I1051:I1060),"N/M")</f>
        <v>0.00512113753849241</v>
      </c>
    </row>
    <row r="1065" customFormat="false" ht="15" hidden="false" customHeight="false" outlineLevel="0" collapsed="false">
      <c r="A1065" s="35" t="s">
        <v>102</v>
      </c>
      <c r="B1065" s="39" t="n">
        <f aca="false">IFERROR(MIN(B1051:B1060),"N/M")</f>
        <v>0</v>
      </c>
      <c r="C1065" s="39" t="n">
        <f aca="false">IFERROR(MIN(C1051:C1060),"N/M")</f>
        <v>0</v>
      </c>
      <c r="D1065" s="39" t="n">
        <f aca="false">IFERROR(MIN(D1051:D1060),"N/M")</f>
        <v>0</v>
      </c>
      <c r="E1065" s="39" t="n">
        <f aca="false">IFERROR(MIN(E1051:E1060),"N/M")</f>
        <v>0</v>
      </c>
      <c r="F1065" s="39" t="n">
        <f aca="false">IFERROR(MIN(F1051:F1060),"N/M")</f>
        <v>0</v>
      </c>
      <c r="G1065" s="39" t="n">
        <f aca="false">IFERROR(MIN(G1051:G1060),"N/M")</f>
        <v>0</v>
      </c>
      <c r="H1065" s="39" t="n">
        <f aca="false">IFERROR(MIN(H1051:H1060),"N/M")</f>
        <v>0</v>
      </c>
      <c r="I1065" s="39" t="n">
        <f aca="false">IFERROR(MIN(I1051:I1060),"N/M")</f>
        <v>0</v>
      </c>
    </row>
    <row r="1066" customFormat="false" ht="15" hidden="false" customHeight="false" outlineLevel="0" collapsed="false">
      <c r="A1066" s="35" t="s">
        <v>103</v>
      </c>
      <c r="B1066" s="39" t="n">
        <f aca="false">IFERROR(MAX(B1051:B1060),"N/M")</f>
        <v>0.0164713335445043</v>
      </c>
      <c r="C1066" s="39" t="n">
        <f aca="false">IFERROR(MAX(C1051:C1060),"N/M")</f>
        <v>0.0181818181818182</v>
      </c>
      <c r="D1066" s="39" t="n">
        <f aca="false">IFERROR(MAX(D1051:D1060),"N/M")</f>
        <v>0.0133903078638284</v>
      </c>
      <c r="E1066" s="39" t="n">
        <f aca="false">IFERROR(MAX(E1051:E1060),"N/M")</f>
        <v>0.0189579682583934</v>
      </c>
      <c r="F1066" s="39" t="n">
        <f aca="false">IFERROR(MAX(F1051:F1060),"N/M")</f>
        <v>0.0130375916095948</v>
      </c>
      <c r="G1066" s="39" t="n">
        <f aca="false">IFERROR(MAX(G1051:G1060),"N/M")</f>
        <v>0.0224765985270838</v>
      </c>
      <c r="H1066" s="39" t="n">
        <f aca="false">IFERROR(MAX(H1051:H1060),"N/M")</f>
        <v>0.0241782861595836</v>
      </c>
      <c r="I1066" s="39" t="n">
        <f aca="false">IFERROR(MAX(I1051:I1060),"N/M")</f>
        <v>0.0144932634602423</v>
      </c>
    </row>
    <row r="1068" customFormat="false" ht="15" hidden="false" customHeight="false" outlineLevel="0" collapsed="false">
      <c r="A1068" s="16" t="s">
        <v>239</v>
      </c>
      <c r="B1068" s="17"/>
      <c r="C1068" s="17"/>
      <c r="D1068" s="17"/>
      <c r="E1068" s="17"/>
      <c r="F1068" s="17"/>
      <c r="G1068" s="17"/>
      <c r="H1068" s="17"/>
      <c r="I1068" s="17"/>
      <c r="J1068" s="17"/>
      <c r="K1068" s="17"/>
      <c r="L1068" s="17"/>
      <c r="M1068" s="17"/>
    </row>
    <row r="1069" customFormat="false" ht="15" hidden="false" customHeight="false" outlineLevel="0" collapsed="false">
      <c r="A1069" s="18" t="s">
        <v>110</v>
      </c>
      <c r="B1069" s="20" t="str">
        <f aca="false">Tiger!D152</f>
        <v>N/M</v>
      </c>
      <c r="C1069" s="20" t="str">
        <f aca="false">Tiger!E152</f>
        <v>N/M</v>
      </c>
      <c r="D1069" s="20" t="n">
        <f aca="false">Tiger!F152</f>
        <v>6.63807314897413</v>
      </c>
      <c r="E1069" s="20" t="n">
        <f aca="false">Tiger!G152</f>
        <v>16.5449418354158</v>
      </c>
      <c r="F1069" s="20" t="n">
        <f aca="false">Tiger!H152</f>
        <v>37.516975308642</v>
      </c>
      <c r="G1069" s="20" t="n">
        <f aca="false">Tiger!I152</f>
        <v>18.58848574602</v>
      </c>
      <c r="H1069" s="20" t="n">
        <f aca="false">Tiger!J152</f>
        <v>11.7389869888476</v>
      </c>
      <c r="I1069" s="21" t="n">
        <f aca="false">Tiger!K152</f>
        <v>18.2054926055799</v>
      </c>
      <c r="J1069" s="34" t="str">
        <f aca="false">IF(AND(ISNUMBER(H1069),ISNUMBER(H$1081)),IF(H1069&gt;H$1081,"Above",IF(H1069&lt;H$1081,"Below","At")),"-")</f>
        <v>Below</v>
      </c>
      <c r="K1069" s="34" t="s">
        <v>204</v>
      </c>
      <c r="L1069" s="34" t="n">
        <f aca="false">IF(ISNUMBER(H1069),RANK(H1069,H$1069:H$1078,0),"-")</f>
        <v>7</v>
      </c>
      <c r="N1069" s="34" t="str">
        <f aca="false">IF(AND(ISNUMBER(I1069),ISNUMBER(I$1081)),IF(I1069&gt;I$1081,"Above",IF(I1069&lt;I$1081,"Below","At")),"-")</f>
        <v>Below</v>
      </c>
      <c r="O1069" s="34" t="s">
        <v>204</v>
      </c>
    </row>
    <row r="1070" customFormat="false" ht="15" hidden="false" customHeight="false" outlineLevel="0" collapsed="false">
      <c r="A1070" s="18" t="s">
        <v>111</v>
      </c>
      <c r="B1070" s="20" t="str">
        <f aca="false">Allcargo!D152</f>
        <v>N/C</v>
      </c>
      <c r="C1070" s="20" t="str">
        <f aca="false">Allcargo!E152</f>
        <v>N/C</v>
      </c>
      <c r="D1070" s="20" t="str">
        <f aca="false">Allcargo!F152</f>
        <v>N/C</v>
      </c>
      <c r="E1070" s="20" t="str">
        <f aca="false">Allcargo!G152</f>
        <v>N/C</v>
      </c>
      <c r="F1070" s="20" t="str">
        <f aca="false">Allcargo!H152</f>
        <v>N/C</v>
      </c>
      <c r="G1070" s="20" t="str">
        <f aca="false">Allcargo!I152</f>
        <v>N/C</v>
      </c>
      <c r="H1070" s="20" t="n">
        <f aca="false">Allcargo!J152</f>
        <v>134.42755</v>
      </c>
      <c r="I1070" s="21" t="n">
        <f aca="false">Allcargo!K152</f>
        <v>134.42755</v>
      </c>
      <c r="J1070" s="34" t="str">
        <f aca="false">IF(AND(ISNUMBER(H1070),ISNUMBER(H$1081)),IF(H1070&gt;H$1081,"Above",IF(H1070&lt;H$1081,"Below","At")),"-")</f>
        <v>Above</v>
      </c>
      <c r="K1070" s="34" t="s">
        <v>204</v>
      </c>
      <c r="L1070" s="34" t="n">
        <f aca="false">IF(ISNUMBER(H1070),RANK(H1070,H$1069:H$1078,0),"-")</f>
        <v>2</v>
      </c>
      <c r="N1070" s="34" t="str">
        <f aca="false">IF(AND(ISNUMBER(I1070),ISNUMBER(I$1081)),IF(I1070&gt;I$1081,"Above",IF(I1070&lt;I$1081,"Below","At")),"-")</f>
        <v>Above</v>
      </c>
      <c r="O1070" s="34" t="s">
        <v>204</v>
      </c>
    </row>
    <row r="1071" customFormat="false" ht="15" hidden="false" customHeight="false" outlineLevel="0" collapsed="false">
      <c r="A1071" s="18" t="s">
        <v>112</v>
      </c>
      <c r="B1071" s="20" t="str">
        <f aca="false">BlueDart!D152</f>
        <v>N/M</v>
      </c>
      <c r="C1071" s="20" t="n">
        <f aca="false">BlueDart!E152</f>
        <v>129.763377860721</v>
      </c>
      <c r="D1071" s="20" t="n">
        <f aca="false">BlueDart!F152</f>
        <v>42.5513003322781</v>
      </c>
      <c r="E1071" s="20" t="n">
        <f aca="false">BlueDart!G152</f>
        <v>39.739539308558</v>
      </c>
      <c r="F1071" s="20" t="n">
        <f aca="false">BlueDart!H152</f>
        <v>48.6892844091558</v>
      </c>
      <c r="G1071" s="20" t="n">
        <f aca="false">BlueDart!I152</f>
        <v>57.6162942714524</v>
      </c>
      <c r="H1071" s="20" t="n">
        <f aca="false">BlueDart!J152</f>
        <v>45.4763329156393</v>
      </c>
      <c r="I1071" s="21" t="n">
        <f aca="false">BlueDart!K152</f>
        <v>60.6393548496341</v>
      </c>
      <c r="J1071" s="34" t="str">
        <f aca="false">IF(AND(ISNUMBER(H1071),ISNUMBER(H$1081)),IF(H1071&gt;H$1081,"Above",IF(H1071&lt;H$1081,"Below","At")),"-")</f>
        <v>Above</v>
      </c>
      <c r="K1071" s="34" t="s">
        <v>204</v>
      </c>
      <c r="L1071" s="34" t="n">
        <f aca="false">IF(ISNUMBER(H1071),RANK(H1071,H$1069:H$1078,0),"-")</f>
        <v>3</v>
      </c>
      <c r="N1071" s="34" t="str">
        <f aca="false">IF(AND(ISNUMBER(I1071),ISNUMBER(I$1081)),IF(I1071&gt;I$1081,"Above",IF(I1071&lt;I$1081,"Below","At")),"-")</f>
        <v>Above</v>
      </c>
      <c r="O1071" s="34" t="s">
        <v>204</v>
      </c>
    </row>
    <row r="1072" customFormat="false" ht="15" hidden="false" customHeight="false" outlineLevel="0" collapsed="false">
      <c r="A1072" s="18" t="s">
        <v>67</v>
      </c>
      <c r="B1072" s="20" t="n">
        <f aca="false">CONCOR!D152</f>
        <v>50.0762569389374</v>
      </c>
      <c r="C1072" s="20" t="n">
        <f aca="false">CONCOR!E152</f>
        <v>72.1112773621502</v>
      </c>
      <c r="D1072" s="20" t="n">
        <f aca="false">CONCOR!F152</f>
        <v>38.8133626506938</v>
      </c>
      <c r="E1072" s="20" t="n">
        <f aca="false">CONCOR!G152</f>
        <v>30.117024883505</v>
      </c>
      <c r="F1072" s="20" t="n">
        <f aca="false">CONCOR!H152</f>
        <v>42.6344717949532</v>
      </c>
      <c r="G1072" s="20" t="n">
        <f aca="false">CONCOR!I152</f>
        <v>32.6647117464206</v>
      </c>
      <c r="H1072" s="20" t="n">
        <f aca="false">CONCOR!J152</f>
        <v>26.0837880496054</v>
      </c>
      <c r="I1072" s="21" t="n">
        <f aca="false">CONCOR!K152</f>
        <v>41.7858419180379</v>
      </c>
      <c r="J1072" s="34" t="str">
        <f aca="false">IF(AND(ISNUMBER(H1072),ISNUMBER(H$1081)),IF(H1072&gt;H$1081,"Above",IF(H1072&lt;H$1081,"Below","At")),"-")</f>
        <v>Above</v>
      </c>
      <c r="K1072" s="34" t="s">
        <v>204</v>
      </c>
      <c r="L1072" s="34" t="n">
        <f aca="false">IF(ISNUMBER(H1072),RANK(H1072,H$1069:H$1078,0),"-")</f>
        <v>4</v>
      </c>
      <c r="N1072" s="34" t="str">
        <f aca="false">IF(AND(ISNUMBER(I1072),ISNUMBER(I$1081)),IF(I1072&gt;I$1081,"Above",IF(I1072&lt;I$1081,"Below","At")),"-")</f>
        <v>Below</v>
      </c>
      <c r="O1072" s="34" t="s">
        <v>204</v>
      </c>
    </row>
    <row r="1073" customFormat="false" ht="15" hidden="false" customHeight="false" outlineLevel="0" collapsed="false">
      <c r="A1073" s="18" t="s">
        <v>113</v>
      </c>
      <c r="B1073" s="20" t="str">
        <f aca="false">JetFreight!D152</f>
        <v>N/M</v>
      </c>
      <c r="C1073" s="20" t="n">
        <f aca="false">JetFreight!E152</f>
        <v>13.2914741035857</v>
      </c>
      <c r="D1073" s="20" t="n">
        <f aca="false">JetFreight!F152</f>
        <v>47.8479432624114</v>
      </c>
      <c r="E1073" s="20" t="n">
        <f aca="false">JetFreight!G152</f>
        <v>912.533333333333</v>
      </c>
      <c r="F1073" s="20" t="n">
        <f aca="false">JetFreight!H152</f>
        <v>222.184615384615</v>
      </c>
      <c r="G1073" s="20" t="n">
        <f aca="false">JetFreight!I152</f>
        <v>14.330509383378</v>
      </c>
      <c r="H1073" s="20" t="n">
        <f aca="false">JetFreight!J152</f>
        <v>11.6409411764706</v>
      </c>
      <c r="I1073" s="21" t="n">
        <f aca="false">JetFreight!K152</f>
        <v>203.638136107299</v>
      </c>
      <c r="J1073" s="34" t="str">
        <f aca="false">IF(AND(ISNUMBER(H1073),ISNUMBER(H$1081)),IF(H1073&gt;H$1081,"Above",IF(H1073&lt;H$1081,"Below","At")),"-")</f>
        <v>Below</v>
      </c>
      <c r="K1073" s="34" t="s">
        <v>204</v>
      </c>
      <c r="L1073" s="34" t="n">
        <f aca="false">IF(ISNUMBER(H1073),RANK(H1073,H$1069:H$1078,0),"-")</f>
        <v>8</v>
      </c>
      <c r="N1073" s="34" t="str">
        <f aca="false">IF(AND(ISNUMBER(I1073),ISNUMBER(I$1081)),IF(I1073&gt;I$1081,"Above",IF(I1073&lt;I$1081,"Below","At")),"-")</f>
        <v>Above</v>
      </c>
      <c r="O1073" s="34" t="s">
        <v>204</v>
      </c>
    </row>
    <row r="1074" customFormat="false" ht="15" hidden="false" customHeight="false" outlineLevel="0" collapsed="false">
      <c r="A1074" s="18" t="s">
        <v>114</v>
      </c>
      <c r="B1074" s="20" t="n">
        <f aca="false">Patel!D152</f>
        <v>3.13351955307263</v>
      </c>
      <c r="C1074" s="20" t="n">
        <f aca="false">Patel!E152</f>
        <v>1350.422</v>
      </c>
      <c r="D1074" s="20" t="n">
        <f aca="false">Patel!F152</f>
        <v>39.7960792951542</v>
      </c>
      <c r="E1074" s="20" t="n">
        <f aca="false">Patel!G152</f>
        <v>15.3404081632653</v>
      </c>
      <c r="F1074" s="20" t="n">
        <f aca="false">Patel!H152</f>
        <v>24.7368953068592</v>
      </c>
      <c r="G1074" s="20" t="n">
        <f aca="false">Patel!I152</f>
        <v>12.2349473684211</v>
      </c>
      <c r="H1074" s="20" t="n">
        <f aca="false">Patel!J152</f>
        <v>5.9885</v>
      </c>
      <c r="I1074" s="21" t="n">
        <f aca="false">Patel!K152</f>
        <v>207.37890709811</v>
      </c>
      <c r="J1074" s="34" t="str">
        <f aca="false">IF(AND(ISNUMBER(H1074),ISNUMBER(H$1081)),IF(H1074&gt;H$1081,"Above",IF(H1074&lt;H$1081,"Below","At")),"-")</f>
        <v>Below</v>
      </c>
      <c r="K1074" s="34" t="s">
        <v>204</v>
      </c>
      <c r="L1074" s="34" t="n">
        <f aca="false">IF(ISNUMBER(H1074),RANK(H1074,H$1069:H$1078,0),"-")</f>
        <v>10</v>
      </c>
      <c r="N1074" s="34" t="str">
        <f aca="false">IF(AND(ISNUMBER(I1074),ISNUMBER(I$1081)),IF(I1074&gt;I$1081,"Above",IF(I1074&lt;I$1081,"Below","At")),"-")</f>
        <v>Above</v>
      </c>
      <c r="O1074" s="34" t="s">
        <v>204</v>
      </c>
    </row>
    <row r="1075" customFormat="false" ht="15" hidden="false" customHeight="false" outlineLevel="0" collapsed="false">
      <c r="A1075" s="18" t="s">
        <v>115</v>
      </c>
      <c r="B1075" s="20" t="str">
        <f aca="false">Sical!D152</f>
        <v>N/M</v>
      </c>
      <c r="C1075" s="20" t="str">
        <f aca="false">Sical!E152</f>
        <v>N/M</v>
      </c>
      <c r="D1075" s="20" t="str">
        <f aca="false">Sical!F152</f>
        <v>N/M</v>
      </c>
      <c r="E1075" s="20" t="str">
        <f aca="false">Sical!G152</f>
        <v>N/M</v>
      </c>
      <c r="F1075" s="20" t="str">
        <f aca="false">Sical!H152</f>
        <v>N/M</v>
      </c>
      <c r="G1075" s="20" t="str">
        <f aca="false">Sical!I152</f>
        <v>N/M</v>
      </c>
      <c r="H1075" s="20" t="n">
        <f aca="false">Sical!J152</f>
        <v>10.2007666396104</v>
      </c>
      <c r="I1075" s="21" t="n">
        <f aca="false">Sical!K152</f>
        <v>10.2007666396104</v>
      </c>
      <c r="J1075" s="34" t="str">
        <f aca="false">IF(AND(ISNUMBER(H1075),ISNUMBER(H$1081)),IF(H1075&gt;H$1081,"Above",IF(H1075&lt;H$1081,"Below","At")),"-")</f>
        <v>Below</v>
      </c>
      <c r="K1075" s="34" t="s">
        <v>204</v>
      </c>
      <c r="L1075" s="34" t="n">
        <f aca="false">IF(ISNUMBER(H1075),RANK(H1075,H$1069:H$1078,0),"-")</f>
        <v>9</v>
      </c>
      <c r="N1075" s="34" t="str">
        <f aca="false">IF(AND(ISNUMBER(I1075),ISNUMBER(I$1081)),IF(I1075&gt;I$1081,"Above",IF(I1075&lt;I$1081,"Below","At")),"-")</f>
        <v>Below</v>
      </c>
      <c r="O1075" s="34" t="s">
        <v>204</v>
      </c>
    </row>
    <row r="1076" customFormat="false" ht="15" hidden="false" customHeight="false" outlineLevel="0" collapsed="false">
      <c r="A1076" s="18" t="s">
        <v>86</v>
      </c>
      <c r="B1076" s="20" t="n">
        <f aca="false">TCI!D152</f>
        <v>10.1448721550997</v>
      </c>
      <c r="C1076" s="20" t="n">
        <f aca="false">TCI!E152</f>
        <v>13.4229354992184</v>
      </c>
      <c r="D1076" s="20" t="n">
        <f aca="false">TCI!F152</f>
        <v>15.9906184178723</v>
      </c>
      <c r="E1076" s="20" t="n">
        <f aca="false">TCI!G152</f>
        <v>15.3285309132161</v>
      </c>
      <c r="F1076" s="20" t="n">
        <f aca="false">TCI!H152</f>
        <v>17.9764310148233</v>
      </c>
      <c r="G1076" s="20" t="n">
        <f aca="false">TCI!I152</f>
        <v>20.4790484504583</v>
      </c>
      <c r="H1076" s="20" t="n">
        <f aca="false">TCI!J152</f>
        <v>15.5165150684932</v>
      </c>
      <c r="I1076" s="21" t="n">
        <f aca="false">TCI!K152</f>
        <v>15.5512787884545</v>
      </c>
      <c r="J1076" s="34" t="str">
        <f aca="false">IF(AND(ISNUMBER(H1076),ISNUMBER(H$1081)),IF(H1076&gt;H$1081,"Above",IF(H1076&lt;H$1081,"Below","At")),"-")</f>
        <v>Above</v>
      </c>
      <c r="K1076" s="34" t="s">
        <v>204</v>
      </c>
      <c r="L1076" s="34" t="n">
        <f aca="false">IF(ISNUMBER(H1076),RANK(H1076,H$1069:H$1078,0),"-")</f>
        <v>5</v>
      </c>
      <c r="N1076" s="34" t="str">
        <f aca="false">IF(AND(ISNUMBER(I1076),ISNUMBER(I$1081)),IF(I1076&gt;I$1081,"Above",IF(I1076&lt;I$1081,"Below","At")),"-")</f>
        <v>Below</v>
      </c>
      <c r="O1076" s="34" t="s">
        <v>204</v>
      </c>
    </row>
    <row r="1077" customFormat="false" ht="15" hidden="false" customHeight="false" outlineLevel="0" collapsed="false">
      <c r="A1077" s="18" t="s">
        <v>116</v>
      </c>
      <c r="B1077" s="20" t="n">
        <f aca="false">Shreeji!D152</f>
        <v>21.4761904761905</v>
      </c>
      <c r="C1077" s="20" t="str">
        <f aca="false">Shreeji!E152</f>
        <v>N/M</v>
      </c>
      <c r="D1077" s="20" t="n">
        <f aca="false">Shreeji!F152</f>
        <v>24.0610169491525</v>
      </c>
      <c r="E1077" s="20" t="n">
        <f aca="false">Shreeji!G152</f>
        <v>35.997055785124</v>
      </c>
      <c r="F1077" s="20" t="n">
        <f aca="false">Shreeji!H152</f>
        <v>11.1719778869779</v>
      </c>
      <c r="G1077" s="20" t="n">
        <f aca="false">Shreeji!I152</f>
        <v>40.4323529411765</v>
      </c>
      <c r="H1077" s="20" t="n">
        <f aca="false">Shreeji!J152</f>
        <v>13.0067088607595</v>
      </c>
      <c r="I1077" s="21" t="n">
        <f aca="false">Shreeji!K152</f>
        <v>24.3575504832301</v>
      </c>
      <c r="J1077" s="34" t="str">
        <f aca="false">IF(AND(ISNUMBER(H1077),ISNUMBER(H$1081)),IF(H1077&gt;H$1081,"Above",IF(H1077&lt;H$1081,"Below","At")),"-")</f>
        <v>Below</v>
      </c>
      <c r="K1077" s="34" t="s">
        <v>204</v>
      </c>
      <c r="L1077" s="34" t="n">
        <f aca="false">IF(ISNUMBER(H1077),RANK(H1077,H$1069:H$1078,0),"-")</f>
        <v>6</v>
      </c>
      <c r="N1077" s="34" t="str">
        <f aca="false">IF(AND(ISNUMBER(I1077),ISNUMBER(I$1081)),IF(I1077&gt;I$1081,"Above",IF(I1077&lt;I$1081,"Below","At")),"-")</f>
        <v>Below</v>
      </c>
      <c r="O1077" s="34" t="s">
        <v>204</v>
      </c>
    </row>
    <row r="1078" customFormat="false" ht="15" hidden="false" customHeight="false" outlineLevel="0" collapsed="false">
      <c r="A1078" s="18" t="s">
        <v>117</v>
      </c>
      <c r="B1078" s="20" t="n">
        <f aca="false">MahindraLog!D152</f>
        <v>36.924992743106</v>
      </c>
      <c r="C1078" s="20" t="n">
        <f aca="false">MahindraLog!E152</f>
        <v>173.7146</v>
      </c>
      <c r="D1078" s="20" t="n">
        <f aca="false">MahindraLog!F152</f>
        <v>259.096810933941</v>
      </c>
      <c r="E1078" s="20" t="n">
        <f aca="false">MahindraLog!G152</f>
        <v>121.802397260274</v>
      </c>
      <c r="F1078" s="20" t="str">
        <f aca="false">MahindraLog!H152</f>
        <v>N/M</v>
      </c>
      <c r="G1078" s="20" t="str">
        <f aca="false">MahindraLog!I152</f>
        <v>N/M</v>
      </c>
      <c r="H1078" s="20" t="n">
        <f aca="false">MahindraLog!J152</f>
        <v>1441.64890829694</v>
      </c>
      <c r="I1078" s="21" t="n">
        <f aca="false">MahindraLog!K152</f>
        <v>406.637541846853</v>
      </c>
      <c r="J1078" s="34" t="str">
        <f aca="false">IF(AND(ISNUMBER(H1078),ISNUMBER(H$1081)),IF(H1078&gt;H$1081,"Above",IF(H1078&lt;H$1081,"Below","At")),"-")</f>
        <v>Above</v>
      </c>
      <c r="K1078" s="34" t="s">
        <v>204</v>
      </c>
      <c r="L1078" s="34" t="n">
        <f aca="false">IF(ISNUMBER(H1078),RANK(H1078,H$1069:H$1078,0),"-")</f>
        <v>1</v>
      </c>
      <c r="N1078" s="34" t="str">
        <f aca="false">IF(AND(ISNUMBER(I1078),ISNUMBER(I$1081)),IF(I1078&gt;I$1081,"Above",IF(I1078&lt;I$1081,"Below","At")),"-")</f>
        <v>Above</v>
      </c>
      <c r="O1078" s="34" t="s">
        <v>204</v>
      </c>
    </row>
    <row r="1079" customFormat="false" ht="15" hidden="false" customHeight="false" outlineLevel="0" collapsed="false">
      <c r="A1079" s="12" t="s">
        <v>176</v>
      </c>
      <c r="B1079" s="21" t="n">
        <f aca="false">Industry!D152</f>
        <v>65.5214454758683</v>
      </c>
      <c r="C1079" s="21" t="str">
        <f aca="false">Industry!E152</f>
        <v>N/M</v>
      </c>
      <c r="D1079" s="21" t="n">
        <f aca="false">Industry!F152</f>
        <v>43.8191554859139</v>
      </c>
      <c r="E1079" s="21" t="n">
        <f aca="false">Industry!G152</f>
        <v>54.0765030340773</v>
      </c>
      <c r="F1079" s="21" t="n">
        <f aca="false">Industry!H152</f>
        <v>43.0289579732999</v>
      </c>
      <c r="G1079" s="21" t="n">
        <f aca="false">Industry!I152</f>
        <v>35.5155894500776</v>
      </c>
      <c r="H1079" s="21" t="n">
        <f aca="false">Industry!J152</f>
        <v>27.3841866095822</v>
      </c>
      <c r="I1079" s="21" t="n">
        <f aca="false">Industry!K152</f>
        <v>44.8909730048032</v>
      </c>
    </row>
    <row r="1080" customFormat="false" ht="15" hidden="false" customHeight="false" outlineLevel="0" collapsed="false">
      <c r="A1080" s="35" t="s">
        <v>177</v>
      </c>
      <c r="B1080" s="37" t="n">
        <f aca="false">IFERROR(AVERAGE(B1069:B1078),"N/M")</f>
        <v>24.3511663732812</v>
      </c>
      <c r="C1080" s="37" t="n">
        <f aca="false">IFERROR(AVERAGE(C1069:C1078),"N/M")</f>
        <v>292.120944137613</v>
      </c>
      <c r="D1080" s="37" t="n">
        <f aca="false">IFERROR(AVERAGE(D1069:D1078),"N/M")</f>
        <v>59.3494006238096</v>
      </c>
      <c r="E1080" s="37" t="n">
        <f aca="false">IFERROR(AVERAGE(E1069:E1078),"N/M")</f>
        <v>148.425403935336</v>
      </c>
      <c r="F1080" s="37" t="n">
        <f aca="false">IFERROR(AVERAGE(F1069:F1078),"N/M")</f>
        <v>57.8443787294324</v>
      </c>
      <c r="G1080" s="37" t="n">
        <f aca="false">IFERROR(AVERAGE(G1069:G1078),"N/M")</f>
        <v>28.0494785581895</v>
      </c>
      <c r="H1080" s="37" t="n">
        <f aca="false">IFERROR(AVERAGE(H1069:H1078),"N/M")</f>
        <v>171.572899799637</v>
      </c>
      <c r="I1080" s="37" t="n">
        <f aca="false">IFERROR(AVERAGE(I1069:I1078),"N/M")</f>
        <v>112.282242033681</v>
      </c>
    </row>
    <row r="1081" customFormat="false" ht="15" hidden="false" customHeight="false" outlineLevel="0" collapsed="false">
      <c r="A1081" s="35" t="s">
        <v>178</v>
      </c>
      <c r="B1081" s="37" t="n">
        <f aca="false">IFERROR(MEDIAN(B1069:B1078),"N/M")</f>
        <v>21.4761904761905</v>
      </c>
      <c r="C1081" s="37" t="n">
        <f aca="false">IFERROR(MEDIAN(C1069:C1078),"N/M")</f>
        <v>100.937327611436</v>
      </c>
      <c r="D1081" s="37" t="n">
        <f aca="false">IFERROR(MEDIAN(D1069:D1078),"N/M")</f>
        <v>39.304720972924</v>
      </c>
      <c r="E1081" s="37" t="n">
        <f aca="false">IFERROR(MEDIAN(E1069:E1078),"N/M")</f>
        <v>33.0570403343145</v>
      </c>
      <c r="F1081" s="37" t="n">
        <f aca="false">IFERROR(MEDIAN(F1069:F1078),"N/M")</f>
        <v>37.516975308642</v>
      </c>
      <c r="G1081" s="37" t="n">
        <f aca="false">IFERROR(MEDIAN(G1069:G1078),"N/M")</f>
        <v>20.4790484504583</v>
      </c>
      <c r="H1081" s="37" t="n">
        <f aca="false">IFERROR(MEDIAN(H1069:H1078),"N/M")</f>
        <v>14.2616119646263</v>
      </c>
      <c r="I1081" s="37" t="n">
        <f aca="false">IFERROR(MEDIAN(I1069:I1078),"N/M")</f>
        <v>51.212598383836</v>
      </c>
    </row>
    <row r="1082" customFormat="false" ht="15" hidden="false" customHeight="false" outlineLevel="0" collapsed="false">
      <c r="A1082" s="35" t="s">
        <v>179</v>
      </c>
      <c r="B1082" s="37" t="n">
        <f aca="false">IFERROR(STDEV(B1069:B1078),"N/M")</f>
        <v>19.2363861769773</v>
      </c>
      <c r="C1082" s="37" t="n">
        <f aca="false">IFERROR(STDEV(C1069:C1078),"N/M")</f>
        <v>522.341626400184</v>
      </c>
      <c r="D1082" s="37" t="n">
        <f aca="false">IFERROR(STDEV(D1069:D1078),"N/M")</f>
        <v>81.9592990557511</v>
      </c>
      <c r="E1082" s="37" t="n">
        <f aca="false">IFERROR(STDEV(E1069:E1078),"N/M")</f>
        <v>310.722242855542</v>
      </c>
      <c r="F1082" s="37" t="n">
        <f aca="false">IFERROR(STDEV(F1069:F1078),"N/M")</f>
        <v>73.71108628584</v>
      </c>
      <c r="G1082" s="37" t="n">
        <f aca="false">IFERROR(STDEV(G1069:G1078),"N/M")</f>
        <v>16.5023425396123</v>
      </c>
      <c r="H1082" s="37" t="n">
        <f aca="false">IFERROR(STDEV(H1069:H1078),"N/M")</f>
        <v>447.911371715088</v>
      </c>
      <c r="I1082" s="37" t="n">
        <f aca="false">IFERROR(STDEV(I1069:I1078),"N/M")</f>
        <v>128.461042751636</v>
      </c>
    </row>
    <row r="1083" customFormat="false" ht="15" hidden="false" customHeight="false" outlineLevel="0" collapsed="false">
      <c r="A1083" s="35" t="s">
        <v>102</v>
      </c>
      <c r="B1083" s="37" t="n">
        <f aca="false">IFERROR(MIN(B1069:B1078),"N/M")</f>
        <v>3.13351955307263</v>
      </c>
      <c r="C1083" s="37" t="n">
        <f aca="false">IFERROR(MIN(C1069:C1078),"N/M")</f>
        <v>13.2914741035857</v>
      </c>
      <c r="D1083" s="37" t="n">
        <f aca="false">IFERROR(MIN(D1069:D1078),"N/M")</f>
        <v>6.63807314897413</v>
      </c>
      <c r="E1083" s="37" t="n">
        <f aca="false">IFERROR(MIN(E1069:E1078),"N/M")</f>
        <v>15.3285309132161</v>
      </c>
      <c r="F1083" s="37" t="n">
        <f aca="false">IFERROR(MIN(F1069:F1078),"N/M")</f>
        <v>11.1719778869779</v>
      </c>
      <c r="G1083" s="37" t="n">
        <f aca="false">IFERROR(MIN(G1069:G1078),"N/M")</f>
        <v>12.2349473684211</v>
      </c>
      <c r="H1083" s="37" t="n">
        <f aca="false">IFERROR(MIN(H1069:H1078),"N/M")</f>
        <v>5.9885</v>
      </c>
      <c r="I1083" s="37" t="n">
        <f aca="false">IFERROR(MIN(I1069:I1078),"N/M")</f>
        <v>10.2007666396104</v>
      </c>
    </row>
    <row r="1084" customFormat="false" ht="15" hidden="false" customHeight="false" outlineLevel="0" collapsed="false">
      <c r="A1084" s="35" t="s">
        <v>103</v>
      </c>
      <c r="B1084" s="37" t="n">
        <f aca="false">IFERROR(MAX(B1069:B1078),"N/M")</f>
        <v>50.0762569389374</v>
      </c>
      <c r="C1084" s="37" t="n">
        <f aca="false">IFERROR(MAX(C1069:C1078),"N/M")</f>
        <v>1350.422</v>
      </c>
      <c r="D1084" s="37" t="n">
        <f aca="false">IFERROR(MAX(D1069:D1078),"N/M")</f>
        <v>259.096810933941</v>
      </c>
      <c r="E1084" s="37" t="n">
        <f aca="false">IFERROR(MAX(E1069:E1078),"N/M")</f>
        <v>912.533333333333</v>
      </c>
      <c r="F1084" s="37" t="n">
        <f aca="false">IFERROR(MAX(F1069:F1078),"N/M")</f>
        <v>222.184615384615</v>
      </c>
      <c r="G1084" s="37" t="n">
        <f aca="false">IFERROR(MAX(G1069:G1078),"N/M")</f>
        <v>57.6162942714524</v>
      </c>
      <c r="H1084" s="37" t="n">
        <f aca="false">IFERROR(MAX(H1069:H1078),"N/M")</f>
        <v>1441.64890829694</v>
      </c>
      <c r="I1084" s="37" t="n">
        <f aca="false">IFERROR(MAX(I1069:I1078),"N/M")</f>
        <v>406.637541846853</v>
      </c>
    </row>
    <row r="1086" customFormat="false" ht="15" hidden="false" customHeight="false" outlineLevel="0" collapsed="false">
      <c r="A1086" s="16" t="s">
        <v>240</v>
      </c>
      <c r="B1086" s="17"/>
      <c r="C1086" s="17"/>
      <c r="D1086" s="17"/>
      <c r="E1086" s="17"/>
      <c r="F1086" s="17"/>
      <c r="G1086" s="17"/>
      <c r="H1086" s="17"/>
      <c r="I1086" s="17"/>
      <c r="J1086" s="17"/>
      <c r="K1086" s="17"/>
      <c r="L1086" s="17"/>
      <c r="M1086" s="17"/>
    </row>
    <row r="1087" customFormat="false" ht="15" hidden="false" customHeight="false" outlineLevel="0" collapsed="false">
      <c r="A1087" s="18" t="s">
        <v>110</v>
      </c>
      <c r="B1087" s="23" t="n">
        <f aca="false">Tiger!D153</f>
        <v>-0.705418719211823</v>
      </c>
      <c r="C1087" s="23" t="n">
        <f aca="false">Tiger!E153</f>
        <v>0.418060200668896</v>
      </c>
      <c r="D1087" s="23" t="n">
        <f aca="false">Tiger!F153</f>
        <v>4.0047839203156</v>
      </c>
      <c r="E1087" s="23" t="n">
        <f aca="false">Tiger!G153</f>
        <v>0.720170454545454</v>
      </c>
      <c r="F1087" s="23" t="n">
        <f aca="false">Tiger!H153</f>
        <v>0.26617120836774</v>
      </c>
      <c r="G1087" s="23" t="n">
        <f aca="false">Tiger!I153</f>
        <v>0.0326086956521739</v>
      </c>
      <c r="H1087" s="23" t="n">
        <f aca="false">Tiger!J153</f>
        <v>-0.496842105263158</v>
      </c>
      <c r="I1087" s="24" t="n">
        <f aca="false">Tiger!K153</f>
        <v>0.605647665010697</v>
      </c>
      <c r="J1087" s="34" t="str">
        <f aca="false">IF(AND(ISNUMBER(H1087),ISNUMBER(H$1099)),IF(H1087&gt;H$1099,"Above",IF(H1087&lt;H$1099,"Below","At")),"-")</f>
        <v>Below</v>
      </c>
      <c r="K1087" s="34" t="str">
        <f aca="false">IF(J1087="Above","Better",IF(J1087="Below","Weaker","-"))</f>
        <v>Weaker</v>
      </c>
      <c r="L1087" s="34" t="n">
        <f aca="false">IF(ISNUMBER(H1087),RANK(H1087,H$1087:H$1096,0),"-")</f>
        <v>10</v>
      </c>
      <c r="N1087" s="34" t="str">
        <f aca="false">IF(AND(ISNUMBER(I1087),ISNUMBER(I$1099)),IF(I1087&gt;I$1099,"Above",IF(I1087&lt;I$1099,"Below","At")),"-")</f>
        <v>Above</v>
      </c>
      <c r="O1087" s="34" t="str">
        <f aca="false">IF(N1087="Above","Better",IF(N1087="Below","Weaker","-"))</f>
        <v>Better</v>
      </c>
    </row>
    <row r="1088" customFormat="false" ht="15" hidden="false" customHeight="false" outlineLevel="0" collapsed="false">
      <c r="A1088" s="18" t="s">
        <v>111</v>
      </c>
      <c r="B1088" s="23" t="n">
        <f aca="false">Allcargo!D153</f>
        <v>-0.396419437340154</v>
      </c>
      <c r="C1088" s="23" t="n">
        <f aca="false">Allcargo!E153</f>
        <v>1.2367758186398</v>
      </c>
      <c r="D1088" s="23" t="n">
        <f aca="false">Allcargo!F153</f>
        <v>1.99284009546539</v>
      </c>
      <c r="E1088" s="23" t="n">
        <f aca="false">Allcargo!G153</f>
        <v>0.0255846511497972</v>
      </c>
      <c r="F1088" s="23" t="n">
        <f aca="false">Allcargo!H153</f>
        <v>0.0745650372825187</v>
      </c>
      <c r="G1088" s="23" t="n">
        <f aca="false">Allcargo!I153</f>
        <v>-0.516314538293182</v>
      </c>
      <c r="H1088" s="23" t="n">
        <f aca="false">Allcargo!J153</f>
        <v>-0.279116465863454</v>
      </c>
      <c r="I1088" s="24" t="n">
        <f aca="false">Allcargo!K153</f>
        <v>0.305416451577245</v>
      </c>
      <c r="J1088" s="34" t="str">
        <f aca="false">IF(AND(ISNUMBER(H1088),ISNUMBER(H$1099)),IF(H1088&gt;H$1099,"Above",IF(H1088&lt;H$1099,"Below","At")),"-")</f>
        <v>Below</v>
      </c>
      <c r="K1088" s="34" t="str">
        <f aca="false">IF(J1088="Above","Better",IF(J1088="Below","Weaker","-"))</f>
        <v>Weaker</v>
      </c>
      <c r="L1088" s="34" t="n">
        <f aca="false">IF(ISNUMBER(H1088),RANK(H1088,H$1087:H$1096,0),"-")</f>
        <v>7</v>
      </c>
      <c r="N1088" s="34" t="str">
        <f aca="false">IF(AND(ISNUMBER(I1088),ISNUMBER(I$1099)),IF(I1088&gt;I$1099,"Above",IF(I1088&lt;I$1099,"Below","At")),"-")</f>
        <v>Above</v>
      </c>
      <c r="O1088" s="34" t="str">
        <f aca="false">IF(N1088="Above","Better",IF(N1088="Below","Weaker","-"))</f>
        <v>Better</v>
      </c>
    </row>
    <row r="1089" customFormat="false" ht="15" hidden="false" customHeight="false" outlineLevel="0" collapsed="false">
      <c r="A1089" s="18" t="s">
        <v>112</v>
      </c>
      <c r="B1089" s="23" t="n">
        <f aca="false">BlueDart!D153</f>
        <v>-0.388107461357597</v>
      </c>
      <c r="C1089" s="23" t="n">
        <f aca="false">BlueDart!E153</f>
        <v>1.54172846214663</v>
      </c>
      <c r="D1089" s="23" t="n">
        <f aca="false">BlueDart!F153</f>
        <v>0.241831226732117</v>
      </c>
      <c r="E1089" s="23" t="n">
        <f aca="false">BlueDart!G153</f>
        <v>-0.0902363001395915</v>
      </c>
      <c r="F1089" s="23" t="n">
        <f aca="false">BlueDart!H153</f>
        <v>-0.000633629573835233</v>
      </c>
      <c r="G1089" s="23" t="n">
        <f aca="false">BlueDart!I153</f>
        <v>-0.00362013096172502</v>
      </c>
      <c r="H1089" s="23" t="n">
        <f aca="false">BlueDart!J153</f>
        <v>-0.22234770779121</v>
      </c>
      <c r="I1089" s="24" t="n">
        <f aca="false">BlueDart!K153</f>
        <v>0.15408777986497</v>
      </c>
      <c r="J1089" s="34" t="str">
        <f aca="false">IF(AND(ISNUMBER(H1089),ISNUMBER(H$1099)),IF(H1089&gt;H$1099,"Above",IF(H1089&lt;H$1099,"Below","At")),"-")</f>
        <v>Below</v>
      </c>
      <c r="K1089" s="34" t="str">
        <f aca="false">IF(J1089="Above","Better",IF(J1089="Below","Weaker","-"))</f>
        <v>Weaker</v>
      </c>
      <c r="L1089" s="34" t="n">
        <f aca="false">IF(ISNUMBER(H1089),RANK(H1089,H$1087:H$1096,0),"-")</f>
        <v>6</v>
      </c>
      <c r="N1089" s="34" t="str">
        <f aca="false">IF(AND(ISNUMBER(I1089),ISNUMBER(I$1099)),IF(I1089&gt;I$1099,"Above",IF(I1089&lt;I$1099,"Below","At")),"-")</f>
        <v>Below</v>
      </c>
      <c r="O1089" s="34" t="str">
        <f aca="false">IF(N1089="Above","Better",IF(N1089="Below","Weaker","-"))</f>
        <v>Weaker</v>
      </c>
    </row>
    <row r="1090" customFormat="false" ht="15" hidden="false" customHeight="false" outlineLevel="0" collapsed="false">
      <c r="A1090" s="18" t="s">
        <v>67</v>
      </c>
      <c r="B1090" s="23" t="n">
        <f aca="false">CONCOR!D153</f>
        <v>-0.361792973542929</v>
      </c>
      <c r="C1090" s="23" t="n">
        <f aca="false">CONCOR!E153</f>
        <v>0.818182313065434</v>
      </c>
      <c r="D1090" s="23" t="n">
        <f aca="false">CONCOR!F153</f>
        <v>0.1390473167737</v>
      </c>
      <c r="E1090" s="23" t="n">
        <f aca="false">CONCOR!G153</f>
        <v>-0.120359501477449</v>
      </c>
      <c r="F1090" s="23" t="n">
        <f aca="false">CONCOR!H153</f>
        <v>0.540026642927744</v>
      </c>
      <c r="G1090" s="23" t="n">
        <f aca="false">CONCOR!I153</f>
        <v>-0.202924317471008</v>
      </c>
      <c r="H1090" s="23" t="n">
        <f aca="false">CONCOR!J153</f>
        <v>-0.215767452603511</v>
      </c>
      <c r="I1090" s="24" t="n">
        <f aca="false">CONCOR!K153</f>
        <v>0.0852017182388543</v>
      </c>
      <c r="J1090" s="34" t="str">
        <f aca="false">IF(AND(ISNUMBER(H1090),ISNUMBER(H$1099)),IF(H1090&gt;H$1099,"Above",IF(H1090&lt;H$1099,"Below","At")),"-")</f>
        <v>Above</v>
      </c>
      <c r="K1090" s="34" t="str">
        <f aca="false">IF(J1090="Above","Better",IF(J1090="Below","Weaker","-"))</f>
        <v>Better</v>
      </c>
      <c r="L1090" s="34" t="n">
        <f aca="false">IF(ISNUMBER(H1090),RANK(H1090,H$1087:H$1096,0),"-")</f>
        <v>5</v>
      </c>
      <c r="N1090" s="34" t="str">
        <f aca="false">IF(AND(ISNUMBER(I1090),ISNUMBER(I$1099)),IF(I1090&gt;I$1099,"Above",IF(I1090&lt;I$1099,"Below","At")),"-")</f>
        <v>Below</v>
      </c>
      <c r="O1090" s="34" t="str">
        <f aca="false">IF(N1090="Above","Better",IF(N1090="Below","Weaker","-"))</f>
        <v>Weaker</v>
      </c>
    </row>
    <row r="1091" customFormat="false" ht="15" hidden="false" customHeight="false" outlineLevel="0" collapsed="false">
      <c r="A1091" s="18" t="s">
        <v>113</v>
      </c>
      <c r="B1091" s="23" t="n">
        <f aca="false">JetFreight!D153</f>
        <v>-0.485040797824116</v>
      </c>
      <c r="C1091" s="23" t="n">
        <f aca="false">JetFreight!E153</f>
        <v>0.265845070422535</v>
      </c>
      <c r="D1091" s="23" t="n">
        <f aca="false">JetFreight!F153</f>
        <v>3.04810320847921</v>
      </c>
      <c r="E1091" s="23" t="n">
        <f aca="false">JetFreight!G153</f>
        <v>-0.594222833562586</v>
      </c>
      <c r="F1091" s="23" t="n">
        <f aca="false">JetFreight!H153</f>
        <v>0.0550847457627117</v>
      </c>
      <c r="G1091" s="23" t="n">
        <f aca="false">JetFreight!I153</f>
        <v>-0.0746987951807229</v>
      </c>
      <c r="H1091" s="23" t="n">
        <f aca="false">JetFreight!J153</f>
        <v>0.480902777777778</v>
      </c>
      <c r="I1091" s="24" t="n">
        <f aca="false">JetFreight!K153</f>
        <v>0.385139053696401</v>
      </c>
      <c r="J1091" s="34" t="str">
        <f aca="false">IF(AND(ISNUMBER(H1091),ISNUMBER(H$1099)),IF(H1091&gt;H$1099,"Above",IF(H1091&lt;H$1099,"Below","At")),"-")</f>
        <v>Above</v>
      </c>
      <c r="K1091" s="34" t="str">
        <f aca="false">IF(J1091="Above","Better",IF(J1091="Below","Weaker","-"))</f>
        <v>Better</v>
      </c>
      <c r="L1091" s="34" t="n">
        <f aca="false">IF(ISNUMBER(H1091),RANK(H1091,H$1087:H$1096,0),"-")</f>
        <v>1</v>
      </c>
      <c r="N1091" s="34" t="str">
        <f aca="false">IF(AND(ISNUMBER(I1091),ISNUMBER(I$1099)),IF(I1091&gt;I$1099,"Above",IF(I1091&lt;I$1099,"Below","At")),"-")</f>
        <v>Above</v>
      </c>
      <c r="O1091" s="34" t="str">
        <f aca="false">IF(N1091="Above","Better",IF(N1091="Below","Weaker","-"))</f>
        <v>Better</v>
      </c>
    </row>
    <row r="1092" customFormat="false" ht="15" hidden="false" customHeight="false" outlineLevel="0" collapsed="false">
      <c r="A1092" s="18" t="s">
        <v>114</v>
      </c>
      <c r="B1092" s="23" t="n">
        <f aca="false">Patel!D153</f>
        <v>-0.775391623669409</v>
      </c>
      <c r="C1092" s="23" t="n">
        <f aca="false">Patel!E153</f>
        <v>1.00558346796385</v>
      </c>
      <c r="D1092" s="23" t="n">
        <f aca="false">Patel!F153</f>
        <v>0.343240853599838</v>
      </c>
      <c r="E1092" s="23" t="n">
        <f aca="false">Patel!G153</f>
        <v>-0.140221720236961</v>
      </c>
      <c r="F1092" s="23" t="n">
        <f aca="false">Patel!H153</f>
        <v>0.831795444870157</v>
      </c>
      <c r="G1092" s="23" t="n">
        <f aca="false">Patel!I153</f>
        <v>-0.306232231776443</v>
      </c>
      <c r="H1092" s="23" t="n">
        <f aca="false">Patel!J153</f>
        <v>-0.366787975772593</v>
      </c>
      <c r="I1092" s="24" t="n">
        <f aca="false">Patel!K153</f>
        <v>0.0845694592826347</v>
      </c>
      <c r="J1092" s="34" t="str">
        <f aca="false">IF(AND(ISNUMBER(H1092),ISNUMBER(H$1099)),IF(H1092&gt;H$1099,"Above",IF(H1092&lt;H$1099,"Below","At")),"-")</f>
        <v>Below</v>
      </c>
      <c r="K1092" s="34" t="str">
        <f aca="false">IF(J1092="Above","Better",IF(J1092="Below","Weaker","-"))</f>
        <v>Weaker</v>
      </c>
      <c r="L1092" s="34" t="n">
        <f aca="false">IF(ISNUMBER(H1092),RANK(H1092,H$1087:H$1096,0),"-")</f>
        <v>9</v>
      </c>
      <c r="N1092" s="34" t="str">
        <f aca="false">IF(AND(ISNUMBER(I1092),ISNUMBER(I$1099)),IF(I1092&gt;I$1099,"Above",IF(I1092&lt;I$1099,"Below","At")),"-")</f>
        <v>Below</v>
      </c>
      <c r="O1092" s="34" t="str">
        <f aca="false">IF(N1092="Above","Better",IF(N1092="Below","Weaker","-"))</f>
        <v>Weaker</v>
      </c>
    </row>
    <row r="1093" customFormat="false" ht="15" hidden="false" customHeight="false" outlineLevel="0" collapsed="false">
      <c r="A1093" s="18" t="s">
        <v>115</v>
      </c>
      <c r="B1093" s="23" t="n">
        <f aca="false">Sical!D153</f>
        <v>-0.953633096678061</v>
      </c>
      <c r="C1093" s="23" t="n">
        <f aca="false">Sical!E153</f>
        <v>0.638941398865785</v>
      </c>
      <c r="D1093" s="23" t="n">
        <f aca="false">Sical!F153</f>
        <v>0.124567474048443</v>
      </c>
      <c r="E1093" s="23" t="n">
        <f aca="false">Sical!G153</f>
        <v>-0.341538461538462</v>
      </c>
      <c r="F1093" s="23" t="n">
        <f aca="false">Sical!H153</f>
        <v>21.9205607476636</v>
      </c>
      <c r="G1093" s="23" t="n">
        <f aca="false">Sical!I153</f>
        <v>-0.534964322120285</v>
      </c>
      <c r="H1093" s="23" t="n">
        <f aca="false">Sical!J153</f>
        <v>-0.0792050270349263</v>
      </c>
      <c r="I1093" s="24" t="n">
        <f aca="false">Sical!K153</f>
        <v>2.96781838760086</v>
      </c>
      <c r="J1093" s="34" t="str">
        <f aca="false">IF(AND(ISNUMBER(H1093),ISNUMBER(H$1099)),IF(H1093&gt;H$1099,"Above",IF(H1093&lt;H$1099,"Below","At")),"-")</f>
        <v>Above</v>
      </c>
      <c r="K1093" s="34" t="str">
        <f aca="false">IF(J1093="Above","Better",IF(J1093="Below","Weaker","-"))</f>
        <v>Better</v>
      </c>
      <c r="L1093" s="34" t="n">
        <f aca="false">IF(ISNUMBER(H1093),RANK(H1093,H$1087:H$1096,0),"-")</f>
        <v>3</v>
      </c>
      <c r="N1093" s="34" t="str">
        <f aca="false">IF(AND(ISNUMBER(I1093),ISNUMBER(I$1099)),IF(I1093&gt;I$1099,"Above",IF(I1093&lt;I$1099,"Below","At")),"-")</f>
        <v>Above</v>
      </c>
      <c r="O1093" s="34" t="str">
        <f aca="false">IF(N1093="Above","Better",IF(N1093="Below","Weaker","-"))</f>
        <v>Better</v>
      </c>
    </row>
    <row r="1094" customFormat="false" ht="15" hidden="false" customHeight="false" outlineLevel="0" collapsed="false">
      <c r="A1094" s="18" t="s">
        <v>86</v>
      </c>
      <c r="B1094" s="23" t="n">
        <f aca="false">TCI!D153</f>
        <v>-0.414776590967411</v>
      </c>
      <c r="C1094" s="23" t="n">
        <f aca="false">TCI!E153</f>
        <v>0.375435514535659</v>
      </c>
      <c r="D1094" s="23" t="n">
        <f aca="false">TCI!F153</f>
        <v>1.35448989780254</v>
      </c>
      <c r="E1094" s="23" t="n">
        <f aca="false">TCI!G153</f>
        <v>0.0579950682036802</v>
      </c>
      <c r="F1094" s="23" t="n">
        <f aca="false">TCI!H153</f>
        <v>0.305900711500137</v>
      </c>
      <c r="G1094" s="23" t="n">
        <f aca="false">TCI!I153</f>
        <v>0.36828486939379</v>
      </c>
      <c r="H1094" s="23" t="n">
        <f aca="false">TCI!J153</f>
        <v>-0.153735583759797</v>
      </c>
      <c r="I1094" s="24" t="n">
        <f aca="false">TCI!K153</f>
        <v>0.270513412386943</v>
      </c>
      <c r="J1094" s="34" t="str">
        <f aca="false">IF(AND(ISNUMBER(H1094),ISNUMBER(H$1099)),IF(H1094&gt;H$1099,"Above",IF(H1094&lt;H$1099,"Below","At")),"-")</f>
        <v>Above</v>
      </c>
      <c r="K1094" s="34" t="str">
        <f aca="false">IF(J1094="Above","Better",IF(J1094="Below","Weaker","-"))</f>
        <v>Better</v>
      </c>
      <c r="L1094" s="34" t="n">
        <f aca="false">IF(ISNUMBER(H1094),RANK(H1094,H$1087:H$1096,0),"-")</f>
        <v>4</v>
      </c>
      <c r="N1094" s="34" t="str">
        <f aca="false">IF(AND(ISNUMBER(I1094),ISNUMBER(I$1099)),IF(I1094&gt;I$1099,"Above",IF(I1094&lt;I$1099,"Below","At")),"-")</f>
        <v>Below</v>
      </c>
      <c r="O1094" s="34" t="str">
        <f aca="false">IF(N1094="Above","Better",IF(N1094="Below","Weaker","-"))</f>
        <v>Weaker</v>
      </c>
    </row>
    <row r="1095" customFormat="false" ht="15" hidden="false" customHeight="false" outlineLevel="0" collapsed="false">
      <c r="A1095" s="18" t="s">
        <v>116</v>
      </c>
      <c r="B1095" s="23" t="n">
        <f aca="false">Shreeji!D153</f>
        <v>-0.294725274725275</v>
      </c>
      <c r="C1095" s="23" t="n">
        <f aca="false">Shreeji!E153</f>
        <v>0.862527716186253</v>
      </c>
      <c r="D1095" s="23" t="n">
        <f aca="false">Shreeji!F153</f>
        <v>2.72363636363636</v>
      </c>
      <c r="E1095" s="23" t="n">
        <f aca="false">Shreeji!G153</f>
        <v>0.643662544124743</v>
      </c>
      <c r="F1095" s="23" t="n">
        <f aca="false">Shreeji!H153</f>
        <v>-0.47602521441291</v>
      </c>
      <c r="G1095" s="23" t="n">
        <f aca="false">Shreeji!I153</f>
        <v>-0.659877017678709</v>
      </c>
      <c r="H1095" s="23" t="n">
        <f aca="false">Shreeji!J153</f>
        <v>-0.335593220338983</v>
      </c>
      <c r="I1095" s="24" t="n">
        <f aca="false">Shreeji!K153</f>
        <v>0.351943699541641</v>
      </c>
      <c r="J1095" s="34" t="str">
        <f aca="false">IF(AND(ISNUMBER(H1095),ISNUMBER(H$1099)),IF(H1095&gt;H$1099,"Above",IF(H1095&lt;H$1099,"Below","At")),"-")</f>
        <v>Below</v>
      </c>
      <c r="K1095" s="34" t="str">
        <f aca="false">IF(J1095="Above","Better",IF(J1095="Below","Weaker","-"))</f>
        <v>Weaker</v>
      </c>
      <c r="L1095" s="34" t="n">
        <f aca="false">IF(ISNUMBER(H1095),RANK(H1095,H$1087:H$1096,0),"-")</f>
        <v>8</v>
      </c>
      <c r="N1095" s="34" t="str">
        <f aca="false">IF(AND(ISNUMBER(I1095),ISNUMBER(I$1099)),IF(I1095&gt;I$1099,"Above",IF(I1095&lt;I$1099,"Below","At")),"-")</f>
        <v>Above</v>
      </c>
      <c r="O1095" s="34" t="str">
        <f aca="false">IF(N1095="Above","Better",IF(N1095="Below","Weaker","-"))</f>
        <v>Better</v>
      </c>
    </row>
    <row r="1096" customFormat="false" ht="15" hidden="false" customHeight="false" outlineLevel="0" collapsed="false">
      <c r="A1096" s="18" t="s">
        <v>117</v>
      </c>
      <c r="B1096" s="23" t="n">
        <f aca="false">MahindraLog!D153</f>
        <v>-0.56716324828895</v>
      </c>
      <c r="C1096" s="23" t="n">
        <f aca="false">MahindraLog!E153</f>
        <v>1.56671480052263</v>
      </c>
      <c r="D1096" s="23" t="n">
        <f aca="false">MahindraLog!F153</f>
        <v>-0.12687220563753</v>
      </c>
      <c r="E1096" s="23" t="n">
        <f aca="false">MahindraLog!G153</f>
        <v>-0.293923600829138</v>
      </c>
      <c r="F1096" s="23" t="n">
        <f aca="false">MahindraLog!H153</f>
        <v>0.159617703025367</v>
      </c>
      <c r="G1096" s="23" t="n">
        <f aca="false">MahindraLog!I153</f>
        <v>-0.355281034727217</v>
      </c>
      <c r="H1096" s="23" t="n">
        <f aca="false">MahindraLog!J153</f>
        <v>0.404456731171986</v>
      </c>
      <c r="I1096" s="24" t="n">
        <f aca="false">MahindraLog!K153</f>
        <v>0.112507020748164</v>
      </c>
      <c r="J1096" s="34" t="str">
        <f aca="false">IF(AND(ISNUMBER(H1096),ISNUMBER(H$1099)),IF(H1096&gt;H$1099,"Above",IF(H1096&lt;H$1099,"Below","At")),"-")</f>
        <v>Above</v>
      </c>
      <c r="K1096" s="34" t="str">
        <f aca="false">IF(J1096="Above","Better",IF(J1096="Below","Weaker","-"))</f>
        <v>Better</v>
      </c>
      <c r="L1096" s="34" t="n">
        <f aca="false">IF(ISNUMBER(H1096),RANK(H1096,H$1087:H$1096,0),"-")</f>
        <v>2</v>
      </c>
      <c r="N1096" s="34" t="str">
        <f aca="false">IF(AND(ISNUMBER(I1096),ISNUMBER(I$1099)),IF(I1096&gt;I$1099,"Above",IF(I1096&lt;I$1099,"Below","At")),"-")</f>
        <v>Below</v>
      </c>
      <c r="O1096" s="34" t="str">
        <f aca="false">IF(N1096="Above","Better",IF(N1096="Below","Weaker","-"))</f>
        <v>Weaker</v>
      </c>
    </row>
    <row r="1097" customFormat="false" ht="15" hidden="false" customHeight="false" outlineLevel="0" collapsed="false">
      <c r="A1097" s="12" t="s">
        <v>176</v>
      </c>
      <c r="B1097" s="24" t="str">
        <f aca="false">Industry!D153</f>
        <v>n.a.</v>
      </c>
      <c r="C1097" s="24" t="str">
        <f aca="false">Industry!E153</f>
        <v>n.a.</v>
      </c>
      <c r="D1097" s="24" t="str">
        <f aca="false">Industry!F153</f>
        <v>n.a.</v>
      </c>
      <c r="E1097" s="24" t="str">
        <f aca="false">Industry!G153</f>
        <v>n.a.</v>
      </c>
      <c r="F1097" s="24" t="str">
        <f aca="false">Industry!H153</f>
        <v>n.a.</v>
      </c>
      <c r="G1097" s="24" t="str">
        <f aca="false">Industry!I153</f>
        <v>n.a.</v>
      </c>
      <c r="H1097" s="24" t="str">
        <f aca="false">Industry!J153</f>
        <v>n.a.</v>
      </c>
      <c r="I1097" s="24" t="str">
        <f aca="false">Industry!K153</f>
        <v>n.a.</v>
      </c>
    </row>
    <row r="1098" customFormat="false" ht="15" hidden="false" customHeight="false" outlineLevel="0" collapsed="false">
      <c r="A1098" s="35" t="s">
        <v>177</v>
      </c>
      <c r="B1098" s="39" t="n">
        <f aca="false">IFERROR(AVERAGE(B1087:B1096),"N/M")</f>
        <v>-0.534246922360572</v>
      </c>
      <c r="C1098" s="39" t="n">
        <f aca="false">IFERROR(AVERAGE(C1087:C1096),"N/M")</f>
        <v>0.872979476301748</v>
      </c>
      <c r="D1098" s="39" t="n">
        <f aca="false">IFERROR(AVERAGE(D1087:D1096),"N/M")</f>
        <v>1.38456681512157</v>
      </c>
      <c r="E1098" s="39" t="n">
        <f aca="false">IFERROR(AVERAGE(E1087:E1096),"N/M")</f>
        <v>-0.0133089699760513</v>
      </c>
      <c r="F1098" s="39" t="n">
        <f aca="false">IFERROR(AVERAGE(F1087:F1096),"N/M")</f>
        <v>2.36770633974132</v>
      </c>
      <c r="G1098" s="39" t="n">
        <f aca="false">IFERROR(AVERAGE(G1087:G1096),"N/M")</f>
        <v>-0.225301882316333</v>
      </c>
      <c r="H1098" s="39" t="n">
        <f aca="false">IFERROR(AVERAGE(H1087:H1096),"N/M")</f>
        <v>-0.126403602947787</v>
      </c>
      <c r="I1098" s="39" t="n">
        <f aca="false">IFERROR(AVERAGE(I1087:I1096),"N/M")</f>
        <v>0.532284464794842</v>
      </c>
    </row>
    <row r="1099" customFormat="false" ht="15" hidden="false" customHeight="false" outlineLevel="0" collapsed="false">
      <c r="A1099" s="35" t="s">
        <v>178</v>
      </c>
      <c r="B1099" s="39" t="n">
        <f aca="false">IFERROR(MEDIAN(B1087:B1096),"N/M")</f>
        <v>-0.449908694395763</v>
      </c>
      <c r="C1099" s="39" t="n">
        <f aca="false">IFERROR(MEDIAN(C1087:C1096),"N/M")</f>
        <v>0.840355014625844</v>
      </c>
      <c r="D1099" s="39" t="n">
        <f aca="false">IFERROR(MEDIAN(D1087:D1096),"N/M")</f>
        <v>0.848865375701191</v>
      </c>
      <c r="E1099" s="39" t="n">
        <f aca="false">IFERROR(MEDIAN(E1087:E1096),"N/M")</f>
        <v>-0.10529790080852</v>
      </c>
      <c r="F1099" s="39" t="n">
        <f aca="false">IFERROR(MEDIAN(F1087:F1096),"N/M")</f>
        <v>0.212894455696554</v>
      </c>
      <c r="G1099" s="39" t="n">
        <f aca="false">IFERROR(MEDIAN(G1087:G1096),"N/M")</f>
        <v>-0.254578274623726</v>
      </c>
      <c r="H1099" s="39" t="n">
        <f aca="false">IFERROR(MEDIAN(H1087:H1096),"N/M")</f>
        <v>-0.21905758019736</v>
      </c>
      <c r="I1099" s="39" t="n">
        <f aca="false">IFERROR(MEDIAN(I1087:I1096),"N/M")</f>
        <v>0.287964931982094</v>
      </c>
    </row>
    <row r="1100" customFormat="false" ht="15" hidden="false" customHeight="false" outlineLevel="0" collapsed="false">
      <c r="A1100" s="35" t="s">
        <v>179</v>
      </c>
      <c r="B1100" s="39" t="n">
        <f aca="false">IFERROR(STDEV(B1087:B1096),"N/M")</f>
        <v>0.213066850057547</v>
      </c>
      <c r="C1100" s="39" t="n">
        <f aca="false">IFERROR(STDEV(C1087:C1096),"N/M")</f>
        <v>0.466598211831167</v>
      </c>
      <c r="D1100" s="39" t="n">
        <f aca="false">IFERROR(STDEV(D1087:D1096),"N/M")</f>
        <v>1.47612362955312</v>
      </c>
      <c r="E1100" s="39" t="n">
        <f aca="false">IFERROR(STDEV(E1087:E1096),"N/M")</f>
        <v>0.412798737596057</v>
      </c>
      <c r="F1100" s="39" t="n">
        <f aca="false">IFERROR(STDEV(F1087:F1096),"N/M")</f>
        <v>6.87878588823394</v>
      </c>
      <c r="G1100" s="39" t="n">
        <f aca="false">IFERROR(STDEV(G1087:G1096),"N/M")</f>
        <v>0.313416121074612</v>
      </c>
      <c r="H1100" s="39" t="n">
        <f aca="false">IFERROR(STDEV(H1087:H1096),"N/M")</f>
        <v>0.321954187778799</v>
      </c>
      <c r="I1100" s="39" t="n">
        <f aca="false">IFERROR(STDEV(I1087:I1096),"N/M")</f>
        <v>0.871203059290582</v>
      </c>
    </row>
    <row r="1101" customFormat="false" ht="15" hidden="false" customHeight="false" outlineLevel="0" collapsed="false">
      <c r="A1101" s="35" t="s">
        <v>102</v>
      </c>
      <c r="B1101" s="39" t="n">
        <f aca="false">IFERROR(MIN(B1087:B1096),"N/M")</f>
        <v>-0.953633096678061</v>
      </c>
      <c r="C1101" s="39" t="n">
        <f aca="false">IFERROR(MIN(C1087:C1096),"N/M")</f>
        <v>0.265845070422535</v>
      </c>
      <c r="D1101" s="39" t="n">
        <f aca="false">IFERROR(MIN(D1087:D1096),"N/M")</f>
        <v>-0.12687220563753</v>
      </c>
      <c r="E1101" s="39" t="n">
        <f aca="false">IFERROR(MIN(E1087:E1096),"N/M")</f>
        <v>-0.594222833562586</v>
      </c>
      <c r="F1101" s="39" t="n">
        <f aca="false">IFERROR(MIN(F1087:F1096),"N/M")</f>
        <v>-0.47602521441291</v>
      </c>
      <c r="G1101" s="39" t="n">
        <f aca="false">IFERROR(MIN(G1087:G1096),"N/M")</f>
        <v>-0.659877017678709</v>
      </c>
      <c r="H1101" s="39" t="n">
        <f aca="false">IFERROR(MIN(H1087:H1096),"N/M")</f>
        <v>-0.496842105263158</v>
      </c>
      <c r="I1101" s="39" t="n">
        <f aca="false">IFERROR(MIN(I1087:I1096),"N/M")</f>
        <v>0.0845694592826347</v>
      </c>
    </row>
    <row r="1102" customFormat="false" ht="15" hidden="false" customHeight="false" outlineLevel="0" collapsed="false">
      <c r="A1102" s="35" t="s">
        <v>103</v>
      </c>
      <c r="B1102" s="39" t="n">
        <f aca="false">IFERROR(MAX(B1087:B1096),"N/M")</f>
        <v>-0.294725274725275</v>
      </c>
      <c r="C1102" s="39" t="n">
        <f aca="false">IFERROR(MAX(C1087:C1096),"N/M")</f>
        <v>1.56671480052263</v>
      </c>
      <c r="D1102" s="39" t="n">
        <f aca="false">IFERROR(MAX(D1087:D1096),"N/M")</f>
        <v>4.0047839203156</v>
      </c>
      <c r="E1102" s="39" t="n">
        <f aca="false">IFERROR(MAX(E1087:E1096),"N/M")</f>
        <v>0.720170454545454</v>
      </c>
      <c r="F1102" s="39" t="n">
        <f aca="false">IFERROR(MAX(F1087:F1096),"N/M")</f>
        <v>21.9205607476636</v>
      </c>
      <c r="G1102" s="39" t="n">
        <f aca="false">IFERROR(MAX(G1087:G1096),"N/M")</f>
        <v>0.36828486939379</v>
      </c>
      <c r="H1102" s="39" t="n">
        <f aca="false">IFERROR(MAX(H1087:H1096),"N/M")</f>
        <v>0.480902777777778</v>
      </c>
      <c r="I1102" s="39" t="n">
        <f aca="false">IFERROR(MAX(I1087:I1096),"N/M")</f>
        <v>2.96781838760086</v>
      </c>
    </row>
    <row r="1104" customFormat="false" ht="15" hidden="false" customHeight="false" outlineLevel="0" collapsed="false">
      <c r="A1104" s="16" t="s">
        <v>241</v>
      </c>
      <c r="B1104" s="17"/>
      <c r="C1104" s="17"/>
      <c r="D1104" s="17"/>
      <c r="E1104" s="17"/>
      <c r="F1104" s="17"/>
      <c r="G1104" s="17"/>
      <c r="H1104" s="17"/>
      <c r="I1104" s="17"/>
      <c r="J1104" s="17"/>
      <c r="K1104" s="17"/>
      <c r="L1104" s="17"/>
      <c r="M1104" s="17"/>
    </row>
    <row r="1105" customFormat="false" ht="15" hidden="false" customHeight="false" outlineLevel="0" collapsed="false">
      <c r="A1105" s="18" t="s">
        <v>110</v>
      </c>
      <c r="B1105" s="20" t="str">
        <f aca="false">Tiger!D154</f>
        <v>N/M</v>
      </c>
      <c r="C1105" s="20" t="str">
        <f aca="false">Tiger!E154</f>
        <v>N/M</v>
      </c>
      <c r="D1105" s="20" t="n">
        <f aca="false">Tiger!F154</f>
        <v>4.82938775510204</v>
      </c>
      <c r="E1105" s="20" t="n">
        <f aca="false">Tiger!G154</f>
        <v>10.0032609351433</v>
      </c>
      <c r="F1105" s="20" t="n">
        <f aca="false">Tiger!H154</f>
        <v>23.7394695787831</v>
      </c>
      <c r="G1105" s="20" t="n">
        <f aca="false">Tiger!I154</f>
        <v>12.0450483991065</v>
      </c>
      <c r="H1105" s="20" t="n">
        <f aca="false">Tiger!J154</f>
        <v>7.40381679389313</v>
      </c>
      <c r="I1105" s="21" t="n">
        <f aca="false">Tiger!K154</f>
        <v>11.6041966924056</v>
      </c>
      <c r="J1105" s="34" t="str">
        <f aca="false">IF(AND(ISNUMBER(H1105),ISNUMBER(H$1117)),IF(H1105&gt;H$1117,"Above",IF(H1105&lt;H$1117,"Below","At")),"-")</f>
        <v>Above</v>
      </c>
      <c r="K1105" s="34" t="s">
        <v>204</v>
      </c>
      <c r="L1105" s="34" t="n">
        <f aca="false">IF(ISNUMBER(H1105),RANK(H1105,H$1105:H$1114,0),"-")</f>
        <v>5</v>
      </c>
      <c r="N1105" s="34" t="str">
        <f aca="false">IF(AND(ISNUMBER(I1105),ISNUMBER(I$1117)),IF(I1105&gt;I$1117,"Above",IF(I1105&lt;I$1117,"Below","At")),"-")</f>
        <v>Above</v>
      </c>
      <c r="O1105" s="34" t="s">
        <v>204</v>
      </c>
    </row>
    <row r="1106" customFormat="false" ht="15" hidden="false" customHeight="false" outlineLevel="0" collapsed="false">
      <c r="A1106" s="18" t="s">
        <v>111</v>
      </c>
      <c r="B1106" s="20" t="str">
        <f aca="false">Allcargo!D154</f>
        <v>N/C</v>
      </c>
      <c r="C1106" s="20" t="str">
        <f aca="false">Allcargo!E154</f>
        <v>N/C</v>
      </c>
      <c r="D1106" s="20" t="str">
        <f aca="false">Allcargo!F154</f>
        <v>N/C</v>
      </c>
      <c r="E1106" s="20" t="str">
        <f aca="false">Allcargo!G154</f>
        <v>N/C</v>
      </c>
      <c r="F1106" s="20" t="str">
        <f aca="false">Allcargo!H154</f>
        <v>N/C</v>
      </c>
      <c r="G1106" s="20" t="str">
        <f aca="false">Allcargo!I154</f>
        <v>N/C</v>
      </c>
      <c r="H1106" s="20" t="n">
        <f aca="false">Allcargo!J154</f>
        <v>6.06452</v>
      </c>
      <c r="I1106" s="21" t="n">
        <f aca="false">Allcargo!K154</f>
        <v>6.06452</v>
      </c>
      <c r="J1106" s="34" t="str">
        <f aca="false">IF(AND(ISNUMBER(H1106),ISNUMBER(H$1117)),IF(H1106&gt;H$1117,"Above",IF(H1106&lt;H$1117,"Below","At")),"-")</f>
        <v>Below</v>
      </c>
      <c r="K1106" s="34" t="s">
        <v>204</v>
      </c>
      <c r="L1106" s="34" t="n">
        <f aca="false">IF(ISNUMBER(H1106),RANK(H1106,H$1105:H$1114,0),"-")</f>
        <v>8</v>
      </c>
      <c r="N1106" s="34" t="str">
        <f aca="false">IF(AND(ISNUMBER(I1106),ISNUMBER(I$1117)),IF(I1106&gt;I$1117,"Above",IF(I1106&lt;I$1117,"Below","At")),"-")</f>
        <v>Below</v>
      </c>
      <c r="O1106" s="34" t="s">
        <v>204</v>
      </c>
    </row>
    <row r="1107" customFormat="false" ht="15" hidden="false" customHeight="false" outlineLevel="0" collapsed="false">
      <c r="A1107" s="18" t="s">
        <v>112</v>
      </c>
      <c r="B1107" s="20" t="n">
        <f aca="false">BlueDart!D154</f>
        <v>13.2562994901196</v>
      </c>
      <c r="C1107" s="20" t="n">
        <f aca="false">BlueDart!E154</f>
        <v>21.1870016452684</v>
      </c>
      <c r="D1107" s="20" t="n">
        <f aca="false">BlueDart!F154</f>
        <v>17.2377089973156</v>
      </c>
      <c r="E1107" s="20" t="n">
        <f aca="false">BlueDart!G154</f>
        <v>16.2442745453983</v>
      </c>
      <c r="F1107" s="20" t="n">
        <f aca="false">BlueDart!H154</f>
        <v>17.2225841614838</v>
      </c>
      <c r="G1107" s="20" t="n">
        <f aca="false">BlueDart!I154</f>
        <v>16.8201285850181</v>
      </c>
      <c r="H1107" s="20" t="n">
        <f aca="false">BlueDart!J154</f>
        <v>12.8137296248656</v>
      </c>
      <c r="I1107" s="21" t="n">
        <f aca="false">BlueDart!K154</f>
        <v>16.3973895784956</v>
      </c>
      <c r="J1107" s="34" t="str">
        <f aca="false">IF(AND(ISNUMBER(H1107),ISNUMBER(H$1117)),IF(H1107&gt;H$1117,"Above",IF(H1107&lt;H$1117,"Below","At")),"-")</f>
        <v>Above</v>
      </c>
      <c r="K1107" s="34" t="s">
        <v>204</v>
      </c>
      <c r="L1107" s="34" t="n">
        <f aca="false">IF(ISNUMBER(H1107),RANK(H1107,H$1105:H$1114,0),"-")</f>
        <v>1</v>
      </c>
      <c r="N1107" s="34" t="str">
        <f aca="false">IF(AND(ISNUMBER(I1107),ISNUMBER(I$1117)),IF(I1107&gt;I$1117,"Above",IF(I1107&lt;I$1117,"Below","At")),"-")</f>
        <v>Above</v>
      </c>
      <c r="O1107" s="34" t="s">
        <v>204</v>
      </c>
    </row>
    <row r="1108" customFormat="false" ht="15" hidden="false" customHeight="false" outlineLevel="0" collapsed="false">
      <c r="A1108" s="18" t="s">
        <v>67</v>
      </c>
      <c r="B1108" s="20" t="n">
        <f aca="false">CONCOR!D154</f>
        <v>15.9391094972855</v>
      </c>
      <c r="C1108" s="20" t="n">
        <f aca="false">CONCOR!E154</f>
        <v>27.2852361724401</v>
      </c>
      <c r="D1108" s="20" t="n">
        <f aca="false">CONCOR!F154</f>
        <v>19.2052405225067</v>
      </c>
      <c r="E1108" s="20" t="n">
        <f aca="false">CONCOR!G154</f>
        <v>15.0076296754026</v>
      </c>
      <c r="F1108" s="20" t="n">
        <f aca="false">CONCOR!H154</f>
        <v>21.7845752221393</v>
      </c>
      <c r="G1108" s="20" t="n">
        <f aca="false">CONCOR!I154</f>
        <v>16.5496347281708</v>
      </c>
      <c r="H1108" s="20" t="n">
        <f aca="false">CONCOR!J154</f>
        <v>12.7378522110345</v>
      </c>
      <c r="I1108" s="21" t="n">
        <f aca="false">CONCOR!K154</f>
        <v>18.3584682898542</v>
      </c>
      <c r="J1108" s="34" t="str">
        <f aca="false">IF(AND(ISNUMBER(H1108),ISNUMBER(H$1117)),IF(H1108&gt;H$1117,"Above",IF(H1108&lt;H$1117,"Below","At")),"-")</f>
        <v>Above</v>
      </c>
      <c r="K1108" s="34" t="s">
        <v>204</v>
      </c>
      <c r="L1108" s="34" t="n">
        <f aca="false">IF(ISNUMBER(H1108),RANK(H1108,H$1105:H$1114,0),"-")</f>
        <v>2</v>
      </c>
      <c r="N1108" s="34" t="str">
        <f aca="false">IF(AND(ISNUMBER(I1108),ISNUMBER(I$1117)),IF(I1108&gt;I$1117,"Above",IF(I1108&lt;I$1117,"Below","At")),"-")</f>
        <v>Above</v>
      </c>
      <c r="O1108" s="34" t="s">
        <v>204</v>
      </c>
    </row>
    <row r="1109" customFormat="false" ht="15" hidden="false" customHeight="false" outlineLevel="0" collapsed="false">
      <c r="A1109" s="18" t="s">
        <v>113</v>
      </c>
      <c r="B1109" s="20" t="str">
        <f aca="false">JetFreight!D154</f>
        <v>N/M</v>
      </c>
      <c r="C1109" s="20" t="n">
        <f aca="false">JetFreight!E154</f>
        <v>6.17977800201816</v>
      </c>
      <c r="D1109" s="20" t="n">
        <f aca="false">JetFreight!F154</f>
        <v>15.7421276595745</v>
      </c>
      <c r="E1109" s="20" t="n">
        <f aca="false">JetFreight!G154</f>
        <v>12.2857798165138</v>
      </c>
      <c r="F1109" s="20" t="n">
        <f aca="false">JetFreight!H154</f>
        <v>11.9794504181601</v>
      </c>
      <c r="G1109" s="20" t="n">
        <f aca="false">JetFreight!I154</f>
        <v>6.89096141268803</v>
      </c>
      <c r="H1109" s="20" t="n">
        <f aca="false">JetFreight!J154</f>
        <v>6.7638243902439</v>
      </c>
      <c r="I1109" s="21" t="n">
        <f aca="false">JetFreight!K154</f>
        <v>9.97365361653307</v>
      </c>
      <c r="J1109" s="34" t="str">
        <f aca="false">IF(AND(ISNUMBER(H1109),ISNUMBER(H$1117)),IF(H1109&gt;H$1117,"Above",IF(H1109&lt;H$1117,"Below","At")),"-")</f>
        <v>Below</v>
      </c>
      <c r="K1109" s="34" t="s">
        <v>204</v>
      </c>
      <c r="L1109" s="34" t="n">
        <f aca="false">IF(ISNUMBER(H1109),RANK(H1109,H$1105:H$1114,0),"-")</f>
        <v>6</v>
      </c>
      <c r="N1109" s="34" t="str">
        <f aca="false">IF(AND(ISNUMBER(I1109),ISNUMBER(I$1117)),IF(I1109&gt;I$1117,"Above",IF(I1109&lt;I$1117,"Below","At")),"-")</f>
        <v>Below</v>
      </c>
      <c r="O1109" s="34" t="s">
        <v>204</v>
      </c>
    </row>
    <row r="1110" customFormat="false" ht="15" hidden="false" customHeight="false" outlineLevel="0" collapsed="false">
      <c r="A1110" s="18" t="s">
        <v>114</v>
      </c>
      <c r="B1110" s="20" t="n">
        <f aca="false">Patel!D154</f>
        <v>3.37770410277663</v>
      </c>
      <c r="C1110" s="20" t="n">
        <f aca="false">Patel!E154</f>
        <v>10.3875831702544</v>
      </c>
      <c r="D1110" s="20" t="n">
        <f aca="false">Patel!F154</f>
        <v>11.4359901960784</v>
      </c>
      <c r="E1110" s="20" t="n">
        <f aca="false">Patel!G154</f>
        <v>6.67218167072182</v>
      </c>
      <c r="F1110" s="20" t="n">
        <f aca="false">Patel!H154</f>
        <v>11.636169828365</v>
      </c>
      <c r="G1110" s="20" t="n">
        <f aca="false">Patel!I154</f>
        <v>6.76052356020943</v>
      </c>
      <c r="H1110" s="20" t="n">
        <f aca="false">Patel!J154</f>
        <v>2.78725208175624</v>
      </c>
      <c r="I1110" s="21" t="n">
        <f aca="false">Patel!K154</f>
        <v>7.57962923002313</v>
      </c>
      <c r="J1110" s="34" t="str">
        <f aca="false">IF(AND(ISNUMBER(H1110),ISNUMBER(H$1117)),IF(H1110&gt;H$1117,"Above",IF(H1110&lt;H$1117,"Below","At")),"-")</f>
        <v>Below</v>
      </c>
      <c r="K1110" s="34" t="s">
        <v>204</v>
      </c>
      <c r="L1110" s="34" t="n">
        <f aca="false">IF(ISNUMBER(H1110),RANK(H1110,H$1105:H$1114,0),"-")</f>
        <v>10</v>
      </c>
      <c r="N1110" s="34" t="str">
        <f aca="false">IF(AND(ISNUMBER(I1110),ISNUMBER(I$1117)),IF(I1110&gt;I$1117,"Above",IF(I1110&lt;I$1117,"Below","At")),"-")</f>
        <v>Below</v>
      </c>
      <c r="O1110" s="34" t="s">
        <v>204</v>
      </c>
    </row>
    <row r="1111" customFormat="false" ht="15" hidden="false" customHeight="false" outlineLevel="0" collapsed="false">
      <c r="A1111" s="18" t="s">
        <v>115</v>
      </c>
      <c r="B1111" s="20" t="n">
        <f aca="false">Sical!D154</f>
        <v>193.24633803681</v>
      </c>
      <c r="C1111" s="20" t="str">
        <f aca="false">Sical!E154</f>
        <v>N/M</v>
      </c>
      <c r="D1111" s="20" t="str">
        <f aca="false">Sical!F154</f>
        <v>N/M</v>
      </c>
      <c r="E1111" s="20" t="str">
        <f aca="false">Sical!G154</f>
        <v>N/M</v>
      </c>
      <c r="F1111" s="20" t="n">
        <f aca="false">Sical!H154</f>
        <v>21.1529740310686</v>
      </c>
      <c r="G1111" s="20" t="n">
        <f aca="false">Sical!I154</f>
        <v>19.2556487664146</v>
      </c>
      <c r="H1111" s="20" t="n">
        <f aca="false">Sical!J154</f>
        <v>5.39680199063232</v>
      </c>
      <c r="I1111" s="21" t="n">
        <f aca="false">Sical!K154</f>
        <v>59.7629407062314</v>
      </c>
      <c r="J1111" s="34" t="str">
        <f aca="false">IF(AND(ISNUMBER(H1111),ISNUMBER(H$1117)),IF(H1111&gt;H$1117,"Above",IF(H1111&lt;H$1117,"Below","At")),"-")</f>
        <v>Below</v>
      </c>
      <c r="K1111" s="34" t="s">
        <v>204</v>
      </c>
      <c r="L1111" s="34" t="n">
        <f aca="false">IF(ISNUMBER(H1111),RANK(H1111,H$1105:H$1114,0),"-")</f>
        <v>9</v>
      </c>
      <c r="N1111" s="34" t="str">
        <f aca="false">IF(AND(ISNUMBER(I1111),ISNUMBER(I$1117)),IF(I1111&gt;I$1117,"Above",IF(I1111&lt;I$1117,"Below","At")),"-")</f>
        <v>Above</v>
      </c>
      <c r="O1111" s="34" t="s">
        <v>204</v>
      </c>
    </row>
    <row r="1112" customFormat="false" ht="15" hidden="false" customHeight="false" outlineLevel="0" collapsed="false">
      <c r="A1112" s="18" t="s">
        <v>86</v>
      </c>
      <c r="B1112" s="20" t="n">
        <f aca="false">TCI!D154</f>
        <v>6.66988257465932</v>
      </c>
      <c r="C1112" s="20" t="n">
        <f aca="false">TCI!E154</f>
        <v>7.60105698529412</v>
      </c>
      <c r="D1112" s="20" t="n">
        <f aca="false">TCI!F154</f>
        <v>10.1964038394109</v>
      </c>
      <c r="E1112" s="20" t="n">
        <f aca="false">TCI!G154</f>
        <v>9.63462827605702</v>
      </c>
      <c r="F1112" s="20" t="n">
        <f aca="false">TCI!H154</f>
        <v>12.0877522130575</v>
      </c>
      <c r="G1112" s="20" t="n">
        <f aca="false">TCI!I154</f>
        <v>14.3997288158291</v>
      </c>
      <c r="H1112" s="20" t="n">
        <f aca="false">TCI!J154</f>
        <v>11.1981291732053</v>
      </c>
      <c r="I1112" s="21" t="n">
        <f aca="false">TCI!K154</f>
        <v>10.2553688396448</v>
      </c>
      <c r="J1112" s="34" t="str">
        <f aca="false">IF(AND(ISNUMBER(H1112),ISNUMBER(H$1117)),IF(H1112&gt;H$1117,"Above",IF(H1112&lt;H$1117,"Below","At")),"-")</f>
        <v>Above</v>
      </c>
      <c r="K1112" s="34" t="s">
        <v>204</v>
      </c>
      <c r="L1112" s="34" t="n">
        <f aca="false">IF(ISNUMBER(H1112),RANK(H1112,H$1105:H$1114,0),"-")</f>
        <v>3</v>
      </c>
      <c r="N1112" s="34" t="str">
        <f aca="false">IF(AND(ISNUMBER(I1112),ISNUMBER(I$1117)),IF(I1112&gt;I$1117,"Above",IF(I1112&lt;I$1117,"Below","At")),"-")</f>
        <v>Below</v>
      </c>
      <c r="O1112" s="34" t="s">
        <v>204</v>
      </c>
    </row>
    <row r="1113" customFormat="false" ht="15" hidden="false" customHeight="false" outlineLevel="0" collapsed="false">
      <c r="A1113" s="18" t="s">
        <v>116</v>
      </c>
      <c r="B1113" s="20" t="n">
        <f aca="false">Shreeji!D154</f>
        <v>7.46363636363636</v>
      </c>
      <c r="C1113" s="20" t="n">
        <f aca="false">Shreeji!E154</f>
        <v>13.1984126984127</v>
      </c>
      <c r="D1113" s="20" t="n">
        <f aca="false">Shreeji!F154</f>
        <v>12.8100050530571</v>
      </c>
      <c r="E1113" s="20" t="n">
        <f aca="false">Shreeji!G154</f>
        <v>18.967294520548</v>
      </c>
      <c r="F1113" s="20" t="n">
        <f aca="false">Shreeji!H154</f>
        <v>7.27596753246753</v>
      </c>
      <c r="G1113" s="20" t="n">
        <f aca="false">Shreeji!I154</f>
        <v>8.33172323759791</v>
      </c>
      <c r="H1113" s="20" t="n">
        <f aca="false">Shreeji!J154</f>
        <v>6.38064846416382</v>
      </c>
      <c r="I1113" s="21" t="n">
        <f aca="false">Shreeji!K154</f>
        <v>10.6325268385548</v>
      </c>
      <c r="J1113" s="34" t="str">
        <f aca="false">IF(AND(ISNUMBER(H1113),ISNUMBER(H$1117)),IF(H1113&gt;H$1117,"Above",IF(H1113&lt;H$1117,"Below","At")),"-")</f>
        <v>Below</v>
      </c>
      <c r="K1113" s="34" t="s">
        <v>204</v>
      </c>
      <c r="L1113" s="34" t="n">
        <f aca="false">IF(ISNUMBER(H1113),RANK(H1113,H$1105:H$1114,0),"-")</f>
        <v>7</v>
      </c>
      <c r="N1113" s="34" t="str">
        <f aca="false">IF(AND(ISNUMBER(I1113),ISNUMBER(I$1117)),IF(I1113&gt;I$1117,"Above",IF(I1113&lt;I$1117,"Below","At")),"-")</f>
        <v>Below</v>
      </c>
      <c r="O1113" s="34" t="s">
        <v>204</v>
      </c>
    </row>
    <row r="1114" customFormat="false" ht="15" hidden="false" customHeight="false" outlineLevel="0" collapsed="false">
      <c r="A1114" s="18" t="s">
        <v>117</v>
      </c>
      <c r="B1114" s="20" t="n">
        <f aca="false">MahindraLog!D154</f>
        <v>12.4068249637155</v>
      </c>
      <c r="C1114" s="20" t="n">
        <f aca="false">MahindraLog!E154</f>
        <v>35.4716530146368</v>
      </c>
      <c r="D1114" s="20" t="n">
        <f aca="false">MahindraLog!F154</f>
        <v>24.3509224159717</v>
      </c>
      <c r="E1114" s="20" t="n">
        <f aca="false">MahindraLog!G154</f>
        <v>14.1823119625558</v>
      </c>
      <c r="F1114" s="20" t="n">
        <f aca="false">MahindraLog!H154</f>
        <v>17.3955495294305</v>
      </c>
      <c r="G1114" s="20" t="n">
        <f aca="false">MahindraLog!I154</f>
        <v>10.5419555792703</v>
      </c>
      <c r="H1114" s="20" t="n">
        <f aca="false">MahindraLog!J154</f>
        <v>9.71785001942754</v>
      </c>
      <c r="I1114" s="21" t="n">
        <f aca="false">MahindraLog!K154</f>
        <v>17.7238667835726</v>
      </c>
      <c r="J1114" s="34" t="str">
        <f aca="false">IF(AND(ISNUMBER(H1114),ISNUMBER(H$1117)),IF(H1114&gt;H$1117,"Above",IF(H1114&lt;H$1117,"Below","At")),"-")</f>
        <v>Above</v>
      </c>
      <c r="K1114" s="34" t="s">
        <v>204</v>
      </c>
      <c r="L1114" s="34" t="n">
        <f aca="false">IF(ISNUMBER(H1114),RANK(H1114,H$1105:H$1114,0),"-")</f>
        <v>4</v>
      </c>
      <c r="N1114" s="34" t="str">
        <f aca="false">IF(AND(ISNUMBER(I1114),ISNUMBER(I$1117)),IF(I1114&gt;I$1117,"Above",IF(I1114&lt;I$1117,"Below","At")),"-")</f>
        <v>Above</v>
      </c>
      <c r="O1114" s="34" t="s">
        <v>204</v>
      </c>
    </row>
    <row r="1115" customFormat="false" ht="15" hidden="false" customHeight="false" outlineLevel="0" collapsed="false">
      <c r="A1115" s="12" t="s">
        <v>176</v>
      </c>
      <c r="B1115" s="21" t="n">
        <f aca="false">Industry!D154</f>
        <v>14.3383783331617</v>
      </c>
      <c r="C1115" s="21" t="n">
        <f aca="false">Industry!E154</f>
        <v>39.7479967148821</v>
      </c>
      <c r="D1115" s="21" t="n">
        <f aca="false">Industry!F154</f>
        <v>18.9090355486949</v>
      </c>
      <c r="E1115" s="21" t="n">
        <f aca="false">Industry!G154</f>
        <v>18.0213812374748</v>
      </c>
      <c r="F1115" s="21" t="n">
        <f aca="false">Industry!H154</f>
        <v>19.1496142574594</v>
      </c>
      <c r="G1115" s="21" t="n">
        <f aca="false">Industry!I154</f>
        <v>15.7996193148286</v>
      </c>
      <c r="H1115" s="21" t="n">
        <f aca="false">Industry!J154</f>
        <v>11.5695312188203</v>
      </c>
      <c r="I1115" s="21" t="n">
        <f aca="false">Industry!K154</f>
        <v>19.6479366607603</v>
      </c>
    </row>
    <row r="1116" customFormat="false" ht="15" hidden="false" customHeight="false" outlineLevel="0" collapsed="false">
      <c r="A1116" s="35" t="s">
        <v>177</v>
      </c>
      <c r="B1116" s="37" t="n">
        <f aca="false">IFERROR(AVERAGE(B1105:B1114),"N/M")</f>
        <v>36.0513992898576</v>
      </c>
      <c r="C1116" s="37" t="n">
        <f aca="false">IFERROR(AVERAGE(C1105:C1114),"N/M")</f>
        <v>17.3301030983321</v>
      </c>
      <c r="D1116" s="37" t="n">
        <f aca="false">IFERROR(AVERAGE(D1105:D1114),"N/M")</f>
        <v>14.4759733048771</v>
      </c>
      <c r="E1116" s="37" t="n">
        <f aca="false">IFERROR(AVERAGE(E1105:E1114),"N/M")</f>
        <v>12.8746701752926</v>
      </c>
      <c r="F1116" s="37" t="n">
        <f aca="false">IFERROR(AVERAGE(F1105:F1114),"N/M")</f>
        <v>16.0304991683284</v>
      </c>
      <c r="G1116" s="37" t="n">
        <f aca="false">IFERROR(AVERAGE(G1105:G1114),"N/M")</f>
        <v>12.3994836760339</v>
      </c>
      <c r="H1116" s="37" t="n">
        <f aca="false">IFERROR(AVERAGE(H1105:H1114),"N/M")</f>
        <v>8.12644247492223</v>
      </c>
      <c r="I1116" s="37" t="n">
        <f aca="false">IFERROR(AVERAGE(I1105:I1114),"N/M")</f>
        <v>16.8352560575315</v>
      </c>
    </row>
    <row r="1117" customFormat="false" ht="15" hidden="false" customHeight="false" outlineLevel="0" collapsed="false">
      <c r="A1117" s="35" t="s">
        <v>178</v>
      </c>
      <c r="B1117" s="37" t="n">
        <f aca="false">IFERROR(MEDIAN(B1105:B1114),"N/M")</f>
        <v>12.4068249637155</v>
      </c>
      <c r="C1117" s="37" t="n">
        <f aca="false">IFERROR(MEDIAN(C1105:C1114),"N/M")</f>
        <v>13.1984126984127</v>
      </c>
      <c r="D1117" s="37" t="n">
        <f aca="false">IFERROR(MEDIAN(D1105:D1114),"N/M")</f>
        <v>14.2760663563158</v>
      </c>
      <c r="E1117" s="37" t="n">
        <f aca="false">IFERROR(MEDIAN(E1105:E1114),"N/M")</f>
        <v>13.2340458895348</v>
      </c>
      <c r="F1117" s="37" t="n">
        <f aca="false">IFERROR(MEDIAN(F1105:F1114),"N/M")</f>
        <v>17.2225841614838</v>
      </c>
      <c r="G1117" s="37" t="n">
        <f aca="false">IFERROR(MEDIAN(G1105:G1114),"N/M")</f>
        <v>12.0450483991065</v>
      </c>
      <c r="H1117" s="37" t="n">
        <f aca="false">IFERROR(MEDIAN(H1105:H1114),"N/M")</f>
        <v>7.08382059206852</v>
      </c>
      <c r="I1117" s="37" t="n">
        <f aca="false">IFERROR(MEDIAN(I1105:I1114),"N/M")</f>
        <v>11.1183617654802</v>
      </c>
    </row>
    <row r="1118" customFormat="false" ht="15" hidden="false" customHeight="false" outlineLevel="0" collapsed="false">
      <c r="A1118" s="35" t="s">
        <v>179</v>
      </c>
      <c r="B1118" s="37" t="n">
        <f aca="false">IFERROR(STDEV(B1105:B1114),"N/M")</f>
        <v>69.452069214546</v>
      </c>
      <c r="C1118" s="37" t="n">
        <f aca="false">IFERROR(STDEV(C1105:C1114),"N/M")</f>
        <v>11.0102203340501</v>
      </c>
      <c r="D1118" s="37" t="n">
        <f aca="false">IFERROR(STDEV(D1105:D1114),"N/M")</f>
        <v>6.0059398496583</v>
      </c>
      <c r="E1118" s="37" t="n">
        <f aca="false">IFERROR(STDEV(E1105:E1114),"N/M")</f>
        <v>4.00525130892561</v>
      </c>
      <c r="F1118" s="37" t="n">
        <f aca="false">IFERROR(STDEV(F1105:F1114),"N/M")</f>
        <v>5.58983450003054</v>
      </c>
      <c r="G1118" s="37" t="n">
        <f aca="false">IFERROR(STDEV(G1105:G1114),"N/M")</f>
        <v>4.61029058502076</v>
      </c>
      <c r="H1118" s="37" t="n">
        <f aca="false">IFERROR(STDEV(H1105:H1114),"N/M")</f>
        <v>3.34729950679263</v>
      </c>
      <c r="I1118" s="37" t="n">
        <f aca="false">IFERROR(STDEV(I1105:I1114),"N/M")</f>
        <v>15.6488457500289</v>
      </c>
    </row>
    <row r="1119" customFormat="false" ht="15" hidden="false" customHeight="false" outlineLevel="0" collapsed="false">
      <c r="A1119" s="35" t="s">
        <v>102</v>
      </c>
      <c r="B1119" s="37" t="n">
        <f aca="false">IFERROR(MIN(B1105:B1114),"N/M")</f>
        <v>3.37770410277663</v>
      </c>
      <c r="C1119" s="37" t="n">
        <f aca="false">IFERROR(MIN(C1105:C1114),"N/M")</f>
        <v>6.17977800201816</v>
      </c>
      <c r="D1119" s="37" t="n">
        <f aca="false">IFERROR(MIN(D1105:D1114),"N/M")</f>
        <v>4.82938775510204</v>
      </c>
      <c r="E1119" s="37" t="n">
        <f aca="false">IFERROR(MIN(E1105:E1114),"N/M")</f>
        <v>6.67218167072182</v>
      </c>
      <c r="F1119" s="37" t="n">
        <f aca="false">IFERROR(MIN(F1105:F1114),"N/M")</f>
        <v>7.27596753246753</v>
      </c>
      <c r="G1119" s="37" t="n">
        <f aca="false">IFERROR(MIN(G1105:G1114),"N/M")</f>
        <v>6.76052356020943</v>
      </c>
      <c r="H1119" s="37" t="n">
        <f aca="false">IFERROR(MIN(H1105:H1114),"N/M")</f>
        <v>2.78725208175624</v>
      </c>
      <c r="I1119" s="37" t="n">
        <f aca="false">IFERROR(MIN(I1105:I1114),"N/M")</f>
        <v>6.06452</v>
      </c>
    </row>
    <row r="1120" customFormat="false" ht="15" hidden="false" customHeight="false" outlineLevel="0" collapsed="false">
      <c r="A1120" s="35" t="s">
        <v>103</v>
      </c>
      <c r="B1120" s="37" t="n">
        <f aca="false">IFERROR(MAX(B1105:B1114),"N/M")</f>
        <v>193.24633803681</v>
      </c>
      <c r="C1120" s="37" t="n">
        <f aca="false">IFERROR(MAX(C1105:C1114),"N/M")</f>
        <v>35.4716530146368</v>
      </c>
      <c r="D1120" s="37" t="n">
        <f aca="false">IFERROR(MAX(D1105:D1114),"N/M")</f>
        <v>24.3509224159717</v>
      </c>
      <c r="E1120" s="37" t="n">
        <f aca="false">IFERROR(MAX(E1105:E1114),"N/M")</f>
        <v>18.967294520548</v>
      </c>
      <c r="F1120" s="37" t="n">
        <f aca="false">IFERROR(MAX(F1105:F1114),"N/M")</f>
        <v>23.7394695787831</v>
      </c>
      <c r="G1120" s="37" t="n">
        <f aca="false">IFERROR(MAX(G1105:G1114),"N/M")</f>
        <v>19.2556487664146</v>
      </c>
      <c r="H1120" s="37" t="n">
        <f aca="false">IFERROR(MAX(H1105:H1114),"N/M")</f>
        <v>12.8137296248656</v>
      </c>
      <c r="I1120" s="37" t="n">
        <f aca="false">IFERROR(MAX(I1105:I1114),"N/M")</f>
        <v>59.7629407062314</v>
      </c>
    </row>
    <row r="1122" customFormat="false" ht="15" hidden="false" customHeight="false" outlineLevel="0" collapsed="false">
      <c r="A1122" s="16" t="s">
        <v>242</v>
      </c>
      <c r="B1122" s="17"/>
      <c r="C1122" s="17"/>
      <c r="D1122" s="17"/>
      <c r="E1122" s="17"/>
      <c r="F1122" s="17"/>
      <c r="G1122" s="17"/>
      <c r="H1122" s="17"/>
      <c r="I1122" s="17"/>
      <c r="J1122" s="17"/>
      <c r="K1122" s="17"/>
      <c r="L1122" s="17"/>
      <c r="M1122" s="17"/>
    </row>
    <row r="1123" customFormat="false" ht="15" hidden="false" customHeight="false" outlineLevel="0" collapsed="false">
      <c r="A1123" s="18" t="s">
        <v>110</v>
      </c>
      <c r="B1123" s="23" t="n">
        <f aca="false">Tiger!D157</f>
        <v>-0.0409314050683296</v>
      </c>
      <c r="C1123" s="23" t="n">
        <f aca="false">Tiger!E157</f>
        <v>-0.0739858223625425</v>
      </c>
      <c r="D1123" s="23" t="n">
        <f aca="false">Tiger!F157</f>
        <v>0.0546731478922469</v>
      </c>
      <c r="E1123" s="23" t="n">
        <f aca="false">Tiger!G157</f>
        <v>0.0535594784815969</v>
      </c>
      <c r="F1123" s="23" t="n">
        <f aca="false">Tiger!H157</f>
        <v>0.0539415633064181</v>
      </c>
      <c r="G1123" s="23" t="n">
        <f aca="false">Tiger!I157</f>
        <v>0.0503626633849826</v>
      </c>
      <c r="H1123" s="23" t="n">
        <f aca="false">Tiger!J157</f>
        <v>0.0375685206522119</v>
      </c>
      <c r="I1123" s="24" t="n">
        <f aca="false">Tiger!K157</f>
        <v>0.0193125923266549</v>
      </c>
      <c r="J1123" s="34" t="str">
        <f aca="false">IF(AND(ISNUMBER(H1123),ISNUMBER(H$1135)),IF(H1123&gt;H$1135,"Above",IF(H1123&lt;H$1135,"Below","At")),"-")</f>
        <v>Above</v>
      </c>
      <c r="K1123" s="34" t="str">
        <f aca="false">IF(J1123="Above","Better",IF(J1123="Below","Weaker","-"))</f>
        <v>Better</v>
      </c>
      <c r="L1123" s="34" t="n">
        <f aca="false">IF(ISNUMBER(H1123),RANK(H1123,H$1123:H$1132,0),"-")</f>
        <v>5</v>
      </c>
      <c r="N1123" s="34" t="str">
        <f aca="false">IF(AND(ISNUMBER(I1123),ISNUMBER(I$1135)),IF(I1123&gt;I$1135,"Above",IF(I1123&lt;I$1135,"Below","At")),"-")</f>
        <v>Below</v>
      </c>
      <c r="O1123" s="34" t="str">
        <f aca="false">IF(N1123="Above","Better",IF(N1123="Below","Weaker","-"))</f>
        <v>Weaker</v>
      </c>
    </row>
    <row r="1124" customFormat="false" ht="15" hidden="false" customHeight="false" outlineLevel="0" collapsed="false">
      <c r="A1124" s="18" t="s">
        <v>111</v>
      </c>
      <c r="B1124" s="23" t="n">
        <f aca="false">Allcargo!D157</f>
        <v>0.0303556649387986</v>
      </c>
      <c r="C1124" s="23" t="n">
        <f aca="false">Allcargo!E157</f>
        <v>0.0164696468884846</v>
      </c>
      <c r="D1124" s="23" t="n">
        <f aca="false">Allcargo!F157</f>
        <v>0.0485634815964277</v>
      </c>
      <c r="E1124" s="23" t="n">
        <f aca="false">Allcargo!G157</f>
        <v>0.0348788445035863</v>
      </c>
      <c r="F1124" s="23" t="n">
        <f aca="false">Allcargo!H157</f>
        <v>0.0115431948355577</v>
      </c>
      <c r="G1124" s="23" t="n">
        <f aca="false">Allcargo!I157</f>
        <v>0.0331463539010709</v>
      </c>
      <c r="H1124" s="23" t="n">
        <f aca="false">Allcargo!J157</f>
        <v>0.00388726919339164</v>
      </c>
      <c r="I1124" s="24" t="n">
        <f aca="false">Allcargo!K157</f>
        <v>0.0255492079796168</v>
      </c>
      <c r="J1124" s="34" t="str">
        <f aca="false">IF(AND(ISNUMBER(H1124),ISNUMBER(H$1135)),IF(H1124&gt;H$1135,"Above",IF(H1124&lt;H$1135,"Below","At")),"-")</f>
        <v>Below</v>
      </c>
      <c r="K1124" s="34" t="str">
        <f aca="false">IF(J1124="Above","Better",IF(J1124="Below","Weaker","-"))</f>
        <v>Weaker</v>
      </c>
      <c r="L1124" s="34" t="n">
        <f aca="false">IF(ISNUMBER(H1124),RANK(H1124,H$1123:H$1132,0),"-")</f>
        <v>9</v>
      </c>
      <c r="N1124" s="34" t="str">
        <f aca="false">IF(AND(ISNUMBER(I1124),ISNUMBER(I$1135)),IF(I1124&gt;I$1135,"Above",IF(I1124&lt;I$1135,"Below","At")),"-")</f>
        <v>Above</v>
      </c>
      <c r="O1124" s="34" t="str">
        <f aca="false">IF(N1124="Above","Better",IF(N1124="Below","Weaker","-"))</f>
        <v>Better</v>
      </c>
    </row>
    <row r="1125" customFormat="false" ht="15" hidden="false" customHeight="false" outlineLevel="0" collapsed="false">
      <c r="A1125" s="18" t="s">
        <v>112</v>
      </c>
      <c r="B1125" s="23" t="n">
        <f aca="false">BlueDart!D157</f>
        <v>-0.0131837121629666</v>
      </c>
      <c r="C1125" s="23" t="n">
        <f aca="false">BlueDart!E157</f>
        <v>0.030962887720376</v>
      </c>
      <c r="D1125" s="23" t="n">
        <f aca="false">BlueDart!F157</f>
        <v>0.0866593054286485</v>
      </c>
      <c r="E1125" s="23" t="n">
        <f aca="false">BlueDart!G157</f>
        <v>0.0716384840552026</v>
      </c>
      <c r="F1125" s="23" t="n">
        <f aca="false">BlueDart!H157</f>
        <v>0.0571411757782616</v>
      </c>
      <c r="G1125" s="23" t="n">
        <f aca="false">BlueDart!I157</f>
        <v>0.0441279819865808</v>
      </c>
      <c r="H1125" s="23" t="n">
        <f aca="false">BlueDart!J157</f>
        <v>0.040285757090189</v>
      </c>
      <c r="I1125" s="24" t="n">
        <f aca="false">BlueDart!K157</f>
        <v>0.0453759828423274</v>
      </c>
      <c r="J1125" s="34" t="str">
        <f aca="false">IF(AND(ISNUMBER(H1125),ISNUMBER(H$1135)),IF(H1125&gt;H$1135,"Above",IF(H1125&lt;H$1135,"Below","At")),"-")</f>
        <v>Above</v>
      </c>
      <c r="K1125" s="34" t="str">
        <f aca="false">IF(J1125="Above","Better",IF(J1125="Below","Weaker","-"))</f>
        <v>Better</v>
      </c>
      <c r="L1125" s="34" t="n">
        <f aca="false">IF(ISNUMBER(H1125),RANK(H1125,H$1123:H$1132,0),"-")</f>
        <v>4</v>
      </c>
      <c r="N1125" s="34" t="str">
        <f aca="false">IF(AND(ISNUMBER(I1125),ISNUMBER(I$1135)),IF(I1125&gt;I$1135,"Above",IF(I1125&lt;I$1135,"Below","At")),"-")</f>
        <v>Above</v>
      </c>
      <c r="O1125" s="34" t="str">
        <f aca="false">IF(N1125="Above","Better",IF(N1125="Below","Weaker","-"))</f>
        <v>Better</v>
      </c>
    </row>
    <row r="1126" customFormat="false" ht="15" hidden="false" customHeight="false" outlineLevel="0" collapsed="false">
      <c r="A1126" s="18" t="s">
        <v>67</v>
      </c>
      <c r="B1126" s="23" t="n">
        <f aca="false">CONCOR!D157</f>
        <v>0.0617922382994884</v>
      </c>
      <c r="C1126" s="23" t="n">
        <f aca="false">CONCOR!E157</f>
        <v>0.0786142385033328</v>
      </c>
      <c r="D1126" s="23" t="n">
        <f aca="false">CONCOR!F157</f>
        <v>0.137874980562492</v>
      </c>
      <c r="E1126" s="23" t="n">
        <f aca="false">CONCOR!G157</f>
        <v>0.143696016217169</v>
      </c>
      <c r="F1126" s="23" t="n">
        <f aca="false">CONCOR!H157</f>
        <v>0.145675519823977</v>
      </c>
      <c r="G1126" s="23" t="n">
        <f aca="false">CONCOR!I157</f>
        <v>0.14515664418444</v>
      </c>
      <c r="H1126" s="23" t="n">
        <f aca="false">CONCOR!J157</f>
        <v>0.13677763006156</v>
      </c>
      <c r="I1126" s="24" t="n">
        <f aca="false">CONCOR!K157</f>
        <v>0.121369609664637</v>
      </c>
      <c r="J1126" s="34" t="str">
        <f aca="false">IF(AND(ISNUMBER(H1126),ISNUMBER(H$1135)),IF(H1126&gt;H$1135,"Above",IF(H1126&lt;H$1135,"Below","At")),"-")</f>
        <v>Above</v>
      </c>
      <c r="K1126" s="34" t="str">
        <f aca="false">IF(J1126="Above","Better",IF(J1126="Below","Weaker","-"))</f>
        <v>Better</v>
      </c>
      <c r="L1126" s="34" t="n">
        <f aca="false">IF(ISNUMBER(H1126),RANK(H1126,H$1123:H$1132,0),"-")</f>
        <v>1</v>
      </c>
      <c r="N1126" s="34" t="str">
        <f aca="false">IF(AND(ISNUMBER(I1126),ISNUMBER(I$1135)),IF(I1126&gt;I$1135,"Above",IF(I1126&lt;I$1135,"Below","At")),"-")</f>
        <v>Above</v>
      </c>
      <c r="O1126" s="34" t="str">
        <f aca="false">IF(N1126="Above","Better",IF(N1126="Below","Weaker","-"))</f>
        <v>Better</v>
      </c>
    </row>
    <row r="1127" customFormat="false" ht="15" hidden="false" customHeight="false" outlineLevel="0" collapsed="false">
      <c r="A1127" s="18" t="s">
        <v>113</v>
      </c>
      <c r="B1127" s="23" t="n">
        <f aca="false">JetFreight!D157</f>
        <v>-0.0285876309293482</v>
      </c>
      <c r="C1127" s="23" t="n">
        <f aca="false">JetFreight!E157</f>
        <v>0.00723780962542172</v>
      </c>
      <c r="D1127" s="23" t="n">
        <f aca="false">JetFreight!F157</f>
        <v>0.00617392065855154</v>
      </c>
      <c r="E1127" s="23" t="n">
        <f aca="false">JetFreight!G157</f>
        <v>0.000143991936451559</v>
      </c>
      <c r="F1127" s="23" t="n">
        <f aca="false">JetFreight!H157</f>
        <v>0.000670500554452382</v>
      </c>
      <c r="G1127" s="23" t="n">
        <f aca="false">JetFreight!I157</f>
        <v>0.00854270205895152</v>
      </c>
      <c r="H1127" s="23" t="n">
        <f aca="false">JetFreight!J157</f>
        <v>0.0153125562961629</v>
      </c>
      <c r="I1127" s="24" t="n">
        <f aca="false">JetFreight!K157</f>
        <v>0.00135626431437763</v>
      </c>
      <c r="J1127" s="34" t="str">
        <f aca="false">IF(AND(ISNUMBER(H1127),ISNUMBER(H$1135)),IF(H1127&gt;H$1135,"Above",IF(H1127&lt;H$1135,"Below","At")),"-")</f>
        <v>Below</v>
      </c>
      <c r="K1127" s="34" t="str">
        <f aca="false">IF(J1127="Above","Better",IF(J1127="Below","Weaker","-"))</f>
        <v>Weaker</v>
      </c>
      <c r="L1127" s="34" t="n">
        <f aca="false">IF(ISNUMBER(H1127),RANK(H1127,H$1123:H$1132,0),"-")</f>
        <v>7</v>
      </c>
      <c r="N1127" s="34" t="str">
        <f aca="false">IF(AND(ISNUMBER(I1127),ISNUMBER(I$1135)),IF(I1127&gt;I$1135,"Above",IF(I1127&lt;I$1135,"Below","At")),"-")</f>
        <v>Below</v>
      </c>
      <c r="O1127" s="34" t="str">
        <f aca="false">IF(N1127="Above","Better",IF(N1127="Below","Weaker","-"))</f>
        <v>Weaker</v>
      </c>
    </row>
    <row r="1128" customFormat="false" ht="15" hidden="false" customHeight="false" outlineLevel="0" collapsed="false">
      <c r="A1128" s="18" t="s">
        <v>114</v>
      </c>
      <c r="B1128" s="23" t="n">
        <f aca="false">Patel!D157</f>
        <v>0.0309144814484327</v>
      </c>
      <c r="C1128" s="23" t="n">
        <f aca="false">Patel!E157</f>
        <v>0.000235571260306243</v>
      </c>
      <c r="D1128" s="23" t="n">
        <f aca="false">Patel!F157</f>
        <v>0.00968760669170365</v>
      </c>
      <c r="E1128" s="23" t="n">
        <f aca="false">Patel!G157</f>
        <v>0.0176081644386948</v>
      </c>
      <c r="F1128" s="23" t="n">
        <f aca="false">Patel!H157</f>
        <v>0.0190672861813801</v>
      </c>
      <c r="G1128" s="23" t="n">
        <f aca="false">Patel!I157</f>
        <v>0.022177478187283</v>
      </c>
      <c r="H1128" s="23" t="n">
        <f aca="false">Patel!J157</f>
        <v>0.0268802150417203</v>
      </c>
      <c r="I1128" s="24" t="n">
        <f aca="false">Patel!K157</f>
        <v>0.0180815433213601</v>
      </c>
      <c r="J1128" s="34" t="str">
        <f aca="false">IF(AND(ISNUMBER(H1128),ISNUMBER(H$1135)),IF(H1128&gt;H$1135,"Above",IF(H1128&lt;H$1135,"Below","At")),"-")</f>
        <v>Below</v>
      </c>
      <c r="K1128" s="34" t="str">
        <f aca="false">IF(J1128="Above","Better",IF(J1128="Below","Weaker","-"))</f>
        <v>Weaker</v>
      </c>
      <c r="L1128" s="34" t="n">
        <f aca="false">IF(ISNUMBER(H1128),RANK(H1128,H$1123:H$1132,0),"-")</f>
        <v>6</v>
      </c>
      <c r="N1128" s="34" t="str">
        <f aca="false">IF(AND(ISNUMBER(I1128),ISNUMBER(I$1135)),IF(I1128&gt;I$1135,"Above",IF(I1128&lt;I$1135,"Below","At")),"-")</f>
        <v>Below</v>
      </c>
      <c r="O1128" s="34" t="str">
        <f aca="false">IF(N1128="Above","Better",IF(N1128="Below","Weaker","-"))</f>
        <v>Weaker</v>
      </c>
    </row>
    <row r="1129" customFormat="false" ht="15" hidden="false" customHeight="false" outlineLevel="0" collapsed="false">
      <c r="A1129" s="18" t="s">
        <v>115</v>
      </c>
      <c r="B1129" s="23" t="n">
        <f aca="false">Sical!D157</f>
        <v>-0.106418515867335</v>
      </c>
      <c r="C1129" s="23" t="n">
        <f aca="false">Sical!E157</f>
        <v>-2.3024442547108</v>
      </c>
      <c r="D1129" s="23" t="n">
        <f aca="false">Sical!F157</f>
        <v>-0.746467165419784</v>
      </c>
      <c r="E1129" s="23" t="n">
        <f aca="false">Sical!G157</f>
        <v>-2.12680115273775</v>
      </c>
      <c r="F1129" s="23" t="n">
        <f aca="false">Sical!H157</f>
        <v>-0.12795694061242</v>
      </c>
      <c r="G1129" s="23" t="n">
        <f aca="false">Sical!I157</f>
        <v>-0.116445766837977</v>
      </c>
      <c r="H1129" s="23" t="n">
        <f aca="false">Sical!J157</f>
        <v>0.127774320680357</v>
      </c>
      <c r="I1129" s="24" t="n">
        <f aca="false">Sical!K157</f>
        <v>-0.771251353643673</v>
      </c>
      <c r="J1129" s="34" t="str">
        <f aca="false">IF(AND(ISNUMBER(H1129),ISNUMBER(H$1135)),IF(H1129&gt;H$1135,"Above",IF(H1129&lt;H$1135,"Below","At")),"-")</f>
        <v>Above</v>
      </c>
      <c r="K1129" s="34" t="str">
        <f aca="false">IF(J1129="Above","Better",IF(J1129="Below","Weaker","-"))</f>
        <v>Better</v>
      </c>
      <c r="L1129" s="34" t="n">
        <f aca="false">IF(ISNUMBER(H1129),RANK(H1129,H$1123:H$1132,0),"-")</f>
        <v>2</v>
      </c>
      <c r="N1129" s="34" t="str">
        <f aca="false">IF(AND(ISNUMBER(I1129),ISNUMBER(I$1135)),IF(I1129&gt;I$1135,"Above",IF(I1129&lt;I$1135,"Below","At")),"-")</f>
        <v>Below</v>
      </c>
      <c r="O1129" s="34" t="str">
        <f aca="false">IF(N1129="Above","Better",IF(N1129="Below","Weaker","-"))</f>
        <v>Weaker</v>
      </c>
    </row>
    <row r="1130" customFormat="false" ht="15" hidden="false" customHeight="false" outlineLevel="0" collapsed="false">
      <c r="A1130" s="18" t="s">
        <v>86</v>
      </c>
      <c r="B1130" s="23" t="n">
        <f aca="false">TCI!D157</f>
        <v>0.0523798310422983</v>
      </c>
      <c r="C1130" s="23" t="n">
        <f aca="false">TCI!E157</f>
        <v>0.0525016146931726</v>
      </c>
      <c r="D1130" s="23" t="n">
        <f aca="false">TCI!F157</f>
        <v>0.0888698635391447</v>
      </c>
      <c r="E1130" s="23" t="n">
        <f aca="false">TCI!G157</f>
        <v>0.0838953409983159</v>
      </c>
      <c r="F1130" s="23" t="n">
        <f aca="false">TCI!H157</f>
        <v>0.0871713060289345</v>
      </c>
      <c r="G1130" s="23" t="n">
        <f aca="false">TCI!I157</f>
        <v>0.0918077020691129</v>
      </c>
      <c r="H1130" s="23" t="n">
        <f aca="false">TCI!J157</f>
        <v>0.0927946599088426</v>
      </c>
      <c r="I1130" s="24" t="n">
        <f aca="false">TCI!K157</f>
        <v>0.0784886168971174</v>
      </c>
      <c r="J1130" s="34" t="str">
        <f aca="false">IF(AND(ISNUMBER(H1130),ISNUMBER(H$1135)),IF(H1130&gt;H$1135,"Above",IF(H1130&lt;H$1135,"Below","At")),"-")</f>
        <v>Above</v>
      </c>
      <c r="K1130" s="34" t="str">
        <f aca="false">IF(J1130="Above","Better",IF(J1130="Below","Weaker","-"))</f>
        <v>Better</v>
      </c>
      <c r="L1130" s="34" t="n">
        <f aca="false">IF(ISNUMBER(H1130),RANK(H1130,H$1123:H$1132,0),"-")</f>
        <v>3</v>
      </c>
      <c r="N1130" s="34" t="str">
        <f aca="false">IF(AND(ISNUMBER(I1130),ISNUMBER(I$1135)),IF(I1130&gt;I$1135,"Above",IF(I1130&lt;I$1135,"Below","At")),"-")</f>
        <v>Above</v>
      </c>
      <c r="O1130" s="34" t="str">
        <f aca="false">IF(N1130="Above","Better",IF(N1130="Below","Weaker","-"))</f>
        <v>Better</v>
      </c>
    </row>
    <row r="1131" customFormat="false" ht="15" hidden="false" customHeight="false" outlineLevel="0" collapsed="false">
      <c r="A1131" s="18" t="s">
        <v>116</v>
      </c>
      <c r="B1131" s="23" t="n">
        <f aca="false">Shreeji!D157</f>
        <v>0.0133636363636364</v>
      </c>
      <c r="C1131" s="23" t="n">
        <f aca="false">Shreeji!E157</f>
        <v>-0.0100711447842558</v>
      </c>
      <c r="D1131" s="23" t="n">
        <f aca="false">Shreeji!F157</f>
        <v>0.054049102235251</v>
      </c>
      <c r="E1131" s="23" t="n">
        <f aca="false">Shreeji!G157</f>
        <v>0.0519201888006865</v>
      </c>
      <c r="F1131" s="23" t="n">
        <f aca="false">Shreeji!H157</f>
        <v>0.0649900199600799</v>
      </c>
      <c r="G1131" s="23" t="n">
        <f aca="false">Shreeji!I157</f>
        <v>0.00694886002361704</v>
      </c>
      <c r="H1131" s="23" t="n">
        <f aca="false">Shreeji!J157</f>
        <v>0.013487558154424</v>
      </c>
      <c r="I1131" s="24" t="n">
        <f aca="false">Shreeji!K157</f>
        <v>0.027812602964777</v>
      </c>
      <c r="J1131" s="34" t="str">
        <f aca="false">IF(AND(ISNUMBER(H1131),ISNUMBER(H$1135)),IF(H1131&gt;H$1135,"Above",IF(H1131&lt;H$1135,"Below","At")),"-")</f>
        <v>Below</v>
      </c>
      <c r="K1131" s="34" t="str">
        <f aca="false">IF(J1131="Above","Better",IF(J1131="Below","Weaker","-"))</f>
        <v>Weaker</v>
      </c>
      <c r="L1131" s="34" t="n">
        <f aca="false">IF(ISNUMBER(H1131),RANK(H1131,H$1123:H$1132,0),"-")</f>
        <v>8</v>
      </c>
      <c r="N1131" s="34" t="str">
        <f aca="false">IF(AND(ISNUMBER(I1131),ISNUMBER(I$1135)),IF(I1131&gt;I$1135,"Above",IF(I1131&lt;I$1135,"Below","At")),"-")</f>
        <v>Above</v>
      </c>
      <c r="O1131" s="34" t="str">
        <f aca="false">IF(N1131="Above","Better",IF(N1131="Below","Weaker","-"))</f>
        <v>Better</v>
      </c>
    </row>
    <row r="1132" customFormat="false" ht="15" hidden="false" customHeight="false" outlineLevel="0" collapsed="false">
      <c r="A1132" s="18" t="s">
        <v>117</v>
      </c>
      <c r="B1132" s="23" t="n">
        <f aca="false">MahindraLog!D157</f>
        <v>0.0158795093254666</v>
      </c>
      <c r="C1132" s="23" t="n">
        <f aca="false">MahindraLog!E157</f>
        <v>0.00919196499699729</v>
      </c>
      <c r="D1132" s="23" t="n">
        <f aca="false">MahindraLog!F157</f>
        <v>0.00424076739535737</v>
      </c>
      <c r="E1132" s="23" t="n">
        <f aca="false">MahindraLog!G157</f>
        <v>0.00512451518927362</v>
      </c>
      <c r="F1132" s="23" t="n">
        <f aca="false">MahindraLog!H157</f>
        <v>-0.00994193575337316</v>
      </c>
      <c r="G1132" s="23" t="n">
        <f aca="false">MahindraLog!I157</f>
        <v>-0.00587239939523296</v>
      </c>
      <c r="H1132" s="23" t="n">
        <f aca="false">MahindraLog!J157</f>
        <v>0.000327175574700327</v>
      </c>
      <c r="I1132" s="24" t="n">
        <f aca="false">MahindraLog!K157</f>
        <v>0.00270708533331272</v>
      </c>
      <c r="J1132" s="34" t="str">
        <f aca="false">IF(AND(ISNUMBER(H1132),ISNUMBER(H$1135)),IF(H1132&gt;H$1135,"Above",IF(H1132&lt;H$1135,"Below","At")),"-")</f>
        <v>Below</v>
      </c>
      <c r="K1132" s="34" t="str">
        <f aca="false">IF(J1132="Above","Better",IF(J1132="Below","Weaker","-"))</f>
        <v>Weaker</v>
      </c>
      <c r="L1132" s="34" t="n">
        <f aca="false">IF(ISNUMBER(H1132),RANK(H1132,H$1123:H$1132,0),"-")</f>
        <v>10</v>
      </c>
      <c r="N1132" s="34" t="str">
        <f aca="false">IF(AND(ISNUMBER(I1132),ISNUMBER(I$1135)),IF(I1132&gt;I$1135,"Above",IF(I1132&lt;I$1135,"Below","At")),"-")</f>
        <v>Below</v>
      </c>
      <c r="O1132" s="34" t="str">
        <f aca="false">IF(N1132="Above","Better",IF(N1132="Below","Weaker","-"))</f>
        <v>Weaker</v>
      </c>
    </row>
    <row r="1133" customFormat="false" ht="15" hidden="false" customHeight="false" outlineLevel="0" collapsed="false">
      <c r="A1133" s="12" t="s">
        <v>176</v>
      </c>
      <c r="B1133" s="24" t="n">
        <f aca="false">Industry!D157</f>
        <v>0.0263345811699051</v>
      </c>
      <c r="C1133" s="24" t="n">
        <f aca="false">Industry!E157</f>
        <v>-0.00772787789496705</v>
      </c>
      <c r="D1133" s="24" t="n">
        <f aca="false">Industry!F157</f>
        <v>0.0609109488110273</v>
      </c>
      <c r="E1133" s="24" t="n">
        <f aca="false">Industry!G157</f>
        <v>0.0409789706411641</v>
      </c>
      <c r="F1133" s="24" t="n">
        <f aca="false">Industry!H157</f>
        <v>0.0532687901080975</v>
      </c>
      <c r="G1133" s="24" t="n">
        <f aca="false">Industry!I157</f>
        <v>0.0690813084926445</v>
      </c>
      <c r="H1133" s="24" t="n">
        <f aca="false">Industry!J157</f>
        <v>0.0656051876479138</v>
      </c>
      <c r="I1133" s="24" t="n">
        <f aca="false">Industry!K157</f>
        <v>0.0440645584251122</v>
      </c>
    </row>
    <row r="1134" customFormat="false" ht="15" hidden="false" customHeight="false" outlineLevel="0" collapsed="false">
      <c r="A1134" s="35" t="s">
        <v>177</v>
      </c>
      <c r="B1134" s="39" t="n">
        <f aca="false">IFERROR(AVERAGE(B1123:B1132),"N/M")</f>
        <v>0.00155640973901418</v>
      </c>
      <c r="C1134" s="39" t="n">
        <f aca="false">IFERROR(AVERAGE(C1123:C1132),"N/M")</f>
        <v>-0.219128748816951</v>
      </c>
      <c r="D1134" s="39" t="n">
        <f aca="false">IFERROR(AVERAGE(D1123:D1132),"N/M")</f>
        <v>-0.025567498941996</v>
      </c>
      <c r="E1134" s="39" t="n">
        <f aca="false">IFERROR(AVERAGE(E1123:E1132),"N/M")</f>
        <v>-0.166433612811677</v>
      </c>
      <c r="F1134" s="39" t="n">
        <f aca="false">IFERROR(AVERAGE(F1123:F1132),"N/M")</f>
        <v>0.0302301690103268</v>
      </c>
      <c r="G1134" s="39" t="n">
        <f aca="false">IFERROR(AVERAGE(G1123:G1132),"N/M")</f>
        <v>0.0279952219562829</v>
      </c>
      <c r="H1134" s="39" t="n">
        <f aca="false">IFERROR(AVERAGE(H1123:H1132),"N/M")</f>
        <v>0.0495095662653559</v>
      </c>
      <c r="I1134" s="39" t="n">
        <f aca="false">IFERROR(AVERAGE(I1123:I1132),"N/M")</f>
        <v>-0.0431197847999492</v>
      </c>
    </row>
    <row r="1135" customFormat="false" ht="15" hidden="false" customHeight="false" outlineLevel="0" collapsed="false">
      <c r="A1135" s="35" t="s">
        <v>178</v>
      </c>
      <c r="B1135" s="39" t="n">
        <f aca="false">IFERROR(MEDIAN(B1123:B1132),"N/M")</f>
        <v>0.0146215728445515</v>
      </c>
      <c r="C1135" s="39" t="n">
        <f aca="false">IFERROR(MEDIAN(C1123:C1132),"N/M")</f>
        <v>0.00821488731120951</v>
      </c>
      <c r="D1135" s="39" t="n">
        <f aca="false">IFERROR(MEDIAN(D1123:D1132),"N/M")</f>
        <v>0.0513062919158393</v>
      </c>
      <c r="E1135" s="39" t="n">
        <f aca="false">IFERROR(MEDIAN(E1123:E1132),"N/M")</f>
        <v>0.0433995166521364</v>
      </c>
      <c r="F1135" s="39" t="n">
        <f aca="false">IFERROR(MEDIAN(F1123:F1132),"N/M")</f>
        <v>0.0365044247438991</v>
      </c>
      <c r="G1135" s="39" t="n">
        <f aca="false">IFERROR(MEDIAN(G1123:G1132),"N/M")</f>
        <v>0.0276619160441769</v>
      </c>
      <c r="H1135" s="39" t="n">
        <f aca="false">IFERROR(MEDIAN(H1123:H1132),"N/M")</f>
        <v>0.0322243678469661</v>
      </c>
      <c r="I1135" s="39" t="n">
        <f aca="false">IFERROR(MEDIAN(I1123:I1132),"N/M")</f>
        <v>0.0224309001531358</v>
      </c>
    </row>
    <row r="1136" customFormat="false" ht="15" hidden="false" customHeight="false" outlineLevel="0" collapsed="false">
      <c r="A1136" s="35" t="s">
        <v>179</v>
      </c>
      <c r="B1136" s="39" t="n">
        <f aca="false">IFERROR(STDEV(B1123:B1132),"N/M")</f>
        <v>0.0503730128370397</v>
      </c>
      <c r="C1136" s="39" t="n">
        <f aca="false">IFERROR(STDEV(C1123:C1132),"N/M")</f>
        <v>0.733102561542823</v>
      </c>
      <c r="D1136" s="39" t="n">
        <f aca="false">IFERROR(STDEV(D1123:D1132),"N/M")</f>
        <v>0.256799160301018</v>
      </c>
      <c r="E1136" s="39" t="n">
        <f aca="false">IFERROR(STDEV(E1123:E1132),"N/M")</f>
        <v>0.690106103005225</v>
      </c>
      <c r="F1136" s="39" t="n">
        <f aca="false">IFERROR(STDEV(F1123:F1132),"N/M")</f>
        <v>0.0723027189132711</v>
      </c>
      <c r="G1136" s="39" t="n">
        <f aca="false">IFERROR(STDEV(G1123:G1132),"N/M")</f>
        <v>0.0678653446683951</v>
      </c>
      <c r="H1136" s="39" t="n">
        <f aca="false">IFERROR(STDEV(H1123:H1132),"N/M")</f>
        <v>0.050904881822528</v>
      </c>
      <c r="I1136" s="39" t="n">
        <f aca="false">IFERROR(STDEV(I1123:I1132),"N/M")</f>
        <v>0.258482947244096</v>
      </c>
    </row>
    <row r="1137" customFormat="false" ht="15" hidden="false" customHeight="false" outlineLevel="0" collapsed="false">
      <c r="A1137" s="35" t="s">
        <v>102</v>
      </c>
      <c r="B1137" s="39" t="n">
        <f aca="false">IFERROR(MIN(B1123:B1132),"N/M")</f>
        <v>-0.106418515867335</v>
      </c>
      <c r="C1137" s="39" t="n">
        <f aca="false">IFERROR(MIN(C1123:C1132),"N/M")</f>
        <v>-2.3024442547108</v>
      </c>
      <c r="D1137" s="39" t="n">
        <f aca="false">IFERROR(MIN(D1123:D1132),"N/M")</f>
        <v>-0.746467165419784</v>
      </c>
      <c r="E1137" s="39" t="n">
        <f aca="false">IFERROR(MIN(E1123:E1132),"N/M")</f>
        <v>-2.12680115273775</v>
      </c>
      <c r="F1137" s="39" t="n">
        <f aca="false">IFERROR(MIN(F1123:F1132),"N/M")</f>
        <v>-0.12795694061242</v>
      </c>
      <c r="G1137" s="39" t="n">
        <f aca="false">IFERROR(MIN(G1123:G1132),"N/M")</f>
        <v>-0.116445766837977</v>
      </c>
      <c r="H1137" s="39" t="n">
        <f aca="false">IFERROR(MIN(H1123:H1132),"N/M")</f>
        <v>0.000327175574700327</v>
      </c>
      <c r="I1137" s="39" t="n">
        <f aca="false">IFERROR(MIN(I1123:I1132),"N/M")</f>
        <v>-0.771251353643673</v>
      </c>
    </row>
    <row r="1138" customFormat="false" ht="15" hidden="false" customHeight="false" outlineLevel="0" collapsed="false">
      <c r="A1138" s="35" t="s">
        <v>103</v>
      </c>
      <c r="B1138" s="39" t="n">
        <f aca="false">IFERROR(MAX(B1123:B1132),"N/M")</f>
        <v>0.0617922382994884</v>
      </c>
      <c r="C1138" s="39" t="n">
        <f aca="false">IFERROR(MAX(C1123:C1132),"N/M")</f>
        <v>0.0786142385033328</v>
      </c>
      <c r="D1138" s="39" t="n">
        <f aca="false">IFERROR(MAX(D1123:D1132),"N/M")</f>
        <v>0.137874980562492</v>
      </c>
      <c r="E1138" s="39" t="n">
        <f aca="false">IFERROR(MAX(E1123:E1132),"N/M")</f>
        <v>0.143696016217169</v>
      </c>
      <c r="F1138" s="39" t="n">
        <f aca="false">IFERROR(MAX(F1123:F1132),"N/M")</f>
        <v>0.145675519823977</v>
      </c>
      <c r="G1138" s="39" t="n">
        <f aca="false">IFERROR(MAX(G1123:G1132),"N/M")</f>
        <v>0.14515664418444</v>
      </c>
      <c r="H1138" s="39" t="n">
        <f aca="false">IFERROR(MAX(H1123:H1132),"N/M")</f>
        <v>0.13677763006156</v>
      </c>
      <c r="I1138" s="39" t="n">
        <f aca="false">IFERROR(MAX(I1123:I1132),"N/M")</f>
        <v>0.121369609664637</v>
      </c>
    </row>
    <row r="1140" customFormat="false" ht="15" hidden="false" customHeight="false" outlineLevel="0" collapsed="false">
      <c r="A1140" s="16" t="s">
        <v>243</v>
      </c>
      <c r="B1140" s="17"/>
      <c r="C1140" s="17"/>
      <c r="D1140" s="17"/>
      <c r="E1140" s="17"/>
      <c r="F1140" s="17"/>
      <c r="G1140" s="17"/>
      <c r="H1140" s="17"/>
      <c r="I1140" s="17"/>
      <c r="J1140" s="17"/>
      <c r="K1140" s="17"/>
      <c r="L1140" s="17"/>
      <c r="M1140" s="17"/>
    </row>
    <row r="1141" customFormat="false" ht="15" hidden="false" customHeight="false" outlineLevel="0" collapsed="false">
      <c r="A1141" s="18" t="s">
        <v>110</v>
      </c>
      <c r="B1141" s="20" t="n">
        <f aca="false">Tiger!D158</f>
        <v>2.62008430017816</v>
      </c>
      <c r="C1141" s="20" t="n">
        <f aca="false">Tiger!E158</f>
        <v>1.77677815410669</v>
      </c>
      <c r="D1141" s="20" t="n">
        <f aca="false">Tiger!F158</f>
        <v>5.99814724524622</v>
      </c>
      <c r="E1141" s="20" t="n">
        <f aca="false">Tiger!G158</f>
        <v>3.59985047350058</v>
      </c>
      <c r="F1141" s="20" t="n">
        <f aca="false">Tiger!H158</f>
        <v>1.82644722338363</v>
      </c>
      <c r="G1141" s="20" t="n">
        <f aca="false">Tiger!I158</f>
        <v>3.16155274560085</v>
      </c>
      <c r="H1141" s="20" t="n">
        <f aca="false">Tiger!J158</f>
        <v>2.49970543954965</v>
      </c>
      <c r="I1141" s="21" t="n">
        <f aca="false">Tiger!K158</f>
        <v>3.06893794022368</v>
      </c>
      <c r="J1141" s="34" t="str">
        <f aca="false">IF(AND(ISNUMBER(H1141),ISNUMBER(H$1153)),IF(H1141&gt;H$1153,"Above",IF(H1141&lt;H$1153,"Below","At")),"-")</f>
        <v>Above</v>
      </c>
      <c r="K1141" s="34" t="str">
        <f aca="false">IF(J1141="Above","Better",IF(J1141="Below","Weaker","-"))</f>
        <v>Better</v>
      </c>
      <c r="L1141" s="34" t="n">
        <f aca="false">IF(ISNUMBER(H1141),RANK(H1141,H$1141:H$1150,0),"-")</f>
        <v>1</v>
      </c>
      <c r="N1141" s="34" t="str">
        <f aca="false">IF(AND(ISNUMBER(I1141),ISNUMBER(I$1153)),IF(I1141&gt;I$1153,"Above",IF(I1141&lt;I$1153,"Below","At")),"-")</f>
        <v>Above</v>
      </c>
      <c r="O1141" s="34" t="str">
        <f aca="false">IF(N1141="Above","Better",IF(N1141="Below","Weaker","-"))</f>
        <v>Better</v>
      </c>
    </row>
    <row r="1142" customFormat="false" ht="15" hidden="false" customHeight="false" outlineLevel="0" collapsed="false">
      <c r="A1142" s="18" t="s">
        <v>111</v>
      </c>
      <c r="B1142" s="20" t="n">
        <f aca="false">Allcargo!D158</f>
        <v>1.59435548017375</v>
      </c>
      <c r="C1142" s="20" t="n">
        <f aca="false">Allcargo!E158</f>
        <v>1.66448790689231</v>
      </c>
      <c r="D1142" s="20" t="n">
        <f aca="false">Allcargo!F158</f>
        <v>2.25356218822541</v>
      </c>
      <c r="E1142" s="20" t="n">
        <f aca="false">Allcargo!G158</f>
        <v>2.14445272752653</v>
      </c>
      <c r="F1142" s="20" t="n">
        <f aca="false">Allcargo!H158</f>
        <v>1.80191505961028</v>
      </c>
      <c r="G1142" s="20" t="n">
        <f aca="false">Allcargo!I158</f>
        <v>0.440452446408999</v>
      </c>
      <c r="H1142" s="20" t="n">
        <f aca="false">Allcargo!J158</f>
        <v>1.18377911993098</v>
      </c>
      <c r="I1142" s="21" t="n">
        <f aca="false">Allcargo!K158</f>
        <v>1.58328641839546</v>
      </c>
      <c r="J1142" s="34" t="str">
        <f aca="false">IF(AND(ISNUMBER(H1142),ISNUMBER(H$1153)),IF(H1142&gt;H$1153,"Above",IF(H1142&lt;H$1153,"Below","At")),"-")</f>
        <v>Below</v>
      </c>
      <c r="K1142" s="34" t="str">
        <f aca="false">IF(J1142="Above","Better",IF(J1142="Below","Weaker","-"))</f>
        <v>Weaker</v>
      </c>
      <c r="L1142" s="34" t="n">
        <f aca="false">IF(ISNUMBER(H1142),RANK(H1142,H$1141:H$1150,0),"-")</f>
        <v>8</v>
      </c>
      <c r="N1142" s="34" t="str">
        <f aca="false">IF(AND(ISNUMBER(I1142),ISNUMBER(I$1153)),IF(I1142&gt;I$1153,"Above",IF(I1142&lt;I$1153,"Below","At")),"-")</f>
        <v>Below</v>
      </c>
      <c r="O1142" s="34" t="str">
        <f aca="false">IF(N1142="Above","Better",IF(N1142="Below","Weaker","-"))</f>
        <v>Weaker</v>
      </c>
    </row>
    <row r="1143" customFormat="false" ht="15" hidden="false" customHeight="false" outlineLevel="0" collapsed="false">
      <c r="A1143" s="18" t="s">
        <v>112</v>
      </c>
      <c r="B1143" s="20" t="n">
        <f aca="false">BlueDart!D158</f>
        <v>1.42636762839591</v>
      </c>
      <c r="C1143" s="20" t="n">
        <f aca="false">BlueDart!E158</f>
        <v>1.18743206300941</v>
      </c>
      <c r="D1143" s="20" t="n">
        <f aca="false">BlueDart!F158</f>
        <v>1.54046233184718</v>
      </c>
      <c r="E1143" s="20" t="n">
        <f aca="false">BlueDart!G158</f>
        <v>1.70931623649162</v>
      </c>
      <c r="F1143" s="20" t="n">
        <f aca="false">BlueDart!H158</f>
        <v>1.57626489765019</v>
      </c>
      <c r="G1143" s="20" t="n">
        <f aca="false">BlueDart!I158</f>
        <v>1.60596659582293</v>
      </c>
      <c r="H1143" s="20" t="n">
        <f aca="false">BlueDart!J158</f>
        <v>1.57668484044772</v>
      </c>
      <c r="I1143" s="21" t="n">
        <f aca="false">BlueDart!K158</f>
        <v>1.51749922766642</v>
      </c>
      <c r="J1143" s="34" t="str">
        <f aca="false">IF(AND(ISNUMBER(H1143),ISNUMBER(H$1153)),IF(H1143&gt;H$1153,"Above",IF(H1143&lt;H$1153,"Below","At")),"-")</f>
        <v>Below</v>
      </c>
      <c r="K1143" s="34" t="str">
        <f aca="false">IF(J1143="Above","Better",IF(J1143="Below","Weaker","-"))</f>
        <v>Weaker</v>
      </c>
      <c r="L1143" s="34" t="n">
        <f aca="false">IF(ISNUMBER(H1143),RANK(H1143,H$1141:H$1150,0),"-")</f>
        <v>6</v>
      </c>
      <c r="N1143" s="34" t="str">
        <f aca="false">IF(AND(ISNUMBER(I1143),ISNUMBER(I$1153)),IF(I1143&gt;I$1153,"Above",IF(I1143&lt;I$1153,"Below","At")),"-")</f>
        <v>Below</v>
      </c>
      <c r="O1143" s="34" t="str">
        <f aca="false">IF(N1143="Above","Better",IF(N1143="Below","Weaker","-"))</f>
        <v>Weaker</v>
      </c>
    </row>
    <row r="1144" customFormat="false" ht="15" hidden="false" customHeight="false" outlineLevel="0" collapsed="false">
      <c r="A1144" s="18" t="s">
        <v>67</v>
      </c>
      <c r="B1144" s="20" t="n">
        <f aca="false">CONCOR!D158</f>
        <v>0.531210369318297</v>
      </c>
      <c r="C1144" s="20" t="n">
        <f aca="false">CONCOR!E158</f>
        <v>0.53118097656907</v>
      </c>
      <c r="D1144" s="20" t="n">
        <f aca="false">CONCOR!F158</f>
        <v>0.602275790342706</v>
      </c>
      <c r="E1144" s="20" t="n">
        <f aca="false">CONCOR!G158</f>
        <v>0.617298615802431</v>
      </c>
      <c r="F1144" s="20" t="n">
        <f aca="false">CONCOR!H158</f>
        <v>0.62926522785332</v>
      </c>
      <c r="G1144" s="20" t="n">
        <f aca="false">CONCOR!I158</f>
        <v>0.623313281024793</v>
      </c>
      <c r="H1144" s="20" t="n">
        <f aca="false">CONCOR!J158</f>
        <v>0.61234665990401</v>
      </c>
      <c r="I1144" s="21" t="n">
        <f aca="false">CONCOR!K158</f>
        <v>0.592412988687804</v>
      </c>
      <c r="J1144" s="34" t="str">
        <f aca="false">IF(AND(ISNUMBER(H1144),ISNUMBER(H$1153)),IF(H1144&gt;H$1153,"Above",IF(H1144&lt;H$1153,"Below","At")),"-")</f>
        <v>Below</v>
      </c>
      <c r="K1144" s="34" t="str">
        <f aca="false">IF(J1144="Above","Better",IF(J1144="Below","Weaker","-"))</f>
        <v>Weaker</v>
      </c>
      <c r="L1144" s="34" t="n">
        <f aca="false">IF(ISNUMBER(H1144),RANK(H1144,H$1141:H$1150,0),"-")</f>
        <v>9</v>
      </c>
      <c r="N1144" s="34" t="str">
        <f aca="false">IF(AND(ISNUMBER(I1144),ISNUMBER(I$1153)),IF(I1144&gt;I$1153,"Above",IF(I1144&lt;I$1153,"Below","At")),"-")</f>
        <v>Below</v>
      </c>
      <c r="O1144" s="34" t="str">
        <f aca="false">IF(N1144="Above","Better",IF(N1144="Below","Weaker","-"))</f>
        <v>Weaker</v>
      </c>
    </row>
    <row r="1145" customFormat="false" ht="15" hidden="false" customHeight="false" outlineLevel="0" collapsed="false">
      <c r="A1145" s="18" t="s">
        <v>113</v>
      </c>
      <c r="B1145" s="20" t="n">
        <f aca="false">JetFreight!D158</f>
        <v>3.30518191841235</v>
      </c>
      <c r="C1145" s="20" t="n">
        <f aca="false">JetFreight!E158</f>
        <v>3.72932573394989</v>
      </c>
      <c r="D1145" s="20" t="n">
        <f aca="false">JetFreight!F158</f>
        <v>4.38812566048612</v>
      </c>
      <c r="E1145" s="20" t="n">
        <f aca="false">JetFreight!G158</f>
        <v>3.15829764656839</v>
      </c>
      <c r="F1145" s="20" t="n">
        <f aca="false">JetFreight!H158</f>
        <v>2.39054312311202</v>
      </c>
      <c r="G1145" s="20" t="n">
        <f aca="false">JetFreight!I158</f>
        <v>2.47389444460183</v>
      </c>
      <c r="H1145" s="20" t="n">
        <f aca="false">JetFreight!J158</f>
        <v>2.35886539891639</v>
      </c>
      <c r="I1145" s="21" t="n">
        <f aca="false">JetFreight!K158</f>
        <v>3.11489056086385</v>
      </c>
      <c r="J1145" s="34" t="str">
        <f aca="false">IF(AND(ISNUMBER(H1145),ISNUMBER(H$1153)),IF(H1145&gt;H$1153,"Above",IF(H1145&lt;H$1153,"Below","At")),"-")</f>
        <v>Above</v>
      </c>
      <c r="K1145" s="34" t="str">
        <f aca="false">IF(J1145="Above","Better",IF(J1145="Below","Weaker","-"))</f>
        <v>Better</v>
      </c>
      <c r="L1145" s="34" t="n">
        <f aca="false">IF(ISNUMBER(H1145),RANK(H1145,H$1141:H$1150,0),"-")</f>
        <v>3</v>
      </c>
      <c r="N1145" s="34" t="str">
        <f aca="false">IF(AND(ISNUMBER(I1145),ISNUMBER(I$1153)),IF(I1145&gt;I$1153,"Above",IF(I1145&lt;I$1153,"Below","At")),"-")</f>
        <v>Above</v>
      </c>
      <c r="O1145" s="34" t="str">
        <f aca="false">IF(N1145="Above","Better",IF(N1145="Below","Weaker","-"))</f>
        <v>Better</v>
      </c>
    </row>
    <row r="1146" customFormat="false" ht="15" hidden="false" customHeight="false" outlineLevel="0" collapsed="false">
      <c r="A1146" s="18" t="s">
        <v>114</v>
      </c>
      <c r="B1146" s="20" t="n">
        <f aca="false">Patel!D158</f>
        <v>1.60685460558267</v>
      </c>
      <c r="C1146" s="20" t="n">
        <f aca="false">Patel!E158</f>
        <v>1.07280952260608</v>
      </c>
      <c r="D1146" s="20" t="n">
        <f aca="false">Patel!F158</f>
        <v>1.26882360904291</v>
      </c>
      <c r="E1146" s="20" t="n">
        <f aca="false">Patel!G158</f>
        <v>1.58473804100228</v>
      </c>
      <c r="F1146" s="20" t="n">
        <f aca="false">Patel!H158</f>
        <v>1.59559570553832</v>
      </c>
      <c r="G1146" s="20" t="n">
        <f aca="false">Patel!I158</f>
        <v>1.90298756108396</v>
      </c>
      <c r="H1146" s="20" t="n">
        <f aca="false">Patel!J158</f>
        <v>2.15508085928071</v>
      </c>
      <c r="I1146" s="21" t="n">
        <f aca="false">Patel!K158</f>
        <v>1.59812712916242</v>
      </c>
      <c r="J1146" s="34" t="str">
        <f aca="false">IF(AND(ISNUMBER(H1146),ISNUMBER(H$1153)),IF(H1146&gt;H$1153,"Above",IF(H1146&lt;H$1153,"Below","At")),"-")</f>
        <v>Above</v>
      </c>
      <c r="K1146" s="34" t="str">
        <f aca="false">IF(J1146="Above","Better",IF(J1146="Below","Weaker","-"))</f>
        <v>Better</v>
      </c>
      <c r="L1146" s="34" t="n">
        <f aca="false">IF(ISNUMBER(H1146),RANK(H1146,H$1141:H$1150,0),"-")</f>
        <v>4</v>
      </c>
      <c r="N1146" s="34" t="str">
        <f aca="false">IF(AND(ISNUMBER(I1146),ISNUMBER(I$1153)),IF(I1146&gt;I$1153,"Above",IF(I1146&lt;I$1153,"Below","At")),"-")</f>
        <v>Below</v>
      </c>
      <c r="O1146" s="34" t="str">
        <f aca="false">IF(N1146="Above","Better",IF(N1146="Below","Weaker","-"))</f>
        <v>Weaker</v>
      </c>
    </row>
    <row r="1147" customFormat="false" ht="15" hidden="false" customHeight="false" outlineLevel="0" collapsed="false">
      <c r="A1147" s="18" t="s">
        <v>115</v>
      </c>
      <c r="B1147" s="20" t="n">
        <f aca="false">Sical!D158</f>
        <v>0.364709636247607</v>
      </c>
      <c r="C1147" s="20" t="n">
        <f aca="false">Sical!E158</f>
        <v>0.223935082258782</v>
      </c>
      <c r="D1147" s="20" t="n">
        <f aca="false">Sical!F158</f>
        <v>0.211651863715783</v>
      </c>
      <c r="E1147" s="20" t="n">
        <f aca="false">Sical!G158</f>
        <v>0.332495261999754</v>
      </c>
      <c r="F1147" s="20" t="n">
        <f aca="false">Sical!H158</f>
        <v>0.28334881932652</v>
      </c>
      <c r="G1147" s="20" t="n">
        <f aca="false">Sical!I158</f>
        <v>0.272765839712257</v>
      </c>
      <c r="H1147" s="20" t="n">
        <f aca="false">Sical!J158</f>
        <v>0.436872748691693</v>
      </c>
      <c r="I1147" s="21" t="n">
        <f aca="false">Sical!K158</f>
        <v>0.303682750278914</v>
      </c>
      <c r="J1147" s="34" t="str">
        <f aca="false">IF(AND(ISNUMBER(H1147),ISNUMBER(H$1153)),IF(H1147&gt;H$1153,"Above",IF(H1147&lt;H$1153,"Below","At")),"-")</f>
        <v>Below</v>
      </c>
      <c r="K1147" s="34" t="str">
        <f aca="false">IF(J1147="Above","Better",IF(J1147="Below","Weaker","-"))</f>
        <v>Weaker</v>
      </c>
      <c r="L1147" s="34" t="n">
        <f aca="false">IF(ISNUMBER(H1147),RANK(H1147,H$1141:H$1150,0),"-")</f>
        <v>10</v>
      </c>
      <c r="N1147" s="34" t="str">
        <f aca="false">IF(AND(ISNUMBER(I1147),ISNUMBER(I$1153)),IF(I1147&gt;I$1153,"Above",IF(I1147&lt;I$1153,"Below","At")),"-")</f>
        <v>Below</v>
      </c>
      <c r="O1147" s="34" t="str">
        <f aca="false">IF(N1147="Above","Better",IF(N1147="Below","Weaker","-"))</f>
        <v>Weaker</v>
      </c>
    </row>
    <row r="1148" customFormat="false" ht="15" hidden="false" customHeight="false" outlineLevel="0" collapsed="false">
      <c r="A1148" s="18" t="s">
        <v>86</v>
      </c>
      <c r="B1148" s="20" t="n">
        <f aca="false">TCI!D158</f>
        <v>1.64754021344116</v>
      </c>
      <c r="C1148" s="20" t="n">
        <f aca="false">TCI!E158</f>
        <v>1.63780452525182</v>
      </c>
      <c r="D1148" s="20" t="n">
        <f aca="false">TCI!F158</f>
        <v>1.82779373163126</v>
      </c>
      <c r="E1148" s="20" t="n">
        <f aca="false">TCI!G158</f>
        <v>1.9259815577631</v>
      </c>
      <c r="F1148" s="20" t="n">
        <f aca="false">TCI!H158</f>
        <v>1.74880005910076</v>
      </c>
      <c r="G1148" s="20" t="n">
        <f aca="false">TCI!I158</f>
        <v>1.65277816106545</v>
      </c>
      <c r="H1148" s="20" t="n">
        <f aca="false">TCI!J158</f>
        <v>1.53268525489059</v>
      </c>
      <c r="I1148" s="21" t="n">
        <f aca="false">TCI!K158</f>
        <v>1.71048335759202</v>
      </c>
      <c r="J1148" s="34" t="str">
        <f aca="false">IF(AND(ISNUMBER(H1148),ISNUMBER(H$1153)),IF(H1148&gt;H$1153,"Above",IF(H1148&lt;H$1153,"Below","At")),"-")</f>
        <v>Below</v>
      </c>
      <c r="K1148" s="34" t="str">
        <f aca="false">IF(J1148="Above","Better",IF(J1148="Below","Weaker","-"))</f>
        <v>Weaker</v>
      </c>
      <c r="L1148" s="34" t="n">
        <f aca="false">IF(ISNUMBER(H1148),RANK(H1148,H$1141:H$1150,0),"-")</f>
        <v>7</v>
      </c>
      <c r="N1148" s="34" t="str">
        <f aca="false">IF(AND(ISNUMBER(I1148),ISNUMBER(I$1153)),IF(I1148&gt;I$1153,"Above",IF(I1148&lt;I$1153,"Below","At")),"-")</f>
        <v>Above</v>
      </c>
      <c r="O1148" s="34" t="str">
        <f aca="false">IF(N1148="Above","Better",IF(N1148="Below","Weaker","-"))</f>
        <v>Better</v>
      </c>
    </row>
    <row r="1149" customFormat="false" ht="15" hidden="false" customHeight="false" outlineLevel="0" collapsed="false">
      <c r="A1149" s="18" t="s">
        <v>116</v>
      </c>
      <c r="B1149" s="20" t="n">
        <f aca="false">Shreeji!D158</f>
        <v>1.46072637939048</v>
      </c>
      <c r="C1149" s="20" t="n">
        <f aca="false">Shreeji!E158</f>
        <v>1.34172193640364</v>
      </c>
      <c r="D1149" s="20" t="n">
        <f aca="false">Shreeji!F158</f>
        <v>1.90872530162616</v>
      </c>
      <c r="E1149" s="20" t="n">
        <f aca="false">Shreeji!G158</f>
        <v>1.91958815958816</v>
      </c>
      <c r="F1149" s="20" t="n">
        <f aca="false">Shreeji!H158</f>
        <v>2.22607304718742</v>
      </c>
      <c r="G1149" s="20" t="n">
        <f aca="false">Shreeji!I158</f>
        <v>1.87076766217766</v>
      </c>
      <c r="H1149" s="20" t="n">
        <f aca="false">Shreeji!J158</f>
        <v>1.99812374738817</v>
      </c>
      <c r="I1149" s="21" t="n">
        <f aca="false">Shreeji!K158</f>
        <v>1.81796089053738</v>
      </c>
      <c r="J1149" s="34" t="str">
        <f aca="false">IF(AND(ISNUMBER(H1149),ISNUMBER(H$1153)),IF(H1149&gt;H$1153,"Above",IF(H1149&lt;H$1153,"Below","At")),"-")</f>
        <v>Above</v>
      </c>
      <c r="K1149" s="34" t="str">
        <f aca="false">IF(J1149="Above","Better",IF(J1149="Below","Weaker","-"))</f>
        <v>Better</v>
      </c>
      <c r="L1149" s="34" t="n">
        <f aca="false">IF(ISNUMBER(H1149),RANK(H1149,H$1141:H$1150,0),"-")</f>
        <v>5</v>
      </c>
      <c r="N1149" s="34" t="str">
        <f aca="false">IF(AND(ISNUMBER(I1149),ISNUMBER(I$1153)),IF(I1149&gt;I$1153,"Above",IF(I1149&lt;I$1153,"Below","At")),"-")</f>
        <v>Above</v>
      </c>
      <c r="O1149" s="34" t="str">
        <f aca="false">IF(N1149="Above","Better",IF(N1149="Below","Weaker","-"))</f>
        <v>Better</v>
      </c>
    </row>
    <row r="1150" customFormat="false" ht="15" hidden="false" customHeight="false" outlineLevel="0" collapsed="false">
      <c r="A1150" s="18" t="s">
        <v>117</v>
      </c>
      <c r="B1150" s="20" t="n">
        <f aca="false">MahindraLog!D158</f>
        <v>2.64271493557167</v>
      </c>
      <c r="C1150" s="20" t="n">
        <f aca="false">MahindraLog!E158</f>
        <v>2.09968572779588</v>
      </c>
      <c r="D1150" s="20" t="n">
        <f aca="false">MahindraLog!F158</f>
        <v>2.26124613296854</v>
      </c>
      <c r="E1150" s="20" t="n">
        <f aca="false">MahindraLog!G158</f>
        <v>2.26495567951453</v>
      </c>
      <c r="F1150" s="20" t="n">
        <f aca="false">MahindraLog!H158</f>
        <v>2.18919155331661</v>
      </c>
      <c r="G1150" s="20" t="n">
        <f aca="false">MahindraLog!I158</f>
        <v>2.41488528481013</v>
      </c>
      <c r="H1150" s="20" t="n">
        <f aca="false">MahindraLog!J158</f>
        <v>2.46289020920826</v>
      </c>
      <c r="I1150" s="21" t="n">
        <f aca="false">MahindraLog!K158</f>
        <v>2.33365278902652</v>
      </c>
      <c r="J1150" s="34" t="str">
        <f aca="false">IF(AND(ISNUMBER(H1150),ISNUMBER(H$1153)),IF(H1150&gt;H$1153,"Above",IF(H1150&lt;H$1153,"Below","At")),"-")</f>
        <v>Above</v>
      </c>
      <c r="K1150" s="34" t="str">
        <f aca="false">IF(J1150="Above","Better",IF(J1150="Below","Weaker","-"))</f>
        <v>Better</v>
      </c>
      <c r="L1150" s="34" t="n">
        <f aca="false">IF(ISNUMBER(H1150),RANK(H1150,H$1141:H$1150,0),"-")</f>
        <v>2</v>
      </c>
      <c r="N1150" s="34" t="str">
        <f aca="false">IF(AND(ISNUMBER(I1150),ISNUMBER(I$1153)),IF(I1150&gt;I$1153,"Above",IF(I1150&lt;I$1153,"Below","At")),"-")</f>
        <v>Above</v>
      </c>
      <c r="O1150" s="34" t="str">
        <f aca="false">IF(N1150="Above","Better",IF(N1150="Below","Weaker","-"))</f>
        <v>Better</v>
      </c>
    </row>
    <row r="1151" customFormat="false" ht="15" hidden="false" customHeight="false" outlineLevel="0" collapsed="false">
      <c r="A1151" s="12" t="s">
        <v>176</v>
      </c>
      <c r="B1151" s="21" t="n">
        <f aca="false">Industry!D158</f>
        <v>0.998420014854898</v>
      </c>
      <c r="C1151" s="21" t="n">
        <f aca="false">Industry!E158</f>
        <v>1.01701044879171</v>
      </c>
      <c r="D1151" s="21" t="n">
        <f aca="false">Industry!F158</f>
        <v>1.35528683693451</v>
      </c>
      <c r="E1151" s="21" t="n">
        <f aca="false">Industry!G158</f>
        <v>1.37244539926846</v>
      </c>
      <c r="F1151" s="21" t="n">
        <f aca="false">Industry!H158</f>
        <v>1.24067414532106</v>
      </c>
      <c r="G1151" s="21" t="n">
        <f aca="false">Industry!I158</f>
        <v>0.99819894131503</v>
      </c>
      <c r="H1151" s="21" t="n">
        <f aca="false">Industry!J158</f>
        <v>1.110171846003</v>
      </c>
      <c r="I1151" s="21" t="n">
        <f aca="false">Industry!K158</f>
        <v>1.1560296617841</v>
      </c>
    </row>
    <row r="1152" customFormat="false" ht="15" hidden="false" customHeight="false" outlineLevel="0" collapsed="false">
      <c r="A1152" s="35" t="s">
        <v>177</v>
      </c>
      <c r="B1152" s="37" t="n">
        <f aca="false">IFERROR(AVERAGE(B1141:B1150),"N/M")</f>
        <v>1.7199745466712</v>
      </c>
      <c r="C1152" s="37" t="n">
        <f aca="false">IFERROR(AVERAGE(C1141:C1150),"N/M")</f>
        <v>1.52651616288436</v>
      </c>
      <c r="D1152" s="37" t="n">
        <f aca="false">IFERROR(AVERAGE(D1141:D1150),"N/M")</f>
        <v>2.22608138551323</v>
      </c>
      <c r="E1152" s="37" t="n">
        <f aca="false">IFERROR(AVERAGE(E1141:E1150),"N/M")</f>
        <v>1.92569743997574</v>
      </c>
      <c r="F1152" s="37" t="n">
        <f aca="false">IFERROR(AVERAGE(F1141:F1150),"N/M")</f>
        <v>1.62674447160791</v>
      </c>
      <c r="G1152" s="37" t="n">
        <f aca="false">IFERROR(AVERAGE(G1141:G1150),"N/M")</f>
        <v>1.64193640223089</v>
      </c>
      <c r="H1152" s="37" t="n">
        <f aca="false">IFERROR(AVERAGE(H1141:H1150),"N/M")</f>
        <v>1.68170342782082</v>
      </c>
      <c r="I1152" s="37" t="n">
        <f aca="false">IFERROR(AVERAGE(I1141:I1150),"N/M")</f>
        <v>1.76409340524345</v>
      </c>
    </row>
    <row r="1153" customFormat="false" ht="15" hidden="false" customHeight="false" outlineLevel="0" collapsed="false">
      <c r="A1153" s="35" t="s">
        <v>178</v>
      </c>
      <c r="B1153" s="37" t="n">
        <f aca="false">IFERROR(MEDIAN(B1141:B1150),"N/M")</f>
        <v>1.60060504287821</v>
      </c>
      <c r="C1153" s="37" t="n">
        <f aca="false">IFERROR(MEDIAN(C1141:C1150),"N/M")</f>
        <v>1.48976323082773</v>
      </c>
      <c r="D1153" s="37" t="n">
        <f aca="false">IFERROR(MEDIAN(D1141:D1150),"N/M")</f>
        <v>1.86825951662871</v>
      </c>
      <c r="E1153" s="37" t="n">
        <f aca="false">IFERROR(MEDIAN(E1141:E1150),"N/M")</f>
        <v>1.92278485867563</v>
      </c>
      <c r="F1153" s="37" t="n">
        <f aca="false">IFERROR(MEDIAN(F1141:F1150),"N/M")</f>
        <v>1.77535755935552</v>
      </c>
      <c r="G1153" s="37" t="n">
        <f aca="false">IFERROR(MEDIAN(G1141:G1150),"N/M")</f>
        <v>1.76177291162156</v>
      </c>
      <c r="H1153" s="37" t="n">
        <f aca="false">IFERROR(MEDIAN(H1141:H1150),"N/M")</f>
        <v>1.78740429391795</v>
      </c>
      <c r="I1153" s="37" t="n">
        <f aca="false">IFERROR(MEDIAN(I1141:I1150),"N/M")</f>
        <v>1.65430524337722</v>
      </c>
    </row>
    <row r="1154" customFormat="false" ht="15" hidden="false" customHeight="false" outlineLevel="0" collapsed="false">
      <c r="A1154" s="35" t="s">
        <v>179</v>
      </c>
      <c r="B1154" s="37" t="n">
        <f aca="false">IFERROR(STDEV(B1141:B1150),"N/M")</f>
        <v>0.919641880186678</v>
      </c>
      <c r="C1154" s="37" t="n">
        <f aca="false">IFERROR(STDEV(C1141:C1150),"N/M")</f>
        <v>0.961326165923035</v>
      </c>
      <c r="D1154" s="37" t="n">
        <f aca="false">IFERROR(STDEV(D1141:D1150),"N/M")</f>
        <v>1.73990238668922</v>
      </c>
      <c r="E1154" s="37" t="n">
        <f aca="false">IFERROR(STDEV(E1141:E1150),"N/M")</f>
        <v>0.994336958418016</v>
      </c>
      <c r="F1154" s="37" t="n">
        <f aca="false">IFERROR(STDEV(F1141:F1150),"N/M")</f>
        <v>0.678854303218034</v>
      </c>
      <c r="G1154" s="37" t="n">
        <f aca="false">IFERROR(STDEV(G1141:G1150),"N/M")</f>
        <v>0.947308796455572</v>
      </c>
      <c r="H1154" s="37" t="n">
        <f aca="false">IFERROR(STDEV(H1141:H1150),"N/M")</f>
        <v>0.748066223872596</v>
      </c>
      <c r="I1154" s="37" t="n">
        <f aca="false">IFERROR(STDEV(I1141:I1150),"N/M")</f>
        <v>0.911904282886123</v>
      </c>
    </row>
    <row r="1155" customFormat="false" ht="15" hidden="false" customHeight="false" outlineLevel="0" collapsed="false">
      <c r="A1155" s="35" t="s">
        <v>102</v>
      </c>
      <c r="B1155" s="37" t="n">
        <f aca="false">IFERROR(MIN(B1141:B1150),"N/M")</f>
        <v>0.364709636247607</v>
      </c>
      <c r="C1155" s="37" t="n">
        <f aca="false">IFERROR(MIN(C1141:C1150),"N/M")</f>
        <v>0.223935082258782</v>
      </c>
      <c r="D1155" s="37" t="n">
        <f aca="false">IFERROR(MIN(D1141:D1150),"N/M")</f>
        <v>0.211651863715783</v>
      </c>
      <c r="E1155" s="37" t="n">
        <f aca="false">IFERROR(MIN(E1141:E1150),"N/M")</f>
        <v>0.332495261999754</v>
      </c>
      <c r="F1155" s="37" t="n">
        <f aca="false">IFERROR(MIN(F1141:F1150),"N/M")</f>
        <v>0.28334881932652</v>
      </c>
      <c r="G1155" s="37" t="n">
        <f aca="false">IFERROR(MIN(G1141:G1150),"N/M")</f>
        <v>0.272765839712257</v>
      </c>
      <c r="H1155" s="37" t="n">
        <f aca="false">IFERROR(MIN(H1141:H1150),"N/M")</f>
        <v>0.436872748691693</v>
      </c>
      <c r="I1155" s="37" t="n">
        <f aca="false">IFERROR(MIN(I1141:I1150),"N/M")</f>
        <v>0.303682750278914</v>
      </c>
    </row>
    <row r="1156" customFormat="false" ht="15" hidden="false" customHeight="false" outlineLevel="0" collapsed="false">
      <c r="A1156" s="35" t="s">
        <v>103</v>
      </c>
      <c r="B1156" s="37" t="n">
        <f aca="false">IFERROR(MAX(B1141:B1150),"N/M")</f>
        <v>3.30518191841235</v>
      </c>
      <c r="C1156" s="37" t="n">
        <f aca="false">IFERROR(MAX(C1141:C1150),"N/M")</f>
        <v>3.72932573394989</v>
      </c>
      <c r="D1156" s="37" t="n">
        <f aca="false">IFERROR(MAX(D1141:D1150),"N/M")</f>
        <v>5.99814724524622</v>
      </c>
      <c r="E1156" s="37" t="n">
        <f aca="false">IFERROR(MAX(E1141:E1150),"N/M")</f>
        <v>3.59985047350058</v>
      </c>
      <c r="F1156" s="37" t="n">
        <f aca="false">IFERROR(MAX(F1141:F1150),"N/M")</f>
        <v>2.39054312311202</v>
      </c>
      <c r="G1156" s="37" t="n">
        <f aca="false">IFERROR(MAX(G1141:G1150),"N/M")</f>
        <v>3.16155274560085</v>
      </c>
      <c r="H1156" s="37" t="n">
        <f aca="false">IFERROR(MAX(H1141:H1150),"N/M")</f>
        <v>2.49970543954965</v>
      </c>
      <c r="I1156" s="37" t="n">
        <f aca="false">IFERROR(MAX(I1141:I1150),"N/M")</f>
        <v>3.11489056086385</v>
      </c>
    </row>
    <row r="1158" customFormat="false" ht="15" hidden="false" customHeight="false" outlineLevel="0" collapsed="false">
      <c r="A1158" s="16" t="s">
        <v>244</v>
      </c>
      <c r="B1158" s="17"/>
      <c r="C1158" s="17"/>
      <c r="D1158" s="17"/>
      <c r="E1158" s="17"/>
      <c r="F1158" s="17"/>
      <c r="G1158" s="17"/>
      <c r="H1158" s="17"/>
      <c r="I1158" s="17"/>
      <c r="J1158" s="17"/>
      <c r="K1158" s="17"/>
      <c r="L1158" s="17"/>
      <c r="M1158" s="17"/>
    </row>
    <row r="1159" customFormat="false" ht="15" hidden="false" customHeight="false" outlineLevel="0" collapsed="false">
      <c r="A1159" s="18" t="s">
        <v>110</v>
      </c>
      <c r="B1159" s="23" t="n">
        <f aca="false">Tiger!D159</f>
        <v>-0.107243731803763</v>
      </c>
      <c r="C1159" s="23" t="n">
        <f aca="false">Tiger!E159</f>
        <v>-0.131456392887384</v>
      </c>
      <c r="D1159" s="23" t="n">
        <f aca="false">Tiger!F159</f>
        <v>0.32793759141882</v>
      </c>
      <c r="E1159" s="23" t="n">
        <f aca="false">Tiger!G159</f>
        <v>0.192806113972421</v>
      </c>
      <c r="F1159" s="23" t="n">
        <f aca="false">Tiger!H159</f>
        <v>0.0985214185259797</v>
      </c>
      <c r="G1159" s="23" t="n">
        <f aca="false">Tiger!I159</f>
        <v>0.159224216700563</v>
      </c>
      <c r="H1159" s="23" t="n">
        <f aca="false">Tiger!J159</f>
        <v>0.0939102354301674</v>
      </c>
      <c r="I1159" s="24" t="n">
        <f aca="false">Tiger!K159</f>
        <v>0.090528493050972</v>
      </c>
      <c r="J1159" s="34" t="str">
        <f aca="false">IF(AND(ISNUMBER(H1159),ISNUMBER(H$1171)),IF(H1159&gt;H$1171,"Above",IF(H1159&lt;H$1171,"Below","At")),"-")</f>
        <v>Above</v>
      </c>
      <c r="K1159" s="34" t="str">
        <f aca="false">IF(J1159="Above","Better",IF(J1159="Below","Weaker","-"))</f>
        <v>Better</v>
      </c>
      <c r="L1159" s="34" t="n">
        <f aca="false">IF(ISNUMBER(H1159),RANK(H1159,H$1159:H$1168,0),"-")</f>
        <v>2</v>
      </c>
      <c r="N1159" s="34" t="str">
        <f aca="false">IF(AND(ISNUMBER(I1159),ISNUMBER(I$1171)),IF(I1159&gt;I$1171,"Above",IF(I1159&lt;I$1171,"Below","At")),"-")</f>
        <v>Above</v>
      </c>
      <c r="O1159" s="34" t="str">
        <f aca="false">IF(N1159="Above","Better",IF(N1159="Below","Weaker","-"))</f>
        <v>Better</v>
      </c>
    </row>
    <row r="1160" customFormat="false" ht="15" hidden="false" customHeight="false" outlineLevel="0" collapsed="false">
      <c r="A1160" s="18" t="s">
        <v>111</v>
      </c>
      <c r="B1160" s="23" t="n">
        <f aca="false">Allcargo!D159</f>
        <v>0.0483977207494919</v>
      </c>
      <c r="C1160" s="23" t="n">
        <f aca="false">Allcargo!E159</f>
        <v>0.0274135280766691</v>
      </c>
      <c r="D1160" s="23" t="n">
        <f aca="false">Allcargo!F159</f>
        <v>0.10944082585429</v>
      </c>
      <c r="E1160" s="23" t="n">
        <f aca="false">Allcargo!G159</f>
        <v>0.0747960332286893</v>
      </c>
      <c r="F1160" s="23" t="n">
        <f aca="false">Allcargo!H159</f>
        <v>0.0207998566102069</v>
      </c>
      <c r="G1160" s="23" t="n">
        <f aca="false">Allcargo!I159</f>
        <v>0.0145993926652651</v>
      </c>
      <c r="H1160" s="23" t="n">
        <f aca="false">Allcargo!J159</f>
        <v>0.00460166810468795</v>
      </c>
      <c r="I1160" s="24" t="n">
        <f aca="false">Allcargo!K159</f>
        <v>0.0428641464699</v>
      </c>
      <c r="J1160" s="34" t="str">
        <f aca="false">IF(AND(ISNUMBER(H1160),ISNUMBER(H$1171)),IF(H1160&gt;H$1171,"Above",IF(H1160&lt;H$1171,"Below","At")),"-")</f>
        <v>Below</v>
      </c>
      <c r="K1160" s="34" t="str">
        <f aca="false">IF(J1160="Above","Better",IF(J1160="Below","Weaker","-"))</f>
        <v>Weaker</v>
      </c>
      <c r="L1160" s="34" t="n">
        <f aca="false">IF(ISNUMBER(H1160),RANK(H1160,H$1159:H$1168,0),"-")</f>
        <v>9</v>
      </c>
      <c r="N1160" s="34" t="str">
        <f aca="false">IF(AND(ISNUMBER(I1160),ISNUMBER(I$1171)),IF(I1160&gt;I$1171,"Above",IF(I1160&lt;I$1171,"Below","At")),"-")</f>
        <v>Below</v>
      </c>
      <c r="O1160" s="34" t="str">
        <f aca="false">IF(N1160="Above","Better",IF(N1160="Below","Weaker","-"))</f>
        <v>Weaker</v>
      </c>
    </row>
    <row r="1161" customFormat="false" ht="15" hidden="false" customHeight="false" outlineLevel="0" collapsed="false">
      <c r="A1161" s="18" t="s">
        <v>112</v>
      </c>
      <c r="B1161" s="23" t="n">
        <f aca="false">BlueDart!D159</f>
        <v>-0.0188048202513449</v>
      </c>
      <c r="C1161" s="23" t="n">
        <f aca="false">BlueDart!E159</f>
        <v>0.036766325642535</v>
      </c>
      <c r="D1161" s="23" t="n">
        <f aca="false">BlueDart!F159</f>
        <v>0.133495395716873</v>
      </c>
      <c r="E1161" s="23" t="n">
        <f aca="false">BlueDart!G159</f>
        <v>0.122452823953204</v>
      </c>
      <c r="F1161" s="23" t="n">
        <f aca="false">BlueDart!H159</f>
        <v>0.090069629589733</v>
      </c>
      <c r="G1161" s="23" t="n">
        <f aca="false">BlueDart!I159</f>
        <v>0.070868065011525</v>
      </c>
      <c r="H1161" s="23" t="n">
        <f aca="false">BlueDart!J159</f>
        <v>0.0635179424900605</v>
      </c>
      <c r="I1161" s="24" t="n">
        <f aca="false">BlueDart!K159</f>
        <v>0.0711950517360836</v>
      </c>
      <c r="J1161" s="34" t="str">
        <f aca="false">IF(AND(ISNUMBER(H1161),ISNUMBER(H$1171)),IF(H1161&gt;H$1171,"Above",IF(H1161&lt;H$1171,"Below","At")),"-")</f>
        <v>Above</v>
      </c>
      <c r="K1161" s="34" t="str">
        <f aca="false">IF(J1161="Above","Better",IF(J1161="Below","Weaker","-"))</f>
        <v>Better</v>
      </c>
      <c r="L1161" s="34" t="n">
        <f aca="false">IF(ISNUMBER(H1161),RANK(H1161,H$1159:H$1168,0),"-")</f>
        <v>4</v>
      </c>
      <c r="N1161" s="34" t="str">
        <f aca="false">IF(AND(ISNUMBER(I1161),ISNUMBER(I$1171)),IF(I1161&gt;I$1171,"Above",IF(I1161&lt;I$1171,"Below","At")),"-")</f>
        <v>Above</v>
      </c>
      <c r="O1161" s="34" t="str">
        <f aca="false">IF(N1161="Above","Better",IF(N1161="Below","Weaker","-"))</f>
        <v>Better</v>
      </c>
    </row>
    <row r="1162" customFormat="false" ht="15" hidden="false" customHeight="false" outlineLevel="0" collapsed="false">
      <c r="A1162" s="18" t="s">
        <v>67</v>
      </c>
      <c r="B1162" s="23" t="n">
        <f aca="false">CONCOR!D159</f>
        <v>0.0328246777280755</v>
      </c>
      <c r="C1162" s="23" t="n">
        <f aca="false">CONCOR!E159</f>
        <v>0.0417583879804341</v>
      </c>
      <c r="D1162" s="23" t="n">
        <f aca="false">CONCOR!F159</f>
        <v>0.0830387628867602</v>
      </c>
      <c r="E1162" s="23" t="n">
        <f aca="false">CONCOR!G159</f>
        <v>0.0887033519071821</v>
      </c>
      <c r="F1162" s="23" t="n">
        <f aca="false">CONCOR!H159</f>
        <v>0.0916685391746857</v>
      </c>
      <c r="G1162" s="23" t="n">
        <f aca="false">CONCOR!I159</f>
        <v>0.0904780641491516</v>
      </c>
      <c r="H1162" s="23" t="n">
        <f aca="false">CONCOR!J159</f>
        <v>0.0837553249177825</v>
      </c>
      <c r="I1162" s="24" t="n">
        <f aca="false">CONCOR!K159</f>
        <v>0.0731753012491531</v>
      </c>
      <c r="J1162" s="34" t="str">
        <f aca="false">IF(AND(ISNUMBER(H1162),ISNUMBER(H$1171)),IF(H1162&gt;H$1171,"Above",IF(H1162&lt;H$1171,"Below","At")),"-")</f>
        <v>Above</v>
      </c>
      <c r="K1162" s="34" t="str">
        <f aca="false">IF(J1162="Above","Better",IF(J1162="Below","Weaker","-"))</f>
        <v>Better</v>
      </c>
      <c r="L1162" s="34" t="n">
        <f aca="false">IF(ISNUMBER(H1162),RANK(H1162,H$1159:H$1168,0),"-")</f>
        <v>3</v>
      </c>
      <c r="N1162" s="34" t="str">
        <f aca="false">IF(AND(ISNUMBER(I1162),ISNUMBER(I$1171)),IF(I1162&gt;I$1171,"Above",IF(I1162&lt;I$1171,"Below","At")),"-")</f>
        <v>Above</v>
      </c>
      <c r="O1162" s="34" t="str">
        <f aca="false">IF(N1162="Above","Better",IF(N1162="Below","Weaker","-"))</f>
        <v>Better</v>
      </c>
    </row>
    <row r="1163" customFormat="false" ht="15" hidden="false" customHeight="false" outlineLevel="0" collapsed="false">
      <c r="A1163" s="18" t="s">
        <v>113</v>
      </c>
      <c r="B1163" s="23" t="n">
        <f aca="false">JetFreight!D159</f>
        <v>-0.0944873208379272</v>
      </c>
      <c r="C1163" s="23" t="n">
        <f aca="false">JetFreight!E159</f>
        <v>0.0269921496935154</v>
      </c>
      <c r="D1163" s="23" t="n">
        <f aca="false">JetFreight!F159</f>
        <v>0.0270919396675954</v>
      </c>
      <c r="E1163" s="23" t="n">
        <f aca="false">JetFreight!G159</f>
        <v>0.000454769394019782</v>
      </c>
      <c r="F1163" s="23" t="n">
        <f aca="false">JetFreight!H159</f>
        <v>0.00160286048948893</v>
      </c>
      <c r="G1163" s="23" t="n">
        <f aca="false">JetFreight!I159</f>
        <v>0.0211337431655288</v>
      </c>
      <c r="H1163" s="23" t="n">
        <f aca="false">JetFreight!J159</f>
        <v>0.0361202592159779</v>
      </c>
      <c r="I1163" s="24" t="n">
        <f aca="false">JetFreight!K159</f>
        <v>0.00270120011259985</v>
      </c>
      <c r="J1163" s="34" t="str">
        <f aca="false">IF(AND(ISNUMBER(H1163),ISNUMBER(H$1171)),IF(H1163&gt;H$1171,"Above",IF(H1163&lt;H$1171,"Below","At")),"-")</f>
        <v>Below</v>
      </c>
      <c r="K1163" s="34" t="str">
        <f aca="false">IF(J1163="Above","Better",IF(J1163="Below","Weaker","-"))</f>
        <v>Weaker</v>
      </c>
      <c r="L1163" s="34" t="n">
        <f aca="false">IF(ISNUMBER(H1163),RANK(H1163,H$1159:H$1168,0),"-")</f>
        <v>7</v>
      </c>
      <c r="N1163" s="34" t="str">
        <f aca="false">IF(AND(ISNUMBER(I1163),ISNUMBER(I$1171)),IF(I1163&gt;I$1171,"Above",IF(I1163&lt;I$1171,"Below","At")),"-")</f>
        <v>Below</v>
      </c>
      <c r="O1163" s="34" t="str">
        <f aca="false">IF(N1163="Above","Better",IF(N1163="Below","Weaker","-"))</f>
        <v>Weaker</v>
      </c>
    </row>
    <row r="1164" customFormat="false" ht="15" hidden="false" customHeight="false" outlineLevel="0" collapsed="false">
      <c r="A1164" s="18" t="s">
        <v>114</v>
      </c>
      <c r="B1164" s="23" t="n">
        <f aca="false">Patel!D159</f>
        <v>0.0496750768946139</v>
      </c>
      <c r="C1164" s="23" t="n">
        <f aca="false">Patel!E159</f>
        <v>0.000252723091308853</v>
      </c>
      <c r="D1164" s="23" t="n">
        <f aca="false">Patel!F159</f>
        <v>0.0122918640855557</v>
      </c>
      <c r="E1164" s="23" t="n">
        <f aca="false">Patel!G159</f>
        <v>0.0279043280182232</v>
      </c>
      <c r="F1164" s="23" t="n">
        <f aca="false">Patel!H159</f>
        <v>0.0304236799472803</v>
      </c>
      <c r="G1164" s="23" t="n">
        <f aca="false">Patel!I159</f>
        <v>0.0422034651266104</v>
      </c>
      <c r="H1164" s="23" t="n">
        <f aca="false">Patel!J159</f>
        <v>0.057929036929761</v>
      </c>
      <c r="I1164" s="24" t="n">
        <f aca="false">Patel!K159</f>
        <v>0.0315257391561934</v>
      </c>
      <c r="J1164" s="34" t="str">
        <f aca="false">IF(AND(ISNUMBER(H1164),ISNUMBER(H$1171)),IF(H1164&gt;H$1171,"Above",IF(H1164&lt;H$1171,"Below","At")),"-")</f>
        <v>Above</v>
      </c>
      <c r="K1164" s="34" t="str">
        <f aca="false">IF(J1164="Above","Better",IF(J1164="Below","Weaker","-"))</f>
        <v>Better</v>
      </c>
      <c r="L1164" s="34" t="n">
        <f aca="false">IF(ISNUMBER(H1164),RANK(H1164,H$1159:H$1168,0),"-")</f>
        <v>5</v>
      </c>
      <c r="N1164" s="34" t="str">
        <f aca="false">IF(AND(ISNUMBER(I1164),ISNUMBER(I$1171)),IF(I1164&gt;I$1171,"Above",IF(I1164&lt;I$1171,"Below","At")),"-")</f>
        <v>Below</v>
      </c>
      <c r="O1164" s="34" t="str">
        <f aca="false">IF(N1164="Above","Better",IF(N1164="Below","Weaker","-"))</f>
        <v>Weaker</v>
      </c>
    </row>
    <row r="1165" customFormat="false" ht="15" hidden="false" customHeight="false" outlineLevel="0" collapsed="false">
      <c r="A1165" s="18" t="s">
        <v>115</v>
      </c>
      <c r="B1165" s="23" t="n">
        <f aca="false">Sical!D159</f>
        <v>-0.0388118582119858</v>
      </c>
      <c r="C1165" s="23" t="n">
        <f aca="false">Sical!E159</f>
        <v>-0.515598043574922</v>
      </c>
      <c r="D1165" s="23" t="n">
        <f aca="false">Sical!F159</f>
        <v>-0.157991166763735</v>
      </c>
      <c r="E1165" s="23" t="n">
        <f aca="false">Sical!G159</f>
        <v>-0.707151306500918</v>
      </c>
      <c r="F1165" s="23" t="n">
        <f aca="false">Sical!H159</f>
        <v>-0.0362564480471629</v>
      </c>
      <c r="G1165" s="23" t="n">
        <f aca="false">Sical!I159</f>
        <v>-0.0317624273724984</v>
      </c>
      <c r="H1165" s="23" t="n">
        <f aca="false">Sical!J159</f>
        <v>0.0558211186878412</v>
      </c>
      <c r="I1165" s="24" t="n">
        <f aca="false">Sical!K159</f>
        <v>-0.204535733111912</v>
      </c>
      <c r="J1165" s="34" t="str">
        <f aca="false">IF(AND(ISNUMBER(H1165),ISNUMBER(H$1171)),IF(H1165&gt;H$1171,"Above",IF(H1165&lt;H$1171,"Below","At")),"-")</f>
        <v>Below</v>
      </c>
      <c r="K1165" s="34" t="str">
        <f aca="false">IF(J1165="Above","Better",IF(J1165="Below","Weaker","-"))</f>
        <v>Weaker</v>
      </c>
      <c r="L1165" s="34" t="n">
        <f aca="false">IF(ISNUMBER(H1165),RANK(H1165,H$1159:H$1168,0),"-")</f>
        <v>6</v>
      </c>
      <c r="N1165" s="34" t="str">
        <f aca="false">IF(AND(ISNUMBER(I1165),ISNUMBER(I$1171)),IF(I1165&gt;I$1171,"Above",IF(I1165&lt;I$1171,"Below","At")),"-")</f>
        <v>Below</v>
      </c>
      <c r="O1165" s="34" t="str">
        <f aca="false">IF(N1165="Above","Better",IF(N1165="Below","Weaker","-"))</f>
        <v>Weaker</v>
      </c>
    </row>
    <row r="1166" customFormat="false" ht="15" hidden="false" customHeight="false" outlineLevel="0" collapsed="false">
      <c r="A1166" s="18" t="s">
        <v>86</v>
      </c>
      <c r="B1166" s="23" t="n">
        <f aca="false">TCI!D159</f>
        <v>0.0862978780154398</v>
      </c>
      <c r="C1166" s="23" t="n">
        <f aca="false">TCI!E159</f>
        <v>0.0859873821275054</v>
      </c>
      <c r="D1166" s="23" t="n">
        <f aca="false">TCI!F159</f>
        <v>0.162435779507774</v>
      </c>
      <c r="E1166" s="23" t="n">
        <f aca="false">TCI!G159</f>
        <v>0.161580879545003</v>
      </c>
      <c r="F1166" s="23" t="n">
        <f aca="false">TCI!H159</f>
        <v>0.152445185135291</v>
      </c>
      <c r="G1166" s="23" t="n">
        <f aca="false">TCI!I159</f>
        <v>0.151737764997434</v>
      </c>
      <c r="H1166" s="23" t="n">
        <f aca="false">TCI!J159</f>
        <v>0.14222500697487</v>
      </c>
      <c r="I1166" s="24" t="n">
        <f aca="false">TCI!K159</f>
        <v>0.134672839471902</v>
      </c>
      <c r="J1166" s="34" t="str">
        <f aca="false">IF(AND(ISNUMBER(H1166),ISNUMBER(H$1171)),IF(H1166&gt;H$1171,"Above",IF(H1166&lt;H$1171,"Below","At")),"-")</f>
        <v>Above</v>
      </c>
      <c r="K1166" s="34" t="str">
        <f aca="false">IF(J1166="Above","Better",IF(J1166="Below","Weaker","-"))</f>
        <v>Better</v>
      </c>
      <c r="L1166" s="34" t="n">
        <f aca="false">IF(ISNUMBER(H1166),RANK(H1166,H$1159:H$1168,0),"-")</f>
        <v>1</v>
      </c>
      <c r="N1166" s="34" t="str">
        <f aca="false">IF(AND(ISNUMBER(I1166),ISNUMBER(I$1171)),IF(I1166&gt;I$1171,"Above",IF(I1166&lt;I$1171,"Below","At")),"-")</f>
        <v>Above</v>
      </c>
      <c r="O1166" s="34" t="str">
        <f aca="false">IF(N1166="Above","Better",IF(N1166="Below","Weaker","-"))</f>
        <v>Better</v>
      </c>
    </row>
    <row r="1167" customFormat="false" ht="15" hidden="false" customHeight="false" outlineLevel="0" collapsed="false">
      <c r="A1167" s="18" t="s">
        <v>116</v>
      </c>
      <c r="B1167" s="23" t="n">
        <f aca="false">Shreeji!D159</f>
        <v>0.0195206161609455</v>
      </c>
      <c r="C1167" s="23" t="n">
        <f aca="false">Shreeji!E159</f>
        <v>-0.0135126758817331</v>
      </c>
      <c r="D1167" s="23" t="n">
        <f aca="false">Shreeji!F159</f>
        <v>0.103164888966603</v>
      </c>
      <c r="E1167" s="23" t="n">
        <f aca="false">Shreeji!G159</f>
        <v>0.0996653796653797</v>
      </c>
      <c r="F1167" s="23" t="n">
        <f aca="false">Shreeji!H159</f>
        <v>0.144672531769306</v>
      </c>
      <c r="G1167" s="23" t="n">
        <f aca="false">Shreeji!I159</f>
        <v>0.0129997026211819</v>
      </c>
      <c r="H1167" s="23" t="n">
        <f aca="false">Shreeji!J159</f>
        <v>0.0269498102426336</v>
      </c>
      <c r="I1167" s="24" t="n">
        <f aca="false">Shreeji!K159</f>
        <v>0.056208607649188</v>
      </c>
      <c r="J1167" s="34" t="str">
        <f aca="false">IF(AND(ISNUMBER(H1167),ISNUMBER(H$1171)),IF(H1167&gt;H$1171,"Above",IF(H1167&lt;H$1171,"Below","At")),"-")</f>
        <v>Below</v>
      </c>
      <c r="K1167" s="34" t="str">
        <f aca="false">IF(J1167="Above","Better",IF(J1167="Below","Weaker","-"))</f>
        <v>Weaker</v>
      </c>
      <c r="L1167" s="34" t="n">
        <f aca="false">IF(ISNUMBER(H1167),RANK(H1167,H$1159:H$1168,0),"-")</f>
        <v>8</v>
      </c>
      <c r="N1167" s="34" t="str">
        <f aca="false">IF(AND(ISNUMBER(I1167),ISNUMBER(I$1171)),IF(I1167&gt;I$1171,"Above",IF(I1167&lt;I$1171,"Below","At")),"-")</f>
        <v>Above</v>
      </c>
      <c r="O1167" s="34" t="str">
        <f aca="false">IF(N1167="Above","Better",IF(N1167="Below","Weaker","-"))</f>
        <v>Better</v>
      </c>
    </row>
    <row r="1168" customFormat="false" ht="15" hidden="false" customHeight="false" outlineLevel="0" collapsed="false">
      <c r="A1168" s="18" t="s">
        <v>117</v>
      </c>
      <c r="B1168" s="23" t="n">
        <f aca="false">MahindraLog!D159</f>
        <v>0.0419650164639601</v>
      </c>
      <c r="C1168" s="23" t="n">
        <f aca="false">MahindraLog!E159</f>
        <v>0.0193002377145945</v>
      </c>
      <c r="D1168" s="23" t="n">
        <f aca="false">MahindraLog!F159</f>
        <v>0.00958941887357094</v>
      </c>
      <c r="E1168" s="23" t="n">
        <f aca="false">MahindraLog!G159</f>
        <v>0.0116067997827037</v>
      </c>
      <c r="F1168" s="23" t="n">
        <f aca="false">MahindraLog!H159</f>
        <v>-0.0217648017749009</v>
      </c>
      <c r="G1168" s="23" t="n">
        <f aca="false">MahindraLog!I159</f>
        <v>-0.014181170886076</v>
      </c>
      <c r="H1168" s="23" t="n">
        <f aca="false">MahindraLog!J159</f>
        <v>0.000805797519621521</v>
      </c>
      <c r="I1168" s="24" t="n">
        <f aca="false">MahindraLog!K159</f>
        <v>0.006760185384782</v>
      </c>
      <c r="J1168" s="34" t="str">
        <f aca="false">IF(AND(ISNUMBER(H1168),ISNUMBER(H$1171)),IF(H1168&gt;H$1171,"Above",IF(H1168&lt;H$1171,"Below","At")),"-")</f>
        <v>Below</v>
      </c>
      <c r="K1168" s="34" t="str">
        <f aca="false">IF(J1168="Above","Better",IF(J1168="Below","Weaker","-"))</f>
        <v>Weaker</v>
      </c>
      <c r="L1168" s="34" t="n">
        <f aca="false">IF(ISNUMBER(H1168),RANK(H1168,H$1159:H$1168,0),"-")</f>
        <v>10</v>
      </c>
      <c r="N1168" s="34" t="str">
        <f aca="false">IF(AND(ISNUMBER(I1168),ISNUMBER(I$1171)),IF(I1168&gt;I$1171,"Above",IF(I1168&lt;I$1171,"Below","At")),"-")</f>
        <v>Below</v>
      </c>
      <c r="O1168" s="34" t="str">
        <f aca="false">IF(N1168="Above","Better",IF(N1168="Below","Weaker","-"))</f>
        <v>Weaker</v>
      </c>
    </row>
    <row r="1169" customFormat="false" ht="15" hidden="false" customHeight="false" outlineLevel="0" collapsed="false">
      <c r="A1169" s="12" t="s">
        <v>176</v>
      </c>
      <c r="B1169" s="24" t="n">
        <f aca="false">Industry!D159</f>
        <v>0.0262929729228542</v>
      </c>
      <c r="C1169" s="24" t="n">
        <f aca="false">Industry!E159</f>
        <v>-0.00785933256616801</v>
      </c>
      <c r="D1169" s="24" t="n">
        <f aca="false">Industry!F159</f>
        <v>0.0825518071487768</v>
      </c>
      <c r="E1169" s="24" t="n">
        <f aca="false">Industry!G159</f>
        <v>0.056241399723223</v>
      </c>
      <c r="F1169" s="24" t="n">
        <f aca="false">Industry!H159</f>
        <v>0.0660892106396505</v>
      </c>
      <c r="G1169" s="24" t="n">
        <f aca="false">Industry!I159</f>
        <v>0.0689568890020147</v>
      </c>
      <c r="H1169" s="24" t="n">
        <f aca="false">Industry!J159</f>
        <v>0.0728330322784577</v>
      </c>
      <c r="I1169" s="24" t="n">
        <f aca="false">Industry!K159</f>
        <v>0.0521579970212584</v>
      </c>
    </row>
    <row r="1170" customFormat="false" ht="15" hidden="false" customHeight="false" outlineLevel="0" collapsed="false">
      <c r="A1170" s="35" t="s">
        <v>177</v>
      </c>
      <c r="B1170" s="39" t="n">
        <f aca="false">IFERROR(AVERAGE(B1159:B1168),"N/M")</f>
        <v>0.00193332549075056</v>
      </c>
      <c r="C1170" s="39" t="n">
        <f aca="false">IFERROR(AVERAGE(C1159:C1168),"N/M")</f>
        <v>-0.0422096378017477</v>
      </c>
      <c r="D1170" s="39" t="n">
        <f aca="false">IFERROR(AVERAGE(D1159:D1168),"N/M")</f>
        <v>0.0810495300214106</v>
      </c>
      <c r="E1170" s="39" t="n">
        <f aca="false">IFERROR(AVERAGE(E1159:E1168),"N/M")</f>
        <v>0.00728191729659078</v>
      </c>
      <c r="F1170" s="39" t="n">
        <f aca="false">IFERROR(AVERAGE(F1159:F1168),"N/M")</f>
        <v>0.0572182451419908</v>
      </c>
      <c r="G1170" s="39" t="n">
        <f aca="false">IFERROR(AVERAGE(G1159:G1168),"N/M")</f>
        <v>0.0517300816178685</v>
      </c>
      <c r="H1170" s="39" t="n">
        <f aca="false">IFERROR(AVERAGE(H1159:H1168),"N/M")</f>
        <v>0.0565636200513404</v>
      </c>
      <c r="I1170" s="39" t="n">
        <f aca="false">IFERROR(AVERAGE(I1159:I1168),"N/M")</f>
        <v>0.0305095831168863</v>
      </c>
    </row>
    <row r="1171" customFormat="false" ht="15" hidden="false" customHeight="false" outlineLevel="0" collapsed="false">
      <c r="A1171" s="35" t="s">
        <v>178</v>
      </c>
      <c r="B1171" s="39" t="n">
        <f aca="false">IFERROR(MEDIAN(B1159:B1168),"N/M")</f>
        <v>0.0261726469445105</v>
      </c>
      <c r="C1171" s="39" t="n">
        <f aca="false">IFERROR(MEDIAN(C1159:C1168),"N/M")</f>
        <v>0.023146193704055</v>
      </c>
      <c r="D1171" s="39" t="n">
        <f aca="false">IFERROR(MEDIAN(D1159:D1168),"N/M")</f>
        <v>0.0931018259266814</v>
      </c>
      <c r="E1171" s="39" t="n">
        <f aca="false">IFERROR(MEDIAN(E1159:E1168),"N/M")</f>
        <v>0.0817496925679357</v>
      </c>
      <c r="F1171" s="39" t="n">
        <f aca="false">IFERROR(MEDIAN(F1159:F1168),"N/M")</f>
        <v>0.0602466547685066</v>
      </c>
      <c r="G1171" s="39" t="n">
        <f aca="false">IFERROR(MEDIAN(G1159:G1168),"N/M")</f>
        <v>0.0316686041460696</v>
      </c>
      <c r="H1171" s="39" t="n">
        <f aca="false">IFERROR(MEDIAN(H1159:H1168),"N/M")</f>
        <v>0.0568750778088011</v>
      </c>
      <c r="I1171" s="39" t="n">
        <f aca="false">IFERROR(MEDIAN(I1159:I1168),"N/M")</f>
        <v>0.049536377059544</v>
      </c>
    </row>
    <row r="1172" customFormat="false" ht="15" hidden="false" customHeight="false" outlineLevel="0" collapsed="false">
      <c r="A1172" s="35" t="s">
        <v>179</v>
      </c>
      <c r="B1172" s="39" t="n">
        <f aca="false">IFERROR(STDEV(B1159:B1168),"N/M")</f>
        <v>0.0647461100132428</v>
      </c>
      <c r="C1172" s="39" t="n">
        <f aca="false">IFERROR(STDEV(C1159:C1168),"N/M")</f>
        <v>0.175698662237933</v>
      </c>
      <c r="D1172" s="39" t="n">
        <f aca="false">IFERROR(STDEV(D1159:D1168),"N/M")</f>
        <v>0.125394115362917</v>
      </c>
      <c r="E1172" s="39" t="n">
        <f aca="false">IFERROR(STDEV(E1159:E1168),"N/M")</f>
        <v>0.25865452606245</v>
      </c>
      <c r="F1172" s="39" t="n">
        <f aca="false">IFERROR(STDEV(F1159:F1168),"N/M")</f>
        <v>0.0673313278785458</v>
      </c>
      <c r="G1172" s="39" t="n">
        <f aca="false">IFERROR(STDEV(G1159:G1168),"N/M")</f>
        <v>0.0655278645587536</v>
      </c>
      <c r="H1172" s="39" t="n">
        <f aca="false">IFERROR(STDEV(H1159:H1168),"N/M")</f>
        <v>0.0429815179050313</v>
      </c>
      <c r="I1172" s="39" t="n">
        <f aca="false">IFERROR(STDEV(I1159:I1168),"N/M")</f>
        <v>0.0914850763751847</v>
      </c>
    </row>
    <row r="1173" customFormat="false" ht="15" hidden="false" customHeight="false" outlineLevel="0" collapsed="false">
      <c r="A1173" s="35" t="s">
        <v>102</v>
      </c>
      <c r="B1173" s="39" t="n">
        <f aca="false">IFERROR(MIN(B1159:B1168),"N/M")</f>
        <v>-0.107243731803763</v>
      </c>
      <c r="C1173" s="39" t="n">
        <f aca="false">IFERROR(MIN(C1159:C1168),"N/M")</f>
        <v>-0.515598043574922</v>
      </c>
      <c r="D1173" s="39" t="n">
        <f aca="false">IFERROR(MIN(D1159:D1168),"N/M")</f>
        <v>-0.157991166763735</v>
      </c>
      <c r="E1173" s="39" t="n">
        <f aca="false">IFERROR(MIN(E1159:E1168),"N/M")</f>
        <v>-0.707151306500918</v>
      </c>
      <c r="F1173" s="39" t="n">
        <f aca="false">IFERROR(MIN(F1159:F1168),"N/M")</f>
        <v>-0.0362564480471629</v>
      </c>
      <c r="G1173" s="39" t="n">
        <f aca="false">IFERROR(MIN(G1159:G1168),"N/M")</f>
        <v>-0.0317624273724984</v>
      </c>
      <c r="H1173" s="39" t="n">
        <f aca="false">IFERROR(MIN(H1159:H1168),"N/M")</f>
        <v>0.000805797519621521</v>
      </c>
      <c r="I1173" s="39" t="n">
        <f aca="false">IFERROR(MIN(I1159:I1168),"N/M")</f>
        <v>-0.204535733111912</v>
      </c>
    </row>
    <row r="1174" customFormat="false" ht="15" hidden="false" customHeight="false" outlineLevel="0" collapsed="false">
      <c r="A1174" s="35" t="s">
        <v>103</v>
      </c>
      <c r="B1174" s="39" t="n">
        <f aca="false">IFERROR(MAX(B1159:B1168),"N/M")</f>
        <v>0.0862978780154398</v>
      </c>
      <c r="C1174" s="39" t="n">
        <f aca="false">IFERROR(MAX(C1159:C1168),"N/M")</f>
        <v>0.0859873821275054</v>
      </c>
      <c r="D1174" s="39" t="n">
        <f aca="false">IFERROR(MAX(D1159:D1168),"N/M")</f>
        <v>0.32793759141882</v>
      </c>
      <c r="E1174" s="39" t="n">
        <f aca="false">IFERROR(MAX(E1159:E1168),"N/M")</f>
        <v>0.192806113972421</v>
      </c>
      <c r="F1174" s="39" t="n">
        <f aca="false">IFERROR(MAX(F1159:F1168),"N/M")</f>
        <v>0.152445185135291</v>
      </c>
      <c r="G1174" s="39" t="n">
        <f aca="false">IFERROR(MAX(G1159:G1168),"N/M")</f>
        <v>0.159224216700563</v>
      </c>
      <c r="H1174" s="39" t="n">
        <f aca="false">IFERROR(MAX(H1159:H1168),"N/M")</f>
        <v>0.14222500697487</v>
      </c>
      <c r="I1174" s="39" t="n">
        <f aca="false">IFERROR(MAX(I1159:I1168),"N/M")</f>
        <v>0.134672839471902</v>
      </c>
    </row>
    <row r="1176" customFormat="false" ht="15" hidden="false" customHeight="false" outlineLevel="0" collapsed="false">
      <c r="A1176" s="16" t="s">
        <v>245</v>
      </c>
      <c r="B1176" s="17"/>
      <c r="C1176" s="17"/>
      <c r="D1176" s="17"/>
      <c r="E1176" s="17"/>
      <c r="F1176" s="17"/>
      <c r="G1176" s="17"/>
      <c r="H1176" s="17"/>
      <c r="I1176" s="17"/>
      <c r="J1176" s="17"/>
      <c r="K1176" s="17"/>
      <c r="L1176" s="17"/>
      <c r="M1176" s="17"/>
    </row>
    <row r="1177" customFormat="false" ht="15" hidden="false" customHeight="false" outlineLevel="0" collapsed="false">
      <c r="A1177" s="18" t="s">
        <v>110</v>
      </c>
      <c r="B1177" s="20" t="n">
        <f aca="false">Tiger!D160</f>
        <v>1.95207396725761</v>
      </c>
      <c r="C1177" s="20" t="n">
        <f aca="false">Tiger!E160</f>
        <v>1.99577524292353</v>
      </c>
      <c r="D1177" s="20" t="n">
        <f aca="false">Tiger!F160</f>
        <v>1.76187612748046</v>
      </c>
      <c r="E1177" s="20" t="n">
        <f aca="false">Tiger!G160</f>
        <v>1.39927932116703</v>
      </c>
      <c r="F1177" s="20" t="n">
        <f aca="false">Tiger!H160</f>
        <v>1.26206466468387</v>
      </c>
      <c r="G1177" s="20" t="n">
        <f aca="false">Tiger!I160</f>
        <v>1.3618191305744</v>
      </c>
      <c r="H1177" s="20" t="n">
        <f aca="false">Tiger!J160</f>
        <v>1.53650932010192</v>
      </c>
      <c r="I1177" s="21" t="n">
        <f aca="false">Tiger!K160</f>
        <v>1.60991396774126</v>
      </c>
      <c r="J1177" s="34" t="str">
        <f aca="false">IF(AND(ISNUMBER(H1177),ISNUMBER(H$1189)),IF(H1177&gt;H$1189,"Above",IF(H1177&lt;H$1189,"Below","At")),"-")</f>
        <v>Below</v>
      </c>
      <c r="K1177" s="34" t="str">
        <f aca="false">IF(J1177="Above","Better",IF(J1177="Below","Weaker","-"))</f>
        <v>Weaker</v>
      </c>
      <c r="L1177" s="34" t="n">
        <f aca="false">IF(ISNUMBER(H1177),RANK(H1177,H$1177:H$1186,0),"-")</f>
        <v>7</v>
      </c>
      <c r="N1177" s="34" t="str">
        <f aca="false">IF(AND(ISNUMBER(I1177),ISNUMBER(I$1189)),IF(I1177&gt;I$1189,"Above",IF(I1177&lt;I$1189,"Below","At")),"-")</f>
        <v>Below</v>
      </c>
      <c r="O1177" s="34" t="str">
        <f aca="false">IF(N1177="Above","Better",IF(N1177="Below","Weaker","-"))</f>
        <v>Weaker</v>
      </c>
    </row>
    <row r="1178" customFormat="false" ht="15" hidden="false" customHeight="false" outlineLevel="0" collapsed="false">
      <c r="A1178" s="18" t="s">
        <v>111</v>
      </c>
      <c r="B1178" s="20" t="n">
        <f aca="false">Allcargo!D160</f>
        <v>2.22351416824306</v>
      </c>
      <c r="C1178" s="20" t="n">
        <f aca="false">Allcargo!E160</f>
        <v>2.84794005292104</v>
      </c>
      <c r="D1178" s="20" t="n">
        <f aca="false">Allcargo!F160</f>
        <v>3.10676546746736</v>
      </c>
      <c r="E1178" s="20" t="n">
        <f aca="false">Allcargo!G160</f>
        <v>2.81708606789179</v>
      </c>
      <c r="F1178" s="20" t="n">
        <f aca="false">Allcargo!H160</f>
        <v>2.69766391484018</v>
      </c>
      <c r="G1178" s="20" t="n">
        <f aca="false">Allcargo!I160</f>
        <v>2.88766161958471</v>
      </c>
      <c r="H1178" s="20" t="n">
        <f aca="false">Allcargo!J160</f>
        <v>3.06073943661972</v>
      </c>
      <c r="I1178" s="21" t="n">
        <f aca="false">Allcargo!K160</f>
        <v>2.80591010393827</v>
      </c>
      <c r="J1178" s="34" t="str">
        <f aca="false">IF(AND(ISNUMBER(H1178),ISNUMBER(H$1189)),IF(H1178&gt;H$1189,"Above",IF(H1178&lt;H$1189,"Below","At")),"-")</f>
        <v>Above</v>
      </c>
      <c r="K1178" s="34" t="str">
        <f aca="false">IF(J1178="Above","Better",IF(J1178="Below","Weaker","-"))</f>
        <v>Better</v>
      </c>
      <c r="L1178" s="34" t="n">
        <f aca="false">IF(ISNUMBER(H1178),RANK(H1178,H$1177:H$1186,0),"-")</f>
        <v>3</v>
      </c>
      <c r="N1178" s="34" t="str">
        <f aca="false">IF(AND(ISNUMBER(I1178),ISNUMBER(I$1189)),IF(I1178&gt;I$1189,"Above",IF(I1178&lt;I$1189,"Below","At")),"-")</f>
        <v>Above</v>
      </c>
      <c r="O1178" s="34" t="str">
        <f aca="false">IF(N1178="Above","Better",IF(N1178="Below","Weaker","-"))</f>
        <v>Better</v>
      </c>
    </row>
    <row r="1179" customFormat="false" ht="15" hidden="false" customHeight="false" outlineLevel="0" collapsed="false">
      <c r="A1179" s="18" t="s">
        <v>112</v>
      </c>
      <c r="B1179" s="20" t="n">
        <f aca="false">BlueDart!D160</f>
        <v>4.16644050348603</v>
      </c>
      <c r="C1179" s="20" t="n">
        <f aca="false">BlueDart!E160</f>
        <v>5.11476832996241</v>
      </c>
      <c r="D1179" s="20" t="n">
        <f aca="false">BlueDart!F160</f>
        <v>3.91146555551761</v>
      </c>
      <c r="E1179" s="20" t="n">
        <f aca="false">BlueDart!G160</f>
        <v>2.94986717360045</v>
      </c>
      <c r="F1179" s="20" t="n">
        <f aca="false">BlueDart!H160</f>
        <v>2.62441544979445</v>
      </c>
      <c r="G1179" s="20" t="n">
        <f aca="false">BlueDart!I160</f>
        <v>2.43434906076253</v>
      </c>
      <c r="H1179" s="20" t="n">
        <f aca="false">BlueDart!J160</f>
        <v>2.33510598434591</v>
      </c>
      <c r="I1179" s="21" t="n">
        <f aca="false">BlueDart!K160</f>
        <v>3.36234457963849</v>
      </c>
      <c r="J1179" s="34" t="str">
        <f aca="false">IF(AND(ISNUMBER(H1179),ISNUMBER(H$1189)),IF(H1179&gt;H$1189,"Above",IF(H1179&lt;H$1189,"Below","At")),"-")</f>
        <v>Above</v>
      </c>
      <c r="K1179" s="34" t="str">
        <f aca="false">IF(J1179="Above","Better",IF(J1179="Below","Weaker","-"))</f>
        <v>Better</v>
      </c>
      <c r="L1179" s="34" t="n">
        <f aca="false">IF(ISNUMBER(H1179),RANK(H1179,H$1177:H$1186,0),"-")</f>
        <v>5</v>
      </c>
      <c r="N1179" s="34" t="str">
        <f aca="false">IF(AND(ISNUMBER(I1179),ISNUMBER(I$1189)),IF(I1179&gt;I$1189,"Above",IF(I1179&lt;I$1189,"Below","At")),"-")</f>
        <v>Above</v>
      </c>
      <c r="O1179" s="34" t="str">
        <f aca="false">IF(N1179="Above","Better",IF(N1179="Below","Weaker","-"))</f>
        <v>Better</v>
      </c>
    </row>
    <row r="1180" customFormat="false" ht="15" hidden="false" customHeight="false" outlineLevel="0" collapsed="false">
      <c r="A1180" s="18" t="s">
        <v>67</v>
      </c>
      <c r="B1180" s="20" t="n">
        <f aca="false">CONCOR!D160</f>
        <v>1.20678174747503</v>
      </c>
      <c r="C1180" s="20" t="n">
        <f aca="false">CONCOR!E160</f>
        <v>1.19600550773574</v>
      </c>
      <c r="D1180" s="20" t="n">
        <f aca="false">CONCOR!F160</f>
        <v>1.21343363187652</v>
      </c>
      <c r="E1180" s="20" t="n">
        <f aca="false">CONCOR!G160</f>
        <v>1.20406813340988</v>
      </c>
      <c r="F1180" s="20" t="n">
        <f aca="false">CONCOR!H160</f>
        <v>1.19323760783436</v>
      </c>
      <c r="G1180" s="20" t="n">
        <f aca="false">CONCOR!I160</f>
        <v>1.17809579721599</v>
      </c>
      <c r="H1180" s="20" t="n">
        <f aca="false">CONCOR!J160</f>
        <v>1.17095492344951</v>
      </c>
      <c r="I1180" s="21" t="n">
        <f aca="false">CONCOR!K160</f>
        <v>1.19465390699958</v>
      </c>
      <c r="J1180" s="34" t="str">
        <f aca="false">IF(AND(ISNUMBER(H1180),ISNUMBER(H$1189)),IF(H1180&gt;H$1189,"Above",IF(H1180&lt;H$1189,"Below","At")),"-")</f>
        <v>Below</v>
      </c>
      <c r="K1180" s="34" t="str">
        <f aca="false">IF(J1180="Above","Better",IF(J1180="Below","Weaker","-"))</f>
        <v>Weaker</v>
      </c>
      <c r="L1180" s="34" t="n">
        <f aca="false">IF(ISNUMBER(H1180),RANK(H1180,H$1177:H$1186,0),"-")</f>
        <v>10</v>
      </c>
      <c r="N1180" s="34" t="str">
        <f aca="false">IF(AND(ISNUMBER(I1180),ISNUMBER(I$1189)),IF(I1180&gt;I$1189,"Above",IF(I1180&lt;I$1189,"Below","At")),"-")</f>
        <v>Below</v>
      </c>
      <c r="O1180" s="34" t="str">
        <f aca="false">IF(N1180="Above","Better",IF(N1180="Below","Weaker","-"))</f>
        <v>Weaker</v>
      </c>
    </row>
    <row r="1181" customFormat="false" ht="15" hidden="false" customHeight="false" outlineLevel="0" collapsed="false">
      <c r="A1181" s="18" t="s">
        <v>113</v>
      </c>
      <c r="B1181" s="20" t="n">
        <f aca="false">JetFreight!D160</f>
        <v>4.20979345555814</v>
      </c>
      <c r="C1181" s="20" t="n">
        <f aca="false">JetFreight!E160</f>
        <v>4.79453467388502</v>
      </c>
      <c r="D1181" s="20" t="n">
        <f aca="false">JetFreight!F160</f>
        <v>4.53551198257081</v>
      </c>
      <c r="E1181" s="20" t="n">
        <f aca="false">JetFreight!G160</f>
        <v>3.04664588384713</v>
      </c>
      <c r="F1181" s="20" t="n">
        <f aca="false">JetFreight!H160</f>
        <v>2.60118665811418</v>
      </c>
      <c r="G1181" s="20" t="n">
        <f aca="false">JetFreight!I160</f>
        <v>2.74593543368339</v>
      </c>
      <c r="H1181" s="20" t="n">
        <f aca="false">JetFreight!J160</f>
        <v>2.71150799366268</v>
      </c>
      <c r="I1181" s="21" t="n">
        <f aca="false">JetFreight!K160</f>
        <v>3.52073086876019</v>
      </c>
      <c r="J1181" s="34" t="str">
        <f aca="false">IF(AND(ISNUMBER(H1181),ISNUMBER(H$1189)),IF(H1181&gt;H$1189,"Above",IF(H1181&lt;H$1189,"Below","At")),"-")</f>
        <v>Above</v>
      </c>
      <c r="K1181" s="34" t="str">
        <f aca="false">IF(J1181="Above","Better",IF(J1181="Below","Weaker","-"))</f>
        <v>Better</v>
      </c>
      <c r="L1181" s="34" t="n">
        <f aca="false">IF(ISNUMBER(H1181),RANK(H1181,H$1177:H$1186,0),"-")</f>
        <v>4</v>
      </c>
      <c r="N1181" s="34" t="str">
        <f aca="false">IF(AND(ISNUMBER(I1181),ISNUMBER(I$1189)),IF(I1181&gt;I$1189,"Above",IF(I1181&lt;I$1189,"Below","At")),"-")</f>
        <v>Above</v>
      </c>
      <c r="O1181" s="34" t="str">
        <f aca="false">IF(N1181="Above","Better",IF(N1181="Below","Weaker","-"))</f>
        <v>Better</v>
      </c>
    </row>
    <row r="1182" customFormat="false" ht="15" hidden="false" customHeight="false" outlineLevel="0" collapsed="false">
      <c r="A1182" s="18" t="s">
        <v>114</v>
      </c>
      <c r="B1182" s="20" t="n">
        <f aca="false">Patel!D160</f>
        <v>1.74986847962446</v>
      </c>
      <c r="C1182" s="20" t="n">
        <f aca="false">Patel!E160</f>
        <v>1.67914279652026</v>
      </c>
      <c r="D1182" s="20" t="n">
        <f aca="false">Patel!F160</f>
        <v>1.57922866427228</v>
      </c>
      <c r="E1182" s="20" t="n">
        <f aca="false">Patel!G160</f>
        <v>1.49478612470738</v>
      </c>
      <c r="F1182" s="20" t="n">
        <f aca="false">Patel!H160</f>
        <v>1.53653700109695</v>
      </c>
      <c r="G1182" s="20" t="n">
        <f aca="false">Patel!I160</f>
        <v>1.49450184654965</v>
      </c>
      <c r="H1182" s="20" t="n">
        <f aca="false">Patel!J160</f>
        <v>1.35182315033853</v>
      </c>
      <c r="I1182" s="21" t="n">
        <f aca="false">Patel!K160</f>
        <v>1.5551268661585</v>
      </c>
      <c r="J1182" s="34" t="str">
        <f aca="false">IF(AND(ISNUMBER(H1182),ISNUMBER(H$1189)),IF(H1182&gt;H$1189,"Above",IF(H1182&lt;H$1189,"Below","At")),"-")</f>
        <v>Below</v>
      </c>
      <c r="K1182" s="34" t="str">
        <f aca="false">IF(J1182="Above","Better",IF(J1182="Below","Weaker","-"))</f>
        <v>Weaker</v>
      </c>
      <c r="L1182" s="34" t="n">
        <f aca="false">IF(ISNUMBER(H1182),RANK(H1182,H$1177:H$1186,0),"-")</f>
        <v>9</v>
      </c>
      <c r="N1182" s="34" t="str">
        <f aca="false">IF(AND(ISNUMBER(I1182),ISNUMBER(I$1189)),IF(I1182&gt;I$1189,"Above",IF(I1182&lt;I$1189,"Below","At")),"-")</f>
        <v>Below</v>
      </c>
      <c r="O1182" s="34" t="str">
        <f aca="false">IF(N1182="Above","Better",IF(N1182="Below","Weaker","-"))</f>
        <v>Weaker</v>
      </c>
    </row>
    <row r="1183" customFormat="false" ht="15" hidden="false" customHeight="false" outlineLevel="0" collapsed="false">
      <c r="A1183" s="18" t="s">
        <v>115</v>
      </c>
      <c r="B1183" s="20" t="n">
        <f aca="false">Sical!D160</f>
        <v>5.0410718528944</v>
      </c>
      <c r="C1183" s="20" t="str">
        <f aca="false">Sical!E160</f>
        <v>N/M</v>
      </c>
      <c r="D1183" s="20" t="str">
        <f aca="false">Sical!F160</f>
        <v>N/M</v>
      </c>
      <c r="E1183" s="20" t="str">
        <f aca="false">Sical!G160</f>
        <v>N/M</v>
      </c>
      <c r="F1183" s="20" t="n">
        <f aca="false">Sical!H160</f>
        <v>18.9755593385214</v>
      </c>
      <c r="G1183" s="20" t="n">
        <f aca="false">Sical!I160</f>
        <v>67.9102296450939</v>
      </c>
      <c r="H1183" s="20" t="n">
        <f aca="false">Sical!J160</f>
        <v>13.9554220676573</v>
      </c>
      <c r="I1183" s="21" t="n">
        <f aca="false">Sical!K160</f>
        <v>26.4705707260418</v>
      </c>
      <c r="J1183" s="34" t="str">
        <f aca="false">IF(AND(ISNUMBER(H1183),ISNUMBER(H$1189)),IF(H1183&gt;H$1189,"Above",IF(H1183&lt;H$1189,"Below","At")),"-")</f>
        <v>Above</v>
      </c>
      <c r="K1183" s="34" t="str">
        <f aca="false">IF(J1183="Above","Better",IF(J1183="Below","Weaker","-"))</f>
        <v>Better</v>
      </c>
      <c r="L1183" s="34" t="n">
        <f aca="false">IF(ISNUMBER(H1183),RANK(H1183,H$1177:H$1186,0),"-")</f>
        <v>1</v>
      </c>
      <c r="N1183" s="34" t="str">
        <f aca="false">IF(AND(ISNUMBER(I1183),ISNUMBER(I$1189)),IF(I1183&gt;I$1189,"Above",IF(I1183&lt;I$1189,"Below","At")),"-")</f>
        <v>Above</v>
      </c>
      <c r="O1183" s="34" t="str">
        <f aca="false">IF(N1183="Above","Better",IF(N1183="Below","Weaker","-"))</f>
        <v>Better</v>
      </c>
    </row>
    <row r="1184" customFormat="false" ht="15" hidden="false" customHeight="false" outlineLevel="0" collapsed="false">
      <c r="A1184" s="18" t="s">
        <v>86</v>
      </c>
      <c r="B1184" s="20" t="n">
        <f aca="false">TCI!D160</f>
        <v>1.72209202181799</v>
      </c>
      <c r="C1184" s="20" t="n">
        <f aca="false">TCI!E160</f>
        <v>1.56005196936543</v>
      </c>
      <c r="D1184" s="20" t="n">
        <f aca="false">TCI!F160</f>
        <v>1.37148219800845</v>
      </c>
      <c r="E1184" s="20" t="n">
        <f aca="false">TCI!G160</f>
        <v>1.25410351620494</v>
      </c>
      <c r="F1184" s="20" t="n">
        <f aca="false">TCI!H160</f>
        <v>1.24198445060327</v>
      </c>
      <c r="G1184" s="20" t="n">
        <f aca="false">TCI!I160</f>
        <v>1.30704304604708</v>
      </c>
      <c r="H1184" s="20" t="n">
        <f aca="false">TCI!J160</f>
        <v>1.35908565182577</v>
      </c>
      <c r="I1184" s="21" t="n">
        <f aca="false">TCI!K160</f>
        <v>1.40226326483899</v>
      </c>
      <c r="J1184" s="34" t="str">
        <f aca="false">IF(AND(ISNUMBER(H1184),ISNUMBER(H$1189)),IF(H1184&gt;H$1189,"Above",IF(H1184&lt;H$1189,"Below","At")),"-")</f>
        <v>Below</v>
      </c>
      <c r="K1184" s="34" t="str">
        <f aca="false">IF(J1184="Above","Better",IF(J1184="Below","Weaker","-"))</f>
        <v>Weaker</v>
      </c>
      <c r="L1184" s="34" t="n">
        <f aca="false">IF(ISNUMBER(H1184),RANK(H1184,H$1177:H$1186,0),"-")</f>
        <v>8</v>
      </c>
      <c r="N1184" s="34" t="str">
        <f aca="false">IF(AND(ISNUMBER(I1184),ISNUMBER(I$1189)),IF(I1184&gt;I$1189,"Above",IF(I1184&lt;I$1189,"Below","At")),"-")</f>
        <v>Below</v>
      </c>
      <c r="O1184" s="34" t="str">
        <f aca="false">IF(N1184="Above","Better",IF(N1184="Below","Weaker","-"))</f>
        <v>Weaker</v>
      </c>
    </row>
    <row r="1185" customFormat="false" ht="15" hidden="false" customHeight="false" outlineLevel="0" collapsed="false">
      <c r="A1185" s="18" t="s">
        <v>116</v>
      </c>
      <c r="B1185" s="20" t="n">
        <f aca="false">Shreeji!D160</f>
        <v>3.05869212022746</v>
      </c>
      <c r="C1185" s="20" t="n">
        <f aca="false">Shreeji!E160</f>
        <v>3.26512851649464</v>
      </c>
      <c r="D1185" s="20" t="n">
        <f aca="false">Shreeji!F160</f>
        <v>3.04850746268657</v>
      </c>
      <c r="E1185" s="20" t="n">
        <f aca="false">Shreeji!G160</f>
        <v>2.6635129576306</v>
      </c>
      <c r="F1185" s="20" t="n">
        <f aca="false">Shreeji!H160</f>
        <v>2.32596114096734</v>
      </c>
      <c r="G1185" s="20" t="n">
        <f aca="false">Shreeji!I160</f>
        <v>2.08808657855052</v>
      </c>
      <c r="H1185" s="20" t="n">
        <f aca="false">Shreeji!J160</f>
        <v>2.00624518778339</v>
      </c>
      <c r="I1185" s="21" t="n">
        <f aca="false">Shreeji!K160</f>
        <v>2.63659056633436</v>
      </c>
      <c r="J1185" s="34" t="str">
        <f aca="false">IF(AND(ISNUMBER(H1185),ISNUMBER(H$1189)),IF(H1185&gt;H$1189,"Above",IF(H1185&lt;H$1189,"Below","At")),"-")</f>
        <v>Below</v>
      </c>
      <c r="K1185" s="34" t="str">
        <f aca="false">IF(J1185="Above","Better",IF(J1185="Below","Weaker","-"))</f>
        <v>Weaker</v>
      </c>
      <c r="L1185" s="34" t="n">
        <f aca="false">IF(ISNUMBER(H1185),RANK(H1185,H$1177:H$1186,0),"-")</f>
        <v>6</v>
      </c>
      <c r="N1185" s="34" t="str">
        <f aca="false">IF(AND(ISNUMBER(I1185),ISNUMBER(I$1189)),IF(I1185&gt;I$1189,"Above",IF(I1185&lt;I$1189,"Below","At")),"-")</f>
        <v>Below</v>
      </c>
      <c r="O1185" s="34" t="str">
        <f aca="false">IF(N1185="Above","Better",IF(N1185="Below","Weaker","-"))</f>
        <v>Weaker</v>
      </c>
    </row>
    <row r="1186" customFormat="false" ht="15" hidden="false" customHeight="false" outlineLevel="0" collapsed="false">
      <c r="A1186" s="18" t="s">
        <v>117</v>
      </c>
      <c r="B1186" s="20" t="n">
        <f aca="false">MahindraLog!D160</f>
        <v>2.51896209498787</v>
      </c>
      <c r="C1186" s="20" t="n">
        <f aca="false">MahindraLog!E160</f>
        <v>2.7938726173037</v>
      </c>
      <c r="D1186" s="20" t="n">
        <f aca="false">MahindraLog!F160</f>
        <v>3.28599242736914</v>
      </c>
      <c r="E1186" s="20" t="n">
        <f aca="false">MahindraLog!G160</f>
        <v>4.08643234219194</v>
      </c>
      <c r="F1186" s="20" t="n">
        <f aca="false">MahindraLog!H160</f>
        <v>4.77179501773958</v>
      </c>
      <c r="G1186" s="20" t="n">
        <f aca="false">MahindraLog!I160</f>
        <v>5.43451389262106</v>
      </c>
      <c r="H1186" s="20" t="n">
        <f aca="false">MahindraLog!J160</f>
        <v>3.524493693649</v>
      </c>
      <c r="I1186" s="21" t="n">
        <f aca="false">MahindraLog!K160</f>
        <v>3.77372315512318</v>
      </c>
      <c r="J1186" s="34" t="str">
        <f aca="false">IF(AND(ISNUMBER(H1186),ISNUMBER(H$1189)),IF(H1186&gt;H$1189,"Above",IF(H1186&lt;H$1189,"Below","At")),"-")</f>
        <v>Above</v>
      </c>
      <c r="K1186" s="34" t="str">
        <f aca="false">IF(J1186="Above","Better",IF(J1186="Below","Weaker","-"))</f>
        <v>Better</v>
      </c>
      <c r="L1186" s="34" t="n">
        <f aca="false">IF(ISNUMBER(H1186),RANK(H1186,H$1177:H$1186,0),"-")</f>
        <v>2</v>
      </c>
      <c r="N1186" s="34" t="str">
        <f aca="false">IF(AND(ISNUMBER(I1186),ISNUMBER(I$1189)),IF(I1186&gt;I$1189,"Above",IF(I1186&lt;I$1189,"Below","At")),"-")</f>
        <v>Above</v>
      </c>
      <c r="O1186" s="34" t="str">
        <f aca="false">IF(N1186="Above","Better",IF(N1186="Below","Weaker","-"))</f>
        <v>Better</v>
      </c>
    </row>
    <row r="1187" customFormat="false" ht="15" hidden="false" customHeight="false" outlineLevel="0" collapsed="false">
      <c r="A1187" s="12" t="s">
        <v>176</v>
      </c>
      <c r="B1187" s="21" t="n">
        <f aca="false">Industry!D160</f>
        <v>1.68424551870516</v>
      </c>
      <c r="C1187" s="21" t="n">
        <f aca="false">Industry!E160</f>
        <v>1.85404544608888</v>
      </c>
      <c r="D1187" s="21" t="n">
        <f aca="false">Industry!F160</f>
        <v>1.95708916647409</v>
      </c>
      <c r="E1187" s="21" t="n">
        <f aca="false">Industry!G160</f>
        <v>1.80381990841672</v>
      </c>
      <c r="F1187" s="21" t="n">
        <f aca="false">Industry!H160</f>
        <v>1.67260688342512</v>
      </c>
      <c r="G1187" s="21" t="n">
        <f aca="false">Industry!I160</f>
        <v>1.60707293182706</v>
      </c>
      <c r="H1187" s="21" t="n">
        <f aca="false">Industry!J160</f>
        <v>1.51628816879644</v>
      </c>
      <c r="I1187" s="21" t="n">
        <f aca="false">Industry!K160</f>
        <v>1.72788114624764</v>
      </c>
    </row>
    <row r="1188" customFormat="false" ht="15" hidden="false" customHeight="false" outlineLevel="0" collapsed="false">
      <c r="A1188" s="35" t="s">
        <v>177</v>
      </c>
      <c r="B1188" s="37" t="n">
        <f aca="false">IFERROR(AVERAGE(B1177:B1186),"N/M")</f>
        <v>2.78492904115721</v>
      </c>
      <c r="C1188" s="37" t="n">
        <f aca="false">IFERROR(AVERAGE(C1177:C1186),"N/M")</f>
        <v>2.80524663412353</v>
      </c>
      <c r="D1188" s="37" t="n">
        <f aca="false">IFERROR(AVERAGE(D1177:D1186),"N/M")</f>
        <v>2.64602927969435</v>
      </c>
      <c r="E1188" s="37" t="n">
        <f aca="false">IFERROR(AVERAGE(E1177:E1186),"N/M")</f>
        <v>2.3239757245168</v>
      </c>
      <c r="F1188" s="37" t="n">
        <f aca="false">IFERROR(AVERAGE(F1177:F1186),"N/M")</f>
        <v>3.92304052441956</v>
      </c>
      <c r="G1188" s="37" t="n">
        <f aca="false">IFERROR(AVERAGE(G1177:G1186),"N/M")</f>
        <v>8.88422360506833</v>
      </c>
      <c r="H1188" s="37" t="n">
        <f aca="false">IFERROR(AVERAGE(H1177:H1186),"N/M")</f>
        <v>3.30118874094337</v>
      </c>
      <c r="I1188" s="37" t="n">
        <f aca="false">IFERROR(AVERAGE(I1177:I1186),"N/M")</f>
        <v>4.83318280055746</v>
      </c>
    </row>
    <row r="1189" customFormat="false" ht="15" hidden="false" customHeight="false" outlineLevel="0" collapsed="false">
      <c r="A1189" s="35" t="s">
        <v>178</v>
      </c>
      <c r="B1189" s="37" t="n">
        <f aca="false">IFERROR(MEDIAN(B1177:B1186),"N/M")</f>
        <v>2.37123813161547</v>
      </c>
      <c r="C1189" s="37" t="n">
        <f aca="false">IFERROR(MEDIAN(C1177:C1186),"N/M")</f>
        <v>2.7938726173037</v>
      </c>
      <c r="D1189" s="37" t="n">
        <f aca="false">IFERROR(MEDIAN(D1177:D1186),"N/M")</f>
        <v>3.04850746268657</v>
      </c>
      <c r="E1189" s="37" t="n">
        <f aca="false">IFERROR(MEDIAN(E1177:E1186),"N/M")</f>
        <v>2.6635129576306</v>
      </c>
      <c r="F1189" s="37" t="n">
        <f aca="false">IFERROR(MEDIAN(F1177:F1186),"N/M")</f>
        <v>2.46357389954076</v>
      </c>
      <c r="G1189" s="37" t="n">
        <f aca="false">IFERROR(MEDIAN(G1177:G1186),"N/M")</f>
        <v>2.26121781965652</v>
      </c>
      <c r="H1189" s="37" t="n">
        <f aca="false">IFERROR(MEDIAN(H1177:H1186),"N/M")</f>
        <v>2.17067558606465</v>
      </c>
      <c r="I1189" s="37" t="n">
        <f aca="false">IFERROR(MEDIAN(I1177:I1186),"N/M")</f>
        <v>2.72125033513631</v>
      </c>
    </row>
    <row r="1190" customFormat="false" ht="15" hidden="false" customHeight="false" outlineLevel="0" collapsed="false">
      <c r="A1190" s="35" t="s">
        <v>179</v>
      </c>
      <c r="B1190" s="37" t="n">
        <f aca="false">IFERROR(STDEV(B1177:B1186),"N/M")</f>
        <v>1.28560550181904</v>
      </c>
      <c r="C1190" s="37" t="n">
        <f aca="false">IFERROR(STDEV(C1177:C1186),"N/M")</f>
        <v>1.39499647638108</v>
      </c>
      <c r="D1190" s="37" t="n">
        <f aca="false">IFERROR(STDEV(D1177:D1186),"N/M")</f>
        <v>1.20165948321187</v>
      </c>
      <c r="E1190" s="37" t="n">
        <f aca="false">IFERROR(STDEV(E1177:E1186),"N/M")</f>
        <v>1.01981170586538</v>
      </c>
      <c r="F1190" s="37" t="n">
        <f aca="false">IFERROR(STDEV(F1177:F1186),"N/M")</f>
        <v>5.39753770185748</v>
      </c>
      <c r="G1190" s="37" t="n">
        <f aca="false">IFERROR(STDEV(G1177:G1186),"N/M")</f>
        <v>20.7776274213386</v>
      </c>
      <c r="H1190" s="37" t="n">
        <f aca="false">IFERROR(STDEV(H1177:H1186),"N/M")</f>
        <v>3.82683604477385</v>
      </c>
      <c r="I1190" s="37" t="n">
        <f aca="false">IFERROR(STDEV(I1177:I1186),"N/M")</f>
        <v>7.66133852680661</v>
      </c>
    </row>
    <row r="1191" customFormat="false" ht="15" hidden="false" customHeight="false" outlineLevel="0" collapsed="false">
      <c r="A1191" s="35" t="s">
        <v>102</v>
      </c>
      <c r="B1191" s="37" t="n">
        <f aca="false">IFERROR(MIN(B1177:B1186),"N/M")</f>
        <v>1.20678174747503</v>
      </c>
      <c r="C1191" s="37" t="n">
        <f aca="false">IFERROR(MIN(C1177:C1186),"N/M")</f>
        <v>1.19600550773574</v>
      </c>
      <c r="D1191" s="37" t="n">
        <f aca="false">IFERROR(MIN(D1177:D1186),"N/M")</f>
        <v>1.21343363187652</v>
      </c>
      <c r="E1191" s="37" t="n">
        <f aca="false">IFERROR(MIN(E1177:E1186),"N/M")</f>
        <v>1.20406813340988</v>
      </c>
      <c r="F1191" s="37" t="n">
        <f aca="false">IFERROR(MIN(F1177:F1186),"N/M")</f>
        <v>1.19323760783436</v>
      </c>
      <c r="G1191" s="37" t="n">
        <f aca="false">IFERROR(MIN(G1177:G1186),"N/M")</f>
        <v>1.17809579721599</v>
      </c>
      <c r="H1191" s="37" t="n">
        <f aca="false">IFERROR(MIN(H1177:H1186),"N/M")</f>
        <v>1.17095492344951</v>
      </c>
      <c r="I1191" s="37" t="n">
        <f aca="false">IFERROR(MIN(I1177:I1186),"N/M")</f>
        <v>1.19465390699958</v>
      </c>
    </row>
    <row r="1192" customFormat="false" ht="15" hidden="false" customHeight="false" outlineLevel="0" collapsed="false">
      <c r="A1192" s="35" t="s">
        <v>103</v>
      </c>
      <c r="B1192" s="37" t="n">
        <f aca="false">IFERROR(MAX(B1177:B1186),"N/M")</f>
        <v>5.0410718528944</v>
      </c>
      <c r="C1192" s="37" t="n">
        <f aca="false">IFERROR(MAX(C1177:C1186),"N/M")</f>
        <v>5.11476832996241</v>
      </c>
      <c r="D1192" s="37" t="n">
        <f aca="false">IFERROR(MAX(D1177:D1186),"N/M")</f>
        <v>4.53551198257081</v>
      </c>
      <c r="E1192" s="37" t="n">
        <f aca="false">IFERROR(MAX(E1177:E1186),"N/M")</f>
        <v>4.08643234219194</v>
      </c>
      <c r="F1192" s="37" t="n">
        <f aca="false">IFERROR(MAX(F1177:F1186),"N/M")</f>
        <v>18.9755593385214</v>
      </c>
      <c r="G1192" s="37" t="n">
        <f aca="false">IFERROR(MAX(G1177:G1186),"N/M")</f>
        <v>67.9102296450939</v>
      </c>
      <c r="H1192" s="37" t="n">
        <f aca="false">IFERROR(MAX(H1177:H1186),"N/M")</f>
        <v>13.9554220676573</v>
      </c>
      <c r="I1192" s="37" t="n">
        <f aca="false">IFERROR(MAX(I1177:I1186),"N/M")</f>
        <v>26.4705707260418</v>
      </c>
    </row>
    <row r="1194" customFormat="false" ht="15" hidden="false" customHeight="false" outlineLevel="0" collapsed="false">
      <c r="A1194" s="16" t="s">
        <v>246</v>
      </c>
      <c r="B1194" s="17"/>
      <c r="C1194" s="17"/>
      <c r="D1194" s="17"/>
      <c r="E1194" s="17"/>
      <c r="F1194" s="17"/>
      <c r="G1194" s="17"/>
      <c r="H1194" s="17"/>
      <c r="I1194" s="17"/>
      <c r="J1194" s="17"/>
      <c r="K1194" s="17"/>
      <c r="L1194" s="17"/>
      <c r="M1194" s="17"/>
    </row>
    <row r="1195" customFormat="false" ht="15" hidden="false" customHeight="false" outlineLevel="0" collapsed="false">
      <c r="A1195" s="18" t="s">
        <v>110</v>
      </c>
      <c r="B1195" s="23" t="n">
        <f aca="false">Tiger!D161</f>
        <v>-0.209347697005683</v>
      </c>
      <c r="C1195" s="23" t="n">
        <f aca="false">Tiger!E161</f>
        <v>-0.262357414448669</v>
      </c>
      <c r="D1195" s="23" t="n">
        <f aca="false">Tiger!F161</f>
        <v>0.577785413624259</v>
      </c>
      <c r="E1195" s="23" t="n">
        <f aca="false">Tiger!G161</f>
        <v>0.269789608276183</v>
      </c>
      <c r="F1195" s="23" t="n">
        <f aca="false">Tiger!H161</f>
        <v>0.12434040103617</v>
      </c>
      <c r="G1195" s="23" t="n">
        <f aca="false">Tiger!I161</f>
        <v>0.21683458435355</v>
      </c>
      <c r="H1195" s="23" t="n">
        <f aca="false">Tiger!J161</f>
        <v>0.144293951991417</v>
      </c>
      <c r="I1195" s="24" t="n">
        <f aca="false">Tiger!K161</f>
        <v>0.123048406832461</v>
      </c>
      <c r="J1195" s="34" t="str">
        <f aca="false">IF(AND(ISNUMBER(H1195),ISNUMBER(H$1207)),IF(H1195&gt;H$1207,"Above",IF(H1195&lt;H$1207,"Below","At")),"-")</f>
        <v>Above</v>
      </c>
      <c r="K1195" s="34" t="str">
        <f aca="false">IF(J1195="Above","Better",IF(J1195="Below","Weaker","-"))</f>
        <v>Better</v>
      </c>
      <c r="L1195" s="34" t="n">
        <f aca="false">IF(ISNUMBER(H1195),RANK(H1195,H$1195:H$1204,0),"-")</f>
        <v>4</v>
      </c>
      <c r="N1195" s="34" t="str">
        <f aca="false">IF(AND(ISNUMBER(I1195),ISNUMBER(I$1207)),IF(I1195&gt;I$1207,"Above",IF(I1195&lt;I$1207,"Below","At")),"-")</f>
        <v>Above</v>
      </c>
      <c r="O1195" s="34" t="str">
        <f aca="false">IF(N1195="Above","Better",IF(N1195="Below","Weaker","-"))</f>
        <v>Better</v>
      </c>
    </row>
    <row r="1196" customFormat="false" ht="15" hidden="false" customHeight="false" outlineLevel="0" collapsed="false">
      <c r="A1196" s="18" t="s">
        <v>111</v>
      </c>
      <c r="B1196" s="23" t="n">
        <f aca="false">Allcargo!D161</f>
        <v>0.107613017797166</v>
      </c>
      <c r="C1196" s="23" t="n">
        <f aca="false">Allcargo!E161</f>
        <v>0.0780720846014215</v>
      </c>
      <c r="D1196" s="23" t="n">
        <f aca="false">Allcargo!F161</f>
        <v>0.340006978495216</v>
      </c>
      <c r="E1196" s="23" t="n">
        <f aca="false">Allcargo!G161</f>
        <v>0.210706863142112</v>
      </c>
      <c r="F1196" s="23" t="n">
        <f aca="false">Allcargo!H161</f>
        <v>0.0561110226112053</v>
      </c>
      <c r="G1196" s="23" t="n">
        <f aca="false">Allcargo!I161</f>
        <v>0.0421581058687326</v>
      </c>
      <c r="H1196" s="23" t="n">
        <f aca="false">Allcargo!J161</f>
        <v>0.0140845070422535</v>
      </c>
      <c r="I1196" s="24" t="n">
        <f aca="false">Allcargo!K161</f>
        <v>0.121250368508301</v>
      </c>
      <c r="J1196" s="34" t="str">
        <f aca="false">IF(AND(ISNUMBER(H1196),ISNUMBER(H$1207)),IF(H1196&gt;H$1207,"Above",IF(H1196&lt;H$1207,"Below","At")),"-")</f>
        <v>Below</v>
      </c>
      <c r="K1196" s="34" t="str">
        <f aca="false">IF(J1196="Above","Better",IF(J1196="Below","Weaker","-"))</f>
        <v>Weaker</v>
      </c>
      <c r="L1196" s="34" t="n">
        <f aca="false">IF(ISNUMBER(H1196),RANK(H1196,H$1195:H$1204,0),"-")</f>
        <v>9</v>
      </c>
      <c r="N1196" s="34" t="str">
        <f aca="false">IF(AND(ISNUMBER(I1196),ISNUMBER(I$1207)),IF(I1196&gt;I$1207,"Above",IF(I1196&lt;I$1207,"Below","At")),"-")</f>
        <v>Above</v>
      </c>
      <c r="O1196" s="34" t="str">
        <f aca="false">IF(N1196="Above","Better",IF(N1196="Below","Weaker","-"))</f>
        <v>Better</v>
      </c>
    </row>
    <row r="1197" customFormat="false" ht="15" hidden="false" customHeight="false" outlineLevel="0" collapsed="false">
      <c r="A1197" s="18" t="s">
        <v>112</v>
      </c>
      <c r="B1197" s="23" t="n">
        <f aca="false">BlueDart!D161</f>
        <v>-0.0783491647559777</v>
      </c>
      <c r="C1197" s="23" t="n">
        <f aca="false">BlueDart!E161</f>
        <v>0.188051238005523</v>
      </c>
      <c r="D1197" s="23" t="n">
        <f aca="false">BlueDart!F161</f>
        <v>0.522162642166741</v>
      </c>
      <c r="E1197" s="23" t="n">
        <f aca="false">BlueDart!G161</f>
        <v>0.361219565694231</v>
      </c>
      <c r="F1197" s="23" t="n">
        <f aca="false">BlueDart!H161</f>
        <v>0.236380127452559</v>
      </c>
      <c r="G1197" s="23" t="n">
        <f aca="false">BlueDart!I161</f>
        <v>0.172517607498864</v>
      </c>
      <c r="H1197" s="23" t="n">
        <f aca="false">BlueDart!J161</f>
        <v>0.14832112762188</v>
      </c>
      <c r="I1197" s="24" t="n">
        <f aca="false">BlueDart!K161</f>
        <v>0.221471877669117</v>
      </c>
      <c r="J1197" s="34" t="str">
        <f aca="false">IF(AND(ISNUMBER(H1197),ISNUMBER(H$1207)),IF(H1197&gt;H$1207,"Above",IF(H1197&lt;H$1207,"Below","At")),"-")</f>
        <v>Above</v>
      </c>
      <c r="K1197" s="34" t="str">
        <f aca="false">IF(J1197="Above","Better",IF(J1197="Below","Weaker","-"))</f>
        <v>Better</v>
      </c>
      <c r="L1197" s="34" t="n">
        <f aca="false">IF(ISNUMBER(H1197),RANK(H1197,H$1195:H$1204,0),"-")</f>
        <v>3</v>
      </c>
      <c r="N1197" s="34" t="str">
        <f aca="false">IF(AND(ISNUMBER(I1197),ISNUMBER(I$1207)),IF(I1197&gt;I$1207,"Above",IF(I1197&lt;I$1207,"Below","At")),"-")</f>
        <v>Above</v>
      </c>
      <c r="O1197" s="34" t="str">
        <f aca="false">IF(N1197="Above","Better",IF(N1197="Below","Weaker","-"))</f>
        <v>Better</v>
      </c>
    </row>
    <row r="1198" customFormat="false" ht="15" hidden="false" customHeight="false" outlineLevel="0" collapsed="false">
      <c r="A1198" s="18" t="s">
        <v>67</v>
      </c>
      <c r="B1198" s="23" t="n">
        <f aca="false">CONCOR!D161</f>
        <v>0.0396122219489916</v>
      </c>
      <c r="C1198" s="23" t="n">
        <f aca="false">CONCOR!E161</f>
        <v>0.049943262018765</v>
      </c>
      <c r="D1198" s="23" t="n">
        <f aca="false">CONCOR!F161</f>
        <v>0.100762027636215</v>
      </c>
      <c r="E1198" s="23" t="n">
        <f aca="false">CONCOR!G161</f>
        <v>0.106804879358081</v>
      </c>
      <c r="F1198" s="23" t="n">
        <f aca="false">CONCOR!H161</f>
        <v>0.109382348398472</v>
      </c>
      <c r="G1198" s="23" t="n">
        <f aca="false">CONCOR!I161</f>
        <v>0.106591827114354</v>
      </c>
      <c r="H1198" s="23" t="n">
        <f aca="false">CONCOR!J161</f>
        <v>0.098073710077591</v>
      </c>
      <c r="I1198" s="24" t="n">
        <f aca="false">CONCOR!K161</f>
        <v>0.0873100395074957</v>
      </c>
      <c r="J1198" s="34" t="str">
        <f aca="false">IF(AND(ISNUMBER(H1198),ISNUMBER(H$1207)),IF(H1198&gt;H$1207,"Above",IF(H1198&lt;H$1207,"Below","At")),"-")</f>
        <v>Above</v>
      </c>
      <c r="K1198" s="34" t="str">
        <f aca="false">IF(J1198="Above","Better",IF(J1198="Below","Weaker","-"))</f>
        <v>Better</v>
      </c>
      <c r="L1198" s="34" t="n">
        <f aca="false">IF(ISNUMBER(H1198),RANK(H1198,H$1195:H$1204,0),"-")</f>
        <v>5</v>
      </c>
      <c r="N1198" s="34" t="str">
        <f aca="false">IF(AND(ISNUMBER(I1198),ISNUMBER(I$1207)),IF(I1198&gt;I$1207,"Above",IF(I1198&lt;I$1207,"Below","At")),"-")</f>
        <v>Below</v>
      </c>
      <c r="O1198" s="34" t="str">
        <f aca="false">IF(N1198="Above","Better",IF(N1198="Below","Weaker","-"))</f>
        <v>Weaker</v>
      </c>
    </row>
    <row r="1199" customFormat="false" ht="15" hidden="false" customHeight="false" outlineLevel="0" collapsed="false">
      <c r="A1199" s="18" t="s">
        <v>113</v>
      </c>
      <c r="B1199" s="23" t="n">
        <f aca="false">JetFreight!D161</f>
        <v>-0.397772104896728</v>
      </c>
      <c r="C1199" s="23" t="n">
        <f aca="false">JetFreight!E161</f>
        <v>0.129414797628255</v>
      </c>
      <c r="D1199" s="23" t="n">
        <f aca="false">JetFreight!F161</f>
        <v>0.122875816993464</v>
      </c>
      <c r="E1199" s="23" t="n">
        <f aca="false">JetFreight!G161</f>
        <v>0.00138552130239002</v>
      </c>
      <c r="F1199" s="23" t="n">
        <f aca="false">JetFreight!H161</f>
        <v>0.00416933932007697</v>
      </c>
      <c r="G1199" s="23" t="n">
        <f aca="false">JetFreight!I161</f>
        <v>0.0580318942045897</v>
      </c>
      <c r="H1199" s="23" t="n">
        <f aca="false">JetFreight!J161</f>
        <v>0.0979403715972922</v>
      </c>
      <c r="I1199" s="24" t="n">
        <f aca="false">JetFreight!K161</f>
        <v>0.00229223373561997</v>
      </c>
      <c r="J1199" s="34" t="str">
        <f aca="false">IF(AND(ISNUMBER(H1199),ISNUMBER(H$1207)),IF(H1199&gt;H$1207,"Above",IF(H1199&lt;H$1207,"Below","At")),"-")</f>
        <v>Below</v>
      </c>
      <c r="K1199" s="34" t="str">
        <f aca="false">IF(J1199="Above","Better",IF(J1199="Below","Weaker","-"))</f>
        <v>Weaker</v>
      </c>
      <c r="L1199" s="34" t="n">
        <f aca="false">IF(ISNUMBER(H1199),RANK(H1199,H$1195:H$1204,0),"-")</f>
        <v>6</v>
      </c>
      <c r="N1199" s="34" t="str">
        <f aca="false">IF(AND(ISNUMBER(I1199),ISNUMBER(I$1207)),IF(I1199&gt;I$1207,"Above",IF(I1199&lt;I$1207,"Below","At")),"-")</f>
        <v>Below</v>
      </c>
      <c r="O1199" s="34" t="str">
        <f aca="false">IF(N1199="Above","Better",IF(N1199="Below","Weaker","-"))</f>
        <v>Weaker</v>
      </c>
    </row>
    <row r="1200" customFormat="false" ht="15" hidden="false" customHeight="false" outlineLevel="0" collapsed="false">
      <c r="A1200" s="18" t="s">
        <v>114</v>
      </c>
      <c r="B1200" s="23" t="n">
        <f aca="false">Patel!D161</f>
        <v>0.0869248512808061</v>
      </c>
      <c r="C1200" s="23" t="n">
        <f aca="false">Patel!E161</f>
        <v>0.000424358158285593</v>
      </c>
      <c r="D1200" s="23" t="n">
        <f aca="false">Patel!F161</f>
        <v>0.0194116641012485</v>
      </c>
      <c r="E1200" s="23" t="n">
        <f aca="false">Patel!G161</f>
        <v>0.0417110023409236</v>
      </c>
      <c r="F1200" s="23" t="n">
        <f aca="false">Patel!H161</f>
        <v>0.0467471099485276</v>
      </c>
      <c r="G1200" s="23" t="n">
        <f aca="false">Patel!I161</f>
        <v>0.063073156562513</v>
      </c>
      <c r="H1200" s="23" t="n">
        <f aca="false">Patel!J161</f>
        <v>0.0783098131984664</v>
      </c>
      <c r="I1200" s="24" t="n">
        <f aca="false">Patel!K161</f>
        <v>0.0480859936558244</v>
      </c>
      <c r="J1200" s="34" t="str">
        <f aca="false">IF(AND(ISNUMBER(H1200),ISNUMBER(H$1207)),IF(H1200&gt;H$1207,"Above",IF(H1200&lt;H$1207,"Below","At")),"-")</f>
        <v>Below</v>
      </c>
      <c r="K1200" s="34" t="str">
        <f aca="false">IF(J1200="Above","Better",IF(J1200="Below","Weaker","-"))</f>
        <v>Weaker</v>
      </c>
      <c r="L1200" s="34" t="n">
        <f aca="false">IF(ISNUMBER(H1200),RANK(H1200,H$1195:H$1204,0),"-")</f>
        <v>7</v>
      </c>
      <c r="N1200" s="34" t="str">
        <f aca="false">IF(AND(ISNUMBER(I1200),ISNUMBER(I$1207)),IF(I1200&gt;I$1207,"Above",IF(I1200&lt;I$1207,"Below","At")),"-")</f>
        <v>Below</v>
      </c>
      <c r="O1200" s="34" t="str">
        <f aca="false">IF(N1200="Above","Better",IF(N1200="Below","Weaker","-"))</f>
        <v>Weaker</v>
      </c>
    </row>
    <row r="1201" customFormat="false" ht="15" hidden="false" customHeight="false" outlineLevel="0" collapsed="false">
      <c r="A1201" s="18" t="s">
        <v>115</v>
      </c>
      <c r="B1201" s="23" t="n">
        <f aca="false">Sical!D161</f>
        <v>-0.19565336599097</v>
      </c>
      <c r="C1201" s="23" t="str">
        <f aca="false">Sical!E161</f>
        <v>N/M</v>
      </c>
      <c r="D1201" s="23" t="str">
        <f aca="false">Sical!F161</f>
        <v>N/M</v>
      </c>
      <c r="E1201" s="23" t="str">
        <f aca="false">Sical!G161</f>
        <v>N/M</v>
      </c>
      <c r="F1201" s="23" t="n">
        <f aca="false">Sical!H161</f>
        <v>-0.687986381322957</v>
      </c>
      <c r="G1201" s="23" t="n">
        <f aca="false">Sical!I161</f>
        <v>-2.15699373695198</v>
      </c>
      <c r="H1201" s="23" t="n">
        <f aca="false">Sical!J161</f>
        <v>0.779007271577616</v>
      </c>
      <c r="I1201" s="24" t="n">
        <f aca="false">Sical!K161</f>
        <v>-0.565406553172074</v>
      </c>
      <c r="J1201" s="34" t="str">
        <f aca="false">IF(AND(ISNUMBER(H1201),ISNUMBER(H$1207)),IF(H1201&gt;H$1207,"Above",IF(H1201&lt;H$1207,"Below","At")),"-")</f>
        <v>Above</v>
      </c>
      <c r="K1201" s="34" t="str">
        <f aca="false">IF(J1201="Above","Better",IF(J1201="Below","Weaker","-"))</f>
        <v>Better</v>
      </c>
      <c r="L1201" s="34" t="n">
        <f aca="false">IF(ISNUMBER(H1201),RANK(H1201,H$1195:H$1204,0),"-")</f>
        <v>1</v>
      </c>
      <c r="N1201" s="34" t="str">
        <f aca="false">IF(AND(ISNUMBER(I1201),ISNUMBER(I$1207)),IF(I1201&gt;I$1207,"Above",IF(I1201&lt;I$1207,"Below","At")),"-")</f>
        <v>Below</v>
      </c>
      <c r="O1201" s="34" t="str">
        <f aca="false">IF(N1201="Above","Better",IF(N1201="Below","Weaker","-"))</f>
        <v>Weaker</v>
      </c>
    </row>
    <row r="1202" customFormat="false" ht="15" hidden="false" customHeight="false" outlineLevel="0" collapsed="false">
      <c r="A1202" s="18" t="s">
        <v>86</v>
      </c>
      <c r="B1202" s="23" t="n">
        <f aca="false">TCI!D161</f>
        <v>0.148612887230211</v>
      </c>
      <c r="C1202" s="23" t="n">
        <f aca="false">TCI!E161</f>
        <v>0.134144784828592</v>
      </c>
      <c r="D1202" s="23" t="n">
        <f aca="false">TCI!F161</f>
        <v>0.222777779914538</v>
      </c>
      <c r="E1202" s="23" t="n">
        <f aca="false">TCI!G161</f>
        <v>0.202639149188875</v>
      </c>
      <c r="F1202" s="23" t="n">
        <f aca="false">TCI!H161</f>
        <v>0.189334549507369</v>
      </c>
      <c r="G1202" s="23" t="n">
        <f aca="false">TCI!I161</f>
        <v>0.198327790562621</v>
      </c>
      <c r="H1202" s="23" t="n">
        <f aca="false">TCI!J161</f>
        <v>0.193295966310367</v>
      </c>
      <c r="I1202" s="24" t="n">
        <f aca="false">TCI!K161</f>
        <v>0.184161843934653</v>
      </c>
      <c r="J1202" s="34" t="str">
        <f aca="false">IF(AND(ISNUMBER(H1202),ISNUMBER(H$1207)),IF(H1202&gt;H$1207,"Above",IF(H1202&lt;H$1207,"Below","At")),"-")</f>
        <v>Above</v>
      </c>
      <c r="K1202" s="34" t="str">
        <f aca="false">IF(J1202="Above","Better",IF(J1202="Below","Weaker","-"))</f>
        <v>Better</v>
      </c>
      <c r="L1202" s="34" t="n">
        <f aca="false">IF(ISNUMBER(H1202),RANK(H1202,H$1195:H$1204,0),"-")</f>
        <v>2</v>
      </c>
      <c r="N1202" s="34" t="str">
        <f aca="false">IF(AND(ISNUMBER(I1202),ISNUMBER(I$1207)),IF(I1202&gt;I$1207,"Above",IF(I1202&lt;I$1207,"Below","At")),"-")</f>
        <v>Above</v>
      </c>
      <c r="O1202" s="34" t="str">
        <f aca="false">IF(N1202="Above","Better",IF(N1202="Below","Weaker","-"))</f>
        <v>Better</v>
      </c>
    </row>
    <row r="1203" customFormat="false" ht="15" hidden="false" customHeight="false" outlineLevel="0" collapsed="false">
      <c r="A1203" s="18" t="s">
        <v>116</v>
      </c>
      <c r="B1203" s="23" t="n">
        <f aca="false">Shreeji!D161</f>
        <v>0.0597075548334687</v>
      </c>
      <c r="C1203" s="23" t="n">
        <f aca="false">Shreeji!E161</f>
        <v>-0.044120623355596</v>
      </c>
      <c r="D1203" s="23" t="n">
        <f aca="false">Shreeji!F161</f>
        <v>0.314498933901919</v>
      </c>
      <c r="E1203" s="23" t="n">
        <f aca="false">Shreeji!G161</f>
        <v>0.265460030165913</v>
      </c>
      <c r="F1203" s="23" t="n">
        <f aca="false">Shreeji!H161</f>
        <v>0.336502687060769</v>
      </c>
      <c r="G1203" s="23" t="n">
        <f aca="false">Shreeji!I161</f>
        <v>0.0271445045684379</v>
      </c>
      <c r="H1203" s="23" t="n">
        <f aca="false">Shreeji!J161</f>
        <v>0.054067927110959</v>
      </c>
      <c r="I1203" s="24" t="n">
        <f aca="false">Shreeji!K161</f>
        <v>0.14475157346941</v>
      </c>
      <c r="J1203" s="34" t="str">
        <f aca="false">IF(AND(ISNUMBER(H1203),ISNUMBER(H$1207)),IF(H1203&gt;H$1207,"Above",IF(H1203&lt;H$1207,"Below","At")),"-")</f>
        <v>Below</v>
      </c>
      <c r="K1203" s="34" t="str">
        <f aca="false">IF(J1203="Above","Better",IF(J1203="Below","Weaker","-"))</f>
        <v>Weaker</v>
      </c>
      <c r="L1203" s="34" t="n">
        <f aca="false">IF(ISNUMBER(H1203),RANK(H1203,H$1195:H$1204,0),"-")</f>
        <v>8</v>
      </c>
      <c r="N1203" s="34" t="str">
        <f aca="false">IF(AND(ISNUMBER(I1203),ISNUMBER(I$1207)),IF(I1203&gt;I$1207,"Above",IF(I1203&lt;I$1207,"Below","At")),"-")</f>
        <v>Above</v>
      </c>
      <c r="O1203" s="34" t="str">
        <f aca="false">IF(N1203="Above","Better",IF(N1203="Below","Weaker","-"))</f>
        <v>Better</v>
      </c>
    </row>
    <row r="1204" customFormat="false" ht="15" hidden="false" customHeight="false" outlineLevel="0" collapsed="false">
      <c r="A1204" s="18" t="s">
        <v>117</v>
      </c>
      <c r="B1204" s="23" t="n">
        <f aca="false">MahindraLog!D161</f>
        <v>0.105708285788257</v>
      </c>
      <c r="C1204" s="23" t="n">
        <f aca="false">MahindraLog!E161</f>
        <v>0.0539224056582578</v>
      </c>
      <c r="D1204" s="23" t="n">
        <f aca="false">MahindraLog!F161</f>
        <v>0.0315107578014248</v>
      </c>
      <c r="E1204" s="23" t="n">
        <f aca="false">MahindraLog!G161</f>
        <v>0.047430402021387</v>
      </c>
      <c r="F1204" s="23" t="n">
        <f aca="false">MahindraLog!H161</f>
        <v>-0.103857172671562</v>
      </c>
      <c r="G1204" s="23" t="n">
        <f aca="false">MahindraLog!I161</f>
        <v>-0.077067770194013</v>
      </c>
      <c r="H1204" s="23" t="n">
        <f aca="false">MahindraLog!J161</f>
        <v>0.00284002827626406</v>
      </c>
      <c r="I1204" s="24" t="n">
        <f aca="false">MahindraLog!K161</f>
        <v>0.00864099095428805</v>
      </c>
      <c r="J1204" s="34" t="str">
        <f aca="false">IF(AND(ISNUMBER(H1204),ISNUMBER(H$1207)),IF(H1204&gt;H$1207,"Above",IF(H1204&lt;H$1207,"Below","At")),"-")</f>
        <v>Below</v>
      </c>
      <c r="K1204" s="34" t="str">
        <f aca="false">IF(J1204="Above","Better",IF(J1204="Below","Weaker","-"))</f>
        <v>Weaker</v>
      </c>
      <c r="L1204" s="34" t="n">
        <f aca="false">IF(ISNUMBER(H1204),RANK(H1204,H$1195:H$1204,0),"-")</f>
        <v>10</v>
      </c>
      <c r="N1204" s="34" t="str">
        <f aca="false">IF(AND(ISNUMBER(I1204),ISNUMBER(I$1207)),IF(I1204&gt;I$1207,"Above",IF(I1204&lt;I$1207,"Below","At")),"-")</f>
        <v>Below</v>
      </c>
      <c r="O1204" s="34" t="str">
        <f aca="false">IF(N1204="Above","Better",IF(N1204="Below","Weaker","-"))</f>
        <v>Weaker</v>
      </c>
    </row>
    <row r="1205" customFormat="false" ht="15" hidden="false" customHeight="false" outlineLevel="0" collapsed="false">
      <c r="A1205" s="12" t="s">
        <v>176</v>
      </c>
      <c r="B1205" s="24" t="n">
        <f aca="false">Industry!D161</f>
        <v>0.0442838218187533</v>
      </c>
      <c r="C1205" s="24" t="n">
        <f aca="false">Industry!E161</f>
        <v>-0.0145715597536018</v>
      </c>
      <c r="D1205" s="24" t="n">
        <f aca="false">Industry!F161</f>
        <v>0.161561247443729</v>
      </c>
      <c r="E1205" s="24" t="n">
        <f aca="false">Industry!G161</f>
        <v>0.101449356497972</v>
      </c>
      <c r="F1205" s="24" t="n">
        <f aca="false">Industry!H161</f>
        <v>0.110541268636012</v>
      </c>
      <c r="G1205" s="24" t="n">
        <f aca="false">Industry!I161</f>
        <v>0.110818749778141</v>
      </c>
      <c r="H1205" s="24" t="n">
        <f aca="false">Industry!J161</f>
        <v>0.110435865141395</v>
      </c>
      <c r="I1205" s="24" t="n">
        <f aca="false">Industry!K161</f>
        <v>0.0892169642232001</v>
      </c>
    </row>
    <row r="1206" customFormat="false" ht="15" hidden="false" customHeight="false" outlineLevel="0" collapsed="false">
      <c r="A1206" s="35" t="s">
        <v>177</v>
      </c>
      <c r="B1206" s="39" t="n">
        <f aca="false">IFERROR(AVERAGE(B1195:B1204),"N/M")</f>
        <v>-0.0332943513770458</v>
      </c>
      <c r="C1206" s="39" t="n">
        <f aca="false">IFERROR(AVERAGE(C1195:C1204),"N/M")</f>
        <v>0.0363883214549816</v>
      </c>
      <c r="D1206" s="39" t="n">
        <f aca="false">IFERROR(AVERAGE(D1195:D1204),"N/M")</f>
        <v>0.250199112737225</v>
      </c>
      <c r="E1206" s="39" t="n">
        <f aca="false">IFERROR(AVERAGE(E1195:E1204),"N/M")</f>
        <v>0.167460780165566</v>
      </c>
      <c r="F1206" s="39" t="n">
        <f aca="false">IFERROR(AVERAGE(F1195:F1204),"N/M")</f>
        <v>0.0311124031340629</v>
      </c>
      <c r="G1206" s="39" t="n">
        <f aca="false">IFERROR(AVERAGE(G1195:G1204),"N/M")</f>
        <v>-0.134938203641233</v>
      </c>
      <c r="H1206" s="39" t="n">
        <f aca="false">IFERROR(AVERAGE(H1195:H1204),"N/M")</f>
        <v>0.161023467480411</v>
      </c>
      <c r="I1206" s="39" t="n">
        <f aca="false">IFERROR(AVERAGE(I1195:I1204),"N/M")</f>
        <v>0.0375606775095097</v>
      </c>
    </row>
    <row r="1207" customFormat="false" ht="15" hidden="false" customHeight="false" outlineLevel="0" collapsed="false">
      <c r="A1207" s="35" t="s">
        <v>178</v>
      </c>
      <c r="B1207" s="39" t="n">
        <f aca="false">IFERROR(MEDIAN(B1195:B1204),"N/M")</f>
        <v>0.0496598883912302</v>
      </c>
      <c r="C1207" s="39" t="n">
        <f aca="false">IFERROR(MEDIAN(C1195:C1204),"N/M")</f>
        <v>0.0539224056582578</v>
      </c>
      <c r="D1207" s="39" t="n">
        <f aca="false">IFERROR(MEDIAN(D1195:D1204),"N/M")</f>
        <v>0.222777779914538</v>
      </c>
      <c r="E1207" s="39" t="n">
        <f aca="false">IFERROR(MEDIAN(E1195:E1204),"N/M")</f>
        <v>0.202639149188875</v>
      </c>
      <c r="F1207" s="39" t="n">
        <f aca="false">IFERROR(MEDIAN(F1195:F1204),"N/M")</f>
        <v>0.0827466855048387</v>
      </c>
      <c r="G1207" s="39" t="n">
        <f aca="false">IFERROR(MEDIAN(G1195:G1204),"N/M")</f>
        <v>0.0605525253835513</v>
      </c>
      <c r="H1207" s="39" t="n">
        <f aca="false">IFERROR(MEDIAN(H1195:H1204),"N/M")</f>
        <v>0.0980070408374416</v>
      </c>
      <c r="I1207" s="39" t="n">
        <f aca="false">IFERROR(MEDIAN(I1195:I1204),"N/M")</f>
        <v>0.104280204007898</v>
      </c>
    </row>
    <row r="1208" customFormat="false" ht="15" hidden="false" customHeight="false" outlineLevel="0" collapsed="false">
      <c r="A1208" s="35" t="s">
        <v>179</v>
      </c>
      <c r="B1208" s="39" t="n">
        <f aca="false">IFERROR(STDEV(B1195:B1204),"N/M")</f>
        <v>0.180404927906841</v>
      </c>
      <c r="C1208" s="39" t="n">
        <f aca="false">IFERROR(STDEV(C1195:C1204),"N/M")</f>
        <v>0.132506943148683</v>
      </c>
      <c r="D1208" s="39" t="n">
        <f aca="false">IFERROR(STDEV(D1195:D1204),"N/M")</f>
        <v>0.204285003791018</v>
      </c>
      <c r="E1208" s="39" t="n">
        <f aca="false">IFERROR(STDEV(E1195:E1204),"N/M")</f>
        <v>0.123594942545316</v>
      </c>
      <c r="F1208" s="39" t="n">
        <f aca="false">IFERROR(STDEV(F1195:F1204),"N/M")</f>
        <v>0.281299584787103</v>
      </c>
      <c r="G1208" s="39" t="n">
        <f aca="false">IFERROR(STDEV(G1195:G1204),"N/M")</f>
        <v>0.715992984157271</v>
      </c>
      <c r="H1208" s="39" t="n">
        <f aca="false">IFERROR(STDEV(H1195:H1204),"N/M")</f>
        <v>0.225147597546914</v>
      </c>
      <c r="I1208" s="39" t="n">
        <f aca="false">IFERROR(STDEV(I1195:I1204),"N/M")</f>
        <v>0.223445919366534</v>
      </c>
    </row>
    <row r="1209" customFormat="false" ht="15" hidden="false" customHeight="false" outlineLevel="0" collapsed="false">
      <c r="A1209" s="35" t="s">
        <v>102</v>
      </c>
      <c r="B1209" s="39" t="n">
        <f aca="false">IFERROR(MIN(B1195:B1204),"N/M")</f>
        <v>-0.397772104896728</v>
      </c>
      <c r="C1209" s="39" t="n">
        <f aca="false">IFERROR(MIN(C1195:C1204),"N/M")</f>
        <v>-0.262357414448669</v>
      </c>
      <c r="D1209" s="39" t="n">
        <f aca="false">IFERROR(MIN(D1195:D1204),"N/M")</f>
        <v>0.0194116641012485</v>
      </c>
      <c r="E1209" s="39" t="n">
        <f aca="false">IFERROR(MIN(E1195:E1204),"N/M")</f>
        <v>0.00138552130239002</v>
      </c>
      <c r="F1209" s="39" t="n">
        <f aca="false">IFERROR(MIN(F1195:F1204),"N/M")</f>
        <v>-0.687986381322957</v>
      </c>
      <c r="G1209" s="39" t="n">
        <f aca="false">IFERROR(MIN(G1195:G1204),"N/M")</f>
        <v>-2.15699373695198</v>
      </c>
      <c r="H1209" s="39" t="n">
        <f aca="false">IFERROR(MIN(H1195:H1204),"N/M")</f>
        <v>0.00284002827626406</v>
      </c>
      <c r="I1209" s="39" t="n">
        <f aca="false">IFERROR(MIN(I1195:I1204),"N/M")</f>
        <v>-0.565406553172074</v>
      </c>
    </row>
    <row r="1210" customFormat="false" ht="15" hidden="false" customHeight="false" outlineLevel="0" collapsed="false">
      <c r="A1210" s="35" t="s">
        <v>103</v>
      </c>
      <c r="B1210" s="39" t="n">
        <f aca="false">IFERROR(MAX(B1195:B1204),"N/M")</f>
        <v>0.148612887230211</v>
      </c>
      <c r="C1210" s="39" t="n">
        <f aca="false">IFERROR(MAX(C1195:C1204),"N/M")</f>
        <v>0.188051238005523</v>
      </c>
      <c r="D1210" s="39" t="n">
        <f aca="false">IFERROR(MAX(D1195:D1204),"N/M")</f>
        <v>0.577785413624259</v>
      </c>
      <c r="E1210" s="39" t="n">
        <f aca="false">IFERROR(MAX(E1195:E1204),"N/M")</f>
        <v>0.361219565694231</v>
      </c>
      <c r="F1210" s="39" t="n">
        <f aca="false">IFERROR(MAX(F1195:F1204),"N/M")</f>
        <v>0.336502687060769</v>
      </c>
      <c r="G1210" s="39" t="n">
        <f aca="false">IFERROR(MAX(G1195:G1204),"N/M")</f>
        <v>0.21683458435355</v>
      </c>
      <c r="H1210" s="39" t="n">
        <f aca="false">IFERROR(MAX(H1195:H1204),"N/M")</f>
        <v>0.779007271577616</v>
      </c>
      <c r="I1210" s="39" t="n">
        <f aca="false">IFERROR(MAX(I1195:I1204),"N/M")</f>
        <v>0.221471877669117</v>
      </c>
    </row>
    <row r="1212" customFormat="false" ht="15" hidden="false" customHeight="false" outlineLevel="0" collapsed="false">
      <c r="A1212" s="16" t="s">
        <v>247</v>
      </c>
      <c r="B1212" s="17"/>
      <c r="C1212" s="17"/>
      <c r="D1212" s="17"/>
      <c r="E1212" s="17"/>
      <c r="F1212" s="17"/>
      <c r="G1212" s="17"/>
      <c r="H1212" s="17"/>
      <c r="I1212" s="17"/>
      <c r="J1212" s="17"/>
      <c r="K1212" s="17"/>
      <c r="L1212" s="17"/>
      <c r="M1212" s="17"/>
    </row>
    <row r="1213" customFormat="false" ht="15" hidden="false" customHeight="false" outlineLevel="0" collapsed="false">
      <c r="A1213" s="18" t="s">
        <v>110</v>
      </c>
      <c r="B1213" s="20" t="n">
        <f aca="false">Tiger!D162</f>
        <v>1.01899256812552</v>
      </c>
      <c r="C1213" s="20" t="n">
        <f aca="false">Tiger!E162</f>
        <v>1.02475247524752</v>
      </c>
      <c r="D1213" s="20" t="n">
        <f aca="false">Tiger!F162</f>
        <v>0.899678972712681</v>
      </c>
      <c r="E1213" s="20" t="n">
        <f aca="false">Tiger!G162</f>
        <v>0.740587109125718</v>
      </c>
      <c r="F1213" s="20" t="n">
        <f aca="false">Tiger!H162</f>
        <v>0.732617297908423</v>
      </c>
      <c r="G1213" s="20" t="n">
        <f aca="false">Tiger!I162</f>
        <v>0.748406760875589</v>
      </c>
      <c r="H1213" s="20" t="n">
        <f aca="false">Tiger!J162</f>
        <v>0.73850377487989</v>
      </c>
      <c r="I1213" s="21" t="n">
        <f aca="false">Tiger!K162</f>
        <v>0.843362708410763</v>
      </c>
      <c r="J1213" s="34" t="str">
        <f aca="false">IF(AND(ISNUMBER(H1213),ISNUMBER(H$1225)),IF(H1213&gt;H$1225,"Above",IF(H1213&lt;H$1225,"Below","At")),"-")</f>
        <v>Below</v>
      </c>
      <c r="K1213" s="34" t="str">
        <f aca="false">IF(J1213="Above","Better",IF(J1213="Below","Weaker","-"))</f>
        <v>Weaker</v>
      </c>
      <c r="L1213" s="34" t="n">
        <f aca="false">IF(ISNUMBER(H1213),RANK(H1213,H$1213:H$1222,0),"-")</f>
        <v>8</v>
      </c>
      <c r="N1213" s="34" t="str">
        <f aca="false">IF(AND(ISNUMBER(I1213),ISNUMBER(I$1225)),IF(I1213&gt;I$1225,"Above",IF(I1213&lt;I$1225,"Below","At")),"-")</f>
        <v>Below</v>
      </c>
      <c r="O1213" s="34" t="str">
        <f aca="false">IF(N1213="Above","Better",IF(N1213="Below","Weaker","-"))</f>
        <v>Weaker</v>
      </c>
    </row>
    <row r="1214" customFormat="false" ht="15" hidden="false" customHeight="false" outlineLevel="0" collapsed="false">
      <c r="A1214" s="18" t="s">
        <v>111</v>
      </c>
      <c r="B1214" s="20" t="n">
        <f aca="false">Allcargo!D162</f>
        <v>0.730094290204295</v>
      </c>
      <c r="C1214" s="20" t="n">
        <f aca="false">Allcargo!E162</f>
        <v>1.0868745285391</v>
      </c>
      <c r="D1214" s="20" t="n">
        <f aca="false">Allcargo!F162</f>
        <v>0.75778685505194</v>
      </c>
      <c r="E1214" s="20" t="n">
        <f aca="false">Allcargo!G162</f>
        <v>0.703185382089486</v>
      </c>
      <c r="F1214" s="20" t="n">
        <f aca="false">Allcargo!H162</f>
        <v>0.910528556657138</v>
      </c>
      <c r="G1214" s="20" t="n">
        <f aca="false">Allcargo!I162</f>
        <v>4.33333333333333</v>
      </c>
      <c r="H1214" s="20" t="n">
        <f aca="false">Allcargo!J162</f>
        <v>2</v>
      </c>
      <c r="I1214" s="21" t="n">
        <f aca="false">Allcargo!K162</f>
        <v>1.50311470655361</v>
      </c>
      <c r="J1214" s="34" t="str">
        <f aca="false">IF(AND(ISNUMBER(H1214),ISNUMBER(H$1225)),IF(H1214&gt;H$1225,"Above",IF(H1214&lt;H$1225,"Below","At")),"-")</f>
        <v>Above</v>
      </c>
      <c r="K1214" s="34" t="str">
        <f aca="false">IF(J1214="Above","Better",IF(J1214="Below","Weaker","-"))</f>
        <v>Better</v>
      </c>
      <c r="L1214" s="34" t="n">
        <f aca="false">IF(ISNUMBER(H1214),RANK(H1214,H$1213:H$1222,0),"-")</f>
        <v>1</v>
      </c>
      <c r="N1214" s="34" t="str">
        <f aca="false">IF(AND(ISNUMBER(I1214),ISNUMBER(I$1225)),IF(I1214&gt;I$1225,"Above",IF(I1214&lt;I$1225,"Below","At")),"-")</f>
        <v>Above</v>
      </c>
      <c r="O1214" s="34" t="str">
        <f aca="false">IF(N1214="Above","Better",IF(N1214="Below","Weaker","-"))</f>
        <v>Better</v>
      </c>
    </row>
    <row r="1215" customFormat="false" ht="15" hidden="false" customHeight="false" outlineLevel="0" collapsed="false">
      <c r="A1215" s="18" t="s">
        <v>112</v>
      </c>
      <c r="B1215" s="20" t="n">
        <f aca="false">BlueDart!D162</f>
        <v>1.0700408997955</v>
      </c>
      <c r="C1215" s="20" t="n">
        <f aca="false">BlueDart!E162</f>
        <v>0.728306745833035</v>
      </c>
      <c r="D1215" s="20" t="n">
        <f aca="false">BlueDart!F162</f>
        <v>0.746081321126706</v>
      </c>
      <c r="E1215" s="20" t="n">
        <f aca="false">BlueDart!G162</f>
        <v>0.729102715466352</v>
      </c>
      <c r="F1215" s="20" t="n">
        <f aca="false">BlueDart!H162</f>
        <v>0.766513878278584</v>
      </c>
      <c r="G1215" s="20" t="n">
        <f aca="false">BlueDart!I162</f>
        <v>0.72693238106209</v>
      </c>
      <c r="H1215" s="20" t="n">
        <f aca="false">BlueDart!J162</f>
        <v>0.757123182861515</v>
      </c>
      <c r="I1215" s="21" t="n">
        <f aca="false">BlueDart!K162</f>
        <v>0.789157303489112</v>
      </c>
      <c r="J1215" s="34" t="str">
        <f aca="false">IF(AND(ISNUMBER(H1215),ISNUMBER(H$1225)),IF(H1215&gt;H$1225,"Above",IF(H1215&lt;H$1225,"Below","At")),"-")</f>
        <v>Below</v>
      </c>
      <c r="K1215" s="34" t="str">
        <f aca="false">IF(J1215="Above","Better",IF(J1215="Below","Weaker","-"))</f>
        <v>Weaker</v>
      </c>
      <c r="L1215" s="34" t="n">
        <f aca="false">IF(ISNUMBER(H1215),RANK(H1215,H$1213:H$1222,0),"-")</f>
        <v>6</v>
      </c>
      <c r="N1215" s="34" t="str">
        <f aca="false">IF(AND(ISNUMBER(I1215),ISNUMBER(I$1225)),IF(I1215&gt;I$1225,"Above",IF(I1215&lt;I$1225,"Below","At")),"-")</f>
        <v>Below</v>
      </c>
      <c r="O1215" s="34" t="str">
        <f aca="false">IF(N1215="Above","Better",IF(N1215="Below","Weaker","-"))</f>
        <v>Weaker</v>
      </c>
    </row>
    <row r="1216" customFormat="false" ht="15" hidden="false" customHeight="false" outlineLevel="0" collapsed="false">
      <c r="A1216" s="18" t="s">
        <v>67</v>
      </c>
      <c r="B1216" s="20" t="n">
        <f aca="false">CONCOR!D162</f>
        <v>0.742051159454937</v>
      </c>
      <c r="C1216" s="20" t="n">
        <f aca="false">CONCOR!E162</f>
        <v>0.75</v>
      </c>
      <c r="D1216" s="20" t="n">
        <f aca="false">CONCOR!F162</f>
        <v>0.756645894138992</v>
      </c>
      <c r="E1216" s="20" t="n">
        <f aca="false">CONCOR!G162</f>
        <v>0.750945182607361</v>
      </c>
      <c r="F1216" s="20" t="n">
        <f aca="false">CONCOR!H162</f>
        <v>0.755504812590648</v>
      </c>
      <c r="G1216" s="20" t="n">
        <f aca="false">CONCOR!I162</f>
        <v>0.749108625715713</v>
      </c>
      <c r="H1216" s="20" t="n">
        <f aca="false">CONCOR!J162</f>
        <v>0.752255008268869</v>
      </c>
      <c r="I1216" s="21" t="n">
        <f aca="false">CONCOR!K162</f>
        <v>0.750930097539503</v>
      </c>
      <c r="J1216" s="34" t="str">
        <f aca="false">IF(AND(ISNUMBER(H1216),ISNUMBER(H$1225)),IF(H1216&gt;H$1225,"Above",IF(H1216&lt;H$1225,"Below","At")),"-")</f>
        <v>Below</v>
      </c>
      <c r="K1216" s="34" t="str">
        <f aca="false">IF(J1216="Above","Better",IF(J1216="Below","Weaker","-"))</f>
        <v>Weaker</v>
      </c>
      <c r="L1216" s="34" t="n">
        <f aca="false">IF(ISNUMBER(H1216),RANK(H1216,H$1213:H$1222,0),"-")</f>
        <v>7</v>
      </c>
      <c r="N1216" s="34" t="str">
        <f aca="false">IF(AND(ISNUMBER(I1216),ISNUMBER(I$1225)),IF(I1216&gt;I$1225,"Above",IF(I1216&lt;I$1225,"Below","At")),"-")</f>
        <v>Below</v>
      </c>
      <c r="O1216" s="34" t="str">
        <f aca="false">IF(N1216="Above","Better",IF(N1216="Below","Weaker","-"))</f>
        <v>Weaker</v>
      </c>
    </row>
    <row r="1217" customFormat="false" ht="15" hidden="false" customHeight="false" outlineLevel="0" collapsed="false">
      <c r="A1217" s="18" t="s">
        <v>113</v>
      </c>
      <c r="B1217" s="20" t="n">
        <f aca="false">JetFreight!D162</f>
        <v>0.987327188940092</v>
      </c>
      <c r="C1217" s="20" t="n">
        <f aca="false">JetFreight!E162</f>
        <v>0.648578811369509</v>
      </c>
      <c r="D1217" s="20" t="n">
        <f aca="false">JetFreight!F162</f>
        <v>0.626666666666667</v>
      </c>
      <c r="E1217" s="20" t="n">
        <f aca="false">JetFreight!G162</f>
        <v>0.0697674418604651</v>
      </c>
      <c r="F1217" s="20" t="n">
        <f aca="false">JetFreight!H162</f>
        <v>1.18181818181818</v>
      </c>
      <c r="G1217" s="20" t="n">
        <f aca="false">JetFreight!I162</f>
        <v>0.591125198098257</v>
      </c>
      <c r="H1217" s="20" t="n">
        <f aca="false">JetFreight!J162</f>
        <v>0.586712683347714</v>
      </c>
      <c r="I1217" s="21" t="n">
        <f aca="false">JetFreight!K162</f>
        <v>0.670285167442984</v>
      </c>
      <c r="J1217" s="34" t="str">
        <f aca="false">IF(AND(ISNUMBER(H1217),ISNUMBER(H$1225)),IF(H1217&gt;H$1225,"Above",IF(H1217&lt;H$1225,"Below","At")),"-")</f>
        <v>Below</v>
      </c>
      <c r="K1217" s="34" t="str">
        <f aca="false">IF(J1217="Above","Better",IF(J1217="Below","Weaker","-"))</f>
        <v>Weaker</v>
      </c>
      <c r="L1217" s="34" t="n">
        <f aca="false">IF(ISNUMBER(H1217),RANK(H1217,H$1213:H$1222,0),"-")</f>
        <v>9</v>
      </c>
      <c r="N1217" s="34" t="str">
        <f aca="false">IF(AND(ISNUMBER(I1217),ISNUMBER(I$1225)),IF(I1217&gt;I$1225,"Above",IF(I1217&lt;I$1225,"Below","At")),"-")</f>
        <v>Below</v>
      </c>
      <c r="O1217" s="34" t="str">
        <f aca="false">IF(N1217="Above","Better",IF(N1217="Below","Weaker","-"))</f>
        <v>Weaker</v>
      </c>
    </row>
    <row r="1218" customFormat="false" ht="15" hidden="false" customHeight="false" outlineLevel="0" collapsed="false">
      <c r="A1218" s="18" t="s">
        <v>114</v>
      </c>
      <c r="B1218" s="20" t="n">
        <f aca="false">Patel!D162</f>
        <v>0.837100545596259</v>
      </c>
      <c r="C1218" s="20" t="n">
        <f aca="false">Patel!E162</f>
        <v>0.178571428571429</v>
      </c>
      <c r="D1218" s="20" t="n">
        <f aca="false">Patel!F162</f>
        <v>1.01793721973094</v>
      </c>
      <c r="E1218" s="20" t="n">
        <f aca="false">Patel!G162</f>
        <v>1.05603448275862</v>
      </c>
      <c r="F1218" s="20" t="n">
        <f aca="false">Patel!H162</f>
        <v>0.975352112676056</v>
      </c>
      <c r="G1218" s="20" t="n">
        <f aca="false">Patel!I162</f>
        <v>0.990873533246415</v>
      </c>
      <c r="H1218" s="20" t="n">
        <f aca="false">Patel!J162</f>
        <v>0.931134820562561</v>
      </c>
      <c r="I1218" s="21" t="n">
        <f aca="false">Patel!K162</f>
        <v>0.855286306163183</v>
      </c>
      <c r="J1218" s="34" t="str">
        <f aca="false">IF(AND(ISNUMBER(H1218),ISNUMBER(H$1225)),IF(H1218&gt;H$1225,"Above",IF(H1218&lt;H$1225,"Below","At")),"-")</f>
        <v>Above</v>
      </c>
      <c r="K1218" s="34" t="str">
        <f aca="false">IF(J1218="Above","Better",IF(J1218="Below","Weaker","-"))</f>
        <v>Better</v>
      </c>
      <c r="L1218" s="34" t="n">
        <f aca="false">IF(ISNUMBER(H1218),RANK(H1218,H$1213:H$1222,0),"-")</f>
        <v>2</v>
      </c>
      <c r="N1218" s="34" t="str">
        <f aca="false">IF(AND(ISNUMBER(I1218),ISNUMBER(I$1225)),IF(I1218&gt;I$1225,"Above",IF(I1218&lt;I$1225,"Below","At")),"-")</f>
        <v>Above</v>
      </c>
      <c r="O1218" s="34" t="str">
        <f aca="false">IF(N1218="Above","Better",IF(N1218="Below","Weaker","-"))</f>
        <v>Better</v>
      </c>
    </row>
    <row r="1219" customFormat="false" ht="15" hidden="false" customHeight="false" outlineLevel="0" collapsed="false">
      <c r="A1219" s="18" t="s">
        <v>115</v>
      </c>
      <c r="B1219" s="20" t="n">
        <f aca="false">Sical!D162</f>
        <v>0.805175267037761</v>
      </c>
      <c r="C1219" s="20" t="n">
        <f aca="false">Sical!E162</f>
        <v>0.993897317219508</v>
      </c>
      <c r="D1219" s="20" t="n">
        <f aca="false">Sical!F162</f>
        <v>1.03292083135015</v>
      </c>
      <c r="E1219" s="20" t="n">
        <f aca="false">Sical!G162</f>
        <v>1.00773376513522</v>
      </c>
      <c r="F1219" s="20" t="n">
        <f aca="false">Sical!H162</f>
        <v>1.19015565839293</v>
      </c>
      <c r="G1219" s="20" t="n">
        <f aca="false">Sical!I162</f>
        <v>0.8408203125</v>
      </c>
      <c r="H1219" s="20" t="n">
        <f aca="false">Sical!J162</f>
        <v>0.863198458574181</v>
      </c>
      <c r="I1219" s="21" t="n">
        <f aca="false">Sical!K162</f>
        <v>0.961985944315679</v>
      </c>
      <c r="J1219" s="34" t="str">
        <f aca="false">IF(AND(ISNUMBER(H1219),ISNUMBER(H$1225)),IF(H1219&gt;H$1225,"Above",IF(H1219&lt;H$1225,"Below","At")),"-")</f>
        <v>Above</v>
      </c>
      <c r="K1219" s="34" t="str">
        <f aca="false">IF(J1219="Above","Better",IF(J1219="Below","Weaker","-"))</f>
        <v>Better</v>
      </c>
      <c r="L1219" s="34" t="n">
        <f aca="false">IF(ISNUMBER(H1219),RANK(H1219,H$1213:H$1222,0),"-")</f>
        <v>5</v>
      </c>
      <c r="N1219" s="34" t="str">
        <f aca="false">IF(AND(ISNUMBER(I1219),ISNUMBER(I$1225)),IF(I1219&gt;I$1225,"Above",IF(I1219&lt;I$1225,"Below","At")),"-")</f>
        <v>Above</v>
      </c>
      <c r="O1219" s="34" t="str">
        <f aca="false">IF(N1219="Above","Better",IF(N1219="Below","Weaker","-"))</f>
        <v>Better</v>
      </c>
    </row>
    <row r="1220" customFormat="false" ht="15" hidden="false" customHeight="false" outlineLevel="0" collapsed="false">
      <c r="A1220" s="18" t="s">
        <v>86</v>
      </c>
      <c r="B1220" s="20" t="n">
        <f aca="false">TCI!D162</f>
        <v>0.894726918484068</v>
      </c>
      <c r="C1220" s="20" t="n">
        <f aca="false">TCI!E162</f>
        <v>0.844361549497848</v>
      </c>
      <c r="D1220" s="20" t="n">
        <f aca="false">TCI!F162</f>
        <v>0.87635791448543</v>
      </c>
      <c r="E1220" s="20" t="n">
        <f aca="false">TCI!G162</f>
        <v>0.871741339999451</v>
      </c>
      <c r="F1220" s="20" t="n">
        <f aca="false">TCI!H162</f>
        <v>0.903914040557603</v>
      </c>
      <c r="G1220" s="20" t="n">
        <f aca="false">TCI!I162</f>
        <v>0.897668647554366</v>
      </c>
      <c r="H1220" s="20" t="n">
        <f aca="false">TCI!J162</f>
        <v>0.912700794174719</v>
      </c>
      <c r="I1220" s="21" t="n">
        <f aca="false">TCI!K162</f>
        <v>0.885924457821926</v>
      </c>
      <c r="J1220" s="34" t="str">
        <f aca="false">IF(AND(ISNUMBER(H1220),ISNUMBER(H$1225)),IF(H1220&gt;H$1225,"Above",IF(H1220&lt;H$1225,"Below","At")),"-")</f>
        <v>Above</v>
      </c>
      <c r="K1220" s="34" t="str">
        <f aca="false">IF(J1220="Above","Better",IF(J1220="Below","Weaker","-"))</f>
        <v>Better</v>
      </c>
      <c r="L1220" s="34" t="n">
        <f aca="false">IF(ISNUMBER(H1220),RANK(H1220,H$1213:H$1222,0),"-")</f>
        <v>3</v>
      </c>
      <c r="N1220" s="34" t="str">
        <f aca="false">IF(AND(ISNUMBER(I1220),ISNUMBER(I$1225)),IF(I1220&gt;I$1225,"Above",IF(I1220&lt;I$1225,"Below","At")),"-")</f>
        <v>Above</v>
      </c>
      <c r="O1220" s="34" t="str">
        <f aca="false">IF(N1220="Above","Better",IF(N1220="Below","Weaker","-"))</f>
        <v>Better</v>
      </c>
    </row>
    <row r="1221" customFormat="false" ht="15" hidden="false" customHeight="false" outlineLevel="0" collapsed="false">
      <c r="A1221" s="18" t="s">
        <v>116</v>
      </c>
      <c r="B1221" s="20" t="n">
        <f aca="false">Shreeji!D162</f>
        <v>0.668181818181818</v>
      </c>
      <c r="C1221" s="20" t="n">
        <f aca="false">Shreeji!E162</f>
        <v>1.13541666666667</v>
      </c>
      <c r="D1221" s="20" t="n">
        <f aca="false">Shreeji!F162</f>
        <v>0.75</v>
      </c>
      <c r="E1221" s="20" t="n">
        <f aca="false">Shreeji!G162</f>
        <v>0.724008975317876</v>
      </c>
      <c r="F1221" s="20" t="n">
        <f aca="false">Shreeji!H162</f>
        <v>0.759682687820812</v>
      </c>
      <c r="G1221" s="20" t="n">
        <f aca="false">Shreeji!I162</f>
        <v>0.671052631578948</v>
      </c>
      <c r="H1221" s="20" t="n">
        <f aca="false">Shreeji!J162</f>
        <v>0.887640449438202</v>
      </c>
      <c r="I1221" s="21" t="n">
        <f aca="false">Shreeji!K162</f>
        <v>0.799426175572046</v>
      </c>
      <c r="J1221" s="34" t="str">
        <f aca="false">IF(AND(ISNUMBER(H1221),ISNUMBER(H$1225)),IF(H1221&gt;H$1225,"Above",IF(H1221&lt;H$1225,"Below","At")),"-")</f>
        <v>Above</v>
      </c>
      <c r="K1221" s="34" t="str">
        <f aca="false">IF(J1221="Above","Better",IF(J1221="Below","Weaker","-"))</f>
        <v>Better</v>
      </c>
      <c r="L1221" s="34" t="n">
        <f aca="false">IF(ISNUMBER(H1221),RANK(H1221,H$1213:H$1222,0),"-")</f>
        <v>4</v>
      </c>
      <c r="N1221" s="34" t="str">
        <f aca="false">IF(AND(ISNUMBER(I1221),ISNUMBER(I$1225)),IF(I1221&gt;I$1225,"Above",IF(I1221&lt;I$1225,"Below","At")),"-")</f>
        <v>Below</v>
      </c>
      <c r="O1221" s="34" t="str">
        <f aca="false">IF(N1221="Above","Better",IF(N1221="Below","Weaker","-"))</f>
        <v>Weaker</v>
      </c>
    </row>
    <row r="1222" customFormat="false" ht="15" hidden="false" customHeight="false" outlineLevel="0" collapsed="false">
      <c r="A1222" s="18" t="s">
        <v>117</v>
      </c>
      <c r="B1222" s="20" t="n">
        <f aca="false">MahindraLog!D162</f>
        <v>0.678901342529868</v>
      </c>
      <c r="C1222" s="20" t="n">
        <f aca="false">MahindraLog!E162</f>
        <v>0.76530612244898</v>
      </c>
      <c r="D1222" s="20" t="n">
        <f aca="false">MahindraLog!F162</f>
        <v>0.667426833903459</v>
      </c>
      <c r="E1222" s="20" t="n">
        <f aca="false">MahindraLog!G162</f>
        <v>0.760856977417487</v>
      </c>
      <c r="F1222" s="20" t="n">
        <f aca="false">MahindraLog!H162</f>
        <v>2.07427055702918</v>
      </c>
      <c r="G1222" s="20" t="n">
        <f aca="false">MahindraLog!I162</f>
        <v>4.67405475880052</v>
      </c>
      <c r="H1222" s="20" t="n">
        <f aca="false">MahindraLog!J162</f>
        <v>0.069059107358263</v>
      </c>
      <c r="I1222" s="21" t="n">
        <f aca="false">MahindraLog!K162</f>
        <v>1.38426795706968</v>
      </c>
      <c r="J1222" s="34" t="str">
        <f aca="false">IF(AND(ISNUMBER(H1222),ISNUMBER(H$1225)),IF(H1222&gt;H$1225,"Above",IF(H1222&lt;H$1225,"Below","At")),"-")</f>
        <v>Below</v>
      </c>
      <c r="K1222" s="34" t="str">
        <f aca="false">IF(J1222="Above","Better",IF(J1222="Below","Weaker","-"))</f>
        <v>Weaker</v>
      </c>
      <c r="L1222" s="34" t="n">
        <f aca="false">IF(ISNUMBER(H1222),RANK(H1222,H$1213:H$1222,0),"-")</f>
        <v>10</v>
      </c>
      <c r="N1222" s="34" t="str">
        <f aca="false">IF(AND(ISNUMBER(I1222),ISNUMBER(I$1225)),IF(I1222&gt;I$1225,"Above",IF(I1222&lt;I$1225,"Below","At")),"-")</f>
        <v>Above</v>
      </c>
      <c r="O1222" s="34" t="str">
        <f aca="false">IF(N1222="Above","Better",IF(N1222="Below","Weaker","-"))</f>
        <v>Better</v>
      </c>
    </row>
    <row r="1223" customFormat="false" ht="15" hidden="false" customHeight="false" outlineLevel="0" collapsed="false">
      <c r="A1223" s="12" t="s">
        <v>176</v>
      </c>
      <c r="B1223" s="21" t="n">
        <f aca="false">Industry!D162</f>
        <v>0.730934178631363</v>
      </c>
      <c r="C1223" s="21" t="n">
        <f aca="false">Industry!E162</f>
        <v>-20.5814850530378</v>
      </c>
      <c r="D1223" s="21" t="n">
        <f aca="false">Industry!F162</f>
        <v>0.747161699514129</v>
      </c>
      <c r="E1223" s="21" t="n">
        <f aca="false">Industry!G162</f>
        <v>0.66520091036604</v>
      </c>
      <c r="F1223" s="21" t="n">
        <f aca="false">Industry!H162</f>
        <v>0.772103810473051</v>
      </c>
      <c r="G1223" s="21" t="n">
        <f aca="false">Industry!I162</f>
        <v>0.7811858542021</v>
      </c>
      <c r="H1223" s="21" t="n">
        <f aca="false">Industry!J162</f>
        <v>0.77908889447351</v>
      </c>
      <c r="I1223" s="21" t="n">
        <f aca="false">Industry!K162</f>
        <v>-2.30082995791108</v>
      </c>
    </row>
    <row r="1224" customFormat="false" ht="15" hidden="false" customHeight="false" outlineLevel="0" collapsed="false">
      <c r="A1224" s="35" t="s">
        <v>177</v>
      </c>
      <c r="B1224" s="37" t="n">
        <f aca="false">IFERROR(AVERAGE(B1213:B1222),"N/M")</f>
        <v>0.843259199835012</v>
      </c>
      <c r="C1224" s="37" t="n">
        <f aca="false">IFERROR(AVERAGE(C1213:C1222),"N/M")</f>
        <v>0.81560656453936</v>
      </c>
      <c r="D1224" s="37" t="n">
        <f aca="false">IFERROR(AVERAGE(D1213:D1222),"N/M")</f>
        <v>0.813150250916697</v>
      </c>
      <c r="E1224" s="37" t="n">
        <f aca="false">IFERROR(AVERAGE(E1213:E1222),"N/M")</f>
        <v>0.741396337177804</v>
      </c>
      <c r="F1224" s="37" t="n">
        <f aca="false">IFERROR(AVERAGE(F1213:F1222),"N/M")</f>
        <v>1.02503577837296</v>
      </c>
      <c r="G1224" s="37" t="n">
        <f aca="false">IFERROR(AVERAGE(G1213:G1222),"N/M")</f>
        <v>1.52233761827652</v>
      </c>
      <c r="H1224" s="37" t="n">
        <f aca="false">IFERROR(AVERAGE(H1213:H1222),"N/M")</f>
        <v>0.849832827946591</v>
      </c>
      <c r="I1224" s="37" t="n">
        <f aca="false">IFERROR(AVERAGE(I1213:I1222),"N/M")</f>
        <v>0.944374082437849</v>
      </c>
    </row>
    <row r="1225" customFormat="false" ht="15" hidden="false" customHeight="false" outlineLevel="0" collapsed="false">
      <c r="A1225" s="35" t="s">
        <v>178</v>
      </c>
      <c r="B1225" s="37" t="n">
        <f aca="false">IFERROR(MEDIAN(B1213:B1222),"N/M")</f>
        <v>0.82113790631701</v>
      </c>
      <c r="C1225" s="37" t="n">
        <f aca="false">IFERROR(MEDIAN(C1213:C1222),"N/M")</f>
        <v>0.804833835973414</v>
      </c>
      <c r="D1225" s="37" t="n">
        <f aca="false">IFERROR(MEDIAN(D1213:D1222),"N/M")</f>
        <v>0.757216374595466</v>
      </c>
      <c r="E1225" s="37" t="n">
        <f aca="false">IFERROR(MEDIAN(E1213:E1222),"N/M")</f>
        <v>0.745766145866539</v>
      </c>
      <c r="F1225" s="37" t="n">
        <f aca="false">IFERROR(MEDIAN(F1213:F1222),"N/M")</f>
        <v>0.90722129860737</v>
      </c>
      <c r="G1225" s="37" t="n">
        <f aca="false">IFERROR(MEDIAN(G1213:G1222),"N/M")</f>
        <v>0.794964469107856</v>
      </c>
      <c r="H1225" s="37" t="n">
        <f aca="false">IFERROR(MEDIAN(H1213:H1222),"N/M")</f>
        <v>0.810160820717848</v>
      </c>
      <c r="I1225" s="37" t="n">
        <f aca="false">IFERROR(MEDIAN(I1213:I1222),"N/M")</f>
        <v>0.849324507286973</v>
      </c>
    </row>
    <row r="1226" customFormat="false" ht="15" hidden="false" customHeight="false" outlineLevel="0" collapsed="false">
      <c r="A1226" s="35" t="s">
        <v>179</v>
      </c>
      <c r="B1226" s="37" t="n">
        <f aca="false">IFERROR(STDEV(B1213:B1222),"N/M")</f>
        <v>0.144499112534196</v>
      </c>
      <c r="C1226" s="37" t="n">
        <f aca="false">IFERROR(STDEV(C1213:C1222),"N/M")</f>
        <v>0.278964137928229</v>
      </c>
      <c r="D1226" s="37" t="n">
        <f aca="false">IFERROR(STDEV(D1213:D1222),"N/M")</f>
        <v>0.138433587760003</v>
      </c>
      <c r="E1226" s="37" t="n">
        <f aca="false">IFERROR(STDEV(E1213:E1222),"N/M")</f>
        <v>0.266748334028929</v>
      </c>
      <c r="F1226" s="37" t="n">
        <f aca="false">IFERROR(STDEV(F1213:F1222),"N/M")</f>
        <v>0.405297025252937</v>
      </c>
      <c r="G1226" s="37" t="n">
        <f aca="false">IFERROR(STDEV(G1213:G1222),"N/M")</f>
        <v>1.57739283196836</v>
      </c>
      <c r="H1226" s="37" t="n">
        <f aca="false">IFERROR(STDEV(H1213:H1222),"N/M")</f>
        <v>0.476609023982261</v>
      </c>
      <c r="I1226" s="37" t="n">
        <f aca="false">IFERROR(STDEV(I1213:I1222),"N/M")</f>
        <v>0.275925035033721</v>
      </c>
    </row>
    <row r="1227" customFormat="false" ht="15" hidden="false" customHeight="false" outlineLevel="0" collapsed="false">
      <c r="A1227" s="35" t="s">
        <v>102</v>
      </c>
      <c r="B1227" s="37" t="n">
        <f aca="false">IFERROR(MIN(B1213:B1222),"N/M")</f>
        <v>0.668181818181818</v>
      </c>
      <c r="C1227" s="37" t="n">
        <f aca="false">IFERROR(MIN(C1213:C1222),"N/M")</f>
        <v>0.178571428571429</v>
      </c>
      <c r="D1227" s="37" t="n">
        <f aca="false">IFERROR(MIN(D1213:D1222),"N/M")</f>
        <v>0.626666666666667</v>
      </c>
      <c r="E1227" s="37" t="n">
        <f aca="false">IFERROR(MIN(E1213:E1222),"N/M")</f>
        <v>0.0697674418604651</v>
      </c>
      <c r="F1227" s="37" t="n">
        <f aca="false">IFERROR(MIN(F1213:F1222),"N/M")</f>
        <v>0.732617297908423</v>
      </c>
      <c r="G1227" s="37" t="n">
        <f aca="false">IFERROR(MIN(G1213:G1222),"N/M")</f>
        <v>0.591125198098257</v>
      </c>
      <c r="H1227" s="37" t="n">
        <f aca="false">IFERROR(MIN(H1213:H1222),"N/M")</f>
        <v>0.069059107358263</v>
      </c>
      <c r="I1227" s="37" t="n">
        <f aca="false">IFERROR(MIN(I1213:I1222),"N/M")</f>
        <v>0.670285167442984</v>
      </c>
    </row>
    <row r="1228" customFormat="false" ht="15" hidden="false" customHeight="false" outlineLevel="0" collapsed="false">
      <c r="A1228" s="35" t="s">
        <v>103</v>
      </c>
      <c r="B1228" s="37" t="n">
        <f aca="false">IFERROR(MAX(B1213:B1222),"N/M")</f>
        <v>1.0700408997955</v>
      </c>
      <c r="C1228" s="37" t="n">
        <f aca="false">IFERROR(MAX(C1213:C1222),"N/M")</f>
        <v>1.13541666666667</v>
      </c>
      <c r="D1228" s="37" t="n">
        <f aca="false">IFERROR(MAX(D1213:D1222),"N/M")</f>
        <v>1.03292083135015</v>
      </c>
      <c r="E1228" s="37" t="n">
        <f aca="false">IFERROR(MAX(E1213:E1222),"N/M")</f>
        <v>1.05603448275862</v>
      </c>
      <c r="F1228" s="37" t="n">
        <f aca="false">IFERROR(MAX(F1213:F1222),"N/M")</f>
        <v>2.07427055702918</v>
      </c>
      <c r="G1228" s="37" t="n">
        <f aca="false">IFERROR(MAX(G1213:G1222),"N/M")</f>
        <v>4.67405475880052</v>
      </c>
      <c r="H1228" s="37" t="n">
        <f aca="false">IFERROR(MAX(H1213:H1222),"N/M")</f>
        <v>2</v>
      </c>
      <c r="I1228" s="37" t="n">
        <f aca="false">IFERROR(MAX(I1213:I1222),"N/M")</f>
        <v>1.50311470655361</v>
      </c>
    </row>
    <row r="1230" customFormat="false" ht="15" hidden="false" customHeight="false" outlineLevel="0" collapsed="false">
      <c r="A1230" s="16" t="s">
        <v>248</v>
      </c>
      <c r="B1230" s="17"/>
      <c r="C1230" s="17"/>
      <c r="D1230" s="17"/>
      <c r="E1230" s="17"/>
      <c r="F1230" s="17"/>
      <c r="G1230" s="17"/>
      <c r="H1230" s="17"/>
      <c r="I1230" s="17"/>
      <c r="J1230" s="17"/>
      <c r="K1230" s="17"/>
      <c r="L1230" s="17"/>
      <c r="M1230" s="17"/>
    </row>
    <row r="1231" customFormat="false" ht="15" hidden="false" customHeight="false" outlineLevel="0" collapsed="false">
      <c r="A1231" s="18" t="s">
        <v>110</v>
      </c>
      <c r="B1231" s="20" t="n">
        <f aca="false">Tiger!D163</f>
        <v>1.57887874837027</v>
      </c>
      <c r="C1231" s="20" t="n">
        <f aca="false">Tiger!E163</f>
        <v>1.19291338582677</v>
      </c>
      <c r="D1231" s="20" t="n">
        <f aca="false">Tiger!F163</f>
        <v>0.961172537927488</v>
      </c>
      <c r="E1231" s="20" t="n">
        <f aca="false">Tiger!G163</f>
        <v>0.968180413963547</v>
      </c>
      <c r="F1231" s="20" t="n">
        <f aca="false">Tiger!H163</f>
        <v>0.958807588075881</v>
      </c>
      <c r="G1231" s="20" t="n">
        <f aca="false">Tiger!I163</f>
        <v>0.915060851926978</v>
      </c>
      <c r="H1231" s="20" t="n">
        <f aca="false">Tiger!J163</f>
        <v>0.846846846846847</v>
      </c>
      <c r="I1231" s="21" t="n">
        <f aca="false">Tiger!K163</f>
        <v>1.06026576756254</v>
      </c>
      <c r="J1231" s="34" t="str">
        <f aca="false">IF(AND(ISNUMBER(H1231),ISNUMBER(H$1243)),IF(H1231&gt;H$1243,"Above",IF(H1231&lt;H$1243,"Below","At")),"-")</f>
        <v>Above</v>
      </c>
      <c r="K1231" s="34" t="str">
        <f aca="false">IF(J1231="Above","Better",IF(J1231="Below","Weaker","-"))</f>
        <v>Better</v>
      </c>
      <c r="L1231" s="34" t="n">
        <f aca="false">IF(ISNUMBER(H1231),RANK(H1231,H$1231:H$1240,0),"-")</f>
        <v>4</v>
      </c>
      <c r="N1231" s="34" t="str">
        <f aca="false">IF(AND(ISNUMBER(I1231),ISNUMBER(I$1243)),IF(I1231&gt;I$1243,"Above",IF(I1231&lt;I$1243,"Below","At")),"-")</f>
        <v>Above</v>
      </c>
      <c r="O1231" s="34" t="str">
        <f aca="false">IF(N1231="Above","Better",IF(N1231="Below","Weaker","-"))</f>
        <v>Better</v>
      </c>
    </row>
    <row r="1232" customFormat="false" ht="15" hidden="false" customHeight="false" outlineLevel="0" collapsed="false">
      <c r="A1232" s="18" t="s">
        <v>111</v>
      </c>
      <c r="B1232" s="20" t="n">
        <f aca="false">Allcargo!D163</f>
        <v>0.803514587114934</v>
      </c>
      <c r="C1232" s="20" t="n">
        <f aca="false">Allcargo!E163</f>
        <v>0.526180001984586</v>
      </c>
      <c r="D1232" s="20" t="n">
        <f aca="false">Allcargo!F163</f>
        <v>0.926993064303167</v>
      </c>
      <c r="E1232" s="20" t="n">
        <f aca="false">Allcargo!G163</f>
        <v>0.91276467769724</v>
      </c>
      <c r="F1232" s="20" t="n">
        <f aca="false">Allcargo!H163</f>
        <v>0.540911334101003</v>
      </c>
      <c r="G1232" s="20" t="n">
        <f aca="false">Allcargo!I163</f>
        <v>0.166666666666667</v>
      </c>
      <c r="H1232" s="20" t="n">
        <f aca="false">Allcargo!J163</f>
        <v>0.0606060606060606</v>
      </c>
      <c r="I1232" s="21" t="n">
        <f aca="false">Allcargo!K163</f>
        <v>0.562519484639094</v>
      </c>
      <c r="J1232" s="34" t="str">
        <f aca="false">IF(AND(ISNUMBER(H1232),ISNUMBER(H$1243)),IF(H1232&gt;H$1243,"Above",IF(H1232&lt;H$1243,"Below","At")),"-")</f>
        <v>Below</v>
      </c>
      <c r="K1232" s="34" t="str">
        <f aca="false">IF(J1232="Above","Better",IF(J1232="Below","Weaker","-"))</f>
        <v>Weaker</v>
      </c>
      <c r="L1232" s="34" t="n">
        <f aca="false">IF(ISNUMBER(H1232),RANK(H1232,H$1231:H$1240,0),"-")</f>
        <v>10</v>
      </c>
      <c r="N1232" s="34" t="str">
        <f aca="false">IF(AND(ISNUMBER(I1232),ISNUMBER(I$1243)),IF(I1232&gt;I$1243,"Above",IF(I1232&lt;I$1243,"Below","At")),"-")</f>
        <v>Below</v>
      </c>
      <c r="O1232" s="34" t="str">
        <f aca="false">IF(N1232="Above","Better",IF(N1232="Below","Weaker","-"))</f>
        <v>Weaker</v>
      </c>
    </row>
    <row r="1233" customFormat="false" ht="15" hidden="false" customHeight="false" outlineLevel="0" collapsed="false">
      <c r="A1233" s="18" t="s">
        <v>112</v>
      </c>
      <c r="B1233" s="20" t="n">
        <f aca="false">BlueDart!D163</f>
        <v>-0.499872220802453</v>
      </c>
      <c r="C1233" s="20" t="n">
        <f aca="false">BlueDart!E163</f>
        <v>0.55750977107761</v>
      </c>
      <c r="D1233" s="20" t="n">
        <f aca="false">BlueDart!F163</f>
        <v>0.85487100757601</v>
      </c>
      <c r="E1233" s="20" t="n">
        <f aca="false">BlueDart!G163</f>
        <v>0.883749239196592</v>
      </c>
      <c r="F1233" s="20" t="n">
        <f aca="false">BlueDart!H163</f>
        <v>0.834183023196533</v>
      </c>
      <c r="G1233" s="20" t="n">
        <f aca="false">BlueDart!I163</f>
        <v>0.808230337732468</v>
      </c>
      <c r="H1233" s="20" t="n">
        <f aca="false">BlueDart!J163</f>
        <v>0.792332500788089</v>
      </c>
      <c r="I1233" s="21" t="n">
        <f aca="false">BlueDart!K163</f>
        <v>0.604429094109264</v>
      </c>
      <c r="J1233" s="34" t="str">
        <f aca="false">IF(AND(ISNUMBER(H1233),ISNUMBER(H$1243)),IF(H1233&gt;H$1243,"Above",IF(H1233&lt;H$1243,"Below","At")),"-")</f>
        <v>Above</v>
      </c>
      <c r="K1233" s="34" t="str">
        <f aca="false">IF(J1233="Above","Better",IF(J1233="Below","Weaker","-"))</f>
        <v>Better</v>
      </c>
      <c r="L1233" s="34" t="n">
        <f aca="false">IF(ISNUMBER(H1233),RANK(H1233,H$1231:H$1240,0),"-")</f>
        <v>5</v>
      </c>
      <c r="N1233" s="34" t="str">
        <f aca="false">IF(AND(ISNUMBER(I1233),ISNUMBER(I$1243)),IF(I1233&gt;I$1243,"Above",IF(I1233&lt;I$1243,"Below","At")),"-")</f>
        <v>Above</v>
      </c>
      <c r="O1233" s="34" t="str">
        <f aca="false">IF(N1233="Above","Better",IF(N1233="Below","Weaker","-"))</f>
        <v>Better</v>
      </c>
    </row>
    <row r="1234" customFormat="false" ht="15" hidden="false" customHeight="false" outlineLevel="0" collapsed="false">
      <c r="A1234" s="18" t="s">
        <v>67</v>
      </c>
      <c r="B1234" s="20" t="n">
        <f aca="false">CONCOR!D163</f>
        <v>0.921318807922335</v>
      </c>
      <c r="C1234" s="20" t="n">
        <f aca="false">CONCOR!E163</f>
        <v>0.939463665648663</v>
      </c>
      <c r="D1234" s="20" t="n">
        <f aca="false">CONCOR!F163</f>
        <v>0.956879455983971</v>
      </c>
      <c r="E1234" s="20" t="n">
        <f aca="false">CONCOR!G163</f>
        <v>0.9602670974955</v>
      </c>
      <c r="F1234" s="20" t="n">
        <f aca="false">CONCOR!H163</f>
        <v>0.958782257925494</v>
      </c>
      <c r="G1234" s="20" t="n">
        <f aca="false">CONCOR!I163</f>
        <v>0.959033648544792</v>
      </c>
      <c r="H1234" s="20" t="n">
        <f aca="false">CONCOR!J163</f>
        <v>0.954588561845834</v>
      </c>
      <c r="I1234" s="21" t="n">
        <f aca="false">CONCOR!K163</f>
        <v>0.950047642195227</v>
      </c>
      <c r="J1234" s="34" t="str">
        <f aca="false">IF(AND(ISNUMBER(H1234),ISNUMBER(H$1243)),IF(H1234&gt;H$1243,"Above",IF(H1234&lt;H$1243,"Below","At")),"-")</f>
        <v>Above</v>
      </c>
      <c r="K1234" s="34" t="str">
        <f aca="false">IF(J1234="Above","Better",IF(J1234="Below","Weaker","-"))</f>
        <v>Better</v>
      </c>
      <c r="L1234" s="34" t="n">
        <f aca="false">IF(ISNUMBER(H1234),RANK(H1234,H$1231:H$1240,0),"-")</f>
        <v>3</v>
      </c>
      <c r="N1234" s="34" t="str">
        <f aca="false">IF(AND(ISNUMBER(I1234),ISNUMBER(I$1243)),IF(I1234&gt;I$1243,"Above",IF(I1234&lt;I$1243,"Below","At")),"-")</f>
        <v>Above</v>
      </c>
      <c r="O1234" s="34" t="str">
        <f aca="false">IF(N1234="Above","Better",IF(N1234="Below","Weaker","-"))</f>
        <v>Better</v>
      </c>
    </row>
    <row r="1235" customFormat="false" ht="15" hidden="false" customHeight="false" outlineLevel="0" collapsed="false">
      <c r="A1235" s="18" t="s">
        <v>113</v>
      </c>
      <c r="B1235" s="20" t="n">
        <f aca="false">JetFreight!D163</f>
        <v>2.11707317073171</v>
      </c>
      <c r="C1235" s="20" t="n">
        <f aca="false">JetFreight!E163</f>
        <v>0.499354838709677</v>
      </c>
      <c r="D1235" s="20" t="n">
        <f aca="false">JetFreight!F163</f>
        <v>0.526932084309134</v>
      </c>
      <c r="E1235" s="20" t="n">
        <f aca="false">JetFreight!G163</f>
        <v>0.145516074450085</v>
      </c>
      <c r="F1235" s="20" t="n">
        <f aca="false">JetFreight!H163</f>
        <v>0.0357142857142857</v>
      </c>
      <c r="G1235" s="20" t="n">
        <f aca="false">JetFreight!I163</f>
        <v>0.477668433005299</v>
      </c>
      <c r="H1235" s="20" t="n">
        <f aca="false">JetFreight!J163</f>
        <v>0.623453469607316</v>
      </c>
      <c r="I1235" s="21" t="n">
        <f aca="false">JetFreight!K163</f>
        <v>0.632244622361072</v>
      </c>
      <c r="J1235" s="34" t="str">
        <f aca="false">IF(AND(ISNUMBER(H1235),ISNUMBER(H$1243)),IF(H1235&gt;H$1243,"Above",IF(H1235&lt;H$1243,"Below","At")),"-")</f>
        <v>Below</v>
      </c>
      <c r="K1235" s="34" t="str">
        <f aca="false">IF(J1235="Above","Better",IF(J1235="Below","Weaker","-"))</f>
        <v>Weaker</v>
      </c>
      <c r="L1235" s="34" t="n">
        <f aca="false">IF(ISNUMBER(H1235),RANK(H1235,H$1231:H$1240,0),"-")</f>
        <v>6</v>
      </c>
      <c r="N1235" s="34" t="str">
        <f aca="false">IF(AND(ISNUMBER(I1235),ISNUMBER(I$1243)),IF(I1235&gt;I$1243,"Above",IF(I1235&lt;I$1243,"Below","At")),"-")</f>
        <v>Above</v>
      </c>
      <c r="O1235" s="34" t="str">
        <f aca="false">IF(N1235="Above","Better",IF(N1235="Below","Weaker","-"))</f>
        <v>Better</v>
      </c>
    </row>
    <row r="1236" customFormat="false" ht="15" hidden="false" customHeight="false" outlineLevel="0" collapsed="false">
      <c r="A1236" s="18" t="s">
        <v>114</v>
      </c>
      <c r="B1236" s="20" t="n">
        <f aca="false">Patel!D163</f>
        <v>0.634520276953511</v>
      </c>
      <c r="C1236" s="20" t="n">
        <f aca="false">Patel!E163</f>
        <v>0.0355781448538755</v>
      </c>
      <c r="D1236" s="20" t="n">
        <f aca="false">Patel!F163</f>
        <v>0.294583883751651</v>
      </c>
      <c r="E1236" s="20" t="n">
        <f aca="false">Patel!G163</f>
        <v>0.493092454835282</v>
      </c>
      <c r="F1236" s="20" t="n">
        <f aca="false">Patel!H163</f>
        <v>0.686819830713422</v>
      </c>
      <c r="G1236" s="20" t="n">
        <f aca="false">Patel!I163</f>
        <v>0.866666666666667</v>
      </c>
      <c r="H1236" s="20" t="n">
        <f aca="false">Patel!J163</f>
        <v>0.967166979362101</v>
      </c>
      <c r="I1236" s="21" t="n">
        <f aca="false">Patel!K163</f>
        <v>0.568346891019501</v>
      </c>
      <c r="J1236" s="34" t="str">
        <f aca="false">IF(AND(ISNUMBER(H1236),ISNUMBER(H$1243)),IF(H1236&gt;H$1243,"Above",IF(H1236&lt;H$1243,"Below","At")),"-")</f>
        <v>Above</v>
      </c>
      <c r="K1236" s="34" t="str">
        <f aca="false">IF(J1236="Above","Better",IF(J1236="Below","Weaker","-"))</f>
        <v>Better</v>
      </c>
      <c r="L1236" s="34" t="n">
        <f aca="false">IF(ISNUMBER(H1236),RANK(H1236,H$1231:H$1240,0),"-")</f>
        <v>1</v>
      </c>
      <c r="N1236" s="34" t="str">
        <f aca="false">IF(AND(ISNUMBER(I1236),ISNUMBER(I$1243)),IF(I1236&gt;I$1243,"Above",IF(I1236&lt;I$1243,"Below","At")),"-")</f>
        <v>Below</v>
      </c>
      <c r="O1236" s="34" t="str">
        <f aca="false">IF(N1236="Above","Better",IF(N1236="Below","Weaker","-"))</f>
        <v>Weaker</v>
      </c>
    </row>
    <row r="1237" customFormat="false" ht="15" hidden="false" customHeight="false" outlineLevel="0" collapsed="false">
      <c r="A1237" s="18" t="s">
        <v>115</v>
      </c>
      <c r="B1237" s="20" t="n">
        <f aca="false">Sical!D163</f>
        <v>1.70588990119338</v>
      </c>
      <c r="C1237" s="20" t="n">
        <f aca="false">Sical!E163</f>
        <v>1.13546340181604</v>
      </c>
      <c r="D1237" s="20" t="n">
        <f aca="false">Sical!F163</f>
        <v>1.09246901811249</v>
      </c>
      <c r="E1237" s="20" t="n">
        <f aca="false">Sical!G163</f>
        <v>1.02396772956185</v>
      </c>
      <c r="F1237" s="20" t="n">
        <f aca="false">Sical!H163</f>
        <v>-1.5425048669695</v>
      </c>
      <c r="G1237" s="20" t="n">
        <f aca="false">Sical!I163</f>
        <v>-2.45171588188348</v>
      </c>
      <c r="H1237" s="20" t="n">
        <f aca="false">Sical!J163</f>
        <v>0.442181085895748</v>
      </c>
      <c r="I1237" s="21" t="n">
        <f aca="false">Sical!K163</f>
        <v>0.200821483960932</v>
      </c>
      <c r="J1237" s="34" t="str">
        <f aca="false">IF(AND(ISNUMBER(H1237),ISNUMBER(H$1243)),IF(H1237&gt;H$1243,"Above",IF(H1237&lt;H$1243,"Below","At")),"-")</f>
        <v>Below</v>
      </c>
      <c r="K1237" s="34" t="str">
        <f aca="false">IF(J1237="Above","Better",IF(J1237="Below","Weaker","-"))</f>
        <v>Weaker</v>
      </c>
      <c r="L1237" s="34" t="n">
        <f aca="false">IF(ISNUMBER(H1237),RANK(H1237,H$1231:H$1240,0),"-")</f>
        <v>8</v>
      </c>
      <c r="N1237" s="34" t="str">
        <f aca="false">IF(AND(ISNUMBER(I1237),ISNUMBER(I$1243)),IF(I1237&gt;I$1243,"Above",IF(I1237&lt;I$1243,"Below","At")),"-")</f>
        <v>Below</v>
      </c>
      <c r="O1237" s="34" t="str">
        <f aca="false">IF(N1237="Above","Better",IF(N1237="Below","Weaker","-"))</f>
        <v>Weaker</v>
      </c>
    </row>
    <row r="1238" customFormat="false" ht="15" hidden="false" customHeight="false" outlineLevel="0" collapsed="false">
      <c r="A1238" s="18" t="s">
        <v>86</v>
      </c>
      <c r="B1238" s="20" t="n">
        <f aca="false">TCI!D163</f>
        <v>0.822571472884248</v>
      </c>
      <c r="C1238" s="20" t="n">
        <f aca="false">TCI!E163</f>
        <v>0.867131127146056</v>
      </c>
      <c r="D1238" s="20" t="n">
        <f aca="false">TCI!F163</f>
        <v>0.962627439557239</v>
      </c>
      <c r="E1238" s="20" t="n">
        <f aca="false">TCI!G163</f>
        <v>0.973732780526949</v>
      </c>
      <c r="F1238" s="20" t="n">
        <f aca="false">TCI!H163</f>
        <v>0.966937412796492</v>
      </c>
      <c r="G1238" s="20" t="n">
        <f aca="false">TCI!I163</f>
        <v>0.957960588051298</v>
      </c>
      <c r="H1238" s="20" t="n">
        <f aca="false">TCI!J163</f>
        <v>0.956397795974593</v>
      </c>
      <c r="I1238" s="21" t="n">
        <f aca="false">TCI!K163</f>
        <v>0.929622659562411</v>
      </c>
      <c r="J1238" s="34" t="str">
        <f aca="false">IF(AND(ISNUMBER(H1238),ISNUMBER(H$1243)),IF(H1238&gt;H$1243,"Above",IF(H1238&lt;H$1243,"Below","At")),"-")</f>
        <v>Above</v>
      </c>
      <c r="K1238" s="34" t="str">
        <f aca="false">IF(J1238="Above","Better",IF(J1238="Below","Weaker","-"))</f>
        <v>Better</v>
      </c>
      <c r="L1238" s="34" t="n">
        <f aca="false">IF(ISNUMBER(H1238),RANK(H1238,H$1231:H$1240,0),"-")</f>
        <v>2</v>
      </c>
      <c r="N1238" s="34" t="str">
        <f aca="false">IF(AND(ISNUMBER(I1238),ISNUMBER(I$1243)),IF(I1238&gt;I$1243,"Above",IF(I1238&lt;I$1243,"Below","At")),"-")</f>
        <v>Above</v>
      </c>
      <c r="O1238" s="34" t="str">
        <f aca="false">IF(N1238="Above","Better",IF(N1238="Below","Weaker","-"))</f>
        <v>Better</v>
      </c>
    </row>
    <row r="1239" customFormat="false" ht="15" hidden="false" customHeight="false" outlineLevel="0" collapsed="false">
      <c r="A1239" s="18" t="s">
        <v>116</v>
      </c>
      <c r="B1239" s="20" t="n">
        <f aca="false">Shreeji!D163</f>
        <v>0.383944153577661</v>
      </c>
      <c r="C1239" s="20" t="n">
        <f aca="false">Shreeji!E163</f>
        <v>-0.295384615384615</v>
      </c>
      <c r="D1239" s="20" t="n">
        <f aca="false">Shreeji!F163</f>
        <v>0.740740740740741</v>
      </c>
      <c r="E1239" s="20" t="n">
        <f aca="false">Shreeji!G163</f>
        <v>0.782786885245902</v>
      </c>
      <c r="F1239" s="20" t="n">
        <f aca="false">Shreeji!H163</f>
        <v>0.812050018946571</v>
      </c>
      <c r="G1239" s="20" t="n">
        <f aca="false">Shreeji!I163</f>
        <v>0.342342342342342</v>
      </c>
      <c r="H1239" s="20" t="n">
        <f aca="false">Shreeji!J163</f>
        <v>0.461139896373057</v>
      </c>
      <c r="I1239" s="21" t="n">
        <f aca="false">Shreeji!K163</f>
        <v>0.461088488834523</v>
      </c>
      <c r="J1239" s="34" t="str">
        <f aca="false">IF(AND(ISNUMBER(H1239),ISNUMBER(H$1243)),IF(H1239&gt;H$1243,"Above",IF(H1239&lt;H$1243,"Below","At")),"-")</f>
        <v>Below</v>
      </c>
      <c r="K1239" s="34" t="str">
        <f aca="false">IF(J1239="Above","Better",IF(J1239="Below","Weaker","-"))</f>
        <v>Weaker</v>
      </c>
      <c r="L1239" s="34" t="n">
        <f aca="false">IF(ISNUMBER(H1239),RANK(H1239,H$1231:H$1240,0),"-")</f>
        <v>7</v>
      </c>
      <c r="N1239" s="34" t="str">
        <f aca="false">IF(AND(ISNUMBER(I1239),ISNUMBER(I$1243)),IF(I1239&gt;I$1243,"Above",IF(I1239&lt;I$1243,"Below","At")),"-")</f>
        <v>Below</v>
      </c>
      <c r="O1239" s="34" t="str">
        <f aca="false">IF(N1239="Above","Better",IF(N1239="Below","Weaker","-"))</f>
        <v>Weaker</v>
      </c>
    </row>
    <row r="1240" customFormat="false" ht="15" hidden="false" customHeight="false" outlineLevel="0" collapsed="false">
      <c r="A1240" s="18" t="s">
        <v>117</v>
      </c>
      <c r="B1240" s="20" t="n">
        <f aca="false">MahindraLog!D163</f>
        <v>0.821594818862579</v>
      </c>
      <c r="C1240" s="20" t="n">
        <f aca="false">MahindraLog!E163</f>
        <v>0.661157024793388</v>
      </c>
      <c r="D1240" s="20" t="n">
        <f aca="false">MahindraLog!F163</f>
        <v>0.468733297701764</v>
      </c>
      <c r="E1240" s="20" t="n">
        <f aca="false">MahindraLog!G163</f>
        <v>0.401114853094879</v>
      </c>
      <c r="F1240" s="20" t="n">
        <f aca="false">MahindraLog!H163</f>
        <v>-0.631793152980608</v>
      </c>
      <c r="G1240" s="20" t="n">
        <f aca="false">MahindraLog!I163</f>
        <v>-0.104296981234702</v>
      </c>
      <c r="H1240" s="20" t="n">
        <f aca="false">MahindraLog!J163</f>
        <v>0.306526160103531</v>
      </c>
      <c r="I1240" s="21" t="n">
        <f aca="false">MahindraLog!K163</f>
        <v>0.274719431477261</v>
      </c>
      <c r="J1240" s="34" t="str">
        <f aca="false">IF(AND(ISNUMBER(H1240),ISNUMBER(H$1243)),IF(H1240&gt;H$1243,"Above",IF(H1240&lt;H$1243,"Below","At")),"-")</f>
        <v>Below</v>
      </c>
      <c r="K1240" s="34" t="str">
        <f aca="false">IF(J1240="Above","Better",IF(J1240="Below","Weaker","-"))</f>
        <v>Weaker</v>
      </c>
      <c r="L1240" s="34" t="n">
        <f aca="false">IF(ISNUMBER(H1240),RANK(H1240,H$1231:H$1240,0),"-")</f>
        <v>9</v>
      </c>
      <c r="N1240" s="34" t="str">
        <f aca="false">IF(AND(ISNUMBER(I1240),ISNUMBER(I$1243)),IF(I1240&gt;I$1243,"Above",IF(I1240&lt;I$1243,"Below","At")),"-")</f>
        <v>Below</v>
      </c>
      <c r="O1240" s="34" t="str">
        <f aca="false">IF(N1240="Above","Better",IF(N1240="Below","Weaker","-"))</f>
        <v>Weaker</v>
      </c>
    </row>
    <row r="1241" customFormat="false" ht="15" hidden="false" customHeight="false" outlineLevel="0" collapsed="false">
      <c r="A1241" s="12" t="s">
        <v>176</v>
      </c>
      <c r="B1241" s="21" t="n">
        <f aca="false">Industry!D163</f>
        <v>0.713879666750188</v>
      </c>
      <c r="C1241" s="21" t="n">
        <f aca="false">Industry!E163</f>
        <v>0.0202697419859263</v>
      </c>
      <c r="D1241" s="21" t="n">
        <f aca="false">Industry!F163</f>
        <v>0.910062894822038</v>
      </c>
      <c r="E1241" s="21" t="n">
        <f aca="false">Industry!G163</f>
        <v>0.892283451535828</v>
      </c>
      <c r="F1241" s="21" t="n">
        <f aca="false">Industry!H163</f>
        <v>0.86013208959407</v>
      </c>
      <c r="G1241" s="21" t="n">
        <f aca="false">Industry!I163</f>
        <v>0.86728517512538</v>
      </c>
      <c r="H1241" s="21" t="n">
        <f aca="false">Industry!J163</f>
        <v>0.86417421290934</v>
      </c>
      <c r="I1241" s="21" t="n">
        <f aca="false">Industry!K163</f>
        <v>0.732583890388967</v>
      </c>
    </row>
    <row r="1242" customFormat="false" ht="15" hidden="false" customHeight="false" outlineLevel="0" collapsed="false">
      <c r="A1242" s="35" t="s">
        <v>177</v>
      </c>
      <c r="B1242" s="37" t="n">
        <f aca="false">IFERROR(AVERAGE(B1231:B1240),"N/M")</f>
        <v>0.928943371680817</v>
      </c>
      <c r="C1242" s="37" t="n">
        <f aca="false">IFERROR(AVERAGE(C1231:C1240),"N/M")</f>
        <v>0.611936674647206</v>
      </c>
      <c r="D1242" s="37" t="n">
        <f aca="false">IFERROR(AVERAGE(D1231:D1240),"N/M")</f>
        <v>0.778600252996365</v>
      </c>
      <c r="E1242" s="37" t="n">
        <f aca="false">IFERROR(AVERAGE(E1231:E1240),"N/M")</f>
        <v>0.754517220606782</v>
      </c>
      <c r="F1242" s="37" t="n">
        <f aca="false">IFERROR(AVERAGE(F1231:F1240),"N/M")</f>
        <v>0.361990773151957</v>
      </c>
      <c r="G1242" s="37" t="n">
        <f aca="false">IFERROR(AVERAGE(G1231:G1240),"N/M")</f>
        <v>0.293761667181833</v>
      </c>
      <c r="H1242" s="37" t="n">
        <f aca="false">IFERROR(AVERAGE(H1231:H1240),"N/M")</f>
        <v>0.641123935740318</v>
      </c>
      <c r="I1242" s="37" t="n">
        <f aca="false">IFERROR(AVERAGE(I1231:I1240),"N/M")</f>
        <v>0.624410556572183</v>
      </c>
    </row>
    <row r="1243" customFormat="false" ht="15" hidden="false" customHeight="false" outlineLevel="0" collapsed="false">
      <c r="A1243" s="35" t="s">
        <v>178</v>
      </c>
      <c r="B1243" s="37" t="n">
        <f aca="false">IFERROR(MEDIAN(B1231:B1240),"N/M")</f>
        <v>0.822083145873413</v>
      </c>
      <c r="C1243" s="37" t="n">
        <f aca="false">IFERROR(MEDIAN(C1231:C1240),"N/M")</f>
        <v>0.609333397935499</v>
      </c>
      <c r="D1243" s="37" t="n">
        <f aca="false">IFERROR(MEDIAN(D1231:D1240),"N/M")</f>
        <v>0.890932035939589</v>
      </c>
      <c r="E1243" s="37" t="n">
        <f aca="false">IFERROR(MEDIAN(E1231:E1240),"N/M")</f>
        <v>0.898256958446916</v>
      </c>
      <c r="F1243" s="37" t="n">
        <f aca="false">IFERROR(MEDIAN(F1231:F1240),"N/M")</f>
        <v>0.749434924829996</v>
      </c>
      <c r="G1243" s="37" t="n">
        <f aca="false">IFERROR(MEDIAN(G1231:G1240),"N/M")</f>
        <v>0.642949385368883</v>
      </c>
      <c r="H1243" s="37" t="n">
        <f aca="false">IFERROR(MEDIAN(H1231:H1240),"N/M")</f>
        <v>0.707892985197702</v>
      </c>
      <c r="I1243" s="37" t="n">
        <f aca="false">IFERROR(MEDIAN(I1231:I1240),"N/M")</f>
        <v>0.586387992564383</v>
      </c>
    </row>
    <row r="1244" customFormat="false" ht="15" hidden="false" customHeight="false" outlineLevel="0" collapsed="false">
      <c r="A1244" s="35" t="s">
        <v>179</v>
      </c>
      <c r="B1244" s="37" t="n">
        <f aca="false">IFERROR(STDEV(B1231:B1240),"N/M")</f>
        <v>0.737982733414987</v>
      </c>
      <c r="C1244" s="37" t="n">
        <f aca="false">IFERROR(STDEV(C1231:C1240),"N/M")</f>
        <v>0.467243357602658</v>
      </c>
      <c r="D1244" s="37" t="n">
        <f aca="false">IFERROR(STDEV(D1231:D1240),"N/M")</f>
        <v>0.262550092677057</v>
      </c>
      <c r="E1244" s="37" t="n">
        <f aca="false">IFERROR(STDEV(E1231:E1240),"N/M")</f>
        <v>0.300980784603983</v>
      </c>
      <c r="F1244" s="37" t="n">
        <f aca="false">IFERROR(STDEV(F1231:F1240),"N/M")</f>
        <v>0.840801379275291</v>
      </c>
      <c r="G1244" s="37" t="n">
        <f aca="false">IFERROR(STDEV(G1231:G1240),"N/M")</f>
        <v>1.03339195660161</v>
      </c>
      <c r="H1244" s="37" t="n">
        <f aca="false">IFERROR(STDEV(H1231:H1240),"N/M")</f>
        <v>0.314534775232436</v>
      </c>
      <c r="I1244" s="37" t="n">
        <f aca="false">IFERROR(STDEV(I1231:I1240),"N/M")</f>
        <v>0.283819907358585</v>
      </c>
    </row>
    <row r="1245" customFormat="false" ht="15" hidden="false" customHeight="false" outlineLevel="0" collapsed="false">
      <c r="A1245" s="35" t="s">
        <v>102</v>
      </c>
      <c r="B1245" s="37" t="n">
        <f aca="false">IFERROR(MIN(B1231:B1240),"N/M")</f>
        <v>-0.499872220802453</v>
      </c>
      <c r="C1245" s="37" t="n">
        <f aca="false">IFERROR(MIN(C1231:C1240),"N/M")</f>
        <v>-0.295384615384615</v>
      </c>
      <c r="D1245" s="37" t="n">
        <f aca="false">IFERROR(MIN(D1231:D1240),"N/M")</f>
        <v>0.294583883751651</v>
      </c>
      <c r="E1245" s="37" t="n">
        <f aca="false">IFERROR(MIN(E1231:E1240),"N/M")</f>
        <v>0.145516074450085</v>
      </c>
      <c r="F1245" s="37" t="n">
        <f aca="false">IFERROR(MIN(F1231:F1240),"N/M")</f>
        <v>-1.5425048669695</v>
      </c>
      <c r="G1245" s="37" t="n">
        <f aca="false">IFERROR(MIN(G1231:G1240),"N/M")</f>
        <v>-2.45171588188348</v>
      </c>
      <c r="H1245" s="37" t="n">
        <f aca="false">IFERROR(MIN(H1231:H1240),"N/M")</f>
        <v>0.0606060606060606</v>
      </c>
      <c r="I1245" s="37" t="n">
        <f aca="false">IFERROR(MIN(I1231:I1240),"N/M")</f>
        <v>0.200821483960932</v>
      </c>
    </row>
    <row r="1246" customFormat="false" ht="15" hidden="false" customHeight="false" outlineLevel="0" collapsed="false">
      <c r="A1246" s="35" t="s">
        <v>103</v>
      </c>
      <c r="B1246" s="37" t="n">
        <f aca="false">IFERROR(MAX(B1231:B1240),"N/M")</f>
        <v>2.11707317073171</v>
      </c>
      <c r="C1246" s="37" t="n">
        <f aca="false">IFERROR(MAX(C1231:C1240),"N/M")</f>
        <v>1.19291338582677</v>
      </c>
      <c r="D1246" s="37" t="n">
        <f aca="false">IFERROR(MAX(D1231:D1240),"N/M")</f>
        <v>1.09246901811249</v>
      </c>
      <c r="E1246" s="37" t="n">
        <f aca="false">IFERROR(MAX(E1231:E1240),"N/M")</f>
        <v>1.02396772956185</v>
      </c>
      <c r="F1246" s="37" t="n">
        <f aca="false">IFERROR(MAX(F1231:F1240),"N/M")</f>
        <v>0.966937412796492</v>
      </c>
      <c r="G1246" s="37" t="n">
        <f aca="false">IFERROR(MAX(G1231:G1240),"N/M")</f>
        <v>0.959033648544792</v>
      </c>
      <c r="H1246" s="37" t="n">
        <f aca="false">IFERROR(MAX(H1231:H1240),"N/M")</f>
        <v>0.967166979362101</v>
      </c>
      <c r="I1246" s="37" t="n">
        <f aca="false">IFERROR(MAX(I1231:I1240),"N/M")</f>
        <v>1.06026576756254</v>
      </c>
    </row>
    <row r="1248" customFormat="false" ht="15" hidden="false" customHeight="false" outlineLevel="0" collapsed="false">
      <c r="A1248" s="16" t="s">
        <v>249</v>
      </c>
      <c r="B1248" s="17"/>
      <c r="C1248" s="17"/>
      <c r="D1248" s="17"/>
      <c r="E1248" s="17"/>
      <c r="F1248" s="17"/>
      <c r="G1248" s="17"/>
      <c r="H1248" s="17"/>
      <c r="I1248" s="17"/>
      <c r="J1248" s="17"/>
      <c r="K1248" s="17"/>
      <c r="L1248" s="17"/>
      <c r="M1248" s="17"/>
    </row>
    <row r="1249" customFormat="false" ht="15" hidden="false" customHeight="false" outlineLevel="0" collapsed="false">
      <c r="A1249" s="18" t="s">
        <v>110</v>
      </c>
      <c r="B1249" s="23" t="n">
        <f aca="false">Tiger!D164</f>
        <v>-0.0254411569590023</v>
      </c>
      <c r="C1249" s="23" t="n">
        <f aca="false">Tiger!E164</f>
        <v>-0.0605230237683922</v>
      </c>
      <c r="D1249" s="23" t="n">
        <f aca="false">Tiger!F164</f>
        <v>0.063224463917023</v>
      </c>
      <c r="E1249" s="23" t="n">
        <f aca="false">Tiger!G164</f>
        <v>0.0746971270335756</v>
      </c>
      <c r="F1249" s="23" t="n">
        <f aca="false">Tiger!H164</f>
        <v>0.0767918088737202</v>
      </c>
      <c r="G1249" s="23" t="n">
        <f aca="false">Tiger!I164</f>
        <v>0.0735395573455651</v>
      </c>
      <c r="H1249" s="23" t="n">
        <f aca="false">Tiger!J164</f>
        <v>0.0600712265633183</v>
      </c>
      <c r="I1249" s="24" t="n">
        <f aca="false">Tiger!K164</f>
        <v>0.0374800004294011</v>
      </c>
      <c r="J1249" s="34" t="str">
        <f aca="false">IF(AND(ISNUMBER(H1249),ISNUMBER(H$1261)),IF(H1249&gt;H$1261,"Above",IF(H1249&lt;H$1261,"Below","At")),"-")</f>
        <v>Above</v>
      </c>
      <c r="K1249" s="34" t="str">
        <f aca="false">IF(J1249="Above","Better",IF(J1249="Below","Weaker","-"))</f>
        <v>Better</v>
      </c>
      <c r="L1249" s="34" t="n">
        <f aca="false">IF(ISNUMBER(H1249),RANK(H1249,H$1249:H$1258,0),"-")</f>
        <v>5</v>
      </c>
      <c r="N1249" s="34" t="str">
        <f aca="false">IF(AND(ISNUMBER(I1249),ISNUMBER(I$1261)),IF(I1249&gt;I$1261,"Above",IF(I1249&lt;I$1261,"Below","At")),"-")</f>
        <v>Below</v>
      </c>
      <c r="O1249" s="34" t="str">
        <f aca="false">IF(N1249="Above","Better",IF(N1249="Below","Weaker","-"))</f>
        <v>Weaker</v>
      </c>
    </row>
    <row r="1250" customFormat="false" ht="15" hidden="false" customHeight="false" outlineLevel="0" collapsed="false">
      <c r="A1250" s="18" t="s">
        <v>111</v>
      </c>
      <c r="B1250" s="23" t="n">
        <f aca="false">Allcargo!D164</f>
        <v>0.0517448381757198</v>
      </c>
      <c r="C1250" s="23" t="n">
        <f aca="false">Allcargo!E164</f>
        <v>0.0287985444985283</v>
      </c>
      <c r="D1250" s="23" t="n">
        <f aca="false">Allcargo!F164</f>
        <v>0.0691331367124015</v>
      </c>
      <c r="E1250" s="23" t="n">
        <f aca="false">Allcargo!G164</f>
        <v>0.0543417261424305</v>
      </c>
      <c r="F1250" s="23" t="n">
        <f aca="false">Allcargo!H164</f>
        <v>0.0234372349383283</v>
      </c>
      <c r="G1250" s="23" t="n">
        <f aca="false">Allcargo!I164</f>
        <v>0.0458949515553289</v>
      </c>
      <c r="H1250" s="23" t="n">
        <f aca="false">Allcargo!J164</f>
        <v>0.0320699708454811</v>
      </c>
      <c r="I1250" s="24" t="n">
        <f aca="false">Allcargo!K164</f>
        <v>0.0436314861240312</v>
      </c>
      <c r="J1250" s="34" t="str">
        <f aca="false">IF(AND(ISNUMBER(H1250),ISNUMBER(H$1261)),IF(H1250&gt;H$1261,"Above",IF(H1250&lt;H$1261,"Below","At")),"-")</f>
        <v>Below</v>
      </c>
      <c r="K1250" s="34" t="str">
        <f aca="false">IF(J1250="Above","Better",IF(J1250="Below","Weaker","-"))</f>
        <v>Weaker</v>
      </c>
      <c r="L1250" s="34" t="n">
        <f aca="false">IF(ISNUMBER(H1250),RANK(H1250,H$1249:H$1258,0),"-")</f>
        <v>8</v>
      </c>
      <c r="N1250" s="34" t="str">
        <f aca="false">IF(AND(ISNUMBER(I1250),ISNUMBER(I$1261)),IF(I1250&gt;I$1261,"Above",IF(I1250&lt;I$1261,"Below","At")),"-")</f>
        <v>Above</v>
      </c>
      <c r="O1250" s="34" t="str">
        <f aca="false">IF(N1250="Above","Better",IF(N1250="Below","Weaker","-"))</f>
        <v>Better</v>
      </c>
    </row>
    <row r="1251" customFormat="false" ht="15" hidden="false" customHeight="false" outlineLevel="0" collapsed="false">
      <c r="A1251" s="18" t="s">
        <v>112</v>
      </c>
      <c r="B1251" s="23" t="n">
        <f aca="false">BlueDart!D164</f>
        <v>0.024647809695981</v>
      </c>
      <c r="C1251" s="23" t="n">
        <f aca="false">BlueDart!E164</f>
        <v>0.0762561090954433</v>
      </c>
      <c r="D1251" s="23" t="n">
        <f aca="false">BlueDart!F164</f>
        <v>0.13587152447914</v>
      </c>
      <c r="E1251" s="23" t="n">
        <f aca="false">BlueDart!G164</f>
        <v>0.111180498896025</v>
      </c>
      <c r="F1251" s="23" t="n">
        <f aca="false">BlueDart!H164</f>
        <v>0.0893650706268046</v>
      </c>
      <c r="G1251" s="23" t="n">
        <f aca="false">BlueDart!I164</f>
        <v>0.0751077763287169</v>
      </c>
      <c r="H1251" s="23" t="n">
        <f aca="false">BlueDart!J164</f>
        <v>0.0671548703117468</v>
      </c>
      <c r="I1251" s="24" t="n">
        <f aca="false">BlueDart!K164</f>
        <v>0.0827976656334082</v>
      </c>
      <c r="J1251" s="34" t="str">
        <f aca="false">IF(AND(ISNUMBER(H1251),ISNUMBER(H$1261)),IF(H1251&gt;H$1261,"Above",IF(H1251&lt;H$1261,"Below","At")),"-")</f>
        <v>Above</v>
      </c>
      <c r="K1251" s="34" t="str">
        <f aca="false">IF(J1251="Above","Better",IF(J1251="Below","Weaker","-"))</f>
        <v>Better</v>
      </c>
      <c r="L1251" s="34" t="n">
        <f aca="false">IF(ISNUMBER(H1251),RANK(H1251,H$1249:H$1258,0),"-")</f>
        <v>4</v>
      </c>
      <c r="N1251" s="34" t="str">
        <f aca="false">IF(AND(ISNUMBER(I1251),ISNUMBER(I$1261)),IF(I1251&gt;I$1261,"Above",IF(I1251&lt;I$1261,"Below","At")),"-")</f>
        <v>Above</v>
      </c>
      <c r="O1251" s="34" t="str">
        <f aca="false">IF(N1251="Above","Better",IF(N1251="Below","Weaker","-"))</f>
        <v>Better</v>
      </c>
    </row>
    <row r="1252" customFormat="false" ht="15" hidden="false" customHeight="false" outlineLevel="0" collapsed="false">
      <c r="A1252" s="18" t="s">
        <v>67</v>
      </c>
      <c r="B1252" s="23" t="n">
        <f aca="false">CONCOR!D164</f>
        <v>0.0903837054210622</v>
      </c>
      <c r="C1252" s="23" t="n">
        <f aca="false">CONCOR!E164</f>
        <v>0.111573218319984</v>
      </c>
      <c r="D1252" s="23" t="n">
        <f aca="false">CONCOR!F164</f>
        <v>0.190430081813941</v>
      </c>
      <c r="E1252" s="23" t="n">
        <f aca="false">CONCOR!G164</f>
        <v>0.199271157725679</v>
      </c>
      <c r="F1252" s="23" t="n">
        <f aca="false">CONCOR!H164</f>
        <v>0.201108002509993</v>
      </c>
      <c r="G1252" s="23" t="n">
        <f aca="false">CONCOR!I164</f>
        <v>0.202049730955933</v>
      </c>
      <c r="H1252" s="23" t="n">
        <f aca="false">CONCOR!J164</f>
        <v>0.190473148385775</v>
      </c>
      <c r="I1252" s="24" t="n">
        <f aca="false">CONCOR!K164</f>
        <v>0.169327006447481</v>
      </c>
      <c r="J1252" s="34" t="str">
        <f aca="false">IF(AND(ISNUMBER(H1252),ISNUMBER(H$1261)),IF(H1252&gt;H$1261,"Above",IF(H1252&lt;H$1261,"Below","At")),"-")</f>
        <v>Above</v>
      </c>
      <c r="K1252" s="34" t="str">
        <f aca="false">IF(J1252="Above","Better",IF(J1252="Below","Weaker","-"))</f>
        <v>Better</v>
      </c>
      <c r="L1252" s="34" t="n">
        <f aca="false">IF(ISNUMBER(H1252),RANK(H1252,H$1249:H$1258,0),"-")</f>
        <v>2</v>
      </c>
      <c r="N1252" s="34" t="str">
        <f aca="false">IF(AND(ISNUMBER(I1252),ISNUMBER(I$1261)),IF(I1252&gt;I$1261,"Above",IF(I1252&lt;I$1261,"Below","At")),"-")</f>
        <v>Above</v>
      </c>
      <c r="O1252" s="34" t="str">
        <f aca="false">IF(N1252="Above","Better",IF(N1252="Below","Weaker","-"))</f>
        <v>Better</v>
      </c>
    </row>
    <row r="1253" customFormat="false" ht="15" hidden="false" customHeight="false" outlineLevel="0" collapsed="false">
      <c r="A1253" s="18" t="s">
        <v>113</v>
      </c>
      <c r="B1253" s="23" t="n">
        <f aca="false">JetFreight!D164</f>
        <v>-0.0136766962439122</v>
      </c>
      <c r="C1253" s="23" t="n">
        <f aca="false">JetFreight!E164</f>
        <v>0.0223478185645492</v>
      </c>
      <c r="D1253" s="23" t="n">
        <f aca="false">JetFreight!F164</f>
        <v>0.0186969086610036</v>
      </c>
      <c r="E1253" s="23" t="n">
        <f aca="false">JetFreight!G164</f>
        <v>0.0141832057404785</v>
      </c>
      <c r="F1253" s="23" t="n">
        <f aca="false">JetFreight!H164</f>
        <v>0.0158857054439487</v>
      </c>
      <c r="G1253" s="23" t="n">
        <f aca="false">JetFreight!I164</f>
        <v>0.0302544488468497</v>
      </c>
      <c r="H1253" s="23" t="n">
        <f aca="false">JetFreight!J164</f>
        <v>0.0418618266978923</v>
      </c>
      <c r="I1253" s="24" t="n">
        <f aca="false">JetFreight!K164</f>
        <v>0.0185076025301157</v>
      </c>
      <c r="J1253" s="34" t="str">
        <f aca="false">IF(AND(ISNUMBER(H1253),ISNUMBER(H$1261)),IF(H1253&gt;H$1261,"Above",IF(H1253&lt;H$1261,"Below","At")),"-")</f>
        <v>Below</v>
      </c>
      <c r="K1253" s="34" t="str">
        <f aca="false">IF(J1253="Above","Better",IF(J1253="Below","Weaker","-"))</f>
        <v>Weaker</v>
      </c>
      <c r="L1253" s="34" t="n">
        <f aca="false">IF(ISNUMBER(H1253),RANK(H1253,H$1249:H$1258,0),"-")</f>
        <v>6</v>
      </c>
      <c r="N1253" s="34" t="str">
        <f aca="false">IF(AND(ISNUMBER(I1253),ISNUMBER(I$1261)),IF(I1253&gt;I$1261,"Above",IF(I1253&lt;I$1261,"Below","At")),"-")</f>
        <v>Below</v>
      </c>
      <c r="O1253" s="34" t="str">
        <f aca="false">IF(N1253="Above","Better",IF(N1253="Below","Weaker","-"))</f>
        <v>Weaker</v>
      </c>
    </row>
    <row r="1254" customFormat="false" ht="15" hidden="false" customHeight="false" outlineLevel="0" collapsed="false">
      <c r="A1254" s="18" t="s">
        <v>114</v>
      </c>
      <c r="B1254" s="23" t="n">
        <f aca="false">Patel!D164</f>
        <v>0.0582021242911833</v>
      </c>
      <c r="C1254" s="23" t="n">
        <f aca="false">Patel!E164</f>
        <v>0.0370789163722026</v>
      </c>
      <c r="D1254" s="23" t="n">
        <f aca="false">Patel!F164</f>
        <v>0.0323062478661659</v>
      </c>
      <c r="E1254" s="23" t="n">
        <f aca="false">Patel!G164</f>
        <v>0.0338148627281874</v>
      </c>
      <c r="F1254" s="23" t="n">
        <f aca="false">Patel!H164</f>
        <v>0.0284632593357426</v>
      </c>
      <c r="G1254" s="23" t="n">
        <f aca="false">Patel!I164</f>
        <v>0.025825089731244</v>
      </c>
      <c r="H1254" s="23" t="n">
        <f aca="false">Patel!J164</f>
        <v>0.0298482387859103</v>
      </c>
      <c r="I1254" s="24" t="n">
        <f aca="false">Patel!K164</f>
        <v>0.0350769627300909</v>
      </c>
      <c r="J1254" s="34" t="str">
        <f aca="false">IF(AND(ISNUMBER(H1254),ISNUMBER(H$1261)),IF(H1254&gt;H$1261,"Above",IF(H1254&lt;H$1261,"Below","At")),"-")</f>
        <v>Below</v>
      </c>
      <c r="K1254" s="34" t="str">
        <f aca="false">IF(J1254="Above","Better",IF(J1254="Below","Weaker","-"))</f>
        <v>Weaker</v>
      </c>
      <c r="L1254" s="34" t="n">
        <f aca="false">IF(ISNUMBER(H1254),RANK(H1254,H$1249:H$1258,0),"-")</f>
        <v>9</v>
      </c>
      <c r="N1254" s="34" t="str">
        <f aca="false">IF(AND(ISNUMBER(I1254),ISNUMBER(I$1261)),IF(I1254&gt;I$1261,"Above",IF(I1254&lt;I$1261,"Below","At")),"-")</f>
        <v>Below</v>
      </c>
      <c r="O1254" s="34" t="str">
        <f aca="false">IF(N1254="Above","Better",IF(N1254="Below","Weaker","-"))</f>
        <v>Weaker</v>
      </c>
    </row>
    <row r="1255" customFormat="false" ht="15" hidden="false" customHeight="false" outlineLevel="0" collapsed="false">
      <c r="A1255" s="18" t="s">
        <v>115</v>
      </c>
      <c r="B1255" s="23" t="n">
        <f aca="false">Sical!D164</f>
        <v>-0.0774775312176887</v>
      </c>
      <c r="C1255" s="23" t="n">
        <f aca="false">Sical!E164</f>
        <v>-2.04020808927189</v>
      </c>
      <c r="D1255" s="23" t="n">
        <f aca="false">Sical!F164</f>
        <v>-0.661507151661077</v>
      </c>
      <c r="E1255" s="23" t="n">
        <f aca="false">Sical!G164</f>
        <v>-2.06107979903599</v>
      </c>
      <c r="F1255" s="23" t="n">
        <f aca="false">Sical!H164</f>
        <v>0.0697001221222127</v>
      </c>
      <c r="G1255" s="23" t="n">
        <f aca="false">Sical!I164</f>
        <v>0.0564872419078532</v>
      </c>
      <c r="H1255" s="23" t="n">
        <f aca="false">Sical!J164</f>
        <v>0.334759386019498</v>
      </c>
      <c r="I1255" s="24" t="n">
        <f aca="false">Sical!K164</f>
        <v>-0.625617974448153</v>
      </c>
      <c r="J1255" s="34" t="str">
        <f aca="false">IF(AND(ISNUMBER(H1255),ISNUMBER(H$1261)),IF(H1255&gt;H$1261,"Above",IF(H1255&lt;H$1261,"Below","At")),"-")</f>
        <v>Above</v>
      </c>
      <c r="K1255" s="34" t="str">
        <f aca="false">IF(J1255="Above","Better",IF(J1255="Below","Weaker","-"))</f>
        <v>Better</v>
      </c>
      <c r="L1255" s="34" t="n">
        <f aca="false">IF(ISNUMBER(H1255),RANK(H1255,H$1249:H$1258,0),"-")</f>
        <v>1</v>
      </c>
      <c r="N1255" s="34" t="str">
        <f aca="false">IF(AND(ISNUMBER(I1255),ISNUMBER(I$1261)),IF(I1255&gt;I$1261,"Above",IF(I1255&lt;I$1261,"Below","At")),"-")</f>
        <v>Below</v>
      </c>
      <c r="O1255" s="34" t="str">
        <f aca="false">IF(N1255="Above","Better",IF(N1255="Below","Weaker","-"))</f>
        <v>Weaker</v>
      </c>
    </row>
    <row r="1256" customFormat="false" ht="15" hidden="false" customHeight="false" outlineLevel="0" collapsed="false">
      <c r="A1256" s="18" t="s">
        <v>86</v>
      </c>
      <c r="B1256" s="23" t="n">
        <f aca="false">TCI!D164</f>
        <v>0.0711704883289671</v>
      </c>
      <c r="C1256" s="23" t="n">
        <f aca="false">TCI!E164</f>
        <v>0.0717066503948416</v>
      </c>
      <c r="D1256" s="23" t="n">
        <f aca="false">TCI!F164</f>
        <v>0.10534520269669</v>
      </c>
      <c r="E1256" s="23" t="n">
        <f aca="false">TCI!G164</f>
        <v>0.0988349191158392</v>
      </c>
      <c r="F1256" s="23" t="n">
        <f aca="false">TCI!H164</f>
        <v>0.0997351065786008</v>
      </c>
      <c r="G1256" s="23" t="n">
        <f aca="false">TCI!I164</f>
        <v>0.106761684677344</v>
      </c>
      <c r="H1256" s="23" t="n">
        <f aca="false">TCI!J164</f>
        <v>0.10630556239157</v>
      </c>
      <c r="I1256" s="24" t="n">
        <f aca="false">TCI!K164</f>
        <v>0.0942656591691218</v>
      </c>
      <c r="J1256" s="34" t="str">
        <f aca="false">IF(AND(ISNUMBER(H1256),ISNUMBER(H$1261)),IF(H1256&gt;H$1261,"Above",IF(H1256&lt;H$1261,"Below","At")),"-")</f>
        <v>Above</v>
      </c>
      <c r="K1256" s="34" t="str">
        <f aca="false">IF(J1256="Above","Better",IF(J1256="Below","Weaker","-"))</f>
        <v>Better</v>
      </c>
      <c r="L1256" s="34" t="n">
        <f aca="false">IF(ISNUMBER(H1256),RANK(H1256,H$1249:H$1258,0),"-")</f>
        <v>3</v>
      </c>
      <c r="N1256" s="34" t="str">
        <f aca="false">IF(AND(ISNUMBER(I1256),ISNUMBER(I$1261)),IF(I1256&gt;I$1261,"Above",IF(I1256&lt;I$1261,"Below","At")),"-")</f>
        <v>Above</v>
      </c>
      <c r="O1256" s="34" t="str">
        <f aca="false">IF(N1256="Above","Better",IF(N1256="Below","Weaker","-"))</f>
        <v>Better</v>
      </c>
    </row>
    <row r="1257" customFormat="false" ht="15" hidden="false" customHeight="false" outlineLevel="0" collapsed="false">
      <c r="A1257" s="18" t="s">
        <v>116</v>
      </c>
      <c r="B1257" s="23" t="n">
        <f aca="false">Shreeji!D164</f>
        <v>0.0520909090909091</v>
      </c>
      <c r="C1257" s="23" t="n">
        <f aca="false">Shreeji!E164</f>
        <v>0.0300286427053497</v>
      </c>
      <c r="D1257" s="23" t="n">
        <f aca="false">Shreeji!F164</f>
        <v>0.0972883840234518</v>
      </c>
      <c r="E1257" s="23" t="n">
        <f aca="false">Shreeji!G164</f>
        <v>0.091611242222699</v>
      </c>
      <c r="F1257" s="23" t="n">
        <f aca="false">Shreeji!H164</f>
        <v>0.105349301397206</v>
      </c>
      <c r="G1257" s="23" t="n">
        <f aca="false">Shreeji!I164</f>
        <v>0.030247978926333</v>
      </c>
      <c r="H1257" s="23" t="n">
        <f aca="false">Shreeji!J164</f>
        <v>0.0329506167570106</v>
      </c>
      <c r="I1257" s="24" t="n">
        <f aca="false">Shreeji!K164</f>
        <v>0.062795296446137</v>
      </c>
      <c r="J1257" s="34" t="str">
        <f aca="false">IF(AND(ISNUMBER(H1257),ISNUMBER(H$1261)),IF(H1257&gt;H$1261,"Above",IF(H1257&lt;H$1261,"Below","At")),"-")</f>
        <v>Below</v>
      </c>
      <c r="K1257" s="34" t="str">
        <f aca="false">IF(J1257="Above","Better",IF(J1257="Below","Weaker","-"))</f>
        <v>Weaker</v>
      </c>
      <c r="L1257" s="34" t="n">
        <f aca="false">IF(ISNUMBER(H1257),RANK(H1257,H$1249:H$1258,0),"-")</f>
        <v>7</v>
      </c>
      <c r="N1257" s="34" t="str">
        <f aca="false">IF(AND(ISNUMBER(I1257),ISNUMBER(I$1261)),IF(I1257&gt;I$1261,"Above",IF(I1257&lt;I$1261,"Below","At")),"-")</f>
        <v>Above</v>
      </c>
      <c r="O1257" s="34" t="str">
        <f aca="false">IF(N1257="Above","Better",IF(N1257="Below","Weaker","-"))</f>
        <v>Better</v>
      </c>
    </row>
    <row r="1258" customFormat="false" ht="15" hidden="false" customHeight="false" outlineLevel="0" collapsed="false">
      <c r="A1258" s="18" t="s">
        <v>117</v>
      </c>
      <c r="B1258" s="23" t="n">
        <f aca="false">MahindraLog!D164</f>
        <v>0.0284690332282766</v>
      </c>
      <c r="C1258" s="23" t="n">
        <f aca="false">MahindraLog!E164</f>
        <v>0.018166386822399</v>
      </c>
      <c r="D1258" s="23" t="n">
        <f aca="false">MahindraLog!F164</f>
        <v>0.0135554825684174</v>
      </c>
      <c r="E1258" s="23" t="n">
        <f aca="false">MahindraLog!G164</f>
        <v>0.0167911721061016</v>
      </c>
      <c r="F1258" s="23" t="n">
        <f aca="false">MahindraLog!H164</f>
        <v>0.00758631085894039</v>
      </c>
      <c r="G1258" s="23" t="n">
        <f aca="false">MahindraLog!I164</f>
        <v>0.0120461994846703</v>
      </c>
      <c r="H1258" s="23" t="n">
        <f aca="false">MahindraLog!J164</f>
        <v>0.0154558312974155</v>
      </c>
      <c r="I1258" s="24" t="n">
        <f aca="false">MahindraLog!K164</f>
        <v>0.0160100594808887</v>
      </c>
      <c r="J1258" s="34" t="str">
        <f aca="false">IF(AND(ISNUMBER(H1258),ISNUMBER(H$1261)),IF(H1258&gt;H$1261,"Above",IF(H1258&lt;H$1261,"Below","At")),"-")</f>
        <v>Below</v>
      </c>
      <c r="K1258" s="34" t="str">
        <f aca="false">IF(J1258="Above","Better",IF(J1258="Below","Weaker","-"))</f>
        <v>Weaker</v>
      </c>
      <c r="L1258" s="34" t="n">
        <f aca="false">IF(ISNUMBER(H1258),RANK(H1258,H$1249:H$1258,0),"-")</f>
        <v>10</v>
      </c>
      <c r="N1258" s="34" t="str">
        <f aca="false">IF(AND(ISNUMBER(I1258),ISNUMBER(I$1261)),IF(I1258&gt;I$1261,"Above",IF(I1258&lt;I$1261,"Below","At")),"-")</f>
        <v>Below</v>
      </c>
      <c r="O1258" s="34" t="str">
        <f aca="false">IF(N1258="Above","Better",IF(N1258="Below","Weaker","-"))</f>
        <v>Weaker</v>
      </c>
    </row>
    <row r="1259" customFormat="false" ht="15" hidden="false" customHeight="false" outlineLevel="0" collapsed="false">
      <c r="A1259" s="12" t="s">
        <v>176</v>
      </c>
      <c r="B1259" s="24" t="n">
        <f aca="false">Industry!D164</f>
        <v>0.0504688179827569</v>
      </c>
      <c r="C1259" s="24" t="n">
        <f aca="false">Industry!E164</f>
        <v>0.0185240234787291</v>
      </c>
      <c r="D1259" s="24" t="n">
        <f aca="false">Industry!F164</f>
        <v>0.0895796488418871</v>
      </c>
      <c r="E1259" s="24" t="n">
        <f aca="false">Industry!G164</f>
        <v>0.0690407295052778</v>
      </c>
      <c r="F1259" s="24" t="n">
        <f aca="false">Industry!H164</f>
        <v>0.080210640904388</v>
      </c>
      <c r="G1259" s="24" t="n">
        <f aca="false">Industry!I164</f>
        <v>0.101963388981013</v>
      </c>
      <c r="H1259" s="24" t="n">
        <f aca="false">Industry!J164</f>
        <v>0.0974428248364031</v>
      </c>
      <c r="I1259" s="24" t="n">
        <f aca="false">Industry!K164</f>
        <v>0.0724614392186364</v>
      </c>
    </row>
    <row r="1260" customFormat="false" ht="15" hidden="false" customHeight="false" outlineLevel="0" collapsed="false">
      <c r="A1260" s="35" t="s">
        <v>177</v>
      </c>
      <c r="B1260" s="39" t="n">
        <f aca="false">IFERROR(AVERAGE(B1249:B1258),"N/M")</f>
        <v>0.0260113523811496</v>
      </c>
      <c r="C1260" s="39" t="n">
        <f aca="false">IFERROR(AVERAGE(C1249:C1258),"N/M")</f>
        <v>-0.170477482626698</v>
      </c>
      <c r="D1260" s="39" t="n">
        <f aca="false">IFERROR(AVERAGE(D1249:D1258),"N/M")</f>
        <v>0.00643442810771563</v>
      </c>
      <c r="E1260" s="39" t="n">
        <f aca="false">IFERROR(AVERAGE(E1249:E1258),"N/M")</f>
        <v>-0.136635388732497</v>
      </c>
      <c r="F1260" s="39" t="n">
        <f aca="false">IFERROR(AVERAGE(F1249:F1258),"N/M")</f>
        <v>0.0717421922685497</v>
      </c>
      <c r="G1260" s="39" t="n">
        <f aca="false">IFERROR(AVERAGE(G1249:G1258),"N/M")</f>
        <v>0.0658214659759839</v>
      </c>
      <c r="H1260" s="39" t="n">
        <f aca="false">IFERROR(AVERAGE(H1249:H1258),"N/M")</f>
        <v>0.0910950678055618</v>
      </c>
      <c r="I1260" s="39" t="n">
        <f aca="false">IFERROR(AVERAGE(I1249:I1258),"N/M")</f>
        <v>-0.00657262354574777</v>
      </c>
    </row>
    <row r="1261" customFormat="false" ht="15" hidden="false" customHeight="false" outlineLevel="0" collapsed="false">
      <c r="A1261" s="35" t="s">
        <v>178</v>
      </c>
      <c r="B1261" s="39" t="n">
        <f aca="false">IFERROR(MEDIAN(B1249:B1258),"N/M")</f>
        <v>0.0401069357019982</v>
      </c>
      <c r="C1261" s="39" t="n">
        <f aca="false">IFERROR(MEDIAN(C1249:C1258),"N/M")</f>
        <v>0.029413593601939</v>
      </c>
      <c r="D1261" s="39" t="n">
        <f aca="false">IFERROR(MEDIAN(D1249:D1258),"N/M")</f>
        <v>0.0661788003147122</v>
      </c>
      <c r="E1261" s="39" t="n">
        <f aca="false">IFERROR(MEDIAN(E1249:E1258),"N/M")</f>
        <v>0.0645194265880031</v>
      </c>
      <c r="F1261" s="39" t="n">
        <f aca="false">IFERROR(MEDIAN(F1249:F1258),"N/M")</f>
        <v>0.0732459654979664</v>
      </c>
      <c r="G1261" s="39" t="n">
        <f aca="false">IFERROR(MEDIAN(G1249:G1258),"N/M")</f>
        <v>0.0511910967315911</v>
      </c>
      <c r="H1261" s="39" t="n">
        <f aca="false">IFERROR(MEDIAN(H1249:H1258),"N/M")</f>
        <v>0.0509665266306053</v>
      </c>
      <c r="I1261" s="39" t="n">
        <f aca="false">IFERROR(MEDIAN(I1249:I1258),"N/M")</f>
        <v>0.0405557432767162</v>
      </c>
    </row>
    <row r="1262" customFormat="false" ht="15" hidden="false" customHeight="false" outlineLevel="0" collapsed="false">
      <c r="A1262" s="35" t="s">
        <v>179</v>
      </c>
      <c r="B1262" s="39" t="n">
        <f aca="false">IFERROR(STDEV(B1249:B1258),"N/M")</f>
        <v>0.0511013145670524</v>
      </c>
      <c r="C1262" s="39" t="n">
        <f aca="false">IFERROR(STDEV(C1249:C1258),"N/M")</f>
        <v>0.658519142405706</v>
      </c>
      <c r="D1262" s="39" t="n">
        <f aca="false">IFERROR(STDEV(D1249:D1258),"N/M")</f>
        <v>0.241020691654539</v>
      </c>
      <c r="E1262" s="39" t="n">
        <f aca="false">IFERROR(STDEV(E1249:E1258),"N/M")</f>
        <v>0.678376160625262</v>
      </c>
      <c r="F1262" s="39" t="n">
        <f aca="false">IFERROR(STDEV(F1249:F1258),"N/M")</f>
        <v>0.0581484189077682</v>
      </c>
      <c r="G1262" s="39" t="n">
        <f aca="false">IFERROR(STDEV(G1249:G1258),"N/M")</f>
        <v>0.0556638871404752</v>
      </c>
      <c r="H1262" s="39" t="n">
        <f aca="false">IFERROR(STDEV(H1249:H1258),"N/M")</f>
        <v>0.0998756967717792</v>
      </c>
      <c r="I1262" s="39" t="n">
        <f aca="false">IFERROR(STDEV(I1249:I1258),"N/M")</f>
        <v>0.222226089111209</v>
      </c>
    </row>
    <row r="1263" customFormat="false" ht="15" hidden="false" customHeight="false" outlineLevel="0" collapsed="false">
      <c r="A1263" s="35" t="s">
        <v>102</v>
      </c>
      <c r="B1263" s="39" t="n">
        <f aca="false">IFERROR(MIN(B1249:B1258),"N/M")</f>
        <v>-0.0774775312176887</v>
      </c>
      <c r="C1263" s="39" t="n">
        <f aca="false">IFERROR(MIN(C1249:C1258),"N/M")</f>
        <v>-2.04020808927189</v>
      </c>
      <c r="D1263" s="39" t="n">
        <f aca="false">IFERROR(MIN(D1249:D1258),"N/M")</f>
        <v>-0.661507151661077</v>
      </c>
      <c r="E1263" s="39" t="n">
        <f aca="false">IFERROR(MIN(E1249:E1258),"N/M")</f>
        <v>-2.06107979903599</v>
      </c>
      <c r="F1263" s="39" t="n">
        <f aca="false">IFERROR(MIN(F1249:F1258),"N/M")</f>
        <v>0.00758631085894039</v>
      </c>
      <c r="G1263" s="39" t="n">
        <f aca="false">IFERROR(MIN(G1249:G1258),"N/M")</f>
        <v>0.0120461994846703</v>
      </c>
      <c r="H1263" s="39" t="n">
        <f aca="false">IFERROR(MIN(H1249:H1258),"N/M")</f>
        <v>0.0154558312974155</v>
      </c>
      <c r="I1263" s="39" t="n">
        <f aca="false">IFERROR(MIN(I1249:I1258),"N/M")</f>
        <v>-0.625617974448153</v>
      </c>
    </row>
    <row r="1264" customFormat="false" ht="15" hidden="false" customHeight="false" outlineLevel="0" collapsed="false">
      <c r="A1264" s="35" t="s">
        <v>103</v>
      </c>
      <c r="B1264" s="39" t="n">
        <f aca="false">IFERROR(MAX(B1249:B1258),"N/M")</f>
        <v>0.0903837054210622</v>
      </c>
      <c r="C1264" s="39" t="n">
        <f aca="false">IFERROR(MAX(C1249:C1258),"N/M")</f>
        <v>0.111573218319984</v>
      </c>
      <c r="D1264" s="39" t="n">
        <f aca="false">IFERROR(MAX(D1249:D1258),"N/M")</f>
        <v>0.190430081813941</v>
      </c>
      <c r="E1264" s="39" t="n">
        <f aca="false">IFERROR(MAX(E1249:E1258),"N/M")</f>
        <v>0.199271157725679</v>
      </c>
      <c r="F1264" s="39" t="n">
        <f aca="false">IFERROR(MAX(F1249:F1258),"N/M")</f>
        <v>0.201108002509993</v>
      </c>
      <c r="G1264" s="39" t="n">
        <f aca="false">IFERROR(MAX(G1249:G1258),"N/M")</f>
        <v>0.202049730955933</v>
      </c>
      <c r="H1264" s="39" t="n">
        <f aca="false">IFERROR(MAX(H1249:H1258),"N/M")</f>
        <v>0.334759386019498</v>
      </c>
      <c r="I1264" s="39" t="n">
        <f aca="false">IFERROR(MAX(I1249:I1258),"N/M")</f>
        <v>0.169327006447481</v>
      </c>
    </row>
    <row r="1266" customFormat="false" ht="15" hidden="false" customHeight="false" outlineLevel="0" collapsed="false">
      <c r="A1266" s="16" t="s">
        <v>250</v>
      </c>
      <c r="B1266" s="17"/>
      <c r="C1266" s="17"/>
      <c r="D1266" s="17"/>
      <c r="E1266" s="17"/>
      <c r="F1266" s="17"/>
      <c r="G1266" s="17"/>
      <c r="H1266" s="17"/>
      <c r="I1266" s="17"/>
      <c r="J1266" s="17"/>
      <c r="K1266" s="17"/>
      <c r="L1266" s="17"/>
      <c r="M1266" s="17"/>
    </row>
    <row r="1267" customFormat="false" ht="15" hidden="false" customHeight="false" outlineLevel="0" collapsed="false">
      <c r="A1267" s="18" t="s">
        <v>110</v>
      </c>
      <c r="B1267" s="20" t="n">
        <f aca="false">Tiger!D165</f>
        <v>2.62008430017816</v>
      </c>
      <c r="C1267" s="20" t="n">
        <f aca="false">Tiger!E165</f>
        <v>1.77677815410669</v>
      </c>
      <c r="D1267" s="20" t="n">
        <f aca="false">Tiger!F165</f>
        <v>5.99814724524622</v>
      </c>
      <c r="E1267" s="20" t="n">
        <f aca="false">Tiger!G165</f>
        <v>3.59985047350058</v>
      </c>
      <c r="F1267" s="20" t="n">
        <f aca="false">Tiger!H165</f>
        <v>1.82644722338363</v>
      </c>
      <c r="G1267" s="20" t="n">
        <f aca="false">Tiger!I165</f>
        <v>3.16155274560085</v>
      </c>
      <c r="H1267" s="20" t="n">
        <f aca="false">Tiger!J165</f>
        <v>2.49970543954965</v>
      </c>
      <c r="I1267" s="21" t="n">
        <f aca="false">Tiger!K165</f>
        <v>3.06893794022368</v>
      </c>
      <c r="J1267" s="34" t="str">
        <f aca="false">IF(AND(ISNUMBER(H1267),ISNUMBER(H$1279)),IF(H1267&gt;H$1279,"Above",IF(H1267&lt;H$1279,"Below","At")),"-")</f>
        <v>Above</v>
      </c>
      <c r="K1267" s="34" t="str">
        <f aca="false">IF(J1267="Above","Better",IF(J1267="Below","Weaker","-"))</f>
        <v>Better</v>
      </c>
      <c r="L1267" s="34" t="n">
        <f aca="false">IF(ISNUMBER(H1267),RANK(H1267,H$1267:H$1276,0),"-")</f>
        <v>1</v>
      </c>
      <c r="N1267" s="34" t="str">
        <f aca="false">IF(AND(ISNUMBER(I1267),ISNUMBER(I$1279)),IF(I1267&gt;I$1279,"Above",IF(I1267&lt;I$1279,"Below","At")),"-")</f>
        <v>Above</v>
      </c>
      <c r="O1267" s="34" t="str">
        <f aca="false">IF(N1267="Above","Better",IF(N1267="Below","Weaker","-"))</f>
        <v>Better</v>
      </c>
    </row>
    <row r="1268" customFormat="false" ht="15" hidden="false" customHeight="false" outlineLevel="0" collapsed="false">
      <c r="A1268" s="18" t="s">
        <v>111</v>
      </c>
      <c r="B1268" s="20" t="n">
        <f aca="false">Allcargo!D165</f>
        <v>1.59435548017375</v>
      </c>
      <c r="C1268" s="20" t="n">
        <f aca="false">Allcargo!E165</f>
        <v>1.66448790689231</v>
      </c>
      <c r="D1268" s="20" t="n">
        <f aca="false">Allcargo!F165</f>
        <v>2.25356218822541</v>
      </c>
      <c r="E1268" s="20" t="n">
        <f aca="false">Allcargo!G165</f>
        <v>2.14445272752653</v>
      </c>
      <c r="F1268" s="20" t="n">
        <f aca="false">Allcargo!H165</f>
        <v>1.80191505961028</v>
      </c>
      <c r="G1268" s="20" t="n">
        <f aca="false">Allcargo!I165</f>
        <v>0.440452446408999</v>
      </c>
      <c r="H1268" s="20" t="n">
        <f aca="false">Allcargo!J165</f>
        <v>1.18377911993098</v>
      </c>
      <c r="I1268" s="21" t="n">
        <f aca="false">Allcargo!K165</f>
        <v>1.58328641839546</v>
      </c>
      <c r="J1268" s="34" t="str">
        <f aca="false">IF(AND(ISNUMBER(H1268),ISNUMBER(H$1279)),IF(H1268&gt;H$1279,"Above",IF(H1268&lt;H$1279,"Below","At")),"-")</f>
        <v>Below</v>
      </c>
      <c r="K1268" s="34" t="str">
        <f aca="false">IF(J1268="Above","Better",IF(J1268="Below","Weaker","-"))</f>
        <v>Weaker</v>
      </c>
      <c r="L1268" s="34" t="n">
        <f aca="false">IF(ISNUMBER(H1268),RANK(H1268,H$1267:H$1276,0),"-")</f>
        <v>8</v>
      </c>
      <c r="N1268" s="34" t="str">
        <f aca="false">IF(AND(ISNUMBER(I1268),ISNUMBER(I$1279)),IF(I1268&gt;I$1279,"Above",IF(I1268&lt;I$1279,"Below","At")),"-")</f>
        <v>Below</v>
      </c>
      <c r="O1268" s="34" t="str">
        <f aca="false">IF(N1268="Above","Better",IF(N1268="Below","Weaker","-"))</f>
        <v>Weaker</v>
      </c>
    </row>
    <row r="1269" customFormat="false" ht="15" hidden="false" customHeight="false" outlineLevel="0" collapsed="false">
      <c r="A1269" s="18" t="s">
        <v>112</v>
      </c>
      <c r="B1269" s="20" t="n">
        <f aca="false">BlueDart!D165</f>
        <v>1.42636762839591</v>
      </c>
      <c r="C1269" s="20" t="n">
        <f aca="false">BlueDart!E165</f>
        <v>1.18743206300941</v>
      </c>
      <c r="D1269" s="20" t="n">
        <f aca="false">BlueDart!F165</f>
        <v>1.54046233184718</v>
      </c>
      <c r="E1269" s="20" t="n">
        <f aca="false">BlueDart!G165</f>
        <v>1.70931623649162</v>
      </c>
      <c r="F1269" s="20" t="n">
        <f aca="false">BlueDart!H165</f>
        <v>1.57626489765019</v>
      </c>
      <c r="G1269" s="20" t="n">
        <f aca="false">BlueDart!I165</f>
        <v>1.60596659582293</v>
      </c>
      <c r="H1269" s="20" t="n">
        <f aca="false">BlueDart!J165</f>
        <v>1.57668484044772</v>
      </c>
      <c r="I1269" s="21" t="n">
        <f aca="false">BlueDart!K165</f>
        <v>1.51749922766642</v>
      </c>
      <c r="J1269" s="34" t="str">
        <f aca="false">IF(AND(ISNUMBER(H1269),ISNUMBER(H$1279)),IF(H1269&gt;H$1279,"Above",IF(H1269&lt;H$1279,"Below","At")),"-")</f>
        <v>Below</v>
      </c>
      <c r="K1269" s="34" t="str">
        <f aca="false">IF(J1269="Above","Better",IF(J1269="Below","Weaker","-"))</f>
        <v>Weaker</v>
      </c>
      <c r="L1269" s="34" t="n">
        <f aca="false">IF(ISNUMBER(H1269),RANK(H1269,H$1267:H$1276,0),"-")</f>
        <v>6</v>
      </c>
      <c r="N1269" s="34" t="str">
        <f aca="false">IF(AND(ISNUMBER(I1269),ISNUMBER(I$1279)),IF(I1269&gt;I$1279,"Above",IF(I1269&lt;I$1279,"Below","At")),"-")</f>
        <v>Below</v>
      </c>
      <c r="O1269" s="34" t="str">
        <f aca="false">IF(N1269="Above","Better",IF(N1269="Below","Weaker","-"))</f>
        <v>Weaker</v>
      </c>
    </row>
    <row r="1270" customFormat="false" ht="15" hidden="false" customHeight="false" outlineLevel="0" collapsed="false">
      <c r="A1270" s="18" t="s">
        <v>67</v>
      </c>
      <c r="B1270" s="20" t="n">
        <f aca="false">CONCOR!D165</f>
        <v>0.531210369318297</v>
      </c>
      <c r="C1270" s="20" t="n">
        <f aca="false">CONCOR!E165</f>
        <v>0.53118097656907</v>
      </c>
      <c r="D1270" s="20" t="n">
        <f aca="false">CONCOR!F165</f>
        <v>0.602275790342706</v>
      </c>
      <c r="E1270" s="20" t="n">
        <f aca="false">CONCOR!G165</f>
        <v>0.617298615802431</v>
      </c>
      <c r="F1270" s="20" t="n">
        <f aca="false">CONCOR!H165</f>
        <v>0.62926522785332</v>
      </c>
      <c r="G1270" s="20" t="n">
        <f aca="false">CONCOR!I165</f>
        <v>0.623313281024793</v>
      </c>
      <c r="H1270" s="20" t="n">
        <f aca="false">CONCOR!J165</f>
        <v>0.61234665990401</v>
      </c>
      <c r="I1270" s="21" t="n">
        <f aca="false">CONCOR!K165</f>
        <v>0.592412988687804</v>
      </c>
      <c r="J1270" s="34" t="str">
        <f aca="false">IF(AND(ISNUMBER(H1270),ISNUMBER(H$1279)),IF(H1270&gt;H$1279,"Above",IF(H1270&lt;H$1279,"Below","At")),"-")</f>
        <v>Below</v>
      </c>
      <c r="K1270" s="34" t="str">
        <f aca="false">IF(J1270="Above","Better",IF(J1270="Below","Weaker","-"))</f>
        <v>Weaker</v>
      </c>
      <c r="L1270" s="34" t="n">
        <f aca="false">IF(ISNUMBER(H1270),RANK(H1270,H$1267:H$1276,0),"-")</f>
        <v>9</v>
      </c>
      <c r="N1270" s="34" t="str">
        <f aca="false">IF(AND(ISNUMBER(I1270),ISNUMBER(I$1279)),IF(I1270&gt;I$1279,"Above",IF(I1270&lt;I$1279,"Below","At")),"-")</f>
        <v>Below</v>
      </c>
      <c r="O1270" s="34" t="str">
        <f aca="false">IF(N1270="Above","Better",IF(N1270="Below","Weaker","-"))</f>
        <v>Weaker</v>
      </c>
    </row>
    <row r="1271" customFormat="false" ht="15" hidden="false" customHeight="false" outlineLevel="0" collapsed="false">
      <c r="A1271" s="18" t="s">
        <v>113</v>
      </c>
      <c r="B1271" s="20" t="n">
        <f aca="false">JetFreight!D165</f>
        <v>3.30518191841235</v>
      </c>
      <c r="C1271" s="20" t="n">
        <f aca="false">JetFreight!E165</f>
        <v>3.72932573394989</v>
      </c>
      <c r="D1271" s="20" t="n">
        <f aca="false">JetFreight!F165</f>
        <v>4.38812566048612</v>
      </c>
      <c r="E1271" s="20" t="n">
        <f aca="false">JetFreight!G165</f>
        <v>3.15829764656839</v>
      </c>
      <c r="F1271" s="20" t="n">
        <f aca="false">JetFreight!H165</f>
        <v>2.39054312311202</v>
      </c>
      <c r="G1271" s="20" t="n">
        <f aca="false">JetFreight!I165</f>
        <v>2.47389444460183</v>
      </c>
      <c r="H1271" s="20" t="n">
        <f aca="false">JetFreight!J165</f>
        <v>2.35886539891639</v>
      </c>
      <c r="I1271" s="21" t="n">
        <f aca="false">JetFreight!K165</f>
        <v>3.11489056086385</v>
      </c>
      <c r="J1271" s="34" t="str">
        <f aca="false">IF(AND(ISNUMBER(H1271),ISNUMBER(H$1279)),IF(H1271&gt;H$1279,"Above",IF(H1271&lt;H$1279,"Below","At")),"-")</f>
        <v>Above</v>
      </c>
      <c r="K1271" s="34" t="str">
        <f aca="false">IF(J1271="Above","Better",IF(J1271="Below","Weaker","-"))</f>
        <v>Better</v>
      </c>
      <c r="L1271" s="34" t="n">
        <f aca="false">IF(ISNUMBER(H1271),RANK(H1271,H$1267:H$1276,0),"-")</f>
        <v>3</v>
      </c>
      <c r="N1271" s="34" t="str">
        <f aca="false">IF(AND(ISNUMBER(I1271),ISNUMBER(I$1279)),IF(I1271&gt;I$1279,"Above",IF(I1271&lt;I$1279,"Below","At")),"-")</f>
        <v>Above</v>
      </c>
      <c r="O1271" s="34" t="str">
        <f aca="false">IF(N1271="Above","Better",IF(N1271="Below","Weaker","-"))</f>
        <v>Better</v>
      </c>
    </row>
    <row r="1272" customFormat="false" ht="15" hidden="false" customHeight="false" outlineLevel="0" collapsed="false">
      <c r="A1272" s="18" t="s">
        <v>114</v>
      </c>
      <c r="B1272" s="20" t="n">
        <f aca="false">Patel!D165</f>
        <v>1.60685460558267</v>
      </c>
      <c r="C1272" s="20" t="n">
        <f aca="false">Patel!E165</f>
        <v>1.07280952260608</v>
      </c>
      <c r="D1272" s="20" t="n">
        <f aca="false">Patel!F165</f>
        <v>1.26882360904291</v>
      </c>
      <c r="E1272" s="20" t="n">
        <f aca="false">Patel!G165</f>
        <v>1.58473804100228</v>
      </c>
      <c r="F1272" s="20" t="n">
        <f aca="false">Patel!H165</f>
        <v>1.59559570553832</v>
      </c>
      <c r="G1272" s="20" t="n">
        <f aca="false">Patel!I165</f>
        <v>1.90298756108396</v>
      </c>
      <c r="H1272" s="20" t="n">
        <f aca="false">Patel!J165</f>
        <v>2.15508085928071</v>
      </c>
      <c r="I1272" s="21" t="n">
        <f aca="false">Patel!K165</f>
        <v>1.59812712916242</v>
      </c>
      <c r="J1272" s="34" t="str">
        <f aca="false">IF(AND(ISNUMBER(H1272),ISNUMBER(H$1279)),IF(H1272&gt;H$1279,"Above",IF(H1272&lt;H$1279,"Below","At")),"-")</f>
        <v>Above</v>
      </c>
      <c r="K1272" s="34" t="str">
        <f aca="false">IF(J1272="Above","Better",IF(J1272="Below","Weaker","-"))</f>
        <v>Better</v>
      </c>
      <c r="L1272" s="34" t="n">
        <f aca="false">IF(ISNUMBER(H1272),RANK(H1272,H$1267:H$1276,0),"-")</f>
        <v>4</v>
      </c>
      <c r="N1272" s="34" t="str">
        <f aca="false">IF(AND(ISNUMBER(I1272),ISNUMBER(I$1279)),IF(I1272&gt;I$1279,"Above",IF(I1272&lt;I$1279,"Below","At")),"-")</f>
        <v>Below</v>
      </c>
      <c r="O1272" s="34" t="str">
        <f aca="false">IF(N1272="Above","Better",IF(N1272="Below","Weaker","-"))</f>
        <v>Weaker</v>
      </c>
    </row>
    <row r="1273" customFormat="false" ht="15" hidden="false" customHeight="false" outlineLevel="0" collapsed="false">
      <c r="A1273" s="18" t="s">
        <v>115</v>
      </c>
      <c r="B1273" s="20" t="n">
        <f aca="false">Sical!D165</f>
        <v>0.364709636247607</v>
      </c>
      <c r="C1273" s="20" t="n">
        <f aca="false">Sical!E165</f>
        <v>0.223935082258782</v>
      </c>
      <c r="D1273" s="20" t="n">
        <f aca="false">Sical!F165</f>
        <v>0.211651863715783</v>
      </c>
      <c r="E1273" s="20" t="n">
        <f aca="false">Sical!G165</f>
        <v>0.332495261999754</v>
      </c>
      <c r="F1273" s="20" t="n">
        <f aca="false">Sical!H165</f>
        <v>0.28334881932652</v>
      </c>
      <c r="G1273" s="20" t="n">
        <f aca="false">Sical!I165</f>
        <v>0.272765839712257</v>
      </c>
      <c r="H1273" s="20" t="n">
        <f aca="false">Sical!J165</f>
        <v>0.436872748691693</v>
      </c>
      <c r="I1273" s="21" t="n">
        <f aca="false">Sical!K165</f>
        <v>0.303682750278914</v>
      </c>
      <c r="J1273" s="34" t="str">
        <f aca="false">IF(AND(ISNUMBER(H1273),ISNUMBER(H$1279)),IF(H1273&gt;H$1279,"Above",IF(H1273&lt;H$1279,"Below","At")),"-")</f>
        <v>Below</v>
      </c>
      <c r="K1273" s="34" t="str">
        <f aca="false">IF(J1273="Above","Better",IF(J1273="Below","Weaker","-"))</f>
        <v>Weaker</v>
      </c>
      <c r="L1273" s="34" t="n">
        <f aca="false">IF(ISNUMBER(H1273),RANK(H1273,H$1267:H$1276,0),"-")</f>
        <v>10</v>
      </c>
      <c r="N1273" s="34" t="str">
        <f aca="false">IF(AND(ISNUMBER(I1273),ISNUMBER(I$1279)),IF(I1273&gt;I$1279,"Above",IF(I1273&lt;I$1279,"Below","At")),"-")</f>
        <v>Below</v>
      </c>
      <c r="O1273" s="34" t="str">
        <f aca="false">IF(N1273="Above","Better",IF(N1273="Below","Weaker","-"))</f>
        <v>Weaker</v>
      </c>
    </row>
    <row r="1274" customFormat="false" ht="15" hidden="false" customHeight="false" outlineLevel="0" collapsed="false">
      <c r="A1274" s="18" t="s">
        <v>86</v>
      </c>
      <c r="B1274" s="20" t="n">
        <f aca="false">TCI!D165</f>
        <v>1.64754021344116</v>
      </c>
      <c r="C1274" s="20" t="n">
        <f aca="false">TCI!E165</f>
        <v>1.63780452525182</v>
      </c>
      <c r="D1274" s="20" t="n">
        <f aca="false">TCI!F165</f>
        <v>1.82779373163126</v>
      </c>
      <c r="E1274" s="20" t="n">
        <f aca="false">TCI!G165</f>
        <v>1.9259815577631</v>
      </c>
      <c r="F1274" s="20" t="n">
        <f aca="false">TCI!H165</f>
        <v>1.74880005910076</v>
      </c>
      <c r="G1274" s="20" t="n">
        <f aca="false">TCI!I165</f>
        <v>1.65277816106545</v>
      </c>
      <c r="H1274" s="20" t="n">
        <f aca="false">TCI!J165</f>
        <v>1.53268525489059</v>
      </c>
      <c r="I1274" s="21" t="n">
        <f aca="false">TCI!K165</f>
        <v>1.71048335759202</v>
      </c>
      <c r="J1274" s="34" t="str">
        <f aca="false">IF(AND(ISNUMBER(H1274),ISNUMBER(H$1279)),IF(H1274&gt;H$1279,"Above",IF(H1274&lt;H$1279,"Below","At")),"-")</f>
        <v>Below</v>
      </c>
      <c r="K1274" s="34" t="str">
        <f aca="false">IF(J1274="Above","Better",IF(J1274="Below","Weaker","-"))</f>
        <v>Weaker</v>
      </c>
      <c r="L1274" s="34" t="n">
        <f aca="false">IF(ISNUMBER(H1274),RANK(H1274,H$1267:H$1276,0),"-")</f>
        <v>7</v>
      </c>
      <c r="N1274" s="34" t="str">
        <f aca="false">IF(AND(ISNUMBER(I1274),ISNUMBER(I$1279)),IF(I1274&gt;I$1279,"Above",IF(I1274&lt;I$1279,"Below","At")),"-")</f>
        <v>Above</v>
      </c>
      <c r="O1274" s="34" t="str">
        <f aca="false">IF(N1274="Above","Better",IF(N1274="Below","Weaker","-"))</f>
        <v>Better</v>
      </c>
    </row>
    <row r="1275" customFormat="false" ht="15" hidden="false" customHeight="false" outlineLevel="0" collapsed="false">
      <c r="A1275" s="18" t="s">
        <v>116</v>
      </c>
      <c r="B1275" s="20" t="n">
        <f aca="false">Shreeji!D165</f>
        <v>1.46072637939048</v>
      </c>
      <c r="C1275" s="20" t="n">
        <f aca="false">Shreeji!E165</f>
        <v>1.34172193640364</v>
      </c>
      <c r="D1275" s="20" t="n">
        <f aca="false">Shreeji!F165</f>
        <v>1.90872530162616</v>
      </c>
      <c r="E1275" s="20" t="n">
        <f aca="false">Shreeji!G165</f>
        <v>1.91958815958816</v>
      </c>
      <c r="F1275" s="20" t="n">
        <f aca="false">Shreeji!H165</f>
        <v>2.22607304718742</v>
      </c>
      <c r="G1275" s="20" t="n">
        <f aca="false">Shreeji!I165</f>
        <v>1.87076766217766</v>
      </c>
      <c r="H1275" s="20" t="n">
        <f aca="false">Shreeji!J165</f>
        <v>1.99812374738817</v>
      </c>
      <c r="I1275" s="21" t="n">
        <f aca="false">Shreeji!K165</f>
        <v>1.81796089053738</v>
      </c>
      <c r="J1275" s="34" t="str">
        <f aca="false">IF(AND(ISNUMBER(H1275),ISNUMBER(H$1279)),IF(H1275&gt;H$1279,"Above",IF(H1275&lt;H$1279,"Below","At")),"-")</f>
        <v>Above</v>
      </c>
      <c r="K1275" s="34" t="str">
        <f aca="false">IF(J1275="Above","Better",IF(J1275="Below","Weaker","-"))</f>
        <v>Better</v>
      </c>
      <c r="L1275" s="34" t="n">
        <f aca="false">IF(ISNUMBER(H1275),RANK(H1275,H$1267:H$1276,0),"-")</f>
        <v>5</v>
      </c>
      <c r="N1275" s="34" t="str">
        <f aca="false">IF(AND(ISNUMBER(I1275),ISNUMBER(I$1279)),IF(I1275&gt;I$1279,"Above",IF(I1275&lt;I$1279,"Below","At")),"-")</f>
        <v>Above</v>
      </c>
      <c r="O1275" s="34" t="str">
        <f aca="false">IF(N1275="Above","Better",IF(N1275="Below","Weaker","-"))</f>
        <v>Better</v>
      </c>
    </row>
    <row r="1276" customFormat="false" ht="15" hidden="false" customHeight="false" outlineLevel="0" collapsed="false">
      <c r="A1276" s="18" t="s">
        <v>117</v>
      </c>
      <c r="B1276" s="20" t="n">
        <f aca="false">MahindraLog!D165</f>
        <v>2.64271493557167</v>
      </c>
      <c r="C1276" s="20" t="n">
        <f aca="false">MahindraLog!E165</f>
        <v>2.09968572779588</v>
      </c>
      <c r="D1276" s="20" t="n">
        <f aca="false">MahindraLog!F165</f>
        <v>2.26124613296854</v>
      </c>
      <c r="E1276" s="20" t="n">
        <f aca="false">MahindraLog!G165</f>
        <v>2.26495567951453</v>
      </c>
      <c r="F1276" s="20" t="n">
        <f aca="false">MahindraLog!H165</f>
        <v>2.18919155331661</v>
      </c>
      <c r="G1276" s="20" t="n">
        <f aca="false">MahindraLog!I165</f>
        <v>2.41488528481013</v>
      </c>
      <c r="H1276" s="20" t="n">
        <f aca="false">MahindraLog!J165</f>
        <v>2.46289020920826</v>
      </c>
      <c r="I1276" s="21" t="n">
        <f aca="false">MahindraLog!K165</f>
        <v>2.33365278902652</v>
      </c>
      <c r="J1276" s="34" t="str">
        <f aca="false">IF(AND(ISNUMBER(H1276),ISNUMBER(H$1279)),IF(H1276&gt;H$1279,"Above",IF(H1276&lt;H$1279,"Below","At")),"-")</f>
        <v>Above</v>
      </c>
      <c r="K1276" s="34" t="str">
        <f aca="false">IF(J1276="Above","Better",IF(J1276="Below","Weaker","-"))</f>
        <v>Better</v>
      </c>
      <c r="L1276" s="34" t="n">
        <f aca="false">IF(ISNUMBER(H1276),RANK(H1276,H$1267:H$1276,0),"-")</f>
        <v>2</v>
      </c>
      <c r="N1276" s="34" t="str">
        <f aca="false">IF(AND(ISNUMBER(I1276),ISNUMBER(I$1279)),IF(I1276&gt;I$1279,"Above",IF(I1276&lt;I$1279,"Below","At")),"-")</f>
        <v>Above</v>
      </c>
      <c r="O1276" s="34" t="str">
        <f aca="false">IF(N1276="Above","Better",IF(N1276="Below","Weaker","-"))</f>
        <v>Better</v>
      </c>
    </row>
    <row r="1277" customFormat="false" ht="15" hidden="false" customHeight="false" outlineLevel="0" collapsed="false">
      <c r="A1277" s="12" t="s">
        <v>176</v>
      </c>
      <c r="B1277" s="21" t="n">
        <f aca="false">Industry!D165</f>
        <v>0.998420014854898</v>
      </c>
      <c r="C1277" s="21" t="n">
        <f aca="false">Industry!E165</f>
        <v>1.01701044879171</v>
      </c>
      <c r="D1277" s="21" t="n">
        <f aca="false">Industry!F165</f>
        <v>1.35528683693451</v>
      </c>
      <c r="E1277" s="21" t="n">
        <f aca="false">Industry!G165</f>
        <v>1.37244539926846</v>
      </c>
      <c r="F1277" s="21" t="n">
        <f aca="false">Industry!H165</f>
        <v>1.24067414532106</v>
      </c>
      <c r="G1277" s="21" t="n">
        <f aca="false">Industry!I165</f>
        <v>0.99819894131503</v>
      </c>
      <c r="H1277" s="21" t="n">
        <f aca="false">Industry!J165</f>
        <v>1.110171846003</v>
      </c>
      <c r="I1277" s="21" t="n">
        <f aca="false">Industry!K165</f>
        <v>1.1560296617841</v>
      </c>
    </row>
    <row r="1278" customFormat="false" ht="15" hidden="false" customHeight="false" outlineLevel="0" collapsed="false">
      <c r="A1278" s="35" t="s">
        <v>177</v>
      </c>
      <c r="B1278" s="37" t="n">
        <f aca="false">IFERROR(AVERAGE(B1267:B1276),"N/M")</f>
        <v>1.7199745466712</v>
      </c>
      <c r="C1278" s="37" t="n">
        <f aca="false">IFERROR(AVERAGE(C1267:C1276),"N/M")</f>
        <v>1.52651616288436</v>
      </c>
      <c r="D1278" s="37" t="n">
        <f aca="false">IFERROR(AVERAGE(D1267:D1276),"N/M")</f>
        <v>2.22608138551323</v>
      </c>
      <c r="E1278" s="37" t="n">
        <f aca="false">IFERROR(AVERAGE(E1267:E1276),"N/M")</f>
        <v>1.92569743997574</v>
      </c>
      <c r="F1278" s="37" t="n">
        <f aca="false">IFERROR(AVERAGE(F1267:F1276),"N/M")</f>
        <v>1.62674447160791</v>
      </c>
      <c r="G1278" s="37" t="n">
        <f aca="false">IFERROR(AVERAGE(G1267:G1276),"N/M")</f>
        <v>1.64193640223089</v>
      </c>
      <c r="H1278" s="37" t="n">
        <f aca="false">IFERROR(AVERAGE(H1267:H1276),"N/M")</f>
        <v>1.68170342782082</v>
      </c>
      <c r="I1278" s="37" t="n">
        <f aca="false">IFERROR(AVERAGE(I1267:I1276),"N/M")</f>
        <v>1.76409340524345</v>
      </c>
    </row>
    <row r="1279" customFormat="false" ht="15" hidden="false" customHeight="false" outlineLevel="0" collapsed="false">
      <c r="A1279" s="35" t="s">
        <v>178</v>
      </c>
      <c r="B1279" s="37" t="n">
        <f aca="false">IFERROR(MEDIAN(B1267:B1276),"N/M")</f>
        <v>1.60060504287821</v>
      </c>
      <c r="C1279" s="37" t="n">
        <f aca="false">IFERROR(MEDIAN(C1267:C1276),"N/M")</f>
        <v>1.48976323082773</v>
      </c>
      <c r="D1279" s="37" t="n">
        <f aca="false">IFERROR(MEDIAN(D1267:D1276),"N/M")</f>
        <v>1.86825951662871</v>
      </c>
      <c r="E1279" s="37" t="n">
        <f aca="false">IFERROR(MEDIAN(E1267:E1276),"N/M")</f>
        <v>1.92278485867563</v>
      </c>
      <c r="F1279" s="37" t="n">
        <f aca="false">IFERROR(MEDIAN(F1267:F1276),"N/M")</f>
        <v>1.77535755935552</v>
      </c>
      <c r="G1279" s="37" t="n">
        <f aca="false">IFERROR(MEDIAN(G1267:G1276),"N/M")</f>
        <v>1.76177291162156</v>
      </c>
      <c r="H1279" s="37" t="n">
        <f aca="false">IFERROR(MEDIAN(H1267:H1276),"N/M")</f>
        <v>1.78740429391795</v>
      </c>
      <c r="I1279" s="37" t="n">
        <f aca="false">IFERROR(MEDIAN(I1267:I1276),"N/M")</f>
        <v>1.65430524337722</v>
      </c>
    </row>
    <row r="1280" customFormat="false" ht="15" hidden="false" customHeight="false" outlineLevel="0" collapsed="false">
      <c r="A1280" s="35" t="s">
        <v>179</v>
      </c>
      <c r="B1280" s="37" t="n">
        <f aca="false">IFERROR(STDEV(B1267:B1276),"N/M")</f>
        <v>0.919641880186678</v>
      </c>
      <c r="C1280" s="37" t="n">
        <f aca="false">IFERROR(STDEV(C1267:C1276),"N/M")</f>
        <v>0.961326165923035</v>
      </c>
      <c r="D1280" s="37" t="n">
        <f aca="false">IFERROR(STDEV(D1267:D1276),"N/M")</f>
        <v>1.73990238668922</v>
      </c>
      <c r="E1280" s="37" t="n">
        <f aca="false">IFERROR(STDEV(E1267:E1276),"N/M")</f>
        <v>0.994336958418016</v>
      </c>
      <c r="F1280" s="37" t="n">
        <f aca="false">IFERROR(STDEV(F1267:F1276),"N/M")</f>
        <v>0.678854303218034</v>
      </c>
      <c r="G1280" s="37" t="n">
        <f aca="false">IFERROR(STDEV(G1267:G1276),"N/M")</f>
        <v>0.947308796455572</v>
      </c>
      <c r="H1280" s="37" t="n">
        <f aca="false">IFERROR(STDEV(H1267:H1276),"N/M")</f>
        <v>0.748066223872596</v>
      </c>
      <c r="I1280" s="37" t="n">
        <f aca="false">IFERROR(STDEV(I1267:I1276),"N/M")</f>
        <v>0.911904282886123</v>
      </c>
    </row>
    <row r="1281" customFormat="false" ht="15" hidden="false" customHeight="false" outlineLevel="0" collapsed="false">
      <c r="A1281" s="35" t="s">
        <v>102</v>
      </c>
      <c r="B1281" s="37" t="n">
        <f aca="false">IFERROR(MIN(B1267:B1276),"N/M")</f>
        <v>0.364709636247607</v>
      </c>
      <c r="C1281" s="37" t="n">
        <f aca="false">IFERROR(MIN(C1267:C1276),"N/M")</f>
        <v>0.223935082258782</v>
      </c>
      <c r="D1281" s="37" t="n">
        <f aca="false">IFERROR(MIN(D1267:D1276),"N/M")</f>
        <v>0.211651863715783</v>
      </c>
      <c r="E1281" s="37" t="n">
        <f aca="false">IFERROR(MIN(E1267:E1276),"N/M")</f>
        <v>0.332495261999754</v>
      </c>
      <c r="F1281" s="37" t="n">
        <f aca="false">IFERROR(MIN(F1267:F1276),"N/M")</f>
        <v>0.28334881932652</v>
      </c>
      <c r="G1281" s="37" t="n">
        <f aca="false">IFERROR(MIN(G1267:G1276),"N/M")</f>
        <v>0.272765839712257</v>
      </c>
      <c r="H1281" s="37" t="n">
        <f aca="false">IFERROR(MIN(H1267:H1276),"N/M")</f>
        <v>0.436872748691693</v>
      </c>
      <c r="I1281" s="37" t="n">
        <f aca="false">IFERROR(MIN(I1267:I1276),"N/M")</f>
        <v>0.303682750278914</v>
      </c>
    </row>
    <row r="1282" customFormat="false" ht="15" hidden="false" customHeight="false" outlineLevel="0" collapsed="false">
      <c r="A1282" s="35" t="s">
        <v>103</v>
      </c>
      <c r="B1282" s="37" t="n">
        <f aca="false">IFERROR(MAX(B1267:B1276),"N/M")</f>
        <v>3.30518191841235</v>
      </c>
      <c r="C1282" s="37" t="n">
        <f aca="false">IFERROR(MAX(C1267:C1276),"N/M")</f>
        <v>3.72932573394989</v>
      </c>
      <c r="D1282" s="37" t="n">
        <f aca="false">IFERROR(MAX(D1267:D1276),"N/M")</f>
        <v>5.99814724524622</v>
      </c>
      <c r="E1282" s="37" t="n">
        <f aca="false">IFERROR(MAX(E1267:E1276),"N/M")</f>
        <v>3.59985047350058</v>
      </c>
      <c r="F1282" s="37" t="n">
        <f aca="false">IFERROR(MAX(F1267:F1276),"N/M")</f>
        <v>2.39054312311202</v>
      </c>
      <c r="G1282" s="37" t="n">
        <f aca="false">IFERROR(MAX(G1267:G1276),"N/M")</f>
        <v>3.16155274560085</v>
      </c>
      <c r="H1282" s="37" t="n">
        <f aca="false">IFERROR(MAX(H1267:H1276),"N/M")</f>
        <v>2.49970543954965</v>
      </c>
      <c r="I1282" s="37" t="n">
        <f aca="false">IFERROR(MAX(I1267:I1276),"N/M")</f>
        <v>3.11489056086385</v>
      </c>
    </row>
    <row r="1284" customFormat="false" ht="15" hidden="false" customHeight="false" outlineLevel="0" collapsed="false">
      <c r="A1284" s="16" t="s">
        <v>251</v>
      </c>
      <c r="B1284" s="17"/>
      <c r="C1284" s="17"/>
      <c r="D1284" s="17"/>
      <c r="E1284" s="17"/>
      <c r="F1284" s="17"/>
      <c r="G1284" s="17"/>
      <c r="H1284" s="17"/>
      <c r="I1284" s="17"/>
      <c r="J1284" s="17"/>
      <c r="K1284" s="17"/>
      <c r="L1284" s="17"/>
      <c r="M1284" s="17"/>
    </row>
    <row r="1285" customFormat="false" ht="15" hidden="false" customHeight="false" outlineLevel="0" collapsed="false">
      <c r="A1285" s="18" t="s">
        <v>110</v>
      </c>
      <c r="B1285" s="20" t="n">
        <f aca="false">Tiger!D166</f>
        <v>1.95207396725761</v>
      </c>
      <c r="C1285" s="20" t="n">
        <f aca="false">Tiger!E166</f>
        <v>1.99577524292353</v>
      </c>
      <c r="D1285" s="20" t="n">
        <f aca="false">Tiger!F166</f>
        <v>1.76187612748046</v>
      </c>
      <c r="E1285" s="20" t="n">
        <f aca="false">Tiger!G166</f>
        <v>1.39927932116703</v>
      </c>
      <c r="F1285" s="20" t="n">
        <f aca="false">Tiger!H166</f>
        <v>1.26206466468387</v>
      </c>
      <c r="G1285" s="20" t="n">
        <f aca="false">Tiger!I166</f>
        <v>1.3618191305744</v>
      </c>
      <c r="H1285" s="20" t="n">
        <f aca="false">Tiger!J166</f>
        <v>1.53650932010192</v>
      </c>
      <c r="I1285" s="21" t="n">
        <f aca="false">Tiger!K166</f>
        <v>1.60991396774126</v>
      </c>
      <c r="J1285" s="34" t="str">
        <f aca="false">IF(AND(ISNUMBER(H1285),ISNUMBER(H$1297)),IF(H1285&gt;H$1297,"Above",IF(H1285&lt;H$1297,"Below","At")),"-")</f>
        <v>Below</v>
      </c>
      <c r="K1285" s="34" t="str">
        <f aca="false">IF(J1285="Above","Better",IF(J1285="Below","Weaker","-"))</f>
        <v>Weaker</v>
      </c>
      <c r="L1285" s="34" t="n">
        <f aca="false">IF(ISNUMBER(H1285),RANK(H1285,H$1285:H$1294,0),"-")</f>
        <v>7</v>
      </c>
      <c r="N1285" s="34" t="str">
        <f aca="false">IF(AND(ISNUMBER(I1285),ISNUMBER(I$1297)),IF(I1285&gt;I$1297,"Above",IF(I1285&lt;I$1297,"Below","At")),"-")</f>
        <v>Below</v>
      </c>
      <c r="O1285" s="34" t="str">
        <f aca="false">IF(N1285="Above","Better",IF(N1285="Below","Weaker","-"))</f>
        <v>Weaker</v>
      </c>
    </row>
    <row r="1286" customFormat="false" ht="15" hidden="false" customHeight="false" outlineLevel="0" collapsed="false">
      <c r="A1286" s="18" t="s">
        <v>111</v>
      </c>
      <c r="B1286" s="20" t="n">
        <f aca="false">Allcargo!D166</f>
        <v>2.22351416824306</v>
      </c>
      <c r="C1286" s="20" t="n">
        <f aca="false">Allcargo!E166</f>
        <v>2.84794005292104</v>
      </c>
      <c r="D1286" s="20" t="n">
        <f aca="false">Allcargo!F166</f>
        <v>3.10676546746736</v>
      </c>
      <c r="E1286" s="20" t="n">
        <f aca="false">Allcargo!G166</f>
        <v>2.81708606789179</v>
      </c>
      <c r="F1286" s="20" t="n">
        <f aca="false">Allcargo!H166</f>
        <v>2.69766391484018</v>
      </c>
      <c r="G1286" s="20" t="n">
        <f aca="false">Allcargo!I166</f>
        <v>2.88766161958471</v>
      </c>
      <c r="H1286" s="20" t="n">
        <f aca="false">Allcargo!J166</f>
        <v>3.06073943661972</v>
      </c>
      <c r="I1286" s="21" t="n">
        <f aca="false">Allcargo!K166</f>
        <v>2.80591010393827</v>
      </c>
      <c r="J1286" s="34" t="str">
        <f aca="false">IF(AND(ISNUMBER(H1286),ISNUMBER(H$1297)),IF(H1286&gt;H$1297,"Above",IF(H1286&lt;H$1297,"Below","At")),"-")</f>
        <v>Above</v>
      </c>
      <c r="K1286" s="34" t="str">
        <f aca="false">IF(J1286="Above","Better",IF(J1286="Below","Weaker","-"))</f>
        <v>Better</v>
      </c>
      <c r="L1286" s="34" t="n">
        <f aca="false">IF(ISNUMBER(H1286),RANK(H1286,H$1285:H$1294,0),"-")</f>
        <v>3</v>
      </c>
      <c r="N1286" s="34" t="str">
        <f aca="false">IF(AND(ISNUMBER(I1286),ISNUMBER(I$1297)),IF(I1286&gt;I$1297,"Above",IF(I1286&lt;I$1297,"Below","At")),"-")</f>
        <v>Above</v>
      </c>
      <c r="O1286" s="34" t="str">
        <f aca="false">IF(N1286="Above","Better",IF(N1286="Below","Weaker","-"))</f>
        <v>Better</v>
      </c>
    </row>
    <row r="1287" customFormat="false" ht="15" hidden="false" customHeight="false" outlineLevel="0" collapsed="false">
      <c r="A1287" s="18" t="s">
        <v>112</v>
      </c>
      <c r="B1287" s="20" t="n">
        <f aca="false">BlueDart!D166</f>
        <v>4.16644050348603</v>
      </c>
      <c r="C1287" s="20" t="n">
        <f aca="false">BlueDart!E166</f>
        <v>5.11476832996241</v>
      </c>
      <c r="D1287" s="20" t="n">
        <f aca="false">BlueDart!F166</f>
        <v>3.91146555551761</v>
      </c>
      <c r="E1287" s="20" t="n">
        <f aca="false">BlueDart!G166</f>
        <v>2.94986717360045</v>
      </c>
      <c r="F1287" s="20" t="n">
        <f aca="false">BlueDart!H166</f>
        <v>2.62441544979445</v>
      </c>
      <c r="G1287" s="20" t="n">
        <f aca="false">BlueDart!I166</f>
        <v>2.43434906076253</v>
      </c>
      <c r="H1287" s="20" t="n">
        <f aca="false">BlueDart!J166</f>
        <v>2.33510598434591</v>
      </c>
      <c r="I1287" s="21" t="n">
        <f aca="false">BlueDart!K166</f>
        <v>3.36234457963849</v>
      </c>
      <c r="J1287" s="34" t="str">
        <f aca="false">IF(AND(ISNUMBER(H1287),ISNUMBER(H$1297)),IF(H1287&gt;H$1297,"Above",IF(H1287&lt;H$1297,"Below","At")),"-")</f>
        <v>Above</v>
      </c>
      <c r="K1287" s="34" t="str">
        <f aca="false">IF(J1287="Above","Better",IF(J1287="Below","Weaker","-"))</f>
        <v>Better</v>
      </c>
      <c r="L1287" s="34" t="n">
        <f aca="false">IF(ISNUMBER(H1287),RANK(H1287,H$1285:H$1294,0),"-")</f>
        <v>5</v>
      </c>
      <c r="N1287" s="34" t="str">
        <f aca="false">IF(AND(ISNUMBER(I1287),ISNUMBER(I$1297)),IF(I1287&gt;I$1297,"Above",IF(I1287&lt;I$1297,"Below","At")),"-")</f>
        <v>Above</v>
      </c>
      <c r="O1287" s="34" t="str">
        <f aca="false">IF(N1287="Above","Better",IF(N1287="Below","Weaker","-"))</f>
        <v>Better</v>
      </c>
    </row>
    <row r="1288" customFormat="false" ht="15" hidden="false" customHeight="false" outlineLevel="0" collapsed="false">
      <c r="A1288" s="18" t="s">
        <v>67</v>
      </c>
      <c r="B1288" s="20" t="n">
        <f aca="false">CONCOR!D166</f>
        <v>1.20678174747503</v>
      </c>
      <c r="C1288" s="20" t="n">
        <f aca="false">CONCOR!E166</f>
        <v>1.19600550773574</v>
      </c>
      <c r="D1288" s="20" t="n">
        <f aca="false">CONCOR!F166</f>
        <v>1.21343363187652</v>
      </c>
      <c r="E1288" s="20" t="n">
        <f aca="false">CONCOR!G166</f>
        <v>1.20406813340988</v>
      </c>
      <c r="F1288" s="20" t="n">
        <f aca="false">CONCOR!H166</f>
        <v>1.19323760783436</v>
      </c>
      <c r="G1288" s="20" t="n">
        <f aca="false">CONCOR!I166</f>
        <v>1.17809579721599</v>
      </c>
      <c r="H1288" s="20" t="n">
        <f aca="false">CONCOR!J166</f>
        <v>1.17095492344951</v>
      </c>
      <c r="I1288" s="21" t="n">
        <f aca="false">CONCOR!K166</f>
        <v>1.19465390699958</v>
      </c>
      <c r="J1288" s="34" t="str">
        <f aca="false">IF(AND(ISNUMBER(H1288),ISNUMBER(H$1297)),IF(H1288&gt;H$1297,"Above",IF(H1288&lt;H$1297,"Below","At")),"-")</f>
        <v>Below</v>
      </c>
      <c r="K1288" s="34" t="str">
        <f aca="false">IF(J1288="Above","Better",IF(J1288="Below","Weaker","-"))</f>
        <v>Weaker</v>
      </c>
      <c r="L1288" s="34" t="n">
        <f aca="false">IF(ISNUMBER(H1288),RANK(H1288,H$1285:H$1294,0),"-")</f>
        <v>10</v>
      </c>
      <c r="N1288" s="34" t="str">
        <f aca="false">IF(AND(ISNUMBER(I1288),ISNUMBER(I$1297)),IF(I1288&gt;I$1297,"Above",IF(I1288&lt;I$1297,"Below","At")),"-")</f>
        <v>Below</v>
      </c>
      <c r="O1288" s="34" t="str">
        <f aca="false">IF(N1288="Above","Better",IF(N1288="Below","Weaker","-"))</f>
        <v>Weaker</v>
      </c>
    </row>
    <row r="1289" customFormat="false" ht="15" hidden="false" customHeight="false" outlineLevel="0" collapsed="false">
      <c r="A1289" s="18" t="s">
        <v>113</v>
      </c>
      <c r="B1289" s="20" t="n">
        <f aca="false">JetFreight!D166</f>
        <v>4.20979345555814</v>
      </c>
      <c r="C1289" s="20" t="n">
        <f aca="false">JetFreight!E166</f>
        <v>4.79453467388502</v>
      </c>
      <c r="D1289" s="20" t="n">
        <f aca="false">JetFreight!F166</f>
        <v>4.53551198257081</v>
      </c>
      <c r="E1289" s="20" t="n">
        <f aca="false">JetFreight!G166</f>
        <v>3.04664588384713</v>
      </c>
      <c r="F1289" s="20" t="n">
        <f aca="false">JetFreight!H166</f>
        <v>2.60118665811418</v>
      </c>
      <c r="G1289" s="20" t="n">
        <f aca="false">JetFreight!I166</f>
        <v>2.74593543368339</v>
      </c>
      <c r="H1289" s="20" t="n">
        <f aca="false">JetFreight!J166</f>
        <v>2.71150799366268</v>
      </c>
      <c r="I1289" s="21" t="n">
        <f aca="false">JetFreight!K166</f>
        <v>3.52073086876019</v>
      </c>
      <c r="J1289" s="34" t="str">
        <f aca="false">IF(AND(ISNUMBER(H1289),ISNUMBER(H$1297)),IF(H1289&gt;H$1297,"Above",IF(H1289&lt;H$1297,"Below","At")),"-")</f>
        <v>Above</v>
      </c>
      <c r="K1289" s="34" t="str">
        <f aca="false">IF(J1289="Above","Better",IF(J1289="Below","Weaker","-"))</f>
        <v>Better</v>
      </c>
      <c r="L1289" s="34" t="n">
        <f aca="false">IF(ISNUMBER(H1289),RANK(H1289,H$1285:H$1294,0),"-")</f>
        <v>4</v>
      </c>
      <c r="N1289" s="34" t="str">
        <f aca="false">IF(AND(ISNUMBER(I1289),ISNUMBER(I$1297)),IF(I1289&gt;I$1297,"Above",IF(I1289&lt;I$1297,"Below","At")),"-")</f>
        <v>Above</v>
      </c>
      <c r="O1289" s="34" t="str">
        <f aca="false">IF(N1289="Above","Better",IF(N1289="Below","Weaker","-"))</f>
        <v>Better</v>
      </c>
    </row>
    <row r="1290" customFormat="false" ht="15" hidden="false" customHeight="false" outlineLevel="0" collapsed="false">
      <c r="A1290" s="18" t="s">
        <v>114</v>
      </c>
      <c r="B1290" s="20" t="n">
        <f aca="false">Patel!D166</f>
        <v>1.74986847962446</v>
      </c>
      <c r="C1290" s="20" t="n">
        <f aca="false">Patel!E166</f>
        <v>1.67914279652026</v>
      </c>
      <c r="D1290" s="20" t="n">
        <f aca="false">Patel!F166</f>
        <v>1.57922866427228</v>
      </c>
      <c r="E1290" s="20" t="n">
        <f aca="false">Patel!G166</f>
        <v>1.49478612470738</v>
      </c>
      <c r="F1290" s="20" t="n">
        <f aca="false">Patel!H166</f>
        <v>1.53653700109695</v>
      </c>
      <c r="G1290" s="20" t="n">
        <f aca="false">Patel!I166</f>
        <v>1.49450184654965</v>
      </c>
      <c r="H1290" s="20" t="n">
        <f aca="false">Patel!J166</f>
        <v>1.35182315033853</v>
      </c>
      <c r="I1290" s="21" t="n">
        <f aca="false">Patel!K166</f>
        <v>1.5551268661585</v>
      </c>
      <c r="J1290" s="34" t="str">
        <f aca="false">IF(AND(ISNUMBER(H1290),ISNUMBER(H$1297)),IF(H1290&gt;H$1297,"Above",IF(H1290&lt;H$1297,"Below","At")),"-")</f>
        <v>Below</v>
      </c>
      <c r="K1290" s="34" t="str">
        <f aca="false">IF(J1290="Above","Better",IF(J1290="Below","Weaker","-"))</f>
        <v>Weaker</v>
      </c>
      <c r="L1290" s="34" t="n">
        <f aca="false">IF(ISNUMBER(H1290),RANK(H1290,H$1285:H$1294,0),"-")</f>
        <v>9</v>
      </c>
      <c r="N1290" s="34" t="str">
        <f aca="false">IF(AND(ISNUMBER(I1290),ISNUMBER(I$1297)),IF(I1290&gt;I$1297,"Above",IF(I1290&lt;I$1297,"Below","At")),"-")</f>
        <v>Below</v>
      </c>
      <c r="O1290" s="34" t="str">
        <f aca="false">IF(N1290="Above","Better",IF(N1290="Below","Weaker","-"))</f>
        <v>Weaker</v>
      </c>
    </row>
    <row r="1291" customFormat="false" ht="15" hidden="false" customHeight="false" outlineLevel="0" collapsed="false">
      <c r="A1291" s="18" t="s">
        <v>115</v>
      </c>
      <c r="B1291" s="20" t="n">
        <f aca="false">Sical!D166</f>
        <v>5.0410718528944</v>
      </c>
      <c r="C1291" s="20" t="str">
        <f aca="false">Sical!E166</f>
        <v>N/M</v>
      </c>
      <c r="D1291" s="20" t="str">
        <f aca="false">Sical!F166</f>
        <v>N/M</v>
      </c>
      <c r="E1291" s="20" t="str">
        <f aca="false">Sical!G166</f>
        <v>N/M</v>
      </c>
      <c r="F1291" s="20" t="n">
        <f aca="false">Sical!H166</f>
        <v>18.9755593385214</v>
      </c>
      <c r="G1291" s="20" t="n">
        <f aca="false">Sical!I166</f>
        <v>67.9102296450939</v>
      </c>
      <c r="H1291" s="20" t="n">
        <f aca="false">Sical!J166</f>
        <v>13.9554220676573</v>
      </c>
      <c r="I1291" s="21" t="n">
        <f aca="false">Sical!K166</f>
        <v>26.4705707260418</v>
      </c>
      <c r="J1291" s="34" t="str">
        <f aca="false">IF(AND(ISNUMBER(H1291),ISNUMBER(H$1297)),IF(H1291&gt;H$1297,"Above",IF(H1291&lt;H$1297,"Below","At")),"-")</f>
        <v>Above</v>
      </c>
      <c r="K1291" s="34" t="str">
        <f aca="false">IF(J1291="Above","Better",IF(J1291="Below","Weaker","-"))</f>
        <v>Better</v>
      </c>
      <c r="L1291" s="34" t="n">
        <f aca="false">IF(ISNUMBER(H1291),RANK(H1291,H$1285:H$1294,0),"-")</f>
        <v>1</v>
      </c>
      <c r="N1291" s="34" t="str">
        <f aca="false">IF(AND(ISNUMBER(I1291),ISNUMBER(I$1297)),IF(I1291&gt;I$1297,"Above",IF(I1291&lt;I$1297,"Below","At")),"-")</f>
        <v>Above</v>
      </c>
      <c r="O1291" s="34" t="str">
        <f aca="false">IF(N1291="Above","Better",IF(N1291="Below","Weaker","-"))</f>
        <v>Better</v>
      </c>
    </row>
    <row r="1292" customFormat="false" ht="15" hidden="false" customHeight="false" outlineLevel="0" collapsed="false">
      <c r="A1292" s="18" t="s">
        <v>86</v>
      </c>
      <c r="B1292" s="20" t="n">
        <f aca="false">TCI!D166</f>
        <v>1.72209202181799</v>
      </c>
      <c r="C1292" s="20" t="n">
        <f aca="false">TCI!E166</f>
        <v>1.56005196936543</v>
      </c>
      <c r="D1292" s="20" t="n">
        <f aca="false">TCI!F166</f>
        <v>1.37148219800845</v>
      </c>
      <c r="E1292" s="20" t="n">
        <f aca="false">TCI!G166</f>
        <v>1.25410351620494</v>
      </c>
      <c r="F1292" s="20" t="n">
        <f aca="false">TCI!H166</f>
        <v>1.24198445060327</v>
      </c>
      <c r="G1292" s="20" t="n">
        <f aca="false">TCI!I166</f>
        <v>1.30704304604708</v>
      </c>
      <c r="H1292" s="20" t="n">
        <f aca="false">TCI!J166</f>
        <v>1.35908565182577</v>
      </c>
      <c r="I1292" s="21" t="n">
        <f aca="false">TCI!K166</f>
        <v>1.40226326483899</v>
      </c>
      <c r="J1292" s="34" t="str">
        <f aca="false">IF(AND(ISNUMBER(H1292),ISNUMBER(H$1297)),IF(H1292&gt;H$1297,"Above",IF(H1292&lt;H$1297,"Below","At")),"-")</f>
        <v>Below</v>
      </c>
      <c r="K1292" s="34" t="str">
        <f aca="false">IF(J1292="Above","Better",IF(J1292="Below","Weaker","-"))</f>
        <v>Weaker</v>
      </c>
      <c r="L1292" s="34" t="n">
        <f aca="false">IF(ISNUMBER(H1292),RANK(H1292,H$1285:H$1294,0),"-")</f>
        <v>8</v>
      </c>
      <c r="N1292" s="34" t="str">
        <f aca="false">IF(AND(ISNUMBER(I1292),ISNUMBER(I$1297)),IF(I1292&gt;I$1297,"Above",IF(I1292&lt;I$1297,"Below","At")),"-")</f>
        <v>Below</v>
      </c>
      <c r="O1292" s="34" t="str">
        <f aca="false">IF(N1292="Above","Better",IF(N1292="Below","Weaker","-"))</f>
        <v>Weaker</v>
      </c>
    </row>
    <row r="1293" customFormat="false" ht="15" hidden="false" customHeight="false" outlineLevel="0" collapsed="false">
      <c r="A1293" s="18" t="s">
        <v>116</v>
      </c>
      <c r="B1293" s="20" t="n">
        <f aca="false">Shreeji!D166</f>
        <v>3.05869212022746</v>
      </c>
      <c r="C1293" s="20" t="n">
        <f aca="false">Shreeji!E166</f>
        <v>3.26512851649464</v>
      </c>
      <c r="D1293" s="20" t="n">
        <f aca="false">Shreeji!F166</f>
        <v>3.04850746268657</v>
      </c>
      <c r="E1293" s="20" t="n">
        <f aca="false">Shreeji!G166</f>
        <v>2.6635129576306</v>
      </c>
      <c r="F1293" s="20" t="n">
        <f aca="false">Shreeji!H166</f>
        <v>2.32596114096734</v>
      </c>
      <c r="G1293" s="20" t="n">
        <f aca="false">Shreeji!I166</f>
        <v>2.08808657855052</v>
      </c>
      <c r="H1293" s="20" t="n">
        <f aca="false">Shreeji!J166</f>
        <v>2.00624518778339</v>
      </c>
      <c r="I1293" s="21" t="n">
        <f aca="false">Shreeji!K166</f>
        <v>2.63659056633436</v>
      </c>
      <c r="J1293" s="34" t="str">
        <f aca="false">IF(AND(ISNUMBER(H1293),ISNUMBER(H$1297)),IF(H1293&gt;H$1297,"Above",IF(H1293&lt;H$1297,"Below","At")),"-")</f>
        <v>Below</v>
      </c>
      <c r="K1293" s="34" t="str">
        <f aca="false">IF(J1293="Above","Better",IF(J1293="Below","Weaker","-"))</f>
        <v>Weaker</v>
      </c>
      <c r="L1293" s="34" t="n">
        <f aca="false">IF(ISNUMBER(H1293),RANK(H1293,H$1285:H$1294,0),"-")</f>
        <v>6</v>
      </c>
      <c r="N1293" s="34" t="str">
        <f aca="false">IF(AND(ISNUMBER(I1293),ISNUMBER(I$1297)),IF(I1293&gt;I$1297,"Above",IF(I1293&lt;I$1297,"Below","At")),"-")</f>
        <v>Below</v>
      </c>
      <c r="O1293" s="34" t="str">
        <f aca="false">IF(N1293="Above","Better",IF(N1293="Below","Weaker","-"))</f>
        <v>Weaker</v>
      </c>
    </row>
    <row r="1294" customFormat="false" ht="15" hidden="false" customHeight="false" outlineLevel="0" collapsed="false">
      <c r="A1294" s="18" t="s">
        <v>117</v>
      </c>
      <c r="B1294" s="20" t="n">
        <f aca="false">MahindraLog!D166</f>
        <v>2.51896209498787</v>
      </c>
      <c r="C1294" s="20" t="n">
        <f aca="false">MahindraLog!E166</f>
        <v>2.7938726173037</v>
      </c>
      <c r="D1294" s="20" t="n">
        <f aca="false">MahindraLog!F166</f>
        <v>3.28599242736914</v>
      </c>
      <c r="E1294" s="20" t="n">
        <f aca="false">MahindraLog!G166</f>
        <v>4.08643234219194</v>
      </c>
      <c r="F1294" s="20" t="n">
        <f aca="false">MahindraLog!H166</f>
        <v>4.77179501773958</v>
      </c>
      <c r="G1294" s="20" t="n">
        <f aca="false">MahindraLog!I166</f>
        <v>5.43451389262106</v>
      </c>
      <c r="H1294" s="20" t="n">
        <f aca="false">MahindraLog!J166</f>
        <v>3.524493693649</v>
      </c>
      <c r="I1294" s="21" t="n">
        <f aca="false">MahindraLog!K166</f>
        <v>3.77372315512318</v>
      </c>
      <c r="J1294" s="34" t="str">
        <f aca="false">IF(AND(ISNUMBER(H1294),ISNUMBER(H$1297)),IF(H1294&gt;H$1297,"Above",IF(H1294&lt;H$1297,"Below","At")),"-")</f>
        <v>Above</v>
      </c>
      <c r="K1294" s="34" t="str">
        <f aca="false">IF(J1294="Above","Better",IF(J1294="Below","Weaker","-"))</f>
        <v>Better</v>
      </c>
      <c r="L1294" s="34" t="n">
        <f aca="false">IF(ISNUMBER(H1294),RANK(H1294,H$1285:H$1294,0),"-")</f>
        <v>2</v>
      </c>
      <c r="N1294" s="34" t="str">
        <f aca="false">IF(AND(ISNUMBER(I1294),ISNUMBER(I$1297)),IF(I1294&gt;I$1297,"Above",IF(I1294&lt;I$1297,"Below","At")),"-")</f>
        <v>Above</v>
      </c>
      <c r="O1294" s="34" t="str">
        <f aca="false">IF(N1294="Above","Better",IF(N1294="Below","Weaker","-"))</f>
        <v>Better</v>
      </c>
    </row>
    <row r="1295" customFormat="false" ht="15" hidden="false" customHeight="false" outlineLevel="0" collapsed="false">
      <c r="A1295" s="12" t="s">
        <v>176</v>
      </c>
      <c r="B1295" s="21" t="n">
        <f aca="false">Industry!D166</f>
        <v>1.68424551870516</v>
      </c>
      <c r="C1295" s="21" t="n">
        <f aca="false">Industry!E166</f>
        <v>1.85404544608888</v>
      </c>
      <c r="D1295" s="21" t="n">
        <f aca="false">Industry!F166</f>
        <v>1.95708916647409</v>
      </c>
      <c r="E1295" s="21" t="n">
        <f aca="false">Industry!G166</f>
        <v>1.80381990841672</v>
      </c>
      <c r="F1295" s="21" t="n">
        <f aca="false">Industry!H166</f>
        <v>1.67260688342512</v>
      </c>
      <c r="G1295" s="21" t="n">
        <f aca="false">Industry!I166</f>
        <v>1.60707293182706</v>
      </c>
      <c r="H1295" s="21" t="n">
        <f aca="false">Industry!J166</f>
        <v>1.51628816879644</v>
      </c>
      <c r="I1295" s="21" t="n">
        <f aca="false">Industry!K166</f>
        <v>1.72788114624764</v>
      </c>
    </row>
    <row r="1296" customFormat="false" ht="15" hidden="false" customHeight="false" outlineLevel="0" collapsed="false">
      <c r="A1296" s="35" t="s">
        <v>177</v>
      </c>
      <c r="B1296" s="37" t="n">
        <f aca="false">IFERROR(AVERAGE(B1285:B1294),"N/M")</f>
        <v>2.78492904115721</v>
      </c>
      <c r="C1296" s="37" t="n">
        <f aca="false">IFERROR(AVERAGE(C1285:C1294),"N/M")</f>
        <v>2.80524663412353</v>
      </c>
      <c r="D1296" s="37" t="n">
        <f aca="false">IFERROR(AVERAGE(D1285:D1294),"N/M")</f>
        <v>2.64602927969435</v>
      </c>
      <c r="E1296" s="37" t="n">
        <f aca="false">IFERROR(AVERAGE(E1285:E1294),"N/M")</f>
        <v>2.3239757245168</v>
      </c>
      <c r="F1296" s="37" t="n">
        <f aca="false">IFERROR(AVERAGE(F1285:F1294),"N/M")</f>
        <v>3.92304052441956</v>
      </c>
      <c r="G1296" s="37" t="n">
        <f aca="false">IFERROR(AVERAGE(G1285:G1294),"N/M")</f>
        <v>8.88422360506833</v>
      </c>
      <c r="H1296" s="37" t="n">
        <f aca="false">IFERROR(AVERAGE(H1285:H1294),"N/M")</f>
        <v>3.30118874094337</v>
      </c>
      <c r="I1296" s="37" t="n">
        <f aca="false">IFERROR(AVERAGE(I1285:I1294),"N/M")</f>
        <v>4.83318280055746</v>
      </c>
    </row>
    <row r="1297" customFormat="false" ht="15" hidden="false" customHeight="false" outlineLevel="0" collapsed="false">
      <c r="A1297" s="35" t="s">
        <v>178</v>
      </c>
      <c r="B1297" s="37" t="n">
        <f aca="false">IFERROR(MEDIAN(B1285:B1294),"N/M")</f>
        <v>2.37123813161547</v>
      </c>
      <c r="C1297" s="37" t="n">
        <f aca="false">IFERROR(MEDIAN(C1285:C1294),"N/M")</f>
        <v>2.7938726173037</v>
      </c>
      <c r="D1297" s="37" t="n">
        <f aca="false">IFERROR(MEDIAN(D1285:D1294),"N/M")</f>
        <v>3.04850746268657</v>
      </c>
      <c r="E1297" s="37" t="n">
        <f aca="false">IFERROR(MEDIAN(E1285:E1294),"N/M")</f>
        <v>2.6635129576306</v>
      </c>
      <c r="F1297" s="37" t="n">
        <f aca="false">IFERROR(MEDIAN(F1285:F1294),"N/M")</f>
        <v>2.46357389954076</v>
      </c>
      <c r="G1297" s="37" t="n">
        <f aca="false">IFERROR(MEDIAN(G1285:G1294),"N/M")</f>
        <v>2.26121781965652</v>
      </c>
      <c r="H1297" s="37" t="n">
        <f aca="false">IFERROR(MEDIAN(H1285:H1294),"N/M")</f>
        <v>2.17067558606465</v>
      </c>
      <c r="I1297" s="37" t="n">
        <f aca="false">IFERROR(MEDIAN(I1285:I1294),"N/M")</f>
        <v>2.72125033513631</v>
      </c>
    </row>
    <row r="1298" customFormat="false" ht="15" hidden="false" customHeight="false" outlineLevel="0" collapsed="false">
      <c r="A1298" s="35" t="s">
        <v>179</v>
      </c>
      <c r="B1298" s="37" t="n">
        <f aca="false">IFERROR(STDEV(B1285:B1294),"N/M")</f>
        <v>1.28560550181904</v>
      </c>
      <c r="C1298" s="37" t="n">
        <f aca="false">IFERROR(STDEV(C1285:C1294),"N/M")</f>
        <v>1.39499647638108</v>
      </c>
      <c r="D1298" s="37" t="n">
        <f aca="false">IFERROR(STDEV(D1285:D1294),"N/M")</f>
        <v>1.20165948321187</v>
      </c>
      <c r="E1298" s="37" t="n">
        <f aca="false">IFERROR(STDEV(E1285:E1294),"N/M")</f>
        <v>1.01981170586538</v>
      </c>
      <c r="F1298" s="37" t="n">
        <f aca="false">IFERROR(STDEV(F1285:F1294),"N/M")</f>
        <v>5.39753770185748</v>
      </c>
      <c r="G1298" s="37" t="n">
        <f aca="false">IFERROR(STDEV(G1285:G1294),"N/M")</f>
        <v>20.7776274213386</v>
      </c>
      <c r="H1298" s="37" t="n">
        <f aca="false">IFERROR(STDEV(H1285:H1294),"N/M")</f>
        <v>3.82683604477385</v>
      </c>
      <c r="I1298" s="37" t="n">
        <f aca="false">IFERROR(STDEV(I1285:I1294),"N/M")</f>
        <v>7.66133852680661</v>
      </c>
    </row>
    <row r="1299" customFormat="false" ht="15" hidden="false" customHeight="false" outlineLevel="0" collapsed="false">
      <c r="A1299" s="35" t="s">
        <v>102</v>
      </c>
      <c r="B1299" s="37" t="n">
        <f aca="false">IFERROR(MIN(B1285:B1294),"N/M")</f>
        <v>1.20678174747503</v>
      </c>
      <c r="C1299" s="37" t="n">
        <f aca="false">IFERROR(MIN(C1285:C1294),"N/M")</f>
        <v>1.19600550773574</v>
      </c>
      <c r="D1299" s="37" t="n">
        <f aca="false">IFERROR(MIN(D1285:D1294),"N/M")</f>
        <v>1.21343363187652</v>
      </c>
      <c r="E1299" s="37" t="n">
        <f aca="false">IFERROR(MIN(E1285:E1294),"N/M")</f>
        <v>1.20406813340988</v>
      </c>
      <c r="F1299" s="37" t="n">
        <f aca="false">IFERROR(MIN(F1285:F1294),"N/M")</f>
        <v>1.19323760783436</v>
      </c>
      <c r="G1299" s="37" t="n">
        <f aca="false">IFERROR(MIN(G1285:G1294),"N/M")</f>
        <v>1.17809579721599</v>
      </c>
      <c r="H1299" s="37" t="n">
        <f aca="false">IFERROR(MIN(H1285:H1294),"N/M")</f>
        <v>1.17095492344951</v>
      </c>
      <c r="I1299" s="37" t="n">
        <f aca="false">IFERROR(MIN(I1285:I1294),"N/M")</f>
        <v>1.19465390699958</v>
      </c>
    </row>
    <row r="1300" customFormat="false" ht="15" hidden="false" customHeight="false" outlineLevel="0" collapsed="false">
      <c r="A1300" s="35" t="s">
        <v>103</v>
      </c>
      <c r="B1300" s="37" t="n">
        <f aca="false">IFERROR(MAX(B1285:B1294),"N/M")</f>
        <v>5.0410718528944</v>
      </c>
      <c r="C1300" s="37" t="n">
        <f aca="false">IFERROR(MAX(C1285:C1294),"N/M")</f>
        <v>5.11476832996241</v>
      </c>
      <c r="D1300" s="37" t="n">
        <f aca="false">IFERROR(MAX(D1285:D1294),"N/M")</f>
        <v>4.53551198257081</v>
      </c>
      <c r="E1300" s="37" t="n">
        <f aca="false">IFERROR(MAX(E1285:E1294),"N/M")</f>
        <v>4.08643234219194</v>
      </c>
      <c r="F1300" s="37" t="n">
        <f aca="false">IFERROR(MAX(F1285:F1294),"N/M")</f>
        <v>18.9755593385214</v>
      </c>
      <c r="G1300" s="37" t="n">
        <f aca="false">IFERROR(MAX(G1285:G1294),"N/M")</f>
        <v>67.9102296450939</v>
      </c>
      <c r="H1300" s="37" t="n">
        <f aca="false">IFERROR(MAX(H1285:H1294),"N/M")</f>
        <v>13.9554220676573</v>
      </c>
      <c r="I1300" s="37" t="n">
        <f aca="false">IFERROR(MAX(I1285:I1294),"N/M")</f>
        <v>26.4705707260418</v>
      </c>
    </row>
    <row r="1302" customFormat="false" ht="15" hidden="false" customHeight="false" outlineLevel="0" collapsed="false">
      <c r="A1302" s="16" t="s">
        <v>252</v>
      </c>
      <c r="B1302" s="17"/>
      <c r="C1302" s="17"/>
      <c r="D1302" s="17"/>
      <c r="E1302" s="17"/>
      <c r="F1302" s="17"/>
      <c r="G1302" s="17"/>
      <c r="H1302" s="17"/>
      <c r="I1302" s="17"/>
      <c r="J1302" s="17"/>
      <c r="K1302" s="17"/>
      <c r="L1302" s="17"/>
      <c r="M1302" s="17"/>
    </row>
    <row r="1303" customFormat="false" ht="15" hidden="false" customHeight="false" outlineLevel="0" collapsed="false">
      <c r="A1303" s="18" t="s">
        <v>110</v>
      </c>
      <c r="B1303" s="23" t="n">
        <f aca="false">Tiger!D167</f>
        <v>-0.209347697005683</v>
      </c>
      <c r="C1303" s="23" t="n">
        <f aca="false">Tiger!E167</f>
        <v>-0.262357414448669</v>
      </c>
      <c r="D1303" s="23" t="n">
        <f aca="false">Tiger!F167</f>
        <v>0.577785413624259</v>
      </c>
      <c r="E1303" s="23" t="n">
        <f aca="false">Tiger!G167</f>
        <v>0.269789608276183</v>
      </c>
      <c r="F1303" s="23" t="n">
        <f aca="false">Tiger!H167</f>
        <v>0.12434040103617</v>
      </c>
      <c r="G1303" s="23" t="n">
        <f aca="false">Tiger!I167</f>
        <v>0.21683458435355</v>
      </c>
      <c r="H1303" s="23" t="n">
        <f aca="false">Tiger!J167</f>
        <v>0.144293951991417</v>
      </c>
      <c r="I1303" s="24" t="n">
        <f aca="false">Tiger!K167</f>
        <v>0.123048406832461</v>
      </c>
      <c r="J1303" s="34" t="str">
        <f aca="false">IF(AND(ISNUMBER(H1303),ISNUMBER(H$1315)),IF(H1303&gt;H$1315,"Above",IF(H1303&lt;H$1315,"Below","At")),"-")</f>
        <v>Above</v>
      </c>
      <c r="K1303" s="34" t="str">
        <f aca="false">IF(J1303="Above","Better",IF(J1303="Below","Weaker","-"))</f>
        <v>Better</v>
      </c>
      <c r="L1303" s="34" t="n">
        <f aca="false">IF(ISNUMBER(H1303),RANK(H1303,H$1303:H$1312,0),"-")</f>
        <v>4</v>
      </c>
      <c r="N1303" s="34" t="str">
        <f aca="false">IF(AND(ISNUMBER(I1303),ISNUMBER(I$1315)),IF(I1303&gt;I$1315,"Above",IF(I1303&lt;I$1315,"Below","At")),"-")</f>
        <v>Above</v>
      </c>
      <c r="O1303" s="34" t="str">
        <f aca="false">IF(N1303="Above","Better",IF(N1303="Below","Weaker","-"))</f>
        <v>Better</v>
      </c>
    </row>
    <row r="1304" customFormat="false" ht="15" hidden="false" customHeight="false" outlineLevel="0" collapsed="false">
      <c r="A1304" s="18" t="s">
        <v>111</v>
      </c>
      <c r="B1304" s="23" t="n">
        <f aca="false">Allcargo!D167</f>
        <v>0.107613017797166</v>
      </c>
      <c r="C1304" s="23" t="n">
        <f aca="false">Allcargo!E167</f>
        <v>0.0780720846014215</v>
      </c>
      <c r="D1304" s="23" t="n">
        <f aca="false">Allcargo!F167</f>
        <v>0.340006978495216</v>
      </c>
      <c r="E1304" s="23" t="n">
        <f aca="false">Allcargo!G167</f>
        <v>0.210706863142112</v>
      </c>
      <c r="F1304" s="23" t="n">
        <f aca="false">Allcargo!H167</f>
        <v>0.0561110226112053</v>
      </c>
      <c r="G1304" s="23" t="n">
        <f aca="false">Allcargo!I167</f>
        <v>0.0421581058687326</v>
      </c>
      <c r="H1304" s="23" t="n">
        <f aca="false">Allcargo!J167</f>
        <v>0.0140845070422535</v>
      </c>
      <c r="I1304" s="24" t="n">
        <f aca="false">Allcargo!K167</f>
        <v>0.121250368508301</v>
      </c>
      <c r="J1304" s="34" t="str">
        <f aca="false">IF(AND(ISNUMBER(H1304),ISNUMBER(H$1315)),IF(H1304&gt;H$1315,"Above",IF(H1304&lt;H$1315,"Below","At")),"-")</f>
        <v>Below</v>
      </c>
      <c r="K1304" s="34" t="str">
        <f aca="false">IF(J1304="Above","Better",IF(J1304="Below","Weaker","-"))</f>
        <v>Weaker</v>
      </c>
      <c r="L1304" s="34" t="n">
        <f aca="false">IF(ISNUMBER(H1304),RANK(H1304,H$1303:H$1312,0),"-")</f>
        <v>9</v>
      </c>
      <c r="N1304" s="34" t="str">
        <f aca="false">IF(AND(ISNUMBER(I1304),ISNUMBER(I$1315)),IF(I1304&gt;I$1315,"Above",IF(I1304&lt;I$1315,"Below","At")),"-")</f>
        <v>Above</v>
      </c>
      <c r="O1304" s="34" t="str">
        <f aca="false">IF(N1304="Above","Better",IF(N1304="Below","Weaker","-"))</f>
        <v>Better</v>
      </c>
    </row>
    <row r="1305" customFormat="false" ht="15" hidden="false" customHeight="false" outlineLevel="0" collapsed="false">
      <c r="A1305" s="18" t="s">
        <v>112</v>
      </c>
      <c r="B1305" s="23" t="n">
        <f aca="false">BlueDart!D167</f>
        <v>-0.0783491647559777</v>
      </c>
      <c r="C1305" s="23" t="n">
        <f aca="false">BlueDart!E167</f>
        <v>0.188051238005523</v>
      </c>
      <c r="D1305" s="23" t="n">
        <f aca="false">BlueDart!F167</f>
        <v>0.522162642166741</v>
      </c>
      <c r="E1305" s="23" t="n">
        <f aca="false">BlueDart!G167</f>
        <v>0.361219565694231</v>
      </c>
      <c r="F1305" s="23" t="n">
        <f aca="false">BlueDart!H167</f>
        <v>0.236380127452559</v>
      </c>
      <c r="G1305" s="23" t="n">
        <f aca="false">BlueDart!I167</f>
        <v>0.172517607498864</v>
      </c>
      <c r="H1305" s="23" t="n">
        <f aca="false">BlueDart!J167</f>
        <v>0.14832112762188</v>
      </c>
      <c r="I1305" s="24" t="n">
        <f aca="false">BlueDart!K167</f>
        <v>0.221471877669117</v>
      </c>
      <c r="J1305" s="34" t="str">
        <f aca="false">IF(AND(ISNUMBER(H1305),ISNUMBER(H$1315)),IF(H1305&gt;H$1315,"Above",IF(H1305&lt;H$1315,"Below","At")),"-")</f>
        <v>Above</v>
      </c>
      <c r="K1305" s="34" t="str">
        <f aca="false">IF(J1305="Above","Better",IF(J1305="Below","Weaker","-"))</f>
        <v>Better</v>
      </c>
      <c r="L1305" s="34" t="n">
        <f aca="false">IF(ISNUMBER(H1305),RANK(H1305,H$1303:H$1312,0),"-")</f>
        <v>3</v>
      </c>
      <c r="N1305" s="34" t="str">
        <f aca="false">IF(AND(ISNUMBER(I1305),ISNUMBER(I$1315)),IF(I1305&gt;I$1315,"Above",IF(I1305&lt;I$1315,"Below","At")),"-")</f>
        <v>Above</v>
      </c>
      <c r="O1305" s="34" t="str">
        <f aca="false">IF(N1305="Above","Better",IF(N1305="Below","Weaker","-"))</f>
        <v>Better</v>
      </c>
    </row>
    <row r="1306" customFormat="false" ht="15" hidden="false" customHeight="false" outlineLevel="0" collapsed="false">
      <c r="A1306" s="18" t="s">
        <v>67</v>
      </c>
      <c r="B1306" s="23" t="n">
        <f aca="false">CONCOR!D167</f>
        <v>0.0396122219489916</v>
      </c>
      <c r="C1306" s="23" t="n">
        <f aca="false">CONCOR!E167</f>
        <v>0.049943262018765</v>
      </c>
      <c r="D1306" s="23" t="n">
        <f aca="false">CONCOR!F167</f>
        <v>0.100762027636215</v>
      </c>
      <c r="E1306" s="23" t="n">
        <f aca="false">CONCOR!G167</f>
        <v>0.106804879358081</v>
      </c>
      <c r="F1306" s="23" t="n">
        <f aca="false">CONCOR!H167</f>
        <v>0.109382348398472</v>
      </c>
      <c r="G1306" s="23" t="n">
        <f aca="false">CONCOR!I167</f>
        <v>0.106591827114354</v>
      </c>
      <c r="H1306" s="23" t="n">
        <f aca="false">CONCOR!J167</f>
        <v>0.0980737100775911</v>
      </c>
      <c r="I1306" s="24" t="n">
        <f aca="false">CONCOR!K167</f>
        <v>0.0873100395074957</v>
      </c>
      <c r="J1306" s="34" t="str">
        <f aca="false">IF(AND(ISNUMBER(H1306),ISNUMBER(H$1315)),IF(H1306&gt;H$1315,"Above",IF(H1306&lt;H$1315,"Below","At")),"-")</f>
        <v>Above</v>
      </c>
      <c r="K1306" s="34" t="str">
        <f aca="false">IF(J1306="Above","Better",IF(J1306="Below","Weaker","-"))</f>
        <v>Better</v>
      </c>
      <c r="L1306" s="34" t="n">
        <f aca="false">IF(ISNUMBER(H1306),RANK(H1306,H$1303:H$1312,0),"-")</f>
        <v>5</v>
      </c>
      <c r="N1306" s="34" t="str">
        <f aca="false">IF(AND(ISNUMBER(I1306),ISNUMBER(I$1315)),IF(I1306&gt;I$1315,"Above",IF(I1306&lt;I$1315,"Below","At")),"-")</f>
        <v>Below</v>
      </c>
      <c r="O1306" s="34" t="str">
        <f aca="false">IF(N1306="Above","Better",IF(N1306="Below","Weaker","-"))</f>
        <v>Weaker</v>
      </c>
    </row>
    <row r="1307" customFormat="false" ht="15" hidden="false" customHeight="false" outlineLevel="0" collapsed="false">
      <c r="A1307" s="18" t="s">
        <v>113</v>
      </c>
      <c r="B1307" s="23" t="n">
        <f aca="false">JetFreight!D167</f>
        <v>-0.397772104896728</v>
      </c>
      <c r="C1307" s="23" t="n">
        <f aca="false">JetFreight!E167</f>
        <v>0.129414797628255</v>
      </c>
      <c r="D1307" s="23" t="n">
        <f aca="false">JetFreight!F167</f>
        <v>0.122875816993464</v>
      </c>
      <c r="E1307" s="23" t="n">
        <f aca="false">JetFreight!G167</f>
        <v>0.00138552130239002</v>
      </c>
      <c r="F1307" s="23" t="n">
        <f aca="false">JetFreight!H167</f>
        <v>0.00416933932007697</v>
      </c>
      <c r="G1307" s="23" t="n">
        <f aca="false">JetFreight!I167</f>
        <v>0.0580318942045897</v>
      </c>
      <c r="H1307" s="23" t="n">
        <f aca="false">JetFreight!J167</f>
        <v>0.0979403715972922</v>
      </c>
      <c r="I1307" s="24" t="n">
        <f aca="false">JetFreight!K167</f>
        <v>0.00229223373561997</v>
      </c>
      <c r="J1307" s="34" t="str">
        <f aca="false">IF(AND(ISNUMBER(H1307),ISNUMBER(H$1315)),IF(H1307&gt;H$1315,"Above",IF(H1307&lt;H$1315,"Below","At")),"-")</f>
        <v>Below</v>
      </c>
      <c r="K1307" s="34" t="str">
        <f aca="false">IF(J1307="Above","Better",IF(J1307="Below","Weaker","-"))</f>
        <v>Weaker</v>
      </c>
      <c r="L1307" s="34" t="n">
        <f aca="false">IF(ISNUMBER(H1307),RANK(H1307,H$1303:H$1312,0),"-")</f>
        <v>6</v>
      </c>
      <c r="N1307" s="34" t="str">
        <f aca="false">IF(AND(ISNUMBER(I1307),ISNUMBER(I$1315)),IF(I1307&gt;I$1315,"Above",IF(I1307&lt;I$1315,"Below","At")),"-")</f>
        <v>Below</v>
      </c>
      <c r="O1307" s="34" t="str">
        <f aca="false">IF(N1307="Above","Better",IF(N1307="Below","Weaker","-"))</f>
        <v>Weaker</v>
      </c>
    </row>
    <row r="1308" customFormat="false" ht="15" hidden="false" customHeight="false" outlineLevel="0" collapsed="false">
      <c r="A1308" s="18" t="s">
        <v>114</v>
      </c>
      <c r="B1308" s="23" t="n">
        <f aca="false">Patel!D167</f>
        <v>0.0869248512808061</v>
      </c>
      <c r="C1308" s="23" t="n">
        <f aca="false">Patel!E167</f>
        <v>0.000424358158285593</v>
      </c>
      <c r="D1308" s="23" t="n">
        <f aca="false">Patel!F167</f>
        <v>0.0194116641012485</v>
      </c>
      <c r="E1308" s="23" t="n">
        <f aca="false">Patel!G167</f>
        <v>0.0417110023409236</v>
      </c>
      <c r="F1308" s="23" t="n">
        <f aca="false">Patel!H167</f>
        <v>0.0467471099485276</v>
      </c>
      <c r="G1308" s="23" t="n">
        <f aca="false">Patel!I167</f>
        <v>0.063073156562513</v>
      </c>
      <c r="H1308" s="23" t="n">
        <f aca="false">Patel!J167</f>
        <v>0.0783098131984664</v>
      </c>
      <c r="I1308" s="24" t="n">
        <f aca="false">Patel!K167</f>
        <v>0.0480859936558244</v>
      </c>
      <c r="J1308" s="34" t="str">
        <f aca="false">IF(AND(ISNUMBER(H1308),ISNUMBER(H$1315)),IF(H1308&gt;H$1315,"Above",IF(H1308&lt;H$1315,"Below","At")),"-")</f>
        <v>Below</v>
      </c>
      <c r="K1308" s="34" t="str">
        <f aca="false">IF(J1308="Above","Better",IF(J1308="Below","Weaker","-"))</f>
        <v>Weaker</v>
      </c>
      <c r="L1308" s="34" t="n">
        <f aca="false">IF(ISNUMBER(H1308),RANK(H1308,H$1303:H$1312,0),"-")</f>
        <v>7</v>
      </c>
      <c r="N1308" s="34" t="str">
        <f aca="false">IF(AND(ISNUMBER(I1308),ISNUMBER(I$1315)),IF(I1308&gt;I$1315,"Above",IF(I1308&lt;I$1315,"Below","At")),"-")</f>
        <v>Below</v>
      </c>
      <c r="O1308" s="34" t="str">
        <f aca="false">IF(N1308="Above","Better",IF(N1308="Below","Weaker","-"))</f>
        <v>Weaker</v>
      </c>
    </row>
    <row r="1309" customFormat="false" ht="15" hidden="false" customHeight="false" outlineLevel="0" collapsed="false">
      <c r="A1309" s="18" t="s">
        <v>115</v>
      </c>
      <c r="B1309" s="23" t="n">
        <f aca="false">Sical!D167</f>
        <v>-0.19565336599097</v>
      </c>
      <c r="C1309" s="23" t="str">
        <f aca="false">Sical!E167</f>
        <v>N/M</v>
      </c>
      <c r="D1309" s="23" t="str">
        <f aca="false">Sical!F167</f>
        <v>N/M</v>
      </c>
      <c r="E1309" s="23" t="str">
        <f aca="false">Sical!G167</f>
        <v>N/M</v>
      </c>
      <c r="F1309" s="23" t="n">
        <f aca="false">Sical!H167</f>
        <v>-0.687986381322957</v>
      </c>
      <c r="G1309" s="23" t="n">
        <f aca="false">Sical!I167</f>
        <v>-2.15699373695198</v>
      </c>
      <c r="H1309" s="23" t="n">
        <f aca="false">Sical!J167</f>
        <v>0.779007271577616</v>
      </c>
      <c r="I1309" s="24" t="n">
        <f aca="false">Sical!K167</f>
        <v>-0.565406553172074</v>
      </c>
      <c r="J1309" s="34" t="str">
        <f aca="false">IF(AND(ISNUMBER(H1309),ISNUMBER(H$1315)),IF(H1309&gt;H$1315,"Above",IF(H1309&lt;H$1315,"Below","At")),"-")</f>
        <v>Above</v>
      </c>
      <c r="K1309" s="34" t="str">
        <f aca="false">IF(J1309="Above","Better",IF(J1309="Below","Weaker","-"))</f>
        <v>Better</v>
      </c>
      <c r="L1309" s="34" t="n">
        <f aca="false">IF(ISNUMBER(H1309),RANK(H1309,H$1303:H$1312,0),"-")</f>
        <v>1</v>
      </c>
      <c r="N1309" s="34" t="str">
        <f aca="false">IF(AND(ISNUMBER(I1309),ISNUMBER(I$1315)),IF(I1309&gt;I$1315,"Above",IF(I1309&lt;I$1315,"Below","At")),"-")</f>
        <v>Below</v>
      </c>
      <c r="O1309" s="34" t="str">
        <f aca="false">IF(N1309="Above","Better",IF(N1309="Below","Weaker","-"))</f>
        <v>Weaker</v>
      </c>
    </row>
    <row r="1310" customFormat="false" ht="15" hidden="false" customHeight="false" outlineLevel="0" collapsed="false">
      <c r="A1310" s="18" t="s">
        <v>86</v>
      </c>
      <c r="B1310" s="23" t="n">
        <f aca="false">TCI!D167</f>
        <v>0.148612887230211</v>
      </c>
      <c r="C1310" s="23" t="n">
        <f aca="false">TCI!E167</f>
        <v>0.134144784828592</v>
      </c>
      <c r="D1310" s="23" t="n">
        <f aca="false">TCI!F167</f>
        <v>0.222777779914538</v>
      </c>
      <c r="E1310" s="23" t="n">
        <f aca="false">TCI!G167</f>
        <v>0.202639149188875</v>
      </c>
      <c r="F1310" s="23" t="n">
        <f aca="false">TCI!H167</f>
        <v>0.189334549507369</v>
      </c>
      <c r="G1310" s="23" t="n">
        <f aca="false">TCI!I167</f>
        <v>0.198327790562621</v>
      </c>
      <c r="H1310" s="23" t="n">
        <f aca="false">TCI!J167</f>
        <v>0.193295966310367</v>
      </c>
      <c r="I1310" s="24" t="n">
        <f aca="false">TCI!K167</f>
        <v>0.184161843934653</v>
      </c>
      <c r="J1310" s="34" t="str">
        <f aca="false">IF(AND(ISNUMBER(H1310),ISNUMBER(H$1315)),IF(H1310&gt;H$1315,"Above",IF(H1310&lt;H$1315,"Below","At")),"-")</f>
        <v>Above</v>
      </c>
      <c r="K1310" s="34" t="str">
        <f aca="false">IF(J1310="Above","Better",IF(J1310="Below","Weaker","-"))</f>
        <v>Better</v>
      </c>
      <c r="L1310" s="34" t="n">
        <f aca="false">IF(ISNUMBER(H1310),RANK(H1310,H$1303:H$1312,0),"-")</f>
        <v>2</v>
      </c>
      <c r="N1310" s="34" t="str">
        <f aca="false">IF(AND(ISNUMBER(I1310),ISNUMBER(I$1315)),IF(I1310&gt;I$1315,"Above",IF(I1310&lt;I$1315,"Below","At")),"-")</f>
        <v>Above</v>
      </c>
      <c r="O1310" s="34" t="str">
        <f aca="false">IF(N1310="Above","Better",IF(N1310="Below","Weaker","-"))</f>
        <v>Better</v>
      </c>
    </row>
    <row r="1311" customFormat="false" ht="15" hidden="false" customHeight="false" outlineLevel="0" collapsed="false">
      <c r="A1311" s="18" t="s">
        <v>116</v>
      </c>
      <c r="B1311" s="23" t="n">
        <f aca="false">Shreeji!D167</f>
        <v>0.0597075548334687</v>
      </c>
      <c r="C1311" s="23" t="n">
        <f aca="false">Shreeji!E167</f>
        <v>-0.044120623355596</v>
      </c>
      <c r="D1311" s="23" t="n">
        <f aca="false">Shreeji!F167</f>
        <v>0.314498933901919</v>
      </c>
      <c r="E1311" s="23" t="n">
        <f aca="false">Shreeji!G167</f>
        <v>0.265460030165913</v>
      </c>
      <c r="F1311" s="23" t="n">
        <f aca="false">Shreeji!H167</f>
        <v>0.336502687060769</v>
      </c>
      <c r="G1311" s="23" t="n">
        <f aca="false">Shreeji!I167</f>
        <v>0.0271445045684379</v>
      </c>
      <c r="H1311" s="23" t="n">
        <f aca="false">Shreeji!J167</f>
        <v>0.054067927110959</v>
      </c>
      <c r="I1311" s="24" t="n">
        <f aca="false">Shreeji!K167</f>
        <v>0.14475157346941</v>
      </c>
      <c r="J1311" s="34" t="str">
        <f aca="false">IF(AND(ISNUMBER(H1311),ISNUMBER(H$1315)),IF(H1311&gt;H$1315,"Above",IF(H1311&lt;H$1315,"Below","At")),"-")</f>
        <v>Below</v>
      </c>
      <c r="K1311" s="34" t="str">
        <f aca="false">IF(J1311="Above","Better",IF(J1311="Below","Weaker","-"))</f>
        <v>Weaker</v>
      </c>
      <c r="L1311" s="34" t="n">
        <f aca="false">IF(ISNUMBER(H1311),RANK(H1311,H$1303:H$1312,0),"-")</f>
        <v>8</v>
      </c>
      <c r="N1311" s="34" t="str">
        <f aca="false">IF(AND(ISNUMBER(I1311),ISNUMBER(I$1315)),IF(I1311&gt;I$1315,"Above",IF(I1311&lt;I$1315,"Below","At")),"-")</f>
        <v>Above</v>
      </c>
      <c r="O1311" s="34" t="str">
        <f aca="false">IF(N1311="Above","Better",IF(N1311="Below","Weaker","-"))</f>
        <v>Better</v>
      </c>
    </row>
    <row r="1312" customFormat="false" ht="15" hidden="false" customHeight="false" outlineLevel="0" collapsed="false">
      <c r="A1312" s="18" t="s">
        <v>117</v>
      </c>
      <c r="B1312" s="23" t="n">
        <f aca="false">MahindraLog!D167</f>
        <v>0.105708285788257</v>
      </c>
      <c r="C1312" s="23" t="n">
        <f aca="false">MahindraLog!E167</f>
        <v>0.0539224056582578</v>
      </c>
      <c r="D1312" s="23" t="n">
        <f aca="false">MahindraLog!F167</f>
        <v>0.0315107578014248</v>
      </c>
      <c r="E1312" s="23" t="n">
        <f aca="false">MahindraLog!G167</f>
        <v>0.047430402021387</v>
      </c>
      <c r="F1312" s="23" t="n">
        <f aca="false">MahindraLog!H167</f>
        <v>-0.103857172671562</v>
      </c>
      <c r="G1312" s="23" t="n">
        <f aca="false">MahindraLog!I167</f>
        <v>-0.077067770194013</v>
      </c>
      <c r="H1312" s="23" t="n">
        <f aca="false">MahindraLog!J167</f>
        <v>0.00284002827626406</v>
      </c>
      <c r="I1312" s="24" t="n">
        <f aca="false">MahindraLog!K167</f>
        <v>0.00864099095428805</v>
      </c>
      <c r="J1312" s="34" t="str">
        <f aca="false">IF(AND(ISNUMBER(H1312),ISNUMBER(H$1315)),IF(H1312&gt;H$1315,"Above",IF(H1312&lt;H$1315,"Below","At")),"-")</f>
        <v>Below</v>
      </c>
      <c r="K1312" s="34" t="str">
        <f aca="false">IF(J1312="Above","Better",IF(J1312="Below","Weaker","-"))</f>
        <v>Weaker</v>
      </c>
      <c r="L1312" s="34" t="n">
        <f aca="false">IF(ISNUMBER(H1312),RANK(H1312,H$1303:H$1312,0),"-")</f>
        <v>10</v>
      </c>
      <c r="N1312" s="34" t="str">
        <f aca="false">IF(AND(ISNUMBER(I1312),ISNUMBER(I$1315)),IF(I1312&gt;I$1315,"Above",IF(I1312&lt;I$1315,"Below","At")),"-")</f>
        <v>Below</v>
      </c>
      <c r="O1312" s="34" t="str">
        <f aca="false">IF(N1312="Above","Better",IF(N1312="Below","Weaker","-"))</f>
        <v>Weaker</v>
      </c>
    </row>
    <row r="1313" customFormat="false" ht="15" hidden="false" customHeight="false" outlineLevel="0" collapsed="false">
      <c r="A1313" s="12" t="s">
        <v>176</v>
      </c>
      <c r="B1313" s="24" t="n">
        <f aca="false">Industry!D167</f>
        <v>0.0442838218187533</v>
      </c>
      <c r="C1313" s="24" t="n">
        <f aca="false">Industry!E167</f>
        <v>-0.0145715597536018</v>
      </c>
      <c r="D1313" s="24" t="n">
        <f aca="false">Industry!F167</f>
        <v>0.161561247443729</v>
      </c>
      <c r="E1313" s="24" t="n">
        <f aca="false">Industry!G167</f>
        <v>0.101449356497972</v>
      </c>
      <c r="F1313" s="24" t="n">
        <f aca="false">Industry!H167</f>
        <v>0.110541268636012</v>
      </c>
      <c r="G1313" s="24" t="n">
        <f aca="false">Industry!I167</f>
        <v>0.110818749778141</v>
      </c>
      <c r="H1313" s="24" t="n">
        <f aca="false">Industry!J167</f>
        <v>0.110435865141395</v>
      </c>
      <c r="I1313" s="24" t="n">
        <f aca="false">Industry!K167</f>
        <v>0.0892169642232001</v>
      </c>
    </row>
    <row r="1314" customFormat="false" ht="15" hidden="false" customHeight="false" outlineLevel="0" collapsed="false">
      <c r="A1314" s="35" t="s">
        <v>177</v>
      </c>
      <c r="B1314" s="39" t="n">
        <f aca="false">IFERROR(AVERAGE(B1303:B1312),"N/M")</f>
        <v>-0.0332943513770458</v>
      </c>
      <c r="C1314" s="39" t="n">
        <f aca="false">IFERROR(AVERAGE(C1303:C1312),"N/M")</f>
        <v>0.0363883214549816</v>
      </c>
      <c r="D1314" s="39" t="n">
        <f aca="false">IFERROR(AVERAGE(D1303:D1312),"N/M")</f>
        <v>0.250199112737225</v>
      </c>
      <c r="E1314" s="39" t="n">
        <f aca="false">IFERROR(AVERAGE(E1303:E1312),"N/M")</f>
        <v>0.167460780165566</v>
      </c>
      <c r="F1314" s="39" t="n">
        <f aca="false">IFERROR(AVERAGE(F1303:F1312),"N/M")</f>
        <v>0.0311124031340629</v>
      </c>
      <c r="G1314" s="39" t="n">
        <f aca="false">IFERROR(AVERAGE(G1303:G1312),"N/M")</f>
        <v>-0.134938203641233</v>
      </c>
      <c r="H1314" s="39" t="n">
        <f aca="false">IFERROR(AVERAGE(H1303:H1312),"N/M")</f>
        <v>0.161023467480411</v>
      </c>
      <c r="I1314" s="39" t="n">
        <f aca="false">IFERROR(AVERAGE(I1303:I1312),"N/M")</f>
        <v>0.0375606775095097</v>
      </c>
    </row>
    <row r="1315" customFormat="false" ht="15" hidden="false" customHeight="false" outlineLevel="0" collapsed="false">
      <c r="A1315" s="35" t="s">
        <v>178</v>
      </c>
      <c r="B1315" s="39" t="n">
        <f aca="false">IFERROR(MEDIAN(B1303:B1312),"N/M")</f>
        <v>0.0496598883912302</v>
      </c>
      <c r="C1315" s="39" t="n">
        <f aca="false">IFERROR(MEDIAN(C1303:C1312),"N/M")</f>
        <v>0.0539224056582578</v>
      </c>
      <c r="D1315" s="39" t="n">
        <f aca="false">IFERROR(MEDIAN(D1303:D1312),"N/M")</f>
        <v>0.222777779914538</v>
      </c>
      <c r="E1315" s="39" t="n">
        <f aca="false">IFERROR(MEDIAN(E1303:E1312),"N/M")</f>
        <v>0.202639149188875</v>
      </c>
      <c r="F1315" s="39" t="n">
        <f aca="false">IFERROR(MEDIAN(F1303:F1312),"N/M")</f>
        <v>0.0827466855048387</v>
      </c>
      <c r="G1315" s="39" t="n">
        <f aca="false">IFERROR(MEDIAN(G1303:G1312),"N/M")</f>
        <v>0.0605525253835513</v>
      </c>
      <c r="H1315" s="39" t="n">
        <f aca="false">IFERROR(MEDIAN(H1303:H1312),"N/M")</f>
        <v>0.0980070408374416</v>
      </c>
      <c r="I1315" s="39" t="n">
        <f aca="false">IFERROR(MEDIAN(I1303:I1312),"N/M")</f>
        <v>0.104280204007898</v>
      </c>
    </row>
    <row r="1316" customFormat="false" ht="15" hidden="false" customHeight="false" outlineLevel="0" collapsed="false">
      <c r="A1316" s="35" t="s">
        <v>179</v>
      </c>
      <c r="B1316" s="39" t="n">
        <f aca="false">IFERROR(STDEV(B1303:B1312),"N/M")</f>
        <v>0.180404927906841</v>
      </c>
      <c r="C1316" s="39" t="n">
        <f aca="false">IFERROR(STDEV(C1303:C1312),"N/M")</f>
        <v>0.132506943148683</v>
      </c>
      <c r="D1316" s="39" t="n">
        <f aca="false">IFERROR(STDEV(D1303:D1312),"N/M")</f>
        <v>0.204285003791018</v>
      </c>
      <c r="E1316" s="39" t="n">
        <f aca="false">IFERROR(STDEV(E1303:E1312),"N/M")</f>
        <v>0.123594942545316</v>
      </c>
      <c r="F1316" s="39" t="n">
        <f aca="false">IFERROR(STDEV(F1303:F1312),"N/M")</f>
        <v>0.281299584787103</v>
      </c>
      <c r="G1316" s="39" t="n">
        <f aca="false">IFERROR(STDEV(G1303:G1312),"N/M")</f>
        <v>0.715992984157271</v>
      </c>
      <c r="H1316" s="39" t="n">
        <f aca="false">IFERROR(STDEV(H1303:H1312),"N/M")</f>
        <v>0.225147597546914</v>
      </c>
      <c r="I1316" s="39" t="n">
        <f aca="false">IFERROR(STDEV(I1303:I1312),"N/M")</f>
        <v>0.223445919366534</v>
      </c>
    </row>
    <row r="1317" customFormat="false" ht="15" hidden="false" customHeight="false" outlineLevel="0" collapsed="false">
      <c r="A1317" s="35" t="s">
        <v>102</v>
      </c>
      <c r="B1317" s="39" t="n">
        <f aca="false">IFERROR(MIN(B1303:B1312),"N/M")</f>
        <v>-0.397772104896728</v>
      </c>
      <c r="C1317" s="39" t="n">
        <f aca="false">IFERROR(MIN(C1303:C1312),"N/M")</f>
        <v>-0.262357414448669</v>
      </c>
      <c r="D1317" s="39" t="n">
        <f aca="false">IFERROR(MIN(D1303:D1312),"N/M")</f>
        <v>0.0194116641012485</v>
      </c>
      <c r="E1317" s="39" t="n">
        <f aca="false">IFERROR(MIN(E1303:E1312),"N/M")</f>
        <v>0.00138552130239002</v>
      </c>
      <c r="F1317" s="39" t="n">
        <f aca="false">IFERROR(MIN(F1303:F1312),"N/M")</f>
        <v>-0.687986381322957</v>
      </c>
      <c r="G1317" s="39" t="n">
        <f aca="false">IFERROR(MIN(G1303:G1312),"N/M")</f>
        <v>-2.15699373695198</v>
      </c>
      <c r="H1317" s="39" t="n">
        <f aca="false">IFERROR(MIN(H1303:H1312),"N/M")</f>
        <v>0.00284002827626406</v>
      </c>
      <c r="I1317" s="39" t="n">
        <f aca="false">IFERROR(MIN(I1303:I1312),"N/M")</f>
        <v>-0.565406553172074</v>
      </c>
    </row>
    <row r="1318" customFormat="false" ht="15" hidden="false" customHeight="false" outlineLevel="0" collapsed="false">
      <c r="A1318" s="35" t="s">
        <v>103</v>
      </c>
      <c r="B1318" s="39" t="n">
        <f aca="false">IFERROR(MAX(B1303:B1312),"N/M")</f>
        <v>0.148612887230211</v>
      </c>
      <c r="C1318" s="39" t="n">
        <f aca="false">IFERROR(MAX(C1303:C1312),"N/M")</f>
        <v>0.188051238005523</v>
      </c>
      <c r="D1318" s="39" t="n">
        <f aca="false">IFERROR(MAX(D1303:D1312),"N/M")</f>
        <v>0.577785413624259</v>
      </c>
      <c r="E1318" s="39" t="n">
        <f aca="false">IFERROR(MAX(E1303:E1312),"N/M")</f>
        <v>0.361219565694231</v>
      </c>
      <c r="F1318" s="39" t="n">
        <f aca="false">IFERROR(MAX(F1303:F1312),"N/M")</f>
        <v>0.336502687060769</v>
      </c>
      <c r="G1318" s="39" t="n">
        <f aca="false">IFERROR(MAX(G1303:G1312),"N/M")</f>
        <v>0.21683458435355</v>
      </c>
      <c r="H1318" s="39" t="n">
        <f aca="false">IFERROR(MAX(H1303:H1312),"N/M")</f>
        <v>0.779007271577616</v>
      </c>
      <c r="I1318" s="39" t="n">
        <f aca="false">IFERROR(MAX(I1303:I1312),"N/M")</f>
        <v>0.221471877669117</v>
      </c>
    </row>
    <row r="1320" customFormat="false" ht="15" hidden="false" customHeight="false" outlineLevel="0" collapsed="false">
      <c r="A1320" s="16" t="s">
        <v>253</v>
      </c>
      <c r="B1320" s="17"/>
      <c r="C1320" s="17"/>
      <c r="D1320" s="17"/>
      <c r="E1320" s="17"/>
      <c r="F1320" s="17"/>
      <c r="G1320" s="17"/>
      <c r="H1320" s="17"/>
      <c r="I1320" s="17"/>
      <c r="J1320" s="17"/>
      <c r="K1320" s="17"/>
      <c r="L1320" s="17"/>
      <c r="M1320" s="17"/>
    </row>
    <row r="1321" customFormat="false" ht="15" hidden="false" customHeight="false" outlineLevel="0" collapsed="false">
      <c r="A1321" s="18" t="s">
        <v>110</v>
      </c>
      <c r="B1321" s="23" t="str">
        <f aca="false">Tiger!D170</f>
        <v>N/M</v>
      </c>
      <c r="C1321" s="23" t="str">
        <f aca="false">Tiger!E170</f>
        <v>N/M</v>
      </c>
      <c r="D1321" s="23" t="n">
        <f aca="false">Tiger!F170</f>
        <v>0.465418691054587</v>
      </c>
      <c r="E1321" s="23" t="n">
        <f aca="false">Tiger!G170</f>
        <v>0.238859730369456</v>
      </c>
      <c r="F1321" s="23" t="n">
        <f aca="false">Tiger!H170</f>
        <v>0.109288695872159</v>
      </c>
      <c r="G1321" s="23" t="n">
        <f aca="false">Tiger!I170</f>
        <v>0.189377738825592</v>
      </c>
      <c r="H1321" s="23" t="n">
        <f aca="false">Tiger!J170</f>
        <v>0.103643412719436</v>
      </c>
      <c r="I1321" s="24" t="n">
        <f aca="false">Tiger!K170</f>
        <v>0.221317653768246</v>
      </c>
      <c r="J1321" s="34" t="str">
        <f aca="false">IF(AND(ISNUMBER(H1321),ISNUMBER(H$1333)),IF(H1321&gt;H$1333,"Above",IF(H1321&lt;H$1333,"Below","At")),"-")</f>
        <v>Above</v>
      </c>
      <c r="K1321" s="34" t="str">
        <f aca="false">IF(J1321="Above","Better",IF(J1321="Below","Weaker","-"))</f>
        <v>Better</v>
      </c>
      <c r="L1321" s="34" t="n">
        <f aca="false">IF(ISNUMBER(H1321),RANK(H1321,H$1321:H$1330,0),"-")</f>
        <v>2</v>
      </c>
      <c r="N1321" s="34" t="str">
        <f aca="false">IF(AND(ISNUMBER(I1321),ISNUMBER(I$1333)),IF(I1321&gt;I$1333,"Above",IF(I1321&lt;I$1333,"Below","At")),"-")</f>
        <v>Above</v>
      </c>
      <c r="O1321" s="34" t="str">
        <f aca="false">IF(N1321="Above","Better",IF(N1321="Below","Weaker","-"))</f>
        <v>Better</v>
      </c>
    </row>
    <row r="1322" customFormat="false" ht="15" hidden="false" customHeight="false" outlineLevel="0" collapsed="false">
      <c r="A1322" s="18" t="s">
        <v>111</v>
      </c>
      <c r="B1322" s="23" t="n">
        <f aca="false">Allcargo!D170</f>
        <v>0.0334853696366269</v>
      </c>
      <c r="C1322" s="23" t="n">
        <f aca="false">Allcargo!E170</f>
        <v>0.020015056575365</v>
      </c>
      <c r="D1322" s="23" t="n">
        <f aca="false">Allcargo!F170</f>
        <v>0.112008939575699</v>
      </c>
      <c r="E1322" s="23" t="n">
        <f aca="false">Allcargo!G170</f>
        <v>0.0698731583686942</v>
      </c>
      <c r="F1322" s="23" t="n">
        <f aca="false">Allcargo!H170</f>
        <v>0.00719589070138943</v>
      </c>
      <c r="G1322" s="23" t="n">
        <f aca="false">Allcargo!I170</f>
        <v>-0.0531661506005648</v>
      </c>
      <c r="H1322" s="23" t="n">
        <f aca="false">Allcargo!J170</f>
        <v>0.00462294134643167</v>
      </c>
      <c r="I1322" s="24" t="n">
        <f aca="false">Allcargo!K170</f>
        <v>0.0277193150862344</v>
      </c>
      <c r="J1322" s="34" t="str">
        <f aca="false">IF(AND(ISNUMBER(H1322),ISNUMBER(H$1333)),IF(H1322&gt;H$1333,"Above",IF(H1322&lt;H$1333,"Below","At")),"-")</f>
        <v>Below</v>
      </c>
      <c r="K1322" s="34" t="str">
        <f aca="false">IF(J1322="Above","Better",IF(J1322="Below","Weaker","-"))</f>
        <v>Weaker</v>
      </c>
      <c r="L1322" s="34" t="n">
        <f aca="false">IF(ISNUMBER(H1322),RANK(H1322,H$1321:H$1330,0),"-")</f>
        <v>9</v>
      </c>
      <c r="N1322" s="34" t="str">
        <f aca="false">IF(AND(ISNUMBER(I1322),ISNUMBER(I$1333)),IF(I1322&gt;I$1333,"Above",IF(I1322&lt;I$1333,"Below","At")),"-")</f>
        <v>Below</v>
      </c>
      <c r="O1322" s="34" t="str">
        <f aca="false">IF(N1322="Above","Better",IF(N1322="Below","Weaker","-"))</f>
        <v>Weaker</v>
      </c>
    </row>
    <row r="1323" customFormat="false" ht="15" hidden="false" customHeight="false" outlineLevel="0" collapsed="false">
      <c r="A1323" s="18" t="s">
        <v>112</v>
      </c>
      <c r="B1323" s="23" t="str">
        <f aca="false">BlueDart!D170</f>
        <v>N/M</v>
      </c>
      <c r="C1323" s="23" t="n">
        <f aca="false">BlueDart!E170</f>
        <v>0.0244807505900982</v>
      </c>
      <c r="D1323" s="23" t="n">
        <f aca="false">BlueDart!F170</f>
        <v>0.0913493517112041</v>
      </c>
      <c r="E1323" s="23" t="n">
        <f aca="false">BlueDart!G170</f>
        <v>0.109750059596941</v>
      </c>
      <c r="F1323" s="23" t="n">
        <f aca="false">BlueDart!H170</f>
        <v>0.0779296597814447</v>
      </c>
      <c r="G1323" s="23" t="n">
        <f aca="false">BlueDart!I170</f>
        <v>0.0572961965798012</v>
      </c>
      <c r="H1323" s="23" t="n">
        <f aca="false">BlueDart!J170</f>
        <v>0.0507146971186854</v>
      </c>
      <c r="I1323" s="24" t="n">
        <f aca="false">BlueDart!K170</f>
        <v>0.0685867858963625</v>
      </c>
      <c r="J1323" s="34" t="str">
        <f aca="false">IF(AND(ISNUMBER(H1323),ISNUMBER(H$1333)),IF(H1323&gt;H$1333,"Above",IF(H1323&lt;H$1333,"Below","At")),"-")</f>
        <v>Above</v>
      </c>
      <c r="K1323" s="34" t="str">
        <f aca="false">IF(J1323="Above","Better",IF(J1323="Below","Weaker","-"))</f>
        <v>Better</v>
      </c>
      <c r="L1323" s="34" t="n">
        <f aca="false">IF(ISNUMBER(H1323),RANK(H1323,H$1321:H$1330,0),"-")</f>
        <v>5</v>
      </c>
      <c r="N1323" s="34" t="str">
        <f aca="false">IF(AND(ISNUMBER(I1323),ISNUMBER(I$1333)),IF(I1323&gt;I$1333,"Above",IF(I1323&lt;I$1333,"Below","At")),"-")</f>
        <v>Above</v>
      </c>
      <c r="O1323" s="34" t="str">
        <f aca="false">IF(N1323="Above","Better",IF(N1323="Below","Weaker","-"))</f>
        <v>Better</v>
      </c>
    </row>
    <row r="1324" customFormat="false" ht="15" hidden="false" customHeight="false" outlineLevel="0" collapsed="false">
      <c r="A1324" s="18" t="s">
        <v>67</v>
      </c>
      <c r="B1324" s="23" t="n">
        <f aca="false">CONCOR!D170</f>
        <v>0.0152093232978391</v>
      </c>
      <c r="C1324" s="23" t="n">
        <f aca="false">CONCOR!E170</f>
        <v>0.0168594070339554</v>
      </c>
      <c r="D1324" s="23" t="n">
        <f aca="false">CONCOR!F170</f>
        <v>0.0415382301312214</v>
      </c>
      <c r="E1324" s="23" t="n">
        <f aca="false">CONCOR!G170</f>
        <v>0.0395631742919493</v>
      </c>
      <c r="F1324" s="23" t="n">
        <f aca="false">CONCOR!H170</f>
        <v>0.042442532133793</v>
      </c>
      <c r="G1324" s="23" t="n">
        <f aca="false">CONCOR!I170</f>
        <v>0.043114775686986</v>
      </c>
      <c r="H1324" s="23" t="n">
        <f aca="false">CONCOR!J170</f>
        <v>0.0412094066522422</v>
      </c>
      <c r="I1324" s="24" t="n">
        <f aca="false">CONCOR!K170</f>
        <v>0.0342766927468552</v>
      </c>
      <c r="J1324" s="34" t="str">
        <f aca="false">IF(AND(ISNUMBER(H1324),ISNUMBER(H$1333)),IF(H1324&gt;H$1333,"Above",IF(H1324&lt;H$1333,"Below","At")),"-")</f>
        <v>Below</v>
      </c>
      <c r="K1324" s="34" t="str">
        <f aca="false">IF(J1324="Above","Better",IF(J1324="Below","Weaker","-"))</f>
        <v>Weaker</v>
      </c>
      <c r="L1324" s="34" t="n">
        <f aca="false">IF(ISNUMBER(H1324),RANK(H1324,H$1321:H$1330,0),"-")</f>
        <v>6</v>
      </c>
      <c r="N1324" s="34" t="str">
        <f aca="false">IF(AND(ISNUMBER(I1324),ISNUMBER(I$1333)),IF(I1324&gt;I$1333,"Above",IF(I1324&lt;I$1333,"Below","At")),"-")</f>
        <v>Below</v>
      </c>
      <c r="O1324" s="34" t="str">
        <f aca="false">IF(N1324="Above","Better",IF(N1324="Below","Weaker","-"))</f>
        <v>Weaker</v>
      </c>
    </row>
    <row r="1325" customFormat="false" ht="15" hidden="false" customHeight="false" outlineLevel="0" collapsed="false">
      <c r="A1325" s="18" t="s">
        <v>113</v>
      </c>
      <c r="B1325" s="23" t="str">
        <f aca="false">JetFreight!D170</f>
        <v>N/M</v>
      </c>
      <c r="C1325" s="23" t="n">
        <f aca="false">JetFreight!E170</f>
        <v>0.0277409372236958</v>
      </c>
      <c r="D1325" s="23" t="n">
        <f aca="false">JetFreight!F170</f>
        <v>0.0266298451523819</v>
      </c>
      <c r="E1325" s="23" t="n">
        <f aca="false">JetFreight!G170</f>
        <v>0.000454976303317536</v>
      </c>
      <c r="F1325" s="23" t="n">
        <f aca="false">JetFreight!H170</f>
        <v>0.00160543377585675</v>
      </c>
      <c r="G1325" s="23" t="n">
        <f aca="false">JetFreight!I170</f>
        <v>0.0215900211269644</v>
      </c>
      <c r="H1325" s="23" t="n">
        <f aca="false">JetFreight!J170</f>
        <v>0.0374738234321614</v>
      </c>
      <c r="I1325" s="24" t="n">
        <f aca="false">JetFreight!K170</f>
        <v>0.0192491728357296</v>
      </c>
      <c r="J1325" s="34" t="str">
        <f aca="false">IF(AND(ISNUMBER(H1325),ISNUMBER(H$1333)),IF(H1325&gt;H$1333,"Above",IF(H1325&lt;H$1333,"Below","At")),"-")</f>
        <v>Below</v>
      </c>
      <c r="K1325" s="34" t="str">
        <f aca="false">IF(J1325="Above","Better",IF(J1325="Below","Weaker","-"))</f>
        <v>Weaker</v>
      </c>
      <c r="L1325" s="34" t="n">
        <f aca="false">IF(ISNUMBER(H1325),RANK(H1325,H$1321:H$1330,0),"-")</f>
        <v>7</v>
      </c>
      <c r="N1325" s="34" t="str">
        <f aca="false">IF(AND(ISNUMBER(I1325),ISNUMBER(I$1333)),IF(I1325&gt;I$1333,"Above",IF(I1325&lt;I$1333,"Below","At")),"-")</f>
        <v>Below</v>
      </c>
      <c r="O1325" s="34" t="str">
        <f aca="false">IF(N1325="Above","Better",IF(N1325="Below","Weaker","-"))</f>
        <v>Weaker</v>
      </c>
    </row>
    <row r="1326" customFormat="false" ht="15" hidden="false" customHeight="false" outlineLevel="0" collapsed="false">
      <c r="A1326" s="18" t="s">
        <v>114</v>
      </c>
      <c r="B1326" s="23" t="n">
        <f aca="false">Patel!D170</f>
        <v>0.0514017555377246</v>
      </c>
      <c r="C1326" s="23" t="n">
        <f aca="false">Patel!E170</f>
        <v>-0.00106031152962561</v>
      </c>
      <c r="D1326" s="23" t="n">
        <f aca="false">Patel!F170</f>
        <v>0.0104505786118786</v>
      </c>
      <c r="E1326" s="23" t="n">
        <f aca="false">Patel!G170</f>
        <v>0.0248030347242486</v>
      </c>
      <c r="F1326" s="23" t="n">
        <f aca="false">Patel!H170</f>
        <v>0.0275951581501651</v>
      </c>
      <c r="G1326" s="23" t="n">
        <f aca="false">Patel!I170</f>
        <v>0.031563269748525</v>
      </c>
      <c r="H1326" s="23" t="n">
        <f aca="false">Patel!J170</f>
        <v>0.0521236746873214</v>
      </c>
      <c r="I1326" s="24" t="n">
        <f aca="false">Patel!K170</f>
        <v>0.0281253085614625</v>
      </c>
      <c r="J1326" s="34" t="str">
        <f aca="false">IF(AND(ISNUMBER(H1326),ISNUMBER(H$1333)),IF(H1326&gt;H$1333,"Above",IF(H1326&lt;H$1333,"Below","At")),"-")</f>
        <v>Above</v>
      </c>
      <c r="K1326" s="34" t="str">
        <f aca="false">IF(J1326="Above","Better",IF(J1326="Below","Weaker","-"))</f>
        <v>Better</v>
      </c>
      <c r="L1326" s="34" t="n">
        <f aca="false">IF(ISNUMBER(H1326),RANK(H1326,H$1321:H$1330,0),"-")</f>
        <v>4</v>
      </c>
      <c r="N1326" s="34" t="str">
        <f aca="false">IF(AND(ISNUMBER(I1326),ISNUMBER(I$1333)),IF(I1326&gt;I$1333,"Above",IF(I1326&lt;I$1333,"Below","At")),"-")</f>
        <v>Below</v>
      </c>
      <c r="O1326" s="34" t="str">
        <f aca="false">IF(N1326="Above","Better",IF(N1326="Below","Weaker","-"))</f>
        <v>Weaker</v>
      </c>
    </row>
    <row r="1327" customFormat="false" ht="15" hidden="false" customHeight="false" outlineLevel="0" collapsed="false">
      <c r="A1327" s="18" t="s">
        <v>115</v>
      </c>
      <c r="B1327" s="23" t="str">
        <f aca="false">Sical!D170</f>
        <v>N/M</v>
      </c>
      <c r="C1327" s="23" t="str">
        <f aca="false">Sical!E170</f>
        <v>N/M</v>
      </c>
      <c r="D1327" s="23" t="str">
        <f aca="false">Sical!F170</f>
        <v>N/M</v>
      </c>
      <c r="E1327" s="23" t="str">
        <f aca="false">Sical!G170</f>
        <v>N/M</v>
      </c>
      <c r="F1327" s="23" t="str">
        <f aca="false">Sical!H170</f>
        <v>N/M</v>
      </c>
      <c r="G1327" s="23" t="str">
        <f aca="false">Sical!I170</f>
        <v>N/M</v>
      </c>
      <c r="H1327" s="23" t="n">
        <f aca="false">Sical!J170</f>
        <v>0.0591213379081988</v>
      </c>
      <c r="I1327" s="24" t="n">
        <f aca="false">Sical!K170</f>
        <v>0.0591213379081988</v>
      </c>
      <c r="J1327" s="34" t="str">
        <f aca="false">IF(AND(ISNUMBER(H1327),ISNUMBER(H$1333)),IF(H1327&gt;H$1333,"Above",IF(H1327&lt;H$1333,"Below","At")),"-")</f>
        <v>Above</v>
      </c>
      <c r="K1327" s="34" t="str">
        <f aca="false">IF(J1327="Above","Better",IF(J1327="Below","Weaker","-"))</f>
        <v>Better</v>
      </c>
      <c r="L1327" s="34" t="n">
        <f aca="false">IF(ISNUMBER(H1327),RANK(H1327,H$1321:H$1330,0),"-")</f>
        <v>3</v>
      </c>
      <c r="N1327" s="34" t="str">
        <f aca="false">IF(AND(ISNUMBER(I1327),ISNUMBER(I$1333)),IF(I1327&gt;I$1333,"Above",IF(I1327&lt;I$1333,"Below","At")),"-")</f>
        <v>Above</v>
      </c>
      <c r="O1327" s="34" t="str">
        <f aca="false">IF(N1327="Above","Better",IF(N1327="Below","Weaker","-"))</f>
        <v>Better</v>
      </c>
    </row>
    <row r="1328" customFormat="false" ht="15" hidden="false" customHeight="false" outlineLevel="0" collapsed="false">
      <c r="A1328" s="18" t="s">
        <v>86</v>
      </c>
      <c r="B1328" s="23" t="n">
        <f aca="false">TCI!D170</f>
        <v>0.0834009240499263</v>
      </c>
      <c r="C1328" s="23" t="n">
        <f aca="false">TCI!E170</f>
        <v>0.0807534036754326</v>
      </c>
      <c r="D1328" s="23" t="n">
        <f aca="false">TCI!F170</f>
        <v>0.169703132688207</v>
      </c>
      <c r="E1328" s="23" t="n">
        <f aca="false">TCI!G170</f>
        <v>0.154658388744848</v>
      </c>
      <c r="F1328" s="23" t="n">
        <f aca="false">TCI!H170</f>
        <v>0.147837039069222</v>
      </c>
      <c r="G1328" s="23" t="n">
        <f aca="false">TCI!I170</f>
        <v>0.148355351419644</v>
      </c>
      <c r="H1328" s="23" t="n">
        <f aca="false">TCI!J170</f>
        <v>0.134172663778154</v>
      </c>
      <c r="I1328" s="24" t="n">
        <f aca="false">TCI!K170</f>
        <v>0.131268700489348</v>
      </c>
      <c r="J1328" s="34" t="str">
        <f aca="false">IF(AND(ISNUMBER(H1328),ISNUMBER(H$1333)),IF(H1328&gt;H$1333,"Above",IF(H1328&lt;H$1333,"Below","At")),"-")</f>
        <v>Above</v>
      </c>
      <c r="K1328" s="34" t="str">
        <f aca="false">IF(J1328="Above","Better",IF(J1328="Below","Weaker","-"))</f>
        <v>Better</v>
      </c>
      <c r="L1328" s="34" t="n">
        <f aca="false">IF(ISNUMBER(H1328),RANK(H1328,H$1321:H$1330,0),"-")</f>
        <v>1</v>
      </c>
      <c r="N1328" s="34" t="str">
        <f aca="false">IF(AND(ISNUMBER(I1328),ISNUMBER(I$1333)),IF(I1328&gt;I$1333,"Above",IF(I1328&lt;I$1333,"Below","At")),"-")</f>
        <v>Above</v>
      </c>
      <c r="O1328" s="34" t="str">
        <f aca="false">IF(N1328="Above","Better",IF(N1328="Below","Weaker","-"))</f>
        <v>Better</v>
      </c>
    </row>
    <row r="1329" customFormat="false" ht="15" hidden="false" customHeight="false" outlineLevel="0" collapsed="false">
      <c r="A1329" s="18" t="s">
        <v>116</v>
      </c>
      <c r="B1329" s="23" t="n">
        <f aca="false">Shreeji!D170</f>
        <v>0.0127765449532647</v>
      </c>
      <c r="C1329" s="23" t="str">
        <f aca="false">Shreeji!E170</f>
        <v>N/M</v>
      </c>
      <c r="D1329" s="23" t="n">
        <f aca="false">Shreeji!F170</f>
        <v>0.0854052002277472</v>
      </c>
      <c r="E1329" s="23" t="n">
        <f aca="false">Shreeji!G170</f>
        <v>0.0975196338776202</v>
      </c>
      <c r="F1329" s="23" t="n">
        <f aca="false">Shreeji!H170</f>
        <v>0.160701392470346</v>
      </c>
      <c r="G1329" s="23" t="n">
        <f aca="false">Shreeji!I170</f>
        <v>0.0131709206731804</v>
      </c>
      <c r="H1329" s="23" t="n">
        <f aca="false">Shreeji!J170</f>
        <v>0.0276962180638941</v>
      </c>
      <c r="I1329" s="24" t="n">
        <f aca="false">Shreeji!K170</f>
        <v>0.0662116517110087</v>
      </c>
      <c r="J1329" s="34" t="str">
        <f aca="false">IF(AND(ISNUMBER(H1329),ISNUMBER(H$1333)),IF(H1329&gt;H$1333,"Above",IF(H1329&lt;H$1333,"Below","At")),"-")</f>
        <v>Below</v>
      </c>
      <c r="K1329" s="34" t="str">
        <f aca="false">IF(J1329="Above","Better",IF(J1329="Below","Weaker","-"))</f>
        <v>Weaker</v>
      </c>
      <c r="L1329" s="34" t="n">
        <f aca="false">IF(ISNUMBER(H1329),RANK(H1329,H$1321:H$1330,0),"-")</f>
        <v>8</v>
      </c>
      <c r="N1329" s="34" t="str">
        <f aca="false">IF(AND(ISNUMBER(I1329),ISNUMBER(I$1333)),IF(I1329&gt;I$1333,"Above",IF(I1329&lt;I$1333,"Below","At")),"-")</f>
        <v>Above</v>
      </c>
      <c r="O1329" s="34" t="str">
        <f aca="false">IF(N1329="Above","Better",IF(N1329="Below","Weaker","-"))</f>
        <v>Better</v>
      </c>
    </row>
    <row r="1330" customFormat="false" ht="15" hidden="false" customHeight="false" outlineLevel="0" collapsed="false">
      <c r="A1330" s="18" t="s">
        <v>117</v>
      </c>
      <c r="B1330" s="23" t="n">
        <f aca="false">MahindraLog!D170</f>
        <v>0.0349779565592533</v>
      </c>
      <c r="C1330" s="23" t="n">
        <f aca="false">MahindraLog!E170</f>
        <v>0.00783243262519411</v>
      </c>
      <c r="D1330" s="23" t="n">
        <f aca="false">MahindraLog!F170</f>
        <v>0.00174508135963173</v>
      </c>
      <c r="E1330" s="23" t="n">
        <f aca="false">MahindraLog!G170</f>
        <v>0.0036703591898613</v>
      </c>
      <c r="F1330" s="23" t="str">
        <f aca="false">MahindraLog!H170</f>
        <v>N/M</v>
      </c>
      <c r="G1330" s="23" t="str">
        <f aca="false">MahindraLog!I170</f>
        <v>N/M</v>
      </c>
      <c r="H1330" s="23" t="n">
        <f aca="false">MahindraLog!J170</f>
        <v>-0.00785849815756446</v>
      </c>
      <c r="I1330" s="24" t="n">
        <f aca="false">MahindraLog!K170</f>
        <v>0.0080734663152752</v>
      </c>
      <c r="J1330" s="34" t="str">
        <f aca="false">IF(AND(ISNUMBER(H1330),ISNUMBER(H$1333)),IF(H1330&gt;H$1333,"Above",IF(H1330&lt;H$1333,"Below","At")),"-")</f>
        <v>Below</v>
      </c>
      <c r="K1330" s="34" t="str">
        <f aca="false">IF(J1330="Above","Better",IF(J1330="Below","Weaker","-"))</f>
        <v>Weaker</v>
      </c>
      <c r="L1330" s="34" t="n">
        <f aca="false">IF(ISNUMBER(H1330),RANK(H1330,H$1321:H$1330,0),"-")</f>
        <v>10</v>
      </c>
      <c r="N1330" s="34" t="str">
        <f aca="false">IF(AND(ISNUMBER(I1330),ISNUMBER(I$1333)),IF(I1330&gt;I$1333,"Above",IF(I1330&lt;I$1333,"Below","At")),"-")</f>
        <v>Below</v>
      </c>
      <c r="O1330" s="34" t="str">
        <f aca="false">IF(N1330="Above","Better",IF(N1330="Below","Weaker","-"))</f>
        <v>Weaker</v>
      </c>
    </row>
    <row r="1331" customFormat="false" ht="15" hidden="false" customHeight="false" outlineLevel="0" collapsed="false">
      <c r="A1331" s="12" t="s">
        <v>176</v>
      </c>
      <c r="B1331" s="24" t="n">
        <f aca="false">Industry!D170</f>
        <v>0.0138627624519349</v>
      </c>
      <c r="C1331" s="24" t="str">
        <f aca="false">Industry!E170</f>
        <v>N/M</v>
      </c>
      <c r="D1331" s="24" t="n">
        <f aca="false">Industry!F170</f>
        <v>0.058447942545521</v>
      </c>
      <c r="E1331" s="24" t="n">
        <f aca="false">Industry!G170</f>
        <v>0.0277397064798058</v>
      </c>
      <c r="F1331" s="24" t="n">
        <f aca="false">Industry!H170</f>
        <v>0.0368089393381399</v>
      </c>
      <c r="G1331" s="24" t="n">
        <f aca="false">Industry!I170</f>
        <v>0.0299113589407505</v>
      </c>
      <c r="H1331" s="24" t="n">
        <f aca="false">Industry!J170</f>
        <v>0.0457398109932857</v>
      </c>
      <c r="I1331" s="24" t="n">
        <f aca="false">Industry!K170</f>
        <v>0.0354184201249063</v>
      </c>
    </row>
    <row r="1332" customFormat="false" ht="15" hidden="false" customHeight="false" outlineLevel="0" collapsed="false">
      <c r="A1332" s="35" t="s">
        <v>177</v>
      </c>
      <c r="B1332" s="39" t="n">
        <f aca="false">IFERROR(AVERAGE(B1321:B1330),"N/M")</f>
        <v>0.0385419790057725</v>
      </c>
      <c r="C1332" s="39" t="n">
        <f aca="false">IFERROR(AVERAGE(C1321:C1330),"N/M")</f>
        <v>0.0252316680277308</v>
      </c>
      <c r="D1332" s="39" t="n">
        <f aca="false">IFERROR(AVERAGE(D1321:D1330),"N/M")</f>
        <v>0.111583227834729</v>
      </c>
      <c r="E1332" s="39" t="n">
        <f aca="false">IFERROR(AVERAGE(E1321:E1330),"N/M")</f>
        <v>0.0821280572741041</v>
      </c>
      <c r="F1332" s="39" t="n">
        <f aca="false">IFERROR(AVERAGE(F1321:F1330),"N/M")</f>
        <v>0.071824475244297</v>
      </c>
      <c r="G1332" s="39" t="n">
        <f aca="false">IFERROR(AVERAGE(G1321:G1330),"N/M")</f>
        <v>0.0564127654325159</v>
      </c>
      <c r="H1332" s="39" t="n">
        <f aca="false">IFERROR(AVERAGE(H1321:H1330),"N/M")</f>
        <v>0.050291967754896</v>
      </c>
      <c r="I1332" s="39" t="n">
        <f aca="false">IFERROR(AVERAGE(I1321:I1330),"N/M")</f>
        <v>0.0663950085318721</v>
      </c>
    </row>
    <row r="1333" customFormat="false" ht="15" hidden="false" customHeight="false" outlineLevel="0" collapsed="false">
      <c r="A1333" s="35" t="s">
        <v>178</v>
      </c>
      <c r="B1333" s="39" t="n">
        <f aca="false">IFERROR(MEDIAN(B1321:B1330),"N/M")</f>
        <v>0.0342316630979401</v>
      </c>
      <c r="C1333" s="39" t="n">
        <f aca="false">IFERROR(MEDIAN(C1321:C1330),"N/M")</f>
        <v>0.020015056575365</v>
      </c>
      <c r="D1333" s="39" t="n">
        <f aca="false">IFERROR(MEDIAN(D1321:D1330),"N/M")</f>
        <v>0.0854052002277472</v>
      </c>
      <c r="E1333" s="39" t="n">
        <f aca="false">IFERROR(MEDIAN(E1321:E1330),"N/M")</f>
        <v>0.0698731583686942</v>
      </c>
      <c r="F1333" s="39" t="n">
        <f aca="false">IFERROR(MEDIAN(F1321:F1330),"N/M")</f>
        <v>0.0601860959576189</v>
      </c>
      <c r="G1333" s="39" t="n">
        <f aca="false">IFERROR(MEDIAN(G1321:G1330),"N/M")</f>
        <v>0.0373390227177555</v>
      </c>
      <c r="H1333" s="39" t="n">
        <f aca="false">IFERROR(MEDIAN(H1321:H1330),"N/M")</f>
        <v>0.0459620518854638</v>
      </c>
      <c r="I1333" s="39" t="n">
        <f aca="false">IFERROR(MEDIAN(I1321:I1330),"N/M")</f>
        <v>0.046699015327527</v>
      </c>
    </row>
    <row r="1334" customFormat="false" ht="15" hidden="false" customHeight="false" outlineLevel="0" collapsed="false">
      <c r="A1334" s="35" t="s">
        <v>179</v>
      </c>
      <c r="B1334" s="39" t="n">
        <f aca="false">IFERROR(STDEV(B1321:B1330),"N/M")</f>
        <v>0.026169603632981</v>
      </c>
      <c r="C1334" s="39" t="n">
        <f aca="false">IFERROR(STDEV(C1321:C1330),"N/M")</f>
        <v>0.0263970730986708</v>
      </c>
      <c r="D1334" s="39" t="n">
        <f aca="false">IFERROR(STDEV(D1321:D1330),"N/M")</f>
        <v>0.143216596702086</v>
      </c>
      <c r="E1334" s="39" t="n">
        <f aca="false">IFERROR(STDEV(E1321:E1330),"N/M")</f>
        <v>0.0781821227502934</v>
      </c>
      <c r="F1334" s="39" t="n">
        <f aca="false">IFERROR(STDEV(F1321:F1330),"N/M")</f>
        <v>0.0621575833514629</v>
      </c>
      <c r="G1334" s="39" t="n">
        <f aca="false">IFERROR(STDEV(G1321:G1330),"N/M")</f>
        <v>0.0774765007536201</v>
      </c>
      <c r="H1334" s="39" t="n">
        <f aca="false">IFERROR(STDEV(H1321:H1330),"N/M")</f>
        <v>0.0424111381805788</v>
      </c>
      <c r="I1334" s="39" t="n">
        <f aca="false">IFERROR(STDEV(I1321:I1330),"N/M")</f>
        <v>0.0648789156176607</v>
      </c>
    </row>
    <row r="1335" customFormat="false" ht="15" hidden="false" customHeight="false" outlineLevel="0" collapsed="false">
      <c r="A1335" s="35" t="s">
        <v>102</v>
      </c>
      <c r="B1335" s="39" t="n">
        <f aca="false">IFERROR(MIN(B1321:B1330),"N/M")</f>
        <v>0.0127765449532647</v>
      </c>
      <c r="C1335" s="39" t="n">
        <f aca="false">IFERROR(MIN(C1321:C1330),"N/M")</f>
        <v>-0.00106031152962561</v>
      </c>
      <c r="D1335" s="39" t="n">
        <f aca="false">IFERROR(MIN(D1321:D1330),"N/M")</f>
        <v>0.00174508135963173</v>
      </c>
      <c r="E1335" s="39" t="n">
        <f aca="false">IFERROR(MIN(E1321:E1330),"N/M")</f>
        <v>0.000454976303317536</v>
      </c>
      <c r="F1335" s="39" t="n">
        <f aca="false">IFERROR(MIN(F1321:F1330),"N/M")</f>
        <v>0.00160543377585675</v>
      </c>
      <c r="G1335" s="39" t="n">
        <f aca="false">IFERROR(MIN(G1321:G1330),"N/M")</f>
        <v>-0.0531661506005648</v>
      </c>
      <c r="H1335" s="39" t="n">
        <f aca="false">IFERROR(MIN(H1321:H1330),"N/M")</f>
        <v>-0.00785849815756446</v>
      </c>
      <c r="I1335" s="39" t="n">
        <f aca="false">IFERROR(MIN(I1321:I1330),"N/M")</f>
        <v>0.0080734663152752</v>
      </c>
    </row>
    <row r="1336" customFormat="false" ht="15" hidden="false" customHeight="false" outlineLevel="0" collapsed="false">
      <c r="A1336" s="35" t="s">
        <v>103</v>
      </c>
      <c r="B1336" s="39" t="n">
        <f aca="false">IFERROR(MAX(B1321:B1330),"N/M")</f>
        <v>0.0834009240499263</v>
      </c>
      <c r="C1336" s="39" t="n">
        <f aca="false">IFERROR(MAX(C1321:C1330),"N/M")</f>
        <v>0.0807534036754326</v>
      </c>
      <c r="D1336" s="39" t="n">
        <f aca="false">IFERROR(MAX(D1321:D1330),"N/M")</f>
        <v>0.465418691054587</v>
      </c>
      <c r="E1336" s="39" t="n">
        <f aca="false">IFERROR(MAX(E1321:E1330),"N/M")</f>
        <v>0.238859730369456</v>
      </c>
      <c r="F1336" s="39" t="n">
        <f aca="false">IFERROR(MAX(F1321:F1330),"N/M")</f>
        <v>0.160701392470346</v>
      </c>
      <c r="G1336" s="39" t="n">
        <f aca="false">IFERROR(MAX(G1321:G1330),"N/M")</f>
        <v>0.189377738825592</v>
      </c>
      <c r="H1336" s="39" t="n">
        <f aca="false">IFERROR(MAX(H1321:H1330),"N/M")</f>
        <v>0.134172663778154</v>
      </c>
      <c r="I1336" s="39" t="n">
        <f aca="false">IFERROR(MAX(I1321:I1330),"N/M")</f>
        <v>0.221317653768246</v>
      </c>
    </row>
    <row r="1338" customFormat="false" ht="15" hidden="false" customHeight="false" outlineLevel="0" collapsed="false">
      <c r="A1338" s="16" t="s">
        <v>254</v>
      </c>
      <c r="B1338" s="17"/>
      <c r="C1338" s="17"/>
      <c r="D1338" s="17"/>
      <c r="E1338" s="17"/>
      <c r="F1338" s="17"/>
      <c r="G1338" s="17"/>
      <c r="H1338" s="17"/>
      <c r="I1338" s="17"/>
      <c r="J1338" s="17"/>
      <c r="K1338" s="17"/>
      <c r="L1338" s="17"/>
      <c r="M1338" s="17"/>
    </row>
    <row r="1339" customFormat="false" ht="15" hidden="false" customHeight="false" outlineLevel="0" collapsed="false">
      <c r="A1339" s="18" t="s">
        <v>110</v>
      </c>
      <c r="B1339" s="23" t="str">
        <f aca="false">Tiger!D171</f>
        <v>N/M</v>
      </c>
      <c r="C1339" s="23" t="str">
        <f aca="false">Tiger!E171</f>
        <v>N/M</v>
      </c>
      <c r="D1339" s="23" t="n">
        <f aca="false">Tiger!F171</f>
        <v>1.27052857421494</v>
      </c>
      <c r="E1339" s="23" t="n">
        <f aca="false">Tiger!G171</f>
        <v>0.369468322190385</v>
      </c>
      <c r="F1339" s="23" t="n">
        <f aca="false">Tiger!H171</f>
        <v>0.141996274789087</v>
      </c>
      <c r="G1339" s="23" t="n">
        <f aca="false">Tiger!I171</f>
        <v>0.276869458254318</v>
      </c>
      <c r="H1339" s="23" t="n">
        <f aca="false">Tiger!J171</f>
        <v>0.168625607271588</v>
      </c>
      <c r="I1339" s="24" t="n">
        <f aca="false">Tiger!K171</f>
        <v>0.445497647344064</v>
      </c>
      <c r="J1339" s="34" t="str">
        <f aca="false">IF(AND(ISNUMBER(H1339),ISNUMBER(H$1351)),IF(H1339&gt;H$1351,"Above",IF(H1339&lt;H$1351,"Below","At")),"-")</f>
        <v>Above</v>
      </c>
      <c r="K1339" s="34" t="str">
        <f aca="false">IF(J1339="Above","Better",IF(J1339="Below","Weaker","-"))</f>
        <v>Better</v>
      </c>
      <c r="L1339" s="34" t="n">
        <f aca="false">IF(ISNUMBER(H1339),RANK(H1339,H$1339:H$1348,0),"-")</f>
        <v>3</v>
      </c>
      <c r="N1339" s="34" t="str">
        <f aca="false">IF(AND(ISNUMBER(I1339),ISNUMBER(I$1351)),IF(I1339&gt;I$1351,"Above",IF(I1339&lt;I$1351,"Below","At")),"-")</f>
        <v>Above</v>
      </c>
      <c r="O1339" s="34" t="str">
        <f aca="false">IF(N1339="Above","Better",IF(N1339="Below","Weaker","-"))</f>
        <v>Better</v>
      </c>
    </row>
    <row r="1340" customFormat="false" ht="15" hidden="false" customHeight="false" outlineLevel="0" collapsed="false">
      <c r="A1340" s="18" t="s">
        <v>111</v>
      </c>
      <c r="B1340" s="23" t="n">
        <f aca="false">Allcargo!D171</f>
        <v>0.0776359239709821</v>
      </c>
      <c r="C1340" s="23" t="n">
        <f aca="false">Allcargo!E171</f>
        <v>0.059190954918072</v>
      </c>
      <c r="D1340" s="23" t="n">
        <f aca="false">Allcargo!F171</f>
        <v>0.455464439977762</v>
      </c>
      <c r="E1340" s="23" t="n">
        <f aca="false">Allcargo!G171</f>
        <v>0.22546498513278</v>
      </c>
      <c r="F1340" s="23" t="n">
        <f aca="false">Allcargo!H171</f>
        <v>0.0196521695926436</v>
      </c>
      <c r="G1340" s="23" t="n">
        <f aca="false">Allcargo!I171</f>
        <v>-0.139523332486892</v>
      </c>
      <c r="H1340" s="23" t="n">
        <f aca="false">Allcargo!J171</f>
        <v>0.0142857142857143</v>
      </c>
      <c r="I1340" s="24" t="n">
        <f aca="false">Allcargo!K171</f>
        <v>0.101738693627295</v>
      </c>
      <c r="J1340" s="34" t="str">
        <f aca="false">IF(AND(ISNUMBER(H1340),ISNUMBER(H$1351)),IF(H1340&gt;H$1351,"Above",IF(H1340&lt;H$1351,"Below","At")),"-")</f>
        <v>Below</v>
      </c>
      <c r="K1340" s="34" t="str">
        <f aca="false">IF(J1340="Above","Better",IF(J1340="Below","Weaker","-"))</f>
        <v>Weaker</v>
      </c>
      <c r="L1340" s="34" t="n">
        <f aca="false">IF(ISNUMBER(H1340),RANK(H1340,H$1339:H$1348,0),"-")</f>
        <v>9</v>
      </c>
      <c r="N1340" s="34" t="str">
        <f aca="false">IF(AND(ISNUMBER(I1340),ISNUMBER(I$1351)),IF(I1340&gt;I$1351,"Above",IF(I1340&lt;I$1351,"Below","At")),"-")</f>
        <v>Below</v>
      </c>
      <c r="O1340" s="34" t="str">
        <f aca="false">IF(N1340="Above","Better",IF(N1340="Below","Weaker","-"))</f>
        <v>Weaker</v>
      </c>
    </row>
    <row r="1341" customFormat="false" ht="15" hidden="false" customHeight="false" outlineLevel="0" collapsed="false">
      <c r="A1341" s="18" t="s">
        <v>112</v>
      </c>
      <c r="B1341" s="23" t="str">
        <f aca="false">BlueDart!D171</f>
        <v>N/M</v>
      </c>
      <c r="C1341" s="23" t="n">
        <f aca="false">BlueDart!E171</f>
        <v>0.139239307696354</v>
      </c>
      <c r="D1341" s="23" t="n">
        <f aca="false">BlueDart!F171</f>
        <v>0.486771949423653</v>
      </c>
      <c r="E1341" s="23" t="n">
        <f aca="false">BlueDart!G171</f>
        <v>0.411892226695571</v>
      </c>
      <c r="F1341" s="23" t="n">
        <f aca="false">BlueDart!H171</f>
        <v>0.234162462868468</v>
      </c>
      <c r="G1341" s="23" t="n">
        <f aca="false">BlueDart!I171</f>
        <v>0.151968097879359</v>
      </c>
      <c r="H1341" s="23" t="n">
        <f aca="false">BlueDart!J171</f>
        <v>0.127024990793577</v>
      </c>
      <c r="I1341" s="24" t="n">
        <f aca="false">BlueDart!K171</f>
        <v>0.258509839226164</v>
      </c>
      <c r="J1341" s="34" t="str">
        <f aca="false">IF(AND(ISNUMBER(H1341),ISNUMBER(H$1351)),IF(H1341&gt;H$1351,"Above",IF(H1341&lt;H$1351,"Below","At")),"-")</f>
        <v>Above</v>
      </c>
      <c r="K1341" s="34" t="str">
        <f aca="false">IF(J1341="Above","Better",IF(J1341="Below","Weaker","-"))</f>
        <v>Better</v>
      </c>
      <c r="L1341" s="34" t="n">
        <f aca="false">IF(ISNUMBER(H1341),RANK(H1341,H$1339:H$1348,0),"-")</f>
        <v>4</v>
      </c>
      <c r="N1341" s="34" t="str">
        <f aca="false">IF(AND(ISNUMBER(I1341),ISNUMBER(I$1351)),IF(I1341&gt;I$1351,"Above",IF(I1341&lt;I$1351,"Below","At")),"-")</f>
        <v>Above</v>
      </c>
      <c r="O1341" s="34" t="str">
        <f aca="false">IF(N1341="Above","Better",IF(N1341="Below","Weaker","-"))</f>
        <v>Better</v>
      </c>
    </row>
    <row r="1342" customFormat="false" ht="15" hidden="false" customHeight="false" outlineLevel="0" collapsed="false">
      <c r="A1342" s="18" t="s">
        <v>67</v>
      </c>
      <c r="B1342" s="23" t="n">
        <f aca="false">CONCOR!D171</f>
        <v>0.0184122404358473</v>
      </c>
      <c r="C1342" s="23" t="n">
        <f aca="false">CONCOR!E171</f>
        <v>0.0202307970798915</v>
      </c>
      <c r="D1342" s="23" t="n">
        <f aca="false">CONCOR!F171</f>
        <v>0.0508547461000908</v>
      </c>
      <c r="E1342" s="23" t="n">
        <f aca="false">CONCOR!G171</f>
        <v>0.0480244871104161</v>
      </c>
      <c r="F1342" s="23" t="n">
        <f aca="false">CONCOR!H171</f>
        <v>0.0510628168682676</v>
      </c>
      <c r="G1342" s="23" t="n">
        <f aca="false">CONCOR!I171</f>
        <v>0.0511863736941421</v>
      </c>
      <c r="H1342" s="23" t="n">
        <f aca="false">CONCOR!J171</f>
        <v>0.0485967191148393</v>
      </c>
      <c r="I1342" s="24" t="n">
        <f aca="false">CONCOR!K171</f>
        <v>0.0411954543433564</v>
      </c>
      <c r="J1342" s="34" t="str">
        <f aca="false">IF(AND(ISNUMBER(H1342),ISNUMBER(H$1351)),IF(H1342&gt;H$1351,"Above",IF(H1342&lt;H$1351,"Below","At")),"-")</f>
        <v>Below</v>
      </c>
      <c r="K1342" s="34" t="str">
        <f aca="false">IF(J1342="Above","Better",IF(J1342="Below","Weaker","-"))</f>
        <v>Weaker</v>
      </c>
      <c r="L1342" s="34" t="n">
        <f aca="false">IF(ISNUMBER(H1342),RANK(H1342,H$1339:H$1348,0),"-")</f>
        <v>8</v>
      </c>
      <c r="N1342" s="34" t="str">
        <f aca="false">IF(AND(ISNUMBER(I1342),ISNUMBER(I$1351)),IF(I1342&gt;I$1351,"Above",IF(I1342&lt;I$1351,"Below","At")),"-")</f>
        <v>Below</v>
      </c>
      <c r="O1342" s="34" t="str">
        <f aca="false">IF(N1342="Above","Better",IF(N1342="Below","Weaker","-"))</f>
        <v>Weaker</v>
      </c>
    </row>
    <row r="1343" customFormat="false" ht="15" hidden="false" customHeight="false" outlineLevel="0" collapsed="false">
      <c r="A1343" s="18" t="s">
        <v>113</v>
      </c>
      <c r="B1343" s="23" t="str">
        <f aca="false">JetFreight!D171</f>
        <v>N/M</v>
      </c>
      <c r="C1343" s="23" t="n">
        <f aca="false">JetFreight!E171</f>
        <v>0.148652650281315</v>
      </c>
      <c r="D1343" s="23" t="n">
        <f aca="false">JetFreight!F171</f>
        <v>0.133333333333333</v>
      </c>
      <c r="E1343" s="23" t="n">
        <f aca="false">JetFreight!G171</f>
        <v>0.00138744363510232</v>
      </c>
      <c r="F1343" s="23" t="n">
        <f aca="false">JetFreight!H171</f>
        <v>0.00418679549114332</v>
      </c>
      <c r="G1343" s="23" t="n">
        <f aca="false">JetFreight!I171</f>
        <v>0.0616070691221406</v>
      </c>
      <c r="H1343" s="23" t="n">
        <f aca="false">JetFreight!J171</f>
        <v>0.108574165735271</v>
      </c>
      <c r="I1343" s="24" t="n">
        <f aca="false">JetFreight!K171</f>
        <v>0.0762902429330508</v>
      </c>
      <c r="J1343" s="34" t="str">
        <f aca="false">IF(AND(ISNUMBER(H1343),ISNUMBER(H$1351)),IF(H1343&gt;H$1351,"Above",IF(H1343&lt;H$1351,"Below","At")),"-")</f>
        <v>Above</v>
      </c>
      <c r="K1343" s="34" t="str">
        <f aca="false">IF(J1343="Above","Better",IF(J1343="Below","Weaker","-"))</f>
        <v>Better</v>
      </c>
      <c r="L1343" s="34" t="n">
        <f aca="false">IF(ISNUMBER(H1343),RANK(H1343,H$1339:H$1348,0),"-")</f>
        <v>5</v>
      </c>
      <c r="N1343" s="34" t="str">
        <f aca="false">IF(AND(ISNUMBER(I1343),ISNUMBER(I$1351)),IF(I1343&gt;I$1351,"Above",IF(I1343&lt;I$1351,"Below","At")),"-")</f>
        <v>Below</v>
      </c>
      <c r="O1343" s="34" t="str">
        <f aca="false">IF(N1343="Above","Better",IF(N1343="Below","Weaker","-"))</f>
        <v>Weaker</v>
      </c>
    </row>
    <row r="1344" customFormat="false" ht="15" hidden="false" customHeight="false" outlineLevel="0" collapsed="false">
      <c r="A1344" s="18" t="s">
        <v>114</v>
      </c>
      <c r="B1344" s="23" t="n">
        <f aca="false">Patel!D171</f>
        <v>0.0935522414479798</v>
      </c>
      <c r="C1344" s="23" t="n">
        <f aca="false">Patel!E171</f>
        <v>-0.00177913330791714</v>
      </c>
      <c r="D1344" s="23" t="n">
        <f aca="false">Patel!F171</f>
        <v>0.0166043640789359</v>
      </c>
      <c r="E1344" s="23" t="n">
        <f aca="false">Patel!G171</f>
        <v>0.0375358798851844</v>
      </c>
      <c r="F1344" s="23" t="n">
        <f aca="false">Patel!H171</f>
        <v>0.0430381975004401</v>
      </c>
      <c r="G1344" s="23" t="n">
        <f aca="false">Patel!I171</f>
        <v>0.0479192938209332</v>
      </c>
      <c r="H1344" s="23" t="n">
        <f aca="false">Patel!J171</f>
        <v>0.0717782829165938</v>
      </c>
      <c r="I1344" s="24" t="n">
        <f aca="false">Patel!K171</f>
        <v>0.0440927323345929</v>
      </c>
      <c r="J1344" s="34" t="str">
        <f aca="false">IF(AND(ISNUMBER(H1344),ISNUMBER(H$1351)),IF(H1344&gt;H$1351,"Above",IF(H1344&lt;H$1351,"Below","At")),"-")</f>
        <v>Below</v>
      </c>
      <c r="K1344" s="34" t="str">
        <f aca="false">IF(J1344="Above","Better",IF(J1344="Below","Weaker","-"))</f>
        <v>Weaker</v>
      </c>
      <c r="L1344" s="34" t="n">
        <f aca="false">IF(ISNUMBER(H1344),RANK(H1344,H$1339:H$1348,0),"-")</f>
        <v>6</v>
      </c>
      <c r="N1344" s="34" t="str">
        <f aca="false">IF(AND(ISNUMBER(I1344),ISNUMBER(I$1351)),IF(I1344&gt;I$1351,"Above",IF(I1344&lt;I$1351,"Below","At")),"-")</f>
        <v>Below</v>
      </c>
      <c r="O1344" s="34" t="str">
        <f aca="false">IF(N1344="Above","Better",IF(N1344="Below","Weaker","-"))</f>
        <v>Weaker</v>
      </c>
    </row>
    <row r="1345" customFormat="false" ht="15" hidden="false" customHeight="false" outlineLevel="0" collapsed="false">
      <c r="A1345" s="18" t="s">
        <v>115</v>
      </c>
      <c r="B1345" s="23" t="str">
        <f aca="false">Sical!D171</f>
        <v>N/M</v>
      </c>
      <c r="C1345" s="23" t="str">
        <f aca="false">Sical!E171</f>
        <v>N/M</v>
      </c>
      <c r="D1345" s="23" t="str">
        <f aca="false">Sical!F171</f>
        <v>N/M</v>
      </c>
      <c r="E1345" s="23" t="str">
        <f aca="false">Sical!G171</f>
        <v>N/M</v>
      </c>
      <c r="F1345" s="23" t="str">
        <f aca="false">Sical!H171</f>
        <v>N/M</v>
      </c>
      <c r="G1345" s="23" t="str">
        <f aca="false">Sical!I171</f>
        <v>N/M</v>
      </c>
      <c r="H1345" s="23" t="n">
        <f aca="false">Sical!J171</f>
        <v>3.52503576537911</v>
      </c>
      <c r="I1345" s="24" t="n">
        <f aca="false">Sical!K171</f>
        <v>3.52503576537911</v>
      </c>
      <c r="J1345" s="34" t="str">
        <f aca="false">IF(AND(ISNUMBER(H1345),ISNUMBER(H$1351)),IF(H1345&gt;H$1351,"Above",IF(H1345&lt;H$1351,"Below","At")),"-")</f>
        <v>Above</v>
      </c>
      <c r="K1345" s="34" t="str">
        <f aca="false">IF(J1345="Above","Better",IF(J1345="Below","Weaker","-"))</f>
        <v>Better</v>
      </c>
      <c r="L1345" s="34" t="n">
        <f aca="false">IF(ISNUMBER(H1345),RANK(H1345,H$1339:H$1348,0),"-")</f>
        <v>1</v>
      </c>
      <c r="N1345" s="34" t="str">
        <f aca="false">IF(AND(ISNUMBER(I1345),ISNUMBER(I$1351)),IF(I1345&gt;I$1351,"Above",IF(I1345&lt;I$1351,"Below","At")),"-")</f>
        <v>Above</v>
      </c>
      <c r="O1345" s="34" t="str">
        <f aca="false">IF(N1345="Above","Better",IF(N1345="Below","Weaker","-"))</f>
        <v>Better</v>
      </c>
    </row>
    <row r="1346" customFormat="false" ht="15" hidden="false" customHeight="false" outlineLevel="0" collapsed="false">
      <c r="A1346" s="18" t="s">
        <v>86</v>
      </c>
      <c r="B1346" s="23" t="n">
        <f aca="false">TCI!D171</f>
        <v>0.152827838519258</v>
      </c>
      <c r="C1346" s="23" t="n">
        <f aca="false">TCI!E171</f>
        <v>0.131946952887146</v>
      </c>
      <c r="D1346" s="23" t="n">
        <f aca="false">TCI!F171</f>
        <v>0.248404676733969</v>
      </c>
      <c r="E1346" s="23" t="n">
        <f aca="false">TCI!G171</f>
        <v>0.201891824478597</v>
      </c>
      <c r="F1346" s="23" t="n">
        <f aca="false">TCI!H171</f>
        <v>0.190423566827827</v>
      </c>
      <c r="G1346" s="23" t="n">
        <f aca="false">TCI!I171</f>
        <v>0.203161119903251</v>
      </c>
      <c r="H1346" s="23" t="n">
        <f aca="false">TCI!J171</f>
        <v>0.191582486483212</v>
      </c>
      <c r="I1346" s="24" t="n">
        <f aca="false">TCI!K171</f>
        <v>0.188605495119037</v>
      </c>
      <c r="J1346" s="34" t="str">
        <f aca="false">IF(AND(ISNUMBER(H1346),ISNUMBER(H$1351)),IF(H1346&gt;H$1351,"Above",IF(H1346&lt;H$1351,"Below","At")),"-")</f>
        <v>Above</v>
      </c>
      <c r="K1346" s="34" t="str">
        <f aca="false">IF(J1346="Above","Better",IF(J1346="Below","Weaker","-"))</f>
        <v>Better</v>
      </c>
      <c r="L1346" s="34" t="n">
        <f aca="false">IF(ISNUMBER(H1346),RANK(H1346,H$1339:H$1348,0),"-")</f>
        <v>2</v>
      </c>
      <c r="N1346" s="34" t="str">
        <f aca="false">IF(AND(ISNUMBER(I1346),ISNUMBER(I$1351)),IF(I1346&gt;I$1351,"Above",IF(I1346&lt;I$1351,"Below","At")),"-")</f>
        <v>Above</v>
      </c>
      <c r="O1346" s="34" t="str">
        <f aca="false">IF(N1346="Above","Better",IF(N1346="Below","Weaker","-"))</f>
        <v>Better</v>
      </c>
    </row>
    <row r="1347" customFormat="false" ht="15" hidden="false" customHeight="false" outlineLevel="0" collapsed="false">
      <c r="A1347" s="18" t="s">
        <v>116</v>
      </c>
      <c r="B1347" s="23" t="n">
        <f aca="false">Shreeji!D171</f>
        <v>0.040135192226447</v>
      </c>
      <c r="C1347" s="23" t="str">
        <f aca="false">Shreeji!E171</f>
        <v>N/M</v>
      </c>
      <c r="D1347" s="23" t="n">
        <f aca="false">Shreeji!F171</f>
        <v>0.315568022440393</v>
      </c>
      <c r="E1347" s="23" t="n">
        <f aca="false">Shreeji!G171</f>
        <v>0.310041314891324</v>
      </c>
      <c r="F1347" s="23" t="n">
        <f aca="false">Shreeji!H171</f>
        <v>0.475</v>
      </c>
      <c r="G1347" s="23" t="n">
        <f aca="false">Shreeji!I171</f>
        <v>0.0279018874806237</v>
      </c>
      <c r="H1347" s="23" t="n">
        <f aca="false">Shreeji!J171</f>
        <v>0.0571583612191372</v>
      </c>
      <c r="I1347" s="24" t="n">
        <f aca="false">Shreeji!K171</f>
        <v>0.204300796376321</v>
      </c>
      <c r="J1347" s="34" t="str">
        <f aca="false">IF(AND(ISNUMBER(H1347),ISNUMBER(H$1351)),IF(H1347&gt;H$1351,"Above",IF(H1347&lt;H$1351,"Below","At")),"-")</f>
        <v>Below</v>
      </c>
      <c r="K1347" s="34" t="str">
        <f aca="false">IF(J1347="Above","Better",IF(J1347="Below","Weaker","-"))</f>
        <v>Weaker</v>
      </c>
      <c r="L1347" s="34" t="n">
        <f aca="false">IF(ISNUMBER(H1347),RANK(H1347,H$1339:H$1348,0),"-")</f>
        <v>7</v>
      </c>
      <c r="N1347" s="34" t="str">
        <f aca="false">IF(AND(ISNUMBER(I1347),ISNUMBER(I$1351)),IF(I1347&gt;I$1351,"Above",IF(I1347&lt;I$1351,"Below","At")),"-")</f>
        <v>Above</v>
      </c>
      <c r="O1347" s="34" t="str">
        <f aca="false">IF(N1347="Above","Better",IF(N1347="Below","Weaker","-"))</f>
        <v>Better</v>
      </c>
    </row>
    <row r="1348" customFormat="false" ht="15" hidden="false" customHeight="false" outlineLevel="0" collapsed="false">
      <c r="A1348" s="18" t="s">
        <v>117</v>
      </c>
      <c r="B1348" s="23" t="n">
        <f aca="false">MahindraLog!D171</f>
        <v>0.0930520181534237</v>
      </c>
      <c r="C1348" s="23" t="n">
        <f aca="false">MahindraLog!E171</f>
        <v>0.0221946626245923</v>
      </c>
      <c r="D1348" s="23" t="n">
        <f aca="false">MahindraLog!F171</f>
        <v>0.00575729136586775</v>
      </c>
      <c r="E1348" s="23" t="n">
        <f aca="false">MahindraLog!G171</f>
        <v>0.0151705310601966</v>
      </c>
      <c r="F1348" s="23" t="str">
        <f aca="false">MahindraLog!H171</f>
        <v>N/M</v>
      </c>
      <c r="G1348" s="23" t="str">
        <f aca="false">MahindraLog!I171</f>
        <v>N/M</v>
      </c>
      <c r="H1348" s="23" t="n">
        <f aca="false">MahindraLog!J171</f>
        <v>-0.0271584382993099</v>
      </c>
      <c r="I1348" s="24" t="n">
        <f aca="false">MahindraLog!K171</f>
        <v>0.0218032129809541</v>
      </c>
      <c r="J1348" s="34" t="str">
        <f aca="false">IF(AND(ISNUMBER(H1348),ISNUMBER(H$1351)),IF(H1348&gt;H$1351,"Above",IF(H1348&lt;H$1351,"Below","At")),"-")</f>
        <v>Below</v>
      </c>
      <c r="K1348" s="34" t="str">
        <f aca="false">IF(J1348="Above","Better",IF(J1348="Below","Weaker","-"))</f>
        <v>Weaker</v>
      </c>
      <c r="L1348" s="34" t="n">
        <f aca="false">IF(ISNUMBER(H1348),RANK(H1348,H$1339:H$1348,0),"-")</f>
        <v>10</v>
      </c>
      <c r="N1348" s="34" t="str">
        <f aca="false">IF(AND(ISNUMBER(I1348),ISNUMBER(I$1351)),IF(I1348&gt;I$1351,"Above",IF(I1348&lt;I$1351,"Below","At")),"-")</f>
        <v>Below</v>
      </c>
      <c r="O1348" s="34" t="str">
        <f aca="false">IF(N1348="Above","Better",IF(N1348="Below","Weaker","-"))</f>
        <v>Weaker</v>
      </c>
    </row>
    <row r="1349" customFormat="false" ht="15" hidden="false" customHeight="false" outlineLevel="0" collapsed="false">
      <c r="A1349" s="12" t="s">
        <v>176</v>
      </c>
      <c r="B1349" s="24" t="n">
        <f aca="false">Industry!D171</f>
        <v>0.0235718874548653</v>
      </c>
      <c r="C1349" s="24" t="str">
        <f aca="false">Industry!E171</f>
        <v>N/M</v>
      </c>
      <c r="D1349" s="24" t="n">
        <f aca="false">Industry!F171</f>
        <v>0.121165839191265</v>
      </c>
      <c r="E1349" s="24" t="n">
        <f aca="false">Industry!G171</f>
        <v>0.051178601350734</v>
      </c>
      <c r="F1349" s="24" t="n">
        <f aca="false">Industry!H171</f>
        <v>0.0631298507423497</v>
      </c>
      <c r="G1349" s="24" t="n">
        <f aca="false">Industry!I171</f>
        <v>0.0489587466560856</v>
      </c>
      <c r="H1349" s="24" t="n">
        <f aca="false">Industry!J171</f>
        <v>0.0710321530963841</v>
      </c>
      <c r="I1349" s="24" t="n">
        <f aca="false">Industry!K171</f>
        <v>0.0631728464152806</v>
      </c>
    </row>
    <row r="1350" customFormat="false" ht="15" hidden="false" customHeight="false" outlineLevel="0" collapsed="false">
      <c r="A1350" s="35" t="s">
        <v>177</v>
      </c>
      <c r="B1350" s="39" t="n">
        <f aca="false">IFERROR(AVERAGE(B1339:B1348),"N/M")</f>
        <v>0.0792692424589897</v>
      </c>
      <c r="C1350" s="39" t="n">
        <f aca="false">IFERROR(AVERAGE(C1339:C1348),"N/M")</f>
        <v>0.0742394560256363</v>
      </c>
      <c r="D1350" s="39" t="n">
        <f aca="false">IFERROR(AVERAGE(D1339:D1348),"N/M")</f>
        <v>0.331476377518772</v>
      </c>
      <c r="E1350" s="39" t="n">
        <f aca="false">IFERROR(AVERAGE(E1339:E1348),"N/M")</f>
        <v>0.180097446119951</v>
      </c>
      <c r="F1350" s="39" t="n">
        <f aca="false">IFERROR(AVERAGE(F1339:F1348),"N/M")</f>
        <v>0.144940285492235</v>
      </c>
      <c r="G1350" s="39" t="n">
        <f aca="false">IFERROR(AVERAGE(G1339:G1348),"N/M")</f>
        <v>0.0851362459584845</v>
      </c>
      <c r="H1350" s="39" t="n">
        <f aca="false">IFERROR(AVERAGE(H1339:H1348),"N/M")</f>
        <v>0.428550365489974</v>
      </c>
      <c r="I1350" s="39" t="n">
        <f aca="false">IFERROR(AVERAGE(I1339:I1348),"N/M")</f>
        <v>0.490706987966395</v>
      </c>
    </row>
    <row r="1351" customFormat="false" ht="15" hidden="false" customHeight="false" outlineLevel="0" collapsed="false">
      <c r="A1351" s="35" t="s">
        <v>178</v>
      </c>
      <c r="B1351" s="39" t="n">
        <f aca="false">IFERROR(MEDIAN(B1339:B1348),"N/M")</f>
        <v>0.0853439710622029</v>
      </c>
      <c r="C1351" s="39" t="n">
        <f aca="false">IFERROR(MEDIAN(C1339:C1348),"N/M")</f>
        <v>0.059190954918072</v>
      </c>
      <c r="D1351" s="39" t="n">
        <f aca="false">IFERROR(MEDIAN(D1339:D1348),"N/M")</f>
        <v>0.248404676733969</v>
      </c>
      <c r="E1351" s="39" t="n">
        <f aca="false">IFERROR(MEDIAN(E1339:E1348),"N/M")</f>
        <v>0.201891824478597</v>
      </c>
      <c r="F1351" s="39" t="n">
        <f aca="false">IFERROR(MEDIAN(F1339:F1348),"N/M")</f>
        <v>0.0965295458286775</v>
      </c>
      <c r="G1351" s="39" t="n">
        <f aca="false">IFERROR(MEDIAN(G1339:G1348),"N/M")</f>
        <v>0.0563967214081413</v>
      </c>
      <c r="H1351" s="39" t="n">
        <f aca="false">IFERROR(MEDIAN(H1339:H1348),"N/M")</f>
        <v>0.0901762243259322</v>
      </c>
      <c r="I1351" s="39" t="n">
        <f aca="false">IFERROR(MEDIAN(I1339:I1348),"N/M")</f>
        <v>0.145172094373166</v>
      </c>
    </row>
    <row r="1352" customFormat="false" ht="15" hidden="false" customHeight="false" outlineLevel="0" collapsed="false">
      <c r="A1352" s="35" t="s">
        <v>179</v>
      </c>
      <c r="B1352" s="39" t="n">
        <f aca="false">IFERROR(STDEV(B1339:B1348),"N/M")</f>
        <v>0.0469947919081499</v>
      </c>
      <c r="C1352" s="39" t="n">
        <f aca="false">IFERROR(STDEV(C1339:C1348),"N/M")</f>
        <v>0.0641915602729995</v>
      </c>
      <c r="D1352" s="39" t="n">
        <f aca="false">IFERROR(STDEV(D1339:D1348),"N/M")</f>
        <v>0.395554869700332</v>
      </c>
      <c r="E1352" s="39" t="n">
        <f aca="false">IFERROR(STDEV(E1339:E1348),"N/M")</f>
        <v>0.160434560463637</v>
      </c>
      <c r="F1352" s="39" t="n">
        <f aca="false">IFERROR(STDEV(F1339:F1348),"N/M")</f>
        <v>0.157517835607938</v>
      </c>
      <c r="G1352" s="39" t="n">
        <f aca="false">IFERROR(STDEV(G1339:G1348),"N/M")</f>
        <v>0.126489416548538</v>
      </c>
      <c r="H1352" s="39" t="n">
        <f aca="false">IFERROR(STDEV(H1339:H1348),"N/M")</f>
        <v>1.09006154951401</v>
      </c>
      <c r="I1352" s="39" t="n">
        <f aca="false">IFERROR(STDEV(I1339:I1348),"N/M")</f>
        <v>1.07397690764092</v>
      </c>
    </row>
    <row r="1353" customFormat="false" ht="15" hidden="false" customHeight="false" outlineLevel="0" collapsed="false">
      <c r="A1353" s="35" t="s">
        <v>102</v>
      </c>
      <c r="B1353" s="39" t="n">
        <f aca="false">IFERROR(MIN(B1339:B1348),"N/M")</f>
        <v>0.0184122404358473</v>
      </c>
      <c r="C1353" s="39" t="n">
        <f aca="false">IFERROR(MIN(C1339:C1348),"N/M")</f>
        <v>-0.00177913330791714</v>
      </c>
      <c r="D1353" s="39" t="n">
        <f aca="false">IFERROR(MIN(D1339:D1348),"N/M")</f>
        <v>0.00575729136586775</v>
      </c>
      <c r="E1353" s="39" t="n">
        <f aca="false">IFERROR(MIN(E1339:E1348),"N/M")</f>
        <v>0.00138744363510232</v>
      </c>
      <c r="F1353" s="39" t="n">
        <f aca="false">IFERROR(MIN(F1339:F1348),"N/M")</f>
        <v>0.00418679549114332</v>
      </c>
      <c r="G1353" s="39" t="n">
        <f aca="false">IFERROR(MIN(G1339:G1348),"N/M")</f>
        <v>-0.139523332486892</v>
      </c>
      <c r="H1353" s="39" t="n">
        <f aca="false">IFERROR(MIN(H1339:H1348),"N/M")</f>
        <v>-0.0271584382993099</v>
      </c>
      <c r="I1353" s="39" t="n">
        <f aca="false">IFERROR(MIN(I1339:I1348),"N/M")</f>
        <v>0.0218032129809541</v>
      </c>
    </row>
    <row r="1354" customFormat="false" ht="15" hidden="false" customHeight="false" outlineLevel="0" collapsed="false">
      <c r="A1354" s="35" t="s">
        <v>103</v>
      </c>
      <c r="B1354" s="39" t="n">
        <f aca="false">IFERROR(MAX(B1339:B1348),"N/M")</f>
        <v>0.152827838519258</v>
      </c>
      <c r="C1354" s="39" t="n">
        <f aca="false">IFERROR(MAX(C1339:C1348),"N/M")</f>
        <v>0.148652650281315</v>
      </c>
      <c r="D1354" s="39" t="n">
        <f aca="false">IFERROR(MAX(D1339:D1348),"N/M")</f>
        <v>1.27052857421494</v>
      </c>
      <c r="E1354" s="39" t="n">
        <f aca="false">IFERROR(MAX(E1339:E1348),"N/M")</f>
        <v>0.411892226695571</v>
      </c>
      <c r="F1354" s="39" t="n">
        <f aca="false">IFERROR(MAX(F1339:F1348),"N/M")</f>
        <v>0.475</v>
      </c>
      <c r="G1354" s="39" t="n">
        <f aca="false">IFERROR(MAX(G1339:G1348),"N/M")</f>
        <v>0.276869458254318</v>
      </c>
      <c r="H1354" s="39" t="n">
        <f aca="false">IFERROR(MAX(H1339:H1348),"N/M")</f>
        <v>3.52503576537911</v>
      </c>
      <c r="I1354" s="39" t="n">
        <f aca="false">IFERROR(MAX(I1339:I1348),"N/M")</f>
        <v>3.52503576537911</v>
      </c>
    </row>
    <row r="1356" customFormat="false" ht="15" hidden="false" customHeight="false" outlineLevel="0" collapsed="false">
      <c r="A1356" s="16" t="s">
        <v>255</v>
      </c>
      <c r="B1356" s="17"/>
      <c r="C1356" s="17"/>
      <c r="D1356" s="17"/>
      <c r="E1356" s="17"/>
      <c r="F1356" s="17"/>
      <c r="G1356" s="17"/>
      <c r="H1356" s="17"/>
      <c r="I1356" s="17"/>
      <c r="J1356" s="17"/>
      <c r="K1356" s="17"/>
      <c r="L1356" s="17"/>
      <c r="M1356" s="17"/>
    </row>
    <row r="1357" customFormat="false" ht="15" hidden="false" customHeight="false" outlineLevel="0" collapsed="false">
      <c r="A1357" s="18" t="s">
        <v>110</v>
      </c>
      <c r="B1357" s="23" t="n">
        <f aca="false">Tiger!D172</f>
        <v>-0.0874197844775396</v>
      </c>
      <c r="C1357" s="23" t="n">
        <f aca="false">Tiger!E172</f>
        <v>-0.443180310468356</v>
      </c>
      <c r="D1357" s="23" t="n">
        <f aca="false">Tiger!F172</f>
        <v>2.66420444391493</v>
      </c>
      <c r="E1357" s="23" t="n">
        <f aca="false">Tiger!G172</f>
        <v>-0.295491863243973</v>
      </c>
      <c r="F1357" s="23" t="n">
        <f aca="false">Tiger!H172</f>
        <v>-0.445575170185762</v>
      </c>
      <c r="G1357" s="23" t="n">
        <f aca="false">Tiger!I172</f>
        <v>1.23220677599267</v>
      </c>
      <c r="H1357" s="23" t="n">
        <f aca="false">Tiger!J172</f>
        <v>0.0680762991553394</v>
      </c>
      <c r="I1357" s="24" t="n">
        <f aca="false">Tiger!K172</f>
        <v>0.384688627241045</v>
      </c>
      <c r="J1357" s="34" t="str">
        <f aca="false">IF(AND(ISNUMBER(H1357),ISNUMBER(H$1369)),IF(H1357&gt;H$1369,"Above",IF(H1357&lt;H$1369,"Below","At")),"-")</f>
        <v>Above</v>
      </c>
      <c r="K1357" s="34" t="str">
        <f aca="false">IF(J1357="Above","Better",IF(J1357="Below","Weaker","-"))</f>
        <v>Better</v>
      </c>
      <c r="L1357" s="34" t="n">
        <f aca="false">IF(ISNUMBER(H1357),RANK(H1357,H$1357:H$1366,0),"-")</f>
        <v>5</v>
      </c>
      <c r="N1357" s="34" t="str">
        <f aca="false">IF(AND(ISNUMBER(I1357),ISNUMBER(I$1369)),IF(I1357&gt;I$1369,"Above",IF(I1357&lt;I$1369,"Below","At")),"-")</f>
        <v>Above</v>
      </c>
      <c r="O1357" s="34" t="str">
        <f aca="false">IF(N1357="Above","Better",IF(N1357="Below","Weaker","-"))</f>
        <v>Better</v>
      </c>
    </row>
    <row r="1358" customFormat="false" ht="15" hidden="false" customHeight="false" outlineLevel="0" collapsed="false">
      <c r="A1358" s="18" t="s">
        <v>111</v>
      </c>
      <c r="B1358" s="23" t="n">
        <f aca="false">Allcargo!D172</f>
        <v>0.0654661588487657</v>
      </c>
      <c r="C1358" s="23" t="n">
        <f aca="false">Allcargo!E172</f>
        <v>0.429043973515703</v>
      </c>
      <c r="D1358" s="23" t="n">
        <f aca="false">Allcargo!F172</f>
        <v>0.815762852325659</v>
      </c>
      <c r="E1358" s="23" t="n">
        <f aca="false">Allcargo!G172</f>
        <v>-0.0530525032446652</v>
      </c>
      <c r="F1358" s="23" t="n">
        <f aca="false">Allcargo!H172</f>
        <v>-0.281544222213235</v>
      </c>
      <c r="G1358" s="23" t="n">
        <f aca="false">Allcargo!I172</f>
        <v>-0.84878954527369</v>
      </c>
      <c r="H1358" s="23" t="n">
        <f aca="false">Allcargo!J172</f>
        <v>0.0494645588985212</v>
      </c>
      <c r="I1358" s="24" t="n">
        <f aca="false">Allcargo!K172</f>
        <v>0.0251930389795798</v>
      </c>
      <c r="J1358" s="34" t="str">
        <f aca="false">IF(AND(ISNUMBER(H1358),ISNUMBER(H$1369)),IF(H1358&gt;H$1369,"Above",IF(H1358&lt;H$1369,"Below","At")),"-")</f>
        <v>Below</v>
      </c>
      <c r="K1358" s="34" t="str">
        <f aca="false">IF(J1358="Above","Better",IF(J1358="Below","Weaker","-"))</f>
        <v>Weaker</v>
      </c>
      <c r="L1358" s="34" t="n">
        <f aca="false">IF(ISNUMBER(H1358),RANK(H1358,H$1357:H$1366,0),"-")</f>
        <v>7</v>
      </c>
      <c r="N1358" s="34" t="str">
        <f aca="false">IF(AND(ISNUMBER(I1358),ISNUMBER(I$1369)),IF(I1358&gt;I$1369,"Above",IF(I1358&lt;I$1369,"Below","At")),"-")</f>
        <v>Below</v>
      </c>
      <c r="O1358" s="34" t="str">
        <f aca="false">IF(N1358="Above","Better",IF(N1358="Below","Weaker","-"))</f>
        <v>Weaker</v>
      </c>
    </row>
    <row r="1359" customFormat="false" ht="15" hidden="false" customHeight="false" outlineLevel="0" collapsed="false">
      <c r="A1359" s="18" t="s">
        <v>112</v>
      </c>
      <c r="B1359" s="23" t="n">
        <f aca="false">BlueDart!D172</f>
        <v>0.000229964717741948</v>
      </c>
      <c r="C1359" s="23" t="n">
        <f aca="false">BlueDart!E172</f>
        <v>0.0355890939898524</v>
      </c>
      <c r="D1359" s="23" t="n">
        <f aca="false">BlueDart!F172</f>
        <v>0.341336869284365</v>
      </c>
      <c r="E1359" s="23" t="n">
        <f aca="false">BlueDart!G172</f>
        <v>0.172708701300763</v>
      </c>
      <c r="F1359" s="23" t="n">
        <f aca="false">BlueDart!H172</f>
        <v>0.0184852925822954</v>
      </c>
      <c r="G1359" s="23" t="n">
        <f aca="false">BlueDart!I172</f>
        <v>0.0858702729586947</v>
      </c>
      <c r="H1359" s="23" t="n">
        <f aca="false">BlueDart!J172</f>
        <v>0.0735466366443014</v>
      </c>
      <c r="I1359" s="24" t="n">
        <f aca="false">BlueDart!K172</f>
        <v>0.103966690211145</v>
      </c>
      <c r="J1359" s="34" t="str">
        <f aca="false">IF(AND(ISNUMBER(H1359),ISNUMBER(H$1369)),IF(H1359&gt;H$1369,"Above",IF(H1359&lt;H$1369,"Below","At")),"-")</f>
        <v>Above</v>
      </c>
      <c r="K1359" s="34" t="str">
        <f aca="false">IF(J1359="Above","Better",IF(J1359="Below","Weaker","-"))</f>
        <v>Better</v>
      </c>
      <c r="L1359" s="34" t="n">
        <f aca="false">IF(ISNUMBER(H1359),RANK(H1359,H$1357:H$1366,0),"-")</f>
        <v>4</v>
      </c>
      <c r="N1359" s="34" t="str">
        <f aca="false">IF(AND(ISNUMBER(I1359),ISNUMBER(I$1369)),IF(I1359&gt;I$1369,"Above",IF(I1359&lt;I$1369,"Below","At")),"-")</f>
        <v>Above</v>
      </c>
      <c r="O1359" s="34" t="str">
        <f aca="false">IF(N1359="Above","Better",IF(N1359="Below","Weaker","-"))</f>
        <v>Better</v>
      </c>
    </row>
    <row r="1360" customFormat="false" ht="15" hidden="false" customHeight="false" outlineLevel="0" collapsed="false">
      <c r="A1360" s="18" t="s">
        <v>67</v>
      </c>
      <c r="B1360" s="23" t="n">
        <f aca="false">CONCOR!D172</f>
        <v>-0.0612113754050425</v>
      </c>
      <c r="C1360" s="23" t="n">
        <f aca="false">CONCOR!E172</f>
        <v>-0.0158017968629169</v>
      </c>
      <c r="D1360" s="23" t="n">
        <f aca="false">CONCOR!F172</f>
        <v>0.190700909277619</v>
      </c>
      <c r="E1360" s="23" t="n">
        <f aca="false">CONCOR!G172</f>
        <v>0.0674778804426657</v>
      </c>
      <c r="F1360" s="23" t="n">
        <f aca="false">CONCOR!H172</f>
        <v>0.0592830072272166</v>
      </c>
      <c r="G1360" s="23" t="n">
        <f aca="false">CONCOR!I172</f>
        <v>0.0269962939465482</v>
      </c>
      <c r="H1360" s="23" t="n">
        <f aca="false">CONCOR!J172</f>
        <v>0.0215989161721251</v>
      </c>
      <c r="I1360" s="24" t="n">
        <f aca="false">CONCOR!K172</f>
        <v>0.041291976399745</v>
      </c>
      <c r="J1360" s="34" t="str">
        <f aca="false">IF(AND(ISNUMBER(H1360),ISNUMBER(H$1369)),IF(H1360&gt;H$1369,"Above",IF(H1360&lt;H$1369,"Below","At")),"-")</f>
        <v>Below</v>
      </c>
      <c r="K1360" s="34" t="str">
        <f aca="false">IF(J1360="Above","Better",IF(J1360="Below","Weaker","-"))</f>
        <v>Weaker</v>
      </c>
      <c r="L1360" s="34" t="n">
        <f aca="false">IF(ISNUMBER(H1360),RANK(H1360,H$1357:H$1366,0),"-")</f>
        <v>9</v>
      </c>
      <c r="N1360" s="34" t="str">
        <f aca="false">IF(AND(ISNUMBER(I1360),ISNUMBER(I$1369)),IF(I1360&gt;I$1369,"Above",IF(I1360&lt;I$1369,"Below","At")),"-")</f>
        <v>Below</v>
      </c>
      <c r="O1360" s="34" t="str">
        <f aca="false">IF(N1360="Above","Better",IF(N1360="Below","Weaker","-"))</f>
        <v>Weaker</v>
      </c>
    </row>
    <row r="1361" customFormat="false" ht="15" hidden="false" customHeight="false" outlineLevel="0" collapsed="false">
      <c r="A1361" s="18" t="s">
        <v>113</v>
      </c>
      <c r="B1361" s="23" t="n">
        <f aca="false">JetFreight!D172</f>
        <v>-0.111815596112823</v>
      </c>
      <c r="C1361" s="23" t="n">
        <f aca="false">JetFreight!E172</f>
        <v>0.156814997664954</v>
      </c>
      <c r="D1361" s="23" t="n">
        <f aca="false">JetFreight!F172</f>
        <v>0.317108336457222</v>
      </c>
      <c r="E1361" s="23" t="n">
        <f aca="false">JetFreight!G172</f>
        <v>-0.0877265960241702</v>
      </c>
      <c r="F1361" s="23" t="n">
        <f aca="false">JetFreight!H172</f>
        <v>-0.0694041133696514</v>
      </c>
      <c r="G1361" s="23" t="n">
        <f aca="false">JetFreight!I172</f>
        <v>0.126002527271321</v>
      </c>
      <c r="H1361" s="23" t="n">
        <f aca="false">JetFreight!J172</f>
        <v>0.0170625014314179</v>
      </c>
      <c r="I1361" s="24" t="n">
        <f aca="false">JetFreight!K172</f>
        <v>0.0497202939026101</v>
      </c>
      <c r="J1361" s="34" t="str">
        <f aca="false">IF(AND(ISNUMBER(H1361),ISNUMBER(H$1369)),IF(H1361&gt;H$1369,"Above",IF(H1361&lt;H$1369,"Below","At")),"-")</f>
        <v>Below</v>
      </c>
      <c r="K1361" s="34" t="str">
        <f aca="false">IF(J1361="Above","Better",IF(J1361="Below","Weaker","-"))</f>
        <v>Weaker</v>
      </c>
      <c r="L1361" s="34" t="n">
        <f aca="false">IF(ISNUMBER(H1361),RANK(H1361,H$1357:H$1366,0),"-")</f>
        <v>10</v>
      </c>
      <c r="N1361" s="34" t="str">
        <f aca="false">IF(AND(ISNUMBER(I1361),ISNUMBER(I$1369)),IF(I1361&gt;I$1369,"Above",IF(I1361&lt;I$1369,"Below","At")),"-")</f>
        <v>Below</v>
      </c>
      <c r="O1361" s="34" t="str">
        <f aca="false">IF(N1361="Above","Better",IF(N1361="Below","Weaker","-"))</f>
        <v>Weaker</v>
      </c>
    </row>
    <row r="1362" customFormat="false" ht="15" hidden="false" customHeight="false" outlineLevel="0" collapsed="false">
      <c r="A1362" s="18" t="s">
        <v>114</v>
      </c>
      <c r="B1362" s="23" t="n">
        <f aca="false">Patel!D172</f>
        <v>-0.224098269123395</v>
      </c>
      <c r="C1362" s="23" t="n">
        <f aca="false">Patel!E172</f>
        <v>-0.389050401542846</v>
      </c>
      <c r="D1362" s="23" t="n">
        <f aca="false">Patel!F172</f>
        <v>0.103981154299176</v>
      </c>
      <c r="E1362" s="23" t="n">
        <f aca="false">Patel!G172</f>
        <v>0.187606691703653</v>
      </c>
      <c r="F1362" s="23" t="n">
        <f aca="false">Patel!H172</f>
        <v>0.0440922811556708</v>
      </c>
      <c r="G1362" s="23" t="n">
        <f aca="false">Patel!I172</f>
        <v>0.179452762003097</v>
      </c>
      <c r="H1362" s="23" t="n">
        <f aca="false">Patel!J172</f>
        <v>0.0421663894481894</v>
      </c>
      <c r="I1362" s="24" t="n">
        <f aca="false">Patel!K172</f>
        <v>-0.00797848457949346</v>
      </c>
      <c r="J1362" s="34" t="str">
        <f aca="false">IF(AND(ISNUMBER(H1362),ISNUMBER(H$1369)),IF(H1362&gt;H$1369,"Above",IF(H1362&lt;H$1369,"Below","At")),"-")</f>
        <v>Below</v>
      </c>
      <c r="K1362" s="34" t="str">
        <f aca="false">IF(J1362="Above","Better",IF(J1362="Below","Weaker","-"))</f>
        <v>Weaker</v>
      </c>
      <c r="L1362" s="34" t="n">
        <f aca="false">IF(ISNUMBER(H1362),RANK(H1362,H$1357:H$1366,0),"-")</f>
        <v>8</v>
      </c>
      <c r="N1362" s="34" t="str">
        <f aca="false">IF(AND(ISNUMBER(I1362),ISNUMBER(I$1369)),IF(I1362&gt;I$1369,"Above",IF(I1362&lt;I$1369,"Below","At")),"-")</f>
        <v>Below</v>
      </c>
      <c r="O1362" s="34" t="str">
        <f aca="false">IF(N1362="Above","Better",IF(N1362="Below","Weaker","-"))</f>
        <v>Weaker</v>
      </c>
    </row>
    <row r="1363" customFormat="false" ht="15" hidden="false" customHeight="false" outlineLevel="0" collapsed="false">
      <c r="A1363" s="18" t="s">
        <v>115</v>
      </c>
      <c r="B1363" s="23" t="n">
        <f aca="false">Sical!D172</f>
        <v>-0.419193902298187</v>
      </c>
      <c r="C1363" s="23" t="n">
        <f aca="false">Sical!E172</f>
        <v>-0.499294122325618</v>
      </c>
      <c r="D1363" s="23" t="n">
        <f aca="false">Sical!F172</f>
        <v>-0.30728908126998</v>
      </c>
      <c r="E1363" s="23" t="n">
        <f aca="false">Sical!G172</f>
        <v>0.12394301602316</v>
      </c>
      <c r="F1363" s="23" t="n">
        <f aca="false">Sical!H172</f>
        <v>-0.436153120297876</v>
      </c>
      <c r="G1363" s="23" t="n">
        <f aca="false">Sical!I172</f>
        <v>0.00330182278710023</v>
      </c>
      <c r="H1363" s="23" t="n">
        <f aca="false">Sical!J172</f>
        <v>0.738707059778199</v>
      </c>
      <c r="I1363" s="24" t="n">
        <f aca="false">Sical!K172</f>
        <v>-0.1137111896576</v>
      </c>
      <c r="J1363" s="34" t="str">
        <f aca="false">IF(AND(ISNUMBER(H1363),ISNUMBER(H$1369)),IF(H1363&gt;H$1369,"Above",IF(H1363&lt;H$1369,"Below","At")),"-")</f>
        <v>Above</v>
      </c>
      <c r="K1363" s="34" t="str">
        <f aca="false">IF(J1363="Above","Better",IF(J1363="Below","Weaker","-"))</f>
        <v>Better</v>
      </c>
      <c r="L1363" s="34" t="n">
        <f aca="false">IF(ISNUMBER(H1363),RANK(H1363,H$1357:H$1366,0),"-")</f>
        <v>1</v>
      </c>
      <c r="N1363" s="34" t="str">
        <f aca="false">IF(AND(ISNUMBER(I1363),ISNUMBER(I$1369)),IF(I1363&gt;I$1369,"Above",IF(I1363&lt;I$1369,"Below","At")),"-")</f>
        <v>Below</v>
      </c>
      <c r="O1363" s="34" t="str">
        <f aca="false">IF(N1363="Above","Better",IF(N1363="Below","Weaker","-"))</f>
        <v>Weaker</v>
      </c>
    </row>
    <row r="1364" customFormat="false" ht="15" hidden="false" customHeight="false" outlineLevel="0" collapsed="false">
      <c r="A1364" s="18" t="s">
        <v>86</v>
      </c>
      <c r="B1364" s="23" t="n">
        <f aca="false">TCI!D172</f>
        <v>-0.0130009732572158</v>
      </c>
      <c r="C1364" s="23" t="n">
        <f aca="false">TCI!E172</f>
        <v>0.031109263238454</v>
      </c>
      <c r="D1364" s="23" t="n">
        <f aca="false">TCI!F172</f>
        <v>0.162868123280486</v>
      </c>
      <c r="E1364" s="23" t="n">
        <f aca="false">TCI!G172</f>
        <v>0.160721244871594</v>
      </c>
      <c r="F1364" s="23" t="n">
        <f aca="false">TCI!H172</f>
        <v>0.0638957111170448</v>
      </c>
      <c r="G1364" s="23" t="n">
        <f aca="false">TCI!I172</f>
        <v>0.116175396221914</v>
      </c>
      <c r="H1364" s="23" t="n">
        <f aca="false">TCI!J172</f>
        <v>0.0946150523845781</v>
      </c>
      <c r="I1364" s="24" t="n">
        <f aca="false">TCI!K172</f>
        <v>0.0880548311224078</v>
      </c>
      <c r="J1364" s="34" t="str">
        <f aca="false">IF(AND(ISNUMBER(H1364),ISNUMBER(H$1369)),IF(H1364&gt;H$1369,"Above",IF(H1364&lt;H$1369,"Below","At")),"-")</f>
        <v>Above</v>
      </c>
      <c r="K1364" s="34" t="str">
        <f aca="false">IF(J1364="Above","Better",IF(J1364="Below","Weaker","-"))</f>
        <v>Better</v>
      </c>
      <c r="L1364" s="34" t="n">
        <f aca="false">IF(ISNUMBER(H1364),RANK(H1364,H$1357:H$1366,0),"-")</f>
        <v>3</v>
      </c>
      <c r="N1364" s="34" t="str">
        <f aca="false">IF(AND(ISNUMBER(I1364),ISNUMBER(I$1369)),IF(I1364&gt;I$1369,"Above",IF(I1364&lt;I$1369,"Below","At")),"-")</f>
        <v>Above</v>
      </c>
      <c r="O1364" s="34" t="str">
        <f aca="false">IF(N1364="Above","Better",IF(N1364="Below","Weaker","-"))</f>
        <v>Better</v>
      </c>
    </row>
    <row r="1365" customFormat="false" ht="15" hidden="false" customHeight="false" outlineLevel="0" collapsed="false">
      <c r="A1365" s="18" t="s">
        <v>116</v>
      </c>
      <c r="B1365" s="23" t="n">
        <f aca="false">Shreeji!D172</f>
        <v>-0.11759987165089</v>
      </c>
      <c r="C1365" s="23" t="n">
        <f aca="false">Shreeji!E172</f>
        <v>-0.016090909090909</v>
      </c>
      <c r="D1365" s="23" t="n">
        <f aca="false">Shreeji!F172</f>
        <v>0.512889217407373</v>
      </c>
      <c r="E1365" s="23" t="n">
        <f aca="false">Shreeji!G172</f>
        <v>0.138634420422621</v>
      </c>
      <c r="F1365" s="23" t="n">
        <f aca="false">Shreeji!H172</f>
        <v>0.3435957948938</v>
      </c>
      <c r="G1365" s="23" t="n">
        <f aca="false">Shreeji!I172</f>
        <v>-0.121037924151697</v>
      </c>
      <c r="H1365" s="23" t="n">
        <f aca="false">Shreeji!J172</f>
        <v>0.0640839313289126</v>
      </c>
      <c r="I1365" s="24" t="n">
        <f aca="false">Shreeji!K172</f>
        <v>0.114924951308459</v>
      </c>
      <c r="J1365" s="34" t="str">
        <f aca="false">IF(AND(ISNUMBER(H1365),ISNUMBER(H$1369)),IF(H1365&gt;H$1369,"Above",IF(H1365&lt;H$1369,"Below","At")),"-")</f>
        <v>Below</v>
      </c>
      <c r="K1365" s="34" t="str">
        <f aca="false">IF(J1365="Above","Better",IF(J1365="Below","Weaker","-"))</f>
        <v>Weaker</v>
      </c>
      <c r="L1365" s="34" t="n">
        <f aca="false">IF(ISNUMBER(H1365),RANK(H1365,H$1357:H$1366,0),"-")</f>
        <v>6</v>
      </c>
      <c r="N1365" s="34" t="str">
        <f aca="false">IF(AND(ISNUMBER(I1365),ISNUMBER(I$1369)),IF(I1365&gt;I$1369,"Above",IF(I1365&lt;I$1369,"Below","At")),"-")</f>
        <v>Above</v>
      </c>
      <c r="O1365" s="34" t="str">
        <f aca="false">IF(N1365="Above","Better",IF(N1365="Below","Weaker","-"))</f>
        <v>Better</v>
      </c>
    </row>
    <row r="1366" customFormat="false" ht="15" hidden="false" customHeight="false" outlineLevel="0" collapsed="false">
      <c r="A1366" s="18" t="s">
        <v>117</v>
      </c>
      <c r="B1366" s="23" t="n">
        <f aca="false">MahindraLog!D172</f>
        <v>-0.0987188874521596</v>
      </c>
      <c r="C1366" s="23" t="n">
        <f aca="false">MahindraLog!E172</f>
        <v>-0.0597555846206146</v>
      </c>
      <c r="D1366" s="23" t="n">
        <f aca="false">MahindraLog!F172</f>
        <v>0.268724032698884</v>
      </c>
      <c r="E1366" s="23" t="n">
        <f aca="false">MahindraLog!G172</f>
        <v>0.23849003564563</v>
      </c>
      <c r="F1366" s="23" t="n">
        <f aca="false">MahindraLog!H172</f>
        <v>0.073646381152392</v>
      </c>
      <c r="G1366" s="23" t="n">
        <f aca="false">MahindraLog!I172</f>
        <v>0.10876557627448</v>
      </c>
      <c r="H1366" s="23" t="n">
        <f aca="false">MahindraLog!J172</f>
        <v>0.146518412470126</v>
      </c>
      <c r="I1366" s="24" t="n">
        <f aca="false">MahindraLog!K172</f>
        <v>0.0968099951669625</v>
      </c>
      <c r="J1366" s="34" t="str">
        <f aca="false">IF(AND(ISNUMBER(H1366),ISNUMBER(H$1369)),IF(H1366&gt;H$1369,"Above",IF(H1366&lt;H$1369,"Below","At")),"-")</f>
        <v>Above</v>
      </c>
      <c r="K1366" s="34" t="str">
        <f aca="false">IF(J1366="Above","Better",IF(J1366="Below","Weaker","-"))</f>
        <v>Better</v>
      </c>
      <c r="L1366" s="34" t="n">
        <f aca="false">IF(ISNUMBER(H1366),RANK(H1366,H$1357:H$1366,0),"-")</f>
        <v>2</v>
      </c>
      <c r="N1366" s="34" t="str">
        <f aca="false">IF(AND(ISNUMBER(I1366),ISNUMBER(I$1369)),IF(I1366&gt;I$1369,"Above",IF(I1366&lt;I$1369,"Below","At")),"-")</f>
        <v>Above</v>
      </c>
      <c r="O1366" s="34" t="str">
        <f aca="false">IF(N1366="Above","Better",IF(N1366="Below","Weaker","-"))</f>
        <v>Better</v>
      </c>
    </row>
    <row r="1367" customFormat="false" ht="15" hidden="false" customHeight="false" outlineLevel="0" collapsed="false">
      <c r="A1367" s="12" t="s">
        <v>176</v>
      </c>
      <c r="B1367" s="24" t="n">
        <f aca="false">Industry!D172</f>
        <v>-0.048764791434153</v>
      </c>
      <c r="C1367" s="24" t="n">
        <f aca="false">Industry!E172</f>
        <v>0.0914067621861654</v>
      </c>
      <c r="D1367" s="24" t="n">
        <f aca="false">Industry!F172</f>
        <v>0.46076372130107</v>
      </c>
      <c r="E1367" s="24" t="n">
        <f aca="false">Industry!G172</f>
        <v>0.0412999319595526</v>
      </c>
      <c r="F1367" s="24" t="n">
        <f aca="false">Industry!H172</f>
        <v>-0.0999651510217607</v>
      </c>
      <c r="G1367" s="24" t="n">
        <f aca="false">Industry!I172</f>
        <v>-0.235064924073639</v>
      </c>
      <c r="H1367" s="24" t="n">
        <f aca="false">Industry!J172</f>
        <v>0.0783298366251257</v>
      </c>
      <c r="I1367" s="24" t="n">
        <f aca="false">Industry!K172</f>
        <v>0.0411436265060516</v>
      </c>
    </row>
    <row r="1368" customFormat="false" ht="15" hidden="false" customHeight="false" outlineLevel="0" collapsed="false">
      <c r="A1368" s="35" t="s">
        <v>177</v>
      </c>
      <c r="B1368" s="39" t="n">
        <f aca="false">IFERROR(AVERAGE(B1357:B1366),"N/M")</f>
        <v>-0.106736253621074</v>
      </c>
      <c r="C1368" s="39" t="n">
        <f aca="false">IFERROR(AVERAGE(C1357:C1366),"N/M")</f>
        <v>-0.0770615796502297</v>
      </c>
      <c r="D1368" s="39" t="n">
        <f aca="false">IFERROR(AVERAGE(D1357:D1366),"N/M")</f>
        <v>0.507028685767574</v>
      </c>
      <c r="E1368" s="39" t="n">
        <f aca="false">IFERROR(AVERAGE(E1357:E1366),"N/M")</f>
        <v>0.0653311027897279</v>
      </c>
      <c r="F1368" s="39" t="n">
        <f aca="false">IFERROR(AVERAGE(F1357:F1366),"N/M")</f>
        <v>-0.0629678157938105</v>
      </c>
      <c r="G1368" s="39" t="n">
        <f aca="false">IFERROR(AVERAGE(G1357:G1366),"N/M")</f>
        <v>0.0908943958030443</v>
      </c>
      <c r="H1368" s="39" t="n">
        <f aca="false">IFERROR(AVERAGE(H1357:H1366),"N/M")</f>
        <v>0.131583975771171</v>
      </c>
      <c r="I1368" s="39" t="n">
        <f aca="false">IFERROR(AVERAGE(I1357:I1366),"N/M")</f>
        <v>0.078296073009486</v>
      </c>
    </row>
    <row r="1369" customFormat="false" ht="15" hidden="false" customHeight="false" outlineLevel="0" collapsed="false">
      <c r="A1369" s="35" t="s">
        <v>178</v>
      </c>
      <c r="B1369" s="39" t="n">
        <f aca="false">IFERROR(MEDIAN(B1357:B1366),"N/M")</f>
        <v>-0.0930693359648496</v>
      </c>
      <c r="C1369" s="39" t="n">
        <f aca="false">IFERROR(MEDIAN(C1357:C1366),"N/M")</f>
        <v>-0.015946352976913</v>
      </c>
      <c r="D1369" s="39" t="n">
        <f aca="false">IFERROR(MEDIAN(D1357:D1366),"N/M")</f>
        <v>0.292916184578053</v>
      </c>
      <c r="E1369" s="39" t="n">
        <f aca="false">IFERROR(MEDIAN(E1357:E1366),"N/M")</f>
        <v>0.131288718222891</v>
      </c>
      <c r="F1369" s="39" t="n">
        <f aca="false">IFERROR(MEDIAN(F1357:F1366),"N/M")</f>
        <v>0.0312887868689831</v>
      </c>
      <c r="G1369" s="39" t="n">
        <f aca="false">IFERROR(MEDIAN(G1357:G1366),"N/M")</f>
        <v>0.0973179246165874</v>
      </c>
      <c r="H1369" s="39" t="n">
        <f aca="false">IFERROR(MEDIAN(H1357:H1366),"N/M")</f>
        <v>0.066080115242126</v>
      </c>
      <c r="I1369" s="39" t="n">
        <f aca="false">IFERROR(MEDIAN(I1357:I1366),"N/M")</f>
        <v>0.0688875625125089</v>
      </c>
    </row>
    <row r="1370" customFormat="false" ht="15" hidden="false" customHeight="false" outlineLevel="0" collapsed="false">
      <c r="A1370" s="35" t="s">
        <v>179</v>
      </c>
      <c r="B1370" s="39" t="n">
        <f aca="false">IFERROR(STDEV(B1357:B1366),"N/M")</f>
        <v>0.134964648459644</v>
      </c>
      <c r="C1370" s="39" t="n">
        <f aca="false">IFERROR(STDEV(C1357:C1366),"N/M")</f>
        <v>0.289187010070259</v>
      </c>
      <c r="D1370" s="39" t="n">
        <f aca="false">IFERROR(STDEV(D1357:D1366),"N/M")</f>
        <v>0.810565063607017</v>
      </c>
      <c r="E1370" s="39" t="n">
        <f aca="false">IFERROR(STDEV(E1357:E1366),"N/M")</f>
        <v>0.163982538062533</v>
      </c>
      <c r="F1370" s="39" t="n">
        <f aca="false">IFERROR(STDEV(F1357:F1366),"N/M")</f>
        <v>0.25090197958952</v>
      </c>
      <c r="G1370" s="39" t="n">
        <f aca="false">IFERROR(STDEV(G1357:G1366),"N/M")</f>
        <v>0.50025876724003</v>
      </c>
      <c r="H1370" s="39" t="n">
        <f aca="false">IFERROR(STDEV(H1357:H1366),"N/M")</f>
        <v>0.216563302611794</v>
      </c>
      <c r="I1370" s="39" t="n">
        <f aca="false">IFERROR(STDEV(I1357:I1366),"N/M")</f>
        <v>0.127205411319114</v>
      </c>
    </row>
    <row r="1371" customFormat="false" ht="15" hidden="false" customHeight="false" outlineLevel="0" collapsed="false">
      <c r="A1371" s="35" t="s">
        <v>102</v>
      </c>
      <c r="B1371" s="39" t="n">
        <f aca="false">IFERROR(MIN(B1357:B1366),"N/M")</f>
        <v>-0.419193902298187</v>
      </c>
      <c r="C1371" s="39" t="n">
        <f aca="false">IFERROR(MIN(C1357:C1366),"N/M")</f>
        <v>-0.499294122325618</v>
      </c>
      <c r="D1371" s="39" t="n">
        <f aca="false">IFERROR(MIN(D1357:D1366),"N/M")</f>
        <v>-0.30728908126998</v>
      </c>
      <c r="E1371" s="39" t="n">
        <f aca="false">IFERROR(MIN(E1357:E1366),"N/M")</f>
        <v>-0.295491863243973</v>
      </c>
      <c r="F1371" s="39" t="n">
        <f aca="false">IFERROR(MIN(F1357:F1366),"N/M")</f>
        <v>-0.445575170185762</v>
      </c>
      <c r="G1371" s="39" t="n">
        <f aca="false">IFERROR(MIN(G1357:G1366),"N/M")</f>
        <v>-0.84878954527369</v>
      </c>
      <c r="H1371" s="39" t="n">
        <f aca="false">IFERROR(MIN(H1357:H1366),"N/M")</f>
        <v>0.0170625014314179</v>
      </c>
      <c r="I1371" s="39" t="n">
        <f aca="false">IFERROR(MIN(I1357:I1366),"N/M")</f>
        <v>-0.1137111896576</v>
      </c>
    </row>
    <row r="1372" customFormat="false" ht="15" hidden="false" customHeight="false" outlineLevel="0" collapsed="false">
      <c r="A1372" s="35" t="s">
        <v>103</v>
      </c>
      <c r="B1372" s="39" t="n">
        <f aca="false">IFERROR(MAX(B1357:B1366),"N/M")</f>
        <v>0.0654661588487657</v>
      </c>
      <c r="C1372" s="39" t="n">
        <f aca="false">IFERROR(MAX(C1357:C1366),"N/M")</f>
        <v>0.429043973515703</v>
      </c>
      <c r="D1372" s="39" t="n">
        <f aca="false">IFERROR(MAX(D1357:D1366),"N/M")</f>
        <v>2.66420444391493</v>
      </c>
      <c r="E1372" s="39" t="n">
        <f aca="false">IFERROR(MAX(E1357:E1366),"N/M")</f>
        <v>0.23849003564563</v>
      </c>
      <c r="F1372" s="39" t="n">
        <f aca="false">IFERROR(MAX(F1357:F1366),"N/M")</f>
        <v>0.3435957948938</v>
      </c>
      <c r="G1372" s="39" t="n">
        <f aca="false">IFERROR(MAX(G1357:G1366),"N/M")</f>
        <v>1.23220677599267</v>
      </c>
      <c r="H1372" s="39" t="n">
        <f aca="false">IFERROR(MAX(H1357:H1366),"N/M")</f>
        <v>0.738707059778199</v>
      </c>
      <c r="I1372" s="39" t="n">
        <f aca="false">IFERROR(MAX(I1357:I1366),"N/M")</f>
        <v>0.384688627241045</v>
      </c>
    </row>
  </sheetData>
  <conditionalFormatting sqref="K7:K16">
    <cfRule type="expression" priority="2" aboveAverage="0" equalAverage="0" bottom="0" percent="0" rank="0" text="" dxfId="0">
      <formula>K7="Better"</formula>
    </cfRule>
    <cfRule type="expression" priority="3" aboveAverage="0" equalAverage="0" bottom="0" percent="0" rank="0" text="" dxfId="1">
      <formula>K7="Weaker"</formula>
    </cfRule>
  </conditionalFormatting>
  <conditionalFormatting sqref="O7:O16">
    <cfRule type="expression" priority="4" aboveAverage="0" equalAverage="0" bottom="0" percent="0" rank="0" text="" dxfId="0">
      <formula>O7="Better"</formula>
    </cfRule>
    <cfRule type="expression" priority="5" aboveAverage="0" equalAverage="0" bottom="0" percent="0" rank="0" text="" dxfId="1">
      <formula>O7="Weaker"</formula>
    </cfRule>
  </conditionalFormatting>
  <conditionalFormatting sqref="K25:K34">
    <cfRule type="expression" priority="6" aboveAverage="0" equalAverage="0" bottom="0" percent="0" rank="0" text="" dxfId="0">
      <formula>K25="Better"</formula>
    </cfRule>
    <cfRule type="expression" priority="7" aboveAverage="0" equalAverage="0" bottom="0" percent="0" rank="0" text="" dxfId="1">
      <formula>K25="Weaker"</formula>
    </cfRule>
  </conditionalFormatting>
  <conditionalFormatting sqref="O25:O34">
    <cfRule type="expression" priority="8" aboveAverage="0" equalAverage="0" bottom="0" percent="0" rank="0" text="" dxfId="0">
      <formula>O25="Better"</formula>
    </cfRule>
    <cfRule type="expression" priority="9" aboveAverage="0" equalAverage="0" bottom="0" percent="0" rank="0" text="" dxfId="1">
      <formula>O25="Weaker"</formula>
    </cfRule>
  </conditionalFormatting>
  <conditionalFormatting sqref="K43:K52">
    <cfRule type="expression" priority="10" aboveAverage="0" equalAverage="0" bottom="0" percent="0" rank="0" text="" dxfId="0">
      <formula>K43="Better"</formula>
    </cfRule>
    <cfRule type="expression" priority="11" aboveAverage="0" equalAverage="0" bottom="0" percent="0" rank="0" text="" dxfId="1">
      <formula>K43="Weaker"</formula>
    </cfRule>
  </conditionalFormatting>
  <conditionalFormatting sqref="O43:O52">
    <cfRule type="expression" priority="12" aboveAverage="0" equalAverage="0" bottom="0" percent="0" rank="0" text="" dxfId="0">
      <formula>O43="Better"</formula>
    </cfRule>
    <cfRule type="expression" priority="13" aboveAverage="0" equalAverage="0" bottom="0" percent="0" rank="0" text="" dxfId="1">
      <formula>O43="Weaker"</formula>
    </cfRule>
  </conditionalFormatting>
  <conditionalFormatting sqref="K61:K70">
    <cfRule type="expression" priority="14" aboveAverage="0" equalAverage="0" bottom="0" percent="0" rank="0" text="" dxfId="0">
      <formula>K61="Better"</formula>
    </cfRule>
    <cfRule type="expression" priority="15" aboveAverage="0" equalAverage="0" bottom="0" percent="0" rank="0" text="" dxfId="1">
      <formula>K61="Weaker"</formula>
    </cfRule>
  </conditionalFormatting>
  <conditionalFormatting sqref="O61:O70">
    <cfRule type="expression" priority="16" aboveAverage="0" equalAverage="0" bottom="0" percent="0" rank="0" text="" dxfId="0">
      <formula>O61="Better"</formula>
    </cfRule>
    <cfRule type="expression" priority="17" aboveAverage="0" equalAverage="0" bottom="0" percent="0" rank="0" text="" dxfId="1">
      <formula>O61="Weaker"</formula>
    </cfRule>
  </conditionalFormatting>
  <conditionalFormatting sqref="K79:K88">
    <cfRule type="expression" priority="18" aboveAverage="0" equalAverage="0" bottom="0" percent="0" rank="0" text="" dxfId="0">
      <formula>K79="Better"</formula>
    </cfRule>
    <cfRule type="expression" priority="19" aboveAverage="0" equalAverage="0" bottom="0" percent="0" rank="0" text="" dxfId="1">
      <formula>K79="Weaker"</formula>
    </cfRule>
  </conditionalFormatting>
  <conditionalFormatting sqref="O79:O88">
    <cfRule type="expression" priority="20" aboveAverage="0" equalAverage="0" bottom="0" percent="0" rank="0" text="" dxfId="0">
      <formula>O79="Better"</formula>
    </cfRule>
    <cfRule type="expression" priority="21" aboveAverage="0" equalAverage="0" bottom="0" percent="0" rank="0" text="" dxfId="1">
      <formula>O79="Weaker"</formula>
    </cfRule>
  </conditionalFormatting>
  <conditionalFormatting sqref="K97:K106">
    <cfRule type="expression" priority="22" aboveAverage="0" equalAverage="0" bottom="0" percent="0" rank="0" text="" dxfId="0">
      <formula>K97="Better"</formula>
    </cfRule>
    <cfRule type="expression" priority="23" aboveAverage="0" equalAverage="0" bottom="0" percent="0" rank="0" text="" dxfId="1">
      <formula>K97="Weaker"</formula>
    </cfRule>
  </conditionalFormatting>
  <conditionalFormatting sqref="O97:O106">
    <cfRule type="expression" priority="24" aboveAverage="0" equalAverage="0" bottom="0" percent="0" rank="0" text="" dxfId="0">
      <formula>O97="Better"</formula>
    </cfRule>
    <cfRule type="expression" priority="25" aboveAverage="0" equalAverage="0" bottom="0" percent="0" rank="0" text="" dxfId="1">
      <formula>O97="Weaker"</formula>
    </cfRule>
  </conditionalFormatting>
  <conditionalFormatting sqref="K115:K124">
    <cfRule type="expression" priority="26" aboveAverage="0" equalAverage="0" bottom="0" percent="0" rank="0" text="" dxfId="0">
      <formula>K115="Better"</formula>
    </cfRule>
    <cfRule type="expression" priority="27" aboveAverage="0" equalAverage="0" bottom="0" percent="0" rank="0" text="" dxfId="1">
      <formula>K115="Weaker"</formula>
    </cfRule>
  </conditionalFormatting>
  <conditionalFormatting sqref="O115:O124">
    <cfRule type="expression" priority="28" aboveAverage="0" equalAverage="0" bottom="0" percent="0" rank="0" text="" dxfId="0">
      <formula>O115="Better"</formula>
    </cfRule>
    <cfRule type="expression" priority="29" aboveAverage="0" equalAverage="0" bottom="0" percent="0" rank="0" text="" dxfId="1">
      <formula>O115="Weaker"</formula>
    </cfRule>
  </conditionalFormatting>
  <conditionalFormatting sqref="K133:K142">
    <cfRule type="expression" priority="30" aboveAverage="0" equalAverage="0" bottom="0" percent="0" rank="0" text="" dxfId="0">
      <formula>K133="Better"</formula>
    </cfRule>
    <cfRule type="expression" priority="31" aboveAverage="0" equalAverage="0" bottom="0" percent="0" rank="0" text="" dxfId="1">
      <formula>K133="Weaker"</formula>
    </cfRule>
  </conditionalFormatting>
  <conditionalFormatting sqref="O133:O142">
    <cfRule type="expression" priority="32" aboveAverage="0" equalAverage="0" bottom="0" percent="0" rank="0" text="" dxfId="0">
      <formula>O133="Better"</formula>
    </cfRule>
    <cfRule type="expression" priority="33" aboveAverage="0" equalAverage="0" bottom="0" percent="0" rank="0" text="" dxfId="1">
      <formula>O133="Weaker"</formula>
    </cfRule>
  </conditionalFormatting>
  <conditionalFormatting sqref="K151:K160">
    <cfRule type="expression" priority="34" aboveAverage="0" equalAverage="0" bottom="0" percent="0" rank="0" text="" dxfId="0">
      <formula>K151="Better"</formula>
    </cfRule>
    <cfRule type="expression" priority="35" aboveAverage="0" equalAverage="0" bottom="0" percent="0" rank="0" text="" dxfId="1">
      <formula>K151="Weaker"</formula>
    </cfRule>
  </conditionalFormatting>
  <conditionalFormatting sqref="O151:O160">
    <cfRule type="expression" priority="36" aboveAverage="0" equalAverage="0" bottom="0" percent="0" rank="0" text="" dxfId="0">
      <formula>O151="Better"</formula>
    </cfRule>
    <cfRule type="expression" priority="37" aboveAverage="0" equalAverage="0" bottom="0" percent="0" rank="0" text="" dxfId="1">
      <formula>O151="Weaker"</formula>
    </cfRule>
  </conditionalFormatting>
  <conditionalFormatting sqref="K169:K178">
    <cfRule type="expression" priority="38" aboveAverage="0" equalAverage="0" bottom="0" percent="0" rank="0" text="" dxfId="0">
      <formula>K169="Better"</formula>
    </cfRule>
    <cfRule type="expression" priority="39" aboveAverage="0" equalAverage="0" bottom="0" percent="0" rank="0" text="" dxfId="1">
      <formula>K169="Weaker"</formula>
    </cfRule>
  </conditionalFormatting>
  <conditionalFormatting sqref="O169:O178">
    <cfRule type="expression" priority="40" aboveAverage="0" equalAverage="0" bottom="0" percent="0" rank="0" text="" dxfId="0">
      <formula>O169="Better"</formula>
    </cfRule>
    <cfRule type="expression" priority="41" aboveAverage="0" equalAverage="0" bottom="0" percent="0" rank="0" text="" dxfId="1">
      <formula>O169="Weaker"</formula>
    </cfRule>
  </conditionalFormatting>
  <conditionalFormatting sqref="K187:K196">
    <cfRule type="expression" priority="42" aboveAverage="0" equalAverage="0" bottom="0" percent="0" rank="0" text="" dxfId="0">
      <formula>K187="Better"</formula>
    </cfRule>
    <cfRule type="expression" priority="43" aboveAverage="0" equalAverage="0" bottom="0" percent="0" rank="0" text="" dxfId="1">
      <formula>K187="Weaker"</formula>
    </cfRule>
  </conditionalFormatting>
  <conditionalFormatting sqref="O187:O196">
    <cfRule type="expression" priority="44" aboveAverage="0" equalAverage="0" bottom="0" percent="0" rank="0" text="" dxfId="0">
      <formula>O187="Better"</formula>
    </cfRule>
    <cfRule type="expression" priority="45" aboveAverage="0" equalAverage="0" bottom="0" percent="0" rank="0" text="" dxfId="1">
      <formula>O187="Weaker"</formula>
    </cfRule>
  </conditionalFormatting>
  <conditionalFormatting sqref="K205:K214">
    <cfRule type="expression" priority="46" aboveAverage="0" equalAverage="0" bottom="0" percent="0" rank="0" text="" dxfId="0">
      <formula>K205="Better"</formula>
    </cfRule>
    <cfRule type="expression" priority="47" aboveAverage="0" equalAverage="0" bottom="0" percent="0" rank="0" text="" dxfId="1">
      <formula>K205="Weaker"</formula>
    </cfRule>
  </conditionalFormatting>
  <conditionalFormatting sqref="O205:O214">
    <cfRule type="expression" priority="48" aboveAverage="0" equalAverage="0" bottom="0" percent="0" rank="0" text="" dxfId="0">
      <formula>O205="Better"</formula>
    </cfRule>
    <cfRule type="expression" priority="49" aboveAverage="0" equalAverage="0" bottom="0" percent="0" rank="0" text="" dxfId="1">
      <formula>O205="Weaker"</formula>
    </cfRule>
  </conditionalFormatting>
  <conditionalFormatting sqref="K223:K232">
    <cfRule type="expression" priority="50" aboveAverage="0" equalAverage="0" bottom="0" percent="0" rank="0" text="" dxfId="0">
      <formula>K223="Better"</formula>
    </cfRule>
    <cfRule type="expression" priority="51" aboveAverage="0" equalAverage="0" bottom="0" percent="0" rank="0" text="" dxfId="1">
      <formula>K223="Weaker"</formula>
    </cfRule>
  </conditionalFormatting>
  <conditionalFormatting sqref="O223:O232">
    <cfRule type="expression" priority="52" aboveAverage="0" equalAverage="0" bottom="0" percent="0" rank="0" text="" dxfId="0">
      <formula>O223="Better"</formula>
    </cfRule>
    <cfRule type="expression" priority="53" aboveAverage="0" equalAverage="0" bottom="0" percent="0" rank="0" text="" dxfId="1">
      <formula>O223="Weaker"</formula>
    </cfRule>
  </conditionalFormatting>
  <conditionalFormatting sqref="K241:K250">
    <cfRule type="expression" priority="54" aboveAverage="0" equalAverage="0" bottom="0" percent="0" rank="0" text="" dxfId="0">
      <formula>K241="Better"</formula>
    </cfRule>
    <cfRule type="expression" priority="55" aboveAverage="0" equalAverage="0" bottom="0" percent="0" rank="0" text="" dxfId="1">
      <formula>K241="Weaker"</formula>
    </cfRule>
  </conditionalFormatting>
  <conditionalFormatting sqref="O241:O250">
    <cfRule type="expression" priority="56" aboveAverage="0" equalAverage="0" bottom="0" percent="0" rank="0" text="" dxfId="0">
      <formula>O241="Better"</formula>
    </cfRule>
    <cfRule type="expression" priority="57" aboveAverage="0" equalAverage="0" bottom="0" percent="0" rank="0" text="" dxfId="1">
      <formula>O241="Weaker"</formula>
    </cfRule>
  </conditionalFormatting>
  <conditionalFormatting sqref="K259:K268">
    <cfRule type="expression" priority="58" aboveAverage="0" equalAverage="0" bottom="0" percent="0" rank="0" text="" dxfId="0">
      <formula>K259="Better"</formula>
    </cfRule>
    <cfRule type="expression" priority="59" aboveAverage="0" equalAverage="0" bottom="0" percent="0" rank="0" text="" dxfId="1">
      <formula>K259="Weaker"</formula>
    </cfRule>
  </conditionalFormatting>
  <conditionalFormatting sqref="O259:O268">
    <cfRule type="expression" priority="60" aboveAverage="0" equalAverage="0" bottom="0" percent="0" rank="0" text="" dxfId="0">
      <formula>O259="Better"</formula>
    </cfRule>
    <cfRule type="expression" priority="61" aboveAverage="0" equalAverage="0" bottom="0" percent="0" rank="0" text="" dxfId="1">
      <formula>O259="Weaker"</formula>
    </cfRule>
  </conditionalFormatting>
  <conditionalFormatting sqref="K277:K286">
    <cfRule type="expression" priority="62" aboveAverage="0" equalAverage="0" bottom="0" percent="0" rank="0" text="" dxfId="0">
      <formula>K277="Better"</formula>
    </cfRule>
    <cfRule type="expression" priority="63" aboveAverage="0" equalAverage="0" bottom="0" percent="0" rank="0" text="" dxfId="1">
      <formula>K277="Weaker"</formula>
    </cfRule>
  </conditionalFormatting>
  <conditionalFormatting sqref="O277:O286">
    <cfRule type="expression" priority="64" aboveAverage="0" equalAverage="0" bottom="0" percent="0" rank="0" text="" dxfId="0">
      <formula>O277="Better"</formula>
    </cfRule>
    <cfRule type="expression" priority="65" aboveAverage="0" equalAverage="0" bottom="0" percent="0" rank="0" text="" dxfId="1">
      <formula>O277="Weaker"</formula>
    </cfRule>
  </conditionalFormatting>
  <conditionalFormatting sqref="K295:K304">
    <cfRule type="expression" priority="66" aboveAverage="0" equalAverage="0" bottom="0" percent="0" rank="0" text="" dxfId="0">
      <formula>K295="Better"</formula>
    </cfRule>
    <cfRule type="expression" priority="67" aboveAverage="0" equalAverage="0" bottom="0" percent="0" rank="0" text="" dxfId="1">
      <formula>K295="Weaker"</formula>
    </cfRule>
  </conditionalFormatting>
  <conditionalFormatting sqref="O295:O304">
    <cfRule type="expression" priority="68" aboveAverage="0" equalAverage="0" bottom="0" percent="0" rank="0" text="" dxfId="0">
      <formula>O295="Better"</formula>
    </cfRule>
    <cfRule type="expression" priority="69" aboveAverage="0" equalAverage="0" bottom="0" percent="0" rank="0" text="" dxfId="1">
      <formula>O295="Weaker"</formula>
    </cfRule>
  </conditionalFormatting>
  <conditionalFormatting sqref="K313:K322">
    <cfRule type="expression" priority="70" aboveAverage="0" equalAverage="0" bottom="0" percent="0" rank="0" text="" dxfId="0">
      <formula>K313="Better"</formula>
    </cfRule>
    <cfRule type="expression" priority="71" aboveAverage="0" equalAverage="0" bottom="0" percent="0" rank="0" text="" dxfId="1">
      <formula>K313="Weaker"</formula>
    </cfRule>
  </conditionalFormatting>
  <conditionalFormatting sqref="O313:O322">
    <cfRule type="expression" priority="72" aboveAverage="0" equalAverage="0" bottom="0" percent="0" rank="0" text="" dxfId="0">
      <formula>O313="Better"</formula>
    </cfRule>
    <cfRule type="expression" priority="73" aboveAverage="0" equalAverage="0" bottom="0" percent="0" rank="0" text="" dxfId="1">
      <formula>O313="Weaker"</formula>
    </cfRule>
  </conditionalFormatting>
  <conditionalFormatting sqref="K331:K340">
    <cfRule type="expression" priority="74" aboveAverage="0" equalAverage="0" bottom="0" percent="0" rank="0" text="" dxfId="0">
      <formula>K331="Better"</formula>
    </cfRule>
    <cfRule type="expression" priority="75" aboveAverage="0" equalAverage="0" bottom="0" percent="0" rank="0" text="" dxfId="1">
      <formula>K331="Weaker"</formula>
    </cfRule>
  </conditionalFormatting>
  <conditionalFormatting sqref="O331:O340">
    <cfRule type="expression" priority="76" aboveAverage="0" equalAverage="0" bottom="0" percent="0" rank="0" text="" dxfId="0">
      <formula>O331="Better"</formula>
    </cfRule>
    <cfRule type="expression" priority="77" aboveAverage="0" equalAverage="0" bottom="0" percent="0" rank="0" text="" dxfId="1">
      <formula>O331="Weaker"</formula>
    </cfRule>
  </conditionalFormatting>
  <conditionalFormatting sqref="K349:K358">
    <cfRule type="expression" priority="78" aboveAverage="0" equalAverage="0" bottom="0" percent="0" rank="0" text="" dxfId="0">
      <formula>K349="Better"</formula>
    </cfRule>
    <cfRule type="expression" priority="79" aboveAverage="0" equalAverage="0" bottom="0" percent="0" rank="0" text="" dxfId="1">
      <formula>K349="Weaker"</formula>
    </cfRule>
  </conditionalFormatting>
  <conditionalFormatting sqref="O349:O358">
    <cfRule type="expression" priority="80" aboveAverage="0" equalAverage="0" bottom="0" percent="0" rank="0" text="" dxfId="0">
      <formula>O349="Better"</formula>
    </cfRule>
    <cfRule type="expression" priority="81" aboveAverage="0" equalAverage="0" bottom="0" percent="0" rank="0" text="" dxfId="1">
      <formula>O349="Weaker"</formula>
    </cfRule>
  </conditionalFormatting>
  <conditionalFormatting sqref="K367:K376">
    <cfRule type="expression" priority="82" aboveAverage="0" equalAverage="0" bottom="0" percent="0" rank="0" text="" dxfId="0">
      <formula>K367="Better"</formula>
    </cfRule>
    <cfRule type="expression" priority="83" aboveAverage="0" equalAverage="0" bottom="0" percent="0" rank="0" text="" dxfId="1">
      <formula>K367="Weaker"</formula>
    </cfRule>
  </conditionalFormatting>
  <conditionalFormatting sqref="O367:O376">
    <cfRule type="expression" priority="84" aboveAverage="0" equalAverage="0" bottom="0" percent="0" rank="0" text="" dxfId="0">
      <formula>O367="Better"</formula>
    </cfRule>
    <cfRule type="expression" priority="85" aboveAverage="0" equalAverage="0" bottom="0" percent="0" rank="0" text="" dxfId="1">
      <formula>O367="Weaker"</formula>
    </cfRule>
  </conditionalFormatting>
  <conditionalFormatting sqref="K385:K394">
    <cfRule type="expression" priority="86" aboveAverage="0" equalAverage="0" bottom="0" percent="0" rank="0" text="" dxfId="0">
      <formula>K385="Better"</formula>
    </cfRule>
    <cfRule type="expression" priority="87" aboveAverage="0" equalAverage="0" bottom="0" percent="0" rank="0" text="" dxfId="1">
      <formula>K385="Weaker"</formula>
    </cfRule>
  </conditionalFormatting>
  <conditionalFormatting sqref="O385:O394">
    <cfRule type="expression" priority="88" aboveAverage="0" equalAverage="0" bottom="0" percent="0" rank="0" text="" dxfId="0">
      <formula>O385="Better"</formula>
    </cfRule>
    <cfRule type="expression" priority="89" aboveAverage="0" equalAverage="0" bottom="0" percent="0" rank="0" text="" dxfId="1">
      <formula>O385="Weaker"</formula>
    </cfRule>
  </conditionalFormatting>
  <conditionalFormatting sqref="K403:K412">
    <cfRule type="expression" priority="90" aboveAverage="0" equalAverage="0" bottom="0" percent="0" rank="0" text="" dxfId="0">
      <formula>K403="Better"</formula>
    </cfRule>
    <cfRule type="expression" priority="91" aboveAverage="0" equalAverage="0" bottom="0" percent="0" rank="0" text="" dxfId="1">
      <formula>K403="Weaker"</formula>
    </cfRule>
  </conditionalFormatting>
  <conditionalFormatting sqref="O403:O412">
    <cfRule type="expression" priority="92" aboveAverage="0" equalAverage="0" bottom="0" percent="0" rank="0" text="" dxfId="0">
      <formula>O403="Better"</formula>
    </cfRule>
    <cfRule type="expression" priority="93" aboveAverage="0" equalAverage="0" bottom="0" percent="0" rank="0" text="" dxfId="1">
      <formula>O403="Weaker"</formula>
    </cfRule>
  </conditionalFormatting>
  <conditionalFormatting sqref="K421:K430">
    <cfRule type="expression" priority="94" aboveAverage="0" equalAverage="0" bottom="0" percent="0" rank="0" text="" dxfId="0">
      <formula>K421="Better"</formula>
    </cfRule>
    <cfRule type="expression" priority="95" aboveAverage="0" equalAverage="0" bottom="0" percent="0" rank="0" text="" dxfId="1">
      <formula>K421="Weaker"</formula>
    </cfRule>
  </conditionalFormatting>
  <conditionalFormatting sqref="O421:O430">
    <cfRule type="expression" priority="96" aboveAverage="0" equalAverage="0" bottom="0" percent="0" rank="0" text="" dxfId="0">
      <formula>O421="Better"</formula>
    </cfRule>
    <cfRule type="expression" priority="97" aboveAverage="0" equalAverage="0" bottom="0" percent="0" rank="0" text="" dxfId="1">
      <formula>O421="Weaker"</formula>
    </cfRule>
  </conditionalFormatting>
  <conditionalFormatting sqref="K439:K448">
    <cfRule type="expression" priority="98" aboveAverage="0" equalAverage="0" bottom="0" percent="0" rank="0" text="" dxfId="0">
      <formula>K439="Better"</formula>
    </cfRule>
    <cfRule type="expression" priority="99" aboveAverage="0" equalAverage="0" bottom="0" percent="0" rank="0" text="" dxfId="1">
      <formula>K439="Weaker"</formula>
    </cfRule>
  </conditionalFormatting>
  <conditionalFormatting sqref="O439:O448">
    <cfRule type="expression" priority="100" aboveAverage="0" equalAverage="0" bottom="0" percent="0" rank="0" text="" dxfId="0">
      <formula>O439="Better"</formula>
    </cfRule>
    <cfRule type="expression" priority="101" aboveAverage="0" equalAverage="0" bottom="0" percent="0" rank="0" text="" dxfId="1">
      <formula>O439="Weaker"</formula>
    </cfRule>
  </conditionalFormatting>
  <conditionalFormatting sqref="K457:K466">
    <cfRule type="expression" priority="102" aboveAverage="0" equalAverage="0" bottom="0" percent="0" rank="0" text="" dxfId="0">
      <formula>K457="Better"</formula>
    </cfRule>
    <cfRule type="expression" priority="103" aboveAverage="0" equalAverage="0" bottom="0" percent="0" rank="0" text="" dxfId="1">
      <formula>K457="Weaker"</formula>
    </cfRule>
  </conditionalFormatting>
  <conditionalFormatting sqref="O457:O466">
    <cfRule type="expression" priority="104" aboveAverage="0" equalAverage="0" bottom="0" percent="0" rank="0" text="" dxfId="0">
      <formula>O457="Better"</formula>
    </cfRule>
    <cfRule type="expression" priority="105" aboveAverage="0" equalAverage="0" bottom="0" percent="0" rank="0" text="" dxfId="1">
      <formula>O457="Weaker"</formula>
    </cfRule>
  </conditionalFormatting>
  <conditionalFormatting sqref="K475:K484">
    <cfRule type="expression" priority="106" aboveAverage="0" equalAverage="0" bottom="0" percent="0" rank="0" text="" dxfId="0">
      <formula>K475="Better"</formula>
    </cfRule>
    <cfRule type="expression" priority="107" aboveAverage="0" equalAverage="0" bottom="0" percent="0" rank="0" text="" dxfId="1">
      <formula>K475="Weaker"</formula>
    </cfRule>
  </conditionalFormatting>
  <conditionalFormatting sqref="O475:O484">
    <cfRule type="expression" priority="108" aboveAverage="0" equalAverage="0" bottom="0" percent="0" rank="0" text="" dxfId="0">
      <formula>O475="Better"</formula>
    </cfRule>
    <cfRule type="expression" priority="109" aboveAverage="0" equalAverage="0" bottom="0" percent="0" rank="0" text="" dxfId="1">
      <formula>O475="Weaker"</formula>
    </cfRule>
  </conditionalFormatting>
  <conditionalFormatting sqref="K493:K502">
    <cfRule type="expression" priority="110" aboveAverage="0" equalAverage="0" bottom="0" percent="0" rank="0" text="" dxfId="0">
      <formula>K493="Better"</formula>
    </cfRule>
    <cfRule type="expression" priority="111" aboveAverage="0" equalAverage="0" bottom="0" percent="0" rank="0" text="" dxfId="1">
      <formula>K493="Weaker"</formula>
    </cfRule>
  </conditionalFormatting>
  <conditionalFormatting sqref="O493:O502">
    <cfRule type="expression" priority="112" aboveAverage="0" equalAverage="0" bottom="0" percent="0" rank="0" text="" dxfId="0">
      <formula>O493="Better"</formula>
    </cfRule>
    <cfRule type="expression" priority="113" aboveAverage="0" equalAverage="0" bottom="0" percent="0" rank="0" text="" dxfId="1">
      <formula>O493="Weaker"</formula>
    </cfRule>
  </conditionalFormatting>
  <conditionalFormatting sqref="K511:K520">
    <cfRule type="expression" priority="114" aboveAverage="0" equalAverage="0" bottom="0" percent="0" rank="0" text="" dxfId="0">
      <formula>K511="Better"</formula>
    </cfRule>
    <cfRule type="expression" priority="115" aboveAverage="0" equalAverage="0" bottom="0" percent="0" rank="0" text="" dxfId="1">
      <formula>K511="Weaker"</formula>
    </cfRule>
  </conditionalFormatting>
  <conditionalFormatting sqref="O511:O520">
    <cfRule type="expression" priority="116" aboveAverage="0" equalAverage="0" bottom="0" percent="0" rank="0" text="" dxfId="0">
      <formula>O511="Better"</formula>
    </cfRule>
    <cfRule type="expression" priority="117" aboveAverage="0" equalAverage="0" bottom="0" percent="0" rank="0" text="" dxfId="1">
      <formula>O511="Weaker"</formula>
    </cfRule>
  </conditionalFormatting>
  <conditionalFormatting sqref="K529:K538">
    <cfRule type="expression" priority="118" aboveAverage="0" equalAverage="0" bottom="0" percent="0" rank="0" text="" dxfId="0">
      <formula>K529="Better"</formula>
    </cfRule>
    <cfRule type="expression" priority="119" aboveAverage="0" equalAverage="0" bottom="0" percent="0" rank="0" text="" dxfId="1">
      <formula>K529="Weaker"</formula>
    </cfRule>
  </conditionalFormatting>
  <conditionalFormatting sqref="O529:O538">
    <cfRule type="expression" priority="120" aboveAverage="0" equalAverage="0" bottom="0" percent="0" rank="0" text="" dxfId="0">
      <formula>O529="Better"</formula>
    </cfRule>
    <cfRule type="expression" priority="121" aboveAverage="0" equalAverage="0" bottom="0" percent="0" rank="0" text="" dxfId="1">
      <formula>O529="Weaker"</formula>
    </cfRule>
  </conditionalFormatting>
  <conditionalFormatting sqref="K547:K556">
    <cfRule type="expression" priority="122" aboveAverage="0" equalAverage="0" bottom="0" percent="0" rank="0" text="" dxfId="0">
      <formula>K547="Better"</formula>
    </cfRule>
    <cfRule type="expression" priority="123" aboveAverage="0" equalAverage="0" bottom="0" percent="0" rank="0" text="" dxfId="1">
      <formula>K547="Weaker"</formula>
    </cfRule>
  </conditionalFormatting>
  <conditionalFormatting sqref="O547:O556">
    <cfRule type="expression" priority="124" aboveAverage="0" equalAverage="0" bottom="0" percent="0" rank="0" text="" dxfId="0">
      <formula>O547="Better"</formula>
    </cfRule>
    <cfRule type="expression" priority="125" aboveAverage="0" equalAverage="0" bottom="0" percent="0" rank="0" text="" dxfId="1">
      <formula>O547="Weaker"</formula>
    </cfRule>
  </conditionalFormatting>
  <conditionalFormatting sqref="K565:K574">
    <cfRule type="expression" priority="126" aboveAverage="0" equalAverage="0" bottom="0" percent="0" rank="0" text="" dxfId="0">
      <formula>K565="Better"</formula>
    </cfRule>
    <cfRule type="expression" priority="127" aboveAverage="0" equalAverage="0" bottom="0" percent="0" rank="0" text="" dxfId="1">
      <formula>K565="Weaker"</formula>
    </cfRule>
  </conditionalFormatting>
  <conditionalFormatting sqref="O565:O574">
    <cfRule type="expression" priority="128" aboveAverage="0" equalAverage="0" bottom="0" percent="0" rank="0" text="" dxfId="0">
      <formula>O565="Better"</formula>
    </cfRule>
    <cfRule type="expression" priority="129" aboveAverage="0" equalAverage="0" bottom="0" percent="0" rank="0" text="" dxfId="1">
      <formula>O565="Weaker"</formula>
    </cfRule>
  </conditionalFormatting>
  <conditionalFormatting sqref="K583:K592">
    <cfRule type="expression" priority="130" aboveAverage="0" equalAverage="0" bottom="0" percent="0" rank="0" text="" dxfId="0">
      <formula>K583="Better"</formula>
    </cfRule>
    <cfRule type="expression" priority="131" aboveAverage="0" equalAverage="0" bottom="0" percent="0" rank="0" text="" dxfId="1">
      <formula>K583="Weaker"</formula>
    </cfRule>
  </conditionalFormatting>
  <conditionalFormatting sqref="O583:O592">
    <cfRule type="expression" priority="132" aboveAverage="0" equalAverage="0" bottom="0" percent="0" rank="0" text="" dxfId="0">
      <formula>O583="Better"</formula>
    </cfRule>
    <cfRule type="expression" priority="133" aboveAverage="0" equalAverage="0" bottom="0" percent="0" rank="0" text="" dxfId="1">
      <formula>O583="Weaker"</formula>
    </cfRule>
  </conditionalFormatting>
  <conditionalFormatting sqref="K601:K610">
    <cfRule type="expression" priority="134" aboveAverage="0" equalAverage="0" bottom="0" percent="0" rank="0" text="" dxfId="0">
      <formula>K601="Better"</formula>
    </cfRule>
    <cfRule type="expression" priority="135" aboveAverage="0" equalAverage="0" bottom="0" percent="0" rank="0" text="" dxfId="1">
      <formula>K601="Weaker"</formula>
    </cfRule>
  </conditionalFormatting>
  <conditionalFormatting sqref="O601:O610">
    <cfRule type="expression" priority="136" aboveAverage="0" equalAverage="0" bottom="0" percent="0" rank="0" text="" dxfId="0">
      <formula>O601="Better"</formula>
    </cfRule>
    <cfRule type="expression" priority="137" aboveAverage="0" equalAverage="0" bottom="0" percent="0" rank="0" text="" dxfId="1">
      <formula>O601="Weaker"</formula>
    </cfRule>
  </conditionalFormatting>
  <conditionalFormatting sqref="K619:K628">
    <cfRule type="expression" priority="138" aboveAverage="0" equalAverage="0" bottom="0" percent="0" rank="0" text="" dxfId="0">
      <formula>K619="Better"</formula>
    </cfRule>
    <cfRule type="expression" priority="139" aboveAverage="0" equalAverage="0" bottom="0" percent="0" rank="0" text="" dxfId="1">
      <formula>K619="Weaker"</formula>
    </cfRule>
  </conditionalFormatting>
  <conditionalFormatting sqref="O619:O628">
    <cfRule type="expression" priority="140" aboveAverage="0" equalAverage="0" bottom="0" percent="0" rank="0" text="" dxfId="0">
      <formula>O619="Better"</formula>
    </cfRule>
    <cfRule type="expression" priority="141" aboveAverage="0" equalAverage="0" bottom="0" percent="0" rank="0" text="" dxfId="1">
      <formula>O619="Weaker"</formula>
    </cfRule>
  </conditionalFormatting>
  <conditionalFormatting sqref="K637:K646">
    <cfRule type="expression" priority="142" aboveAverage="0" equalAverage="0" bottom="0" percent="0" rank="0" text="" dxfId="0">
      <formula>K637="Better"</formula>
    </cfRule>
    <cfRule type="expression" priority="143" aboveAverage="0" equalAverage="0" bottom="0" percent="0" rank="0" text="" dxfId="1">
      <formula>K637="Weaker"</formula>
    </cfRule>
  </conditionalFormatting>
  <conditionalFormatting sqref="O637:O646">
    <cfRule type="expression" priority="144" aboveAverage="0" equalAverage="0" bottom="0" percent="0" rank="0" text="" dxfId="0">
      <formula>O637="Better"</formula>
    </cfRule>
    <cfRule type="expression" priority="145" aboveAverage="0" equalAverage="0" bottom="0" percent="0" rank="0" text="" dxfId="1">
      <formula>O637="Weaker"</formula>
    </cfRule>
  </conditionalFormatting>
  <conditionalFormatting sqref="K655:K664">
    <cfRule type="expression" priority="146" aboveAverage="0" equalAverage="0" bottom="0" percent="0" rank="0" text="" dxfId="0">
      <formula>K655="Better"</formula>
    </cfRule>
    <cfRule type="expression" priority="147" aboveAverage="0" equalAverage="0" bottom="0" percent="0" rank="0" text="" dxfId="1">
      <formula>K655="Weaker"</formula>
    </cfRule>
  </conditionalFormatting>
  <conditionalFormatting sqref="O655:O664">
    <cfRule type="expression" priority="148" aboveAverage="0" equalAverage="0" bottom="0" percent="0" rank="0" text="" dxfId="0">
      <formula>O655="Better"</formula>
    </cfRule>
    <cfRule type="expression" priority="149" aboveAverage="0" equalAverage="0" bottom="0" percent="0" rank="0" text="" dxfId="1">
      <formula>O655="Weaker"</formula>
    </cfRule>
  </conditionalFormatting>
  <conditionalFormatting sqref="K673:K682">
    <cfRule type="expression" priority="150" aboveAverage="0" equalAverage="0" bottom="0" percent="0" rank="0" text="" dxfId="0">
      <formula>K673="Better"</formula>
    </cfRule>
    <cfRule type="expression" priority="151" aboveAverage="0" equalAverage="0" bottom="0" percent="0" rank="0" text="" dxfId="1">
      <formula>K673="Weaker"</formula>
    </cfRule>
  </conditionalFormatting>
  <conditionalFormatting sqref="O673:O682">
    <cfRule type="expression" priority="152" aboveAverage="0" equalAverage="0" bottom="0" percent="0" rank="0" text="" dxfId="0">
      <formula>O673="Better"</formula>
    </cfRule>
    <cfRule type="expression" priority="153" aboveAverage="0" equalAverage="0" bottom="0" percent="0" rank="0" text="" dxfId="1">
      <formula>O673="Weaker"</formula>
    </cfRule>
  </conditionalFormatting>
  <conditionalFormatting sqref="K691:K700">
    <cfRule type="expression" priority="154" aboveAverage="0" equalAverage="0" bottom="0" percent="0" rank="0" text="" dxfId="0">
      <formula>K691="Better"</formula>
    </cfRule>
    <cfRule type="expression" priority="155" aboveAverage="0" equalAverage="0" bottom="0" percent="0" rank="0" text="" dxfId="1">
      <formula>K691="Weaker"</formula>
    </cfRule>
  </conditionalFormatting>
  <conditionalFormatting sqref="O691:O700">
    <cfRule type="expression" priority="156" aboveAverage="0" equalAverage="0" bottom="0" percent="0" rank="0" text="" dxfId="0">
      <formula>O691="Better"</formula>
    </cfRule>
    <cfRule type="expression" priority="157" aboveAverage="0" equalAverage="0" bottom="0" percent="0" rank="0" text="" dxfId="1">
      <formula>O691="Weaker"</formula>
    </cfRule>
  </conditionalFormatting>
  <conditionalFormatting sqref="K709:K718">
    <cfRule type="expression" priority="158" aboveAverage="0" equalAverage="0" bottom="0" percent="0" rank="0" text="" dxfId="0">
      <formula>K709="Better"</formula>
    </cfRule>
    <cfRule type="expression" priority="159" aboveAverage="0" equalAverage="0" bottom="0" percent="0" rank="0" text="" dxfId="1">
      <formula>K709="Weaker"</formula>
    </cfRule>
  </conditionalFormatting>
  <conditionalFormatting sqref="O709:O718">
    <cfRule type="expression" priority="160" aboveAverage="0" equalAverage="0" bottom="0" percent="0" rank="0" text="" dxfId="0">
      <formula>O709="Better"</formula>
    </cfRule>
    <cfRule type="expression" priority="161" aboveAverage="0" equalAverage="0" bottom="0" percent="0" rank="0" text="" dxfId="1">
      <formula>O709="Weaker"</formula>
    </cfRule>
  </conditionalFormatting>
  <conditionalFormatting sqref="K727:K736">
    <cfRule type="expression" priority="162" aboveAverage="0" equalAverage="0" bottom="0" percent="0" rank="0" text="" dxfId="0">
      <formula>K727="Better"</formula>
    </cfRule>
    <cfRule type="expression" priority="163" aboveAverage="0" equalAverage="0" bottom="0" percent="0" rank="0" text="" dxfId="1">
      <formula>K727="Weaker"</formula>
    </cfRule>
  </conditionalFormatting>
  <conditionalFormatting sqref="O727:O736">
    <cfRule type="expression" priority="164" aboveAverage="0" equalAverage="0" bottom="0" percent="0" rank="0" text="" dxfId="0">
      <formula>O727="Better"</formula>
    </cfRule>
    <cfRule type="expression" priority="165" aboveAverage="0" equalAverage="0" bottom="0" percent="0" rank="0" text="" dxfId="1">
      <formula>O727="Weaker"</formula>
    </cfRule>
  </conditionalFormatting>
  <conditionalFormatting sqref="K745:K754">
    <cfRule type="expression" priority="166" aboveAverage="0" equalAverage="0" bottom="0" percent="0" rank="0" text="" dxfId="0">
      <formula>K745="Better"</formula>
    </cfRule>
    <cfRule type="expression" priority="167" aboveAverage="0" equalAverage="0" bottom="0" percent="0" rank="0" text="" dxfId="1">
      <formula>K745="Weaker"</formula>
    </cfRule>
  </conditionalFormatting>
  <conditionalFormatting sqref="O745:O754">
    <cfRule type="expression" priority="168" aboveAverage="0" equalAverage="0" bottom="0" percent="0" rank="0" text="" dxfId="0">
      <formula>O745="Better"</formula>
    </cfRule>
    <cfRule type="expression" priority="169" aboveAverage="0" equalAverage="0" bottom="0" percent="0" rank="0" text="" dxfId="1">
      <formula>O745="Weaker"</formula>
    </cfRule>
  </conditionalFormatting>
  <conditionalFormatting sqref="K763:K772">
    <cfRule type="expression" priority="170" aboveAverage="0" equalAverage="0" bottom="0" percent="0" rank="0" text="" dxfId="0">
      <formula>K763="Better"</formula>
    </cfRule>
    <cfRule type="expression" priority="171" aboveAverage="0" equalAverage="0" bottom="0" percent="0" rank="0" text="" dxfId="1">
      <formula>K763="Weaker"</formula>
    </cfRule>
  </conditionalFormatting>
  <conditionalFormatting sqref="O763:O772">
    <cfRule type="expression" priority="172" aboveAverage="0" equalAverage="0" bottom="0" percent="0" rank="0" text="" dxfId="0">
      <formula>O763="Better"</formula>
    </cfRule>
    <cfRule type="expression" priority="173" aboveAverage="0" equalAverage="0" bottom="0" percent="0" rank="0" text="" dxfId="1">
      <formula>O763="Weaker"</formula>
    </cfRule>
  </conditionalFormatting>
  <conditionalFormatting sqref="K781:K790">
    <cfRule type="expression" priority="174" aboveAverage="0" equalAverage="0" bottom="0" percent="0" rank="0" text="" dxfId="0">
      <formula>K781="Better"</formula>
    </cfRule>
    <cfRule type="expression" priority="175" aboveAverage="0" equalAverage="0" bottom="0" percent="0" rank="0" text="" dxfId="1">
      <formula>K781="Weaker"</formula>
    </cfRule>
  </conditionalFormatting>
  <conditionalFormatting sqref="O781:O790">
    <cfRule type="expression" priority="176" aboveAverage="0" equalAverage="0" bottom="0" percent="0" rank="0" text="" dxfId="0">
      <formula>O781="Better"</formula>
    </cfRule>
    <cfRule type="expression" priority="177" aboveAverage="0" equalAverage="0" bottom="0" percent="0" rank="0" text="" dxfId="1">
      <formula>O781="Weaker"</formula>
    </cfRule>
  </conditionalFormatting>
  <conditionalFormatting sqref="K799:K808">
    <cfRule type="expression" priority="178" aboveAverage="0" equalAverage="0" bottom="0" percent="0" rank="0" text="" dxfId="0">
      <formula>K799="Better"</formula>
    </cfRule>
    <cfRule type="expression" priority="179" aboveAverage="0" equalAverage="0" bottom="0" percent="0" rank="0" text="" dxfId="1">
      <formula>K799="Weaker"</formula>
    </cfRule>
  </conditionalFormatting>
  <conditionalFormatting sqref="O799:O808">
    <cfRule type="expression" priority="180" aboveAverage="0" equalAverage="0" bottom="0" percent="0" rank="0" text="" dxfId="0">
      <formula>O799="Better"</formula>
    </cfRule>
    <cfRule type="expression" priority="181" aboveAverage="0" equalAverage="0" bottom="0" percent="0" rank="0" text="" dxfId="1">
      <formula>O799="Weaker"</formula>
    </cfRule>
  </conditionalFormatting>
  <conditionalFormatting sqref="K817:K826">
    <cfRule type="expression" priority="182" aboveAverage="0" equalAverage="0" bottom="0" percent="0" rank="0" text="" dxfId="0">
      <formula>K817="Better"</formula>
    </cfRule>
    <cfRule type="expression" priority="183" aboveAverage="0" equalAverage="0" bottom="0" percent="0" rank="0" text="" dxfId="1">
      <formula>K817="Weaker"</formula>
    </cfRule>
  </conditionalFormatting>
  <conditionalFormatting sqref="O817:O826">
    <cfRule type="expression" priority="184" aboveAverage="0" equalAverage="0" bottom="0" percent="0" rank="0" text="" dxfId="0">
      <formula>O817="Better"</formula>
    </cfRule>
    <cfRule type="expression" priority="185" aboveAverage="0" equalAverage="0" bottom="0" percent="0" rank="0" text="" dxfId="1">
      <formula>O817="Weaker"</formula>
    </cfRule>
  </conditionalFormatting>
  <conditionalFormatting sqref="K835:K844">
    <cfRule type="expression" priority="186" aboveAverage="0" equalAverage="0" bottom="0" percent="0" rank="0" text="" dxfId="0">
      <formula>K835="Better"</formula>
    </cfRule>
    <cfRule type="expression" priority="187" aboveAverage="0" equalAverage="0" bottom="0" percent="0" rank="0" text="" dxfId="1">
      <formula>K835="Weaker"</formula>
    </cfRule>
  </conditionalFormatting>
  <conditionalFormatting sqref="O835:O844">
    <cfRule type="expression" priority="188" aboveAverage="0" equalAverage="0" bottom="0" percent="0" rank="0" text="" dxfId="0">
      <formula>O835="Better"</formula>
    </cfRule>
    <cfRule type="expression" priority="189" aboveAverage="0" equalAverage="0" bottom="0" percent="0" rank="0" text="" dxfId="1">
      <formula>O835="Weaker"</formula>
    </cfRule>
  </conditionalFormatting>
  <conditionalFormatting sqref="K853:K862">
    <cfRule type="expression" priority="190" aboveAverage="0" equalAverage="0" bottom="0" percent="0" rank="0" text="" dxfId="0">
      <formula>K853="Better"</formula>
    </cfRule>
    <cfRule type="expression" priority="191" aboveAverage="0" equalAverage="0" bottom="0" percent="0" rank="0" text="" dxfId="1">
      <formula>K853="Weaker"</formula>
    </cfRule>
  </conditionalFormatting>
  <conditionalFormatting sqref="O853:O862">
    <cfRule type="expression" priority="192" aboveAverage="0" equalAverage="0" bottom="0" percent="0" rank="0" text="" dxfId="0">
      <formula>O853="Better"</formula>
    </cfRule>
    <cfRule type="expression" priority="193" aboveAverage="0" equalAverage="0" bottom="0" percent="0" rank="0" text="" dxfId="1">
      <formula>O853="Weaker"</formula>
    </cfRule>
  </conditionalFormatting>
  <conditionalFormatting sqref="K871:K880">
    <cfRule type="expression" priority="194" aboveAverage="0" equalAverage="0" bottom="0" percent="0" rank="0" text="" dxfId="0">
      <formula>K871="Better"</formula>
    </cfRule>
    <cfRule type="expression" priority="195" aboveAverage="0" equalAverage="0" bottom="0" percent="0" rank="0" text="" dxfId="1">
      <formula>K871="Weaker"</formula>
    </cfRule>
  </conditionalFormatting>
  <conditionalFormatting sqref="O871:O880">
    <cfRule type="expression" priority="196" aboveAverage="0" equalAverage="0" bottom="0" percent="0" rank="0" text="" dxfId="0">
      <formula>O871="Better"</formula>
    </cfRule>
    <cfRule type="expression" priority="197" aboveAverage="0" equalAverage="0" bottom="0" percent="0" rank="0" text="" dxfId="1">
      <formula>O871="Weaker"</formula>
    </cfRule>
  </conditionalFormatting>
  <conditionalFormatting sqref="K889:K898">
    <cfRule type="expression" priority="198" aboveAverage="0" equalAverage="0" bottom="0" percent="0" rank="0" text="" dxfId="0">
      <formula>K889="Better"</formula>
    </cfRule>
    <cfRule type="expression" priority="199" aboveAverage="0" equalAverage="0" bottom="0" percent="0" rank="0" text="" dxfId="1">
      <formula>K889="Weaker"</formula>
    </cfRule>
  </conditionalFormatting>
  <conditionalFormatting sqref="O889:O898">
    <cfRule type="expression" priority="200" aboveAverage="0" equalAverage="0" bottom="0" percent="0" rank="0" text="" dxfId="0">
      <formula>O889="Better"</formula>
    </cfRule>
    <cfRule type="expression" priority="201" aboveAverage="0" equalAverage="0" bottom="0" percent="0" rank="0" text="" dxfId="1">
      <formula>O889="Weaker"</formula>
    </cfRule>
  </conditionalFormatting>
  <conditionalFormatting sqref="K907:K916">
    <cfRule type="expression" priority="202" aboveAverage="0" equalAverage="0" bottom="0" percent="0" rank="0" text="" dxfId="0">
      <formula>K907="Better"</formula>
    </cfRule>
    <cfRule type="expression" priority="203" aboveAverage="0" equalAverage="0" bottom="0" percent="0" rank="0" text="" dxfId="1">
      <formula>K907="Weaker"</formula>
    </cfRule>
  </conditionalFormatting>
  <conditionalFormatting sqref="O907:O916">
    <cfRule type="expression" priority="204" aboveAverage="0" equalAverage="0" bottom="0" percent="0" rank="0" text="" dxfId="0">
      <formula>O907="Better"</formula>
    </cfRule>
    <cfRule type="expression" priority="205" aboveAverage="0" equalAverage="0" bottom="0" percent="0" rank="0" text="" dxfId="1">
      <formula>O907="Weaker"</formula>
    </cfRule>
  </conditionalFormatting>
  <conditionalFormatting sqref="K925:K934">
    <cfRule type="expression" priority="206" aboveAverage="0" equalAverage="0" bottom="0" percent="0" rank="0" text="" dxfId="0">
      <formula>K925="Better"</formula>
    </cfRule>
    <cfRule type="expression" priority="207" aboveAverage="0" equalAverage="0" bottom="0" percent="0" rank="0" text="" dxfId="1">
      <formula>K925="Weaker"</formula>
    </cfRule>
  </conditionalFormatting>
  <conditionalFormatting sqref="O925:O934">
    <cfRule type="expression" priority="208" aboveAverage="0" equalAverage="0" bottom="0" percent="0" rank="0" text="" dxfId="0">
      <formula>O925="Better"</formula>
    </cfRule>
    <cfRule type="expression" priority="209" aboveAverage="0" equalAverage="0" bottom="0" percent="0" rank="0" text="" dxfId="1">
      <formula>O925="Weaker"</formula>
    </cfRule>
  </conditionalFormatting>
  <conditionalFormatting sqref="K943:K952">
    <cfRule type="expression" priority="210" aboveAverage="0" equalAverage="0" bottom="0" percent="0" rank="0" text="" dxfId="0">
      <formula>K943="Better"</formula>
    </cfRule>
    <cfRule type="expression" priority="211" aboveAverage="0" equalAverage="0" bottom="0" percent="0" rank="0" text="" dxfId="1">
      <formula>K943="Weaker"</formula>
    </cfRule>
  </conditionalFormatting>
  <conditionalFormatting sqref="O943:O952">
    <cfRule type="expression" priority="212" aboveAverage="0" equalAverage="0" bottom="0" percent="0" rank="0" text="" dxfId="0">
      <formula>O943="Better"</formula>
    </cfRule>
    <cfRule type="expression" priority="213" aboveAverage="0" equalAverage="0" bottom="0" percent="0" rank="0" text="" dxfId="1">
      <formula>O943="Weaker"</formula>
    </cfRule>
  </conditionalFormatting>
  <conditionalFormatting sqref="K961:K970">
    <cfRule type="expression" priority="214" aboveAverage="0" equalAverage="0" bottom="0" percent="0" rank="0" text="" dxfId="0">
      <formula>K961="Better"</formula>
    </cfRule>
    <cfRule type="expression" priority="215" aboveAverage="0" equalAverage="0" bottom="0" percent="0" rank="0" text="" dxfId="1">
      <formula>K961="Weaker"</formula>
    </cfRule>
  </conditionalFormatting>
  <conditionalFormatting sqref="O961:O970">
    <cfRule type="expression" priority="216" aboveAverage="0" equalAverage="0" bottom="0" percent="0" rank="0" text="" dxfId="0">
      <formula>O961="Better"</formula>
    </cfRule>
    <cfRule type="expression" priority="217" aboveAverage="0" equalAverage="0" bottom="0" percent="0" rank="0" text="" dxfId="1">
      <formula>O961="Weaker"</formula>
    </cfRule>
  </conditionalFormatting>
  <conditionalFormatting sqref="K979:K988">
    <cfRule type="expression" priority="218" aboveAverage="0" equalAverage="0" bottom="0" percent="0" rank="0" text="" dxfId="0">
      <formula>K979="Better"</formula>
    </cfRule>
    <cfRule type="expression" priority="219" aboveAverage="0" equalAverage="0" bottom="0" percent="0" rank="0" text="" dxfId="1">
      <formula>K979="Weaker"</formula>
    </cfRule>
  </conditionalFormatting>
  <conditionalFormatting sqref="O979:O988">
    <cfRule type="expression" priority="220" aboveAverage="0" equalAverage="0" bottom="0" percent="0" rank="0" text="" dxfId="0">
      <formula>O979="Better"</formula>
    </cfRule>
    <cfRule type="expression" priority="221" aboveAverage="0" equalAverage="0" bottom="0" percent="0" rank="0" text="" dxfId="1">
      <formula>O979="Weaker"</formula>
    </cfRule>
  </conditionalFormatting>
  <conditionalFormatting sqref="K997:K1006">
    <cfRule type="expression" priority="222" aboveAverage="0" equalAverage="0" bottom="0" percent="0" rank="0" text="" dxfId="0">
      <formula>K997="Better"</formula>
    </cfRule>
    <cfRule type="expression" priority="223" aboveAverage="0" equalAverage="0" bottom="0" percent="0" rank="0" text="" dxfId="1">
      <formula>K997="Weaker"</formula>
    </cfRule>
  </conditionalFormatting>
  <conditionalFormatting sqref="O997:O1006">
    <cfRule type="expression" priority="224" aboveAverage="0" equalAverage="0" bottom="0" percent="0" rank="0" text="" dxfId="0">
      <formula>O997="Better"</formula>
    </cfRule>
    <cfRule type="expression" priority="225" aboveAverage="0" equalAverage="0" bottom="0" percent="0" rank="0" text="" dxfId="1">
      <formula>O997="Weaker"</formula>
    </cfRule>
  </conditionalFormatting>
  <conditionalFormatting sqref="K1015:K1024">
    <cfRule type="expression" priority="226" aboveAverage="0" equalAverage="0" bottom="0" percent="0" rank="0" text="" dxfId="0">
      <formula>K1015="Better"</formula>
    </cfRule>
    <cfRule type="expression" priority="227" aboveAverage="0" equalAverage="0" bottom="0" percent="0" rank="0" text="" dxfId="1">
      <formula>K1015="Weaker"</formula>
    </cfRule>
  </conditionalFormatting>
  <conditionalFormatting sqref="O1015:O1024">
    <cfRule type="expression" priority="228" aboveAverage="0" equalAverage="0" bottom="0" percent="0" rank="0" text="" dxfId="0">
      <formula>O1015="Better"</formula>
    </cfRule>
    <cfRule type="expression" priority="229" aboveAverage="0" equalAverage="0" bottom="0" percent="0" rank="0" text="" dxfId="1">
      <formula>O1015="Weaker"</formula>
    </cfRule>
  </conditionalFormatting>
  <conditionalFormatting sqref="K1033:K1042">
    <cfRule type="expression" priority="230" aboveAverage="0" equalAverage="0" bottom="0" percent="0" rank="0" text="" dxfId="0">
      <formula>K1033="Better"</formula>
    </cfRule>
    <cfRule type="expression" priority="231" aboveAverage="0" equalAverage="0" bottom="0" percent="0" rank="0" text="" dxfId="1">
      <formula>K1033="Weaker"</formula>
    </cfRule>
  </conditionalFormatting>
  <conditionalFormatting sqref="O1033:O1042">
    <cfRule type="expression" priority="232" aboveAverage="0" equalAverage="0" bottom="0" percent="0" rank="0" text="" dxfId="0">
      <formula>O1033="Better"</formula>
    </cfRule>
    <cfRule type="expression" priority="233" aboveAverage="0" equalAverage="0" bottom="0" percent="0" rank="0" text="" dxfId="1">
      <formula>O1033="Weaker"</formula>
    </cfRule>
  </conditionalFormatting>
  <conditionalFormatting sqref="K1051:K1060">
    <cfRule type="expression" priority="234" aboveAverage="0" equalAverage="0" bottom="0" percent="0" rank="0" text="" dxfId="0">
      <formula>K1051="Better"</formula>
    </cfRule>
    <cfRule type="expression" priority="235" aboveAverage="0" equalAverage="0" bottom="0" percent="0" rank="0" text="" dxfId="1">
      <formula>K1051="Weaker"</formula>
    </cfRule>
  </conditionalFormatting>
  <conditionalFormatting sqref="O1051:O1060">
    <cfRule type="expression" priority="236" aboveAverage="0" equalAverage="0" bottom="0" percent="0" rank="0" text="" dxfId="0">
      <formula>O1051="Better"</formula>
    </cfRule>
    <cfRule type="expression" priority="237" aboveAverage="0" equalAverage="0" bottom="0" percent="0" rank="0" text="" dxfId="1">
      <formula>O1051="Weaker"</formula>
    </cfRule>
  </conditionalFormatting>
  <conditionalFormatting sqref="K1069:K1078">
    <cfRule type="expression" priority="238" aboveAverage="0" equalAverage="0" bottom="0" percent="0" rank="0" text="" dxfId="0">
      <formula>K1069="Better"</formula>
    </cfRule>
    <cfRule type="expression" priority="239" aboveAverage="0" equalAverage="0" bottom="0" percent="0" rank="0" text="" dxfId="1">
      <formula>K1069="Weaker"</formula>
    </cfRule>
  </conditionalFormatting>
  <conditionalFormatting sqref="O1069:O1078">
    <cfRule type="expression" priority="240" aboveAverage="0" equalAverage="0" bottom="0" percent="0" rank="0" text="" dxfId="0">
      <formula>O1069="Better"</formula>
    </cfRule>
    <cfRule type="expression" priority="241" aboveAverage="0" equalAverage="0" bottom="0" percent="0" rank="0" text="" dxfId="1">
      <formula>O1069="Weaker"</formula>
    </cfRule>
  </conditionalFormatting>
  <conditionalFormatting sqref="K1087:K1096">
    <cfRule type="expression" priority="242" aboveAverage="0" equalAverage="0" bottom="0" percent="0" rank="0" text="" dxfId="0">
      <formula>K1087="Better"</formula>
    </cfRule>
    <cfRule type="expression" priority="243" aboveAverage="0" equalAverage="0" bottom="0" percent="0" rank="0" text="" dxfId="1">
      <formula>K1087="Weaker"</formula>
    </cfRule>
  </conditionalFormatting>
  <conditionalFormatting sqref="O1087:O1096">
    <cfRule type="expression" priority="244" aboveAverage="0" equalAverage="0" bottom="0" percent="0" rank="0" text="" dxfId="0">
      <formula>O1087="Better"</formula>
    </cfRule>
    <cfRule type="expression" priority="245" aboveAverage="0" equalAverage="0" bottom="0" percent="0" rank="0" text="" dxfId="1">
      <formula>O1087="Weaker"</formula>
    </cfRule>
  </conditionalFormatting>
  <conditionalFormatting sqref="K1105:K1114">
    <cfRule type="expression" priority="246" aboveAverage="0" equalAverage="0" bottom="0" percent="0" rank="0" text="" dxfId="0">
      <formula>K1105="Better"</formula>
    </cfRule>
    <cfRule type="expression" priority="247" aboveAverage="0" equalAverage="0" bottom="0" percent="0" rank="0" text="" dxfId="1">
      <formula>K1105="Weaker"</formula>
    </cfRule>
  </conditionalFormatting>
  <conditionalFormatting sqref="O1105:O1114">
    <cfRule type="expression" priority="248" aboveAverage="0" equalAverage="0" bottom="0" percent="0" rank="0" text="" dxfId="0">
      <formula>O1105="Better"</formula>
    </cfRule>
    <cfRule type="expression" priority="249" aboveAverage="0" equalAverage="0" bottom="0" percent="0" rank="0" text="" dxfId="1">
      <formula>O1105="Weaker"</formula>
    </cfRule>
  </conditionalFormatting>
  <conditionalFormatting sqref="K1123:K1132">
    <cfRule type="expression" priority="250" aboveAverage="0" equalAverage="0" bottom="0" percent="0" rank="0" text="" dxfId="0">
      <formula>K1123="Better"</formula>
    </cfRule>
    <cfRule type="expression" priority="251" aboveAverage="0" equalAverage="0" bottom="0" percent="0" rank="0" text="" dxfId="1">
      <formula>K1123="Weaker"</formula>
    </cfRule>
  </conditionalFormatting>
  <conditionalFormatting sqref="O1123:O1132">
    <cfRule type="expression" priority="252" aboveAverage="0" equalAverage="0" bottom="0" percent="0" rank="0" text="" dxfId="0">
      <formula>O1123="Better"</formula>
    </cfRule>
    <cfRule type="expression" priority="253" aboveAverage="0" equalAverage="0" bottom="0" percent="0" rank="0" text="" dxfId="1">
      <formula>O1123="Weaker"</formula>
    </cfRule>
  </conditionalFormatting>
  <conditionalFormatting sqref="K1141:K1150">
    <cfRule type="expression" priority="254" aboveAverage="0" equalAverage="0" bottom="0" percent="0" rank="0" text="" dxfId="0">
      <formula>K1141="Better"</formula>
    </cfRule>
    <cfRule type="expression" priority="255" aboveAverage="0" equalAverage="0" bottom="0" percent="0" rank="0" text="" dxfId="1">
      <formula>K1141="Weaker"</formula>
    </cfRule>
  </conditionalFormatting>
  <conditionalFormatting sqref="O1141:O1150">
    <cfRule type="expression" priority="256" aboveAverage="0" equalAverage="0" bottom="0" percent="0" rank="0" text="" dxfId="0">
      <formula>O1141="Better"</formula>
    </cfRule>
    <cfRule type="expression" priority="257" aboveAverage="0" equalAverage="0" bottom="0" percent="0" rank="0" text="" dxfId="1">
      <formula>O1141="Weaker"</formula>
    </cfRule>
  </conditionalFormatting>
  <conditionalFormatting sqref="K1159:K1168">
    <cfRule type="expression" priority="258" aboveAverage="0" equalAverage="0" bottom="0" percent="0" rank="0" text="" dxfId="0">
      <formula>K1159="Better"</formula>
    </cfRule>
    <cfRule type="expression" priority="259" aboveAverage="0" equalAverage="0" bottom="0" percent="0" rank="0" text="" dxfId="1">
      <formula>K1159="Weaker"</formula>
    </cfRule>
  </conditionalFormatting>
  <conditionalFormatting sqref="O1159:O1168">
    <cfRule type="expression" priority="260" aboveAverage="0" equalAverage="0" bottom="0" percent="0" rank="0" text="" dxfId="0">
      <formula>O1159="Better"</formula>
    </cfRule>
    <cfRule type="expression" priority="261" aboveAverage="0" equalAverage="0" bottom="0" percent="0" rank="0" text="" dxfId="1">
      <formula>O1159="Weaker"</formula>
    </cfRule>
  </conditionalFormatting>
  <conditionalFormatting sqref="K1177:K1186">
    <cfRule type="expression" priority="262" aboveAverage="0" equalAverage="0" bottom="0" percent="0" rank="0" text="" dxfId="0">
      <formula>K1177="Better"</formula>
    </cfRule>
    <cfRule type="expression" priority="263" aboveAverage="0" equalAverage="0" bottom="0" percent="0" rank="0" text="" dxfId="1">
      <formula>K1177="Weaker"</formula>
    </cfRule>
  </conditionalFormatting>
  <conditionalFormatting sqref="O1177:O1186">
    <cfRule type="expression" priority="264" aboveAverage="0" equalAverage="0" bottom="0" percent="0" rank="0" text="" dxfId="0">
      <formula>O1177="Better"</formula>
    </cfRule>
    <cfRule type="expression" priority="265" aboveAverage="0" equalAverage="0" bottom="0" percent="0" rank="0" text="" dxfId="1">
      <formula>O1177="Weaker"</formula>
    </cfRule>
  </conditionalFormatting>
  <conditionalFormatting sqref="K1195:K1204">
    <cfRule type="expression" priority="266" aboveAverage="0" equalAverage="0" bottom="0" percent="0" rank="0" text="" dxfId="0">
      <formula>K1195="Better"</formula>
    </cfRule>
    <cfRule type="expression" priority="267" aboveAverage="0" equalAverage="0" bottom="0" percent="0" rank="0" text="" dxfId="1">
      <formula>K1195="Weaker"</formula>
    </cfRule>
  </conditionalFormatting>
  <conditionalFormatting sqref="O1195:O1204">
    <cfRule type="expression" priority="268" aboveAverage="0" equalAverage="0" bottom="0" percent="0" rank="0" text="" dxfId="0">
      <formula>O1195="Better"</formula>
    </cfRule>
    <cfRule type="expression" priority="269" aboveAverage="0" equalAverage="0" bottom="0" percent="0" rank="0" text="" dxfId="1">
      <formula>O1195="Weaker"</formula>
    </cfRule>
  </conditionalFormatting>
  <conditionalFormatting sqref="K1213:K1222">
    <cfRule type="expression" priority="270" aboveAverage="0" equalAverage="0" bottom="0" percent="0" rank="0" text="" dxfId="0">
      <formula>K1213="Better"</formula>
    </cfRule>
    <cfRule type="expression" priority="271" aboveAverage="0" equalAverage="0" bottom="0" percent="0" rank="0" text="" dxfId="1">
      <formula>K1213="Weaker"</formula>
    </cfRule>
  </conditionalFormatting>
  <conditionalFormatting sqref="O1213:O1222">
    <cfRule type="expression" priority="272" aboveAverage="0" equalAverage="0" bottom="0" percent="0" rank="0" text="" dxfId="0">
      <formula>O1213="Better"</formula>
    </cfRule>
    <cfRule type="expression" priority="273" aboveAverage="0" equalAverage="0" bottom="0" percent="0" rank="0" text="" dxfId="1">
      <formula>O1213="Weaker"</formula>
    </cfRule>
  </conditionalFormatting>
  <conditionalFormatting sqref="K1231:K1240">
    <cfRule type="expression" priority="274" aboveAverage="0" equalAverage="0" bottom="0" percent="0" rank="0" text="" dxfId="0">
      <formula>K1231="Better"</formula>
    </cfRule>
    <cfRule type="expression" priority="275" aboveAverage="0" equalAverage="0" bottom="0" percent="0" rank="0" text="" dxfId="1">
      <formula>K1231="Weaker"</formula>
    </cfRule>
  </conditionalFormatting>
  <conditionalFormatting sqref="O1231:O1240">
    <cfRule type="expression" priority="276" aboveAverage="0" equalAverage="0" bottom="0" percent="0" rank="0" text="" dxfId="0">
      <formula>O1231="Better"</formula>
    </cfRule>
    <cfRule type="expression" priority="277" aboveAverage="0" equalAverage="0" bottom="0" percent="0" rank="0" text="" dxfId="1">
      <formula>O1231="Weaker"</formula>
    </cfRule>
  </conditionalFormatting>
  <conditionalFormatting sqref="K1249:K1258">
    <cfRule type="expression" priority="278" aboveAverage="0" equalAverage="0" bottom="0" percent="0" rank="0" text="" dxfId="0">
      <formula>K1249="Better"</formula>
    </cfRule>
    <cfRule type="expression" priority="279" aboveAverage="0" equalAverage="0" bottom="0" percent="0" rank="0" text="" dxfId="1">
      <formula>K1249="Weaker"</formula>
    </cfRule>
  </conditionalFormatting>
  <conditionalFormatting sqref="O1249:O1258">
    <cfRule type="expression" priority="280" aboveAverage="0" equalAverage="0" bottom="0" percent="0" rank="0" text="" dxfId="0">
      <formula>O1249="Better"</formula>
    </cfRule>
    <cfRule type="expression" priority="281" aboveAverage="0" equalAverage="0" bottom="0" percent="0" rank="0" text="" dxfId="1">
      <formula>O1249="Weaker"</formula>
    </cfRule>
  </conditionalFormatting>
  <conditionalFormatting sqref="K1267:K1276">
    <cfRule type="expression" priority="282" aboveAverage="0" equalAverage="0" bottom="0" percent="0" rank="0" text="" dxfId="0">
      <formula>K1267="Better"</formula>
    </cfRule>
    <cfRule type="expression" priority="283" aboveAverage="0" equalAverage="0" bottom="0" percent="0" rank="0" text="" dxfId="1">
      <formula>K1267="Weaker"</formula>
    </cfRule>
  </conditionalFormatting>
  <conditionalFormatting sqref="O1267:O1276">
    <cfRule type="expression" priority="284" aboveAverage="0" equalAverage="0" bottom="0" percent="0" rank="0" text="" dxfId="0">
      <formula>O1267="Better"</formula>
    </cfRule>
    <cfRule type="expression" priority="285" aboveAverage="0" equalAverage="0" bottom="0" percent="0" rank="0" text="" dxfId="1">
      <formula>O1267="Weaker"</formula>
    </cfRule>
  </conditionalFormatting>
  <conditionalFormatting sqref="K1285:K1294">
    <cfRule type="expression" priority="286" aboveAverage="0" equalAverage="0" bottom="0" percent="0" rank="0" text="" dxfId="0">
      <formula>K1285="Better"</formula>
    </cfRule>
    <cfRule type="expression" priority="287" aboveAverage="0" equalAverage="0" bottom="0" percent="0" rank="0" text="" dxfId="1">
      <formula>K1285="Weaker"</formula>
    </cfRule>
  </conditionalFormatting>
  <conditionalFormatting sqref="O1285:O1294">
    <cfRule type="expression" priority="288" aboveAverage="0" equalAverage="0" bottom="0" percent="0" rank="0" text="" dxfId="0">
      <formula>O1285="Better"</formula>
    </cfRule>
    <cfRule type="expression" priority="289" aboveAverage="0" equalAverage="0" bottom="0" percent="0" rank="0" text="" dxfId="1">
      <formula>O1285="Weaker"</formula>
    </cfRule>
  </conditionalFormatting>
  <conditionalFormatting sqref="K1303:K1312">
    <cfRule type="expression" priority="290" aboveAverage="0" equalAverage="0" bottom="0" percent="0" rank="0" text="" dxfId="0">
      <formula>K1303="Better"</formula>
    </cfRule>
    <cfRule type="expression" priority="291" aboveAverage="0" equalAverage="0" bottom="0" percent="0" rank="0" text="" dxfId="1">
      <formula>K1303="Weaker"</formula>
    </cfRule>
  </conditionalFormatting>
  <conditionalFormatting sqref="O1303:O1312">
    <cfRule type="expression" priority="292" aboveAverage="0" equalAverage="0" bottom="0" percent="0" rank="0" text="" dxfId="0">
      <formula>O1303="Better"</formula>
    </cfRule>
    <cfRule type="expression" priority="293" aboveAverage="0" equalAverage="0" bottom="0" percent="0" rank="0" text="" dxfId="1">
      <formula>O1303="Weaker"</formula>
    </cfRule>
  </conditionalFormatting>
  <conditionalFormatting sqref="K1321:K1330">
    <cfRule type="expression" priority="294" aboveAverage="0" equalAverage="0" bottom="0" percent="0" rank="0" text="" dxfId="0">
      <formula>K1321="Better"</formula>
    </cfRule>
    <cfRule type="expression" priority="295" aboveAverage="0" equalAverage="0" bottom="0" percent="0" rank="0" text="" dxfId="1">
      <formula>K1321="Weaker"</formula>
    </cfRule>
  </conditionalFormatting>
  <conditionalFormatting sqref="O1321:O1330">
    <cfRule type="expression" priority="296" aboveAverage="0" equalAverage="0" bottom="0" percent="0" rank="0" text="" dxfId="0">
      <formula>O1321="Better"</formula>
    </cfRule>
    <cfRule type="expression" priority="297" aboveAverage="0" equalAverage="0" bottom="0" percent="0" rank="0" text="" dxfId="1">
      <formula>O1321="Weaker"</formula>
    </cfRule>
  </conditionalFormatting>
  <conditionalFormatting sqref="K1339:K1348">
    <cfRule type="expression" priority="298" aboveAverage="0" equalAverage="0" bottom="0" percent="0" rank="0" text="" dxfId="0">
      <formula>K1339="Better"</formula>
    </cfRule>
    <cfRule type="expression" priority="299" aboveAverage="0" equalAverage="0" bottom="0" percent="0" rank="0" text="" dxfId="1">
      <formula>K1339="Weaker"</formula>
    </cfRule>
  </conditionalFormatting>
  <conditionalFormatting sqref="O1339:O1348">
    <cfRule type="expression" priority="300" aboveAverage="0" equalAverage="0" bottom="0" percent="0" rank="0" text="" dxfId="0">
      <formula>O1339="Better"</formula>
    </cfRule>
    <cfRule type="expression" priority="301" aboveAverage="0" equalAverage="0" bottom="0" percent="0" rank="0" text="" dxfId="1">
      <formula>O1339="Weaker"</formula>
    </cfRule>
  </conditionalFormatting>
  <conditionalFormatting sqref="K1357:K1366">
    <cfRule type="expression" priority="302" aboveAverage="0" equalAverage="0" bottom="0" percent="0" rank="0" text="" dxfId="0">
      <formula>K1357="Better"</formula>
    </cfRule>
    <cfRule type="expression" priority="303" aboveAverage="0" equalAverage="0" bottom="0" percent="0" rank="0" text="" dxfId="1">
      <formula>K1357="Weaker"</formula>
    </cfRule>
  </conditionalFormatting>
  <conditionalFormatting sqref="O1357:O1366">
    <cfRule type="expression" priority="304" aboveAverage="0" equalAverage="0" bottom="0" percent="0" rank="0" text="" dxfId="0">
      <formula>O1357="Better"</formula>
    </cfRule>
    <cfRule type="expression" priority="305" aboveAverage="0" equalAverage="0" bottom="0" percent="0" rank="0" text="" dxfId="1">
      <formula>O1357="Weaker"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Y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9" min="2" style="0" width="12"/>
  </cols>
  <sheetData>
    <row r="1" customFormat="false" ht="16.15" hidden="false" customHeight="false" outlineLevel="0" collapsed="false">
      <c r="A1" s="5" t="s">
        <v>256</v>
      </c>
    </row>
    <row r="2" customFormat="false" ht="15" hidden="false" customHeight="false" outlineLevel="0" collapsed="false">
      <c r="A2" s="6" t="s">
        <v>257</v>
      </c>
    </row>
    <row r="4" customFormat="false" ht="15" hidden="false" customHeight="false" outlineLevel="0" collapsed="false">
      <c r="A4" s="16" t="s">
        <v>258</v>
      </c>
      <c r="B4" s="17"/>
      <c r="C4" s="17"/>
      <c r="D4" s="17"/>
      <c r="E4" s="17"/>
      <c r="F4" s="17"/>
      <c r="G4" s="17"/>
      <c r="H4" s="17"/>
      <c r="I4" s="17"/>
      <c r="J4" s="17"/>
      <c r="K4" s="17"/>
      <c r="L4" s="17"/>
      <c r="M4" s="17"/>
      <c r="N4" s="17"/>
    </row>
    <row r="5" customFormat="false" ht="30" hidden="false" customHeight="true" outlineLevel="0" collapsed="false">
      <c r="A5" s="7" t="s">
        <v>259</v>
      </c>
      <c r="B5" s="7" t="s">
        <v>260</v>
      </c>
      <c r="C5" s="7" t="s">
        <v>101</v>
      </c>
      <c r="D5" s="7" t="s">
        <v>100</v>
      </c>
      <c r="E5" s="7" t="s">
        <v>261</v>
      </c>
      <c r="F5" s="7" t="s">
        <v>262</v>
      </c>
      <c r="G5" s="7" t="s">
        <v>102</v>
      </c>
      <c r="H5" s="7" t="s">
        <v>103</v>
      </c>
      <c r="I5" s="7" t="s">
        <v>263</v>
      </c>
      <c r="J5" s="7" t="s">
        <v>264</v>
      </c>
      <c r="K5" s="7" t="s">
        <v>265</v>
      </c>
      <c r="L5" s="7" t="s">
        <v>266</v>
      </c>
    </row>
    <row r="6" customFormat="false" ht="15" hidden="false" customHeight="false" outlineLevel="0" collapsed="false">
      <c r="A6" s="18" t="s">
        <v>267</v>
      </c>
      <c r="B6" s="43" t="n">
        <f aca="false">COUNT(Panel!$C$2:$C$71)</f>
        <v>70</v>
      </c>
      <c r="C6" s="44" t="n">
        <f aca="false">AVERAGE(Panel!$C$2:$C$71)</f>
        <v>3331.39285714286</v>
      </c>
      <c r="D6" s="44" t="n">
        <f aca="false">MEDIAN(Panel!$C$2:$C$71)</f>
        <v>1483.42</v>
      </c>
      <c r="E6" s="44" t="n">
        <f aca="false">STDEV(Panel!$C$2:$C$71)</f>
        <v>4086.33641792018</v>
      </c>
      <c r="F6" s="45" t="n">
        <f aca="false">IFERROR(E6/ABS(C6),"N/M")</f>
        <v>1.22661499053126</v>
      </c>
      <c r="G6" s="44" t="n">
        <f aca="false">MIN(Panel!$C$2:$C$71)</f>
        <v>108.23</v>
      </c>
      <c r="H6" s="44" t="n">
        <f aca="false">MAX(Panel!$C$2:$C$71)</f>
        <v>19062.06</v>
      </c>
      <c r="I6" s="45" t="n">
        <f aca="false">SKEW(Panel!$C$2:$C$71)</f>
        <v>1.83133905648196</v>
      </c>
      <c r="J6" s="45" t="n">
        <f aca="false">KURT(Panel!$C$2:$C$71)</f>
        <v>4.05931856482983</v>
      </c>
      <c r="K6" s="44" t="n">
        <f aca="false">AVERAGE(Panel!$C$2:$C$64)</f>
        <v>3652.67396825397</v>
      </c>
      <c r="L6" s="44" t="n">
        <f aca="false">MEDIAN(Panel!$C$2:$C$64)</f>
        <v>2802.39</v>
      </c>
    </row>
    <row r="7" customFormat="false" ht="15" hidden="false" customHeight="false" outlineLevel="0" collapsed="false">
      <c r="A7" s="18" t="s">
        <v>268</v>
      </c>
      <c r="B7" s="43" t="n">
        <f aca="false">COUNT(Panel!$D$2:$D$71)</f>
        <v>70</v>
      </c>
      <c r="C7" s="44" t="n">
        <f aca="false">AVERAGE(Panel!$D$2:$D$71)</f>
        <v>2896.46414285714</v>
      </c>
      <c r="D7" s="44" t="n">
        <f aca="false">MEDIAN(Panel!$D$2:$D$71)</f>
        <v>1685.125</v>
      </c>
      <c r="E7" s="44" t="n">
        <f aca="false">STDEV(Panel!$D$2:$D$71)</f>
        <v>4078.11118477322</v>
      </c>
      <c r="F7" s="45" t="n">
        <f aca="false">IFERROR(E7/ABS(C7),"N/M")</f>
        <v>1.40796190929209</v>
      </c>
      <c r="G7" s="44" t="n">
        <f aca="false">MIN(Panel!$D$2:$D$71)</f>
        <v>79.35</v>
      </c>
      <c r="H7" s="44" t="n">
        <f aca="false">MAX(Panel!$D$2:$D$71)</f>
        <v>15175.78</v>
      </c>
      <c r="I7" s="45" t="n">
        <f aca="false">SKEW(Panel!$D$2:$D$71)</f>
        <v>1.86754856367897</v>
      </c>
      <c r="J7" s="45" t="n">
        <f aca="false">KURT(Panel!$D$2:$D$71)</f>
        <v>2.48466767817226</v>
      </c>
      <c r="K7" s="44" t="n">
        <f aca="false">AVERAGE(Panel!$D$2:$D$64)</f>
        <v>3069.24952380952</v>
      </c>
      <c r="L7" s="44" t="n">
        <f aca="false">MEDIAN(Panel!$D$2:$D$64)</f>
        <v>1736</v>
      </c>
    </row>
    <row r="8" customFormat="false" ht="15" hidden="false" customHeight="false" outlineLevel="0" collapsed="false">
      <c r="A8" s="18" t="s">
        <v>269</v>
      </c>
      <c r="B8" s="43" t="n">
        <f aca="false">COUNT(Panel!$E$2:$E$71)</f>
        <v>70</v>
      </c>
      <c r="C8" s="46" t="n">
        <f aca="false">AVERAGE(Panel!$E$2:$E$71)</f>
        <v>0.342974140814244</v>
      </c>
      <c r="D8" s="46" t="n">
        <f aca="false">MEDIAN(Panel!$E$2:$E$71)</f>
        <v>0.338636370858146</v>
      </c>
      <c r="E8" s="46" t="n">
        <f aca="false">STDEV(Panel!$E$2:$E$71)</f>
        <v>0.162875509738</v>
      </c>
      <c r="F8" s="45" t="n">
        <f aca="false">IFERROR(E8/ABS(C8),"N/M")</f>
        <v>0.474891516168893</v>
      </c>
      <c r="G8" s="46" t="n">
        <f aca="false">MIN(Panel!$E$2:$E$71)</f>
        <v>0.03739243012718</v>
      </c>
      <c r="H8" s="46" t="n">
        <f aca="false">MAX(Panel!$E$2:$E$71)</f>
        <v>0.763369944893507</v>
      </c>
      <c r="I8" s="45" t="n">
        <f aca="false">SKEW(Panel!$E$2:$E$71)</f>
        <v>0.224370374342857</v>
      </c>
      <c r="J8" s="45" t="n">
        <f aca="false">KURT(Panel!$E$2:$E$71)</f>
        <v>0.00704438877189073</v>
      </c>
      <c r="K8" s="46" t="n">
        <f aca="false">AVERAGE(Panel!$E$2:$E$64)</f>
        <v>0.315755973407002</v>
      </c>
      <c r="L8" s="46" t="n">
        <f aca="false">MEDIAN(Panel!$E$2:$E$64)</f>
        <v>0.324990011516134</v>
      </c>
    </row>
    <row r="9" customFormat="false" ht="15" hidden="false" customHeight="false" outlineLevel="0" collapsed="false">
      <c r="A9" s="18" t="s">
        <v>119</v>
      </c>
      <c r="B9" s="43" t="n">
        <f aca="false">COUNT(Panel!$F$2:$F$71)</f>
        <v>70</v>
      </c>
      <c r="C9" s="47" t="n">
        <f aca="false">AVERAGE(Panel!$F$2:$F$71)</f>
        <v>3.00858205131232</v>
      </c>
      <c r="D9" s="47" t="n">
        <f aca="false">MEDIAN(Panel!$F$2:$F$71)</f>
        <v>2.6540416507686</v>
      </c>
      <c r="E9" s="47" t="n">
        <f aca="false">STDEV(Panel!$F$2:$F$71)</f>
        <v>2.02927959648795</v>
      </c>
      <c r="F9" s="45" t="n">
        <f aca="false">IFERROR(E9/ABS(C9),"N/M")</f>
        <v>0.6744970095141</v>
      </c>
      <c r="G9" s="47" t="n">
        <f aca="false">MIN(Panel!$F$2:$F$71)</f>
        <v>0.430409645350067</v>
      </c>
      <c r="H9" s="47" t="n">
        <f aca="false">MAX(Panel!$F$2:$F$71)</f>
        <v>10.61872909699</v>
      </c>
      <c r="I9" s="45" t="n">
        <f aca="false">SKEW(Panel!$F$2:$F$71)</f>
        <v>1.23603505320347</v>
      </c>
      <c r="J9" s="45" t="n">
        <f aca="false">KURT(Panel!$F$2:$F$71)</f>
        <v>1.97618159502899</v>
      </c>
      <c r="K9" s="47" t="n">
        <f aca="false">AVERAGE(Panel!$F$2:$F$64)</f>
        <v>3.26291759060396</v>
      </c>
      <c r="L9" s="47" t="n">
        <f aca="false">MEDIAN(Panel!$F$2:$F$64)</f>
        <v>2.85593743568636</v>
      </c>
    </row>
    <row r="10" customFormat="false" ht="15" hidden="false" customHeight="false" outlineLevel="0" collapsed="false">
      <c r="A10" s="18" t="s">
        <v>121</v>
      </c>
      <c r="B10" s="43" t="n">
        <f aca="false">COUNT(Panel!$G$2:$G$71)</f>
        <v>70</v>
      </c>
      <c r="C10" s="47" t="n">
        <f aca="false">AVERAGE(Panel!$G$2:$G$71)</f>
        <v>2.14908736460807</v>
      </c>
      <c r="D10" s="47" t="n">
        <f aca="false">MEDIAN(Panel!$G$2:$G$71)</f>
        <v>1.69646455093947</v>
      </c>
      <c r="E10" s="47" t="n">
        <f aca="false">STDEV(Panel!$G$2:$G$71)</f>
        <v>1.66022656479804</v>
      </c>
      <c r="F10" s="45" t="n">
        <f aca="false">IFERROR(E10/ABS(C10),"N/M")</f>
        <v>0.772526325425032</v>
      </c>
      <c r="G10" s="47" t="n">
        <f aca="false">MIN(Panel!$G$2:$G$71)</f>
        <v>0.244509271663259</v>
      </c>
      <c r="H10" s="47" t="n">
        <f aca="false">MAX(Panel!$G$2:$G$71)</f>
        <v>7.94230769230769</v>
      </c>
      <c r="I10" s="45" t="n">
        <f aca="false">SKEW(Panel!$G$2:$G$71)</f>
        <v>1.28738112989836</v>
      </c>
      <c r="J10" s="45" t="n">
        <f aca="false">KURT(Panel!$G$2:$G$71)</f>
        <v>1.55361814627478</v>
      </c>
      <c r="K10" s="47" t="n">
        <f aca="false">AVERAGE(Panel!$G$2:$G$64)</f>
        <v>2.33600601731601</v>
      </c>
      <c r="L10" s="47" t="n">
        <f aca="false">MEDIAN(Panel!$G$2:$G$64)</f>
        <v>1.87848383500557</v>
      </c>
    </row>
    <row r="11" customFormat="false" ht="15" hidden="false" customHeight="false" outlineLevel="0" collapsed="false">
      <c r="A11" s="18" t="s">
        <v>127</v>
      </c>
      <c r="B11" s="43" t="n">
        <f aca="false">COUNT(Panel!$H$2:$H$71)</f>
        <v>70</v>
      </c>
      <c r="C11" s="47" t="n">
        <f aca="false">AVERAGE(Panel!$H$2:$H$71)</f>
        <v>7.16342134621414</v>
      </c>
      <c r="D11" s="47" t="n">
        <f aca="false">MEDIAN(Panel!$H$2:$H$71)</f>
        <v>2.84367470873626</v>
      </c>
      <c r="E11" s="47" t="n">
        <f aca="false">STDEV(Panel!$H$2:$H$71)</f>
        <v>12.060859234141</v>
      </c>
      <c r="F11" s="45" t="n">
        <f aca="false">IFERROR(E11/ABS(C11),"N/M")</f>
        <v>1.68367301757493</v>
      </c>
      <c r="G11" s="47" t="n">
        <f aca="false">MIN(Panel!$H$2:$H$71)</f>
        <v>-41.7227671657202</v>
      </c>
      <c r="H11" s="47" t="n">
        <f aca="false">MAX(Panel!$H$2:$H$71)</f>
        <v>38.0702647657841</v>
      </c>
      <c r="I11" s="45" t="n">
        <f aca="false">SKEW(Panel!$H$2:$H$71)</f>
        <v>-0.11833647954561</v>
      </c>
      <c r="J11" s="45" t="n">
        <f aca="false">KURT(Panel!$H$2:$H$71)</f>
        <v>3.33882547410501</v>
      </c>
      <c r="K11" s="47" t="n">
        <f aca="false">AVERAGE(Panel!$H$2:$H$64)</f>
        <v>8.89364592404713</v>
      </c>
      <c r="L11" s="47" t="n">
        <f aca="false">MEDIAN(Panel!$H$2:$H$64)</f>
        <v>4.60377358490566</v>
      </c>
    </row>
    <row r="12" customFormat="false" ht="15" hidden="false" customHeight="false" outlineLevel="0" collapsed="false">
      <c r="A12" s="18" t="s">
        <v>130</v>
      </c>
      <c r="B12" s="43" t="n">
        <f aca="false">COUNT(Panel!$I$2:$I$71)</f>
        <v>70</v>
      </c>
      <c r="C12" s="48" t="n">
        <f aca="false">AVERAGE(Panel!$I$2:$I$71)</f>
        <v>69.0818953505388</v>
      </c>
      <c r="D12" s="48" t="n">
        <f aca="false">MEDIAN(Panel!$I$2:$I$71)</f>
        <v>58.3242661617654</v>
      </c>
      <c r="E12" s="48" t="n">
        <f aca="false">STDEV(Panel!$I$2:$I$71)</f>
        <v>40.5728804911051</v>
      </c>
      <c r="F12" s="45" t="n">
        <f aca="false">IFERROR(E12/ABS(C12),"N/M")</f>
        <v>0.587315682136805</v>
      </c>
      <c r="G12" s="48" t="n">
        <f aca="false">MIN(Panel!$I$2:$I$71)</f>
        <v>7.26923618778397</v>
      </c>
      <c r="H12" s="48" t="n">
        <f aca="false">MAX(Panel!$I$2:$I$71)</f>
        <v>242.217797042325</v>
      </c>
      <c r="I12" s="45" t="n">
        <f aca="false">SKEW(Panel!$I$2:$I$71)</f>
        <v>1.52776151890997</v>
      </c>
      <c r="J12" s="45" t="n">
        <f aca="false">KURT(Panel!$I$2:$I$71)</f>
        <v>4.46098060207666</v>
      </c>
      <c r="K12" s="48" t="n">
        <f aca="false">AVERAGE(Panel!$I$2:$I$64)</f>
        <v>63.8460207402131</v>
      </c>
      <c r="L12" s="48" t="n">
        <f aca="false">MEDIAN(Panel!$I$2:$I$64)</f>
        <v>57.0980389564694</v>
      </c>
    </row>
    <row r="13" customFormat="false" ht="15" hidden="false" customHeight="false" outlineLevel="0" collapsed="false">
      <c r="A13" s="18" t="s">
        <v>132</v>
      </c>
      <c r="B13" s="43" t="n">
        <f aca="false">COUNT(Panel!$J$2:$J$71)</f>
        <v>70</v>
      </c>
      <c r="C13" s="47" t="n">
        <f aca="false">AVERAGE(Panel!$J$2:$J$71)</f>
        <v>9.97455227739988</v>
      </c>
      <c r="D13" s="47" t="n">
        <f aca="false">MEDIAN(Panel!$J$2:$J$71)</f>
        <v>4.89506228915297</v>
      </c>
      <c r="E13" s="47" t="n">
        <f aca="false">STDEV(Panel!$J$2:$J$71)</f>
        <v>14.726541669235</v>
      </c>
      <c r="F13" s="45" t="n">
        <f aca="false">IFERROR(E13/ABS(C13),"N/M")</f>
        <v>1.47641129743759</v>
      </c>
      <c r="G13" s="47" t="n">
        <f aca="false">MIN(Panel!$J$2:$J$71)</f>
        <v>0.380324090002064</v>
      </c>
      <c r="H13" s="47" t="n">
        <f aca="false">MAX(Panel!$J$2:$J$71)</f>
        <v>74.6945962355799</v>
      </c>
      <c r="I13" s="45" t="n">
        <f aca="false">SKEW(Panel!$J$2:$J$71)</f>
        <v>2.95488393294593</v>
      </c>
      <c r="J13" s="45" t="n">
        <f aca="false">KURT(Panel!$J$2:$J$71)</f>
        <v>8.87855153923545</v>
      </c>
      <c r="K13" s="47" t="n">
        <f aca="false">AVERAGE(Panel!$J$2:$J$64)</f>
        <v>11.0178785347353</v>
      </c>
      <c r="L13" s="47" t="n">
        <f aca="false">MEDIAN(Panel!$J$2:$J$64)</f>
        <v>5.61015640084959</v>
      </c>
    </row>
    <row r="14" customFormat="false" ht="15" hidden="false" customHeight="false" outlineLevel="0" collapsed="false">
      <c r="A14" s="18" t="s">
        <v>137</v>
      </c>
      <c r="B14" s="43" t="n">
        <f aca="false">COUNT(Panel!$K$2:$K$71)</f>
        <v>70</v>
      </c>
      <c r="C14" s="46" t="n">
        <f aca="false">AVERAGE(Panel!$K$2:$K$71)</f>
        <v>-0.0431197847999492</v>
      </c>
      <c r="D14" s="46" t="n">
        <f aca="false">MEDIAN(Panel!$K$2:$K$71)</f>
        <v>0.0245288466145017</v>
      </c>
      <c r="E14" s="46" t="n">
        <f aca="false">STDEV(Panel!$K$2:$K$71)</f>
        <v>0.39058514750121</v>
      </c>
      <c r="F14" s="45" t="n">
        <f aca="false">IFERROR(E14/ABS(C14),"N/M")</f>
        <v>9.05814231943176</v>
      </c>
      <c r="G14" s="46" t="n">
        <f aca="false">MIN(Panel!$K$2:$K$71)</f>
        <v>-2.3024442547108</v>
      </c>
      <c r="H14" s="46" t="n">
        <f aca="false">MAX(Panel!$K$2:$K$71)</f>
        <v>0.145675519823977</v>
      </c>
      <c r="I14" s="45" t="n">
        <f aca="false">SKEW(Panel!$K$2:$K$71)</f>
        <v>-5.22187521523557</v>
      </c>
      <c r="J14" s="45" t="n">
        <f aca="false">KURT(Panel!$K$2:$K$71)</f>
        <v>27.5437510407032</v>
      </c>
      <c r="K14" s="46" t="n">
        <f aca="false">AVERAGE(Panel!$K$2:$K$64)</f>
        <v>0.0377837228493534</v>
      </c>
      <c r="L14" s="46" t="n">
        <f aca="false">MEDIAN(Panel!$K$2:$K$64)</f>
        <v>0.0309144814484327</v>
      </c>
    </row>
    <row r="15" customFormat="false" ht="15" hidden="false" customHeight="false" outlineLevel="0" collapsed="false">
      <c r="A15" s="18" t="s">
        <v>139</v>
      </c>
      <c r="B15" s="43" t="n">
        <f aca="false">COUNT(Panel!$L$2:$L$71)</f>
        <v>70</v>
      </c>
      <c r="C15" s="46" t="n">
        <f aca="false">AVERAGE(Panel!$L$2:$L$71)</f>
        <v>0.0305095831168863</v>
      </c>
      <c r="D15" s="46" t="n">
        <f aca="false">MEDIAN(Panel!$L$2:$L$71)</f>
        <v>0.0364432924292564</v>
      </c>
      <c r="E15" s="46" t="n">
        <f aca="false">STDEV(Panel!$L$2:$L$71)</f>
        <v>0.135436730508524</v>
      </c>
      <c r="F15" s="45" t="n">
        <f aca="false">IFERROR(E15/ABS(C15),"N/M")</f>
        <v>4.43915375669499</v>
      </c>
      <c r="G15" s="46" t="n">
        <f aca="false">MIN(Panel!$L$2:$L$71)</f>
        <v>-0.707151306500918</v>
      </c>
      <c r="H15" s="46" t="n">
        <f aca="false">MAX(Panel!$L$2:$L$71)</f>
        <v>0.32793759141882</v>
      </c>
      <c r="I15" s="45" t="n">
        <f aca="false">SKEW(Panel!$L$2:$L$71)</f>
        <v>-3.19550024792664</v>
      </c>
      <c r="J15" s="45" t="n">
        <f aca="false">KURT(Panel!$L$2:$L$71)</f>
        <v>15.5768517033436</v>
      </c>
      <c r="K15" s="46" t="n">
        <f aca="false">AVERAGE(Panel!$L$2:$L$64)</f>
        <v>0.0566257293645305</v>
      </c>
      <c r="L15" s="46" t="n">
        <f aca="false">MEDIAN(Panel!$L$2:$L$64)</f>
        <v>0.0419650164639601</v>
      </c>
    </row>
    <row r="16" customFormat="false" ht="15" hidden="false" customHeight="false" outlineLevel="0" collapsed="false">
      <c r="A16" s="18" t="s">
        <v>142</v>
      </c>
      <c r="B16" s="43" t="n">
        <f aca="false">COUNT(Panel!$M$2:$M$71)</f>
        <v>67</v>
      </c>
      <c r="C16" s="46" t="n">
        <f aca="false">AVERAGE(Panel!$M$2:$M$71)</f>
        <v>0.0645592102265955</v>
      </c>
      <c r="D16" s="46" t="n">
        <f aca="false">MEDIAN(Panel!$M$2:$M$71)</f>
        <v>0.0979403715972922</v>
      </c>
      <c r="E16" s="46" t="n">
        <f aca="false">STDEV(Panel!$M$2:$M$71)</f>
        <v>0.341170683776703</v>
      </c>
      <c r="F16" s="45" t="n">
        <f aca="false">IFERROR(E16/ABS(C16),"N/M")</f>
        <v>5.28461675071973</v>
      </c>
      <c r="G16" s="46" t="n">
        <f aca="false">MIN(Panel!$M$2:$M$71)</f>
        <v>-2.15699373695198</v>
      </c>
      <c r="H16" s="46" t="n">
        <f aca="false">MAX(Panel!$M$2:$M$71)</f>
        <v>0.779007271577616</v>
      </c>
      <c r="I16" s="45" t="n">
        <f aca="false">SKEW(Panel!$M$2:$M$71)</f>
        <v>-4.26668360754157</v>
      </c>
      <c r="J16" s="45" t="n">
        <f aca="false">KURT(Panel!$M$2:$M$71)</f>
        <v>27.6636786991994</v>
      </c>
      <c r="K16" s="46" t="n">
        <f aca="false">AVERAGE(Panel!$M$2:$M$64)</f>
        <v>0.10455703647413</v>
      </c>
      <c r="L16" s="46" t="n">
        <f aca="false">MEDIAN(Panel!$M$2:$M$64)</f>
        <v>0.098073710077591</v>
      </c>
    </row>
    <row r="17" customFormat="false" ht="15" hidden="false" customHeight="false" outlineLevel="0" collapsed="false">
      <c r="A17" s="18" t="s">
        <v>143</v>
      </c>
      <c r="B17" s="43" t="n">
        <f aca="false">COUNT(Panel!$N$2:$N$71)</f>
        <v>51</v>
      </c>
      <c r="C17" s="47" t="n">
        <f aca="false">AVERAGE(Panel!$N$2:$N$71)</f>
        <v>114.77776337598</v>
      </c>
      <c r="D17" s="47" t="n">
        <f aca="false">MEDIAN(Panel!$N$2:$N$71)</f>
        <v>30.117024883505</v>
      </c>
      <c r="E17" s="47" t="n">
        <f aca="false">STDEV(Panel!$N$2:$N$71)</f>
        <v>293.231045527706</v>
      </c>
      <c r="F17" s="45" t="n">
        <f aca="false">IFERROR(E17/ABS(C17),"N/M")</f>
        <v>2.55477225642709</v>
      </c>
      <c r="G17" s="47" t="n">
        <f aca="false">MIN(Panel!$N$2:$N$71)</f>
        <v>3.13351955307263</v>
      </c>
      <c r="H17" s="47" t="n">
        <f aca="false">MAX(Panel!$N$2:$N$71)</f>
        <v>1441.64890829694</v>
      </c>
      <c r="I17" s="45" t="n">
        <f aca="false">SKEW(Panel!$N$2:$N$71)</f>
        <v>3.88292528584027</v>
      </c>
      <c r="J17" s="45" t="n">
        <f aca="false">KURT(Panel!$N$2:$N$71)</f>
        <v>14.6226951690544</v>
      </c>
      <c r="K17" s="47" t="n">
        <f aca="false">AVERAGE(Panel!$N$2:$N$64)</f>
        <v>116.869303310707</v>
      </c>
      <c r="L17" s="47" t="n">
        <f aca="false">MEDIAN(Panel!$N$2:$N$64)</f>
        <v>31.3908683149628</v>
      </c>
    </row>
    <row r="18" customFormat="false" ht="15" hidden="false" customHeight="false" outlineLevel="0" collapsed="false">
      <c r="A18" s="18" t="s">
        <v>145</v>
      </c>
      <c r="B18" s="43" t="n">
        <f aca="false">COUNT(Panel!$O$2:$O$71)</f>
        <v>61</v>
      </c>
      <c r="C18" s="47" t="n">
        <f aca="false">AVERAGE(Panel!$O$2:$O$71)</f>
        <v>4.49332257893767</v>
      </c>
      <c r="D18" s="47" t="n">
        <f aca="false">MEDIAN(Panel!$O$2:$O$71)</f>
        <v>2.99930673115679</v>
      </c>
      <c r="E18" s="47" t="n">
        <f aca="false">STDEV(Panel!$O$2:$O$71)</f>
        <v>5.6722439884222</v>
      </c>
      <c r="F18" s="45" t="n">
        <f aca="false">IFERROR(E18/ABS(C18),"N/M")</f>
        <v>1.26237186152864</v>
      </c>
      <c r="G18" s="47" t="n">
        <f aca="false">MIN(Panel!$O$2:$O$71)</f>
        <v>0.0629980150498271</v>
      </c>
      <c r="H18" s="47" t="n">
        <f aca="false">MAX(Panel!$O$2:$O$71)</f>
        <v>33.4310248955432</v>
      </c>
      <c r="I18" s="45" t="n">
        <f aca="false">SKEW(Panel!$O$2:$O$71)</f>
        <v>3.11054053186328</v>
      </c>
      <c r="J18" s="45" t="n">
        <f aca="false">KURT(Panel!$O$2:$O$71)</f>
        <v>12.0592661151379</v>
      </c>
      <c r="K18" s="47" t="n">
        <f aca="false">AVERAGE(Panel!$O$2:$O$64)</f>
        <v>4.14012417632368</v>
      </c>
      <c r="L18" s="47" t="n">
        <f aca="false">MEDIAN(Panel!$O$2:$O$64)</f>
        <v>2.99930673115679</v>
      </c>
    </row>
    <row r="19" customFormat="false" ht="15" hidden="false" customHeight="false" outlineLevel="0" collapsed="false">
      <c r="A19" s="18" t="s">
        <v>147</v>
      </c>
      <c r="B19" s="43" t="n">
        <f aca="false">COUNT(Panel!$P$2:$P$71)</f>
        <v>58</v>
      </c>
      <c r="C19" s="47" t="n">
        <f aca="false">AVERAGE(Panel!$P$2:$P$71)</f>
        <v>16.0277574983994</v>
      </c>
      <c r="D19" s="47" t="n">
        <f aca="false">MEDIAN(Panel!$P$2:$P$71)</f>
        <v>12.1867660147856</v>
      </c>
      <c r="E19" s="47" t="n">
        <f aca="false">STDEV(Panel!$P$2:$P$71)</f>
        <v>24.5001303716635</v>
      </c>
      <c r="F19" s="45" t="n">
        <f aca="false">IFERROR(E19/ABS(C19),"N/M")</f>
        <v>1.52860625537354</v>
      </c>
      <c r="G19" s="47" t="n">
        <f aca="false">MIN(Panel!$P$2:$P$71)</f>
        <v>2.78725208175624</v>
      </c>
      <c r="H19" s="47" t="n">
        <f aca="false">MAX(Panel!$P$2:$P$71)</f>
        <v>193.24633803681</v>
      </c>
      <c r="I19" s="45" t="n">
        <f aca="false">SKEW(Panel!$P$2:$P$71)</f>
        <v>6.8664143449269</v>
      </c>
      <c r="J19" s="45" t="n">
        <f aca="false">KURT(Panel!$P$2:$P$71)</f>
        <v>50.2148921429206</v>
      </c>
      <c r="K19" s="47" t="n">
        <f aca="false">AVERAGE(Panel!$P$2:$P$64)</f>
        <v>12.7881142978193</v>
      </c>
      <c r="L19" s="47" t="n">
        <f aca="false">MEDIAN(Panel!$P$2:$P$64)</f>
        <v>12.066400306082</v>
      </c>
    </row>
    <row r="20" customFormat="false" ht="15" hidden="false" customHeight="false" outlineLevel="0" collapsed="false">
      <c r="A20" s="18" t="s">
        <v>141</v>
      </c>
      <c r="B20" s="43" t="n">
        <f aca="false">COUNT(Panel!$Q$2:$Q$71)</f>
        <v>70</v>
      </c>
      <c r="C20" s="46" t="n">
        <f aca="false">AVERAGE(Panel!$Q$2:$Q$71)</f>
        <v>0.0589084958211746</v>
      </c>
      <c r="D20" s="46" t="n">
        <f aca="false">MEDIAN(Panel!$Q$2:$Q$71)</f>
        <v>0.0768814300041521</v>
      </c>
      <c r="E20" s="46" t="n">
        <f aca="false">STDEV(Panel!$Q$2:$Q$71)</f>
        <v>0.215311670419289</v>
      </c>
      <c r="F20" s="45" t="n">
        <f aca="false">IFERROR(E20/ABS(C20),"N/M")</f>
        <v>3.65501898186128</v>
      </c>
      <c r="G20" s="46" t="n">
        <f aca="false">MIN(Panel!$Q$2:$Q$71)</f>
        <v>-1.17775559425528</v>
      </c>
      <c r="H20" s="46" t="n">
        <f aca="false">MAX(Panel!$Q$2:$Q$71)</f>
        <v>0.53267131382806</v>
      </c>
      <c r="I20" s="45" t="n">
        <f aca="false">SKEW(Panel!$Q$2:$Q$71)</f>
        <v>-3.89183354125256</v>
      </c>
      <c r="J20" s="45" t="n">
        <f aca="false">KURT(Panel!$Q$2:$Q$71)</f>
        <v>20.097012947608</v>
      </c>
      <c r="K20" s="46" t="n">
        <f aca="false">AVERAGE(Panel!$Q$2:$Q$64)</f>
        <v>0.0999975943850621</v>
      </c>
      <c r="L20" s="46" t="n">
        <f aca="false">MEDIAN(Panel!$Q$2:$Q$64)</f>
        <v>0.0880360938871344</v>
      </c>
    </row>
    <row r="21" customFormat="false" ht="15" hidden="false" customHeight="false" outlineLevel="0" collapsed="false">
      <c r="A21" s="18" t="s">
        <v>133</v>
      </c>
      <c r="B21" s="43" t="n">
        <f aca="false">COUNT(Panel!$R$2:$R$71)</f>
        <v>70</v>
      </c>
      <c r="C21" s="47" t="n">
        <f aca="false">AVERAGE(Panel!$R$2:$R$71)</f>
        <v>1.76409340524345</v>
      </c>
      <c r="D21" s="47" t="n">
        <f aca="false">MEDIAN(Panel!$R$2:$R$71)</f>
        <v>1.68690207169196</v>
      </c>
      <c r="E21" s="47" t="n">
        <f aca="false">STDEV(Panel!$R$2:$R$71)</f>
        <v>1.02659133904199</v>
      </c>
      <c r="F21" s="45" t="n">
        <f aca="false">IFERROR(E21/ABS(C21),"N/M")</f>
        <v>0.581937065231711</v>
      </c>
      <c r="G21" s="47" t="n">
        <f aca="false">MIN(Panel!$R$2:$R$71)</f>
        <v>0.211651863715783</v>
      </c>
      <c r="H21" s="47" t="n">
        <f aca="false">MAX(Panel!$R$2:$R$71)</f>
        <v>5.99814724524622</v>
      </c>
      <c r="I21" s="45" t="n">
        <f aca="false">SKEW(Panel!$R$2:$R$71)</f>
        <v>1.15927326131264</v>
      </c>
      <c r="J21" s="45" t="n">
        <f aca="false">KURT(Panel!$R$2:$R$71)</f>
        <v>3.41643631435384</v>
      </c>
      <c r="K21" s="47" t="n">
        <f aca="false">AVERAGE(Panel!$R$2:$R$64)</f>
        <v>1.92636125579506</v>
      </c>
      <c r="L21" s="47" t="n">
        <f aca="false">MEDIAN(Panel!$R$2:$R$64)</f>
        <v>1.80191505961028</v>
      </c>
    </row>
    <row r="22" customFormat="false" ht="15" hidden="false" customHeight="false" outlineLevel="0" collapsed="false">
      <c r="A22" s="18" t="s">
        <v>136</v>
      </c>
      <c r="B22" s="43" t="n">
        <f aca="false">COUNT(Panel!$S$2:$S$71)</f>
        <v>70</v>
      </c>
      <c r="C22" s="46" t="n">
        <f aca="false">AVERAGE(Panel!$S$2:$S$71)</f>
        <v>0.0813915727529525</v>
      </c>
      <c r="D22" s="46" t="n">
        <f aca="false">MEDIAN(Panel!$S$2:$S$71)</f>
        <v>0.0635277002805462</v>
      </c>
      <c r="E22" s="46" t="n">
        <f aca="false">STDEV(Panel!$S$2:$S$71)</f>
        <v>0.0747280088249488</v>
      </c>
      <c r="F22" s="45" t="n">
        <f aca="false">IFERROR(E22/ABS(C22),"N/M")</f>
        <v>0.918129559331288</v>
      </c>
      <c r="G22" s="46" t="n">
        <f aca="false">MIN(Panel!$S$2:$S$71)</f>
        <v>-0.112248115343824</v>
      </c>
      <c r="H22" s="46" t="n">
        <f aca="false">MAX(Panel!$S$2:$S$71)</f>
        <v>0.259441033831679</v>
      </c>
      <c r="I22" s="45" t="n">
        <f aca="false">SKEW(Panel!$S$2:$S$71)</f>
        <v>0.477222328830602</v>
      </c>
      <c r="J22" s="45" t="n">
        <f aca="false">KURT(Panel!$S$2:$S$71)</f>
        <v>0.204842745113105</v>
      </c>
      <c r="K22" s="46" t="n">
        <f aca="false">AVERAGE(Panel!$S$2:$S$64)</f>
        <v>0.0857994573057232</v>
      </c>
      <c r="L22" s="46" t="n">
        <f aca="false">MEDIAN(Panel!$S$2:$S$64)</f>
        <v>0.0631662804412222</v>
      </c>
    </row>
    <row r="23" customFormat="false" ht="15" hidden="false" customHeight="false" outlineLevel="0" collapsed="false">
      <c r="A23" s="18" t="s">
        <v>123</v>
      </c>
      <c r="B23" s="43" t="n">
        <f aca="false">COUNT(Panel!$T$2:$T$71)</f>
        <v>67</v>
      </c>
      <c r="C23" s="47" t="n">
        <f aca="false">AVERAGE(Panel!$T$2:$T$71)</f>
        <v>1.15663041019615</v>
      </c>
      <c r="D23" s="47" t="n">
        <f aca="false">MEDIAN(Panel!$T$2:$T$71)</f>
        <v>0.666611212776576</v>
      </c>
      <c r="E23" s="47" t="n">
        <f aca="false">STDEV(Panel!$T$2:$T$71)</f>
        <v>2.39973994556401</v>
      </c>
      <c r="F23" s="45" t="n">
        <f aca="false">IFERROR(E23/ABS(C23),"N/M")</f>
        <v>2.07476815792613</v>
      </c>
      <c r="G23" s="47" t="n">
        <f aca="false">MIN(Panel!$T$2:$T$71)</f>
        <v>0</v>
      </c>
      <c r="H23" s="47" t="n">
        <f aca="false">MAX(Panel!$T$2:$T$71)</f>
        <v>17.6619080779944</v>
      </c>
      <c r="I23" s="45" t="n">
        <f aca="false">SKEW(Panel!$T$2:$T$71)</f>
        <v>5.62862523010215</v>
      </c>
      <c r="J23" s="45" t="n">
        <f aca="false">KURT(Panel!$T$2:$T$71)</f>
        <v>35.9609852065622</v>
      </c>
      <c r="K23" s="47" t="n">
        <f aca="false">AVERAGE(Panel!$T$2:$T$64)</f>
        <v>0.706392108510748</v>
      </c>
      <c r="L23" s="47" t="n">
        <f aca="false">MEDIAN(Panel!$T$2:$T$64)</f>
        <v>0.642661368842264</v>
      </c>
    </row>
    <row r="25" customFormat="false" ht="15" hidden="false" customHeight="false" outlineLevel="0" collapsed="false">
      <c r="A25" s="16" t="s">
        <v>270</v>
      </c>
      <c r="B25" s="17"/>
      <c r="C25" s="17"/>
      <c r="D25" s="17"/>
      <c r="E25" s="17"/>
      <c r="F25" s="17"/>
      <c r="G25" s="17"/>
      <c r="H25" s="17"/>
      <c r="I25" s="17"/>
      <c r="J25" s="17"/>
      <c r="K25" s="17"/>
      <c r="L25" s="17"/>
      <c r="M25" s="17"/>
      <c r="N25" s="17"/>
    </row>
    <row r="26" customFormat="false" ht="42" hidden="false" customHeight="true" outlineLevel="0" collapsed="false">
      <c r="A26" s="7"/>
      <c r="B26" s="7" t="s">
        <v>119</v>
      </c>
      <c r="C26" s="7" t="s">
        <v>271</v>
      </c>
      <c r="D26" s="7" t="s">
        <v>127</v>
      </c>
      <c r="E26" s="7" t="s">
        <v>272</v>
      </c>
      <c r="F26" s="7" t="s">
        <v>133</v>
      </c>
      <c r="G26" s="7" t="s">
        <v>273</v>
      </c>
      <c r="H26" s="7" t="s">
        <v>137</v>
      </c>
      <c r="I26" s="7" t="s">
        <v>141</v>
      </c>
      <c r="J26" s="7" t="s">
        <v>274</v>
      </c>
      <c r="K26" s="7" t="s">
        <v>269</v>
      </c>
    </row>
    <row r="27" customFormat="false" ht="15" hidden="false" customHeight="false" outlineLevel="0" collapsed="false">
      <c r="A27" s="12" t="s">
        <v>119</v>
      </c>
      <c r="B27" s="49" t="n">
        <f aca="false">CORREL(Panel!$F$2:$F$64,Panel!$F$2:$F$64)</f>
        <v>1</v>
      </c>
      <c r="C27" s="49" t="n">
        <f aca="false">CORREL(Panel!$F$2:$F$64,Panel!$T$2:$T$64)</f>
        <v>-0.224851669867894</v>
      </c>
      <c r="D27" s="49" t="n">
        <f aca="false">CORREL(Panel!$F$2:$F$64,Panel!$H$2:$H$64)</f>
        <v>0.0802913468169196</v>
      </c>
      <c r="E27" s="49" t="n">
        <f aca="false">CORREL(Panel!$F$2:$F$64,Panel!$I$2:$I$64)</f>
        <v>0.371726076627495</v>
      </c>
      <c r="F27" s="49" t="n">
        <f aca="false">CORREL(Panel!$F$2:$F$64,Panel!$R$2:$R$64)</f>
        <v>-0.128444681040562</v>
      </c>
      <c r="G27" s="49" t="n">
        <f aca="false">CORREL(Panel!$F$2:$F$64,Panel!$S$2:$S$64)</f>
        <v>-0.158738406083449</v>
      </c>
      <c r="H27" s="49" t="n">
        <f aca="false">CORREL(Panel!$F$2:$F$64,Panel!$K$2:$K$64)</f>
        <v>0.0704871404045335</v>
      </c>
      <c r="I27" s="49" t="n">
        <f aca="false">CORREL(Panel!$F$2:$F$64,Panel!$Q$2:$Q$64)</f>
        <v>-0.0849956254416809</v>
      </c>
      <c r="J27" s="49" t="n">
        <f aca="false">CORREL(Panel!$F$2:$F$64,Panel!$M$2:$M$64)</f>
        <v>-0.0827842833833853</v>
      </c>
      <c r="K27" s="49" t="n">
        <f aca="false">CORREL(Panel!$F$2:$F$64,Panel!$E$2:$E$64)</f>
        <v>-0.394642702303281</v>
      </c>
    </row>
    <row r="28" customFormat="false" ht="15" hidden="false" customHeight="false" outlineLevel="0" collapsed="false">
      <c r="A28" s="12" t="s">
        <v>123</v>
      </c>
      <c r="B28" s="49" t="n">
        <f aca="false">CORREL(Panel!$T$2:$T$64,Panel!$F$2:$F$64)</f>
        <v>-0.224851669867894</v>
      </c>
      <c r="C28" s="49" t="n">
        <f aca="false">CORREL(Panel!$T$2:$T$64,Panel!$T$2:$T$64)</f>
        <v>1</v>
      </c>
      <c r="D28" s="49" t="n">
        <f aca="false">CORREL(Panel!$T$2:$T$64,Panel!$H$2:$H$64)</f>
        <v>-0.630242130330476</v>
      </c>
      <c r="E28" s="49" t="n">
        <f aca="false">CORREL(Panel!$T$2:$T$64,Panel!$I$2:$I$64)</f>
        <v>0.202309707187745</v>
      </c>
      <c r="F28" s="49" t="n">
        <f aca="false">CORREL(Panel!$T$2:$T$64,Panel!$R$2:$R$64)</f>
        <v>0.165507813086255</v>
      </c>
      <c r="G28" s="49" t="n">
        <f aca="false">CORREL(Panel!$T$2:$T$64,Panel!$S$2:$S$64)</f>
        <v>-0.163245798257431</v>
      </c>
      <c r="H28" s="49" t="n">
        <f aca="false">CORREL(Panel!$T$2:$T$64,Panel!$K$2:$K$64)</f>
        <v>-0.49373223797227</v>
      </c>
      <c r="I28" s="49" t="n">
        <f aca="false">CORREL(Panel!$T$2:$T$64,Panel!$Q$2:$Q$64)</f>
        <v>-0.278305727944851</v>
      </c>
      <c r="J28" s="49" t="n">
        <f aca="false">CORREL(Panel!$T$2:$T$64,Panel!$M$2:$M$64)</f>
        <v>-0.232737434682121</v>
      </c>
      <c r="K28" s="49" t="n">
        <f aca="false">CORREL(Panel!$T$2:$T$64,Panel!$E$2:$E$64)</f>
        <v>0.0914108619717379</v>
      </c>
    </row>
    <row r="29" customFormat="false" ht="15" hidden="false" customHeight="false" outlineLevel="0" collapsed="false">
      <c r="A29" s="12" t="s">
        <v>127</v>
      </c>
      <c r="B29" s="49" t="n">
        <f aca="false">CORREL(Panel!$H$2:$H$64,Panel!$F$2:$F$64)</f>
        <v>0.0802913468169196</v>
      </c>
      <c r="C29" s="49" t="n">
        <f aca="false">CORREL(Panel!$H$2:$H$64,Panel!$T$2:$T$64)</f>
        <v>-0.630242130330476</v>
      </c>
      <c r="D29" s="49" t="n">
        <f aca="false">CORREL(Panel!$H$2:$H$64,Panel!$H$2:$H$64)</f>
        <v>1</v>
      </c>
      <c r="E29" s="49" t="n">
        <f aca="false">CORREL(Panel!$H$2:$H$64,Panel!$I$2:$I$64)</f>
        <v>-0.404029189347663</v>
      </c>
      <c r="F29" s="49" t="n">
        <f aca="false">CORREL(Panel!$H$2:$H$64,Panel!$R$2:$R$64)</f>
        <v>-0.0645449262736021</v>
      </c>
      <c r="G29" s="49" t="n">
        <f aca="false">CORREL(Panel!$H$2:$H$64,Panel!$S$2:$S$64)</f>
        <v>0.445274807955295</v>
      </c>
      <c r="H29" s="49" t="n">
        <f aca="false">CORREL(Panel!$H$2:$H$64,Panel!$K$2:$K$64)</f>
        <v>0.763435104278132</v>
      </c>
      <c r="I29" s="49" t="n">
        <f aca="false">CORREL(Panel!$H$2:$H$64,Panel!$Q$2:$Q$64)</f>
        <v>0.582964631815957</v>
      </c>
      <c r="J29" s="49" t="n">
        <f aca="false">CORREL(Panel!$H$2:$H$64,Panel!$M$2:$M$64)</f>
        <v>0.448363964458333</v>
      </c>
      <c r="K29" s="49" t="n">
        <f aca="false">CORREL(Panel!$H$2:$H$64,Panel!$E$2:$E$64)</f>
        <v>0.0727983192470493</v>
      </c>
    </row>
    <row r="30" customFormat="false" ht="15" hidden="false" customHeight="false" outlineLevel="0" collapsed="false">
      <c r="A30" s="12" t="s">
        <v>130</v>
      </c>
      <c r="B30" s="49" t="n">
        <f aca="false">CORREL(Panel!$I$2:$I$64,Panel!$F$2:$F$64)</f>
        <v>0.371726076627495</v>
      </c>
      <c r="C30" s="49" t="n">
        <f aca="false">CORREL(Panel!$I$2:$I$64,Panel!$T$2:$T$64)</f>
        <v>0.202309707187745</v>
      </c>
      <c r="D30" s="49" t="n">
        <f aca="false">CORREL(Panel!$I$2:$I$64,Panel!$H$2:$H$64)</f>
        <v>-0.404029189347663</v>
      </c>
      <c r="E30" s="49" t="n">
        <f aca="false">CORREL(Panel!$I$2:$I$64,Panel!$I$2:$I$64)</f>
        <v>1</v>
      </c>
      <c r="F30" s="49" t="n">
        <f aca="false">CORREL(Panel!$I$2:$I$64,Panel!$R$2:$R$64)</f>
        <v>-0.0940351327885333</v>
      </c>
      <c r="G30" s="49" t="n">
        <f aca="false">CORREL(Panel!$I$2:$I$64,Panel!$S$2:$S$64)</f>
        <v>-0.468116846771445</v>
      </c>
      <c r="H30" s="49" t="n">
        <f aca="false">CORREL(Panel!$I$2:$I$64,Panel!$K$2:$K$64)</f>
        <v>-0.450610101780112</v>
      </c>
      <c r="I30" s="49" t="n">
        <f aca="false">CORREL(Panel!$I$2:$I$64,Panel!$Q$2:$Q$64)</f>
        <v>-0.2735923672253</v>
      </c>
      <c r="J30" s="49" t="n">
        <f aca="false">CORREL(Panel!$I$2:$I$64,Panel!$M$2:$M$64)</f>
        <v>-0.21656331125208</v>
      </c>
      <c r="K30" s="49" t="n">
        <f aca="false">CORREL(Panel!$I$2:$I$64,Panel!$E$2:$E$64)</f>
        <v>-0.267433762425741</v>
      </c>
    </row>
    <row r="31" customFormat="false" ht="15" hidden="false" customHeight="false" outlineLevel="0" collapsed="false">
      <c r="A31" s="12" t="s">
        <v>133</v>
      </c>
      <c r="B31" s="49" t="n">
        <f aca="false">CORREL(Panel!$R$2:$R$64,Panel!$F$2:$F$64)</f>
        <v>-0.128444681040562</v>
      </c>
      <c r="C31" s="49" t="n">
        <f aca="false">CORREL(Panel!$R$2:$R$64,Panel!$T$2:$T$64)</f>
        <v>0.165507813086255</v>
      </c>
      <c r="D31" s="49" t="n">
        <f aca="false">CORREL(Panel!$R$2:$R$64,Panel!$H$2:$H$64)</f>
        <v>-0.0645449262736021</v>
      </c>
      <c r="E31" s="49" t="n">
        <f aca="false">CORREL(Panel!$R$2:$R$64,Panel!$I$2:$I$64)</f>
        <v>-0.0940351327885333</v>
      </c>
      <c r="F31" s="49" t="n">
        <f aca="false">CORREL(Panel!$R$2:$R$64,Panel!$R$2:$R$64)</f>
        <v>1</v>
      </c>
      <c r="G31" s="49" t="n">
        <f aca="false">CORREL(Panel!$R$2:$R$64,Panel!$S$2:$S$64)</f>
        <v>-0.566442837168199</v>
      </c>
      <c r="H31" s="49" t="n">
        <f aca="false">CORREL(Panel!$R$2:$R$64,Panel!$K$2:$K$64)</f>
        <v>-0.380981288156582</v>
      </c>
      <c r="I31" s="49" t="n">
        <f aca="false">CORREL(Panel!$R$2:$R$64,Panel!$Q$2:$Q$64)</f>
        <v>0.35285226024746</v>
      </c>
      <c r="J31" s="49" t="n">
        <f aca="false">CORREL(Panel!$R$2:$R$64,Panel!$M$2:$M$64)</f>
        <v>0.170712398694391</v>
      </c>
      <c r="K31" s="49" t="n">
        <f aca="false">CORREL(Panel!$R$2:$R$64,Panel!$E$2:$E$64)</f>
        <v>-0.61546802152936</v>
      </c>
    </row>
    <row r="32" customFormat="false" ht="15" hidden="false" customHeight="false" outlineLevel="0" collapsed="false">
      <c r="A32" s="12" t="s">
        <v>136</v>
      </c>
      <c r="B32" s="49" t="n">
        <f aca="false">CORREL(Panel!$S$2:$S$64,Panel!$F$2:$F$64)</f>
        <v>-0.158738406083449</v>
      </c>
      <c r="C32" s="49" t="n">
        <f aca="false">CORREL(Panel!$S$2:$S$64,Panel!$T$2:$T$64)</f>
        <v>-0.163245798257431</v>
      </c>
      <c r="D32" s="49" t="n">
        <f aca="false">CORREL(Panel!$S$2:$S$64,Panel!$H$2:$H$64)</f>
        <v>0.445274807955295</v>
      </c>
      <c r="E32" s="49" t="n">
        <f aca="false">CORREL(Panel!$S$2:$S$64,Panel!$I$2:$I$64)</f>
        <v>-0.468116846771445</v>
      </c>
      <c r="F32" s="49" t="n">
        <f aca="false">CORREL(Panel!$S$2:$S$64,Panel!$R$2:$R$64)</f>
        <v>-0.566442837168199</v>
      </c>
      <c r="G32" s="49" t="n">
        <f aca="false">CORREL(Panel!$S$2:$S$64,Panel!$S$2:$S$64)</f>
        <v>1</v>
      </c>
      <c r="H32" s="49" t="n">
        <f aca="false">CORREL(Panel!$S$2:$S$64,Panel!$K$2:$K$64)</f>
        <v>0.788215565094387</v>
      </c>
      <c r="I32" s="49" t="n">
        <f aca="false">CORREL(Panel!$S$2:$S$64,Panel!$Q$2:$Q$64)</f>
        <v>0.323361558727832</v>
      </c>
      <c r="J32" s="49" t="n">
        <f aca="false">CORREL(Panel!$S$2:$S$64,Panel!$M$2:$M$64)</f>
        <v>0.412420510799905</v>
      </c>
      <c r="K32" s="49" t="n">
        <f aca="false">CORREL(Panel!$S$2:$S$64,Panel!$E$2:$E$64)</f>
        <v>0.702013052039703</v>
      </c>
    </row>
    <row r="33" customFormat="false" ht="15" hidden="false" customHeight="false" outlineLevel="0" collapsed="false">
      <c r="A33" s="12" t="s">
        <v>137</v>
      </c>
      <c r="B33" s="49" t="n">
        <f aca="false">CORREL(Panel!$K$2:$K$64,Panel!$F$2:$F$64)</f>
        <v>0.0704871404045335</v>
      </c>
      <c r="C33" s="49" t="n">
        <f aca="false">CORREL(Panel!$K$2:$K$64,Panel!$T$2:$T$64)</f>
        <v>-0.49373223797227</v>
      </c>
      <c r="D33" s="49" t="n">
        <f aca="false">CORREL(Panel!$K$2:$K$64,Panel!$H$2:$H$64)</f>
        <v>0.763435104278132</v>
      </c>
      <c r="E33" s="49" t="n">
        <f aca="false">CORREL(Panel!$K$2:$K$64,Panel!$I$2:$I$64)</f>
        <v>-0.450610101780112</v>
      </c>
      <c r="F33" s="49" t="n">
        <f aca="false">CORREL(Panel!$K$2:$K$64,Panel!$R$2:$R$64)</f>
        <v>-0.380981288156582</v>
      </c>
      <c r="G33" s="49" t="n">
        <f aca="false">CORREL(Panel!$K$2:$K$64,Panel!$S$2:$S$64)</f>
        <v>0.788215565094387</v>
      </c>
      <c r="H33" s="49" t="n">
        <f aca="false">CORREL(Panel!$K$2:$K$64,Panel!$K$2:$K$64)</f>
        <v>1</v>
      </c>
      <c r="I33" s="49" t="n">
        <f aca="false">CORREL(Panel!$K$2:$K$64,Panel!$Q$2:$Q$64)</f>
        <v>0.541762021690501</v>
      </c>
      <c r="J33" s="49" t="n">
        <f aca="false">CORREL(Panel!$K$2:$K$64,Panel!$M$2:$M$64)</f>
        <v>0.572712813457522</v>
      </c>
      <c r="K33" s="49" t="n">
        <f aca="false">CORREL(Panel!$K$2:$K$64,Panel!$E$2:$E$64)</f>
        <v>0.377412546275474</v>
      </c>
    </row>
    <row r="34" customFormat="false" ht="15" hidden="false" customHeight="false" outlineLevel="0" collapsed="false">
      <c r="A34" s="12" t="s">
        <v>141</v>
      </c>
      <c r="B34" s="49" t="n">
        <f aca="false">CORREL(Panel!$Q$2:$Q$64,Panel!$F$2:$F$64)</f>
        <v>-0.0849956254416809</v>
      </c>
      <c r="C34" s="49" t="n">
        <f aca="false">CORREL(Panel!$Q$2:$Q$64,Panel!$T$2:$T$64)</f>
        <v>-0.278305727944851</v>
      </c>
      <c r="D34" s="49" t="n">
        <f aca="false">CORREL(Panel!$Q$2:$Q$64,Panel!$H$2:$H$64)</f>
        <v>0.582964631815957</v>
      </c>
      <c r="E34" s="49" t="n">
        <f aca="false">CORREL(Panel!$Q$2:$Q$64,Panel!$I$2:$I$64)</f>
        <v>-0.2735923672253</v>
      </c>
      <c r="F34" s="49" t="n">
        <f aca="false">CORREL(Panel!$Q$2:$Q$64,Panel!$R$2:$R$64)</f>
        <v>0.35285226024746</v>
      </c>
      <c r="G34" s="49" t="n">
        <f aca="false">CORREL(Panel!$Q$2:$Q$64,Panel!$S$2:$S$64)</f>
        <v>0.323361558727832</v>
      </c>
      <c r="H34" s="49" t="n">
        <f aca="false">CORREL(Panel!$Q$2:$Q$64,Panel!$K$2:$K$64)</f>
        <v>0.541762021690501</v>
      </c>
      <c r="I34" s="49" t="n">
        <f aca="false">CORREL(Panel!$Q$2:$Q$64,Panel!$Q$2:$Q$64)</f>
        <v>1</v>
      </c>
      <c r="J34" s="49" t="n">
        <f aca="false">CORREL(Panel!$Q$2:$Q$64,Panel!$M$2:$M$64)</f>
        <v>0.898710632934288</v>
      </c>
      <c r="K34" s="49" t="n">
        <f aca="false">CORREL(Panel!$Q$2:$Q$64,Panel!$E$2:$E$64)</f>
        <v>-0.00609555402282917</v>
      </c>
    </row>
    <row r="35" customFormat="false" ht="15" hidden="false" customHeight="false" outlineLevel="0" collapsed="false">
      <c r="A35" s="12" t="s">
        <v>142</v>
      </c>
      <c r="B35" s="49" t="n">
        <f aca="false">CORREL(Panel!$M$2:$M$64,Panel!$F$2:$F$64)</f>
        <v>-0.0827842833833853</v>
      </c>
      <c r="C35" s="49" t="n">
        <f aca="false">CORREL(Panel!$M$2:$M$64,Panel!$T$2:$T$64)</f>
        <v>-0.232737434682121</v>
      </c>
      <c r="D35" s="49" t="n">
        <f aca="false">CORREL(Panel!$M$2:$M$64,Panel!$H$2:$H$64)</f>
        <v>0.448363964458333</v>
      </c>
      <c r="E35" s="49" t="n">
        <f aca="false">CORREL(Panel!$M$2:$M$64,Panel!$I$2:$I$64)</f>
        <v>-0.21656331125208</v>
      </c>
      <c r="F35" s="49" t="n">
        <f aca="false">CORREL(Panel!$M$2:$M$64,Panel!$R$2:$R$64)</f>
        <v>0.170712398694391</v>
      </c>
      <c r="G35" s="49" t="n">
        <f aca="false">CORREL(Panel!$M$2:$M$64,Panel!$S$2:$S$64)</f>
        <v>0.412420510799905</v>
      </c>
      <c r="H35" s="49" t="n">
        <f aca="false">CORREL(Panel!$M$2:$M$64,Panel!$K$2:$K$64)</f>
        <v>0.572712813457522</v>
      </c>
      <c r="I35" s="49" t="n">
        <f aca="false">CORREL(Panel!$M$2:$M$64,Panel!$Q$2:$Q$64)</f>
        <v>0.898710632934288</v>
      </c>
      <c r="J35" s="49" t="n">
        <f aca="false">CORREL(Panel!$M$2:$M$64,Panel!$M$2:$M$64)</f>
        <v>1</v>
      </c>
      <c r="K35" s="49" t="n">
        <f aca="false">CORREL(Panel!$M$2:$M$64,Panel!$E$2:$E$64)</f>
        <v>0.107233577550485</v>
      </c>
    </row>
    <row r="36" customFormat="false" ht="15" hidden="false" customHeight="false" outlineLevel="0" collapsed="false">
      <c r="A36" s="12" t="s">
        <v>269</v>
      </c>
      <c r="B36" s="49" t="n">
        <f aca="false">CORREL(Panel!$E$2:$E$64,Panel!$F$2:$F$64)</f>
        <v>-0.394642702303281</v>
      </c>
      <c r="C36" s="49" t="n">
        <f aca="false">CORREL(Panel!$E$2:$E$64,Panel!$T$2:$T$64)</f>
        <v>0.0914108619717379</v>
      </c>
      <c r="D36" s="49" t="n">
        <f aca="false">CORREL(Panel!$E$2:$E$64,Panel!$H$2:$H$64)</f>
        <v>0.0727983192470493</v>
      </c>
      <c r="E36" s="49" t="n">
        <f aca="false">CORREL(Panel!$E$2:$E$64,Panel!$I$2:$I$64)</f>
        <v>-0.267433762425741</v>
      </c>
      <c r="F36" s="49" t="n">
        <f aca="false">CORREL(Panel!$E$2:$E$64,Panel!$R$2:$R$64)</f>
        <v>-0.61546802152936</v>
      </c>
      <c r="G36" s="49" t="n">
        <f aca="false">CORREL(Panel!$E$2:$E$64,Panel!$S$2:$S$64)</f>
        <v>0.702013052039703</v>
      </c>
      <c r="H36" s="49" t="n">
        <f aca="false">CORREL(Panel!$E$2:$E$64,Panel!$K$2:$K$64)</f>
        <v>0.377412546275474</v>
      </c>
      <c r="I36" s="49" t="n">
        <f aca="false">CORREL(Panel!$E$2:$E$64,Panel!$Q$2:$Q$64)</f>
        <v>-0.00609555402282917</v>
      </c>
      <c r="J36" s="49" t="n">
        <f aca="false">CORREL(Panel!$E$2:$E$64,Panel!$M$2:$M$64)</f>
        <v>0.107233577550485</v>
      </c>
      <c r="K36" s="49" t="n">
        <f aca="false">CORREL(Panel!$E$2:$E$64,Panel!$E$2:$E$64)</f>
        <v>1</v>
      </c>
    </row>
    <row r="37" customFormat="false" ht="15" hidden="false" customHeight="false" outlineLevel="0" collapsed="false">
      <c r="A37" s="50" t="s">
        <v>275</v>
      </c>
    </row>
    <row r="39" customFormat="false" ht="15" hidden="false" customHeight="false" outlineLevel="0" collapsed="false">
      <c r="A39" s="16" t="s">
        <v>276</v>
      </c>
      <c r="B39" s="17"/>
      <c r="C39" s="17"/>
      <c r="D39" s="17"/>
      <c r="E39" s="17"/>
      <c r="F39" s="17"/>
      <c r="G39" s="17"/>
      <c r="H39" s="17"/>
      <c r="I39" s="17"/>
      <c r="J39" s="17"/>
      <c r="K39" s="17"/>
      <c r="L39" s="17"/>
      <c r="M39" s="17"/>
      <c r="N39" s="17"/>
    </row>
    <row r="40" customFormat="false" ht="22.35" hidden="false" customHeight="false" outlineLevel="0" collapsed="false">
      <c r="A40" s="7" t="s">
        <v>259</v>
      </c>
      <c r="B40" s="7" t="s">
        <v>277</v>
      </c>
      <c r="C40" s="7" t="s">
        <v>278</v>
      </c>
      <c r="D40" s="7" t="s">
        <v>279</v>
      </c>
      <c r="E40" s="7" t="s">
        <v>280</v>
      </c>
      <c r="F40" s="7" t="s">
        <v>281</v>
      </c>
    </row>
    <row r="41" customFormat="false" ht="15" hidden="false" customHeight="false" outlineLevel="0" collapsed="false">
      <c r="A41" s="18" t="s">
        <v>282</v>
      </c>
      <c r="B41" s="51" t="n">
        <f aca="false">INDEX(LINEST(Panel!$Q$2:$Q$64,Panel!$R$2:$U$64,TRUE(),TRUE()),1,5)</f>
        <v>-0.0841206914364788</v>
      </c>
      <c r="C41" s="51" t="n">
        <f aca="false">INDEX(LINEST(Panel!$Q$2:$Q$64,Panel!$R$2:$U$64,TRUE(),TRUE()),2,5)</f>
        <v>0.0480188028105431</v>
      </c>
      <c r="D41" s="51" t="n">
        <f aca="false">B41/C41</f>
        <v>-1.7518281696521</v>
      </c>
      <c r="E41" s="51" t="n">
        <f aca="false">TDIST(ABS(D41),$B$51,2)</f>
        <v>0.0850892565797253</v>
      </c>
      <c r="F41" s="51" t="str">
        <f aca="false">IF(E41&lt;0.05,"Yes","No")</f>
        <v>No</v>
      </c>
    </row>
    <row r="42" customFormat="false" ht="15" hidden="false" customHeight="false" outlineLevel="0" collapsed="false">
      <c r="A42" s="18" t="s">
        <v>283</v>
      </c>
      <c r="B42" s="51" t="n">
        <f aca="false">INDEX(LINEST(Panel!$Q$2:$Q$64,Panel!$R$2:$U$64,TRUE(),TRUE()),1,4)</f>
        <v>0.0798981476876007</v>
      </c>
      <c r="C42" s="51" t="n">
        <f aca="false">INDEX(LINEST(Panel!$Q$2:$Q$64,Panel!$R$2:$U$64,TRUE(),TRUE()),2,4)</f>
        <v>0.00968431933375916</v>
      </c>
      <c r="D42" s="51" t="n">
        <f aca="false">B42/C42</f>
        <v>8.25025951065852</v>
      </c>
      <c r="E42" s="51" t="n">
        <f aca="false">TDIST(ABS(D42),$B$51,2)</f>
        <v>2.33458429535829E-011</v>
      </c>
      <c r="F42" s="51" t="str">
        <f aca="false">IF(E42&lt;0.05,"Yes","No")</f>
        <v>Yes</v>
      </c>
    </row>
    <row r="43" customFormat="false" ht="15" hidden="false" customHeight="false" outlineLevel="0" collapsed="false">
      <c r="A43" s="18" t="s">
        <v>284</v>
      </c>
      <c r="B43" s="51" t="n">
        <f aca="false">INDEX(LINEST(Panel!$Q$2:$Q$64,Panel!$R$2:$U$64,TRUE(),TRUE()),1,3)</f>
        <v>1.0107038658199</v>
      </c>
      <c r="C43" s="51" t="n">
        <f aca="false">INDEX(LINEST(Panel!$Q$2:$Q$64,Panel!$R$2:$U$64,TRUE(),TRUE()),2,3)</f>
        <v>0.149751437706917</v>
      </c>
      <c r="D43" s="51" t="n">
        <f aca="false">B43/C43</f>
        <v>6.74920976583863</v>
      </c>
      <c r="E43" s="51" t="n">
        <f aca="false">TDIST(ABS(D43),$B$51,2)</f>
        <v>7.7219935409043E-009</v>
      </c>
      <c r="F43" s="51" t="str">
        <f aca="false">IF(E43&lt;0.05,"Yes","No")</f>
        <v>Yes</v>
      </c>
    </row>
    <row r="44" customFormat="false" ht="15" hidden="false" customHeight="false" outlineLevel="0" collapsed="false">
      <c r="A44" s="18" t="s">
        <v>285</v>
      </c>
      <c r="B44" s="51" t="n">
        <f aca="false">INDEX(LINEST(Panel!$Q$2:$Q$64,Panel!$R$2:$U$64,TRUE(),TRUE()),1,2)</f>
        <v>-0.0441863494430244</v>
      </c>
      <c r="C44" s="51" t="n">
        <f aca="false">INDEX(LINEST(Panel!$Q$2:$Q$64,Panel!$R$2:$U$64,TRUE(),TRUE()),2,2)</f>
        <v>0.0123747643807223</v>
      </c>
      <c r="D44" s="51" t="n">
        <f aca="false">B44/C44</f>
        <v>-3.57068208198443</v>
      </c>
      <c r="E44" s="51" t="n">
        <f aca="false">TDIST(ABS(D44),$B$51,2)</f>
        <v>0.000723576975314861</v>
      </c>
      <c r="F44" s="51" t="str">
        <f aca="false">IF(E44&lt;0.05,"Yes","No")</f>
        <v>Yes</v>
      </c>
    </row>
    <row r="45" customFormat="false" ht="15" hidden="false" customHeight="false" outlineLevel="0" collapsed="false">
      <c r="A45" s="18" t="s">
        <v>286</v>
      </c>
      <c r="B45" s="51" t="n">
        <f aca="false">INDEX(LINEST(Panel!$Q$2:$Q$64,Panel!$R$2:$U$64,TRUE(),TRUE()),1,1)</f>
        <v>-0.00346449997607716</v>
      </c>
      <c r="C45" s="51" t="n">
        <f aca="false">INDEX(LINEST(Panel!$Q$2:$Q$64,Panel!$R$2:$U$64,TRUE(),TRUE()),2,1)</f>
        <v>0.00602352219640143</v>
      </c>
      <c r="D45" s="51" t="n">
        <f aca="false">B45/C45</f>
        <v>-0.575161817806021</v>
      </c>
      <c r="E45" s="51" t="n">
        <f aca="false">TDIST(ABS(D45),$B$51,2)</f>
        <v>0.567406513381794</v>
      </c>
      <c r="F45" s="51" t="str">
        <f aca="false">IF(E45&lt;0.05,"Yes","No")</f>
        <v>No</v>
      </c>
    </row>
    <row r="47" customFormat="false" ht="15" hidden="false" customHeight="false" outlineLevel="0" collapsed="false">
      <c r="A47" s="18" t="s">
        <v>287</v>
      </c>
      <c r="B47" s="52" t="n">
        <f aca="false">INDEX(LINEST(Panel!$Q$2:$Q$64,Panel!$R$2:$U$64,TRUE(),TRUE()),3,1)</f>
        <v>0.61287440730216</v>
      </c>
    </row>
    <row r="48" customFormat="false" ht="15" hidden="false" customHeight="false" outlineLevel="0" collapsed="false">
      <c r="A48" s="18" t="s">
        <v>288</v>
      </c>
      <c r="B48" s="52" t="n">
        <f aca="false">1-(1-B47)*(B51+4)/B51</f>
        <v>0.586176090564378</v>
      </c>
    </row>
    <row r="49" customFormat="false" ht="15" hidden="false" customHeight="false" outlineLevel="0" collapsed="false">
      <c r="A49" s="18" t="s">
        <v>289</v>
      </c>
      <c r="B49" s="51" t="n">
        <f aca="false">INDEX(LINEST(Panel!$Q$2:$Q$64,Panel!$R$2:$U$64,TRUE(),TRUE()),3,2)</f>
        <v>0.0595285586928513</v>
      </c>
    </row>
    <row r="50" customFormat="false" ht="15" hidden="false" customHeight="false" outlineLevel="0" collapsed="false">
      <c r="A50" s="18" t="s">
        <v>290</v>
      </c>
      <c r="B50" s="53" t="n">
        <f aca="false">INDEX(LINEST(Panel!$Q$2:$Q$64,Panel!$R$2:$U$64,TRUE(),TRUE()),4,1)</f>
        <v>22.9555448503183</v>
      </c>
    </row>
    <row r="51" customFormat="false" ht="15" hidden="false" customHeight="false" outlineLevel="0" collapsed="false">
      <c r="A51" s="18" t="s">
        <v>291</v>
      </c>
      <c r="B51" s="54" t="n">
        <f aca="false">INDEX(LINEST(Panel!$Q$2:$Q$64,Panel!$R$2:$U$64,TRUE(),TRUE()),4,2)</f>
        <v>58</v>
      </c>
    </row>
    <row r="52" customFormat="false" ht="15" hidden="false" customHeight="false" outlineLevel="0" collapsed="false">
      <c r="A52" s="18" t="s">
        <v>292</v>
      </c>
      <c r="B52" s="55" t="n">
        <f aca="false">FDIST(B50,4,B51)</f>
        <v>2.09530173594996E-011</v>
      </c>
    </row>
    <row r="53" customFormat="false" ht="15" hidden="false" customHeight="false" outlineLevel="0" collapsed="false">
      <c r="A53" s="18" t="s">
        <v>293</v>
      </c>
      <c r="B53" s="54" t="n">
        <f aca="false">B51+5</f>
        <v>63</v>
      </c>
    </row>
    <row r="55" customFormat="false" ht="15" hidden="false" customHeight="false" outlineLevel="0" collapsed="false">
      <c r="A55" s="16" t="s">
        <v>294</v>
      </c>
      <c r="B55" s="17"/>
      <c r="C55" s="17"/>
      <c r="D55" s="17"/>
      <c r="E55" s="17"/>
      <c r="F55" s="17"/>
      <c r="G55" s="17"/>
      <c r="H55" s="17"/>
      <c r="I55" s="17"/>
      <c r="J55" s="17"/>
      <c r="K55" s="17"/>
      <c r="L55" s="17"/>
      <c r="M55" s="17"/>
      <c r="N55" s="17"/>
    </row>
    <row r="56" customFormat="false" ht="30" hidden="false" customHeight="true" outlineLevel="0" collapsed="false">
      <c r="A56" s="7" t="s">
        <v>108</v>
      </c>
      <c r="B56" s="7" t="s">
        <v>295</v>
      </c>
      <c r="C56" s="7" t="s">
        <v>296</v>
      </c>
      <c r="D56" s="7" t="s">
        <v>297</v>
      </c>
      <c r="E56" s="7" t="s">
        <v>298</v>
      </c>
      <c r="F56" s="7" t="s">
        <v>299</v>
      </c>
      <c r="G56" s="7" t="s">
        <v>279</v>
      </c>
      <c r="H56" s="7" t="s">
        <v>300</v>
      </c>
      <c r="I56" s="7" t="s">
        <v>301</v>
      </c>
      <c r="J56" s="7" t="s">
        <v>302</v>
      </c>
    </row>
    <row r="57" customFormat="false" ht="15" hidden="false" customHeight="false" outlineLevel="0" collapsed="false">
      <c r="A57" s="18" t="s">
        <v>136</v>
      </c>
      <c r="B57" s="56" t="n">
        <f aca="false">AVERAGE(B68:B76)</f>
        <v>0.0755061978649363</v>
      </c>
      <c r="C57" s="56" t="n">
        <f aca="false">AVERAGE(C68:C76)</f>
        <v>0.0877979894255514</v>
      </c>
      <c r="D57" s="56" t="n">
        <f aca="false">AVERAGE(D68:D76)</f>
        <v>0.0122917915606152</v>
      </c>
      <c r="E57" s="56" t="n">
        <f aca="false">STDEV(D68:D76)</f>
        <v>0.0409596388493402</v>
      </c>
      <c r="F57" s="54" t="n">
        <f aca="false">COUNT(D68:D76)</f>
        <v>9</v>
      </c>
      <c r="G57" s="53" t="n">
        <f aca="false">D57/(E57/SQRT(F57))</f>
        <v>0.900285640151329</v>
      </c>
      <c r="H57" s="54" t="n">
        <f aca="false">F57-1</f>
        <v>8</v>
      </c>
      <c r="I57" s="51" t="n">
        <f aca="false">TDIST(ABS(G57),H57,2)</f>
        <v>0.394261090610695</v>
      </c>
      <c r="J57" s="57" t="str">
        <f aca="false">IF(I57&lt;0.05,"Significant at 5%",IF(I57&lt;0.1,"Significant at 10%","Not significant"))</f>
        <v>Not significant</v>
      </c>
    </row>
    <row r="58" customFormat="false" ht="15" hidden="false" customHeight="false" outlineLevel="0" collapsed="false">
      <c r="A58" s="18" t="s">
        <v>137</v>
      </c>
      <c r="B58" s="56" t="n">
        <f aca="false">AVERAGE(E68:E76)</f>
        <v>0.0135536236952752</v>
      </c>
      <c r="C58" s="56" t="n">
        <f aca="false">AVERAGE(F68:F76)</f>
        <v>0.0408134824414669</v>
      </c>
      <c r="D58" s="56" t="n">
        <f aca="false">AVERAGE(G68:G76)</f>
        <v>0.0272598587461918</v>
      </c>
      <c r="E58" s="56" t="n">
        <f aca="false">STDEV(G68:G76)</f>
        <v>0.0394896488328323</v>
      </c>
      <c r="F58" s="54" t="n">
        <f aca="false">COUNT(G68:G76)</f>
        <v>9</v>
      </c>
      <c r="G58" s="53" t="n">
        <f aca="false">D58/(E58/SQRT(F58))</f>
        <v>2.07091171118702</v>
      </c>
      <c r="H58" s="54" t="n">
        <f aca="false">F58-1</f>
        <v>8</v>
      </c>
      <c r="I58" s="51" t="n">
        <f aca="false">TDIST(ABS(G58),H58,2)</f>
        <v>0.0721268232763588</v>
      </c>
      <c r="J58" s="57" t="str">
        <f aca="false">IF(I58&lt;0.05,"Significant at 5%",IF(I58&lt;0.1,"Significant at 10%","Not significant"))</f>
        <v>Significant at 10%</v>
      </c>
    </row>
    <row r="59" customFormat="false" ht="15" hidden="false" customHeight="false" outlineLevel="0" collapsed="false">
      <c r="A59" s="18" t="s">
        <v>141</v>
      </c>
      <c r="B59" s="56" t="n">
        <f aca="false">AVERAGE(H68:H76)</f>
        <v>0.04816117407598</v>
      </c>
      <c r="C59" s="56" t="n">
        <f aca="false">AVERAGE(I68:I76)</f>
        <v>0.0911478292721915</v>
      </c>
      <c r="D59" s="56" t="n">
        <f aca="false">AVERAGE(J68:J76)</f>
        <v>0.0429866551962115</v>
      </c>
      <c r="E59" s="56" t="n">
        <f aca="false">STDEV(J68:J76)</f>
        <v>0.0915315245781586</v>
      </c>
      <c r="F59" s="54" t="n">
        <f aca="false">COUNT(J68:J76)</f>
        <v>9</v>
      </c>
      <c r="G59" s="53" t="n">
        <f aca="false">D59/(E59/SQRT(F59))</f>
        <v>1.40891311690669</v>
      </c>
      <c r="H59" s="54" t="n">
        <f aca="false">F59-1</f>
        <v>8</v>
      </c>
      <c r="I59" s="51" t="n">
        <f aca="false">TDIST(ABS(G59),H59,2)</f>
        <v>0.196522430265955</v>
      </c>
      <c r="J59" s="57" t="str">
        <f aca="false">IF(I59&lt;0.05,"Significant at 5%",IF(I59&lt;0.1,"Significant at 10%","Not significant"))</f>
        <v>Not significant</v>
      </c>
    </row>
    <row r="60" customFormat="false" ht="15" hidden="false" customHeight="false" outlineLevel="0" collapsed="false">
      <c r="A60" s="18" t="s">
        <v>133</v>
      </c>
      <c r="B60" s="58" t="n">
        <f aca="false">AVERAGE(K68:K76)</f>
        <v>1.87055953671827</v>
      </c>
      <c r="C60" s="58" t="n">
        <f aca="false">AVERAGE(L68:L76)</f>
        <v>1.82001794772405</v>
      </c>
      <c r="D60" s="58" t="n">
        <f aca="false">AVERAGE(M68:M76)</f>
        <v>-0.0505415889942164</v>
      </c>
      <c r="E60" s="58" t="n">
        <f aca="false">STDEV(M68:M76)</f>
        <v>0.463632911736731</v>
      </c>
      <c r="F60" s="54" t="n">
        <f aca="false">COUNT(M68:M76)</f>
        <v>9</v>
      </c>
      <c r="G60" s="53" t="n">
        <f aca="false">D60/(E60/SQRT(F60))</f>
        <v>-0.327036246013414</v>
      </c>
      <c r="H60" s="54" t="n">
        <f aca="false">F60-1</f>
        <v>8</v>
      </c>
      <c r="I60" s="51" t="n">
        <f aca="false">TDIST(ABS(G60),H60,2)</f>
        <v>0.752033340882028</v>
      </c>
      <c r="J60" s="57" t="str">
        <f aca="false">IF(I60&lt;0.05,"Significant at 5%",IF(I60&lt;0.1,"Significant at 10%","Not significant"))</f>
        <v>Not significant</v>
      </c>
    </row>
    <row r="61" customFormat="false" ht="15" hidden="false" customHeight="false" outlineLevel="0" collapsed="false">
      <c r="A61" s="18" t="s">
        <v>130</v>
      </c>
      <c r="B61" s="59" t="n">
        <f aca="false">AVERAGE(N68:N76)</f>
        <v>67.2733056892142</v>
      </c>
      <c r="C61" s="59" t="n">
        <f aca="false">AVERAGE(O68:O76)</f>
        <v>62.699935870173</v>
      </c>
      <c r="D61" s="59" t="n">
        <f aca="false">AVERAGE(P68:P76)</f>
        <v>-4.57336981904125</v>
      </c>
      <c r="E61" s="59" t="n">
        <f aca="false">STDEV(P68:P76)</f>
        <v>16.0655951729933</v>
      </c>
      <c r="F61" s="54" t="n">
        <f aca="false">COUNT(P68:P76)</f>
        <v>9</v>
      </c>
      <c r="G61" s="53" t="n">
        <f aca="false">D61/(E61/SQRT(F61))</f>
        <v>-0.854005675444106</v>
      </c>
      <c r="H61" s="54" t="n">
        <f aca="false">F61-1</f>
        <v>8</v>
      </c>
      <c r="I61" s="51" t="n">
        <f aca="false">TDIST(ABS(G61),H61,2)</f>
        <v>0.41793874242126</v>
      </c>
      <c r="J61" s="57" t="str">
        <f aca="false">IF(I61&lt;0.05,"Significant at 5%",IF(I61&lt;0.1,"Significant at 10%","Not significant"))</f>
        <v>Not significant</v>
      </c>
    </row>
    <row r="62" customFormat="false" ht="15" hidden="false" customHeight="false" outlineLevel="0" collapsed="false">
      <c r="A62" s="18" t="s">
        <v>123</v>
      </c>
      <c r="B62" s="58" t="n">
        <f aca="false">AVERAGE(Q68:Q76)</f>
        <v>0.864980850740881</v>
      </c>
      <c r="C62" s="58" t="n">
        <f aca="false">AVERAGE(R68:R76)</f>
        <v>0.516791779103059</v>
      </c>
      <c r="D62" s="58" t="n">
        <f aca="false">AVERAGE(S68:S76)</f>
        <v>-0.348189071637822</v>
      </c>
      <c r="E62" s="58" t="n">
        <f aca="false">STDEV(S68:S76)</f>
        <v>0.546073497314317</v>
      </c>
      <c r="F62" s="54" t="n">
        <f aca="false">COUNT(S68:S76)</f>
        <v>9</v>
      </c>
      <c r="G62" s="53" t="n">
        <f aca="false">D62/(E62/SQRT(F62))</f>
        <v>-1.91286927501669</v>
      </c>
      <c r="H62" s="54" t="n">
        <f aca="false">F62-1</f>
        <v>8</v>
      </c>
      <c r="I62" s="51" t="n">
        <f aca="false">TDIST(ABS(G62),H62,2)</f>
        <v>0.0921228633444033</v>
      </c>
      <c r="J62" s="57" t="str">
        <f aca="false">IF(I62&lt;0.05,"Significant at 5%",IF(I62&lt;0.1,"Significant at 10%","Not significant"))</f>
        <v>Significant at 10%</v>
      </c>
    </row>
    <row r="63" customFormat="false" ht="15" hidden="false" customHeight="false" outlineLevel="0" collapsed="false">
      <c r="A63" s="18" t="s">
        <v>127</v>
      </c>
      <c r="B63" s="58" t="n">
        <f aca="false">AVERAGE(T68:T76)</f>
        <v>3.49373927535044</v>
      </c>
      <c r="C63" s="58" t="n">
        <f aca="false">AVERAGE(U68:U76)</f>
        <v>10.4194959912047</v>
      </c>
      <c r="D63" s="58" t="n">
        <f aca="false">AVERAGE(V68:V76)</f>
        <v>6.92575671585421</v>
      </c>
      <c r="E63" s="58" t="n">
        <f aca="false">STDEV(V68:V76)</f>
        <v>10.3337060715542</v>
      </c>
      <c r="F63" s="54" t="n">
        <f aca="false">COUNT(V68:V76)</f>
        <v>9</v>
      </c>
      <c r="G63" s="53" t="n">
        <f aca="false">D63/(E63/SQRT(F63))</f>
        <v>2.0106310363091</v>
      </c>
      <c r="H63" s="54" t="n">
        <f aca="false">F63-1</f>
        <v>8</v>
      </c>
      <c r="I63" s="51" t="n">
        <f aca="false">TDIST(ABS(G63),H63,2)</f>
        <v>0.0792006865389232</v>
      </c>
      <c r="J63" s="57" t="str">
        <f aca="false">IF(I63&lt;0.05,"Significant at 5%",IF(I63&lt;0.1,"Significant at 10%","Not significant"))</f>
        <v>Significant at 10%</v>
      </c>
    </row>
    <row r="64" customFormat="false" ht="15" hidden="false" customHeight="false" outlineLevel="0" collapsed="false">
      <c r="A64" s="18" t="s">
        <v>119</v>
      </c>
      <c r="B64" s="58" t="n">
        <f aca="false">AVERAGE(W68:W76)</f>
        <v>3.28653110093618</v>
      </c>
      <c r="C64" s="58" t="n">
        <f aca="false">AVERAGE(X68:X76)</f>
        <v>3.1463133312204</v>
      </c>
      <c r="D64" s="58" t="n">
        <f aca="false">AVERAGE(Y68:Y76)</f>
        <v>-0.140217769715779</v>
      </c>
      <c r="E64" s="58" t="n">
        <f aca="false">STDEV(Y68:Y76)</f>
        <v>1.43563174737424</v>
      </c>
      <c r="F64" s="54" t="n">
        <f aca="false">COUNT(Y68:Y76)</f>
        <v>9</v>
      </c>
      <c r="G64" s="53" t="n">
        <f aca="false">D64/(E64/SQRT(F64))</f>
        <v>-0.293009199550447</v>
      </c>
      <c r="H64" s="54" t="n">
        <f aca="false">F64-1</f>
        <v>8</v>
      </c>
      <c r="I64" s="51" t="n">
        <f aca="false">TDIST(ABS(G64),H64,2)</f>
        <v>0.776971662812367</v>
      </c>
      <c r="J64" s="57" t="str">
        <f aca="false">IF(I64&lt;0.05,"Significant at 5%",IF(I64&lt;0.1,"Significant at 10%","Not significant"))</f>
        <v>Not significant</v>
      </c>
    </row>
    <row r="66" customFormat="false" ht="15" hidden="false" customHeight="false" outlineLevel="0" collapsed="false">
      <c r="A66" s="60" t="s">
        <v>303</v>
      </c>
    </row>
    <row r="67" customFormat="false" ht="30" hidden="false" customHeight="true" outlineLevel="0" collapsed="false">
      <c r="A67" s="7" t="s">
        <v>304</v>
      </c>
      <c r="B67" s="7" t="s">
        <v>305</v>
      </c>
      <c r="C67" s="7" t="s">
        <v>306</v>
      </c>
      <c r="D67" s="7" t="s">
        <v>307</v>
      </c>
      <c r="E67" s="7" t="s">
        <v>308</v>
      </c>
      <c r="F67" s="7" t="s">
        <v>309</v>
      </c>
      <c r="G67" s="7" t="s">
        <v>310</v>
      </c>
      <c r="H67" s="7" t="s">
        <v>311</v>
      </c>
      <c r="I67" s="7" t="s">
        <v>312</v>
      </c>
      <c r="J67" s="7" t="s">
        <v>313</v>
      </c>
      <c r="K67" s="7" t="s">
        <v>314</v>
      </c>
      <c r="L67" s="7" t="s">
        <v>315</v>
      </c>
      <c r="M67" s="7" t="s">
        <v>316</v>
      </c>
      <c r="N67" s="7" t="s">
        <v>317</v>
      </c>
      <c r="O67" s="7" t="s">
        <v>318</v>
      </c>
      <c r="P67" s="7" t="s">
        <v>319</v>
      </c>
      <c r="Q67" s="7" t="s">
        <v>320</v>
      </c>
      <c r="R67" s="7" t="s">
        <v>321</v>
      </c>
      <c r="S67" s="7" t="s">
        <v>322</v>
      </c>
      <c r="T67" s="7" t="s">
        <v>323</v>
      </c>
      <c r="U67" s="7" t="s">
        <v>324</v>
      </c>
      <c r="V67" s="7" t="s">
        <v>325</v>
      </c>
      <c r="W67" s="7" t="s">
        <v>326</v>
      </c>
      <c r="X67" s="7" t="s">
        <v>327</v>
      </c>
      <c r="Y67" s="7" t="s">
        <v>328</v>
      </c>
    </row>
    <row r="68" customFormat="false" ht="15" hidden="false" customHeight="false" outlineLevel="0" collapsed="false">
      <c r="A68" s="18" t="s">
        <v>110</v>
      </c>
      <c r="B68" s="61" t="n">
        <f aca="false">Tiger!D121</f>
        <v>-0.027829375082924</v>
      </c>
      <c r="C68" s="61" t="n">
        <f aca="false">Tiger!J121</f>
        <v>0.0471526832163681</v>
      </c>
      <c r="D68" s="56" t="n">
        <f aca="false">C68-B68</f>
        <v>0.0749820582992921</v>
      </c>
      <c r="E68" s="61" t="n">
        <f aca="false">Tiger!D124</f>
        <v>-0.0409314050683296</v>
      </c>
      <c r="F68" s="61" t="n">
        <f aca="false">Tiger!J124</f>
        <v>0.0375685206522119</v>
      </c>
      <c r="G68" s="56" t="n">
        <f aca="false">F68-E68</f>
        <v>0.0784999257205414</v>
      </c>
      <c r="H68" s="61" t="n">
        <f aca="false">Tiger!D138</f>
        <v>-0.0807453416149068</v>
      </c>
      <c r="I68" s="61" t="n">
        <f aca="false">Tiger!J138</f>
        <v>0.132636286541399</v>
      </c>
      <c r="J68" s="56" t="n">
        <f aca="false">I68-H68</f>
        <v>0.213381628156306</v>
      </c>
      <c r="K68" s="62" t="n">
        <f aca="false">Tiger!D113</f>
        <v>2.62008430017816</v>
      </c>
      <c r="L68" s="62" t="n">
        <f aca="false">Tiger!J113</f>
        <v>2.49970543954965</v>
      </c>
      <c r="M68" s="58" t="n">
        <f aca="false">L68-K68</f>
        <v>-0.12037886062851</v>
      </c>
      <c r="N68" s="63" t="n">
        <f aca="false">Tiger!D108</f>
        <v>101.002139445403</v>
      </c>
      <c r="O68" s="63" t="n">
        <f aca="false">Tiger!J108</f>
        <v>84.0177979120841</v>
      </c>
      <c r="P68" s="59" t="n">
        <f aca="false">O68-N68</f>
        <v>-16.9843415333186</v>
      </c>
      <c r="Q68" s="62" t="n">
        <f aca="false">Tiger!D87</f>
        <v>0.695825426944972</v>
      </c>
      <c r="R68" s="62" t="n">
        <f aca="false">Tiger!J87</f>
        <v>0.316914614326791</v>
      </c>
      <c r="S68" s="58" t="n">
        <f aca="false">R68-Q68</f>
        <v>-0.378910812618181</v>
      </c>
      <c r="T68" s="62" t="n">
        <f aca="false">Tiger!D96</f>
        <v>-1.72747747747748</v>
      </c>
      <c r="U68" s="62" t="n">
        <f aca="false">Tiger!J96</f>
        <v>6.52941176470588</v>
      </c>
      <c r="V68" s="58" t="n">
        <f aca="false">U68-T68</f>
        <v>8.25688924218336</v>
      </c>
      <c r="W68" s="62" t="n">
        <f aca="false">Tiger!D80</f>
        <v>6.04701397712834</v>
      </c>
      <c r="X68" s="62" t="n">
        <f aca="false">Tiger!J80</f>
        <v>4.61705814401232</v>
      </c>
      <c r="Y68" s="58" t="n">
        <f aca="false">X68-W68</f>
        <v>-1.42995583311601</v>
      </c>
    </row>
    <row r="69" customFormat="false" ht="15" hidden="false" customHeight="false" outlineLevel="0" collapsed="false">
      <c r="A69" s="18" t="s">
        <v>111</v>
      </c>
      <c r="B69" s="61" t="n">
        <f aca="false">Allcargo!D121</f>
        <v>0.0701243084897852</v>
      </c>
      <c r="C69" s="61" t="n">
        <f aca="false">Allcargo!J121</f>
        <v>0.114188532555879</v>
      </c>
      <c r="D69" s="56" t="n">
        <f aca="false">C69-B69</f>
        <v>0.0440642240660943</v>
      </c>
      <c r="E69" s="61" t="n">
        <f aca="false">Allcargo!D124</f>
        <v>0.0303556649387986</v>
      </c>
      <c r="F69" s="61" t="n">
        <f aca="false">Allcargo!J124</f>
        <v>0.00388726919339164</v>
      </c>
      <c r="G69" s="56" t="n">
        <f aca="false">F69-E69</f>
        <v>-0.026468395745407</v>
      </c>
      <c r="H69" s="61" t="n">
        <f aca="false">Allcargo!D138</f>
        <v>0.0919133260110673</v>
      </c>
      <c r="I69" s="61" t="n">
        <f aca="false">Allcargo!J138</f>
        <v>0.0505747126436782</v>
      </c>
      <c r="J69" s="56" t="n">
        <f aca="false">I69-H69</f>
        <v>-0.0413386133673891</v>
      </c>
      <c r="K69" s="62" t="n">
        <f aca="false">Allcargo!D113</f>
        <v>1.59435548017375</v>
      </c>
      <c r="L69" s="62" t="n">
        <f aca="false">Allcargo!J113</f>
        <v>1.18377911993098</v>
      </c>
      <c r="M69" s="58" t="n">
        <f aca="false">L69-K69</f>
        <v>-0.410576360242779</v>
      </c>
      <c r="N69" s="63" t="n">
        <f aca="false">Allcargo!D108</f>
        <v>51.9767663457769</v>
      </c>
      <c r="O69" s="63" t="n">
        <f aca="false">Allcargo!J108</f>
        <v>71.2973760932945</v>
      </c>
      <c r="P69" s="59" t="n">
        <f aca="false">O69-N69</f>
        <v>19.3206097475176</v>
      </c>
      <c r="Q69" s="62" t="n">
        <f aca="false">Allcargo!D87</f>
        <v>0.7472340028895</v>
      </c>
      <c r="R69" s="62" t="n">
        <f aca="false">Allcargo!J87</f>
        <v>1.20731707317073</v>
      </c>
      <c r="S69" s="58" t="n">
        <f aca="false">R69-Q69</f>
        <v>0.460083070281232</v>
      </c>
      <c r="T69" s="62" t="n">
        <f aca="false">Allcargo!D96</f>
        <v>5.08943633685902</v>
      </c>
      <c r="U69" s="62" t="n">
        <f aca="false">Allcargo!J96</f>
        <v>1.06451612903226</v>
      </c>
      <c r="V69" s="58" t="n">
        <f aca="false">U69-T69</f>
        <v>-4.02492020782676</v>
      </c>
      <c r="W69" s="62" t="n">
        <f aca="false">Allcargo!D80</f>
        <v>1.645685933372</v>
      </c>
      <c r="X69" s="62" t="n">
        <f aca="false">Allcargo!J80</f>
        <v>2.02558635394456</v>
      </c>
      <c r="Y69" s="58" t="n">
        <f aca="false">X69-W69</f>
        <v>0.379900420572568</v>
      </c>
    </row>
    <row r="70" customFormat="false" ht="15" hidden="false" customHeight="false" outlineLevel="0" collapsed="false">
      <c r="A70" s="18" t="s">
        <v>112</v>
      </c>
      <c r="B70" s="61" t="n">
        <f aca="false">BlueDart!D121</f>
        <v>0.149477344234724</v>
      </c>
      <c r="C70" s="61" t="n">
        <f aca="false">BlueDart!J121</f>
        <v>0.154808431364886</v>
      </c>
      <c r="D70" s="56" t="n">
        <f aca="false">C70-B70</f>
        <v>0.00533108713016164</v>
      </c>
      <c r="E70" s="61" t="n">
        <f aca="false">BlueDart!D124</f>
        <v>-0.0131837121629666</v>
      </c>
      <c r="F70" s="61" t="n">
        <f aca="false">BlueDart!J124</f>
        <v>0.040285757090189</v>
      </c>
      <c r="G70" s="56" t="n">
        <f aca="false">F70-E70</f>
        <v>0.0534694692531556</v>
      </c>
      <c r="H70" s="61" t="n">
        <f aca="false">BlueDart!D138</f>
        <v>0.0720881712209209</v>
      </c>
      <c r="I70" s="61" t="n">
        <f aca="false">BlueDart!J138</f>
        <v>0.113853670673014</v>
      </c>
      <c r="J70" s="56" t="n">
        <f aca="false">I70-H70</f>
        <v>0.0417654994520931</v>
      </c>
      <c r="K70" s="62" t="n">
        <f aca="false">BlueDart!D113</f>
        <v>1.42636762839591</v>
      </c>
      <c r="L70" s="62" t="n">
        <f aca="false">BlueDart!J113</f>
        <v>1.57668484044772</v>
      </c>
      <c r="M70" s="58" t="n">
        <f aca="false">L70-K70</f>
        <v>0.150317212051817</v>
      </c>
      <c r="N70" s="63" t="n">
        <f aca="false">BlueDart!D108</f>
        <v>58.5844122917802</v>
      </c>
      <c r="O70" s="63" t="n">
        <f aca="false">BlueDart!J108</f>
        <v>50.6510548976694</v>
      </c>
      <c r="P70" s="59" t="n">
        <f aca="false">O70-N70</f>
        <v>-7.93335739411079</v>
      </c>
      <c r="Q70" s="62" t="n">
        <f aca="false">BlueDart!D87</f>
        <v>1.07980359798708</v>
      </c>
      <c r="R70" s="62" t="n">
        <f aca="false">BlueDart!J87</f>
        <v>0.642661368842264</v>
      </c>
      <c r="S70" s="58" t="n">
        <f aca="false">R70-Q70</f>
        <v>-0.437142229144819</v>
      </c>
      <c r="T70" s="62" t="n">
        <f aca="false">BlueDart!D96</f>
        <v>0.666723462259329</v>
      </c>
      <c r="U70" s="62" t="n">
        <f aca="false">BlueDart!J96</f>
        <v>4.81539000467071</v>
      </c>
      <c r="V70" s="58" t="n">
        <f aca="false">U70-T70</f>
        <v>4.14866654241139</v>
      </c>
      <c r="W70" s="62" t="n">
        <f aca="false">BlueDart!D80</f>
        <v>0.591236820662239</v>
      </c>
      <c r="X70" s="62" t="n">
        <f aca="false">BlueDart!J80</f>
        <v>1.36741383306294</v>
      </c>
      <c r="Y70" s="58" t="n">
        <f aca="false">X70-W70</f>
        <v>0.776177012400702</v>
      </c>
    </row>
    <row r="71" customFormat="false" ht="15" hidden="false" customHeight="false" outlineLevel="0" collapsed="false">
      <c r="A71" s="18" t="s">
        <v>67</v>
      </c>
      <c r="B71" s="61" t="n">
        <f aca="false">CONCOR!D121</f>
        <v>0.259441033831679</v>
      </c>
      <c r="C71" s="61" t="n">
        <f aca="false">CONCOR!J121</f>
        <v>0.214927464238785</v>
      </c>
      <c r="D71" s="56" t="n">
        <f aca="false">C71-B71</f>
        <v>-0.0445135695928946</v>
      </c>
      <c r="E71" s="61" t="n">
        <f aca="false">CONCOR!D124</f>
        <v>0.0617922382994884</v>
      </c>
      <c r="F71" s="61" t="n">
        <f aca="false">CONCOR!J124</f>
        <v>0.13677763006156</v>
      </c>
      <c r="G71" s="56" t="n">
        <f aca="false">F71-E71</f>
        <v>0.0749853917620715</v>
      </c>
      <c r="H71" s="61" t="n">
        <f aca="false">CONCOR!D138</f>
        <v>0.0415144440490748</v>
      </c>
      <c r="I71" s="61" t="n">
        <f aca="false">CONCOR!J138</f>
        <v>0.0961333119054842</v>
      </c>
      <c r="J71" s="56" t="n">
        <f aca="false">I71-H71</f>
        <v>0.0546188678564094</v>
      </c>
      <c r="K71" s="62" t="n">
        <f aca="false">CONCOR!D113</f>
        <v>0.531210369318297</v>
      </c>
      <c r="L71" s="62" t="n">
        <f aca="false">CONCOR!J113</f>
        <v>0.61234665990401</v>
      </c>
      <c r="M71" s="58" t="n">
        <f aca="false">L71-K71</f>
        <v>0.0811362905857125</v>
      </c>
      <c r="N71" s="63" t="n">
        <f aca="false">CONCOR!D108</f>
        <v>7.26923618778397</v>
      </c>
      <c r="O71" s="63" t="n">
        <f aca="false">CONCOR!J108</f>
        <v>17.7889342072944</v>
      </c>
      <c r="P71" s="59" t="n">
        <f aca="false">O71-N71</f>
        <v>10.5196980195105</v>
      </c>
      <c r="Q71" s="62" t="n">
        <f aca="false">CONCOR!D87</f>
        <v>0.00696787808204179</v>
      </c>
      <c r="R71" s="62" t="n">
        <f aca="false">CONCOR!J87</f>
        <v>0.0745281961931179</v>
      </c>
      <c r="S71" s="58" t="n">
        <f aca="false">R71-Q71</f>
        <v>0.0675603181110762</v>
      </c>
      <c r="T71" s="62" t="n">
        <f aca="false">CONCOR!D96</f>
        <v>12.7095176571921</v>
      </c>
      <c r="U71" s="62" t="n">
        <f aca="false">CONCOR!J96</f>
        <v>22.0208837386986</v>
      </c>
      <c r="V71" s="58" t="n">
        <f aca="false">U71-T71</f>
        <v>9.31136608150651</v>
      </c>
      <c r="W71" s="62" t="n">
        <f aca="false">CONCOR!D80</f>
        <v>2.5701337988593</v>
      </c>
      <c r="X71" s="62" t="n">
        <f aca="false">CONCOR!J80</f>
        <v>4.75113881752124</v>
      </c>
      <c r="Y71" s="58" t="n">
        <f aca="false">X71-W71</f>
        <v>2.18100501866194</v>
      </c>
    </row>
    <row r="72" customFormat="false" ht="15" hidden="false" customHeight="false" outlineLevel="0" collapsed="false">
      <c r="A72" s="18" t="s">
        <v>113</v>
      </c>
      <c r="B72" s="61" t="n">
        <f aca="false">JetFreight!D121</f>
        <v>-0.0117085862966177</v>
      </c>
      <c r="C72" s="61" t="n">
        <f aca="false">JetFreight!J121</f>
        <v>0.0373130967393262</v>
      </c>
      <c r="D72" s="56" t="n">
        <f aca="false">C72-B72</f>
        <v>0.0490216830359439</v>
      </c>
      <c r="E72" s="61" t="n">
        <f aca="false">JetFreight!D124</f>
        <v>-0.0285876309293482</v>
      </c>
      <c r="F72" s="61" t="n">
        <f aca="false">JetFreight!J124</f>
        <v>0.0153125562961629</v>
      </c>
      <c r="G72" s="56" t="n">
        <f aca="false">F72-E72</f>
        <v>0.0439001872255111</v>
      </c>
      <c r="H72" s="61" t="n">
        <f aca="false">JetFreight!D138</f>
        <v>-0.0662947691810171</v>
      </c>
      <c r="I72" s="61" t="n">
        <f aca="false">JetFreight!J138</f>
        <v>0.0787898328187067</v>
      </c>
      <c r="J72" s="56" t="n">
        <f aca="false">I72-H72</f>
        <v>0.145084601999724</v>
      </c>
      <c r="K72" s="62" t="n">
        <f aca="false">JetFreight!D113</f>
        <v>3.30518191841235</v>
      </c>
      <c r="L72" s="62" t="n">
        <f aca="false">JetFreight!J113</f>
        <v>2.35886539891639</v>
      </c>
      <c r="M72" s="58" t="n">
        <f aca="false">L72-K72</f>
        <v>-0.946316519495956</v>
      </c>
      <c r="N72" s="63" t="n">
        <f aca="false">JetFreight!D108</f>
        <v>70.7280338915205</v>
      </c>
      <c r="O72" s="63" t="n">
        <f aca="false">JetFreight!J108</f>
        <v>71.9841019636102</v>
      </c>
      <c r="P72" s="59" t="n">
        <f aca="false">O72-N72</f>
        <v>1.2560680720897</v>
      </c>
      <c r="Q72" s="62" t="n">
        <f aca="false">JetFreight!D87</f>
        <v>2.15990730011588</v>
      </c>
      <c r="R72" s="62" t="n">
        <f aca="false">JetFreight!J87</f>
        <v>1.01758483308147</v>
      </c>
      <c r="S72" s="58" t="n">
        <f aca="false">R72-Q72</f>
        <v>-1.14232246703441</v>
      </c>
      <c r="T72" s="62" t="n">
        <f aca="false">JetFreight!D96</f>
        <v>-0.895196506550218</v>
      </c>
      <c r="U72" s="62" t="n">
        <f aca="false">JetFreight!J96</f>
        <v>2.65571428571429</v>
      </c>
      <c r="V72" s="58" t="n">
        <f aca="false">U72-T72</f>
        <v>3.5509107922645</v>
      </c>
      <c r="W72" s="62" t="n">
        <f aca="false">JetFreight!D80</f>
        <v>2.17703636910129</v>
      </c>
      <c r="X72" s="62" t="n">
        <f aca="false">JetFreight!J80</f>
        <v>3.58818547533347</v>
      </c>
      <c r="Y72" s="58" t="n">
        <f aca="false">X72-W72</f>
        <v>1.41114910623218</v>
      </c>
    </row>
    <row r="73" customFormat="false" ht="15" hidden="false" customHeight="false" outlineLevel="0" collapsed="false">
      <c r="A73" s="18" t="s">
        <v>114</v>
      </c>
      <c r="B73" s="61" t="n">
        <f aca="false">Patel!D121</f>
        <v>0.0232866066031491</v>
      </c>
      <c r="C73" s="61" t="n">
        <f aca="false">Patel!J121</f>
        <v>0.0290362322898582</v>
      </c>
      <c r="D73" s="56" t="n">
        <f aca="false">C73-B73</f>
        <v>0.00574962568670907</v>
      </c>
      <c r="E73" s="61" t="n">
        <f aca="false">Patel!D124</f>
        <v>0.0309144814484327</v>
      </c>
      <c r="F73" s="61" t="n">
        <f aca="false">Patel!J124</f>
        <v>0.0268802150417203</v>
      </c>
      <c r="G73" s="56" t="n">
        <f aca="false">F73-E73</f>
        <v>-0.00403426640671235</v>
      </c>
      <c r="H73" s="61" t="n">
        <f aca="false">Patel!D138</f>
        <v>0.0880360938871344</v>
      </c>
      <c r="I73" s="61" t="n">
        <f aca="false">Patel!J138</f>
        <v>0.0749730271895976</v>
      </c>
      <c r="J73" s="56" t="n">
        <f aca="false">I73-H73</f>
        <v>-0.0130630666975368</v>
      </c>
      <c r="K73" s="62" t="n">
        <f aca="false">Patel!D113</f>
        <v>1.60685460558267</v>
      </c>
      <c r="L73" s="62" t="n">
        <f aca="false">Patel!J113</f>
        <v>2.15508085928071</v>
      </c>
      <c r="M73" s="58" t="n">
        <f aca="false">L73-K73</f>
        <v>0.54822625369805</v>
      </c>
      <c r="N73" s="63" t="n">
        <f aca="false">Patel!D108</f>
        <v>98.82768198958</v>
      </c>
      <c r="O73" s="63" t="n">
        <f aca="false">Patel!J108</f>
        <v>71.6274430195442</v>
      </c>
      <c r="P73" s="59" t="n">
        <f aca="false">O73-N73</f>
        <v>-27.2002389700359</v>
      </c>
      <c r="Q73" s="62" t="n">
        <f aca="false">Patel!D87</f>
        <v>0.510123498277745</v>
      </c>
      <c r="R73" s="62" t="n">
        <f aca="false">Patel!J87</f>
        <v>0.0506800518134715</v>
      </c>
      <c r="S73" s="58" t="n">
        <f aca="false">R73-Q73</f>
        <v>-0.459443446464274</v>
      </c>
      <c r="T73" s="62" t="n">
        <f aca="false">Patel!D96</f>
        <v>2.7361299052774</v>
      </c>
      <c r="U73" s="62" t="n">
        <f aca="false">Patel!J96</f>
        <v>30.4571428571429</v>
      </c>
      <c r="V73" s="58" t="n">
        <f aca="false">U73-T73</f>
        <v>27.7210129518655</v>
      </c>
      <c r="W73" s="62" t="n">
        <f aca="false">Patel!D80</f>
        <v>5.51911076443058</v>
      </c>
      <c r="X73" s="62" t="n">
        <f aca="false">Patel!J80</f>
        <v>3.3649373881932</v>
      </c>
      <c r="Y73" s="58" t="n">
        <f aca="false">X73-W73</f>
        <v>-2.15417337623737</v>
      </c>
    </row>
    <row r="74" customFormat="false" ht="15" hidden="false" customHeight="false" outlineLevel="0" collapsed="false">
      <c r="A74" s="18" t="s">
        <v>86</v>
      </c>
      <c r="B74" s="61" t="n">
        <f aca="false">TCI!D121</f>
        <v>0.0888352515232685</v>
      </c>
      <c r="C74" s="61" t="n">
        <f aca="false">TCI!J121</f>
        <v>0.105557103545621</v>
      </c>
      <c r="D74" s="56" t="n">
        <f aca="false">C74-B74</f>
        <v>0.0167218520223521</v>
      </c>
      <c r="E74" s="61" t="n">
        <f aca="false">TCI!D124</f>
        <v>0.0523798310422983</v>
      </c>
      <c r="F74" s="61" t="n">
        <f aca="false">TCI!J124</f>
        <v>0.0927946599088426</v>
      </c>
      <c r="G74" s="56" t="n">
        <f aca="false">F74-E74</f>
        <v>0.0404148288665443</v>
      </c>
      <c r="H74" s="61" t="n">
        <f aca="false">TCI!D138</f>
        <v>0.123977408011229</v>
      </c>
      <c r="I74" s="61" t="n">
        <f aca="false">TCI!J138</f>
        <v>0.182307293651997</v>
      </c>
      <c r="J74" s="56" t="n">
        <f aca="false">I74-H74</f>
        <v>0.0583298856407673</v>
      </c>
      <c r="K74" s="62" t="n">
        <f aca="false">TCI!D113</f>
        <v>1.64754021344116</v>
      </c>
      <c r="L74" s="62" t="n">
        <f aca="false">TCI!J113</f>
        <v>1.53268525489059</v>
      </c>
      <c r="M74" s="58" t="n">
        <f aca="false">L74-K74</f>
        <v>-0.114854958550563</v>
      </c>
      <c r="N74" s="63" t="n">
        <f aca="false">TCI!D108</f>
        <v>67.3087267830336</v>
      </c>
      <c r="O74" s="63" t="n">
        <f aca="false">TCI!J108</f>
        <v>57.0980389564694</v>
      </c>
      <c r="P74" s="59" t="n">
        <f aca="false">O74-N74</f>
        <v>-10.2106878265642</v>
      </c>
      <c r="Q74" s="62" t="n">
        <f aca="false">TCI!D87</f>
        <v>0.41220248268857</v>
      </c>
      <c r="R74" s="62" t="n">
        <f aca="false">TCI!J87</f>
        <v>0.121746382487851</v>
      </c>
      <c r="S74" s="58" t="n">
        <f aca="false">R74-Q74</f>
        <v>-0.290456100200719</v>
      </c>
      <c r="T74" s="62" t="n">
        <f aca="false">TCI!D96</f>
        <v>5.63607226107226</v>
      </c>
      <c r="U74" s="62" t="n">
        <f aca="false">TCI!J96</f>
        <v>22.9346204475647</v>
      </c>
      <c r="V74" s="58" t="n">
        <f aca="false">U74-T74</f>
        <v>17.2985481864925</v>
      </c>
      <c r="W74" s="62" t="n">
        <f aca="false">TCI!D80</f>
        <v>3.17916420928469</v>
      </c>
      <c r="X74" s="62" t="n">
        <f aca="false">TCI!J80</f>
        <v>2.41828094188609</v>
      </c>
      <c r="Y74" s="58" t="n">
        <f aca="false">X74-W74</f>
        <v>-0.760883267398599</v>
      </c>
    </row>
    <row r="75" customFormat="false" ht="15" hidden="false" customHeight="false" outlineLevel="0" collapsed="false">
      <c r="A75" s="18" t="s">
        <v>116</v>
      </c>
      <c r="B75" s="61" t="n">
        <f aca="false">Shreeji!D121</f>
        <v>0.0822727272727273</v>
      </c>
      <c r="C75" s="61" t="n">
        <f aca="false">Shreeji!J121</f>
        <v>0.0330786631951855</v>
      </c>
      <c r="D75" s="56" t="n">
        <f aca="false">C75-B75</f>
        <v>-0.0491940640775418</v>
      </c>
      <c r="E75" s="61" t="n">
        <f aca="false">Shreeji!D124</f>
        <v>0.0133636363636364</v>
      </c>
      <c r="F75" s="61" t="n">
        <f aca="false">Shreeji!J124</f>
        <v>0.013487558154424</v>
      </c>
      <c r="G75" s="56" t="n">
        <f aca="false">F75-E75</f>
        <v>0.000123921790787641</v>
      </c>
      <c r="H75" s="61" t="n">
        <f aca="false">Shreeji!D138</f>
        <v>0.0576608707557503</v>
      </c>
      <c r="I75" s="61" t="n">
        <f aca="false">Shreeji!J138</f>
        <v>0.0690367143830639</v>
      </c>
      <c r="J75" s="56" t="n">
        <f aca="false">I75-H75</f>
        <v>0.0113758436273136</v>
      </c>
      <c r="K75" s="62" t="n">
        <f aca="false">Shreeji!D113</f>
        <v>1.46072637939048</v>
      </c>
      <c r="L75" s="62" t="n">
        <f aca="false">Shreeji!J113</f>
        <v>1.99812374738817</v>
      </c>
      <c r="M75" s="58" t="n">
        <f aca="false">L75-K75</f>
        <v>0.537397367997692</v>
      </c>
      <c r="N75" s="63" t="n">
        <f aca="false">Shreeji!D108</f>
        <v>94.3525</v>
      </c>
      <c r="O75" s="63" t="n">
        <f aca="false">Shreeji!J108</f>
        <v>105.555401425584</v>
      </c>
      <c r="P75" s="59" t="n">
        <f aca="false">O75-N75</f>
        <v>11.2029014255837</v>
      </c>
      <c r="Q75" s="62" t="n">
        <f aca="false">Shreeji!D87</f>
        <v>1.80316831683168</v>
      </c>
      <c r="R75" s="62" t="n">
        <f aca="false">Shreeji!J87</f>
        <v>0.666611212776576</v>
      </c>
      <c r="S75" s="58" t="n">
        <f aca="false">R75-Q75</f>
        <v>-1.13655710405511</v>
      </c>
      <c r="T75" s="62" t="n">
        <f aca="false">Shreeji!D96</f>
        <v>1.62322946175637</v>
      </c>
      <c r="U75" s="62" t="n">
        <f aca="false">Shreeji!J96</f>
        <v>1.85576923076923</v>
      </c>
      <c r="V75" s="58" t="n">
        <f aca="false">U75-T75</f>
        <v>0.232539769012857</v>
      </c>
      <c r="W75" s="62" t="n">
        <f aca="false">Shreeji!D80</f>
        <v>6.11435239206534</v>
      </c>
      <c r="X75" s="62" t="n">
        <f aca="false">Shreeji!J80</f>
        <v>4.77197518097208</v>
      </c>
      <c r="Y75" s="58" t="n">
        <f aca="false">X75-W75</f>
        <v>-1.34237721109327</v>
      </c>
    </row>
    <row r="76" customFormat="false" ht="15" hidden="false" customHeight="false" outlineLevel="0" collapsed="false">
      <c r="A76" s="18" t="s">
        <v>117</v>
      </c>
      <c r="B76" s="61" t="n">
        <f aca="false">MahindraLog!D121</f>
        <v>0.0456564702086345</v>
      </c>
      <c r="C76" s="61" t="n">
        <f aca="false">MahindraLog!J121</f>
        <v>0.0541196976840541</v>
      </c>
      <c r="D76" s="56" t="n">
        <f aca="false">C76-B76</f>
        <v>0.00846322747541964</v>
      </c>
      <c r="E76" s="61" t="n">
        <f aca="false">MahindraLog!D124</f>
        <v>0.0158795093254666</v>
      </c>
      <c r="F76" s="61" t="n">
        <f aca="false">MahindraLog!J124</f>
        <v>0.000327175574700327</v>
      </c>
      <c r="G76" s="56" t="n">
        <f aca="false">F76-E76</f>
        <v>-0.0155523337507662</v>
      </c>
      <c r="H76" s="61" t="n">
        <f aca="false">MahindraLog!D138</f>
        <v>0.105300363544567</v>
      </c>
      <c r="I76" s="61" t="n">
        <f aca="false">MahindraLog!J138</f>
        <v>0.0220256136427835</v>
      </c>
      <c r="J76" s="56" t="n">
        <f aca="false">I76-H76</f>
        <v>-0.0832747499017835</v>
      </c>
      <c r="K76" s="62" t="n">
        <f aca="false">MahindraLog!D113</f>
        <v>2.64271493557167</v>
      </c>
      <c r="L76" s="62" t="n">
        <f aca="false">MahindraLog!J113</f>
        <v>2.46289020920826</v>
      </c>
      <c r="M76" s="58" t="n">
        <f aca="false">L76-K76</f>
        <v>-0.179824726363411</v>
      </c>
      <c r="N76" s="63" t="n">
        <f aca="false">MahindraLog!D108</f>
        <v>55.4102542680503</v>
      </c>
      <c r="O76" s="63" t="n">
        <f aca="false">MahindraLog!J108</f>
        <v>34.279274356007</v>
      </c>
      <c r="P76" s="59" t="n">
        <f aca="false">O76-N76</f>
        <v>-21.1309799120432</v>
      </c>
      <c r="Q76" s="62" t="n">
        <f aca="false">MahindraLog!D87</f>
        <v>0.369595152850454</v>
      </c>
      <c r="R76" s="62" t="n">
        <f aca="false">MahindraLog!J87</f>
        <v>0.553082279235261</v>
      </c>
      <c r="S76" s="58" t="n">
        <f aca="false">R76-Q76</f>
        <v>0.183487126384807</v>
      </c>
      <c r="T76" s="62" t="n">
        <f aca="false">MahindraLog!D96</f>
        <v>5.60521837776517</v>
      </c>
      <c r="U76" s="62" t="n">
        <f aca="false">MahindraLog!J96</f>
        <v>1.44201546254332</v>
      </c>
      <c r="V76" s="58" t="n">
        <f aca="false">U76-T76</f>
        <v>-4.16320291522185</v>
      </c>
      <c r="W76" s="62" t="n">
        <f aca="false">MahindraLog!D80</f>
        <v>1.73504564352188</v>
      </c>
      <c r="X76" s="62" t="n">
        <f aca="false">MahindraLog!J80</f>
        <v>1.41224384605773</v>
      </c>
      <c r="Y76" s="58" t="n">
        <f aca="false">X76-W76</f>
        <v>-0.322801797464147</v>
      </c>
    </row>
    <row r="78" customFormat="false" ht="15" hidden="false" customHeight="false" outlineLevel="0" collapsed="false">
      <c r="A78" s="16" t="s">
        <v>329</v>
      </c>
      <c r="B78" s="17"/>
      <c r="C78" s="17"/>
      <c r="D78" s="17"/>
      <c r="E78" s="17"/>
      <c r="F78" s="17"/>
      <c r="G78" s="17"/>
      <c r="H78" s="17"/>
      <c r="I78" s="17"/>
      <c r="J78" s="17"/>
      <c r="K78" s="17"/>
      <c r="L78" s="17"/>
      <c r="M78" s="17"/>
      <c r="N78" s="17"/>
    </row>
    <row r="79" customFormat="false" ht="42" hidden="false" customHeight="true" outlineLevel="0" collapsed="false">
      <c r="A79" s="7" t="s">
        <v>304</v>
      </c>
      <c r="B79" s="7" t="s">
        <v>330</v>
      </c>
      <c r="C79" s="7" t="s">
        <v>331</v>
      </c>
      <c r="D79" s="7" t="s">
        <v>332</v>
      </c>
      <c r="E79" s="7" t="s">
        <v>333</v>
      </c>
      <c r="F79" s="7" t="s">
        <v>334</v>
      </c>
      <c r="G79" s="7" t="s">
        <v>335</v>
      </c>
      <c r="H79" s="7" t="s">
        <v>336</v>
      </c>
      <c r="I79" s="7" t="s">
        <v>334</v>
      </c>
      <c r="J79" s="7" t="s">
        <v>335</v>
      </c>
      <c r="K79" s="7" t="s">
        <v>337</v>
      </c>
      <c r="L79" s="7" t="s">
        <v>334</v>
      </c>
      <c r="M79" s="7" t="s">
        <v>335</v>
      </c>
      <c r="N79" s="7" t="s">
        <v>338</v>
      </c>
      <c r="O79" s="7" t="s">
        <v>334</v>
      </c>
      <c r="P79" s="7" t="s">
        <v>335</v>
      </c>
      <c r="Q79" s="7" t="s">
        <v>339</v>
      </c>
      <c r="R79" s="7" t="s">
        <v>334</v>
      </c>
      <c r="S79" s="7" t="s">
        <v>335</v>
      </c>
      <c r="T79" s="7" t="s">
        <v>340</v>
      </c>
      <c r="U79" s="7" t="s">
        <v>334</v>
      </c>
      <c r="V79" s="7" t="s">
        <v>335</v>
      </c>
    </row>
    <row r="80" customFormat="false" ht="15" hidden="false" customHeight="false" outlineLevel="0" collapsed="false">
      <c r="A80" s="18" t="s">
        <v>110</v>
      </c>
      <c r="B80" s="61" t="n">
        <f aca="false">Tiger!K195</f>
        <v>0.0668501074764022</v>
      </c>
      <c r="C80" s="18" t="str">
        <f aca="false">IF(B80&gt;=MEDIAN($B$80:$B$89),"Asset-heavy","Asset-light")</f>
        <v>Asset-light</v>
      </c>
      <c r="D80" s="64" t="n">
        <v>1</v>
      </c>
      <c r="E80" s="62" t="n">
        <f aca="false">Tiger!K113</f>
        <v>3.06893794022368</v>
      </c>
      <c r="F80" s="58" t="n">
        <f aca="false">IF(AND($C80="Asset-light",$D80=1),E80,"")</f>
        <v>3.06893794022368</v>
      </c>
      <c r="G80" s="58" t="str">
        <f aca="false">IF(AND($C80="Asset-heavy",$D80=1),E80,"")</f>
        <v/>
      </c>
      <c r="H80" s="62" t="n">
        <f aca="false">Tiger!K112</f>
        <v>47.0690112633442</v>
      </c>
      <c r="I80" s="58" t="n">
        <f aca="false">IF(AND($C80="Asset-light",$D80=1),H80,"")</f>
        <v>47.0690112633442</v>
      </c>
      <c r="J80" s="58" t="str">
        <f aca="false">IF(AND($C80="Asset-heavy",$D80=1),H80,"")</f>
        <v/>
      </c>
      <c r="K80" s="61" t="n">
        <f aca="false">Tiger!K121</f>
        <v>0.0296294891022505</v>
      </c>
      <c r="L80" s="56" t="n">
        <f aca="false">IF(AND($C80="Asset-light",$D80=1),K80,"")</f>
        <v>0.0296294891022505</v>
      </c>
      <c r="M80" s="56" t="str">
        <f aca="false">IF(AND($C80="Asset-heavy",$D80=1),K80,"")</f>
        <v/>
      </c>
      <c r="N80" s="61" t="n">
        <f aca="false">Tiger!K124</f>
        <v>0.0193125923266549</v>
      </c>
      <c r="O80" s="56" t="n">
        <f aca="false">IF(AND($C80="Asset-light",$D80=1),N80,"")</f>
        <v>0.0193125923266549</v>
      </c>
      <c r="P80" s="56" t="str">
        <f aca="false">IF(AND($C80="Asset-heavy",$D80=1),N80,"")</f>
        <v/>
      </c>
      <c r="Q80" s="61" t="n">
        <f aca="false">Tiger!K138</f>
        <v>0.149512288348678</v>
      </c>
      <c r="R80" s="56" t="n">
        <f aca="false">IF(AND($C80="Asset-light",$D80=1),Q80,"")</f>
        <v>0.149512288348678</v>
      </c>
      <c r="S80" s="56" t="str">
        <f aca="false">IF(AND($C80="Asset-heavy",$D80=1),Q80,"")</f>
        <v/>
      </c>
      <c r="T80" s="62" t="n">
        <f aca="false">Tiger!K87</f>
        <v>0.246617868662109</v>
      </c>
      <c r="U80" s="58" t="n">
        <f aca="false">IF(AND($C80="Asset-light",$D80=1),T80,"")</f>
        <v>0.246617868662109</v>
      </c>
      <c r="V80" s="58" t="str">
        <f aca="false">IF(AND($C80="Asset-heavy",$D80=1),T80,"")</f>
        <v/>
      </c>
    </row>
    <row r="81" customFormat="false" ht="15" hidden="false" customHeight="false" outlineLevel="0" collapsed="false">
      <c r="A81" s="18" t="s">
        <v>111</v>
      </c>
      <c r="B81" s="61" t="n">
        <f aca="false">Allcargo!K195</f>
        <v>0.392147475830956</v>
      </c>
      <c r="C81" s="18" t="str">
        <f aca="false">IF(B81&gt;=MEDIAN($B$80:$B$89),"Asset-heavy","Asset-light")</f>
        <v>Asset-heavy</v>
      </c>
      <c r="D81" s="64" t="n">
        <v>1</v>
      </c>
      <c r="E81" s="62" t="n">
        <f aca="false">Allcargo!K113</f>
        <v>1.58328641839546</v>
      </c>
      <c r="F81" s="58" t="str">
        <f aca="false">IF(AND($C81="Asset-light",$D81=1),E81,"")</f>
        <v/>
      </c>
      <c r="G81" s="58" t="n">
        <f aca="false">IF(AND($C81="Asset-heavy",$D81=1),E81,"")</f>
        <v>1.58328641839546</v>
      </c>
      <c r="H81" s="62" t="n">
        <f aca="false">Allcargo!K112</f>
        <v>4.1918698576886</v>
      </c>
      <c r="I81" s="58" t="str">
        <f aca="false">IF(AND($C81="Asset-light",$D81=1),H81,"")</f>
        <v/>
      </c>
      <c r="J81" s="58" t="n">
        <f aca="false">IF(AND($C81="Asset-heavy",$D81=1),H81,"")</f>
        <v>4.1918698576886</v>
      </c>
      <c r="K81" s="61" t="n">
        <f aca="false">Allcargo!K121</f>
        <v>0.0736079812006185</v>
      </c>
      <c r="L81" s="56" t="str">
        <f aca="false">IF(AND($C81="Asset-light",$D81=1),K81,"")</f>
        <v/>
      </c>
      <c r="M81" s="56" t="n">
        <f aca="false">IF(AND($C81="Asset-heavy",$D81=1),K81,"")</f>
        <v>0.0736079812006185</v>
      </c>
      <c r="N81" s="61" t="n">
        <f aca="false">Allcargo!K124</f>
        <v>0.0255492079796168</v>
      </c>
      <c r="O81" s="56" t="str">
        <f aca="false">IF(AND($C81="Asset-light",$D81=1),N81,"")</f>
        <v/>
      </c>
      <c r="P81" s="56" t="n">
        <f aca="false">IF(AND($C81="Asset-heavy",$D81=1),N81,"")</f>
        <v>0.0255492079796168</v>
      </c>
      <c r="Q81" s="61" t="n">
        <f aca="false">Allcargo!K138</f>
        <v>0.091915107822542</v>
      </c>
      <c r="R81" s="56" t="str">
        <f aca="false">IF(AND($C81="Asset-light",$D81=1),Q81,"")</f>
        <v/>
      </c>
      <c r="S81" s="56" t="n">
        <f aca="false">IF(AND($C81="Asset-heavy",$D81=1),Q81,"")</f>
        <v>0.091915107822542</v>
      </c>
      <c r="T81" s="62" t="n">
        <f aca="false">Allcargo!K87</f>
        <v>0.876121631518016</v>
      </c>
      <c r="U81" s="58" t="str">
        <f aca="false">IF(AND($C81="Asset-light",$D81=1),T81,"")</f>
        <v/>
      </c>
      <c r="V81" s="58" t="n">
        <f aca="false">IF(AND($C81="Asset-heavy",$D81=1),T81,"")</f>
        <v>0.876121631518016</v>
      </c>
    </row>
    <row r="82" customFormat="false" ht="15" hidden="false" customHeight="false" outlineLevel="0" collapsed="false">
      <c r="A82" s="18" t="s">
        <v>112</v>
      </c>
      <c r="B82" s="61" t="n">
        <f aca="false">BlueDart!K195</f>
        <v>0.520808473781033</v>
      </c>
      <c r="C82" s="18" t="str">
        <f aca="false">IF(B82&gt;=MEDIAN($B$80:$B$89),"Asset-heavy","Asset-light")</f>
        <v>Asset-heavy</v>
      </c>
      <c r="D82" s="64" t="n">
        <v>1</v>
      </c>
      <c r="E82" s="62" t="n">
        <f aca="false">BlueDart!K113</f>
        <v>1.51749922766642</v>
      </c>
      <c r="F82" s="58" t="str">
        <f aca="false">IF(AND($C82="Asset-light",$D82=1),E82,"")</f>
        <v/>
      </c>
      <c r="G82" s="58" t="n">
        <f aca="false">IF(AND($C82="Asset-heavy",$D82=1),E82,"")</f>
        <v>1.51749922766642</v>
      </c>
      <c r="H82" s="62" t="n">
        <f aca="false">BlueDart!K112</f>
        <v>2.97889759836339</v>
      </c>
      <c r="I82" s="58" t="str">
        <f aca="false">IF(AND($C82="Asset-light",$D82=1),H82,"")</f>
        <v/>
      </c>
      <c r="J82" s="58" t="n">
        <f aca="false">IF(AND($C82="Asset-heavy",$D82=1),H82,"")</f>
        <v>2.97889759836339</v>
      </c>
      <c r="K82" s="61" t="n">
        <f aca="false">BlueDart!K121</f>
        <v>0.176589920097321</v>
      </c>
      <c r="L82" s="56" t="str">
        <f aca="false">IF(AND($C82="Asset-light",$D82=1),K82,"")</f>
        <v/>
      </c>
      <c r="M82" s="56" t="n">
        <f aca="false">IF(AND($C82="Asset-heavy",$D82=1),K82,"")</f>
        <v>0.176589920097321</v>
      </c>
      <c r="N82" s="61" t="n">
        <f aca="false">BlueDart!K124</f>
        <v>0.0453759828423274</v>
      </c>
      <c r="O82" s="56" t="str">
        <f aca="false">IF(AND($C82="Asset-light",$D82=1),N82,"")</f>
        <v/>
      </c>
      <c r="P82" s="56" t="n">
        <f aca="false">IF(AND($C82="Asset-heavy",$D82=1),N82,"")</f>
        <v>0.0453759828423274</v>
      </c>
      <c r="Q82" s="61" t="n">
        <f aca="false">BlueDart!K138</f>
        <v>0.142575514531313</v>
      </c>
      <c r="R82" s="56" t="str">
        <f aca="false">IF(AND($C82="Asset-light",$D82=1),Q82,"")</f>
        <v/>
      </c>
      <c r="S82" s="56" t="n">
        <f aca="false">IF(AND($C82="Asset-heavy",$D82=1),Q82,"")</f>
        <v>0.142575514531313</v>
      </c>
      <c r="T82" s="62" t="n">
        <f aca="false">BlueDart!K87</f>
        <v>1.12807548770916</v>
      </c>
      <c r="U82" s="58" t="str">
        <f aca="false">IF(AND($C82="Asset-light",$D82=1),T82,"")</f>
        <v/>
      </c>
      <c r="V82" s="58" t="n">
        <f aca="false">IF(AND($C82="Asset-heavy",$D82=1),T82,"")</f>
        <v>1.12807548770916</v>
      </c>
    </row>
    <row r="83" customFormat="false" ht="15" hidden="false" customHeight="false" outlineLevel="0" collapsed="false">
      <c r="A83" s="18" t="s">
        <v>67</v>
      </c>
      <c r="B83" s="61" t="n">
        <f aca="false">CONCOR!K195</f>
        <v>0.446137920557642</v>
      </c>
      <c r="C83" s="18" t="str">
        <f aca="false">IF(B83&gt;=MEDIAN($B$80:$B$89),"Asset-heavy","Asset-light")</f>
        <v>Asset-heavy</v>
      </c>
      <c r="D83" s="64" t="n">
        <v>1</v>
      </c>
      <c r="E83" s="62" t="n">
        <f aca="false">CONCOR!K113</f>
        <v>0.592412988687804</v>
      </c>
      <c r="F83" s="58" t="str">
        <f aca="false">IF(AND($C83="Asset-light",$D83=1),E83,"")</f>
        <v/>
      </c>
      <c r="G83" s="58" t="n">
        <f aca="false">IF(AND($C83="Asset-heavy",$D83=1),E83,"")</f>
        <v>0.592412988687804</v>
      </c>
      <c r="H83" s="62" t="n">
        <f aca="false">CONCOR!K112</f>
        <v>1.35557896468029</v>
      </c>
      <c r="I83" s="58" t="str">
        <f aca="false">IF(AND($C83="Asset-light",$D83=1),H83,"")</f>
        <v/>
      </c>
      <c r="J83" s="58" t="n">
        <f aca="false">IF(AND($C83="Asset-heavy",$D83=1),H83,"")</f>
        <v>1.35557896468029</v>
      </c>
      <c r="K83" s="61" t="n">
        <f aca="false">CONCOR!K121</f>
        <v>0.219710191657969</v>
      </c>
      <c r="L83" s="56" t="str">
        <f aca="false">IF(AND($C83="Asset-light",$D83=1),K83,"")</f>
        <v/>
      </c>
      <c r="M83" s="56" t="n">
        <f aca="false">IF(AND($C83="Asset-heavy",$D83=1),K83,"")</f>
        <v>0.219710191657969</v>
      </c>
      <c r="N83" s="61" t="n">
        <f aca="false">CONCOR!K124</f>
        <v>0.121369609664637</v>
      </c>
      <c r="O83" s="56" t="str">
        <f aca="false">IF(AND($C83="Asset-light",$D83=1),N83,"")</f>
        <v/>
      </c>
      <c r="P83" s="56" t="n">
        <f aca="false">IF(AND($C83="Asset-heavy",$D83=1),N83,"")</f>
        <v>0.121369609664637</v>
      </c>
      <c r="Q83" s="61" t="n">
        <f aca="false">CONCOR!K138</f>
        <v>0.0857922836002226</v>
      </c>
      <c r="R83" s="56" t="str">
        <f aca="false">IF(AND($C83="Asset-light",$D83=1),Q83,"")</f>
        <v/>
      </c>
      <c r="S83" s="56" t="n">
        <f aca="false">IF(AND($C83="Asset-heavy",$D83=1),Q83,"")</f>
        <v>0.0857922836002226</v>
      </c>
      <c r="T83" s="62" t="n">
        <f aca="false">CONCOR!K87</f>
        <v>0.0627363663295786</v>
      </c>
      <c r="U83" s="58" t="str">
        <f aca="false">IF(AND($C83="Asset-light",$D83=1),T83,"")</f>
        <v/>
      </c>
      <c r="V83" s="58" t="n">
        <f aca="false">IF(AND($C83="Asset-heavy",$D83=1),T83,"")</f>
        <v>0.0627363663295786</v>
      </c>
    </row>
    <row r="84" customFormat="false" ht="15" hidden="false" customHeight="false" outlineLevel="0" collapsed="false">
      <c r="A84" s="18" t="s">
        <v>113</v>
      </c>
      <c r="B84" s="61" t="n">
        <f aca="false">JetFreight!K195</f>
        <v>0.195049243160289</v>
      </c>
      <c r="C84" s="18" t="str">
        <f aca="false">IF(B84&gt;=MEDIAN($B$80:$B$89),"Asset-heavy","Asset-light")</f>
        <v>Asset-light</v>
      </c>
      <c r="D84" s="64" t="n">
        <v>1</v>
      </c>
      <c r="E84" s="62" t="n">
        <f aca="false">JetFreight!K113</f>
        <v>3.11489056086385</v>
      </c>
      <c r="F84" s="58" t="n">
        <f aca="false">IF(AND($C84="Asset-light",$D84=1),E84,"")</f>
        <v>3.11489056086385</v>
      </c>
      <c r="G84" s="58" t="str">
        <f aca="false">IF(AND($C84="Asset-heavy",$D84=1),E84,"")</f>
        <v/>
      </c>
      <c r="H84" s="62" t="n">
        <f aca="false">JetFreight!K112</f>
        <v>16.0597517262043</v>
      </c>
      <c r="I84" s="58" t="n">
        <f aca="false">IF(AND($C84="Asset-light",$D84=1),H84,"")</f>
        <v>16.0597517262043</v>
      </c>
      <c r="J84" s="58" t="str">
        <f aca="false">IF(AND($C84="Asset-heavy",$D84=1),H84,"")</f>
        <v/>
      </c>
      <c r="K84" s="61" t="n">
        <f aca="false">JetFreight!K121</f>
        <v>0.0204533994732436</v>
      </c>
      <c r="L84" s="56" t="n">
        <f aca="false">IF(AND($C84="Asset-light",$D84=1),K84,"")</f>
        <v>0.0204533994732436</v>
      </c>
      <c r="M84" s="56" t="str">
        <f aca="false">IF(AND($C84="Asset-heavy",$D84=1),K84,"")</f>
        <v/>
      </c>
      <c r="N84" s="61" t="n">
        <f aca="false">JetFreight!K124</f>
        <v>0.00135626431437763</v>
      </c>
      <c r="O84" s="56" t="n">
        <f aca="false">IF(AND($C84="Asset-light",$D84=1),N84,"")</f>
        <v>0.00135626431437763</v>
      </c>
      <c r="P84" s="56" t="str">
        <f aca="false">IF(AND($C84="Asset-heavy",$D84=1),N84,"")</f>
        <v/>
      </c>
      <c r="Q84" s="61" t="n">
        <f aca="false">JetFreight!K138</f>
        <v>0.0442132625003924</v>
      </c>
      <c r="R84" s="56" t="n">
        <f aca="false">IF(AND($C84="Asset-light",$D84=1),Q84,"")</f>
        <v>0.0442132625003924</v>
      </c>
      <c r="S84" s="56" t="str">
        <f aca="false">IF(AND($C84="Asset-heavy",$D84=1),Q84,"")</f>
        <v/>
      </c>
      <c r="T84" s="62" t="n">
        <f aca="false">JetFreight!K87</f>
        <v>1.35508447694488</v>
      </c>
      <c r="U84" s="58" t="n">
        <f aca="false">IF(AND($C84="Asset-light",$D84=1),T84,"")</f>
        <v>1.35508447694488</v>
      </c>
      <c r="V84" s="58" t="str">
        <f aca="false">IF(AND($C84="Asset-heavy",$D84=1),T84,"")</f>
        <v/>
      </c>
    </row>
    <row r="85" customFormat="false" ht="15" hidden="false" customHeight="false" outlineLevel="0" collapsed="false">
      <c r="A85" s="18" t="s">
        <v>114</v>
      </c>
      <c r="B85" s="61" t="n">
        <f aca="false">Patel!K195</f>
        <v>0.282772523259849</v>
      </c>
      <c r="C85" s="18" t="str">
        <f aca="false">IF(B85&gt;=MEDIAN($B$80:$B$89),"Asset-heavy","Asset-light")</f>
        <v>Asset-light</v>
      </c>
      <c r="D85" s="64" t="n">
        <v>1</v>
      </c>
      <c r="E85" s="62" t="n">
        <f aca="false">Patel!K113</f>
        <v>1.59812712916242</v>
      </c>
      <c r="F85" s="58" t="n">
        <f aca="false">IF(AND($C85="Asset-light",$D85=1),E85,"")</f>
        <v>1.59812712916242</v>
      </c>
      <c r="G85" s="58" t="str">
        <f aca="false">IF(AND($C85="Asset-heavy",$D85=1),E85,"")</f>
        <v/>
      </c>
      <c r="H85" s="62" t="n">
        <f aca="false">Patel!K112</f>
        <v>5.71845430598875</v>
      </c>
      <c r="I85" s="58" t="n">
        <f aca="false">IF(AND($C85="Asset-light",$D85=1),H85,"")</f>
        <v>5.71845430598875</v>
      </c>
      <c r="J85" s="58" t="str">
        <f aca="false">IF(AND($C85="Asset-heavy",$D85=1),H85,"")</f>
        <v/>
      </c>
      <c r="K85" s="61" t="n">
        <f aca="false">Patel!K121</f>
        <v>0.0290875003340588</v>
      </c>
      <c r="L85" s="56" t="n">
        <f aca="false">IF(AND($C85="Asset-light",$D85=1),K85,"")</f>
        <v>0.0290875003340588</v>
      </c>
      <c r="M85" s="56" t="str">
        <f aca="false">IF(AND($C85="Asset-heavy",$D85=1),K85,"")</f>
        <v/>
      </c>
      <c r="N85" s="61" t="n">
        <f aca="false">Patel!K124</f>
        <v>0.0180815433213601</v>
      </c>
      <c r="O85" s="56" t="n">
        <f aca="false">IF(AND($C85="Asset-light",$D85=1),N85,"")</f>
        <v>0.0180815433213601</v>
      </c>
      <c r="P85" s="56" t="str">
        <f aca="false">IF(AND($C85="Asset-heavy",$D85=1),N85,"")</f>
        <v/>
      </c>
      <c r="Q85" s="61" t="n">
        <f aca="false">Patel!K138</f>
        <v>0.0563851233681808</v>
      </c>
      <c r="R85" s="56" t="n">
        <f aca="false">IF(AND($C85="Asset-light",$D85=1),Q85,"")</f>
        <v>0.0563851233681808</v>
      </c>
      <c r="S85" s="56" t="str">
        <f aca="false">IF(AND($C85="Asset-heavy",$D85=1),Q85,"")</f>
        <v/>
      </c>
      <c r="T85" s="62" t="n">
        <f aca="false">Patel!K87</f>
        <v>0.296341736249049</v>
      </c>
      <c r="U85" s="58" t="n">
        <f aca="false">IF(AND($C85="Asset-light",$D85=1),T85,"")</f>
        <v>0.296341736249049</v>
      </c>
      <c r="V85" s="58" t="str">
        <f aca="false">IF(AND($C85="Asset-heavy",$D85=1),T85,"")</f>
        <v/>
      </c>
    </row>
    <row r="86" customFormat="false" ht="15" hidden="false" customHeight="false" outlineLevel="0" collapsed="false">
      <c r="A86" s="18" t="s">
        <v>115</v>
      </c>
      <c r="B86" s="61" t="n">
        <f aca="false">Sical!K195</f>
        <v>0.587937647479422</v>
      </c>
      <c r="C86" s="18" t="str">
        <f aca="false">IF(B86&gt;=MEDIAN($B$80:$B$89),"Asset-heavy","Asset-light")</f>
        <v>Asset-heavy</v>
      </c>
      <c r="D86" s="64" t="n">
        <v>0</v>
      </c>
      <c r="E86" s="62" t="n">
        <f aca="false">Sical!K113</f>
        <v>0.303682750278914</v>
      </c>
      <c r="F86" s="58" t="str">
        <f aca="false">IF(AND($C86="Asset-light",$D86=1),E86,"")</f>
        <v/>
      </c>
      <c r="G86" s="58" t="str">
        <f aca="false">IF(AND($C86="Asset-heavy",$D86=1),E86,"")</f>
        <v/>
      </c>
      <c r="H86" s="62" t="n">
        <f aca="false">Sical!K112</f>
        <v>0.58461596138071</v>
      </c>
      <c r="I86" s="58" t="str">
        <f aca="false">IF(AND($C86="Asset-light",$D86=1),H86,"")</f>
        <v/>
      </c>
      <c r="J86" s="58" t="str">
        <f aca="false">IF(AND($C86="Asset-heavy",$D86=1),H86,"")</f>
        <v/>
      </c>
      <c r="K86" s="61" t="n">
        <f aca="false">Sical!K121</f>
        <v>0.0417206117780169</v>
      </c>
      <c r="L86" s="56" t="str">
        <f aca="false">IF(AND($C86="Asset-light",$D86=1),K86,"")</f>
        <v/>
      </c>
      <c r="M86" s="56" t="str">
        <f aca="false">IF(AND($C86="Asset-heavy",$D86=1),K86,"")</f>
        <v/>
      </c>
      <c r="N86" s="61" t="n">
        <f aca="false">Sical!K124</f>
        <v>-0.771251353643673</v>
      </c>
      <c r="O86" s="56" t="str">
        <f aca="false">IF(AND($C86="Asset-light",$D86=1),N86,"")</f>
        <v/>
      </c>
      <c r="P86" s="56" t="str">
        <f aca="false">IF(AND($C86="Asset-heavy",$D86=1),N86,"")</f>
        <v/>
      </c>
      <c r="Q86" s="61" t="n">
        <f aca="false">Sical!K138</f>
        <v>-0.310893391253812</v>
      </c>
      <c r="R86" s="56" t="str">
        <f aca="false">IF(AND($C86="Asset-light",$D86=1),Q86,"")</f>
        <v/>
      </c>
      <c r="S86" s="56" t="str">
        <f aca="false">IF(AND($C86="Asset-heavy",$D86=1),Q86,"")</f>
        <v/>
      </c>
      <c r="T86" s="62" t="n">
        <f aca="false">Sical!K87</f>
        <v>8.24788366174122</v>
      </c>
      <c r="U86" s="58" t="str">
        <f aca="false">IF(AND($C86="Asset-light",$D86=1),T86,"")</f>
        <v/>
      </c>
      <c r="V86" s="58" t="str">
        <f aca="false">IF(AND($C86="Asset-heavy",$D86=1),T86,"")</f>
        <v/>
      </c>
    </row>
    <row r="87" customFormat="false" ht="15" hidden="false" customHeight="false" outlineLevel="0" collapsed="false">
      <c r="A87" s="18" t="s">
        <v>86</v>
      </c>
      <c r="B87" s="61" t="n">
        <f aca="false">TCI!K195</f>
        <v>0.393136147428326</v>
      </c>
      <c r="C87" s="18" t="str">
        <f aca="false">IF(B87&gt;=MEDIAN($B$80:$B$89),"Asset-heavy","Asset-light")</f>
        <v>Asset-heavy</v>
      </c>
      <c r="D87" s="64" t="n">
        <v>1</v>
      </c>
      <c r="E87" s="62" t="n">
        <f aca="false">TCI!K113</f>
        <v>1.71048335759202</v>
      </c>
      <c r="F87" s="58" t="str">
        <f aca="false">IF(AND($C87="Asset-light",$D87=1),E87,"")</f>
        <v/>
      </c>
      <c r="G87" s="58" t="n">
        <f aca="false">IF(AND($C87="Asset-heavy",$D87=1),E87,"")</f>
        <v>1.71048335759202</v>
      </c>
      <c r="H87" s="62" t="n">
        <f aca="false">TCI!K112</f>
        <v>4.33453086491537</v>
      </c>
      <c r="I87" s="58" t="str">
        <f aca="false">IF(AND($C87="Asset-light",$D87=1),H87,"")</f>
        <v/>
      </c>
      <c r="J87" s="58" t="n">
        <f aca="false">IF(AND($C87="Asset-heavy",$D87=1),H87,"")</f>
        <v>4.33453086491537</v>
      </c>
      <c r="K87" s="61" t="n">
        <f aca="false">TCI!K121</f>
        <v>0.104606363976023</v>
      </c>
      <c r="L87" s="56" t="str">
        <f aca="false">IF(AND($C87="Asset-light",$D87=1),K87,"")</f>
        <v/>
      </c>
      <c r="M87" s="56" t="n">
        <f aca="false">IF(AND($C87="Asset-heavy",$D87=1),K87,"")</f>
        <v>0.104606363976023</v>
      </c>
      <c r="N87" s="61" t="n">
        <f aca="false">TCI!K124</f>
        <v>0.0784886168971174</v>
      </c>
      <c r="O87" s="56" t="str">
        <f aca="false">IF(AND($C87="Asset-light",$D87=1),N87,"")</f>
        <v/>
      </c>
      <c r="P87" s="56" t="n">
        <f aca="false">IF(AND($C87="Asset-heavy",$D87=1),N87,"")</f>
        <v>0.0784886168971174</v>
      </c>
      <c r="Q87" s="61" t="n">
        <f aca="false">TCI!K138</f>
        <v>0.171381287531369</v>
      </c>
      <c r="R87" s="56" t="str">
        <f aca="false">IF(AND($C87="Asset-light",$D87=1),Q87,"")</f>
        <v/>
      </c>
      <c r="S87" s="56" t="n">
        <f aca="false">IF(AND($C87="Asset-heavy",$D87=1),Q87,"")</f>
        <v>0.171381287531369</v>
      </c>
      <c r="T87" s="62" t="n">
        <f aca="false">TCI!K87</f>
        <v>0.159776229534098</v>
      </c>
      <c r="U87" s="58" t="str">
        <f aca="false">IF(AND($C87="Asset-light",$D87=1),T87,"")</f>
        <v/>
      </c>
      <c r="V87" s="58" t="n">
        <f aca="false">IF(AND($C87="Asset-heavy",$D87=1),T87,"")</f>
        <v>0.159776229534098</v>
      </c>
    </row>
    <row r="88" customFormat="false" ht="15" hidden="false" customHeight="false" outlineLevel="0" collapsed="false">
      <c r="A88" s="18" t="s">
        <v>116</v>
      </c>
      <c r="B88" s="61" t="n">
        <f aca="false">Shreeji!K195</f>
        <v>0.256014140039127</v>
      </c>
      <c r="C88" s="18" t="str">
        <f aca="false">IF(B88&gt;=MEDIAN($B$80:$B$89),"Asset-heavy","Asset-light")</f>
        <v>Asset-light</v>
      </c>
      <c r="D88" s="64" t="n">
        <v>1</v>
      </c>
      <c r="E88" s="62" t="n">
        <f aca="false">Shreeji!K113</f>
        <v>1.81796089053738</v>
      </c>
      <c r="F88" s="58" t="n">
        <f aca="false">IF(AND($C88="Asset-light",$D88=1),E88,"")</f>
        <v>1.81796089053738</v>
      </c>
      <c r="G88" s="58" t="str">
        <f aca="false">IF(AND($C88="Asset-heavy",$D88=1),E88,"")</f>
        <v/>
      </c>
      <c r="H88" s="62" t="n">
        <f aca="false">Shreeji!K112</f>
        <v>7.22569213662648</v>
      </c>
      <c r="I88" s="58" t="n">
        <f aca="false">IF(AND($C88="Asset-light",$D88=1),H88,"")</f>
        <v>7.22569213662648</v>
      </c>
      <c r="J88" s="58" t="str">
        <f aca="false">IF(AND($C88="Asset-heavy",$D88=1),H88,"")</f>
        <v/>
      </c>
      <c r="K88" s="61" t="n">
        <f aca="false">Shreeji!K121</f>
        <v>0.0721030232812661</v>
      </c>
      <c r="L88" s="56" t="n">
        <f aca="false">IF(AND($C88="Asset-light",$D88=1),K88,"")</f>
        <v>0.0721030232812661</v>
      </c>
      <c r="M88" s="56" t="str">
        <f aca="false">IF(AND($C88="Asset-heavy",$D88=1),K88,"")</f>
        <v/>
      </c>
      <c r="N88" s="61" t="n">
        <f aca="false">Shreeji!K124</f>
        <v>0.027812602964777</v>
      </c>
      <c r="O88" s="56" t="n">
        <f aca="false">IF(AND($C88="Asset-light",$D88=1),N88,"")</f>
        <v>0.027812602964777</v>
      </c>
      <c r="P88" s="56" t="str">
        <f aca="false">IF(AND($C88="Asset-heavy",$D88=1),N88,"")</f>
        <v/>
      </c>
      <c r="Q88" s="61" t="n">
        <f aca="false">Shreeji!K138</f>
        <v>0.105762382803232</v>
      </c>
      <c r="R88" s="56" t="n">
        <f aca="false">IF(AND($C88="Asset-light",$D88=1),Q88,"")</f>
        <v>0.105762382803232</v>
      </c>
      <c r="S88" s="56" t="str">
        <f aca="false">IF(AND($C88="Asset-heavy",$D88=1),Q88,"")</f>
        <v/>
      </c>
      <c r="T88" s="62" t="n">
        <f aca="false">Shreeji!K87</f>
        <v>1.21796894224654</v>
      </c>
      <c r="U88" s="58" t="n">
        <f aca="false">IF(AND($C88="Asset-light",$D88=1),T88,"")</f>
        <v>1.21796894224654</v>
      </c>
      <c r="V88" s="58" t="str">
        <f aca="false">IF(AND($C88="Asset-heavy",$D88=1),T88,"")</f>
        <v/>
      </c>
    </row>
    <row r="89" customFormat="false" ht="15" hidden="false" customHeight="false" outlineLevel="0" collapsed="false">
      <c r="A89" s="18" t="s">
        <v>117</v>
      </c>
      <c r="B89" s="61" t="n">
        <f aca="false">MahindraLog!K195</f>
        <v>0.288887729129397</v>
      </c>
      <c r="C89" s="18" t="str">
        <f aca="false">IF(B89&gt;=MEDIAN($B$80:$B$89),"Asset-heavy","Asset-light")</f>
        <v>Asset-light</v>
      </c>
      <c r="D89" s="64" t="n">
        <v>1</v>
      </c>
      <c r="E89" s="62" t="n">
        <f aca="false">MahindraLog!K113</f>
        <v>2.33365278902652</v>
      </c>
      <c r="F89" s="58" t="n">
        <f aca="false">IF(AND($C89="Asset-light",$D89=1),E89,"")</f>
        <v>2.33365278902652</v>
      </c>
      <c r="G89" s="58" t="str">
        <f aca="false">IF(AND($C89="Asset-heavy",$D89=1),E89,"")</f>
        <v/>
      </c>
      <c r="H89" s="62" t="n">
        <f aca="false">MahindraLog!K112</f>
        <v>10.2271200948067</v>
      </c>
      <c r="I89" s="58" t="n">
        <f aca="false">IF(AND($C89="Asset-light",$D89=1),H89,"")</f>
        <v>10.2271200948067</v>
      </c>
      <c r="J89" s="58" t="str">
        <f aca="false">IF(AND($C89="Asset-heavy",$D89=1),H89,"")</f>
        <v/>
      </c>
      <c r="K89" s="61" t="n">
        <f aca="false">MahindraLog!K121</f>
        <v>0.046407246628758</v>
      </c>
      <c r="L89" s="56" t="n">
        <f aca="false">IF(AND($C89="Asset-light",$D89=1),K89,"")</f>
        <v>0.046407246628758</v>
      </c>
      <c r="M89" s="56" t="str">
        <f aca="false">IF(AND($C89="Asset-heavy",$D89=1),K89,"")</f>
        <v/>
      </c>
      <c r="N89" s="61" t="n">
        <f aca="false">MahindraLog!K124</f>
        <v>0.00270708533331272</v>
      </c>
      <c r="O89" s="56" t="n">
        <f aca="false">IF(AND($C89="Asset-light",$D89=1),N89,"")</f>
        <v>0.00270708533331272</v>
      </c>
      <c r="P89" s="56" t="str">
        <f aca="false">IF(AND($C89="Asset-heavy",$D89=1),N89,"")</f>
        <v/>
      </c>
      <c r="Q89" s="61" t="n">
        <f aca="false">MahindraLog!K138</f>
        <v>0.0524410989596292</v>
      </c>
      <c r="R89" s="56" t="n">
        <f aca="false">IF(AND($C89="Asset-light",$D89=1),Q89,"")</f>
        <v>0.0524410989596292</v>
      </c>
      <c r="S89" s="56" t="str">
        <f aca="false">IF(AND($C89="Asset-heavy",$D89=1),Q89,"")</f>
        <v/>
      </c>
      <c r="T89" s="62" t="n">
        <f aca="false">MahindraLog!K87</f>
        <v>1.01480623740329</v>
      </c>
      <c r="U89" s="58" t="n">
        <f aca="false">IF(AND($C89="Asset-light",$D89=1),T89,"")</f>
        <v>1.01480623740329</v>
      </c>
      <c r="V89" s="58" t="str">
        <f aca="false">IF(AND($C89="Asset-heavy",$D89=1),T89,"")</f>
        <v/>
      </c>
    </row>
    <row r="90" customFormat="false" ht="15" hidden="false" customHeight="false" outlineLevel="0" collapsed="false">
      <c r="A90" s="35" t="s">
        <v>341</v>
      </c>
      <c r="B90" s="65" t="n">
        <f aca="false">MEDIAN(B80:B89)</f>
        <v>0.340517602480177</v>
      </c>
    </row>
    <row r="92" customFormat="false" ht="30" hidden="false" customHeight="true" outlineLevel="0" collapsed="false">
      <c r="A92" s="7" t="s">
        <v>342</v>
      </c>
      <c r="B92" s="7" t="s">
        <v>343</v>
      </c>
      <c r="C92" s="7" t="s">
        <v>344</v>
      </c>
      <c r="D92" s="7" t="s">
        <v>345</v>
      </c>
      <c r="E92" s="7" t="s">
        <v>346</v>
      </c>
      <c r="F92" s="7" t="s">
        <v>347</v>
      </c>
      <c r="G92" s="7" t="s">
        <v>348</v>
      </c>
      <c r="H92" s="7" t="s">
        <v>349</v>
      </c>
      <c r="I92" s="7" t="s">
        <v>350</v>
      </c>
      <c r="J92" s="7" t="s">
        <v>301</v>
      </c>
      <c r="K92" s="7" t="s">
        <v>302</v>
      </c>
    </row>
    <row r="93" customFormat="false" ht="15" hidden="false" customHeight="false" outlineLevel="0" collapsed="false">
      <c r="A93" s="18" t="s">
        <v>133</v>
      </c>
      <c r="B93" s="58" t="n">
        <f aca="false">AVERAGE(F80:F89)</f>
        <v>2.38671386196277</v>
      </c>
      <c r="C93" s="58" t="n">
        <f aca="false">AVERAGE(G80:G89)</f>
        <v>1.35092049808543</v>
      </c>
      <c r="D93" s="58" t="n">
        <f aca="false">STDEV(F80:F89)</f>
        <v>0.697107497610038</v>
      </c>
      <c r="E93" s="58" t="n">
        <f aca="false">STDEV(G80:G89)</f>
        <v>0.511977045650646</v>
      </c>
      <c r="F93" s="54" t="n">
        <f aca="false">COUNT(F80:F89)</f>
        <v>5</v>
      </c>
      <c r="G93" s="54" t="n">
        <f aca="false">COUNT(G80:G89)</f>
        <v>4</v>
      </c>
      <c r="H93" s="53" t="n">
        <f aca="false">(B93-C93)/SQRT(D93^2/F93+E93^2/G93)</f>
        <v>2.56773455543046</v>
      </c>
      <c r="I93" s="53" t="n">
        <f aca="false">(D93^2/F93+E93^2/G93)^2/((D93^2/F93)^2/(F93-1)+(E93^2/G93)^2/(G93-1))</f>
        <v>6.98093866095105</v>
      </c>
      <c r="J93" s="51" t="n">
        <f aca="false">TDIST(ABS(H93),I93,2)</f>
        <v>0.0424642534440883</v>
      </c>
      <c r="K93" s="57" t="str">
        <f aca="false">IF(J93&lt;0.05,"Significant at 5%",IF(J93&lt;0.1,"Significant at 10%","Not significant"))</f>
        <v>Significant at 5%</v>
      </c>
    </row>
    <row r="94" customFormat="false" ht="15" hidden="false" customHeight="false" outlineLevel="0" collapsed="false">
      <c r="A94" s="18" t="s">
        <v>132</v>
      </c>
      <c r="B94" s="58" t="n">
        <f aca="false">AVERAGE(I80:I89)</f>
        <v>17.2600059053941</v>
      </c>
      <c r="C94" s="58" t="n">
        <f aca="false">AVERAGE(J80:J89)</f>
        <v>3.21521932141191</v>
      </c>
      <c r="D94" s="58" t="n">
        <f aca="false">STDEV(I80:I89)</f>
        <v>17.127271816328</v>
      </c>
      <c r="E94" s="58" t="n">
        <f aca="false">STDEV(J80:J89)</f>
        <v>1.38091935736055</v>
      </c>
      <c r="F94" s="54" t="n">
        <f aca="false">COUNT(I80:I89)</f>
        <v>5</v>
      </c>
      <c r="G94" s="54" t="n">
        <f aca="false">COUNT(J80:J89)</f>
        <v>4</v>
      </c>
      <c r="H94" s="53" t="n">
        <f aca="false">(B94-C94)/SQRT(D94^2/F94+E94^2/G94)</f>
        <v>1.82622622443794</v>
      </c>
      <c r="I94" s="53" t="n">
        <f aca="false">(D94^2/F94+E94^2/G94)^2/((D94^2/F94)^2/(F94-1)+(E94^2/G94)^2/(G94-1))</f>
        <v>4.06491326469893</v>
      </c>
      <c r="J94" s="51" t="n">
        <f aca="false">TDIST(ABS(H94),I94,2)</f>
        <v>0.141847648216838</v>
      </c>
      <c r="K94" s="57" t="str">
        <f aca="false">IF(J94&lt;0.05,"Significant at 5%",IF(J94&lt;0.1,"Significant at 10%","Not significant"))</f>
        <v>Not significant</v>
      </c>
    </row>
    <row r="95" customFormat="false" ht="15" hidden="false" customHeight="false" outlineLevel="0" collapsed="false">
      <c r="A95" s="18" t="s">
        <v>136</v>
      </c>
      <c r="B95" s="56" t="n">
        <f aca="false">AVERAGE(L80:L89)</f>
        <v>0.0395361317639154</v>
      </c>
      <c r="C95" s="56" t="n">
        <f aca="false">AVERAGE(M80:M89)</f>
        <v>0.143628614232983</v>
      </c>
      <c r="D95" s="56" t="n">
        <f aca="false">STDEV(L80:L89)</f>
        <v>0.0204895142807797</v>
      </c>
      <c r="E95" s="56" t="n">
        <f aca="false">STDEV(M80:M89)</f>
        <v>0.0665844806070365</v>
      </c>
      <c r="F95" s="54" t="n">
        <f aca="false">COUNT(L80:L89)</f>
        <v>5</v>
      </c>
      <c r="G95" s="54" t="n">
        <f aca="false">COUNT(M80:M89)</f>
        <v>4</v>
      </c>
      <c r="H95" s="53" t="n">
        <f aca="false">(B95-C95)/SQRT(D95^2/F95+E95^2/G95)</f>
        <v>-3.01453131894279</v>
      </c>
      <c r="I95" s="53" t="n">
        <f aca="false">(D95^2/F95+E95^2/G95)^2/((D95^2/F95)^2/(F95-1)+(E95^2/G95)^2/(G95-1))</f>
        <v>3.45686346963646</v>
      </c>
      <c r="J95" s="51" t="n">
        <f aca="false">TDIST(ABS(H95),I95,2)</f>
        <v>0.057006081093916</v>
      </c>
      <c r="K95" s="57" t="str">
        <f aca="false">IF(J95&lt;0.05,"Significant at 5%",IF(J95&lt;0.1,"Significant at 10%","Not significant"))</f>
        <v>Significant at 10%</v>
      </c>
    </row>
    <row r="96" customFormat="false" ht="15" hidden="false" customHeight="false" outlineLevel="0" collapsed="false">
      <c r="A96" s="18" t="s">
        <v>137</v>
      </c>
      <c r="B96" s="56" t="n">
        <f aca="false">AVERAGE(O80:O89)</f>
        <v>0.0138540176520965</v>
      </c>
      <c r="C96" s="56" t="n">
        <f aca="false">AVERAGE(P80:P89)</f>
        <v>0.0676958543459246</v>
      </c>
      <c r="D96" s="56" t="n">
        <f aca="false">STDEV(O80:O89)</f>
        <v>0.0114341380665904</v>
      </c>
      <c r="E96" s="56" t="n">
        <f aca="false">STDEV(P80:P89)</f>
        <v>0.0419200516752351</v>
      </c>
      <c r="F96" s="54" t="n">
        <f aca="false">COUNT(O80:O89)</f>
        <v>5</v>
      </c>
      <c r="G96" s="54" t="n">
        <f aca="false">COUNT(P80:P89)</f>
        <v>4</v>
      </c>
      <c r="H96" s="53" t="n">
        <f aca="false">(B96-C96)/SQRT(D96^2/F96+E96^2/G96)</f>
        <v>-2.49559292321055</v>
      </c>
      <c r="I96" s="53" t="n">
        <f aca="false">(D96^2/F96+E96^2/G96)^2/((D96^2/F96)^2/(F96-1)+(E96^2/G96)^2/(G96-1))</f>
        <v>3.35881556539969</v>
      </c>
      <c r="J96" s="51" t="n">
        <f aca="false">TDIST(ABS(H96),I96,2)</f>
        <v>0.0880482285191499</v>
      </c>
      <c r="K96" s="57" t="str">
        <f aca="false">IF(J96&lt;0.05,"Significant at 5%",IF(J96&lt;0.1,"Significant at 10%","Not significant"))</f>
        <v>Significant at 10%</v>
      </c>
    </row>
    <row r="97" customFormat="false" ht="15" hidden="false" customHeight="false" outlineLevel="0" collapsed="false">
      <c r="A97" s="18" t="s">
        <v>141</v>
      </c>
      <c r="B97" s="56" t="n">
        <f aca="false">AVERAGE(R80:R89)</f>
        <v>0.0816628311960224</v>
      </c>
      <c r="C97" s="56" t="n">
        <f aca="false">AVERAGE(S80:S89)</f>
        <v>0.122916048371362</v>
      </c>
      <c r="D97" s="56" t="n">
        <f aca="false">STDEV(R80:R89)</f>
        <v>0.0449435189070472</v>
      </c>
      <c r="E97" s="56" t="n">
        <f aca="false">STDEV(S80:S89)</f>
        <v>0.041128279979536</v>
      </c>
      <c r="F97" s="54" t="n">
        <f aca="false">COUNT(R80:R89)</f>
        <v>5</v>
      </c>
      <c r="G97" s="54" t="n">
        <f aca="false">COUNT(S80:S89)</f>
        <v>4</v>
      </c>
      <c r="H97" s="53" t="n">
        <f aca="false">(B97-C97)/SQRT(D97^2/F97+E97^2/G97)</f>
        <v>-1.43462955910991</v>
      </c>
      <c r="I97" s="53" t="n">
        <f aca="false">(D97^2/F97+E97^2/G97)^2/((D97^2/F97)^2/(F97-1)+(E97^2/G97)^2/(G97-1))</f>
        <v>6.80911762715946</v>
      </c>
      <c r="J97" s="51" t="n">
        <f aca="false">TDIST(ABS(H97),I97,2)</f>
        <v>0.201393273214283</v>
      </c>
      <c r="K97" s="57" t="str">
        <f aca="false">IF(J97&lt;0.05,"Significant at 5%",IF(J97&lt;0.1,"Significant at 10%","Not significant"))</f>
        <v>Not significant</v>
      </c>
    </row>
    <row r="98" customFormat="false" ht="15" hidden="false" customHeight="false" outlineLevel="0" collapsed="false">
      <c r="A98" s="18" t="s">
        <v>123</v>
      </c>
      <c r="B98" s="58" t="n">
        <f aca="false">AVERAGE(U80:U89)</f>
        <v>0.826163852301176</v>
      </c>
      <c r="C98" s="58" t="n">
        <f aca="false">AVERAGE(V80:V89)</f>
        <v>0.556677428772713</v>
      </c>
      <c r="D98" s="58" t="n">
        <f aca="false">STDEV(U80:U89)</f>
        <v>0.520922073574285</v>
      </c>
      <c r="E98" s="58" t="n">
        <f aca="false">STDEV(V80:V89)</f>
        <v>0.526006551146917</v>
      </c>
      <c r="F98" s="54" t="n">
        <f aca="false">COUNT(U80:U89)</f>
        <v>5</v>
      </c>
      <c r="G98" s="54" t="n">
        <f aca="false">COUNT(V80:V89)</f>
        <v>4</v>
      </c>
      <c r="H98" s="53" t="n">
        <f aca="false">(B98-C98)/SQRT(D98^2/F98+E98^2/G98)</f>
        <v>0.767015626897309</v>
      </c>
      <c r="I98" s="53" t="n">
        <f aca="false">(D98^2/F98+E98^2/G98)^2/((D98^2/F98)^2/(F98-1)+(E98^2/G98)^2/(G98-1))</f>
        <v>6.53652054537543</v>
      </c>
      <c r="J98" s="51" t="n">
        <f aca="false">TDIST(ABS(H98),I98,2)</f>
        <v>0.47216438448275</v>
      </c>
      <c r="K98" s="57" t="str">
        <f aca="false">IF(J98&lt;0.05,"Significant at 5%",IF(J98&lt;0.1,"Significant at 10%","Not significant"))</f>
        <v>Not significant</v>
      </c>
    </row>
    <row r="99" customFormat="false" ht="15" hidden="false" customHeight="false" outlineLevel="0" collapsed="false">
      <c r="A99" s="50" t="s">
        <v>351</v>
      </c>
    </row>
    <row r="101" customFormat="false" ht="15" hidden="false" customHeight="false" outlineLevel="0" collapsed="false">
      <c r="A101" s="16" t="s">
        <v>352</v>
      </c>
      <c r="B101" s="17"/>
      <c r="C101" s="17"/>
      <c r="D101" s="17"/>
      <c r="E101" s="17"/>
      <c r="F101" s="17"/>
      <c r="G101" s="17"/>
      <c r="H101" s="17"/>
      <c r="I101" s="17"/>
      <c r="J101" s="17"/>
      <c r="K101" s="17"/>
      <c r="L101" s="17"/>
      <c r="M101" s="17"/>
      <c r="N101" s="17"/>
    </row>
    <row r="102" customFormat="false" ht="15" hidden="false" customHeight="false" outlineLevel="0" collapsed="false">
      <c r="A102" s="7" t="s">
        <v>304</v>
      </c>
      <c r="B102" s="7" t="s">
        <v>162</v>
      </c>
      <c r="C102" s="7" t="s">
        <v>163</v>
      </c>
      <c r="D102" s="7" t="s">
        <v>164</v>
      </c>
      <c r="E102" s="7" t="s">
        <v>165</v>
      </c>
      <c r="F102" s="7" t="s">
        <v>166</v>
      </c>
      <c r="G102" s="7" t="s">
        <v>167</v>
      </c>
      <c r="H102" s="7" t="s">
        <v>168</v>
      </c>
      <c r="I102" s="7" t="s">
        <v>353</v>
      </c>
    </row>
    <row r="103" customFormat="false" ht="15" hidden="false" customHeight="false" outlineLevel="0" collapsed="false">
      <c r="A103" s="18" t="s">
        <v>110</v>
      </c>
      <c r="B103" s="61" t="n">
        <f aca="false">Tiger!D121</f>
        <v>-0.027829375082924</v>
      </c>
      <c r="C103" s="61" t="n">
        <f aca="false">Tiger!E121</f>
        <v>-0.0565318401143741</v>
      </c>
      <c r="D103" s="61" t="n">
        <f aca="false">Tiger!F121</f>
        <v>0.0611272780478289</v>
      </c>
      <c r="E103" s="61" t="n">
        <f aca="false">Tiger!G121</f>
        <v>0.0610130379600785</v>
      </c>
      <c r="F103" s="61" t="n">
        <f aca="false">Tiger!H121</f>
        <v>0.0638891201198701</v>
      </c>
      <c r="G103" s="61" t="n">
        <f aca="false">Tiger!I121</f>
        <v>0.0585855195689059</v>
      </c>
      <c r="H103" s="61" t="n">
        <f aca="false">Tiger!J121</f>
        <v>0.0471526832163681</v>
      </c>
      <c r="I103" s="66" t="n">
        <f aca="false">AVERAGE(B103:H103)</f>
        <v>0.0296294891022505</v>
      </c>
    </row>
    <row r="104" customFormat="false" ht="15" hidden="false" customHeight="false" outlineLevel="0" collapsed="false">
      <c r="A104" s="18" t="s">
        <v>111</v>
      </c>
      <c r="B104" s="61" t="n">
        <f aca="false">Allcargo!D121</f>
        <v>0.0701243084897852</v>
      </c>
      <c r="C104" s="61" t="n">
        <f aca="false">Allcargo!E121</f>
        <v>0.0612577514026348</v>
      </c>
      <c r="D104" s="61" t="n">
        <f aca="false">Allcargo!F121</f>
        <v>0.0672151908030925</v>
      </c>
      <c r="E104" s="61" t="n">
        <f aca="false">Allcargo!G121</f>
        <v>0.0631662804412222</v>
      </c>
      <c r="F104" s="61" t="n">
        <f aca="false">Allcargo!H121</f>
        <v>0.0362951356653105</v>
      </c>
      <c r="G104" s="61" t="n">
        <f aca="false">Allcargo!I121</f>
        <v>0.103008669046405</v>
      </c>
      <c r="H104" s="61" t="n">
        <f aca="false">Allcargo!J121</f>
        <v>0.114188532555879</v>
      </c>
      <c r="I104" s="66" t="n">
        <f aca="false">AVERAGE(B104:H104)</f>
        <v>0.0736079812006185</v>
      </c>
    </row>
    <row r="105" customFormat="false" ht="15" hidden="false" customHeight="false" outlineLevel="0" collapsed="false">
      <c r="A105" s="18" t="s">
        <v>112</v>
      </c>
      <c r="B105" s="61" t="n">
        <f aca="false">BlueDart!D121</f>
        <v>0.149477344234724</v>
      </c>
      <c r="C105" s="61" t="n">
        <f aca="false">BlueDart!E121</f>
        <v>0.208717416890451</v>
      </c>
      <c r="D105" s="61" t="n">
        <f aca="false">BlueDart!F121</f>
        <v>0.226734444472156</v>
      </c>
      <c r="E105" s="61" t="n">
        <f aca="false">BlueDart!G121</f>
        <v>0.18127805855126</v>
      </c>
      <c r="F105" s="61" t="n">
        <f aca="false">BlueDart!H121</f>
        <v>0.16192625806072</v>
      </c>
      <c r="G105" s="61" t="n">
        <f aca="false">BlueDart!I121</f>
        <v>0.153187487107049</v>
      </c>
      <c r="H105" s="61" t="n">
        <f aca="false">BlueDart!J121</f>
        <v>0.154808431364886</v>
      </c>
      <c r="I105" s="66" t="n">
        <f aca="false">AVERAGE(B105:H105)</f>
        <v>0.176589920097321</v>
      </c>
    </row>
    <row r="106" customFormat="false" ht="15" hidden="false" customHeight="false" outlineLevel="0" collapsed="false">
      <c r="A106" s="18" t="s">
        <v>67</v>
      </c>
      <c r="B106" s="61" t="n">
        <f aca="false">CONCOR!D121</f>
        <v>0.259441033831679</v>
      </c>
      <c r="C106" s="61" t="n">
        <f aca="false">CONCOR!E121</f>
        <v>0.162965141246102</v>
      </c>
      <c r="D106" s="61" t="n">
        <f aca="false">CONCOR!F121</f>
        <v>0.228476635135435</v>
      </c>
      <c r="E106" s="61" t="n">
        <f aca="false">CONCOR!G121</f>
        <v>0.228641518303073</v>
      </c>
      <c r="F106" s="61" t="n">
        <f aca="false">CONCOR!H121</f>
        <v>0.226347763482835</v>
      </c>
      <c r="G106" s="61" t="n">
        <f aca="false">CONCOR!I121</f>
        <v>0.217171785367874</v>
      </c>
      <c r="H106" s="61" t="n">
        <f aca="false">CONCOR!J121</f>
        <v>0.214927464238785</v>
      </c>
      <c r="I106" s="66" t="n">
        <f aca="false">AVERAGE(B106:H106)</f>
        <v>0.219710191657969</v>
      </c>
    </row>
    <row r="107" customFormat="false" ht="15" hidden="false" customHeight="false" outlineLevel="0" collapsed="false">
      <c r="A107" s="18" t="s">
        <v>113</v>
      </c>
      <c r="B107" s="61" t="n">
        <f aca="false">JetFreight!D121</f>
        <v>-0.0117085862966177</v>
      </c>
      <c r="C107" s="61" t="n">
        <f aca="false">JetFreight!E121</f>
        <v>0.0268462181723812</v>
      </c>
      <c r="D107" s="61" t="n">
        <f aca="false">JetFreight!F121</f>
        <v>0.023601015850775</v>
      </c>
      <c r="E107" s="61" t="n">
        <f aca="false">JetFreight!G121</f>
        <v>0.019198924860208</v>
      </c>
      <c r="F107" s="61" t="n">
        <f aca="false">JetFreight!H121</f>
        <v>0.0152409933723598</v>
      </c>
      <c r="G107" s="61" t="n">
        <f aca="false">JetFreight!I121</f>
        <v>0.032682133614273</v>
      </c>
      <c r="H107" s="61" t="n">
        <f aca="false">JetFreight!J121</f>
        <v>0.0373130967393262</v>
      </c>
      <c r="I107" s="66" t="n">
        <f aca="false">AVERAGE(B107:H107)</f>
        <v>0.0204533994732436</v>
      </c>
    </row>
    <row r="108" customFormat="false" ht="15" hidden="false" customHeight="false" outlineLevel="0" collapsed="false">
      <c r="A108" s="18" t="s">
        <v>114</v>
      </c>
      <c r="B108" s="61" t="n">
        <f aca="false">Patel!D121</f>
        <v>0.0232866066031491</v>
      </c>
      <c r="C108" s="61" t="n">
        <f aca="false">Patel!E121</f>
        <v>0.0243580683156656</v>
      </c>
      <c r="D108" s="61" t="n">
        <f aca="false">Patel!F121</f>
        <v>0.0328183680437008</v>
      </c>
      <c r="E108" s="61" t="n">
        <f aca="false">Patel!G121</f>
        <v>0.0370849504096591</v>
      </c>
      <c r="F108" s="61" t="n">
        <f aca="false">Patel!H121</f>
        <v>0.0313199105145415</v>
      </c>
      <c r="G108" s="61" t="n">
        <f aca="false">Patel!I121</f>
        <v>0.0257083661618372</v>
      </c>
      <c r="H108" s="61" t="n">
        <f aca="false">Patel!J121</f>
        <v>0.0290362322898582</v>
      </c>
      <c r="I108" s="66" t="n">
        <f aca="false">AVERAGE(B108:H108)</f>
        <v>0.0290875003340588</v>
      </c>
    </row>
    <row r="109" customFormat="false" ht="15" hidden="false" customHeight="false" outlineLevel="0" collapsed="false">
      <c r="A109" s="18" t="s">
        <v>86</v>
      </c>
      <c r="B109" s="61" t="n">
        <f aca="false">TCI!D121</f>
        <v>0.0888352515232685</v>
      </c>
      <c r="C109" s="61" t="n">
        <f aca="false">TCI!E121</f>
        <v>0.0938556018255844</v>
      </c>
      <c r="D109" s="61" t="n">
        <f aca="false">TCI!F121</f>
        <v>0.126374351373661</v>
      </c>
      <c r="E109" s="61" t="n">
        <f aca="false">TCI!G121</f>
        <v>0.112455288335708</v>
      </c>
      <c r="F109" s="61" t="n">
        <f aca="false">TCI!H121</f>
        <v>0.102187731409004</v>
      </c>
      <c r="G109" s="61" t="n">
        <f aca="false">TCI!I121</f>
        <v>0.102979219819314</v>
      </c>
      <c r="H109" s="61" t="n">
        <f aca="false">TCI!J121</f>
        <v>0.105557103545621</v>
      </c>
      <c r="I109" s="66" t="n">
        <f aca="false">AVERAGE(B109:H109)</f>
        <v>0.104606363976023</v>
      </c>
    </row>
    <row r="110" customFormat="false" ht="15" hidden="false" customHeight="false" outlineLevel="0" collapsed="false">
      <c r="A110" s="18" t="s">
        <v>116</v>
      </c>
      <c r="B110" s="61" t="n">
        <f aca="false">Shreeji!D121</f>
        <v>0.0822727272727273</v>
      </c>
      <c r="C110" s="61" t="n">
        <f aca="false">Shreeji!E121</f>
        <v>0.0656934306569343</v>
      </c>
      <c r="D110" s="61" t="n">
        <f aca="false">Shreeji!F121</f>
        <v>0.102052033711982</v>
      </c>
      <c r="E110" s="61" t="n">
        <f aca="false">Shreeji!G121</f>
        <v>0.10528856468569</v>
      </c>
      <c r="F110" s="61" t="n">
        <f aca="false">Shreeji!H121</f>
        <v>0.0753692614770459</v>
      </c>
      <c r="G110" s="61" t="n">
        <f aca="false">Shreeji!I121</f>
        <v>0.0409664819692979</v>
      </c>
      <c r="H110" s="61" t="n">
        <f aca="false">Shreeji!J121</f>
        <v>0.0330786631951855</v>
      </c>
      <c r="I110" s="66" t="n">
        <f aca="false">AVERAGE(B110:H110)</f>
        <v>0.0721030232812661</v>
      </c>
    </row>
    <row r="111" customFormat="false" ht="15" hidden="false" customHeight="false" outlineLevel="0" collapsed="false">
      <c r="A111" s="18" t="s">
        <v>117</v>
      </c>
      <c r="B111" s="61" t="n">
        <f aca="false">MahindraLog!D121</f>
        <v>0.0456564702086345</v>
      </c>
      <c r="C111" s="61" t="n">
        <f aca="false">MahindraLog!E121</f>
        <v>0.041265794859853</v>
      </c>
      <c r="D111" s="61" t="n">
        <f aca="false">MahindraLog!F121</f>
        <v>0.0445232276200503</v>
      </c>
      <c r="E111" s="61" t="n">
        <f aca="false">MahindraLog!G121</f>
        <v>0.0507030608643426</v>
      </c>
      <c r="F111" s="61" t="n">
        <f aca="false">MahindraLog!H121</f>
        <v>0.0419980493900257</v>
      </c>
      <c r="G111" s="61" t="n">
        <f aca="false">MahindraLog!I121</f>
        <v>0.0465844257743459</v>
      </c>
      <c r="H111" s="61" t="n">
        <f aca="false">MahindraLog!J121</f>
        <v>0.0541196976840541</v>
      </c>
      <c r="I111" s="66" t="n">
        <f aca="false">AVERAGE(B111:H111)</f>
        <v>0.046407246628758</v>
      </c>
    </row>
    <row r="112" customFormat="false" ht="15" hidden="false" customHeight="false" outlineLevel="0" collapsed="false">
      <c r="A112" s="12" t="s">
        <v>354</v>
      </c>
      <c r="B112" s="66" t="n">
        <f aca="false">AVERAGE(B103:B111)</f>
        <v>0.0755061978649363</v>
      </c>
      <c r="C112" s="66" t="n">
        <f aca="false">AVERAGE(C103:C111)</f>
        <v>0.0698252870283592</v>
      </c>
      <c r="D112" s="66" t="n">
        <f aca="false">AVERAGE(D103:D111)</f>
        <v>0.101435838339854</v>
      </c>
      <c r="E112" s="66" t="n">
        <f aca="false">AVERAGE(E103:E111)</f>
        <v>0.095425520490138</v>
      </c>
      <c r="F112" s="66" t="n">
        <f aca="false">AVERAGE(F103:F111)</f>
        <v>0.0838415803879681</v>
      </c>
      <c r="G112" s="66" t="n">
        <f aca="false">AVERAGE(G103:G111)</f>
        <v>0.0867637876032558</v>
      </c>
      <c r="H112" s="66" t="n">
        <f aca="false">AVERAGE(H103:H111)</f>
        <v>0.0877979894255514</v>
      </c>
      <c r="I112" s="66" t="n">
        <f aca="false">AVERAGE(B103:H111)</f>
        <v>0.0857994573057232</v>
      </c>
    </row>
    <row r="114" customFormat="false" ht="15" hidden="false" customHeight="false" outlineLevel="0" collapsed="false">
      <c r="A114" s="7" t="s">
        <v>355</v>
      </c>
      <c r="B114" s="7" t="s">
        <v>356</v>
      </c>
      <c r="C114" s="7" t="s">
        <v>300</v>
      </c>
      <c r="D114" s="7" t="s">
        <v>357</v>
      </c>
      <c r="E114" s="7" t="s">
        <v>358</v>
      </c>
      <c r="F114" s="7" t="s">
        <v>280</v>
      </c>
      <c r="G114" s="7" t="s">
        <v>302</v>
      </c>
    </row>
    <row r="115" customFormat="false" ht="15" hidden="false" customHeight="false" outlineLevel="0" collapsed="false">
      <c r="A115" s="18" t="s">
        <v>359</v>
      </c>
      <c r="B115" s="67" t="n">
        <f aca="false">7*DEVSQ(I103:I111)</f>
        <v>0.273406573787078</v>
      </c>
      <c r="C115" s="54" t="n">
        <f aca="false">8</f>
        <v>8</v>
      </c>
      <c r="D115" s="55" t="n">
        <f aca="false">B115/C115</f>
        <v>0.0341758217233847</v>
      </c>
      <c r="E115" s="53" t="n">
        <f aca="false">D115/D117</f>
        <v>53.2152584427444</v>
      </c>
      <c r="F115" s="55" t="n">
        <f aca="false">FDIST(E115,C115,C117)</f>
        <v>2.95150483676818E-021</v>
      </c>
      <c r="G115" s="18" t="str">
        <f aca="false">IF(F115&lt;0.05,"Significant at 5%",IF(F115&lt;0.1,"Significant at 10%","Not significant"))</f>
        <v>Significant at 5%</v>
      </c>
    </row>
    <row r="116" customFormat="false" ht="15" hidden="false" customHeight="false" outlineLevel="0" collapsed="false">
      <c r="A116" s="18" t="s">
        <v>360</v>
      </c>
      <c r="B116" s="67" t="n">
        <f aca="false">9*DEVSQ(B112:H112)</f>
        <v>0.00636336140240005</v>
      </c>
      <c r="C116" s="54" t="n">
        <f aca="false">6</f>
        <v>6</v>
      </c>
      <c r="D116" s="55" t="n">
        <f aca="false">B116/C116</f>
        <v>0.00106056023373334</v>
      </c>
      <c r="E116" s="53" t="n">
        <f aca="false">D116/D117</f>
        <v>1.65140102230811</v>
      </c>
      <c r="F116" s="55" t="n">
        <f aca="false">FDIST(E116,C116,C117)</f>
        <v>0.153702114330254</v>
      </c>
      <c r="G116" s="18" t="str">
        <f aca="false">IF(F116&lt;0.05,"Significant at 5%",IF(F116&lt;0.1,"Significant at 10%","Not significant"))</f>
        <v>Not significant</v>
      </c>
    </row>
    <row r="117" customFormat="false" ht="15" hidden="false" customHeight="false" outlineLevel="0" collapsed="false">
      <c r="A117" s="18" t="s">
        <v>361</v>
      </c>
      <c r="B117" s="67" t="n">
        <f aca="false">B118-B115-B116</f>
        <v>0.0308264864387994</v>
      </c>
      <c r="C117" s="54" t="n">
        <f aca="false">C115*C116</f>
        <v>48</v>
      </c>
      <c r="D117" s="55" t="n">
        <f aca="false">B117/C117</f>
        <v>0.000642218467474987</v>
      </c>
      <c r="E117" s="53"/>
      <c r="F117" s="55"/>
      <c r="G117" s="18"/>
    </row>
    <row r="118" customFormat="false" ht="15" hidden="false" customHeight="false" outlineLevel="0" collapsed="false">
      <c r="A118" s="18" t="s">
        <v>362</v>
      </c>
      <c r="B118" s="67" t="n">
        <f aca="false">DEVSQ(B103:H111)</f>
        <v>0.310596421628277</v>
      </c>
      <c r="C118" s="54" t="n">
        <f aca="false">C115+C116+C117</f>
        <v>62</v>
      </c>
      <c r="D118" s="55"/>
      <c r="E118" s="53"/>
      <c r="F118" s="55"/>
      <c r="G118" s="18"/>
    </row>
    <row r="121" customFormat="false" ht="15" hidden="false" customHeight="false" outlineLevel="0" collapsed="false">
      <c r="A121" s="16" t="s">
        <v>363</v>
      </c>
      <c r="B121" s="17"/>
      <c r="C121" s="17"/>
      <c r="D121" s="17"/>
      <c r="E121" s="17"/>
      <c r="F121" s="17"/>
      <c r="G121" s="17"/>
      <c r="H121" s="17"/>
      <c r="I121" s="17"/>
      <c r="J121" s="17"/>
      <c r="K121" s="17"/>
      <c r="L121" s="17"/>
      <c r="M121" s="17"/>
      <c r="N121" s="17"/>
    </row>
    <row r="122" customFormat="false" ht="15" hidden="false" customHeight="false" outlineLevel="0" collapsed="false">
      <c r="A122" s="7" t="s">
        <v>304</v>
      </c>
      <c r="B122" s="7" t="s">
        <v>162</v>
      </c>
      <c r="C122" s="7" t="s">
        <v>163</v>
      </c>
      <c r="D122" s="7" t="s">
        <v>164</v>
      </c>
      <c r="E122" s="7" t="s">
        <v>165</v>
      </c>
      <c r="F122" s="7" t="s">
        <v>166</v>
      </c>
      <c r="G122" s="7" t="s">
        <v>167</v>
      </c>
      <c r="H122" s="7" t="s">
        <v>168</v>
      </c>
      <c r="I122" s="7" t="s">
        <v>353</v>
      </c>
    </row>
    <row r="123" customFormat="false" ht="15" hidden="false" customHeight="false" outlineLevel="0" collapsed="false">
      <c r="A123" s="18" t="s">
        <v>110</v>
      </c>
      <c r="B123" s="61" t="n">
        <f aca="false">Tiger!D138</f>
        <v>-0.0807453416149068</v>
      </c>
      <c r="C123" s="61" t="n">
        <f aca="false">Tiger!E138</f>
        <v>-0.138883193219876</v>
      </c>
      <c r="D123" s="61" t="n">
        <f aca="false">Tiger!F138</f>
        <v>0.53267131382806</v>
      </c>
      <c r="E123" s="61" t="n">
        <f aca="false">Tiger!G138</f>
        <v>0.278656337584558</v>
      </c>
      <c r="F123" s="61" t="n">
        <f aca="false">Tiger!H138</f>
        <v>0.122506662359687</v>
      </c>
      <c r="G123" s="61" t="n">
        <f aca="false">Tiger!I138</f>
        <v>0.199743952961822</v>
      </c>
      <c r="H123" s="61" t="n">
        <f aca="false">Tiger!J138</f>
        <v>0.132636286541399</v>
      </c>
      <c r="I123" s="66" t="n">
        <f aca="false">AVERAGE(B123:H123)</f>
        <v>0.149512288348678</v>
      </c>
    </row>
    <row r="124" customFormat="false" ht="15" hidden="false" customHeight="false" outlineLevel="0" collapsed="false">
      <c r="A124" s="18" t="s">
        <v>111</v>
      </c>
      <c r="B124" s="61" t="n">
        <f aca="false">Allcargo!D138</f>
        <v>0.0919133260110673</v>
      </c>
      <c r="C124" s="61" t="n">
        <f aca="false">Allcargo!E138</f>
        <v>0.044642319172646</v>
      </c>
      <c r="D124" s="61" t="n">
        <f aca="false">Allcargo!F138</f>
        <v>0.211754184915993</v>
      </c>
      <c r="E124" s="61" t="n">
        <f aca="false">Allcargo!G138</f>
        <v>0.151093605728492</v>
      </c>
      <c r="F124" s="61" t="n">
        <f aca="false">Allcargo!H138</f>
        <v>0.0619082139798013</v>
      </c>
      <c r="G124" s="61" t="n">
        <f aca="false">Allcargo!I138</f>
        <v>0.0315193923061163</v>
      </c>
      <c r="H124" s="61" t="n">
        <f aca="false">Allcargo!J138</f>
        <v>0.0505747126436782</v>
      </c>
      <c r="I124" s="66" t="n">
        <f aca="false">AVERAGE(B124:H124)</f>
        <v>0.091915107822542</v>
      </c>
    </row>
    <row r="125" customFormat="false" ht="15" hidden="false" customHeight="false" outlineLevel="0" collapsed="false">
      <c r="A125" s="18" t="s">
        <v>112</v>
      </c>
      <c r="B125" s="61" t="n">
        <f aca="false">BlueDart!D138</f>
        <v>0.0720881712209209</v>
      </c>
      <c r="C125" s="61" t="n">
        <f aca="false">BlueDart!E138</f>
        <v>0.116503431293853</v>
      </c>
      <c r="D125" s="61" t="n">
        <f aca="false">BlueDart!F138</f>
        <v>0.220677334132136</v>
      </c>
      <c r="E125" s="61" t="n">
        <f aca="false">BlueDart!G138</f>
        <v>0.197879718865935</v>
      </c>
      <c r="F125" s="61" t="n">
        <f aca="false">BlueDart!H138</f>
        <v>0.152257453011201</v>
      </c>
      <c r="G125" s="61" t="n">
        <f aca="false">BlueDart!I138</f>
        <v>0.12476882252213</v>
      </c>
      <c r="H125" s="61" t="n">
        <f aca="false">BlueDart!J138</f>
        <v>0.113853670673014</v>
      </c>
      <c r="I125" s="66" t="n">
        <f aca="false">AVERAGE(B125:H125)</f>
        <v>0.142575514531313</v>
      </c>
    </row>
    <row r="126" customFormat="false" ht="15" hidden="false" customHeight="false" outlineLevel="0" collapsed="false">
      <c r="A126" s="18" t="s">
        <v>67</v>
      </c>
      <c r="B126" s="61" t="n">
        <f aca="false">CONCOR!D138</f>
        <v>0.0415144440490748</v>
      </c>
      <c r="C126" s="61" t="n">
        <f aca="false">CONCOR!E138</f>
        <v>0.0506949791642788</v>
      </c>
      <c r="D126" s="61" t="n">
        <f aca="false">CONCOR!F138</f>
        <v>0.0981820646021652</v>
      </c>
      <c r="E126" s="61" t="n">
        <f aca="false">CONCOR!G138</f>
        <v>0.104022011333223</v>
      </c>
      <c r="F126" s="61" t="n">
        <f aca="false">CONCOR!H138</f>
        <v>0.106300251768837</v>
      </c>
      <c r="G126" s="61" t="n">
        <f aca="false">CONCOR!I138</f>
        <v>0.103698922378496</v>
      </c>
      <c r="H126" s="61" t="n">
        <f aca="false">CONCOR!J138</f>
        <v>0.0961333119054842</v>
      </c>
      <c r="I126" s="66" t="n">
        <f aca="false">AVERAGE(B126:H126)</f>
        <v>0.0857922836002226</v>
      </c>
    </row>
    <row r="127" customFormat="false" ht="15" hidden="false" customHeight="false" outlineLevel="0" collapsed="false">
      <c r="A127" s="18" t="s">
        <v>113</v>
      </c>
      <c r="B127" s="61" t="n">
        <f aca="false">JetFreight!D138</f>
        <v>-0.0662947691810171</v>
      </c>
      <c r="C127" s="61" t="n">
        <f aca="false">JetFreight!E138</f>
        <v>0.0934564112062799</v>
      </c>
      <c r="D127" s="61" t="n">
        <f aca="false">JetFreight!F138</f>
        <v>0.0848135235076598</v>
      </c>
      <c r="E127" s="61" t="n">
        <f aca="false">JetFreight!G138</f>
        <v>0.00489092076282758</v>
      </c>
      <c r="F127" s="61" t="n">
        <f aca="false">JetFreight!H138</f>
        <v>0.0510377397572393</v>
      </c>
      <c r="G127" s="61" t="n">
        <f aca="false">JetFreight!I138</f>
        <v>0.0627991786310505</v>
      </c>
      <c r="H127" s="61" t="n">
        <f aca="false">JetFreight!J138</f>
        <v>0.0787898328187067</v>
      </c>
      <c r="I127" s="66" t="n">
        <f aca="false">AVERAGE(B127:H127)</f>
        <v>0.0442132625003924</v>
      </c>
    </row>
    <row r="128" customFormat="false" ht="15" hidden="false" customHeight="false" outlineLevel="0" collapsed="false">
      <c r="A128" s="18" t="s">
        <v>114</v>
      </c>
      <c r="B128" s="61" t="n">
        <f aca="false">Patel!D138</f>
        <v>0.0880360938871344</v>
      </c>
      <c r="C128" s="61" t="n">
        <f aca="false">Patel!E138</f>
        <v>0.00941902075695256</v>
      </c>
      <c r="D128" s="61" t="n">
        <f aca="false">Patel!F138</f>
        <v>0.044065428721113</v>
      </c>
      <c r="E128" s="61" t="n">
        <f aca="false">Patel!G138</f>
        <v>0.0599000604729622</v>
      </c>
      <c r="F128" s="61" t="n">
        <f aca="false">Patel!H138</f>
        <v>0.0551721065104719</v>
      </c>
      <c r="G128" s="61" t="n">
        <f aca="false">Patel!I138</f>
        <v>0.0631301260390339</v>
      </c>
      <c r="H128" s="61" t="n">
        <f aca="false">Patel!J138</f>
        <v>0.0749730271895976</v>
      </c>
      <c r="I128" s="66" t="n">
        <f aca="false">AVERAGE(B128:H128)</f>
        <v>0.0563851233681808</v>
      </c>
    </row>
    <row r="129" customFormat="false" ht="15" hidden="false" customHeight="false" outlineLevel="0" collapsed="false">
      <c r="A129" s="18" t="s">
        <v>86</v>
      </c>
      <c r="B129" s="61" t="n">
        <f aca="false">TCI!D138</f>
        <v>0.123977408011229</v>
      </c>
      <c r="C129" s="61" t="n">
        <f aca="false">TCI!E138</f>
        <v>0.119094289570388</v>
      </c>
      <c r="D129" s="61" t="n">
        <f aca="false">TCI!F138</f>
        <v>0.20321895678123</v>
      </c>
      <c r="E129" s="61" t="n">
        <f aca="false">TCI!G138</f>
        <v>0.198326092522107</v>
      </c>
      <c r="F129" s="61" t="n">
        <f aca="false">TCI!H138</f>
        <v>0.183696011216043</v>
      </c>
      <c r="G129" s="61" t="n">
        <f aca="false">TCI!I138</f>
        <v>0.189048960966589</v>
      </c>
      <c r="H129" s="61" t="n">
        <f aca="false">TCI!J138</f>
        <v>0.182307293651997</v>
      </c>
      <c r="I129" s="66" t="n">
        <f aca="false">AVERAGE(B129:H129)</f>
        <v>0.171381287531369</v>
      </c>
    </row>
    <row r="130" customFormat="false" ht="15" hidden="false" customHeight="false" outlineLevel="0" collapsed="false">
      <c r="A130" s="18" t="s">
        <v>116</v>
      </c>
      <c r="B130" s="61" t="n">
        <f aca="false">Shreeji!D138</f>
        <v>0.0576608707557503</v>
      </c>
      <c r="C130" s="61" t="n">
        <f aca="false">Shreeji!E138</f>
        <v>0.0456396573514956</v>
      </c>
      <c r="D130" s="61" t="n">
        <f aca="false">Shreeji!F138</f>
        <v>0.160597496972144</v>
      </c>
      <c r="E130" s="61" t="n">
        <f aca="false">Shreeji!G138</f>
        <v>0.151182806149722</v>
      </c>
      <c r="F130" s="61" t="n">
        <f aca="false">Shreeji!H138</f>
        <v>0.211469857187455</v>
      </c>
      <c r="G130" s="61" t="n">
        <f aca="false">Shreeji!I138</f>
        <v>0.0447492768229951</v>
      </c>
      <c r="H130" s="61" t="n">
        <f aca="false">Shreeji!J138</f>
        <v>0.0690367143830639</v>
      </c>
      <c r="I130" s="66" t="n">
        <f aca="false">AVERAGE(B130:H130)</f>
        <v>0.105762382803232</v>
      </c>
    </row>
    <row r="131" customFormat="false" ht="15" hidden="false" customHeight="false" outlineLevel="0" collapsed="false">
      <c r="A131" s="18" t="s">
        <v>117</v>
      </c>
      <c r="B131" s="61" t="n">
        <f aca="false">MahindraLog!D138</f>
        <v>0.105300363544567</v>
      </c>
      <c r="C131" s="61" t="n">
        <f aca="false">MahindraLog!E138</f>
        <v>0.0557436422080342</v>
      </c>
      <c r="D131" s="61" t="n">
        <f aca="false">MahindraLog!F138</f>
        <v>0.0359700239715396</v>
      </c>
      <c r="E131" s="61" t="n">
        <f aca="false">MahindraLog!G138</f>
        <v>0.0583117716940878</v>
      </c>
      <c r="F131" s="61" t="n">
        <f aca="false">MahindraLog!H138</f>
        <v>0.0317947234612633</v>
      </c>
      <c r="G131" s="61" t="n">
        <f aca="false">MahindraLog!I138</f>
        <v>0.0579415541951292</v>
      </c>
      <c r="H131" s="61" t="n">
        <f aca="false">MahindraLog!J138</f>
        <v>0.0220256136427835</v>
      </c>
      <c r="I131" s="66" t="n">
        <f aca="false">AVERAGE(B131:H131)</f>
        <v>0.0524410989596292</v>
      </c>
    </row>
    <row r="132" customFormat="false" ht="15" hidden="false" customHeight="false" outlineLevel="0" collapsed="false">
      <c r="A132" s="12" t="s">
        <v>354</v>
      </c>
      <c r="B132" s="66" t="n">
        <f aca="false">AVERAGE(B123:B131)</f>
        <v>0.04816117407598</v>
      </c>
      <c r="C132" s="66" t="n">
        <f aca="false">AVERAGE(C123:C131)</f>
        <v>0.0440345063893391</v>
      </c>
      <c r="D132" s="66" t="n">
        <f aca="false">AVERAGE(D123:D131)</f>
        <v>0.176883369714671</v>
      </c>
      <c r="E132" s="66" t="n">
        <f aca="false">AVERAGE(E123:E131)</f>
        <v>0.133807036123768</v>
      </c>
      <c r="F132" s="66" t="n">
        <f aca="false">AVERAGE(F123:F131)</f>
        <v>0.108460335472444</v>
      </c>
      <c r="G132" s="66" t="n">
        <f aca="false">AVERAGE(G123:G131)</f>
        <v>0.0974889096470402</v>
      </c>
      <c r="H132" s="66" t="n">
        <f aca="false">AVERAGE(H123:H131)</f>
        <v>0.0911478292721915</v>
      </c>
      <c r="I132" s="66" t="n">
        <f aca="false">AVERAGE(B123:H131)</f>
        <v>0.0999975943850621</v>
      </c>
    </row>
    <row r="134" customFormat="false" ht="15" hidden="false" customHeight="false" outlineLevel="0" collapsed="false">
      <c r="A134" s="7" t="s">
        <v>355</v>
      </c>
      <c r="B134" s="7" t="s">
        <v>356</v>
      </c>
      <c r="C134" s="7" t="s">
        <v>300</v>
      </c>
      <c r="D134" s="7" t="s">
        <v>357</v>
      </c>
      <c r="E134" s="7" t="s">
        <v>358</v>
      </c>
      <c r="F134" s="7" t="s">
        <v>280</v>
      </c>
      <c r="G134" s="7" t="s">
        <v>302</v>
      </c>
    </row>
    <row r="135" customFormat="false" ht="15" hidden="false" customHeight="false" outlineLevel="0" collapsed="false">
      <c r="A135" s="18" t="s">
        <v>359</v>
      </c>
      <c r="B135" s="67" t="n">
        <f aca="false">7*DEVSQ(I123:I131)</f>
        <v>0.11855287953388</v>
      </c>
      <c r="C135" s="54" t="n">
        <f aca="false">8</f>
        <v>8</v>
      </c>
      <c r="D135" s="55" t="n">
        <f aca="false">B135/C135</f>
        <v>0.0148191099417349</v>
      </c>
      <c r="E135" s="53" t="n">
        <f aca="false">D135/D137</f>
        <v>2.41044530511814</v>
      </c>
      <c r="F135" s="55" t="n">
        <f aca="false">FDIST(E135,C135,C137)</f>
        <v>0.0283038882985361</v>
      </c>
      <c r="G135" s="18" t="str">
        <f aca="false">IF(F135&lt;0.05,"Significant at 5%",IF(F135&lt;0.1,"Significant at 10%","Not significant"))</f>
        <v>Significant at 5%</v>
      </c>
    </row>
    <row r="136" customFormat="false" ht="15" hidden="false" customHeight="false" outlineLevel="0" collapsed="false">
      <c r="A136" s="18" t="s">
        <v>360</v>
      </c>
      <c r="B136" s="67" t="n">
        <f aca="false">9*DEVSQ(B132:H132)</f>
        <v>0.117266510840173</v>
      </c>
      <c r="C136" s="54" t="n">
        <f aca="false">6</f>
        <v>6</v>
      </c>
      <c r="D136" s="55" t="n">
        <f aca="false">B136/C136</f>
        <v>0.0195444184733622</v>
      </c>
      <c r="E136" s="53" t="n">
        <f aca="false">D136/D137</f>
        <v>3.17905406840275</v>
      </c>
      <c r="F136" s="55" t="n">
        <f aca="false">FDIST(E136,C136,C137)</f>
        <v>0.0104412599396881</v>
      </c>
      <c r="G136" s="18" t="str">
        <f aca="false">IF(F136&lt;0.05,"Significant at 5%",IF(F136&lt;0.1,"Significant at 10%","Not significant"))</f>
        <v>Significant at 5%</v>
      </c>
    </row>
    <row r="137" customFormat="false" ht="15" hidden="false" customHeight="false" outlineLevel="0" collapsed="false">
      <c r="A137" s="18" t="s">
        <v>361</v>
      </c>
      <c r="B137" s="67" t="n">
        <f aca="false">B138-B135-B136</f>
        <v>0.295097870792971</v>
      </c>
      <c r="C137" s="54" t="n">
        <f aca="false">C135*C136</f>
        <v>48</v>
      </c>
      <c r="D137" s="55" t="n">
        <f aca="false">B137/C137</f>
        <v>0.0061478723081869</v>
      </c>
      <c r="E137" s="53"/>
      <c r="F137" s="55"/>
      <c r="G137" s="18"/>
    </row>
    <row r="138" customFormat="false" ht="15" hidden="false" customHeight="false" outlineLevel="0" collapsed="false">
      <c r="A138" s="18" t="s">
        <v>362</v>
      </c>
      <c r="B138" s="67" t="n">
        <f aca="false">DEVSQ(B123:H131)</f>
        <v>0.530917261167024</v>
      </c>
      <c r="C138" s="54" t="n">
        <f aca="false">C135+C136+C137</f>
        <v>62</v>
      </c>
      <c r="D138" s="55"/>
      <c r="E138" s="53"/>
      <c r="F138" s="55"/>
      <c r="G138" s="18"/>
    </row>
    <row r="141" customFormat="false" ht="15" hidden="false" customHeight="false" outlineLevel="0" collapsed="false">
      <c r="A141" s="16" t="s">
        <v>364</v>
      </c>
      <c r="B141" s="17"/>
      <c r="C141" s="17"/>
      <c r="D141" s="17"/>
      <c r="E141" s="17"/>
      <c r="F141" s="17"/>
      <c r="G141" s="17"/>
      <c r="H141" s="17"/>
      <c r="I141" s="17"/>
      <c r="J141" s="17"/>
      <c r="K141" s="17"/>
      <c r="L141" s="17"/>
      <c r="M141" s="17"/>
      <c r="N141" s="17"/>
    </row>
    <row r="142" customFormat="false" ht="42" hidden="false" customHeight="true" outlineLevel="0" collapsed="false">
      <c r="A142" s="7" t="s">
        <v>304</v>
      </c>
      <c r="B142" s="7" t="s">
        <v>44</v>
      </c>
      <c r="C142" s="7" t="s">
        <v>365</v>
      </c>
      <c r="D142" s="7" t="s">
        <v>366</v>
      </c>
      <c r="E142" s="7" t="s">
        <v>367</v>
      </c>
      <c r="F142" s="7" t="s">
        <v>368</v>
      </c>
      <c r="G142" s="7" t="s">
        <v>369</v>
      </c>
      <c r="H142" s="7" t="s">
        <v>370</v>
      </c>
      <c r="I142" s="7" t="s">
        <v>371</v>
      </c>
    </row>
    <row r="143" customFormat="false" ht="15" hidden="false" customHeight="false" outlineLevel="0" collapsed="false">
      <c r="A143" s="18" t="s">
        <v>110</v>
      </c>
      <c r="B143" s="68" t="n">
        <f aca="false">(Tiger!J9/Tiger!D9)^(1/6)-1</f>
        <v>0.112909742792013</v>
      </c>
      <c r="C143" s="69" t="n">
        <f aca="false">Tiger!K138</f>
        <v>0.149512288348678</v>
      </c>
      <c r="D143" s="68" t="n">
        <f aca="false">STDEV(Tiger!D138:J138)</f>
        <v>0.224802460546594</v>
      </c>
      <c r="E143" s="70" t="n">
        <f aca="false">IFERROR(D143/ABS(C143),"N/M")</f>
        <v>1.50357180021439</v>
      </c>
      <c r="F143" s="71" t="n">
        <f aca="false">Tiger!M138</f>
        <v>0.0324012330487121</v>
      </c>
      <c r="G143" s="71" t="n">
        <f aca="false">Tiger!M121</f>
        <v>0.0163550977263028</v>
      </c>
      <c r="H143" s="72" t="n">
        <f aca="false">Tiger!M87</f>
        <v>-0.0444156389760819</v>
      </c>
      <c r="I143" s="71" t="n">
        <f aca="false">Tiger!M124</f>
        <v>0.0172666130025302</v>
      </c>
    </row>
    <row r="144" customFormat="false" ht="15" hidden="false" customHeight="false" outlineLevel="0" collapsed="false">
      <c r="A144" s="18" t="s">
        <v>111</v>
      </c>
      <c r="B144" s="68" t="n">
        <f aca="false">(Allcargo!J9/Allcargo!D9)^(1/6)-1</f>
        <v>-0.191096509123018</v>
      </c>
      <c r="C144" s="69" t="n">
        <f aca="false">Allcargo!K138</f>
        <v>0.091915107822542</v>
      </c>
      <c r="D144" s="68" t="n">
        <f aca="false">STDEV(Allcargo!D138:J138)</f>
        <v>0.066276315487136</v>
      </c>
      <c r="E144" s="70" t="n">
        <f aca="false">IFERROR(D144/ABS(C144),"N/M")</f>
        <v>0.721060085302776</v>
      </c>
      <c r="F144" s="71" t="n">
        <f aca="false">Allcargo!M138</f>
        <v>-0.0107181308846935</v>
      </c>
      <c r="G144" s="71" t="n">
        <f aca="false">Allcargo!M121</f>
        <v>0.00659908758385861</v>
      </c>
      <c r="H144" s="72" t="n">
        <f aca="false">Allcargo!M87</f>
        <v>0.0839247534988847</v>
      </c>
      <c r="I144" s="71" t="n">
        <f aca="false">Allcargo!M124</f>
        <v>-0.00296685928471137</v>
      </c>
    </row>
    <row r="145" customFormat="false" ht="15" hidden="false" customHeight="false" outlineLevel="0" collapsed="false">
      <c r="A145" s="18" t="s">
        <v>112</v>
      </c>
      <c r="B145" s="68" t="n">
        <f aca="false">(BlueDart!J9/BlueDart!D9)^(1/6)-1</f>
        <v>0.116207277972064</v>
      </c>
      <c r="C145" s="69" t="n">
        <f aca="false">BlueDart!K138</f>
        <v>0.142575514531313</v>
      </c>
      <c r="D145" s="68" t="n">
        <f aca="false">STDEV(BlueDart!D138:J138)</f>
        <v>0.0517082051209831</v>
      </c>
      <c r="E145" s="70" t="n">
        <f aca="false">IFERROR(D145/ABS(C145),"N/M")</f>
        <v>0.362672407607737</v>
      </c>
      <c r="F145" s="71" t="n">
        <f aca="false">BlueDart!M138</f>
        <v>0.00262169284613924</v>
      </c>
      <c r="G145" s="71" t="n">
        <f aca="false">BlueDart!M121</f>
        <v>-0.00570981373527701</v>
      </c>
      <c r="H145" s="72" t="n">
        <f aca="false">BlueDart!M87</f>
        <v>-0.200001727962268</v>
      </c>
      <c r="I145" s="71" t="n">
        <f aca="false">BlueDart!M124</f>
        <v>0.00561501666576748</v>
      </c>
    </row>
    <row r="146" customFormat="false" ht="15" hidden="false" customHeight="false" outlineLevel="0" collapsed="false">
      <c r="A146" s="18" t="s">
        <v>67</v>
      </c>
      <c r="B146" s="68" t="n">
        <f aca="false">(CONCOR!J9/CONCOR!D9)^(1/6)-1</f>
        <v>0.0564547671940603</v>
      </c>
      <c r="C146" s="69" t="n">
        <f aca="false">CONCOR!K138</f>
        <v>0.0857922836002226</v>
      </c>
      <c r="D146" s="68" t="n">
        <f aca="false">STDEV(CONCOR!D138:J138)</f>
        <v>0.0274661574719162</v>
      </c>
      <c r="E146" s="70" t="n">
        <f aca="false">IFERROR(D146/ABS(C146),"N/M")</f>
        <v>0.320147177803354</v>
      </c>
      <c r="F146" s="71" t="n">
        <f aca="false">CONCOR!M138</f>
        <v>0.00992795275586907</v>
      </c>
      <c r="G146" s="71" t="n">
        <f aca="false">CONCOR!M121</f>
        <v>-0.000973439006705054</v>
      </c>
      <c r="H146" s="72" t="n">
        <f aca="false">CONCOR!M87</f>
        <v>0.00753349133903793</v>
      </c>
      <c r="I146" s="71" t="n">
        <f aca="false">CONCOR!M124</f>
        <v>0.0130657687824969</v>
      </c>
    </row>
    <row r="147" customFormat="false" ht="15" hidden="false" customHeight="false" outlineLevel="0" collapsed="false">
      <c r="A147" s="18" t="s">
        <v>113</v>
      </c>
      <c r="B147" s="68" t="n">
        <f aca="false">(JetFreight!J9/JetFreight!D9)^(1/6)-1</f>
        <v>0.0676848816292732</v>
      </c>
      <c r="C147" s="69" t="n">
        <f aca="false">JetFreight!K138</f>
        <v>0.0442132625003924</v>
      </c>
      <c r="D147" s="68" t="n">
        <f aca="false">STDEV(JetFreight!D138:J138)</f>
        <v>0.0568903763059213</v>
      </c>
      <c r="E147" s="70" t="n">
        <f aca="false">IFERROR(D147/ABS(C147),"N/M")</f>
        <v>1.28672649536814</v>
      </c>
      <c r="F147" s="71" t="n">
        <f aca="false">JetFreight!M138</f>
        <v>0.0121486984677961</v>
      </c>
      <c r="G147" s="71" t="n">
        <f aca="false">JetFreight!M121</f>
        <v>0.00537060205404287</v>
      </c>
      <c r="H147" s="72" t="n">
        <f aca="false">JetFreight!M87</f>
        <v>-0.196162939178708</v>
      </c>
      <c r="I147" s="71" t="n">
        <f aca="false">JetFreight!M124</f>
        <v>0.00460024737283906</v>
      </c>
    </row>
    <row r="148" customFormat="false" ht="15" hidden="false" customHeight="false" outlineLevel="0" collapsed="false">
      <c r="A148" s="18" t="s">
        <v>114</v>
      </c>
      <c r="B148" s="68" t="n">
        <f aca="false">(Patel!J9/Patel!D9)^(1/6)-1</f>
        <v>0.00461431717758476</v>
      </c>
      <c r="C148" s="69" t="n">
        <f aca="false">Patel!K138</f>
        <v>0.0563851233681808</v>
      </c>
      <c r="D148" s="68" t="n">
        <f aca="false">STDEV(Patel!D138:J138)</f>
        <v>0.025047305336532</v>
      </c>
      <c r="E148" s="70" t="n">
        <f aca="false">IFERROR(D148/ABS(C148),"N/M")</f>
        <v>0.444218329948121</v>
      </c>
      <c r="F148" s="71" t="n">
        <f aca="false">Patel!M138</f>
        <v>0.00283356029503255</v>
      </c>
      <c r="G148" s="71" t="n">
        <f aca="false">Patel!M121</f>
        <v>0.000658964829403972</v>
      </c>
      <c r="H148" s="72" t="n">
        <f aca="false">Patel!M87</f>
        <v>-0.0867499080275832</v>
      </c>
      <c r="I148" s="71" t="n">
        <f aca="false">Patel!M124</f>
        <v>0.00147002479012475</v>
      </c>
    </row>
    <row r="149" customFormat="false" ht="15" hidden="false" customHeight="false" outlineLevel="0" collapsed="false">
      <c r="A149" s="18" t="s">
        <v>115</v>
      </c>
      <c r="B149" s="68" t="n">
        <f aca="false">(Sical!J9/Sical!D9)^(1/6)-1</f>
        <v>-0.147653132647043</v>
      </c>
      <c r="C149" s="69" t="n">
        <f aca="false">Sical!K138</f>
        <v>-0.310893391253812</v>
      </c>
      <c r="D149" s="68" t="n">
        <f aca="false">STDEV(Sical!D138:J138)</f>
        <v>0.517078954259221</v>
      </c>
      <c r="E149" s="70" t="n">
        <f aca="false">IFERROR(D149/ABS(C149),"N/M")</f>
        <v>1.66320342858971</v>
      </c>
      <c r="F149" s="71" t="n">
        <f aca="false">Sical!M138</f>
        <v>0.100061541650417</v>
      </c>
      <c r="G149" s="71" t="n">
        <f aca="false">Sical!M121</f>
        <v>0.039101687022127</v>
      </c>
      <c r="H149" s="72" t="n">
        <f aca="false">Sical!M87</f>
        <v>0.676930115914021</v>
      </c>
      <c r="I149" s="71" t="n">
        <f aca="false">Sical!M124</f>
        <v>0.20332448964986</v>
      </c>
    </row>
    <row r="150" customFormat="false" ht="15" hidden="false" customHeight="false" outlineLevel="0" collapsed="false">
      <c r="A150" s="18" t="s">
        <v>86</v>
      </c>
      <c r="B150" s="68" t="n">
        <f aca="false">(TCI!J9/TCI!D9)^(1/6)-1</f>
        <v>0.103848150926249</v>
      </c>
      <c r="C150" s="69" t="n">
        <f aca="false">TCI!K138</f>
        <v>0.171381287531369</v>
      </c>
      <c r="D150" s="68" t="n">
        <f aca="false">STDEV(TCI!D138:J138)</f>
        <v>0.0348900519785022</v>
      </c>
      <c r="E150" s="70" t="n">
        <f aca="false">IFERROR(D150/ABS(C150),"N/M")</f>
        <v>0.20358145560154</v>
      </c>
      <c r="F150" s="71" t="n">
        <f aca="false">TCI!M138</f>
        <v>0.0105491447910542</v>
      </c>
      <c r="G150" s="71" t="n">
        <f aca="false">TCI!M121</f>
        <v>0.00157950614606642</v>
      </c>
      <c r="H150" s="72" t="n">
        <f aca="false">TCI!M87</f>
        <v>-0.0402193663650723</v>
      </c>
      <c r="I150" s="71" t="n">
        <f aca="false">TCI!M124</f>
        <v>0.0070770751371894</v>
      </c>
    </row>
    <row r="151" customFormat="false" ht="15" hidden="false" customHeight="false" outlineLevel="0" collapsed="false">
      <c r="A151" s="18" t="s">
        <v>116</v>
      </c>
      <c r="B151" s="68" t="n">
        <f aca="false">(Shreeji!J9/Shreeji!D9)^(1/6)-1</f>
        <v>0.134297159525222</v>
      </c>
      <c r="C151" s="69" t="n">
        <f aca="false">Shreeji!K138</f>
        <v>0.105762382803232</v>
      </c>
      <c r="D151" s="68" t="n">
        <f aca="false">STDEV(Shreeji!D138:J138)</f>
        <v>0.0673842787585325</v>
      </c>
      <c r="E151" s="70" t="n">
        <f aca="false">IFERROR(D151/ABS(C151),"N/M")</f>
        <v>0.637128976981343</v>
      </c>
      <c r="F151" s="71" t="n">
        <f aca="false">Shreeji!M138</f>
        <v>0.00297211178715181</v>
      </c>
      <c r="G151" s="71" t="n">
        <f aca="false">Shreeji!M121</f>
        <v>-0.00798995935152981</v>
      </c>
      <c r="H151" s="72" t="n">
        <f aca="false">Shreeji!M87</f>
        <v>-0.229897519906739</v>
      </c>
      <c r="I151" s="71" t="n">
        <f aca="false">Shreeji!M124</f>
        <v>0.00161973902546205</v>
      </c>
    </row>
    <row r="152" customFormat="false" ht="15" hidden="false" customHeight="false" outlineLevel="0" collapsed="false">
      <c r="A152" s="18" t="s">
        <v>117</v>
      </c>
      <c r="B152" s="68" t="n">
        <f aca="false">(MahindraLog!J9/MahindraLog!D9)^(1/6)-1</f>
        <v>0.123993361855835</v>
      </c>
      <c r="C152" s="69" t="n">
        <f aca="false">MahindraLog!K138</f>
        <v>0.0524410989596292</v>
      </c>
      <c r="D152" s="68" t="n">
        <f aca="false">STDEV(MahindraLog!D138:J138)</f>
        <v>0.0273629899988499</v>
      </c>
      <c r="E152" s="70" t="n">
        <f aca="false">IFERROR(D152/ABS(C152),"N/M")</f>
        <v>0.521785213157237</v>
      </c>
      <c r="F152" s="71" t="n">
        <f aca="false">MahindraLog!M138</f>
        <v>-0.00891441879433702</v>
      </c>
      <c r="G152" s="71" t="n">
        <f aca="false">MahindraLog!M121</f>
        <v>0.00119649164375786</v>
      </c>
      <c r="H152" s="72" t="n">
        <f aca="false">MahindraLog!M87</f>
        <v>0.154807492005337</v>
      </c>
      <c r="I152" s="71" t="n">
        <f aca="false">MahindraLog!M124</f>
        <v>-0.00324887261376749</v>
      </c>
    </row>
    <row r="153" customFormat="false" ht="15" hidden="false" customHeight="false" outlineLevel="0" collapsed="false">
      <c r="A153" s="12" t="s">
        <v>118</v>
      </c>
      <c r="B153" s="68" t="n">
        <f aca="false">(Industry!J9/Industry!D9)^(1/6)-1</f>
        <v>0.035451264975801</v>
      </c>
      <c r="C153" s="69" t="n">
        <f aca="false">Industry!K138</f>
        <v>0.0812054519741361</v>
      </c>
      <c r="D153" s="68" t="n">
        <f aca="false">STDEV(Industry!D138:J138)</f>
        <v>0.0427991238212108</v>
      </c>
      <c r="E153" s="70" t="n">
        <f aca="false">IFERROR(D153/ABS(C153),"N/M")</f>
        <v>0.527047418378292</v>
      </c>
      <c r="F153" s="71" t="n">
        <f aca="false">Industry!M138</f>
        <v>0.0120730707536998</v>
      </c>
      <c r="G153" s="71" t="n">
        <f aca="false">Industry!M121</f>
        <v>0.00330391154213969</v>
      </c>
      <c r="H153" s="72" t="n">
        <f aca="false">Industry!M87</f>
        <v>-0.0234638795204663</v>
      </c>
      <c r="I153" s="71" t="n">
        <f aca="false">Industry!M124</f>
        <v>0.00942100119665426</v>
      </c>
    </row>
  </sheetData>
  <conditionalFormatting sqref="B27:K36">
    <cfRule type="expression" priority="2" aboveAverage="0" equalAverage="0" bottom="0" percent="0" rank="0" text="" dxfId="0">
      <formula>AND(B27&gt;=0.5,B27&lt;0.999)</formula>
    </cfRule>
    <cfRule type="expression" priority="3" aboveAverage="0" equalAverage="0" bottom="0" percent="0" rank="0" text="" dxfId="1">
      <formula>B27&lt;=-0.5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U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1" min="3" style="0" width="12"/>
  </cols>
  <sheetData>
    <row r="1" customFormat="false" ht="42" hidden="false" customHeight="true" outlineLevel="0" collapsed="false">
      <c r="A1" s="7" t="s">
        <v>304</v>
      </c>
      <c r="B1" s="7" t="s">
        <v>372</v>
      </c>
      <c r="C1" s="7" t="s">
        <v>267</v>
      </c>
      <c r="D1" s="7" t="s">
        <v>268</v>
      </c>
      <c r="E1" s="7" t="s">
        <v>373</v>
      </c>
      <c r="F1" s="7" t="s">
        <v>119</v>
      </c>
      <c r="G1" s="7" t="s">
        <v>374</v>
      </c>
      <c r="H1" s="7" t="s">
        <v>127</v>
      </c>
      <c r="I1" s="7" t="s">
        <v>375</v>
      </c>
      <c r="J1" s="7" t="s">
        <v>132</v>
      </c>
      <c r="K1" s="7" t="s">
        <v>137</v>
      </c>
      <c r="L1" s="7" t="s">
        <v>376</v>
      </c>
      <c r="M1" s="7" t="s">
        <v>377</v>
      </c>
      <c r="N1" s="7" t="s">
        <v>378</v>
      </c>
      <c r="O1" s="7" t="s">
        <v>379</v>
      </c>
      <c r="P1" s="7" t="s">
        <v>380</v>
      </c>
      <c r="Q1" s="7" t="s">
        <v>381</v>
      </c>
      <c r="R1" s="7" t="s">
        <v>382</v>
      </c>
      <c r="S1" s="7" t="s">
        <v>383</v>
      </c>
      <c r="T1" s="7" t="s">
        <v>384</v>
      </c>
      <c r="U1" s="7" t="s">
        <v>385</v>
      </c>
    </row>
    <row r="2" customFormat="false" ht="15" hidden="false" customHeight="false" outlineLevel="0" collapsed="false">
      <c r="A2" s="18" t="s">
        <v>110</v>
      </c>
      <c r="B2" s="18" t="n">
        <v>2020</v>
      </c>
      <c r="C2" s="73" t="n">
        <f aca="false">Tiger!D9</f>
        <v>301.48</v>
      </c>
      <c r="D2" s="73" t="n">
        <f aca="false">Tiger!D35</f>
        <v>105.11</v>
      </c>
      <c r="E2" s="23" t="n">
        <f aca="false">Tiger!D195</f>
        <v>0.0917134430596518</v>
      </c>
      <c r="F2" s="20" t="n">
        <f aca="false">Tiger!D80</f>
        <v>6.04701397712834</v>
      </c>
      <c r="G2" s="20" t="n">
        <f aca="false">Tiger!D81</f>
        <v>4.54637865311309</v>
      </c>
      <c r="H2" s="20" t="n">
        <f aca="false">Tiger!D96</f>
        <v>-1.72747747747748</v>
      </c>
      <c r="I2" s="26" t="n">
        <f aca="false">Tiger!D108</f>
        <v>101.002139445403</v>
      </c>
      <c r="J2" s="20" t="n">
        <f aca="false">Tiger!D112</f>
        <v>29.9384309831182</v>
      </c>
      <c r="K2" s="23" t="n">
        <f aca="false">Tiger!D124</f>
        <v>-0.0409314050683296</v>
      </c>
      <c r="L2" s="23" t="n">
        <f aca="false">Tiger!D135</f>
        <v>-0.107243731803763</v>
      </c>
      <c r="M2" s="23" t="n">
        <f aca="false">Tiger!D139</f>
        <v>-0.209347697005683</v>
      </c>
      <c r="N2" s="20" t="str">
        <f aca="false">Tiger!D152</f>
        <v>N/M</v>
      </c>
      <c r="O2" s="20" t="n">
        <f aca="false">Tiger!D146</f>
        <v>0.599702087286528</v>
      </c>
      <c r="P2" s="20" t="str">
        <f aca="false">Tiger!D154</f>
        <v>N/M</v>
      </c>
      <c r="Q2" s="23" t="n">
        <f aca="false">Tiger!D138</f>
        <v>-0.0807453416149068</v>
      </c>
      <c r="R2" s="20" t="n">
        <f aca="false">Tiger!D113</f>
        <v>2.62008430017816</v>
      </c>
      <c r="S2" s="23" t="n">
        <f aca="false">Tiger!D121</f>
        <v>-0.027829375082924</v>
      </c>
      <c r="T2" s="20" t="n">
        <f aca="false">Tiger!D87</f>
        <v>0.695825426944972</v>
      </c>
      <c r="U2" s="44" t="n">
        <f aca="false">LN(C2)</f>
        <v>5.70870367897527</v>
      </c>
    </row>
    <row r="3" customFormat="false" ht="15" hidden="false" customHeight="false" outlineLevel="0" collapsed="false">
      <c r="A3" s="18" t="s">
        <v>110</v>
      </c>
      <c r="B3" s="18" t="n">
        <v>2021</v>
      </c>
      <c r="C3" s="73" t="n">
        <f aca="false">Tiger!E9</f>
        <v>167.87</v>
      </c>
      <c r="D3" s="73" t="n">
        <f aca="false">Tiger!E35</f>
        <v>83.85</v>
      </c>
      <c r="E3" s="23" t="n">
        <f aca="false">Tiger!E195</f>
        <v>0.102802623732856</v>
      </c>
      <c r="F3" s="20" t="n">
        <f aca="false">Tiger!E80</f>
        <v>2.78966926793014</v>
      </c>
      <c r="G3" s="20" t="n">
        <f aca="false">Tiger!E81</f>
        <v>1.87848383500557</v>
      </c>
      <c r="H3" s="20" t="n">
        <f aca="false">Tiger!E96</f>
        <v>-5.18367346938776</v>
      </c>
      <c r="I3" s="26" t="n">
        <f aca="false">Tiger!E108</f>
        <v>118.162417346756</v>
      </c>
      <c r="J3" s="20" t="n">
        <f aca="false">Tiger!E112</f>
        <v>18.3866374589266</v>
      </c>
      <c r="K3" s="23" t="n">
        <f aca="false">Tiger!E124</f>
        <v>-0.0739858223625425</v>
      </c>
      <c r="L3" s="23" t="n">
        <f aca="false">Tiger!E135</f>
        <v>-0.131456392887384</v>
      </c>
      <c r="M3" s="23" t="n">
        <f aca="false">Tiger!E139</f>
        <v>-0.262357414448669</v>
      </c>
      <c r="N3" s="20" t="str">
        <f aca="false">Tiger!E152</f>
        <v>N/M</v>
      </c>
      <c r="O3" s="20" t="n">
        <f aca="false">Tiger!E146</f>
        <v>1.0675750357313</v>
      </c>
      <c r="P3" s="20" t="str">
        <f aca="false">Tiger!E154</f>
        <v>N/M</v>
      </c>
      <c r="Q3" s="23" t="n">
        <f aca="false">Tiger!E138</f>
        <v>-0.138883193219876</v>
      </c>
      <c r="R3" s="20" t="n">
        <f aca="false">Tiger!E113</f>
        <v>1.77677815410669</v>
      </c>
      <c r="S3" s="23" t="n">
        <f aca="false">Tiger!E121</f>
        <v>-0.0565318401143741</v>
      </c>
      <c r="T3" s="20" t="n">
        <f aca="false">Tiger!E87</f>
        <v>0.356360171510243</v>
      </c>
      <c r="U3" s="44" t="n">
        <f aca="false">LN(C3)</f>
        <v>5.12318987033432</v>
      </c>
    </row>
    <row r="4" customFormat="false" ht="15" hidden="false" customHeight="false" outlineLevel="0" collapsed="false">
      <c r="A4" s="18" t="s">
        <v>110</v>
      </c>
      <c r="B4" s="18" t="n">
        <v>2022</v>
      </c>
      <c r="C4" s="73" t="n">
        <f aca="false">Tiger!F9</f>
        <v>615.11</v>
      </c>
      <c r="D4" s="73" t="n">
        <f aca="false">Tiger!F35</f>
        <v>121.25</v>
      </c>
      <c r="E4" s="23" t="n">
        <f aca="false">Tiger!F195</f>
        <v>0.0647422680412371</v>
      </c>
      <c r="F4" s="20" t="n">
        <f aca="false">Tiger!F80</f>
        <v>2.3105510465613</v>
      </c>
      <c r="G4" s="20" t="n">
        <f aca="false">Tiger!F81</f>
        <v>2.14053823152499</v>
      </c>
      <c r="H4" s="20" t="n">
        <f aca="false">Tiger!F96</f>
        <v>25.7549668874172</v>
      </c>
      <c r="I4" s="26" t="n">
        <f aca="false">Tiger!F108</f>
        <v>33.1793906780901</v>
      </c>
      <c r="J4" s="20" t="n">
        <f aca="false">Tiger!F112</f>
        <v>74.6945962355799</v>
      </c>
      <c r="K4" s="23" t="n">
        <f aca="false">Tiger!F124</f>
        <v>0.0546731478922469</v>
      </c>
      <c r="L4" s="23" t="n">
        <f aca="false">Tiger!F135</f>
        <v>0.32793759141882</v>
      </c>
      <c r="M4" s="23" t="n">
        <f aca="false">Tiger!F139</f>
        <v>0.577785413624259</v>
      </c>
      <c r="N4" s="20" t="n">
        <f aca="false">Tiger!F152</f>
        <v>6.63807314897413</v>
      </c>
      <c r="O4" s="20" t="n">
        <f aca="false">Tiger!F146</f>
        <v>2.99930673115679</v>
      </c>
      <c r="P4" s="20" t="n">
        <f aca="false">Tiger!F154</f>
        <v>4.82938775510204</v>
      </c>
      <c r="Q4" s="23" t="n">
        <f aca="false">Tiger!F138</f>
        <v>0.53267131382806</v>
      </c>
      <c r="R4" s="20" t="n">
        <f aca="false">Tiger!F113</f>
        <v>5.99814724524622</v>
      </c>
      <c r="S4" s="23" t="n">
        <f aca="false">Tiger!F121</f>
        <v>0.0611272780478289</v>
      </c>
      <c r="T4" s="20" t="n">
        <f aca="false">Tiger!F87</f>
        <v>0</v>
      </c>
      <c r="U4" s="44" t="n">
        <f aca="false">LN(C4)</f>
        <v>6.42180111360127</v>
      </c>
    </row>
    <row r="5" customFormat="false" ht="15" hidden="false" customHeight="false" outlineLevel="0" collapsed="false">
      <c r="A5" s="18" t="s">
        <v>110</v>
      </c>
      <c r="B5" s="18" t="n">
        <v>2023</v>
      </c>
      <c r="C5" s="73" t="n">
        <f aca="false">Tiger!G9</f>
        <v>433.35</v>
      </c>
      <c r="D5" s="73" t="n">
        <f aca="false">Tiger!G35</f>
        <v>119.51</v>
      </c>
      <c r="E5" s="23" t="n">
        <f aca="false">Tiger!G195</f>
        <v>0.0628399297129947</v>
      </c>
      <c r="F5" s="20" t="n">
        <f aca="false">Tiger!G80</f>
        <v>4.86837294332724</v>
      </c>
      <c r="G5" s="20" t="n">
        <f aca="false">Tiger!G81</f>
        <v>4.64808043875686</v>
      </c>
      <c r="H5" s="20" t="n">
        <f aca="false">Tiger!G96</f>
        <v>31.4271844660194</v>
      </c>
      <c r="I5" s="26" t="n">
        <f aca="false">Tiger!G108</f>
        <v>49.6773970231914</v>
      </c>
      <c r="J5" s="20" t="n">
        <f aca="false">Tiger!G112</f>
        <v>56.42578125</v>
      </c>
      <c r="K5" s="23" t="n">
        <f aca="false">Tiger!G124</f>
        <v>0.0535594784815969</v>
      </c>
      <c r="L5" s="23" t="n">
        <f aca="false">Tiger!G135</f>
        <v>0.192806113972421</v>
      </c>
      <c r="M5" s="23" t="n">
        <f aca="false">Tiger!G139</f>
        <v>0.269789608276183</v>
      </c>
      <c r="N5" s="20" t="n">
        <f aca="false">Tiger!G152</f>
        <v>16.5449418354158</v>
      </c>
      <c r="O5" s="20" t="n">
        <f aca="false">Tiger!G146</f>
        <v>3.93330021509782</v>
      </c>
      <c r="P5" s="20" t="n">
        <f aca="false">Tiger!G154</f>
        <v>10.0032609351433</v>
      </c>
      <c r="Q5" s="23" t="n">
        <f aca="false">Tiger!G138</f>
        <v>0.278656337584558</v>
      </c>
      <c r="R5" s="20" t="n">
        <f aca="false">Tiger!G113</f>
        <v>3.59985047350058</v>
      </c>
      <c r="S5" s="23" t="n">
        <f aca="false">Tiger!G121</f>
        <v>0.0610130379600785</v>
      </c>
      <c r="T5" s="20" t="n">
        <f aca="false">Tiger!G87</f>
        <v>0</v>
      </c>
      <c r="U5" s="44" t="n">
        <f aca="false">LN(C5)</f>
        <v>6.07154571558035</v>
      </c>
    </row>
    <row r="6" customFormat="false" ht="15" hidden="false" customHeight="false" outlineLevel="0" collapsed="false">
      <c r="A6" s="18" t="s">
        <v>110</v>
      </c>
      <c r="B6" s="18" t="n">
        <v>2024</v>
      </c>
      <c r="C6" s="73" t="n">
        <f aca="false">Tiger!H9</f>
        <v>240.26</v>
      </c>
      <c r="D6" s="73" t="n">
        <f aca="false">Tiger!H35</f>
        <v>143.58</v>
      </c>
      <c r="E6" s="23" t="n">
        <f aca="false">Tiger!H195</f>
        <v>0.0630310628221201</v>
      </c>
      <c r="F6" s="20" t="n">
        <f aca="false">Tiger!H80</f>
        <v>5.95412844036697</v>
      </c>
      <c r="G6" s="20" t="n">
        <f aca="false">Tiger!H81</f>
        <v>5.38580395943988</v>
      </c>
      <c r="H6" s="20" t="n">
        <f aca="false">Tiger!H96</f>
        <v>24.2763157894737</v>
      </c>
      <c r="I6" s="26" t="n">
        <f aca="false">Tiger!H108</f>
        <v>90.4600224756514</v>
      </c>
      <c r="J6" s="20" t="n">
        <f aca="false">Tiger!H112</f>
        <v>29.0169082125604</v>
      </c>
      <c r="K6" s="23" t="n">
        <f aca="false">Tiger!H124</f>
        <v>0.0539415633064181</v>
      </c>
      <c r="L6" s="23" t="n">
        <f aca="false">Tiger!H135</f>
        <v>0.0985214185259797</v>
      </c>
      <c r="M6" s="23" t="n">
        <f aca="false">Tiger!H139</f>
        <v>0.12434040103617</v>
      </c>
      <c r="N6" s="20" t="n">
        <f aca="false">Tiger!H152</f>
        <v>37.516975308642</v>
      </c>
      <c r="O6" s="20" t="n">
        <f aca="false">Tiger!H146</f>
        <v>4.38707931065596</v>
      </c>
      <c r="P6" s="20" t="n">
        <f aca="false">Tiger!H154</f>
        <v>23.7394695787831</v>
      </c>
      <c r="Q6" s="23" t="n">
        <f aca="false">Tiger!H138</f>
        <v>0.122506662359687</v>
      </c>
      <c r="R6" s="20" t="n">
        <f aca="false">Tiger!H113</f>
        <v>1.82644722338363</v>
      </c>
      <c r="S6" s="23" t="n">
        <f aca="false">Tiger!H121</f>
        <v>0.0638891201198701</v>
      </c>
      <c r="T6" s="20" t="n">
        <f aca="false">Tiger!H87</f>
        <v>0.108634846160787</v>
      </c>
      <c r="U6" s="44" t="n">
        <f aca="false">LN(C6)</f>
        <v>5.48172167029323</v>
      </c>
    </row>
    <row r="7" customFormat="false" ht="15" hidden="false" customHeight="false" outlineLevel="0" collapsed="false">
      <c r="A7" s="18" t="s">
        <v>110</v>
      </c>
      <c r="B7" s="18" t="n">
        <v>2025</v>
      </c>
      <c r="C7" s="73" t="n">
        <f aca="false">Tiger!I9</f>
        <v>536.31</v>
      </c>
      <c r="D7" s="73" t="n">
        <f aca="false">Tiger!I35</f>
        <v>195.69</v>
      </c>
      <c r="E7" s="23" t="n">
        <f aca="false">Tiger!I195</f>
        <v>0.0454289948387756</v>
      </c>
      <c r="F7" s="20" t="n">
        <f aca="false">Tiger!I80</f>
        <v>7.59582790091265</v>
      </c>
      <c r="G7" s="20" t="n">
        <f aca="false">Tiger!I81</f>
        <v>6.6857887874837</v>
      </c>
      <c r="H7" s="20" t="n">
        <f aca="false">Tiger!I96</f>
        <v>11.7731343283582</v>
      </c>
      <c r="I7" s="26" t="n">
        <f aca="false">Tiger!I108</f>
        <v>58.6895172568104</v>
      </c>
      <c r="J7" s="20" t="n">
        <f aca="false">Tiger!I112</f>
        <v>59.7892976588629</v>
      </c>
      <c r="K7" s="23" t="n">
        <f aca="false">Tiger!I124</f>
        <v>0.0503626633849826</v>
      </c>
      <c r="L7" s="23" t="n">
        <f aca="false">Tiger!I135</f>
        <v>0.159224216700563</v>
      </c>
      <c r="M7" s="23" t="n">
        <f aca="false">Tiger!I139</f>
        <v>0.21683458435355</v>
      </c>
      <c r="N7" s="20" t="n">
        <f aca="false">Tiger!I152</f>
        <v>18.58848574602</v>
      </c>
      <c r="O7" s="20" t="n">
        <f aca="false">Tiger!I146</f>
        <v>3.63033261026753</v>
      </c>
      <c r="P7" s="20" t="n">
        <f aca="false">Tiger!I154</f>
        <v>12.0450483991065</v>
      </c>
      <c r="Q7" s="23" t="n">
        <f aca="false">Tiger!I138</f>
        <v>0.199743952961822</v>
      </c>
      <c r="R7" s="20" t="n">
        <f aca="false">Tiger!I113</f>
        <v>3.16155274560085</v>
      </c>
      <c r="S7" s="23" t="n">
        <f aca="false">Tiger!I121</f>
        <v>0.0585855195689059</v>
      </c>
      <c r="T7" s="20" t="n">
        <f aca="false">Tiger!I87</f>
        <v>0.248590021691974</v>
      </c>
      <c r="U7" s="44" t="n">
        <f aca="false">LN(C7)</f>
        <v>6.28471235209511</v>
      </c>
    </row>
    <row r="8" customFormat="false" ht="15" hidden="false" customHeight="false" outlineLevel="0" collapsed="false">
      <c r="A8" s="18" t="s">
        <v>110</v>
      </c>
      <c r="B8" s="18" t="n">
        <v>2026</v>
      </c>
      <c r="C8" s="73" t="n">
        <f aca="false">Tiger!J9</f>
        <v>572.82</v>
      </c>
      <c r="D8" s="73" t="n">
        <f aca="false">Tiger!J35</f>
        <v>262.62</v>
      </c>
      <c r="E8" s="23" t="n">
        <f aca="false">Tiger!J195</f>
        <v>0.03739243012718</v>
      </c>
      <c r="F8" s="20" t="n">
        <f aca="false">Tiger!J80</f>
        <v>4.61705814401232</v>
      </c>
      <c r="G8" s="20" t="n">
        <f aca="false">Tiger!J81</f>
        <v>3.89834424335772</v>
      </c>
      <c r="H8" s="20" t="n">
        <f aca="false">Tiger!J96</f>
        <v>6.52941176470588</v>
      </c>
      <c r="I8" s="26" t="n">
        <f aca="false">Tiger!J108</f>
        <v>84.0177979120841</v>
      </c>
      <c r="J8" s="20" t="n">
        <f aca="false">Tiger!J112</f>
        <v>61.2314270443613</v>
      </c>
      <c r="K8" s="23" t="n">
        <f aca="false">Tiger!J124</f>
        <v>0.0375685206522119</v>
      </c>
      <c r="L8" s="23" t="n">
        <f aca="false">Tiger!J135</f>
        <v>0.0939102354301674</v>
      </c>
      <c r="M8" s="23" t="n">
        <f aca="false">Tiger!J139</f>
        <v>0.144293951991417</v>
      </c>
      <c r="N8" s="20" t="n">
        <f aca="false">Tiger!J152</f>
        <v>11.7389869888476</v>
      </c>
      <c r="O8" s="20" t="n">
        <f aca="false">Tiger!J146</f>
        <v>1.57909113639205</v>
      </c>
      <c r="P8" s="20" t="n">
        <f aca="false">Tiger!J154</f>
        <v>7.40381679389313</v>
      </c>
      <c r="Q8" s="23" t="n">
        <f aca="false">Tiger!J138</f>
        <v>0.132636286541399</v>
      </c>
      <c r="R8" s="20" t="n">
        <f aca="false">Tiger!J113</f>
        <v>2.49970543954965</v>
      </c>
      <c r="S8" s="23" t="n">
        <f aca="false">Tiger!J121</f>
        <v>0.0471526832163681</v>
      </c>
      <c r="T8" s="20" t="n">
        <f aca="false">Tiger!J87</f>
        <v>0.316914614326791</v>
      </c>
      <c r="U8" s="44" t="n">
        <f aca="false">LN(C8)</f>
        <v>6.350571531238</v>
      </c>
    </row>
    <row r="9" customFormat="false" ht="15" hidden="false" customHeight="false" outlineLevel="0" collapsed="false">
      <c r="A9" s="18" t="s">
        <v>111</v>
      </c>
      <c r="B9" s="18" t="n">
        <v>2020</v>
      </c>
      <c r="C9" s="73" t="n">
        <f aca="false">Allcargo!D9</f>
        <v>7346.24</v>
      </c>
      <c r="D9" s="73" t="n">
        <f aca="false">Allcargo!D35</f>
        <v>5300.94</v>
      </c>
      <c r="E9" s="23" t="n">
        <f aca="false">Allcargo!D195</f>
        <v>0.371253023048742</v>
      </c>
      <c r="F9" s="20" t="n">
        <f aca="false">Allcargo!D80</f>
        <v>1.645685933372</v>
      </c>
      <c r="G9" s="20" t="n">
        <f aca="false">Allcargo!D81</f>
        <v>1.11984663960307</v>
      </c>
      <c r="H9" s="20" t="n">
        <f aca="false">Allcargo!D96</f>
        <v>5.08943633685902</v>
      </c>
      <c r="I9" s="26" t="n">
        <f aca="false">Allcargo!D108</f>
        <v>51.9767663457769</v>
      </c>
      <c r="J9" s="20" t="n">
        <f aca="false">Allcargo!D112</f>
        <v>4.12171741966252</v>
      </c>
      <c r="K9" s="23" t="n">
        <f aca="false">Allcargo!D124</f>
        <v>0.0303556649387986</v>
      </c>
      <c r="L9" s="23" t="n">
        <f aca="false">Allcargo!D135</f>
        <v>0.0483977207494919</v>
      </c>
      <c r="M9" s="23" t="n">
        <f aca="false">Allcargo!D139</f>
        <v>0.107613017797166</v>
      </c>
      <c r="N9" s="20" t="str">
        <f aca="false">Allcargo!D152</f>
        <v>N/C</v>
      </c>
      <c r="O9" s="20" t="str">
        <f aca="false">Allcargo!D146</f>
        <v>N/C</v>
      </c>
      <c r="P9" s="20" t="str">
        <f aca="false">Allcargo!D154</f>
        <v>N/C</v>
      </c>
      <c r="Q9" s="23" t="n">
        <f aca="false">Allcargo!D138</f>
        <v>0.0919133260110673</v>
      </c>
      <c r="R9" s="20" t="n">
        <f aca="false">Allcargo!D113</f>
        <v>1.59435548017375</v>
      </c>
      <c r="S9" s="23" t="n">
        <f aca="false">Allcargo!D121</f>
        <v>0.0701243084897852</v>
      </c>
      <c r="T9" s="20" t="n">
        <f aca="false">Allcargo!D87</f>
        <v>0.7472340028895</v>
      </c>
      <c r="U9" s="44" t="n">
        <f aca="false">LN(C9)</f>
        <v>8.90194389668721</v>
      </c>
    </row>
    <row r="10" customFormat="false" ht="15" hidden="false" customHeight="false" outlineLevel="0" collapsed="false">
      <c r="A10" s="18" t="s">
        <v>111</v>
      </c>
      <c r="B10" s="18" t="n">
        <v>2021</v>
      </c>
      <c r="C10" s="73" t="n">
        <f aca="false">Allcargo!E9</f>
        <v>10498.1</v>
      </c>
      <c r="D10" s="73" t="n">
        <f aca="false">Allcargo!E35</f>
        <v>7313.27</v>
      </c>
      <c r="E10" s="23" t="n">
        <f aca="false">Allcargo!E195</f>
        <v>0.432714777384125</v>
      </c>
      <c r="F10" s="20" t="n">
        <f aca="false">Allcargo!E80</f>
        <v>1.28933732745011</v>
      </c>
      <c r="G10" s="20" t="n">
        <f aca="false">Allcargo!E81</f>
        <v>0.862553805880527</v>
      </c>
      <c r="H10" s="20" t="n">
        <f aca="false">Allcargo!E96</f>
        <v>2.11050610820244</v>
      </c>
      <c r="I10" s="26" t="n">
        <f aca="false">Allcargo!E108</f>
        <v>57.8158595364876</v>
      </c>
      <c r="J10" s="20" t="n">
        <f aca="false">Allcargo!E112</f>
        <v>4.09079307556673</v>
      </c>
      <c r="K10" s="23" t="n">
        <f aca="false">Allcargo!E124</f>
        <v>0.0164696468884846</v>
      </c>
      <c r="L10" s="23" t="n">
        <f aca="false">Allcargo!E135</f>
        <v>0.0274135280766691</v>
      </c>
      <c r="M10" s="23" t="n">
        <f aca="false">Allcargo!E139</f>
        <v>0.0780720846014215</v>
      </c>
      <c r="N10" s="20" t="str">
        <f aca="false">Allcargo!E152</f>
        <v>N/C</v>
      </c>
      <c r="O10" s="20" t="str">
        <f aca="false">Allcargo!E146</f>
        <v>N/C</v>
      </c>
      <c r="P10" s="20" t="str">
        <f aca="false">Allcargo!E154</f>
        <v>N/C</v>
      </c>
      <c r="Q10" s="23" t="n">
        <f aca="false">Allcargo!E138</f>
        <v>0.044642319172646</v>
      </c>
      <c r="R10" s="20" t="n">
        <f aca="false">Allcargo!E113</f>
        <v>1.66448790689231</v>
      </c>
      <c r="S10" s="23" t="n">
        <f aca="false">Allcargo!E121</f>
        <v>0.0612577514026348</v>
      </c>
      <c r="T10" s="20" t="n">
        <f aca="false">Allcargo!E87</f>
        <v>0.904459742329891</v>
      </c>
      <c r="U10" s="44" t="n">
        <f aca="false">LN(C10)</f>
        <v>9.25894956739081</v>
      </c>
    </row>
    <row r="11" customFormat="false" ht="15" hidden="false" customHeight="false" outlineLevel="0" collapsed="false">
      <c r="A11" s="18" t="s">
        <v>111</v>
      </c>
      <c r="B11" s="18" t="n">
        <v>2022</v>
      </c>
      <c r="C11" s="73" t="n">
        <f aca="false">Allcargo!F9</f>
        <v>19062.06</v>
      </c>
      <c r="D11" s="73" t="n">
        <f aca="false">Allcargo!F35</f>
        <v>9604</v>
      </c>
      <c r="E11" s="23" t="n">
        <f aca="false">Allcargo!F195</f>
        <v>0.363573511037068</v>
      </c>
      <c r="F11" s="20" t="n">
        <f aca="false">Allcargo!F80</f>
        <v>1.34371249936363</v>
      </c>
      <c r="G11" s="20" t="n">
        <f aca="false">Allcargo!F81</f>
        <v>0.90198136695653</v>
      </c>
      <c r="H11" s="20" t="n">
        <f aca="false">Allcargo!F96</f>
        <v>13.6973287600042</v>
      </c>
      <c r="I11" s="26" t="n">
        <f aca="false">Allcargo!F108</f>
        <v>50.2822202846912</v>
      </c>
      <c r="J11" s="20" t="n">
        <f aca="false">Allcargo!F112</f>
        <v>5.72750709100524</v>
      </c>
      <c r="K11" s="23" t="n">
        <f aca="false">Allcargo!F124</f>
        <v>0.0485634815964277</v>
      </c>
      <c r="L11" s="23" t="n">
        <f aca="false">Allcargo!F135</f>
        <v>0.10944082585429</v>
      </c>
      <c r="M11" s="23" t="n">
        <f aca="false">Allcargo!F139</f>
        <v>0.340006978495216</v>
      </c>
      <c r="N11" s="20" t="str">
        <f aca="false">Allcargo!F152</f>
        <v>N/C</v>
      </c>
      <c r="O11" s="20" t="str">
        <f aca="false">Allcargo!F146</f>
        <v>N/C</v>
      </c>
      <c r="P11" s="20" t="str">
        <f aca="false">Allcargo!F154</f>
        <v>N/C</v>
      </c>
      <c r="Q11" s="23" t="n">
        <f aca="false">Allcargo!F138</f>
        <v>0.211754184915993</v>
      </c>
      <c r="R11" s="20" t="n">
        <f aca="false">Allcargo!F113</f>
        <v>2.25356218822541</v>
      </c>
      <c r="S11" s="23" t="n">
        <f aca="false">Allcargo!F121</f>
        <v>0.0672151908030925</v>
      </c>
      <c r="T11" s="20" t="n">
        <f aca="false">Allcargo!F87</f>
        <v>0.732917742017105</v>
      </c>
      <c r="U11" s="44" t="n">
        <f aca="false">LN(C11)</f>
        <v>9.85545525111616</v>
      </c>
    </row>
    <row r="12" customFormat="false" ht="15" hidden="false" customHeight="false" outlineLevel="0" collapsed="false">
      <c r="A12" s="18" t="s">
        <v>111</v>
      </c>
      <c r="B12" s="18" t="n">
        <v>2023</v>
      </c>
      <c r="C12" s="73" t="n">
        <f aca="false">Allcargo!G9</f>
        <v>18050.77</v>
      </c>
      <c r="D12" s="73" t="n">
        <f aca="false">Allcargo!G35</f>
        <v>7230.85</v>
      </c>
      <c r="E12" s="23" t="n">
        <f aca="false">Allcargo!G195</f>
        <v>0.294831174758154</v>
      </c>
      <c r="F12" s="20" t="n">
        <f aca="false">Allcargo!G80</f>
        <v>1.39082149929104</v>
      </c>
      <c r="G12" s="20" t="n">
        <f aca="false">Allcargo!G81</f>
        <v>1.03388186449108</v>
      </c>
      <c r="H12" s="20" t="n">
        <f aca="false">Allcargo!G96</f>
        <v>11.4632464648826</v>
      </c>
      <c r="I12" s="26" t="n">
        <f aca="false">Allcargo!G108</f>
        <v>51.7075767404936</v>
      </c>
      <c r="J12" s="20" t="n">
        <f aca="false">Allcargo!G112</f>
        <v>6.41960367306584</v>
      </c>
      <c r="K12" s="23" t="n">
        <f aca="false">Allcargo!G124</f>
        <v>0.0348788445035863</v>
      </c>
      <c r="L12" s="23" t="n">
        <f aca="false">Allcargo!G135</f>
        <v>0.0747960332286893</v>
      </c>
      <c r="M12" s="23" t="n">
        <f aca="false">Allcargo!G139</f>
        <v>0.210706863142112</v>
      </c>
      <c r="N12" s="20" t="str">
        <f aca="false">Allcargo!G152</f>
        <v>N/C</v>
      </c>
      <c r="O12" s="20" t="str">
        <f aca="false">Allcargo!G146</f>
        <v>N/C</v>
      </c>
      <c r="P12" s="20" t="str">
        <f aca="false">Allcargo!G154</f>
        <v>N/C</v>
      </c>
      <c r="Q12" s="23" t="n">
        <f aca="false">Allcargo!G138</f>
        <v>0.151093605728492</v>
      </c>
      <c r="R12" s="20" t="n">
        <f aca="false">Allcargo!G113</f>
        <v>2.14445272752653</v>
      </c>
      <c r="S12" s="23" t="n">
        <f aca="false">Allcargo!G121</f>
        <v>0.0631662804412222</v>
      </c>
      <c r="T12" s="20" t="n">
        <f aca="false">Allcargo!G87</f>
        <v>0.419121461719411</v>
      </c>
      <c r="U12" s="44" t="n">
        <f aca="false">LN(C12)</f>
        <v>9.80094362213093</v>
      </c>
    </row>
    <row r="13" customFormat="false" ht="15" hidden="false" customHeight="false" outlineLevel="0" collapsed="false">
      <c r="A13" s="18" t="s">
        <v>111</v>
      </c>
      <c r="B13" s="18" t="n">
        <v>2024</v>
      </c>
      <c r="C13" s="73" t="n">
        <f aca="false">Allcargo!H9</f>
        <v>12968.68</v>
      </c>
      <c r="D13" s="73" t="n">
        <f aca="false">Allcargo!H35</f>
        <v>7163.48</v>
      </c>
      <c r="E13" s="23" t="n">
        <f aca="false">Allcargo!H195</f>
        <v>0.395666631302105</v>
      </c>
      <c r="F13" s="20" t="n">
        <f aca="false">Allcargo!H80</f>
        <v>1.44451320058232</v>
      </c>
      <c r="G13" s="20" t="n">
        <f aca="false">Allcargo!H81</f>
        <v>0.99669493617006</v>
      </c>
      <c r="H13" s="20" t="n">
        <f aca="false">Allcargo!H96</f>
        <v>2.17822846495629</v>
      </c>
      <c r="I13" s="26" t="n">
        <f aca="false">Allcargo!H108</f>
        <v>60.0289100355626</v>
      </c>
      <c r="J13" s="20" t="n">
        <f aca="false">Allcargo!H112</f>
        <v>5.22274642938406</v>
      </c>
      <c r="K13" s="23" t="n">
        <f aca="false">Allcargo!H124</f>
        <v>0.0115431948355577</v>
      </c>
      <c r="L13" s="23" t="n">
        <f aca="false">Allcargo!H135</f>
        <v>0.0207998566102069</v>
      </c>
      <c r="M13" s="23" t="n">
        <f aca="false">Allcargo!H139</f>
        <v>0.0561110226112053</v>
      </c>
      <c r="N13" s="20" t="str">
        <f aca="false">Allcargo!H152</f>
        <v>N/C</v>
      </c>
      <c r="O13" s="20" t="str">
        <f aca="false">Allcargo!H146</f>
        <v>N/C</v>
      </c>
      <c r="P13" s="20" t="str">
        <f aca="false">Allcargo!H154</f>
        <v>N/C</v>
      </c>
      <c r="Q13" s="23" t="n">
        <f aca="false">Allcargo!H138</f>
        <v>0.0619082139798013</v>
      </c>
      <c r="R13" s="20" t="n">
        <f aca="false">Allcargo!H113</f>
        <v>1.80191505961028</v>
      </c>
      <c r="S13" s="23" t="n">
        <f aca="false">Allcargo!H121</f>
        <v>0.0362951356653105</v>
      </c>
      <c r="T13" s="20" t="n">
        <f aca="false">Allcargo!H87</f>
        <v>0.73212168319698</v>
      </c>
      <c r="U13" s="44" t="n">
        <f aca="false">LN(C13)</f>
        <v>9.47029249880818</v>
      </c>
    </row>
    <row r="14" customFormat="false" ht="15" hidden="false" customHeight="false" outlineLevel="0" collapsed="false">
      <c r="A14" s="18" t="s">
        <v>111</v>
      </c>
      <c r="B14" s="18" t="n">
        <v>2025</v>
      </c>
      <c r="C14" s="73" t="n">
        <f aca="false">Allcargo!I9</f>
        <v>1961</v>
      </c>
      <c r="D14" s="73" t="n">
        <f aca="false">Allcargo!I35</f>
        <v>1741</v>
      </c>
      <c r="E14" s="23" t="n">
        <f aca="false">Allcargo!I195</f>
        <v>0.435956346927053</v>
      </c>
      <c r="F14" s="20" t="n">
        <f aca="false">Allcargo!I80</f>
        <v>2.45226130653266</v>
      </c>
      <c r="G14" s="20" t="n">
        <f aca="false">Allcargo!I81</f>
        <v>1.33668341708543</v>
      </c>
      <c r="H14" s="20" t="n">
        <f aca="false">Allcargo!I96</f>
        <v>1.2</v>
      </c>
      <c r="I14" s="26" t="n">
        <f aca="false">Allcargo!I108</f>
        <v>242.217797042325</v>
      </c>
      <c r="J14" s="20" t="n">
        <f aca="false">Allcargo!I112</f>
        <v>1.09146061474668</v>
      </c>
      <c r="K14" s="23" t="n">
        <f aca="false">Allcargo!I124</f>
        <v>0.0331463539010709</v>
      </c>
      <c r="L14" s="23" t="n">
        <f aca="false">Allcargo!I135</f>
        <v>0.0145993926652651</v>
      </c>
      <c r="M14" s="23" t="n">
        <f aca="false">Allcargo!I139</f>
        <v>0.0421581058687326</v>
      </c>
      <c r="N14" s="20" t="str">
        <f aca="false">Allcargo!I152</f>
        <v>N/C</v>
      </c>
      <c r="O14" s="20" t="str">
        <f aca="false">Allcargo!I146</f>
        <v>N/C</v>
      </c>
      <c r="P14" s="20" t="str">
        <f aca="false">Allcargo!I154</f>
        <v>N/C</v>
      </c>
      <c r="Q14" s="23" t="n">
        <f aca="false">Allcargo!I138</f>
        <v>0.0315193923061163</v>
      </c>
      <c r="R14" s="20" t="n">
        <f aca="false">Allcargo!I113</f>
        <v>0.440452446408999</v>
      </c>
      <c r="S14" s="23" t="n">
        <f aca="false">Allcargo!I121</f>
        <v>0.103008669046405</v>
      </c>
      <c r="T14" s="20" t="n">
        <f aca="false">Allcargo!I87</f>
        <v>1.38967971530249</v>
      </c>
      <c r="U14" s="44" t="n">
        <f aca="false">LN(C14)</f>
        <v>7.58120982619635</v>
      </c>
    </row>
    <row r="15" customFormat="false" ht="15" hidden="false" customHeight="false" outlineLevel="0" collapsed="false">
      <c r="A15" s="18" t="s">
        <v>111</v>
      </c>
      <c r="B15" s="18" t="n">
        <v>2026</v>
      </c>
      <c r="C15" s="73" t="n">
        <f aca="false">Allcargo!J9</f>
        <v>2058</v>
      </c>
      <c r="D15" s="73" t="n">
        <f aca="false">Allcargo!J35</f>
        <v>1736</v>
      </c>
      <c r="E15" s="23" t="n">
        <f aca="false">Allcargo!J195</f>
        <v>0.451036866359447</v>
      </c>
      <c r="F15" s="20" t="n">
        <f aca="false">Allcargo!J80</f>
        <v>2.02558635394456</v>
      </c>
      <c r="G15" s="20" t="n">
        <f aca="false">Allcargo!J81</f>
        <v>1.19402985074627</v>
      </c>
      <c r="H15" s="20" t="n">
        <f aca="false">Allcargo!J96</f>
        <v>1.06451612903226</v>
      </c>
      <c r="I15" s="26" t="n">
        <f aca="false">Allcargo!J108</f>
        <v>71.2973760932945</v>
      </c>
      <c r="J15" s="20" t="n">
        <f aca="false">Allcargo!J112</f>
        <v>2.66926070038911</v>
      </c>
      <c r="K15" s="23" t="n">
        <f aca="false">Allcargo!J124</f>
        <v>0.00388726919339164</v>
      </c>
      <c r="L15" s="23" t="n">
        <f aca="false">Allcargo!J135</f>
        <v>0.00460166810468795</v>
      </c>
      <c r="M15" s="23" t="n">
        <f aca="false">Allcargo!J139</f>
        <v>0.0140845070422535</v>
      </c>
      <c r="N15" s="20" t="n">
        <f aca="false">Allcargo!J152</f>
        <v>134.42755</v>
      </c>
      <c r="O15" s="20" t="n">
        <f aca="false">Allcargo!J146</f>
        <v>1.87355470383275</v>
      </c>
      <c r="P15" s="20" t="n">
        <f aca="false">Allcargo!J154</f>
        <v>6.06452</v>
      </c>
      <c r="Q15" s="23" t="n">
        <f aca="false">Allcargo!J138</f>
        <v>0.0505747126436782</v>
      </c>
      <c r="R15" s="20" t="n">
        <f aca="false">Allcargo!J113</f>
        <v>1.18377911993098</v>
      </c>
      <c r="S15" s="23" t="n">
        <f aca="false">Allcargo!J121</f>
        <v>0.114188532555879</v>
      </c>
      <c r="T15" s="20" t="n">
        <f aca="false">Allcargo!J87</f>
        <v>1.20731707317073</v>
      </c>
      <c r="U15" s="44" t="n">
        <f aca="false">LN(C15)</f>
        <v>7.629489916394</v>
      </c>
    </row>
    <row r="16" customFormat="false" ht="15" hidden="false" customHeight="false" outlineLevel="0" collapsed="false">
      <c r="A16" s="18" t="s">
        <v>112</v>
      </c>
      <c r="B16" s="18" t="n">
        <v>2020</v>
      </c>
      <c r="C16" s="73" t="n">
        <f aca="false">BlueDart!D9</f>
        <v>3175.13</v>
      </c>
      <c r="D16" s="73" t="n">
        <f aca="false">BlueDart!D35</f>
        <v>2640.79</v>
      </c>
      <c r="E16" s="23" t="n">
        <f aca="false">BlueDart!D195</f>
        <v>0.630485574392511</v>
      </c>
      <c r="F16" s="20" t="n">
        <f aca="false">BlueDart!D80</f>
        <v>0.591236820662239</v>
      </c>
      <c r="G16" s="20" t="n">
        <f aca="false">BlueDart!D81</f>
        <v>0.38780587174992</v>
      </c>
      <c r="H16" s="20" t="n">
        <f aca="false">BlueDart!D96</f>
        <v>0.666723462259329</v>
      </c>
      <c r="I16" s="26" t="n">
        <f aca="false">BlueDart!D108</f>
        <v>58.5844122917802</v>
      </c>
      <c r="J16" s="20" t="n">
        <f aca="false">BlueDart!D112</f>
        <v>2.73795993687859</v>
      </c>
      <c r="K16" s="23" t="n">
        <f aca="false">BlueDart!D124</f>
        <v>-0.0131837121629666</v>
      </c>
      <c r="L16" s="23" t="n">
        <f aca="false">BlueDart!D135</f>
        <v>-0.0188048202513449</v>
      </c>
      <c r="M16" s="23" t="n">
        <f aca="false">BlueDart!D139</f>
        <v>-0.0783491647559777</v>
      </c>
      <c r="N16" s="20" t="str">
        <f aca="false">BlueDart!D152</f>
        <v>N/M</v>
      </c>
      <c r="O16" s="20" t="n">
        <f aca="false">BlueDart!D146</f>
        <v>10.6182354379317</v>
      </c>
      <c r="P16" s="20" t="n">
        <f aca="false">BlueDart!D154</f>
        <v>13.2562994901196</v>
      </c>
      <c r="Q16" s="23" t="n">
        <f aca="false">BlueDart!D138</f>
        <v>0.0720881712209209</v>
      </c>
      <c r="R16" s="20" t="n">
        <f aca="false">BlueDart!D113</f>
        <v>1.42636762839591</v>
      </c>
      <c r="S16" s="23" t="n">
        <f aca="false">BlueDart!D121</f>
        <v>0.149477344234724</v>
      </c>
      <c r="T16" s="20" t="n">
        <f aca="false">BlueDart!D87</f>
        <v>1.07980359798708</v>
      </c>
      <c r="U16" s="44" t="n">
        <f aca="false">LN(C16)</f>
        <v>8.06310385537046</v>
      </c>
    </row>
    <row r="17" customFormat="false" ht="15" hidden="false" customHeight="false" outlineLevel="0" collapsed="false">
      <c r="A17" s="18" t="s">
        <v>112</v>
      </c>
      <c r="B17" s="18" t="n">
        <v>2021</v>
      </c>
      <c r="C17" s="73" t="n">
        <f aca="false">BlueDart!E9</f>
        <v>3288.13</v>
      </c>
      <c r="D17" s="73" t="n">
        <f aca="false">BlueDart!E35</f>
        <v>2897.43</v>
      </c>
      <c r="E17" s="23" t="n">
        <f aca="false">BlueDart!E195</f>
        <v>0.546408368795795</v>
      </c>
      <c r="F17" s="20" t="n">
        <f aca="false">BlueDart!E80</f>
        <v>1.47768472654854</v>
      </c>
      <c r="G17" s="20" t="n">
        <f aca="false">BlueDart!E81</f>
        <v>1.05760098044222</v>
      </c>
      <c r="H17" s="20" t="n">
        <f aca="false">BlueDart!E96</f>
        <v>2.25993690851735</v>
      </c>
      <c r="I17" s="26" t="n">
        <f aca="false">BlueDart!E108</f>
        <v>58.0641200317506</v>
      </c>
      <c r="J17" s="20" t="n">
        <f aca="false">BlueDart!E112</f>
        <v>2.02461085660805</v>
      </c>
      <c r="K17" s="23" t="n">
        <f aca="false">BlueDart!E124</f>
        <v>0.030962887720376</v>
      </c>
      <c r="L17" s="23" t="n">
        <f aca="false">BlueDart!E135</f>
        <v>0.036766325642535</v>
      </c>
      <c r="M17" s="23" t="n">
        <f aca="false">BlueDart!E139</f>
        <v>0.188051238005523</v>
      </c>
      <c r="N17" s="20" t="n">
        <f aca="false">BlueDart!E152</f>
        <v>129.763377860721</v>
      </c>
      <c r="O17" s="20" t="n">
        <f aca="false">BlueDart!E146</f>
        <v>22.3177402189337</v>
      </c>
      <c r="P17" s="20" t="n">
        <f aca="false">BlueDart!E154</f>
        <v>21.1870016452684</v>
      </c>
      <c r="Q17" s="23" t="n">
        <f aca="false">BlueDart!E138</f>
        <v>0.116503431293853</v>
      </c>
      <c r="R17" s="20" t="n">
        <f aca="false">BlueDart!E113</f>
        <v>1.18743206300941</v>
      </c>
      <c r="S17" s="23" t="n">
        <f aca="false">BlueDart!E121</f>
        <v>0.208717416890451</v>
      </c>
      <c r="T17" s="20" t="n">
        <f aca="false">BlueDart!E87</f>
        <v>2.57137306574769</v>
      </c>
      <c r="U17" s="44" t="n">
        <f aca="false">LN(C17)</f>
        <v>8.09807429310737</v>
      </c>
    </row>
    <row r="18" customFormat="false" ht="15" hidden="false" customHeight="false" outlineLevel="0" collapsed="false">
      <c r="A18" s="18" t="s">
        <v>112</v>
      </c>
      <c r="B18" s="18" t="n">
        <v>2022</v>
      </c>
      <c r="C18" s="73" t="n">
        <f aca="false">BlueDart!F9</f>
        <v>4410.49</v>
      </c>
      <c r="D18" s="73" t="n">
        <f aca="false">BlueDart!F35</f>
        <v>2828.76</v>
      </c>
      <c r="E18" s="23" t="n">
        <f aca="false">BlueDart!F195</f>
        <v>0.507950480069006</v>
      </c>
      <c r="F18" s="20" t="n">
        <f aca="false">BlueDart!F80</f>
        <v>1.25205707037257</v>
      </c>
      <c r="G18" s="20" t="n">
        <f aca="false">BlueDart!F81</f>
        <v>0.858008823232267</v>
      </c>
      <c r="H18" s="20" t="n">
        <f aca="false">BlueDart!F96</f>
        <v>6.89042198459239</v>
      </c>
      <c r="I18" s="26" t="n">
        <f aca="false">BlueDart!F108</f>
        <v>45.4308308147167</v>
      </c>
      <c r="J18" s="20" t="n">
        <f aca="false">BlueDart!F112</f>
        <v>2.92080594692141</v>
      </c>
      <c r="K18" s="23" t="n">
        <f aca="false">BlueDart!F124</f>
        <v>0.0866593054286485</v>
      </c>
      <c r="L18" s="23" t="n">
        <f aca="false">BlueDart!F135</f>
        <v>0.133495395716873</v>
      </c>
      <c r="M18" s="23" t="n">
        <f aca="false">BlueDart!F139</f>
        <v>0.522162642166741</v>
      </c>
      <c r="N18" s="20" t="n">
        <f aca="false">BlueDart!F152</f>
        <v>42.5513003322781</v>
      </c>
      <c r="O18" s="20" t="n">
        <f aca="false">BlueDart!F146</f>
        <v>18.6510539111687</v>
      </c>
      <c r="P18" s="20" t="n">
        <f aca="false">BlueDart!F154</f>
        <v>17.2377089973156</v>
      </c>
      <c r="Q18" s="23" t="n">
        <f aca="false">BlueDart!F138</f>
        <v>0.220677334132136</v>
      </c>
      <c r="R18" s="20" t="n">
        <f aca="false">BlueDart!F113</f>
        <v>1.54046233184718</v>
      </c>
      <c r="S18" s="23" t="n">
        <f aca="false">BlueDart!F121</f>
        <v>0.226734444472156</v>
      </c>
      <c r="T18" s="20" t="n">
        <f aca="false">BlueDart!F87</f>
        <v>1.22242227548481</v>
      </c>
      <c r="U18" s="44" t="n">
        <f aca="false">LN(C18)</f>
        <v>8.39174107337962</v>
      </c>
    </row>
    <row r="19" customFormat="false" ht="15" hidden="false" customHeight="false" outlineLevel="0" collapsed="false">
      <c r="A19" s="18" t="s">
        <v>112</v>
      </c>
      <c r="B19" s="18" t="n">
        <v>2023</v>
      </c>
      <c r="C19" s="73" t="n">
        <f aca="false">BlueDart!G9</f>
        <v>5172.22</v>
      </c>
      <c r="D19" s="73" t="n">
        <f aca="false">BlueDart!G35</f>
        <v>3223.04</v>
      </c>
      <c r="E19" s="23" t="n">
        <f aca="false">BlueDart!G195</f>
        <v>0.445861670969023</v>
      </c>
      <c r="F19" s="20" t="n">
        <f aca="false">BlueDart!G80</f>
        <v>1.27386444863214</v>
      </c>
      <c r="G19" s="20" t="n">
        <f aca="false">BlueDart!G81</f>
        <v>0.792969003833907</v>
      </c>
      <c r="H19" s="20" t="n">
        <f aca="false">BlueDart!G96</f>
        <v>8.6020942408377</v>
      </c>
      <c r="I19" s="26" t="n">
        <f aca="false">BlueDart!G108</f>
        <v>42.929781602484</v>
      </c>
      <c r="J19" s="20" t="n">
        <f aca="false">BlueDart!G112</f>
        <v>3.59944326524931</v>
      </c>
      <c r="K19" s="23" t="n">
        <f aca="false">BlueDart!G124</f>
        <v>0.0716384840552026</v>
      </c>
      <c r="L19" s="23" t="n">
        <f aca="false">BlueDart!G135</f>
        <v>0.122452823953204</v>
      </c>
      <c r="M19" s="23" t="n">
        <f aca="false">BlueDart!G139</f>
        <v>0.361219565694231</v>
      </c>
      <c r="N19" s="20" t="n">
        <f aca="false">BlueDart!G152</f>
        <v>39.739539308558</v>
      </c>
      <c r="O19" s="20" t="n">
        <f aca="false">BlueDart!G146</f>
        <v>12.4832068737495</v>
      </c>
      <c r="P19" s="20" t="n">
        <f aca="false">BlueDart!G154</f>
        <v>16.2442745453983</v>
      </c>
      <c r="Q19" s="23" t="n">
        <f aca="false">BlueDart!G138</f>
        <v>0.197879718865935</v>
      </c>
      <c r="R19" s="20" t="n">
        <f aca="false">BlueDart!G113</f>
        <v>1.70931623649162</v>
      </c>
      <c r="S19" s="23" t="n">
        <f aca="false">BlueDart!G121</f>
        <v>0.18127805855126</v>
      </c>
      <c r="T19" s="20" t="n">
        <f aca="false">BlueDart!G87</f>
        <v>0.949625284004205</v>
      </c>
      <c r="U19" s="44" t="n">
        <f aca="false">LN(C19)</f>
        <v>8.55105727572336</v>
      </c>
    </row>
    <row r="20" customFormat="false" ht="15" hidden="false" customHeight="false" outlineLevel="0" collapsed="false">
      <c r="A20" s="18" t="s">
        <v>112</v>
      </c>
      <c r="B20" s="18" t="n">
        <v>2024</v>
      </c>
      <c r="C20" s="73" t="n">
        <f aca="false">BlueDart!H9</f>
        <v>5267.83</v>
      </c>
      <c r="D20" s="73" t="n">
        <f aca="false">BlueDart!H35</f>
        <v>3460.9</v>
      </c>
      <c r="E20" s="23" t="n">
        <f aca="false">BlueDart!H195</f>
        <v>0.526608685602011</v>
      </c>
      <c r="F20" s="20" t="n">
        <f aca="false">BlueDart!H80</f>
        <v>1.231747462476</v>
      </c>
      <c r="G20" s="20" t="n">
        <f aca="false">BlueDart!H81</f>
        <v>0.81971822706431</v>
      </c>
      <c r="H20" s="20" t="n">
        <f aca="false">BlueDart!H96</f>
        <v>6.03074558032283</v>
      </c>
      <c r="I20" s="26" t="n">
        <f aca="false">BlueDart!H108</f>
        <v>45.2831478996095</v>
      </c>
      <c r="J20" s="20" t="n">
        <f aca="false">BlueDart!H112</f>
        <v>3.23222388229122</v>
      </c>
      <c r="K20" s="23" t="n">
        <f aca="false">BlueDart!H124</f>
        <v>0.0571411757782616</v>
      </c>
      <c r="L20" s="23" t="n">
        <f aca="false">BlueDart!H135</f>
        <v>0.090069629589733</v>
      </c>
      <c r="M20" s="23" t="n">
        <f aca="false">BlueDart!H139</f>
        <v>0.236380127452559</v>
      </c>
      <c r="N20" s="20" t="n">
        <f aca="false">BlueDart!H152</f>
        <v>48.6892844091558</v>
      </c>
      <c r="O20" s="20" t="n">
        <f aca="false">BlueDart!H146</f>
        <v>10.7191421591931</v>
      </c>
      <c r="P20" s="20" t="n">
        <f aca="false">BlueDart!H154</f>
        <v>17.2225841614838</v>
      </c>
      <c r="Q20" s="23" t="n">
        <f aca="false">BlueDart!H138</f>
        <v>0.152257453011201</v>
      </c>
      <c r="R20" s="20" t="n">
        <f aca="false">BlueDart!H113</f>
        <v>1.57626489765019</v>
      </c>
      <c r="S20" s="23" t="n">
        <f aca="false">BlueDart!H121</f>
        <v>0.16192625806072</v>
      </c>
      <c r="T20" s="20" t="n">
        <f aca="false">BlueDart!H87</f>
        <v>0.784738932324998</v>
      </c>
      <c r="U20" s="44" t="n">
        <f aca="false">LN(C20)</f>
        <v>8.56937379203116</v>
      </c>
    </row>
    <row r="21" customFormat="false" ht="15" hidden="false" customHeight="false" outlineLevel="0" collapsed="false">
      <c r="A21" s="18" t="s">
        <v>112</v>
      </c>
      <c r="B21" s="18" t="n">
        <v>2025</v>
      </c>
      <c r="C21" s="73" t="n">
        <f aca="false">BlueDart!I9</f>
        <v>5720.18</v>
      </c>
      <c r="D21" s="73" t="n">
        <f aca="false">BlueDart!I35</f>
        <v>3662.76</v>
      </c>
      <c r="E21" s="23" t="n">
        <f aca="false">BlueDart!I195</f>
        <v>0.495140276731208</v>
      </c>
      <c r="F21" s="20" t="n">
        <f aca="false">BlueDart!I80</f>
        <v>1.26416711496904</v>
      </c>
      <c r="G21" s="20" t="n">
        <f aca="false">BlueDart!I81</f>
        <v>0.869311498728037</v>
      </c>
      <c r="H21" s="20" t="n">
        <f aca="false">BlueDart!I96</f>
        <v>5.21458914916859</v>
      </c>
      <c r="I21" s="26" t="n">
        <f aca="false">BlueDart!I108</f>
        <v>46.4696740312368</v>
      </c>
      <c r="J21" s="20" t="n">
        <f aca="false">BlueDart!I112</f>
        <v>3.14630980275679</v>
      </c>
      <c r="K21" s="23" t="n">
        <f aca="false">BlueDart!I124</f>
        <v>0.0441279819865808</v>
      </c>
      <c r="L21" s="23" t="n">
        <f aca="false">BlueDart!I135</f>
        <v>0.070868065011525</v>
      </c>
      <c r="M21" s="23" t="n">
        <f aca="false">BlueDart!I139</f>
        <v>0.172517607498864</v>
      </c>
      <c r="N21" s="20" t="n">
        <f aca="false">BlueDart!I152</f>
        <v>57.6162942714524</v>
      </c>
      <c r="O21" s="20" t="n">
        <f aca="false">BlueDart!I146</f>
        <v>9.32850023091133</v>
      </c>
      <c r="P21" s="20" t="n">
        <f aca="false">BlueDart!I154</f>
        <v>16.8201285850181</v>
      </c>
      <c r="Q21" s="23" t="n">
        <f aca="false">BlueDart!I138</f>
        <v>0.12476882252213</v>
      </c>
      <c r="R21" s="20" t="n">
        <f aca="false">BlueDart!I113</f>
        <v>1.60596659582293</v>
      </c>
      <c r="S21" s="23" t="n">
        <f aca="false">BlueDart!I121</f>
        <v>0.153187487107049</v>
      </c>
      <c r="T21" s="20" t="n">
        <f aca="false">BlueDart!I87</f>
        <v>0.645903889573071</v>
      </c>
      <c r="U21" s="44" t="n">
        <f aca="false">LN(C21)</f>
        <v>8.65175555241019</v>
      </c>
    </row>
    <row r="22" customFormat="false" ht="15" hidden="false" customHeight="false" outlineLevel="0" collapsed="false">
      <c r="A22" s="18" t="s">
        <v>112</v>
      </c>
      <c r="B22" s="18" t="n">
        <v>2026</v>
      </c>
      <c r="C22" s="73" t="n">
        <f aca="false">BlueDart!J9</f>
        <v>6140.88</v>
      </c>
      <c r="D22" s="73" t="n">
        <f aca="false">BlueDart!J35</f>
        <v>4126.85</v>
      </c>
      <c r="E22" s="23" t="n">
        <f aca="false">BlueDart!J195</f>
        <v>0.493204259907678</v>
      </c>
      <c r="F22" s="20" t="n">
        <f aca="false">BlueDart!J80</f>
        <v>1.36741383306294</v>
      </c>
      <c r="G22" s="20" t="n">
        <f aca="false">BlueDart!J81</f>
        <v>0.957876700989968</v>
      </c>
      <c r="H22" s="20" t="n">
        <f aca="false">BlueDart!J96</f>
        <v>4.81539000467071</v>
      </c>
      <c r="I22" s="26" t="n">
        <f aca="false">BlueDart!J108</f>
        <v>50.6510548976694</v>
      </c>
      <c r="J22" s="20" t="n">
        <f aca="false">BlueDart!J112</f>
        <v>3.19092949783838</v>
      </c>
      <c r="K22" s="23" t="n">
        <f aca="false">BlueDart!J124</f>
        <v>0.040285757090189</v>
      </c>
      <c r="L22" s="23" t="n">
        <f aca="false">BlueDart!J135</f>
        <v>0.0635179424900605</v>
      </c>
      <c r="M22" s="23" t="n">
        <f aca="false">BlueDart!J139</f>
        <v>0.14832112762188</v>
      </c>
      <c r="N22" s="20" t="n">
        <f aca="false">BlueDart!J152</f>
        <v>45.4763329156393</v>
      </c>
      <c r="O22" s="20" t="n">
        <f aca="false">BlueDart!J146</f>
        <v>6.33171997321072</v>
      </c>
      <c r="P22" s="20" t="n">
        <f aca="false">BlueDart!J154</f>
        <v>12.8137296248656</v>
      </c>
      <c r="Q22" s="23" t="n">
        <f aca="false">BlueDart!J138</f>
        <v>0.113853670673014</v>
      </c>
      <c r="R22" s="20" t="n">
        <f aca="false">BlueDart!J113</f>
        <v>1.57668484044772</v>
      </c>
      <c r="S22" s="23" t="n">
        <f aca="false">BlueDart!J121</f>
        <v>0.154808431364886</v>
      </c>
      <c r="T22" s="20" t="n">
        <f aca="false">BlueDart!J87</f>
        <v>0.642661368842264</v>
      </c>
      <c r="U22" s="44" t="n">
        <f aca="false">LN(C22)</f>
        <v>8.72272333334707</v>
      </c>
    </row>
    <row r="23" customFormat="false" ht="15" hidden="false" customHeight="false" outlineLevel="0" collapsed="false">
      <c r="A23" s="18" t="s">
        <v>67</v>
      </c>
      <c r="B23" s="18" t="n">
        <v>2020</v>
      </c>
      <c r="C23" s="73" t="n">
        <f aca="false">CONCOR!D9</f>
        <v>6530.27</v>
      </c>
      <c r="D23" s="73" t="n">
        <f aca="false">CONCOR!D35</f>
        <v>11788.76</v>
      </c>
      <c r="E23" s="23" t="n">
        <f aca="false">CONCOR!D195</f>
        <v>0.45363634512875</v>
      </c>
      <c r="F23" s="20" t="n">
        <f aca="false">CONCOR!D80</f>
        <v>2.5701337988593</v>
      </c>
      <c r="G23" s="20" t="n">
        <f aca="false">CONCOR!D81</f>
        <v>1.40868437100188</v>
      </c>
      <c r="H23" s="20" t="n">
        <f aca="false">CONCOR!D96</f>
        <v>12.7095176571921</v>
      </c>
      <c r="I23" s="26" t="n">
        <f aca="false">CONCOR!D108</f>
        <v>7.26923618778397</v>
      </c>
      <c r="J23" s="20" t="n">
        <f aca="false">CONCOR!D112</f>
        <v>1.31766659570797</v>
      </c>
      <c r="K23" s="23" t="n">
        <f aca="false">CONCOR!D124</f>
        <v>0.0617922382994884</v>
      </c>
      <c r="L23" s="23" t="n">
        <f aca="false">CONCOR!D135</f>
        <v>0.0328246777280755</v>
      </c>
      <c r="M23" s="23" t="n">
        <f aca="false">CONCOR!D139</f>
        <v>0.0396122219489916</v>
      </c>
      <c r="N23" s="20" t="n">
        <f aca="false">CONCOR!D152</f>
        <v>50.0762569389374</v>
      </c>
      <c r="O23" s="20" t="n">
        <f aca="false">CONCOR!D146</f>
        <v>2.01140454504733</v>
      </c>
      <c r="P23" s="20" t="n">
        <f aca="false">CONCOR!D154</f>
        <v>15.9391094972855</v>
      </c>
      <c r="Q23" s="23" t="n">
        <f aca="false">CONCOR!D138</f>
        <v>0.0415144440490748</v>
      </c>
      <c r="R23" s="20" t="n">
        <f aca="false">CONCOR!D113</f>
        <v>0.531210369318297</v>
      </c>
      <c r="S23" s="23" t="n">
        <f aca="false">CONCOR!D121</f>
        <v>0.259441033831679</v>
      </c>
      <c r="T23" s="20" t="n">
        <f aca="false">CONCOR!D87</f>
        <v>0.00696787808204179</v>
      </c>
      <c r="U23" s="44" t="n">
        <f aca="false">LN(C23)</f>
        <v>8.78420356904203</v>
      </c>
    </row>
    <row r="24" customFormat="false" ht="15" hidden="false" customHeight="false" outlineLevel="0" collapsed="false">
      <c r="A24" s="18" t="s">
        <v>67</v>
      </c>
      <c r="B24" s="18" t="n">
        <v>2021</v>
      </c>
      <c r="C24" s="73" t="n">
        <f aca="false">CONCOR!E9</f>
        <v>6427.08</v>
      </c>
      <c r="D24" s="73" t="n">
        <f aca="false">CONCOR!E35</f>
        <v>12410.45</v>
      </c>
      <c r="E24" s="23" t="n">
        <f aca="false">CONCOR!E195</f>
        <v>0.456283212937484</v>
      </c>
      <c r="F24" s="20" t="n">
        <f aca="false">CONCOR!E80</f>
        <v>3.04206604188607</v>
      </c>
      <c r="G24" s="20" t="n">
        <f aca="false">CONCOR!E81</f>
        <v>1.76891338834602</v>
      </c>
      <c r="H24" s="20" t="n">
        <f aca="false">CONCOR!E96</f>
        <v>16.519004837595</v>
      </c>
      <c r="I24" s="26" t="n">
        <f aca="false">CONCOR!E108</f>
        <v>9.24727092240956</v>
      </c>
      <c r="J24" s="20" t="n">
        <f aca="false">CONCOR!E112</f>
        <v>1.16744668039297</v>
      </c>
      <c r="K24" s="23" t="n">
        <f aca="false">CONCOR!E124</f>
        <v>0.0786142385033328</v>
      </c>
      <c r="L24" s="23" t="n">
        <f aca="false">CONCOR!E135</f>
        <v>0.0417583879804341</v>
      </c>
      <c r="M24" s="23" t="n">
        <f aca="false">CONCOR!E139</f>
        <v>0.0499432620187651</v>
      </c>
      <c r="N24" s="20" t="n">
        <f aca="false">CONCOR!E152</f>
        <v>72.1112773621502</v>
      </c>
      <c r="O24" s="20" t="n">
        <f aca="false">CONCOR!E146</f>
        <v>3.57652047753763</v>
      </c>
      <c r="P24" s="20" t="n">
        <f aca="false">CONCOR!E154</f>
        <v>27.2852361724401</v>
      </c>
      <c r="Q24" s="23" t="n">
        <f aca="false">CONCOR!E138</f>
        <v>0.0506949791642788</v>
      </c>
      <c r="R24" s="20" t="n">
        <f aca="false">CONCOR!E113</f>
        <v>0.53118097656907</v>
      </c>
      <c r="S24" s="23" t="n">
        <f aca="false">CONCOR!E121</f>
        <v>0.162965141246102</v>
      </c>
      <c r="T24" s="20" t="n">
        <f aca="false">CONCOR!E87</f>
        <v>0.0709641257806319</v>
      </c>
      <c r="U24" s="44" t="n">
        <f aca="false">LN(C24)</f>
        <v>8.76827559278098</v>
      </c>
    </row>
    <row r="25" customFormat="false" ht="15" hidden="false" customHeight="false" outlineLevel="0" collapsed="false">
      <c r="A25" s="18" t="s">
        <v>67</v>
      </c>
      <c r="B25" s="18" t="n">
        <v>2022</v>
      </c>
      <c r="C25" s="73" t="n">
        <f aca="false">CONCOR!F9</f>
        <v>7652.73</v>
      </c>
      <c r="D25" s="73" t="n">
        <f aca="false">CONCOR!F35</f>
        <v>13002.26</v>
      </c>
      <c r="E25" s="23" t="n">
        <f aca="false">CONCOR!F195</f>
        <v>0.440131946292414</v>
      </c>
      <c r="F25" s="20" t="n">
        <f aca="false">CONCOR!F80</f>
        <v>3.51790688288574</v>
      </c>
      <c r="G25" s="20" t="n">
        <f aca="false">CONCOR!F81</f>
        <v>2.05074664390676</v>
      </c>
      <c r="H25" s="20" t="n">
        <f aca="false">CONCOR!F96</f>
        <v>23.1908020369192</v>
      </c>
      <c r="I25" s="26" t="n">
        <f aca="false">CONCOR!F108</f>
        <v>8.17379876201042</v>
      </c>
      <c r="J25" s="20" t="n">
        <f aca="false">CONCOR!F112</f>
        <v>1.34430704613544</v>
      </c>
      <c r="K25" s="23" t="n">
        <f aca="false">CONCOR!F124</f>
        <v>0.137874980562492</v>
      </c>
      <c r="L25" s="23" t="n">
        <f aca="false">CONCOR!F135</f>
        <v>0.0830387628867602</v>
      </c>
      <c r="M25" s="23" t="n">
        <f aca="false">CONCOR!F139</f>
        <v>0.100762027636215</v>
      </c>
      <c r="N25" s="20" t="n">
        <f aca="false">CONCOR!F152</f>
        <v>38.8133626506938</v>
      </c>
      <c r="O25" s="20" t="n">
        <f aca="false">CONCOR!F146</f>
        <v>3.8075928427649</v>
      </c>
      <c r="P25" s="20" t="n">
        <f aca="false">CONCOR!F154</f>
        <v>19.2052405225067</v>
      </c>
      <c r="Q25" s="23" t="n">
        <f aca="false">CONCOR!F138</f>
        <v>0.0981820646021652</v>
      </c>
      <c r="R25" s="20" t="n">
        <f aca="false">CONCOR!F113</f>
        <v>0.602275790342706</v>
      </c>
      <c r="S25" s="23" t="n">
        <f aca="false">CONCOR!F121</f>
        <v>0.228476635135435</v>
      </c>
      <c r="T25" s="20" t="n">
        <f aca="false">CONCOR!F87</f>
        <v>0.0683628452287424</v>
      </c>
      <c r="U25" s="44" t="n">
        <f aca="false">LN(C25)</f>
        <v>8.94281772590531</v>
      </c>
    </row>
    <row r="26" customFormat="false" ht="15" hidden="false" customHeight="false" outlineLevel="0" collapsed="false">
      <c r="A26" s="18" t="s">
        <v>67</v>
      </c>
      <c r="B26" s="18" t="n">
        <v>2023</v>
      </c>
      <c r="C26" s="73" t="n">
        <f aca="false">CONCOR!G9</f>
        <v>8169.12</v>
      </c>
      <c r="D26" s="73" t="n">
        <f aca="false">CONCOR!G35</f>
        <v>13465.06</v>
      </c>
      <c r="E26" s="23" t="n">
        <f aca="false">CONCOR!G195</f>
        <v>0.417427772323332</v>
      </c>
      <c r="F26" s="20" t="n">
        <f aca="false">CONCOR!G80</f>
        <v>3.96768671382302</v>
      </c>
      <c r="G26" s="20" t="n">
        <f aca="false">CONCOR!G81</f>
        <v>2.27207800655989</v>
      </c>
      <c r="H26" s="20" t="n">
        <f aca="false">CONCOR!G96</f>
        <v>25.1680581323438</v>
      </c>
      <c r="I26" s="26" t="n">
        <f aca="false">CONCOR!G108</f>
        <v>8.88515531660693</v>
      </c>
      <c r="J26" s="20" t="n">
        <f aca="false">CONCOR!G112</f>
        <v>1.44033005977044</v>
      </c>
      <c r="K26" s="23" t="n">
        <f aca="false">CONCOR!G124</f>
        <v>0.143696016217169</v>
      </c>
      <c r="L26" s="23" t="n">
        <f aca="false">CONCOR!G135</f>
        <v>0.0887033519071821</v>
      </c>
      <c r="M26" s="23" t="n">
        <f aca="false">CONCOR!G139</f>
        <v>0.106804879358081</v>
      </c>
      <c r="N26" s="20" t="n">
        <f aca="false">CONCOR!G152</f>
        <v>30.117024883505</v>
      </c>
      <c r="O26" s="20" t="n">
        <f aca="false">CONCOR!G146</f>
        <v>3.14924082689963</v>
      </c>
      <c r="P26" s="20" t="n">
        <f aca="false">CONCOR!G154</f>
        <v>15.0076296754026</v>
      </c>
      <c r="Q26" s="23" t="n">
        <f aca="false">CONCOR!G138</f>
        <v>0.104022011333223</v>
      </c>
      <c r="R26" s="20" t="n">
        <f aca="false">CONCOR!G113</f>
        <v>0.617298615802431</v>
      </c>
      <c r="S26" s="23" t="n">
        <f aca="false">CONCOR!G121</f>
        <v>0.228641518303073</v>
      </c>
      <c r="T26" s="20" t="n">
        <f aca="false">CONCOR!G87</f>
        <v>0.0693602279701729</v>
      </c>
      <c r="U26" s="44" t="n">
        <f aca="false">LN(C26)</f>
        <v>9.00811647091448</v>
      </c>
    </row>
    <row r="27" customFormat="false" ht="15" hidden="false" customHeight="false" outlineLevel="0" collapsed="false">
      <c r="A27" s="18" t="s">
        <v>67</v>
      </c>
      <c r="B27" s="18" t="n">
        <v>2024</v>
      </c>
      <c r="C27" s="73" t="n">
        <f aca="false">CONCOR!H9</f>
        <v>8653.41</v>
      </c>
      <c r="D27" s="73" t="n">
        <f aca="false">CONCOR!H35</f>
        <v>14038.16</v>
      </c>
      <c r="E27" s="23" t="n">
        <f aca="false">CONCOR!H195</f>
        <v>0.42845786057432</v>
      </c>
      <c r="F27" s="20" t="n">
        <f aca="false">CONCOR!H80</f>
        <v>4.71983545543585</v>
      </c>
      <c r="G27" s="20" t="n">
        <f aca="false">CONCOR!H81</f>
        <v>2.84405093046033</v>
      </c>
      <c r="H27" s="20" t="n">
        <f aca="false">CONCOR!H96</f>
        <v>24.2613969050606</v>
      </c>
      <c r="I27" s="26" t="n">
        <f aca="false">CONCOR!H108</f>
        <v>11.5916702201791</v>
      </c>
      <c r="J27" s="20" t="n">
        <f aca="false">CONCOR!H112</f>
        <v>1.48742162958889</v>
      </c>
      <c r="K27" s="23" t="n">
        <f aca="false">CONCOR!H124</f>
        <v>0.145675519823977</v>
      </c>
      <c r="L27" s="23" t="n">
        <f aca="false">CONCOR!H135</f>
        <v>0.0916685391746857</v>
      </c>
      <c r="M27" s="23" t="n">
        <f aca="false">CONCOR!H139</f>
        <v>0.109382348398472</v>
      </c>
      <c r="N27" s="20" t="n">
        <f aca="false">CONCOR!H152</f>
        <v>42.6344717949532</v>
      </c>
      <c r="O27" s="20" t="n">
        <f aca="false">CONCOR!H146</f>
        <v>4.545685038158</v>
      </c>
      <c r="P27" s="20" t="n">
        <f aca="false">CONCOR!H154</f>
        <v>21.7845752221393</v>
      </c>
      <c r="Q27" s="23" t="n">
        <f aca="false">CONCOR!H138</f>
        <v>0.106300251768837</v>
      </c>
      <c r="R27" s="20" t="n">
        <f aca="false">CONCOR!H113</f>
        <v>0.62926522785332</v>
      </c>
      <c r="S27" s="23" t="n">
        <f aca="false">CONCOR!H121</f>
        <v>0.226347763482835</v>
      </c>
      <c r="T27" s="20" t="n">
        <f aca="false">CONCOR!H87</f>
        <v>0.0793946821548463</v>
      </c>
      <c r="U27" s="44" t="n">
        <f aca="false">LN(C27)</f>
        <v>9.06570874189495</v>
      </c>
    </row>
    <row r="28" customFormat="false" ht="15" hidden="false" customHeight="false" outlineLevel="0" collapsed="false">
      <c r="A28" s="18" t="s">
        <v>67</v>
      </c>
      <c r="B28" s="18" t="n">
        <v>2025</v>
      </c>
      <c r="C28" s="73" t="n">
        <f aca="false">CONCOR!I9</f>
        <v>8887.02</v>
      </c>
      <c r="D28" s="73" t="n">
        <f aca="false">CONCOR!I35</f>
        <v>14477.26</v>
      </c>
      <c r="E28" s="23" t="n">
        <f aca="false">CONCOR!I195</f>
        <v>0.454400211089668</v>
      </c>
      <c r="F28" s="20" t="n">
        <f aca="false">CONCOR!I80</f>
        <v>4.799123418183</v>
      </c>
      <c r="G28" s="20" t="n">
        <f aca="false">CONCOR!I81</f>
        <v>3.29170244827195</v>
      </c>
      <c r="H28" s="20" t="n">
        <f aca="false">CONCOR!I96</f>
        <v>24.410277324633</v>
      </c>
      <c r="I28" s="26" t="n">
        <f aca="false">CONCOR!I108</f>
        <v>15.0650977493018</v>
      </c>
      <c r="J28" s="20" t="n">
        <f aca="false">CONCOR!I112</f>
        <v>1.41139644078604</v>
      </c>
      <c r="K28" s="23" t="n">
        <f aca="false">CONCOR!I124</f>
        <v>0.14515664418444</v>
      </c>
      <c r="L28" s="23" t="n">
        <f aca="false">CONCOR!I135</f>
        <v>0.0904780641491516</v>
      </c>
      <c r="M28" s="23" t="n">
        <f aca="false">CONCOR!I139</f>
        <v>0.106591827114354</v>
      </c>
      <c r="N28" s="20" t="n">
        <f aca="false">CONCOR!I152</f>
        <v>32.6647117464206</v>
      </c>
      <c r="O28" s="20" t="n">
        <f aca="false">CONCOR!I146</f>
        <v>3.40329854475967</v>
      </c>
      <c r="P28" s="20" t="n">
        <f aca="false">CONCOR!I154</f>
        <v>16.5496347281708</v>
      </c>
      <c r="Q28" s="23" t="n">
        <f aca="false">CONCOR!I138</f>
        <v>0.103698922378496</v>
      </c>
      <c r="R28" s="20" t="n">
        <f aca="false">CONCOR!I113</f>
        <v>0.623313281024793</v>
      </c>
      <c r="S28" s="23" t="n">
        <f aca="false">CONCOR!I121</f>
        <v>0.217171785367874</v>
      </c>
      <c r="T28" s="20" t="n">
        <f aca="false">CONCOR!I87</f>
        <v>0.0695766088974968</v>
      </c>
      <c r="U28" s="44" t="n">
        <f aca="false">LN(C28)</f>
        <v>9.09234706421417</v>
      </c>
    </row>
    <row r="29" customFormat="false" ht="15" hidden="false" customHeight="false" outlineLevel="0" collapsed="false">
      <c r="A29" s="18" t="s">
        <v>67</v>
      </c>
      <c r="B29" s="18" t="n">
        <v>2026</v>
      </c>
      <c r="C29" s="73" t="n">
        <f aca="false">CONCOR!J9</f>
        <v>9078.97</v>
      </c>
      <c r="D29" s="73" t="n">
        <f aca="false">CONCOR!J35</f>
        <v>15175.78</v>
      </c>
      <c r="E29" s="23" t="n">
        <f aca="false">CONCOR!J195</f>
        <v>0.472628095557527</v>
      </c>
      <c r="F29" s="20" t="n">
        <f aca="false">CONCOR!J80</f>
        <v>4.75113881752124</v>
      </c>
      <c r="G29" s="20" t="n">
        <f aca="false">CONCOR!J81</f>
        <v>3.13060542534243</v>
      </c>
      <c r="H29" s="20" t="n">
        <f aca="false">CONCOR!J96</f>
        <v>22.0208837386986</v>
      </c>
      <c r="I29" s="26" t="n">
        <f aca="false">CONCOR!J108</f>
        <v>17.7889342072944</v>
      </c>
      <c r="J29" s="20" t="n">
        <f aca="false">CONCOR!J112</f>
        <v>1.32048430038026</v>
      </c>
      <c r="K29" s="23" t="n">
        <f aca="false">CONCOR!J124</f>
        <v>0.13677763006156</v>
      </c>
      <c r="L29" s="23" t="n">
        <f aca="false">CONCOR!J135</f>
        <v>0.0837553249177825</v>
      </c>
      <c r="M29" s="23" t="n">
        <f aca="false">CONCOR!J139</f>
        <v>0.098073710077591</v>
      </c>
      <c r="N29" s="20" t="n">
        <f aca="false">CONCOR!J152</f>
        <v>26.0837880496054</v>
      </c>
      <c r="O29" s="20" t="n">
        <f aca="false">CONCOR!J146</f>
        <v>2.50270221404923</v>
      </c>
      <c r="P29" s="20" t="n">
        <f aca="false">CONCOR!J154</f>
        <v>12.7378522110345</v>
      </c>
      <c r="Q29" s="23" t="n">
        <f aca="false">CONCOR!J138</f>
        <v>0.0961333119054842</v>
      </c>
      <c r="R29" s="20" t="n">
        <f aca="false">CONCOR!J113</f>
        <v>0.61234665990401</v>
      </c>
      <c r="S29" s="23" t="n">
        <f aca="false">CONCOR!J121</f>
        <v>0.214927464238785</v>
      </c>
      <c r="T29" s="20" t="n">
        <f aca="false">CONCOR!J87</f>
        <v>0.0745281961931179</v>
      </c>
      <c r="U29" s="44" t="n">
        <f aca="false">LN(C29)</f>
        <v>9.11371602903763</v>
      </c>
    </row>
    <row r="30" customFormat="false" ht="15" hidden="false" customHeight="false" outlineLevel="0" collapsed="false">
      <c r="A30" s="18" t="s">
        <v>113</v>
      </c>
      <c r="B30" s="18" t="n">
        <v>2020</v>
      </c>
      <c r="C30" s="73" t="n">
        <f aca="false">JetFreight!D9</f>
        <v>299.78</v>
      </c>
      <c r="D30" s="73" t="n">
        <f aca="false">JetFreight!D35</f>
        <v>87.81</v>
      </c>
      <c r="E30" s="23" t="n">
        <f aca="false">JetFreight!D195</f>
        <v>0.163421022662567</v>
      </c>
      <c r="F30" s="20" t="n">
        <f aca="false">JetFreight!D80</f>
        <v>2.17703636910129</v>
      </c>
      <c r="G30" s="20" t="n">
        <f aca="false">JetFreight!D81</f>
        <v>1.65374211000902</v>
      </c>
      <c r="H30" s="20" t="n">
        <f aca="false">JetFreight!D96</f>
        <v>-0.895196506550218</v>
      </c>
      <c r="I30" s="26" t="n">
        <f aca="false">JetFreight!D108</f>
        <v>70.7280338915205</v>
      </c>
      <c r="J30" s="20" t="n">
        <f aca="false">JetFreight!D112</f>
        <v>20.1872053872054</v>
      </c>
      <c r="K30" s="23" t="n">
        <f aca="false">JetFreight!D124</f>
        <v>-0.0285876309293482</v>
      </c>
      <c r="L30" s="23" t="n">
        <f aca="false">JetFreight!D135</f>
        <v>-0.0944873208379272</v>
      </c>
      <c r="M30" s="23" t="n">
        <f aca="false">JetFreight!D139</f>
        <v>-0.397772104896728</v>
      </c>
      <c r="N30" s="20" t="str">
        <f aca="false">JetFreight!D152</f>
        <v>N/M</v>
      </c>
      <c r="O30" s="20" t="n">
        <f aca="false">JetFreight!D146</f>
        <v>1.52695249130939</v>
      </c>
      <c r="P30" s="20" t="str">
        <f aca="false">JetFreight!D154</f>
        <v>N/M</v>
      </c>
      <c r="Q30" s="23" t="n">
        <f aca="false">JetFreight!D138</f>
        <v>-0.0662947691810171</v>
      </c>
      <c r="R30" s="20" t="n">
        <f aca="false">JetFreight!D113</f>
        <v>3.30518191841235</v>
      </c>
      <c r="S30" s="23" t="n">
        <f aca="false">JetFreight!D121</f>
        <v>-0.0117085862966177</v>
      </c>
      <c r="T30" s="20" t="n">
        <f aca="false">JetFreight!D87</f>
        <v>2.15990730011588</v>
      </c>
      <c r="U30" s="44" t="n">
        <f aca="false">LN(C30)</f>
        <v>5.70304887230245</v>
      </c>
    </row>
    <row r="31" customFormat="false" ht="15" hidden="false" customHeight="false" outlineLevel="0" collapsed="false">
      <c r="A31" s="18" t="s">
        <v>113</v>
      </c>
      <c r="B31" s="18" t="n">
        <v>2021</v>
      </c>
      <c r="C31" s="73" t="n">
        <f aca="false">JetFreight!E9</f>
        <v>346.79</v>
      </c>
      <c r="D31" s="73" t="n">
        <f aca="false">JetFreight!E35</f>
        <v>98.17</v>
      </c>
      <c r="E31" s="23" t="n">
        <f aca="false">JetFreight!E195</f>
        <v>0.290822043394112</v>
      </c>
      <c r="F31" s="20" t="n">
        <f aca="false">JetFreight!E80</f>
        <v>1.52183454026772</v>
      </c>
      <c r="G31" s="20" t="n">
        <f aca="false">JetFreight!E81</f>
        <v>0.938775510204082</v>
      </c>
      <c r="H31" s="20" t="n">
        <f aca="false">JetFreight!E96</f>
        <v>1.99742268041237</v>
      </c>
      <c r="I31" s="26" t="n">
        <f aca="false">JetFreight!E108</f>
        <v>47.9786758557052</v>
      </c>
      <c r="J31" s="20" t="n">
        <f aca="false">JetFreight!E112</f>
        <v>16.167365967366</v>
      </c>
      <c r="K31" s="23" t="n">
        <f aca="false">JetFreight!E124</f>
        <v>0.00723780962542172</v>
      </c>
      <c r="L31" s="23" t="n">
        <f aca="false">JetFreight!E135</f>
        <v>0.0269921496935154</v>
      </c>
      <c r="M31" s="23" t="n">
        <f aca="false">JetFreight!E139</f>
        <v>0.129414797628255</v>
      </c>
      <c r="N31" s="20" t="n">
        <f aca="false">JetFreight!E152</f>
        <v>13.2914741035857</v>
      </c>
      <c r="O31" s="20" t="n">
        <f aca="false">JetFreight!E146</f>
        <v>1.54954017649791</v>
      </c>
      <c r="P31" s="20" t="n">
        <f aca="false">JetFreight!E154</f>
        <v>6.17977800201816</v>
      </c>
      <c r="Q31" s="23" t="n">
        <f aca="false">JetFreight!E138</f>
        <v>0.0934564112062799</v>
      </c>
      <c r="R31" s="20" t="n">
        <f aca="false">JetFreight!E113</f>
        <v>3.72932573394989</v>
      </c>
      <c r="S31" s="23" t="n">
        <f aca="false">JetFreight!E121</f>
        <v>0.0268462181723812</v>
      </c>
      <c r="T31" s="20" t="n">
        <f aca="false">JetFreight!E87</f>
        <v>1.44310264746865</v>
      </c>
      <c r="U31" s="44" t="n">
        <f aca="false">LN(C31)</f>
        <v>5.84871940942721</v>
      </c>
    </row>
    <row r="32" customFormat="false" ht="15" hidden="false" customHeight="false" outlineLevel="0" collapsed="false">
      <c r="A32" s="18" t="s">
        <v>113</v>
      </c>
      <c r="B32" s="18" t="n">
        <v>2022</v>
      </c>
      <c r="C32" s="73" t="n">
        <f aca="false">JetFreight!F9</f>
        <v>456.76</v>
      </c>
      <c r="D32" s="73" t="n">
        <f aca="false">JetFreight!F35</f>
        <v>110.01</v>
      </c>
      <c r="E32" s="23" t="n">
        <f aca="false">JetFreight!F195</f>
        <v>0.283246977547496</v>
      </c>
      <c r="F32" s="20" t="n">
        <f aca="false">JetFreight!F80</f>
        <v>2.15819829717111</v>
      </c>
      <c r="G32" s="20" t="n">
        <f aca="false">JetFreight!F81</f>
        <v>1.33177698434496</v>
      </c>
      <c r="H32" s="20" t="n">
        <f aca="false">JetFreight!F96</f>
        <v>2.11386138613861</v>
      </c>
      <c r="I32" s="26" t="n">
        <f aca="false">JetFreight!F108</f>
        <v>32.5596046063578</v>
      </c>
      <c r="J32" s="20" t="n">
        <f aca="false">JetFreight!F112</f>
        <v>15.299279852621</v>
      </c>
      <c r="K32" s="23" t="n">
        <f aca="false">JetFreight!F124</f>
        <v>0.00617392065855154</v>
      </c>
      <c r="L32" s="23" t="n">
        <f aca="false">JetFreight!F135</f>
        <v>0.0270919396675954</v>
      </c>
      <c r="M32" s="23" t="n">
        <f aca="false">JetFreight!F139</f>
        <v>0.122875816993464</v>
      </c>
      <c r="N32" s="20" t="n">
        <f aca="false">JetFreight!F152</f>
        <v>47.8479432624114</v>
      </c>
      <c r="O32" s="20" t="n">
        <f aca="false">JetFreight!F146</f>
        <v>5.53677472302011</v>
      </c>
      <c r="P32" s="20" t="n">
        <f aca="false">JetFreight!F154</f>
        <v>15.7421276595745</v>
      </c>
      <c r="Q32" s="23" t="n">
        <f aca="false">JetFreight!F138</f>
        <v>0.0848135235076598</v>
      </c>
      <c r="R32" s="20" t="n">
        <f aca="false">JetFreight!F113</f>
        <v>4.38812566048612</v>
      </c>
      <c r="S32" s="23" t="n">
        <f aca="false">JetFreight!F121</f>
        <v>0.023601015850775</v>
      </c>
      <c r="T32" s="20" t="n">
        <f aca="false">JetFreight!F87</f>
        <v>2.0201066885515</v>
      </c>
      <c r="U32" s="44" t="n">
        <f aca="false">LN(C32)</f>
        <v>6.12415808883345</v>
      </c>
    </row>
    <row r="33" customFormat="false" ht="15" hidden="false" customHeight="false" outlineLevel="0" collapsed="false">
      <c r="A33" s="18" t="s">
        <v>113</v>
      </c>
      <c r="B33" s="18" t="n">
        <v>2023</v>
      </c>
      <c r="C33" s="73" t="n">
        <f aca="false">JetFreight!G9</f>
        <v>416.69</v>
      </c>
      <c r="D33" s="73" t="n">
        <f aca="false">JetFreight!G35</f>
        <v>153.86</v>
      </c>
      <c r="E33" s="23" t="n">
        <f aca="false">JetFreight!G195</f>
        <v>0.198557129858313</v>
      </c>
      <c r="F33" s="20" t="n">
        <f aca="false">JetFreight!G80</f>
        <v>4.00130081300813</v>
      </c>
      <c r="G33" s="20" t="n">
        <f aca="false">JetFreight!G81</f>
        <v>1.73918699186992</v>
      </c>
      <c r="H33" s="20" t="n">
        <f aca="false">JetFreight!G96</f>
        <v>1.17029702970297</v>
      </c>
      <c r="I33" s="26" t="n">
        <f aca="false">JetFreight!G108</f>
        <v>38.0556888814226</v>
      </c>
      <c r="J33" s="20" t="n">
        <f aca="false">JetFreight!G112</f>
        <v>13.5047804245665</v>
      </c>
      <c r="K33" s="23" t="n">
        <f aca="false">JetFreight!G124</f>
        <v>0.000143991936451559</v>
      </c>
      <c r="L33" s="23" t="n">
        <f aca="false">JetFreight!G135</f>
        <v>0.000454769394019782</v>
      </c>
      <c r="M33" s="23" t="n">
        <f aca="false">JetFreight!G139</f>
        <v>0.00138552130239002</v>
      </c>
      <c r="N33" s="20" t="n">
        <f aca="false">JetFreight!G152</f>
        <v>912.533333333333</v>
      </c>
      <c r="O33" s="20" t="n">
        <f aca="false">JetFreight!G146</f>
        <v>0.879691516709512</v>
      </c>
      <c r="P33" s="20" t="n">
        <f aca="false">JetFreight!G154</f>
        <v>12.2857798165138</v>
      </c>
      <c r="Q33" s="23" t="n">
        <f aca="false">JetFreight!G138</f>
        <v>0.00489092076282758</v>
      </c>
      <c r="R33" s="20" t="n">
        <f aca="false">JetFreight!G113</f>
        <v>3.15829764656839</v>
      </c>
      <c r="S33" s="23" t="n">
        <f aca="false">JetFreight!G121</f>
        <v>0.019198924860208</v>
      </c>
      <c r="T33" s="20" t="n">
        <f aca="false">JetFreight!G87</f>
        <v>0.977988431876607</v>
      </c>
      <c r="U33" s="44" t="n">
        <f aca="false">LN(C33)</f>
        <v>6.0323425400603</v>
      </c>
    </row>
    <row r="34" customFormat="false" ht="15" hidden="false" customHeight="false" outlineLevel="0" collapsed="false">
      <c r="A34" s="18" t="s">
        <v>113</v>
      </c>
      <c r="B34" s="18" t="n">
        <v>2024</v>
      </c>
      <c r="C34" s="73" t="n">
        <f aca="false">JetFreight!H9</f>
        <v>387.77</v>
      </c>
      <c r="D34" s="73" t="n">
        <f aca="false">JetFreight!H35</f>
        <v>170.56</v>
      </c>
      <c r="E34" s="23" t="n">
        <f aca="false">JetFreight!H195</f>
        <v>0.159240150093809</v>
      </c>
      <c r="F34" s="20" t="n">
        <f aca="false">JetFreight!H80</f>
        <v>2.73794950267789</v>
      </c>
      <c r="G34" s="20" t="n">
        <f aca="false">JetFreight!H81</f>
        <v>1.577467482785</v>
      </c>
      <c r="H34" s="20" t="n">
        <f aca="false">JetFreight!H96</f>
        <v>1.03703703703704</v>
      </c>
      <c r="I34" s="26" t="n">
        <f aca="false">JetFreight!H108</f>
        <v>53.7282409675839</v>
      </c>
      <c r="J34" s="20" t="n">
        <f aca="false">JetFreight!H112</f>
        <v>13.4385721712008</v>
      </c>
      <c r="K34" s="23" t="n">
        <f aca="false">JetFreight!H124</f>
        <v>0.000670500554452382</v>
      </c>
      <c r="L34" s="23" t="n">
        <f aca="false">JetFreight!H135</f>
        <v>0.00160286048948893</v>
      </c>
      <c r="M34" s="23" t="n">
        <f aca="false">JetFreight!H139</f>
        <v>0.00416933932007697</v>
      </c>
      <c r="N34" s="20" t="n">
        <f aca="false">JetFreight!H152</f>
        <v>222.184615384615</v>
      </c>
      <c r="O34" s="20" t="n">
        <f aca="false">JetFreight!H146</f>
        <v>0.924583866837388</v>
      </c>
      <c r="P34" s="20" t="n">
        <f aca="false">JetFreight!H154</f>
        <v>11.9794504181601</v>
      </c>
      <c r="Q34" s="23" t="n">
        <f aca="false">JetFreight!H138</f>
        <v>0.0510377397572393</v>
      </c>
      <c r="R34" s="20" t="n">
        <f aca="false">JetFreight!H113</f>
        <v>2.39054312311202</v>
      </c>
      <c r="S34" s="23" t="n">
        <f aca="false">JetFreight!H121</f>
        <v>0.0152409933723598</v>
      </c>
      <c r="T34" s="20" t="n">
        <f aca="false">JetFreight!H87</f>
        <v>0.893085787451985</v>
      </c>
      <c r="U34" s="44" t="n">
        <f aca="false">LN(C34)</f>
        <v>5.96041238035251</v>
      </c>
    </row>
    <row r="35" customFormat="false" ht="15" hidden="false" customHeight="false" outlineLevel="0" collapsed="false">
      <c r="A35" s="18" t="s">
        <v>113</v>
      </c>
      <c r="B35" s="18" t="n">
        <v>2025</v>
      </c>
      <c r="C35" s="73" t="n">
        <f aca="false">JetFreight!I9</f>
        <v>436.63</v>
      </c>
      <c r="D35" s="73" t="n">
        <f aca="false">JetFreight!I35</f>
        <v>182.43</v>
      </c>
      <c r="E35" s="23" t="n">
        <f aca="false">JetFreight!I195</f>
        <v>0.144548593981253</v>
      </c>
      <c r="F35" s="20" t="n">
        <f aca="false">JetFreight!I80</f>
        <v>2.99500192233756</v>
      </c>
      <c r="G35" s="20" t="n">
        <f aca="false">JetFreight!I81</f>
        <v>1.73933102652826</v>
      </c>
      <c r="H35" s="20" t="n">
        <f aca="false">JetFreight!I96</f>
        <v>1.91449275362319</v>
      </c>
      <c r="I35" s="26" t="n">
        <f aca="false">JetFreight!I108</f>
        <v>61.5341364542061</v>
      </c>
      <c r="J35" s="20" t="n">
        <f aca="false">JetFreight!I112</f>
        <v>16.3134690827573</v>
      </c>
      <c r="K35" s="23" t="n">
        <f aca="false">JetFreight!I124</f>
        <v>0.00854270205895152</v>
      </c>
      <c r="L35" s="23" t="n">
        <f aca="false">JetFreight!I135</f>
        <v>0.0211337431655288</v>
      </c>
      <c r="M35" s="23" t="n">
        <f aca="false">JetFreight!I139</f>
        <v>0.0580318942045897</v>
      </c>
      <c r="N35" s="20" t="n">
        <f aca="false">JetFreight!I152</f>
        <v>14.330509383378</v>
      </c>
      <c r="O35" s="20" t="n">
        <f aca="false">JetFreight!I146</f>
        <v>0.809032843953383</v>
      </c>
      <c r="P35" s="20" t="n">
        <f aca="false">JetFreight!I154</f>
        <v>6.89096141268803</v>
      </c>
      <c r="Q35" s="23" t="n">
        <f aca="false">JetFreight!I138</f>
        <v>0.0627991786310505</v>
      </c>
      <c r="R35" s="20" t="n">
        <f aca="false">JetFreight!I113</f>
        <v>2.47389444460183</v>
      </c>
      <c r="S35" s="23" t="n">
        <f aca="false">JetFreight!I121</f>
        <v>0.032682133614273</v>
      </c>
      <c r="T35" s="20" t="n">
        <f aca="false">JetFreight!I87</f>
        <v>0.97381565006811</v>
      </c>
      <c r="U35" s="44" t="n">
        <f aca="false">LN(C35)</f>
        <v>6.07908615453581</v>
      </c>
    </row>
    <row r="36" customFormat="false" ht="15" hidden="false" customHeight="false" outlineLevel="0" collapsed="false">
      <c r="A36" s="18" t="s">
        <v>113</v>
      </c>
      <c r="B36" s="18" t="n">
        <v>2026</v>
      </c>
      <c r="C36" s="73" t="n">
        <f aca="false">JetFreight!J9</f>
        <v>444.08</v>
      </c>
      <c r="D36" s="73" t="n">
        <f aca="false">JetFreight!J35</f>
        <v>194.09</v>
      </c>
      <c r="E36" s="23" t="n">
        <f aca="false">JetFreight!J195</f>
        <v>0.125508784584471</v>
      </c>
      <c r="F36" s="20" t="n">
        <f aca="false">JetFreight!J80</f>
        <v>3.58818547533347</v>
      </c>
      <c r="G36" s="20" t="n">
        <f aca="false">JetFreight!J81</f>
        <v>2.36459877196697</v>
      </c>
      <c r="H36" s="20" t="n">
        <f aca="false">JetFreight!J96</f>
        <v>2.65571428571429</v>
      </c>
      <c r="I36" s="26" t="n">
        <f aca="false">JetFreight!J108</f>
        <v>71.9841019636102</v>
      </c>
      <c r="J36" s="20" t="n">
        <f aca="false">JetFreight!J112</f>
        <v>17.5075891977134</v>
      </c>
      <c r="K36" s="23" t="n">
        <f aca="false">JetFreight!J124</f>
        <v>0.0153125562961629</v>
      </c>
      <c r="L36" s="23" t="n">
        <f aca="false">JetFreight!J135</f>
        <v>0.0361202592159779</v>
      </c>
      <c r="M36" s="23" t="n">
        <f aca="false">JetFreight!J139</f>
        <v>0.0979403715972922</v>
      </c>
      <c r="N36" s="20" t="n">
        <f aca="false">JetFreight!J152</f>
        <v>11.6409411764706</v>
      </c>
      <c r="O36" s="20" t="n">
        <f aca="false">JetFreight!J146</f>
        <v>1.08749003984064</v>
      </c>
      <c r="P36" s="20" t="n">
        <f aca="false">JetFreight!J154</f>
        <v>6.7638243902439</v>
      </c>
      <c r="Q36" s="23" t="n">
        <f aca="false">JetFreight!J138</f>
        <v>0.0787898328187067</v>
      </c>
      <c r="R36" s="20" t="n">
        <f aca="false">JetFreight!J113</f>
        <v>2.35886539891639</v>
      </c>
      <c r="S36" s="23" t="n">
        <f aca="false">JetFreight!J121</f>
        <v>0.0373130967393262</v>
      </c>
      <c r="T36" s="20" t="n">
        <f aca="false">JetFreight!J87</f>
        <v>1.01758483308147</v>
      </c>
      <c r="U36" s="44" t="n">
        <f aca="false">LN(C36)</f>
        <v>6.09600472638191</v>
      </c>
    </row>
    <row r="37" customFormat="false" ht="15" hidden="false" customHeight="false" outlineLevel="0" collapsed="false">
      <c r="A37" s="18" t="s">
        <v>114</v>
      </c>
      <c r="B37" s="18" t="n">
        <v>2020</v>
      </c>
      <c r="C37" s="73" t="n">
        <f aca="false">Patel!D9</f>
        <v>347.41</v>
      </c>
      <c r="D37" s="73" t="n">
        <f aca="false">Patel!D35</f>
        <v>205.39</v>
      </c>
      <c r="E37" s="23" t="n">
        <f aca="false">Patel!D195</f>
        <v>0.24879497541263</v>
      </c>
      <c r="F37" s="20" t="n">
        <f aca="false">Patel!D80</f>
        <v>5.51911076443058</v>
      </c>
      <c r="G37" s="20" t="n">
        <f aca="false">Patel!D81</f>
        <v>3.96372854914197</v>
      </c>
      <c r="H37" s="20" t="n">
        <f aca="false">Patel!D96</f>
        <v>2.7361299052774</v>
      </c>
      <c r="I37" s="26" t="n">
        <f aca="false">Patel!D108</f>
        <v>98.82768198958</v>
      </c>
      <c r="J37" s="20" t="n">
        <f aca="false">Patel!D112</f>
        <v>6.26867556838686</v>
      </c>
      <c r="K37" s="23" t="n">
        <f aca="false">Patel!D124</f>
        <v>0.0309144814484327</v>
      </c>
      <c r="L37" s="23" t="n">
        <f aca="false">Patel!D135</f>
        <v>0.0496750768946139</v>
      </c>
      <c r="M37" s="23" t="n">
        <f aca="false">Patel!D139</f>
        <v>0.0869248512808061</v>
      </c>
      <c r="N37" s="20" t="n">
        <f aca="false">Patel!D152</f>
        <v>3.13351955307263</v>
      </c>
      <c r="O37" s="20" t="n">
        <f aca="false">Patel!D146</f>
        <v>0.282735444845837</v>
      </c>
      <c r="P37" s="20" t="n">
        <f aca="false">Patel!D154</f>
        <v>3.37770410277663</v>
      </c>
      <c r="Q37" s="23" t="n">
        <f aca="false">Patel!D138</f>
        <v>0.0880360938871344</v>
      </c>
      <c r="R37" s="20" t="n">
        <f aca="false">Patel!D113</f>
        <v>1.60685460558267</v>
      </c>
      <c r="S37" s="23" t="n">
        <f aca="false">Patel!D121</f>
        <v>0.0232866066031491</v>
      </c>
      <c r="T37" s="20" t="n">
        <f aca="false">Patel!D87</f>
        <v>0.510123498277745</v>
      </c>
      <c r="U37" s="44" t="n">
        <f aca="false">LN(C37)</f>
        <v>5.85050563865466</v>
      </c>
    </row>
    <row r="38" customFormat="false" ht="15" hidden="false" customHeight="false" outlineLevel="0" collapsed="false">
      <c r="A38" s="18" t="s">
        <v>114</v>
      </c>
      <c r="B38" s="18" t="n">
        <v>2021</v>
      </c>
      <c r="C38" s="73" t="n">
        <f aca="false">Patel!E9</f>
        <v>212.25</v>
      </c>
      <c r="D38" s="73" t="n">
        <f aca="false">Patel!E35</f>
        <v>190.3</v>
      </c>
      <c r="E38" s="23" t="n">
        <f aca="false">Patel!E195</f>
        <v>0.279190751445087</v>
      </c>
      <c r="F38" s="20" t="n">
        <f aca="false">Patel!E80</f>
        <v>10.61872909699</v>
      </c>
      <c r="G38" s="20" t="n">
        <f aca="false">Patel!E81</f>
        <v>7.94230769230769</v>
      </c>
      <c r="H38" s="20" t="n">
        <f aca="false">Patel!E96</f>
        <v>1.0368906455863</v>
      </c>
      <c r="I38" s="26" t="n">
        <f aca="false">Patel!E108</f>
        <v>138.149705535925</v>
      </c>
      <c r="J38" s="20" t="n">
        <f aca="false">Patel!E112</f>
        <v>4.07272378393937</v>
      </c>
      <c r="K38" s="23" t="n">
        <f aca="false">Patel!E124</f>
        <v>0.000235571260306243</v>
      </c>
      <c r="L38" s="23" t="n">
        <f aca="false">Patel!E135</f>
        <v>0.000252723091308853</v>
      </c>
      <c r="M38" s="23" t="n">
        <f aca="false">Patel!E139</f>
        <v>0.000424358158285593</v>
      </c>
      <c r="N38" s="20" t="n">
        <f aca="false">Patel!E152</f>
        <v>1350.422</v>
      </c>
      <c r="O38" s="20" t="n">
        <f aca="false">Patel!E146</f>
        <v>0.578983879265992</v>
      </c>
      <c r="P38" s="20" t="n">
        <f aca="false">Patel!E154</f>
        <v>10.3875831702544</v>
      </c>
      <c r="Q38" s="23" t="n">
        <f aca="false">Patel!E138</f>
        <v>0.00941902075695256</v>
      </c>
      <c r="R38" s="20" t="n">
        <f aca="false">Patel!E113</f>
        <v>1.07280952260608</v>
      </c>
      <c r="S38" s="23" t="n">
        <f aca="false">Patel!E121</f>
        <v>0.0243580683156656</v>
      </c>
      <c r="T38" s="20" t="n">
        <f aca="false">Patel!E87</f>
        <v>0.529240267535586</v>
      </c>
      <c r="U38" s="44" t="n">
        <f aca="false">LN(C38)</f>
        <v>5.35776482519146</v>
      </c>
    </row>
    <row r="39" customFormat="false" ht="15" hidden="false" customHeight="false" outlineLevel="0" collapsed="false">
      <c r="A39" s="18" t="s">
        <v>114</v>
      </c>
      <c r="B39" s="18" t="n">
        <v>2022</v>
      </c>
      <c r="C39" s="73" t="n">
        <f aca="false">Patel!F9</f>
        <v>234.32</v>
      </c>
      <c r="D39" s="73" t="n">
        <f aca="false">Patel!F35</f>
        <v>179.05</v>
      </c>
      <c r="E39" s="23" t="n">
        <f aca="false">Patel!F195</f>
        <v>0.317844177604021</v>
      </c>
      <c r="F39" s="20" t="n">
        <f aca="false">Patel!F80</f>
        <v>8.40622737146995</v>
      </c>
      <c r="G39" s="20" t="n">
        <f aca="false">Patel!F81</f>
        <v>6.22809558291093</v>
      </c>
      <c r="H39" s="20" t="n">
        <f aca="false">Patel!F96</f>
        <v>1.41760299625468</v>
      </c>
      <c r="I39" s="26" t="n">
        <f aca="false">Patel!F108</f>
        <v>106.118235745988</v>
      </c>
      <c r="J39" s="20" t="n">
        <f aca="false">Patel!F112</f>
        <v>4.25881497637223</v>
      </c>
      <c r="K39" s="23" t="n">
        <f aca="false">Patel!F124</f>
        <v>0.00968760669170365</v>
      </c>
      <c r="L39" s="23" t="n">
        <f aca="false">Patel!F135</f>
        <v>0.0122918640855557</v>
      </c>
      <c r="M39" s="23" t="n">
        <f aca="false">Patel!F139</f>
        <v>0.0194116641012485</v>
      </c>
      <c r="N39" s="20" t="n">
        <f aca="false">Patel!F152</f>
        <v>39.7960792951542</v>
      </c>
      <c r="O39" s="20" t="n">
        <f aca="false">Patel!F146</f>
        <v>0.770399965887771</v>
      </c>
      <c r="P39" s="20" t="n">
        <f aca="false">Patel!F154</f>
        <v>11.4359901960784</v>
      </c>
      <c r="Q39" s="23" t="n">
        <f aca="false">Patel!F138</f>
        <v>0.044065428721113</v>
      </c>
      <c r="R39" s="20" t="n">
        <f aca="false">Patel!F113</f>
        <v>1.26882360904291</v>
      </c>
      <c r="S39" s="23" t="n">
        <f aca="false">Patel!F121</f>
        <v>0.0328183680437008</v>
      </c>
      <c r="T39" s="20" t="n">
        <f aca="false">Patel!F87</f>
        <v>0.409176189663995</v>
      </c>
      <c r="U39" s="44" t="n">
        <f aca="false">LN(C39)</f>
        <v>5.45668770251948</v>
      </c>
    </row>
    <row r="40" customFormat="false" ht="15" hidden="false" customHeight="false" outlineLevel="0" collapsed="false">
      <c r="A40" s="18" t="s">
        <v>114</v>
      </c>
      <c r="B40" s="18" t="n">
        <v>2023</v>
      </c>
      <c r="C40" s="73" t="n">
        <f aca="false">Patel!G9</f>
        <v>278.28</v>
      </c>
      <c r="D40" s="73" t="n">
        <f aca="false">Patel!G35</f>
        <v>172.15</v>
      </c>
      <c r="E40" s="23" t="n">
        <f aca="false">Patel!G195</f>
        <v>0.319953528899216</v>
      </c>
      <c r="F40" s="20" t="n">
        <f aca="false">Patel!G80</f>
        <v>4.81551724137931</v>
      </c>
      <c r="G40" s="20" t="n">
        <f aca="false">Patel!G81</f>
        <v>4.225</v>
      </c>
      <c r="H40" s="20" t="n">
        <f aca="false">Patel!G96</f>
        <v>1.9727463312369</v>
      </c>
      <c r="I40" s="26" t="n">
        <f aca="false">Patel!G108</f>
        <v>90.6335345694983</v>
      </c>
      <c r="J40" s="20" t="n">
        <f aca="false">Patel!G112</f>
        <v>4.96972944012858</v>
      </c>
      <c r="K40" s="23" t="n">
        <f aca="false">Patel!G124</f>
        <v>0.0176081644386948</v>
      </c>
      <c r="L40" s="23" t="n">
        <f aca="false">Patel!G135</f>
        <v>0.0279043280182232</v>
      </c>
      <c r="M40" s="23" t="n">
        <f aca="false">Patel!G139</f>
        <v>0.0417110023409236</v>
      </c>
      <c r="N40" s="20" t="n">
        <f aca="false">Patel!G152</f>
        <v>15.3404081632653</v>
      </c>
      <c r="O40" s="20" t="n">
        <f aca="false">Patel!G146</f>
        <v>0.638694876370125</v>
      </c>
      <c r="P40" s="20" t="n">
        <f aca="false">Patel!G154</f>
        <v>6.67218167072182</v>
      </c>
      <c r="Q40" s="23" t="n">
        <f aca="false">Patel!G138</f>
        <v>0.0599000604729622</v>
      </c>
      <c r="R40" s="20" t="n">
        <f aca="false">Patel!G113</f>
        <v>1.58473804100228</v>
      </c>
      <c r="S40" s="23" t="n">
        <f aca="false">Patel!G121</f>
        <v>0.0370849504096591</v>
      </c>
      <c r="T40" s="20" t="n">
        <f aca="false">Patel!G87</f>
        <v>0.265613051236299</v>
      </c>
      <c r="U40" s="44" t="n">
        <f aca="false">LN(C40)</f>
        <v>5.62862780105544</v>
      </c>
    </row>
    <row r="41" customFormat="false" ht="15" hidden="false" customHeight="false" outlineLevel="0" collapsed="false">
      <c r="A41" s="18" t="s">
        <v>114</v>
      </c>
      <c r="B41" s="18" t="n">
        <v>2024</v>
      </c>
      <c r="C41" s="73" t="n">
        <f aca="false">Patel!H9</f>
        <v>290.55</v>
      </c>
      <c r="D41" s="73" t="n">
        <f aca="false">Patel!H35</f>
        <v>192.04</v>
      </c>
      <c r="E41" s="23" t="n">
        <f aca="false">Patel!H195</f>
        <v>0.25255155176005</v>
      </c>
      <c r="F41" s="20" t="n">
        <f aca="false">Patel!H80</f>
        <v>2.85593743568636</v>
      </c>
      <c r="G41" s="20" t="n">
        <f aca="false">Patel!H81</f>
        <v>2.5336488989504</v>
      </c>
      <c r="H41" s="20" t="n">
        <f aca="false">Patel!H96</f>
        <v>3.19305019305019</v>
      </c>
      <c r="I41" s="26" t="n">
        <f aca="false">Patel!H108</f>
        <v>103.400963689554</v>
      </c>
      <c r="J41" s="20" t="n">
        <f aca="false">Patel!H112</f>
        <v>5.61015640084959</v>
      </c>
      <c r="K41" s="23" t="n">
        <f aca="false">Patel!H124</f>
        <v>0.0190672861813801</v>
      </c>
      <c r="L41" s="23" t="n">
        <f aca="false">Patel!H135</f>
        <v>0.0304236799472803</v>
      </c>
      <c r="M41" s="23" t="n">
        <f aca="false">Patel!H139</f>
        <v>0.0467471099485276</v>
      </c>
      <c r="N41" s="20" t="n">
        <f aca="false">Patel!H152</f>
        <v>24.7368953068592</v>
      </c>
      <c r="O41" s="20" t="n">
        <f aca="false">Patel!H146</f>
        <v>1.14843207910835</v>
      </c>
      <c r="P41" s="20" t="n">
        <f aca="false">Patel!H154</f>
        <v>11.636169828365</v>
      </c>
      <c r="Q41" s="23" t="n">
        <f aca="false">Patel!H138</f>
        <v>0.0551721065104719</v>
      </c>
      <c r="R41" s="20" t="n">
        <f aca="false">Patel!H113</f>
        <v>1.59559570553832</v>
      </c>
      <c r="S41" s="23" t="n">
        <f aca="false">Patel!H121</f>
        <v>0.0313199105145415</v>
      </c>
      <c r="T41" s="20" t="n">
        <f aca="false">Patel!H87</f>
        <v>0.202128551076846</v>
      </c>
      <c r="U41" s="44" t="n">
        <f aca="false">LN(C41)</f>
        <v>5.67177567852111</v>
      </c>
    </row>
    <row r="42" customFormat="false" ht="15" hidden="false" customHeight="false" outlineLevel="0" collapsed="false">
      <c r="A42" s="18" t="s">
        <v>114</v>
      </c>
      <c r="B42" s="18" t="n">
        <v>2025</v>
      </c>
      <c r="C42" s="73" t="n">
        <f aca="false">Patel!I9</f>
        <v>342.69</v>
      </c>
      <c r="D42" s="73" t="n">
        <f aca="false">Patel!I35</f>
        <v>168.12</v>
      </c>
      <c r="E42" s="23" t="n">
        <f aca="false">Patel!I195</f>
        <v>0.280335474660957</v>
      </c>
      <c r="F42" s="20" t="n">
        <f aca="false">Patel!I80</f>
        <v>3.49146451033243</v>
      </c>
      <c r="G42" s="20" t="n">
        <f aca="false">Patel!I81</f>
        <v>2.87720874513327</v>
      </c>
      <c r="H42" s="20" t="n">
        <f aca="false">Patel!I96</f>
        <v>7.5</v>
      </c>
      <c r="I42" s="26" t="n">
        <f aca="false">Patel!I108</f>
        <v>84.2762409174473</v>
      </c>
      <c r="J42" s="20" t="n">
        <f aca="false">Patel!I112</f>
        <v>7.16699780403639</v>
      </c>
      <c r="K42" s="23" t="n">
        <f aca="false">Patel!I124</f>
        <v>0.022177478187283</v>
      </c>
      <c r="L42" s="23" t="n">
        <f aca="false">Patel!I135</f>
        <v>0.0422034651266104</v>
      </c>
      <c r="M42" s="23" t="n">
        <f aca="false">Patel!I139</f>
        <v>0.063073156562513</v>
      </c>
      <c r="N42" s="20" t="n">
        <f aca="false">Patel!I152</f>
        <v>12.2349473684211</v>
      </c>
      <c r="O42" s="20" t="n">
        <f aca="false">Patel!I146</f>
        <v>0.764307085319744</v>
      </c>
      <c r="P42" s="20" t="n">
        <f aca="false">Patel!I154</f>
        <v>6.76052356020943</v>
      </c>
      <c r="Q42" s="23" t="n">
        <f aca="false">Patel!I138</f>
        <v>0.0631301260390339</v>
      </c>
      <c r="R42" s="20" t="n">
        <f aca="false">Patel!I113</f>
        <v>1.90298756108396</v>
      </c>
      <c r="S42" s="23" t="n">
        <f aca="false">Patel!I121</f>
        <v>0.0257083661618372</v>
      </c>
      <c r="T42" s="20" t="n">
        <f aca="false">Patel!I87</f>
        <v>0.107430544139405</v>
      </c>
      <c r="U42" s="44" t="n">
        <f aca="false">LN(C42)</f>
        <v>5.83682624841397</v>
      </c>
    </row>
    <row r="43" customFormat="false" ht="15" hidden="false" customHeight="false" outlineLevel="0" collapsed="false">
      <c r="A43" s="18" t="s">
        <v>114</v>
      </c>
      <c r="B43" s="18" t="n">
        <v>2026</v>
      </c>
      <c r="C43" s="73" t="n">
        <f aca="false">Patel!J9</f>
        <v>357.14</v>
      </c>
      <c r="D43" s="73" t="n">
        <f aca="false">Patel!J35</f>
        <v>163.32</v>
      </c>
      <c r="E43" s="23" t="n">
        <f aca="false">Patel!J195</f>
        <v>0.280737203036983</v>
      </c>
      <c r="F43" s="20" t="n">
        <f aca="false">Patel!J80</f>
        <v>3.3649373881932</v>
      </c>
      <c r="G43" s="20" t="n">
        <f aca="false">Patel!J81</f>
        <v>2.96988670244484</v>
      </c>
      <c r="H43" s="20" t="n">
        <f aca="false">Patel!J96</f>
        <v>30.4571428571429</v>
      </c>
      <c r="I43" s="26" t="n">
        <f aca="false">Patel!J108</f>
        <v>71.6274430195442</v>
      </c>
      <c r="J43" s="20" t="n">
        <f aca="false">Patel!J112</f>
        <v>7.68208216820822</v>
      </c>
      <c r="K43" s="23" t="n">
        <f aca="false">Patel!J124</f>
        <v>0.0268802150417203</v>
      </c>
      <c r="L43" s="23" t="n">
        <f aca="false">Patel!J135</f>
        <v>0.057929036929761</v>
      </c>
      <c r="M43" s="23" t="n">
        <f aca="false">Patel!J139</f>
        <v>0.0783098131984664</v>
      </c>
      <c r="N43" s="20" t="n">
        <f aca="false">Patel!J152</f>
        <v>5.9885</v>
      </c>
      <c r="O43" s="20" t="n">
        <f aca="false">Patel!J146</f>
        <v>0.465427461139896</v>
      </c>
      <c r="P43" s="20" t="n">
        <f aca="false">Patel!J154</f>
        <v>2.78725208175624</v>
      </c>
      <c r="Q43" s="23" t="n">
        <f aca="false">Patel!J138</f>
        <v>0.0749730271895976</v>
      </c>
      <c r="R43" s="20" t="n">
        <f aca="false">Patel!J113</f>
        <v>2.15508085928071</v>
      </c>
      <c r="S43" s="23" t="n">
        <f aca="false">Patel!J121</f>
        <v>0.0290362322898582</v>
      </c>
      <c r="T43" s="20" t="n">
        <f aca="false">Patel!J87</f>
        <v>0.0506800518134715</v>
      </c>
      <c r="U43" s="44" t="n">
        <f aca="false">LN(C43)</f>
        <v>5.87812786176898</v>
      </c>
    </row>
    <row r="44" customFormat="false" ht="15" hidden="false" customHeight="false" outlineLevel="0" collapsed="false">
      <c r="A44" s="18" t="s">
        <v>86</v>
      </c>
      <c r="B44" s="18" t="n">
        <v>2020</v>
      </c>
      <c r="C44" s="73" t="n">
        <f aca="false">TCI!D9</f>
        <v>2717.84</v>
      </c>
      <c r="D44" s="73" t="n">
        <f aca="false">TCI!D35</f>
        <v>1683.32</v>
      </c>
      <c r="E44" s="23" t="n">
        <f aca="false">TCI!D195</f>
        <v>0.458451156048761</v>
      </c>
      <c r="F44" s="20" t="n">
        <f aca="false">TCI!D80</f>
        <v>3.17916420928469</v>
      </c>
      <c r="G44" s="20" t="n">
        <f aca="false">TCI!D81</f>
        <v>2.16201870418738</v>
      </c>
      <c r="H44" s="20" t="n">
        <f aca="false">TCI!D96</f>
        <v>5.63607226107226</v>
      </c>
      <c r="I44" s="26" t="n">
        <f aca="false">TCI!D108</f>
        <v>67.3087267830336</v>
      </c>
      <c r="J44" s="20" t="n">
        <f aca="false">TCI!D112</f>
        <v>3.62736566745856</v>
      </c>
      <c r="K44" s="23" t="n">
        <f aca="false">TCI!D124</f>
        <v>0.0523798310422983</v>
      </c>
      <c r="L44" s="23" t="n">
        <f aca="false">TCI!D135</f>
        <v>0.0862978780154398</v>
      </c>
      <c r="M44" s="23" t="n">
        <f aca="false">TCI!D139</f>
        <v>0.148612887230211</v>
      </c>
      <c r="N44" s="20" t="n">
        <f aca="false">TCI!D152</f>
        <v>10.1448721550997</v>
      </c>
      <c r="O44" s="20" t="n">
        <f aca="false">TCI!D146</f>
        <v>1.41052652140367</v>
      </c>
      <c r="P44" s="20" t="n">
        <f aca="false">TCI!D154</f>
        <v>6.66988257465932</v>
      </c>
      <c r="Q44" s="23" t="n">
        <f aca="false">TCI!D138</f>
        <v>0.123977408011229</v>
      </c>
      <c r="R44" s="20" t="n">
        <f aca="false">TCI!D113</f>
        <v>1.64754021344116</v>
      </c>
      <c r="S44" s="23" t="n">
        <f aca="false">TCI!D121</f>
        <v>0.0888352515232685</v>
      </c>
      <c r="T44" s="20" t="n">
        <f aca="false">TCI!D87</f>
        <v>0.41220248268857</v>
      </c>
      <c r="U44" s="44" t="n">
        <f aca="false">LN(C44)</f>
        <v>7.90759272616454</v>
      </c>
    </row>
    <row r="45" customFormat="false" ht="15" hidden="false" customHeight="false" outlineLevel="0" collapsed="false">
      <c r="A45" s="18" t="s">
        <v>86</v>
      </c>
      <c r="B45" s="18" t="n">
        <v>2021</v>
      </c>
      <c r="C45" s="73" t="n">
        <f aca="false">TCI!E9</f>
        <v>2802.39</v>
      </c>
      <c r="D45" s="73" t="n">
        <f aca="false">TCI!E35</f>
        <v>1738.81</v>
      </c>
      <c r="E45" s="23" t="n">
        <f aca="false">TCI!E195</f>
        <v>0.462747511228944</v>
      </c>
      <c r="F45" s="20" t="n">
        <f aca="false">TCI!E80</f>
        <v>2.86790368897725</v>
      </c>
      <c r="G45" s="20" t="n">
        <f aca="false">TCI!E81</f>
        <v>2.02691259848318</v>
      </c>
      <c r="H45" s="20" t="n">
        <f aca="false">TCI!E96</f>
        <v>7.52621722846442</v>
      </c>
      <c r="I45" s="26" t="n">
        <f aca="false">TCI!E108</f>
        <v>65.014880155867</v>
      </c>
      <c r="J45" s="20" t="n">
        <f aca="false">TCI!E112</f>
        <v>3.55554286801789</v>
      </c>
      <c r="K45" s="23" t="n">
        <f aca="false">TCI!E124</f>
        <v>0.0525016146931726</v>
      </c>
      <c r="L45" s="23" t="n">
        <f aca="false">TCI!E135</f>
        <v>0.0859873821275054</v>
      </c>
      <c r="M45" s="23" t="n">
        <f aca="false">TCI!E139</f>
        <v>0.134144784828592</v>
      </c>
      <c r="N45" s="20" t="n">
        <f aca="false">TCI!E152</f>
        <v>13.4229354992184</v>
      </c>
      <c r="O45" s="20" t="n">
        <f aca="false">TCI!E146</f>
        <v>1.6883813081875</v>
      </c>
      <c r="P45" s="20" t="n">
        <f aca="false">TCI!E154</f>
        <v>7.60105698529412</v>
      </c>
      <c r="Q45" s="23" t="n">
        <f aca="false">TCI!E138</f>
        <v>0.119094289570388</v>
      </c>
      <c r="R45" s="20" t="n">
        <f aca="false">TCI!E113</f>
        <v>1.63780452525182</v>
      </c>
      <c r="S45" s="23" t="n">
        <f aca="false">TCI!E121</f>
        <v>0.0938556018255844</v>
      </c>
      <c r="T45" s="20" t="n">
        <f aca="false">TCI!E87</f>
        <v>0.254319446700464</v>
      </c>
      <c r="U45" s="44" t="n">
        <f aca="false">LN(C45)</f>
        <v>7.93822790350694</v>
      </c>
    </row>
    <row r="46" customFormat="false" ht="15" hidden="false" customHeight="false" outlineLevel="0" collapsed="false">
      <c r="A46" s="18" t="s">
        <v>86</v>
      </c>
      <c r="B46" s="18" t="n">
        <v>2022</v>
      </c>
      <c r="C46" s="73" t="n">
        <f aca="false">TCI!F9</f>
        <v>3258.81</v>
      </c>
      <c r="D46" s="73" t="n">
        <f aca="false">TCI!F35</f>
        <v>1827.03</v>
      </c>
      <c r="E46" s="23" t="n">
        <f aca="false">TCI!F195</f>
        <v>0.438608014099385</v>
      </c>
      <c r="F46" s="20" t="n">
        <f aca="false">TCI!F80</f>
        <v>2.74747105017969</v>
      </c>
      <c r="G46" s="20" t="n">
        <f aca="false">TCI!F81</f>
        <v>1.93897244775722</v>
      </c>
      <c r="H46" s="20" t="n">
        <f aca="false">TCI!F96</f>
        <v>26.7575993764614</v>
      </c>
      <c r="I46" s="26" t="n">
        <f aca="false">TCI!F108</f>
        <v>57.0823168579942</v>
      </c>
      <c r="J46" s="20" t="n">
        <f aca="false">TCI!F112</f>
        <v>4.05834443766423</v>
      </c>
      <c r="K46" s="23" t="n">
        <f aca="false">TCI!F124</f>
        <v>0.0888698635391447</v>
      </c>
      <c r="L46" s="23" t="n">
        <f aca="false">TCI!F135</f>
        <v>0.162435779507774</v>
      </c>
      <c r="M46" s="23" t="n">
        <f aca="false">TCI!F139</f>
        <v>0.222777779914538</v>
      </c>
      <c r="N46" s="20" t="n">
        <f aca="false">TCI!F152</f>
        <v>15.9906184178723</v>
      </c>
      <c r="O46" s="20" t="n">
        <f aca="false">TCI!F146</f>
        <v>3.23785762228375</v>
      </c>
      <c r="P46" s="20" t="n">
        <f aca="false">TCI!F154</f>
        <v>10.1964038394109</v>
      </c>
      <c r="Q46" s="23" t="n">
        <f aca="false">TCI!F138</f>
        <v>0.20321895678123</v>
      </c>
      <c r="R46" s="20" t="n">
        <f aca="false">TCI!F113</f>
        <v>1.82779373163126</v>
      </c>
      <c r="S46" s="23" t="n">
        <f aca="false">TCI!F121</f>
        <v>0.126374351373661</v>
      </c>
      <c r="T46" s="20" t="n">
        <f aca="false">TCI!F87</f>
        <v>0.0672805324831502</v>
      </c>
      <c r="U46" s="44" t="n">
        <f aca="false">LN(C46)</f>
        <v>8.08911737704599</v>
      </c>
    </row>
    <row r="47" customFormat="false" ht="15" hidden="false" customHeight="false" outlineLevel="0" collapsed="false">
      <c r="A47" s="18" t="s">
        <v>86</v>
      </c>
      <c r="B47" s="18" t="n">
        <v>2023</v>
      </c>
      <c r="C47" s="73" t="n">
        <f aca="false">TCI!G9</f>
        <v>3782.57</v>
      </c>
      <c r="D47" s="73" t="n">
        <f aca="false">TCI!G35</f>
        <v>2100.91</v>
      </c>
      <c r="E47" s="23" t="n">
        <f aca="false">TCI!G195</f>
        <v>0.376627271039692</v>
      </c>
      <c r="F47" s="20" t="n">
        <f aca="false">TCI!G80</f>
        <v>3.24742066720911</v>
      </c>
      <c r="G47" s="20" t="n">
        <f aca="false">TCI!G81</f>
        <v>2.42633034987795</v>
      </c>
      <c r="H47" s="20" t="n">
        <f aca="false">TCI!G96</f>
        <v>38.0702647657841</v>
      </c>
      <c r="I47" s="26" t="n">
        <f aca="false">TCI!G108</f>
        <v>51.5844254038921</v>
      </c>
      <c r="J47" s="20" t="n">
        <f aca="false">TCI!G112</f>
        <v>4.75015226577756</v>
      </c>
      <c r="K47" s="23" t="n">
        <f aca="false">TCI!G124</f>
        <v>0.0838953409983159</v>
      </c>
      <c r="L47" s="23" t="n">
        <f aca="false">TCI!G135</f>
        <v>0.161580879545003</v>
      </c>
      <c r="M47" s="23" t="n">
        <f aca="false">TCI!G139</f>
        <v>0.202639149188875</v>
      </c>
      <c r="N47" s="20" t="n">
        <f aca="false">TCI!G152</f>
        <v>15.3285309132161</v>
      </c>
      <c r="O47" s="20" t="n">
        <f aca="false">TCI!G146</f>
        <v>2.85837618037478</v>
      </c>
      <c r="P47" s="20" t="n">
        <f aca="false">TCI!G154</f>
        <v>9.63462827605702</v>
      </c>
      <c r="Q47" s="23" t="n">
        <f aca="false">TCI!G138</f>
        <v>0.198326092522107</v>
      </c>
      <c r="R47" s="20" t="n">
        <f aca="false">TCI!G113</f>
        <v>1.9259815577631</v>
      </c>
      <c r="S47" s="23" t="n">
        <f aca="false">TCI!G121</f>
        <v>0.112455288335708</v>
      </c>
      <c r="T47" s="20" t="n">
        <f aca="false">TCI!G87</f>
        <v>0.0539843341422855</v>
      </c>
      <c r="U47" s="44" t="n">
        <f aca="false">LN(C47)</f>
        <v>8.23815895177019</v>
      </c>
    </row>
    <row r="48" customFormat="false" ht="15" hidden="false" customHeight="false" outlineLevel="0" collapsed="false">
      <c r="A48" s="18" t="s">
        <v>86</v>
      </c>
      <c r="B48" s="18" t="n">
        <v>2024</v>
      </c>
      <c r="C48" s="73" t="n">
        <f aca="false">TCI!H9</f>
        <v>4024.26</v>
      </c>
      <c r="D48" s="73" t="n">
        <f aca="false">TCI!H35</f>
        <v>2501.4</v>
      </c>
      <c r="E48" s="23" t="n">
        <f aca="false">TCI!H195</f>
        <v>0.34451906932118</v>
      </c>
      <c r="F48" s="20" t="n">
        <f aca="false">TCI!H80</f>
        <v>3.25103652517275</v>
      </c>
      <c r="G48" s="20" t="n">
        <f aca="false">TCI!H81</f>
        <v>2.29098387627509</v>
      </c>
      <c r="H48" s="20" t="n">
        <f aca="false">TCI!H96</f>
        <v>30.2456669178598</v>
      </c>
      <c r="I48" s="26" t="n">
        <f aca="false">TCI!H108</f>
        <v>52.6757838708235</v>
      </c>
      <c r="J48" s="20" t="n">
        <f aca="false">TCI!H112</f>
        <v>4.86892029230993</v>
      </c>
      <c r="K48" s="23" t="n">
        <f aca="false">TCI!H124</f>
        <v>0.0871713060289345</v>
      </c>
      <c r="L48" s="23" t="n">
        <f aca="false">TCI!H135</f>
        <v>0.152445185135291</v>
      </c>
      <c r="M48" s="23" t="n">
        <f aca="false">TCI!H139</f>
        <v>0.189334549507369</v>
      </c>
      <c r="N48" s="20" t="n">
        <f aca="false">TCI!H152</f>
        <v>17.9764310148233</v>
      </c>
      <c r="O48" s="20" t="n">
        <f aca="false">TCI!H146</f>
        <v>3.1470551247118</v>
      </c>
      <c r="P48" s="20" t="n">
        <f aca="false">TCI!H154</f>
        <v>12.0877522130575</v>
      </c>
      <c r="Q48" s="23" t="n">
        <f aca="false">TCI!H138</f>
        <v>0.183696011216043</v>
      </c>
      <c r="R48" s="20" t="n">
        <f aca="false">TCI!H113</f>
        <v>1.74880005910076</v>
      </c>
      <c r="S48" s="23" t="n">
        <f aca="false">TCI!H121</f>
        <v>0.102187731409004</v>
      </c>
      <c r="T48" s="20" t="n">
        <f aca="false">TCI!H87</f>
        <v>0.0966553882085217</v>
      </c>
      <c r="U48" s="44" t="n">
        <f aca="false">LN(C48)</f>
        <v>8.30009632201833</v>
      </c>
    </row>
    <row r="49" customFormat="false" ht="15" hidden="false" customHeight="false" outlineLevel="0" collapsed="false">
      <c r="A49" s="18" t="s">
        <v>86</v>
      </c>
      <c r="B49" s="18" t="n">
        <v>2025</v>
      </c>
      <c r="C49" s="73" t="n">
        <f aca="false">TCI!I9</f>
        <v>4491.78</v>
      </c>
      <c r="D49" s="73" t="n">
        <f aca="false">TCI!I35</f>
        <v>2934.03</v>
      </c>
      <c r="E49" s="23" t="n">
        <f aca="false">TCI!I195</f>
        <v>0.328456082589476</v>
      </c>
      <c r="F49" s="20" t="n">
        <f aca="false">TCI!I80</f>
        <v>2.4267053701016</v>
      </c>
      <c r="G49" s="20" t="n">
        <f aca="false">TCI!I81</f>
        <v>1.50130251944475</v>
      </c>
      <c r="H49" s="20" t="n">
        <f aca="false">TCI!I96</f>
        <v>23.7872023809524</v>
      </c>
      <c r="I49" s="26" t="n">
        <f aca="false">TCI!I108</f>
        <v>53.7353120589165</v>
      </c>
      <c r="J49" s="20" t="n">
        <f aca="false">TCI!I112</f>
        <v>4.92120428599601</v>
      </c>
      <c r="K49" s="23" t="n">
        <f aca="false">TCI!I124</f>
        <v>0.0918077020691129</v>
      </c>
      <c r="L49" s="23" t="n">
        <f aca="false">TCI!I135</f>
        <v>0.151737764997434</v>
      </c>
      <c r="M49" s="23" t="n">
        <f aca="false">TCI!I139</f>
        <v>0.198327790562621</v>
      </c>
      <c r="N49" s="20" t="n">
        <f aca="false">TCI!I152</f>
        <v>20.4790484504583</v>
      </c>
      <c r="O49" s="20" t="n">
        <f aca="false">TCI!I146</f>
        <v>3.91931778628611</v>
      </c>
      <c r="P49" s="20" t="n">
        <f aca="false">TCI!I154</f>
        <v>14.3997288158291</v>
      </c>
      <c r="Q49" s="23" t="n">
        <f aca="false">TCI!I138</f>
        <v>0.189048960966589</v>
      </c>
      <c r="R49" s="20" t="n">
        <f aca="false">TCI!I113</f>
        <v>1.65277816106545</v>
      </c>
      <c r="S49" s="23" t="n">
        <f aca="false">TCI!I121</f>
        <v>0.102979219819314</v>
      </c>
      <c r="T49" s="20" t="n">
        <f aca="false">TCI!I87</f>
        <v>0.112245040027845</v>
      </c>
      <c r="U49" s="44" t="n">
        <f aca="false">LN(C49)</f>
        <v>8.41000433870171</v>
      </c>
    </row>
    <row r="50" customFormat="false" ht="15" hidden="false" customHeight="false" outlineLevel="0" collapsed="false">
      <c r="A50" s="18" t="s">
        <v>86</v>
      </c>
      <c r="B50" s="18" t="n">
        <v>2026</v>
      </c>
      <c r="C50" s="73" t="n">
        <f aca="false">TCI!J9</f>
        <v>4916.77</v>
      </c>
      <c r="D50" s="73" t="n">
        <f aca="false">TCI!J35</f>
        <v>3481.86</v>
      </c>
      <c r="E50" s="23" t="n">
        <f aca="false">TCI!J195</f>
        <v>0.342543927670843</v>
      </c>
      <c r="F50" s="20" t="n">
        <f aca="false">TCI!J80</f>
        <v>2.41828094188609</v>
      </c>
      <c r="G50" s="20" t="n">
        <f aca="false">TCI!J81</f>
        <v>1.54044111554841</v>
      </c>
      <c r="H50" s="20" t="n">
        <f aca="false">TCI!J96</f>
        <v>22.9346204475647</v>
      </c>
      <c r="I50" s="26" t="n">
        <f aca="false">TCI!J108</f>
        <v>57.0980389564694</v>
      </c>
      <c r="J50" s="20" t="n">
        <f aca="false">TCI!J112</f>
        <v>4.56018623718344</v>
      </c>
      <c r="K50" s="23" t="n">
        <f aca="false">TCI!J124</f>
        <v>0.0927946599088426</v>
      </c>
      <c r="L50" s="23" t="n">
        <f aca="false">TCI!J135</f>
        <v>0.14222500697487</v>
      </c>
      <c r="M50" s="23" t="n">
        <f aca="false">TCI!J139</f>
        <v>0.193295966310367</v>
      </c>
      <c r="N50" s="20" t="n">
        <f aca="false">TCI!J152</f>
        <v>15.5165150684932</v>
      </c>
      <c r="O50" s="20" t="n">
        <f aca="false">TCI!J146</f>
        <v>2.758939044969</v>
      </c>
      <c r="P50" s="20" t="n">
        <f aca="false">TCI!J154</f>
        <v>11.1981291732053</v>
      </c>
      <c r="Q50" s="23" t="n">
        <f aca="false">TCI!J138</f>
        <v>0.182307293651997</v>
      </c>
      <c r="R50" s="20" t="n">
        <f aca="false">TCI!J113</f>
        <v>1.53268525489059</v>
      </c>
      <c r="S50" s="23" t="n">
        <f aca="false">TCI!J121</f>
        <v>0.105557103545621</v>
      </c>
      <c r="T50" s="20" t="n">
        <f aca="false">TCI!J87</f>
        <v>0.121746382487851</v>
      </c>
      <c r="U50" s="44" t="n">
        <f aca="false">LN(C50)</f>
        <v>8.50040708982816</v>
      </c>
    </row>
    <row r="51" customFormat="false" ht="15" hidden="false" customHeight="false" outlineLevel="0" collapsed="false">
      <c r="A51" s="18" t="s">
        <v>116</v>
      </c>
      <c r="B51" s="18" t="n">
        <v>2020</v>
      </c>
      <c r="C51" s="73" t="n">
        <f aca="false">Shreeji!D9</f>
        <v>110</v>
      </c>
      <c r="D51" s="73" t="n">
        <f aca="false">Shreeji!D35</f>
        <v>79.35</v>
      </c>
      <c r="E51" s="23" t="n">
        <f aca="false">Shreeji!D195</f>
        <v>0.334845620667927</v>
      </c>
      <c r="F51" s="20" t="n">
        <f aca="false">Shreeji!D80</f>
        <v>6.11435239206534</v>
      </c>
      <c r="G51" s="20" t="n">
        <f aca="false">Shreeji!D81</f>
        <v>3.52275379229872</v>
      </c>
      <c r="H51" s="20" t="n">
        <f aca="false">Shreeji!D96</f>
        <v>1.62322946175637</v>
      </c>
      <c r="I51" s="26" t="n">
        <f aca="false">Shreeji!D108</f>
        <v>94.3525</v>
      </c>
      <c r="J51" s="20" t="n">
        <f aca="false">Shreeji!D112</f>
        <v>4.71495927989713</v>
      </c>
      <c r="K51" s="23" t="n">
        <f aca="false">Shreeji!D124</f>
        <v>0.0133636363636364</v>
      </c>
      <c r="L51" s="23" t="n">
        <f aca="false">Shreeji!D135</f>
        <v>0.0195206161609455</v>
      </c>
      <c r="M51" s="23" t="n">
        <f aca="false">Shreeji!D139</f>
        <v>0.0597075548334687</v>
      </c>
      <c r="N51" s="20" t="n">
        <f aca="false">Shreeji!D152</f>
        <v>21.4761904761905</v>
      </c>
      <c r="O51" s="20" t="n">
        <f aca="false">Shreeji!D146</f>
        <v>1.25029702970297</v>
      </c>
      <c r="P51" s="20" t="n">
        <f aca="false">Shreeji!D154</f>
        <v>7.46363636363636</v>
      </c>
      <c r="Q51" s="23" t="n">
        <f aca="false">Shreeji!D138</f>
        <v>0.0576608707557503</v>
      </c>
      <c r="R51" s="20" t="n">
        <f aca="false">Shreeji!D113</f>
        <v>1.46072637939048</v>
      </c>
      <c r="S51" s="23" t="n">
        <f aca="false">Shreeji!D121</f>
        <v>0.0822727272727273</v>
      </c>
      <c r="T51" s="20" t="n">
        <f aca="false">Shreeji!D87</f>
        <v>1.80316831683168</v>
      </c>
      <c r="U51" s="44" t="n">
        <f aca="false">LN(C51)</f>
        <v>4.70048036579242</v>
      </c>
    </row>
    <row r="52" customFormat="false" ht="15" hidden="false" customHeight="false" outlineLevel="0" collapsed="false">
      <c r="A52" s="18" t="s">
        <v>116</v>
      </c>
      <c r="B52" s="18" t="n">
        <v>2021</v>
      </c>
      <c r="C52" s="73" t="n">
        <f aca="false">Shreeji!E9</f>
        <v>108.23</v>
      </c>
      <c r="D52" s="73" t="n">
        <f aca="false">Shreeji!E35</f>
        <v>81.98</v>
      </c>
      <c r="E52" s="23" t="n">
        <f aca="false">Shreeji!E195</f>
        <v>0.301414979263235</v>
      </c>
      <c r="F52" s="20" t="n">
        <f aca="false">Shreeji!E80</f>
        <v>5.47098646034816</v>
      </c>
      <c r="G52" s="20" t="n">
        <f aca="false">Shreeji!E81</f>
        <v>4.05222437137331</v>
      </c>
      <c r="H52" s="20" t="n">
        <f aca="false">Shreeji!E96</f>
        <v>0.771971496437055</v>
      </c>
      <c r="I52" s="26" t="n">
        <f aca="false">Shreeji!E108</f>
        <v>106.957174535711</v>
      </c>
      <c r="J52" s="20" t="n">
        <f aca="false">Shreeji!E112</f>
        <v>4.22113884555382</v>
      </c>
      <c r="K52" s="23" t="n">
        <f aca="false">Shreeji!E124</f>
        <v>-0.0100711447842558</v>
      </c>
      <c r="L52" s="23" t="n">
        <f aca="false">Shreeji!E135</f>
        <v>-0.0135126758817331</v>
      </c>
      <c r="M52" s="23" t="n">
        <f aca="false">Shreeji!E139</f>
        <v>-0.044120623355596</v>
      </c>
      <c r="N52" s="20" t="str">
        <f aca="false">Shreeji!E152</f>
        <v>N/M</v>
      </c>
      <c r="O52" s="20" t="n">
        <f aca="false">Shreeji!E146</f>
        <v>2.39031456953642</v>
      </c>
      <c r="P52" s="20" t="n">
        <f aca="false">Shreeji!E154</f>
        <v>13.1984126984127</v>
      </c>
      <c r="Q52" s="23" t="n">
        <f aca="false">Shreeji!E138</f>
        <v>0.0456396573514956</v>
      </c>
      <c r="R52" s="20" t="n">
        <f aca="false">Shreeji!E113</f>
        <v>1.34172193640364</v>
      </c>
      <c r="S52" s="23" t="n">
        <f aca="false">Shreeji!E121</f>
        <v>0.0656934306569343</v>
      </c>
      <c r="T52" s="20" t="n">
        <f aca="false">Shreeji!E87</f>
        <v>1.96523178807947</v>
      </c>
      <c r="U52" s="44" t="n">
        <f aca="false">LN(C52)</f>
        <v>4.68425859230706</v>
      </c>
    </row>
    <row r="53" customFormat="false" ht="15" hidden="false" customHeight="false" outlineLevel="0" collapsed="false">
      <c r="A53" s="18" t="s">
        <v>116</v>
      </c>
      <c r="B53" s="18" t="n">
        <v>2022</v>
      </c>
      <c r="C53" s="73" t="n">
        <f aca="false">Shreeji!F9</f>
        <v>163.74</v>
      </c>
      <c r="D53" s="73" t="n">
        <f aca="false">Shreeji!F35</f>
        <v>89.59</v>
      </c>
      <c r="E53" s="23" t="n">
        <f aca="false">Shreeji!F195</f>
        <v>0.227480745618931</v>
      </c>
      <c r="F53" s="20" t="n">
        <f aca="false">Shreeji!F80</f>
        <v>5.46867565424267</v>
      </c>
      <c r="G53" s="20" t="n">
        <f aca="false">Shreeji!F81</f>
        <v>3.88183980967486</v>
      </c>
      <c r="H53" s="20" t="n">
        <f aca="false">Shreeji!F96</f>
        <v>3.85714285714286</v>
      </c>
      <c r="I53" s="26" t="n">
        <f aca="false">Shreeji!F108</f>
        <v>90.4029253694882</v>
      </c>
      <c r="J53" s="20" t="n">
        <f aca="false">Shreeji!F112</f>
        <v>7.26280771789754</v>
      </c>
      <c r="K53" s="23" t="n">
        <f aca="false">Shreeji!F124</f>
        <v>0.054049102235251</v>
      </c>
      <c r="L53" s="23" t="n">
        <f aca="false">Shreeji!F135</f>
        <v>0.103164888966603</v>
      </c>
      <c r="M53" s="23" t="n">
        <f aca="false">Shreeji!F139</f>
        <v>0.314498933901919</v>
      </c>
      <c r="N53" s="20" t="n">
        <f aca="false">Shreeji!F152</f>
        <v>24.0610169491525</v>
      </c>
      <c r="O53" s="20" t="n">
        <f aca="false">Shreeji!F146</f>
        <v>6.62951432129514</v>
      </c>
      <c r="P53" s="20" t="n">
        <f aca="false">Shreeji!F154</f>
        <v>12.8100050530571</v>
      </c>
      <c r="Q53" s="23" t="n">
        <f aca="false">Shreeji!F138</f>
        <v>0.160597496972144</v>
      </c>
      <c r="R53" s="20" t="n">
        <f aca="false">Shreeji!F113</f>
        <v>1.90872530162616</v>
      </c>
      <c r="S53" s="23" t="n">
        <f aca="false">Shreeji!F121</f>
        <v>0.102052033711982</v>
      </c>
      <c r="T53" s="20" t="n">
        <f aca="false">Shreeji!F87</f>
        <v>1.39663760896638</v>
      </c>
      <c r="U53" s="44" t="n">
        <f aca="false">LN(C53)</f>
        <v>5.0982798039483</v>
      </c>
    </row>
    <row r="54" customFormat="false" ht="15" hidden="false" customHeight="false" outlineLevel="0" collapsed="false">
      <c r="A54" s="18" t="s">
        <v>116</v>
      </c>
      <c r="B54" s="18" t="n">
        <v>2023</v>
      </c>
      <c r="C54" s="73" t="n">
        <f aca="false">Shreeji!G9</f>
        <v>186.44</v>
      </c>
      <c r="D54" s="73" t="n">
        <f aca="false">Shreeji!G35</f>
        <v>104.66</v>
      </c>
      <c r="E54" s="23" t="n">
        <f aca="false">Shreeji!G195</f>
        <v>0.192623733995796</v>
      </c>
      <c r="F54" s="20" t="n">
        <f aca="false">Shreeji!G80</f>
        <v>4.13758389261745</v>
      </c>
      <c r="G54" s="20" t="n">
        <f aca="false">Shreeji!G81</f>
        <v>3.47651006711409</v>
      </c>
      <c r="H54" s="20" t="n">
        <f aca="false">Shreeji!G96</f>
        <v>4.60377358490566</v>
      </c>
      <c r="I54" s="26" t="n">
        <f aca="false">Shreeji!G108</f>
        <v>97.9748176357005</v>
      </c>
      <c r="J54" s="20" t="n">
        <f aca="false">Shreeji!G112</f>
        <v>9.19782930439073</v>
      </c>
      <c r="K54" s="23" t="n">
        <f aca="false">Shreeji!G124</f>
        <v>0.0519201888006865</v>
      </c>
      <c r="L54" s="23" t="n">
        <f aca="false">Shreeji!G135</f>
        <v>0.0996653796653797</v>
      </c>
      <c r="M54" s="23" t="n">
        <f aca="false">Shreeji!G139</f>
        <v>0.265460030165912</v>
      </c>
      <c r="N54" s="20" t="n">
        <f aca="false">Shreeji!G152</f>
        <v>35.997055785124</v>
      </c>
      <c r="O54" s="20" t="n">
        <f aca="false">Shreeji!G146</f>
        <v>8.53838519970596</v>
      </c>
      <c r="P54" s="20" t="n">
        <f aca="false">Shreeji!G154</f>
        <v>18.967294520548</v>
      </c>
      <c r="Q54" s="23" t="n">
        <f aca="false">Shreeji!G138</f>
        <v>0.151182806149722</v>
      </c>
      <c r="R54" s="20" t="n">
        <f aca="false">Shreeji!G113</f>
        <v>1.91958815958816</v>
      </c>
      <c r="S54" s="23" t="n">
        <f aca="false">Shreeji!G121</f>
        <v>0.10528856468569</v>
      </c>
      <c r="T54" s="20" t="n">
        <f aca="false">Shreeji!G87</f>
        <v>1.12643959813771</v>
      </c>
      <c r="U54" s="44" t="n">
        <f aca="false">LN(C54)</f>
        <v>5.22810947150454</v>
      </c>
    </row>
    <row r="55" customFormat="false" ht="15" hidden="false" customHeight="false" outlineLevel="0" collapsed="false">
      <c r="A55" s="18" t="s">
        <v>116</v>
      </c>
      <c r="B55" s="18" t="n">
        <v>2024</v>
      </c>
      <c r="C55" s="73" t="n">
        <f aca="false">Shreeji!H9</f>
        <v>250.5</v>
      </c>
      <c r="D55" s="73" t="n">
        <f aca="false">Shreeji!H35</f>
        <v>120.4</v>
      </c>
      <c r="E55" s="23" t="n">
        <f aca="false">Shreeji!H195</f>
        <v>0.275913621262458</v>
      </c>
      <c r="F55" s="20" t="n">
        <f aca="false">Shreeji!H80</f>
        <v>4.7823629169022</v>
      </c>
      <c r="G55" s="20" t="n">
        <f aca="false">Shreeji!H81</f>
        <v>3.92425098925947</v>
      </c>
      <c r="H55" s="20" t="n">
        <f aca="false">Shreeji!H96</f>
        <v>5.32056451612903</v>
      </c>
      <c r="I55" s="26" t="n">
        <f aca="false">Shreeji!H108</f>
        <v>87.650998003992</v>
      </c>
      <c r="J55" s="20" t="n">
        <f aca="false">Shreeji!H112</f>
        <v>9.38553765455227</v>
      </c>
      <c r="K55" s="23" t="n">
        <f aca="false">Shreeji!H124</f>
        <v>0.0649900199600799</v>
      </c>
      <c r="L55" s="23" t="n">
        <f aca="false">Shreeji!H135</f>
        <v>0.144672531769306</v>
      </c>
      <c r="M55" s="23" t="n">
        <f aca="false">Shreeji!H139</f>
        <v>0.336502687060769</v>
      </c>
      <c r="N55" s="20" t="n">
        <f aca="false">Shreeji!H152</f>
        <v>11.1719778869779</v>
      </c>
      <c r="O55" s="20" t="n">
        <f aca="false">Shreeji!H146</f>
        <v>3.25075603217158</v>
      </c>
      <c r="P55" s="20" t="n">
        <f aca="false">Shreeji!H154</f>
        <v>7.27596753246753</v>
      </c>
      <c r="Q55" s="23" t="n">
        <f aca="false">Shreeji!H138</f>
        <v>0.211469857187455</v>
      </c>
      <c r="R55" s="20" t="n">
        <f aca="false">Shreeji!H113</f>
        <v>2.22607304718742</v>
      </c>
      <c r="S55" s="23" t="n">
        <f aca="false">Shreeji!H121</f>
        <v>0.0753692614770459</v>
      </c>
      <c r="T55" s="20" t="n">
        <f aca="false">Shreeji!H87</f>
        <v>0.835746201966041</v>
      </c>
      <c r="U55" s="44" t="n">
        <f aca="false">LN(C55)</f>
        <v>5.52345892052492</v>
      </c>
    </row>
    <row r="56" customFormat="false" ht="15" hidden="false" customHeight="false" outlineLevel="0" collapsed="false">
      <c r="A56" s="18" t="s">
        <v>116</v>
      </c>
      <c r="B56" s="18" t="n">
        <v>2025</v>
      </c>
      <c r="C56" s="73" t="n">
        <f aca="false">Shreeji!I9</f>
        <v>220.18</v>
      </c>
      <c r="D56" s="73" t="n">
        <f aca="false">Shreeji!I35</f>
        <v>114.99</v>
      </c>
      <c r="E56" s="23" t="n">
        <f aca="false">Shreeji!I195</f>
        <v>0.251152274110792</v>
      </c>
      <c r="F56" s="20" t="n">
        <f aca="false">Shreeji!I80</f>
        <v>4.93693693693694</v>
      </c>
      <c r="G56" s="20" t="n">
        <f aca="false">Shreeji!I81</f>
        <v>4.13213213213213</v>
      </c>
      <c r="H56" s="20" t="n">
        <f aca="false">Shreeji!I96</f>
        <v>1.52054794520548</v>
      </c>
      <c r="I56" s="26" t="n">
        <f aca="false">Shreeji!I108</f>
        <v>104.42898991734</v>
      </c>
      <c r="J56" s="20" t="n">
        <f aca="false">Shreeji!I112</f>
        <v>7.09114331723028</v>
      </c>
      <c r="K56" s="23" t="n">
        <f aca="false">Shreeji!I124</f>
        <v>0.00694886002361704</v>
      </c>
      <c r="L56" s="23" t="n">
        <f aca="false">Shreeji!I135</f>
        <v>0.0129997026211819</v>
      </c>
      <c r="M56" s="23" t="n">
        <f aca="false">Shreeji!I139</f>
        <v>0.0271445045684379</v>
      </c>
      <c r="N56" s="20" t="n">
        <f aca="false">Shreeji!I152</f>
        <v>40.4323529411765</v>
      </c>
      <c r="O56" s="20" t="n">
        <f aca="false">Shreeji!I146</f>
        <v>1.0894945403311</v>
      </c>
      <c r="P56" s="20" t="n">
        <f aca="false">Shreeji!I154</f>
        <v>8.33172323759791</v>
      </c>
      <c r="Q56" s="23" t="n">
        <f aca="false">Shreeji!I138</f>
        <v>0.0447492768229951</v>
      </c>
      <c r="R56" s="20" t="n">
        <f aca="false">Shreeji!I113</f>
        <v>1.87076766217766</v>
      </c>
      <c r="S56" s="23" t="n">
        <f aca="false">Shreeji!I121</f>
        <v>0.0409664819692979</v>
      </c>
      <c r="T56" s="20" t="n">
        <f aca="false">Shreeji!I87</f>
        <v>0.731947868967947</v>
      </c>
      <c r="U56" s="44" t="n">
        <f aca="false">LN(C56)</f>
        <v>5.39444539364226</v>
      </c>
    </row>
    <row r="57" customFormat="false" ht="15" hidden="false" customHeight="false" outlineLevel="0" collapsed="false">
      <c r="A57" s="18" t="s">
        <v>116</v>
      </c>
      <c r="B57" s="18" t="n">
        <v>2026</v>
      </c>
      <c r="C57" s="73" t="n">
        <f aca="false">Shreeji!J9</f>
        <v>234.29</v>
      </c>
      <c r="D57" s="73" t="n">
        <f aca="false">Shreeji!J35</f>
        <v>119.52</v>
      </c>
      <c r="E57" s="23" t="n">
        <f aca="false">Shreeji!J195</f>
        <v>0.208668005354752</v>
      </c>
      <c r="F57" s="20" t="n">
        <f aca="false">Shreeji!J80</f>
        <v>4.77197518097208</v>
      </c>
      <c r="G57" s="20" t="n">
        <f aca="false">Shreeji!J81</f>
        <v>4.17735263702172</v>
      </c>
      <c r="H57" s="20" t="n">
        <f aca="false">Shreeji!J96</f>
        <v>1.85576923076923</v>
      </c>
      <c r="I57" s="26" t="n">
        <f aca="false">Shreeji!J108</f>
        <v>105.555401425584</v>
      </c>
      <c r="J57" s="20" t="n">
        <f aca="false">Shreeji!J112</f>
        <v>8.70642883686362</v>
      </c>
      <c r="K57" s="23" t="n">
        <f aca="false">Shreeji!J124</f>
        <v>0.013487558154424</v>
      </c>
      <c r="L57" s="23" t="n">
        <f aca="false">Shreeji!J135</f>
        <v>0.0269498102426336</v>
      </c>
      <c r="M57" s="23" t="n">
        <f aca="false">Shreeji!J139</f>
        <v>0.054067927110959</v>
      </c>
      <c r="N57" s="20" t="n">
        <f aca="false">Shreeji!J152</f>
        <v>13.0067088607595</v>
      </c>
      <c r="O57" s="20" t="n">
        <f aca="false">Shreeji!J146</f>
        <v>0.683766428214939</v>
      </c>
      <c r="P57" s="20" t="n">
        <f aca="false">Shreeji!J154</f>
        <v>6.38064846416382</v>
      </c>
      <c r="Q57" s="23" t="n">
        <f aca="false">Shreeji!J138</f>
        <v>0.0690367143830639</v>
      </c>
      <c r="R57" s="20" t="n">
        <f aca="false">Shreeji!J113</f>
        <v>1.99812374738817</v>
      </c>
      <c r="S57" s="23" t="n">
        <f aca="false">Shreeji!J121</f>
        <v>0.0330786631951855</v>
      </c>
      <c r="T57" s="20" t="n">
        <f aca="false">Shreeji!J87</f>
        <v>0.666611212776576</v>
      </c>
      <c r="U57" s="44" t="n">
        <f aca="false">LN(C57)</f>
        <v>5.45655966427855</v>
      </c>
    </row>
    <row r="58" customFormat="false" ht="15" hidden="false" customHeight="false" outlineLevel="0" collapsed="false">
      <c r="A58" s="18" t="s">
        <v>117</v>
      </c>
      <c r="B58" s="18" t="n">
        <v>2020</v>
      </c>
      <c r="C58" s="73" t="n">
        <f aca="false">MahindraLog!D9</f>
        <v>3471.14</v>
      </c>
      <c r="D58" s="73" t="n">
        <f aca="false">MahindraLog!D35</f>
        <v>1421.84</v>
      </c>
      <c r="E58" s="23" t="n">
        <f aca="false">MahindraLog!D195</f>
        <v>0.162437405052608</v>
      </c>
      <c r="F58" s="20" t="n">
        <f aca="false">MahindraLog!D80</f>
        <v>1.73504564352188</v>
      </c>
      <c r="G58" s="20" t="n">
        <f aca="false">MahindraLog!D81</f>
        <v>0.93973871487964</v>
      </c>
      <c r="H58" s="20" t="n">
        <f aca="false">MahindraLog!D96</f>
        <v>5.60521837776517</v>
      </c>
      <c r="I58" s="26" t="n">
        <f aca="false">MahindraLog!D108</f>
        <v>55.4102542680503</v>
      </c>
      <c r="J58" s="20" t="n">
        <f aca="false">MahindraLog!D112</f>
        <v>22.9671485757766</v>
      </c>
      <c r="K58" s="23" t="n">
        <f aca="false">MahindraLog!D124</f>
        <v>0.0158795093254666</v>
      </c>
      <c r="L58" s="23" t="n">
        <f aca="false">MahindraLog!D135</f>
        <v>0.0419650164639601</v>
      </c>
      <c r="M58" s="23" t="n">
        <f aca="false">MahindraLog!D139</f>
        <v>0.105708285788257</v>
      </c>
      <c r="N58" s="20" t="n">
        <f aca="false">MahindraLog!D152</f>
        <v>36.924992743106</v>
      </c>
      <c r="O58" s="20" t="n">
        <f aca="false">MahindraLog!D146</f>
        <v>3.73690553566511</v>
      </c>
      <c r="P58" s="20" t="n">
        <f aca="false">MahindraLog!D154</f>
        <v>12.4068249637155</v>
      </c>
      <c r="Q58" s="23" t="n">
        <f aca="false">MahindraLog!D138</f>
        <v>0.105300363544567</v>
      </c>
      <c r="R58" s="20" t="n">
        <f aca="false">MahindraLog!D113</f>
        <v>2.64271493557167</v>
      </c>
      <c r="S58" s="23" t="n">
        <f aca="false">MahindraLog!D121</f>
        <v>0.0456564702086345</v>
      </c>
      <c r="T58" s="20" t="n">
        <f aca="false">MahindraLog!D87</f>
        <v>0.369595152850454</v>
      </c>
      <c r="U58" s="44" t="n">
        <f aca="false">LN(C58)</f>
        <v>8.15223834924602</v>
      </c>
    </row>
    <row r="59" customFormat="false" ht="15" hidden="false" customHeight="false" outlineLevel="0" collapsed="false">
      <c r="A59" s="18" t="s">
        <v>117</v>
      </c>
      <c r="B59" s="18" t="n">
        <v>2021</v>
      </c>
      <c r="C59" s="73" t="n">
        <f aca="false">MahindraLog!E9</f>
        <v>3263.72</v>
      </c>
      <c r="D59" s="73" t="n">
        <f aca="false">MahindraLog!E35</f>
        <v>1686.93</v>
      </c>
      <c r="E59" s="23" t="n">
        <f aca="false">MahindraLog!E195</f>
        <v>0.213832227774715</v>
      </c>
      <c r="F59" s="20" t="n">
        <f aca="false">MahindraLog!E80</f>
        <v>1.49293022051119</v>
      </c>
      <c r="G59" s="20" t="n">
        <f aca="false">MahindraLog!E81</f>
        <v>0.80454208314202</v>
      </c>
      <c r="H59" s="20" t="n">
        <f aca="false">MahindraLog!E96</f>
        <v>2.95121951219512</v>
      </c>
      <c r="I59" s="26" t="n">
        <f aca="false">MahindraLog!E108</f>
        <v>57.1049216844582</v>
      </c>
      <c r="J59" s="20" t="n">
        <f aca="false">MahindraLog!E112</f>
        <v>11.0320443482964</v>
      </c>
      <c r="K59" s="23" t="n">
        <f aca="false">MahindraLog!E124</f>
        <v>0.00919196499699729</v>
      </c>
      <c r="L59" s="23" t="n">
        <f aca="false">MahindraLog!E135</f>
        <v>0.0193002377145945</v>
      </c>
      <c r="M59" s="23" t="n">
        <f aca="false">MahindraLog!E139</f>
        <v>0.0539224056582578</v>
      </c>
      <c r="N59" s="20" t="n">
        <f aca="false">MahindraLog!E152</f>
        <v>173.7146</v>
      </c>
      <c r="O59" s="20" t="n">
        <f aca="false">MahindraLog!E146</f>
        <v>9.17409780656973</v>
      </c>
      <c r="P59" s="20" t="n">
        <f aca="false">MahindraLog!E154</f>
        <v>35.4716530146368</v>
      </c>
      <c r="Q59" s="23" t="n">
        <f aca="false">MahindraLog!E138</f>
        <v>0.0557436422080342</v>
      </c>
      <c r="R59" s="20" t="n">
        <f aca="false">MahindraLog!E113</f>
        <v>2.09968572779588</v>
      </c>
      <c r="S59" s="23" t="n">
        <f aca="false">MahindraLog!E121</f>
        <v>0.041265794859853</v>
      </c>
      <c r="T59" s="20" t="n">
        <f aca="false">MahindraLog!E87</f>
        <v>0.474386508467416</v>
      </c>
      <c r="U59" s="44" t="n">
        <f aca="false">LN(C59)</f>
        <v>8.09062292809059</v>
      </c>
    </row>
    <row r="60" customFormat="false" ht="15" hidden="false" customHeight="false" outlineLevel="0" collapsed="false">
      <c r="A60" s="18" t="s">
        <v>117</v>
      </c>
      <c r="B60" s="18" t="n">
        <v>2022</v>
      </c>
      <c r="C60" s="73" t="n">
        <f aca="false">MahindraLog!F9</f>
        <v>4140.76</v>
      </c>
      <c r="D60" s="73" t="n">
        <f aca="false">MahindraLog!F35</f>
        <v>1975.44</v>
      </c>
      <c r="E60" s="23" t="n">
        <f aca="false">MahindraLog!F195</f>
        <v>0.253386587291945</v>
      </c>
      <c r="F60" s="20" t="n">
        <f aca="false">MahindraLog!F80</f>
        <v>1.30859002084673</v>
      </c>
      <c r="G60" s="20" t="n">
        <f aca="false">MahindraLog!F81</f>
        <v>0.607117111851462</v>
      </c>
      <c r="H60" s="20" t="n">
        <f aca="false">MahindraLog!F96</f>
        <v>1.88229376257545</v>
      </c>
      <c r="I60" s="26" t="n">
        <f aca="false">MahindraLog!F108</f>
        <v>42.9501468329485</v>
      </c>
      <c r="J60" s="20" t="n">
        <f aca="false">MahindraLog!F112</f>
        <v>9.61547482206509</v>
      </c>
      <c r="K60" s="23" t="n">
        <f aca="false">MahindraLog!F124</f>
        <v>0.00424076739535737</v>
      </c>
      <c r="L60" s="23" t="n">
        <f aca="false">MahindraLog!F135</f>
        <v>0.00958941887357094</v>
      </c>
      <c r="M60" s="23" t="n">
        <f aca="false">MahindraLog!F139</f>
        <v>0.0315107578014248</v>
      </c>
      <c r="N60" s="20" t="n">
        <f aca="false">MahindraLog!F152</f>
        <v>259.096810933941</v>
      </c>
      <c r="O60" s="20" t="n">
        <f aca="false">MahindraLog!F146</f>
        <v>8.32553798858147</v>
      </c>
      <c r="P60" s="20" t="n">
        <f aca="false">MahindraLog!F154</f>
        <v>24.3509224159717</v>
      </c>
      <c r="Q60" s="23" t="n">
        <f aca="false">MahindraLog!F138</f>
        <v>0.0359700239715396</v>
      </c>
      <c r="R60" s="20" t="n">
        <f aca="false">MahindraLog!F113</f>
        <v>2.26124613296854</v>
      </c>
      <c r="S60" s="23" t="n">
        <f aca="false">MahindraLog!F121</f>
        <v>0.0445232276200503</v>
      </c>
      <c r="T60" s="20" t="n">
        <f aca="false">MahindraLog!F87</f>
        <v>0.736385595081247</v>
      </c>
      <c r="U60" s="44" t="n">
        <f aca="false">LN(C60)</f>
        <v>8.32863462485078</v>
      </c>
    </row>
    <row r="61" customFormat="false" ht="15" hidden="false" customHeight="false" outlineLevel="0" collapsed="false">
      <c r="A61" s="18" t="s">
        <v>117</v>
      </c>
      <c r="B61" s="18" t="n">
        <v>2023</v>
      </c>
      <c r="C61" s="73" t="n">
        <f aca="false">MahindraLog!G9</f>
        <v>5128.29</v>
      </c>
      <c r="D61" s="73" t="n">
        <f aca="false">MahindraLog!G35</f>
        <v>2552.94</v>
      </c>
      <c r="E61" s="23" t="n">
        <f aca="false">MahindraLog!G195</f>
        <v>0.324990011516134</v>
      </c>
      <c r="F61" s="20" t="n">
        <f aca="false">MahindraLog!G80</f>
        <v>1.39956965831907</v>
      </c>
      <c r="G61" s="20" t="n">
        <f aca="false">MahindraLog!G81</f>
        <v>0.672923039698588</v>
      </c>
      <c r="H61" s="20" t="n">
        <f aca="false">MahindraLog!G96</f>
        <v>1.66976924568548</v>
      </c>
      <c r="I61" s="26" t="n">
        <f aca="false">MahindraLog!G108</f>
        <v>40.6185443880904</v>
      </c>
      <c r="J61" s="20" t="n">
        <f aca="false">MahindraLog!G112</f>
        <v>7.71038091157168</v>
      </c>
      <c r="K61" s="23" t="n">
        <f aca="false">MahindraLog!G124</f>
        <v>0.00512451518927362</v>
      </c>
      <c r="L61" s="23" t="n">
        <f aca="false">MahindraLog!G135</f>
        <v>0.0116067997827037</v>
      </c>
      <c r="M61" s="23" t="n">
        <f aca="false">MahindraLog!G139</f>
        <v>0.047430402021387</v>
      </c>
      <c r="N61" s="20" t="n">
        <f aca="false">MahindraLog!G152</f>
        <v>121.802397260274</v>
      </c>
      <c r="O61" s="20" t="n">
        <f aca="false">MahindraLog!G146</f>
        <v>5.69901721651504</v>
      </c>
      <c r="P61" s="20" t="n">
        <f aca="false">MahindraLog!G154</f>
        <v>14.1823119625558</v>
      </c>
      <c r="Q61" s="23" t="n">
        <f aca="false">MahindraLog!G138</f>
        <v>0.0583117716940878</v>
      </c>
      <c r="R61" s="20" t="n">
        <f aca="false">MahindraLog!G113</f>
        <v>2.26495567951453</v>
      </c>
      <c r="S61" s="23" t="n">
        <f aca="false">MahindraLog!G121</f>
        <v>0.0507030608643426</v>
      </c>
      <c r="T61" s="20" t="n">
        <f aca="false">MahindraLog!G87</f>
        <v>1.48494667687432</v>
      </c>
      <c r="U61" s="44" t="n">
        <f aca="false">LN(C61)</f>
        <v>8.54252754926358</v>
      </c>
    </row>
    <row r="62" customFormat="false" ht="15" hidden="false" customHeight="false" outlineLevel="0" collapsed="false">
      <c r="A62" s="18" t="s">
        <v>117</v>
      </c>
      <c r="B62" s="18" t="n">
        <v>2024</v>
      </c>
      <c r="C62" s="73" t="n">
        <f aca="false">MahindraLog!H9</f>
        <v>5505.97</v>
      </c>
      <c r="D62" s="73" t="n">
        <f aca="false">MahindraLog!H35</f>
        <v>2477.2</v>
      </c>
      <c r="E62" s="23" t="n">
        <f aca="false">MahindraLog!H195</f>
        <v>0.337554497012756</v>
      </c>
      <c r="F62" s="20" t="n">
        <f aca="false">MahindraLog!H80</f>
        <v>1.29986992548818</v>
      </c>
      <c r="G62" s="20" t="n">
        <f aca="false">MahindraLog!H81</f>
        <v>0.620640095066804</v>
      </c>
      <c r="H62" s="20" t="n">
        <f aca="false">MahindraLog!H96</f>
        <v>0.612822769953052</v>
      </c>
      <c r="I62" s="26" t="n">
        <f aca="false">MahindraLog!H108</f>
        <v>44.8923940740687</v>
      </c>
      <c r="J62" s="20" t="n">
        <f aca="false">MahindraLog!H112</f>
        <v>6.61032373474521</v>
      </c>
      <c r="K62" s="23" t="n">
        <f aca="false">MahindraLog!H124</f>
        <v>-0.00994193575337316</v>
      </c>
      <c r="L62" s="23" t="n">
        <f aca="false">MahindraLog!H135</f>
        <v>-0.0217648017749009</v>
      </c>
      <c r="M62" s="23" t="n">
        <f aca="false">MahindraLog!H139</f>
        <v>-0.103857172671562</v>
      </c>
      <c r="N62" s="20" t="str">
        <f aca="false">MahindraLog!H152</f>
        <v>N/M</v>
      </c>
      <c r="O62" s="20" t="n">
        <f aca="false">MahindraLog!H146</f>
        <v>7.5007371007371</v>
      </c>
      <c r="P62" s="20" t="n">
        <f aca="false">MahindraLog!H154</f>
        <v>17.3955495294305</v>
      </c>
      <c r="Q62" s="23" t="n">
        <f aca="false">MahindraLog!H138</f>
        <v>0.0317947234612633</v>
      </c>
      <c r="R62" s="20" t="n">
        <f aca="false">MahindraLog!H113</f>
        <v>2.18919155331661</v>
      </c>
      <c r="S62" s="23" t="n">
        <f aca="false">MahindraLog!H121</f>
        <v>0.0419980493900257</v>
      </c>
      <c r="T62" s="20" t="n">
        <f aca="false">MahindraLog!H87</f>
        <v>1.50118788961764</v>
      </c>
      <c r="U62" s="44" t="n">
        <f aca="false">LN(C62)</f>
        <v>8.61358823708618</v>
      </c>
    </row>
    <row r="63" customFormat="false" ht="15" hidden="false" customHeight="false" outlineLevel="0" collapsed="false">
      <c r="A63" s="18" t="s">
        <v>117</v>
      </c>
      <c r="B63" s="18" t="n">
        <v>2025</v>
      </c>
      <c r="C63" s="73" t="n">
        <f aca="false">MahindraLog!I9</f>
        <v>6104.83</v>
      </c>
      <c r="D63" s="73" t="n">
        <f aca="false">MahindraLog!I35</f>
        <v>2578.8</v>
      </c>
      <c r="E63" s="23" t="n">
        <f aca="false">MahindraLog!I195</f>
        <v>0.360462230494804</v>
      </c>
      <c r="F63" s="20" t="n">
        <f aca="false">MahindraLog!I80</f>
        <v>1.24266983193674</v>
      </c>
      <c r="G63" s="20" t="n">
        <f aca="false">MahindraLog!I81</f>
        <v>0.551095005266716</v>
      </c>
      <c r="H63" s="20" t="n">
        <f aca="false">MahindraLog!I96</f>
        <v>0.905553503263145</v>
      </c>
      <c r="I63" s="26" t="n">
        <f aca="false">MahindraLog!I108</f>
        <v>39.6698188155936</v>
      </c>
      <c r="J63" s="20" t="n">
        <f aca="false">MahindraLog!I112</f>
        <v>6.91471612629194</v>
      </c>
      <c r="K63" s="23" t="n">
        <f aca="false">MahindraLog!I124</f>
        <v>-0.00587239939523296</v>
      </c>
      <c r="L63" s="23" t="n">
        <f aca="false">MahindraLog!I135</f>
        <v>-0.014181170886076</v>
      </c>
      <c r="M63" s="23" t="n">
        <f aca="false">MahindraLog!I139</f>
        <v>-0.077067770194013</v>
      </c>
      <c r="N63" s="20" t="str">
        <f aca="false">MahindraLog!I152</f>
        <v>N/M</v>
      </c>
      <c r="O63" s="20" t="n">
        <f aca="false">MahindraLog!I146</f>
        <v>5.40856124965744</v>
      </c>
      <c r="P63" s="20" t="n">
        <f aca="false">MahindraLog!I154</f>
        <v>10.5419555792703</v>
      </c>
      <c r="Q63" s="23" t="n">
        <f aca="false">MahindraLog!I138</f>
        <v>0.0579415541951292</v>
      </c>
      <c r="R63" s="20" t="n">
        <f aca="false">MahindraLog!I113</f>
        <v>2.41488528481013</v>
      </c>
      <c r="S63" s="23" t="n">
        <f aca="false">MahindraLog!I121</f>
        <v>0.0465844257743459</v>
      </c>
      <c r="T63" s="20" t="n">
        <f aca="false">MahindraLog!I87</f>
        <v>1.98405955969672</v>
      </c>
      <c r="U63" s="44" t="n">
        <f aca="false">LN(C63)</f>
        <v>8.71683554012925</v>
      </c>
    </row>
    <row r="64" customFormat="false" ht="15" hidden="false" customHeight="false" outlineLevel="0" collapsed="false">
      <c r="A64" s="18" t="s">
        <v>117</v>
      </c>
      <c r="B64" s="18" t="n">
        <v>2026</v>
      </c>
      <c r="C64" s="73" t="n">
        <f aca="false">MahindraLog!J9</f>
        <v>6999.3</v>
      </c>
      <c r="D64" s="73" t="n">
        <f aca="false">MahindraLog!J35</f>
        <v>3105.01</v>
      </c>
      <c r="E64" s="23" t="n">
        <f aca="false">MahindraLog!J195</f>
        <v>0.369551144762819</v>
      </c>
      <c r="F64" s="20" t="n">
        <f aca="false">MahindraLog!J80</f>
        <v>1.41224384605773</v>
      </c>
      <c r="G64" s="20" t="n">
        <f aca="false">MahindraLog!J81</f>
        <v>0.694380232412845</v>
      </c>
      <c r="H64" s="20" t="n">
        <f aca="false">MahindraLog!J96</f>
        <v>1.44201546254332</v>
      </c>
      <c r="I64" s="26" t="n">
        <f aca="false">MahindraLog!J108</f>
        <v>34.279274356007</v>
      </c>
      <c r="J64" s="20" t="n">
        <f aca="false">MahindraLog!J112</f>
        <v>6.73975214489991</v>
      </c>
      <c r="K64" s="23" t="n">
        <f aca="false">MahindraLog!J124</f>
        <v>0.000327175574700327</v>
      </c>
      <c r="L64" s="23" t="n">
        <f aca="false">MahindraLog!J135</f>
        <v>0.000805797519621521</v>
      </c>
      <c r="M64" s="23" t="n">
        <f aca="false">MahindraLog!J139</f>
        <v>0.00284002827626406</v>
      </c>
      <c r="N64" s="20" t="n">
        <f aca="false">MahindraLog!J152</f>
        <v>1441.64890829694</v>
      </c>
      <c r="O64" s="20" t="n">
        <f aca="false">MahindraLog!J146</f>
        <v>2.81020786870733</v>
      </c>
      <c r="P64" s="20" t="n">
        <f aca="false">MahindraLog!J154</f>
        <v>9.71785001942754</v>
      </c>
      <c r="Q64" s="23" t="n">
        <f aca="false">MahindraLog!J138</f>
        <v>0.0220256136427835</v>
      </c>
      <c r="R64" s="20" t="n">
        <f aca="false">MahindraLog!J113</f>
        <v>2.46289020920826</v>
      </c>
      <c r="S64" s="23" t="n">
        <f aca="false">MahindraLog!J121</f>
        <v>0.0541196976840541</v>
      </c>
      <c r="T64" s="20" t="n">
        <f aca="false">MahindraLog!J87</f>
        <v>0.553082279235261</v>
      </c>
      <c r="U64" s="44" t="n">
        <f aca="false">LN(C64)</f>
        <v>8.85356542303712</v>
      </c>
    </row>
    <row r="65" customFormat="false" ht="15" hidden="false" customHeight="false" outlineLevel="0" collapsed="false">
      <c r="A65" s="18" t="s">
        <v>115</v>
      </c>
      <c r="B65" s="18" t="n">
        <v>2020</v>
      </c>
      <c r="C65" s="73" t="n">
        <f aca="false">Sical!D9</f>
        <v>1005.84</v>
      </c>
      <c r="D65" s="73" t="n">
        <f aca="false">Sical!D35</f>
        <v>2766.94</v>
      </c>
      <c r="E65" s="23" t="n">
        <f aca="false">Sical!D195</f>
        <v>0.339718244703535</v>
      </c>
      <c r="F65" s="20" t="n">
        <f aca="false">Sical!D80</f>
        <v>0.538800590367373</v>
      </c>
      <c r="G65" s="20" t="n">
        <f aca="false">Sical!D81</f>
        <v>0.29196076265826</v>
      </c>
      <c r="H65" s="20" t="n">
        <f aca="false">Sical!D96</f>
        <v>-1.41665151790584</v>
      </c>
      <c r="I65" s="26" t="n">
        <f aca="false">Sical!D108</f>
        <v>115.648288992285</v>
      </c>
      <c r="J65" s="20" t="n">
        <f aca="false">Sical!D112</f>
        <v>1.08897213260291</v>
      </c>
      <c r="K65" s="23" t="n">
        <f aca="false">Sical!D124</f>
        <v>-0.106418515867335</v>
      </c>
      <c r="L65" s="23" t="n">
        <f aca="false">Sical!D135</f>
        <v>-0.0388118582119858</v>
      </c>
      <c r="M65" s="23" t="n">
        <f aca="false">Sical!D139</f>
        <v>-0.19565336599097</v>
      </c>
      <c r="N65" s="20" t="str">
        <f aca="false">Sical!D152</f>
        <v>N/M</v>
      </c>
      <c r="O65" s="20" t="n">
        <f aca="false">Sical!D146</f>
        <v>0.0629980150498271</v>
      </c>
      <c r="P65" s="20" t="n">
        <f aca="false">Sical!D154</f>
        <v>193.24633803681</v>
      </c>
      <c r="Q65" s="23" t="n">
        <f aca="false">Sical!D138</f>
        <v>-0.0411550668842451</v>
      </c>
      <c r="R65" s="20" t="n">
        <f aca="false">Sical!D113</f>
        <v>0.364709636247607</v>
      </c>
      <c r="S65" s="23" t="n">
        <f aca="false">Sical!D121</f>
        <v>-0.0223395371033165</v>
      </c>
      <c r="T65" s="20" t="n">
        <f aca="false">Sical!D87</f>
        <v>2.60168802115111</v>
      </c>
      <c r="U65" s="44" t="n">
        <f aca="false">LN(C65)</f>
        <v>6.91357829228493</v>
      </c>
    </row>
    <row r="66" customFormat="false" ht="15" hidden="false" customHeight="false" outlineLevel="0" collapsed="false">
      <c r="A66" s="18" t="s">
        <v>115</v>
      </c>
      <c r="B66" s="18" t="n">
        <v>2021</v>
      </c>
      <c r="C66" s="73" t="n">
        <f aca="false">Sical!E9</f>
        <v>503.63</v>
      </c>
      <c r="D66" s="73" t="n">
        <f aca="false">Sical!E35</f>
        <v>1731.06</v>
      </c>
      <c r="E66" s="23" t="n">
        <f aca="false">Sical!E195</f>
        <v>0.48494564024355</v>
      </c>
      <c r="F66" s="20" t="n">
        <f aca="false">Sical!E80</f>
        <v>0.430409645350067</v>
      </c>
      <c r="G66" s="20" t="n">
        <f aca="false">Sical!E81</f>
        <v>0.244509271663259</v>
      </c>
      <c r="H66" s="20" t="n">
        <f aca="false">Sical!E96</f>
        <v>-7.38206767727567</v>
      </c>
      <c r="I66" s="26" t="n">
        <f aca="false">Sical!E108</f>
        <v>164.276452951572</v>
      </c>
      <c r="J66" s="20" t="n">
        <f aca="false">Sical!E112</f>
        <v>0.566051307988423</v>
      </c>
      <c r="K66" s="23" t="n">
        <f aca="false">Sical!E124</f>
        <v>-2.3024442547108</v>
      </c>
      <c r="L66" s="23" t="n">
        <f aca="false">Sical!E135</f>
        <v>-0.515598043574922</v>
      </c>
      <c r="M66" s="23" t="str">
        <f aca="false">Sical!E139</f>
        <v>N/M</v>
      </c>
      <c r="N66" s="20" t="str">
        <f aca="false">Sical!E152</f>
        <v>N/M</v>
      </c>
      <c r="O66" s="20" t="str">
        <f aca="false">Sical!E146</f>
        <v>N/M</v>
      </c>
      <c r="P66" s="20" t="str">
        <f aca="false">Sical!E154</f>
        <v>N/M</v>
      </c>
      <c r="Q66" s="23" t="n">
        <f aca="false">Sical!E138</f>
        <v>-0.868060336998441</v>
      </c>
      <c r="R66" s="20" t="n">
        <f aca="false">Sical!E113</f>
        <v>0.223935082258782</v>
      </c>
      <c r="S66" s="23" t="n">
        <f aca="false">Sical!E121</f>
        <v>-0.0187637749935467</v>
      </c>
      <c r="T66" s="20" t="str">
        <f aca="false">Sical!E87</f>
        <v>N/M</v>
      </c>
      <c r="U66" s="44" t="n">
        <f aca="false">LN(C66)</f>
        <v>6.22184187148407</v>
      </c>
    </row>
    <row r="67" customFormat="false" ht="15" hidden="false" customHeight="false" outlineLevel="0" collapsed="false">
      <c r="A67" s="18" t="s">
        <v>115</v>
      </c>
      <c r="B67" s="18" t="n">
        <v>2022</v>
      </c>
      <c r="C67" s="73" t="n">
        <f aca="false">Sical!F9</f>
        <v>348.87</v>
      </c>
      <c r="D67" s="73" t="n">
        <f aca="false">Sical!F35</f>
        <v>1565.58</v>
      </c>
      <c r="E67" s="23" t="n">
        <f aca="false">Sical!F195</f>
        <v>0.487998058227622</v>
      </c>
      <c r="F67" s="20" t="n">
        <f aca="false">Sical!F80</f>
        <v>0.537716727382289</v>
      </c>
      <c r="G67" s="20" t="n">
        <f aca="false">Sical!F81</f>
        <v>0.312621545372374</v>
      </c>
      <c r="H67" s="20" t="n">
        <f aca="false">Sical!F96</f>
        <v>-10.8144329896907</v>
      </c>
      <c r="I67" s="26" t="n">
        <f aca="false">Sical!F108</f>
        <v>185.476538538711</v>
      </c>
      <c r="J67" s="20" t="n">
        <f aca="false">Sical!F112</f>
        <v>0.435143781922955</v>
      </c>
      <c r="K67" s="23" t="n">
        <f aca="false">Sical!F124</f>
        <v>-0.746467165419784</v>
      </c>
      <c r="L67" s="23" t="n">
        <f aca="false">Sical!F135</f>
        <v>-0.157991166763735</v>
      </c>
      <c r="M67" s="23" t="str">
        <f aca="false">Sical!F139</f>
        <v>N/M</v>
      </c>
      <c r="N67" s="20" t="str">
        <f aca="false">Sical!F152</f>
        <v>N/M</v>
      </c>
      <c r="O67" s="20" t="str">
        <f aca="false">Sical!F146</f>
        <v>N/M</v>
      </c>
      <c r="P67" s="20" t="str">
        <f aca="false">Sical!F154</f>
        <v>N/M</v>
      </c>
      <c r="Q67" s="23" t="n">
        <f aca="false">Sical!F138</f>
        <v>-0.322358955734659</v>
      </c>
      <c r="R67" s="20" t="n">
        <f aca="false">Sical!F113</f>
        <v>0.211651863715783</v>
      </c>
      <c r="S67" s="23" t="n">
        <f aca="false">Sical!F121</f>
        <v>-0.112248115343824</v>
      </c>
      <c r="T67" s="20" t="str">
        <f aca="false">Sical!F87</f>
        <v>N/M</v>
      </c>
      <c r="U67" s="44" t="n">
        <f aca="false">LN(C67)</f>
        <v>5.85469935997306</v>
      </c>
    </row>
    <row r="68" customFormat="false" ht="15" hidden="false" customHeight="false" outlineLevel="0" collapsed="false">
      <c r="A68" s="18" t="s">
        <v>115</v>
      </c>
      <c r="B68" s="18" t="n">
        <v>2023</v>
      </c>
      <c r="C68" s="73" t="n">
        <f aca="false">Sical!G9</f>
        <v>392.11</v>
      </c>
      <c r="D68" s="73" t="n">
        <f aca="false">Sical!G35</f>
        <v>793.01</v>
      </c>
      <c r="E68" s="23" t="n">
        <f aca="false">Sical!G195</f>
        <v>0.763369944893507</v>
      </c>
      <c r="F68" s="20" t="n">
        <f aca="false">Sical!G80</f>
        <v>0.730763221623311</v>
      </c>
      <c r="G68" s="20" t="n">
        <f aca="false">Sical!G81</f>
        <v>0.535583157565815</v>
      </c>
      <c r="H68" s="20" t="n">
        <f aca="false">Sical!G96</f>
        <v>-41.7227671657202</v>
      </c>
      <c r="I68" s="26" t="n">
        <f aca="false">Sical!G108</f>
        <v>91.4152278697304</v>
      </c>
      <c r="J68" s="20" t="n">
        <f aca="false">Sical!G112</f>
        <v>0.572690892095577</v>
      </c>
      <c r="K68" s="23" t="n">
        <f aca="false">Sical!G124</f>
        <v>-2.12680115273775</v>
      </c>
      <c r="L68" s="23" t="n">
        <f aca="false">Sical!G135</f>
        <v>-0.707151306500918</v>
      </c>
      <c r="M68" s="23" t="str">
        <f aca="false">Sical!G139</f>
        <v>N/M</v>
      </c>
      <c r="N68" s="20" t="str">
        <f aca="false">Sical!G152</f>
        <v>N/M</v>
      </c>
      <c r="O68" s="20" t="n">
        <f aca="false">Sical!G146</f>
        <v>0.782695403587444</v>
      </c>
      <c r="P68" s="20" t="str">
        <f aca="false">Sical!G154</f>
        <v>N/M</v>
      </c>
      <c r="Q68" s="23" t="n">
        <f aca="false">Sical!G138</f>
        <v>-1.17775559425528</v>
      </c>
      <c r="R68" s="20" t="n">
        <f aca="false">Sical!G113</f>
        <v>0.332495261999754</v>
      </c>
      <c r="S68" s="23" t="n">
        <f aca="false">Sical!G121</f>
        <v>0.0703629083675499</v>
      </c>
      <c r="T68" s="20" t="n">
        <f aca="false">Sical!G87</f>
        <v>9.03344544095665</v>
      </c>
      <c r="U68" s="44" t="n">
        <f aca="false">LN(C68)</f>
        <v>5.97154241267111</v>
      </c>
    </row>
    <row r="69" customFormat="false" ht="15" hidden="false" customHeight="false" outlineLevel="0" collapsed="false">
      <c r="A69" s="18" t="s">
        <v>115</v>
      </c>
      <c r="B69" s="18" t="n">
        <v>2024</v>
      </c>
      <c r="C69" s="73" t="n">
        <f aca="false">Sical!H9</f>
        <v>221.09</v>
      </c>
      <c r="D69" s="73" t="n">
        <f aca="false">Sical!H35</f>
        <v>767.54</v>
      </c>
      <c r="E69" s="23" t="n">
        <f aca="false">Sical!H195</f>
        <v>0.726059879615395</v>
      </c>
      <c r="F69" s="20" t="n">
        <f aca="false">Sical!H80</f>
        <v>0.861424191389213</v>
      </c>
      <c r="G69" s="20" t="n">
        <f aca="false">Sical!H81</f>
        <v>0.705488621151272</v>
      </c>
      <c r="H69" s="20" t="n">
        <f aca="false">Sical!H96</f>
        <v>0.393312914752425</v>
      </c>
      <c r="I69" s="26" t="n">
        <f aca="false">Sical!H108</f>
        <v>81.4889863856348</v>
      </c>
      <c r="J69" s="20" t="n">
        <f aca="false">Sical!H112</f>
        <v>0.380324090002064</v>
      </c>
      <c r="K69" s="23" t="n">
        <f aca="false">Sical!H124</f>
        <v>-0.12795694061242</v>
      </c>
      <c r="L69" s="23" t="n">
        <f aca="false">Sical!H135</f>
        <v>-0.0362564480471629</v>
      </c>
      <c r="M69" s="23" t="n">
        <f aca="false">Sical!H139</f>
        <v>-0.687986381322957</v>
      </c>
      <c r="N69" s="20" t="str">
        <f aca="false">Sical!H152</f>
        <v>N/M</v>
      </c>
      <c r="O69" s="20" t="n">
        <f aca="false">Sical!H146</f>
        <v>33.4310248955432</v>
      </c>
      <c r="P69" s="20" t="n">
        <f aca="false">Sical!H154</f>
        <v>21.1529740310686</v>
      </c>
      <c r="Q69" s="23" t="n">
        <f aca="false">Sical!H138</f>
        <v>0.0287242767670743</v>
      </c>
      <c r="R69" s="20" t="n">
        <f aca="false">Sical!H113</f>
        <v>0.28334881932652</v>
      </c>
      <c r="S69" s="23" t="n">
        <f aca="false">Sical!H121</f>
        <v>0.0750825455696775</v>
      </c>
      <c r="T69" s="20" t="n">
        <f aca="false">Sical!H87</f>
        <v>17.6619080779944</v>
      </c>
      <c r="U69" s="44" t="n">
        <f aca="false">LN(C69)</f>
        <v>5.39856985843713</v>
      </c>
    </row>
    <row r="70" customFormat="false" ht="15" hidden="false" customHeight="false" outlineLevel="0" collapsed="false">
      <c r="A70" s="18" t="s">
        <v>115</v>
      </c>
      <c r="B70" s="18" t="n">
        <v>2025</v>
      </c>
      <c r="C70" s="73" t="n">
        <f aca="false">Sical!I9</f>
        <v>221.82</v>
      </c>
      <c r="D70" s="73" t="n">
        <f aca="false">Sical!I35</f>
        <v>858.91</v>
      </c>
      <c r="E70" s="23" t="n">
        <f aca="false">Sical!I195</f>
        <v>0.700841764562061</v>
      </c>
      <c r="F70" s="20" t="n">
        <f aca="false">Sical!I80</f>
        <v>0.79756135688604</v>
      </c>
      <c r="G70" s="20" t="n">
        <f aca="false">Sical!I81</f>
        <v>0.619978114741285</v>
      </c>
      <c r="H70" s="20" t="n">
        <f aca="false">Sical!I96</f>
        <v>0.28971098265896</v>
      </c>
      <c r="I70" s="26" t="n">
        <f aca="false">Sical!I108</f>
        <v>95.594062753584</v>
      </c>
      <c r="J70" s="20" t="n">
        <f aca="false">Sical!I112</f>
        <v>0.382699009696008</v>
      </c>
      <c r="K70" s="23" t="n">
        <f aca="false">Sical!I124</f>
        <v>-0.116445766837977</v>
      </c>
      <c r="L70" s="23" t="n">
        <f aca="false">Sical!I135</f>
        <v>-0.0317624273724984</v>
      </c>
      <c r="M70" s="23" t="n">
        <f aca="false">Sical!I139</f>
        <v>-2.15699373695198</v>
      </c>
      <c r="N70" s="20" t="str">
        <f aca="false">Sical!I152</f>
        <v>N/M</v>
      </c>
      <c r="O70" s="20" t="str">
        <f aca="false">Sical!I146</f>
        <v>N/M</v>
      </c>
      <c r="P70" s="20" t="n">
        <f aca="false">Sical!I154</f>
        <v>19.2556487664146</v>
      </c>
      <c r="Q70" s="23" t="n">
        <f aca="false">Sical!I138</f>
        <v>0.0220017559262511</v>
      </c>
      <c r="R70" s="20" t="n">
        <f aca="false">Sical!I113</f>
        <v>0.272765839712257</v>
      </c>
      <c r="S70" s="23" t="n">
        <f aca="false">Sical!I121</f>
        <v>0.0968803534397258</v>
      </c>
      <c r="T70" s="20" t="str">
        <f aca="false">Sical!I87</f>
        <v>N/M</v>
      </c>
      <c r="U70" s="44" t="n">
        <f aca="false">LN(C70)</f>
        <v>5.4018662421766</v>
      </c>
    </row>
    <row r="71" customFormat="false" ht="15" hidden="false" customHeight="false" outlineLevel="0" collapsed="false">
      <c r="A71" s="18" t="s">
        <v>115</v>
      </c>
      <c r="B71" s="18" t="n">
        <v>2026</v>
      </c>
      <c r="C71" s="73" t="n">
        <f aca="false">Sical!J9</f>
        <v>385.68</v>
      </c>
      <c r="D71" s="73" t="n">
        <f aca="false">Sical!J35</f>
        <v>906.73</v>
      </c>
      <c r="E71" s="23" t="n">
        <f aca="false">Sical!J195</f>
        <v>0.612630000110287</v>
      </c>
      <c r="F71" s="20" t="n">
        <f aca="false">Sical!J80</f>
        <v>1.14025965081442</v>
      </c>
      <c r="G71" s="20" t="n">
        <f aca="false">Sical!J81</f>
        <v>0.557594958504081</v>
      </c>
      <c r="H71" s="20" t="n">
        <f aca="false">Sical!J96</f>
        <v>1.79269647320189</v>
      </c>
      <c r="I71" s="26" t="n">
        <f aca="false">Sical!J108</f>
        <v>79.5338104127774</v>
      </c>
      <c r="J71" s="20" t="n">
        <f aca="false">Sical!J112</f>
        <v>0.666430515357035</v>
      </c>
      <c r="K71" s="23" t="n">
        <f aca="false">Sical!J124</f>
        <v>0.127774320680357</v>
      </c>
      <c r="L71" s="23" t="n">
        <f aca="false">Sical!J135</f>
        <v>0.0558211186878412</v>
      </c>
      <c r="M71" s="23" t="n">
        <f aca="false">Sical!J139</f>
        <v>0.779007271577616</v>
      </c>
      <c r="N71" s="20" t="n">
        <f aca="false">Sical!J152</f>
        <v>10.2007666396104</v>
      </c>
      <c r="O71" s="20" t="n">
        <f aca="false">Sical!J146</f>
        <v>3.82888095056745</v>
      </c>
      <c r="P71" s="20" t="n">
        <f aca="false">Sical!J154</f>
        <v>5.39680199063232</v>
      </c>
      <c r="Q71" s="23" t="n">
        <f aca="false">Sical!J138</f>
        <v>0.182350182402612</v>
      </c>
      <c r="R71" s="20" t="n">
        <f aca="false">Sical!J113</f>
        <v>0.436872748691693</v>
      </c>
      <c r="S71" s="23" t="n">
        <f aca="false">Sical!J121</f>
        <v>0.203069902509853</v>
      </c>
      <c r="T71" s="20" t="n">
        <f aca="false">Sical!J87</f>
        <v>3.69449310686267</v>
      </c>
      <c r="U71" s="44" t="n">
        <f aca="false">LN(C71)</f>
        <v>5.95500801009737</v>
      </c>
    </row>
    <row r="73" customFormat="false" ht="15" hidden="false" customHeight="false" outlineLevel="0" collapsed="false">
      <c r="A73" s="50" t="s">
        <v>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387</v>
      </c>
    </row>
    <row r="2" customFormat="false" ht="15" hidden="false" customHeight="false" outlineLevel="0" collapsed="false">
      <c r="A2" s="6" t="s">
        <v>388</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76" t="n">
        <f aca="false">SUM(Tiger!C9,Allcargo!C9,BlueDart!C9,CONCOR!C9,JetFreight!C9,Patel!C9,Sical!C9,TCI!C9,Shreeji!C9,MahindraLog!C9)</f>
        <v>26602.39</v>
      </c>
      <c r="D9" s="76" t="n">
        <f aca="false">SUM(Tiger!D9,Allcargo!D9,BlueDart!D9,CONCOR!D9,JetFreight!D9,Patel!D9,Sical!D9,TCI!D9,Shreeji!D9,MahindraLog!D9)</f>
        <v>25305.13</v>
      </c>
      <c r="E9" s="76" t="n">
        <f aca="false">SUM(Tiger!E9,Allcargo!E9,BlueDart!E9,CONCOR!E9,JetFreight!E9,Patel!E9,Sical!E9,TCI!E9,Shreeji!E9,MahindraLog!E9)</f>
        <v>27618.19</v>
      </c>
      <c r="F9" s="76" t="n">
        <f aca="false">SUM(Tiger!F9,Allcargo!F9,BlueDart!F9,CONCOR!F9,JetFreight!F9,Patel!F9,Sical!F9,TCI!F9,Shreeji!F9,MahindraLog!F9)</f>
        <v>40343.65</v>
      </c>
      <c r="G9" s="76" t="n">
        <f aca="false">SUM(Tiger!G9,Allcargo!G9,BlueDart!G9,CONCOR!G9,JetFreight!G9,Patel!G9,Sical!G9,TCI!G9,Shreeji!G9,MahindraLog!G9)</f>
        <v>42009.84</v>
      </c>
      <c r="H9" s="76" t="n">
        <f aca="false">SUM(Tiger!H9,Allcargo!H9,BlueDart!H9,CONCOR!H9,JetFreight!H9,Patel!H9,Sical!H9,TCI!H9,Shreeji!H9,MahindraLog!H9)</f>
        <v>37810.32</v>
      </c>
      <c r="I9" s="76" t="n">
        <f aca="false">SUM(Tiger!I9,Allcargo!I9,BlueDart!I9,CONCOR!I9,JetFreight!I9,Patel!I9,Sical!I9,TCI!I9,Shreeji!I9,MahindraLog!I9)</f>
        <v>28922.44</v>
      </c>
      <c r="J9" s="76" t="n">
        <f aca="false">SUM(Tiger!J9,Allcargo!J9,BlueDart!J9,CONCOR!J9,JetFreight!J9,Patel!J9,Sical!J9,TCI!J9,Shreeji!J9,MahindraLog!J9)</f>
        <v>31187.93</v>
      </c>
    </row>
    <row r="10" customFormat="false" ht="15" hidden="false" customHeight="false" outlineLevel="0" collapsed="false">
      <c r="A10" s="18" t="s">
        <v>399</v>
      </c>
      <c r="B10" s="74" t="s">
        <v>400</v>
      </c>
      <c r="C10" s="76" t="n">
        <f aca="false">SUM(Tiger!C10,Allcargo!C10,BlueDart!C10,CONCOR!C10,JetFreight!C10,Patel!C10,Sical!C10,TCI!C10,Shreeji!C10,MahindraLog!C10)</f>
        <v>312.42</v>
      </c>
      <c r="D10" s="76" t="n">
        <f aca="false">SUM(Tiger!D10,Allcargo!D10,BlueDart!D10,CONCOR!D10,JetFreight!D10,Patel!D10,Sical!D10,TCI!D10,Shreeji!D10,MahindraLog!D10)</f>
        <v>284.13</v>
      </c>
      <c r="E10" s="76" t="n">
        <f aca="false">SUM(Tiger!E10,Allcargo!E10,BlueDart!E10,CONCOR!E10,JetFreight!E10,Patel!E10,Sical!E10,TCI!E10,Shreeji!E10,MahindraLog!E10)</f>
        <v>0</v>
      </c>
      <c r="F10" s="76" t="n">
        <f aca="false">SUM(Tiger!F10,Allcargo!F10,BlueDart!F10,CONCOR!F10,JetFreight!F10,Patel!F10,Sical!F10,TCI!F10,Shreeji!F10,MahindraLog!F10)</f>
        <v>9.81</v>
      </c>
      <c r="G10" s="76" t="n">
        <f aca="false">SUM(Tiger!G10,Allcargo!G10,BlueDart!G10,CONCOR!G10,JetFreight!G10,Patel!G10,Sical!G10,TCI!G10,Shreeji!G10,MahindraLog!G10)</f>
        <v>17.94</v>
      </c>
      <c r="H10" s="76" t="n">
        <f aca="false">SUM(Tiger!H10,Allcargo!H10,BlueDart!H10,CONCOR!H10,JetFreight!H10,Patel!H10,Sical!H10,TCI!H10,Shreeji!H10,MahindraLog!H10)</f>
        <v>55.68</v>
      </c>
      <c r="I10" s="76" t="n">
        <f aca="false">SUM(Tiger!I10,Allcargo!I10,BlueDart!I10,CONCOR!I10,JetFreight!I10,Patel!I10,Sical!I10,TCI!I10,Shreeji!I10,MahindraLog!I10)</f>
        <v>21.36</v>
      </c>
      <c r="J10" s="76" t="n">
        <f aca="false">SUM(Tiger!J10,Allcargo!J10,BlueDart!J10,CONCOR!J10,JetFreight!J10,Patel!J10,Sical!J10,TCI!J10,Shreeji!J10,MahindraLog!J10)</f>
        <v>0.41</v>
      </c>
    </row>
    <row r="11" customFormat="false" ht="15" hidden="false" customHeight="false" outlineLevel="0" collapsed="false">
      <c r="A11" s="18" t="s">
        <v>401</v>
      </c>
      <c r="B11" s="74" t="s">
        <v>402</v>
      </c>
      <c r="C11" s="76" t="n">
        <f aca="false">SUM(Tiger!C11,Allcargo!C11,BlueDart!C11,CONCOR!C11,JetFreight!C11,Patel!C11,Sical!C11,TCI!C11,Shreeji!C11,MahindraLog!C11)</f>
        <v>-0.03</v>
      </c>
      <c r="D11" s="76" t="n">
        <f aca="false">SUM(Tiger!D11,Allcargo!D11,BlueDart!D11,CONCOR!D11,JetFreight!D11,Patel!D11,Sical!D11,TCI!D11,Shreeji!D11,MahindraLog!D11)</f>
        <v>0.04</v>
      </c>
      <c r="E11" s="76" t="n">
        <f aca="false">SUM(Tiger!E11,Allcargo!E11,BlueDart!E11,CONCOR!E11,JetFreight!E11,Patel!E11,Sical!E11,TCI!E11,Shreeji!E11,MahindraLog!E11)</f>
        <v>-3.5</v>
      </c>
      <c r="F11" s="76" t="n">
        <f aca="false">SUM(Tiger!F11,Allcargo!F11,BlueDart!F11,CONCOR!F11,JetFreight!F11,Patel!F11,Sical!F11,TCI!F11,Shreeji!F11,MahindraLog!F11)</f>
        <v>-0.12</v>
      </c>
      <c r="G11" s="76" t="n">
        <f aca="false">SUM(Tiger!G11,Allcargo!G11,BlueDart!G11,CONCOR!G11,JetFreight!G11,Patel!G11,Sical!G11,TCI!G11,Shreeji!G11,MahindraLog!G11)</f>
        <v>-0.81</v>
      </c>
      <c r="H11" s="76" t="n">
        <f aca="false">SUM(Tiger!H11,Allcargo!H11,BlueDart!H11,CONCOR!H11,JetFreight!H11,Patel!H11,Sical!H11,TCI!H11,Shreeji!H11,MahindraLog!H11)</f>
        <v>-1.24</v>
      </c>
      <c r="I11" s="76" t="n">
        <f aca="false">SUM(Tiger!I11,Allcargo!I11,BlueDart!I11,CONCOR!I11,JetFreight!I11,Patel!I11,Sical!I11,TCI!I11,Shreeji!I11,MahindraLog!I11)</f>
        <v>-0.83</v>
      </c>
      <c r="J11" s="76" t="n">
        <f aca="false">SUM(Tiger!J11,Allcargo!J11,BlueDart!J11,CONCOR!J11,JetFreight!J11,Patel!J11,Sical!J11,TCI!J11,Shreeji!J11,MahindraLog!J11)</f>
        <v>-1.13</v>
      </c>
    </row>
    <row r="12" customFormat="false" ht="15" hidden="false" customHeight="false" outlineLevel="0" collapsed="false">
      <c r="A12" s="18" t="s">
        <v>403</v>
      </c>
      <c r="B12" s="74" t="s">
        <v>404</v>
      </c>
      <c r="C12" s="76" t="n">
        <f aca="false">SUM(Tiger!C12,Allcargo!C12,BlueDart!C12,CONCOR!C12,JetFreight!C12,Patel!C12,Sical!C12,TCI!C12,Shreeji!C12,MahindraLog!C12)</f>
        <v>438.06</v>
      </c>
      <c r="D12" s="76" t="n">
        <f aca="false">SUM(Tiger!D12,Allcargo!D12,BlueDart!D12,CONCOR!D12,JetFreight!D12,Patel!D12,Sical!D12,TCI!D12,Shreeji!D12,MahindraLog!D12)</f>
        <v>402.68</v>
      </c>
      <c r="E12" s="76" t="n">
        <f aca="false">SUM(Tiger!E12,Allcargo!E12,BlueDart!E12,CONCOR!E12,JetFreight!E12,Patel!E12,Sical!E12,TCI!E12,Shreeji!E12,MahindraLog!E12)</f>
        <v>253.51</v>
      </c>
      <c r="F12" s="76" t="n">
        <f aca="false">SUM(Tiger!F12,Allcargo!F12,BlueDart!F12,CONCOR!F12,JetFreight!F12,Patel!F12,Sical!F12,TCI!F12,Shreeji!F12,MahindraLog!F12)</f>
        <v>394.79</v>
      </c>
      <c r="G12" s="76" t="n">
        <f aca="false">SUM(Tiger!G12,Allcargo!G12,BlueDart!G12,CONCOR!G12,JetFreight!G12,Patel!G12,Sical!G12,TCI!G12,Shreeji!G12,MahindraLog!G12)</f>
        <v>589.75</v>
      </c>
      <c r="H12" s="76" t="n">
        <f aca="false">SUM(Tiger!H12,Allcargo!H12,BlueDart!H12,CONCOR!H12,JetFreight!H12,Patel!H12,Sical!H12,TCI!H12,Shreeji!H12,MahindraLog!H12)</f>
        <v>489.81</v>
      </c>
      <c r="I12" s="76" t="n">
        <f aca="false">SUM(Tiger!I12,Allcargo!I12,BlueDart!I12,CONCOR!I12,JetFreight!I12,Patel!I12,Sical!I12,TCI!I12,Shreeji!I12,MahindraLog!I12)</f>
        <v>546.46</v>
      </c>
      <c r="J12" s="76" t="n">
        <f aca="false">SUM(Tiger!J12,Allcargo!J12,BlueDart!J12,CONCOR!J12,JetFreight!J12,Patel!J12,Sical!J12,TCI!J12,Shreeji!J12,MahindraLog!J12)</f>
        <v>506.37</v>
      </c>
    </row>
    <row r="13" customFormat="false" ht="15" hidden="false" customHeight="false" outlineLevel="0" collapsed="false">
      <c r="A13" s="18" t="s">
        <v>405</v>
      </c>
      <c r="B13" s="74" t="s">
        <v>406</v>
      </c>
      <c r="C13" s="76" t="n">
        <f aca="false">SUM(Tiger!C13,Allcargo!C13,BlueDart!C13,CONCOR!C13,JetFreight!C13,Patel!C13,Sical!C13,TCI!C13,Shreeji!C13,MahindraLog!C13)</f>
        <v>18450.42</v>
      </c>
      <c r="D13" s="76" t="n">
        <f aca="false">SUM(Tiger!D13,Allcargo!D13,BlueDart!D13,CONCOR!D13,JetFreight!D13,Patel!D13,Sical!D13,TCI!D13,Shreeji!D13,MahindraLog!D13)</f>
        <v>17707.69</v>
      </c>
      <c r="E13" s="76" t="n">
        <f aca="false">SUM(Tiger!E13,Allcargo!E13,BlueDart!E13,CONCOR!E13,JetFreight!E13,Patel!E13,Sical!E13,TCI!E13,Shreeji!E13,MahindraLog!E13)</f>
        <v>19854.74</v>
      </c>
      <c r="F13" s="76" t="n">
        <f aca="false">SUM(Tiger!F13,Allcargo!F13,BlueDart!F13,CONCOR!F13,JetFreight!F13,Patel!F13,Sical!F13,TCI!F13,Shreeji!F13,MahindraLog!F13)</f>
        <v>30303.7</v>
      </c>
      <c r="G13" s="76" t="n">
        <f aca="false">SUM(Tiger!G13,Allcargo!G13,BlueDart!G13,CONCOR!G13,JetFreight!G13,Patel!G13,Sical!G13,TCI!G13,Shreeji!G13,MahindraLog!G13)</f>
        <v>31150.56</v>
      </c>
      <c r="H13" s="76" t="n">
        <f aca="false">SUM(Tiger!H13,Allcargo!H13,BlueDart!H13,CONCOR!H13,JetFreight!H13,Patel!H13,Sical!H13,TCI!H13,Shreeji!H13,MahindraLog!H13)</f>
        <v>27453.74</v>
      </c>
      <c r="I13" s="76" t="n">
        <f aca="false">SUM(Tiger!I13,Allcargo!I13,BlueDart!I13,CONCOR!I13,JetFreight!I13,Patel!I13,Sical!I13,TCI!I13,Shreeji!I13,MahindraLog!I13)</f>
        <v>20767.36</v>
      </c>
      <c r="J13" s="76" t="n">
        <f aca="false">SUM(Tiger!J13,Allcargo!J13,BlueDart!J13,CONCOR!J13,JetFreight!J13,Patel!J13,Sical!J13,TCI!J13,Shreeji!J13,MahindraLog!J13)</f>
        <v>22486.28</v>
      </c>
    </row>
    <row r="14" customFormat="false" ht="15" hidden="false" customHeight="false" outlineLevel="0" collapsed="false">
      <c r="A14" s="18" t="s">
        <v>407</v>
      </c>
      <c r="B14" s="74" t="s">
        <v>408</v>
      </c>
      <c r="C14" s="76" t="n">
        <f aca="false">SUM(Tiger!C14,Allcargo!C14,BlueDart!C14,CONCOR!C14,JetFreight!C14,Patel!C14,Sical!C14,TCI!C14,Shreeji!C14,MahindraLog!C14)</f>
        <v>2714.28</v>
      </c>
      <c r="D14" s="76" t="n">
        <f aca="false">SUM(Tiger!D14,Allcargo!D14,BlueDart!D14,CONCOR!D14,JetFreight!D14,Patel!D14,Sical!D14,TCI!D14,Shreeji!D14,MahindraLog!D14)</f>
        <v>2824.58</v>
      </c>
      <c r="E14" s="76" t="n">
        <f aca="false">SUM(Tiger!E14,Allcargo!E14,BlueDart!E14,CONCOR!E14,JetFreight!E14,Patel!E14,Sical!E14,TCI!E14,Shreeji!E14,MahindraLog!E14)</f>
        <v>3010.2</v>
      </c>
      <c r="F14" s="76" t="n">
        <f aca="false">SUM(Tiger!F14,Allcargo!F14,BlueDart!F14,CONCOR!F14,JetFreight!F14,Patel!F14,Sical!F14,TCI!F14,Shreeji!F14,MahindraLog!F14)</f>
        <v>3357.45</v>
      </c>
      <c r="G14" s="76" t="n">
        <f aca="false">SUM(Tiger!G14,Allcargo!G14,BlueDart!G14,CONCOR!G14,JetFreight!G14,Patel!G14,Sical!G14,TCI!G14,Shreeji!G14,MahindraLog!G14)</f>
        <v>3804.17</v>
      </c>
      <c r="H14" s="76" t="n">
        <f aca="false">SUM(Tiger!H14,Allcargo!H14,BlueDart!H14,CONCOR!H14,JetFreight!H14,Patel!H14,Sical!H14,TCI!H14,Shreeji!H14,MahindraLog!H14)</f>
        <v>4027.98</v>
      </c>
      <c r="I14" s="76" t="n">
        <f aca="false">SUM(Tiger!I14,Allcargo!I14,BlueDart!I14,CONCOR!I14,JetFreight!I14,Patel!I14,Sical!I14,TCI!I14,Shreeji!I14,MahindraLog!I14)</f>
        <v>2423.15</v>
      </c>
      <c r="J14" s="76" t="n">
        <f aca="false">SUM(Tiger!J14,Allcargo!J14,BlueDart!J14,CONCOR!J14,JetFreight!J14,Patel!J14,Sical!J14,TCI!J14,Shreeji!J14,MahindraLog!J14)</f>
        <v>2580.12</v>
      </c>
    </row>
    <row r="15" customFormat="false" ht="15" hidden="false" customHeight="false" outlineLevel="0" collapsed="false">
      <c r="A15" s="18" t="s">
        <v>409</v>
      </c>
      <c r="B15" s="74" t="s">
        <v>410</v>
      </c>
      <c r="C15" s="76" t="n">
        <f aca="false">SUM(Tiger!C15,Allcargo!C15,BlueDart!C15,CONCOR!C15,JetFreight!C15,Patel!C15,Sical!C15,TCI!C15,Shreeji!C15,MahindraLog!C15)</f>
        <v>1480.14</v>
      </c>
      <c r="D15" s="76" t="n">
        <f aca="false">SUM(Tiger!D15,Allcargo!D15,BlueDart!D15,CONCOR!D15,JetFreight!D15,Patel!D15,Sical!D15,TCI!D15,Shreeji!D15,MahindraLog!D15)</f>
        <v>927.3</v>
      </c>
      <c r="E15" s="76" t="n">
        <f aca="false">SUM(Tiger!E15,Allcargo!E15,BlueDart!E15,CONCOR!E15,JetFreight!E15,Patel!E15,Sical!E15,TCI!E15,Shreeji!E15,MahindraLog!E15)</f>
        <v>1545.35</v>
      </c>
      <c r="F15" s="76" t="n">
        <f aca="false">SUM(Tiger!F15,Allcargo!F15,BlueDart!F15,CONCOR!F15,JetFreight!F15,Patel!F15,Sical!F15,TCI!F15,Shreeji!F15,MahindraLog!F15)</f>
        <v>1528.29</v>
      </c>
      <c r="G15" s="76" t="n">
        <f aca="false">SUM(Tiger!G15,Allcargo!G15,BlueDart!G15,CONCOR!G15,JetFreight!G15,Patel!G15,Sical!G15,TCI!G15,Shreeji!G15,MahindraLog!G15)</f>
        <v>1610.76</v>
      </c>
      <c r="H15" s="76" t="n">
        <f aca="false">SUM(Tiger!H15,Allcargo!H15,BlueDart!H15,CONCOR!H15,JetFreight!H15,Patel!H15,Sical!H15,TCI!H15,Shreeji!H15,MahindraLog!H15)</f>
        <v>1675.53</v>
      </c>
      <c r="I15" s="76" t="n">
        <f aca="false">SUM(Tiger!I15,Allcargo!I15,BlueDart!I15,CONCOR!I15,JetFreight!I15,Patel!I15,Sical!I15,TCI!I15,Shreeji!I15,MahindraLog!I15)</f>
        <v>1299.43</v>
      </c>
      <c r="J15" s="76" t="n">
        <f aca="false">SUM(Tiger!J15,Allcargo!J15,BlueDart!J15,CONCOR!J15,JetFreight!J15,Patel!J15,Sical!J15,TCI!J15,Shreeji!J15,MahindraLog!J15)</f>
        <v>1435.17</v>
      </c>
    </row>
    <row r="16" customFormat="false" ht="15" hidden="false" customHeight="false" outlineLevel="0" collapsed="false">
      <c r="A16" s="18" t="s">
        <v>411</v>
      </c>
      <c r="B16" s="74" t="s">
        <v>412</v>
      </c>
      <c r="C16" s="76" t="n">
        <f aca="false">SUM(Tiger!C16,Allcargo!C16,BlueDart!C16,CONCOR!C16,JetFreight!C16,Patel!C16,Sical!C16,TCI!C16,Shreeji!C16,MahindraLog!C16)</f>
        <v>45.73</v>
      </c>
      <c r="D16" s="76" t="n">
        <f aca="false">SUM(Tiger!D16,Allcargo!D16,BlueDart!D16,CONCOR!D16,JetFreight!D16,Patel!D16,Sical!D16,TCI!D16,Shreeji!D16,MahindraLog!D16)</f>
        <v>92.12</v>
      </c>
      <c r="E16" s="76" t="n">
        <f aca="false">SUM(Tiger!E16,Allcargo!E16,BlueDart!E16,CONCOR!E16,JetFreight!E16,Patel!E16,Sical!E16,TCI!E16,Shreeji!E16,MahindraLog!E16)</f>
        <v>173.77</v>
      </c>
      <c r="F16" s="76" t="n">
        <f aca="false">SUM(Tiger!F16,Allcargo!F16,BlueDart!F16,CONCOR!F16,JetFreight!F16,Patel!F16,Sical!F16,TCI!F16,Shreeji!F16,MahindraLog!F16)</f>
        <v>89.94</v>
      </c>
      <c r="G16" s="76" t="n">
        <f aca="false">SUM(Tiger!G16,Allcargo!G16,BlueDart!G16,CONCOR!G16,JetFreight!G16,Patel!G16,Sical!G16,TCI!G16,Shreeji!G16,MahindraLog!G16)</f>
        <v>112.87</v>
      </c>
      <c r="H16" s="76" t="n">
        <f aca="false">SUM(Tiger!H16,Allcargo!H16,BlueDart!H16,CONCOR!H16,JetFreight!H16,Patel!H16,Sical!H16,TCI!H16,Shreeji!H16,MahindraLog!H16)</f>
        <v>115.65</v>
      </c>
      <c r="I16" s="76" t="n">
        <f aca="false">SUM(Tiger!I16,Allcargo!I16,BlueDart!I16,CONCOR!I16,JetFreight!I16,Patel!I16,Sical!I16,TCI!I16,Shreeji!I16,MahindraLog!I16)</f>
        <v>23.62</v>
      </c>
      <c r="J16" s="76" t="n">
        <f aca="false">SUM(Tiger!J16,Allcargo!J16,BlueDart!J16,CONCOR!J16,JetFreight!J16,Patel!J16,Sical!J16,TCI!J16,Shreeji!J16,MahindraLog!J16)</f>
        <v>3.64999999999999</v>
      </c>
    </row>
    <row r="17" customFormat="false" ht="15" hidden="false" customHeight="false" outlineLevel="0" collapsed="false">
      <c r="A17" s="18" t="s">
        <v>413</v>
      </c>
      <c r="B17" s="74" t="s">
        <v>414</v>
      </c>
      <c r="C17" s="76" t="n">
        <f aca="false">SUM(Tiger!C17,Allcargo!C17,BlueDart!C17,CONCOR!C17,JetFreight!C17,Patel!C17,Sical!C17,TCI!C17,Shreeji!C17,MahindraLog!C17)</f>
        <v>482.48</v>
      </c>
      <c r="D17" s="76" t="n">
        <f aca="false">SUM(Tiger!D17,Allcargo!D17,BlueDart!D17,CONCOR!D17,JetFreight!D17,Patel!D17,Sical!D17,TCI!D17,Shreeji!D17,MahindraLog!D17)</f>
        <v>-415.51</v>
      </c>
      <c r="E17" s="76" t="n">
        <f aca="false">SUM(Tiger!E17,Allcargo!E17,BlueDart!E17,CONCOR!E17,JetFreight!E17,Patel!E17,Sical!E17,TCI!E17,Shreeji!E17,MahindraLog!E17)</f>
        <v>-705.13</v>
      </c>
      <c r="F17" s="76" t="n">
        <f aca="false">SUM(Tiger!F17,Allcargo!F17,BlueDart!F17,CONCOR!F17,JetFreight!F17,Patel!F17,Sical!F17,TCI!F17,Shreeji!F17,MahindraLog!F17)</f>
        <v>484.72</v>
      </c>
      <c r="G17" s="76" t="n">
        <f aca="false">SUM(Tiger!G17,Allcargo!G17,BlueDart!G17,CONCOR!G17,JetFreight!G17,Patel!G17,Sical!G17,TCI!G17,Shreeji!G17,MahindraLog!G17)</f>
        <v>-200.64</v>
      </c>
      <c r="H17" s="76" t="n">
        <f aca="false">SUM(Tiger!H17,Allcargo!H17,BlueDart!H17,CONCOR!H17,JetFreight!H17,Patel!H17,Sical!H17,TCI!H17,Shreeji!H17,MahindraLog!H17)</f>
        <v>889.55</v>
      </c>
      <c r="I17" s="76" t="n">
        <f aca="false">SUM(Tiger!I17,Allcargo!I17,BlueDart!I17,CONCOR!I17,JetFreight!I17,Patel!I17,Sical!I17,TCI!I17,Shreeji!I17,MahindraLog!I17)</f>
        <v>749.23</v>
      </c>
      <c r="J17" s="76" t="n">
        <f aca="false">SUM(Tiger!J17,Allcargo!J17,BlueDart!J17,CONCOR!J17,JetFreight!J17,Patel!J17,Sical!J17,TCI!J17,Shreeji!J17,MahindraLog!J17)</f>
        <v>676.12</v>
      </c>
    </row>
    <row r="18" customFormat="false" ht="15" hidden="false" customHeight="false" outlineLevel="0" collapsed="false">
      <c r="A18" s="18" t="s">
        <v>415</v>
      </c>
      <c r="B18" s="74" t="s">
        <v>416</v>
      </c>
      <c r="C18" s="76" t="n">
        <f aca="false">SUM(Tiger!C18,Allcargo!C18,BlueDart!C18,CONCOR!C18,JetFreight!C18,Patel!C18,Sical!C18,TCI!C18,Shreeji!C18,MahindraLog!C18)</f>
        <v>917.57</v>
      </c>
      <c r="D18" s="76" t="n">
        <f aca="false">SUM(Tiger!D18,Allcargo!D18,BlueDart!D18,CONCOR!D18,JetFreight!D18,Patel!D18,Sical!D18,TCI!D18,Shreeji!D18,MahindraLog!D18)</f>
        <v>1374.04</v>
      </c>
      <c r="E18" s="76" t="n">
        <f aca="false">SUM(Tiger!E18,Allcargo!E18,BlueDart!E18,CONCOR!E18,JetFreight!E18,Patel!E18,Sical!E18,TCI!E18,Shreeji!E18,MahindraLog!E18)</f>
        <v>1560.39</v>
      </c>
      <c r="F18" s="76" t="n">
        <f aca="false">SUM(Tiger!F18,Allcargo!F18,BlueDart!F18,CONCOR!F18,JetFreight!F18,Patel!F18,Sical!F18,TCI!F18,Shreeji!F18,MahindraLog!F18)</f>
        <v>1530.3</v>
      </c>
      <c r="G18" s="76" t="n">
        <f aca="false">SUM(Tiger!G18,Allcargo!G18,BlueDart!G18,CONCOR!G18,JetFreight!G18,Patel!G18,Sical!G18,TCI!G18,Shreeji!G18,MahindraLog!G18)</f>
        <v>1621.95</v>
      </c>
      <c r="H18" s="76" t="n">
        <f aca="false">SUM(Tiger!H18,Allcargo!H18,BlueDart!H18,CONCOR!H18,JetFreight!H18,Patel!H18,Sical!H18,TCI!H18,Shreeji!H18,MahindraLog!H18)</f>
        <v>1847.45</v>
      </c>
      <c r="I18" s="76" t="n">
        <f aca="false">SUM(Tiger!I18,Allcargo!I18,BlueDart!I18,CONCOR!I18,JetFreight!I18,Patel!I18,Sical!I18,TCI!I18,Shreeji!I18,MahindraLog!I18)</f>
        <v>1640.43</v>
      </c>
      <c r="J18" s="76" t="n">
        <f aca="false">SUM(Tiger!J18,Allcargo!J18,BlueDart!J18,CONCOR!J18,JetFreight!J18,Patel!J18,Sical!J18,TCI!J18,Shreeji!J18,MahindraLog!J18)</f>
        <v>1811.88</v>
      </c>
    </row>
    <row r="19" customFormat="false" ht="15" hidden="false" customHeight="false" outlineLevel="0" collapsed="false">
      <c r="A19" s="18" t="s">
        <v>417</v>
      </c>
      <c r="B19" s="74" t="s">
        <v>418</v>
      </c>
      <c r="C19" s="76" t="n">
        <f aca="false">SUM(Tiger!C19,Allcargo!C19,BlueDart!C19,CONCOR!C19,JetFreight!C19,Patel!C19,Sical!C19,TCI!C19,Shreeji!C19,MahindraLog!C19)</f>
        <v>209.15</v>
      </c>
      <c r="D19" s="76" t="n">
        <f aca="false">SUM(Tiger!D19,Allcargo!D19,BlueDart!D19,CONCOR!D19,JetFreight!D19,Patel!D19,Sical!D19,TCI!D19,Shreeji!D19,MahindraLog!D19)</f>
        <v>365.41</v>
      </c>
      <c r="E19" s="76" t="n">
        <f aca="false">SUM(Tiger!E19,Allcargo!E19,BlueDart!E19,CONCOR!E19,JetFreight!E19,Patel!E19,Sical!E19,TCI!E19,Shreeji!E19,MahindraLog!E19)</f>
        <v>501.23</v>
      </c>
      <c r="F19" s="76" t="n">
        <f aca="false">SUM(Tiger!F19,Allcargo!F19,BlueDart!F19,CONCOR!F19,JetFreight!F19,Patel!F19,Sical!F19,TCI!F19,Shreeji!F19,MahindraLog!F19)</f>
        <v>325.03</v>
      </c>
      <c r="G19" s="76" t="n">
        <f aca="false">SUM(Tiger!G19,Allcargo!G19,BlueDart!G19,CONCOR!G19,JetFreight!G19,Patel!G19,Sical!G19,TCI!G19,Shreeji!G19,MahindraLog!G19)</f>
        <v>312.42</v>
      </c>
      <c r="H19" s="76" t="n">
        <f aca="false">SUM(Tiger!H19,Allcargo!H19,BlueDart!H19,CONCOR!H19,JetFreight!H19,Patel!H19,Sical!H19,TCI!H19,Shreeji!H19,MahindraLog!H19)</f>
        <v>424.19</v>
      </c>
      <c r="I19" s="76" t="n">
        <f aca="false">SUM(Tiger!I19,Allcargo!I19,BlueDart!I19,CONCOR!I19,JetFreight!I19,Patel!I19,Sical!I19,TCI!I19,Shreeji!I19,MahindraLog!I19)</f>
        <v>391.38</v>
      </c>
      <c r="J19" s="76" t="n">
        <f aca="false">SUM(Tiger!J19,Allcargo!J19,BlueDart!J19,CONCOR!J19,JetFreight!J19,Patel!J19,Sical!J19,TCI!J19,Shreeji!J19,MahindraLog!J19)</f>
        <v>412.78</v>
      </c>
    </row>
    <row r="20" customFormat="false" ht="15" hidden="false" customHeight="false" outlineLevel="0" collapsed="false">
      <c r="A20" s="18" t="s">
        <v>419</v>
      </c>
      <c r="B20" s="74" t="s">
        <v>420</v>
      </c>
      <c r="C20" s="76" t="n">
        <f aca="false">SUM(Tiger!C20,Allcargo!C20,BlueDart!C20,CONCOR!C20,JetFreight!C20,Patel!C20,Sical!C20,TCI!C20,Shreeji!C20,MahindraLog!C20)</f>
        <v>2517.07</v>
      </c>
      <c r="D20" s="76" t="n">
        <f aca="false">SUM(Tiger!D20,Allcargo!D20,BlueDart!D20,CONCOR!D20,JetFreight!D20,Patel!D20,Sical!D20,TCI!D20,Shreeji!D20,MahindraLog!D20)</f>
        <v>911.71</v>
      </c>
      <c r="E20" s="76" t="n">
        <f aca="false">SUM(Tiger!E20,Allcargo!E20,BlueDart!E20,CONCOR!E20,JetFreight!E20,Patel!E20,Sical!E20,TCI!E20,Shreeji!E20,MahindraLog!E20)</f>
        <v>10.3699999999999</v>
      </c>
      <c r="F20" s="76" t="n">
        <f aca="false">SUM(Tiger!F20,Allcargo!F20,BlueDart!F20,CONCOR!F20,JetFreight!F20,Patel!F20,Sical!F20,TCI!F20,Shreeji!F20,MahindraLog!F20)</f>
        <v>3288.94</v>
      </c>
      <c r="G20" s="76" t="n">
        <f aca="false">SUM(Tiger!G20,Allcargo!G20,BlueDart!G20,CONCOR!G20,JetFreight!G20,Patel!G20,Sical!G20,TCI!G20,Shreeji!G20,MahindraLog!G20)</f>
        <v>2587.97</v>
      </c>
      <c r="H20" s="76" t="n">
        <f aca="false">SUM(Tiger!H20,Allcargo!H20,BlueDart!H20,CONCOR!H20,JetFreight!H20,Patel!H20,Sical!H20,TCI!H20,Shreeji!H20,MahindraLog!H20)</f>
        <v>2608.6</v>
      </c>
      <c r="I20" s="76" t="n">
        <f aca="false">SUM(Tiger!I20,Allcargo!I20,BlueDart!I20,CONCOR!I20,JetFreight!I20,Patel!I20,Sical!I20,TCI!I20,Shreeji!I20,MahindraLog!I20)</f>
        <v>2557.65</v>
      </c>
      <c r="J20" s="76" t="n">
        <f aca="false">SUM(Tiger!J20,Allcargo!J20,BlueDart!J20,CONCOR!J20,JetFreight!J20,Patel!J20,Sical!J20,TCI!J20,Shreeji!J20,MahindraLog!J20)</f>
        <v>2626.26</v>
      </c>
    </row>
    <row r="21" customFormat="false" ht="15" hidden="false" customHeight="false" outlineLevel="0" collapsed="false">
      <c r="A21" s="18" t="s">
        <v>421</v>
      </c>
      <c r="B21" s="74" t="s">
        <v>422</v>
      </c>
      <c r="C21" s="76" t="n">
        <f aca="false">SUM(Tiger!C21,Allcargo!C21,BlueDart!C21,CONCOR!C21,JetFreight!C21,Patel!C21,Sical!C21,TCI!C21,Shreeji!C21,MahindraLog!C21)</f>
        <v>680.34</v>
      </c>
      <c r="D21" s="76" t="n">
        <f aca="false">SUM(Tiger!D21,Allcargo!D21,BlueDart!D21,CONCOR!D21,JetFreight!D21,Patel!D21,Sical!D21,TCI!D21,Shreeji!D21,MahindraLog!D21)</f>
        <v>233.02</v>
      </c>
      <c r="E21" s="76" t="n">
        <f aca="false">SUM(Tiger!E21,Allcargo!E21,BlueDart!E21,CONCOR!E21,JetFreight!E21,Patel!E21,Sical!E21,TCI!E21,Shreeji!E21,MahindraLog!E21)</f>
        <v>313.11</v>
      </c>
      <c r="F21" s="76" t="n">
        <f aca="false">SUM(Tiger!F21,Allcargo!F21,BlueDart!F21,CONCOR!F21,JetFreight!F21,Patel!F21,Sical!F21,TCI!F21,Shreeji!F21,MahindraLog!F21)</f>
        <v>791.72</v>
      </c>
      <c r="G21" s="76" t="n">
        <f aca="false">SUM(Tiger!G21,Allcargo!G21,BlueDart!G21,CONCOR!G21,JetFreight!G21,Patel!G21,Sical!G21,TCI!G21,Shreeji!G21,MahindraLog!G21)</f>
        <v>838.81</v>
      </c>
      <c r="H21" s="76" t="n">
        <f aca="false">SUM(Tiger!H21,Allcargo!H21,BlueDart!H21,CONCOR!H21,JetFreight!H21,Patel!H21,Sical!H21,TCI!H21,Shreeji!H21,MahindraLog!H21)</f>
        <v>596.39</v>
      </c>
      <c r="I21" s="76" t="n">
        <f aca="false">SUM(Tiger!I21,Allcargo!I21,BlueDart!I21,CONCOR!I21,JetFreight!I21,Patel!I21,Sical!I21,TCI!I21,Shreeji!I21,MahindraLog!I21)</f>
        <v>547.23</v>
      </c>
      <c r="J21" s="76" t="n">
        <f aca="false">SUM(Tiger!J21,Allcargo!J21,BlueDart!J21,CONCOR!J21,JetFreight!J21,Patel!J21,Sical!J21,TCI!J21,Shreeji!J21,MahindraLog!J21)</f>
        <v>564.44</v>
      </c>
    </row>
    <row r="22" customFormat="false" ht="15" hidden="false" customHeight="false" outlineLevel="0" collapsed="false">
      <c r="A22" s="18" t="s">
        <v>423</v>
      </c>
      <c r="B22" s="74" t="s">
        <v>424</v>
      </c>
      <c r="C22" s="76" t="n">
        <f aca="false">SUM(Tiger!C22,Allcargo!C22,BlueDart!C22,CONCOR!C22,JetFreight!C22,Patel!C22,Sical!C22,TCI!C22,Shreeji!C22,MahindraLog!C22)</f>
        <v>1832.64</v>
      </c>
      <c r="D22" s="76" t="n">
        <f aca="false">SUM(Tiger!D22,Allcargo!D22,BlueDart!D22,CONCOR!D22,JetFreight!D22,Patel!D22,Sical!D22,TCI!D22,Shreeji!D22,MahindraLog!D22)</f>
        <v>666.4</v>
      </c>
      <c r="E22" s="76" t="n">
        <f aca="false">SUM(Tiger!E22,Allcargo!E22,BlueDart!E22,CONCOR!E22,JetFreight!E22,Patel!E22,Sical!E22,TCI!E22,Shreeji!E22,MahindraLog!E22)</f>
        <v>-213.43</v>
      </c>
      <c r="F22" s="76" t="n">
        <f aca="false">SUM(Tiger!F22,Allcargo!F22,BlueDart!F22,CONCOR!F22,JetFreight!F22,Patel!F22,Sical!F22,TCI!F22,Shreeji!F22,MahindraLog!F22)</f>
        <v>2457.37</v>
      </c>
      <c r="G22" s="76" t="n">
        <f aca="false">SUM(Tiger!G22,Allcargo!G22,BlueDart!G22,CONCOR!G22,JetFreight!G22,Patel!G22,Sical!G22,TCI!G22,Shreeji!G22,MahindraLog!G22)</f>
        <v>1721.52</v>
      </c>
      <c r="H22" s="76" t="n">
        <f aca="false">SUM(Tiger!H22,Allcargo!H22,BlueDart!H22,CONCOR!H22,JetFreight!H22,Patel!H22,Sical!H22,TCI!H22,Shreeji!H22,MahindraLog!H22)</f>
        <v>2014.11</v>
      </c>
      <c r="I22" s="76" t="n">
        <f aca="false">SUM(Tiger!I22,Allcargo!I22,BlueDart!I22,CONCOR!I22,JetFreight!I22,Patel!I22,Sical!I22,TCI!I22,Shreeji!I22,MahindraLog!I22)</f>
        <v>1998</v>
      </c>
      <c r="J22" s="76" t="n">
        <f aca="false">SUM(Tiger!J22,Allcargo!J22,BlueDart!J22,CONCOR!J22,JetFreight!J22,Patel!J22,Sical!J22,TCI!J22,Shreeji!J22,MahindraLog!J22)</f>
        <v>2046.09</v>
      </c>
    </row>
    <row r="23" customFormat="false" ht="15" hidden="false" customHeight="false" outlineLevel="0" collapsed="false">
      <c r="A23" s="18" t="s">
        <v>425</v>
      </c>
      <c r="B23" s="74" t="s">
        <v>426</v>
      </c>
      <c r="C23" s="76" t="n">
        <f aca="false">SUM(Tiger!C23,Allcargo!C23,BlueDart!C23,CONCOR!C23,JetFreight!C23,Patel!C23,Sical!C23,TCI!C23,Shreeji!C23,MahindraLog!C23)</f>
        <v>664.26</v>
      </c>
      <c r="D23" s="76" t="n">
        <f aca="false">SUM(Tiger!D23,Allcargo!D23,BlueDart!D23,CONCOR!D23,JetFreight!D23,Patel!D23,Sical!D23,TCI!D23,Shreeji!D23,MahindraLog!D23)</f>
        <v>319.85</v>
      </c>
      <c r="E23" s="76" t="n">
        <f aca="false">SUM(Tiger!E23,Allcargo!E23,BlueDart!E23,CONCOR!E23,JetFreight!E23,Patel!E23,Sical!E23,TCI!E23,Shreeji!E23,MahindraLog!E23)</f>
        <v>427.94</v>
      </c>
      <c r="F23" s="76" t="n">
        <f aca="false">SUM(Tiger!F23,Allcargo!F23,BlueDart!F23,CONCOR!F23,JetFreight!F23,Patel!F23,Sical!F23,TCI!F23,Shreeji!F23,MahindraLog!F23)</f>
        <v>813.59</v>
      </c>
      <c r="G23" s="76" t="n">
        <f aca="false">SUM(Tiger!G23,Allcargo!G23,BlueDart!G23,CONCOR!G23,JetFreight!G23,Patel!G23,Sical!G23,TCI!G23,Shreeji!G23,MahindraLog!G23)</f>
        <v>895.34</v>
      </c>
      <c r="H23" s="76" t="n">
        <f aca="false">SUM(Tiger!H23,Allcargo!H23,BlueDart!H23,CONCOR!H23,JetFreight!H23,Patel!H23,Sical!H23,TCI!H23,Shreeji!H23,MahindraLog!H23)</f>
        <v>932.16</v>
      </c>
      <c r="I23" s="76" t="n">
        <f aca="false">SUM(Tiger!I23,Allcargo!I23,BlueDart!I23,CONCOR!I23,JetFreight!I23,Patel!I23,Sical!I23,TCI!I23,Shreeji!I23,MahindraLog!I23)</f>
        <v>1156.5</v>
      </c>
      <c r="J23" s="76" t="n">
        <f aca="false">SUM(Tiger!J23,Allcargo!J23,BlueDart!J23,CONCOR!J23,JetFreight!J23,Patel!J23,Sical!J23,TCI!J23,Shreeji!J23,MahindraLog!J23)</f>
        <v>817.33</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76" t="n">
        <f aca="false">SUM(Tiger!C26,Allcargo!C26,BlueDart!C26,CONCOR!C26,JetFreight!C26,Patel!C26,Sical!C26,TCI!C26,Shreeji!C26,MahindraLog!C26)</f>
        <v>565.07</v>
      </c>
      <c r="D26" s="76" t="n">
        <f aca="false">SUM(Tiger!D26,Allcargo!D26,BlueDart!D26,CONCOR!D26,JetFreight!D26,Patel!D26,Sical!D26,TCI!D26,Shreeji!D26,MahindraLog!D26)</f>
        <v>572.19</v>
      </c>
      <c r="E26" s="76" t="n">
        <f aca="false">SUM(Tiger!E26,Allcargo!E26,BlueDart!E26,CONCOR!E26,JetFreight!E26,Patel!E26,Sical!E26,TCI!E26,Shreeji!E26,MahindraLog!E26)</f>
        <v>581.87</v>
      </c>
      <c r="F26" s="76" t="n">
        <f aca="false">SUM(Tiger!F26,Allcargo!F26,BlueDart!F26,CONCOR!F26,JetFreight!F26,Patel!F26,Sical!F26,TCI!F26,Shreeji!F26,MahindraLog!F26)</f>
        <v>592.12</v>
      </c>
      <c r="G26" s="76" t="n">
        <f aca="false">SUM(Tiger!G26,Allcargo!G26,BlueDart!G26,CONCOR!G26,JetFreight!G26,Patel!G26,Sical!G26,TCI!G26,Shreeji!G26,MahindraLog!G26)</f>
        <v>639.49</v>
      </c>
      <c r="H26" s="76" t="n">
        <f aca="false">SUM(Tiger!H26,Allcargo!H26,BlueDart!H26,CONCOR!H26,JetFreight!H26,Patel!H26,Sical!H26,TCI!H26,Shreeji!H26,MahindraLog!H26)</f>
        <v>790.15</v>
      </c>
      <c r="I26" s="76" t="n">
        <f aca="false">SUM(Tiger!I26,Allcargo!I26,BlueDart!I26,CONCOR!I26,JetFreight!I26,Patel!I26,Sical!I26,TCI!I26,Shreeji!I26,MahindraLog!I26)</f>
        <v>898.45</v>
      </c>
      <c r="J26" s="76" t="n">
        <f aca="false">SUM(Tiger!J26,Allcargo!J26,BlueDart!J26,CONCOR!J26,JetFreight!J26,Patel!J26,Sical!J26,TCI!J26,Shreeji!J26,MahindraLog!J26)</f>
        <v>1016.26</v>
      </c>
    </row>
    <row r="27" customFormat="false" ht="15" hidden="false" customHeight="false" outlineLevel="0" collapsed="false">
      <c r="A27" s="18" t="s">
        <v>430</v>
      </c>
      <c r="B27" s="74" t="s">
        <v>431</v>
      </c>
      <c r="C27" s="76" t="n">
        <f aca="false">SUM(Tiger!C27,Allcargo!C27,BlueDart!C27,CONCOR!C27,JetFreight!C27,Patel!C27,Sical!C27,TCI!C27,Shreeji!C27,MahindraLog!C27)</f>
        <v>14574.59</v>
      </c>
      <c r="D27" s="76" t="n">
        <f aca="false">SUM(Tiger!D27,Allcargo!D27,BlueDart!D27,CONCOR!D27,JetFreight!D27,Patel!D27,Sical!D27,TCI!D27,Shreeji!D27,MahindraLog!D27)</f>
        <v>14384.92</v>
      </c>
      <c r="E27" s="76" t="n">
        <f aca="false">SUM(Tiger!E27,Allcargo!E27,BlueDart!E27,CONCOR!E27,JetFreight!E27,Patel!E27,Sical!E27,TCI!E27,Shreeji!E27,MahindraLog!E27)</f>
        <v>13755.07</v>
      </c>
      <c r="F27" s="76" t="n">
        <f aca="false">SUM(Tiger!F27,Allcargo!F27,BlueDart!F27,CONCOR!F27,JetFreight!F27,Patel!F27,Sical!F27,TCI!F27,Shreeji!F27,MahindraLog!F27)</f>
        <v>15491.23</v>
      </c>
      <c r="G27" s="76" t="n">
        <f aca="false">SUM(Tiger!G27,Allcargo!G27,BlueDart!G27,CONCOR!G27,JetFreight!G27,Patel!G27,Sical!G27,TCI!G27,Shreeji!G27,MahindraLog!G27)</f>
        <v>17215.67</v>
      </c>
      <c r="H27" s="76" t="n">
        <f aca="false">SUM(Tiger!H27,Allcargo!H27,BlueDart!H27,CONCOR!H27,JetFreight!H27,Patel!H27,Sical!H27,TCI!H27,Shreeji!H27,MahindraLog!H27)</f>
        <v>17795.56</v>
      </c>
      <c r="I27" s="76" t="n">
        <f aca="false">SUM(Tiger!I27,Allcargo!I27,BlueDart!I27,CONCOR!I27,JetFreight!I27,Patel!I27,Sical!I27,TCI!I27,Shreeji!I27,MahindraLog!I27)</f>
        <v>16574.72</v>
      </c>
      <c r="J27" s="76" t="n">
        <f aca="false">SUM(Tiger!J27,Allcargo!J27,BlueDart!J27,CONCOR!J27,JetFreight!J27,Patel!J27,Sical!J27,TCI!J27,Shreeji!J27,MahindraLog!J27)</f>
        <v>18565.38</v>
      </c>
    </row>
    <row r="28" customFormat="false" ht="15" hidden="false" customHeight="false" outlineLevel="0" collapsed="false">
      <c r="A28" s="18" t="s">
        <v>432</v>
      </c>
      <c r="B28" s="74" t="s">
        <v>433</v>
      </c>
      <c r="C28" s="76" t="n">
        <f aca="false">SUM(Tiger!C28,Allcargo!C28,BlueDart!C28,CONCOR!C28,JetFreight!C28,Patel!C28,Sical!C28,TCI!C28,Shreeji!C28,MahindraLog!C28)</f>
        <v>4056.38</v>
      </c>
      <c r="D28" s="76" t="n">
        <f aca="false">SUM(Tiger!D28,Allcargo!D28,BlueDart!D28,CONCOR!D28,JetFreight!D28,Patel!D28,Sical!D28,TCI!D28,Shreeji!D28,MahindraLog!D28)</f>
        <v>4286.14</v>
      </c>
      <c r="E28" s="76" t="n">
        <f aca="false">SUM(Tiger!E28,Allcargo!E28,BlueDart!E28,CONCOR!E28,JetFreight!E28,Patel!E28,Sical!E28,TCI!E28,Shreeji!E28,MahindraLog!E28)</f>
        <v>6296.94</v>
      </c>
      <c r="F28" s="76" t="n">
        <f aca="false">SUM(Tiger!F28,Allcargo!F28,BlueDart!F28,CONCOR!F28,JetFreight!F28,Patel!F28,Sical!F28,TCI!F28,Shreeji!F28,MahindraLog!F28)</f>
        <v>6525.54</v>
      </c>
      <c r="G28" s="76" t="n">
        <f aca="false">SUM(Tiger!G28,Allcargo!G28,BlueDart!G28,CONCOR!G28,JetFreight!G28,Patel!G28,Sical!G28,TCI!G28,Shreeji!G28,MahindraLog!G28)</f>
        <v>4625.77</v>
      </c>
      <c r="H28" s="76" t="n">
        <f aca="false">SUM(Tiger!H28,Allcargo!H28,BlueDart!H28,CONCOR!H28,JetFreight!H28,Patel!H28,Sical!H28,TCI!H28,Shreeji!H28,MahindraLog!H28)</f>
        <v>5436.73</v>
      </c>
      <c r="I28" s="76" t="n">
        <f aca="false">SUM(Tiger!I28,Allcargo!I28,BlueDart!I28,CONCOR!I28,JetFreight!I28,Patel!I28,Sical!I28,TCI!I28,Shreeji!I28,MahindraLog!I28)</f>
        <v>4521.24</v>
      </c>
      <c r="J28" s="76" t="n">
        <f aca="false">SUM(Tiger!J28,Allcargo!J28,BlueDart!J28,CONCOR!J28,JetFreight!J28,Patel!J28,Sical!J28,TCI!J28,Shreeji!J28,MahindraLog!J28)</f>
        <v>4417.77</v>
      </c>
    </row>
    <row r="29" customFormat="false" ht="15" hidden="false" customHeight="false" outlineLevel="0" collapsed="false">
      <c r="A29" s="18" t="s">
        <v>434</v>
      </c>
      <c r="B29" s="74" t="s">
        <v>435</v>
      </c>
      <c r="C29" s="76" t="n">
        <f aca="false">SUM(Tiger!C29,Allcargo!C29,BlueDart!C29,CONCOR!C29,JetFreight!C29,Patel!C29,Sical!C29,TCI!C29,Shreeji!C29,MahindraLog!C29)</f>
        <v>5414.06</v>
      </c>
      <c r="D29" s="76" t="n">
        <f aca="false">SUM(Tiger!D29,Allcargo!D29,BlueDart!D29,CONCOR!D29,JetFreight!D29,Patel!D29,Sical!D29,TCI!D29,Shreeji!D29,MahindraLog!D29)</f>
        <v>6837</v>
      </c>
      <c r="E29" s="76" t="n">
        <f aca="false">SUM(Tiger!E29,Allcargo!E29,BlueDart!E29,CONCOR!E29,JetFreight!E29,Patel!E29,Sical!E29,TCI!E29,Shreeji!E29,MahindraLog!E29)</f>
        <v>7598.37</v>
      </c>
      <c r="F29" s="76" t="n">
        <f aca="false">SUM(Tiger!F29,Allcargo!F29,BlueDart!F29,CONCOR!F29,JetFreight!F29,Patel!F29,Sical!F29,TCI!F29,Shreeji!F29,MahindraLog!F29)</f>
        <v>8694.08</v>
      </c>
      <c r="G29" s="76" t="n">
        <f aca="false">SUM(Tiger!G29,Allcargo!G29,BlueDart!G29,CONCOR!G29,JetFreight!G29,Patel!G29,Sical!G29,TCI!G29,Shreeji!G29,MahindraLog!G29)</f>
        <v>7435.06</v>
      </c>
      <c r="H29" s="76" t="n">
        <f aca="false">SUM(Tiger!H29,Allcargo!H29,BlueDart!H29,CONCOR!H29,JetFreight!H29,Patel!H29,Sical!H29,TCI!H29,Shreeji!H29,MahindraLog!H29)</f>
        <v>7012.82</v>
      </c>
      <c r="I29" s="76" t="n">
        <f aca="false">SUM(Tiger!I29,Allcargo!I29,BlueDart!I29,CONCOR!I29,JetFreight!I29,Patel!I29,Sical!I29,TCI!I29,Shreeji!I29,MahindraLog!I29)</f>
        <v>4919.58</v>
      </c>
      <c r="J29" s="76" t="n">
        <f aca="false">SUM(Tiger!J29,Allcargo!J29,BlueDart!J29,CONCOR!J29,JetFreight!J29,Patel!J29,Sical!J29,TCI!J29,Shreeji!J29,MahindraLog!J29)</f>
        <v>5272.37</v>
      </c>
    </row>
    <row r="30" customFormat="false" ht="15" hidden="false" customHeight="false" outlineLevel="0" collapsed="false">
      <c r="A30" s="18" t="s">
        <v>436</v>
      </c>
      <c r="B30" s="74" t="s">
        <v>437</v>
      </c>
      <c r="C30" s="76" t="n">
        <f aca="false">SUM(Tiger!C30,Allcargo!C30,BlueDart!C30,CONCOR!C30,JetFreight!C30,Patel!C30,Sical!C30,TCI!C30,Shreeji!C30,MahindraLog!C30)</f>
        <v>24610.1</v>
      </c>
      <c r="D30" s="76" t="n">
        <f aca="false">SUM(Tiger!D30,Allcargo!D30,BlueDart!D30,CONCOR!D30,JetFreight!D30,Patel!D30,Sical!D30,TCI!D30,Shreeji!D30,MahindraLog!D30)</f>
        <v>26080.25</v>
      </c>
      <c r="E30" s="76" t="n">
        <f aca="false">SUM(Tiger!E30,Allcargo!E30,BlueDart!E30,CONCOR!E30,JetFreight!E30,Patel!E30,Sical!E30,TCI!E30,Shreeji!E30,MahindraLog!E30)</f>
        <v>28232.25</v>
      </c>
      <c r="F30" s="76" t="n">
        <f aca="false">SUM(Tiger!F30,Allcargo!F30,BlueDart!F30,CONCOR!F30,JetFreight!F30,Patel!F30,Sical!F30,TCI!F30,Shreeji!F30,MahindraLog!F30)</f>
        <v>31302.97</v>
      </c>
      <c r="G30" s="76" t="n">
        <f aca="false">SUM(Tiger!G30,Allcargo!G30,BlueDart!G30,CONCOR!G30,JetFreight!G30,Patel!G30,Sical!G30,TCI!G30,Shreeji!G30,MahindraLog!G30)</f>
        <v>29915.99</v>
      </c>
      <c r="H30" s="76" t="n">
        <f aca="false">SUM(Tiger!H30,Allcargo!H30,BlueDart!H30,CONCOR!H30,JetFreight!H30,Patel!H30,Sical!H30,TCI!H30,Shreeji!H30,MahindraLog!H30)</f>
        <v>31035.26</v>
      </c>
      <c r="I30" s="76" t="n">
        <f aca="false">SUM(Tiger!I30,Allcargo!I30,BlueDart!I30,CONCOR!I30,JetFreight!I30,Patel!I30,Sical!I30,TCI!I30,Shreeji!I30,MahindraLog!I30)</f>
        <v>26913.99</v>
      </c>
      <c r="J30" s="76" t="n">
        <f aca="false">SUM(Tiger!J30,Allcargo!J30,BlueDart!J30,CONCOR!J30,JetFreight!J30,Patel!J30,Sical!J30,TCI!J30,Shreeji!J30,MahindraLog!J30)</f>
        <v>29271.78</v>
      </c>
    </row>
    <row r="31" customFormat="false" ht="15" hidden="false" customHeight="false" outlineLevel="0" collapsed="false">
      <c r="A31" s="18" t="s">
        <v>438</v>
      </c>
      <c r="B31" s="74" t="s">
        <v>439</v>
      </c>
      <c r="C31" s="76" t="n">
        <f aca="false">SUM(Tiger!C31,Allcargo!C31,BlueDart!C31,CONCOR!C31,JetFreight!C31,Patel!C31,Sical!C31,TCI!C31,Shreeji!C31,MahindraLog!C31)</f>
        <v>8626.21</v>
      </c>
      <c r="D31" s="76" t="n">
        <f aca="false">SUM(Tiger!D31,Allcargo!D31,BlueDart!D31,CONCOR!D31,JetFreight!D31,Patel!D31,Sical!D31,TCI!D31,Shreeji!D31,MahindraLog!D31)</f>
        <v>11025.1</v>
      </c>
      <c r="E31" s="76" t="n">
        <f aca="false">SUM(Tiger!E31,Allcargo!E31,BlueDart!E31,CONCOR!E31,JetFreight!E31,Patel!E31,Sical!E31,TCI!E31,Shreeji!E31,MahindraLog!E31)</f>
        <v>12530.25</v>
      </c>
      <c r="F31" s="76" t="n">
        <f aca="false">SUM(Tiger!F31,Allcargo!F31,BlueDart!F31,CONCOR!F31,JetFreight!F31,Patel!F31,Sical!F31,TCI!F31,Shreeji!F31,MahindraLog!F31)</f>
        <v>12833.54</v>
      </c>
      <c r="G31" s="76" t="n">
        <f aca="false">SUM(Tiger!G31,Allcargo!G31,BlueDart!G31,CONCOR!G31,JetFreight!G31,Patel!G31,Sical!G31,TCI!G31,Shreeji!G31,MahindraLog!G31)</f>
        <v>11529.2</v>
      </c>
      <c r="H31" s="76" t="n">
        <f aca="false">SUM(Tiger!H31,Allcargo!H31,BlueDart!H31,CONCOR!H31,JetFreight!H31,Patel!H31,Sical!H31,TCI!H31,Shreeji!H31,MahindraLog!H31)</f>
        <v>13044.83</v>
      </c>
      <c r="I31" s="76" t="n">
        <f aca="false">SUM(Tiger!I31,Allcargo!I31,BlueDart!I31,CONCOR!I31,JetFreight!I31,Patel!I31,Sical!I31,TCI!I31,Shreeji!I31,MahindraLog!I31)</f>
        <v>11757.54</v>
      </c>
      <c r="J31" s="76" t="n">
        <f aca="false">SUM(Tiger!J31,Allcargo!J31,BlueDart!J31,CONCOR!J31,JetFreight!J31,Patel!J31,Sical!J31,TCI!J31,Shreeji!J31,MahindraLog!J31)</f>
        <v>12991.49</v>
      </c>
    </row>
    <row r="32" customFormat="false" ht="15" hidden="false" customHeight="false" outlineLevel="0" collapsed="false">
      <c r="A32" s="18" t="s">
        <v>440</v>
      </c>
      <c r="B32" s="74" t="s">
        <v>441</v>
      </c>
      <c r="C32" s="76" t="n">
        <f aca="false">SUM(Tiger!C32,Allcargo!C32,BlueDart!C32,CONCOR!C32,JetFreight!C32,Patel!C32,Sical!C32,TCI!C32,Shreeji!C32,MahindraLog!C32)</f>
        <v>1918.55</v>
      </c>
      <c r="D32" s="76" t="n">
        <f aca="false">SUM(Tiger!D32,Allcargo!D32,BlueDart!D32,CONCOR!D32,JetFreight!D32,Patel!D32,Sical!D32,TCI!D32,Shreeji!D32,MahindraLog!D32)</f>
        <v>2554.61</v>
      </c>
      <c r="E32" s="76" t="n">
        <f aca="false">SUM(Tiger!E32,Allcargo!E32,BlueDart!E32,CONCOR!E32,JetFreight!E32,Patel!E32,Sical!E32,TCI!E32,Shreeji!E32,MahindraLog!E32)</f>
        <v>1335.9</v>
      </c>
      <c r="F32" s="76" t="n">
        <f aca="false">SUM(Tiger!F32,Allcargo!F32,BlueDart!F32,CONCOR!F32,JetFreight!F32,Patel!F32,Sical!F32,TCI!F32,Shreeji!F32,MahindraLog!F32)</f>
        <v>1257.08</v>
      </c>
      <c r="G32" s="76" t="n">
        <f aca="false">SUM(Tiger!G32,Allcargo!G32,BlueDart!G32,CONCOR!G32,JetFreight!G32,Patel!G32,Sical!G32,TCI!G32,Shreeji!G32,MahindraLog!G32)</f>
        <v>1327.89</v>
      </c>
      <c r="H32" s="76" t="n">
        <f aca="false">SUM(Tiger!H32,Allcargo!H32,BlueDart!H32,CONCOR!H32,JetFreight!H32,Patel!H32,Sical!H32,TCI!H32,Shreeji!H32,MahindraLog!H32)</f>
        <v>1148.78</v>
      </c>
      <c r="I32" s="76" t="n">
        <f aca="false">SUM(Tiger!I32,Allcargo!I32,BlueDart!I32,CONCOR!I32,JetFreight!I32,Patel!I32,Sical!I32,TCI!I32,Shreeji!I32,MahindraLog!I32)</f>
        <v>1287.22</v>
      </c>
      <c r="J32" s="76" t="n">
        <f aca="false">SUM(Tiger!J32,Allcargo!J32,BlueDart!J32,CONCOR!J32,JetFreight!J32,Patel!J32,Sical!J32,TCI!J32,Shreeji!J32,MahindraLog!J32)</f>
        <v>1307.85</v>
      </c>
    </row>
    <row r="33" customFormat="false" ht="15" hidden="false" customHeight="false" outlineLevel="0" collapsed="false">
      <c r="A33" s="18" t="s">
        <v>442</v>
      </c>
      <c r="B33" s="74" t="s">
        <v>443</v>
      </c>
      <c r="C33" s="76" t="n">
        <f aca="false">SUM(Tiger!C33,Allcargo!C33,BlueDart!C33,CONCOR!C33,JetFreight!C33,Patel!C33,Sical!C33,TCI!C33,Shreeji!C33,MahindraLog!C33)</f>
        <v>1639.45</v>
      </c>
      <c r="D33" s="76" t="n">
        <f aca="false">SUM(Tiger!D33,Allcargo!D33,BlueDart!D33,CONCOR!D33,JetFreight!D33,Patel!D33,Sical!D33,TCI!D33,Shreeji!D33,MahindraLog!D33)</f>
        <v>1864.33</v>
      </c>
      <c r="E33" s="76" t="n">
        <f aca="false">SUM(Tiger!E33,Allcargo!E33,BlueDart!E33,CONCOR!E33,JetFreight!E33,Patel!E33,Sical!E33,TCI!E33,Shreeji!E33,MahindraLog!E33)</f>
        <v>1959.24</v>
      </c>
      <c r="F33" s="76" t="n">
        <f aca="false">SUM(Tiger!F33,Allcargo!F33,BlueDart!F33,CONCOR!F33,JetFreight!F33,Patel!F33,Sical!F33,TCI!F33,Shreeji!F33,MahindraLog!F33)</f>
        <v>2303.76</v>
      </c>
      <c r="G33" s="76" t="n">
        <f aca="false">SUM(Tiger!G33,Allcargo!G33,BlueDart!G33,CONCOR!G33,JetFreight!G33,Patel!G33,Sical!G33,TCI!G33,Shreeji!G33,MahindraLog!G33)</f>
        <v>2366.32</v>
      </c>
      <c r="H33" s="76" t="n">
        <f aca="false">SUM(Tiger!H33,Allcargo!H33,BlueDart!H33,CONCOR!H33,JetFreight!H33,Patel!H33,Sical!H33,TCI!H33,Shreeji!H33,MahindraLog!H33)</f>
        <v>2226.1</v>
      </c>
      <c r="I33" s="76" t="n">
        <f aca="false">SUM(Tiger!I33,Allcargo!I33,BlueDart!I33,CONCOR!I33,JetFreight!I33,Patel!I33,Sical!I33,TCI!I33,Shreeji!I33,MahindraLog!I33)</f>
        <v>1964.58</v>
      </c>
      <c r="J33" s="76" t="n">
        <f aca="false">SUM(Tiger!J33,Allcargo!J33,BlueDart!J33,CONCOR!J33,JetFreight!J33,Patel!J33,Sical!J33,TCI!J33,Shreeji!J33,MahindraLog!J33)</f>
        <v>2128.65</v>
      </c>
    </row>
    <row r="34" customFormat="false" ht="15" hidden="false" customHeight="false" outlineLevel="0" collapsed="false">
      <c r="A34" s="18" t="s">
        <v>444</v>
      </c>
      <c r="B34" s="74" t="s">
        <v>445</v>
      </c>
      <c r="C34" s="76" t="n">
        <f aca="false">SUM(Tiger!C34,Allcargo!C34,BlueDart!C34,CONCOR!C34,JetFreight!C34,Patel!C34,Sical!C34,TCI!C34,Shreeji!C34,MahindraLog!C34)</f>
        <v>12425.89</v>
      </c>
      <c r="D34" s="76" t="n">
        <f aca="false">SUM(Tiger!D34,Allcargo!D34,BlueDart!D34,CONCOR!D34,JetFreight!D34,Patel!D34,Sical!D34,TCI!D34,Shreeji!D34,MahindraLog!D34)</f>
        <v>10636.21</v>
      </c>
      <c r="E34" s="76" t="n">
        <f aca="false">SUM(Tiger!E34,Allcargo!E34,BlueDart!E34,CONCOR!E34,JetFreight!E34,Patel!E34,Sical!E34,TCI!E34,Shreeji!E34,MahindraLog!E34)</f>
        <v>12406.86</v>
      </c>
      <c r="F34" s="76" t="n">
        <f aca="false">SUM(Tiger!F34,Allcargo!F34,BlueDart!F34,CONCOR!F34,JetFreight!F34,Patel!F34,Sical!F34,TCI!F34,Shreeji!F34,MahindraLog!F34)</f>
        <v>14908.59</v>
      </c>
      <c r="G34" s="76" t="n">
        <f aca="false">SUM(Tiger!G34,Allcargo!G34,BlueDart!G34,CONCOR!G34,JetFreight!G34,Patel!G34,Sical!G34,TCI!G34,Shreeji!G34,MahindraLog!G34)</f>
        <v>14692.58</v>
      </c>
      <c r="H34" s="76" t="n">
        <f aca="false">SUM(Tiger!H34,Allcargo!H34,BlueDart!H34,CONCOR!H34,JetFreight!H34,Patel!H34,Sical!H34,TCI!H34,Shreeji!H34,MahindraLog!H34)</f>
        <v>14615.55</v>
      </c>
      <c r="I34" s="76" t="n">
        <f aca="false">SUM(Tiger!I34,Allcargo!I34,BlueDart!I34,CONCOR!I34,JetFreight!I34,Patel!I34,Sical!I34,TCI!I34,Shreeji!I34,MahindraLog!I34)</f>
        <v>11904.65</v>
      </c>
      <c r="J34" s="76" t="n">
        <f aca="false">SUM(Tiger!J34,Allcargo!J34,BlueDart!J34,CONCOR!J34,JetFreight!J34,Patel!J34,Sical!J34,TCI!J34,Shreeji!J34,MahindraLog!J34)</f>
        <v>12843.79</v>
      </c>
    </row>
    <row r="35" customFormat="false" ht="15" hidden="false" customHeight="false" outlineLevel="0" collapsed="false">
      <c r="A35" s="18" t="s">
        <v>446</v>
      </c>
      <c r="B35" s="74" t="s">
        <v>447</v>
      </c>
      <c r="C35" s="76" t="n">
        <f aca="false">SUM(Tiger!C35,Allcargo!C35,BlueDart!C35,CONCOR!C35,JetFreight!C35,Patel!C35,Sical!C35,TCI!C35,Shreeji!C35,MahindraLog!C35)</f>
        <v>24610.1</v>
      </c>
      <c r="D35" s="76" t="n">
        <f aca="false">SUM(Tiger!D35,Allcargo!D35,BlueDart!D35,CONCOR!D35,JetFreight!D35,Patel!D35,Sical!D35,TCI!D35,Shreeji!D35,MahindraLog!D35)</f>
        <v>26080.25</v>
      </c>
      <c r="E35" s="76" t="n">
        <f aca="false">SUM(Tiger!E35,Allcargo!E35,BlueDart!E35,CONCOR!E35,JetFreight!E35,Patel!E35,Sical!E35,TCI!E35,Shreeji!E35,MahindraLog!E35)</f>
        <v>28232.25</v>
      </c>
      <c r="F35" s="76" t="n">
        <f aca="false">SUM(Tiger!F35,Allcargo!F35,BlueDart!F35,CONCOR!F35,JetFreight!F35,Patel!F35,Sical!F35,TCI!F35,Shreeji!F35,MahindraLog!F35)</f>
        <v>31302.97</v>
      </c>
      <c r="G35" s="76" t="n">
        <f aca="false">SUM(Tiger!G35,Allcargo!G35,BlueDart!G35,CONCOR!G35,JetFreight!G35,Patel!G35,Sical!G35,TCI!G35,Shreeji!G35,MahindraLog!G35)</f>
        <v>29915.99</v>
      </c>
      <c r="H35" s="76" t="n">
        <f aca="false">SUM(Tiger!H35,Allcargo!H35,BlueDart!H35,CONCOR!H35,JetFreight!H35,Patel!H35,Sical!H35,TCI!H35,Shreeji!H35,MahindraLog!H35)</f>
        <v>31035.26</v>
      </c>
      <c r="I35" s="76" t="n">
        <f aca="false">SUM(Tiger!I35,Allcargo!I35,BlueDart!I35,CONCOR!I35,JetFreight!I35,Patel!I35,Sical!I35,TCI!I35,Shreeji!I35,MahindraLog!I35)</f>
        <v>26913.99</v>
      </c>
      <c r="J35" s="76" t="n">
        <f aca="false">SUM(Tiger!J35,Allcargo!J35,BlueDart!J35,CONCOR!J35,JetFreight!J35,Patel!J35,Sical!J35,TCI!J35,Shreeji!J35,MahindraLog!J35)</f>
        <v>29271.78</v>
      </c>
    </row>
    <row r="36" customFormat="false" ht="15" hidden="false" customHeight="false" outlineLevel="0" collapsed="false">
      <c r="A36" s="18" t="s">
        <v>448</v>
      </c>
      <c r="B36" s="74" t="s">
        <v>449</v>
      </c>
      <c r="C36" s="76" t="n">
        <f aca="false">SUM(Tiger!C36,Allcargo!C36,BlueDart!C36,CONCOR!C36,JetFreight!C36,Patel!C36,Sical!C36,TCI!C36,Shreeji!C36,MahindraLog!C36)</f>
        <v>3254.05</v>
      </c>
      <c r="D36" s="76" t="n">
        <f aca="false">SUM(Tiger!D36,Allcargo!D36,BlueDart!D36,CONCOR!D36,JetFreight!D36,Patel!D36,Sical!D36,TCI!D36,Shreeji!D36,MahindraLog!D36)</f>
        <v>3339.25</v>
      </c>
      <c r="E36" s="76" t="n">
        <f aca="false">SUM(Tiger!E36,Allcargo!E36,BlueDart!E36,CONCOR!E36,JetFreight!E36,Patel!E36,Sical!E36,TCI!E36,Shreeji!E36,MahindraLog!E36)</f>
        <v>4255.22</v>
      </c>
      <c r="F36" s="76" t="n">
        <f aca="false">SUM(Tiger!F36,Allcargo!F36,BlueDart!F36,CONCOR!F36,JetFreight!F36,Patel!F36,Sical!F36,TCI!F36,Shreeji!F36,MahindraLog!F36)</f>
        <v>5196.45</v>
      </c>
      <c r="G36" s="76" t="n">
        <f aca="false">SUM(Tiger!G36,Allcargo!G36,BlueDart!G36,CONCOR!G36,JetFreight!G36,Patel!G36,Sical!G36,TCI!G36,Shreeji!G36,MahindraLog!G36)</f>
        <v>4382.35</v>
      </c>
      <c r="H36" s="76" t="n">
        <f aca="false">SUM(Tiger!H36,Allcargo!H36,BlueDart!H36,CONCOR!H36,JetFreight!H36,Patel!H36,Sical!H36,TCI!H36,Shreeji!H36,MahindraLog!H36)</f>
        <v>4872.93</v>
      </c>
      <c r="I36" s="76" t="n">
        <f aca="false">SUM(Tiger!I36,Allcargo!I36,BlueDart!I36,CONCOR!I36,JetFreight!I36,Patel!I36,Sical!I36,TCI!I36,Shreeji!I36,MahindraLog!I36)</f>
        <v>3289.56</v>
      </c>
      <c r="J36" s="76" t="n">
        <f aca="false">SUM(Tiger!J36,Allcargo!J36,BlueDart!J36,CONCOR!J36,JetFreight!J36,Patel!J36,Sical!J36,TCI!J36,Shreeji!J36,MahindraLog!J36)</f>
        <v>3839.35</v>
      </c>
    </row>
    <row r="37" customFormat="false" ht="15" hidden="false" customHeight="false" outlineLevel="0" collapsed="false">
      <c r="A37" s="18" t="s">
        <v>450</v>
      </c>
      <c r="B37" s="74" t="s">
        <v>451</v>
      </c>
      <c r="C37" s="76" t="n">
        <f aca="false">SUM(Tiger!C37,Allcargo!C37,BlueDart!C37,CONCOR!C37,JetFreight!C37,Patel!C37,Sical!C37,TCI!C37,Shreeji!C37,MahindraLog!C37)</f>
        <v>80.26</v>
      </c>
      <c r="D37" s="76" t="n">
        <f aca="false">SUM(Tiger!D37,Allcargo!D37,BlueDart!D37,CONCOR!D37,JetFreight!D37,Patel!D37,Sical!D37,TCI!D37,Shreeji!D37,MahindraLog!D37)</f>
        <v>87.75</v>
      </c>
      <c r="E37" s="76" t="n">
        <f aca="false">SUM(Tiger!E37,Allcargo!E37,BlueDart!E37,CONCOR!E37,JetFreight!E37,Patel!E37,Sical!E37,TCI!E37,Shreeji!E37,MahindraLog!E37)</f>
        <v>93.07</v>
      </c>
      <c r="F37" s="76" t="n">
        <f aca="false">SUM(Tiger!F37,Allcargo!F37,BlueDart!F37,CONCOR!F37,JetFreight!F37,Patel!F37,Sical!F37,TCI!F37,Shreeji!F37,MahindraLog!F37)</f>
        <v>99.41</v>
      </c>
      <c r="G37" s="76" t="n">
        <f aca="false">SUM(Tiger!G37,Allcargo!G37,BlueDart!G37,CONCOR!G37,JetFreight!G37,Patel!G37,Sical!G37,TCI!G37,Shreeji!G37,MahindraLog!G37)</f>
        <v>87.18</v>
      </c>
      <c r="H37" s="76" t="n">
        <f aca="false">SUM(Tiger!H37,Allcargo!H37,BlueDart!H37,CONCOR!H37,JetFreight!H37,Patel!H37,Sical!H37,TCI!H37,Shreeji!H37,MahindraLog!H37)</f>
        <v>117.85</v>
      </c>
      <c r="I37" s="76" t="n">
        <f aca="false">SUM(Tiger!I37,Allcargo!I37,BlueDart!I37,CONCOR!I37,JetFreight!I37,Patel!I37,Sical!I37,TCI!I37,Shreeji!I37,MahindraLog!I37)</f>
        <v>110.31</v>
      </c>
      <c r="J37" s="76" t="n">
        <f aca="false">SUM(Tiger!J37,Allcargo!J37,BlueDart!J37,CONCOR!J37,JetFreight!J37,Patel!J37,Sical!J37,TCI!J37,Shreeji!J37,MahindraLog!J37)</f>
        <v>123.15</v>
      </c>
    </row>
    <row r="38" customFormat="false" ht="15" hidden="false" customHeight="false" outlineLevel="0" collapsed="false">
      <c r="A38" s="18" t="s">
        <v>452</v>
      </c>
      <c r="B38" s="74" t="s">
        <v>453</v>
      </c>
      <c r="C38" s="76" t="n">
        <f aca="false">SUM(Tiger!C38,Allcargo!C38,BlueDart!C38,CONCOR!C38,JetFreight!C38,Patel!C38,Sical!C38,TCI!C38,Shreeji!C38,MahindraLog!C38)</f>
        <v>885.63</v>
      </c>
      <c r="D38" s="76" t="n">
        <f aca="false">SUM(Tiger!D38,Allcargo!D38,BlueDart!D38,CONCOR!D38,JetFreight!D38,Patel!D38,Sical!D38,TCI!D38,Shreeji!D38,MahindraLog!D38)</f>
        <v>3080.69</v>
      </c>
      <c r="E38" s="76" t="n">
        <f aca="false">SUM(Tiger!E38,Allcargo!E38,BlueDart!E38,CONCOR!E38,JetFreight!E38,Patel!E38,Sical!E38,TCI!E38,Shreeji!E38,MahindraLog!E38)</f>
        <v>3525.54</v>
      </c>
      <c r="F38" s="76" t="n">
        <f aca="false">SUM(Tiger!F38,Allcargo!F38,BlueDart!F38,CONCOR!F38,JetFreight!F38,Patel!F38,Sical!F38,TCI!F38,Shreeji!F38,MahindraLog!F38)</f>
        <v>4105.93</v>
      </c>
      <c r="G38" s="76" t="n">
        <f aca="false">SUM(Tiger!G38,Allcargo!G38,BlueDart!G38,CONCOR!G38,JetFreight!G38,Patel!G38,Sical!G38,TCI!G38,Shreeji!G38,MahindraLog!G38)</f>
        <v>4991.45</v>
      </c>
      <c r="H38" s="76" t="n">
        <f aca="false">SUM(Tiger!H38,Allcargo!H38,BlueDart!H38,CONCOR!H38,JetFreight!H38,Patel!H38,Sical!H38,TCI!H38,Shreeji!H38,MahindraLog!H38)</f>
        <v>4399.04</v>
      </c>
      <c r="I38" s="76" t="n">
        <f aca="false">SUM(Tiger!I38,Allcargo!I38,BlueDart!I38,CONCOR!I38,JetFreight!I38,Patel!I38,Sical!I38,TCI!I38,Shreeji!I38,MahindraLog!I38)</f>
        <v>4334.65</v>
      </c>
      <c r="J38" s="76" t="n">
        <f aca="false">SUM(Tiger!J38,Allcargo!J38,BlueDart!J38,CONCOR!J38,JetFreight!J38,Patel!J38,Sical!J38,TCI!J38,Shreeji!J38,MahindraLog!J38)</f>
        <v>4325.41</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76" t="n">
        <f aca="false">SUM(Tiger!C41,Allcargo!C41,BlueDart!C41,CONCOR!C41,JetFreight!C41,Patel!C41,Sical!C41,TCI!C41,Shreeji!C41,MahindraLog!C41)</f>
        <v>-1048.22</v>
      </c>
      <c r="D41" s="76" t="n">
        <f aca="false">SUM(Tiger!D41,Allcargo!D41,BlueDart!D41,CONCOR!D41,JetFreight!D41,Patel!D41,Sical!D41,TCI!D41,Shreeji!D41,MahindraLog!D41)</f>
        <v>5593.91</v>
      </c>
      <c r="E41" s="76" t="n">
        <f aca="false">SUM(Tiger!E41,Allcargo!E41,BlueDart!E41,CONCOR!E41,JetFreight!E41,Patel!E41,Sical!E41,TCI!E41,Shreeji!E41,MahindraLog!E41)</f>
        <v>2912.62</v>
      </c>
      <c r="F41" s="76" t="n">
        <f aca="false">SUM(Tiger!F41,Allcargo!F41,BlueDart!F41,CONCOR!F41,JetFreight!F41,Patel!F41,Sical!F41,TCI!F41,Shreeji!F41,MahindraLog!F41)</f>
        <v>3754.51</v>
      </c>
      <c r="G41" s="76" t="n">
        <f aca="false">SUM(Tiger!G41,Allcargo!G41,BlueDart!G41,CONCOR!G41,JetFreight!G41,Patel!G41,Sical!G41,TCI!G41,Shreeji!G41,MahindraLog!G41)</f>
        <v>4175.65</v>
      </c>
      <c r="H41" s="76" t="n">
        <f aca="false">SUM(Tiger!H41,Allcargo!H41,BlueDart!H41,CONCOR!H41,JetFreight!H41,Patel!H41,Sical!H41,TCI!H41,Shreeji!H41,MahindraLog!H41)</f>
        <v>2636.37</v>
      </c>
      <c r="I41" s="76" t="n">
        <f aca="false">SUM(Tiger!I41,Allcargo!I41,BlueDart!I41,CONCOR!I41,JetFreight!I41,Patel!I41,Sical!I41,TCI!I41,Shreeji!I41,MahindraLog!I41)</f>
        <v>3438.54</v>
      </c>
      <c r="J41" s="76" t="n">
        <f aca="false">SUM(Tiger!J41,Allcargo!J41,BlueDart!J41,CONCOR!J41,JetFreight!J41,Patel!J41,Sical!J41,TCI!J41,Shreeji!J41,MahindraLog!J41)</f>
        <v>3340.43</v>
      </c>
    </row>
    <row r="42" customFormat="false" ht="15" hidden="false" customHeight="false" outlineLevel="0" collapsed="false">
      <c r="A42" s="18" t="s">
        <v>457</v>
      </c>
      <c r="B42" s="74" t="s">
        <v>458</v>
      </c>
      <c r="C42" s="76" t="n">
        <f aca="false">SUM(Tiger!C42,Allcargo!C42,BlueDart!C42,CONCOR!C42,JetFreight!C42,Patel!C42,Sical!C42,TCI!C42,Shreeji!C42,MahindraLog!C42)</f>
        <v>320.14</v>
      </c>
      <c r="D42" s="76" t="n">
        <f aca="false">SUM(Tiger!D42,Allcargo!D42,BlueDart!D42,CONCOR!D42,JetFreight!D42,Patel!D42,Sical!D42,TCI!D42,Shreeji!D42,MahindraLog!D42)</f>
        <v>-4377.39</v>
      </c>
      <c r="E42" s="76" t="n">
        <f aca="false">SUM(Tiger!E42,Allcargo!E42,BlueDart!E42,CONCOR!E42,JetFreight!E42,Patel!E42,Sical!E42,TCI!E42,Shreeji!E42,MahindraLog!E42)</f>
        <v>-692.62</v>
      </c>
      <c r="F42" s="76" t="n">
        <f aca="false">SUM(Tiger!F42,Allcargo!F42,BlueDart!F42,CONCOR!F42,JetFreight!F42,Patel!F42,Sical!F42,TCI!F42,Shreeji!F42,MahindraLog!F42)</f>
        <v>-1900.07</v>
      </c>
      <c r="G42" s="76" t="n">
        <f aca="false">SUM(Tiger!G42,Allcargo!G42,BlueDart!G42,CONCOR!G42,JetFreight!G42,Patel!G42,Sical!G42,TCI!G42,Shreeji!G42,MahindraLog!G42)</f>
        <v>-1923.15</v>
      </c>
      <c r="H42" s="76" t="n">
        <f aca="false">SUM(Tiger!H42,Allcargo!H42,BlueDart!H42,CONCOR!H42,JetFreight!H42,Patel!H42,Sical!H42,TCI!H42,Shreeji!H42,MahindraLog!H42)</f>
        <v>-1854.84</v>
      </c>
      <c r="I42" s="76" t="n">
        <f aca="false">SUM(Tiger!I42,Allcargo!I42,BlueDart!I42,CONCOR!I42,JetFreight!I42,Patel!I42,Sical!I42,TCI!I42,Shreeji!I42,MahindraLog!I42)</f>
        <v>-1093.56</v>
      </c>
      <c r="J42" s="76" t="n">
        <f aca="false">SUM(Tiger!J42,Allcargo!J42,BlueDart!J42,CONCOR!J42,JetFreight!J42,Patel!J42,Sical!J42,TCI!J42,Shreeji!J42,MahindraLog!J42)</f>
        <v>-1145.27</v>
      </c>
    </row>
    <row r="43" customFormat="false" ht="15" hidden="false" customHeight="false" outlineLevel="0" collapsed="false">
      <c r="A43" s="18" t="s">
        <v>459</v>
      </c>
      <c r="B43" s="74" t="s">
        <v>460</v>
      </c>
      <c r="C43" s="76" t="n">
        <f aca="false">SUM(Tiger!C43,Allcargo!C43,BlueDart!C43,CONCOR!C43,JetFreight!C43,Patel!C43,Sical!C43,TCI!C43,Shreeji!C43,MahindraLog!C43)</f>
        <v>622.4</v>
      </c>
      <c r="D43" s="76" t="n">
        <f aca="false">SUM(Tiger!D43,Allcargo!D43,BlueDart!D43,CONCOR!D43,JetFreight!D43,Patel!D43,Sical!D43,TCI!D43,Shreeji!D43,MahindraLog!D43)</f>
        <v>-1328.07</v>
      </c>
      <c r="E43" s="76" t="n">
        <f aca="false">SUM(Tiger!E43,Allcargo!E43,BlueDart!E43,CONCOR!E43,JetFreight!E43,Patel!E43,Sical!E43,TCI!E43,Shreeji!E43,MahindraLog!E43)</f>
        <v>-1392.07</v>
      </c>
      <c r="F43" s="76" t="n">
        <f aca="false">SUM(Tiger!F43,Allcargo!F43,BlueDart!F43,CONCOR!F43,JetFreight!F43,Patel!F43,Sical!F43,TCI!F43,Shreeji!F43,MahindraLog!F43)</f>
        <v>-1795.84</v>
      </c>
      <c r="G43" s="76" t="n">
        <f aca="false">SUM(Tiger!G43,Allcargo!G43,BlueDart!G43,CONCOR!G43,JetFreight!G43,Patel!G43,Sical!G43,TCI!G43,Shreeji!G43,MahindraLog!G43)</f>
        <v>-1844.08</v>
      </c>
      <c r="H43" s="76" t="n">
        <f aca="false">SUM(Tiger!H43,Allcargo!H43,BlueDart!H43,CONCOR!H43,JetFreight!H43,Patel!H43,Sical!H43,TCI!H43,Shreeji!H43,MahindraLog!H43)</f>
        <v>-1535.69</v>
      </c>
      <c r="I43" s="76" t="n">
        <f aca="false">SUM(Tiger!I43,Allcargo!I43,BlueDart!I43,CONCOR!I43,JetFreight!I43,Patel!I43,Sical!I43,TCI!I43,Shreeji!I43,MahindraLog!I43)</f>
        <v>-2218.21</v>
      </c>
      <c r="J43" s="76" t="n">
        <f aca="false">SUM(Tiger!J43,Allcargo!J43,BlueDart!J43,CONCOR!J43,JetFreight!J43,Patel!J43,Sical!J43,TCI!J43,Shreeji!J43,MahindraLog!J43)</f>
        <v>-1762.32</v>
      </c>
    </row>
    <row r="44" customFormat="false" ht="15" hidden="false" customHeight="false" outlineLevel="0" collapsed="false">
      <c r="A44" s="18" t="s">
        <v>461</v>
      </c>
      <c r="B44" s="74" t="s">
        <v>462</v>
      </c>
      <c r="C44" s="76" t="n">
        <f aca="false">SUM(Tiger!C44,Allcargo!C44,BlueDart!C44,CONCOR!C44,JetFreight!C44,Patel!C44,Sical!C44,TCI!C44,Shreeji!C44,MahindraLog!C44)</f>
        <v>-105.66</v>
      </c>
      <c r="D44" s="76" t="n">
        <f aca="false">SUM(Tiger!D44,Allcargo!D44,BlueDart!D44,CONCOR!D44,JetFreight!D44,Patel!D44,Sical!D44,TCI!D44,Shreeji!D44,MahindraLog!D44)</f>
        <v>-111.57</v>
      </c>
      <c r="E44" s="76" t="n">
        <f aca="false">SUM(Tiger!E44,Allcargo!E44,BlueDart!E44,CONCOR!E44,JetFreight!E44,Patel!E44,Sical!E44,TCI!E44,Shreeji!E44,MahindraLog!E44)</f>
        <v>827.92</v>
      </c>
      <c r="F44" s="76" t="n">
        <f aca="false">SUM(Tiger!F44,Allcargo!F44,BlueDart!F44,CONCOR!F44,JetFreight!F44,Patel!F44,Sical!F44,TCI!F44,Shreeji!F44,MahindraLog!F44)</f>
        <v>58.6</v>
      </c>
      <c r="G44" s="76" t="n">
        <f aca="false">SUM(Tiger!G44,Allcargo!G44,BlueDart!G44,CONCOR!G44,JetFreight!G44,Patel!G44,Sical!G44,TCI!G44,Shreeji!G44,MahindraLog!G44)</f>
        <v>408.43</v>
      </c>
      <c r="H44" s="76" t="n">
        <f aca="false">SUM(Tiger!H44,Allcargo!H44,BlueDart!H44,CONCOR!H44,JetFreight!H44,Patel!H44,Sical!H44,TCI!H44,Shreeji!H44,MahindraLog!H44)</f>
        <v>-754.16</v>
      </c>
      <c r="I44" s="76" t="n">
        <f aca="false">SUM(Tiger!I44,Allcargo!I44,BlueDart!I44,CONCOR!I44,JetFreight!I44,Patel!I44,Sical!I44,TCI!I44,Shreeji!I44,MahindraLog!I44)</f>
        <v>126.78</v>
      </c>
      <c r="J44" s="76" t="n">
        <f aca="false">SUM(Tiger!J44,Allcargo!J44,BlueDart!J44,CONCOR!J44,JetFreight!J44,Patel!J44,Sical!J44,TCI!J44,Shreeji!J44,MahindraLog!J44)</f>
        <v>432.85</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77" t="s">
        <v>466</v>
      </c>
      <c r="D47" s="77" t="s">
        <v>466</v>
      </c>
      <c r="E47" s="77" t="s">
        <v>466</v>
      </c>
      <c r="F47" s="77" t="s">
        <v>466</v>
      </c>
      <c r="G47" s="77" t="s">
        <v>466</v>
      </c>
      <c r="H47" s="77" t="s">
        <v>466</v>
      </c>
      <c r="I47" s="77" t="s">
        <v>466</v>
      </c>
      <c r="J47" s="77" t="s">
        <v>466</v>
      </c>
    </row>
    <row r="48" customFormat="false" ht="15" hidden="false" customHeight="false" outlineLevel="0" collapsed="false">
      <c r="A48" s="18" t="s">
        <v>467</v>
      </c>
      <c r="B48" s="74" t="s">
        <v>468</v>
      </c>
      <c r="C48" s="77" t="s">
        <v>466</v>
      </c>
      <c r="D48" s="77" t="s">
        <v>466</v>
      </c>
      <c r="E48" s="77" t="s">
        <v>466</v>
      </c>
      <c r="F48" s="77" t="s">
        <v>466</v>
      </c>
      <c r="G48" s="77" t="s">
        <v>466</v>
      </c>
      <c r="H48" s="77" t="s">
        <v>466</v>
      </c>
      <c r="I48" s="77" t="s">
        <v>466</v>
      </c>
      <c r="J48" s="77" t="s">
        <v>466</v>
      </c>
    </row>
    <row r="49" customFormat="false" ht="15" hidden="false" customHeight="false" outlineLevel="0" collapsed="false">
      <c r="A49" s="18" t="s">
        <v>469</v>
      </c>
      <c r="C49" s="78" t="s">
        <v>466</v>
      </c>
      <c r="D49" s="78" t="s">
        <v>466</v>
      </c>
      <c r="E49" s="78" t="s">
        <v>466</v>
      </c>
      <c r="F49" s="78" t="s">
        <v>466</v>
      </c>
      <c r="G49" s="78" t="s">
        <v>466</v>
      </c>
      <c r="H49" s="78" t="s">
        <v>466</v>
      </c>
      <c r="I49" s="78" t="s">
        <v>466</v>
      </c>
      <c r="J49" s="78" t="s">
        <v>466</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19200.93</v>
      </c>
      <c r="D52" s="44" t="n">
        <f aca="false">IFERROR((((D10+D12)+D13)-D11),"N/M")</f>
        <v>18394.46</v>
      </c>
      <c r="E52" s="44" t="n">
        <f aca="false">IFERROR((((E10+E12)+E13)-E11),"N/M")</f>
        <v>20111.75</v>
      </c>
      <c r="F52" s="44" t="n">
        <f aca="false">IFERROR((((F10+F12)+F13)-F11),"N/M")</f>
        <v>30708.42</v>
      </c>
      <c r="G52" s="44" t="n">
        <f aca="false">IFERROR((((G10+G12)+G13)-G11),"N/M")</f>
        <v>31759.06</v>
      </c>
      <c r="H52" s="44" t="n">
        <f aca="false">IFERROR((((H10+H12)+H13)-H11),"N/M")</f>
        <v>28000.47</v>
      </c>
      <c r="I52" s="44" t="n">
        <f aca="false">IFERROR((((I10+I12)+I13)-I11),"N/M")</f>
        <v>21336.01</v>
      </c>
      <c r="J52" s="44" t="n">
        <f aca="false">IFERROR((((J10+J12)+J13)-J11),"N/M")</f>
        <v>22994.19</v>
      </c>
    </row>
    <row r="53" customFormat="false" ht="15" hidden="false" customHeight="false" outlineLevel="0" collapsed="false">
      <c r="A53" s="18" t="s">
        <v>473</v>
      </c>
      <c r="B53" s="19" t="s">
        <v>474</v>
      </c>
      <c r="C53" s="44" t="n">
        <f aca="false">IFERROR(((C14+C15)+C16),"N/M")</f>
        <v>4240.15</v>
      </c>
      <c r="D53" s="44" t="n">
        <f aca="false">IFERROR(((D14+D15)+D16),"N/M")</f>
        <v>3844</v>
      </c>
      <c r="E53" s="44" t="n">
        <f aca="false">IFERROR(((E14+E15)+E16),"N/M")</f>
        <v>4729.32</v>
      </c>
      <c r="F53" s="44" t="n">
        <f aca="false">IFERROR(((F14+F15)+F16),"N/M")</f>
        <v>4975.68</v>
      </c>
      <c r="G53" s="44" t="n">
        <f aca="false">IFERROR(((G14+G15)+G16),"N/M")</f>
        <v>5527.8</v>
      </c>
      <c r="H53" s="44" t="n">
        <f aca="false">IFERROR(((H14+H15)+H16),"N/M")</f>
        <v>5819.16</v>
      </c>
      <c r="I53" s="44" t="n">
        <f aca="false">IFERROR(((I14+I15)+I16),"N/M")</f>
        <v>3746.2</v>
      </c>
      <c r="J53" s="44" t="n">
        <f aca="false">IFERROR(((J14+J15)+J16),"N/M")</f>
        <v>4018.94</v>
      </c>
    </row>
    <row r="54" customFormat="false" ht="15" hidden="false" customHeight="false" outlineLevel="0" collapsed="false">
      <c r="A54" s="18" t="s">
        <v>475</v>
      </c>
      <c r="B54" s="19" t="s">
        <v>476</v>
      </c>
      <c r="C54" s="44" t="n">
        <f aca="false">IFERROR((C52+C53),"N/M")</f>
        <v>23441.08</v>
      </c>
      <c r="D54" s="44" t="n">
        <f aca="false">IFERROR((D52+D53),"N/M")</f>
        <v>22238.46</v>
      </c>
      <c r="E54" s="44" t="n">
        <f aca="false">IFERROR((E52+E53),"N/M")</f>
        <v>24841.07</v>
      </c>
      <c r="F54" s="44" t="n">
        <f aca="false">IFERROR((F52+F53),"N/M")</f>
        <v>35684.1</v>
      </c>
      <c r="G54" s="44" t="n">
        <f aca="false">IFERROR((G52+G53),"N/M")</f>
        <v>37286.86</v>
      </c>
      <c r="H54" s="44" t="n">
        <f aca="false">IFERROR((H52+H53),"N/M")</f>
        <v>33819.63</v>
      </c>
      <c r="I54" s="44" t="n">
        <f aca="false">IFERROR((I52+I53),"N/M")</f>
        <v>25082.21</v>
      </c>
      <c r="J54" s="44" t="n">
        <f aca="false">IFERROR((J52+J53),"N/M")</f>
        <v>27013.13</v>
      </c>
    </row>
    <row r="55" customFormat="false" ht="15" hidden="false" customHeight="false" outlineLevel="0" collapsed="false">
      <c r="A55" s="18" t="s">
        <v>477</v>
      </c>
      <c r="B55" s="19" t="s">
        <v>478</v>
      </c>
      <c r="C55" s="44" t="n">
        <f aca="false">IFERROR((C9-C52),"N/M")</f>
        <v>7401.46</v>
      </c>
      <c r="D55" s="44" t="n">
        <f aca="false">IFERROR((D9-D52),"N/M")</f>
        <v>6910.67</v>
      </c>
      <c r="E55" s="44" t="n">
        <f aca="false">IFERROR((E9-E52),"N/M")</f>
        <v>7506.44</v>
      </c>
      <c r="F55" s="44" t="n">
        <f aca="false">IFERROR((F9-F52),"N/M")</f>
        <v>9635.23</v>
      </c>
      <c r="G55" s="44" t="n">
        <f aca="false">IFERROR((G9-G52),"N/M")</f>
        <v>10250.78</v>
      </c>
      <c r="H55" s="44" t="n">
        <f aca="false">IFERROR((H9-H52),"N/M")</f>
        <v>9809.85</v>
      </c>
      <c r="I55" s="44" t="n">
        <f aca="false">IFERROR((I9-I52),"N/M")</f>
        <v>7586.43</v>
      </c>
      <c r="J55" s="44" t="n">
        <f aca="false">IFERROR((J9-J52),"N/M")</f>
        <v>8193.74</v>
      </c>
    </row>
    <row r="56" customFormat="false" ht="15" hidden="false" customHeight="false" outlineLevel="0" collapsed="false">
      <c r="A56" s="18" t="s">
        <v>479</v>
      </c>
      <c r="B56" s="19" t="s">
        <v>480</v>
      </c>
      <c r="C56" s="44" t="n">
        <f aca="false">IFERROR((C9-C54),"N/M")</f>
        <v>3161.31000000001</v>
      </c>
      <c r="D56" s="44" t="n">
        <f aca="false">IFERROR((D9-D54),"N/M")</f>
        <v>3066.67</v>
      </c>
      <c r="E56" s="44" t="n">
        <f aca="false">IFERROR((E9-E54),"N/M")</f>
        <v>2777.12</v>
      </c>
      <c r="F56" s="44" t="n">
        <f aca="false">IFERROR((F9-F54),"N/M")</f>
        <v>4659.55</v>
      </c>
      <c r="G56" s="44" t="n">
        <f aca="false">IFERROR((G9-G54),"N/M")</f>
        <v>4722.98</v>
      </c>
      <c r="H56" s="44" t="n">
        <f aca="false">IFERROR((H9-H54),"N/M")</f>
        <v>3990.69</v>
      </c>
      <c r="I56" s="44" t="n">
        <f aca="false">IFERROR((I9-I54),"N/M")</f>
        <v>3840.23</v>
      </c>
      <c r="J56" s="44" t="n">
        <f aca="false">IFERROR((J9-J54),"N/M")</f>
        <v>4174.8</v>
      </c>
    </row>
    <row r="57" customFormat="false" ht="15" hidden="false" customHeight="false" outlineLevel="0" collapsed="false">
      <c r="A57" s="18" t="s">
        <v>481</v>
      </c>
      <c r="B57" s="19" t="s">
        <v>482</v>
      </c>
      <c r="C57" s="44" t="n">
        <f aca="false">IFERROR((C9+C17),"N/M")</f>
        <v>27084.87</v>
      </c>
      <c r="D57" s="44" t="n">
        <f aca="false">IFERROR((D9+D17),"N/M")</f>
        <v>24889.62</v>
      </c>
      <c r="E57" s="44" t="n">
        <f aca="false">IFERROR((E9+E17),"N/M")</f>
        <v>26913.06</v>
      </c>
      <c r="F57" s="44" t="n">
        <f aca="false">IFERROR((F9+F17),"N/M")</f>
        <v>40828.37</v>
      </c>
      <c r="G57" s="44" t="n">
        <f aca="false">IFERROR((G9+G17),"N/M")</f>
        <v>41809.2</v>
      </c>
      <c r="H57" s="44" t="n">
        <f aca="false">IFERROR((H9+H17),"N/M")</f>
        <v>38699.87</v>
      </c>
      <c r="I57" s="44" t="n">
        <f aca="false">IFERROR((I9+I17),"N/M")</f>
        <v>29671.67</v>
      </c>
      <c r="J57" s="44" t="n">
        <f aca="false">IFERROR((J9+J17),"N/M")</f>
        <v>31864.05</v>
      </c>
    </row>
    <row r="58" customFormat="false" ht="15" hidden="false" customHeight="false" outlineLevel="0" collapsed="false">
      <c r="A58" s="18" t="s">
        <v>483</v>
      </c>
      <c r="B58" s="19" t="s">
        <v>484</v>
      </c>
      <c r="C58" s="44" t="n">
        <f aca="false">IFERROR((C20+C19),"N/M")</f>
        <v>2726.22</v>
      </c>
      <c r="D58" s="44" t="n">
        <f aca="false">IFERROR((D20+D19),"N/M")</f>
        <v>1277.12</v>
      </c>
      <c r="E58" s="44" t="n">
        <f aca="false">IFERROR((E20+E19),"N/M")</f>
        <v>511.6</v>
      </c>
      <c r="F58" s="44" t="n">
        <f aca="false">IFERROR((F20+F19),"N/M")</f>
        <v>3613.97</v>
      </c>
      <c r="G58" s="44" t="n">
        <f aca="false">IFERROR((G20+G19),"N/M")</f>
        <v>2900.39</v>
      </c>
      <c r="H58" s="44" t="n">
        <f aca="false">IFERROR((H20+H19),"N/M")</f>
        <v>3032.79</v>
      </c>
      <c r="I58" s="44" t="n">
        <f aca="false">IFERROR((I20+I19),"N/M")</f>
        <v>2949.03</v>
      </c>
      <c r="J58" s="44" t="n">
        <f aca="false">IFERROR((J20+J19),"N/M")</f>
        <v>3039.04</v>
      </c>
    </row>
    <row r="59" customFormat="false" ht="15" hidden="false" customHeight="false" outlineLevel="0" collapsed="false">
      <c r="A59" s="18" t="s">
        <v>485</v>
      </c>
      <c r="B59" s="19" t="s">
        <v>486</v>
      </c>
      <c r="C59" s="44" t="n">
        <f aca="false">IFERROR((C58+C18),"N/M")</f>
        <v>3643.79</v>
      </c>
      <c r="D59" s="44" t="n">
        <f aca="false">IFERROR((D58+D18),"N/M")</f>
        <v>2651.16</v>
      </c>
      <c r="E59" s="44" t="n">
        <f aca="false">IFERROR((E58+E18),"N/M")</f>
        <v>2071.99</v>
      </c>
      <c r="F59" s="44" t="n">
        <f aca="false">IFERROR((F58+F18),"N/M")</f>
        <v>5144.27</v>
      </c>
      <c r="G59" s="44" t="n">
        <f aca="false">IFERROR((G58+G18),"N/M")</f>
        <v>4522.34</v>
      </c>
      <c r="H59" s="44" t="n">
        <f aca="false">IFERROR((H58+H18),"N/M")</f>
        <v>4880.24</v>
      </c>
      <c r="I59" s="44" t="n">
        <f aca="false">IFERROR((I58+I18),"N/M")</f>
        <v>4589.46</v>
      </c>
      <c r="J59" s="44" t="n">
        <f aca="false">IFERROR((J58+J18),"N/M")</f>
        <v>4850.92</v>
      </c>
    </row>
    <row r="60" customFormat="false" ht="15" hidden="false" customHeight="false" outlineLevel="0" collapsed="false">
      <c r="A60" s="18" t="s">
        <v>487</v>
      </c>
      <c r="B60" s="19" t="s">
        <v>488</v>
      </c>
      <c r="C60" s="46" t="n">
        <f aca="false">IFERROR(IF(C20&gt;0,MIN(MAX((C21/C20),0),1),0),"N/M")</f>
        <v>0.270290456761234</v>
      </c>
      <c r="D60" s="46" t="n">
        <f aca="false">IFERROR(IF(D20&gt;0,MIN(MAX((D21/D20),0),1),0),"N/M")</f>
        <v>0.255585657720108</v>
      </c>
      <c r="E60" s="46" t="n">
        <f aca="false">IFERROR(IF(E20&gt;0,MIN(MAX((E21/E20),0),1),0),"N/M")</f>
        <v>1</v>
      </c>
      <c r="F60" s="46" t="n">
        <f aca="false">IFERROR(IF(F20&gt;0,MIN(MAX((F21/F20),0),1),0),"N/M")</f>
        <v>0.24072193472669</v>
      </c>
      <c r="G60" s="46" t="n">
        <f aca="false">IFERROR(IF(G20&gt;0,MIN(MAX((G21/G20),0),1),0),"N/M")</f>
        <v>0.324118904005842</v>
      </c>
      <c r="H60" s="46" t="n">
        <f aca="false">IFERROR(IF(H20&gt;0,MIN(MAX((H21/H20),0),1),0),"N/M")</f>
        <v>0.228624549566817</v>
      </c>
      <c r="I60" s="46" t="n">
        <f aca="false">IFERROR(IF(I20&gt;0,MIN(MAX((I21/I20),0),1),0),"N/M")</f>
        <v>0.213958125623131</v>
      </c>
      <c r="J60" s="46" t="n">
        <f aca="false">IFERROR(IF(J20&gt;0,MIN(MAX((J21/J20),0),1),0),"N/M")</f>
        <v>0.214921599536984</v>
      </c>
    </row>
    <row r="61" customFormat="false" ht="15" hidden="false" customHeight="false" outlineLevel="0" collapsed="false">
      <c r="A61" s="18" t="s">
        <v>489</v>
      </c>
      <c r="B61" s="19" t="s">
        <v>490</v>
      </c>
      <c r="C61" s="44" t="n">
        <f aca="false">IFERROR((C26+C27),"N/M")</f>
        <v>15139.66</v>
      </c>
      <c r="D61" s="44" t="n">
        <f aca="false">IFERROR((D26+D27),"N/M")</f>
        <v>14957.11</v>
      </c>
      <c r="E61" s="44" t="n">
        <f aca="false">IFERROR((E26+E27),"N/M")</f>
        <v>14336.94</v>
      </c>
      <c r="F61" s="44" t="n">
        <f aca="false">IFERROR((F26+F27),"N/M")</f>
        <v>16083.35</v>
      </c>
      <c r="G61" s="44" t="n">
        <f aca="false">IFERROR((G26+G27),"N/M")</f>
        <v>17855.16</v>
      </c>
      <c r="H61" s="44" t="n">
        <f aca="false">IFERROR((H26+H27),"N/M")</f>
        <v>18585.71</v>
      </c>
      <c r="I61" s="44" t="n">
        <f aca="false">IFERROR((I26+I27),"N/M")</f>
        <v>17473.17</v>
      </c>
      <c r="J61" s="44" t="n">
        <f aca="false">IFERROR((J26+J27),"N/M")</f>
        <v>19581.64</v>
      </c>
    </row>
    <row r="62" customFormat="false" ht="15" hidden="false" customHeight="false" outlineLevel="0" collapsed="false">
      <c r="A62" s="18" t="s">
        <v>491</v>
      </c>
      <c r="B62" s="19" t="s">
        <v>492</v>
      </c>
      <c r="C62" s="44" t="n">
        <f aca="false">IFERROR((C61+C28),"N/M")</f>
        <v>19196.04</v>
      </c>
      <c r="D62" s="44" t="n">
        <f aca="false">IFERROR((D61+D28),"N/M")</f>
        <v>19243.25</v>
      </c>
      <c r="E62" s="44" t="n">
        <f aca="false">IFERROR((E61+E28),"N/M")</f>
        <v>20633.88</v>
      </c>
      <c r="F62" s="44" t="n">
        <f aca="false">IFERROR((F61+F28),"N/M")</f>
        <v>22608.89</v>
      </c>
      <c r="G62" s="44" t="n">
        <f aca="false">IFERROR((G61+G28),"N/M")</f>
        <v>22480.93</v>
      </c>
      <c r="H62" s="44" t="n">
        <f aca="false">IFERROR((H61+H28),"N/M")</f>
        <v>24022.44</v>
      </c>
      <c r="I62" s="44" t="n">
        <f aca="false">IFERROR((I61+I28),"N/M")</f>
        <v>21994.41</v>
      </c>
      <c r="J62" s="44" t="n">
        <f aca="false">IFERROR((J61+J28),"N/M")</f>
        <v>23999.41</v>
      </c>
    </row>
    <row r="63" customFormat="false" ht="15" hidden="false" customHeight="false" outlineLevel="0" collapsed="false">
      <c r="A63" s="18" t="s">
        <v>493</v>
      </c>
      <c r="B63" s="19" t="s">
        <v>494</v>
      </c>
      <c r="C63" s="44" t="n">
        <f aca="false">IFERROR(C34,"N/M")</f>
        <v>12425.89</v>
      </c>
      <c r="D63" s="44" t="n">
        <f aca="false">IFERROR(D34,"N/M")</f>
        <v>10636.21</v>
      </c>
      <c r="E63" s="44" t="n">
        <f aca="false">IFERROR(E34,"N/M")</f>
        <v>12406.86</v>
      </c>
      <c r="F63" s="44" t="n">
        <f aca="false">IFERROR(F34,"N/M")</f>
        <v>14908.59</v>
      </c>
      <c r="G63" s="44" t="n">
        <f aca="false">IFERROR(G34,"N/M")</f>
        <v>14692.58</v>
      </c>
      <c r="H63" s="44" t="n">
        <f aca="false">IFERROR(H34,"N/M")</f>
        <v>14615.55</v>
      </c>
      <c r="I63" s="44" t="n">
        <f aca="false">IFERROR(I34,"N/M")</f>
        <v>11904.65</v>
      </c>
      <c r="J63" s="44" t="n">
        <f aca="false">IFERROR(J34,"N/M")</f>
        <v>12843.79</v>
      </c>
    </row>
    <row r="64" customFormat="false" ht="15" hidden="false" customHeight="false" outlineLevel="0" collapsed="false">
      <c r="A64" s="18" t="s">
        <v>495</v>
      </c>
      <c r="B64" s="19" t="s">
        <v>496</v>
      </c>
      <c r="C64" s="44" t="n">
        <f aca="false">IFERROR(C29,"N/M")</f>
        <v>5414.06</v>
      </c>
      <c r="D64" s="44" t="n">
        <f aca="false">IFERROR(D29,"N/M")</f>
        <v>6837</v>
      </c>
      <c r="E64" s="44" t="n">
        <f aca="false">IFERROR(E29,"N/M")</f>
        <v>7598.37</v>
      </c>
      <c r="F64" s="44" t="n">
        <f aca="false">IFERROR(F29,"N/M")</f>
        <v>8694.08</v>
      </c>
      <c r="G64" s="44" t="n">
        <f aca="false">IFERROR(G29,"N/M")</f>
        <v>7435.06</v>
      </c>
      <c r="H64" s="44" t="n">
        <f aca="false">IFERROR(H29,"N/M")</f>
        <v>7012.82</v>
      </c>
      <c r="I64" s="44" t="n">
        <f aca="false">IFERROR(I29,"N/M")</f>
        <v>4919.58</v>
      </c>
      <c r="J64" s="44" t="n">
        <f aca="false">IFERROR(J29,"N/M")</f>
        <v>5272.37</v>
      </c>
    </row>
    <row r="65" customFormat="false" ht="15" hidden="false" customHeight="false" outlineLevel="0" collapsed="false">
      <c r="A65" s="18" t="s">
        <v>497</v>
      </c>
      <c r="B65" s="19" t="s">
        <v>498</v>
      </c>
      <c r="C65" s="44" t="n">
        <f aca="false">IFERROR((C63-C64),"N/M")</f>
        <v>7011.83</v>
      </c>
      <c r="D65" s="44" t="n">
        <f aca="false">IFERROR((D63-D64),"N/M")</f>
        <v>3799.21</v>
      </c>
      <c r="E65" s="44" t="n">
        <f aca="false">IFERROR((E63-E64),"N/M")</f>
        <v>4808.49</v>
      </c>
      <c r="F65" s="44" t="n">
        <f aca="false">IFERROR((F63-F64),"N/M")</f>
        <v>6214.51</v>
      </c>
      <c r="G65" s="44" t="n">
        <f aca="false">IFERROR((G63-G64),"N/M")</f>
        <v>7257.52</v>
      </c>
      <c r="H65" s="44" t="n">
        <f aca="false">IFERROR((H63-H64),"N/M")</f>
        <v>7602.73</v>
      </c>
      <c r="I65" s="44" t="n">
        <f aca="false">IFERROR((I63-I64),"N/M")</f>
        <v>6985.07</v>
      </c>
      <c r="J65" s="44" t="n">
        <f aca="false">IFERROR((J63-J64),"N/M")</f>
        <v>7571.42</v>
      </c>
    </row>
    <row r="66" customFormat="false" ht="15" hidden="false" customHeight="false" outlineLevel="0" collapsed="false">
      <c r="A66" s="18" t="s">
        <v>499</v>
      </c>
      <c r="B66" s="19" t="s">
        <v>500</v>
      </c>
      <c r="C66" s="44" t="n">
        <f aca="false">IFERROR((C36+C38),"N/M")</f>
        <v>4139.68</v>
      </c>
      <c r="D66" s="44" t="n">
        <f aca="false">IFERROR((D36+D38),"N/M")</f>
        <v>6419.94</v>
      </c>
      <c r="E66" s="44" t="n">
        <f aca="false">IFERROR((E36+E38),"N/M")</f>
        <v>7780.76</v>
      </c>
      <c r="F66" s="44" t="n">
        <f aca="false">IFERROR((F36+F38),"N/M")</f>
        <v>9302.38</v>
      </c>
      <c r="G66" s="44" t="n">
        <f aca="false">IFERROR((G36+G38),"N/M")</f>
        <v>9373.8</v>
      </c>
      <c r="H66" s="44" t="n">
        <f aca="false">IFERROR((H36+H38),"N/M")</f>
        <v>9271.97</v>
      </c>
      <c r="I66" s="44" t="n">
        <f aca="false">IFERROR((I36+I38),"N/M")</f>
        <v>7624.21</v>
      </c>
      <c r="J66" s="44" t="n">
        <f aca="false">IFERROR((J36+J38),"N/M")</f>
        <v>8164.76</v>
      </c>
    </row>
    <row r="67" customFormat="false" ht="15" hidden="false" customHeight="false" outlineLevel="0" collapsed="false">
      <c r="A67" s="18" t="s">
        <v>501</v>
      </c>
      <c r="B67" s="19" t="s">
        <v>502</v>
      </c>
      <c r="D67" s="76" t="n">
        <f aca="false">SUM(Tiger!D67,Allcargo!D67,BlueDart!D67,CONCOR!D67,JetFreight!D67,Patel!D67,Sical!D67,TCI!D67,Shreeji!D67,MahindraLog!D67)</f>
        <v>4408.99</v>
      </c>
      <c r="E67" s="76" t="n">
        <f aca="false">SUM(Tiger!E67,Allcargo!E67,BlueDart!E67,CONCOR!E67,JetFreight!E67,Patel!E67,Sical!E67,TCI!E67,Shreeji!E67,MahindraLog!E67)</f>
        <v>1846.83</v>
      </c>
      <c r="F67" s="76" t="n">
        <f aca="false">SUM(Tiger!F67,Allcargo!F67,BlueDart!F67,CONCOR!F67,JetFreight!F67,Patel!F67,Sical!F67,TCI!F67,Shreeji!F67,MahindraLog!F67)</f>
        <v>1754.77</v>
      </c>
      <c r="G67" s="76" t="n">
        <f aca="false">SUM(Tiger!G67,Allcargo!G67,BlueDart!G67,CONCOR!G67,JetFreight!G67,Patel!G67,Sical!G67,TCI!G67,Shreeji!G67,MahindraLog!G67)</f>
        <v>388.42</v>
      </c>
      <c r="H67" s="76" t="n">
        <f aca="false">SUM(Tiger!H67,Allcargo!H67,BlueDart!H67,CONCOR!H67,JetFreight!H67,Patel!H67,Sical!H67,TCI!H67,Shreeji!H67,MahindraLog!H67)</f>
        <v>3183.97</v>
      </c>
      <c r="I67" s="76" t="n">
        <f aca="false">SUM(Tiger!I67,Allcargo!I67,BlueDart!I67,CONCOR!I67,JetFreight!I67,Patel!I67,Sical!I67,TCI!I67,Shreeji!I67,MahindraLog!I67)</f>
        <v>491.58</v>
      </c>
      <c r="J67" s="76" t="n">
        <f aca="false">SUM(Tiger!J67,Allcargo!J67,BlueDart!J67,CONCOR!J67,JetFreight!J67,Patel!J67,Sical!J67,TCI!J67,Shreeji!J67,MahindraLog!J67)</f>
        <v>3066.46</v>
      </c>
    </row>
    <row r="68" customFormat="false" ht="15" hidden="false" customHeight="false" outlineLevel="0" collapsed="false">
      <c r="A68" s="18" t="s">
        <v>503</v>
      </c>
      <c r="B68" s="19" t="s">
        <v>504</v>
      </c>
      <c r="D68" s="76" t="n">
        <f aca="false">SUM(Tiger!D68,Allcargo!D68,BlueDart!D68,CONCOR!D68,JetFreight!D68,Patel!D68,Sical!D68,TCI!D68,Shreeji!D68,MahindraLog!D68)</f>
        <v>947.69</v>
      </c>
      <c r="E68" s="76" t="n">
        <f aca="false">SUM(Tiger!E68,Allcargo!E68,BlueDart!E68,CONCOR!E68,JetFreight!E68,Patel!E68,Sical!E68,TCI!E68,Shreeji!E68,MahindraLog!E68)</f>
        <v>167.44</v>
      </c>
      <c r="F68" s="76" t="n">
        <f aca="false">SUM(Tiger!F68,Allcargo!F68,BlueDart!F68,CONCOR!F68,JetFreight!F68,Patel!F68,Sical!F68,TCI!F68,Shreeji!F68,MahindraLog!F68)</f>
        <v>688.78</v>
      </c>
      <c r="G68" s="76" t="n">
        <f aca="false">SUM(Tiger!G68,Allcargo!G68,BlueDart!G68,CONCOR!G68,JetFreight!G68,Patel!G68,Sical!G68,TCI!G68,Shreeji!G68,MahindraLog!G68)</f>
        <v>2441.71</v>
      </c>
      <c r="H68" s="76" t="n">
        <f aca="false">SUM(Tiger!H68,Allcargo!H68,BlueDart!H68,CONCOR!H68,JetFreight!H68,Patel!H68,Sical!H68,TCI!H68,Shreeji!H68,MahindraLog!H68)</f>
        <v>154.16</v>
      </c>
      <c r="I68" s="76" t="n">
        <f aca="false">SUM(Tiger!I68,Allcargo!I68,BlueDart!I68,CONCOR!I68,JetFreight!I68,Patel!I68,Sical!I68,TCI!I68,Shreeji!I68,MahindraLog!I68)</f>
        <v>1224.59</v>
      </c>
      <c r="J68" s="76" t="n">
        <f aca="false">SUM(Tiger!J68,Allcargo!J68,BlueDart!J68,CONCOR!J68,JetFreight!J68,Patel!J68,Sical!J68,TCI!J68,Shreeji!J68,MahindraLog!J68)</f>
        <v>438.08</v>
      </c>
    </row>
    <row r="69" customFormat="false" ht="15" hidden="false" customHeight="false" outlineLevel="0" collapsed="false">
      <c r="A69" s="18" t="s">
        <v>505</v>
      </c>
      <c r="B69" s="19" t="s">
        <v>506</v>
      </c>
      <c r="C69" s="77" t="s">
        <v>466</v>
      </c>
      <c r="D69" s="77" t="s">
        <v>466</v>
      </c>
      <c r="E69" s="77" t="s">
        <v>466</v>
      </c>
      <c r="F69" s="77" t="s">
        <v>466</v>
      </c>
      <c r="G69" s="77" t="s">
        <v>466</v>
      </c>
      <c r="H69" s="77" t="s">
        <v>466</v>
      </c>
      <c r="I69" s="77" t="s">
        <v>466</v>
      </c>
      <c r="J69" s="77" t="s">
        <v>466</v>
      </c>
    </row>
    <row r="70" customFormat="false" ht="15" hidden="false" customHeight="false" outlineLevel="0" collapsed="false">
      <c r="A70" s="18" t="s">
        <v>507</v>
      </c>
      <c r="B70" s="19" t="s">
        <v>508</v>
      </c>
      <c r="C70" s="77" t="s">
        <v>466</v>
      </c>
      <c r="D70" s="77" t="s">
        <v>466</v>
      </c>
      <c r="E70" s="77" t="s">
        <v>466</v>
      </c>
      <c r="F70" s="77" t="s">
        <v>466</v>
      </c>
      <c r="G70" s="77" t="s">
        <v>466</v>
      </c>
      <c r="H70" s="77" t="s">
        <v>466</v>
      </c>
      <c r="I70" s="77" t="s">
        <v>466</v>
      </c>
      <c r="J70" s="77" t="s">
        <v>466</v>
      </c>
    </row>
    <row r="71" customFormat="false" ht="15" hidden="false" customHeight="false" outlineLevel="0" collapsed="false">
      <c r="A71" s="18" t="s">
        <v>509</v>
      </c>
      <c r="C71" s="76" t="n">
        <f aca="false">SUM(Tiger!C71,Allcargo!C71,BlueDart!C71,CONCOR!C71,JetFreight!C71,Patel!C71,Sical!C71,TCI!C71,Shreeji!C71,MahindraLog!C71)</f>
        <v>48754.111304</v>
      </c>
      <c r="D71" s="76" t="n">
        <f aca="false">SUM(Tiger!D71,Allcargo!D71,BlueDart!D71,CONCOR!D71,JetFreight!D71,Patel!D71,Sical!D71,TCI!D71,Shreeji!D71,MahindraLog!D71)</f>
        <v>29052.208924</v>
      </c>
      <c r="E71" s="76" t="n">
        <f aca="false">SUM(Tiger!E71,Allcargo!E71,BlueDart!E71,CONCOR!E71,JetFreight!E71,Patel!E71,Sical!E71,TCI!E71,Shreeji!E71,MahindraLog!E71)</f>
        <v>57086.725552</v>
      </c>
      <c r="F71" s="76" t="n">
        <f aca="false">SUM(Tiger!F71,Allcargo!F71,BlueDart!F71,CONCOR!F71,JetFreight!F71,Patel!F71,Sical!F71,TCI!F71,Shreeji!F71,MahindraLog!F71)</f>
        <v>67115.6095</v>
      </c>
      <c r="G71" s="76" t="n">
        <f aca="false">SUM(Tiger!G71,Allcargo!G71,BlueDart!G71,CONCOR!G71,JetFreight!G71,Patel!G71,Sical!G71,TCI!G71,Shreeji!G71,MahindraLog!G71)</f>
        <v>59047.755958</v>
      </c>
      <c r="H71" s="76" t="n">
        <f aca="false">SUM(Tiger!H71,Allcargo!H71,BlueDart!H71,CONCOR!H71,JetFreight!H71,Patel!H71,Sical!H71,TCI!H71,Shreeji!H71,MahindraLog!H71)</f>
        <v>80223.619535</v>
      </c>
      <c r="I71" s="76" t="n">
        <f aca="false">SUM(Tiger!I71,Allcargo!I71,BlueDart!I71,CONCOR!I71,JetFreight!I71,Patel!I71,Sical!I71,TCI!I71,Shreeji!I71,MahindraLog!I71)</f>
        <v>68651.634407</v>
      </c>
      <c r="J71" s="76" t="n">
        <f aca="false">SUM(Tiger!J71,Allcargo!J71,BlueDart!J71,CONCOR!J71,JetFreight!J71,Patel!J71,Sical!J71,TCI!J71,Shreeji!J71,MahindraLog!J71)</f>
        <v>56030.51038</v>
      </c>
    </row>
    <row r="72" customFormat="false" ht="15" hidden="false" customHeight="false" outlineLevel="0" collapsed="false">
      <c r="A72" s="18" t="s">
        <v>510</v>
      </c>
      <c r="C72" s="76" t="n">
        <f aca="false">SUM(Tiger!C72,Allcargo!C72,BlueDart!C72,CONCOR!C72,JetFreight!C72,Patel!C72,Sical!C72,TCI!C72,Shreeji!C72,MahindraLog!C72)</f>
        <v>1590.68</v>
      </c>
      <c r="D72" s="76" t="n">
        <f aca="false">SUM(Tiger!D72,Allcargo!D72,BlueDart!D72,CONCOR!D72,JetFreight!D72,Patel!D72,Sical!D72,TCI!D72,Shreeji!D72,MahindraLog!D72)</f>
        <v>443.4</v>
      </c>
      <c r="E72" s="76" t="n">
        <f aca="false">SUM(Tiger!E72,Allcargo!E72,BlueDart!E72,CONCOR!E72,JetFreight!E72,Patel!E72,Sical!E72,TCI!E72,Shreeji!E72,MahindraLog!E72)</f>
        <v>-386.33</v>
      </c>
      <c r="F72" s="76" t="n">
        <f aca="false">SUM(Tiger!F72,Allcargo!F72,BlueDart!F72,CONCOR!F72,JetFreight!F72,Patel!F72,Sical!F72,TCI!F72,Shreeji!F72,MahindraLog!F72)</f>
        <v>1531.65</v>
      </c>
      <c r="G72" s="76" t="n">
        <f aca="false">SUM(Tiger!G72,Allcargo!G72,BlueDart!G72,CONCOR!G72,JetFreight!G72,Patel!G72,Sical!G72,TCI!G72,Shreeji!G72,MahindraLog!G72)</f>
        <v>1091.93</v>
      </c>
      <c r="H72" s="76" t="n">
        <f aca="false">SUM(Tiger!H72,Allcargo!H72,BlueDart!H72,CONCOR!H72,JetFreight!H72,Patel!H72,Sical!H72,TCI!H72,Shreeji!H72,MahindraLog!H72)</f>
        <v>1864.41</v>
      </c>
      <c r="I72" s="76" t="n">
        <f aca="false">SUM(Tiger!I72,Allcargo!I72,BlueDart!I72,CONCOR!I72,JetFreight!I72,Patel!I72,Sical!I72,TCI!I72,Shreeji!I72,MahindraLog!I72)</f>
        <v>1933</v>
      </c>
      <c r="J72" s="76" t="n">
        <f aca="false">SUM(Tiger!J72,Allcargo!J72,BlueDart!J72,CONCOR!J72,JetFreight!J72,Patel!J72,Sical!J72,TCI!J72,Shreeji!J72,MahindraLog!J72)</f>
        <v>2046.09</v>
      </c>
    </row>
    <row r="73" customFormat="false" ht="15" hidden="false" customHeight="false" outlineLevel="0" collapsed="false">
      <c r="A73" s="18" t="s">
        <v>511</v>
      </c>
      <c r="C73" s="76" t="n">
        <f aca="false">SUM(Tiger!C73,Allcargo!C73,BlueDart!C73,CONCOR!C73,JetFreight!C73,Patel!C73,Sical!C73,TCI!C73,Shreeji!C73,MahindraLog!C73)</f>
        <v>13140.88</v>
      </c>
      <c r="D73" s="76" t="n">
        <f aca="false">SUM(Tiger!D73,Allcargo!D73,BlueDart!D73,CONCOR!D73,JetFreight!D73,Patel!D73,Sical!D73,TCI!D73,Shreeji!D73,MahindraLog!D73)</f>
        <v>12811.41</v>
      </c>
      <c r="E73" s="76" t="n">
        <f aca="false">SUM(Tiger!E73,Allcargo!E73,BlueDart!E73,CONCOR!E73,JetFreight!E73,Patel!E73,Sical!E73,TCI!E73,Shreeji!E73,MahindraLog!E73)</f>
        <v>12053.4</v>
      </c>
      <c r="F73" s="76" t="n">
        <f aca="false">SUM(Tiger!F73,Allcargo!F73,BlueDart!F73,CONCOR!F73,JetFreight!F73,Patel!F73,Sical!F73,TCI!F73,Shreeji!F73,MahindraLog!F73)</f>
        <v>12921.59</v>
      </c>
      <c r="G73" s="76" t="n">
        <f aca="false">SUM(Tiger!G73,Allcargo!G73,BlueDart!G73,CONCOR!G73,JetFreight!G73,Patel!G73,Sical!G73,TCI!G73,Shreeji!G73,MahindraLog!G73)</f>
        <v>15040.94</v>
      </c>
      <c r="H73" s="76" t="n">
        <f aca="false">SUM(Tiger!H73,Allcargo!H73,BlueDart!H73,CONCOR!H73,JetFreight!H73,Patel!H73,Sical!H73,TCI!H73,Shreeji!H73,MahindraLog!H73)</f>
        <v>16064.08</v>
      </c>
      <c r="I73" s="76" t="n">
        <f aca="false">SUM(Tiger!I73,Allcargo!I73,BlueDart!I73,CONCOR!I73,JetFreight!I73,Patel!I73,Sical!I73,TCI!I73,Shreeji!I73,MahindraLog!I73)</f>
        <v>16911.17</v>
      </c>
      <c r="J73" s="76" t="n">
        <f aca="false">SUM(Tiger!J73,Allcargo!J73,BlueDart!J73,CONCOR!J73,JetFreight!J73,Patel!J73,Sical!J73,TCI!J73,Shreeji!J73,MahindraLog!J73)</f>
        <v>19581.64</v>
      </c>
    </row>
    <row r="74" customFormat="false" ht="15" hidden="false" customHeight="false" outlineLevel="0" collapsed="false">
      <c r="A74" s="18" t="s">
        <v>512</v>
      </c>
      <c r="C74" s="76" t="n">
        <f aca="false">SUM(Tiger!C74,Allcargo!C74,BlueDart!C74,CONCOR!C74,JetFreight!C74,Patel!C74,Sical!C74,TCI!C74,Shreeji!C74,MahindraLog!C74)</f>
        <v>3149.72</v>
      </c>
      <c r="D74" s="76" t="n">
        <f aca="false">SUM(Tiger!D74,Allcargo!D74,BlueDart!D74,CONCOR!D74,JetFreight!D74,Patel!D74,Sical!D74,TCI!D74,Shreeji!D74,MahindraLog!D74)</f>
        <v>2039.43</v>
      </c>
      <c r="E74" s="76" t="n">
        <f aca="false">SUM(Tiger!E74,Allcargo!E74,BlueDart!E74,CONCOR!E74,JetFreight!E74,Patel!E74,Sical!E74,TCI!E74,Shreeji!E74,MahindraLog!E74)</f>
        <v>1463.57</v>
      </c>
      <c r="F74" s="76" t="n">
        <f aca="false">SUM(Tiger!F74,Allcargo!F74,BlueDart!F74,CONCOR!F74,JetFreight!F74,Patel!F74,Sical!F74,TCI!F74,Shreeji!F74,MahindraLog!F74)</f>
        <v>3588.88</v>
      </c>
      <c r="G74" s="76" t="n">
        <f aca="false">SUM(Tiger!G74,Allcargo!G74,BlueDart!G74,CONCOR!G74,JetFreight!G74,Patel!G74,Sical!G74,TCI!G74,Shreeji!G74,MahindraLog!G74)</f>
        <v>3263.42</v>
      </c>
      <c r="H74" s="76" t="n">
        <f aca="false">SUM(Tiger!H74,Allcargo!H74,BlueDart!H74,CONCOR!H74,JetFreight!H74,Patel!H74,Sical!H74,TCI!H74,Shreeji!H74,MahindraLog!H74)</f>
        <v>4176.27</v>
      </c>
      <c r="I74" s="76" t="n">
        <f aca="false">SUM(Tiger!I74,Allcargo!I74,BlueDart!I74,CONCOR!I74,JetFreight!I74,Patel!I74,Sical!I74,TCI!I74,Shreeji!I74,MahindraLog!I74)</f>
        <v>4317.46</v>
      </c>
      <c r="J74" s="76" t="n">
        <f aca="false">SUM(Tiger!J74,Allcargo!J74,BlueDart!J74,CONCOR!J74,JetFreight!J74,Patel!J74,Sical!J74,TCI!J74,Shreeji!J74,MahindraLog!J74)</f>
        <v>4850.92</v>
      </c>
    </row>
    <row r="75" customFormat="false" ht="15" hidden="false" customHeight="false" outlineLevel="0" collapsed="false">
      <c r="A75" s="18" t="s">
        <v>513</v>
      </c>
      <c r="C75" s="76" t="n">
        <f aca="false">SUM(Tiger!C75,Allcargo!C75,BlueDart!C75,CONCOR!C75,JetFreight!C75,Patel!C75,Sical!C75,TCI!C75,Shreeji!C75,MahindraLog!C75)</f>
        <v>578.26</v>
      </c>
      <c r="D75" s="76" t="n">
        <f aca="false">SUM(Tiger!D75,Allcargo!D75,BlueDart!D75,CONCOR!D75,JetFreight!D75,Patel!D75,Sical!D75,TCI!D75,Shreeji!D75,MahindraLog!D75)</f>
        <v>246.14</v>
      </c>
      <c r="E75" s="76" t="n">
        <f aca="false">SUM(Tiger!E75,Allcargo!E75,BlueDart!E75,CONCOR!E75,JetFreight!E75,Patel!E75,Sical!E75,TCI!E75,Shreeji!E75,MahindraLog!E75)</f>
        <v>378.8</v>
      </c>
      <c r="F75" s="76" t="n">
        <f aca="false">SUM(Tiger!F75,Allcargo!F75,BlueDart!F75,CONCOR!F75,JetFreight!F75,Patel!F75,Sical!F75,TCI!F75,Shreeji!F75,MahindraLog!F75)</f>
        <v>739.88</v>
      </c>
      <c r="G75" s="76" t="n">
        <f aca="false">SUM(Tiger!G75,Allcargo!G75,BlueDart!G75,CONCOR!G75,JetFreight!G75,Patel!G75,Sical!G75,TCI!G75,Shreeji!G75,MahindraLog!G75)</f>
        <v>815.49</v>
      </c>
      <c r="H75" s="76" t="n">
        <f aca="false">SUM(Tiger!H75,Allcargo!H75,BlueDart!H75,CONCOR!H75,JetFreight!H75,Patel!H75,Sical!H75,TCI!H75,Shreeji!H75,MahindraLog!H75)</f>
        <v>833.88</v>
      </c>
      <c r="I75" s="76" t="n">
        <f aca="false">SUM(Tiger!I75,Allcargo!I75,BlueDart!I75,CONCOR!I75,JetFreight!I75,Patel!I75,Sical!I75,TCI!I75,Shreeji!I75,MahindraLog!I75)</f>
        <v>841.5</v>
      </c>
      <c r="J75" s="76" t="n">
        <f aca="false">SUM(Tiger!J75,Allcargo!J75,BlueDart!J75,CONCOR!J75,JetFreight!J75,Patel!J75,Sical!J75,TCI!J75,Shreeji!J75,MahindraLog!J75)</f>
        <v>817.33</v>
      </c>
    </row>
    <row r="76" customFormat="false" ht="15" hidden="false" customHeight="false" outlineLevel="0" collapsed="false">
      <c r="A76" s="18" t="s">
        <v>514</v>
      </c>
      <c r="C76" s="76" t="n">
        <f aca="false">SUM(Tiger!C76,Allcargo!C76,BlueDart!C76,CONCOR!C76,JetFreight!C76,Patel!C76,Sical!C76,TCI!C76,Shreeji!C76,MahindraLog!C76)</f>
        <v>2813.15</v>
      </c>
      <c r="D76" s="76" t="n">
        <f aca="false">SUM(Tiger!D76,Allcargo!D76,BlueDart!D76,CONCOR!D76,JetFreight!D76,Patel!D76,Sical!D76,TCI!D76,Shreeji!D76,MahindraLog!D76)</f>
        <v>189.91</v>
      </c>
      <c r="E76" s="76" t="n">
        <f aca="false">SUM(Tiger!E76,Allcargo!E76,BlueDart!E76,CONCOR!E76,JetFreight!E76,Patel!E76,Sical!E76,TCI!E76,Shreeji!E76,MahindraLog!E76)</f>
        <v>1087.25</v>
      </c>
      <c r="F76" s="76" t="n">
        <f aca="false">SUM(Tiger!F76,Allcargo!F76,BlueDart!F76,CONCOR!F76,JetFreight!F76,Patel!F76,Sical!F76,TCI!F76,Shreeji!F76,MahindraLog!F76)</f>
        <v>746.65</v>
      </c>
      <c r="G76" s="76" t="n">
        <f aca="false">SUM(Tiger!G76,Allcargo!G76,BlueDart!G76,CONCOR!G76,JetFreight!G76,Patel!G76,Sical!G76,TCI!G76,Shreeji!G76,MahindraLog!G76)</f>
        <v>-236.42</v>
      </c>
      <c r="H76" s="76" t="n">
        <f aca="false">SUM(Tiger!H76,Allcargo!H76,BlueDart!H76,CONCOR!H76,JetFreight!H76,Patel!H76,Sical!H76,TCI!H76,Shreeji!H76,MahindraLog!H76)</f>
        <v>-249.66</v>
      </c>
      <c r="I76" s="76" t="n">
        <f aca="false">SUM(Tiger!I76,Allcargo!I76,BlueDart!I76,CONCOR!I76,JetFreight!I76,Patel!I76,Sical!I76,TCI!I76,Shreeji!I76,MahindraLog!I76)</f>
        <v>-437.41</v>
      </c>
      <c r="J76" s="76" t="n">
        <f aca="false">SUM(Tiger!J76,Allcargo!J76,BlueDart!J76,CONCOR!J76,JetFreight!J76,Patel!J76,Sical!J76,TCI!J76,Shreeji!J76,MahindraLog!J76)</f>
        <v>92.3600000000001</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3799.21</v>
      </c>
      <c r="E79" s="79" t="n">
        <f aca="false">IFERROR(E65,"N/M")</f>
        <v>4808.49</v>
      </c>
      <c r="F79" s="79" t="n">
        <f aca="false">IFERROR(F65,"N/M")</f>
        <v>6214.51</v>
      </c>
      <c r="G79" s="79" t="n">
        <f aca="false">IFERROR(G65,"N/M")</f>
        <v>7257.52</v>
      </c>
      <c r="H79" s="79" t="n">
        <f aca="false">IFERROR(H65,"N/M")</f>
        <v>7602.73</v>
      </c>
      <c r="I79" s="79" t="n">
        <f aca="false">IFERROR(I65,"N/M")</f>
        <v>6985.07</v>
      </c>
      <c r="J79" s="79" t="n">
        <f aca="false">IFERROR(J65,"N/M")</f>
        <v>7571.42</v>
      </c>
      <c r="K79" s="80" t="n">
        <f aca="false">IFERROR(AVERAGE(D79:J79),"N/M")</f>
        <v>6319.85</v>
      </c>
      <c r="L79" s="81" t="n">
        <f aca="false">IFERROR(J79-D79,"N/M")</f>
        <v>3772.21</v>
      </c>
      <c r="M79" s="81" t="n">
        <f aca="false">IFERROR(SLOPE(D79:J79,$D$3:$J$3),"N/M")</f>
        <v>609.214642857143</v>
      </c>
    </row>
    <row r="80" customFormat="false" ht="15" hidden="false" customHeight="false" outlineLevel="0" collapsed="false">
      <c r="A80" s="18" t="s">
        <v>119</v>
      </c>
      <c r="B80" s="19" t="s">
        <v>517</v>
      </c>
      <c r="D80" s="47" t="n">
        <f aca="false">IFERROR(IF(D64&lt;=0,"N/M",D63/D64),"N/M")</f>
        <v>1.55568377943543</v>
      </c>
      <c r="E80" s="47" t="n">
        <f aca="false">IFERROR(IF(E64&lt;=0,"N/M",E63/E64),"N/M")</f>
        <v>1.63283177839458</v>
      </c>
      <c r="F80" s="47" t="n">
        <f aca="false">IFERROR(IF(F64&lt;=0,"N/M",F63/F64),"N/M")</f>
        <v>1.71479788545769</v>
      </c>
      <c r="G80" s="47" t="n">
        <f aca="false">IFERROR(IF(G64&lt;=0,"N/M",G63/G64),"N/M")</f>
        <v>1.97612124179227</v>
      </c>
      <c r="H80" s="47" t="n">
        <f aca="false">IFERROR(IF(H64&lt;=0,"N/M",H63/H64),"N/M")</f>
        <v>2.08411879956993</v>
      </c>
      <c r="I80" s="47" t="n">
        <f aca="false">IFERROR(IF(I64&lt;=0,"N/M",I63/I64),"N/M")</f>
        <v>2.41985088157932</v>
      </c>
      <c r="J80" s="47" t="n">
        <f aca="false">IFERROR(IF(J64&lt;=0,"N/M",J63/J64),"N/M")</f>
        <v>2.43605627070938</v>
      </c>
      <c r="K80" s="22" t="n">
        <f aca="false">IFERROR(AVERAGE(D80:J80),"N/M")</f>
        <v>1.9742086624198</v>
      </c>
      <c r="L80" s="82" t="n">
        <f aca="false">IFERROR(J80-D80,"N/M")</f>
        <v>0.880372491273952</v>
      </c>
      <c r="M80" s="83" t="n">
        <f aca="false">IFERROR(SLOPE(D80:J80,$D$3:$J$3),"N/M")</f>
        <v>0.163731306939414</v>
      </c>
    </row>
    <row r="81" customFormat="false" ht="15" hidden="false" customHeight="false" outlineLevel="0" collapsed="false">
      <c r="A81" s="18" t="s">
        <v>121</v>
      </c>
      <c r="B81" s="19" t="s">
        <v>518</v>
      </c>
      <c r="D81" s="47" t="n">
        <f aca="false">IFERROR(IF(D64&lt;=0,"N/M",D66/D64),"N/M")</f>
        <v>0.938999561211058</v>
      </c>
      <c r="E81" s="47" t="n">
        <f aca="false">IFERROR(IF(E64&lt;=0,"N/M",E66/E64),"N/M")</f>
        <v>1.0240038324009</v>
      </c>
      <c r="F81" s="47" t="n">
        <f aca="false">IFERROR(IF(F64&lt;=0,"N/M",F66/F64),"N/M")</f>
        <v>1.06996715006073</v>
      </c>
      <c r="G81" s="47" t="n">
        <f aca="false">IFERROR(IF(G64&lt;=0,"N/M",G66/G64),"N/M")</f>
        <v>1.26075647002176</v>
      </c>
      <c r="H81" s="47" t="n">
        <f aca="false">IFERROR(IF(H64&lt;=0,"N/M",H66/H64),"N/M")</f>
        <v>1.3221457273964</v>
      </c>
      <c r="I81" s="47" t="n">
        <f aca="false">IFERROR(IF(I64&lt;=0,"N/M",I66/I64),"N/M")</f>
        <v>1.54976847617073</v>
      </c>
      <c r="J81" s="47" t="n">
        <f aca="false">IFERROR(IF(J64&lt;=0,"N/M",J66/J64),"N/M")</f>
        <v>1.54859389610365</v>
      </c>
      <c r="K81" s="22" t="n">
        <f aca="false">IFERROR(AVERAGE(D81:J81),"N/M")</f>
        <v>1.24489073048075</v>
      </c>
      <c r="L81" s="82" t="n">
        <f aca="false">IFERROR(J81-D81,"N/M")</f>
        <v>0.609594334892592</v>
      </c>
      <c r="M81" s="83" t="n">
        <f aca="false">IFERROR(SLOPE(D81:J81,$D$3:$J$3),"N/M")</f>
        <v>0.111874673912611</v>
      </c>
    </row>
    <row r="82" customFormat="false" ht="15" hidden="false" customHeight="false" outlineLevel="0" collapsed="false">
      <c r="A82" s="18" t="s">
        <v>519</v>
      </c>
      <c r="B82" s="19" t="s">
        <v>520</v>
      </c>
      <c r="D82" s="47" t="n">
        <f aca="false">IFERROR(IF(D64&lt;=0,"N/M",D38/D64),"N/M")</f>
        <v>0.450590902442592</v>
      </c>
      <c r="E82" s="47" t="n">
        <f aca="false">IFERROR(IF(E64&lt;=0,"N/M",E38/E64),"N/M")</f>
        <v>0.463986354968237</v>
      </c>
      <c r="F82" s="47" t="n">
        <f aca="false">IFERROR(IF(F64&lt;=0,"N/M",F38/F64),"N/M")</f>
        <v>0.472267335934337</v>
      </c>
      <c r="G82" s="47" t="n">
        <f aca="false">IFERROR(IF(G64&lt;=0,"N/M",G38/G64),"N/M")</f>
        <v>0.67133957224286</v>
      </c>
      <c r="H82" s="47" t="n">
        <f aca="false">IFERROR(IF(H64&lt;=0,"N/M",H38/H64),"N/M")</f>
        <v>0.627285457205518</v>
      </c>
      <c r="I82" s="47" t="n">
        <f aca="false">IFERROR(IF(I64&lt;=0,"N/M",I38/I64),"N/M")</f>
        <v>0.88110163875778</v>
      </c>
      <c r="J82" s="47" t="n">
        <f aca="false">IFERROR(IF(J64&lt;=0,"N/M",J38/J64),"N/M")</f>
        <v>0.820391967938517</v>
      </c>
      <c r="K82" s="22" t="n">
        <f aca="false">IFERROR(AVERAGE(D82:J82),"N/M")</f>
        <v>0.626709032784263</v>
      </c>
      <c r="L82" s="82" t="n">
        <f aca="false">IFERROR(J82-D82,"N/M")</f>
        <v>0.369801065495925</v>
      </c>
      <c r="M82" s="83" t="n">
        <f aca="false">IFERROR(SLOPE(D82:J82,$D$3:$J$3),"N/M")</f>
        <v>0.0749518530477873</v>
      </c>
    </row>
    <row r="83" customFormat="false" ht="15" hidden="false" customHeight="false" outlineLevel="0" collapsed="false">
      <c r="A83" s="18" t="s">
        <v>521</v>
      </c>
      <c r="B83" s="19" t="s">
        <v>522</v>
      </c>
      <c r="D83" s="48" t="n">
        <f aca="false">IFERROR(IF((D54/365)&lt;=0,"N/M",D66/(D54/365)),"N/M")</f>
        <v>105.370520260845</v>
      </c>
      <c r="E83" s="48" t="n">
        <f aca="false">IFERROR(IF((E54/365)&lt;=0,"N/M",E66/(E54/365)),"N/M")</f>
        <v>114.325888538618</v>
      </c>
      <c r="F83" s="48" t="n">
        <f aca="false">IFERROR(IF((F54/365)&lt;=0,"N/M",F66/(F54/365)),"N/M")</f>
        <v>95.1507450096822</v>
      </c>
      <c r="G83" s="48" t="n">
        <f aca="false">IFERROR(IF((G54/365)&lt;=0,"N/M",G66/(G54/365)),"N/M")</f>
        <v>91.759858566798</v>
      </c>
      <c r="H83" s="48" t="n">
        <f aca="false">IFERROR(IF((H54/365)&lt;=0,"N/M",H66/(H54/365)),"N/M")</f>
        <v>100.068186730606</v>
      </c>
      <c r="I83" s="48" t="n">
        <f aca="false">IFERROR(IF((I54/365)&lt;=0,"N/M",I66/(I54/365)),"N/M")</f>
        <v>110.948622549608</v>
      </c>
      <c r="J83" s="48" t="n">
        <f aca="false">IFERROR(IF((J54/365)&lt;=0,"N/M",J66/(J54/365)),"N/M")</f>
        <v>110.321810171572</v>
      </c>
      <c r="K83" s="28" t="n">
        <f aca="false">IFERROR(AVERAGE(D83:J83),"N/M")</f>
        <v>103.992233118247</v>
      </c>
      <c r="L83" s="84" t="n">
        <f aca="false">IFERROR(J83-D83,"N/M")</f>
        <v>4.95128991072673</v>
      </c>
      <c r="M83" s="85" t="n">
        <f aca="false">IFERROR(SLOPE(D83:J83,$D$3:$J$3),"N/M")</f>
        <v>0.464884981253004</v>
      </c>
    </row>
    <row r="84" customFormat="false" ht="15" hidden="false" customHeight="false" outlineLevel="0" collapsed="false">
      <c r="A84" s="18" t="s">
        <v>122</v>
      </c>
      <c r="B84" s="19" t="s">
        <v>523</v>
      </c>
      <c r="D84" s="47" t="n">
        <f aca="false">IFERROR(IF(D64&lt;=0,"N/M",D41/D64),"N/M")</f>
        <v>0.818181951148165</v>
      </c>
      <c r="E84" s="47" t="n">
        <f aca="false">IFERROR(IF(E64&lt;=0,"N/M",E41/E64),"N/M")</f>
        <v>0.383321686098466</v>
      </c>
      <c r="F84" s="47" t="n">
        <f aca="false">IFERROR(IF(F64&lt;=0,"N/M",F41/F64),"N/M")</f>
        <v>0.431846727888402</v>
      </c>
      <c r="G84" s="47" t="n">
        <f aca="false">IFERROR(IF(G64&lt;=0,"N/M",G41/G64),"N/M")</f>
        <v>0.561616180636067</v>
      </c>
      <c r="H84" s="47" t="n">
        <f aca="false">IFERROR(IF(H64&lt;=0,"N/M",H41/H64),"N/M")</f>
        <v>0.375935786174463</v>
      </c>
      <c r="I84" s="47" t="n">
        <f aca="false">IFERROR(IF(I64&lt;=0,"N/M",I41/I64),"N/M")</f>
        <v>0.698949910358201</v>
      </c>
      <c r="J84" s="47" t="n">
        <f aca="false">IFERROR(IF(J64&lt;=0,"N/M",J41/J64),"N/M")</f>
        <v>0.633572757602369</v>
      </c>
      <c r="K84" s="22" t="n">
        <f aca="false">IFERROR(AVERAGE(D84:J84),"N/M")</f>
        <v>0.557632142843733</v>
      </c>
      <c r="L84" s="82" t="n">
        <f aca="false">IFERROR(J84-D84,"N/M")</f>
        <v>-0.184609193545796</v>
      </c>
      <c r="M84" s="83" t="n">
        <f aca="false">IFERROR(SLOPE(D84:J84,$D$3:$J$3),"N/M")</f>
        <v>0.000768497363148005</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0.286562043068481</v>
      </c>
      <c r="E87" s="47" t="n">
        <f aca="false">IFERROR(IF(E61&lt;=0,"N/M",E28/E61),"N/M")</f>
        <v>0.439210877634976</v>
      </c>
      <c r="F87" s="47" t="n">
        <f aca="false">IFERROR(IF(F61&lt;=0,"N/M",F28/F61),"N/M")</f>
        <v>0.405732636546491</v>
      </c>
      <c r="G87" s="47" t="n">
        <f aca="false">IFERROR(IF(G61&lt;=0,"N/M",G28/G61),"N/M")</f>
        <v>0.259071887342371</v>
      </c>
      <c r="H87" s="47" t="n">
        <f aca="false">IFERROR(IF(H61&lt;=0,"N/M",H28/H61),"N/M")</f>
        <v>0.292522050543132</v>
      </c>
      <c r="I87" s="47" t="n">
        <f aca="false">IFERROR(IF(I61&lt;=0,"N/M",I28/I61),"N/M")</f>
        <v>0.258753277167223</v>
      </c>
      <c r="J87" s="47" t="n">
        <f aca="false">IFERROR(IF(J61&lt;=0,"N/M",J28/J61),"N/M")</f>
        <v>0.225607763190417</v>
      </c>
      <c r="K87" s="22" t="n">
        <f aca="false">IFERROR(AVERAGE(D87:J87),"N/M")</f>
        <v>0.309637219356156</v>
      </c>
      <c r="L87" s="82" t="n">
        <f aca="false">IFERROR(J87-D87,"N/M")</f>
        <v>-0.0609542798780633</v>
      </c>
      <c r="M87" s="83" t="n">
        <f aca="false">IFERROR(SLOPE(D87:J87,$D$3:$J$3),"N/M")</f>
        <v>-0.0234638795204663</v>
      </c>
    </row>
    <row r="88" customFormat="false" ht="15" hidden="false" customHeight="false" outlineLevel="0" collapsed="false">
      <c r="A88" s="18" t="s">
        <v>526</v>
      </c>
      <c r="B88" s="19" t="s">
        <v>527</v>
      </c>
      <c r="D88" s="47" t="n">
        <f aca="false">IFERROR(IF(D61&lt;=0,"N/M",(D28+D29)/D61),"N/M")</f>
        <v>0.743669064411507</v>
      </c>
      <c r="E88" s="47" t="n">
        <f aca="false">IFERROR(IF(E61&lt;=0,"N/M",(E28+E29)/E61),"N/M")</f>
        <v>0.969196355707703</v>
      </c>
      <c r="F88" s="47" t="n">
        <f aca="false">IFERROR(IF(F61&lt;=0,"N/M",(F28+F29)/F61),"N/M")</f>
        <v>0.946296635962035</v>
      </c>
      <c r="G88" s="47" t="n">
        <f aca="false">IFERROR(IF(G61&lt;=0,"N/M",(G28+G29)/G61),"N/M")</f>
        <v>0.675481485464146</v>
      </c>
      <c r="H88" s="47" t="n">
        <f aca="false">IFERROR(IF(H61&lt;=0,"N/M",(H28+H29)/H61),"N/M")</f>
        <v>0.669845273599986</v>
      </c>
      <c r="I88" s="47" t="n">
        <f aca="false">IFERROR(IF(I61&lt;=0,"N/M",(I28+I29)/I61),"N/M")</f>
        <v>0.540303791470008</v>
      </c>
      <c r="J88" s="47" t="n">
        <f aca="false">IFERROR(IF(J61&lt;=0,"N/M",(J28+J29)/J61),"N/M")</f>
        <v>0.494858449036955</v>
      </c>
      <c r="K88" s="22" t="n">
        <f aca="false">IFERROR(AVERAGE(D88:J88),"N/M")</f>
        <v>0.719950150807477</v>
      </c>
      <c r="L88" s="82" t="n">
        <f aca="false">IFERROR(J88-D88,"N/M")</f>
        <v>-0.248810615374552</v>
      </c>
      <c r="M88" s="83" t="n">
        <f aca="false">IFERROR(SLOPE(D88:J88,$D$3:$J$3),"N/M")</f>
        <v>-0.0671667263200391</v>
      </c>
    </row>
    <row r="89" customFormat="false" ht="15" hidden="false" customHeight="false" outlineLevel="0" collapsed="false">
      <c r="A89" s="18" t="s">
        <v>528</v>
      </c>
      <c r="B89" s="19" t="s">
        <v>529</v>
      </c>
      <c r="D89" s="47" t="n">
        <f aca="false">IFERROR(IF(D35&lt;=0,"N/M",D28/D35),"N/M")</f>
        <v>0.164344283509552</v>
      </c>
      <c r="E89" s="47" t="n">
        <f aca="false">IFERROR(IF(E35&lt;=0,"N/M",E28/E35),"N/M")</f>
        <v>0.223040671572404</v>
      </c>
      <c r="F89" s="47" t="n">
        <f aca="false">IFERROR(IF(F35&lt;=0,"N/M",F28/F35),"N/M")</f>
        <v>0.208463925308046</v>
      </c>
      <c r="G89" s="47" t="n">
        <f aca="false">IFERROR(IF(G35&lt;=0,"N/M",G28/G35),"N/M")</f>
        <v>0.154625335815395</v>
      </c>
      <c r="H89" s="47" t="n">
        <f aca="false">IFERROR(IF(H35&lt;=0,"N/M",H28/H35),"N/M")</f>
        <v>0.175179134958109</v>
      </c>
      <c r="I89" s="47" t="n">
        <f aca="false">IFERROR(IF(I35&lt;=0,"N/M",I28/I35),"N/M")</f>
        <v>0.16798846993701</v>
      </c>
      <c r="J89" s="47" t="n">
        <f aca="false">IFERROR(IF(J35&lt;=0,"N/M",J28/J35),"N/M")</f>
        <v>0.150922492585009</v>
      </c>
      <c r="K89" s="22" t="n">
        <f aca="false">IFERROR(AVERAGE(D89:J89),"N/M")</f>
        <v>0.177794901955075</v>
      </c>
      <c r="L89" s="82" t="n">
        <f aca="false">IFERROR(J89-D89,"N/M")</f>
        <v>-0.0134217909245438</v>
      </c>
      <c r="M89" s="83" t="n">
        <f aca="false">IFERROR(SLOPE(D89:J89,$D$3:$J$3),"N/M")</f>
        <v>-0.00655909165694125</v>
      </c>
    </row>
    <row r="90" customFormat="false" ht="15" hidden="false" customHeight="false" outlineLevel="0" collapsed="false">
      <c r="A90" s="18" t="s">
        <v>530</v>
      </c>
      <c r="B90" s="19" t="s">
        <v>531</v>
      </c>
      <c r="D90" s="47" t="n">
        <f aca="false">IFERROR(IF(D62&lt;=0,"N/M",D28/D62),"N/M")</f>
        <v>0.222734725163369</v>
      </c>
      <c r="E90" s="47" t="n">
        <f aca="false">IFERROR(IF(E62&lt;=0,"N/M",E28/E62),"N/M")</f>
        <v>0.30517479019942</v>
      </c>
      <c r="F90" s="47" t="n">
        <f aca="false">IFERROR(IF(F62&lt;=0,"N/M",F28/F62),"N/M")</f>
        <v>0.288627172762573</v>
      </c>
      <c r="G90" s="47" t="n">
        <f aca="false">IFERROR(IF(G62&lt;=0,"N/M",G28/G62),"N/M")</f>
        <v>0.20576417434688</v>
      </c>
      <c r="H90" s="47" t="n">
        <f aca="false">IFERROR(IF(H62&lt;=0,"N/M",H28/H62),"N/M")</f>
        <v>0.226318808580644</v>
      </c>
      <c r="I90" s="47" t="n">
        <f aca="false">IFERROR(IF(I62&lt;=0,"N/M",I28/I62),"N/M")</f>
        <v>0.205563140816235</v>
      </c>
      <c r="J90" s="47" t="n">
        <f aca="false">IFERROR(IF(J62&lt;=0,"N/M",J28/J62),"N/M")</f>
        <v>0.1840782752576</v>
      </c>
      <c r="K90" s="22" t="n">
        <f aca="false">IFERROR(AVERAGE(D90:J90),"N/M")</f>
        <v>0.23403729816096</v>
      </c>
      <c r="L90" s="82" t="n">
        <f aca="false">IFERROR(J90-D90,"N/M")</f>
        <v>-0.0386564499057689</v>
      </c>
      <c r="M90" s="83" t="n">
        <f aca="false">IFERROR(SLOPE(D90:J90,$D$3:$J$3),"N/M")</f>
        <v>-0.0134821790237716</v>
      </c>
    </row>
    <row r="91" customFormat="false" ht="15" hidden="false" customHeight="false" outlineLevel="0" collapsed="false">
      <c r="A91" s="18" t="s">
        <v>125</v>
      </c>
      <c r="B91" s="19" t="s">
        <v>532</v>
      </c>
      <c r="D91" s="46" t="n">
        <f aca="false">IFERROR(IF(D35=0,"N/M",D61/D35),"N/M")</f>
        <v>0.573503321478897</v>
      </c>
      <c r="E91" s="46" t="n">
        <f aca="false">IFERROR(IF(E35=0,"N/M",E61/E35),"N/M")</f>
        <v>0.507821374491938</v>
      </c>
      <c r="F91" s="46" t="n">
        <f aca="false">IFERROR(IF(F35=0,"N/M",F61/F35),"N/M")</f>
        <v>0.513796294728583</v>
      </c>
      <c r="G91" s="46" t="n">
        <f aca="false">IFERROR(IF(G35=0,"N/M",G61/G35),"N/M")</f>
        <v>0.596843360356786</v>
      </c>
      <c r="H91" s="46" t="n">
        <f aca="false">IFERROR(IF(H35=0,"N/M",H61/H35),"N/M")</f>
        <v>0.598857879714879</v>
      </c>
      <c r="I91" s="46" t="n">
        <f aca="false">IFERROR(IF(I35=0,"N/M",I61/I35),"N/M")</f>
        <v>0.649222579037891</v>
      </c>
      <c r="J91" s="46" t="n">
        <f aca="false">IFERROR(IF(J35=0,"N/M",J61/J35),"N/M")</f>
        <v>0.668959660123163</v>
      </c>
      <c r="K91" s="25" t="n">
        <f aca="false">IFERROR(AVERAGE(D91:J91),"N/M")</f>
        <v>0.587000638561734</v>
      </c>
      <c r="L91" s="86" t="n">
        <f aca="false">IFERROR(J91-D91,"N/M")</f>
        <v>0.095456338644266</v>
      </c>
      <c r="M91" s="87" t="n">
        <f aca="false">IFERROR(SLOPE(D91:J91,$D$3:$J$3),"N/M")</f>
        <v>0.02336546464325</v>
      </c>
    </row>
    <row r="92" customFormat="false" ht="15" hidden="false" customHeight="false" outlineLevel="0" collapsed="false">
      <c r="A92" s="18" t="s">
        <v>533</v>
      </c>
      <c r="B92" s="19" t="s">
        <v>534</v>
      </c>
      <c r="D92" s="47" t="n">
        <f aca="false">IFERROR(IF(D61&lt;=0,"N/M",D28/D61),"N/M")</f>
        <v>0.286562043068481</v>
      </c>
      <c r="E92" s="47" t="n">
        <f aca="false">IFERROR(IF(E61&lt;=0,"N/M",E28/E61),"N/M")</f>
        <v>0.439210877634976</v>
      </c>
      <c r="F92" s="47" t="n">
        <f aca="false">IFERROR(IF(F61&lt;=0,"N/M",F28/F61),"N/M")</f>
        <v>0.405732636546491</v>
      </c>
      <c r="G92" s="47" t="n">
        <f aca="false">IFERROR(IF(G61&lt;=0,"N/M",G28/G61),"N/M")</f>
        <v>0.259071887342371</v>
      </c>
      <c r="H92" s="47" t="n">
        <f aca="false">IFERROR(IF(H61&lt;=0,"N/M",H28/H61),"N/M")</f>
        <v>0.292522050543132</v>
      </c>
      <c r="I92" s="47" t="n">
        <f aca="false">IFERROR(IF(I61&lt;=0,"N/M",I28/I61),"N/M")</f>
        <v>0.258753277167223</v>
      </c>
      <c r="J92" s="47" t="n">
        <f aca="false">IFERROR(IF(J61&lt;=0,"N/M",J28/J61),"N/M")</f>
        <v>0.225607763190417</v>
      </c>
      <c r="K92" s="22" t="n">
        <f aca="false">IFERROR(AVERAGE(D92:J92),"N/M")</f>
        <v>0.309637219356156</v>
      </c>
      <c r="L92" s="82" t="n">
        <f aca="false">IFERROR(J92-D92,"N/M")</f>
        <v>-0.0609542798780633</v>
      </c>
      <c r="M92" s="83" t="n">
        <f aca="false">IFERROR(SLOPE(D92:J92,$D$3:$J$3),"N/M")</f>
        <v>-0.0234638795204663</v>
      </c>
    </row>
    <row r="93" customFormat="false" ht="15" hidden="false" customHeight="false" outlineLevel="0" collapsed="false">
      <c r="A93" s="18" t="s">
        <v>126</v>
      </c>
      <c r="B93" s="19" t="s">
        <v>535</v>
      </c>
      <c r="D93" s="47" t="n">
        <f aca="false">IFERROR(IF(D59&lt;=0,"N/M",D28/D59),"N/M")</f>
        <v>1.61670363161786</v>
      </c>
      <c r="E93" s="47" t="n">
        <f aca="false">IFERROR(IF(E59&lt;=0,"N/M",E28/E59),"N/M")</f>
        <v>3.03907837393038</v>
      </c>
      <c r="F93" s="47" t="n">
        <f aca="false">IFERROR(IF(F59&lt;=0,"N/M",F28/F59),"N/M")</f>
        <v>1.26850651307183</v>
      </c>
      <c r="G93" s="47" t="n">
        <f aca="false">IFERROR(IF(G59&lt;=0,"N/M",G28/G59),"N/M")</f>
        <v>1.02287090311653</v>
      </c>
      <c r="H93" s="47" t="n">
        <f aca="false">IFERROR(IF(H59&lt;=0,"N/M",H28/H59),"N/M")</f>
        <v>1.11402922807075</v>
      </c>
      <c r="I93" s="47" t="n">
        <f aca="false">IFERROR(IF(I59&lt;=0,"N/M",I28/I59),"N/M")</f>
        <v>0.985135506137977</v>
      </c>
      <c r="J93" s="47" t="n">
        <f aca="false">IFERROR(IF(J59&lt;=0,"N/M",J28/J59),"N/M")</f>
        <v>0.910707659577977</v>
      </c>
      <c r="K93" s="22" t="n">
        <f aca="false">IFERROR(AVERAGE(D93:J93),"N/M")</f>
        <v>1.42243311650333</v>
      </c>
      <c r="L93" s="82" t="n">
        <f aca="false">IFERROR(J93-D93,"N/M")</f>
        <v>-0.705995972039881</v>
      </c>
      <c r="M93" s="83" t="n">
        <f aca="false">IFERROR(SLOPE(D93:J93,$D$3:$J$3),"N/M")</f>
        <v>-0.227869676310911</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3.49503297665636</v>
      </c>
      <c r="E96" s="47" t="n">
        <f aca="false">IFERROR(IF(E19&lt;=0,"N/M",E58/E19),"N/M")</f>
        <v>1.02068910480219</v>
      </c>
      <c r="F96" s="47" t="n">
        <f aca="false">IFERROR(IF(F19&lt;=0,"N/M",F58/F19),"N/M")</f>
        <v>11.1188813340307</v>
      </c>
      <c r="G96" s="47" t="n">
        <f aca="false">IFERROR(IF(G19&lt;=0,"N/M",G58/G19),"N/M")</f>
        <v>9.28362460789962</v>
      </c>
      <c r="H96" s="47" t="n">
        <f aca="false">IFERROR(IF(H19&lt;=0,"N/M",H58/H19),"N/M")</f>
        <v>7.14960277234258</v>
      </c>
      <c r="I96" s="47" t="n">
        <f aca="false">IFERROR(IF(I19&lt;=0,"N/M",I58/I19),"N/M")</f>
        <v>7.53495324237314</v>
      </c>
      <c r="J96" s="47" t="n">
        <f aca="false">IFERROR(IF(J19&lt;=0,"N/M",J58/J19),"N/M")</f>
        <v>7.36237220795581</v>
      </c>
      <c r="K96" s="22" t="n">
        <f aca="false">IFERROR(AVERAGE(D96:J96),"N/M")</f>
        <v>6.70930803515149</v>
      </c>
      <c r="L96" s="82" t="n">
        <f aca="false">IFERROR(J96-D96,"N/M")</f>
        <v>3.86733923129945</v>
      </c>
      <c r="M96" s="83" t="n">
        <f aca="false">IFERROR(SLOPE(D96:J96,$D$3:$J$3),"N/M")</f>
        <v>0.737902407405434</v>
      </c>
    </row>
    <row r="97" customFormat="false" ht="15" hidden="false" customHeight="false" outlineLevel="0" collapsed="false">
      <c r="A97" s="18" t="s">
        <v>538</v>
      </c>
      <c r="B97" s="19" t="s">
        <v>539</v>
      </c>
      <c r="D97" s="47" t="n">
        <f aca="false">IFERROR(IF(D19&lt;=0,"N/M",D59/D19),"N/M")</f>
        <v>7.25530226321119</v>
      </c>
      <c r="E97" s="47" t="n">
        <f aca="false">IFERROR(IF(E19&lt;=0,"N/M",E59/E19),"N/M")</f>
        <v>4.13381082536959</v>
      </c>
      <c r="F97" s="47" t="n">
        <f aca="false">IFERROR(IF(F19&lt;=0,"N/M",F59/F19),"N/M")</f>
        <v>15.827062117343</v>
      </c>
      <c r="G97" s="47" t="n">
        <f aca="false">IFERROR(IF(G19&lt;=0,"N/M",G59/G19),"N/M")</f>
        <v>14.4751936495743</v>
      </c>
      <c r="H97" s="47" t="n">
        <f aca="false">IFERROR(IF(H19&lt;=0,"N/M",H59/H19),"N/M")</f>
        <v>11.5048445272166</v>
      </c>
      <c r="I97" s="47" t="n">
        <f aca="false">IFERROR(IF(I19&lt;=0,"N/M",I59/I19),"N/M")</f>
        <v>11.726352905105</v>
      </c>
      <c r="J97" s="47" t="n">
        <f aca="false">IFERROR(IF(J19&lt;=0,"N/M",J59/J19),"N/M")</f>
        <v>11.7518290614855</v>
      </c>
      <c r="K97" s="22" t="n">
        <f aca="false">IFERROR(AVERAGE(D97:J97),"N/M")</f>
        <v>10.9534850499007</v>
      </c>
      <c r="L97" s="82" t="n">
        <f aca="false">IFERROR(J97-D97,"N/M")</f>
        <v>4.49652679827435</v>
      </c>
      <c r="M97" s="83" t="n">
        <f aca="false">IFERROR(SLOPE(D97:J97,$D$3:$J$3),"N/M")</f>
        <v>0.869730248720266</v>
      </c>
    </row>
    <row r="98" customFormat="false" ht="15" hidden="false" customHeight="false" outlineLevel="0" collapsed="false">
      <c r="A98" s="18" t="s">
        <v>540</v>
      </c>
      <c r="B98" s="19" t="s">
        <v>541</v>
      </c>
      <c r="D98" s="47" t="n">
        <f aca="false">IFERROR(IF(D23&lt;=0,"N/M",D22/D23),"N/M")</f>
        <v>2.08347662967016</v>
      </c>
      <c r="E98" s="47" t="n">
        <f aca="false">IFERROR(IF(E23&lt;=0,"N/M",E22/E23),"N/M")</f>
        <v>-0.498738140860868</v>
      </c>
      <c r="F98" s="47" t="n">
        <f aca="false">IFERROR(IF(F23&lt;=0,"N/M",F22/F23),"N/M")</f>
        <v>3.02040339728856</v>
      </c>
      <c r="G98" s="47" t="n">
        <f aca="false">IFERROR(IF(G23&lt;=0,"N/M",G22/G23),"N/M")</f>
        <v>1.92275560122412</v>
      </c>
      <c r="H98" s="47" t="n">
        <f aca="false">IFERROR(IF(H23&lt;=0,"N/M",H22/H23),"N/M")</f>
        <v>2.16069129763131</v>
      </c>
      <c r="I98" s="47" t="n">
        <f aca="false">IFERROR(IF(I23&lt;=0,"N/M",I22/I23),"N/M")</f>
        <v>1.72762645914397</v>
      </c>
      <c r="J98" s="47" t="n">
        <f aca="false">IFERROR(IF(J23&lt;=0,"N/M",J22/J23),"N/M")</f>
        <v>2.50338296648844</v>
      </c>
      <c r="K98" s="22" t="n">
        <f aca="false">IFERROR(AVERAGE(D98:J98),"N/M")</f>
        <v>1.84565688722653</v>
      </c>
      <c r="L98" s="82" t="n">
        <f aca="false">IFERROR(J98-D98,"N/M")</f>
        <v>0.419906336818286</v>
      </c>
      <c r="M98" s="83" t="n">
        <f aca="false">IFERROR(SLOPE(D98:J98,$D$3:$J$3),"N/M")</f>
        <v>0.173312003957403</v>
      </c>
    </row>
    <row r="99" customFormat="false" ht="15" hidden="false" customHeight="false" outlineLevel="0" collapsed="false">
      <c r="A99" s="18" t="s">
        <v>542</v>
      </c>
      <c r="B99" s="19" t="s">
        <v>543</v>
      </c>
      <c r="D99" s="47" t="n">
        <f aca="false">IFERROR(IF((D19+IF((1-D60)&lt;=0,"N/M",D68/(1-D60)))&lt;=0,"N/M",D59/(D19+IF((1-D60)&lt;=0,"N/M",D68/(1-D60)))),"N/M")</f>
        <v>1.61806271998682</v>
      </c>
      <c r="E99" s="47" t="str">
        <f aca="false">IFERROR(IF((E19+IF((1-E60)&lt;=0,"N/M",E68/(1-E60)))&lt;=0,"N/M",E59/(E19+IF((1-E60)&lt;=0,"N/M",E68/(1-E60)))),"N/M")</f>
        <v>N/M</v>
      </c>
      <c r="F99" s="47" t="n">
        <f aca="false">IFERROR(IF((F19+IF((1-F60)&lt;=0,"N/M",F68/(1-F60)))&lt;=0,"N/M",F59/(F19+IF((1-F60)&lt;=0,"N/M",F68/(1-F60)))),"N/M")</f>
        <v>4.17492982707684</v>
      </c>
      <c r="G99" s="47" t="n">
        <f aca="false">IFERROR(IF((G19+IF((1-G60)&lt;=0,"N/M",G68/(1-G60)))&lt;=0,"N/M",G59/(G19+IF((1-G60)&lt;=0,"N/M",G68/(1-G60)))),"N/M")</f>
        <v>1.15217312967267</v>
      </c>
      <c r="H99" s="47" t="n">
        <f aca="false">IFERROR(IF((H19+IF((1-H60)&lt;=0,"N/M",H68/(1-H60)))&lt;=0,"N/M",H59/(H19+IF((1-H60)&lt;=0,"N/M",H68/(1-H60)))),"N/M")</f>
        <v>7.82038611708482</v>
      </c>
      <c r="I99" s="47" t="n">
        <f aca="false">IFERROR(IF((I19+IF((1-I60)&lt;=0,"N/M",I68/(1-I60)))&lt;=0,"N/M",I59/(I19+IF((1-I60)&lt;=0,"N/M",I68/(1-I60)))),"N/M")</f>
        <v>2.35441495362575</v>
      </c>
      <c r="J99" s="47" t="n">
        <f aca="false">IFERROR(IF((J19+IF((1-J60)&lt;=0,"N/M",J68/(1-J60)))&lt;=0,"N/M",J59/(J19+IF((1-J60)&lt;=0,"N/M",J68/(1-J60)))),"N/M")</f>
        <v>4.99688930926197</v>
      </c>
      <c r="K99" s="22" t="n">
        <f aca="false">IFERROR(AVERAGE(D99:J99),"N/M")</f>
        <v>3.68614267611815</v>
      </c>
      <c r="L99" s="82" t="n">
        <f aca="false">IFERROR(J99-D99,"N/M")</f>
        <v>3.37882658927516</v>
      </c>
      <c r="M99" s="83" t="n">
        <f aca="false">IFERROR(SLOPE(D99:J99,$D$3:$J$3),"N/M")</f>
        <v>0.476506311979228</v>
      </c>
    </row>
    <row r="100" customFormat="false" ht="15" hidden="false" customHeight="false" outlineLevel="0" collapsed="false">
      <c r="A100" s="18" t="s">
        <v>544</v>
      </c>
      <c r="B100" s="19" t="s">
        <v>545</v>
      </c>
      <c r="D100" s="47" t="n">
        <f aca="false">IFERROR(IF((D19+IF((1-D60)&lt;=0,"N/M",D68/(1-D60)))&lt;=0,"N/M",(D41+D21)/(D19+IF((1-D60)&lt;=0,"N/M",D68/(1-D60)))),"N/M")</f>
        <v>3.55630675061965</v>
      </c>
      <c r="E100" s="47" t="str">
        <f aca="false">IFERROR(IF((E19+IF((1-E60)&lt;=0,"N/M",E68/(1-E60)))&lt;=0,"N/M",(E41+E21)/(E19+IF((1-E60)&lt;=0,"N/M",E68/(1-E60)))),"N/M")</f>
        <v>N/M</v>
      </c>
      <c r="F100" s="47" t="n">
        <f aca="false">IFERROR(IF((F19+IF((1-F60)&lt;=0,"N/M",F68/(1-F60)))&lt;=0,"N/M",(F41+F21)/(F19+IF((1-F60)&lt;=0,"N/M",F68/(1-F60)))),"N/M")</f>
        <v>3.68957912935199</v>
      </c>
      <c r="G100" s="47" t="n">
        <f aca="false">IFERROR(IF((G19+IF((1-G60)&lt;=0,"N/M",G68/(1-G60)))&lt;=0,"N/M",(G41+G21)/(G19+IF((1-G60)&lt;=0,"N/M",G68/(1-G60)))),"N/M")</f>
        <v>1.27755234498477</v>
      </c>
      <c r="H100" s="47" t="n">
        <f aca="false">IFERROR(IF((H19+IF((1-H60)&lt;=0,"N/M",H68/(1-H60)))&lt;=0,"N/M",(H41+H21)/(H19+IF((1-H60)&lt;=0,"N/M",H68/(1-H60)))),"N/M")</f>
        <v>5.18036642129631</v>
      </c>
      <c r="I100" s="47" t="n">
        <f aca="false">IFERROR(IF((I19+IF((1-I60)&lt;=0,"N/M",I68/(1-I60)))&lt;=0,"N/M",(I41+I21)/(I19+IF((1-I60)&lt;=0,"N/M",I68/(1-I60)))),"N/M")</f>
        <v>2.04471909325126</v>
      </c>
      <c r="J100" s="47" t="n">
        <f aca="false">IFERROR(IF((J19+IF((1-J60)&lt;=0,"N/M",J68/(1-J60)))&lt;=0,"N/M",(J41+J21)/(J19+IF((1-J60)&lt;=0,"N/M",J68/(1-J60)))),"N/M")</f>
        <v>4.02237166497444</v>
      </c>
      <c r="K100" s="22" t="n">
        <f aca="false">IFERROR(AVERAGE(D100:J100),"N/M")</f>
        <v>3.29514923407974</v>
      </c>
      <c r="L100" s="82" t="n">
        <f aca="false">IFERROR(J100-D100,"N/M")</f>
        <v>0.466064914354789</v>
      </c>
      <c r="M100" s="83" t="n">
        <f aca="false">IFERROR(SLOPE(D100:J100,$D$3:$J$3),"N/M")</f>
        <v>0.0166337894293601</v>
      </c>
    </row>
    <row r="101" customFormat="false" ht="15" hidden="false" customHeight="false" outlineLevel="0" collapsed="false">
      <c r="A101" s="18" t="s">
        <v>546</v>
      </c>
      <c r="B101" s="19" t="s">
        <v>547</v>
      </c>
      <c r="D101" s="47" t="n">
        <f aca="false">IFERROR(IF(D67&lt;=0,"N/M",D41/D67),"N/M")</f>
        <v>1.26875089306168</v>
      </c>
      <c r="E101" s="47" t="n">
        <f aca="false">IFERROR(IF(E67&lt;=0,"N/M",E41/E67),"N/M")</f>
        <v>1.57709155688396</v>
      </c>
      <c r="F101" s="47" t="n">
        <f aca="false">IFERROR(IF(F67&lt;=0,"N/M",F41/F67),"N/M")</f>
        <v>2.13960234104755</v>
      </c>
      <c r="G101" s="47" t="n">
        <f aca="false">IFERROR(IF(G67&lt;=0,"N/M",G41/G67),"N/M")</f>
        <v>10.7503475619175</v>
      </c>
      <c r="H101" s="47" t="n">
        <f aca="false">IFERROR(IF(H67&lt;=0,"N/M",H41/H67),"N/M")</f>
        <v>0.828013454900643</v>
      </c>
      <c r="I101" s="47" t="n">
        <f aca="false">IFERROR(IF(I67&lt;=0,"N/M",I41/I67),"N/M")</f>
        <v>6.99487367264738</v>
      </c>
      <c r="J101" s="47" t="n">
        <f aca="false">IFERROR(IF(J67&lt;=0,"N/M",J41/J67),"N/M")</f>
        <v>1.0893440644913</v>
      </c>
      <c r="K101" s="22" t="n">
        <f aca="false">IFERROR(AVERAGE(D101:J101),"N/M")</f>
        <v>3.52114622070715</v>
      </c>
      <c r="L101" s="82" t="n">
        <f aca="false">IFERROR(J101-D101,"N/M")</f>
        <v>-0.179406828570374</v>
      </c>
      <c r="M101" s="83" t="n">
        <f aca="false">IFERROR(SLOPE(D101:J101,$D$3:$J$3),"N/M")</f>
        <v>0.320919816416743</v>
      </c>
    </row>
    <row r="102" customFormat="false" ht="15" hidden="false" customHeight="false" outlineLevel="0" collapsed="false">
      <c r="A102" s="18" t="s">
        <v>129</v>
      </c>
      <c r="B102" s="19" t="s">
        <v>548</v>
      </c>
      <c r="D102" s="47" t="n">
        <f aca="false">IFERROR(IF((D19+D68)&lt;=0,"N/M",((D22+D19)+D18)/(D19+D68)),"N/M")</f>
        <v>1.83219099840073</v>
      </c>
      <c r="E102" s="47" t="n">
        <f aca="false">IFERROR(IF((E19+E68)&lt;=0,"N/M",((E22+E19)+E18)/(E19+E68)),"N/M")</f>
        <v>2.76397924237666</v>
      </c>
      <c r="F102" s="47" t="n">
        <f aca="false">IFERROR(IF((F19+F68)&lt;=0,"N/M",((F22+F19)+F18)/(F19+F68)),"N/M")</f>
        <v>4.25395291030864</v>
      </c>
      <c r="G102" s="47" t="n">
        <f aca="false">IFERROR(IF((G19+G68)&lt;=0,"N/M",((G22+G19)+G18)/(G19+G68)),"N/M")</f>
        <v>1.32742100046113</v>
      </c>
      <c r="H102" s="47" t="n">
        <f aca="false">IFERROR(IF((H19+H68)&lt;=0,"N/M",((H22+H19)+H18)/(H19+H68)),"N/M")</f>
        <v>7.41030517852511</v>
      </c>
      <c r="I102" s="47" t="n">
        <f aca="false">IFERROR(IF((I19+I68)&lt;=0,"N/M",((I22+I19)+I18)/(I19+I68)),"N/M")</f>
        <v>2.49374060162008</v>
      </c>
      <c r="J102" s="47" t="n">
        <f aca="false">IFERROR(IF((J19+J68)&lt;=0,"N/M",((J22+J19)+J18)/(J19+J68)),"N/M")</f>
        <v>5.01933338034459</v>
      </c>
      <c r="K102" s="22" t="n">
        <f aca="false">IFERROR(AVERAGE(D102:J102),"N/M")</f>
        <v>3.58584618743385</v>
      </c>
      <c r="L102" s="82" t="n">
        <f aca="false">IFERROR(J102-D102,"N/M")</f>
        <v>3.18714238194386</v>
      </c>
      <c r="M102" s="83" t="n">
        <f aca="false">IFERROR(SLOPE(D102:J102,$D$3:$J$3),"N/M")</f>
        <v>0.434903647590532</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n">
        <f aca="false">IFERROR(IF(((D37+C37)/2)&lt;=0,"N/M",D52/((D37+C37)/2)),"N/M")</f>
        <v>218.968632819475</v>
      </c>
      <c r="E105" s="47" t="n">
        <f aca="false">IFERROR(IF(((E37+D37)/2)&lt;=0,"N/M",E52/((E37+D37)/2)),"N/M")</f>
        <v>222.450503262913</v>
      </c>
      <c r="F105" s="47" t="n">
        <f aca="false">IFERROR(IF(((F37+E37)/2)&lt;=0,"N/M",F52/((F37+E37)/2)),"N/M")</f>
        <v>319.081670822943</v>
      </c>
      <c r="G105" s="47" t="n">
        <f aca="false">IFERROR(IF(((G37+F37)/2)&lt;=0,"N/M",G52/((G37+F37)/2)),"N/M")</f>
        <v>340.415456348143</v>
      </c>
      <c r="H105" s="47" t="n">
        <f aca="false">IFERROR(IF(((H37+G37)/2)&lt;=0,"N/M",H52/((H37+G37)/2)),"N/M")</f>
        <v>273.13534604692</v>
      </c>
      <c r="I105" s="47" t="n">
        <f aca="false">IFERROR(IF(((I37+H37)/2)&lt;=0,"N/M",I52/((I37+H37)/2)),"N/M")</f>
        <v>187.026735624123</v>
      </c>
      <c r="J105" s="47" t="n">
        <f aca="false">IFERROR(IF(((J37+I37)/2)&lt;=0,"N/M",J52/((J37+I37)/2)),"N/M")</f>
        <v>196.986121819584</v>
      </c>
      <c r="K105" s="22" t="n">
        <f aca="false">IFERROR(AVERAGE(D105:J105),"N/M")</f>
        <v>251.152066677729</v>
      </c>
      <c r="L105" s="82" t="n">
        <f aca="false">IFERROR(J105-D105,"N/M")</f>
        <v>-21.9825109998914</v>
      </c>
      <c r="M105" s="83" t="n">
        <f aca="false">IFERROR(SLOPE(D105:J105,$D$3:$J$3),"N/M")</f>
        <v>-6.52647832333131</v>
      </c>
    </row>
    <row r="106" customFormat="false" ht="15" hidden="false" customHeight="false" outlineLevel="0" collapsed="false">
      <c r="A106" s="18" t="s">
        <v>552</v>
      </c>
      <c r="B106" s="19" t="s">
        <v>553</v>
      </c>
      <c r="D106" s="48" t="n">
        <f aca="false">IFERROR(IF(D105&lt;=0,"N/M",365/D105),"N/M")</f>
        <v>1.66690541608724</v>
      </c>
      <c r="E106" s="48" t="n">
        <f aca="false">IFERROR(IF(E105&lt;=0,"N/M",365/E105),"N/M")</f>
        <v>1.64081444926473</v>
      </c>
      <c r="F106" s="48" t="n">
        <f aca="false">IFERROR(IF(F105&lt;=0,"N/M",365/F105),"N/M")</f>
        <v>1.14390776210564</v>
      </c>
      <c r="G106" s="48" t="n">
        <f aca="false">IFERROR(IF(G105&lt;=0,"N/M",365/G105),"N/M")</f>
        <v>1.07221923444837</v>
      </c>
      <c r="H106" s="48" t="n">
        <f aca="false">IFERROR(IF(H105&lt;=0,"N/M",365/H105),"N/M")</f>
        <v>1.33633381868233</v>
      </c>
      <c r="I106" s="48" t="n">
        <f aca="false">IFERROR(IF(I105&lt;=0,"N/M",365/I105),"N/M")</f>
        <v>1.95159263611144</v>
      </c>
      <c r="J106" s="48" t="n">
        <f aca="false">IFERROR(IF(J105&lt;=0,"N/M",365/J105),"N/M")</f>
        <v>1.85292241213976</v>
      </c>
      <c r="K106" s="28" t="n">
        <f aca="false">IFERROR(AVERAGE(D106:J106),"N/M")</f>
        <v>1.52352796126279</v>
      </c>
      <c r="L106" s="84" t="n">
        <f aca="false">IFERROR(J106-D106,"N/M")</f>
        <v>0.186016996052527</v>
      </c>
      <c r="M106" s="85" t="n">
        <f aca="false">IFERROR(SLOPE(D106:J106,$D$3:$J$3),"N/M")</f>
        <v>0.0490011935152744</v>
      </c>
    </row>
    <row r="107" customFormat="false" ht="15" hidden="false" customHeight="false" outlineLevel="0" collapsed="false">
      <c r="A107" s="18" t="s">
        <v>554</v>
      </c>
      <c r="B107" s="19" t="s">
        <v>555</v>
      </c>
      <c r="D107" s="47" t="n">
        <f aca="false">IFERROR(IF(((D36+C36)/2)&lt;=0,"N/M",D9/((D36+C36)/2)),"N/M")</f>
        <v>7.67601352888538</v>
      </c>
      <c r="E107" s="47" t="n">
        <f aca="false">IFERROR(IF(((E36+D36)/2)&lt;=0,"N/M",E9/((E36+D36)/2)),"N/M")</f>
        <v>7.27323697374537</v>
      </c>
      <c r="F107" s="47" t="n">
        <f aca="false">IFERROR(IF(((F36+E36)/2)&lt;=0,"N/M",F9/((F36+E36)/2)),"N/M")</f>
        <v>8.53682999935461</v>
      </c>
      <c r="G107" s="47" t="n">
        <f aca="false">IFERROR(IF(((G36+F36)/2)&lt;=0,"N/M",G9/((G36+F36)/2)),"N/M")</f>
        <v>8.77142021965173</v>
      </c>
      <c r="H107" s="47" t="n">
        <f aca="false">IFERROR(IF(((H36+G36)/2)&lt;=0,"N/M",H9/((H36+G36)/2)),"N/M")</f>
        <v>8.17054049148162</v>
      </c>
      <c r="I107" s="47" t="n">
        <f aca="false">IFERROR(IF(((I36+H36)/2)&lt;=0,"N/M",I9/((I36+H36)/2)),"N/M")</f>
        <v>7.0866708565646</v>
      </c>
      <c r="J107" s="47" t="n">
        <f aca="false">IFERROR(IF(((J36+I36)/2)&lt;=0,"N/M",J9/((J36+I36)/2)),"N/M")</f>
        <v>8.74970507412774</v>
      </c>
      <c r="K107" s="22" t="n">
        <f aca="false">IFERROR(AVERAGE(D107:J107),"N/M")</f>
        <v>8.0377738776873</v>
      </c>
      <c r="L107" s="82" t="n">
        <f aca="false">IFERROR(J107-D107,"N/M")</f>
        <v>1.07369154524236</v>
      </c>
      <c r="M107" s="83" t="n">
        <f aca="false">IFERROR(SLOPE(D107:J107,$D$3:$J$3),"N/M")</f>
        <v>0.0886304604818768</v>
      </c>
    </row>
    <row r="108" customFormat="false" ht="15" hidden="false" customHeight="false" outlineLevel="0" collapsed="false">
      <c r="A108" s="18" t="s">
        <v>130</v>
      </c>
      <c r="B108" s="19" t="s">
        <v>556</v>
      </c>
      <c r="D108" s="48" t="n">
        <f aca="false">IFERROR(IF(D107&lt;=0,"N/M",365/D107),"N/M")</f>
        <v>47.5507239045996</v>
      </c>
      <c r="E108" s="48" t="n">
        <f aca="false">IFERROR(IF(E107&lt;=0,"N/M",365/E107),"N/M")</f>
        <v>50.1839829112625</v>
      </c>
      <c r="F108" s="48" t="n">
        <f aca="false">IFERROR(IF(F107&lt;=0,"N/M",365/F107),"N/M")</f>
        <v>42.7559175979367</v>
      </c>
      <c r="G108" s="48" t="n">
        <f aca="false">IFERROR(IF(G107&lt;=0,"N/M",365/G107),"N/M")</f>
        <v>41.6124174717161</v>
      </c>
      <c r="H108" s="48" t="n">
        <f aca="false">IFERROR(IF(H107&lt;=0,"N/M",365/H107),"N/M")</f>
        <v>44.6726872451754</v>
      </c>
      <c r="I108" s="48" t="n">
        <f aca="false">IFERROR(IF(I107&lt;=0,"N/M",365/I107),"N/M")</f>
        <v>51.505143584013</v>
      </c>
      <c r="J108" s="48" t="n">
        <f aca="false">IFERROR(IF(J107&lt;=0,"N/M",365/J107),"N/M")</f>
        <v>41.7156917756324</v>
      </c>
      <c r="K108" s="28" t="n">
        <f aca="false">IFERROR(AVERAGE(D108:J108),"N/M")</f>
        <v>45.7137949271908</v>
      </c>
      <c r="L108" s="84" t="n">
        <f aca="false">IFERROR(J108-D108,"N/M")</f>
        <v>-5.83503212896715</v>
      </c>
      <c r="M108" s="85" t="n">
        <f aca="false">IFERROR(SLOPE(D108:J108,$D$3:$J$3),"N/M")</f>
        <v>-0.462357335505779</v>
      </c>
    </row>
    <row r="109" customFormat="false" ht="15" hidden="false" customHeight="false" outlineLevel="0" collapsed="false">
      <c r="A109" s="18" t="s">
        <v>557</v>
      </c>
      <c r="B109" s="19" t="s">
        <v>558</v>
      </c>
      <c r="D109" s="47" t="n">
        <f aca="false">IFERROR(IF(((D29+C29)/2)&lt;=0,"N/M",D52/((D29+C29)/2)),"N/M")</f>
        <v>3.00291729858478</v>
      </c>
      <c r="E109" s="47" t="n">
        <f aca="false">IFERROR(IF(((E29+D29)/2)&lt;=0,"N/M",E52/((E29+D29)/2)),"N/M")</f>
        <v>2.78645438253401</v>
      </c>
      <c r="F109" s="47" t="n">
        <f aca="false">IFERROR(IF(((F29+E29)/2)&lt;=0,"N/M",F52/((F29+E29)/2)),"N/M")</f>
        <v>3.76965035952236</v>
      </c>
      <c r="G109" s="47" t="n">
        <f aca="false">IFERROR(IF(((G29+F29)/2)&lt;=0,"N/M",G52/((G29+F29)/2)),"N/M")</f>
        <v>3.93809713351115</v>
      </c>
      <c r="H109" s="47" t="n">
        <f aca="false">IFERROR(IF(((H29+G29)/2)&lt;=0,"N/M",H52/((H29+G29)/2)),"N/M")</f>
        <v>3.8760662463974</v>
      </c>
      <c r="I109" s="47" t="n">
        <f aca="false">IFERROR(IF(((I29+H29)/2)&lt;=0,"N/M",I52/((I29+H29)/2)),"N/M")</f>
        <v>3.57614729643659</v>
      </c>
      <c r="J109" s="47" t="n">
        <f aca="false">IFERROR(IF(((J29+I29)/2)&lt;=0,"N/M",J52/((J29+I29)/2)),"N/M")</f>
        <v>4.51222582528368</v>
      </c>
      <c r="K109" s="22" t="n">
        <f aca="false">IFERROR(AVERAGE(D109:J109),"N/M")</f>
        <v>3.63736550603857</v>
      </c>
      <c r="L109" s="82" t="n">
        <f aca="false">IFERROR(J109-D109,"N/M")</f>
        <v>1.5093085266989</v>
      </c>
      <c r="M109" s="83" t="n">
        <f aca="false">IFERROR(SLOPE(D109:J109,$D$3:$J$3),"N/M")</f>
        <v>0.221918831956318</v>
      </c>
    </row>
    <row r="110" customFormat="false" ht="15" hidden="false" customHeight="false" outlineLevel="0" collapsed="false">
      <c r="A110" s="18" t="s">
        <v>559</v>
      </c>
      <c r="B110" s="19" t="s">
        <v>560</v>
      </c>
      <c r="D110" s="48" t="n">
        <f aca="false">IFERROR(IF(D109&lt;=0,"N/M",365/D109),"N/M")</f>
        <v>121.548468941192</v>
      </c>
      <c r="E110" s="48" t="n">
        <f aca="false">IFERROR(IF(E109&lt;=0,"N/M",365/E109),"N/M")</f>
        <v>130.990839931881</v>
      </c>
      <c r="F110" s="48" t="n">
        <f aca="false">IFERROR(IF(F109&lt;=0,"N/M",365/F109),"N/M")</f>
        <v>96.8259560407211</v>
      </c>
      <c r="G110" s="48" t="n">
        <f aca="false">IFERROR(IF(G109&lt;=0,"N/M",365/G109),"N/M")</f>
        <v>92.6843568417957</v>
      </c>
      <c r="H110" s="48" t="n">
        <f aca="false">IFERROR(IF(H109&lt;=0,"N/M",365/H109),"N/M")</f>
        <v>94.1676371860901</v>
      </c>
      <c r="I110" s="48" t="n">
        <f aca="false">IFERROR(IF(I109&lt;=0,"N/M",365/I109),"N/M")</f>
        <v>102.06514713857</v>
      </c>
      <c r="J110" s="48" t="n">
        <f aca="false">IFERROR(IF(J109&lt;=0,"N/M",365/J109),"N/M")</f>
        <v>80.8913414649527</v>
      </c>
      <c r="K110" s="28" t="n">
        <f aca="false">IFERROR(AVERAGE(D110:J110),"N/M")</f>
        <v>102.739106792172</v>
      </c>
      <c r="L110" s="84" t="n">
        <f aca="false">IFERROR(J110-D110,"N/M")</f>
        <v>-40.6571274762394</v>
      </c>
      <c r="M110" s="85" t="n">
        <f aca="false">IFERROR(SLOPE(D110:J110,$D$3:$J$3),"N/M")</f>
        <v>-6.51718167392752</v>
      </c>
    </row>
    <row r="111" customFormat="false" ht="15" hidden="false" customHeight="false" outlineLevel="0" collapsed="false">
      <c r="A111" s="18" t="s">
        <v>561</v>
      </c>
      <c r="B111" s="19" t="s">
        <v>562</v>
      </c>
      <c r="D111" s="48" t="n">
        <f aca="false">IFERROR(((IF(ISNUMBER(D106),D106,0)+D108)-D110),"N/M")</f>
        <v>-72.3308396205053</v>
      </c>
      <c r="E111" s="48" t="n">
        <f aca="false">IFERROR(((IF(ISNUMBER(E106),E106,0)+E108)-E110),"N/M")</f>
        <v>-79.1660425713534</v>
      </c>
      <c r="F111" s="48" t="n">
        <f aca="false">IFERROR(((IF(ISNUMBER(F106),F106,0)+F108)-F110),"N/M")</f>
        <v>-52.9261306806787</v>
      </c>
      <c r="G111" s="48" t="n">
        <f aca="false">IFERROR(((IF(ISNUMBER(G106),G106,0)+G108)-G110),"N/M")</f>
        <v>-49.9997201356312</v>
      </c>
      <c r="H111" s="48" t="n">
        <f aca="false">IFERROR(((IF(ISNUMBER(H106),H106,0)+H108)-H110),"N/M")</f>
        <v>-48.1586161222324</v>
      </c>
      <c r="I111" s="48" t="n">
        <f aca="false">IFERROR(((IF(ISNUMBER(I106),I106,0)+I108)-I110),"N/M")</f>
        <v>-48.6084109184455</v>
      </c>
      <c r="J111" s="48" t="n">
        <f aca="false">IFERROR(((IF(ISNUMBER(J106),J106,0)+J108)-J110),"N/M")</f>
        <v>-37.3227272771805</v>
      </c>
      <c r="K111" s="28" t="n">
        <f aca="false">IFERROR(AVERAGE(D111:J111),"N/M")</f>
        <v>-55.5017839037181</v>
      </c>
      <c r="L111" s="84" t="n">
        <f aca="false">IFERROR(J111-D111,"N/M")</f>
        <v>35.0081123433248</v>
      </c>
      <c r="M111" s="85" t="n">
        <f aca="false">IFERROR(SLOPE(D111:J111,$D$3:$J$3),"N/M")</f>
        <v>6.10382553193702</v>
      </c>
    </row>
    <row r="112" customFormat="false" ht="15" hidden="false" customHeight="false" outlineLevel="0" collapsed="false">
      <c r="A112" s="18" t="s">
        <v>132</v>
      </c>
      <c r="B112" s="19" t="s">
        <v>563</v>
      </c>
      <c r="D112" s="47" t="n">
        <f aca="false">IFERROR(IF(((D31+C31)/2)&lt;=0,"N/M",D9/((D31+C31)/2)),"N/M")</f>
        <v>2.57541405636571</v>
      </c>
      <c r="E112" s="47" t="n">
        <f aca="false">IFERROR(IF(((E31+D31)/2)&lt;=0,"N/M",E9/((E31+D31)/2)),"N/M")</f>
        <v>2.3449611234815</v>
      </c>
      <c r="F112" s="47" t="n">
        <f aca="false">IFERROR(IF(((F31+E31)/2)&lt;=0,"N/M",F9/((F31+E31)/2)),"N/M")</f>
        <v>3.18120044362455</v>
      </c>
      <c r="G112" s="47" t="n">
        <f aca="false">IFERROR(IF(((G31+F31)/2)&lt;=0,"N/M",G9/((G31+F31)/2)),"N/M")</f>
        <v>3.44869583634682</v>
      </c>
      <c r="H112" s="47" t="n">
        <f aca="false">IFERROR(IF(((H31+G31)/2)&lt;=0,"N/M",H9/((H31+G31)/2)),"N/M")</f>
        <v>3.07725839025996</v>
      </c>
      <c r="I112" s="47" t="n">
        <f aca="false">IFERROR(IF(((I31+H31)/2)&lt;=0,"N/M",I9/((I31+H31)/2)),"N/M")</f>
        <v>2.33223196009091</v>
      </c>
      <c r="J112" s="47" t="n">
        <f aca="false">IFERROR(IF(((J31+I31)/2)&lt;=0,"N/M",J9/((J31+I31)/2)),"N/M")</f>
        <v>2.52033554446376</v>
      </c>
      <c r="K112" s="22" t="n">
        <f aca="false">IFERROR(AVERAGE(D112:J112),"N/M")</f>
        <v>2.78287105066189</v>
      </c>
      <c r="L112" s="82" t="n">
        <f aca="false">IFERROR(J112-D112,"N/M")</f>
        <v>-0.0550785119019448</v>
      </c>
      <c r="M112" s="83" t="n">
        <f aca="false">IFERROR(SLOPE(D112:J112,$D$3:$J$3),"N/M")</f>
        <v>-0.0105227112804146</v>
      </c>
    </row>
    <row r="113" customFormat="false" ht="15" hidden="false" customHeight="false" outlineLevel="0" collapsed="false">
      <c r="A113" s="18" t="s">
        <v>133</v>
      </c>
      <c r="B113" s="19" t="s">
        <v>564</v>
      </c>
      <c r="D113" s="47" t="n">
        <f aca="false">IFERROR(IF(((D35+C35)/2)&lt;=0,"N/M",D9/((D35+C35)/2)),"N/M")</f>
        <v>0.998420014854898</v>
      </c>
      <c r="E113" s="47" t="n">
        <f aca="false">IFERROR(IF(((E35+D35)/2)&lt;=0,"N/M",E9/((E35+D35)/2)),"N/M")</f>
        <v>1.01701044879171</v>
      </c>
      <c r="F113" s="47" t="n">
        <f aca="false">IFERROR(IF(((F35+E35)/2)&lt;=0,"N/M",F9/((F35+E35)/2)),"N/M")</f>
        <v>1.35528683693451</v>
      </c>
      <c r="G113" s="47" t="n">
        <f aca="false">IFERROR(IF(((G35+F35)/2)&lt;=0,"N/M",G9/((G35+F35)/2)),"N/M")</f>
        <v>1.37244539926846</v>
      </c>
      <c r="H113" s="47" t="n">
        <f aca="false">IFERROR(IF(((H35+G35)/2)&lt;=0,"N/M",H9/((H35+G35)/2)),"N/M")</f>
        <v>1.24067414532106</v>
      </c>
      <c r="I113" s="47" t="n">
        <f aca="false">IFERROR(IF(((I35+H35)/2)&lt;=0,"N/M",I9/((I35+H35)/2)),"N/M")</f>
        <v>0.99819894131503</v>
      </c>
      <c r="J113" s="47" t="n">
        <f aca="false">IFERROR(IF(((J35+I35)/2)&lt;=0,"N/M",J9/((J35+I35)/2)),"N/M")</f>
        <v>1.110171846003</v>
      </c>
      <c r="K113" s="22" t="n">
        <f aca="false">IFERROR(AVERAGE(D113:J113),"N/M")</f>
        <v>1.1560296617841</v>
      </c>
      <c r="L113" s="82" t="n">
        <f aca="false">IFERROR(J113-D113,"N/M")</f>
        <v>0.111751831148102</v>
      </c>
      <c r="M113" s="83" t="n">
        <f aca="false">IFERROR(SLOPE(D113:J113,$D$3:$J$3),"N/M")</f>
        <v>0.00653642095991018</v>
      </c>
    </row>
    <row r="114" customFormat="false" ht="15" hidden="false" customHeight="false" outlineLevel="0" collapsed="false">
      <c r="A114" s="18" t="s">
        <v>565</v>
      </c>
      <c r="B114" s="19" t="s">
        <v>566</v>
      </c>
      <c r="D114" s="47" t="n">
        <f aca="false">IFERROR(IF(((D62+C62)/2)&lt;=0,"N/M",D9/((D62+C62)/2)),"N/M")</f>
        <v>1.31662837685087</v>
      </c>
      <c r="E114" s="47" t="n">
        <f aca="false">IFERROR(IF(((E62+D62)/2)&lt;=0,"N/M",E9/((E62+D62)/2)),"N/M")</f>
        <v>1.38516437868021</v>
      </c>
      <c r="F114" s="47" t="n">
        <f aca="false">IFERROR(IF(((F62+E62)/2)&lt;=0,"N/M",F9/((F62+E62)/2)),"N/M")</f>
        <v>1.86591423259888</v>
      </c>
      <c r="G114" s="47" t="n">
        <f aca="false">IFERROR(IF(((G62+F62)/2)&lt;=0,"N/M",G9/((G62+F62)/2)),"N/M")</f>
        <v>1.8633846841704</v>
      </c>
      <c r="H114" s="47" t="n">
        <f aca="false">IFERROR(IF(((H62+G62)/2)&lt;=0,"N/M",H9/((H62+G62)/2)),"N/M")</f>
        <v>1.62613247168969</v>
      </c>
      <c r="I114" s="47" t="n">
        <f aca="false">IFERROR(IF(((I62+H62)/2)&lt;=0,"N/M",I9/((I62+H62)/2)),"N/M")</f>
        <v>1.25703693321033</v>
      </c>
      <c r="J114" s="47" t="n">
        <f aca="false">IFERROR(IF(((J62+I62)/2)&lt;=0,"N/M",J9/((J62+I62)/2)),"N/M")</f>
        <v>1.35617915624317</v>
      </c>
      <c r="K114" s="22" t="n">
        <f aca="false">IFERROR(AVERAGE(D114:J114),"N/M")</f>
        <v>1.52434860477765</v>
      </c>
      <c r="L114" s="82" t="n">
        <f aca="false">IFERROR(J114-D114,"N/M")</f>
        <v>0.039550779392292</v>
      </c>
      <c r="M114" s="83" t="n">
        <f aca="false">IFERROR(SLOPE(D114:J114,$D$3:$J$3),"N/M")</f>
        <v>-0.013478011202574</v>
      </c>
    </row>
    <row r="115" customFormat="false" ht="15" hidden="false" customHeight="false" outlineLevel="0" collapsed="false">
      <c r="A115" s="18" t="s">
        <v>567</v>
      </c>
      <c r="B115" s="19" t="s">
        <v>568</v>
      </c>
      <c r="D115" s="47" t="n">
        <f aca="false">IFERROR(IF(((D63+C63)/2)&lt;=0,"N/M",D9/((D63+C63)/2)),"N/M")</f>
        <v>2.19452088057896</v>
      </c>
      <c r="E115" s="47" t="n">
        <f aca="false">IFERROR(IF(((E63+D63)/2)&lt;=0,"N/M",E9/((E63+D63)/2)),"N/M")</f>
        <v>2.39709292208026</v>
      </c>
      <c r="F115" s="47" t="n">
        <f aca="false">IFERROR(IF(((F63+E63)/2)&lt;=0,"N/M",F9/((F63+E63)/2)),"N/M")</f>
        <v>2.95390703795837</v>
      </c>
      <c r="G115" s="47" t="n">
        <f aca="false">IFERROR(IF(((G63+F63)/2)&lt;=0,"N/M",G9/((G63+F63)/2)),"N/M")</f>
        <v>2.83839050956432</v>
      </c>
      <c r="H115" s="47" t="n">
        <f aca="false">IFERROR(IF(((H63+G63)/2)&lt;=0,"N/M",H9/((H63+G63)/2)),"N/M")</f>
        <v>2.58019327742848</v>
      </c>
      <c r="I115" s="47" t="n">
        <f aca="false">IFERROR(IF(((I63+H63)/2)&lt;=0,"N/M",I9/((I63+H63)/2)),"N/M")</f>
        <v>2.18116303798614</v>
      </c>
      <c r="J115" s="47" t="n">
        <f aca="false">IFERROR(IF(((J63+I63)/2)&lt;=0,"N/M",J9/((J63+I63)/2)),"N/M")</f>
        <v>2.52039562897702</v>
      </c>
      <c r="K115" s="22" t="n">
        <f aca="false">IFERROR(AVERAGE(D115:J115),"N/M")</f>
        <v>2.52366618493908</v>
      </c>
      <c r="L115" s="82" t="n">
        <f aca="false">IFERROR(J115-D115,"N/M")</f>
        <v>0.32587474839806</v>
      </c>
      <c r="M115" s="83" t="n">
        <f aca="false">IFERROR(SLOPE(D115:J115,$D$3:$J$3),"N/M")</f>
        <v>0.00614466844557304</v>
      </c>
    </row>
    <row r="116" customFormat="false" ht="15" hidden="false" customHeight="false" outlineLevel="0" collapsed="false">
      <c r="A116" s="18" t="s">
        <v>569</v>
      </c>
      <c r="B116" s="19" t="s">
        <v>570</v>
      </c>
      <c r="D116" s="47" t="n">
        <f aca="false">IFERROR(IF(D65&lt;=0,"N/M",D9/D65),"N/M")</f>
        <v>6.66062944664812</v>
      </c>
      <c r="E116" s="47" t="n">
        <f aca="false">IFERROR(IF(E65&lt;=0,"N/M",E9/E65),"N/M")</f>
        <v>5.74363053682133</v>
      </c>
      <c r="F116" s="47" t="n">
        <f aca="false">IFERROR(IF(F65&lt;=0,"N/M",F9/F65),"N/M")</f>
        <v>6.49184730574092</v>
      </c>
      <c r="G116" s="47" t="n">
        <f aca="false">IFERROR(IF(G65&lt;=0,"N/M",G9/G65),"N/M")</f>
        <v>5.78845666288209</v>
      </c>
      <c r="H116" s="47" t="n">
        <f aca="false">IFERROR(IF(H65&lt;=0,"N/M",H9/H65),"N/M")</f>
        <v>4.97325565948021</v>
      </c>
      <c r="I116" s="47" t="n">
        <f aca="false">IFERROR(IF(I65&lt;=0,"N/M",I9/I65),"N/M")</f>
        <v>4.14060846920646</v>
      </c>
      <c r="J116" s="47" t="n">
        <f aca="false">IFERROR(IF(J65&lt;=0,"N/M",J9/J65),"N/M")</f>
        <v>4.11916522924366</v>
      </c>
      <c r="K116" s="22" t="n">
        <f aca="false">IFERROR(AVERAGE(D116:J116),"N/M")</f>
        <v>5.41679904428897</v>
      </c>
      <c r="L116" s="82" t="n">
        <f aca="false">IFERROR(J116-D116,"N/M")</f>
        <v>-2.54146421740446</v>
      </c>
      <c r="M116" s="83" t="n">
        <f aca="false">IFERROR(SLOPE(D116:J116,$D$3:$J$3),"N/M")</f>
        <v>-0.441036729775136</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0.273093637535156</v>
      </c>
      <c r="E119" s="46" t="n">
        <f aca="false">IFERROR(IF(E9&lt;=0,"N/M",E55/E9),"N/M")</f>
        <v>0.271793336203422</v>
      </c>
      <c r="F119" s="46" t="n">
        <f aca="false">IFERROR(IF(F9&lt;=0,"N/M",F55/F9),"N/M")</f>
        <v>0.238828911117363</v>
      </c>
      <c r="G119" s="46" t="n">
        <f aca="false">IFERROR(IF(G9&lt;=0,"N/M",G55/G9),"N/M")</f>
        <v>0.244009022648027</v>
      </c>
      <c r="H119" s="46" t="n">
        <f aca="false">IFERROR(IF(H9&lt;=0,"N/M",H55/H9),"N/M")</f>
        <v>0.259449007572536</v>
      </c>
      <c r="I119" s="46" t="n">
        <f aca="false">IFERROR(IF(I9&lt;=0,"N/M",I55/I9),"N/M")</f>
        <v>0.262302558152078</v>
      </c>
      <c r="J119" s="46" t="n">
        <f aca="false">IFERROR(IF(J9&lt;=0,"N/M",J55/J9),"N/M")</f>
        <v>0.262721507967986</v>
      </c>
      <c r="K119" s="25" t="n">
        <f aca="false">IFERROR(AVERAGE(D119:J119),"N/M")</f>
        <v>0.258885425885224</v>
      </c>
      <c r="L119" s="86" t="n">
        <f aca="false">IFERROR(J119-D119,"N/M")</f>
        <v>-0.0103721295671696</v>
      </c>
      <c r="M119" s="87" t="n">
        <f aca="false">IFERROR(SLOPE(D119:J119,$D$3:$J$3),"N/M")</f>
        <v>-0.00105278029817944</v>
      </c>
    </row>
    <row r="120" customFormat="false" ht="15" hidden="false" customHeight="false" outlineLevel="0" collapsed="false">
      <c r="A120" s="18" t="s">
        <v>573</v>
      </c>
      <c r="B120" s="19" t="s">
        <v>574</v>
      </c>
      <c r="D120" s="46" t="n">
        <f aca="false">IFERROR(IF(D57&lt;=0,"N/M",D59/D57),"N/M")</f>
        <v>0.106516692500729</v>
      </c>
      <c r="E120" s="46" t="n">
        <f aca="false">IFERROR(IF(E57&lt;=0,"N/M",E59/E57),"N/M")</f>
        <v>0.0769882726081687</v>
      </c>
      <c r="F120" s="46" t="n">
        <f aca="false">IFERROR(IF(F57&lt;=0,"N/M",F59/F57),"N/M")</f>
        <v>0.125997437566085</v>
      </c>
      <c r="G120" s="46" t="n">
        <f aca="false">IFERROR(IF(G57&lt;=0,"N/M",G59/G57),"N/M")</f>
        <v>0.108166145250328</v>
      </c>
      <c r="H120" s="46" t="n">
        <f aca="false">IFERROR(IF(H57&lt;=0,"N/M",H59/H57),"N/M")</f>
        <v>0.126104816372768</v>
      </c>
      <c r="I120" s="46" t="n">
        <f aca="false">IFERROR(IF(I57&lt;=0,"N/M",I59/I57),"N/M")</f>
        <v>0.154674812708553</v>
      </c>
      <c r="J120" s="46" t="n">
        <f aca="false">IFERROR(IF(J57&lt;=0,"N/M",J59/J57),"N/M")</f>
        <v>0.152238023728936</v>
      </c>
      <c r="K120" s="25" t="n">
        <f aca="false">IFERROR(AVERAGE(D120:J120),"N/M")</f>
        <v>0.121526600105081</v>
      </c>
      <c r="L120" s="86" t="n">
        <f aca="false">IFERROR(J120-D120,"N/M")</f>
        <v>0.0457213312282067</v>
      </c>
      <c r="M120" s="87" t="n">
        <f aca="false">IFERROR(SLOPE(D120:J120,$D$3:$J$3),"N/M")</f>
        <v>0.0104515875961455</v>
      </c>
    </row>
    <row r="121" customFormat="false" ht="15" hidden="false" customHeight="false" outlineLevel="0" collapsed="false">
      <c r="A121" s="18" t="s">
        <v>136</v>
      </c>
      <c r="B121" s="19" t="s">
        <v>575</v>
      </c>
      <c r="D121" s="46" t="n">
        <f aca="false">IFERROR(IF(D9&lt;=0,"N/M",D56/D9),"N/M")</f>
        <v>0.12118768012652</v>
      </c>
      <c r="E121" s="46" t="n">
        <f aca="false">IFERROR(IF(E9&lt;=0,"N/M",E56/E9),"N/M")</f>
        <v>0.100554018927381</v>
      </c>
      <c r="F121" s="46" t="n">
        <f aca="false">IFERROR(IF(F9&lt;=0,"N/M",F56/F9),"N/M")</f>
        <v>0.115496490773641</v>
      </c>
      <c r="G121" s="46" t="n">
        <f aca="false">IFERROR(IF(G9&lt;=0,"N/M",G56/G9),"N/M")</f>
        <v>0.112425565058091</v>
      </c>
      <c r="H121" s="46" t="n">
        <f aca="false">IFERROR(IF(H9&lt;=0,"N/M",H56/H9),"N/M")</f>
        <v>0.105544994065112</v>
      </c>
      <c r="I121" s="46" t="n">
        <f aca="false">IFERROR(IF(I9&lt;=0,"N/M",I56/I9),"N/M")</f>
        <v>0.132776833489844</v>
      </c>
      <c r="J121" s="46" t="n">
        <f aca="false">IFERROR(IF(J9&lt;=0,"N/M",J56/J9),"N/M")</f>
        <v>0.133859477047691</v>
      </c>
      <c r="K121" s="25" t="n">
        <f aca="false">IFERROR(AVERAGE(D121:J121),"N/M")</f>
        <v>0.117406437069754</v>
      </c>
      <c r="L121" s="86" t="n">
        <f aca="false">IFERROR(J121-D121,"N/M")</f>
        <v>0.0126717969211714</v>
      </c>
      <c r="M121" s="87" t="n">
        <f aca="false">IFERROR(SLOPE(D121:J121,$D$3:$J$3),"N/M")</f>
        <v>0.00330391154213969</v>
      </c>
    </row>
    <row r="122" customFormat="false" ht="15" hidden="false" customHeight="false" outlineLevel="0" collapsed="false">
      <c r="A122" s="18" t="s">
        <v>576</v>
      </c>
      <c r="B122" s="19" t="s">
        <v>577</v>
      </c>
      <c r="D122" s="46" t="n">
        <f aca="false">IFERROR(IF(D9&lt;=0,"N/M",D58/D9),"N/M")</f>
        <v>0.0504688179827569</v>
      </c>
      <c r="E122" s="46" t="n">
        <f aca="false">IFERROR(IF(E9&lt;=0,"N/M",E58/E9),"N/M")</f>
        <v>0.0185240234787291</v>
      </c>
      <c r="F122" s="46" t="n">
        <f aca="false">IFERROR(IF(F9&lt;=0,"N/M",F58/F9),"N/M")</f>
        <v>0.0895796488418871</v>
      </c>
      <c r="G122" s="46" t="n">
        <f aca="false">IFERROR(IF(G9&lt;=0,"N/M",G58/G9),"N/M")</f>
        <v>0.0690407295052778</v>
      </c>
      <c r="H122" s="46" t="n">
        <f aca="false">IFERROR(IF(H9&lt;=0,"N/M",H58/H9),"N/M")</f>
        <v>0.080210640904388</v>
      </c>
      <c r="I122" s="46" t="n">
        <f aca="false">IFERROR(IF(I9&lt;=0,"N/M",I58/I9),"N/M")</f>
        <v>0.101963388981013</v>
      </c>
      <c r="J122" s="46" t="n">
        <f aca="false">IFERROR(IF(J9&lt;=0,"N/M",J58/J9),"N/M")</f>
        <v>0.0974428248364031</v>
      </c>
      <c r="K122" s="25" t="n">
        <f aca="false">IFERROR(AVERAGE(D122:J122),"N/M")</f>
        <v>0.0724614392186364</v>
      </c>
      <c r="L122" s="86" t="n">
        <f aca="false">IFERROR(J122-D122,"N/M")</f>
        <v>0.0469740068536462</v>
      </c>
      <c r="M122" s="87" t="n">
        <f aca="false">IFERROR(SLOPE(D122:J122,$D$3:$J$3),"N/M")</f>
        <v>0.0106582765581431</v>
      </c>
    </row>
    <row r="123" customFormat="false" ht="15" hidden="false" customHeight="false" outlineLevel="0" collapsed="false">
      <c r="A123" s="18" t="s">
        <v>578</v>
      </c>
      <c r="B123" s="19" t="s">
        <v>579</v>
      </c>
      <c r="D123" s="46" t="n">
        <f aca="false">IFERROR(IF(D9&lt;=0,"N/M",D20/D9),"N/M")</f>
        <v>0.0360286629628064</v>
      </c>
      <c r="E123" s="46" t="n">
        <f aca="false">IFERROR(IF(E9&lt;=0,"N/M",E20/E9),"N/M")</f>
        <v>0.00037547717645508</v>
      </c>
      <c r="F123" s="46" t="n">
        <f aca="false">IFERROR(IF(F9&lt;=0,"N/M",F20/F9),"N/M")</f>
        <v>0.0815231145421894</v>
      </c>
      <c r="G123" s="46" t="n">
        <f aca="false">IFERROR(IF(G9&lt;=0,"N/M",G20/G9),"N/M")</f>
        <v>0.0616039004195208</v>
      </c>
      <c r="H123" s="46" t="n">
        <f aca="false">IFERROR(IF(H9&lt;=0,"N/M",H20/H9),"N/M")</f>
        <v>0.0689917461687709</v>
      </c>
      <c r="I123" s="46" t="n">
        <f aca="false">IFERROR(IF(I9&lt;=0,"N/M",I20/I9),"N/M")</f>
        <v>0.0884313356687748</v>
      </c>
      <c r="J123" s="46" t="n">
        <f aca="false">IFERROR(IF(J9&lt;=0,"N/M",J20/J9),"N/M")</f>
        <v>0.0842075764566613</v>
      </c>
      <c r="K123" s="25" t="n">
        <f aca="false">IFERROR(AVERAGE(D123:J123),"N/M")</f>
        <v>0.0601659733421684</v>
      </c>
      <c r="L123" s="86" t="n">
        <f aca="false">IFERROR(J123-D123,"N/M")</f>
        <v>0.0481789134938549</v>
      </c>
      <c r="M123" s="87" t="n">
        <f aca="false">IFERROR(SLOPE(D123:J123,$D$3:$J$3),"N/M")</f>
        <v>0.0110041817533138</v>
      </c>
    </row>
    <row r="124" customFormat="false" ht="15" hidden="false" customHeight="false" outlineLevel="0" collapsed="false">
      <c r="A124" s="18" t="s">
        <v>137</v>
      </c>
      <c r="B124" s="19" t="s">
        <v>580</v>
      </c>
      <c r="D124" s="46" t="n">
        <f aca="false">IFERROR(IF(D9&lt;=0,"N/M",D22/D9),"N/M")</f>
        <v>0.0263345811699051</v>
      </c>
      <c r="E124" s="46" t="n">
        <f aca="false">IFERROR(IF(E9&lt;=0,"N/M",E22/E9),"N/M")</f>
        <v>-0.00772787789496705</v>
      </c>
      <c r="F124" s="46" t="n">
        <f aca="false">IFERROR(IF(F9&lt;=0,"N/M",F22/F9),"N/M")</f>
        <v>0.0609109488110273</v>
      </c>
      <c r="G124" s="46" t="n">
        <f aca="false">IFERROR(IF(G9&lt;=0,"N/M",G22/G9),"N/M")</f>
        <v>0.0409789706411641</v>
      </c>
      <c r="H124" s="46" t="n">
        <f aca="false">IFERROR(IF(H9&lt;=0,"N/M",H22/H9),"N/M")</f>
        <v>0.0532687901080975</v>
      </c>
      <c r="I124" s="46" t="n">
        <f aca="false">IFERROR(IF(I9&lt;=0,"N/M",I22/I9),"N/M")</f>
        <v>0.0690813084926445</v>
      </c>
      <c r="J124" s="46" t="n">
        <f aca="false">IFERROR(IF(J9&lt;=0,"N/M",J22/J9),"N/M")</f>
        <v>0.0656051876479138</v>
      </c>
      <c r="K124" s="25" t="n">
        <f aca="false">IFERROR(AVERAGE(D124:J124),"N/M")</f>
        <v>0.0440645584251122</v>
      </c>
      <c r="L124" s="86" t="n">
        <f aca="false">IFERROR(J124-D124,"N/M")</f>
        <v>0.0392706064780087</v>
      </c>
      <c r="M124" s="87" t="n">
        <f aca="false">IFERROR(SLOPE(D124:J124,$D$3:$J$3),"N/M")</f>
        <v>0.00942100119665426</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0.726906362464844</v>
      </c>
      <c r="E127" s="46" t="n">
        <f aca="false">IFERROR(IF(E9&lt;=0,"N/M",E52/E9),"N/M")</f>
        <v>0.728206663796578</v>
      </c>
      <c r="F127" s="46" t="n">
        <f aca="false">IFERROR(IF(F9&lt;=0,"N/M",F52/F9),"N/M")</f>
        <v>0.761171088882637</v>
      </c>
      <c r="G127" s="46" t="n">
        <f aca="false">IFERROR(IF(G9&lt;=0,"N/M",G52/G9),"N/M")</f>
        <v>0.755990977351973</v>
      </c>
      <c r="H127" s="46" t="n">
        <f aca="false">IFERROR(IF(H9&lt;=0,"N/M",H52/H9),"N/M")</f>
        <v>0.740550992427464</v>
      </c>
      <c r="I127" s="46" t="n">
        <f aca="false">IFERROR(IF(I9&lt;=0,"N/M",I52/I9),"N/M")</f>
        <v>0.737697441847922</v>
      </c>
      <c r="J127" s="46" t="n">
        <f aca="false">IFERROR(IF(J9&lt;=0,"N/M",J52/J9),"N/M")</f>
        <v>0.737278492032014</v>
      </c>
      <c r="K127" s="25" t="n">
        <f aca="false">IFERROR(AVERAGE(D127:J127),"N/M")</f>
        <v>0.741114574114776</v>
      </c>
      <c r="L127" s="86" t="n">
        <f aca="false">IFERROR(J127-D127,"N/M")</f>
        <v>0.0103721295671696</v>
      </c>
      <c r="M127" s="87" t="n">
        <f aca="false">IFERROR(SLOPE(D127:J127,$D$3:$J$3),"N/M")</f>
        <v>0.00105278029817944</v>
      </c>
    </row>
    <row r="128" customFormat="false" ht="15" hidden="false" customHeight="false" outlineLevel="0" collapsed="false">
      <c r="A128" s="18" t="s">
        <v>584</v>
      </c>
      <c r="B128" s="19" t="s">
        <v>585</v>
      </c>
      <c r="D128" s="46" t="n">
        <f aca="false">IFERROR(IF(D9&lt;=0,"N/M",D53/D9),"N/M")</f>
        <v>0.151905957408636</v>
      </c>
      <c r="E128" s="46" t="n">
        <f aca="false">IFERROR(IF(E9&lt;=0,"N/M",E53/E9),"N/M")</f>
        <v>0.171239317276042</v>
      </c>
      <c r="F128" s="46" t="n">
        <f aca="false">IFERROR(IF(F9&lt;=0,"N/M",F53/F9),"N/M")</f>
        <v>0.123332420343722</v>
      </c>
      <c r="G128" s="46" t="n">
        <f aca="false">IFERROR(IF(G9&lt;=0,"N/M",G53/G9),"N/M")</f>
        <v>0.131583457589936</v>
      </c>
      <c r="H128" s="46" t="n">
        <f aca="false">IFERROR(IF(H9&lt;=0,"N/M",H53/H9),"N/M")</f>
        <v>0.153904013507423</v>
      </c>
      <c r="I128" s="46" t="n">
        <f aca="false">IFERROR(IF(I9&lt;=0,"N/M",I53/I9),"N/M")</f>
        <v>0.129525724662235</v>
      </c>
      <c r="J128" s="46" t="n">
        <f aca="false">IFERROR(IF(J9&lt;=0,"N/M",J53/J9),"N/M")</f>
        <v>0.128862030920295</v>
      </c>
      <c r="K128" s="25" t="n">
        <f aca="false">IFERROR(AVERAGE(D128:J128),"N/M")</f>
        <v>0.14147898881547</v>
      </c>
      <c r="L128" s="86" t="n">
        <f aca="false">IFERROR(J128-D128,"N/M")</f>
        <v>-0.023043926488341</v>
      </c>
      <c r="M128" s="87" t="n">
        <f aca="false">IFERROR(SLOPE(D128:J128,$D$3:$J$3),"N/M")</f>
        <v>-0.00435669184031913</v>
      </c>
    </row>
    <row r="129" customFormat="false" ht="15" hidden="false" customHeight="false" outlineLevel="0" collapsed="false">
      <c r="A129" s="18" t="s">
        <v>586</v>
      </c>
      <c r="B129" s="19" t="s">
        <v>587</v>
      </c>
      <c r="D129" s="46" t="n">
        <f aca="false">IFERROR(IF(D9&lt;=0,"N/M",D14/D9),"N/M")</f>
        <v>0.111620845259439</v>
      </c>
      <c r="E129" s="46" t="n">
        <f aca="false">IFERROR(IF(E9&lt;=0,"N/M",E14/E9),"N/M")</f>
        <v>0.108993384432506</v>
      </c>
      <c r="F129" s="46" t="n">
        <f aca="false">IFERROR(IF(F9&lt;=0,"N/M",F14/F9),"N/M")</f>
        <v>0.0832212752192724</v>
      </c>
      <c r="G129" s="46" t="n">
        <f aca="false">IFERROR(IF(G9&lt;=0,"N/M",G14/G9),"N/M")</f>
        <v>0.090554260620845</v>
      </c>
      <c r="H129" s="46" t="n">
        <f aca="false">IFERROR(IF(H9&lt;=0,"N/M",H14/H9),"N/M")</f>
        <v>0.106531232742807</v>
      </c>
      <c r="I129" s="46" t="n">
        <f aca="false">IFERROR(IF(I9&lt;=0,"N/M",I14/I9),"N/M")</f>
        <v>0.08378096730428</v>
      </c>
      <c r="J129" s="46" t="n">
        <f aca="false">IFERROR(IF(J9&lt;=0,"N/M",J14/J9),"N/M")</f>
        <v>0.0827281579764992</v>
      </c>
      <c r="K129" s="25" t="n">
        <f aca="false">IFERROR(AVERAGE(D129:J129),"N/M")</f>
        <v>0.0953471605079499</v>
      </c>
      <c r="L129" s="86" t="n">
        <f aca="false">IFERROR(J129-D129,"N/M")</f>
        <v>-0.0288926872829402</v>
      </c>
      <c r="M129" s="87" t="n">
        <f aca="false">IFERROR(SLOPE(D129:J129,$D$3:$J$3),"N/M")</f>
        <v>-0.00406403352077639</v>
      </c>
    </row>
    <row r="130" customFormat="false" ht="15" hidden="false" customHeight="false" outlineLevel="0" collapsed="false">
      <c r="A130" s="18" t="s">
        <v>588</v>
      </c>
      <c r="B130" s="19" t="s">
        <v>589</v>
      </c>
      <c r="D130" s="46" t="n">
        <f aca="false">IFERROR(IF(D9&lt;=0,"N/M",D15/D9),"N/M")</f>
        <v>0.0366447435757098</v>
      </c>
      <c r="E130" s="46" t="n">
        <f aca="false">IFERROR(IF(E9&lt;=0,"N/M",E15/E9),"N/M")</f>
        <v>0.0559540650563994</v>
      </c>
      <c r="F130" s="46" t="n">
        <f aca="false">IFERROR(IF(F9&lt;=0,"N/M",F15/F9),"N/M")</f>
        <v>0.0378817980029075</v>
      </c>
      <c r="G130" s="46" t="n">
        <f aca="false">IFERROR(IF(G9&lt;=0,"N/M",G15/G9),"N/M")</f>
        <v>0.0383424454842008</v>
      </c>
      <c r="H130" s="46" t="n">
        <f aca="false">IFERROR(IF(H9&lt;=0,"N/M",H15/H9),"N/M")</f>
        <v>0.0443140920256692</v>
      </c>
      <c r="I130" s="46" t="n">
        <f aca="false">IFERROR(IF(I9&lt;=0,"N/M",I15/I9),"N/M")</f>
        <v>0.0449280904377362</v>
      </c>
      <c r="J130" s="46" t="n">
        <f aca="false">IFERROR(IF(J9&lt;=0,"N/M",J15/J9),"N/M")</f>
        <v>0.0460168404892534</v>
      </c>
      <c r="K130" s="25" t="n">
        <f aca="false">IFERROR(AVERAGE(D130:J130),"N/M")</f>
        <v>0.0434402964388395</v>
      </c>
      <c r="L130" s="86" t="n">
        <f aca="false">IFERROR(J130-D130,"N/M")</f>
        <v>0.00937209691354363</v>
      </c>
      <c r="M130" s="87" t="n">
        <f aca="false">IFERROR(SLOPE(D130:J130,$D$3:$J$3),"N/M")</f>
        <v>0.00044630841164522</v>
      </c>
    </row>
    <row r="131" customFormat="false" ht="15" hidden="false" customHeight="false" outlineLevel="0" collapsed="false">
      <c r="A131" s="18" t="s">
        <v>590</v>
      </c>
      <c r="B131" s="19" t="s">
        <v>591</v>
      </c>
      <c r="D131" s="46" t="n">
        <f aca="false">IFERROR(IF(D9&lt;=0,"N/M",D19/D9),"N/M")</f>
        <v>0.0144401550199505</v>
      </c>
      <c r="E131" s="46" t="n">
        <f aca="false">IFERROR(IF(E9&lt;=0,"N/M",E19/E9),"N/M")</f>
        <v>0.018148546302274</v>
      </c>
      <c r="F131" s="46" t="n">
        <f aca="false">IFERROR(IF(F9&lt;=0,"N/M",F19/F9),"N/M")</f>
        <v>0.00805653429969772</v>
      </c>
      <c r="G131" s="46" t="n">
        <f aca="false">IFERROR(IF(G9&lt;=0,"N/M",G19/G9),"N/M")</f>
        <v>0.00743682908575705</v>
      </c>
      <c r="H131" s="46" t="n">
        <f aca="false">IFERROR(IF(H9&lt;=0,"N/M",H19/H9),"N/M")</f>
        <v>0.0112188947356172</v>
      </c>
      <c r="I131" s="46" t="n">
        <f aca="false">IFERROR(IF(I9&lt;=0,"N/M",I19/I9),"N/M")</f>
        <v>0.0135320533122378</v>
      </c>
      <c r="J131" s="46" t="n">
        <f aca="false">IFERROR(IF(J9&lt;=0,"N/M",J19/J9),"N/M")</f>
        <v>0.0132352483797418</v>
      </c>
      <c r="K131" s="25" t="n">
        <f aca="false">IFERROR(AVERAGE(D131:J131),"N/M")</f>
        <v>0.012295465876468</v>
      </c>
      <c r="L131" s="86" t="n">
        <f aca="false">IFERROR(J131-D131,"N/M")</f>
        <v>-0.00120490664020872</v>
      </c>
      <c r="M131" s="87" t="n">
        <f aca="false">IFERROR(SLOPE(D131:J131,$D$3:$J$3),"N/M")</f>
        <v>-0.000345905195170679</v>
      </c>
    </row>
    <row r="132" customFormat="false" ht="15" hidden="false" customHeight="false" outlineLevel="0" collapsed="false">
      <c r="A132" s="18" t="s">
        <v>138</v>
      </c>
      <c r="B132" s="19" t="s">
        <v>592</v>
      </c>
      <c r="D132" s="46" t="n">
        <f aca="false">IFERROR(IF(D9&lt;=0,"N/M",D54/D9),"N/M")</f>
        <v>0.87881231987348</v>
      </c>
      <c r="E132" s="46" t="n">
        <f aca="false">IFERROR(IF(E9&lt;=0,"N/M",E54/E9),"N/M")</f>
        <v>0.899445981072619</v>
      </c>
      <c r="F132" s="46" t="n">
        <f aca="false">IFERROR(IF(F9&lt;=0,"N/M",F54/F9),"N/M")</f>
        <v>0.884503509226359</v>
      </c>
      <c r="G132" s="46" t="n">
        <f aca="false">IFERROR(IF(G9&lt;=0,"N/M",G54/G9),"N/M")</f>
        <v>0.887574434941909</v>
      </c>
      <c r="H132" s="46" t="n">
        <f aca="false">IFERROR(IF(H9&lt;=0,"N/M",H54/H9),"N/M")</f>
        <v>0.894455005934888</v>
      </c>
      <c r="I132" s="46" t="n">
        <f aca="false">IFERROR(IF(I9&lt;=0,"N/M",I54/I9),"N/M")</f>
        <v>0.867223166510156</v>
      </c>
      <c r="J132" s="46" t="n">
        <f aca="false">IFERROR(IF(J9&lt;=0,"N/M",J54/J9),"N/M")</f>
        <v>0.866140522952309</v>
      </c>
      <c r="K132" s="25" t="n">
        <f aca="false">IFERROR(AVERAGE(D132:J132),"N/M")</f>
        <v>0.882593562930246</v>
      </c>
      <c r="L132" s="86" t="n">
        <f aca="false">IFERROR(J132-D132,"N/M")</f>
        <v>-0.0126717969211714</v>
      </c>
      <c r="M132" s="87" t="n">
        <f aca="false">IFERROR(SLOPE(D132:J132,$D$3:$J$3),"N/M")</f>
        <v>-0.00330391154213968</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0.0262929729228542</v>
      </c>
      <c r="E135" s="46" t="n">
        <f aca="false">IFERROR(IF(((E35+D35)/2)&lt;=0,"N/M",E22/((E35+D35)/2)),"N/M")</f>
        <v>-0.00785933256616801</v>
      </c>
      <c r="F135" s="46" t="n">
        <f aca="false">IFERROR(IF(((F35+E35)/2)&lt;=0,"N/M",F22/((F35+E35)/2)),"N/M")</f>
        <v>0.0825518071487768</v>
      </c>
      <c r="G135" s="46" t="n">
        <f aca="false">IFERROR(IF(((G35+F35)/2)&lt;=0,"N/M",G22/((G35+F35)/2)),"N/M")</f>
        <v>0.056241399723223</v>
      </c>
      <c r="H135" s="46" t="n">
        <f aca="false">IFERROR(IF(((H35+G35)/2)&lt;=0,"N/M",H22/((H35+G35)/2)),"N/M")</f>
        <v>0.0660892106396505</v>
      </c>
      <c r="I135" s="46" t="n">
        <f aca="false">IFERROR(IF(((I35+H35)/2)&lt;=0,"N/M",I22/((I35+H35)/2)),"N/M")</f>
        <v>0.0689568890020147</v>
      </c>
      <c r="J135" s="46" t="n">
        <f aca="false">IFERROR(IF(((J35+I35)/2)&lt;=0,"N/M",J22/((J35+I35)/2)),"N/M")</f>
        <v>0.0728330322784577</v>
      </c>
      <c r="K135" s="25" t="n">
        <f aca="false">IFERROR(AVERAGE(D135:J135),"N/M")</f>
        <v>0.0521579970212584</v>
      </c>
      <c r="L135" s="86" t="n">
        <f aca="false">IFERROR(J135-D135,"N/M")</f>
        <v>0.0465400593556035</v>
      </c>
      <c r="M135" s="87" t="n">
        <f aca="false">IFERROR(SLOPE(D135:J135,$D$3:$J$3),"N/M")</f>
        <v>0.00988535802478749</v>
      </c>
    </row>
    <row r="136" customFormat="false" ht="15" hidden="false" customHeight="false" outlineLevel="0" collapsed="false">
      <c r="A136" s="18" t="s">
        <v>595</v>
      </c>
      <c r="B136" s="19" t="s">
        <v>596</v>
      </c>
      <c r="D136" s="46" t="n">
        <f aca="false">IFERROR(IF(((D35+C35)/2)&lt;=0,"N/M",(D22+(D19*(1-D60)))/((D35+C35)/2)),"N/M")</f>
        <v>0.0370254474396999</v>
      </c>
      <c r="E136" s="46" t="n">
        <f aca="false">IFERROR(IF(((E35+D35)/2)&lt;=0,"N/M",(E22+(E19*(1-E60)))/((E35+D35)/2)),"N/M")</f>
        <v>-0.00785933256616801</v>
      </c>
      <c r="F136" s="46" t="n">
        <f aca="false">IFERROR(IF(((F35+E35)/2)&lt;=0,"N/M",(F22+(F19*(1-F60)))/((F35+E35)/2)),"N/M")</f>
        <v>0.0908422997195873</v>
      </c>
      <c r="G136" s="46" t="n">
        <f aca="false">IFERROR(IF(((G35+F35)/2)&lt;=0,"N/M",(G22+(G19*(1-G60)))/((G35+F35)/2)),"N/M")</f>
        <v>0.0631398760126109</v>
      </c>
      <c r="H136" s="46" t="n">
        <f aca="false">IFERROR(IF(((H35+G35)/2)&lt;=0,"N/M",(H22+(H19*(1-H60)))/((H35+G35)/2)),"N/M")</f>
        <v>0.0768259798550235</v>
      </c>
      <c r="I136" s="46" t="n">
        <f aca="false">IFERROR(IF(((I35+H35)/2)&lt;=0,"N/M",(I22+(I19*(1-I60)))/((I35+H35)/2)),"N/M")</f>
        <v>0.0795744921217658</v>
      </c>
      <c r="J136" s="46" t="n">
        <f aca="false">IFERROR(IF(((J35+I35)/2)&lt;=0,"N/M",(J22+(J19*(1-J60)))/((J35+I35)/2)),"N/M")</f>
        <v>0.0843685033467771</v>
      </c>
      <c r="K136" s="25" t="n">
        <f aca="false">IFERROR(AVERAGE(D136:J136),"N/M")</f>
        <v>0.0605596094184709</v>
      </c>
      <c r="L136" s="86" t="n">
        <f aca="false">IFERROR(J136-D136,"N/M")</f>
        <v>0.0473430559070772</v>
      </c>
      <c r="M136" s="87" t="n">
        <f aca="false">IFERROR(SLOPE(D136:J136,$D$3:$J$3),"N/M")</f>
        <v>0.0108171606154477</v>
      </c>
    </row>
    <row r="137" customFormat="false" ht="15" hidden="false" customHeight="false" outlineLevel="0" collapsed="false">
      <c r="A137" s="18" t="s">
        <v>597</v>
      </c>
      <c r="B137" s="19" t="s">
        <v>598</v>
      </c>
      <c r="D137" s="46" t="n">
        <f aca="false">IFERROR(IF(((D35+C35)/2)&lt;=0,"N/M",D58/((D35+C35)/2)),"N/M")</f>
        <v>0.0503890780000533</v>
      </c>
      <c r="E137" s="46" t="n">
        <f aca="false">IFERROR(IF(((E35+D35)/2)&lt;=0,"N/M",E58/((E35+D35)/2)),"N/M")</f>
        <v>0.0188391254315305</v>
      </c>
      <c r="F137" s="46" t="n">
        <f aca="false">IFERROR(IF(((F35+E35)/2)&lt;=0,"N/M",F58/((F35+E35)/2)),"N/M")</f>
        <v>0.121406118932625</v>
      </c>
      <c r="G137" s="46" t="n">
        <f aca="false">IFERROR(IF(((G35+F35)/2)&lt;=0,"N/M",G58/((G35+F35)/2)),"N/M")</f>
        <v>0.0947546315716569</v>
      </c>
      <c r="H137" s="46" t="n">
        <f aca="false">IFERROR(IF(((H35+G35)/2)&lt;=0,"N/M",H58/((H35+G35)/2)),"N/M")</f>
        <v>0.0995152683497057</v>
      </c>
      <c r="I137" s="46" t="n">
        <f aca="false">IFERROR(IF(((I35+H35)/2)&lt;=0,"N/M",I58/((I35+H35)/2)),"N/M")</f>
        <v>0.101779746933739</v>
      </c>
      <c r="J137" s="46" t="n">
        <f aca="false">IFERROR(IF(((J35+I35)/2)&lt;=0,"N/M",J58/((J35+I35)/2)),"N/M")</f>
        <v>0.108178280728377</v>
      </c>
      <c r="K137" s="25" t="n">
        <f aca="false">IFERROR(AVERAGE(D137:J137),"N/M")</f>
        <v>0.0849803214210982</v>
      </c>
      <c r="L137" s="86" t="n">
        <f aca="false">IFERROR(J137-D137,"N/M")</f>
        <v>0.0577892027283233</v>
      </c>
      <c r="M137" s="87" t="n">
        <f aca="false">IFERROR(SLOPE(D137:J137,$D$3:$J$3),"N/M")</f>
        <v>0.0113342143073739</v>
      </c>
    </row>
    <row r="138" customFormat="false" ht="15" hidden="false" customHeight="false" outlineLevel="0" collapsed="false">
      <c r="A138" s="18" t="s">
        <v>141</v>
      </c>
      <c r="B138" s="19" t="s">
        <v>599</v>
      </c>
      <c r="D138" s="46" t="n">
        <f aca="false">IFERROR(IF(((D62+C62)/2)&lt;=0,"N/M",(D58*(1-D60))/((D62+C62)/2)),"N/M")</f>
        <v>0.049465348855949</v>
      </c>
      <c r="E138" s="46" t="n">
        <f aca="false">IFERROR(IF(((E62+D62)/2)&lt;=0,"N/M",(E58*(1-E60))/((E62+D62)/2)),"N/M")</f>
        <v>0</v>
      </c>
      <c r="F138" s="46" t="n">
        <f aca="false">IFERROR(IF(((F62+E62)/2)&lt;=0,"N/M",(F58*(1-F60))/((F62+E62)/2)),"N/M")</f>
        <v>0.126911765807592</v>
      </c>
      <c r="G138" s="46" t="n">
        <f aca="false">IFERROR(IF(((G62+F62)/2)&lt;=0,"N/M",(G58*(1-G60))/((G62+F62)/2)),"N/M")</f>
        <v>0.0869517231166811</v>
      </c>
      <c r="H138" s="46" t="n">
        <f aca="false">IFERROR(IF(((H62+G62)/2)&lt;=0,"N/M",(H58*(1-H60))/((H62+G62)/2)),"N/M")</f>
        <v>0.100612912669308</v>
      </c>
      <c r="I138" s="46" t="n">
        <f aca="false">IFERROR(IF(((I62+H62)/2)&lt;=0,"N/M",(I58*(1-I60))/((I62+H62)/2)),"N/M")</f>
        <v>0.100748359298545</v>
      </c>
      <c r="J138" s="46" t="n">
        <f aca="false">IFERROR(IF(((J62+I62)/2)&lt;=0,"N/M",(J58*(1-J60))/((J62+I62)/2)),"N/M")</f>
        <v>0.103748054070878</v>
      </c>
      <c r="K138" s="25" t="n">
        <f aca="false">IFERROR(AVERAGE(D138:J138),"N/M")</f>
        <v>0.0812054519741361</v>
      </c>
      <c r="L138" s="86" t="n">
        <f aca="false">IFERROR(J138-D138,"N/M")</f>
        <v>0.0542827052149294</v>
      </c>
      <c r="M138" s="87" t="n">
        <f aca="false">IFERROR(SLOPE(D138:J138,$D$3:$J$3),"N/M")</f>
        <v>0.0120730707536998</v>
      </c>
    </row>
    <row r="139" customFormat="false" ht="15" hidden="false" customHeight="false" outlineLevel="0" collapsed="false">
      <c r="A139" s="18" t="s">
        <v>142</v>
      </c>
      <c r="B139" s="19" t="s">
        <v>600</v>
      </c>
      <c r="D139" s="46" t="n">
        <f aca="false">IFERROR(IF(((D61+C61)/2)&lt;=0,"N/M",D22/((D61+C61)/2)),"N/M")</f>
        <v>0.0442838218187533</v>
      </c>
      <c r="E139" s="46" t="n">
        <f aca="false">IFERROR(IF(((E61+D61)/2)&lt;=0,"N/M",E22/((E61+D61)/2)),"N/M")</f>
        <v>-0.0145715597536018</v>
      </c>
      <c r="F139" s="46" t="n">
        <f aca="false">IFERROR(IF(((F61+E61)/2)&lt;=0,"N/M",F22/((F61+E61)/2)),"N/M")</f>
        <v>0.161561247443729</v>
      </c>
      <c r="G139" s="46" t="n">
        <f aca="false">IFERROR(IF(((G61+F61)/2)&lt;=0,"N/M",G22/((G61+F61)/2)),"N/M")</f>
        <v>0.101449356497972</v>
      </c>
      <c r="H139" s="46" t="n">
        <f aca="false">IFERROR(IF(((H61+G61)/2)&lt;=0,"N/M",H22/((H61+G61)/2)),"N/M")</f>
        <v>0.110541268636012</v>
      </c>
      <c r="I139" s="46" t="n">
        <f aca="false">IFERROR(IF(((I61+H61)/2)&lt;=0,"N/M",I22/((I61+H61)/2)),"N/M")</f>
        <v>0.110818749778141</v>
      </c>
      <c r="J139" s="46" t="n">
        <f aca="false">IFERROR(IF(((J61+I61)/2)&lt;=0,"N/M",J22/((J61+I61)/2)),"N/M")</f>
        <v>0.110435865141395</v>
      </c>
      <c r="K139" s="25" t="n">
        <f aca="false">IFERROR(AVERAGE(D139:J139),"N/M")</f>
        <v>0.0892169642232001</v>
      </c>
      <c r="L139" s="86" t="n">
        <f aca="false">IFERROR(J139-D139,"N/M")</f>
        <v>0.0661520433226413</v>
      </c>
      <c r="M139" s="87" t="n">
        <f aca="false">IFERROR(SLOPE(D139:J139,$D$3:$J$3),"N/M")</f>
        <v>0.014222027507989</v>
      </c>
    </row>
    <row r="140" customFormat="false" ht="15" hidden="false" customHeight="false" outlineLevel="0" collapsed="false">
      <c r="A140" s="18" t="s">
        <v>601</v>
      </c>
      <c r="B140" s="19" t="s">
        <v>602</v>
      </c>
      <c r="D140" s="46" t="n">
        <f aca="false">IFERROR(IF(((D61+C61)/2)&lt;=0,"N/M",(D22-0)/((D61+C61)/2)),"N/M")</f>
        <v>0.0442838218187533</v>
      </c>
      <c r="E140" s="46" t="n">
        <f aca="false">IFERROR(IF(((E61+D61)/2)&lt;=0,"N/M",(E22-0)/((E61+D61)/2)),"N/M")</f>
        <v>-0.0145715597536018</v>
      </c>
      <c r="F140" s="46" t="n">
        <f aca="false">IFERROR(IF(((F61+E61)/2)&lt;=0,"N/M",(F22-0)/((F61+E61)/2)),"N/M")</f>
        <v>0.161561247443729</v>
      </c>
      <c r="G140" s="46" t="n">
        <f aca="false">IFERROR(IF(((G61+F61)/2)&lt;=0,"N/M",(G22-0)/((G61+F61)/2)),"N/M")</f>
        <v>0.101449356497972</v>
      </c>
      <c r="H140" s="46" t="n">
        <f aca="false">IFERROR(IF(((H61+G61)/2)&lt;=0,"N/M",(H22-0)/((H61+G61)/2)),"N/M")</f>
        <v>0.110541268636012</v>
      </c>
      <c r="I140" s="46" t="n">
        <f aca="false">IFERROR(IF(((I61+H61)/2)&lt;=0,"N/M",(I22-0)/((I61+H61)/2)),"N/M")</f>
        <v>0.110818749778141</v>
      </c>
      <c r="J140" s="46" t="n">
        <f aca="false">IFERROR(IF(((J61+I61)/2)&lt;=0,"N/M",(J22-0)/((J61+I61)/2)),"N/M")</f>
        <v>0.110435865141395</v>
      </c>
      <c r="K140" s="25" t="n">
        <f aca="false">IFERROR(AVERAGE(D140:J140),"N/M")</f>
        <v>0.0892169642232001</v>
      </c>
      <c r="L140" s="86" t="n">
        <f aca="false">IFERROR(J140-D140,"N/M")</f>
        <v>0.0661520433226413</v>
      </c>
      <c r="M140" s="87" t="n">
        <f aca="false">IFERROR(SLOPE(D140:J140,$D$3:$J$3),"N/M")</f>
        <v>0.014222027507989</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88" t="s">
        <v>466</v>
      </c>
      <c r="E143" s="88" t="s">
        <v>466</v>
      </c>
      <c r="F143" s="88" t="s">
        <v>466</v>
      </c>
      <c r="G143" s="88" t="s">
        <v>466</v>
      </c>
      <c r="H143" s="88" t="s">
        <v>466</v>
      </c>
      <c r="I143" s="88" t="s">
        <v>466</v>
      </c>
      <c r="J143" s="88" t="s">
        <v>466</v>
      </c>
      <c r="K143" s="89" t="s">
        <v>466</v>
      </c>
      <c r="L143" s="89" t="s">
        <v>466</v>
      </c>
      <c r="M143" s="89" t="s">
        <v>466</v>
      </c>
    </row>
    <row r="144" customFormat="false" ht="15" hidden="false" customHeight="false" outlineLevel="0" collapsed="false">
      <c r="A144" s="18" t="s">
        <v>606</v>
      </c>
      <c r="B144" s="19" t="s">
        <v>607</v>
      </c>
      <c r="D144" s="88" t="s">
        <v>466</v>
      </c>
      <c r="E144" s="88" t="s">
        <v>466</v>
      </c>
      <c r="F144" s="88" t="s">
        <v>466</v>
      </c>
      <c r="G144" s="88" t="s">
        <v>466</v>
      </c>
      <c r="H144" s="88" t="s">
        <v>466</v>
      </c>
      <c r="I144" s="88" t="s">
        <v>466</v>
      </c>
      <c r="J144" s="88" t="s">
        <v>466</v>
      </c>
      <c r="K144" s="89" t="s">
        <v>466</v>
      </c>
      <c r="L144" s="89" t="s">
        <v>466</v>
      </c>
      <c r="M144" s="89" t="s">
        <v>466</v>
      </c>
    </row>
    <row r="145" customFormat="false" ht="15" hidden="false" customHeight="false" outlineLevel="0" collapsed="false">
      <c r="A145" s="18" t="s">
        <v>608</v>
      </c>
      <c r="B145" s="19" t="s">
        <v>609</v>
      </c>
      <c r="D145" s="88" t="s">
        <v>466</v>
      </c>
      <c r="E145" s="88" t="s">
        <v>466</v>
      </c>
      <c r="F145" s="88" t="s">
        <v>466</v>
      </c>
      <c r="G145" s="88" t="s">
        <v>466</v>
      </c>
      <c r="H145" s="88" t="s">
        <v>466</v>
      </c>
      <c r="I145" s="88" t="s">
        <v>466</v>
      </c>
      <c r="J145" s="88" t="s">
        <v>466</v>
      </c>
      <c r="K145" s="89" t="s">
        <v>466</v>
      </c>
      <c r="L145" s="89" t="s">
        <v>466</v>
      </c>
      <c r="M145" s="89" t="s">
        <v>466</v>
      </c>
    </row>
    <row r="146" customFormat="false" ht="15" hidden="false" customHeight="false" outlineLevel="0" collapsed="false">
      <c r="A146" s="18" t="s">
        <v>145</v>
      </c>
      <c r="B146" s="19" t="s">
        <v>610</v>
      </c>
      <c r="D146" s="47" t="n">
        <f aca="false">IFERROR(IF(D73&lt;=0,"N/M",D71/D73),"N/M")</f>
        <v>2.26768239592676</v>
      </c>
      <c r="E146" s="47" t="n">
        <f aca="false">IFERROR(IF(E73&lt;=0,"N/M",E71/E73),"N/M")</f>
        <v>4.73615125624305</v>
      </c>
      <c r="F146" s="47" t="n">
        <f aca="false">IFERROR(IF(F73&lt;=0,"N/M",F71/F73),"N/M")</f>
        <v>5.19406740966089</v>
      </c>
      <c r="G146" s="47" t="n">
        <f aca="false">IFERROR(IF(G73&lt;=0,"N/M",G71/G73),"N/M")</f>
        <v>3.92580224095037</v>
      </c>
      <c r="H146" s="47" t="n">
        <f aca="false">IFERROR(IF(H73&lt;=0,"N/M",H71/H73),"N/M")</f>
        <v>4.9939753496621</v>
      </c>
      <c r="I146" s="47" t="n">
        <f aca="false">IFERROR(IF(I73&lt;=0,"N/M",I71/I73),"N/M")</f>
        <v>4.05954374576094</v>
      </c>
      <c r="J146" s="47" t="n">
        <f aca="false">IFERROR(IF(J73&lt;=0,"N/M",J71/J73),"N/M")</f>
        <v>2.86137986297368</v>
      </c>
      <c r="K146" s="22" t="n">
        <f aca="false">IFERROR(AVERAGE(D146:J146),"N/M")</f>
        <v>4.00551460873968</v>
      </c>
      <c r="L146" s="82" t="n">
        <f aca="false">IFERROR(J146-D146,"N/M")</f>
        <v>0.593697467046928</v>
      </c>
      <c r="M146" s="83" t="n">
        <f aca="false">IFERROR(SLOPE(D146:J146,$D$3:$J$3),"N/M")</f>
        <v>0.00813519000634909</v>
      </c>
    </row>
    <row r="147" customFormat="false" ht="15" hidden="false" customHeight="false" outlineLevel="0" collapsed="false">
      <c r="A147" s="18" t="s">
        <v>611</v>
      </c>
      <c r="B147" s="19" t="s">
        <v>612</v>
      </c>
      <c r="D147" s="88" t="s">
        <v>466</v>
      </c>
      <c r="E147" s="88" t="s">
        <v>466</v>
      </c>
      <c r="F147" s="88" t="s">
        <v>466</v>
      </c>
      <c r="G147" s="88" t="s">
        <v>466</v>
      </c>
      <c r="H147" s="88" t="s">
        <v>466</v>
      </c>
      <c r="I147" s="88" t="s">
        <v>466</v>
      </c>
      <c r="J147" s="88" t="s">
        <v>466</v>
      </c>
      <c r="K147" s="89" t="s">
        <v>466</v>
      </c>
      <c r="L147" s="89" t="s">
        <v>466</v>
      </c>
      <c r="M147" s="89" t="s">
        <v>466</v>
      </c>
    </row>
    <row r="148" customFormat="false" ht="15" hidden="false" customHeight="false" outlineLevel="0" collapsed="false">
      <c r="A148" s="18" t="s">
        <v>613</v>
      </c>
      <c r="B148" s="19" t="s">
        <v>614</v>
      </c>
      <c r="D148" s="46" t="n">
        <f aca="false">IFERROR(IF(D22&lt;=0,"N/M",D23/D22),"N/M")</f>
        <v>0.479966986794718</v>
      </c>
      <c r="E148" s="46" t="str">
        <f aca="false">IFERROR(IF(E22&lt;=0,"N/M",E23/E22),"N/M")</f>
        <v>N/M</v>
      </c>
      <c r="F148" s="46" t="n">
        <f aca="false">IFERROR(IF(F22&lt;=0,"N/M",F23/F22),"N/M")</f>
        <v>0.331081603502932</v>
      </c>
      <c r="G148" s="46" t="n">
        <f aca="false">IFERROR(IF(G22&lt;=0,"N/M",G23/G22),"N/M")</f>
        <v>0.520086899948883</v>
      </c>
      <c r="H148" s="46" t="n">
        <f aca="false">IFERROR(IF(H22&lt;=0,"N/M",H23/H22),"N/M")</f>
        <v>0.462814841294666</v>
      </c>
      <c r="I148" s="46" t="n">
        <f aca="false">IFERROR(IF(I22&lt;=0,"N/M",I23/I22),"N/M")</f>
        <v>0.578828828828829</v>
      </c>
      <c r="J148" s="46" t="n">
        <f aca="false">IFERROR(IF(J22&lt;=0,"N/M",J23/J22),"N/M")</f>
        <v>0.399459456817638</v>
      </c>
      <c r="K148" s="25" t="n">
        <f aca="false">IFERROR(AVERAGE(D148:J148),"N/M")</f>
        <v>0.462039769531277</v>
      </c>
      <c r="L148" s="86" t="n">
        <f aca="false">IFERROR(J148-D148,"N/M")</f>
        <v>-0.0805075299770803</v>
      </c>
      <c r="M148" s="87" t="n">
        <f aca="false">IFERROR(SLOPE(D148:J148,$D$3:$J$3),"N/M")</f>
        <v>0.00530523284809697</v>
      </c>
    </row>
    <row r="149" customFormat="false" ht="15" hidden="false" customHeight="false" outlineLevel="0" collapsed="false">
      <c r="A149" s="18" t="s">
        <v>615</v>
      </c>
      <c r="B149" s="19" t="s">
        <v>616</v>
      </c>
      <c r="D149" s="46" t="n">
        <f aca="false">IFERROR((1-D148),"N/M")</f>
        <v>0.520033013205282</v>
      </c>
      <c r="E149" s="46" t="str">
        <f aca="false">IFERROR((1-E148),"N/M")</f>
        <v>N/M</v>
      </c>
      <c r="F149" s="46" t="n">
        <f aca="false">IFERROR((1-F148),"N/M")</f>
        <v>0.668918396497068</v>
      </c>
      <c r="G149" s="46" t="n">
        <f aca="false">IFERROR((1-G148),"N/M")</f>
        <v>0.479913100051118</v>
      </c>
      <c r="H149" s="46" t="n">
        <f aca="false">IFERROR((1-H148),"N/M")</f>
        <v>0.537185158705334</v>
      </c>
      <c r="I149" s="46" t="n">
        <f aca="false">IFERROR((1-I148),"N/M")</f>
        <v>0.421171171171171</v>
      </c>
      <c r="J149" s="46" t="n">
        <f aca="false">IFERROR((1-J148),"N/M")</f>
        <v>0.600540543182363</v>
      </c>
      <c r="K149" s="25" t="n">
        <f aca="false">IFERROR(AVERAGE(D149:J149),"N/M")</f>
        <v>0.537960230468723</v>
      </c>
      <c r="L149" s="86" t="n">
        <f aca="false">IFERROR(J149-D149,"N/M")</f>
        <v>0.0805075299770803</v>
      </c>
      <c r="M149" s="87" t="n">
        <f aca="false">IFERROR(SLOPE(D149:J149,$D$3:$J$3),"N/M")</f>
        <v>-0.00530523284809696</v>
      </c>
    </row>
    <row r="150" customFormat="false" ht="15" hidden="false" customHeight="false" outlineLevel="0" collapsed="false">
      <c r="A150" s="18" t="s">
        <v>617</v>
      </c>
      <c r="B150" s="19" t="s">
        <v>618</v>
      </c>
      <c r="D150" s="46" t="n">
        <f aca="false">IFERROR(IF(D71&lt;=0,"N/M",D72/D71),"N/M")</f>
        <v>0.015262178554475</v>
      </c>
      <c r="E150" s="46" t="n">
        <f aca="false">IFERROR(IF(E71&lt;=0,"N/M",E72/E71),"N/M")</f>
        <v>-0.00676742265849692</v>
      </c>
      <c r="F150" s="46" t="n">
        <f aca="false">IFERROR(IF(F71&lt;=0,"N/M",F72/F71),"N/M")</f>
        <v>0.0228210696648743</v>
      </c>
      <c r="G150" s="46" t="n">
        <f aca="false">IFERROR(IF(G71&lt;=0,"N/M",G72/G71),"N/M")</f>
        <v>0.0184923200261273</v>
      </c>
      <c r="H150" s="46" t="n">
        <f aca="false">IFERROR(IF(H71&lt;=0,"N/M",H72/H71),"N/M")</f>
        <v>0.0232401630692641</v>
      </c>
      <c r="I150" s="46" t="n">
        <f aca="false">IFERROR(IF(I71&lt;=0,"N/M",I72/I71),"N/M")</f>
        <v>0.0281566493892956</v>
      </c>
      <c r="J150" s="46" t="n">
        <f aca="false">IFERROR(IF(J71&lt;=0,"N/M",J72/J71),"N/M")</f>
        <v>0.0365174257047344</v>
      </c>
      <c r="K150" s="25" t="n">
        <f aca="false">IFERROR(AVERAGE(D150:J150),"N/M")</f>
        <v>0.0196746262500391</v>
      </c>
      <c r="L150" s="86" t="n">
        <f aca="false">IFERROR(J150-D150,"N/M")</f>
        <v>0.0212552471502594</v>
      </c>
      <c r="M150" s="87" t="n">
        <f aca="false">IFERROR(SLOPE(D150:J150,$D$3:$J$3),"N/M")</f>
        <v>0.00478689210538404</v>
      </c>
    </row>
    <row r="151" customFormat="false" ht="15" hidden="false" customHeight="false" outlineLevel="0" collapsed="false">
      <c r="A151" s="18" t="s">
        <v>146</v>
      </c>
      <c r="B151" s="19" t="s">
        <v>619</v>
      </c>
      <c r="D151" s="46" t="n">
        <f aca="false">IFERROR(IF(D71&lt;=0,"N/M",D75/D71),"N/M")</f>
        <v>0.00847233339963572</v>
      </c>
      <c r="E151" s="46" t="n">
        <f aca="false">IFERROR(IF(E71&lt;=0,"N/M",E75/E71),"N/M")</f>
        <v>0.00663551808826297</v>
      </c>
      <c r="F151" s="46" t="n">
        <f aca="false">IFERROR(IF(F71&lt;=0,"N/M",F75/F71),"N/M")</f>
        <v>0.0110239630618269</v>
      </c>
      <c r="G151" s="46" t="n">
        <f aca="false">IFERROR(IF(G71&lt;=0,"N/M",G75/G71),"N/M")</f>
        <v>0.0138106857198781</v>
      </c>
      <c r="H151" s="46" t="n">
        <f aca="false">IFERROR(IF(H71&lt;=0,"N/M",H75/H71),"N/M")</f>
        <v>0.0103944449880648</v>
      </c>
      <c r="I151" s="46" t="n">
        <f aca="false">IFERROR(IF(I71&lt;=0,"N/M",I75/I71),"N/M")</f>
        <v>0.0122575377450037</v>
      </c>
      <c r="J151" s="46" t="n">
        <f aca="false">IFERROR(IF(J71&lt;=0,"N/M",J75/J71),"N/M")</f>
        <v>0.0145872310363916</v>
      </c>
      <c r="K151" s="25" t="n">
        <f aca="false">IFERROR(AVERAGE(D151:J151),"N/M")</f>
        <v>0.0110259591484377</v>
      </c>
      <c r="L151" s="86" t="n">
        <f aca="false">IFERROR(J151-D151,"N/M")</f>
        <v>0.00611489763675593</v>
      </c>
      <c r="M151" s="87" t="n">
        <f aca="false">IFERROR(SLOPE(D151:J151,$D$3:$J$3),"N/M")</f>
        <v>0.00103425764821383</v>
      </c>
    </row>
    <row r="152" customFormat="false" ht="15" hidden="false" customHeight="false" outlineLevel="0" collapsed="false">
      <c r="A152" s="18" t="s">
        <v>143</v>
      </c>
      <c r="B152" s="19" t="s">
        <v>620</v>
      </c>
      <c r="D152" s="47" t="n">
        <f aca="false">IFERROR(IF(D72&lt;=0,"N/M",D71/D72),"N/M")</f>
        <v>65.5214454758683</v>
      </c>
      <c r="E152" s="47" t="str">
        <f aca="false">IFERROR(IF(E72&lt;=0,"N/M",E71/E72),"N/M")</f>
        <v>N/M</v>
      </c>
      <c r="F152" s="47" t="n">
        <f aca="false">IFERROR(IF(F72&lt;=0,"N/M",F71/F72),"N/M")</f>
        <v>43.8191554859139</v>
      </c>
      <c r="G152" s="47" t="n">
        <f aca="false">IFERROR(IF(G72&lt;=0,"N/M",G71/G72),"N/M")</f>
        <v>54.0765030340773</v>
      </c>
      <c r="H152" s="47" t="n">
        <f aca="false">IFERROR(IF(H72&lt;=0,"N/M",H71/H72),"N/M")</f>
        <v>43.0289579732999</v>
      </c>
      <c r="I152" s="47" t="n">
        <f aca="false">IFERROR(IF(I72&lt;=0,"N/M",I71/I72),"N/M")</f>
        <v>35.5155894500776</v>
      </c>
      <c r="J152" s="47" t="n">
        <f aca="false">IFERROR(IF(J72&lt;=0,"N/M",J71/J72),"N/M")</f>
        <v>27.3841866095822</v>
      </c>
      <c r="K152" s="22" t="n">
        <f aca="false">IFERROR(AVERAGE(D152:J152),"N/M")</f>
        <v>44.8909730048032</v>
      </c>
      <c r="L152" s="82" t="n">
        <f aca="false">IFERROR(J152-D152,"N/M")</f>
        <v>-38.1372588662861</v>
      </c>
      <c r="M152" s="83" t="n">
        <f aca="false">IFERROR(SLOPE(D152:J152,$D$3:$J$3),"N/M")</f>
        <v>-5.74083176661101</v>
      </c>
    </row>
    <row r="153" customFormat="false" ht="15" hidden="false" customHeight="false" outlineLevel="0" collapsed="false">
      <c r="A153" s="18" t="s">
        <v>148</v>
      </c>
      <c r="B153" s="19" t="s">
        <v>621</v>
      </c>
      <c r="D153" s="90" t="s">
        <v>466</v>
      </c>
      <c r="E153" s="90" t="s">
        <v>466</v>
      </c>
      <c r="F153" s="90" t="s">
        <v>466</v>
      </c>
      <c r="G153" s="90" t="s">
        <v>466</v>
      </c>
      <c r="H153" s="90" t="s">
        <v>466</v>
      </c>
      <c r="I153" s="90" t="s">
        <v>466</v>
      </c>
      <c r="J153" s="90" t="s">
        <v>466</v>
      </c>
      <c r="K153" s="89" t="s">
        <v>466</v>
      </c>
      <c r="L153" s="89" t="s">
        <v>466</v>
      </c>
      <c r="M153" s="89" t="s">
        <v>466</v>
      </c>
    </row>
    <row r="154" customFormat="false" ht="15" hidden="false" customHeight="false" outlineLevel="0" collapsed="false">
      <c r="A154" s="18" t="s">
        <v>147</v>
      </c>
      <c r="B154" s="19" t="s">
        <v>622</v>
      </c>
      <c r="D154" s="47" t="n">
        <f aca="false">IFERROR(IF(D74&lt;=0,"N/M",(D71+D76)/D74),"N/M")</f>
        <v>14.3383783331617</v>
      </c>
      <c r="E154" s="47" t="n">
        <f aca="false">IFERROR(IF(E74&lt;=0,"N/M",(E71+E76)/E74),"N/M")</f>
        <v>39.7479967148821</v>
      </c>
      <c r="F154" s="47" t="n">
        <f aca="false">IFERROR(IF(F74&lt;=0,"N/M",(F71+F76)/F74),"N/M")</f>
        <v>18.9090355486949</v>
      </c>
      <c r="G154" s="47" t="n">
        <f aca="false">IFERROR(IF(G74&lt;=0,"N/M",(G71+G76)/G74),"N/M")</f>
        <v>18.0213812374748</v>
      </c>
      <c r="H154" s="47" t="n">
        <f aca="false">IFERROR(IF(H74&lt;=0,"N/M",(H71+H76)/H74),"N/M")</f>
        <v>19.1496142574594</v>
      </c>
      <c r="I154" s="47" t="n">
        <f aca="false">IFERROR(IF(I74&lt;=0,"N/M",(I71+I76)/I74),"N/M")</f>
        <v>15.7996193148286</v>
      </c>
      <c r="J154" s="47" t="n">
        <f aca="false">IFERROR(IF(J74&lt;=0,"N/M",(J71+J76)/J74),"N/M")</f>
        <v>11.5695312188203</v>
      </c>
      <c r="K154" s="22" t="n">
        <f aca="false">IFERROR(AVERAGE(D154:J154),"N/M")</f>
        <v>19.6479366607603</v>
      </c>
      <c r="L154" s="82" t="n">
        <f aca="false">IFERROR(J154-D154,"N/M")</f>
        <v>-2.76884711434137</v>
      </c>
      <c r="M154" s="83" t="n">
        <f aca="false">IFERROR(SLOPE(D154:J154,$D$3:$J$3),"N/M")</f>
        <v>-1.9986684797988</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0.0263345811699051</v>
      </c>
      <c r="E157" s="46" t="n">
        <f aca="false">IFERROR(E124,"N/M")</f>
        <v>-0.00772787789496705</v>
      </c>
      <c r="F157" s="46" t="n">
        <f aca="false">IFERROR(F124,"N/M")</f>
        <v>0.0609109488110273</v>
      </c>
      <c r="G157" s="46" t="n">
        <f aca="false">IFERROR(G124,"N/M")</f>
        <v>0.0409789706411641</v>
      </c>
      <c r="H157" s="46" t="n">
        <f aca="false">IFERROR(H124,"N/M")</f>
        <v>0.0532687901080975</v>
      </c>
      <c r="I157" s="46" t="n">
        <f aca="false">IFERROR(I124,"N/M")</f>
        <v>0.0690813084926445</v>
      </c>
      <c r="J157" s="46" t="n">
        <f aca="false">IFERROR(J124,"N/M")</f>
        <v>0.0656051876479138</v>
      </c>
      <c r="K157" s="25" t="n">
        <f aca="false">IFERROR(AVERAGE(D157:J157),"N/M")</f>
        <v>0.0440645584251122</v>
      </c>
      <c r="L157" s="86" t="n">
        <f aca="false">IFERROR(J157-D157,"N/M")</f>
        <v>0.0392706064780087</v>
      </c>
      <c r="M157" s="87" t="n">
        <f aca="false">IFERROR(SLOPE(D157:J157,$D$3:$J$3),"N/M")</f>
        <v>0.00942100119665426</v>
      </c>
    </row>
    <row r="158" customFormat="false" ht="15" hidden="false" customHeight="false" outlineLevel="0" collapsed="false">
      <c r="A158" s="18" t="s">
        <v>625</v>
      </c>
      <c r="B158" s="19" t="s">
        <v>626</v>
      </c>
      <c r="D158" s="47" t="n">
        <f aca="false">IFERROR(D113,"N/M")</f>
        <v>0.998420014854898</v>
      </c>
      <c r="E158" s="47" t="n">
        <f aca="false">IFERROR(E113,"N/M")</f>
        <v>1.01701044879171</v>
      </c>
      <c r="F158" s="47" t="n">
        <f aca="false">IFERROR(F113,"N/M")</f>
        <v>1.35528683693451</v>
      </c>
      <c r="G158" s="47" t="n">
        <f aca="false">IFERROR(G113,"N/M")</f>
        <v>1.37244539926846</v>
      </c>
      <c r="H158" s="47" t="n">
        <f aca="false">IFERROR(H113,"N/M")</f>
        <v>1.24067414532106</v>
      </c>
      <c r="I158" s="47" t="n">
        <f aca="false">IFERROR(I113,"N/M")</f>
        <v>0.99819894131503</v>
      </c>
      <c r="J158" s="47" t="n">
        <f aca="false">IFERROR(J113,"N/M")</f>
        <v>1.110171846003</v>
      </c>
      <c r="K158" s="22" t="n">
        <f aca="false">IFERROR(AVERAGE(D158:J158),"N/M")</f>
        <v>1.1560296617841</v>
      </c>
      <c r="L158" s="82" t="n">
        <f aca="false">IFERROR(J158-D158,"N/M")</f>
        <v>0.111751831148102</v>
      </c>
      <c r="M158" s="83" t="n">
        <f aca="false">IFERROR(SLOPE(D158:J158,$D$3:$J$3),"N/M")</f>
        <v>0.00653642095991018</v>
      </c>
    </row>
    <row r="159" customFormat="false" ht="15" hidden="false" customHeight="false" outlineLevel="0" collapsed="false">
      <c r="A159" s="18" t="s">
        <v>627</v>
      </c>
      <c r="B159" s="19" t="s">
        <v>628</v>
      </c>
      <c r="D159" s="46" t="n">
        <f aca="false">IFERROR((D157*D158),"N/M")</f>
        <v>0.0262929729228542</v>
      </c>
      <c r="E159" s="46" t="n">
        <f aca="false">IFERROR((E157*E158),"N/M")</f>
        <v>-0.00785933256616801</v>
      </c>
      <c r="F159" s="46" t="n">
        <f aca="false">IFERROR((F157*F158),"N/M")</f>
        <v>0.0825518071487768</v>
      </c>
      <c r="G159" s="46" t="n">
        <f aca="false">IFERROR((G157*G158),"N/M")</f>
        <v>0.056241399723223</v>
      </c>
      <c r="H159" s="46" t="n">
        <f aca="false">IFERROR((H157*H158),"N/M")</f>
        <v>0.0660892106396505</v>
      </c>
      <c r="I159" s="46" t="n">
        <f aca="false">IFERROR((I157*I158),"N/M")</f>
        <v>0.0689568890020147</v>
      </c>
      <c r="J159" s="46" t="n">
        <f aca="false">IFERROR((J157*J158),"N/M")</f>
        <v>0.0728330322784577</v>
      </c>
      <c r="K159" s="25" t="n">
        <f aca="false">IFERROR(AVERAGE(D159:J159),"N/M")</f>
        <v>0.0521579970212584</v>
      </c>
      <c r="L159" s="86" t="n">
        <f aca="false">IFERROR(J159-D159,"N/M")</f>
        <v>0.0465400593556035</v>
      </c>
      <c r="M159" s="87" t="n">
        <f aca="false">IFERROR(SLOPE(D159:J159,$D$3:$J$3),"N/M")</f>
        <v>0.00988535802478749</v>
      </c>
    </row>
    <row r="160" customFormat="false" ht="15" hidden="false" customHeight="false" outlineLevel="0" collapsed="false">
      <c r="A160" s="18" t="s">
        <v>629</v>
      </c>
      <c r="B160" s="19" t="s">
        <v>630</v>
      </c>
      <c r="D160" s="47" t="n">
        <f aca="false">IFERROR(IF(((D61+C61)/2)&lt;=0,"N/M",((D35+C35)/2)/((D61+C61)/2)),"N/M")</f>
        <v>1.68424551870516</v>
      </c>
      <c r="E160" s="47" t="n">
        <f aca="false">IFERROR(IF(((E61+D61)/2)&lt;=0,"N/M",((E35+D35)/2)/((E61+D61)/2)),"N/M")</f>
        <v>1.85404544608888</v>
      </c>
      <c r="F160" s="47" t="n">
        <f aca="false">IFERROR(IF(((F61+E61)/2)&lt;=0,"N/M",((F35+E35)/2)/((F61+E61)/2)),"N/M")</f>
        <v>1.95708916647409</v>
      </c>
      <c r="G160" s="47" t="n">
        <f aca="false">IFERROR(IF(((G61+F61)/2)&lt;=0,"N/M",((G35+F35)/2)/((G61+F61)/2)),"N/M")</f>
        <v>1.80381990841672</v>
      </c>
      <c r="H160" s="47" t="n">
        <f aca="false">IFERROR(IF(((H61+G61)/2)&lt;=0,"N/M",((H35+G35)/2)/((H61+G61)/2)),"N/M")</f>
        <v>1.67260688342512</v>
      </c>
      <c r="I160" s="47" t="n">
        <f aca="false">IFERROR(IF(((I61+H61)/2)&lt;=0,"N/M",((I35+H35)/2)/((I61+H61)/2)),"N/M")</f>
        <v>1.60707293182706</v>
      </c>
      <c r="J160" s="47" t="n">
        <f aca="false">IFERROR(IF(((J61+I61)/2)&lt;=0,"N/M",((J35+I35)/2)/((J61+I61)/2)),"N/M")</f>
        <v>1.51628816879644</v>
      </c>
      <c r="K160" s="22" t="n">
        <f aca="false">IFERROR(AVERAGE(D160:J160),"N/M")</f>
        <v>1.72788114624764</v>
      </c>
      <c r="L160" s="82" t="n">
        <f aca="false">IFERROR(J160-D160,"N/M")</f>
        <v>-0.167957349908724</v>
      </c>
      <c r="M160" s="83" t="n">
        <f aca="false">IFERROR(SLOPE(D160:J160,$D$3:$J$3),"N/M")</f>
        <v>-0.045796405760671</v>
      </c>
    </row>
    <row r="161" customFormat="false" ht="15" hidden="false" customHeight="false" outlineLevel="0" collapsed="false">
      <c r="A161" s="18" t="s">
        <v>631</v>
      </c>
      <c r="B161" s="19" t="s">
        <v>632</v>
      </c>
      <c r="D161" s="46" t="n">
        <f aca="false">IFERROR(((D157*D158)*D160),"N/M")</f>
        <v>0.0442838218187533</v>
      </c>
      <c r="E161" s="46" t="n">
        <f aca="false">IFERROR(((E157*E158)*E160),"N/M")</f>
        <v>-0.0145715597536018</v>
      </c>
      <c r="F161" s="46" t="n">
        <f aca="false">IFERROR(((F157*F158)*F160),"N/M")</f>
        <v>0.161561247443729</v>
      </c>
      <c r="G161" s="46" t="n">
        <f aca="false">IFERROR(((G157*G158)*G160),"N/M")</f>
        <v>0.101449356497972</v>
      </c>
      <c r="H161" s="46" t="n">
        <f aca="false">IFERROR(((H157*H158)*H160),"N/M")</f>
        <v>0.110541268636012</v>
      </c>
      <c r="I161" s="46" t="n">
        <f aca="false">IFERROR(((I157*I158)*I160),"N/M")</f>
        <v>0.110818749778141</v>
      </c>
      <c r="J161" s="46" t="n">
        <f aca="false">IFERROR(((J157*J158)*J160),"N/M")</f>
        <v>0.110435865141395</v>
      </c>
      <c r="K161" s="25" t="n">
        <f aca="false">IFERROR(AVERAGE(D161:J161),"N/M")</f>
        <v>0.0892169642232001</v>
      </c>
      <c r="L161" s="86" t="n">
        <f aca="false">IFERROR(J161-D161,"N/M")</f>
        <v>0.0661520433226413</v>
      </c>
      <c r="M161" s="87" t="n">
        <f aca="false">IFERROR(SLOPE(D161:J161,$D$3:$J$3),"N/M")</f>
        <v>0.014222027507989</v>
      </c>
    </row>
    <row r="162" customFormat="false" ht="15" hidden="false" customHeight="false" outlineLevel="0" collapsed="false">
      <c r="A162" s="18" t="s">
        <v>633</v>
      </c>
      <c r="B162" s="19" t="s">
        <v>634</v>
      </c>
      <c r="D162" s="47" t="n">
        <f aca="false">IFERROR(IF(D20=0,"N/M",D22/D20),"N/M")</f>
        <v>0.730934178631363</v>
      </c>
      <c r="E162" s="47" t="n">
        <f aca="false">IFERROR(IF(E20=0,"N/M",E22/E20),"N/M")</f>
        <v>-20.5814850530378</v>
      </c>
      <c r="F162" s="47" t="n">
        <f aca="false">IFERROR(IF(F20=0,"N/M",F22/F20),"N/M")</f>
        <v>0.747161699514129</v>
      </c>
      <c r="G162" s="47" t="n">
        <f aca="false">IFERROR(IF(G20=0,"N/M",G22/G20),"N/M")</f>
        <v>0.66520091036604</v>
      </c>
      <c r="H162" s="47" t="n">
        <f aca="false">IFERROR(IF(H20=0,"N/M",H22/H20),"N/M")</f>
        <v>0.772103810473051</v>
      </c>
      <c r="I162" s="47" t="n">
        <f aca="false">IFERROR(IF(I20=0,"N/M",I22/I20),"N/M")</f>
        <v>0.7811858542021</v>
      </c>
      <c r="J162" s="47" t="n">
        <f aca="false">IFERROR(IF(J20=0,"N/M",J22/J20),"N/M")</f>
        <v>0.77908889447351</v>
      </c>
      <c r="K162" s="22" t="n">
        <f aca="false">IFERROR(AVERAGE(D162:J162),"N/M")</f>
        <v>-2.30082995791108</v>
      </c>
      <c r="L162" s="82" t="n">
        <f aca="false">IFERROR(J162-D162,"N/M")</f>
        <v>0.0481547158421468</v>
      </c>
      <c r="M162" s="83" t="n">
        <f aca="false">IFERROR(SLOPE(D162:J162,$D$3:$J$3),"N/M")</f>
        <v>1.53195528832018</v>
      </c>
    </row>
    <row r="163" customFormat="false" ht="15" hidden="false" customHeight="false" outlineLevel="0" collapsed="false">
      <c r="A163" s="18" t="s">
        <v>635</v>
      </c>
      <c r="B163" s="19" t="s">
        <v>636</v>
      </c>
      <c r="D163" s="47" t="n">
        <f aca="false">IFERROR(IF(D58=0,"N/M",D20/D58),"N/M")</f>
        <v>0.713879666750188</v>
      </c>
      <c r="E163" s="47" t="n">
        <f aca="false">IFERROR(IF(E58=0,"N/M",E20/E58),"N/M")</f>
        <v>0.0202697419859263</v>
      </c>
      <c r="F163" s="47" t="n">
        <f aca="false">IFERROR(IF(F58=0,"N/M",F20/F58),"N/M")</f>
        <v>0.910062894822038</v>
      </c>
      <c r="G163" s="47" t="n">
        <f aca="false">IFERROR(IF(G58=0,"N/M",G20/G58),"N/M")</f>
        <v>0.892283451535828</v>
      </c>
      <c r="H163" s="47" t="n">
        <f aca="false">IFERROR(IF(H58=0,"N/M",H20/H58),"N/M")</f>
        <v>0.86013208959407</v>
      </c>
      <c r="I163" s="47" t="n">
        <f aca="false">IFERROR(IF(I58=0,"N/M",I20/I58),"N/M")</f>
        <v>0.86728517512538</v>
      </c>
      <c r="J163" s="47" t="n">
        <f aca="false">IFERROR(IF(J58=0,"N/M",J20/J58),"N/M")</f>
        <v>0.86417421290934</v>
      </c>
      <c r="K163" s="22" t="n">
        <f aca="false">IFERROR(AVERAGE(D163:J163),"N/M")</f>
        <v>0.732583890388967</v>
      </c>
      <c r="L163" s="82" t="n">
        <f aca="false">IFERROR(J163-D163,"N/M")</f>
        <v>0.150294546159152</v>
      </c>
      <c r="M163" s="83" t="n">
        <f aca="false">IFERROR(SLOPE(D163:J163,$D$3:$J$3),"N/M")</f>
        <v>0.0748208464117284</v>
      </c>
    </row>
    <row r="164" customFormat="false" ht="15" hidden="false" customHeight="false" outlineLevel="0" collapsed="false">
      <c r="A164" s="18" t="s">
        <v>637</v>
      </c>
      <c r="B164" s="19" t="s">
        <v>577</v>
      </c>
      <c r="D164" s="46" t="n">
        <f aca="false">IFERROR(IF(D9&lt;=0,"N/M",D58/D9),"N/M")</f>
        <v>0.0504688179827569</v>
      </c>
      <c r="E164" s="46" t="n">
        <f aca="false">IFERROR(IF(E9&lt;=0,"N/M",E58/E9),"N/M")</f>
        <v>0.0185240234787291</v>
      </c>
      <c r="F164" s="46" t="n">
        <f aca="false">IFERROR(IF(F9&lt;=0,"N/M",F58/F9),"N/M")</f>
        <v>0.0895796488418871</v>
      </c>
      <c r="G164" s="46" t="n">
        <f aca="false">IFERROR(IF(G9&lt;=0,"N/M",G58/G9),"N/M")</f>
        <v>0.0690407295052778</v>
      </c>
      <c r="H164" s="46" t="n">
        <f aca="false">IFERROR(IF(H9&lt;=0,"N/M",H58/H9),"N/M")</f>
        <v>0.080210640904388</v>
      </c>
      <c r="I164" s="46" t="n">
        <f aca="false">IFERROR(IF(I9&lt;=0,"N/M",I58/I9),"N/M")</f>
        <v>0.101963388981013</v>
      </c>
      <c r="J164" s="46" t="n">
        <f aca="false">IFERROR(IF(J9&lt;=0,"N/M",J58/J9),"N/M")</f>
        <v>0.0974428248364031</v>
      </c>
      <c r="K164" s="25" t="n">
        <f aca="false">IFERROR(AVERAGE(D164:J164),"N/M")</f>
        <v>0.0724614392186364</v>
      </c>
      <c r="L164" s="86" t="n">
        <f aca="false">IFERROR(J164-D164,"N/M")</f>
        <v>0.0469740068536462</v>
      </c>
      <c r="M164" s="87" t="n">
        <f aca="false">IFERROR(SLOPE(D164:J164,$D$3:$J$3),"N/M")</f>
        <v>0.0106582765581431</v>
      </c>
    </row>
    <row r="165" customFormat="false" ht="15" hidden="false" customHeight="false" outlineLevel="0" collapsed="false">
      <c r="A165" s="18" t="s">
        <v>638</v>
      </c>
      <c r="B165" s="19" t="s">
        <v>626</v>
      </c>
      <c r="D165" s="47" t="n">
        <f aca="false">IFERROR(D113,"N/M")</f>
        <v>0.998420014854898</v>
      </c>
      <c r="E165" s="47" t="n">
        <f aca="false">IFERROR(E113,"N/M")</f>
        <v>1.01701044879171</v>
      </c>
      <c r="F165" s="47" t="n">
        <f aca="false">IFERROR(F113,"N/M")</f>
        <v>1.35528683693451</v>
      </c>
      <c r="G165" s="47" t="n">
        <f aca="false">IFERROR(G113,"N/M")</f>
        <v>1.37244539926846</v>
      </c>
      <c r="H165" s="47" t="n">
        <f aca="false">IFERROR(H113,"N/M")</f>
        <v>1.24067414532106</v>
      </c>
      <c r="I165" s="47" t="n">
        <f aca="false">IFERROR(I113,"N/M")</f>
        <v>0.99819894131503</v>
      </c>
      <c r="J165" s="47" t="n">
        <f aca="false">IFERROR(J113,"N/M")</f>
        <v>1.110171846003</v>
      </c>
      <c r="K165" s="22" t="n">
        <f aca="false">IFERROR(AVERAGE(D165:J165),"N/M")</f>
        <v>1.1560296617841</v>
      </c>
      <c r="L165" s="82" t="n">
        <f aca="false">IFERROR(J165-D165,"N/M")</f>
        <v>0.111751831148102</v>
      </c>
      <c r="M165" s="83" t="n">
        <f aca="false">IFERROR(SLOPE(D165:J165,$D$3:$J$3),"N/M")</f>
        <v>0.00653642095991018</v>
      </c>
    </row>
    <row r="166" customFormat="false" ht="15" hidden="false" customHeight="false" outlineLevel="0" collapsed="false">
      <c r="A166" s="18" t="s">
        <v>639</v>
      </c>
      <c r="B166" s="19" t="s">
        <v>640</v>
      </c>
      <c r="D166" s="47" t="n">
        <f aca="false">IFERROR(D160,"N/M")</f>
        <v>1.68424551870516</v>
      </c>
      <c r="E166" s="47" t="n">
        <f aca="false">IFERROR(E160,"N/M")</f>
        <v>1.85404544608888</v>
      </c>
      <c r="F166" s="47" t="n">
        <f aca="false">IFERROR(F160,"N/M")</f>
        <v>1.95708916647409</v>
      </c>
      <c r="G166" s="47" t="n">
        <f aca="false">IFERROR(G160,"N/M")</f>
        <v>1.80381990841672</v>
      </c>
      <c r="H166" s="47" t="n">
        <f aca="false">IFERROR(H160,"N/M")</f>
        <v>1.67260688342512</v>
      </c>
      <c r="I166" s="47" t="n">
        <f aca="false">IFERROR(I160,"N/M")</f>
        <v>1.60707293182706</v>
      </c>
      <c r="J166" s="47" t="n">
        <f aca="false">IFERROR(J160,"N/M")</f>
        <v>1.51628816879644</v>
      </c>
      <c r="K166" s="22" t="n">
        <f aca="false">IFERROR(AVERAGE(D166:J166),"N/M")</f>
        <v>1.72788114624764</v>
      </c>
      <c r="L166" s="82" t="n">
        <f aca="false">IFERROR(J166-D166,"N/M")</f>
        <v>-0.167957349908724</v>
      </c>
      <c r="M166" s="83" t="n">
        <f aca="false">IFERROR(SLOPE(D166:J166,$D$3:$J$3),"N/M")</f>
        <v>-0.045796405760671</v>
      </c>
    </row>
    <row r="167" customFormat="false" ht="15" hidden="false" customHeight="false" outlineLevel="0" collapsed="false">
      <c r="A167" s="18" t="s">
        <v>641</v>
      </c>
      <c r="B167" s="19" t="s">
        <v>642</v>
      </c>
      <c r="D167" s="46" t="n">
        <f aca="false">IFERROR(((((D162*D163)*D164)*D165)*D166),"N/M")</f>
        <v>0.0442838218187533</v>
      </c>
      <c r="E167" s="46" t="n">
        <f aca="false">IFERROR(((((E162*E163)*E164)*E165)*E166),"N/M")</f>
        <v>-0.0145715597536018</v>
      </c>
      <c r="F167" s="46" t="n">
        <f aca="false">IFERROR(((((F162*F163)*F164)*F165)*F166),"N/M")</f>
        <v>0.161561247443729</v>
      </c>
      <c r="G167" s="46" t="n">
        <f aca="false">IFERROR(((((G162*G163)*G164)*G165)*G166),"N/M")</f>
        <v>0.101449356497972</v>
      </c>
      <c r="H167" s="46" t="n">
        <f aca="false">IFERROR(((((H162*H163)*H164)*H165)*H166),"N/M")</f>
        <v>0.110541268636012</v>
      </c>
      <c r="I167" s="46" t="n">
        <f aca="false">IFERROR(((((I162*I163)*I164)*I165)*I166),"N/M")</f>
        <v>0.110818749778141</v>
      </c>
      <c r="J167" s="46" t="n">
        <f aca="false">IFERROR(((((J162*J163)*J164)*J165)*J166),"N/M")</f>
        <v>0.110435865141395</v>
      </c>
      <c r="K167" s="25" t="n">
        <f aca="false">IFERROR(AVERAGE(D167:J167),"N/M")</f>
        <v>0.0892169642232001</v>
      </c>
      <c r="L167" s="86" t="n">
        <f aca="false">IFERROR(J167-D167,"N/M")</f>
        <v>0.0661520433226413</v>
      </c>
      <c r="M167" s="87" t="n">
        <f aca="false">IFERROR(SLOPE(D167:J167,$D$3:$J$3),"N/M")</f>
        <v>0.014222027507989</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n">
        <f aca="false">IFERROR(IF((1-(D135*D149))&lt;=0,"N/M",(D135*D149)/(1-(D135*D149))),"N/M")</f>
        <v>0.0138627624519349</v>
      </c>
      <c r="E170" s="46" t="str">
        <f aca="false">IFERROR(IF((1-(E135*E149))&lt;=0,"N/M",(E135*E149)/(1-(E135*E149))),"N/M")</f>
        <v>N/M</v>
      </c>
      <c r="F170" s="46" t="n">
        <f aca="false">IFERROR(IF((1-(F135*F149))&lt;=0,"N/M",(F135*F149)/(1-(F135*F149))),"N/M")</f>
        <v>0.058447942545521</v>
      </c>
      <c r="G170" s="46" t="n">
        <f aca="false">IFERROR(IF((1-(G135*G149))&lt;=0,"N/M",(G135*G149)/(1-(G135*G149))),"N/M")</f>
        <v>0.0277397064798058</v>
      </c>
      <c r="H170" s="46" t="n">
        <f aca="false">IFERROR(IF((1-(H135*H149))&lt;=0,"N/M",(H135*H149)/(1-(H135*H149))),"N/M")</f>
        <v>0.0368089393381399</v>
      </c>
      <c r="I170" s="46" t="n">
        <f aca="false">IFERROR(IF((1-(I135*I149))&lt;=0,"N/M",(I135*I149)/(1-(I135*I149))),"N/M")</f>
        <v>0.0299113589407505</v>
      </c>
      <c r="J170" s="46" t="n">
        <f aca="false">IFERROR(IF((1-(J135*J149))&lt;=0,"N/M",(J135*J149)/(1-(J135*J149))),"N/M")</f>
        <v>0.0457398109932857</v>
      </c>
      <c r="K170" s="25" t="n">
        <f aca="false">IFERROR(AVERAGE(D170:J170),"N/M")</f>
        <v>0.0354184201249063</v>
      </c>
      <c r="L170" s="86" t="n">
        <f aca="false">IFERROR(J170-D170,"N/M")</f>
        <v>0.0318770485413508</v>
      </c>
      <c r="M170" s="87" t="n">
        <f aca="false">IFERROR(SLOPE(D170:J170,$D$3:$J$3),"N/M")</f>
        <v>0.00269905800207256</v>
      </c>
    </row>
    <row r="171" customFormat="false" ht="15" hidden="false" customHeight="false" outlineLevel="0" collapsed="false">
      <c r="A171" s="18" t="s">
        <v>645</v>
      </c>
      <c r="B171" s="19" t="s">
        <v>646</v>
      </c>
      <c r="D171" s="46" t="n">
        <f aca="false">IFERROR(IF((1-(D139*D149))&lt;=0,"N/M",(D139*D149)/(1-(D139*D149))),"N/M")</f>
        <v>0.0235718874548653</v>
      </c>
      <c r="E171" s="46" t="str">
        <f aca="false">IFERROR(IF((1-(E139*E149))&lt;=0,"N/M",(E139*E149)/(1-(E139*E149))),"N/M")</f>
        <v>N/M</v>
      </c>
      <c r="F171" s="46" t="n">
        <f aca="false">IFERROR(IF((1-(F139*F149))&lt;=0,"N/M",(F139*F149)/(1-(F139*F149))),"N/M")</f>
        <v>0.121165839191265</v>
      </c>
      <c r="G171" s="46" t="n">
        <f aca="false">IFERROR(IF((1-(G139*G149))&lt;=0,"N/M",(G139*G149)/(1-(G139*G149))),"N/M")</f>
        <v>0.051178601350734</v>
      </c>
      <c r="H171" s="46" t="n">
        <f aca="false">IFERROR(IF((1-(H139*H149))&lt;=0,"N/M",(H139*H149)/(1-(H139*H149))),"N/M")</f>
        <v>0.0631298507423497</v>
      </c>
      <c r="I171" s="46" t="n">
        <f aca="false">IFERROR(IF((1-(I139*I149))&lt;=0,"N/M",(I139*I149)/(1-(I139*I149))),"N/M")</f>
        <v>0.0489587466560856</v>
      </c>
      <c r="J171" s="46" t="n">
        <f aca="false">IFERROR(IF((1-(J139*J149))&lt;=0,"N/M",(J139*J149)/(1-(J139*J149))),"N/M")</f>
        <v>0.0710321530963841</v>
      </c>
      <c r="K171" s="25" t="n">
        <f aca="false">IFERROR(AVERAGE(D171:J171),"N/M")</f>
        <v>0.0631728464152806</v>
      </c>
      <c r="L171" s="86" t="n">
        <f aca="false">IFERROR(J171-D171,"N/M")</f>
        <v>0.0474602656415188</v>
      </c>
      <c r="M171" s="87" t="n">
        <f aca="false">IFERROR(SLOPE(D171:J171,$D$3:$J$3),"N/M")</f>
        <v>0.00239642609816793</v>
      </c>
    </row>
    <row r="172" customFormat="false" ht="15" hidden="false" customHeight="false" outlineLevel="0" collapsed="false">
      <c r="A172" s="18" t="s">
        <v>647</v>
      </c>
      <c r="B172" s="19" t="s">
        <v>648</v>
      </c>
      <c r="D172" s="46" t="n">
        <f aca="false">IFERROR((IF(C9&lt;=0,"N/M",D9/C9)-1),"N/M")</f>
        <v>-0.048764791434153</v>
      </c>
      <c r="E172" s="46" t="n">
        <f aca="false">IFERROR((IF(D9&lt;=0,"N/M",E9/D9)-1),"N/M")</f>
        <v>0.0914067621861654</v>
      </c>
      <c r="F172" s="46" t="n">
        <f aca="false">IFERROR((IF(E9&lt;=0,"N/M",F9/E9)-1),"N/M")</f>
        <v>0.46076372130107</v>
      </c>
      <c r="G172" s="46" t="n">
        <f aca="false">IFERROR((IF(F9&lt;=0,"N/M",G9/F9)-1),"N/M")</f>
        <v>0.0412999319595526</v>
      </c>
      <c r="H172" s="46" t="n">
        <f aca="false">IFERROR((IF(G9&lt;=0,"N/M",H9/G9)-1),"N/M")</f>
        <v>-0.0999651510217607</v>
      </c>
      <c r="I172" s="46" t="n">
        <f aca="false">IFERROR((IF(H9&lt;=0,"N/M",I9/H9)-1),"N/M")</f>
        <v>-0.235064924073639</v>
      </c>
      <c r="J172" s="46" t="n">
        <f aca="false">IFERROR((IF(I9&lt;=0,"N/M",J9/I9)-1),"N/M")</f>
        <v>0.0783298366251257</v>
      </c>
      <c r="K172" s="25" t="n">
        <f aca="false">IFERROR(AVERAGE(D172:J172),"N/M")</f>
        <v>0.0411436265060516</v>
      </c>
      <c r="L172" s="86" t="n">
        <f aca="false">IFERROR(J172-D172,"N/M")</f>
        <v>0.127094628059279</v>
      </c>
      <c r="M172" s="87" t="n">
        <f aca="false">IFERROR(SLOPE(D172:J172,$D$3:$J$3),"N/M")</f>
        <v>-0.0297281557380216</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0.726906362464844</v>
      </c>
      <c r="E176" s="46" t="n">
        <f aca="false">IFERROR(IF(E9&lt;=0,"N/M",E52/E9),"N/M")</f>
        <v>0.728206663796578</v>
      </c>
      <c r="F176" s="46" t="n">
        <f aca="false">IFERROR(IF(F9&lt;=0,"N/M",F52/F9),"N/M")</f>
        <v>0.761171088882637</v>
      </c>
      <c r="G176" s="46" t="n">
        <f aca="false">IFERROR(IF(G9&lt;=0,"N/M",G52/G9),"N/M")</f>
        <v>0.755990977351973</v>
      </c>
      <c r="H176" s="46" t="n">
        <f aca="false">IFERROR(IF(H9&lt;=0,"N/M",H52/H9),"N/M")</f>
        <v>0.740550992427464</v>
      </c>
      <c r="I176" s="46" t="n">
        <f aca="false">IFERROR(IF(I9&lt;=0,"N/M",I52/I9),"N/M")</f>
        <v>0.737697441847922</v>
      </c>
      <c r="J176" s="46" t="n">
        <f aca="false">IFERROR(IF(J9&lt;=0,"N/M",J52/J9),"N/M")</f>
        <v>0.737278492032014</v>
      </c>
      <c r="K176" s="25" t="n">
        <f aca="false">IFERROR(AVERAGE(D176:J176),"N/M")</f>
        <v>0.741114574114776</v>
      </c>
      <c r="L176" s="86" t="n">
        <f aca="false">IFERROR(J176-D176,"N/M")</f>
        <v>0.0103721295671696</v>
      </c>
      <c r="M176" s="87" t="n">
        <f aca="false">IFERROR(SLOPE(D176:J176,$D$3:$J$3),"N/M")</f>
        <v>0.00105278029817944</v>
      </c>
    </row>
    <row r="177" customFormat="false" ht="15" hidden="false" customHeight="false" outlineLevel="0" collapsed="false">
      <c r="A177" s="18" t="s">
        <v>407</v>
      </c>
      <c r="B177" s="19" t="s">
        <v>587</v>
      </c>
      <c r="D177" s="46" t="n">
        <f aca="false">IFERROR(IF(D9&lt;=0,"N/M",D14/D9),"N/M")</f>
        <v>0.111620845259439</v>
      </c>
      <c r="E177" s="46" t="n">
        <f aca="false">IFERROR(IF(E9&lt;=0,"N/M",E14/E9),"N/M")</f>
        <v>0.108993384432506</v>
      </c>
      <c r="F177" s="46" t="n">
        <f aca="false">IFERROR(IF(F9&lt;=0,"N/M",F14/F9),"N/M")</f>
        <v>0.0832212752192724</v>
      </c>
      <c r="G177" s="46" t="n">
        <f aca="false">IFERROR(IF(G9&lt;=0,"N/M",G14/G9),"N/M")</f>
        <v>0.090554260620845</v>
      </c>
      <c r="H177" s="46" t="n">
        <f aca="false">IFERROR(IF(H9&lt;=0,"N/M",H14/H9),"N/M")</f>
        <v>0.106531232742807</v>
      </c>
      <c r="I177" s="46" t="n">
        <f aca="false">IFERROR(IF(I9&lt;=0,"N/M",I14/I9),"N/M")</f>
        <v>0.08378096730428</v>
      </c>
      <c r="J177" s="46" t="n">
        <f aca="false">IFERROR(IF(J9&lt;=0,"N/M",J14/J9),"N/M")</f>
        <v>0.0827281579764992</v>
      </c>
      <c r="K177" s="25" t="n">
        <f aca="false">IFERROR(AVERAGE(D177:J177),"N/M")</f>
        <v>0.0953471605079499</v>
      </c>
      <c r="L177" s="86" t="n">
        <f aca="false">IFERROR(J177-D177,"N/M")</f>
        <v>-0.0288926872829402</v>
      </c>
      <c r="M177" s="87" t="n">
        <f aca="false">IFERROR(SLOPE(D177:J177,$D$3:$J$3),"N/M")</f>
        <v>-0.00406403352077639</v>
      </c>
    </row>
    <row r="178" customFormat="false" ht="15" hidden="false" customHeight="false" outlineLevel="0" collapsed="false">
      <c r="A178" s="18" t="s">
        <v>654</v>
      </c>
      <c r="B178" s="19" t="s">
        <v>655</v>
      </c>
      <c r="D178" s="46" t="n">
        <f aca="false">IFERROR(IF(D9&lt;=0,"N/M",D15/D9),"N/M")</f>
        <v>0.0366447435757098</v>
      </c>
      <c r="E178" s="46" t="n">
        <f aca="false">IFERROR(IF(E9&lt;=0,"N/M",E15/E9),"N/M")</f>
        <v>0.0559540650563994</v>
      </c>
      <c r="F178" s="46" t="n">
        <f aca="false">IFERROR(IF(F9&lt;=0,"N/M",F15/F9),"N/M")</f>
        <v>0.0378817980029075</v>
      </c>
      <c r="G178" s="46" t="n">
        <f aca="false">IFERROR(IF(G9&lt;=0,"N/M",G15/G9),"N/M")</f>
        <v>0.0383424454842008</v>
      </c>
      <c r="H178" s="46" t="n">
        <f aca="false">IFERROR(IF(H9&lt;=0,"N/M",H15/H9),"N/M")</f>
        <v>0.0443140920256692</v>
      </c>
      <c r="I178" s="46" t="n">
        <f aca="false">IFERROR(IF(I9&lt;=0,"N/M",I15/I9),"N/M")</f>
        <v>0.0449280904377362</v>
      </c>
      <c r="J178" s="46" t="n">
        <f aca="false">IFERROR(IF(J9&lt;=0,"N/M",J15/J9),"N/M")</f>
        <v>0.0460168404892534</v>
      </c>
      <c r="K178" s="25" t="n">
        <f aca="false">IFERROR(AVERAGE(D178:J178),"N/M")</f>
        <v>0.0434402964388395</v>
      </c>
      <c r="L178" s="86" t="n">
        <f aca="false">IFERROR(J178-D178,"N/M")</f>
        <v>0.00937209691354363</v>
      </c>
      <c r="M178" s="87" t="n">
        <f aca="false">IFERROR(SLOPE(D178:J178,$D$3:$J$3),"N/M")</f>
        <v>0.00044630841164522</v>
      </c>
    </row>
    <row r="179" customFormat="false" ht="15" hidden="false" customHeight="false" outlineLevel="0" collapsed="false">
      <c r="A179" s="18" t="s">
        <v>411</v>
      </c>
      <c r="B179" s="19" t="s">
        <v>656</v>
      </c>
      <c r="D179" s="46" t="n">
        <f aca="false">IFERROR(IF(D9&lt;=0,"N/M",D16/D9),"N/M")</f>
        <v>0.00364036857348688</v>
      </c>
      <c r="E179" s="46" t="n">
        <f aca="false">IFERROR(IF(E9&lt;=0,"N/M",E16/E9),"N/M")</f>
        <v>0.00629186778713594</v>
      </c>
      <c r="F179" s="46" t="n">
        <f aca="false">IFERROR(IF(F9&lt;=0,"N/M",F16/F9),"N/M")</f>
        <v>0.00222934712154205</v>
      </c>
      <c r="G179" s="46" t="n">
        <f aca="false">IFERROR(IF(G9&lt;=0,"N/M",G16/G9),"N/M")</f>
        <v>0.00268675148489021</v>
      </c>
      <c r="H179" s="46" t="n">
        <f aca="false">IFERROR(IF(H9&lt;=0,"N/M",H16/H9),"N/M")</f>
        <v>0.00305868873894746</v>
      </c>
      <c r="I179" s="46" t="n">
        <f aca="false">IFERROR(IF(I9&lt;=0,"N/M",I16/I9),"N/M")</f>
        <v>0.000816666920218349</v>
      </c>
      <c r="J179" s="46" t="n">
        <f aca="false">IFERROR(IF(J9&lt;=0,"N/M",J16/J9),"N/M")</f>
        <v>0.00011703245454251</v>
      </c>
      <c r="K179" s="25" t="n">
        <f aca="false">IFERROR(AVERAGE(D179:J179),"N/M")</f>
        <v>0.00269153186868049</v>
      </c>
      <c r="L179" s="86" t="n">
        <f aca="false">IFERROR(J179-D179,"N/M")</f>
        <v>-0.00352333611894437</v>
      </c>
      <c r="M179" s="87" t="n">
        <f aca="false">IFERROR(SLOPE(D179:J179,$D$3:$J$3),"N/M")</f>
        <v>-0.00073896673118796</v>
      </c>
    </row>
    <row r="180" customFormat="false" ht="15" hidden="false" customHeight="false" outlineLevel="0" collapsed="false">
      <c r="A180" s="18" t="s">
        <v>657</v>
      </c>
      <c r="B180" s="19" t="s">
        <v>658</v>
      </c>
      <c r="D180" s="46" t="n">
        <f aca="false">IFERROR(IF(D9&lt;=0,"N/M",D56/D9),"N/M")</f>
        <v>0.12118768012652</v>
      </c>
      <c r="E180" s="46" t="n">
        <f aca="false">IFERROR(IF(E9&lt;=0,"N/M",E56/E9),"N/M")</f>
        <v>0.100554018927381</v>
      </c>
      <c r="F180" s="46" t="n">
        <f aca="false">IFERROR(IF(F9&lt;=0,"N/M",F56/F9),"N/M")</f>
        <v>0.115496490773641</v>
      </c>
      <c r="G180" s="46" t="n">
        <f aca="false">IFERROR(IF(G9&lt;=0,"N/M",G56/G9),"N/M")</f>
        <v>0.112425565058091</v>
      </c>
      <c r="H180" s="46" t="n">
        <f aca="false">IFERROR(IF(H9&lt;=0,"N/M",H56/H9),"N/M")</f>
        <v>0.105544994065112</v>
      </c>
      <c r="I180" s="46" t="n">
        <f aca="false">IFERROR(IF(I9&lt;=0,"N/M",I56/I9),"N/M")</f>
        <v>0.132776833489844</v>
      </c>
      <c r="J180" s="46" t="n">
        <f aca="false">IFERROR(IF(J9&lt;=0,"N/M",J56/J9),"N/M")</f>
        <v>0.133859477047691</v>
      </c>
      <c r="K180" s="25" t="n">
        <f aca="false">IFERROR(AVERAGE(D180:J180),"N/M")</f>
        <v>0.117406437069754</v>
      </c>
      <c r="L180" s="86" t="n">
        <f aca="false">IFERROR(J180-D180,"N/M")</f>
        <v>0.0126717969211714</v>
      </c>
      <c r="M180" s="87" t="n">
        <f aca="false">IFERROR(SLOPE(D180:J180,$D$3:$J$3),"N/M")</f>
        <v>0.00330391154213969</v>
      </c>
    </row>
    <row r="181" customFormat="false" ht="15" hidden="false" customHeight="false" outlineLevel="0" collapsed="false">
      <c r="A181" s="18" t="s">
        <v>659</v>
      </c>
      <c r="B181" s="19" t="s">
        <v>660</v>
      </c>
      <c r="D181" s="46" t="n">
        <f aca="false">IFERROR(IF(D9&lt;=0,"N/M",D17/D9),"N/M")</f>
        <v>-0.0164199907291526</v>
      </c>
      <c r="E181" s="46" t="n">
        <f aca="false">IFERROR(IF(E9&lt;=0,"N/M",E17/E9),"N/M")</f>
        <v>-0.0255313617583194</v>
      </c>
      <c r="F181" s="46" t="n">
        <f aca="false">IFERROR(IF(F9&lt;=0,"N/M",F17/F9),"N/M")</f>
        <v>0.0120147780381795</v>
      </c>
      <c r="G181" s="46" t="n">
        <f aca="false">IFERROR(IF(G9&lt;=0,"N/M",G17/G9),"N/M")</f>
        <v>-0.0047760239029713</v>
      </c>
      <c r="H181" s="46" t="n">
        <f aca="false">IFERROR(IF(H9&lt;=0,"N/M",H17/H9),"N/M")</f>
        <v>0.0235266456353715</v>
      </c>
      <c r="I181" s="46" t="n">
        <f aca="false">IFERROR(IF(I9&lt;=0,"N/M",I17/I9),"N/M")</f>
        <v>0.0259047991801522</v>
      </c>
      <c r="J181" s="46" t="n">
        <f aca="false">IFERROR(IF(J9&lt;=0,"N/M",J17/J9),"N/M")</f>
        <v>0.0216788994973376</v>
      </c>
      <c r="K181" s="25" t="n">
        <f aca="false">IFERROR(AVERAGE(D181:J181),"N/M")</f>
        <v>0.00519967799437107</v>
      </c>
      <c r="L181" s="86" t="n">
        <f aca="false">IFERROR(J181-D181,"N/M")</f>
        <v>0.0380988902264901</v>
      </c>
      <c r="M181" s="87" t="n">
        <f aca="false">IFERROR(SLOPE(D181:J181,$D$3:$J$3),"N/M")</f>
        <v>0.00816717357691449</v>
      </c>
    </row>
    <row r="182" customFormat="false" ht="15" hidden="false" customHeight="false" outlineLevel="0" collapsed="false">
      <c r="A182" s="18" t="s">
        <v>661</v>
      </c>
      <c r="B182" s="19" t="s">
        <v>662</v>
      </c>
      <c r="D182" s="46" t="n">
        <f aca="false">IFERROR(IF(D9&lt;=0,"N/M",D18/D9),"N/M")</f>
        <v>0.0542988714146104</v>
      </c>
      <c r="E182" s="46" t="n">
        <f aca="false">IFERROR(IF(E9&lt;=0,"N/M",E18/E9),"N/M")</f>
        <v>0.0564986336903323</v>
      </c>
      <c r="F182" s="46" t="n">
        <f aca="false">IFERROR(IF(F9&lt;=0,"N/M",F18/F9),"N/M")</f>
        <v>0.0379316199699333</v>
      </c>
      <c r="G182" s="46" t="n">
        <f aca="false">IFERROR(IF(G9&lt;=0,"N/M",G18/G9),"N/M")</f>
        <v>0.038608811649842</v>
      </c>
      <c r="H182" s="46" t="n">
        <f aca="false">IFERROR(IF(H9&lt;=0,"N/M",H18/H9),"N/M")</f>
        <v>0.0488609987960959</v>
      </c>
      <c r="I182" s="46" t="n">
        <f aca="false">IFERROR(IF(I9&lt;=0,"N/M",I18/I9),"N/M")</f>
        <v>0.0567182436889834</v>
      </c>
      <c r="J182" s="46" t="n">
        <f aca="false">IFERROR(IF(J9&lt;=0,"N/M",J18/J9),"N/M")</f>
        <v>0.0580955517086257</v>
      </c>
      <c r="K182" s="25" t="n">
        <f aca="false">IFERROR(AVERAGE(D182:J182),"N/M")</f>
        <v>0.050144675845489</v>
      </c>
      <c r="L182" s="86" t="n">
        <f aca="false">IFERROR(J182-D182,"N/M")</f>
        <v>0.00379668029401535</v>
      </c>
      <c r="M182" s="87" t="n">
        <f aca="false">IFERROR(SLOPE(D182:J182,$D$3:$J$3),"N/M")</f>
        <v>0.000812808560911096</v>
      </c>
    </row>
    <row r="183" customFormat="false" ht="15" hidden="false" customHeight="false" outlineLevel="0" collapsed="false">
      <c r="A183" s="18" t="s">
        <v>663</v>
      </c>
      <c r="B183" s="19" t="s">
        <v>591</v>
      </c>
      <c r="D183" s="46" t="n">
        <f aca="false">IFERROR(IF(D9&lt;=0,"N/M",D19/D9),"N/M")</f>
        <v>0.0144401550199505</v>
      </c>
      <c r="E183" s="46" t="n">
        <f aca="false">IFERROR(IF(E9&lt;=0,"N/M",E19/E9),"N/M")</f>
        <v>0.018148546302274</v>
      </c>
      <c r="F183" s="46" t="n">
        <f aca="false">IFERROR(IF(F9&lt;=0,"N/M",F19/F9),"N/M")</f>
        <v>0.00805653429969772</v>
      </c>
      <c r="G183" s="46" t="n">
        <f aca="false">IFERROR(IF(G9&lt;=0,"N/M",G19/G9),"N/M")</f>
        <v>0.00743682908575705</v>
      </c>
      <c r="H183" s="46" t="n">
        <f aca="false">IFERROR(IF(H9&lt;=0,"N/M",H19/H9),"N/M")</f>
        <v>0.0112188947356172</v>
      </c>
      <c r="I183" s="46" t="n">
        <f aca="false">IFERROR(IF(I9&lt;=0,"N/M",I19/I9),"N/M")</f>
        <v>0.0135320533122378</v>
      </c>
      <c r="J183" s="46" t="n">
        <f aca="false">IFERROR(IF(J9&lt;=0,"N/M",J19/J9),"N/M")</f>
        <v>0.0132352483797418</v>
      </c>
      <c r="K183" s="25" t="n">
        <f aca="false">IFERROR(AVERAGE(D183:J183),"N/M")</f>
        <v>0.012295465876468</v>
      </c>
      <c r="L183" s="86" t="n">
        <f aca="false">IFERROR(J183-D183,"N/M")</f>
        <v>-0.00120490664020872</v>
      </c>
      <c r="M183" s="87" t="n">
        <f aca="false">IFERROR(SLOPE(D183:J183,$D$3:$J$3),"N/M")</f>
        <v>-0.000345905195170679</v>
      </c>
    </row>
    <row r="184" customFormat="false" ht="15" hidden="false" customHeight="false" outlineLevel="0" collapsed="false">
      <c r="A184" s="18" t="s">
        <v>664</v>
      </c>
      <c r="B184" s="19" t="s">
        <v>665</v>
      </c>
      <c r="D184" s="46" t="n">
        <f aca="false">IFERROR(IF(D9&lt;=0,"N/M",D20/D9),"N/M")</f>
        <v>0.0360286629628064</v>
      </c>
      <c r="E184" s="46" t="n">
        <f aca="false">IFERROR(IF(E9&lt;=0,"N/M",E20/E9),"N/M")</f>
        <v>0.00037547717645508</v>
      </c>
      <c r="F184" s="46" t="n">
        <f aca="false">IFERROR(IF(F9&lt;=0,"N/M",F20/F9),"N/M")</f>
        <v>0.0815231145421894</v>
      </c>
      <c r="G184" s="46" t="n">
        <f aca="false">IFERROR(IF(G9&lt;=0,"N/M",G20/G9),"N/M")</f>
        <v>0.0616039004195208</v>
      </c>
      <c r="H184" s="46" t="n">
        <f aca="false">IFERROR(IF(H9&lt;=0,"N/M",H20/H9),"N/M")</f>
        <v>0.0689917461687709</v>
      </c>
      <c r="I184" s="46" t="n">
        <f aca="false">IFERROR(IF(I9&lt;=0,"N/M",I20/I9),"N/M")</f>
        <v>0.0884313356687748</v>
      </c>
      <c r="J184" s="46" t="n">
        <f aca="false">IFERROR(IF(J9&lt;=0,"N/M",J20/J9),"N/M")</f>
        <v>0.0842075764566613</v>
      </c>
      <c r="K184" s="25" t="n">
        <f aca="false">IFERROR(AVERAGE(D184:J184),"N/M")</f>
        <v>0.0601659733421684</v>
      </c>
      <c r="L184" s="86" t="n">
        <f aca="false">IFERROR(J184-D184,"N/M")</f>
        <v>0.0481789134938549</v>
      </c>
      <c r="M184" s="87" t="n">
        <f aca="false">IFERROR(SLOPE(D184:J184,$D$3:$J$3),"N/M")</f>
        <v>0.0110041817533138</v>
      </c>
    </row>
    <row r="185" customFormat="false" ht="15" hidden="false" customHeight="false" outlineLevel="0" collapsed="false">
      <c r="A185" s="18" t="s">
        <v>421</v>
      </c>
      <c r="B185" s="19" t="s">
        <v>666</v>
      </c>
      <c r="D185" s="46" t="n">
        <f aca="false">IFERROR(IF(D9&lt;=0,"N/M",D21/D9),"N/M")</f>
        <v>0.00920840952012497</v>
      </c>
      <c r="E185" s="46" t="n">
        <f aca="false">IFERROR(IF(E9&lt;=0,"N/M",E21/E9),"N/M")</f>
        <v>0.0113370934156076</v>
      </c>
      <c r="F185" s="46" t="n">
        <f aca="false">IFERROR(IF(F9&lt;=0,"N/M",F21/F9),"N/M")</f>
        <v>0.0196244018575414</v>
      </c>
      <c r="G185" s="46" t="n">
        <f aca="false">IFERROR(IF(G9&lt;=0,"N/M",G21/G9),"N/M")</f>
        <v>0.0199669886864601</v>
      </c>
      <c r="H185" s="46" t="n">
        <f aca="false">IFERROR(IF(H9&lt;=0,"N/M",H21/H9),"N/M")</f>
        <v>0.0157732068916634</v>
      </c>
      <c r="I185" s="46" t="n">
        <f aca="false">IFERROR(IF(I9&lt;=0,"N/M",I21/I9),"N/M")</f>
        <v>0.018920602826041</v>
      </c>
      <c r="J185" s="46" t="n">
        <f aca="false">IFERROR(IF(J9&lt;=0,"N/M",J21/J9),"N/M")</f>
        <v>0.0180980270251985</v>
      </c>
      <c r="K185" s="25" t="n">
        <f aca="false">IFERROR(AVERAGE(D185:J185),"N/M")</f>
        <v>0.016132675746091</v>
      </c>
      <c r="L185" s="86" t="n">
        <f aca="false">IFERROR(J185-D185,"N/M")</f>
        <v>0.00888961750507356</v>
      </c>
      <c r="M185" s="87" t="n">
        <f aca="false">IFERROR(SLOPE(D185:J185,$D$3:$J$3),"N/M")</f>
        <v>0.00135659558465034</v>
      </c>
    </row>
    <row r="186" customFormat="false" ht="15" hidden="false" customHeight="false" outlineLevel="0" collapsed="false">
      <c r="A186" s="18" t="s">
        <v>667</v>
      </c>
      <c r="B186" s="19" t="s">
        <v>668</v>
      </c>
      <c r="D186" s="46" t="n">
        <f aca="false">IFERROR(IF(D9&lt;=0,"N/M",D22/D9),"N/M")</f>
        <v>0.0263345811699051</v>
      </c>
      <c r="E186" s="46" t="n">
        <f aca="false">IFERROR(IF(E9&lt;=0,"N/M",E22/E9),"N/M")</f>
        <v>-0.00772787789496705</v>
      </c>
      <c r="F186" s="46" t="n">
        <f aca="false">IFERROR(IF(F9&lt;=0,"N/M",F22/F9),"N/M")</f>
        <v>0.0609109488110273</v>
      </c>
      <c r="G186" s="46" t="n">
        <f aca="false">IFERROR(IF(G9&lt;=0,"N/M",G22/G9),"N/M")</f>
        <v>0.0409789706411641</v>
      </c>
      <c r="H186" s="46" t="n">
        <f aca="false">IFERROR(IF(H9&lt;=0,"N/M",H22/H9),"N/M")</f>
        <v>0.0532687901080975</v>
      </c>
      <c r="I186" s="46" t="n">
        <f aca="false">IFERROR(IF(I9&lt;=0,"N/M",I22/I9),"N/M")</f>
        <v>0.0690813084926445</v>
      </c>
      <c r="J186" s="46" t="n">
        <f aca="false">IFERROR(IF(J9&lt;=0,"N/M",J22/J9),"N/M")</f>
        <v>0.0656051876479138</v>
      </c>
      <c r="K186" s="25" t="n">
        <f aca="false">IFERROR(AVERAGE(D186:J186),"N/M")</f>
        <v>0.0440645584251122</v>
      </c>
      <c r="L186" s="86" t="n">
        <f aca="false">IFERROR(J186-D186,"N/M")</f>
        <v>0.0392706064780087</v>
      </c>
      <c r="M186" s="87" t="n">
        <f aca="false">IFERROR(SLOPE(D186:J186,$D$3:$J$3),"N/M")</f>
        <v>0.00942100119665426</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0.0219395903030071</v>
      </c>
      <c r="E189" s="46" t="n">
        <f aca="false">IFERROR(IF(E35&lt;=0,"N/M",E26/E35),"N/M")</f>
        <v>0.0206101178616653</v>
      </c>
      <c r="F189" s="46" t="n">
        <f aca="false">IFERROR(IF(F35&lt;=0,"N/M",F26/F35),"N/M")</f>
        <v>0.0189157770013516</v>
      </c>
      <c r="G189" s="46" t="n">
        <f aca="false">IFERROR(IF(G35&lt;=0,"N/M",G26/G35),"N/M")</f>
        <v>0.0213761938013751</v>
      </c>
      <c r="H189" s="46" t="n">
        <f aca="false">IFERROR(IF(H35&lt;=0,"N/M",H26/H35),"N/M")</f>
        <v>0.0254597512635628</v>
      </c>
      <c r="I189" s="46" t="n">
        <f aca="false">IFERROR(IF(I35&lt;=0,"N/M",I26/I35),"N/M")</f>
        <v>0.0333822669919993</v>
      </c>
      <c r="J189" s="46" t="n">
        <f aca="false">IFERROR(IF(J35&lt;=0,"N/M",J26/J35),"N/M")</f>
        <v>0.0347180800074338</v>
      </c>
      <c r="K189" s="25" t="n">
        <f aca="false">IFERROR(AVERAGE(D189:J189),"N/M")</f>
        <v>0.0252002538900564</v>
      </c>
      <c r="L189" s="86" t="n">
        <f aca="false">IFERROR(J189-D189,"N/M")</f>
        <v>0.0127784897044267</v>
      </c>
      <c r="M189" s="87" t="n">
        <f aca="false">IFERROR(SLOPE(D189:J189,$D$3:$J$3),"N/M")</f>
        <v>0.00251513362986284</v>
      </c>
    </row>
    <row r="190" customFormat="false" ht="15" hidden="false" customHeight="false" outlineLevel="0" collapsed="false">
      <c r="A190" s="18" t="s">
        <v>671</v>
      </c>
      <c r="B190" s="19" t="s">
        <v>672</v>
      </c>
      <c r="D190" s="46" t="n">
        <f aca="false">IFERROR(IF(D35&lt;=0,"N/M",D27/D35),"N/M")</f>
        <v>0.55156373117589</v>
      </c>
      <c r="E190" s="46" t="n">
        <f aca="false">IFERROR(IF(E35&lt;=0,"N/M",E27/E35),"N/M")</f>
        <v>0.487211256630272</v>
      </c>
      <c r="F190" s="46" t="n">
        <f aca="false">IFERROR(IF(F35&lt;=0,"N/M",F27/F35),"N/M")</f>
        <v>0.494880517727232</v>
      </c>
      <c r="G190" s="46" t="n">
        <f aca="false">IFERROR(IF(G35&lt;=0,"N/M",G27/G35),"N/M")</f>
        <v>0.575467166555411</v>
      </c>
      <c r="H190" s="46" t="n">
        <f aca="false">IFERROR(IF(H35&lt;=0,"N/M",H27/H35),"N/M")</f>
        <v>0.573398128451316</v>
      </c>
      <c r="I190" s="46" t="n">
        <f aca="false">IFERROR(IF(I35&lt;=0,"N/M",I27/I35),"N/M")</f>
        <v>0.615840312045891</v>
      </c>
      <c r="J190" s="46" t="n">
        <f aca="false">IFERROR(IF(J35&lt;=0,"N/M",J27/J35),"N/M")</f>
        <v>0.634241580115729</v>
      </c>
      <c r="K190" s="25" t="n">
        <f aca="false">IFERROR(AVERAGE(D190:J190),"N/M")</f>
        <v>0.561800384671677</v>
      </c>
      <c r="L190" s="86" t="n">
        <f aca="false">IFERROR(J190-D190,"N/M")</f>
        <v>0.0826778489398393</v>
      </c>
      <c r="M190" s="87" t="n">
        <f aca="false">IFERROR(SLOPE(D190:J190,$D$3:$J$3),"N/M")</f>
        <v>0.0208503310133872</v>
      </c>
    </row>
    <row r="191" customFormat="false" ht="15" hidden="false" customHeight="false" outlineLevel="0" collapsed="false">
      <c r="A191" s="18" t="s">
        <v>673</v>
      </c>
      <c r="B191" s="19" t="s">
        <v>674</v>
      </c>
      <c r="D191" s="46" t="n">
        <f aca="false">IFERROR(IF(D35&lt;=0,"N/M",D61/D35),"N/M")</f>
        <v>0.573503321478897</v>
      </c>
      <c r="E191" s="46" t="n">
        <f aca="false">IFERROR(IF(E35&lt;=0,"N/M",E61/E35),"N/M")</f>
        <v>0.507821374491938</v>
      </c>
      <c r="F191" s="46" t="n">
        <f aca="false">IFERROR(IF(F35&lt;=0,"N/M",F61/F35),"N/M")</f>
        <v>0.513796294728583</v>
      </c>
      <c r="G191" s="46" t="n">
        <f aca="false">IFERROR(IF(G35&lt;=0,"N/M",G61/G35),"N/M")</f>
        <v>0.596843360356786</v>
      </c>
      <c r="H191" s="46" t="n">
        <f aca="false">IFERROR(IF(H35&lt;=0,"N/M",H61/H35),"N/M")</f>
        <v>0.598857879714879</v>
      </c>
      <c r="I191" s="46" t="n">
        <f aca="false">IFERROR(IF(I35&lt;=0,"N/M",I61/I35),"N/M")</f>
        <v>0.649222579037891</v>
      </c>
      <c r="J191" s="46" t="n">
        <f aca="false">IFERROR(IF(J35&lt;=0,"N/M",J61/J35),"N/M")</f>
        <v>0.668959660123163</v>
      </c>
      <c r="K191" s="25" t="n">
        <f aca="false">IFERROR(AVERAGE(D191:J191),"N/M")</f>
        <v>0.587000638561734</v>
      </c>
      <c r="L191" s="86" t="n">
        <f aca="false">IFERROR(J191-D191,"N/M")</f>
        <v>0.095456338644266</v>
      </c>
      <c r="M191" s="87" t="n">
        <f aca="false">IFERROR(SLOPE(D191:J191,$D$3:$J$3),"N/M")</f>
        <v>0.02336546464325</v>
      </c>
    </row>
    <row r="192" customFormat="false" ht="15" hidden="false" customHeight="false" outlineLevel="0" collapsed="false">
      <c r="A192" s="18" t="s">
        <v>675</v>
      </c>
      <c r="B192" s="19" t="s">
        <v>676</v>
      </c>
      <c r="D192" s="46" t="n">
        <f aca="false">IFERROR(IF(D35&lt;=0,"N/M",D28/D35),"N/M")</f>
        <v>0.164344283509552</v>
      </c>
      <c r="E192" s="46" t="n">
        <f aca="false">IFERROR(IF(E35&lt;=0,"N/M",E28/E35),"N/M")</f>
        <v>0.223040671572404</v>
      </c>
      <c r="F192" s="46" t="n">
        <f aca="false">IFERROR(IF(F35&lt;=0,"N/M",F28/F35),"N/M")</f>
        <v>0.208463925308046</v>
      </c>
      <c r="G192" s="46" t="n">
        <f aca="false">IFERROR(IF(G35&lt;=0,"N/M",G28/G35),"N/M")</f>
        <v>0.154625335815395</v>
      </c>
      <c r="H192" s="46" t="n">
        <f aca="false">IFERROR(IF(H35&lt;=0,"N/M",H28/H35),"N/M")</f>
        <v>0.175179134958109</v>
      </c>
      <c r="I192" s="46" t="n">
        <f aca="false">IFERROR(IF(I35&lt;=0,"N/M",I28/I35),"N/M")</f>
        <v>0.16798846993701</v>
      </c>
      <c r="J192" s="46" t="n">
        <f aca="false">IFERROR(IF(J35&lt;=0,"N/M",J28/J35),"N/M")</f>
        <v>0.150922492585009</v>
      </c>
      <c r="K192" s="25" t="n">
        <f aca="false">IFERROR(AVERAGE(D192:J192),"N/M")</f>
        <v>0.177794901955075</v>
      </c>
      <c r="L192" s="86" t="n">
        <f aca="false">IFERROR(J192-D192,"N/M")</f>
        <v>-0.0134217909245438</v>
      </c>
      <c r="M192" s="87" t="n">
        <f aca="false">IFERROR(SLOPE(D192:J192,$D$3:$J$3),"N/M")</f>
        <v>-0.00655909165694125</v>
      </c>
    </row>
    <row r="193" customFormat="false" ht="15" hidden="false" customHeight="false" outlineLevel="0" collapsed="false">
      <c r="A193" s="18" t="s">
        <v>496</v>
      </c>
      <c r="B193" s="19" t="s">
        <v>677</v>
      </c>
      <c r="D193" s="46" t="n">
        <f aca="false">IFERROR(IF(D35&lt;=0,"N/M",D29/D35),"N/M")</f>
        <v>0.262152395011551</v>
      </c>
      <c r="E193" s="46" t="n">
        <f aca="false">IFERROR(IF(E35&lt;=0,"N/M",E29/E35),"N/M")</f>
        <v>0.269137953935659</v>
      </c>
      <c r="F193" s="46" t="n">
        <f aca="false">IFERROR(IF(F35&lt;=0,"N/M",F29/F35),"N/M")</f>
        <v>0.277739779963371</v>
      </c>
      <c r="G193" s="46" t="n">
        <f aca="false">IFERROR(IF(G35&lt;=0,"N/M",G29/G35),"N/M")</f>
        <v>0.248531303827819</v>
      </c>
      <c r="H193" s="46" t="n">
        <f aca="false">IFERROR(IF(H35&lt;=0,"N/M",H29/H35),"N/M")</f>
        <v>0.225962985327012</v>
      </c>
      <c r="I193" s="46" t="n">
        <f aca="false">IFERROR(IF(I35&lt;=0,"N/M",I29/I35),"N/M")</f>
        <v>0.182788951025099</v>
      </c>
      <c r="J193" s="46" t="n">
        <f aca="false">IFERROR(IF(J35&lt;=0,"N/M",J29/J35),"N/M")</f>
        <v>0.180117847291829</v>
      </c>
      <c r="K193" s="25" t="n">
        <f aca="false">IFERROR(AVERAGE(D193:J193),"N/M")</f>
        <v>0.235204459483191</v>
      </c>
      <c r="L193" s="86" t="n">
        <f aca="false">IFERROR(J193-D193,"N/M")</f>
        <v>-0.0820345477197224</v>
      </c>
      <c r="M193" s="87" t="n">
        <f aca="false">IFERROR(SLOPE(D193:J193,$D$3:$J$3),"N/M")</f>
        <v>-0.0168063729863088</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0.42273751210207</v>
      </c>
      <c r="E195" s="46" t="n">
        <f aca="false">IFERROR(IF(E35&lt;=0,"N/M",E31/E35),"N/M")</f>
        <v>0.443827537656404</v>
      </c>
      <c r="F195" s="46" t="n">
        <f aca="false">IFERROR(IF(F35&lt;=0,"N/M",F31/F35),"N/M")</f>
        <v>0.409978350297112</v>
      </c>
      <c r="G195" s="46" t="n">
        <f aca="false">IFERROR(IF(G35&lt;=0,"N/M",G31/G35),"N/M")</f>
        <v>0.38538587558025</v>
      </c>
      <c r="H195" s="46" t="n">
        <f aca="false">IFERROR(IF(H35&lt;=0,"N/M",H31/H35),"N/M")</f>
        <v>0.420322884357985</v>
      </c>
      <c r="I195" s="46" t="n">
        <f aca="false">IFERROR(IF(I35&lt;=0,"N/M",I31/I35),"N/M")</f>
        <v>0.436856073737116</v>
      </c>
      <c r="J195" s="46" t="n">
        <f aca="false">IFERROR(IF(J35&lt;=0,"N/M",J31/J35),"N/M")</f>
        <v>0.443823026819688</v>
      </c>
      <c r="K195" s="25" t="n">
        <f aca="false">IFERROR(AVERAGE(D195:J195),"N/M")</f>
        <v>0.423275894364375</v>
      </c>
      <c r="L195" s="86" t="n">
        <f aca="false">IFERROR(J195-D195,"N/M")</f>
        <v>0.0210855147176181</v>
      </c>
      <c r="M195" s="87" t="n">
        <f aca="false">IFERROR(SLOPE(D195:J195,$D$3:$J$3),"N/M")</f>
        <v>0.00213064822768399</v>
      </c>
    </row>
    <row r="196" customFormat="false" ht="15" hidden="false" customHeight="false" outlineLevel="0" collapsed="false">
      <c r="A196" s="18" t="s">
        <v>680</v>
      </c>
      <c r="B196" s="19" t="s">
        <v>681</v>
      </c>
      <c r="D196" s="46" t="n">
        <f aca="false">IFERROR(IF(D35&lt;=0,"N/M",D32/D35),"N/M")</f>
        <v>0.097951898467231</v>
      </c>
      <c r="E196" s="46" t="n">
        <f aca="false">IFERROR(IF(E35&lt;=0,"N/M",E32/E35),"N/M")</f>
        <v>0.0473182264962941</v>
      </c>
      <c r="F196" s="46" t="n">
        <f aca="false">IFERROR(IF(F35&lt;=0,"N/M",F32/F35),"N/M")</f>
        <v>0.0401584897535282</v>
      </c>
      <c r="G196" s="46" t="n">
        <f aca="false">IFERROR(IF(G35&lt;=0,"N/M",G32/G35),"N/M")</f>
        <v>0.0443872992336206</v>
      </c>
      <c r="H196" s="46" t="n">
        <f aca="false">IFERROR(IF(H35&lt;=0,"N/M",H32/H35),"N/M")</f>
        <v>0.0370153174163838</v>
      </c>
      <c r="I196" s="46" t="n">
        <f aca="false">IFERROR(IF(I35&lt;=0,"N/M",I32/I35),"N/M")</f>
        <v>0.047827170924861</v>
      </c>
      <c r="J196" s="46" t="n">
        <f aca="false">IFERROR(IF(J35&lt;=0,"N/M",J32/J35),"N/M")</f>
        <v>0.0446795514314469</v>
      </c>
      <c r="K196" s="25" t="n">
        <f aca="false">IFERROR(AVERAGE(D196:J196),"N/M")</f>
        <v>0.0513339933890522</v>
      </c>
      <c r="L196" s="86" t="n">
        <f aca="false">IFERROR(J196-D196,"N/M")</f>
        <v>-0.053272347035784</v>
      </c>
      <c r="M196" s="87" t="n">
        <f aca="false">IFERROR(SLOPE(D196:J196,$D$3:$J$3),"N/M")</f>
        <v>-0.00578365444954867</v>
      </c>
    </row>
    <row r="197" customFormat="false" ht="15" hidden="false" customHeight="false" outlineLevel="0" collapsed="false">
      <c r="A197" s="18" t="s">
        <v>442</v>
      </c>
      <c r="B197" s="19" t="s">
        <v>682</v>
      </c>
      <c r="D197" s="46" t="n">
        <f aca="false">IFERROR(IF(D35&lt;=0,"N/M",D33/D35),"N/M")</f>
        <v>0.0714843607710816</v>
      </c>
      <c r="E197" s="46" t="n">
        <f aca="false">IFERROR(IF(E35&lt;=0,"N/M",E33/E35),"N/M")</f>
        <v>0.069397231889063</v>
      </c>
      <c r="F197" s="46" t="n">
        <f aca="false">IFERROR(IF(F35&lt;=0,"N/M",F33/F35),"N/M")</f>
        <v>0.0735955725606867</v>
      </c>
      <c r="G197" s="46" t="n">
        <f aca="false">IFERROR(IF(G35&lt;=0,"N/M",G33/G35),"N/M")</f>
        <v>0.0790988364416488</v>
      </c>
      <c r="H197" s="46" t="n">
        <f aca="false">IFERROR(IF(H35&lt;=0,"N/M",H33/H35),"N/M")</f>
        <v>0.0717280924986612</v>
      </c>
      <c r="I197" s="46" t="n">
        <f aca="false">IFERROR(IF(I35&lt;=0,"N/M",I33/I35),"N/M")</f>
        <v>0.0729947510569782</v>
      </c>
      <c r="J197" s="46" t="n">
        <f aca="false">IFERROR(IF(J35&lt;=0,"N/M",J33/J35),"N/M")</f>
        <v>0.0727202103869324</v>
      </c>
      <c r="K197" s="25" t="n">
        <f aca="false">IFERROR(AVERAGE(D197:J197),"N/M")</f>
        <v>0.0730027222292931</v>
      </c>
      <c r="L197" s="86" t="n">
        <f aca="false">IFERROR(J197-D197,"N/M")</f>
        <v>0.00123584961585083</v>
      </c>
      <c r="M197" s="87" t="n">
        <f aca="false">IFERROR(SLOPE(D197:J197,$D$3:$J$3),"N/M")</f>
        <v>0.00032268239719133</v>
      </c>
    </row>
    <row r="198" customFormat="false" ht="15" hidden="false" customHeight="false" outlineLevel="0" collapsed="false">
      <c r="A198" s="18" t="s">
        <v>494</v>
      </c>
      <c r="B198" s="19" t="s">
        <v>683</v>
      </c>
      <c r="D198" s="46" t="n">
        <f aca="false">IFERROR(IF(D35&lt;=0,"N/M",D34/D35),"N/M")</f>
        <v>0.407826228659618</v>
      </c>
      <c r="E198" s="46" t="n">
        <f aca="false">IFERROR(IF(E35&lt;=0,"N/M",E34/E35),"N/M")</f>
        <v>0.439457003958239</v>
      </c>
      <c r="F198" s="46" t="n">
        <f aca="false">IFERROR(IF(F35&lt;=0,"N/M",F34/F35),"N/M")</f>
        <v>0.476267587388673</v>
      </c>
      <c r="G198" s="46" t="n">
        <f aca="false">IFERROR(IF(G35&lt;=0,"N/M",G34/G35),"N/M")</f>
        <v>0.491127988744481</v>
      </c>
      <c r="H198" s="46" t="n">
        <f aca="false">IFERROR(IF(H35&lt;=0,"N/M",H34/H35),"N/M")</f>
        <v>0.47093370572697</v>
      </c>
      <c r="I198" s="46" t="n">
        <f aca="false">IFERROR(IF(I35&lt;=0,"N/M",I34/I35),"N/M")</f>
        <v>0.442322004281045</v>
      </c>
      <c r="J198" s="46" t="n">
        <f aca="false">IFERROR(IF(J35&lt;=0,"N/M",J34/J35),"N/M")</f>
        <v>0.438777211361933</v>
      </c>
      <c r="K198" s="25" t="n">
        <f aca="false">IFERROR(AVERAGE(D198:J198),"N/M")</f>
        <v>0.45238739001728</v>
      </c>
      <c r="L198" s="86" t="n">
        <f aca="false">IFERROR(J198-D198,"N/M")</f>
        <v>0.0309509827023149</v>
      </c>
      <c r="M198" s="87" t="n">
        <f aca="false">IFERROR(SLOPE(D198:J198,$D$3:$J$3),"N/M")</f>
        <v>0.00333032382467333</v>
      </c>
    </row>
    <row r="199" customFormat="false" ht="15" hidden="false" customHeight="false" outlineLevel="0" collapsed="false">
      <c r="A199" s="18" t="s">
        <v>684</v>
      </c>
      <c r="B199" s="19" t="s">
        <v>685</v>
      </c>
      <c r="D199" s="46" t="n">
        <f aca="false">IFERROR(IF(D35&lt;=0,"N/M",D36/D35),"N/M")</f>
        <v>0.128037499640533</v>
      </c>
      <c r="E199" s="46" t="n">
        <f aca="false">IFERROR(IF(E35&lt;=0,"N/M",E36/E35),"N/M")</f>
        <v>0.150721958044435</v>
      </c>
      <c r="F199" s="46" t="n">
        <f aca="false">IFERROR(IF(F35&lt;=0,"N/M",F36/F35),"N/M")</f>
        <v>0.166005014859612</v>
      </c>
      <c r="G199" s="46" t="n">
        <f aca="false">IFERROR(IF(G35&lt;=0,"N/M",G36/G35),"N/M")</f>
        <v>0.146488550103139</v>
      </c>
      <c r="H199" s="46" t="n">
        <f aca="false">IFERROR(IF(H35&lt;=0,"N/M",H36/H35),"N/M")</f>
        <v>0.157012701037465</v>
      </c>
      <c r="I199" s="46" t="n">
        <f aca="false">IFERROR(IF(I35&lt;=0,"N/M",I36/I35),"N/M")</f>
        <v>0.122224909795983</v>
      </c>
      <c r="J199" s="46" t="n">
        <f aca="false">IFERROR(IF(J35&lt;=0,"N/M",J36/J35),"N/M")</f>
        <v>0.131162163694862</v>
      </c>
      <c r="K199" s="25" t="n">
        <f aca="false">IFERROR(AVERAGE(D199:J199),"N/M")</f>
        <v>0.143093256739433</v>
      </c>
      <c r="L199" s="86" t="n">
        <f aca="false">IFERROR(J199-D199,"N/M")</f>
        <v>0.00312466405432982</v>
      </c>
      <c r="M199" s="87" t="n">
        <f aca="false">IFERROR(SLOPE(D199:J199,$D$3:$J$3),"N/M")</f>
        <v>-0.00202187207700218</v>
      </c>
    </row>
    <row r="200" customFormat="false" ht="15" hidden="false" customHeight="false" outlineLevel="0" collapsed="false">
      <c r="A200" s="18" t="s">
        <v>686</v>
      </c>
      <c r="B200" s="19" t="s">
        <v>687</v>
      </c>
      <c r="D200" s="46" t="n">
        <f aca="false">IFERROR(IF(D35&lt;=0,"N/M",D37/D35),"N/M")</f>
        <v>0.0033646149864361</v>
      </c>
      <c r="E200" s="46" t="n">
        <f aca="false">IFERROR(IF(E35&lt;=0,"N/M",E37/E35),"N/M")</f>
        <v>0.00329658457969167</v>
      </c>
      <c r="F200" s="46" t="n">
        <f aca="false">IFERROR(IF(F35&lt;=0,"N/M",F37/F35),"N/M")</f>
        <v>0.00317573699875763</v>
      </c>
      <c r="G200" s="46" t="n">
        <f aca="false">IFERROR(IF(G35&lt;=0,"N/M",G37/G35),"N/M")</f>
        <v>0.00291416062112603</v>
      </c>
      <c r="H200" s="46" t="n">
        <f aca="false">IFERROR(IF(H35&lt;=0,"N/M",H37/H35),"N/M")</f>
        <v>0.00379729378777558</v>
      </c>
      <c r="I200" s="46" t="n">
        <f aca="false">IFERROR(IF(I35&lt;=0,"N/M",I37/I35),"N/M")</f>
        <v>0.0040986119115003</v>
      </c>
      <c r="J200" s="46" t="n">
        <f aca="false">IFERROR(IF(J35&lt;=0,"N/M",J37/J35),"N/M")</f>
        <v>0.00420712372120862</v>
      </c>
      <c r="K200" s="25" t="n">
        <f aca="false">IFERROR(AVERAGE(D200:J200),"N/M")</f>
        <v>0.0035505895152137</v>
      </c>
      <c r="L200" s="86" t="n">
        <f aca="false">IFERROR(J200-D200,"N/M")</f>
        <v>0.000842508734772522</v>
      </c>
      <c r="M200" s="87" t="n">
        <f aca="false">IFERROR(SLOPE(D200:J200,$D$3:$J$3),"N/M")</f>
        <v>0.000169754916319743</v>
      </c>
    </row>
    <row r="201" customFormat="false" ht="15" hidden="false" customHeight="false" outlineLevel="0" collapsed="false">
      <c r="A201" s="18" t="s">
        <v>688</v>
      </c>
      <c r="B201" s="19" t="s">
        <v>689</v>
      </c>
      <c r="D201" s="46" t="n">
        <f aca="false">IFERROR(IF(D35&lt;=0,"N/M",D38/D35),"N/M")</f>
        <v>0.118123484245742</v>
      </c>
      <c r="E201" s="46" t="n">
        <f aca="false">IFERROR(IF(E35&lt;=0,"N/M",E38/E35),"N/M")</f>
        <v>0.124876338230215</v>
      </c>
      <c r="F201" s="46" t="n">
        <f aca="false">IFERROR(IF(F35&lt;=0,"N/M",F38/F35),"N/M")</f>
        <v>0.13116742596629</v>
      </c>
      <c r="G201" s="46" t="n">
        <f aca="false">IFERROR(IF(G35&lt;=0,"N/M",G38/G35),"N/M")</f>
        <v>0.166848899200728</v>
      </c>
      <c r="H201" s="46" t="n">
        <f aca="false">IFERROR(IF(H35&lt;=0,"N/M",H38/H35),"N/M")</f>
        <v>0.141743294562378</v>
      </c>
      <c r="I201" s="46" t="n">
        <f aca="false">IFERROR(IF(I35&lt;=0,"N/M",I38/I35),"N/M")</f>
        <v>0.16105564429503</v>
      </c>
      <c r="J201" s="46" t="n">
        <f aca="false">IFERROR(IF(J35&lt;=0,"N/M",J38/J35),"N/M")</f>
        <v>0.147767235200593</v>
      </c>
      <c r="K201" s="25" t="n">
        <f aca="false">IFERROR(AVERAGE(D201:J201),"N/M")</f>
        <v>0.141654617385854</v>
      </c>
      <c r="L201" s="86" t="n">
        <f aca="false">IFERROR(J201-D201,"N/M")</f>
        <v>0.029643750954851</v>
      </c>
      <c r="M201" s="87" t="n">
        <f aca="false">IFERROR(SLOPE(D201:J201,$D$3:$J$3),"N/M")</f>
        <v>0.00613806191393824</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109.140676218617</v>
      </c>
      <c r="F205" s="91" t="n">
        <f aca="false">IFERROR((IF($D9&lt;=0,"N/M",F9/$D9)*100),"N/M")</f>
        <v>159.428740338422</v>
      </c>
      <c r="G205" s="91" t="n">
        <f aca="false">IFERROR((IF($D9&lt;=0,"N/M",G9/$D9)*100),"N/M")</f>
        <v>166.013136466796</v>
      </c>
      <c r="H205" s="91" t="n">
        <f aca="false">IFERROR((IF($D9&lt;=0,"N/M",H9/$D9)*100),"N/M")</f>
        <v>149.417608208296</v>
      </c>
      <c r="I205" s="91" t="n">
        <f aca="false">IFERROR((IF($D9&lt;=0,"N/M",I9/$D9)*100),"N/M")</f>
        <v>114.294769479548</v>
      </c>
      <c r="J205" s="91" t="n">
        <f aca="false">IFERROR((IF($D9&lt;=0,"N/M",J9/$D9)*100),"N/M")</f>
        <v>123.247460099988</v>
      </c>
      <c r="K205" s="92" t="n">
        <f aca="false">IFERROR(AVERAGE(D205:J205),"N/M")</f>
        <v>131.648912973095</v>
      </c>
      <c r="L205" s="85" t="n">
        <f aca="false">IFERROR(J205-D205,"N/M")</f>
        <v>23.2474600999876</v>
      </c>
      <c r="M205" s="85" t="n">
        <f aca="false">IFERROR(SLOPE(D205:J205,$D$3:$J$3),"N/M")</f>
        <v>2.50140838184646</v>
      </c>
    </row>
    <row r="206" customFormat="false" ht="15" hidden="false" customHeight="false" outlineLevel="0" collapsed="false">
      <c r="A206" s="18" t="s">
        <v>657</v>
      </c>
      <c r="B206" s="19" t="s">
        <v>693</v>
      </c>
      <c r="D206" s="91" t="n">
        <f aca="false">IFERROR((IF($D56&lt;=0,"N/M",D56/$D56)*100),"N/M")</f>
        <v>100</v>
      </c>
      <c r="E206" s="91" t="n">
        <f aca="false">IFERROR((IF($D56&lt;=0,"N/M",E56/$D56)*100),"N/M")</f>
        <v>90.5581624367799</v>
      </c>
      <c r="F206" s="91" t="n">
        <f aca="false">IFERROR((IF($D56&lt;=0,"N/M",F56/$D56)*100),"N/M")</f>
        <v>151.941682672084</v>
      </c>
      <c r="G206" s="91" t="n">
        <f aca="false">IFERROR((IF($D56&lt;=0,"N/M",G56/$D56)*100),"N/M")</f>
        <v>154.010049989076</v>
      </c>
      <c r="H206" s="91" t="n">
        <f aca="false">IFERROR((IF($D56&lt;=0,"N/M",H56/$D56)*100),"N/M")</f>
        <v>130.131054205376</v>
      </c>
      <c r="I206" s="91" t="n">
        <f aca="false">IFERROR((IF($D56&lt;=0,"N/M",I56/$D56)*100),"N/M")</f>
        <v>125.224755190483</v>
      </c>
      <c r="J206" s="91" t="n">
        <f aca="false">IFERROR((IF($D56&lt;=0,"N/M",J56/$D56)*100),"N/M")</f>
        <v>136.134634636267</v>
      </c>
      <c r="K206" s="92" t="n">
        <f aca="false">IFERROR(AVERAGE(D206:J206),"N/M")</f>
        <v>126.857191304295</v>
      </c>
      <c r="L206" s="85" t="n">
        <f aca="false">IFERROR(J206-D206,"N/M")</f>
        <v>36.1346346362667</v>
      </c>
      <c r="M206" s="85" t="n">
        <f aca="false">IFERROR(SLOPE(D206:J206,$D$3:$J$3),"N/M")</f>
        <v>5.56880217676781</v>
      </c>
    </row>
    <row r="207" customFormat="false" ht="15" hidden="false" customHeight="false" outlineLevel="0" collapsed="false">
      <c r="A207" s="18" t="s">
        <v>667</v>
      </c>
      <c r="B207" s="19" t="s">
        <v>694</v>
      </c>
      <c r="D207" s="91" t="n">
        <f aca="false">IFERROR((IF($D22&lt;=0,"N/M",D22/$D22)*100),"N/M")</f>
        <v>100</v>
      </c>
      <c r="E207" s="91" t="n">
        <f aca="false">IFERROR((IF($D22&lt;=0,"N/M",E22/$D22)*100),"N/M")</f>
        <v>-32.0273109243697</v>
      </c>
      <c r="F207" s="91" t="n">
        <f aca="false">IFERROR((IF($D22&lt;=0,"N/M",F22/$D22)*100),"N/M")</f>
        <v>368.75300120048</v>
      </c>
      <c r="G207" s="91" t="n">
        <f aca="false">IFERROR((IF($D22&lt;=0,"N/M",G22/$D22)*100),"N/M")</f>
        <v>258.331332533013</v>
      </c>
      <c r="H207" s="91" t="n">
        <f aca="false">IFERROR((IF($D22&lt;=0,"N/M",H22/$D22)*100),"N/M")</f>
        <v>302.237394957983</v>
      </c>
      <c r="I207" s="91" t="n">
        <f aca="false">IFERROR((IF($D22&lt;=0,"N/M",I22/$D22)*100),"N/M")</f>
        <v>299.819927971188</v>
      </c>
      <c r="J207" s="91" t="n">
        <f aca="false">IFERROR((IF($D22&lt;=0,"N/M",J22/$D22)*100),"N/M")</f>
        <v>307.03631452581</v>
      </c>
      <c r="K207" s="92" t="n">
        <f aca="false">IFERROR(AVERAGE(D207:J207),"N/M")</f>
        <v>229.164380037729</v>
      </c>
      <c r="L207" s="85" t="n">
        <f aca="false">IFERROR(J207-D207,"N/M")</f>
        <v>207.03631452581</v>
      </c>
      <c r="M207" s="85" t="n">
        <f aca="false">IFERROR(SLOPE(D207:J207,$D$3:$J$3),"N/M")</f>
        <v>43.5102791116447</v>
      </c>
    </row>
    <row r="208" customFormat="false" ht="15" hidden="false" customHeight="false" outlineLevel="0" collapsed="false">
      <c r="A208" s="18" t="s">
        <v>446</v>
      </c>
      <c r="B208" s="19" t="s">
        <v>695</v>
      </c>
      <c r="D208" s="91" t="n">
        <f aca="false">IFERROR((IF($D35&lt;=0,"N/M",D35/$D35)*100),"N/M")</f>
        <v>100</v>
      </c>
      <c r="E208" s="91" t="n">
        <f aca="false">IFERROR((IF($D35&lt;=0,"N/M",E35/$D35)*100),"N/M")</f>
        <v>108.251454644798</v>
      </c>
      <c r="F208" s="91" t="n">
        <f aca="false">IFERROR((IF($D35&lt;=0,"N/M",F35/$D35)*100),"N/M")</f>
        <v>120.025574908216</v>
      </c>
      <c r="G208" s="91" t="n">
        <f aca="false">IFERROR((IF($D35&lt;=0,"N/M",G35/$D35)*100),"N/M")</f>
        <v>114.707451040538</v>
      </c>
      <c r="H208" s="91" t="n">
        <f aca="false">IFERROR((IF($D35&lt;=0,"N/M",H35/$D35)*100),"N/M")</f>
        <v>118.99908934922</v>
      </c>
      <c r="I208" s="91" t="n">
        <f aca="false">IFERROR((IF($D35&lt;=0,"N/M",I35/$D35)*100),"N/M")</f>
        <v>103.196825183808</v>
      </c>
      <c r="J208" s="91" t="n">
        <f aca="false">IFERROR((IF($D35&lt;=0,"N/M",J35/$D35)*100),"N/M")</f>
        <v>112.23734435061</v>
      </c>
      <c r="K208" s="92" t="n">
        <f aca="false">IFERROR(AVERAGE(D208:J208),"N/M")</f>
        <v>111.05967706817</v>
      </c>
      <c r="L208" s="85" t="n">
        <f aca="false">IFERROR(J208-D208,"N/M")</f>
        <v>12.2373443506101</v>
      </c>
      <c r="M208" s="85" t="n">
        <f aca="false">IFERROR(SLOPE(D208:J208,$D$3:$J$3),"N/M")</f>
        <v>0.913438877530482</v>
      </c>
    </row>
    <row r="209" customFormat="false" ht="15" hidden="false" customHeight="false" outlineLevel="0" collapsed="false">
      <c r="A209" s="18" t="s">
        <v>673</v>
      </c>
      <c r="B209" s="19" t="s">
        <v>696</v>
      </c>
      <c r="D209" s="91" t="n">
        <f aca="false">IFERROR((IF($D61&lt;=0,"N/M",D61/$D61)*100),"N/M")</f>
        <v>100</v>
      </c>
      <c r="E209" s="91" t="n">
        <f aca="false">IFERROR((IF($D61&lt;=0,"N/M",E61/$D61)*100),"N/M")</f>
        <v>95.8536776155287</v>
      </c>
      <c r="F209" s="91" t="n">
        <f aca="false">IFERROR((IF($D61&lt;=0,"N/M",F61/$D61)*100),"N/M")</f>
        <v>107.529796865838</v>
      </c>
      <c r="G209" s="91" t="n">
        <f aca="false">IFERROR((IF($D61&lt;=0,"N/M",G61/$D61)*100),"N/M")</f>
        <v>119.375735018329</v>
      </c>
      <c r="H209" s="91" t="n">
        <f aca="false">IFERROR((IF($D61&lt;=0,"N/M",H61/$D61)*100),"N/M")</f>
        <v>124.260034191097</v>
      </c>
      <c r="I209" s="91" t="n">
        <f aca="false">IFERROR((IF($D61&lt;=0,"N/M",I61/$D61)*100),"N/M")</f>
        <v>116.8218325599</v>
      </c>
      <c r="J209" s="91" t="n">
        <f aca="false">IFERROR((IF($D61&lt;=0,"N/M",J61/$D61)*100),"N/M")</f>
        <v>130.918606602479</v>
      </c>
      <c r="K209" s="92" t="n">
        <f aca="false">IFERROR(AVERAGE(D209:J209),"N/M")</f>
        <v>113.537097550453</v>
      </c>
      <c r="L209" s="85" t="n">
        <f aca="false">IFERROR(J209-D209,"N/M")</f>
        <v>30.9186066024787</v>
      </c>
      <c r="M209" s="85" t="n">
        <f aca="false">IFERROR(SLOPE(D209:J209,$D$3:$J$3),"N/M")</f>
        <v>5.40794167933702</v>
      </c>
    </row>
    <row r="210" customFormat="false" ht="15" hidden="false" customHeight="false" outlineLevel="0" collapsed="false">
      <c r="A210" s="18" t="s">
        <v>675</v>
      </c>
      <c r="B210" s="19" t="s">
        <v>697</v>
      </c>
      <c r="D210" s="91" t="n">
        <f aca="false">IFERROR((IF($D28&lt;=0,"N/M",D28/$D28)*100),"N/M")</f>
        <v>100</v>
      </c>
      <c r="E210" s="91" t="n">
        <f aca="false">IFERROR((IF($D28&lt;=0,"N/M",E28/$D28)*100),"N/M")</f>
        <v>146.914006542017</v>
      </c>
      <c r="F210" s="91" t="n">
        <f aca="false">IFERROR((IF($D28&lt;=0,"N/M",F28/$D28)*100),"N/M")</f>
        <v>152.247476750643</v>
      </c>
      <c r="G210" s="91" t="n">
        <f aca="false">IFERROR((IF($D28&lt;=0,"N/M",G28/$D28)*100),"N/M")</f>
        <v>107.923912891319</v>
      </c>
      <c r="H210" s="91" t="n">
        <f aca="false">IFERROR((IF($D28&lt;=0,"N/M",H28/$D28)*100),"N/M")</f>
        <v>126.844433452944</v>
      </c>
      <c r="I210" s="91" t="n">
        <f aca="false">IFERROR((IF($D28&lt;=0,"N/M",I28/$D28)*100),"N/M")</f>
        <v>105.485121811233</v>
      </c>
      <c r="J210" s="91" t="n">
        <f aca="false">IFERROR((IF($D28&lt;=0,"N/M",J28/$D28)*100),"N/M")</f>
        <v>103.07106160788</v>
      </c>
      <c r="K210" s="92" t="n">
        <f aca="false">IFERROR(AVERAGE(D210:J210),"N/M")</f>
        <v>120.355144722291</v>
      </c>
      <c r="L210" s="85" t="n">
        <f aca="false">IFERROR(J210-D210,"N/M")</f>
        <v>3.07106160788028</v>
      </c>
      <c r="M210" s="85" t="n">
        <f aca="false">IFERROR(SLOPE(D210:J210,$D$3:$J$3),"N/M")</f>
        <v>-3.53741528341518</v>
      </c>
    </row>
    <row r="211" customFormat="false" ht="15" hidden="false" customHeight="false" outlineLevel="0" collapsed="false">
      <c r="A211" s="18" t="s">
        <v>698</v>
      </c>
      <c r="B211" s="19" t="s">
        <v>699</v>
      </c>
      <c r="D211" s="91" t="n">
        <f aca="false">IFERROR((IF($D36&lt;=0,"N/M",D36/$D36)*100),"N/M")</f>
        <v>100</v>
      </c>
      <c r="E211" s="91" t="n">
        <f aca="false">IFERROR((IF($D36&lt;=0,"N/M",E36/$D36)*100),"N/M")</f>
        <v>127.430411020439</v>
      </c>
      <c r="F211" s="91" t="n">
        <f aca="false">IFERROR((IF($D36&lt;=0,"N/M",F36/$D36)*100),"N/M")</f>
        <v>155.617279329191</v>
      </c>
      <c r="G211" s="91" t="n">
        <f aca="false">IFERROR((IF($D36&lt;=0,"N/M",G36/$D36)*100),"N/M")</f>
        <v>131.237553342816</v>
      </c>
      <c r="H211" s="91" t="n">
        <f aca="false">IFERROR((IF($D36&lt;=0,"N/M",H36/$D36)*100),"N/M")</f>
        <v>145.928876244666</v>
      </c>
      <c r="I211" s="91" t="n">
        <f aca="false">IFERROR((IF($D36&lt;=0,"N/M",I36/$D36)*100),"N/M")</f>
        <v>98.5119413041851</v>
      </c>
      <c r="J211" s="91" t="n">
        <f aca="false">IFERROR((IF($D36&lt;=0,"N/M",J36/$D36)*100),"N/M")</f>
        <v>114.976416860073</v>
      </c>
      <c r="K211" s="92" t="n">
        <f aca="false">IFERROR(AVERAGE(D211:J211),"N/M")</f>
        <v>124.814639728767</v>
      </c>
      <c r="L211" s="85" t="n">
        <f aca="false">IFERROR(J211-D211,"N/M")</f>
        <v>14.9764168600734</v>
      </c>
      <c r="M211" s="85" t="n">
        <f aca="false">IFERROR(SLOPE(D211:J211,$D$3:$J$3),"N/M")</f>
        <v>-0.807003283457579</v>
      </c>
    </row>
    <row r="212" customFormat="false" ht="15" hidden="false" customHeight="false" outlineLevel="0" collapsed="false">
      <c r="A212" s="18" t="s">
        <v>700</v>
      </c>
      <c r="B212" s="19" t="s">
        <v>701</v>
      </c>
      <c r="D212" s="91" t="n">
        <f aca="false">IFERROR((IF($D41&lt;=0,"N/M",D41/$D41)*100),"N/M")</f>
        <v>100</v>
      </c>
      <c r="E212" s="91" t="n">
        <f aca="false">IFERROR((IF($D41&lt;=0,"N/M",E41/$D41)*100),"N/M")</f>
        <v>52.067695046935</v>
      </c>
      <c r="F212" s="91" t="n">
        <f aca="false">IFERROR((IF($D41&lt;=0,"N/M",F41/$D41)*100),"N/M")</f>
        <v>67.1178120491749</v>
      </c>
      <c r="G212" s="91" t="n">
        <f aca="false">IFERROR((IF($D41&lt;=0,"N/M",G41/$D41)*100),"N/M")</f>
        <v>74.646356484105</v>
      </c>
      <c r="H212" s="91" t="n">
        <f aca="false">IFERROR((IF($D41&lt;=0,"N/M",H41/$D41)*100),"N/M")</f>
        <v>47.129288815873</v>
      </c>
      <c r="I212" s="91" t="n">
        <f aca="false">IFERROR((IF($D41&lt;=0,"N/M",I41/$D41)*100),"N/M")</f>
        <v>61.4693479158585</v>
      </c>
      <c r="J212" s="91" t="n">
        <f aca="false">IFERROR((IF($D41&lt;=0,"N/M",J41/$D41)*100),"N/M")</f>
        <v>59.7154762947563</v>
      </c>
      <c r="K212" s="92" t="n">
        <f aca="false">IFERROR(AVERAGE(D212:J212),"N/M")</f>
        <v>66.0208538009575</v>
      </c>
      <c r="L212" s="85" t="n">
        <f aca="false">IFERROR(J212-D212,"N/M")</f>
        <v>-40.2845237052438</v>
      </c>
      <c r="M212" s="85" t="n">
        <f aca="false">IFERROR(SLOPE(D212:J212,$D$3:$J$3),"N/M")</f>
        <v>-4.35852816468522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51</v>
      </c>
    </row>
    <row r="2" customFormat="false" ht="15" hidden="false" customHeight="false" outlineLevel="0" collapsed="false">
      <c r="A2" s="6" t="s">
        <v>702</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330.36</v>
      </c>
      <c r="D9" s="93" t="n">
        <v>301.48</v>
      </c>
      <c r="E9" s="93" t="n">
        <v>167.87</v>
      </c>
      <c r="F9" s="93" t="n">
        <v>615.11</v>
      </c>
      <c r="G9" s="93" t="n">
        <v>433.35</v>
      </c>
      <c r="H9" s="93" t="n">
        <v>240.26</v>
      </c>
      <c r="I9" s="93" t="n">
        <v>536.31</v>
      </c>
      <c r="J9" s="93" t="n">
        <v>572.82</v>
      </c>
    </row>
    <row r="10" customFormat="false" ht="15" hidden="false" customHeight="false" outlineLevel="0" collapsed="false">
      <c r="A10" s="18" t="s">
        <v>399</v>
      </c>
      <c r="B10" s="74" t="s">
        <v>400</v>
      </c>
      <c r="C10" s="93" t="n">
        <v>0</v>
      </c>
      <c r="D10" s="93" t="n">
        <v>0</v>
      </c>
      <c r="E10" s="93" t="n">
        <v>0</v>
      </c>
      <c r="F10" s="93" t="n">
        <v>0</v>
      </c>
      <c r="G10" s="93" t="n">
        <v>0</v>
      </c>
      <c r="H10" s="93" t="n">
        <v>0</v>
      </c>
      <c r="I10" s="93" t="n">
        <v>0</v>
      </c>
      <c r="J10" s="93" t="n">
        <v>0</v>
      </c>
    </row>
    <row r="11" customFormat="false" ht="15" hidden="false" customHeight="false" outlineLevel="0" collapsed="false">
      <c r="A11" s="18" t="s">
        <v>401</v>
      </c>
      <c r="B11" s="74" t="s">
        <v>402</v>
      </c>
      <c r="C11" s="93" t="n">
        <v>0</v>
      </c>
      <c r="D11" s="93" t="n">
        <v>0</v>
      </c>
      <c r="E11" s="93" t="n">
        <v>0</v>
      </c>
      <c r="F11" s="93" t="n">
        <v>0</v>
      </c>
      <c r="G11" s="93" t="n">
        <v>0</v>
      </c>
      <c r="H11" s="93" t="n">
        <v>0</v>
      </c>
      <c r="I11" s="93" t="n">
        <v>0</v>
      </c>
      <c r="J11" s="93" t="n">
        <v>0</v>
      </c>
    </row>
    <row r="12" customFormat="false" ht="15" hidden="false" customHeight="false" outlineLevel="0" collapsed="false">
      <c r="A12" s="18" t="s">
        <v>403</v>
      </c>
      <c r="B12" s="74" t="s">
        <v>404</v>
      </c>
      <c r="C12" s="93" t="n">
        <v>0.34</v>
      </c>
      <c r="D12" s="93" t="n">
        <v>0.33</v>
      </c>
      <c r="E12" s="93" t="n">
        <v>0.26</v>
      </c>
      <c r="F12" s="93" t="n">
        <v>0.24</v>
      </c>
      <c r="G12" s="93" t="n">
        <v>0.38</v>
      </c>
      <c r="H12" s="93" t="n">
        <v>0.22</v>
      </c>
      <c r="I12" s="93" t="n">
        <v>0.23</v>
      </c>
      <c r="J12" s="93" t="n">
        <v>0.2</v>
      </c>
    </row>
    <row r="13" customFormat="false" ht="15" hidden="false" customHeight="false" outlineLevel="0" collapsed="false">
      <c r="A13" s="18" t="s">
        <v>405</v>
      </c>
      <c r="B13" s="74" t="s">
        <v>406</v>
      </c>
      <c r="C13" s="93" t="n">
        <v>287.14</v>
      </c>
      <c r="D13" s="93" t="n">
        <v>278.28</v>
      </c>
      <c r="E13" s="93" t="n">
        <v>154.81</v>
      </c>
      <c r="F13" s="93" t="n">
        <v>559.97</v>
      </c>
      <c r="G13" s="93" t="n">
        <v>385.68</v>
      </c>
      <c r="H13" s="93" t="n">
        <v>205.59</v>
      </c>
      <c r="I13" s="93" t="n">
        <v>480.06</v>
      </c>
      <c r="J13" s="93" t="n">
        <v>514.72</v>
      </c>
    </row>
    <row r="14" customFormat="false" ht="15" hidden="false" customHeight="false" outlineLevel="0" collapsed="false">
      <c r="A14" s="18" t="s">
        <v>407</v>
      </c>
      <c r="B14" s="74" t="s">
        <v>408</v>
      </c>
      <c r="C14" s="93" t="n">
        <v>21.7</v>
      </c>
      <c r="D14" s="93" t="n">
        <v>20.62</v>
      </c>
      <c r="E14" s="93" t="n">
        <v>9.74</v>
      </c>
      <c r="F14" s="93" t="n">
        <v>10.29</v>
      </c>
      <c r="G14" s="93" t="n">
        <v>11.87</v>
      </c>
      <c r="H14" s="93" t="n">
        <v>13.83</v>
      </c>
      <c r="I14" s="93" t="n">
        <v>17.01</v>
      </c>
      <c r="J14" s="93" t="n">
        <v>21.95</v>
      </c>
    </row>
    <row r="15" customFormat="false" ht="15" hidden="false" customHeight="false" outlineLevel="0" collapsed="false">
      <c r="A15" s="18" t="s">
        <v>409</v>
      </c>
      <c r="B15" s="74" t="s">
        <v>410</v>
      </c>
      <c r="C15" s="93" t="n">
        <v>5.55</v>
      </c>
      <c r="D15" s="93" t="n">
        <v>4.29</v>
      </c>
      <c r="E15" s="93" t="n">
        <v>4.19</v>
      </c>
      <c r="F15" s="93" t="n">
        <v>2.76</v>
      </c>
      <c r="G15" s="93" t="n">
        <v>7.66</v>
      </c>
      <c r="H15" s="93" t="n">
        <v>4.11</v>
      </c>
      <c r="I15" s="93" t="n">
        <v>6.04</v>
      </c>
      <c r="J15" s="93" t="n">
        <v>7.08</v>
      </c>
    </row>
    <row r="16" customFormat="false" ht="15" hidden="false" customHeight="false" outlineLevel="0" collapsed="false">
      <c r="A16" s="18" t="s">
        <v>411</v>
      </c>
      <c r="B16" s="74" t="s">
        <v>412</v>
      </c>
      <c r="C16" s="93" t="n">
        <v>1.26</v>
      </c>
      <c r="D16" s="93" t="n">
        <v>6.35</v>
      </c>
      <c r="E16" s="93" t="n">
        <v>8.36</v>
      </c>
      <c r="F16" s="93" t="n">
        <v>4.25</v>
      </c>
      <c r="G16" s="93" t="n">
        <v>1.32</v>
      </c>
      <c r="H16" s="93" t="n">
        <v>1.16</v>
      </c>
      <c r="I16" s="93" t="n">
        <v>1.55</v>
      </c>
      <c r="J16" s="93" t="n">
        <v>1.86</v>
      </c>
    </row>
    <row r="17" customFormat="false" ht="15" hidden="false" customHeight="false" outlineLevel="0" collapsed="false">
      <c r="A17" s="18" t="s">
        <v>413</v>
      </c>
      <c r="B17" s="74" t="s">
        <v>414</v>
      </c>
      <c r="C17" s="93" t="n">
        <v>0.36</v>
      </c>
      <c r="D17" s="93" t="n">
        <v>1.7</v>
      </c>
      <c r="E17" s="93" t="n">
        <v>0.22</v>
      </c>
      <c r="F17" s="93" t="n">
        <v>2.09</v>
      </c>
      <c r="G17" s="93" t="n">
        <v>6.71</v>
      </c>
      <c r="H17" s="93" t="n">
        <v>3.88</v>
      </c>
      <c r="I17" s="93" t="n">
        <v>8.87</v>
      </c>
      <c r="J17" s="93" t="n">
        <v>8.36</v>
      </c>
    </row>
    <row r="18" customFormat="false" ht="15" hidden="false" customHeight="false" outlineLevel="0" collapsed="false">
      <c r="A18" s="18" t="s">
        <v>415</v>
      </c>
      <c r="B18" s="74" t="s">
        <v>416</v>
      </c>
      <c r="C18" s="93" t="n">
        <v>1.14</v>
      </c>
      <c r="D18" s="93" t="n">
        <v>0.98</v>
      </c>
      <c r="E18" s="93" t="n">
        <v>0.89</v>
      </c>
      <c r="F18" s="93" t="n">
        <v>0.8</v>
      </c>
      <c r="G18" s="93" t="n">
        <v>0.78</v>
      </c>
      <c r="H18" s="93" t="n">
        <v>0.78</v>
      </c>
      <c r="I18" s="93" t="n">
        <v>0.85</v>
      </c>
      <c r="J18" s="93" t="n">
        <v>0.96</v>
      </c>
    </row>
    <row r="19" customFormat="false" ht="15" hidden="false" customHeight="false" outlineLevel="0" collapsed="false">
      <c r="A19" s="18" t="s">
        <v>417</v>
      </c>
      <c r="B19" s="74" t="s">
        <v>418</v>
      </c>
      <c r="C19" s="93" t="n">
        <v>3.1</v>
      </c>
      <c r="D19" s="93" t="n">
        <v>4.44</v>
      </c>
      <c r="E19" s="93" t="n">
        <v>1.96</v>
      </c>
      <c r="F19" s="93" t="n">
        <v>1.51</v>
      </c>
      <c r="G19" s="93" t="n">
        <v>1.03</v>
      </c>
      <c r="H19" s="93" t="n">
        <v>0.76</v>
      </c>
      <c r="I19" s="93" t="n">
        <v>3.35</v>
      </c>
      <c r="J19" s="93" t="n">
        <v>5.27</v>
      </c>
    </row>
    <row r="20" customFormat="false" ht="15" hidden="false" customHeight="false" outlineLevel="0" collapsed="false">
      <c r="A20" s="18" t="s">
        <v>419</v>
      </c>
      <c r="B20" s="74" t="s">
        <v>420</v>
      </c>
      <c r="C20" s="93" t="n">
        <v>10.49</v>
      </c>
      <c r="D20" s="93" t="n">
        <v>-12.11</v>
      </c>
      <c r="E20" s="93" t="n">
        <v>-12.12</v>
      </c>
      <c r="F20" s="93" t="n">
        <v>37.38</v>
      </c>
      <c r="G20" s="93" t="n">
        <v>31.34</v>
      </c>
      <c r="H20" s="93" t="n">
        <v>17.69</v>
      </c>
      <c r="I20" s="93" t="n">
        <v>36.09</v>
      </c>
      <c r="J20" s="93" t="n">
        <v>29.14</v>
      </c>
    </row>
    <row r="21" customFormat="false" ht="15" hidden="false" customHeight="false" outlineLevel="0" collapsed="false">
      <c r="A21" s="18" t="s">
        <v>421</v>
      </c>
      <c r="B21" s="74" t="s">
        <v>422</v>
      </c>
      <c r="C21" s="93" t="n">
        <v>4.15</v>
      </c>
      <c r="D21" s="93" t="n">
        <v>0.22</v>
      </c>
      <c r="E21" s="93" t="n">
        <v>0.3</v>
      </c>
      <c r="F21" s="93" t="n">
        <v>3.75</v>
      </c>
      <c r="G21" s="93" t="n">
        <v>8.13</v>
      </c>
      <c r="H21" s="93" t="n">
        <v>4.74</v>
      </c>
      <c r="I21" s="93" t="n">
        <v>9.08</v>
      </c>
      <c r="J21" s="93" t="n">
        <v>7.61</v>
      </c>
    </row>
    <row r="22" customFormat="false" ht="15" hidden="false" customHeight="false" outlineLevel="0" collapsed="false">
      <c r="A22" s="18" t="s">
        <v>423</v>
      </c>
      <c r="B22" s="74" t="s">
        <v>424</v>
      </c>
      <c r="C22" s="93" t="n">
        <v>6.34</v>
      </c>
      <c r="D22" s="93" t="n">
        <v>-12.34</v>
      </c>
      <c r="E22" s="93" t="n">
        <v>-12.42</v>
      </c>
      <c r="F22" s="93" t="n">
        <v>33.63</v>
      </c>
      <c r="G22" s="93" t="n">
        <v>23.21</v>
      </c>
      <c r="H22" s="93" t="n">
        <v>12.96</v>
      </c>
      <c r="I22" s="93" t="n">
        <v>27.01</v>
      </c>
      <c r="J22" s="93" t="n">
        <v>21.52</v>
      </c>
    </row>
    <row r="23" customFormat="false" ht="15" hidden="false" customHeight="false" outlineLevel="0" collapsed="false">
      <c r="A23" s="18" t="s">
        <v>425</v>
      </c>
      <c r="B23" s="74" t="s">
        <v>426</v>
      </c>
      <c r="C23" s="93" t="n">
        <v>0</v>
      </c>
      <c r="D23" s="93" t="n">
        <v>0</v>
      </c>
      <c r="E23" s="93" t="n">
        <v>0</v>
      </c>
      <c r="F23" s="93" t="n">
        <v>1.06</v>
      </c>
      <c r="G23" s="93" t="n">
        <v>0</v>
      </c>
      <c r="H23" s="93" t="n">
        <v>0</v>
      </c>
      <c r="I23" s="93" t="n">
        <v>0</v>
      </c>
      <c r="J23" s="93" t="n">
        <v>0</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10.57</v>
      </c>
      <c r="D26" s="93" t="n">
        <v>10.57</v>
      </c>
      <c r="E26" s="93" t="n">
        <v>10.57</v>
      </c>
      <c r="F26" s="93" t="n">
        <v>10.57</v>
      </c>
      <c r="G26" s="93" t="n">
        <v>10.57</v>
      </c>
      <c r="H26" s="93" t="n">
        <v>10.57</v>
      </c>
      <c r="I26" s="93" t="n">
        <v>10.57</v>
      </c>
      <c r="J26" s="93" t="n">
        <v>10.57</v>
      </c>
    </row>
    <row r="27" customFormat="false" ht="15" hidden="false" customHeight="false" outlineLevel="0" collapsed="false">
      <c r="A27" s="18" t="s">
        <v>430</v>
      </c>
      <c r="B27" s="74" t="s">
        <v>431</v>
      </c>
      <c r="C27" s="93" t="n">
        <v>54.62</v>
      </c>
      <c r="D27" s="93" t="n">
        <v>42.13</v>
      </c>
      <c r="E27" s="93" t="n">
        <v>31.41</v>
      </c>
      <c r="F27" s="93" t="n">
        <v>63.86</v>
      </c>
      <c r="G27" s="93" t="n">
        <v>87.06</v>
      </c>
      <c r="H27" s="93" t="n">
        <v>100.26</v>
      </c>
      <c r="I27" s="93" t="n">
        <v>127.73</v>
      </c>
      <c r="J27" s="93" t="n">
        <v>149.41</v>
      </c>
    </row>
    <row r="28" customFormat="false" ht="15" hidden="false" customHeight="false" outlineLevel="0" collapsed="false">
      <c r="A28" s="18" t="s">
        <v>432</v>
      </c>
      <c r="B28" s="74" t="s">
        <v>433</v>
      </c>
      <c r="C28" s="93" t="n">
        <v>35.42</v>
      </c>
      <c r="D28" s="93" t="n">
        <v>36.67</v>
      </c>
      <c r="E28" s="93" t="n">
        <v>14.96</v>
      </c>
      <c r="F28" s="93" t="n">
        <v>0</v>
      </c>
      <c r="G28" s="93" t="n">
        <v>0</v>
      </c>
      <c r="H28" s="93" t="n">
        <v>12.04</v>
      </c>
      <c r="I28" s="93" t="n">
        <v>34.38</v>
      </c>
      <c r="J28" s="93" t="n">
        <v>50.7</v>
      </c>
    </row>
    <row r="29" customFormat="false" ht="15" hidden="false" customHeight="false" outlineLevel="0" collapsed="false">
      <c r="A29" s="18" t="s">
        <v>434</v>
      </c>
      <c r="B29" s="74" t="s">
        <v>435</v>
      </c>
      <c r="C29" s="93" t="n">
        <v>24.41</v>
      </c>
      <c r="D29" s="93" t="n">
        <v>15.74</v>
      </c>
      <c r="E29" s="93" t="n">
        <v>26.91</v>
      </c>
      <c r="F29" s="93" t="n">
        <v>46.82</v>
      </c>
      <c r="G29" s="93" t="n">
        <v>21.88</v>
      </c>
      <c r="H29" s="93" t="n">
        <v>20.71</v>
      </c>
      <c r="I29" s="93" t="n">
        <v>23.01</v>
      </c>
      <c r="J29" s="93" t="n">
        <v>51.94</v>
      </c>
    </row>
    <row r="30" customFormat="false" ht="15" hidden="false" customHeight="false" outlineLevel="0" collapsed="false">
      <c r="A30" s="18" t="s">
        <v>436</v>
      </c>
      <c r="B30" s="74" t="s">
        <v>437</v>
      </c>
      <c r="C30" s="93" t="n">
        <v>125.02</v>
      </c>
      <c r="D30" s="93" t="n">
        <v>105.11</v>
      </c>
      <c r="E30" s="93" t="n">
        <v>83.85</v>
      </c>
      <c r="F30" s="93" t="n">
        <v>121.25</v>
      </c>
      <c r="G30" s="93" t="n">
        <v>119.51</v>
      </c>
      <c r="H30" s="93" t="n">
        <v>143.58</v>
      </c>
      <c r="I30" s="93" t="n">
        <v>195.69</v>
      </c>
      <c r="J30" s="93" t="n">
        <v>262.62</v>
      </c>
    </row>
    <row r="31" customFormat="false" ht="15" hidden="false" customHeight="false" outlineLevel="0" collapsed="false">
      <c r="A31" s="18" t="s">
        <v>438</v>
      </c>
      <c r="B31" s="74" t="s">
        <v>439</v>
      </c>
      <c r="C31" s="93" t="n">
        <v>10.5</v>
      </c>
      <c r="D31" s="93" t="n">
        <v>9.64</v>
      </c>
      <c r="E31" s="93" t="n">
        <v>8.62</v>
      </c>
      <c r="F31" s="93" t="n">
        <v>7.85</v>
      </c>
      <c r="G31" s="93" t="n">
        <v>7.51</v>
      </c>
      <c r="H31" s="93" t="n">
        <v>9.05</v>
      </c>
      <c r="I31" s="93" t="n">
        <v>8.89</v>
      </c>
      <c r="J31" s="93" t="n">
        <v>9.82</v>
      </c>
    </row>
    <row r="32" customFormat="false" ht="15" hidden="false" customHeight="false" outlineLevel="0" collapsed="false">
      <c r="A32" s="18" t="s">
        <v>440</v>
      </c>
      <c r="B32" s="74" t="s">
        <v>441</v>
      </c>
      <c r="C32" s="93" t="n">
        <v>0</v>
      </c>
      <c r="D32" s="93" t="n">
        <v>0</v>
      </c>
      <c r="E32" s="93" t="n">
        <v>0</v>
      </c>
      <c r="F32" s="93" t="n">
        <v>0</v>
      </c>
      <c r="G32" s="93" t="n">
        <v>0</v>
      </c>
      <c r="H32" s="93" t="n">
        <v>0</v>
      </c>
      <c r="I32" s="93" t="n">
        <v>0</v>
      </c>
      <c r="J32" s="93" t="n">
        <v>0</v>
      </c>
    </row>
    <row r="33" customFormat="false" ht="15" hidden="false" customHeight="false" outlineLevel="0" collapsed="false">
      <c r="A33" s="18" t="s">
        <v>442</v>
      </c>
      <c r="B33" s="74" t="s">
        <v>443</v>
      </c>
      <c r="C33" s="93" t="n">
        <v>0.33</v>
      </c>
      <c r="D33" s="93" t="n">
        <v>0.29</v>
      </c>
      <c r="E33" s="93" t="n">
        <v>0.16</v>
      </c>
      <c r="F33" s="93" t="n">
        <v>5.22</v>
      </c>
      <c r="G33" s="93" t="n">
        <v>5.48</v>
      </c>
      <c r="H33" s="93" t="n">
        <v>11.22</v>
      </c>
      <c r="I33" s="93" t="n">
        <v>12.02</v>
      </c>
      <c r="J33" s="93" t="n">
        <v>12.99</v>
      </c>
    </row>
    <row r="34" customFormat="false" ht="15" hidden="false" customHeight="false" outlineLevel="0" collapsed="false">
      <c r="A34" s="18" t="s">
        <v>444</v>
      </c>
      <c r="B34" s="74" t="s">
        <v>445</v>
      </c>
      <c r="C34" s="93" t="n">
        <v>114.19</v>
      </c>
      <c r="D34" s="93" t="n">
        <v>95.18</v>
      </c>
      <c r="E34" s="93" t="n">
        <v>75.07</v>
      </c>
      <c r="F34" s="93" t="n">
        <v>108.18</v>
      </c>
      <c r="G34" s="93" t="n">
        <v>106.52</v>
      </c>
      <c r="H34" s="93" t="n">
        <v>123.31</v>
      </c>
      <c r="I34" s="93" t="n">
        <v>174.78</v>
      </c>
      <c r="J34" s="93" t="n">
        <v>239.81</v>
      </c>
    </row>
    <row r="35" customFormat="false" ht="15" hidden="false" customHeight="false" outlineLevel="0" collapsed="false">
      <c r="A35" s="18" t="s">
        <v>446</v>
      </c>
      <c r="B35" s="74" t="s">
        <v>447</v>
      </c>
      <c r="C35" s="93" t="n">
        <v>125.02</v>
      </c>
      <c r="D35" s="93" t="n">
        <v>105.11</v>
      </c>
      <c r="E35" s="93" t="n">
        <v>83.85</v>
      </c>
      <c r="F35" s="93" t="n">
        <v>121.25</v>
      </c>
      <c r="G35" s="93" t="n">
        <v>119.51</v>
      </c>
      <c r="H35" s="93" t="n">
        <v>143.58</v>
      </c>
      <c r="I35" s="93" t="n">
        <v>195.69</v>
      </c>
      <c r="J35" s="93" t="n">
        <v>262.62</v>
      </c>
    </row>
    <row r="36" customFormat="false" ht="15" hidden="false" customHeight="false" outlineLevel="0" collapsed="false">
      <c r="A36" s="18" t="s">
        <v>448</v>
      </c>
      <c r="B36" s="74" t="s">
        <v>449</v>
      </c>
      <c r="C36" s="93" t="n">
        <v>101.33</v>
      </c>
      <c r="D36" s="93" t="n">
        <v>65.52</v>
      </c>
      <c r="E36" s="93" t="n">
        <v>43.17</v>
      </c>
      <c r="F36" s="93" t="n">
        <v>68.66</v>
      </c>
      <c r="G36" s="93" t="n">
        <v>49.3</v>
      </c>
      <c r="H36" s="93" t="n">
        <v>69.79</v>
      </c>
      <c r="I36" s="93" t="n">
        <v>102.68</v>
      </c>
      <c r="J36" s="93" t="n">
        <v>161.03</v>
      </c>
    </row>
    <row r="37" customFormat="false" ht="15" hidden="false" customHeight="false" outlineLevel="0" collapsed="false">
      <c r="A37" s="18" t="s">
        <v>450</v>
      </c>
      <c r="B37" s="74" t="s">
        <v>451</v>
      </c>
      <c r="C37" s="93" t="n">
        <v>0</v>
      </c>
      <c r="D37" s="93" t="n">
        <v>0</v>
      </c>
      <c r="E37" s="93" t="n">
        <v>0</v>
      </c>
      <c r="F37" s="93" t="n">
        <v>0</v>
      </c>
      <c r="G37" s="93" t="n">
        <v>0</v>
      </c>
      <c r="H37" s="93" t="n">
        <v>0</v>
      </c>
      <c r="I37" s="93" t="n">
        <v>0</v>
      </c>
      <c r="J37" s="93" t="n">
        <v>0</v>
      </c>
    </row>
    <row r="38" customFormat="false" ht="15" hidden="false" customHeight="false" outlineLevel="0" collapsed="false">
      <c r="A38" s="18" t="s">
        <v>452</v>
      </c>
      <c r="B38" s="74" t="s">
        <v>453</v>
      </c>
      <c r="C38" s="93" t="n">
        <v>5.28</v>
      </c>
      <c r="D38" s="93" t="n">
        <v>6.04</v>
      </c>
      <c r="E38" s="93" t="n">
        <v>7.38</v>
      </c>
      <c r="F38" s="93" t="n">
        <v>31.56</v>
      </c>
      <c r="G38" s="93" t="n">
        <v>52.4</v>
      </c>
      <c r="H38" s="93" t="n">
        <v>41.75</v>
      </c>
      <c r="I38" s="93" t="n">
        <v>51.16</v>
      </c>
      <c r="J38" s="93" t="n">
        <v>41.45</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-4.04</v>
      </c>
      <c r="D41" s="93" t="n">
        <v>2.12</v>
      </c>
      <c r="E41" s="93" t="n">
        <v>26.11</v>
      </c>
      <c r="F41" s="93" t="n">
        <v>44.22</v>
      </c>
      <c r="G41" s="93" t="n">
        <v>16.89</v>
      </c>
      <c r="H41" s="93" t="n">
        <v>-17.2</v>
      </c>
      <c r="I41" s="93" t="n">
        <v>-18.2</v>
      </c>
      <c r="J41" s="93" t="n">
        <v>-17.62</v>
      </c>
    </row>
    <row r="42" customFormat="false" ht="15" hidden="false" customHeight="false" outlineLevel="0" collapsed="false">
      <c r="A42" s="18" t="s">
        <v>457</v>
      </c>
      <c r="B42" s="74" t="s">
        <v>458</v>
      </c>
      <c r="C42" s="93" t="n">
        <v>-0.57</v>
      </c>
      <c r="D42" s="93" t="n">
        <v>1.24</v>
      </c>
      <c r="E42" s="93" t="n">
        <v>-1.38</v>
      </c>
      <c r="F42" s="93" t="n">
        <v>-2.8</v>
      </c>
      <c r="G42" s="93" t="n">
        <v>4.4</v>
      </c>
      <c r="H42" s="93" t="n">
        <v>-5.34</v>
      </c>
      <c r="I42" s="93" t="n">
        <v>7.07</v>
      </c>
      <c r="J42" s="93" t="n">
        <v>5.49</v>
      </c>
    </row>
    <row r="43" customFormat="false" ht="15" hidden="false" customHeight="false" outlineLevel="0" collapsed="false">
      <c r="A43" s="18" t="s">
        <v>459</v>
      </c>
      <c r="B43" s="74" t="s">
        <v>460</v>
      </c>
      <c r="C43" s="93" t="n">
        <v>-2.83</v>
      </c>
      <c r="D43" s="93" t="n">
        <v>-4</v>
      </c>
      <c r="E43" s="93" t="n">
        <v>-1.77</v>
      </c>
      <c r="F43" s="93" t="n">
        <v>-2.15</v>
      </c>
      <c r="G43" s="93" t="n">
        <v>-0.6</v>
      </c>
      <c r="H43" s="93" t="n">
        <v>11.14</v>
      </c>
      <c r="I43" s="93" t="n">
        <v>19.59</v>
      </c>
      <c r="J43" s="93" t="n">
        <v>11.86</v>
      </c>
    </row>
    <row r="44" customFormat="false" ht="15" hidden="false" customHeight="false" outlineLevel="0" collapsed="false">
      <c r="A44" s="18" t="s">
        <v>461</v>
      </c>
      <c r="B44" s="74" t="s">
        <v>462</v>
      </c>
      <c r="C44" s="93" t="n">
        <v>-7.43</v>
      </c>
      <c r="D44" s="93" t="n">
        <v>-0.65</v>
      </c>
      <c r="E44" s="93" t="n">
        <v>22.97</v>
      </c>
      <c r="F44" s="93" t="n">
        <v>39.27</v>
      </c>
      <c r="G44" s="93" t="n">
        <v>20.69</v>
      </c>
      <c r="H44" s="93" t="n">
        <v>-11.4</v>
      </c>
      <c r="I44" s="93" t="n">
        <v>8.46</v>
      </c>
      <c r="J44" s="93" t="n">
        <v>-0.27</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10.15</v>
      </c>
      <c r="D47" s="93" t="n">
        <v>2.99</v>
      </c>
      <c r="E47" s="93" t="n">
        <v>4.24</v>
      </c>
      <c r="F47" s="93" t="n">
        <v>21.12</v>
      </c>
      <c r="G47" s="93" t="n">
        <v>36.33</v>
      </c>
      <c r="H47" s="93" t="n">
        <v>46</v>
      </c>
      <c r="I47" s="93" t="n">
        <v>47.5</v>
      </c>
      <c r="J47" s="93" t="n">
        <v>23.9</v>
      </c>
    </row>
    <row r="48" customFormat="false" ht="15" hidden="false" customHeight="false" outlineLevel="0" collapsed="false">
      <c r="A48" s="18" t="s">
        <v>467</v>
      </c>
      <c r="B48" s="74" t="s">
        <v>468</v>
      </c>
      <c r="C48" s="93" t="n">
        <v>10.57</v>
      </c>
      <c r="D48" s="93" t="n">
        <v>10.57</v>
      </c>
      <c r="E48" s="93" t="n">
        <v>10.57</v>
      </c>
      <c r="F48" s="93" t="n">
        <v>10.57</v>
      </c>
      <c r="G48" s="93" t="n">
        <v>10.57</v>
      </c>
      <c r="H48" s="93" t="n">
        <v>10.57</v>
      </c>
      <c r="I48" s="93" t="n">
        <v>10.57</v>
      </c>
      <c r="J48" s="93" t="n">
        <v>10.57</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287.48</v>
      </c>
      <c r="D52" s="44" t="n">
        <f aca="false">IFERROR((((D10+D12)+D13)-D11),"N/M")</f>
        <v>278.61</v>
      </c>
      <c r="E52" s="44" t="n">
        <f aca="false">IFERROR((((E10+E12)+E13)-E11),"N/M")</f>
        <v>155.07</v>
      </c>
      <c r="F52" s="44" t="n">
        <f aca="false">IFERROR((((F10+F12)+F13)-F11),"N/M")</f>
        <v>560.21</v>
      </c>
      <c r="G52" s="44" t="n">
        <f aca="false">IFERROR((((G10+G12)+G13)-G11),"N/M")</f>
        <v>386.06</v>
      </c>
      <c r="H52" s="44" t="n">
        <f aca="false">IFERROR((((H10+H12)+H13)-H11),"N/M")</f>
        <v>205.81</v>
      </c>
      <c r="I52" s="44" t="n">
        <f aca="false">IFERROR((((I10+I12)+I13)-I11),"N/M")</f>
        <v>480.29</v>
      </c>
      <c r="J52" s="44" t="n">
        <f aca="false">IFERROR((((J10+J12)+J13)-J11),"N/M")</f>
        <v>514.92</v>
      </c>
    </row>
    <row r="53" customFormat="false" ht="15" hidden="false" customHeight="false" outlineLevel="0" collapsed="false">
      <c r="A53" s="18" t="s">
        <v>473</v>
      </c>
      <c r="B53" s="19" t="s">
        <v>474</v>
      </c>
      <c r="C53" s="44" t="n">
        <f aca="false">IFERROR(((C14+C15)+C16),"N/M")</f>
        <v>28.51</v>
      </c>
      <c r="D53" s="44" t="n">
        <f aca="false">IFERROR(((D14+D15)+D16),"N/M")</f>
        <v>31.26</v>
      </c>
      <c r="E53" s="44" t="n">
        <f aca="false">IFERROR(((E14+E15)+E16),"N/M")</f>
        <v>22.29</v>
      </c>
      <c r="F53" s="44" t="n">
        <f aca="false">IFERROR(((F14+F15)+F16),"N/M")</f>
        <v>17.3</v>
      </c>
      <c r="G53" s="44" t="n">
        <f aca="false">IFERROR(((G14+G15)+G16),"N/M")</f>
        <v>20.85</v>
      </c>
      <c r="H53" s="44" t="n">
        <f aca="false">IFERROR(((H14+H15)+H16),"N/M")</f>
        <v>19.1</v>
      </c>
      <c r="I53" s="44" t="n">
        <f aca="false">IFERROR(((I14+I15)+I16),"N/M")</f>
        <v>24.6</v>
      </c>
      <c r="J53" s="44" t="n">
        <f aca="false">IFERROR(((J14+J15)+J16),"N/M")</f>
        <v>30.89</v>
      </c>
    </row>
    <row r="54" customFormat="false" ht="15" hidden="false" customHeight="false" outlineLevel="0" collapsed="false">
      <c r="A54" s="18" t="s">
        <v>475</v>
      </c>
      <c r="B54" s="19" t="s">
        <v>476</v>
      </c>
      <c r="C54" s="44" t="n">
        <f aca="false">IFERROR((C52+C53),"N/M")</f>
        <v>315.99</v>
      </c>
      <c r="D54" s="44" t="n">
        <f aca="false">IFERROR((D52+D53),"N/M")</f>
        <v>309.87</v>
      </c>
      <c r="E54" s="44" t="n">
        <f aca="false">IFERROR((E52+E53),"N/M")</f>
        <v>177.36</v>
      </c>
      <c r="F54" s="44" t="n">
        <f aca="false">IFERROR((F52+F53),"N/M")</f>
        <v>577.51</v>
      </c>
      <c r="G54" s="44" t="n">
        <f aca="false">IFERROR((G52+G53),"N/M")</f>
        <v>406.91</v>
      </c>
      <c r="H54" s="44" t="n">
        <f aca="false">IFERROR((H52+H53),"N/M")</f>
        <v>224.91</v>
      </c>
      <c r="I54" s="44" t="n">
        <f aca="false">IFERROR((I52+I53),"N/M")</f>
        <v>504.89</v>
      </c>
      <c r="J54" s="44" t="n">
        <f aca="false">IFERROR((J52+J53),"N/M")</f>
        <v>545.81</v>
      </c>
    </row>
    <row r="55" customFormat="false" ht="15" hidden="false" customHeight="false" outlineLevel="0" collapsed="false">
      <c r="A55" s="18" t="s">
        <v>477</v>
      </c>
      <c r="B55" s="19" t="s">
        <v>478</v>
      </c>
      <c r="C55" s="44" t="n">
        <f aca="false">IFERROR((C9-C52),"N/M")</f>
        <v>42.8800000000001</v>
      </c>
      <c r="D55" s="44" t="n">
        <f aca="false">IFERROR((D9-D52),"N/M")</f>
        <v>22.8700000000001</v>
      </c>
      <c r="E55" s="44" t="n">
        <f aca="false">IFERROR((E9-E52),"N/M")</f>
        <v>12.8</v>
      </c>
      <c r="F55" s="44" t="n">
        <f aca="false">IFERROR((F9-F52),"N/M")</f>
        <v>54.9</v>
      </c>
      <c r="G55" s="44" t="n">
        <f aca="false">IFERROR((G9-G52),"N/M")</f>
        <v>47.29</v>
      </c>
      <c r="H55" s="44" t="n">
        <f aca="false">IFERROR((H9-H52),"N/M")</f>
        <v>34.45</v>
      </c>
      <c r="I55" s="44" t="n">
        <f aca="false">IFERROR((I9-I52),"N/M")</f>
        <v>56.0199999999999</v>
      </c>
      <c r="J55" s="44" t="n">
        <f aca="false">IFERROR((J9-J52),"N/M")</f>
        <v>57.9</v>
      </c>
    </row>
    <row r="56" customFormat="false" ht="15" hidden="false" customHeight="false" outlineLevel="0" collapsed="false">
      <c r="A56" s="18" t="s">
        <v>479</v>
      </c>
      <c r="B56" s="19" t="s">
        <v>480</v>
      </c>
      <c r="C56" s="44" t="n">
        <f aca="false">IFERROR((C9-C54),"N/M")</f>
        <v>14.3700000000001</v>
      </c>
      <c r="D56" s="44" t="n">
        <f aca="false">IFERROR((D9-D54),"N/M")</f>
        <v>-8.38999999999993</v>
      </c>
      <c r="E56" s="44" t="n">
        <f aca="false">IFERROR((E9-E54),"N/M")</f>
        <v>-9.48999999999998</v>
      </c>
      <c r="F56" s="44" t="n">
        <f aca="false">IFERROR((F9-F54),"N/M")</f>
        <v>37.6</v>
      </c>
      <c r="G56" s="44" t="n">
        <f aca="false">IFERROR((G9-G54),"N/M")</f>
        <v>26.44</v>
      </c>
      <c r="H56" s="44" t="n">
        <f aca="false">IFERROR((H9-H54),"N/M")</f>
        <v>15.35</v>
      </c>
      <c r="I56" s="44" t="n">
        <f aca="false">IFERROR((I9-I54),"N/M")</f>
        <v>31.4199999999999</v>
      </c>
      <c r="J56" s="44" t="n">
        <f aca="false">IFERROR((J9-J54),"N/M")</f>
        <v>27.01</v>
      </c>
    </row>
    <row r="57" customFormat="false" ht="15" hidden="false" customHeight="false" outlineLevel="0" collapsed="false">
      <c r="A57" s="18" t="s">
        <v>481</v>
      </c>
      <c r="B57" s="19" t="s">
        <v>482</v>
      </c>
      <c r="C57" s="44" t="n">
        <f aca="false">IFERROR((C9+C17),"N/M")</f>
        <v>330.72</v>
      </c>
      <c r="D57" s="44" t="n">
        <f aca="false">IFERROR((D9+D17),"N/M")</f>
        <v>303.18</v>
      </c>
      <c r="E57" s="44" t="n">
        <f aca="false">IFERROR((E9+E17),"N/M")</f>
        <v>168.09</v>
      </c>
      <c r="F57" s="44" t="n">
        <f aca="false">IFERROR((F9+F17),"N/M")</f>
        <v>617.2</v>
      </c>
      <c r="G57" s="44" t="n">
        <f aca="false">IFERROR((G9+G17),"N/M")</f>
        <v>440.06</v>
      </c>
      <c r="H57" s="44" t="n">
        <f aca="false">IFERROR((H9+H17),"N/M")</f>
        <v>244.14</v>
      </c>
      <c r="I57" s="44" t="n">
        <f aca="false">IFERROR((I9+I17),"N/M")</f>
        <v>545.18</v>
      </c>
      <c r="J57" s="44" t="n">
        <f aca="false">IFERROR((J9+J17),"N/M")</f>
        <v>581.18</v>
      </c>
    </row>
    <row r="58" customFormat="false" ht="15" hidden="false" customHeight="false" outlineLevel="0" collapsed="false">
      <c r="A58" s="18" t="s">
        <v>483</v>
      </c>
      <c r="B58" s="19" t="s">
        <v>484</v>
      </c>
      <c r="C58" s="44" t="n">
        <f aca="false">IFERROR((C20+C19),"N/M")</f>
        <v>13.59</v>
      </c>
      <c r="D58" s="44" t="n">
        <f aca="false">IFERROR((D20+D19),"N/M")</f>
        <v>-7.67</v>
      </c>
      <c r="E58" s="44" t="n">
        <f aca="false">IFERROR((E20+E19),"N/M")</f>
        <v>-10.16</v>
      </c>
      <c r="F58" s="44" t="n">
        <f aca="false">IFERROR((F20+F19),"N/M")</f>
        <v>38.89</v>
      </c>
      <c r="G58" s="44" t="n">
        <f aca="false">IFERROR((G20+G19),"N/M")</f>
        <v>32.37</v>
      </c>
      <c r="H58" s="44" t="n">
        <f aca="false">IFERROR((H20+H19),"N/M")</f>
        <v>18.45</v>
      </c>
      <c r="I58" s="44" t="n">
        <f aca="false">IFERROR((I20+I19),"N/M")</f>
        <v>39.44</v>
      </c>
      <c r="J58" s="44" t="n">
        <f aca="false">IFERROR((J20+J19),"N/M")</f>
        <v>34.41</v>
      </c>
    </row>
    <row r="59" customFormat="false" ht="15" hidden="false" customHeight="false" outlineLevel="0" collapsed="false">
      <c r="A59" s="18" t="s">
        <v>485</v>
      </c>
      <c r="B59" s="19" t="s">
        <v>486</v>
      </c>
      <c r="C59" s="44" t="n">
        <f aca="false">IFERROR((C58+C18),"N/M")</f>
        <v>14.73</v>
      </c>
      <c r="D59" s="44" t="n">
        <f aca="false">IFERROR((D58+D18),"N/M")</f>
        <v>-6.69</v>
      </c>
      <c r="E59" s="44" t="n">
        <f aca="false">IFERROR((E58+E18),"N/M")</f>
        <v>-9.27</v>
      </c>
      <c r="F59" s="44" t="n">
        <f aca="false">IFERROR((F58+F18),"N/M")</f>
        <v>39.69</v>
      </c>
      <c r="G59" s="44" t="n">
        <f aca="false">IFERROR((G58+G18),"N/M")</f>
        <v>33.15</v>
      </c>
      <c r="H59" s="44" t="n">
        <f aca="false">IFERROR((H58+H18),"N/M")</f>
        <v>19.23</v>
      </c>
      <c r="I59" s="44" t="n">
        <f aca="false">IFERROR((I58+I18),"N/M")</f>
        <v>40.29</v>
      </c>
      <c r="J59" s="44" t="n">
        <f aca="false">IFERROR((J58+J18),"N/M")</f>
        <v>35.37</v>
      </c>
    </row>
    <row r="60" customFormat="false" ht="15" hidden="false" customHeight="false" outlineLevel="0" collapsed="false">
      <c r="A60" s="18" t="s">
        <v>487</v>
      </c>
      <c r="B60" s="19" t="s">
        <v>488</v>
      </c>
      <c r="C60" s="46" t="n">
        <f aca="false">IFERROR(IF(C20&gt;0,MIN(MAX((C21/C20),0),1),0),"N/M")</f>
        <v>0.395614871306006</v>
      </c>
      <c r="D60" s="46" t="n">
        <f aca="false">IFERROR(IF(D20&gt;0,MIN(MAX((D21/D20),0),1),0),"N/M")</f>
        <v>0</v>
      </c>
      <c r="E60" s="46" t="n">
        <f aca="false">IFERROR(IF(E20&gt;0,MIN(MAX((E21/E20),0),1),0),"N/M")</f>
        <v>0</v>
      </c>
      <c r="F60" s="46" t="n">
        <f aca="false">IFERROR(IF(F20&gt;0,MIN(MAX((F21/F20),0),1),0),"N/M")</f>
        <v>0.100321027287319</v>
      </c>
      <c r="G60" s="46" t="n">
        <f aca="false">IFERROR(IF(G20&gt;0,MIN(MAX((G21/G20),0),1),0),"N/M")</f>
        <v>0.259412890874282</v>
      </c>
      <c r="H60" s="46" t="n">
        <f aca="false">IFERROR(IF(H20&gt;0,MIN(MAX((H21/H20),0),1),0),"N/M")</f>
        <v>0.267947993216507</v>
      </c>
      <c r="I60" s="46" t="n">
        <f aca="false">IFERROR(IF(I20&gt;0,MIN(MAX((I21/I20),0),1),0),"N/M")</f>
        <v>0.251593239124411</v>
      </c>
      <c r="J60" s="46" t="n">
        <f aca="false">IFERROR(IF(J20&gt;0,MIN(MAX((J21/J20),0),1),0),"N/M")</f>
        <v>0.261153054221002</v>
      </c>
    </row>
    <row r="61" customFormat="false" ht="15" hidden="false" customHeight="false" outlineLevel="0" collapsed="false">
      <c r="A61" s="18" t="s">
        <v>489</v>
      </c>
      <c r="B61" s="19" t="s">
        <v>490</v>
      </c>
      <c r="C61" s="44" t="n">
        <f aca="false">IFERROR((C26+C27),"N/M")</f>
        <v>65.19</v>
      </c>
      <c r="D61" s="44" t="n">
        <f aca="false">IFERROR((D26+D27),"N/M")</f>
        <v>52.7</v>
      </c>
      <c r="E61" s="44" t="n">
        <f aca="false">IFERROR((E26+E27),"N/M")</f>
        <v>41.98</v>
      </c>
      <c r="F61" s="44" t="n">
        <f aca="false">IFERROR((F26+F27),"N/M")</f>
        <v>74.43</v>
      </c>
      <c r="G61" s="44" t="n">
        <f aca="false">IFERROR((G26+G27),"N/M")</f>
        <v>97.63</v>
      </c>
      <c r="H61" s="44" t="n">
        <f aca="false">IFERROR((H26+H27),"N/M")</f>
        <v>110.83</v>
      </c>
      <c r="I61" s="44" t="n">
        <f aca="false">IFERROR((I26+I27),"N/M")</f>
        <v>138.3</v>
      </c>
      <c r="J61" s="44" t="n">
        <f aca="false">IFERROR((J26+J27),"N/M")</f>
        <v>159.98</v>
      </c>
    </row>
    <row r="62" customFormat="false" ht="15" hidden="false" customHeight="false" outlineLevel="0" collapsed="false">
      <c r="A62" s="18" t="s">
        <v>491</v>
      </c>
      <c r="B62" s="19" t="s">
        <v>492</v>
      </c>
      <c r="C62" s="44" t="n">
        <f aca="false">IFERROR((C61+C28),"N/M")</f>
        <v>100.61</v>
      </c>
      <c r="D62" s="44" t="n">
        <f aca="false">IFERROR((D61+D28),"N/M")</f>
        <v>89.37</v>
      </c>
      <c r="E62" s="44" t="n">
        <f aca="false">IFERROR((E61+E28),"N/M")</f>
        <v>56.94</v>
      </c>
      <c r="F62" s="44" t="n">
        <f aca="false">IFERROR((F61+F28),"N/M")</f>
        <v>74.43</v>
      </c>
      <c r="G62" s="44" t="n">
        <f aca="false">IFERROR((G61+G28),"N/M")</f>
        <v>97.63</v>
      </c>
      <c r="H62" s="44" t="n">
        <f aca="false">IFERROR((H61+H28),"N/M")</f>
        <v>122.87</v>
      </c>
      <c r="I62" s="44" t="n">
        <f aca="false">IFERROR((I61+I28),"N/M")</f>
        <v>172.68</v>
      </c>
      <c r="J62" s="44" t="n">
        <f aca="false">IFERROR((J61+J28),"N/M")</f>
        <v>210.68</v>
      </c>
    </row>
    <row r="63" customFormat="false" ht="15" hidden="false" customHeight="false" outlineLevel="0" collapsed="false">
      <c r="A63" s="18" t="s">
        <v>493</v>
      </c>
      <c r="B63" s="19" t="s">
        <v>494</v>
      </c>
      <c r="C63" s="44" t="n">
        <f aca="false">IFERROR(C34,"N/M")</f>
        <v>114.19</v>
      </c>
      <c r="D63" s="44" t="n">
        <f aca="false">IFERROR(D34,"N/M")</f>
        <v>95.18</v>
      </c>
      <c r="E63" s="44" t="n">
        <f aca="false">IFERROR(E34,"N/M")</f>
        <v>75.07</v>
      </c>
      <c r="F63" s="44" t="n">
        <f aca="false">IFERROR(F34,"N/M")</f>
        <v>108.18</v>
      </c>
      <c r="G63" s="44" t="n">
        <f aca="false">IFERROR(G34,"N/M")</f>
        <v>106.52</v>
      </c>
      <c r="H63" s="44" t="n">
        <f aca="false">IFERROR(H34,"N/M")</f>
        <v>123.31</v>
      </c>
      <c r="I63" s="44" t="n">
        <f aca="false">IFERROR(I34,"N/M")</f>
        <v>174.78</v>
      </c>
      <c r="J63" s="44" t="n">
        <f aca="false">IFERROR(J34,"N/M")</f>
        <v>239.81</v>
      </c>
    </row>
    <row r="64" customFormat="false" ht="15" hidden="false" customHeight="false" outlineLevel="0" collapsed="false">
      <c r="A64" s="18" t="s">
        <v>495</v>
      </c>
      <c r="B64" s="19" t="s">
        <v>496</v>
      </c>
      <c r="C64" s="44" t="n">
        <f aca="false">IFERROR(C29,"N/M")</f>
        <v>24.41</v>
      </c>
      <c r="D64" s="44" t="n">
        <f aca="false">IFERROR(D29,"N/M")</f>
        <v>15.74</v>
      </c>
      <c r="E64" s="44" t="n">
        <f aca="false">IFERROR(E29,"N/M")</f>
        <v>26.91</v>
      </c>
      <c r="F64" s="44" t="n">
        <f aca="false">IFERROR(F29,"N/M")</f>
        <v>46.82</v>
      </c>
      <c r="G64" s="44" t="n">
        <f aca="false">IFERROR(G29,"N/M")</f>
        <v>21.88</v>
      </c>
      <c r="H64" s="44" t="n">
        <f aca="false">IFERROR(H29,"N/M")</f>
        <v>20.71</v>
      </c>
      <c r="I64" s="44" t="n">
        <f aca="false">IFERROR(I29,"N/M")</f>
        <v>23.01</v>
      </c>
      <c r="J64" s="44" t="n">
        <f aca="false">IFERROR(J29,"N/M")</f>
        <v>51.94</v>
      </c>
    </row>
    <row r="65" customFormat="false" ht="15" hidden="false" customHeight="false" outlineLevel="0" collapsed="false">
      <c r="A65" s="18" t="s">
        <v>497</v>
      </c>
      <c r="B65" s="19" t="s">
        <v>498</v>
      </c>
      <c r="C65" s="44" t="n">
        <f aca="false">IFERROR((C63-C64),"N/M")</f>
        <v>89.78</v>
      </c>
      <c r="D65" s="44" t="n">
        <f aca="false">IFERROR((D63-D64),"N/M")</f>
        <v>79.44</v>
      </c>
      <c r="E65" s="44" t="n">
        <f aca="false">IFERROR((E63-E64),"N/M")</f>
        <v>48.16</v>
      </c>
      <c r="F65" s="44" t="n">
        <f aca="false">IFERROR((F63-F64),"N/M")</f>
        <v>61.36</v>
      </c>
      <c r="G65" s="44" t="n">
        <f aca="false">IFERROR((G63-G64),"N/M")</f>
        <v>84.64</v>
      </c>
      <c r="H65" s="44" t="n">
        <f aca="false">IFERROR((H63-H64),"N/M")</f>
        <v>102.6</v>
      </c>
      <c r="I65" s="44" t="n">
        <f aca="false">IFERROR((I63-I64),"N/M")</f>
        <v>151.77</v>
      </c>
      <c r="J65" s="44" t="n">
        <f aca="false">IFERROR((J63-J64),"N/M")</f>
        <v>187.87</v>
      </c>
    </row>
    <row r="66" customFormat="false" ht="15" hidden="false" customHeight="false" outlineLevel="0" collapsed="false">
      <c r="A66" s="18" t="s">
        <v>499</v>
      </c>
      <c r="B66" s="19" t="s">
        <v>500</v>
      </c>
      <c r="C66" s="44" t="n">
        <f aca="false">IFERROR((C36+C38),"N/M")</f>
        <v>106.61</v>
      </c>
      <c r="D66" s="44" t="n">
        <f aca="false">IFERROR((D36+D38),"N/M")</f>
        <v>71.56</v>
      </c>
      <c r="E66" s="44" t="n">
        <f aca="false">IFERROR((E36+E38),"N/M")</f>
        <v>50.55</v>
      </c>
      <c r="F66" s="44" t="n">
        <f aca="false">IFERROR((F36+F38),"N/M")</f>
        <v>100.22</v>
      </c>
      <c r="G66" s="44" t="n">
        <f aca="false">IFERROR((G36+G38),"N/M")</f>
        <v>101.7</v>
      </c>
      <c r="H66" s="44" t="n">
        <f aca="false">IFERROR((H36+H38),"N/M")</f>
        <v>111.54</v>
      </c>
      <c r="I66" s="44" t="n">
        <f aca="false">IFERROR((I36+I38),"N/M")</f>
        <v>153.84</v>
      </c>
      <c r="J66" s="44" t="n">
        <f aca="false">IFERROR((J36+J38),"N/M")</f>
        <v>202.48</v>
      </c>
    </row>
    <row r="67" customFormat="false" ht="15" hidden="false" customHeight="false" outlineLevel="0" collapsed="false">
      <c r="A67" s="18" t="s">
        <v>501</v>
      </c>
      <c r="B67" s="19" t="s">
        <v>502</v>
      </c>
      <c r="D67" s="44" t="n">
        <f aca="false">IFERROR((((D31+D32)-(C31+C32))+D18),"N/M")</f>
        <v>0.120000000000001</v>
      </c>
      <c r="E67" s="44" t="n">
        <f aca="false">IFERROR((((E31+E32)-(D31+D32))+E18),"N/M")</f>
        <v>-0.130000000000001</v>
      </c>
      <c r="F67" s="44" t="n">
        <f aca="false">IFERROR((((F31+F32)-(E31+E32))+F18),"N/M")</f>
        <v>0.0300000000000005</v>
      </c>
      <c r="G67" s="44" t="n">
        <f aca="false">IFERROR((((G31+G32)-(F31+F32))+G18),"N/M")</f>
        <v>0.44</v>
      </c>
      <c r="H67" s="44" t="n">
        <f aca="false">IFERROR((((H31+H32)-(G31+G32))+H18),"N/M")</f>
        <v>2.32</v>
      </c>
      <c r="I67" s="44" t="n">
        <f aca="false">IFERROR((((I31+I32)-(H31+H32))+I18),"N/M")</f>
        <v>0.69</v>
      </c>
      <c r="J67" s="44" t="n">
        <f aca="false">IFERROR((((J31+J32)-(I31+I32))+J18),"N/M")</f>
        <v>1.89</v>
      </c>
    </row>
    <row r="68" customFormat="false" ht="15" hidden="false" customHeight="false" outlineLevel="0" collapsed="false">
      <c r="A68" s="18" t="s">
        <v>503</v>
      </c>
      <c r="B68" s="19" t="s">
        <v>504</v>
      </c>
      <c r="D68" s="44" t="n">
        <f aca="false">IFERROR(MAX((C28-D28),0),"N/M")</f>
        <v>0</v>
      </c>
      <c r="E68" s="44" t="n">
        <f aca="false">IFERROR(MAX((D28-E28),0),"N/M")</f>
        <v>21.71</v>
      </c>
      <c r="F68" s="44" t="n">
        <f aca="false">IFERROR(MAX((E28-F28),0),"N/M")</f>
        <v>14.96</v>
      </c>
      <c r="G68" s="44" t="n">
        <f aca="false">IFERROR(MAX((F28-G28),0),"N/M")</f>
        <v>0</v>
      </c>
      <c r="H68" s="44" t="n">
        <f aca="false">IFERROR(MAX((G28-H28),0),"N/M")</f>
        <v>0</v>
      </c>
      <c r="I68" s="44" t="n">
        <f aca="false">IFERROR(MAX((H28-I28),0),"N/M")</f>
        <v>0</v>
      </c>
      <c r="J68" s="44" t="n">
        <f aca="false">IFERROR(MAX((I28-J28),0),"N/M")</f>
        <v>0</v>
      </c>
    </row>
    <row r="69" customFormat="false" ht="15" hidden="false" customHeight="false" outlineLevel="0" collapsed="false">
      <c r="A69" s="18" t="s">
        <v>505</v>
      </c>
      <c r="B69" s="19" t="s">
        <v>506</v>
      </c>
      <c r="C69" s="44" t="n">
        <f aca="false">IFERROR((C47*C48),"N/M")</f>
        <v>107.2855</v>
      </c>
      <c r="D69" s="44" t="n">
        <f aca="false">IFERROR((D47*D48),"N/M")</f>
        <v>31.6043</v>
      </c>
      <c r="E69" s="44" t="n">
        <f aca="false">IFERROR((E47*E48),"N/M")</f>
        <v>44.8168</v>
      </c>
      <c r="F69" s="44" t="n">
        <f aca="false">IFERROR((F47*F48),"N/M")</f>
        <v>223.2384</v>
      </c>
      <c r="G69" s="44" t="n">
        <f aca="false">IFERROR((G47*G48),"N/M")</f>
        <v>384.0081</v>
      </c>
      <c r="H69" s="44" t="n">
        <f aca="false">IFERROR((H47*H48),"N/M")</f>
        <v>486.22</v>
      </c>
      <c r="I69" s="44" t="n">
        <f aca="false">IFERROR((I47*I48),"N/M")</f>
        <v>502.075</v>
      </c>
      <c r="J69" s="44" t="n">
        <f aca="false">IFERROR((J47*J48),"N/M")</f>
        <v>252.623</v>
      </c>
    </row>
    <row r="70" customFormat="false" ht="15" hidden="false" customHeight="false" outlineLevel="0" collapsed="false">
      <c r="A70" s="18" t="s">
        <v>507</v>
      </c>
      <c r="B70" s="19" t="s">
        <v>508</v>
      </c>
      <c r="C70" s="44" t="n">
        <f aca="false">IFERROR(((C69+C28)-C38),"N/M")</f>
        <v>137.4255</v>
      </c>
      <c r="D70" s="44" t="n">
        <f aca="false">IFERROR(((D69+D28)-D38),"N/M")</f>
        <v>62.2343</v>
      </c>
      <c r="E70" s="44" t="n">
        <f aca="false">IFERROR(((E69+E28)-E38),"N/M")</f>
        <v>52.3968</v>
      </c>
      <c r="F70" s="44" t="n">
        <f aca="false">IFERROR(((F69+F28)-F38),"N/M")</f>
        <v>191.6784</v>
      </c>
      <c r="G70" s="44" t="n">
        <f aca="false">IFERROR(((G69+G28)-G38),"N/M")</f>
        <v>331.6081</v>
      </c>
      <c r="H70" s="44" t="n">
        <f aca="false">IFERROR(((H69+H28)-H38),"N/M")</f>
        <v>456.51</v>
      </c>
      <c r="I70" s="44" t="n">
        <f aca="false">IFERROR(((I69+I28)-I38),"N/M")</f>
        <v>485.295</v>
      </c>
      <c r="J70" s="44" t="n">
        <f aca="false">IFERROR(((J69+J28)-J38),"N/M")</f>
        <v>261.873</v>
      </c>
    </row>
    <row r="71" customFormat="false" ht="15" hidden="false" customHeight="false" outlineLevel="0" collapsed="false">
      <c r="A71" s="18" t="s">
        <v>509</v>
      </c>
      <c r="C71" s="44" t="n">
        <f aca="false">IFERROR(IF(C49=1,C69,0),"N/M")</f>
        <v>107.2855</v>
      </c>
      <c r="D71" s="44" t="n">
        <f aca="false">IFERROR(IF(D49=1,D69,0),"N/M")</f>
        <v>31.6043</v>
      </c>
      <c r="E71" s="44" t="n">
        <f aca="false">IFERROR(IF(E49=1,E69,0),"N/M")</f>
        <v>44.8168</v>
      </c>
      <c r="F71" s="44" t="n">
        <f aca="false">IFERROR(IF(F49=1,F69,0),"N/M")</f>
        <v>223.2384</v>
      </c>
      <c r="G71" s="44" t="n">
        <f aca="false">IFERROR(IF(G49=1,G69,0),"N/M")</f>
        <v>384.0081</v>
      </c>
      <c r="H71" s="44" t="n">
        <f aca="false">IFERROR(IF(H49=1,H69,0),"N/M")</f>
        <v>486.22</v>
      </c>
      <c r="I71" s="44" t="n">
        <f aca="false">IFERROR(IF(I49=1,I69,0),"N/M")</f>
        <v>502.075</v>
      </c>
      <c r="J71" s="44" t="n">
        <f aca="false">IFERROR(IF(J49=1,J69,0),"N/M")</f>
        <v>252.623</v>
      </c>
    </row>
    <row r="72" customFormat="false" ht="15" hidden="false" customHeight="false" outlineLevel="0" collapsed="false">
      <c r="A72" s="18" t="s">
        <v>510</v>
      </c>
      <c r="C72" s="44" t="n">
        <f aca="false">IFERROR(IF(C49=1,C22,0),"N/M")</f>
        <v>6.34</v>
      </c>
      <c r="D72" s="44" t="n">
        <f aca="false">IFERROR(IF(D49=1,D22,0),"N/M")</f>
        <v>-12.34</v>
      </c>
      <c r="E72" s="44" t="n">
        <f aca="false">IFERROR(IF(E49=1,E22,0),"N/M")</f>
        <v>-12.42</v>
      </c>
      <c r="F72" s="44" t="n">
        <f aca="false">IFERROR(IF(F49=1,F22,0),"N/M")</f>
        <v>33.63</v>
      </c>
      <c r="G72" s="44" t="n">
        <f aca="false">IFERROR(IF(G49=1,G22,0),"N/M")</f>
        <v>23.21</v>
      </c>
      <c r="H72" s="44" t="n">
        <f aca="false">IFERROR(IF(H49=1,H22,0),"N/M")</f>
        <v>12.96</v>
      </c>
      <c r="I72" s="44" t="n">
        <f aca="false">IFERROR(IF(I49=1,I22,0),"N/M")</f>
        <v>27.01</v>
      </c>
      <c r="J72" s="44" t="n">
        <f aca="false">IFERROR(IF(J49=1,J22,0),"N/M")</f>
        <v>21.52</v>
      </c>
    </row>
    <row r="73" customFormat="false" ht="15" hidden="false" customHeight="false" outlineLevel="0" collapsed="false">
      <c r="A73" s="18" t="s">
        <v>511</v>
      </c>
      <c r="C73" s="44" t="n">
        <f aca="false">IFERROR(IF(C49=1,C61,0),"N/M")</f>
        <v>65.19</v>
      </c>
      <c r="D73" s="44" t="n">
        <f aca="false">IFERROR(IF(D49=1,D61,0),"N/M")</f>
        <v>52.7</v>
      </c>
      <c r="E73" s="44" t="n">
        <f aca="false">IFERROR(IF(E49=1,E61,0),"N/M")</f>
        <v>41.98</v>
      </c>
      <c r="F73" s="44" t="n">
        <f aca="false">IFERROR(IF(F49=1,F61,0),"N/M")</f>
        <v>74.43</v>
      </c>
      <c r="G73" s="44" t="n">
        <f aca="false">IFERROR(IF(G49=1,G61,0),"N/M")</f>
        <v>97.63</v>
      </c>
      <c r="H73" s="44" t="n">
        <f aca="false">IFERROR(IF(H49=1,H61,0),"N/M")</f>
        <v>110.83</v>
      </c>
      <c r="I73" s="44" t="n">
        <f aca="false">IFERROR(IF(I49=1,I61,0),"N/M")</f>
        <v>138.3</v>
      </c>
      <c r="J73" s="44" t="n">
        <f aca="false">IFERROR(IF(J49=1,J61,0),"N/M")</f>
        <v>159.98</v>
      </c>
    </row>
    <row r="74" customFormat="false" ht="15" hidden="false" customHeight="false" outlineLevel="0" collapsed="false">
      <c r="A74" s="18" t="s">
        <v>512</v>
      </c>
      <c r="C74" s="44" t="n">
        <f aca="false">IFERROR(IF(C49=1,C59,0),"N/M")</f>
        <v>14.73</v>
      </c>
      <c r="D74" s="44" t="n">
        <f aca="false">IFERROR(IF(D49=1,D59,0),"N/M")</f>
        <v>-6.69</v>
      </c>
      <c r="E74" s="44" t="n">
        <f aca="false">IFERROR(IF(E49=1,E59,0),"N/M")</f>
        <v>-9.27</v>
      </c>
      <c r="F74" s="44" t="n">
        <f aca="false">IFERROR(IF(F49=1,F59,0),"N/M")</f>
        <v>39.69</v>
      </c>
      <c r="G74" s="44" t="n">
        <f aca="false">IFERROR(IF(G49=1,G59,0),"N/M")</f>
        <v>33.15</v>
      </c>
      <c r="H74" s="44" t="n">
        <f aca="false">IFERROR(IF(H49=1,H59,0),"N/M")</f>
        <v>19.23</v>
      </c>
      <c r="I74" s="44" t="n">
        <f aca="false">IFERROR(IF(I49=1,I59,0),"N/M")</f>
        <v>40.29</v>
      </c>
      <c r="J74" s="44" t="n">
        <f aca="false">IFERROR(IF(J49=1,J59,0),"N/M")</f>
        <v>35.37</v>
      </c>
    </row>
    <row r="75" customFormat="false" ht="15" hidden="false" customHeight="false" outlineLevel="0" collapsed="false">
      <c r="A75" s="18" t="s">
        <v>513</v>
      </c>
      <c r="C75" s="44" t="n">
        <f aca="false">IFERROR(IF(C49=1,C23,0),"N/M")</f>
        <v>0</v>
      </c>
      <c r="D75" s="44" t="n">
        <f aca="false">IFERROR(IF(D49=1,D23,0),"N/M")</f>
        <v>0</v>
      </c>
      <c r="E75" s="44" t="n">
        <f aca="false">IFERROR(IF(E49=1,E23,0),"N/M")</f>
        <v>0</v>
      </c>
      <c r="F75" s="44" t="n">
        <f aca="false">IFERROR(IF(F49=1,F23,0),"N/M")</f>
        <v>1.06</v>
      </c>
      <c r="G75" s="44" t="n">
        <f aca="false">IFERROR(IF(G49=1,G23,0),"N/M")</f>
        <v>0</v>
      </c>
      <c r="H75" s="44" t="n">
        <f aca="false">IFERROR(IF(H49=1,H23,0),"N/M")</f>
        <v>0</v>
      </c>
      <c r="I75" s="44" t="n">
        <f aca="false">IFERROR(IF(I49=1,I23,0),"N/M")</f>
        <v>0</v>
      </c>
      <c r="J75" s="44" t="n">
        <f aca="false">IFERROR(IF(J49=1,J23,0),"N/M")</f>
        <v>0</v>
      </c>
    </row>
    <row r="76" customFormat="false" ht="15" hidden="false" customHeight="false" outlineLevel="0" collapsed="false">
      <c r="A76" s="18" t="s">
        <v>514</v>
      </c>
      <c r="C76" s="44" t="n">
        <f aca="false">IFERROR(IF(C49=1,(C28-C38),0),"N/M")</f>
        <v>30.14</v>
      </c>
      <c r="D76" s="44" t="n">
        <f aca="false">IFERROR(IF(D49=1,(D28-D38),0),"N/M")</f>
        <v>30.63</v>
      </c>
      <c r="E76" s="44" t="n">
        <f aca="false">IFERROR(IF(E49=1,(E28-E38),0),"N/M")</f>
        <v>7.58</v>
      </c>
      <c r="F76" s="44" t="n">
        <f aca="false">IFERROR(IF(F49=1,(F28-F38),0),"N/M")</f>
        <v>-31.56</v>
      </c>
      <c r="G76" s="44" t="n">
        <f aca="false">IFERROR(IF(G49=1,(G28-G38),0),"N/M")</f>
        <v>-52.4</v>
      </c>
      <c r="H76" s="44" t="n">
        <f aca="false">IFERROR(IF(H49=1,(H28-H38),0),"N/M")</f>
        <v>-29.71</v>
      </c>
      <c r="I76" s="44" t="n">
        <f aca="false">IFERROR(IF(I49=1,(I28-I38),0),"N/M")</f>
        <v>-16.78</v>
      </c>
      <c r="J76" s="44" t="n">
        <f aca="false">IFERROR(IF(J49=1,(J28-J38),0),"N/M")</f>
        <v>9.25</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79.44</v>
      </c>
      <c r="E79" s="79" t="n">
        <f aca="false">IFERROR(E65,"N/M")</f>
        <v>48.16</v>
      </c>
      <c r="F79" s="79" t="n">
        <f aca="false">IFERROR(F65,"N/M")</f>
        <v>61.36</v>
      </c>
      <c r="G79" s="79" t="n">
        <f aca="false">IFERROR(G65,"N/M")</f>
        <v>84.64</v>
      </c>
      <c r="H79" s="79" t="n">
        <f aca="false">IFERROR(H65,"N/M")</f>
        <v>102.6</v>
      </c>
      <c r="I79" s="79" t="n">
        <f aca="false">IFERROR(I65,"N/M")</f>
        <v>151.77</v>
      </c>
      <c r="J79" s="79" t="n">
        <f aca="false">IFERROR(J65,"N/M")</f>
        <v>187.87</v>
      </c>
      <c r="K79" s="80" t="n">
        <f aca="false">IFERROR(AVERAGE(D79:J79),"N/M")</f>
        <v>102.262857142857</v>
      </c>
      <c r="L79" s="81" t="n">
        <f aca="false">IFERROR(J79-D79,"N/M")</f>
        <v>108.43</v>
      </c>
      <c r="M79" s="81" t="n">
        <f aca="false">IFERROR(SLOPE(D79:J79,$D$3:$J$3),"N/M")</f>
        <v>20.4910714285714</v>
      </c>
    </row>
    <row r="80" customFormat="false" ht="15" hidden="false" customHeight="false" outlineLevel="0" collapsed="false">
      <c r="A80" s="18" t="s">
        <v>119</v>
      </c>
      <c r="B80" s="19" t="s">
        <v>517</v>
      </c>
      <c r="D80" s="47" t="n">
        <f aca="false">IFERROR(IF(D64&lt;=0,"N/M",D63/D64),"N/M")</f>
        <v>6.04701397712834</v>
      </c>
      <c r="E80" s="47" t="n">
        <f aca="false">IFERROR(IF(E64&lt;=0,"N/M",E63/E64),"N/M")</f>
        <v>2.78966926793014</v>
      </c>
      <c r="F80" s="47" t="n">
        <f aca="false">IFERROR(IF(F64&lt;=0,"N/M",F63/F64),"N/M")</f>
        <v>2.3105510465613</v>
      </c>
      <c r="G80" s="47" t="n">
        <f aca="false">IFERROR(IF(G64&lt;=0,"N/M",G63/G64),"N/M")</f>
        <v>4.86837294332724</v>
      </c>
      <c r="H80" s="47" t="n">
        <f aca="false">IFERROR(IF(H64&lt;=0,"N/M",H63/H64),"N/M")</f>
        <v>5.95412844036697</v>
      </c>
      <c r="I80" s="47" t="n">
        <f aca="false">IFERROR(IF(I64&lt;=0,"N/M",I63/I64),"N/M")</f>
        <v>7.59582790091265</v>
      </c>
      <c r="J80" s="47" t="n">
        <f aca="false">IFERROR(IF(J64&lt;=0,"N/M",J63/J64),"N/M")</f>
        <v>4.61705814401232</v>
      </c>
      <c r="K80" s="22" t="n">
        <f aca="false">IFERROR(AVERAGE(D80:J80),"N/M")</f>
        <v>4.88323167431985</v>
      </c>
      <c r="L80" s="82" t="n">
        <f aca="false">IFERROR(J80-D80,"N/M")</f>
        <v>-1.42995583311601</v>
      </c>
      <c r="M80" s="83" t="n">
        <f aca="false">IFERROR(SLOPE(D80:J80,$D$3:$J$3),"N/M")</f>
        <v>0.32021525572938</v>
      </c>
    </row>
    <row r="81" customFormat="false" ht="15" hidden="false" customHeight="false" outlineLevel="0" collapsed="false">
      <c r="A81" s="18" t="s">
        <v>121</v>
      </c>
      <c r="B81" s="19" t="s">
        <v>518</v>
      </c>
      <c r="D81" s="47" t="n">
        <f aca="false">IFERROR(IF(D64&lt;=0,"N/M",D66/D64),"N/M")</f>
        <v>4.54637865311309</v>
      </c>
      <c r="E81" s="47" t="n">
        <f aca="false">IFERROR(IF(E64&lt;=0,"N/M",E66/E64),"N/M")</f>
        <v>1.87848383500557</v>
      </c>
      <c r="F81" s="47" t="n">
        <f aca="false">IFERROR(IF(F64&lt;=0,"N/M",F66/F64),"N/M")</f>
        <v>2.14053823152499</v>
      </c>
      <c r="G81" s="47" t="n">
        <f aca="false">IFERROR(IF(G64&lt;=0,"N/M",G66/G64),"N/M")</f>
        <v>4.64808043875686</v>
      </c>
      <c r="H81" s="47" t="n">
        <f aca="false">IFERROR(IF(H64&lt;=0,"N/M",H66/H64),"N/M")</f>
        <v>5.38580395943988</v>
      </c>
      <c r="I81" s="47" t="n">
        <f aca="false">IFERROR(IF(I64&lt;=0,"N/M",I66/I64),"N/M")</f>
        <v>6.6857887874837</v>
      </c>
      <c r="J81" s="47" t="n">
        <f aca="false">IFERROR(IF(J64&lt;=0,"N/M",J66/J64),"N/M")</f>
        <v>3.89834424335772</v>
      </c>
      <c r="K81" s="22" t="n">
        <f aca="false">IFERROR(AVERAGE(D81:J81),"N/M")</f>
        <v>4.16905973552597</v>
      </c>
      <c r="L81" s="82" t="n">
        <f aca="false">IFERROR(J81-D81,"N/M")</f>
        <v>-0.648034409755367</v>
      </c>
      <c r="M81" s="83" t="n">
        <f aca="false">IFERROR(SLOPE(D81:J81,$D$3:$J$3),"N/M")</f>
        <v>0.389849014414466</v>
      </c>
    </row>
    <row r="82" customFormat="false" ht="15" hidden="false" customHeight="false" outlineLevel="0" collapsed="false">
      <c r="A82" s="18" t="s">
        <v>519</v>
      </c>
      <c r="B82" s="19" t="s">
        <v>520</v>
      </c>
      <c r="D82" s="47" t="n">
        <f aca="false">IFERROR(IF(D64&lt;=0,"N/M",D38/D64),"N/M")</f>
        <v>0.383735705209657</v>
      </c>
      <c r="E82" s="47" t="n">
        <f aca="false">IFERROR(IF(E64&lt;=0,"N/M",E38/E64),"N/M")</f>
        <v>0.274247491638796</v>
      </c>
      <c r="F82" s="47" t="n">
        <f aca="false">IFERROR(IF(F64&lt;=0,"N/M",F38/F64),"N/M")</f>
        <v>0.674070909867578</v>
      </c>
      <c r="G82" s="47" t="n">
        <f aca="false">IFERROR(IF(G64&lt;=0,"N/M",G38/G64),"N/M")</f>
        <v>2.39488117001828</v>
      </c>
      <c r="H82" s="47" t="n">
        <f aca="false">IFERROR(IF(H64&lt;=0,"N/M",H38/H64),"N/M")</f>
        <v>2.01593433124095</v>
      </c>
      <c r="I82" s="47" t="n">
        <f aca="false">IFERROR(IF(I64&lt;=0,"N/M",I38/I64),"N/M")</f>
        <v>2.22338113863538</v>
      </c>
      <c r="J82" s="47" t="n">
        <f aca="false">IFERROR(IF(J64&lt;=0,"N/M",J38/J64),"N/M")</f>
        <v>0.79803619561032</v>
      </c>
      <c r="K82" s="22" t="n">
        <f aca="false">IFERROR(AVERAGE(D82:J82),"N/M")</f>
        <v>1.25204099174585</v>
      </c>
      <c r="L82" s="82" t="n">
        <f aca="false">IFERROR(J82-D82,"N/M")</f>
        <v>0.414300490400663</v>
      </c>
      <c r="M82" s="83" t="n">
        <f aca="false">IFERROR(SLOPE(D82:J82,$D$3:$J$3),"N/M")</f>
        <v>0.231536863806018</v>
      </c>
    </row>
    <row r="83" customFormat="false" ht="15" hidden="false" customHeight="false" outlineLevel="0" collapsed="false">
      <c r="A83" s="18" t="s">
        <v>521</v>
      </c>
      <c r="B83" s="19" t="s">
        <v>522</v>
      </c>
      <c r="D83" s="48" t="n">
        <f aca="false">IFERROR(IF((D54/365)&lt;=0,"N/M",D66/(D54/365)),"N/M")</f>
        <v>84.2914770710298</v>
      </c>
      <c r="E83" s="48" t="n">
        <f aca="false">IFERROR(IF((E54/365)&lt;=0,"N/M",E66/(E54/365)),"N/M")</f>
        <v>104.029939106901</v>
      </c>
      <c r="F83" s="48" t="n">
        <f aca="false">IFERROR(IF((F54/365)&lt;=0,"N/M",F66/(F54/365)),"N/M")</f>
        <v>63.3414140014892</v>
      </c>
      <c r="G83" s="48" t="n">
        <f aca="false">IFERROR(IF((G54/365)&lt;=0,"N/M",G66/(G54/365)),"N/M")</f>
        <v>91.2253323830822</v>
      </c>
      <c r="H83" s="48" t="n">
        <f aca="false">IFERROR(IF((H54/365)&lt;=0,"N/M",H66/(H54/365)),"N/M")</f>
        <v>181.015072695745</v>
      </c>
      <c r="I83" s="48" t="n">
        <f aca="false">IFERROR(IF((I54/365)&lt;=0,"N/M",I66/(I54/365)),"N/M")</f>
        <v>111.215512289806</v>
      </c>
      <c r="J83" s="48" t="n">
        <f aca="false">IFERROR(IF((J54/365)&lt;=0,"N/M",J66/(J54/365)),"N/M")</f>
        <v>135.404627984097</v>
      </c>
      <c r="K83" s="28" t="n">
        <f aca="false">IFERROR(AVERAGE(D83:J83),"N/M")</f>
        <v>110.074767933164</v>
      </c>
      <c r="L83" s="84" t="n">
        <f aca="false">IFERROR(J83-D83,"N/M")</f>
        <v>51.1131509130672</v>
      </c>
      <c r="M83" s="85" t="n">
        <f aca="false">IFERROR(SLOPE(D83:J83,$D$3:$J$3),"N/M")</f>
        <v>10.1922949214024</v>
      </c>
    </row>
    <row r="84" customFormat="false" ht="15" hidden="false" customHeight="false" outlineLevel="0" collapsed="false">
      <c r="A84" s="18" t="s">
        <v>122</v>
      </c>
      <c r="B84" s="19" t="s">
        <v>523</v>
      </c>
      <c r="D84" s="47" t="n">
        <f aca="false">IFERROR(IF(D64&lt;=0,"N/M",D41/D64),"N/M")</f>
        <v>0.134688691232529</v>
      </c>
      <c r="E84" s="47" t="n">
        <f aca="false">IFERROR(IF(E64&lt;=0,"N/M",E41/E64),"N/M")</f>
        <v>0.970271274619101</v>
      </c>
      <c r="F84" s="47" t="n">
        <f aca="false">IFERROR(IF(F64&lt;=0,"N/M",F41/F64),"N/M")</f>
        <v>0.944468175993165</v>
      </c>
      <c r="G84" s="47" t="n">
        <f aca="false">IFERROR(IF(G64&lt;=0,"N/M",G41/G64),"N/M")</f>
        <v>0.771937842778794</v>
      </c>
      <c r="H84" s="47" t="n">
        <f aca="false">IFERROR(IF(H64&lt;=0,"N/M",H41/H64),"N/M")</f>
        <v>-0.830516658619025</v>
      </c>
      <c r="I84" s="47" t="n">
        <f aca="false">IFERROR(IF(I64&lt;=0,"N/M",I41/I64),"N/M")</f>
        <v>-0.790960451977401</v>
      </c>
      <c r="J84" s="47" t="n">
        <f aca="false">IFERROR(IF(J64&lt;=0,"N/M",J41/J64),"N/M")</f>
        <v>-0.339237581825183</v>
      </c>
      <c r="K84" s="22" t="n">
        <f aca="false">IFERROR(AVERAGE(D84:J84),"N/M")</f>
        <v>0.122950184600283</v>
      </c>
      <c r="L84" s="82" t="n">
        <f aca="false">IFERROR(J84-D84,"N/M")</f>
        <v>-0.473926273057712</v>
      </c>
      <c r="M84" s="83" t="n">
        <f aca="false">IFERROR(SLOPE(D84:J84,$D$3:$J$3),"N/M")</f>
        <v>-0.239972396677797</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0.695825426944972</v>
      </c>
      <c r="E87" s="47" t="n">
        <f aca="false">IFERROR(IF(E61&lt;=0,"N/M",E28/E61),"N/M")</f>
        <v>0.356360171510243</v>
      </c>
      <c r="F87" s="47" t="n">
        <f aca="false">IFERROR(IF(F61&lt;=0,"N/M",F28/F61),"N/M")</f>
        <v>0</v>
      </c>
      <c r="G87" s="47" t="n">
        <f aca="false">IFERROR(IF(G61&lt;=0,"N/M",G28/G61),"N/M")</f>
        <v>0</v>
      </c>
      <c r="H87" s="47" t="n">
        <f aca="false">IFERROR(IF(H61&lt;=0,"N/M",H28/H61),"N/M")</f>
        <v>0.108634846160787</v>
      </c>
      <c r="I87" s="47" t="n">
        <f aca="false">IFERROR(IF(I61&lt;=0,"N/M",I28/I61),"N/M")</f>
        <v>0.248590021691974</v>
      </c>
      <c r="J87" s="47" t="n">
        <f aca="false">IFERROR(IF(J61&lt;=0,"N/M",J28/J61),"N/M")</f>
        <v>0.316914614326791</v>
      </c>
      <c r="K87" s="22" t="n">
        <f aca="false">IFERROR(AVERAGE(D87:J87),"N/M")</f>
        <v>0.246617868662109</v>
      </c>
      <c r="L87" s="82" t="n">
        <f aca="false">IFERROR(J87-D87,"N/M")</f>
        <v>-0.378910812618181</v>
      </c>
      <c r="M87" s="83" t="n">
        <f aca="false">IFERROR(SLOPE(D87:J87,$D$3:$J$3),"N/M")</f>
        <v>-0.0444156389760819</v>
      </c>
    </row>
    <row r="88" customFormat="false" ht="15" hidden="false" customHeight="false" outlineLevel="0" collapsed="false">
      <c r="A88" s="18" t="s">
        <v>526</v>
      </c>
      <c r="B88" s="19" t="s">
        <v>527</v>
      </c>
      <c r="D88" s="47" t="n">
        <f aca="false">IFERROR(IF(D61&lt;=0,"N/M",(D28+D29)/D61),"N/M")</f>
        <v>0.99449715370019</v>
      </c>
      <c r="E88" s="47" t="n">
        <f aca="false">IFERROR(IF(E61&lt;=0,"N/M",(E28+E29)/E61),"N/M")</f>
        <v>0.997379704621248</v>
      </c>
      <c r="F88" s="47" t="n">
        <f aca="false">IFERROR(IF(F61&lt;=0,"N/M",(F28+F29)/F61),"N/M")</f>
        <v>0.629047427112723</v>
      </c>
      <c r="G88" s="47" t="n">
        <f aca="false">IFERROR(IF(G61&lt;=0,"N/M",(G28+G29)/G61),"N/M")</f>
        <v>0.224111441155383</v>
      </c>
      <c r="H88" s="47" t="n">
        <f aca="false">IFERROR(IF(H61&lt;=0,"N/M",(H28+H29)/H61),"N/M")</f>
        <v>0.295497608950645</v>
      </c>
      <c r="I88" s="47" t="n">
        <f aca="false">IFERROR(IF(I61&lt;=0,"N/M",(I28+I29)/I61),"N/M")</f>
        <v>0.414967462039046</v>
      </c>
      <c r="J88" s="47" t="n">
        <f aca="false">IFERROR(IF(J61&lt;=0,"N/M",(J28+J29)/J61),"N/M")</f>
        <v>0.641580197524691</v>
      </c>
      <c r="K88" s="22" t="n">
        <f aca="false">IFERROR(AVERAGE(D88:J88),"N/M")</f>
        <v>0.599582999300561</v>
      </c>
      <c r="L88" s="82" t="n">
        <f aca="false">IFERROR(J88-D88,"N/M")</f>
        <v>-0.352916956175499</v>
      </c>
      <c r="M88" s="83" t="n">
        <f aca="false">IFERROR(SLOPE(D88:J88,$D$3:$J$3),"N/M")</f>
        <v>-0.0913258989947493</v>
      </c>
    </row>
    <row r="89" customFormat="false" ht="15" hidden="false" customHeight="false" outlineLevel="0" collapsed="false">
      <c r="A89" s="18" t="s">
        <v>528</v>
      </c>
      <c r="B89" s="19" t="s">
        <v>529</v>
      </c>
      <c r="D89" s="47" t="n">
        <f aca="false">IFERROR(IF(D35&lt;=0,"N/M",D28/D35),"N/M")</f>
        <v>0.348872609647037</v>
      </c>
      <c r="E89" s="47" t="n">
        <f aca="false">IFERROR(IF(E35&lt;=0,"N/M",E28/E35),"N/M")</f>
        <v>0.178413834227788</v>
      </c>
      <c r="F89" s="47" t="n">
        <f aca="false">IFERROR(IF(F35&lt;=0,"N/M",F28/F35),"N/M")</f>
        <v>0</v>
      </c>
      <c r="G89" s="47" t="n">
        <f aca="false">IFERROR(IF(G35&lt;=0,"N/M",G28/G35),"N/M")</f>
        <v>0</v>
      </c>
      <c r="H89" s="47" t="n">
        <f aca="false">IFERROR(IF(H35&lt;=0,"N/M",H28/H35),"N/M")</f>
        <v>0.0838556902075498</v>
      </c>
      <c r="I89" s="47" t="n">
        <f aca="false">IFERROR(IF(I35&lt;=0,"N/M",I28/I35),"N/M")</f>
        <v>0.17568603403342</v>
      </c>
      <c r="J89" s="47" t="n">
        <f aca="false">IFERROR(IF(J35&lt;=0,"N/M",J28/J35),"N/M")</f>
        <v>0.193054603609778</v>
      </c>
      <c r="K89" s="22" t="n">
        <f aca="false">IFERROR(AVERAGE(D89:J89),"N/M")</f>
        <v>0.139983253103653</v>
      </c>
      <c r="L89" s="82" t="n">
        <f aca="false">IFERROR(J89-D89,"N/M")</f>
        <v>-0.155818006037258</v>
      </c>
      <c r="M89" s="83" t="n">
        <f aca="false">IFERROR(SLOPE(D89:J89,$D$3:$J$3),"N/M")</f>
        <v>-0.01389478315332</v>
      </c>
    </row>
    <row r="90" customFormat="false" ht="15" hidden="false" customHeight="false" outlineLevel="0" collapsed="false">
      <c r="A90" s="18" t="s">
        <v>530</v>
      </c>
      <c r="B90" s="19" t="s">
        <v>531</v>
      </c>
      <c r="D90" s="47" t="n">
        <f aca="false">IFERROR(IF(D62&lt;=0,"N/M",D28/D62),"N/M")</f>
        <v>0.410316661071948</v>
      </c>
      <c r="E90" s="47" t="n">
        <f aca="false">IFERROR(IF(E62&lt;=0,"N/M",E28/E62),"N/M")</f>
        <v>0.262732701088866</v>
      </c>
      <c r="F90" s="47" t="n">
        <f aca="false">IFERROR(IF(F62&lt;=0,"N/M",F28/F62),"N/M")</f>
        <v>0</v>
      </c>
      <c r="G90" s="47" t="n">
        <f aca="false">IFERROR(IF(G62&lt;=0,"N/M",G28/G62),"N/M")</f>
        <v>0</v>
      </c>
      <c r="H90" s="47" t="n">
        <f aca="false">IFERROR(IF(H62&lt;=0,"N/M",H28/H62),"N/M")</f>
        <v>0.0979897452592171</v>
      </c>
      <c r="I90" s="47" t="n">
        <f aca="false">IFERROR(IF(I62&lt;=0,"N/M",I28/I62),"N/M")</f>
        <v>0.19909659485754</v>
      </c>
      <c r="J90" s="47" t="n">
        <f aca="false">IFERROR(IF(J62&lt;=0,"N/M",J28/J62),"N/M")</f>
        <v>0.240649325992026</v>
      </c>
      <c r="K90" s="22" t="n">
        <f aca="false">IFERROR(AVERAGE(D90:J90),"N/M")</f>
        <v>0.1729692897528</v>
      </c>
      <c r="L90" s="82" t="n">
        <f aca="false">IFERROR(J90-D90,"N/M")</f>
        <v>-0.169667335079922</v>
      </c>
      <c r="M90" s="83" t="n">
        <f aca="false">IFERROR(SLOPE(D90:J90,$D$3:$J$3),"N/M")</f>
        <v>-0.0192244454444</v>
      </c>
    </row>
    <row r="91" customFormat="false" ht="15" hidden="false" customHeight="false" outlineLevel="0" collapsed="false">
      <c r="A91" s="18" t="s">
        <v>125</v>
      </c>
      <c r="B91" s="19" t="s">
        <v>532</v>
      </c>
      <c r="D91" s="46" t="n">
        <f aca="false">IFERROR(IF(D35=0,"N/M",D61/D35),"N/M")</f>
        <v>0.501379507182951</v>
      </c>
      <c r="E91" s="46" t="n">
        <f aca="false">IFERROR(IF(E35=0,"N/M",E61/E35),"N/M")</f>
        <v>0.500655933214073</v>
      </c>
      <c r="F91" s="46" t="n">
        <f aca="false">IFERROR(IF(F35=0,"N/M",F61/F35),"N/M")</f>
        <v>0.613855670103093</v>
      </c>
      <c r="G91" s="46" t="n">
        <f aca="false">IFERROR(IF(G35=0,"N/M",G61/G35),"N/M")</f>
        <v>0.816919086268931</v>
      </c>
      <c r="H91" s="46" t="n">
        <f aca="false">IFERROR(IF(H35=0,"N/M",H61/H35),"N/M")</f>
        <v>0.771904164925477</v>
      </c>
      <c r="I91" s="46" t="n">
        <f aca="false">IFERROR(IF(I35=0,"N/M",I61/I35),"N/M")</f>
        <v>0.706730032193776</v>
      </c>
      <c r="J91" s="46" t="n">
        <f aca="false">IFERROR(IF(J35=0,"N/M",J61/J35),"N/M")</f>
        <v>0.609169141725687</v>
      </c>
      <c r="K91" s="25" t="n">
        <f aca="false">IFERROR(AVERAGE(D91:J91),"N/M")</f>
        <v>0.645801933659141</v>
      </c>
      <c r="L91" s="86" t="n">
        <f aca="false">IFERROR(J91-D91,"N/M")</f>
        <v>0.107789634542736</v>
      </c>
      <c r="M91" s="87" t="n">
        <f aca="false">IFERROR(SLOPE(D91:J91,$D$3:$J$3),"N/M")</f>
        <v>0.0319130570146428</v>
      </c>
    </row>
    <row r="92" customFormat="false" ht="15" hidden="false" customHeight="false" outlineLevel="0" collapsed="false">
      <c r="A92" s="18" t="s">
        <v>533</v>
      </c>
      <c r="B92" s="19" t="s">
        <v>534</v>
      </c>
      <c r="D92" s="47" t="n">
        <f aca="false">IFERROR(IF(D61&lt;=0,"N/M",D28/D61),"N/M")</f>
        <v>0.695825426944972</v>
      </c>
      <c r="E92" s="47" t="n">
        <f aca="false">IFERROR(IF(E61&lt;=0,"N/M",E28/E61),"N/M")</f>
        <v>0.356360171510243</v>
      </c>
      <c r="F92" s="47" t="n">
        <f aca="false">IFERROR(IF(F61&lt;=0,"N/M",F28/F61),"N/M")</f>
        <v>0</v>
      </c>
      <c r="G92" s="47" t="n">
        <f aca="false">IFERROR(IF(G61&lt;=0,"N/M",G28/G61),"N/M")</f>
        <v>0</v>
      </c>
      <c r="H92" s="47" t="n">
        <f aca="false">IFERROR(IF(H61&lt;=0,"N/M",H28/H61),"N/M")</f>
        <v>0.108634846160787</v>
      </c>
      <c r="I92" s="47" t="n">
        <f aca="false">IFERROR(IF(I61&lt;=0,"N/M",I28/I61),"N/M")</f>
        <v>0.248590021691974</v>
      </c>
      <c r="J92" s="47" t="n">
        <f aca="false">IFERROR(IF(J61&lt;=0,"N/M",J28/J61),"N/M")</f>
        <v>0.316914614326791</v>
      </c>
      <c r="K92" s="22" t="n">
        <f aca="false">IFERROR(AVERAGE(D92:J92),"N/M")</f>
        <v>0.246617868662109</v>
      </c>
      <c r="L92" s="82" t="n">
        <f aca="false">IFERROR(J92-D92,"N/M")</f>
        <v>-0.378910812618181</v>
      </c>
      <c r="M92" s="83" t="n">
        <f aca="false">IFERROR(SLOPE(D92:J92,$D$3:$J$3),"N/M")</f>
        <v>-0.0444156389760819</v>
      </c>
    </row>
    <row r="93" customFormat="false" ht="15" hidden="false" customHeight="false" outlineLevel="0" collapsed="false">
      <c r="A93" s="18" t="s">
        <v>126</v>
      </c>
      <c r="B93" s="19" t="s">
        <v>535</v>
      </c>
      <c r="D93" s="47" t="str">
        <f aca="false">IFERROR(IF(D59&lt;=0,"N/M",D28/D59),"N/M")</f>
        <v>N/M</v>
      </c>
      <c r="E93" s="47" t="str">
        <f aca="false">IFERROR(IF(E59&lt;=0,"N/M",E28/E59),"N/M")</f>
        <v>N/M</v>
      </c>
      <c r="F93" s="47" t="n">
        <f aca="false">IFERROR(IF(F59&lt;=0,"N/M",F28/F59),"N/M")</f>
        <v>0</v>
      </c>
      <c r="G93" s="47" t="n">
        <f aca="false">IFERROR(IF(G59&lt;=0,"N/M",G28/G59),"N/M")</f>
        <v>0</v>
      </c>
      <c r="H93" s="47" t="n">
        <f aca="false">IFERROR(IF(H59&lt;=0,"N/M",H28/H59),"N/M")</f>
        <v>0.626105044201768</v>
      </c>
      <c r="I93" s="47" t="n">
        <f aca="false">IFERROR(IF(I59&lt;=0,"N/M",I28/I59),"N/M")</f>
        <v>0.85331347728965</v>
      </c>
      <c r="J93" s="47" t="n">
        <f aca="false">IFERROR(IF(J59&lt;=0,"N/M",J28/J59),"N/M")</f>
        <v>1.4334181509754</v>
      </c>
      <c r="K93" s="22" t="n">
        <f aca="false">IFERROR(AVERAGE(D93:J93),"N/M")</f>
        <v>0.582567334493364</v>
      </c>
      <c r="L93" s="82" t="str">
        <f aca="false">IFERROR(J93-D93,"N/M")</f>
        <v>N/M</v>
      </c>
      <c r="M93" s="83" t="n">
        <f aca="false">IFERROR(SLOPE(D93:J93,$D$3:$J$3),"N/M")</f>
        <v>0.372014977924046</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-1.72747747747748</v>
      </c>
      <c r="E96" s="47" t="n">
        <f aca="false">IFERROR(IF(E19&lt;=0,"N/M",E58/E19),"N/M")</f>
        <v>-5.18367346938776</v>
      </c>
      <c r="F96" s="47" t="n">
        <f aca="false">IFERROR(IF(F19&lt;=0,"N/M",F58/F19),"N/M")</f>
        <v>25.7549668874172</v>
      </c>
      <c r="G96" s="47" t="n">
        <f aca="false">IFERROR(IF(G19&lt;=0,"N/M",G58/G19),"N/M")</f>
        <v>31.4271844660194</v>
      </c>
      <c r="H96" s="47" t="n">
        <f aca="false">IFERROR(IF(H19&lt;=0,"N/M",H58/H19),"N/M")</f>
        <v>24.2763157894737</v>
      </c>
      <c r="I96" s="47" t="n">
        <f aca="false">IFERROR(IF(I19&lt;=0,"N/M",I58/I19),"N/M")</f>
        <v>11.7731343283582</v>
      </c>
      <c r="J96" s="47" t="n">
        <f aca="false">IFERROR(IF(J19&lt;=0,"N/M",J58/J19),"N/M")</f>
        <v>6.52941176470588</v>
      </c>
      <c r="K96" s="22" t="n">
        <f aca="false">IFERROR(AVERAGE(D96:J96),"N/M")</f>
        <v>13.2642660413013</v>
      </c>
      <c r="L96" s="82" t="n">
        <f aca="false">IFERROR(J96-D96,"N/M")</f>
        <v>8.25688924218336</v>
      </c>
      <c r="M96" s="83" t="n">
        <f aca="false">IFERROR(SLOPE(D96:J96,$D$3:$J$3),"N/M")</f>
        <v>2.0430582937178</v>
      </c>
    </row>
    <row r="97" customFormat="false" ht="15" hidden="false" customHeight="false" outlineLevel="0" collapsed="false">
      <c r="A97" s="18" t="s">
        <v>538</v>
      </c>
      <c r="B97" s="19" t="s">
        <v>539</v>
      </c>
      <c r="D97" s="47" t="n">
        <f aca="false">IFERROR(IF(D19&lt;=0,"N/M",D59/D19),"N/M")</f>
        <v>-1.50675675675676</v>
      </c>
      <c r="E97" s="47" t="n">
        <f aca="false">IFERROR(IF(E19&lt;=0,"N/M",E59/E19),"N/M")</f>
        <v>-4.72959183673469</v>
      </c>
      <c r="F97" s="47" t="n">
        <f aca="false">IFERROR(IF(F19&lt;=0,"N/M",F59/F19),"N/M")</f>
        <v>26.2847682119205</v>
      </c>
      <c r="G97" s="47" t="n">
        <f aca="false">IFERROR(IF(G19&lt;=0,"N/M",G59/G19),"N/M")</f>
        <v>32.1844660194175</v>
      </c>
      <c r="H97" s="47" t="n">
        <f aca="false">IFERROR(IF(H19&lt;=0,"N/M",H59/H19),"N/M")</f>
        <v>25.3026315789474</v>
      </c>
      <c r="I97" s="47" t="n">
        <f aca="false">IFERROR(IF(I19&lt;=0,"N/M",I59/I19),"N/M")</f>
        <v>12.0268656716418</v>
      </c>
      <c r="J97" s="47" t="n">
        <f aca="false">IFERROR(IF(J19&lt;=0,"N/M",J59/J19),"N/M")</f>
        <v>6.71157495256167</v>
      </c>
      <c r="K97" s="22" t="n">
        <f aca="false">IFERROR(AVERAGE(D97:J97),"N/M")</f>
        <v>13.7534225487139</v>
      </c>
      <c r="L97" s="82" t="n">
        <f aca="false">IFERROR(J97-D97,"N/M")</f>
        <v>8.21833170931843</v>
      </c>
      <c r="M97" s="83" t="n">
        <f aca="false">IFERROR(SLOPE(D97:J97,$D$3:$J$3),"N/M")</f>
        <v>2.04234905399054</v>
      </c>
    </row>
    <row r="98" customFormat="false" ht="15" hidden="false" customHeight="false" outlineLevel="0" collapsed="false">
      <c r="A98" s="18" t="s">
        <v>540</v>
      </c>
      <c r="B98" s="19" t="s">
        <v>541</v>
      </c>
      <c r="D98" s="47" t="str">
        <f aca="false">IFERROR(IF(D23&lt;=0,"N/M",D22/D23),"N/M")</f>
        <v>N/M</v>
      </c>
      <c r="E98" s="47" t="str">
        <f aca="false">IFERROR(IF(E23&lt;=0,"N/M",E22/E23),"N/M")</f>
        <v>N/M</v>
      </c>
      <c r="F98" s="47" t="n">
        <f aca="false">IFERROR(IF(F23&lt;=0,"N/M",F22/F23),"N/M")</f>
        <v>31.7264150943396</v>
      </c>
      <c r="G98" s="47" t="str">
        <f aca="false">IFERROR(IF(G23&lt;=0,"N/M",G22/G23),"N/M")</f>
        <v>N/M</v>
      </c>
      <c r="H98" s="47" t="str">
        <f aca="false">IFERROR(IF(H23&lt;=0,"N/M",H22/H23),"N/M")</f>
        <v>N/M</v>
      </c>
      <c r="I98" s="47" t="str">
        <f aca="false">IFERROR(IF(I23&lt;=0,"N/M",I22/I23),"N/M")</f>
        <v>N/M</v>
      </c>
      <c r="J98" s="47" t="str">
        <f aca="false">IFERROR(IF(J23&lt;=0,"N/M",J22/J23),"N/M")</f>
        <v>N/M</v>
      </c>
      <c r="K98" s="22" t="n">
        <f aca="false">IFERROR(AVERAGE(D98:J98),"N/M")</f>
        <v>31.7264150943396</v>
      </c>
      <c r="L98" s="82" t="str">
        <f aca="false">IFERROR(J98-D98,"N/M")</f>
        <v>N/M</v>
      </c>
      <c r="M98" s="83" t="str">
        <f aca="false">IFERROR(SLOPE(D98:J98,$D$3:$J$3),"N/M")</f>
        <v>N/M</v>
      </c>
    </row>
    <row r="99" customFormat="false" ht="15" hidden="false" customHeight="false" outlineLevel="0" collapsed="false">
      <c r="A99" s="18" t="s">
        <v>542</v>
      </c>
      <c r="B99" s="19" t="s">
        <v>543</v>
      </c>
      <c r="D99" s="47" t="n">
        <f aca="false">IFERROR(IF((D19+IF((1-D60)&lt;=0,"N/M",D68/(1-D60)))&lt;=0,"N/M",D59/(D19+IF((1-D60)&lt;=0,"N/M",D68/(1-D60)))),"N/M")</f>
        <v>-1.50675675675676</v>
      </c>
      <c r="E99" s="47" t="n">
        <f aca="false">IFERROR(IF((E19+IF((1-E60)&lt;=0,"N/M",E68/(1-E60)))&lt;=0,"N/M",E59/(E19+IF((1-E60)&lt;=0,"N/M",E68/(1-E60)))),"N/M")</f>
        <v>-0.391634980988593</v>
      </c>
      <c r="F99" s="47" t="n">
        <f aca="false">IFERROR(IF((F19+IF((1-F60)&lt;=0,"N/M",F68/(1-F60)))&lt;=0,"N/M",F59/(F19+IF((1-F60)&lt;=0,"N/M",F68/(1-F60)))),"N/M")</f>
        <v>2.18820510828034</v>
      </c>
      <c r="G99" s="47" t="n">
        <f aca="false">IFERROR(IF((G19+IF((1-G60)&lt;=0,"N/M",G68/(1-G60)))&lt;=0,"N/M",G59/(G19+IF((1-G60)&lt;=0,"N/M",G68/(1-G60)))),"N/M")</f>
        <v>32.1844660194175</v>
      </c>
      <c r="H99" s="47" t="n">
        <f aca="false">IFERROR(IF((H19+IF((1-H60)&lt;=0,"N/M",H68/(1-H60)))&lt;=0,"N/M",H59/(H19+IF((1-H60)&lt;=0,"N/M",H68/(1-H60)))),"N/M")</f>
        <v>25.3026315789474</v>
      </c>
      <c r="I99" s="47" t="n">
        <f aca="false">IFERROR(IF((I19+IF((1-I60)&lt;=0,"N/M",I68/(1-I60)))&lt;=0,"N/M",I59/(I19+IF((1-I60)&lt;=0,"N/M",I68/(1-I60)))),"N/M")</f>
        <v>12.0268656716418</v>
      </c>
      <c r="J99" s="47" t="n">
        <f aca="false">IFERROR(IF((J19+IF((1-J60)&lt;=0,"N/M",J68/(1-J60)))&lt;=0,"N/M",J59/(J19+IF((1-J60)&lt;=0,"N/M",J68/(1-J60)))),"N/M")</f>
        <v>6.71157495256167</v>
      </c>
      <c r="K99" s="22" t="n">
        <f aca="false">IFERROR(AVERAGE(D99:J99),"N/M")</f>
        <v>10.9307645133005</v>
      </c>
      <c r="L99" s="82" t="n">
        <f aca="false">IFERROR(J99-D99,"N/M")</f>
        <v>8.21833170931843</v>
      </c>
      <c r="M99" s="83" t="n">
        <f aca="false">IFERROR(SLOPE(D99:J99,$D$3:$J$3),"N/M")</f>
        <v>2.59308653228154</v>
      </c>
    </row>
    <row r="100" customFormat="false" ht="15" hidden="false" customHeight="false" outlineLevel="0" collapsed="false">
      <c r="A100" s="18" t="s">
        <v>544</v>
      </c>
      <c r="B100" s="19" t="s">
        <v>545</v>
      </c>
      <c r="D100" s="47" t="n">
        <f aca="false">IFERROR(IF((D19+IF((1-D60)&lt;=0,"N/M",D68/(1-D60)))&lt;=0,"N/M",(D41+D21)/(D19+IF((1-D60)&lt;=0,"N/M",D68/(1-D60)))),"N/M")</f>
        <v>0.527027027027027</v>
      </c>
      <c r="E100" s="47" t="n">
        <f aca="false">IFERROR(IF((E19+IF((1-E60)&lt;=0,"N/M",E68/(1-E60)))&lt;=0,"N/M",(E41+E21)/(E19+IF((1-E60)&lt;=0,"N/M",E68/(1-E60)))),"N/M")</f>
        <v>1.11575834389523</v>
      </c>
      <c r="F100" s="47" t="n">
        <f aca="false">IFERROR(IF((F19+IF((1-F60)&lt;=0,"N/M",F68/(1-F60)))&lt;=0,"N/M",(F41+F21)/(F19+IF((1-F60)&lt;=0,"N/M",F68/(1-F60)))),"N/M")</f>
        <v>2.64470141204857</v>
      </c>
      <c r="G100" s="47" t="n">
        <f aca="false">IFERROR(IF((G19+IF((1-G60)&lt;=0,"N/M",G68/(1-G60)))&lt;=0,"N/M",(G41+G21)/(G19+IF((1-G60)&lt;=0,"N/M",G68/(1-G60)))),"N/M")</f>
        <v>24.2912621359223</v>
      </c>
      <c r="H100" s="47" t="n">
        <f aca="false">IFERROR(IF((H19+IF((1-H60)&lt;=0,"N/M",H68/(1-H60)))&lt;=0,"N/M",(H41+H21)/(H19+IF((1-H60)&lt;=0,"N/M",H68/(1-H60)))),"N/M")</f>
        <v>-16.3947368421053</v>
      </c>
      <c r="I100" s="47" t="n">
        <f aca="false">IFERROR(IF((I19+IF((1-I60)&lt;=0,"N/M",I68/(1-I60)))&lt;=0,"N/M",(I41+I21)/(I19+IF((1-I60)&lt;=0,"N/M",I68/(1-I60)))),"N/M")</f>
        <v>-2.72238805970149</v>
      </c>
      <c r="J100" s="47" t="n">
        <f aca="false">IFERROR(IF((J19+IF((1-J60)&lt;=0,"N/M",J68/(1-J60)))&lt;=0,"N/M",(J41+J21)/(J19+IF((1-J60)&lt;=0,"N/M",J68/(1-J60)))),"N/M")</f>
        <v>-1.89943074003795</v>
      </c>
      <c r="K100" s="22" t="n">
        <f aca="false">IFERROR(AVERAGE(D100:J100),"N/M")</f>
        <v>1.08031332529264</v>
      </c>
      <c r="L100" s="82" t="n">
        <f aca="false">IFERROR(J100-D100,"N/M")</f>
        <v>-2.42645776706498</v>
      </c>
      <c r="M100" s="83" t="n">
        <f aca="false">IFERROR(SLOPE(D100:J100,$D$3:$J$3),"N/M")</f>
        <v>-1.21411087009079</v>
      </c>
    </row>
    <row r="101" customFormat="false" ht="15" hidden="false" customHeight="false" outlineLevel="0" collapsed="false">
      <c r="A101" s="18" t="s">
        <v>546</v>
      </c>
      <c r="B101" s="19" t="s">
        <v>547</v>
      </c>
      <c r="D101" s="47" t="n">
        <f aca="false">IFERROR(IF(D67&lt;=0,"N/M",D41/D67),"N/M")</f>
        <v>17.6666666666666</v>
      </c>
      <c r="E101" s="47" t="str">
        <f aca="false">IFERROR(IF(E67&lt;=0,"N/M",E41/E67),"N/M")</f>
        <v>N/M</v>
      </c>
      <c r="F101" s="47" t="n">
        <f aca="false">IFERROR(IF(F67&lt;=0,"N/M",F41/F67),"N/M")</f>
        <v>1473.99999999998</v>
      </c>
      <c r="G101" s="47" t="n">
        <f aca="false">IFERROR(IF(G67&lt;=0,"N/M",G41/G67),"N/M")</f>
        <v>38.3863636363636</v>
      </c>
      <c r="H101" s="47" t="n">
        <f aca="false">IFERROR(IF(H67&lt;=0,"N/M",H41/H67),"N/M")</f>
        <v>-7.41379310344827</v>
      </c>
      <c r="I101" s="47" t="n">
        <f aca="false">IFERROR(IF(I67&lt;=0,"N/M",I41/I67),"N/M")</f>
        <v>-26.3768115942029</v>
      </c>
      <c r="J101" s="47" t="n">
        <f aca="false">IFERROR(IF(J67&lt;=0,"N/M",J41/J67),"N/M")</f>
        <v>-9.32275132275133</v>
      </c>
      <c r="K101" s="22" t="n">
        <f aca="false">IFERROR(AVERAGE(D101:J101),"N/M")</f>
        <v>247.823279047101</v>
      </c>
      <c r="L101" s="82" t="n">
        <f aca="false">IFERROR(J101-D101,"N/M")</f>
        <v>-26.9894179894179</v>
      </c>
      <c r="M101" s="83" t="n">
        <f aca="false">IFERROR(SLOPE(D101:J101,$D$3:$J$3),"N/M")</f>
        <v>-90.462095500898</v>
      </c>
    </row>
    <row r="102" customFormat="false" ht="15" hidden="false" customHeight="false" outlineLevel="0" collapsed="false">
      <c r="A102" s="18" t="s">
        <v>129</v>
      </c>
      <c r="B102" s="19" t="s">
        <v>548</v>
      </c>
      <c r="D102" s="47" t="n">
        <f aca="false">IFERROR(IF((D19+D68)&lt;=0,"N/M",((D22+D19)+D18)/(D19+D68)),"N/M")</f>
        <v>-1.55855855855856</v>
      </c>
      <c r="E102" s="47" t="n">
        <f aca="false">IFERROR(IF((E19+E68)&lt;=0,"N/M",((E22+E19)+E18)/(E19+E68)),"N/M")</f>
        <v>-0.404309252217997</v>
      </c>
      <c r="F102" s="47" t="n">
        <f aca="false">IFERROR(IF((F19+F68)&lt;=0,"N/M",((F22+F19)+F18)/(F19+F68)),"N/M")</f>
        <v>2.18214936247723</v>
      </c>
      <c r="G102" s="47" t="n">
        <f aca="false">IFERROR(IF((G19+G68)&lt;=0,"N/M",((G22+G19)+G18)/(G19+G68)),"N/M")</f>
        <v>24.2912621359223</v>
      </c>
      <c r="H102" s="47" t="n">
        <f aca="false">IFERROR(IF((H19+H68)&lt;=0,"N/M",((H22+H19)+H18)/(H19+H68)),"N/M")</f>
        <v>19.0789473684211</v>
      </c>
      <c r="I102" s="47" t="n">
        <f aca="false">IFERROR(IF((I19+I68)&lt;=0,"N/M",((I22+I19)+I18)/(I19+I68)),"N/M")</f>
        <v>9.31641791044776</v>
      </c>
      <c r="J102" s="47" t="n">
        <f aca="false">IFERROR(IF((J19+J68)&lt;=0,"N/M",((J22+J19)+J18)/(J19+J68)),"N/M")</f>
        <v>5.26565464895636</v>
      </c>
      <c r="K102" s="22" t="n">
        <f aca="false">IFERROR(AVERAGE(D102:J102),"N/M")</f>
        <v>8.31022337363545</v>
      </c>
      <c r="L102" s="82" t="n">
        <f aca="false">IFERROR(J102-D102,"N/M")</f>
        <v>6.82421320751492</v>
      </c>
      <c r="M102" s="83" t="n">
        <f aca="false">IFERROR(SLOPE(D102:J102,$D$3:$J$3),"N/M")</f>
        <v>2.02896042692215</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str">
        <f aca="false">IFERROR(IF(((D37+C37)/2)&lt;=0,"N/M",D52/((D37+C37)/2)),"N/M")</f>
        <v>N/M</v>
      </c>
      <c r="E105" s="47" t="str">
        <f aca="false">IFERROR(IF(((E37+D37)/2)&lt;=0,"N/M",E52/((E37+D37)/2)),"N/M")</f>
        <v>N/M</v>
      </c>
      <c r="F105" s="47" t="str">
        <f aca="false">IFERROR(IF(((F37+E37)/2)&lt;=0,"N/M",F52/((F37+E37)/2)),"N/M")</f>
        <v>N/M</v>
      </c>
      <c r="G105" s="47" t="str">
        <f aca="false">IFERROR(IF(((G37+F37)/2)&lt;=0,"N/M",G52/((G37+F37)/2)),"N/M")</f>
        <v>N/M</v>
      </c>
      <c r="H105" s="47" t="str">
        <f aca="false">IFERROR(IF(((H37+G37)/2)&lt;=0,"N/M",H52/((H37+G37)/2)),"N/M")</f>
        <v>N/M</v>
      </c>
      <c r="I105" s="47" t="str">
        <f aca="false">IFERROR(IF(((I37+H37)/2)&lt;=0,"N/M",I52/((I37+H37)/2)),"N/M")</f>
        <v>N/M</v>
      </c>
      <c r="J105" s="47" t="str">
        <f aca="false">IFERROR(IF(((J37+I37)/2)&lt;=0,"N/M",J52/((J37+I37)/2)),"N/M")</f>
        <v>N/M</v>
      </c>
      <c r="K105" s="22" t="str">
        <f aca="false">IFERROR(AVERAGE(D105:J105),"N/M")</f>
        <v>N/M</v>
      </c>
      <c r="L105" s="82" t="str">
        <f aca="false">IFERROR(J105-D105,"N/M")</f>
        <v>N/M</v>
      </c>
      <c r="M105" s="83" t="str">
        <f aca="false">IFERROR(SLOPE(D105:J105,$D$3:$J$3),"N/M")</f>
        <v>N/M</v>
      </c>
    </row>
    <row r="106" customFormat="false" ht="15" hidden="false" customHeight="false" outlineLevel="0" collapsed="false">
      <c r="A106" s="18" t="s">
        <v>552</v>
      </c>
      <c r="B106" s="19" t="s">
        <v>553</v>
      </c>
      <c r="D106" s="48" t="str">
        <f aca="false">IFERROR(IF(D105&lt;=0,"N/M",365/D105),"N/M")</f>
        <v>N/M</v>
      </c>
      <c r="E106" s="48" t="str">
        <f aca="false">IFERROR(IF(E105&lt;=0,"N/M",365/E105),"N/M")</f>
        <v>N/M</v>
      </c>
      <c r="F106" s="48" t="str">
        <f aca="false">IFERROR(IF(F105&lt;=0,"N/M",365/F105),"N/M")</f>
        <v>N/M</v>
      </c>
      <c r="G106" s="48" t="str">
        <f aca="false">IFERROR(IF(G105&lt;=0,"N/M",365/G105),"N/M")</f>
        <v>N/M</v>
      </c>
      <c r="H106" s="48" t="str">
        <f aca="false">IFERROR(IF(H105&lt;=0,"N/M",365/H105),"N/M")</f>
        <v>N/M</v>
      </c>
      <c r="I106" s="48" t="str">
        <f aca="false">IFERROR(IF(I105&lt;=0,"N/M",365/I105),"N/M")</f>
        <v>N/M</v>
      </c>
      <c r="J106" s="48" t="str">
        <f aca="false">IFERROR(IF(J105&lt;=0,"N/M",365/J105),"N/M")</f>
        <v>N/M</v>
      </c>
      <c r="K106" s="28" t="str">
        <f aca="false">IFERROR(AVERAGE(D106:J106),"N/M")</f>
        <v>N/M</v>
      </c>
      <c r="L106" s="84" t="str">
        <f aca="false">IFERROR(J106-D106,"N/M")</f>
        <v>N/M</v>
      </c>
      <c r="M106" s="85" t="str">
        <f aca="false">IFERROR(SLOPE(D106:J106,$D$3:$J$3),"N/M")</f>
        <v>N/M</v>
      </c>
    </row>
    <row r="107" customFormat="false" ht="15" hidden="false" customHeight="false" outlineLevel="0" collapsed="false">
      <c r="A107" s="18" t="s">
        <v>554</v>
      </c>
      <c r="B107" s="19" t="s">
        <v>555</v>
      </c>
      <c r="D107" s="47" t="n">
        <f aca="false">IFERROR(IF(((D36+C36)/2)&lt;=0,"N/M",D9/((D36+C36)/2)),"N/M")</f>
        <v>3.61378483667965</v>
      </c>
      <c r="E107" s="47" t="n">
        <f aca="false">IFERROR(IF(((E36+D36)/2)&lt;=0,"N/M",E9/((E36+D36)/2)),"N/M")</f>
        <v>3.08896862636857</v>
      </c>
      <c r="F107" s="47" t="n">
        <f aca="false">IFERROR(IF(((F36+E36)/2)&lt;=0,"N/M",F9/((F36+E36)/2)),"N/M")</f>
        <v>11.0008047929894</v>
      </c>
      <c r="G107" s="47" t="n">
        <f aca="false">IFERROR(IF(((G36+F36)/2)&lt;=0,"N/M",G9/((G36+F36)/2)),"N/M")</f>
        <v>7.34740590030519</v>
      </c>
      <c r="H107" s="47" t="n">
        <f aca="false">IFERROR(IF(((H36+G36)/2)&lt;=0,"N/M",H9/((H36+G36)/2)),"N/M")</f>
        <v>4.03493156436309</v>
      </c>
      <c r="I107" s="47" t="n">
        <f aca="false">IFERROR(IF(((I36+H36)/2)&lt;=0,"N/M",I9/((I36+H36)/2)),"N/M")</f>
        <v>6.21916855105236</v>
      </c>
      <c r="J107" s="47" t="n">
        <f aca="false">IFERROR(IF(((J36+I36)/2)&lt;=0,"N/M",J9/((J36+I36)/2)),"N/M")</f>
        <v>4.34431762162982</v>
      </c>
      <c r="K107" s="22" t="n">
        <f aca="false">IFERROR(AVERAGE(D107:J107),"N/M")</f>
        <v>5.66419741334115</v>
      </c>
      <c r="L107" s="82" t="n">
        <f aca="false">IFERROR(J107-D107,"N/M")</f>
        <v>0.730532784950168</v>
      </c>
      <c r="M107" s="83" t="n">
        <f aca="false">IFERROR(SLOPE(D107:J107,$D$3:$J$3),"N/M")</f>
        <v>0.0530758919854214</v>
      </c>
    </row>
    <row r="108" customFormat="false" ht="15" hidden="false" customHeight="false" outlineLevel="0" collapsed="false">
      <c r="A108" s="18" t="s">
        <v>130</v>
      </c>
      <c r="B108" s="19" t="s">
        <v>556</v>
      </c>
      <c r="D108" s="48" t="n">
        <f aca="false">IFERROR(IF(D107&lt;=0,"N/M",365/D107),"N/M")</f>
        <v>101.002139445403</v>
      </c>
      <c r="E108" s="48" t="n">
        <f aca="false">IFERROR(IF(E107&lt;=0,"N/M",365/E107),"N/M")</f>
        <v>118.162417346756</v>
      </c>
      <c r="F108" s="48" t="n">
        <f aca="false">IFERROR(IF(F107&lt;=0,"N/M",365/F107),"N/M")</f>
        <v>33.1793906780901</v>
      </c>
      <c r="G108" s="48" t="n">
        <f aca="false">IFERROR(IF(G107&lt;=0,"N/M",365/G107),"N/M")</f>
        <v>49.6773970231914</v>
      </c>
      <c r="H108" s="48" t="n">
        <f aca="false">IFERROR(IF(H107&lt;=0,"N/M",365/H107),"N/M")</f>
        <v>90.4600224756514</v>
      </c>
      <c r="I108" s="48" t="n">
        <f aca="false">IFERROR(IF(I107&lt;=0,"N/M",365/I107),"N/M")</f>
        <v>58.6895172568104</v>
      </c>
      <c r="J108" s="48" t="n">
        <f aca="false">IFERROR(IF(J107&lt;=0,"N/M",365/J107),"N/M")</f>
        <v>84.0177979120841</v>
      </c>
      <c r="K108" s="28" t="n">
        <f aca="false">IFERROR(AVERAGE(D108:J108),"N/M")</f>
        <v>76.4555260197124</v>
      </c>
      <c r="L108" s="84" t="n">
        <f aca="false">IFERROR(J108-D108,"N/M")</f>
        <v>-16.9843415333186</v>
      </c>
      <c r="M108" s="85" t="n">
        <f aca="false">IFERROR(SLOPE(D108:J108,$D$3:$J$3),"N/M")</f>
        <v>-4.02207832079594</v>
      </c>
    </row>
    <row r="109" customFormat="false" ht="15" hidden="false" customHeight="false" outlineLevel="0" collapsed="false">
      <c r="A109" s="18" t="s">
        <v>557</v>
      </c>
      <c r="B109" s="19" t="s">
        <v>558</v>
      </c>
      <c r="D109" s="47" t="n">
        <f aca="false">IFERROR(IF(((D29+C29)/2)&lt;=0,"N/M",D52/((D29+C29)/2)),"N/M")</f>
        <v>13.8784557907846</v>
      </c>
      <c r="E109" s="47" t="n">
        <f aca="false">IFERROR(IF(((E29+D29)/2)&lt;=0,"N/M",E52/((E29+D29)/2)),"N/M")</f>
        <v>7.27174677608441</v>
      </c>
      <c r="F109" s="47" t="n">
        <f aca="false">IFERROR(IF(((F29+E29)/2)&lt;=0,"N/M",F52/((F29+E29)/2)),"N/M")</f>
        <v>15.1962566119626</v>
      </c>
      <c r="G109" s="47" t="n">
        <f aca="false">IFERROR(IF(((G29+F29)/2)&lt;=0,"N/M",G52/((G29+F29)/2)),"N/M")</f>
        <v>11.2390101892285</v>
      </c>
      <c r="H109" s="47" t="n">
        <f aca="false">IFERROR(IF(((H29+G29)/2)&lt;=0,"N/M",H52/((H29+G29)/2)),"N/M")</f>
        <v>9.66471002582766</v>
      </c>
      <c r="I109" s="47" t="n">
        <f aca="false">IFERROR(IF(((I29+H29)/2)&lt;=0,"N/M",I52/((I29+H29)/2)),"N/M")</f>
        <v>21.9711802378774</v>
      </c>
      <c r="J109" s="47" t="n">
        <f aca="false">IFERROR(IF(((J29+I29)/2)&lt;=0,"N/M",J52/((J29+I29)/2)),"N/M")</f>
        <v>13.7403602401601</v>
      </c>
      <c r="K109" s="22" t="n">
        <f aca="false">IFERROR(AVERAGE(D109:J109),"N/M")</f>
        <v>13.2802456959893</v>
      </c>
      <c r="L109" s="82" t="n">
        <f aca="false">IFERROR(J109-D109,"N/M")</f>
        <v>-0.138095550624449</v>
      </c>
      <c r="M109" s="83" t="n">
        <f aca="false">IFERROR(SLOPE(D109:J109,$D$3:$J$3),"N/M")</f>
        <v>0.83760834591349</v>
      </c>
    </row>
    <row r="110" customFormat="false" ht="15" hidden="false" customHeight="false" outlineLevel="0" collapsed="false">
      <c r="A110" s="18" t="s">
        <v>559</v>
      </c>
      <c r="B110" s="19" t="s">
        <v>560</v>
      </c>
      <c r="D110" s="48" t="n">
        <f aca="false">IFERROR(IF(D109&lt;=0,"N/M",365/D109),"N/M")</f>
        <v>26.29975593123</v>
      </c>
      <c r="E110" s="48" t="n">
        <f aca="false">IFERROR(IF(E109&lt;=0,"N/M",365/E109),"N/M")</f>
        <v>50.1942671051783</v>
      </c>
      <c r="F110" s="48" t="n">
        <f aca="false">IFERROR(IF(F109&lt;=0,"N/M",365/F109),"N/M")</f>
        <v>24.0190732046911</v>
      </c>
      <c r="G110" s="48" t="n">
        <f aca="false">IFERROR(IF(G109&lt;=0,"N/M",365/G109),"N/M")</f>
        <v>32.4761695073305</v>
      </c>
      <c r="H110" s="48" t="n">
        <f aca="false">IFERROR(IF(H109&lt;=0,"N/M",365/H109),"N/M")</f>
        <v>37.7662650017006</v>
      </c>
      <c r="I110" s="48" t="n">
        <f aca="false">IFERROR(IF(I109&lt;=0,"N/M",365/I109),"N/M")</f>
        <v>16.6126715109621</v>
      </c>
      <c r="J110" s="48" t="n">
        <f aca="false">IFERROR(IF(J109&lt;=0,"N/M",365/J109),"N/M")</f>
        <v>26.5640779150159</v>
      </c>
      <c r="K110" s="28" t="n">
        <f aca="false">IFERROR(AVERAGE(D110:J110),"N/M")</f>
        <v>30.5617543108727</v>
      </c>
      <c r="L110" s="84" t="n">
        <f aca="false">IFERROR(J110-D110,"N/M")</f>
        <v>0.264321983785884</v>
      </c>
      <c r="M110" s="85" t="n">
        <f aca="false">IFERROR(SLOPE(D110:J110,$D$3:$J$3),"N/M")</f>
        <v>-1.8793940514309</v>
      </c>
    </row>
    <row r="111" customFormat="false" ht="15" hidden="false" customHeight="false" outlineLevel="0" collapsed="false">
      <c r="A111" s="18" t="s">
        <v>561</v>
      </c>
      <c r="B111" s="19" t="s">
        <v>562</v>
      </c>
      <c r="D111" s="48" t="n">
        <f aca="false">IFERROR(((IF(ISNUMBER(D106),D106,0)+D108)-D110),"N/M")</f>
        <v>74.7023835141726</v>
      </c>
      <c r="E111" s="48" t="n">
        <f aca="false">IFERROR(((IF(ISNUMBER(E106),E106,0)+E108)-E110),"N/M")</f>
        <v>67.9681502415781</v>
      </c>
      <c r="F111" s="48" t="n">
        <f aca="false">IFERROR(((IF(ISNUMBER(F106),F106,0)+F108)-F110),"N/M")</f>
        <v>9.160317473399</v>
      </c>
      <c r="G111" s="48" t="n">
        <f aca="false">IFERROR(((IF(ISNUMBER(G106),G106,0)+G108)-G110),"N/M")</f>
        <v>17.2012275158609</v>
      </c>
      <c r="H111" s="48" t="n">
        <f aca="false">IFERROR(((IF(ISNUMBER(H106),H106,0)+H108)-H110),"N/M")</f>
        <v>52.6937574739508</v>
      </c>
      <c r="I111" s="48" t="n">
        <f aca="false">IFERROR(((IF(ISNUMBER(I106),I106,0)+I108)-I110),"N/M")</f>
        <v>42.0768457458483</v>
      </c>
      <c r="J111" s="48" t="n">
        <f aca="false">IFERROR(((IF(ISNUMBER(J106),J106,0)+J108)-J110),"N/M")</f>
        <v>57.4537199970682</v>
      </c>
      <c r="K111" s="28" t="n">
        <f aca="false">IFERROR(AVERAGE(D111:J111),"N/M")</f>
        <v>45.8937717088397</v>
      </c>
      <c r="L111" s="84" t="n">
        <f aca="false">IFERROR(J111-D111,"N/M")</f>
        <v>-17.2486635171045</v>
      </c>
      <c r="M111" s="85" t="n">
        <f aca="false">IFERROR(SLOPE(D111:J111,$D$3:$J$3),"N/M")</f>
        <v>-2.14268426936505</v>
      </c>
    </row>
    <row r="112" customFormat="false" ht="15" hidden="false" customHeight="false" outlineLevel="0" collapsed="false">
      <c r="A112" s="18" t="s">
        <v>132</v>
      </c>
      <c r="B112" s="19" t="s">
        <v>563</v>
      </c>
      <c r="D112" s="47" t="n">
        <f aca="false">IFERROR(IF(((D31+C31)/2)&lt;=0,"N/M",D9/((D31+C31)/2)),"N/M")</f>
        <v>29.9384309831182</v>
      </c>
      <c r="E112" s="47" t="n">
        <f aca="false">IFERROR(IF(((E31+D31)/2)&lt;=0,"N/M",E9/((E31+D31)/2)),"N/M")</f>
        <v>18.3866374589266</v>
      </c>
      <c r="F112" s="47" t="n">
        <f aca="false">IFERROR(IF(((F31+E31)/2)&lt;=0,"N/M",F9/((F31+E31)/2)),"N/M")</f>
        <v>74.6945962355799</v>
      </c>
      <c r="G112" s="47" t="n">
        <f aca="false">IFERROR(IF(((G31+F31)/2)&lt;=0,"N/M",G9/((G31+F31)/2)),"N/M")</f>
        <v>56.42578125</v>
      </c>
      <c r="H112" s="47" t="n">
        <f aca="false">IFERROR(IF(((H31+G31)/2)&lt;=0,"N/M",H9/((H31+G31)/2)),"N/M")</f>
        <v>29.0169082125604</v>
      </c>
      <c r="I112" s="47" t="n">
        <f aca="false">IFERROR(IF(((I31+H31)/2)&lt;=0,"N/M",I9/((I31+H31)/2)),"N/M")</f>
        <v>59.7892976588629</v>
      </c>
      <c r="J112" s="47" t="n">
        <f aca="false">IFERROR(IF(((J31+I31)/2)&lt;=0,"N/M",J9/((J31+I31)/2)),"N/M")</f>
        <v>61.2314270443613</v>
      </c>
      <c r="K112" s="22" t="n">
        <f aca="false">IFERROR(AVERAGE(D112:J112),"N/M")</f>
        <v>47.0690112633442</v>
      </c>
      <c r="L112" s="82" t="n">
        <f aca="false">IFERROR(J112-D112,"N/M")</f>
        <v>31.2929960612431</v>
      </c>
      <c r="M112" s="83" t="n">
        <f aca="false">IFERROR(SLOPE(D112:J112,$D$3:$J$3),"N/M")</f>
        <v>4.67880787716366</v>
      </c>
    </row>
    <row r="113" customFormat="false" ht="15" hidden="false" customHeight="false" outlineLevel="0" collapsed="false">
      <c r="A113" s="18" t="s">
        <v>133</v>
      </c>
      <c r="B113" s="19" t="s">
        <v>564</v>
      </c>
      <c r="D113" s="47" t="n">
        <f aca="false">IFERROR(IF(((D35+C35)/2)&lt;=0,"N/M",D9/((D35+C35)/2)),"N/M")</f>
        <v>2.62008430017816</v>
      </c>
      <c r="E113" s="47" t="n">
        <f aca="false">IFERROR(IF(((E35+D35)/2)&lt;=0,"N/M",E9/((E35+D35)/2)),"N/M")</f>
        <v>1.77677815410669</v>
      </c>
      <c r="F113" s="47" t="n">
        <f aca="false">IFERROR(IF(((F35+E35)/2)&lt;=0,"N/M",F9/((F35+E35)/2)),"N/M")</f>
        <v>5.99814724524622</v>
      </c>
      <c r="G113" s="47" t="n">
        <f aca="false">IFERROR(IF(((G35+F35)/2)&lt;=0,"N/M",G9/((G35+F35)/2)),"N/M")</f>
        <v>3.59985047350058</v>
      </c>
      <c r="H113" s="47" t="n">
        <f aca="false">IFERROR(IF(((H35+G35)/2)&lt;=0,"N/M",H9/((H35+G35)/2)),"N/M")</f>
        <v>1.82644722338363</v>
      </c>
      <c r="I113" s="47" t="n">
        <f aca="false">IFERROR(IF(((I35+H35)/2)&lt;=0,"N/M",I9/((I35+H35)/2)),"N/M")</f>
        <v>3.16155274560085</v>
      </c>
      <c r="J113" s="47" t="n">
        <f aca="false">IFERROR(IF(((J35+I35)/2)&lt;=0,"N/M",J9/((J35+I35)/2)),"N/M")</f>
        <v>2.49970543954965</v>
      </c>
      <c r="K113" s="22" t="n">
        <f aca="false">IFERROR(AVERAGE(D113:J113),"N/M")</f>
        <v>3.06893794022368</v>
      </c>
      <c r="L113" s="82" t="n">
        <f aca="false">IFERROR(J113-D113,"N/M")</f>
        <v>-0.12037886062851</v>
      </c>
      <c r="M113" s="83" t="n">
        <f aca="false">IFERROR(SLOPE(D113:J113,$D$3:$J$3),"N/M")</f>
        <v>-0.0629745507414215</v>
      </c>
    </row>
    <row r="114" customFormat="false" ht="15" hidden="false" customHeight="false" outlineLevel="0" collapsed="false">
      <c r="A114" s="18" t="s">
        <v>565</v>
      </c>
      <c r="B114" s="19" t="s">
        <v>566</v>
      </c>
      <c r="D114" s="47" t="n">
        <f aca="false">IFERROR(IF(((D62+C62)/2)&lt;=0,"N/M",D9/((D62+C62)/2)),"N/M")</f>
        <v>3.17380776923887</v>
      </c>
      <c r="E114" s="47" t="n">
        <f aca="false">IFERROR(IF(((E62+D62)/2)&lt;=0,"N/M",E9/((E62+D62)/2)),"N/M")</f>
        <v>2.29471669742328</v>
      </c>
      <c r="F114" s="47" t="n">
        <f aca="false">IFERROR(IF(((F62+E62)/2)&lt;=0,"N/M",F9/((F62+E62)/2)),"N/M")</f>
        <v>9.36454289411586</v>
      </c>
      <c r="G114" s="47" t="n">
        <f aca="false">IFERROR(IF(((G62+F62)/2)&lt;=0,"N/M",G9/((G62+F62)/2)),"N/M")</f>
        <v>5.03719632686272</v>
      </c>
      <c r="H114" s="47" t="n">
        <f aca="false">IFERROR(IF(((H62+G62)/2)&lt;=0,"N/M",H9/((H62+G62)/2)),"N/M")</f>
        <v>2.17922902494331</v>
      </c>
      <c r="I114" s="47" t="n">
        <f aca="false">IFERROR(IF(((I62+H62)/2)&lt;=0,"N/M",I9/((I62+H62)/2)),"N/M")</f>
        <v>3.62923363221113</v>
      </c>
      <c r="J114" s="47" t="n">
        <f aca="false">IFERROR(IF(((J62+I62)/2)&lt;=0,"N/M",J9/((J62+I62)/2)),"N/M")</f>
        <v>2.98841819699499</v>
      </c>
      <c r="K114" s="22" t="n">
        <f aca="false">IFERROR(AVERAGE(D114:J114),"N/M")</f>
        <v>4.09530636311288</v>
      </c>
      <c r="L114" s="82" t="n">
        <f aca="false">IFERROR(J114-D114,"N/M")</f>
        <v>-0.185389572243876</v>
      </c>
      <c r="M114" s="83" t="n">
        <f aca="false">IFERROR(SLOPE(D114:J114,$D$3:$J$3),"N/M")</f>
        <v>-0.181158882726017</v>
      </c>
    </row>
    <row r="115" customFormat="false" ht="15" hidden="false" customHeight="false" outlineLevel="0" collapsed="false">
      <c r="A115" s="18" t="s">
        <v>567</v>
      </c>
      <c r="B115" s="19" t="s">
        <v>568</v>
      </c>
      <c r="D115" s="47" t="n">
        <f aca="false">IFERROR(IF(((D63+C63)/2)&lt;=0,"N/M",D9/((D63+C63)/2)),"N/M")</f>
        <v>2.87987772842337</v>
      </c>
      <c r="E115" s="47" t="n">
        <f aca="false">IFERROR(IF(((E63+D63)/2)&lt;=0,"N/M",E9/((E63+D63)/2)),"N/M")</f>
        <v>1.97204111600587</v>
      </c>
      <c r="F115" s="47" t="n">
        <f aca="false">IFERROR(IF(((F63+E63)/2)&lt;=0,"N/M",F9/((F63+E63)/2)),"N/M")</f>
        <v>6.71334242837654</v>
      </c>
      <c r="G115" s="47" t="n">
        <f aca="false">IFERROR(IF(((G63+F63)/2)&lt;=0,"N/M",G9/((G63+F63)/2)),"N/M")</f>
        <v>4.03679552864462</v>
      </c>
      <c r="H115" s="47" t="n">
        <f aca="false">IFERROR(IF(((H63+G63)/2)&lt;=0,"N/M",H9/((H63+G63)/2)),"N/M")</f>
        <v>2.09076273767567</v>
      </c>
      <c r="I115" s="47" t="n">
        <f aca="false">IFERROR(IF(((I63+H63)/2)&lt;=0,"N/M",I9/((I63+H63)/2)),"N/M")</f>
        <v>3.5983092354658</v>
      </c>
      <c r="J115" s="47" t="n">
        <f aca="false">IFERROR(IF(((J63+I63)/2)&lt;=0,"N/M",J9/((J63+I63)/2)),"N/M")</f>
        <v>2.76330832871029</v>
      </c>
      <c r="K115" s="22" t="n">
        <f aca="false">IFERROR(AVERAGE(D115:J115),"N/M")</f>
        <v>3.43634815761459</v>
      </c>
      <c r="L115" s="82" t="n">
        <f aca="false">IFERROR(J115-D115,"N/M")</f>
        <v>-0.116569399713073</v>
      </c>
      <c r="M115" s="83" t="n">
        <f aca="false">IFERROR(SLOPE(D115:J115,$D$3:$J$3),"N/M")</f>
        <v>-0.0614197018185798</v>
      </c>
    </row>
    <row r="116" customFormat="false" ht="15" hidden="false" customHeight="false" outlineLevel="0" collapsed="false">
      <c r="A116" s="18" t="s">
        <v>569</v>
      </c>
      <c r="B116" s="19" t="s">
        <v>570</v>
      </c>
      <c r="D116" s="47" t="n">
        <f aca="false">IFERROR(IF(D65&lt;=0,"N/M",D9/D65),"N/M")</f>
        <v>3.79506545820745</v>
      </c>
      <c r="E116" s="47" t="n">
        <f aca="false">IFERROR(IF(E65&lt;=0,"N/M",E9/E65),"N/M")</f>
        <v>3.48567275747508</v>
      </c>
      <c r="F116" s="47" t="n">
        <f aca="false">IFERROR(IF(F65&lt;=0,"N/M",F9/F65),"N/M")</f>
        <v>10.0246088657106</v>
      </c>
      <c r="G116" s="47" t="n">
        <f aca="false">IFERROR(IF(G65&lt;=0,"N/M",G9/G65),"N/M")</f>
        <v>5.11991965973535</v>
      </c>
      <c r="H116" s="47" t="n">
        <f aca="false">IFERROR(IF(H65&lt;=0,"N/M",H9/H65),"N/M")</f>
        <v>2.34171539961014</v>
      </c>
      <c r="I116" s="47" t="n">
        <f aca="false">IFERROR(IF(I65&lt;=0,"N/M",I9/I65),"N/M")</f>
        <v>3.53370231271002</v>
      </c>
      <c r="J116" s="47" t="n">
        <f aca="false">IFERROR(IF(J65&lt;=0,"N/M",J9/J65),"N/M")</f>
        <v>3.04902326076542</v>
      </c>
      <c r="K116" s="22" t="n">
        <f aca="false">IFERROR(AVERAGE(D116:J116),"N/M")</f>
        <v>4.47852967345915</v>
      </c>
      <c r="L116" s="82" t="n">
        <f aca="false">IFERROR(J116-D116,"N/M")</f>
        <v>-0.746042197442029</v>
      </c>
      <c r="M116" s="83" t="n">
        <f aca="false">IFERROR(SLOPE(D116:J116,$D$3:$J$3),"N/M")</f>
        <v>-0.350891462427023</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0.0758590951306888</v>
      </c>
      <c r="E119" s="46" t="n">
        <f aca="false">IFERROR(IF(E9&lt;=0,"N/M",E55/E9),"N/M")</f>
        <v>0.0762494787633288</v>
      </c>
      <c r="F119" s="46" t="n">
        <f aca="false">IFERROR(IF(F9&lt;=0,"N/M",F55/F9),"N/M")</f>
        <v>0.0892523288517501</v>
      </c>
      <c r="G119" s="46" t="n">
        <f aca="false">IFERROR(IF(G9&lt;=0,"N/M",G55/G9),"N/M")</f>
        <v>0.109126572054921</v>
      </c>
      <c r="H119" s="46" t="n">
        <f aca="false">IFERROR(IF(H9&lt;=0,"N/M",H55/H9),"N/M")</f>
        <v>0.143386331474236</v>
      </c>
      <c r="I119" s="46" t="n">
        <f aca="false">IFERROR(IF(I9&lt;=0,"N/M",I55/I9),"N/M")</f>
        <v>0.104454513247935</v>
      </c>
      <c r="J119" s="46" t="n">
        <f aca="false">IFERROR(IF(J9&lt;=0,"N/M",J55/J9),"N/M")</f>
        <v>0.10107887294438</v>
      </c>
      <c r="K119" s="25" t="n">
        <f aca="false">IFERROR(AVERAGE(D119:J119),"N/M")</f>
        <v>0.0999153132096057</v>
      </c>
      <c r="L119" s="86" t="n">
        <f aca="false">IFERROR(J119-D119,"N/M")</f>
        <v>0.0252197778136916</v>
      </c>
      <c r="M119" s="87" t="n">
        <f aca="false">IFERROR(SLOPE(D119:J119,$D$3:$J$3),"N/M")</f>
        <v>0.00665012160831332</v>
      </c>
    </row>
    <row r="120" customFormat="false" ht="15" hidden="false" customHeight="false" outlineLevel="0" collapsed="false">
      <c r="A120" s="18" t="s">
        <v>573</v>
      </c>
      <c r="B120" s="19" t="s">
        <v>574</v>
      </c>
      <c r="D120" s="46" t="n">
        <f aca="false">IFERROR(IF(D57&lt;=0,"N/M",D59/D57),"N/M")</f>
        <v>-0.0220660993469226</v>
      </c>
      <c r="E120" s="46" t="n">
        <f aca="false">IFERROR(IF(E57&lt;=0,"N/M",E59/E57),"N/M")</f>
        <v>-0.0551490273067999</v>
      </c>
      <c r="F120" s="46" t="n">
        <f aca="false">IFERROR(IF(F57&lt;=0,"N/M",F59/F57),"N/M")</f>
        <v>0.0643065456902139</v>
      </c>
      <c r="G120" s="46" t="n">
        <f aca="false">IFERROR(IF(G57&lt;=0,"N/M",G59/G57),"N/M")</f>
        <v>0.0753306367313548</v>
      </c>
      <c r="H120" s="46" t="n">
        <f aca="false">IFERROR(IF(H57&lt;=0,"N/M",H59/H57),"N/M")</f>
        <v>0.078766281641681</v>
      </c>
      <c r="I120" s="46" t="n">
        <f aca="false">IFERROR(IF(I57&lt;=0,"N/M",I59/I57),"N/M")</f>
        <v>0.0739021974393778</v>
      </c>
      <c r="J120" s="46" t="n">
        <f aca="false">IFERROR(IF(J57&lt;=0,"N/M",J59/J57),"N/M")</f>
        <v>0.0608589421521732</v>
      </c>
      <c r="K120" s="25" t="n">
        <f aca="false">IFERROR(AVERAGE(D120:J120),"N/M")</f>
        <v>0.0394213538572969</v>
      </c>
      <c r="L120" s="86" t="n">
        <f aca="false">IFERROR(J120-D120,"N/M")</f>
        <v>0.0829250414990958</v>
      </c>
      <c r="M120" s="87" t="n">
        <f aca="false">IFERROR(SLOPE(D120:J120,$D$3:$J$3),"N/M")</f>
        <v>0.0186191896407539</v>
      </c>
    </row>
    <row r="121" customFormat="false" ht="15" hidden="false" customHeight="false" outlineLevel="0" collapsed="false">
      <c r="A121" s="18" t="s">
        <v>136</v>
      </c>
      <c r="B121" s="19" t="s">
        <v>575</v>
      </c>
      <c r="D121" s="46" t="n">
        <f aca="false">IFERROR(IF(D9&lt;=0,"N/M",D56/D9),"N/M")</f>
        <v>-0.027829375082924</v>
      </c>
      <c r="E121" s="46" t="n">
        <f aca="false">IFERROR(IF(E9&lt;=0,"N/M",E56/E9),"N/M")</f>
        <v>-0.0565318401143741</v>
      </c>
      <c r="F121" s="46" t="n">
        <f aca="false">IFERROR(IF(F9&lt;=0,"N/M",F56/F9),"N/M")</f>
        <v>0.0611272780478289</v>
      </c>
      <c r="G121" s="46" t="n">
        <f aca="false">IFERROR(IF(G9&lt;=0,"N/M",G56/G9),"N/M")</f>
        <v>0.0610130379600785</v>
      </c>
      <c r="H121" s="46" t="n">
        <f aca="false">IFERROR(IF(H9&lt;=0,"N/M",H56/H9),"N/M")</f>
        <v>0.0638891201198701</v>
      </c>
      <c r="I121" s="46" t="n">
        <f aca="false">IFERROR(IF(I9&lt;=0,"N/M",I56/I9),"N/M")</f>
        <v>0.0585855195689059</v>
      </c>
      <c r="J121" s="46" t="n">
        <f aca="false">IFERROR(IF(J9&lt;=0,"N/M",J56/J9),"N/M")</f>
        <v>0.0471526832163681</v>
      </c>
      <c r="K121" s="25" t="n">
        <f aca="false">IFERROR(AVERAGE(D121:J121),"N/M")</f>
        <v>0.0296294891022505</v>
      </c>
      <c r="L121" s="86" t="n">
        <f aca="false">IFERROR(J121-D121,"N/M")</f>
        <v>0.0749820582992921</v>
      </c>
      <c r="M121" s="87" t="n">
        <f aca="false">IFERROR(SLOPE(D121:J121,$D$3:$J$3),"N/M")</f>
        <v>0.0163550977263028</v>
      </c>
    </row>
    <row r="122" customFormat="false" ht="15" hidden="false" customHeight="false" outlineLevel="0" collapsed="false">
      <c r="A122" s="18" t="s">
        <v>576</v>
      </c>
      <c r="B122" s="19" t="s">
        <v>577</v>
      </c>
      <c r="D122" s="46" t="n">
        <f aca="false">IFERROR(IF(D9&lt;=0,"N/M",D58/D9),"N/M")</f>
        <v>-0.0254411569590023</v>
      </c>
      <c r="E122" s="46" t="n">
        <f aca="false">IFERROR(IF(E9&lt;=0,"N/M",E58/E9),"N/M")</f>
        <v>-0.0605230237683922</v>
      </c>
      <c r="F122" s="46" t="n">
        <f aca="false">IFERROR(IF(F9&lt;=0,"N/M",F58/F9),"N/M")</f>
        <v>0.063224463917023</v>
      </c>
      <c r="G122" s="46" t="n">
        <f aca="false">IFERROR(IF(G9&lt;=0,"N/M",G58/G9),"N/M")</f>
        <v>0.0746971270335756</v>
      </c>
      <c r="H122" s="46" t="n">
        <f aca="false">IFERROR(IF(H9&lt;=0,"N/M",H58/H9),"N/M")</f>
        <v>0.0767918088737202</v>
      </c>
      <c r="I122" s="46" t="n">
        <f aca="false">IFERROR(IF(I9&lt;=0,"N/M",I58/I9),"N/M")</f>
        <v>0.0735395573455651</v>
      </c>
      <c r="J122" s="46" t="n">
        <f aca="false">IFERROR(IF(J9&lt;=0,"N/M",J58/J9),"N/M")</f>
        <v>0.0600712265633183</v>
      </c>
      <c r="K122" s="25" t="n">
        <f aca="false">IFERROR(AVERAGE(D122:J122),"N/M")</f>
        <v>0.0374800004294011</v>
      </c>
      <c r="L122" s="86" t="n">
        <f aca="false">IFERROR(J122-D122,"N/M")</f>
        <v>0.0855123835223206</v>
      </c>
      <c r="M122" s="87" t="n">
        <f aca="false">IFERROR(SLOPE(D122:J122,$D$3:$J$3),"N/M")</f>
        <v>0.0192224877768419</v>
      </c>
    </row>
    <row r="123" customFormat="false" ht="15" hidden="false" customHeight="false" outlineLevel="0" collapsed="false">
      <c r="A123" s="18" t="s">
        <v>578</v>
      </c>
      <c r="B123" s="19" t="s">
        <v>579</v>
      </c>
      <c r="D123" s="46" t="n">
        <f aca="false">IFERROR(IF(D9&lt;=0,"N/M",D20/D9),"N/M")</f>
        <v>-0.0401685020565212</v>
      </c>
      <c r="E123" s="46" t="n">
        <f aca="false">IFERROR(IF(E9&lt;=0,"N/M",E20/E9),"N/M")</f>
        <v>-0.0721987252040269</v>
      </c>
      <c r="F123" s="46" t="n">
        <f aca="false">IFERROR(IF(F9&lt;=0,"N/M",F20/F9),"N/M")</f>
        <v>0.0607696184422299</v>
      </c>
      <c r="G123" s="46" t="n">
        <f aca="false">IFERROR(IF(G9&lt;=0,"N/M",G20/G9),"N/M")</f>
        <v>0.0723202953732549</v>
      </c>
      <c r="H123" s="46" t="n">
        <f aca="false">IFERROR(IF(H9&lt;=0,"N/M",H20/H9),"N/M")</f>
        <v>0.0736285690501956</v>
      </c>
      <c r="I123" s="46" t="n">
        <f aca="false">IFERROR(IF(I9&lt;=0,"N/M",I20/I9),"N/M")</f>
        <v>0.0672931699949656</v>
      </c>
      <c r="J123" s="46" t="n">
        <f aca="false">IFERROR(IF(J9&lt;=0,"N/M",J20/J9),"N/M")</f>
        <v>0.0508711288013687</v>
      </c>
      <c r="K123" s="25" t="n">
        <f aca="false">IFERROR(AVERAGE(D123:J123),"N/M")</f>
        <v>0.0303593649144952</v>
      </c>
      <c r="L123" s="86" t="n">
        <f aca="false">IFERROR(J123-D123,"N/M")</f>
        <v>0.0910396308578898</v>
      </c>
      <c r="M123" s="87" t="n">
        <f aca="false">IFERROR(SLOPE(D123:J123,$D$3:$J$3),"N/M")</f>
        <v>0.0201772011992722</v>
      </c>
    </row>
    <row r="124" customFormat="false" ht="15" hidden="false" customHeight="false" outlineLevel="0" collapsed="false">
      <c r="A124" s="18" t="s">
        <v>137</v>
      </c>
      <c r="B124" s="19" t="s">
        <v>580</v>
      </c>
      <c r="D124" s="46" t="n">
        <f aca="false">IFERROR(IF(D9&lt;=0,"N/M",D22/D9),"N/M")</f>
        <v>-0.0409314050683296</v>
      </c>
      <c r="E124" s="46" t="n">
        <f aca="false">IFERROR(IF(E9&lt;=0,"N/M",E22/E9),"N/M")</f>
        <v>-0.0739858223625425</v>
      </c>
      <c r="F124" s="46" t="n">
        <f aca="false">IFERROR(IF(F9&lt;=0,"N/M",F22/F9),"N/M")</f>
        <v>0.0546731478922469</v>
      </c>
      <c r="G124" s="46" t="n">
        <f aca="false">IFERROR(IF(G9&lt;=0,"N/M",G22/G9),"N/M")</f>
        <v>0.0535594784815969</v>
      </c>
      <c r="H124" s="46" t="n">
        <f aca="false">IFERROR(IF(H9&lt;=0,"N/M",H22/H9),"N/M")</f>
        <v>0.0539415633064181</v>
      </c>
      <c r="I124" s="46" t="n">
        <f aca="false">IFERROR(IF(I9&lt;=0,"N/M",I22/I9),"N/M")</f>
        <v>0.0503626633849826</v>
      </c>
      <c r="J124" s="46" t="n">
        <f aca="false">IFERROR(IF(J9&lt;=0,"N/M",J22/J9),"N/M")</f>
        <v>0.0375685206522119</v>
      </c>
      <c r="K124" s="25" t="n">
        <f aca="false">IFERROR(AVERAGE(D124:J124),"N/M")</f>
        <v>0.0193125923266549</v>
      </c>
      <c r="L124" s="86" t="n">
        <f aca="false">IFERROR(J124-D124,"N/M")</f>
        <v>0.0784999257205414</v>
      </c>
      <c r="M124" s="87" t="n">
        <f aca="false">IFERROR(SLOPE(D124:J124,$D$3:$J$3),"N/M")</f>
        <v>0.0172666130025302</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0.924140904869311</v>
      </c>
      <c r="E127" s="46" t="n">
        <f aca="false">IFERROR(IF(E9&lt;=0,"N/M",E52/E9),"N/M")</f>
        <v>0.923750521236671</v>
      </c>
      <c r="F127" s="46" t="n">
        <f aca="false">IFERROR(IF(F9&lt;=0,"N/M",F52/F9),"N/M")</f>
        <v>0.91074767114825</v>
      </c>
      <c r="G127" s="46" t="n">
        <f aca="false">IFERROR(IF(G9&lt;=0,"N/M",G52/G9),"N/M")</f>
        <v>0.890873427945079</v>
      </c>
      <c r="H127" s="46" t="n">
        <f aca="false">IFERROR(IF(H9&lt;=0,"N/M",H52/H9),"N/M")</f>
        <v>0.856613668525764</v>
      </c>
      <c r="I127" s="46" t="n">
        <f aca="false">IFERROR(IF(I9&lt;=0,"N/M",I52/I9),"N/M")</f>
        <v>0.895545486752065</v>
      </c>
      <c r="J127" s="46" t="n">
        <f aca="false">IFERROR(IF(J9&lt;=0,"N/M",J52/J9),"N/M")</f>
        <v>0.89892112705562</v>
      </c>
      <c r="K127" s="25" t="n">
        <f aca="false">IFERROR(AVERAGE(D127:J127),"N/M")</f>
        <v>0.900084686790394</v>
      </c>
      <c r="L127" s="86" t="n">
        <f aca="false">IFERROR(J127-D127,"N/M")</f>
        <v>-0.0252197778136916</v>
      </c>
      <c r="M127" s="87" t="n">
        <f aca="false">IFERROR(SLOPE(D127:J127,$D$3:$J$3),"N/M")</f>
        <v>-0.00665012160831331</v>
      </c>
    </row>
    <row r="128" customFormat="false" ht="15" hidden="false" customHeight="false" outlineLevel="0" collapsed="false">
      <c r="A128" s="18" t="s">
        <v>584</v>
      </c>
      <c r="B128" s="19" t="s">
        <v>585</v>
      </c>
      <c r="D128" s="46" t="n">
        <f aca="false">IFERROR(IF(D9&lt;=0,"N/M",D53/D9),"N/M")</f>
        <v>0.103688470213613</v>
      </c>
      <c r="E128" s="46" t="n">
        <f aca="false">IFERROR(IF(E9&lt;=0,"N/M",E53/E9),"N/M")</f>
        <v>0.132781318877703</v>
      </c>
      <c r="F128" s="46" t="n">
        <f aca="false">IFERROR(IF(F9&lt;=0,"N/M",F53/F9),"N/M")</f>
        <v>0.0281250508039212</v>
      </c>
      <c r="G128" s="46" t="n">
        <f aca="false">IFERROR(IF(G9&lt;=0,"N/M",G53/G9),"N/M")</f>
        <v>0.0481135340948425</v>
      </c>
      <c r="H128" s="46" t="n">
        <f aca="false">IFERROR(IF(H9&lt;=0,"N/M",H53/H9),"N/M")</f>
        <v>0.0794972113543661</v>
      </c>
      <c r="I128" s="46" t="n">
        <f aca="false">IFERROR(IF(I9&lt;=0,"N/M",I53/I9),"N/M")</f>
        <v>0.0458689936790289</v>
      </c>
      <c r="J128" s="46" t="n">
        <f aca="false">IFERROR(IF(J9&lt;=0,"N/M",J53/J9),"N/M")</f>
        <v>0.0539261897280123</v>
      </c>
      <c r="K128" s="25" t="n">
        <f aca="false">IFERROR(AVERAGE(D128:J128),"N/M")</f>
        <v>0.0702858241073553</v>
      </c>
      <c r="L128" s="86" t="n">
        <f aca="false">IFERROR(J128-D128,"N/M")</f>
        <v>-0.0497622804856005</v>
      </c>
      <c r="M128" s="87" t="n">
        <f aca="false">IFERROR(SLOPE(D128:J128,$D$3:$J$3),"N/M")</f>
        <v>-0.00970497611798946</v>
      </c>
    </row>
    <row r="129" customFormat="false" ht="15" hidden="false" customHeight="false" outlineLevel="0" collapsed="false">
      <c r="A129" s="18" t="s">
        <v>586</v>
      </c>
      <c r="B129" s="19" t="s">
        <v>587</v>
      </c>
      <c r="D129" s="46" t="n">
        <f aca="false">IFERROR(IF(D9&lt;=0,"N/M",D14/D9),"N/M")</f>
        <v>0.0683959134934324</v>
      </c>
      <c r="E129" s="46" t="n">
        <f aca="false">IFERROR(IF(E9&lt;=0,"N/M",E14/E9),"N/M")</f>
        <v>0.0580210877464705</v>
      </c>
      <c r="F129" s="46" t="n">
        <f aca="false">IFERROR(IF(F9&lt;=0,"N/M",F14/F9),"N/M")</f>
        <v>0.0167287151891532</v>
      </c>
      <c r="G129" s="46" t="n">
        <f aca="false">IFERROR(IF(G9&lt;=0,"N/M",G14/G9),"N/M")</f>
        <v>0.0273912541825314</v>
      </c>
      <c r="H129" s="46" t="n">
        <f aca="false">IFERROR(IF(H9&lt;=0,"N/M",H14/H9),"N/M")</f>
        <v>0.0575626404728211</v>
      </c>
      <c r="I129" s="46" t="n">
        <f aca="false">IFERROR(IF(I9&lt;=0,"N/M",I14/I9),"N/M")</f>
        <v>0.0317167309951334</v>
      </c>
      <c r="J129" s="46" t="n">
        <f aca="false">IFERROR(IF(J9&lt;=0,"N/M",J14/J9),"N/M")</f>
        <v>0.0383191927656157</v>
      </c>
      <c r="K129" s="25" t="n">
        <f aca="false">IFERROR(AVERAGE(D129:J129),"N/M")</f>
        <v>0.0425907906921654</v>
      </c>
      <c r="L129" s="86" t="n">
        <f aca="false">IFERROR(J129-D129,"N/M")</f>
        <v>-0.0300767207278167</v>
      </c>
      <c r="M129" s="87" t="n">
        <f aca="false">IFERROR(SLOPE(D129:J129,$D$3:$J$3),"N/M")</f>
        <v>-0.00364303394294486</v>
      </c>
    </row>
    <row r="130" customFormat="false" ht="15" hidden="false" customHeight="false" outlineLevel="0" collapsed="false">
      <c r="A130" s="18" t="s">
        <v>588</v>
      </c>
      <c r="B130" s="19" t="s">
        <v>589</v>
      </c>
      <c r="D130" s="46" t="n">
        <f aca="false">IFERROR(IF(D9&lt;=0,"N/M",D15/D9),"N/M")</f>
        <v>0.0142297996550352</v>
      </c>
      <c r="E130" s="46" t="n">
        <f aca="false">IFERROR(IF(E9&lt;=0,"N/M",E15/E9),"N/M")</f>
        <v>0.0249597903139334</v>
      </c>
      <c r="F130" s="46" t="n">
        <f aca="false">IFERROR(IF(F9&lt;=0,"N/M",F15/F9),"N/M")</f>
        <v>0.00448700232478744</v>
      </c>
      <c r="G130" s="46" t="n">
        <f aca="false">IFERROR(IF(G9&lt;=0,"N/M",G15/G9),"N/M")</f>
        <v>0.0176762432214146</v>
      </c>
      <c r="H130" s="46" t="n">
        <f aca="false">IFERROR(IF(H9&lt;=0,"N/M",H15/H9),"N/M")</f>
        <v>0.0171064679930076</v>
      </c>
      <c r="I130" s="46" t="n">
        <f aca="false">IFERROR(IF(I9&lt;=0,"N/M",I15/I9),"N/M")</f>
        <v>0.0112621431634689</v>
      </c>
      <c r="J130" s="46" t="n">
        <f aca="false">IFERROR(IF(J9&lt;=0,"N/M",J15/J9),"N/M")</f>
        <v>0.0123599036346496</v>
      </c>
      <c r="K130" s="25" t="n">
        <f aca="false">IFERROR(AVERAGE(D130:J130),"N/M")</f>
        <v>0.0145830500437567</v>
      </c>
      <c r="L130" s="86" t="n">
        <f aca="false">IFERROR(J130-D130,"N/M")</f>
        <v>-0.00186989602038553</v>
      </c>
      <c r="M130" s="87" t="n">
        <f aca="false">IFERROR(SLOPE(D130:J130,$D$3:$J$3),"N/M")</f>
        <v>-0.000728054167638053</v>
      </c>
    </row>
    <row r="131" customFormat="false" ht="15" hidden="false" customHeight="false" outlineLevel="0" collapsed="false">
      <c r="A131" s="18" t="s">
        <v>590</v>
      </c>
      <c r="B131" s="19" t="s">
        <v>591</v>
      </c>
      <c r="D131" s="46" t="n">
        <f aca="false">IFERROR(IF(D9&lt;=0,"N/M",D19/D9),"N/M")</f>
        <v>0.0147273450975189</v>
      </c>
      <c r="E131" s="46" t="n">
        <f aca="false">IFERROR(IF(E9&lt;=0,"N/M",E19/E9),"N/M")</f>
        <v>0.0116757014356347</v>
      </c>
      <c r="F131" s="46" t="n">
        <f aca="false">IFERROR(IF(F9&lt;=0,"N/M",F19/F9),"N/M")</f>
        <v>0.00245484547479313</v>
      </c>
      <c r="G131" s="46" t="n">
        <f aca="false">IFERROR(IF(G9&lt;=0,"N/M",G19/G9),"N/M")</f>
        <v>0.00237683166032076</v>
      </c>
      <c r="H131" s="46" t="n">
        <f aca="false">IFERROR(IF(H9&lt;=0,"N/M",H19/H9),"N/M")</f>
        <v>0.00316323982352452</v>
      </c>
      <c r="I131" s="46" t="n">
        <f aca="false">IFERROR(IF(I9&lt;=0,"N/M",I19/I9),"N/M")</f>
        <v>0.00624638735059947</v>
      </c>
      <c r="J131" s="46" t="n">
        <f aca="false">IFERROR(IF(J9&lt;=0,"N/M",J19/J9),"N/M")</f>
        <v>0.00920009776194965</v>
      </c>
      <c r="K131" s="25" t="n">
        <f aca="false">IFERROR(AVERAGE(D131:J131),"N/M")</f>
        <v>0.00712063551490588</v>
      </c>
      <c r="L131" s="86" t="n">
        <f aca="false">IFERROR(J131-D131,"N/M")</f>
        <v>-0.00552724733556926</v>
      </c>
      <c r="M131" s="87" t="n">
        <f aca="false">IFERROR(SLOPE(D131:J131,$D$3:$J$3),"N/M")</f>
        <v>-0.000954713422430246</v>
      </c>
    </row>
    <row r="132" customFormat="false" ht="15" hidden="false" customHeight="false" outlineLevel="0" collapsed="false">
      <c r="A132" s="18" t="s">
        <v>138</v>
      </c>
      <c r="B132" s="19" t="s">
        <v>592</v>
      </c>
      <c r="D132" s="46" t="n">
        <f aca="false">IFERROR(IF(D9&lt;=0,"N/M",D54/D9),"N/M")</f>
        <v>1.02782937508292</v>
      </c>
      <c r="E132" s="46" t="n">
        <f aca="false">IFERROR(IF(E9&lt;=0,"N/M",E54/E9),"N/M")</f>
        <v>1.05653184011437</v>
      </c>
      <c r="F132" s="46" t="n">
        <f aca="false">IFERROR(IF(F9&lt;=0,"N/M",F54/F9),"N/M")</f>
        <v>0.938872721952171</v>
      </c>
      <c r="G132" s="46" t="n">
        <f aca="false">IFERROR(IF(G9&lt;=0,"N/M",G54/G9),"N/M")</f>
        <v>0.938986962039922</v>
      </c>
      <c r="H132" s="46" t="n">
        <f aca="false">IFERROR(IF(H9&lt;=0,"N/M",H54/H9),"N/M")</f>
        <v>0.93611087988013</v>
      </c>
      <c r="I132" s="46" t="n">
        <f aca="false">IFERROR(IF(I9&lt;=0,"N/M",I54/I9),"N/M")</f>
        <v>0.941414480431094</v>
      </c>
      <c r="J132" s="46" t="n">
        <f aca="false">IFERROR(IF(J9&lt;=0,"N/M",J54/J9),"N/M")</f>
        <v>0.952847316783632</v>
      </c>
      <c r="K132" s="25" t="n">
        <f aca="false">IFERROR(AVERAGE(D132:J132),"N/M")</f>
        <v>0.97037051089775</v>
      </c>
      <c r="L132" s="86" t="n">
        <f aca="false">IFERROR(J132-D132,"N/M")</f>
        <v>-0.0749820582992921</v>
      </c>
      <c r="M132" s="87" t="n">
        <f aca="false">IFERROR(SLOPE(D132:J132,$D$3:$J$3),"N/M")</f>
        <v>-0.0163550977263028</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-0.107243731803763</v>
      </c>
      <c r="E135" s="46" t="n">
        <f aca="false">IFERROR(IF(((E35+D35)/2)&lt;=0,"N/M",E22/((E35+D35)/2)),"N/M")</f>
        <v>-0.131456392887384</v>
      </c>
      <c r="F135" s="46" t="n">
        <f aca="false">IFERROR(IF(((F35+E35)/2)&lt;=0,"N/M",F22/((F35+E35)/2)),"N/M")</f>
        <v>0.32793759141882</v>
      </c>
      <c r="G135" s="46" t="n">
        <f aca="false">IFERROR(IF(((G35+F35)/2)&lt;=0,"N/M",G22/((G35+F35)/2)),"N/M")</f>
        <v>0.192806113972421</v>
      </c>
      <c r="H135" s="46" t="n">
        <f aca="false">IFERROR(IF(((H35+G35)/2)&lt;=0,"N/M",H22/((H35+G35)/2)),"N/M")</f>
        <v>0.0985214185259797</v>
      </c>
      <c r="I135" s="46" t="n">
        <f aca="false">IFERROR(IF(((I35+H35)/2)&lt;=0,"N/M",I22/((I35+H35)/2)),"N/M")</f>
        <v>0.159224216700563</v>
      </c>
      <c r="J135" s="46" t="n">
        <f aca="false">IFERROR(IF(((J35+I35)/2)&lt;=0,"N/M",J22/((J35+I35)/2)),"N/M")</f>
        <v>0.0939102354301674</v>
      </c>
      <c r="K135" s="25" t="n">
        <f aca="false">IFERROR(AVERAGE(D135:J135),"N/M")</f>
        <v>0.090528493050972</v>
      </c>
      <c r="L135" s="86" t="n">
        <f aca="false">IFERROR(J135-D135,"N/M")</f>
        <v>0.20115396723393</v>
      </c>
      <c r="M135" s="87" t="n">
        <f aca="false">IFERROR(SLOPE(D135:J135,$D$3:$J$3),"N/M")</f>
        <v>0.0341216767137444</v>
      </c>
    </row>
    <row r="136" customFormat="false" ht="15" hidden="false" customHeight="false" outlineLevel="0" collapsed="false">
      <c r="A136" s="18" t="s">
        <v>595</v>
      </c>
      <c r="B136" s="19" t="s">
        <v>596</v>
      </c>
      <c r="D136" s="46" t="n">
        <f aca="false">IFERROR(IF(((D35+C35)/2)&lt;=0,"N/M",(D22+(D19*(1-D60)))/((D35+C35)/2)),"N/M")</f>
        <v>-0.068656846130448</v>
      </c>
      <c r="E136" s="46" t="n">
        <f aca="false">IFERROR(IF(((E35+D35)/2)&lt;=0,"N/M",(E22+(E19*(1-E60)))/((E35+D35)/2)),"N/M")</f>
        <v>-0.110711261642676</v>
      </c>
      <c r="F136" s="46" t="n">
        <f aca="false">IFERROR(IF(((F35+E35)/2)&lt;=0,"N/M",(F22+(F19*(1-F60)))/((F35+E35)/2)),"N/M")</f>
        <v>0.341184936604546</v>
      </c>
      <c r="G136" s="46" t="n">
        <f aca="false">IFERROR(IF(((G35+F35)/2)&lt;=0,"N/M",(G22+(G19*(1-G60)))/((G35+F35)/2)),"N/M")</f>
        <v>0.199142753965771</v>
      </c>
      <c r="H136" s="46" t="n">
        <f aca="false">IFERROR(IF(((H35+G35)/2)&lt;=0,"N/M",(H22+(H19*(1-H60)))/((H35+G35)/2)),"N/M")</f>
        <v>0.102750842108445</v>
      </c>
      <c r="I136" s="46" t="n">
        <f aca="false">IFERROR(IF(((I35+H35)/2)&lt;=0,"N/M",(I22+(I19*(1-I60)))/((I35+H35)/2)),"N/M")</f>
        <v>0.174003965272103</v>
      </c>
      <c r="J136" s="46" t="n">
        <f aca="false">IFERROR(IF(((J35+I35)/2)&lt;=0,"N/M",(J22+(J19*(1-J60)))/((J35+I35)/2)),"N/M")</f>
        <v>0.110901893496783</v>
      </c>
      <c r="K136" s="25" t="n">
        <f aca="false">IFERROR(AVERAGE(D136:J136),"N/M")</f>
        <v>0.106945183382075</v>
      </c>
      <c r="L136" s="86" t="n">
        <f aca="false">IFERROR(J136-D136,"N/M")</f>
        <v>0.179558739627231</v>
      </c>
      <c r="M136" s="87" t="n">
        <f aca="false">IFERROR(SLOPE(D136:J136,$D$3:$J$3),"N/M")</f>
        <v>0.0310597349362554</v>
      </c>
    </row>
    <row r="137" customFormat="false" ht="15" hidden="false" customHeight="false" outlineLevel="0" collapsed="false">
      <c r="A137" s="18" t="s">
        <v>597</v>
      </c>
      <c r="B137" s="19" t="s">
        <v>598</v>
      </c>
      <c r="D137" s="46" t="n">
        <f aca="false">IFERROR(IF(((D35+C35)/2)&lt;=0,"N/M",D58/((D35+C35)/2)),"N/M")</f>
        <v>-0.0666579759266502</v>
      </c>
      <c r="E137" s="46" t="n">
        <f aca="false">IFERROR(IF(((E35+D35)/2)&lt;=0,"N/M",E58/((E35+D35)/2)),"N/M")</f>
        <v>-0.107535986452159</v>
      </c>
      <c r="F137" s="46" t="n">
        <f aca="false">IFERROR(IF(((F35+E35)/2)&lt;=0,"N/M",F58/((F35+E35)/2)),"N/M")</f>
        <v>0.37922964407606</v>
      </c>
      <c r="G137" s="46" t="n">
        <f aca="false">IFERROR(IF(((G35+F35)/2)&lt;=0,"N/M",G58/((G35+F35)/2)),"N/M")</f>
        <v>0.26889848812095</v>
      </c>
      <c r="H137" s="46" t="n">
        <f aca="false">IFERROR(IF(((H35+G35)/2)&lt;=0,"N/M",H58/((H35+G35)/2)),"N/M")</f>
        <v>0.140256186096013</v>
      </c>
      <c r="I137" s="46" t="n">
        <f aca="false">IFERROR(IF(((I35+H35)/2)&lt;=0,"N/M",I58/((I35+H35)/2)),"N/M")</f>
        <v>0.232499189436142</v>
      </c>
      <c r="J137" s="46" t="n">
        <f aca="false">IFERROR(IF(((J35+I35)/2)&lt;=0,"N/M",J58/((J35+I35)/2)),"N/M")</f>
        <v>0.150160371800746</v>
      </c>
      <c r="K137" s="25" t="n">
        <f aca="false">IFERROR(AVERAGE(D137:J137),"N/M")</f>
        <v>0.142407131021586</v>
      </c>
      <c r="L137" s="86" t="n">
        <f aca="false">IFERROR(J137-D137,"N/M")</f>
        <v>0.216818347727396</v>
      </c>
      <c r="M137" s="87" t="n">
        <f aca="false">IFERROR(SLOPE(D137:J137,$D$3:$J$3),"N/M")</f>
        <v>0.0389839977492409</v>
      </c>
    </row>
    <row r="138" customFormat="false" ht="15" hidden="false" customHeight="false" outlineLevel="0" collapsed="false">
      <c r="A138" s="18" t="s">
        <v>141</v>
      </c>
      <c r="B138" s="19" t="s">
        <v>599</v>
      </c>
      <c r="D138" s="46" t="n">
        <f aca="false">IFERROR(IF(((D62+C62)/2)&lt;=0,"N/M",(D58*(1-D60))/((D62+C62)/2)),"N/M")</f>
        <v>-0.0807453416149068</v>
      </c>
      <c r="E138" s="46" t="n">
        <f aca="false">IFERROR(IF(((E62+D62)/2)&lt;=0,"N/M",(E58*(1-E60))/((E62+D62)/2)),"N/M")</f>
        <v>-0.138883193219876</v>
      </c>
      <c r="F138" s="46" t="n">
        <f aca="false">IFERROR(IF(((F62+E62)/2)&lt;=0,"N/M",(F58*(1-F60))/((F62+E62)/2)),"N/M")</f>
        <v>0.53267131382806</v>
      </c>
      <c r="G138" s="46" t="n">
        <f aca="false">IFERROR(IF(((G62+F62)/2)&lt;=0,"N/M",(G58*(1-G60))/((G62+F62)/2)),"N/M")</f>
        <v>0.278656337584558</v>
      </c>
      <c r="H138" s="46" t="n">
        <f aca="false">IFERROR(IF(((H62+G62)/2)&lt;=0,"N/M",(H58*(1-H60))/((H62+G62)/2)),"N/M")</f>
        <v>0.122506662359687</v>
      </c>
      <c r="I138" s="46" t="n">
        <f aca="false">IFERROR(IF(((I62+H62)/2)&lt;=0,"N/M",(I58*(1-I60))/((I62+H62)/2)),"N/M")</f>
        <v>0.199743952961822</v>
      </c>
      <c r="J138" s="46" t="n">
        <f aca="false">IFERROR(IF(((J62+I62)/2)&lt;=0,"N/M",(J58*(1-J60))/((J62+I62)/2)),"N/M")</f>
        <v>0.132636286541399</v>
      </c>
      <c r="K138" s="25" t="n">
        <f aca="false">IFERROR(AVERAGE(D138:J138),"N/M")</f>
        <v>0.149512288348678</v>
      </c>
      <c r="L138" s="86" t="n">
        <f aca="false">IFERROR(J138-D138,"N/M")</f>
        <v>0.213381628156306</v>
      </c>
      <c r="M138" s="87" t="n">
        <f aca="false">IFERROR(SLOPE(D138:J138,$D$3:$J$3),"N/M")</f>
        <v>0.0324012330487121</v>
      </c>
    </row>
    <row r="139" customFormat="false" ht="15" hidden="false" customHeight="false" outlineLevel="0" collapsed="false">
      <c r="A139" s="18" t="s">
        <v>142</v>
      </c>
      <c r="B139" s="19" t="s">
        <v>600</v>
      </c>
      <c r="D139" s="46" t="n">
        <f aca="false">IFERROR(IF(((D61+C61)/2)&lt;=0,"N/M",D22/((D61+C61)/2)),"N/M")</f>
        <v>-0.209347697005683</v>
      </c>
      <c r="E139" s="46" t="n">
        <f aca="false">IFERROR(IF(((E61+D61)/2)&lt;=0,"N/M",E22/((E61+D61)/2)),"N/M")</f>
        <v>-0.262357414448669</v>
      </c>
      <c r="F139" s="46" t="n">
        <f aca="false">IFERROR(IF(((F61+E61)/2)&lt;=0,"N/M",F22/((F61+E61)/2)),"N/M")</f>
        <v>0.577785413624259</v>
      </c>
      <c r="G139" s="46" t="n">
        <f aca="false">IFERROR(IF(((G61+F61)/2)&lt;=0,"N/M",G22/((G61+F61)/2)),"N/M")</f>
        <v>0.269789608276183</v>
      </c>
      <c r="H139" s="46" t="n">
        <f aca="false">IFERROR(IF(((H61+G61)/2)&lt;=0,"N/M",H22/((H61+G61)/2)),"N/M")</f>
        <v>0.12434040103617</v>
      </c>
      <c r="I139" s="46" t="n">
        <f aca="false">IFERROR(IF(((I61+H61)/2)&lt;=0,"N/M",I22/((I61+H61)/2)),"N/M")</f>
        <v>0.21683458435355</v>
      </c>
      <c r="J139" s="46" t="n">
        <f aca="false">IFERROR(IF(((J61+I61)/2)&lt;=0,"N/M",J22/((J61+I61)/2)),"N/M")</f>
        <v>0.144293951991417</v>
      </c>
      <c r="K139" s="25" t="n">
        <f aca="false">IFERROR(AVERAGE(D139:J139),"N/M")</f>
        <v>0.123048406832461</v>
      </c>
      <c r="L139" s="86" t="n">
        <f aca="false">IFERROR(J139-D139,"N/M")</f>
        <v>0.353641648997101</v>
      </c>
      <c r="M139" s="87" t="n">
        <f aca="false">IFERROR(SLOPE(D139:J139,$D$3:$J$3),"N/M")</f>
        <v>0.0559237118574161</v>
      </c>
    </row>
    <row r="140" customFormat="false" ht="15" hidden="false" customHeight="false" outlineLevel="0" collapsed="false">
      <c r="A140" s="18" t="s">
        <v>601</v>
      </c>
      <c r="B140" s="19" t="s">
        <v>602</v>
      </c>
      <c r="D140" s="46" t="n">
        <f aca="false">IFERROR(IF(((D61+C61)/2)&lt;=0,"N/M",(D22-0)/((D61+C61)/2)),"N/M")</f>
        <v>-0.209347697005683</v>
      </c>
      <c r="E140" s="46" t="n">
        <f aca="false">IFERROR(IF(((E61+D61)/2)&lt;=0,"N/M",(E22-0)/((E61+D61)/2)),"N/M")</f>
        <v>-0.262357414448669</v>
      </c>
      <c r="F140" s="46" t="n">
        <f aca="false">IFERROR(IF(((F61+E61)/2)&lt;=0,"N/M",(F22-0)/((F61+E61)/2)),"N/M")</f>
        <v>0.577785413624259</v>
      </c>
      <c r="G140" s="46" t="n">
        <f aca="false">IFERROR(IF(((G61+F61)/2)&lt;=0,"N/M",(G22-0)/((G61+F61)/2)),"N/M")</f>
        <v>0.269789608276183</v>
      </c>
      <c r="H140" s="46" t="n">
        <f aca="false">IFERROR(IF(((H61+G61)/2)&lt;=0,"N/M",(H22-0)/((H61+G61)/2)),"N/M")</f>
        <v>0.12434040103617</v>
      </c>
      <c r="I140" s="46" t="n">
        <f aca="false">IFERROR(IF(((I61+H61)/2)&lt;=0,"N/M",(I22-0)/((I61+H61)/2)),"N/M")</f>
        <v>0.21683458435355</v>
      </c>
      <c r="J140" s="46" t="n">
        <f aca="false">IFERROR(IF(((J61+I61)/2)&lt;=0,"N/M",(J22-0)/((J61+I61)/2)),"N/M")</f>
        <v>0.144293951991417</v>
      </c>
      <c r="K140" s="25" t="n">
        <f aca="false">IFERROR(AVERAGE(D140:J140),"N/M")</f>
        <v>0.123048406832461</v>
      </c>
      <c r="L140" s="86" t="n">
        <f aca="false">IFERROR(J140-D140,"N/M")</f>
        <v>0.353641648997101</v>
      </c>
      <c r="M140" s="87" t="n">
        <f aca="false">IFERROR(SLOPE(D140:J140,$D$3:$J$3),"N/M")</f>
        <v>0.0559237118574161</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-1.1674550614948</v>
      </c>
      <c r="E143" s="95" t="n">
        <f aca="false">IFERROR(IF(E48&lt;=0,"N/M",E22/E48),"N/M")</f>
        <v>-1.17502365184484</v>
      </c>
      <c r="F143" s="95" t="n">
        <f aca="false">IFERROR(IF(F48&lt;=0,"N/M",F22/F48),"N/M")</f>
        <v>3.18164616840114</v>
      </c>
      <c r="G143" s="95" t="n">
        <f aca="false">IFERROR(IF(G48&lt;=0,"N/M",G22/G48),"N/M")</f>
        <v>2.19583727530747</v>
      </c>
      <c r="H143" s="95" t="n">
        <f aca="false">IFERROR(IF(H48&lt;=0,"N/M",H22/H48),"N/M")</f>
        <v>1.22611163670766</v>
      </c>
      <c r="I143" s="95" t="n">
        <f aca="false">IFERROR(IF(I48&lt;=0,"N/M",I22/I48),"N/M")</f>
        <v>2.55534531693472</v>
      </c>
      <c r="J143" s="95" t="n">
        <f aca="false">IFERROR(IF(J48&lt;=0,"N/M",J22/J48),"N/M")</f>
        <v>2.03595080416272</v>
      </c>
      <c r="K143" s="96" t="n">
        <f aca="false">IFERROR(AVERAGE(D143:J143),"N/M")</f>
        <v>1.26463035545344</v>
      </c>
      <c r="L143" s="97" t="n">
        <f aca="false">IFERROR(J143-D143,"N/M")</f>
        <v>3.20340586565752</v>
      </c>
      <c r="M143" s="98" t="n">
        <f aca="false">IFERROR(SLOPE(D143:J143,$D$3:$J$3),"N/M")</f>
        <v>0.539836464387079</v>
      </c>
    </row>
    <row r="144" customFormat="false" ht="15" hidden="false" customHeight="false" outlineLevel="0" collapsed="false">
      <c r="A144" s="18" t="s">
        <v>606</v>
      </c>
      <c r="B144" s="19" t="s">
        <v>607</v>
      </c>
      <c r="D144" s="95" t="n">
        <f aca="false">IFERROR(IF(D48&lt;=0,"N/M",(D22+D18)/D48),"N/M")</f>
        <v>-1.07473982970672</v>
      </c>
      <c r="E144" s="95" t="n">
        <f aca="false">IFERROR(IF(E48&lt;=0,"N/M",(E22+E18)/E48),"N/M")</f>
        <v>-1.09082308420057</v>
      </c>
      <c r="F144" s="95" t="n">
        <f aca="false">IFERROR(IF(F48&lt;=0,"N/M",(F22+F18)/F48),"N/M")</f>
        <v>3.25733207190161</v>
      </c>
      <c r="G144" s="95" t="n">
        <f aca="false">IFERROR(IF(G48&lt;=0,"N/M",(G22+G18)/G48),"N/M")</f>
        <v>2.26963103122044</v>
      </c>
      <c r="H144" s="95" t="n">
        <f aca="false">IFERROR(IF(H48&lt;=0,"N/M",(H22+H18)/H48),"N/M")</f>
        <v>1.29990539262062</v>
      </c>
      <c r="I144" s="95" t="n">
        <f aca="false">IFERROR(IF(I48&lt;=0,"N/M",(I22+I18)/I48),"N/M")</f>
        <v>2.63576158940397</v>
      </c>
      <c r="J144" s="95" t="n">
        <f aca="false">IFERROR(IF(J48&lt;=0,"N/M",(J22+J18)/J48),"N/M")</f>
        <v>2.12677388836329</v>
      </c>
      <c r="K144" s="96" t="n">
        <f aca="false">IFERROR(AVERAGE(D144:J144),"N/M")</f>
        <v>1.34626300851466</v>
      </c>
      <c r="L144" s="97" t="n">
        <f aca="false">IFERROR(J144-D144,"N/M")</f>
        <v>3.20151371807001</v>
      </c>
      <c r="M144" s="98" t="n">
        <f aca="false">IFERROR(SLOPE(D144:J144,$D$3:$J$3),"N/M")</f>
        <v>0.539295850790647</v>
      </c>
    </row>
    <row r="145" customFormat="false" ht="15" hidden="false" customHeight="false" outlineLevel="0" collapsed="false">
      <c r="A145" s="18" t="s">
        <v>608</v>
      </c>
      <c r="B145" s="19" t="s">
        <v>609</v>
      </c>
      <c r="D145" s="95" t="n">
        <f aca="false">IFERROR(IF(D48&lt;=0,"N/M",D61/D48),"N/M")</f>
        <v>4.98580889309366</v>
      </c>
      <c r="E145" s="95" t="n">
        <f aca="false">IFERROR(IF(E48&lt;=0,"N/M",E61/E48),"N/M")</f>
        <v>3.97161778618732</v>
      </c>
      <c r="F145" s="95" t="n">
        <f aca="false">IFERROR(IF(F48&lt;=0,"N/M",F61/F48),"N/M")</f>
        <v>7.04162724692526</v>
      </c>
      <c r="G145" s="95" t="n">
        <f aca="false">IFERROR(IF(G48&lt;=0,"N/M",G61/G48),"N/M")</f>
        <v>9.23651844843898</v>
      </c>
      <c r="H145" s="95" t="n">
        <f aca="false">IFERROR(IF(H48&lt;=0,"N/M",H61/H48),"N/M")</f>
        <v>10.4853358561968</v>
      </c>
      <c r="I145" s="95" t="n">
        <f aca="false">IFERROR(IF(I48&lt;=0,"N/M",I61/I48),"N/M")</f>
        <v>13.0842005676443</v>
      </c>
      <c r="J145" s="95" t="n">
        <f aca="false">IFERROR(IF(J48&lt;=0,"N/M",J61/J48),"N/M")</f>
        <v>15.1352885525071</v>
      </c>
      <c r="K145" s="96" t="n">
        <f aca="false">IFERROR(AVERAGE(D145:J145),"N/M")</f>
        <v>9.13434247871334</v>
      </c>
      <c r="L145" s="97" t="n">
        <f aca="false">IFERROR(J145-D145,"N/M")</f>
        <v>10.1494796594134</v>
      </c>
      <c r="M145" s="98" t="n">
        <f aca="false">IFERROR(SLOPE(D145:J145,$D$3:$J$3),"N/M")</f>
        <v>1.8613326125152</v>
      </c>
    </row>
    <row r="146" customFormat="false" ht="15" hidden="false" customHeight="false" outlineLevel="0" collapsed="false">
      <c r="A146" s="18" t="s">
        <v>145</v>
      </c>
      <c r="B146" s="19" t="s">
        <v>610</v>
      </c>
      <c r="D146" s="47" t="n">
        <f aca="false">IFERROR(IF(D49=0,"N/C",IF(D145&lt;=0,"N/M",D47/D145)),"N/M")</f>
        <v>0.599702087286528</v>
      </c>
      <c r="E146" s="47" t="n">
        <f aca="false">IFERROR(IF(E49=0,"N/C",IF(E145&lt;=0,"N/M",E47/E145)),"N/M")</f>
        <v>1.0675750357313</v>
      </c>
      <c r="F146" s="47" t="n">
        <f aca="false">IFERROR(IF(F49=0,"N/C",IF(F145&lt;=0,"N/M",F47/F145)),"N/M")</f>
        <v>2.99930673115679</v>
      </c>
      <c r="G146" s="47" t="n">
        <f aca="false">IFERROR(IF(G49=0,"N/C",IF(G145&lt;=0,"N/M",G47/G145)),"N/M")</f>
        <v>3.93330021509782</v>
      </c>
      <c r="H146" s="47" t="n">
        <f aca="false">IFERROR(IF(H49=0,"N/C",IF(H145&lt;=0,"N/M",H47/H145)),"N/M")</f>
        <v>4.38707931065596</v>
      </c>
      <c r="I146" s="47" t="n">
        <f aca="false">IFERROR(IF(I49=0,"N/C",IF(I145&lt;=0,"N/M",I47/I145)),"N/M")</f>
        <v>3.63033261026753</v>
      </c>
      <c r="J146" s="47" t="n">
        <f aca="false">IFERROR(IF(J49=0,"N/C",IF(J145&lt;=0,"N/M",J47/J145)),"N/M")</f>
        <v>1.57909113639205</v>
      </c>
      <c r="K146" s="22" t="n">
        <f aca="false">IFERROR(AVERAGE(D146:J146),"N/M")</f>
        <v>2.59948387522685</v>
      </c>
      <c r="L146" s="82" t="n">
        <f aca="false">IFERROR(J146-D146,"N/M")</f>
        <v>0.979389049105522</v>
      </c>
      <c r="M146" s="83" t="n">
        <f aca="false">IFERROR(SLOPE(D146:J146,$D$3:$J$3),"N/M")</f>
        <v>0.33755195985315</v>
      </c>
    </row>
    <row r="147" customFormat="false" ht="15" hidden="false" customHeight="false" outlineLevel="0" collapsed="false">
      <c r="A147" s="18" t="s">
        <v>611</v>
      </c>
      <c r="B147" s="19" t="s">
        <v>612</v>
      </c>
      <c r="D147" s="95" t="n">
        <f aca="false">IFERROR(IF(D48&lt;=0,"N/M",D23/D48),"N/M")</f>
        <v>0</v>
      </c>
      <c r="E147" s="95" t="n">
        <f aca="false">IFERROR(IF(E48&lt;=0,"N/M",E23/E48),"N/M")</f>
        <v>0</v>
      </c>
      <c r="F147" s="95" t="n">
        <f aca="false">IFERROR(IF(F48&lt;=0,"N/M",F23/F48),"N/M")</f>
        <v>0.100283822138127</v>
      </c>
      <c r="G147" s="95" t="n">
        <f aca="false">IFERROR(IF(G48&lt;=0,"N/M",G23/G48),"N/M")</f>
        <v>0</v>
      </c>
      <c r="H147" s="95" t="n">
        <f aca="false">IFERROR(IF(H48&lt;=0,"N/M",H23/H48),"N/M")</f>
        <v>0</v>
      </c>
      <c r="I147" s="95" t="n">
        <f aca="false">IFERROR(IF(I48&lt;=0,"N/M",I23/I48),"N/M")</f>
        <v>0</v>
      </c>
      <c r="J147" s="95" t="n">
        <f aca="false">IFERROR(IF(J48&lt;=0,"N/M",J23/J48),"N/M")</f>
        <v>0</v>
      </c>
      <c r="K147" s="96" t="n">
        <f aca="false">IFERROR(AVERAGE(D147:J147),"N/M")</f>
        <v>0.0143262603054467</v>
      </c>
      <c r="L147" s="97" t="n">
        <f aca="false">IFERROR(J147-D147,"N/M")</f>
        <v>0</v>
      </c>
      <c r="M147" s="98" t="n">
        <f aca="false">IFERROR(SLOPE(D147:J147,$D$3:$J$3),"N/M")</f>
        <v>-0.00358156507636167</v>
      </c>
    </row>
    <row r="148" customFormat="false" ht="15" hidden="false" customHeight="false" outlineLevel="0" collapsed="false">
      <c r="A148" s="18" t="s">
        <v>613</v>
      </c>
      <c r="B148" s="19" t="s">
        <v>614</v>
      </c>
      <c r="D148" s="46" t="str">
        <f aca="false">IFERROR(IF(D143&lt;=0,"N/M",D147/D143),"N/M")</f>
        <v>N/M</v>
      </c>
      <c r="E148" s="46" t="str">
        <f aca="false">IFERROR(IF(E143&lt;=0,"N/M",E147/E143),"N/M")</f>
        <v>N/M</v>
      </c>
      <c r="F148" s="46" t="n">
        <f aca="false">IFERROR(IF(F143&lt;=0,"N/M",F147/F143),"N/M")</f>
        <v>0.0315194766577461</v>
      </c>
      <c r="G148" s="46" t="n">
        <f aca="false">IFERROR(IF(G143&lt;=0,"N/M",G147/G143),"N/M")</f>
        <v>0</v>
      </c>
      <c r="H148" s="46" t="n">
        <f aca="false">IFERROR(IF(H143&lt;=0,"N/M",H147/H143),"N/M")</f>
        <v>0</v>
      </c>
      <c r="I148" s="46" t="n">
        <f aca="false">IFERROR(IF(I143&lt;=0,"N/M",I147/I143),"N/M")</f>
        <v>0</v>
      </c>
      <c r="J148" s="46" t="n">
        <f aca="false">IFERROR(IF(J143&lt;=0,"N/M",J147/J143),"N/M")</f>
        <v>0</v>
      </c>
      <c r="K148" s="25" t="n">
        <f aca="false">IFERROR(AVERAGE(D148:J148),"N/M")</f>
        <v>0.00630389533154921</v>
      </c>
      <c r="L148" s="86" t="str">
        <f aca="false">IFERROR(J148-D148,"N/M")</f>
        <v>N/M</v>
      </c>
      <c r="M148" s="87" t="n">
        <f aca="false">IFERROR(SLOPE(D148:J148,$D$3:$J$3),"N/M")</f>
        <v>-0.00630389533154921</v>
      </c>
    </row>
    <row r="149" customFormat="false" ht="15" hidden="false" customHeight="false" outlineLevel="0" collapsed="false">
      <c r="A149" s="18" t="s">
        <v>615</v>
      </c>
      <c r="B149" s="19" t="s">
        <v>616</v>
      </c>
      <c r="D149" s="46" t="str">
        <f aca="false">IFERROR((1-D148),"N/M")</f>
        <v>N/M</v>
      </c>
      <c r="E149" s="46" t="str">
        <f aca="false">IFERROR((1-E148),"N/M")</f>
        <v>N/M</v>
      </c>
      <c r="F149" s="46" t="n">
        <f aca="false">IFERROR((1-F148),"N/M")</f>
        <v>0.968480523342254</v>
      </c>
      <c r="G149" s="46" t="n">
        <f aca="false">IFERROR((1-G148),"N/M")</f>
        <v>1</v>
      </c>
      <c r="H149" s="46" t="n">
        <f aca="false">IFERROR((1-H148),"N/M")</f>
        <v>1</v>
      </c>
      <c r="I149" s="46" t="n">
        <f aca="false">IFERROR((1-I148),"N/M")</f>
        <v>1</v>
      </c>
      <c r="J149" s="46" t="n">
        <f aca="false">IFERROR((1-J148),"N/M")</f>
        <v>1</v>
      </c>
      <c r="K149" s="25" t="n">
        <f aca="false">IFERROR(AVERAGE(D149:J149),"N/M")</f>
        <v>0.993696104668451</v>
      </c>
      <c r="L149" s="86" t="str">
        <f aca="false">IFERROR(J149-D149,"N/M")</f>
        <v>N/M</v>
      </c>
      <c r="M149" s="87" t="n">
        <f aca="false">IFERROR(SLOPE(D149:J149,$D$3:$J$3),"N/M")</f>
        <v>0.0063038953315492</v>
      </c>
    </row>
    <row r="150" customFormat="false" ht="15" hidden="false" customHeight="false" outlineLevel="0" collapsed="false">
      <c r="A150" s="18" t="s">
        <v>617</v>
      </c>
      <c r="B150" s="19" t="s">
        <v>618</v>
      </c>
      <c r="D150" s="46" t="n">
        <f aca="false">IFERROR(IF(D49=0,"N/C",IF(D47&lt;=0,"N/M",D143/D47)),"N/M")</f>
        <v>-0.390453197824347</v>
      </c>
      <c r="E150" s="46" t="n">
        <f aca="false">IFERROR(IF(E49=0,"N/C",IF(E47&lt;=0,"N/M",E143/E47)),"N/M")</f>
        <v>-0.277128219774727</v>
      </c>
      <c r="F150" s="46" t="n">
        <f aca="false">IFERROR(IF(F49=0,"N/C",IF(F47&lt;=0,"N/M",F143/F47)),"N/M")</f>
        <v>0.150646125397781</v>
      </c>
      <c r="G150" s="46" t="n">
        <f aca="false">IFERROR(IF(G49=0,"N/C",IF(G47&lt;=0,"N/M",G143/G47)),"N/M")</f>
        <v>0.0604414333968476</v>
      </c>
      <c r="H150" s="46" t="n">
        <f aca="false">IFERROR(IF(H49=0,"N/C",IF(H47&lt;=0,"N/M",H143/H47)),"N/M")</f>
        <v>0.0266546007979927</v>
      </c>
      <c r="I150" s="46" t="n">
        <f aca="false">IFERROR(IF(I49=0,"N/C",IF(I47&lt;=0,"N/M",I143/I47)),"N/M")</f>
        <v>0.0537967435144152</v>
      </c>
      <c r="J150" s="46" t="n">
        <f aca="false">IFERROR(IF(J49=0,"N/C",IF(J47&lt;=0,"N/M",J143/J47)),"N/M")</f>
        <v>0.0851862261155952</v>
      </c>
      <c r="K150" s="25" t="n">
        <f aca="false">IFERROR(AVERAGE(D150:J150),"N/M")</f>
        <v>-0.0415508983394918</v>
      </c>
      <c r="L150" s="86" t="n">
        <f aca="false">IFERROR(J150-D150,"N/M")</f>
        <v>0.475639423939942</v>
      </c>
      <c r="M150" s="87" t="n">
        <f aca="false">IFERROR(SLOPE(D150:J150,$D$3:$J$3),"N/M")</f>
        <v>0.0701705954927972</v>
      </c>
    </row>
    <row r="151" customFormat="false" ht="15" hidden="false" customHeight="false" outlineLevel="0" collapsed="false">
      <c r="A151" s="18" t="s">
        <v>146</v>
      </c>
      <c r="B151" s="19" t="s">
        <v>619</v>
      </c>
      <c r="D151" s="46" t="n">
        <f aca="false">IFERROR(IF(D49=0,"N/C",IF(D47&lt;=0,"N/M",D147/D47)),"N/M")</f>
        <v>0</v>
      </c>
      <c r="E151" s="46" t="n">
        <f aca="false">IFERROR(IF(E49=0,"N/C",IF(E47&lt;=0,"N/M",E147/E47)),"N/M")</f>
        <v>0</v>
      </c>
      <c r="F151" s="46" t="n">
        <f aca="false">IFERROR(IF(F49=0,"N/C",IF(F47&lt;=0,"N/M",F147/F47)),"N/M")</f>
        <v>0.00474828703305525</v>
      </c>
      <c r="G151" s="46" t="n">
        <f aca="false">IFERROR(IF(G49=0,"N/C",IF(G47&lt;=0,"N/M",G147/G47)),"N/M")</f>
        <v>0</v>
      </c>
      <c r="H151" s="46" t="n">
        <f aca="false">IFERROR(IF(H49=0,"N/C",IF(H47&lt;=0,"N/M",H147/H47)),"N/M")</f>
        <v>0</v>
      </c>
      <c r="I151" s="46" t="n">
        <f aca="false">IFERROR(IF(I49=0,"N/C",IF(I47&lt;=0,"N/M",I147/I47)),"N/M")</f>
        <v>0</v>
      </c>
      <c r="J151" s="46" t="n">
        <f aca="false">IFERROR(IF(J49=0,"N/C",IF(J47&lt;=0,"N/M",J147/J47)),"N/M")</f>
        <v>0</v>
      </c>
      <c r="K151" s="25" t="n">
        <f aca="false">IFERROR(AVERAGE(D151:J151),"N/M")</f>
        <v>0.000678326719007892</v>
      </c>
      <c r="L151" s="86" t="n">
        <f aca="false">IFERROR(J151-D151,"N/M")</f>
        <v>0</v>
      </c>
      <c r="M151" s="87" t="n">
        <f aca="false">IFERROR(SLOPE(D151:J151,$D$3:$J$3),"N/M")</f>
        <v>-0.000169581679751973</v>
      </c>
    </row>
    <row r="152" customFormat="false" ht="15" hidden="false" customHeight="false" outlineLevel="0" collapsed="false">
      <c r="A152" s="18" t="s">
        <v>143</v>
      </c>
      <c r="B152" s="19" t="s">
        <v>620</v>
      </c>
      <c r="D152" s="47" t="str">
        <f aca="false">IFERROR(IF(D49=0,"N/C",IF(D143&lt;=0,"N/M",D47/D143)),"N/M")</f>
        <v>N/M</v>
      </c>
      <c r="E152" s="47" t="str">
        <f aca="false">IFERROR(IF(E49=0,"N/C",IF(E143&lt;=0,"N/M",E47/E143)),"N/M")</f>
        <v>N/M</v>
      </c>
      <c r="F152" s="47" t="n">
        <f aca="false">IFERROR(IF(F49=0,"N/C",IF(F143&lt;=0,"N/M",F47/F143)),"N/M")</f>
        <v>6.63807314897413</v>
      </c>
      <c r="G152" s="47" t="n">
        <f aca="false">IFERROR(IF(G49=0,"N/C",IF(G143&lt;=0,"N/M",G47/G143)),"N/M")</f>
        <v>16.5449418354158</v>
      </c>
      <c r="H152" s="47" t="n">
        <f aca="false">IFERROR(IF(H49=0,"N/C",IF(H143&lt;=0,"N/M",H47/H143)),"N/M")</f>
        <v>37.516975308642</v>
      </c>
      <c r="I152" s="47" t="n">
        <f aca="false">IFERROR(IF(I49=0,"N/C",IF(I143&lt;=0,"N/M",I47/I143)),"N/M")</f>
        <v>18.58848574602</v>
      </c>
      <c r="J152" s="47" t="n">
        <f aca="false">IFERROR(IF(J49=0,"N/C",IF(J143&lt;=0,"N/M",J47/J143)),"N/M")</f>
        <v>11.7389869888476</v>
      </c>
      <c r="K152" s="22" t="n">
        <f aca="false">IFERROR(AVERAGE(D152:J152),"N/M")</f>
        <v>18.2054926055799</v>
      </c>
      <c r="L152" s="82" t="str">
        <f aca="false">IFERROR(J152-D152,"N/M")</f>
        <v>N/M</v>
      </c>
      <c r="M152" s="83" t="n">
        <f aca="false">IFERROR(SLOPE(D152:J152,$D$3:$J$3),"N/M")</f>
        <v>1.22453715903511</v>
      </c>
    </row>
    <row r="153" customFormat="false" ht="15" hidden="false" customHeight="false" outlineLevel="0" collapsed="false">
      <c r="A153" s="18" t="s">
        <v>148</v>
      </c>
      <c r="B153" s="19" t="s">
        <v>621</v>
      </c>
      <c r="D153" s="46" t="n">
        <f aca="false">IFERROR(IF(C47&lt;=0,"N/M",((D147+D47)-C47)/C47),"N/M")</f>
        <v>-0.705418719211823</v>
      </c>
      <c r="E153" s="46" t="n">
        <f aca="false">IFERROR(IF(D47&lt;=0,"N/M",((E147+E47)-D47)/D47),"N/M")</f>
        <v>0.418060200668896</v>
      </c>
      <c r="F153" s="46" t="n">
        <f aca="false">IFERROR(IF(E47&lt;=0,"N/M",((F147+F47)-E47)/E47),"N/M")</f>
        <v>4.0047839203156</v>
      </c>
      <c r="G153" s="46" t="n">
        <f aca="false">IFERROR(IF(F47&lt;=0,"N/M",((G147+G47)-F47)/F47),"N/M")</f>
        <v>0.720170454545454</v>
      </c>
      <c r="H153" s="46" t="n">
        <f aca="false">IFERROR(IF(G47&lt;=0,"N/M",((H147+H47)-G47)/G47),"N/M")</f>
        <v>0.26617120836774</v>
      </c>
      <c r="I153" s="46" t="n">
        <f aca="false">IFERROR(IF(H47&lt;=0,"N/M",((I147+I47)-H47)/H47),"N/M")</f>
        <v>0.0326086956521739</v>
      </c>
      <c r="J153" s="46" t="n">
        <f aca="false">IFERROR(IF(I47&lt;=0,"N/M",((J147+J47)-I47)/I47),"N/M")</f>
        <v>-0.496842105263158</v>
      </c>
      <c r="K153" s="25" t="n">
        <f aca="false">IFERROR(AVERAGE(D153:J153),"N/M")</f>
        <v>0.605647665010697</v>
      </c>
      <c r="L153" s="86" t="n">
        <f aca="false">IFERROR(J153-D153,"N/M")</f>
        <v>0.208576613948665</v>
      </c>
      <c r="M153" s="87" t="n">
        <f aca="false">IFERROR(SLOPE(D153:J153,$D$3:$J$3),"N/M")</f>
        <v>-0.138706638576261</v>
      </c>
    </row>
    <row r="154" customFormat="false" ht="15" hidden="false" customHeight="false" outlineLevel="0" collapsed="false">
      <c r="A154" s="18" t="s">
        <v>147</v>
      </c>
      <c r="B154" s="19" t="s">
        <v>622</v>
      </c>
      <c r="D154" s="47" t="str">
        <f aca="false">IFERROR(IF(D49=0,"N/C",IF(D59&lt;=0,"N/M",D70/D59)),"N/M")</f>
        <v>N/M</v>
      </c>
      <c r="E154" s="47" t="str">
        <f aca="false">IFERROR(IF(E49=0,"N/C",IF(E59&lt;=0,"N/M",E70/E59)),"N/M")</f>
        <v>N/M</v>
      </c>
      <c r="F154" s="47" t="n">
        <f aca="false">IFERROR(IF(F49=0,"N/C",IF(F59&lt;=0,"N/M",F70/F59)),"N/M")</f>
        <v>4.82938775510204</v>
      </c>
      <c r="G154" s="47" t="n">
        <f aca="false">IFERROR(IF(G49=0,"N/C",IF(G59&lt;=0,"N/M",G70/G59)),"N/M")</f>
        <v>10.0032609351433</v>
      </c>
      <c r="H154" s="47" t="n">
        <f aca="false">IFERROR(IF(H49=0,"N/C",IF(H59&lt;=0,"N/M",H70/H59)),"N/M")</f>
        <v>23.7394695787831</v>
      </c>
      <c r="I154" s="47" t="n">
        <f aca="false">IFERROR(IF(I49=0,"N/C",IF(I59&lt;=0,"N/M",I70/I59)),"N/M")</f>
        <v>12.0450483991065</v>
      </c>
      <c r="J154" s="47" t="n">
        <f aca="false">IFERROR(IF(J49=0,"N/C",IF(J59&lt;=0,"N/M",J70/J59)),"N/M")</f>
        <v>7.40381679389313</v>
      </c>
      <c r="K154" s="22" t="n">
        <f aca="false">IFERROR(AVERAGE(D154:J154),"N/M")</f>
        <v>11.6041966924056</v>
      </c>
      <c r="L154" s="82" t="str">
        <f aca="false">IFERROR(J154-D154,"N/M")</f>
        <v>N/M</v>
      </c>
      <c r="M154" s="83" t="n">
        <f aca="false">IFERROR(SLOPE(D154:J154,$D$3:$J$3),"N/M")</f>
        <v>0.719064554154537</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-0.0409314050683296</v>
      </c>
      <c r="E157" s="46" t="n">
        <f aca="false">IFERROR(E124,"N/M")</f>
        <v>-0.0739858223625425</v>
      </c>
      <c r="F157" s="46" t="n">
        <f aca="false">IFERROR(F124,"N/M")</f>
        <v>0.0546731478922469</v>
      </c>
      <c r="G157" s="46" t="n">
        <f aca="false">IFERROR(G124,"N/M")</f>
        <v>0.0535594784815969</v>
      </c>
      <c r="H157" s="46" t="n">
        <f aca="false">IFERROR(H124,"N/M")</f>
        <v>0.0539415633064181</v>
      </c>
      <c r="I157" s="46" t="n">
        <f aca="false">IFERROR(I124,"N/M")</f>
        <v>0.0503626633849826</v>
      </c>
      <c r="J157" s="46" t="n">
        <f aca="false">IFERROR(J124,"N/M")</f>
        <v>0.0375685206522119</v>
      </c>
      <c r="K157" s="25" t="n">
        <f aca="false">IFERROR(AVERAGE(D157:J157),"N/M")</f>
        <v>0.0193125923266549</v>
      </c>
      <c r="L157" s="86" t="n">
        <f aca="false">IFERROR(J157-D157,"N/M")</f>
        <v>0.0784999257205414</v>
      </c>
      <c r="M157" s="87" t="n">
        <f aca="false">IFERROR(SLOPE(D157:J157,$D$3:$J$3),"N/M")</f>
        <v>0.0172666130025302</v>
      </c>
    </row>
    <row r="158" customFormat="false" ht="15" hidden="false" customHeight="false" outlineLevel="0" collapsed="false">
      <c r="A158" s="18" t="s">
        <v>625</v>
      </c>
      <c r="B158" s="19" t="s">
        <v>626</v>
      </c>
      <c r="D158" s="47" t="n">
        <f aca="false">IFERROR(D113,"N/M")</f>
        <v>2.62008430017816</v>
      </c>
      <c r="E158" s="47" t="n">
        <f aca="false">IFERROR(E113,"N/M")</f>
        <v>1.77677815410669</v>
      </c>
      <c r="F158" s="47" t="n">
        <f aca="false">IFERROR(F113,"N/M")</f>
        <v>5.99814724524622</v>
      </c>
      <c r="G158" s="47" t="n">
        <f aca="false">IFERROR(G113,"N/M")</f>
        <v>3.59985047350058</v>
      </c>
      <c r="H158" s="47" t="n">
        <f aca="false">IFERROR(H113,"N/M")</f>
        <v>1.82644722338363</v>
      </c>
      <c r="I158" s="47" t="n">
        <f aca="false">IFERROR(I113,"N/M")</f>
        <v>3.16155274560085</v>
      </c>
      <c r="J158" s="47" t="n">
        <f aca="false">IFERROR(J113,"N/M")</f>
        <v>2.49970543954965</v>
      </c>
      <c r="K158" s="22" t="n">
        <f aca="false">IFERROR(AVERAGE(D158:J158),"N/M")</f>
        <v>3.06893794022368</v>
      </c>
      <c r="L158" s="82" t="n">
        <f aca="false">IFERROR(J158-D158,"N/M")</f>
        <v>-0.12037886062851</v>
      </c>
      <c r="M158" s="83" t="n">
        <f aca="false">IFERROR(SLOPE(D158:J158,$D$3:$J$3),"N/M")</f>
        <v>-0.0629745507414215</v>
      </c>
    </row>
    <row r="159" customFormat="false" ht="15" hidden="false" customHeight="false" outlineLevel="0" collapsed="false">
      <c r="A159" s="18" t="s">
        <v>627</v>
      </c>
      <c r="B159" s="19" t="s">
        <v>628</v>
      </c>
      <c r="D159" s="46" t="n">
        <f aca="false">IFERROR((D157*D158),"N/M")</f>
        <v>-0.107243731803763</v>
      </c>
      <c r="E159" s="46" t="n">
        <f aca="false">IFERROR((E157*E158),"N/M")</f>
        <v>-0.131456392887384</v>
      </c>
      <c r="F159" s="46" t="n">
        <f aca="false">IFERROR((F157*F158),"N/M")</f>
        <v>0.32793759141882</v>
      </c>
      <c r="G159" s="46" t="n">
        <f aca="false">IFERROR((G157*G158),"N/M")</f>
        <v>0.192806113972421</v>
      </c>
      <c r="H159" s="46" t="n">
        <f aca="false">IFERROR((H157*H158),"N/M")</f>
        <v>0.0985214185259797</v>
      </c>
      <c r="I159" s="46" t="n">
        <f aca="false">IFERROR((I157*I158),"N/M")</f>
        <v>0.159224216700563</v>
      </c>
      <c r="J159" s="46" t="n">
        <f aca="false">IFERROR((J157*J158),"N/M")</f>
        <v>0.0939102354301674</v>
      </c>
      <c r="K159" s="25" t="n">
        <f aca="false">IFERROR(AVERAGE(D159:J159),"N/M")</f>
        <v>0.090528493050972</v>
      </c>
      <c r="L159" s="86" t="n">
        <f aca="false">IFERROR(J159-D159,"N/M")</f>
        <v>0.20115396723393</v>
      </c>
      <c r="M159" s="87" t="n">
        <f aca="false">IFERROR(SLOPE(D159:J159,$D$3:$J$3),"N/M")</f>
        <v>0.0341216767137444</v>
      </c>
    </row>
    <row r="160" customFormat="false" ht="15" hidden="false" customHeight="false" outlineLevel="0" collapsed="false">
      <c r="A160" s="18" t="s">
        <v>629</v>
      </c>
      <c r="B160" s="19" t="s">
        <v>630</v>
      </c>
      <c r="D160" s="47" t="n">
        <f aca="false">IFERROR(IF(((D61+C61)/2)&lt;=0,"N/M",((D35+C35)/2)/((D61+C61)/2)),"N/M")</f>
        <v>1.95207396725761</v>
      </c>
      <c r="E160" s="47" t="n">
        <f aca="false">IFERROR(IF(((E61+D61)/2)&lt;=0,"N/M",((E35+D35)/2)/((E61+D61)/2)),"N/M")</f>
        <v>1.99577524292353</v>
      </c>
      <c r="F160" s="47" t="n">
        <f aca="false">IFERROR(IF(((F61+E61)/2)&lt;=0,"N/M",((F35+E35)/2)/((F61+E61)/2)),"N/M")</f>
        <v>1.76187612748046</v>
      </c>
      <c r="G160" s="47" t="n">
        <f aca="false">IFERROR(IF(((G61+F61)/2)&lt;=0,"N/M",((G35+F35)/2)/((G61+F61)/2)),"N/M")</f>
        <v>1.39927932116703</v>
      </c>
      <c r="H160" s="47" t="n">
        <f aca="false">IFERROR(IF(((H61+G61)/2)&lt;=0,"N/M",((H35+G35)/2)/((H61+G61)/2)),"N/M")</f>
        <v>1.26206466468387</v>
      </c>
      <c r="I160" s="47" t="n">
        <f aca="false">IFERROR(IF(((I61+H61)/2)&lt;=0,"N/M",((I35+H35)/2)/((I61+H61)/2)),"N/M")</f>
        <v>1.3618191305744</v>
      </c>
      <c r="J160" s="47" t="n">
        <f aca="false">IFERROR(IF(((J61+I61)/2)&lt;=0,"N/M",((J35+I35)/2)/((J61+I61)/2)),"N/M")</f>
        <v>1.53650932010192</v>
      </c>
      <c r="K160" s="22" t="n">
        <f aca="false">IFERROR(AVERAGE(D160:J160),"N/M")</f>
        <v>1.60991396774126</v>
      </c>
      <c r="L160" s="82" t="n">
        <f aca="false">IFERROR(J160-D160,"N/M")</f>
        <v>-0.415564647155695</v>
      </c>
      <c r="M160" s="83" t="n">
        <f aca="false">IFERROR(SLOPE(D160:J160,$D$3:$J$3),"N/M")</f>
        <v>-0.107657772462926</v>
      </c>
    </row>
    <row r="161" customFormat="false" ht="15" hidden="false" customHeight="false" outlineLevel="0" collapsed="false">
      <c r="A161" s="18" t="s">
        <v>631</v>
      </c>
      <c r="B161" s="19" t="s">
        <v>632</v>
      </c>
      <c r="D161" s="46" t="n">
        <f aca="false">IFERROR(((D157*D158)*D160),"N/M")</f>
        <v>-0.209347697005683</v>
      </c>
      <c r="E161" s="46" t="n">
        <f aca="false">IFERROR(((E157*E158)*E160),"N/M")</f>
        <v>-0.262357414448669</v>
      </c>
      <c r="F161" s="46" t="n">
        <f aca="false">IFERROR(((F157*F158)*F160),"N/M")</f>
        <v>0.577785413624259</v>
      </c>
      <c r="G161" s="46" t="n">
        <f aca="false">IFERROR(((G157*G158)*G160),"N/M")</f>
        <v>0.269789608276183</v>
      </c>
      <c r="H161" s="46" t="n">
        <f aca="false">IFERROR(((H157*H158)*H160),"N/M")</f>
        <v>0.12434040103617</v>
      </c>
      <c r="I161" s="46" t="n">
        <f aca="false">IFERROR(((I157*I158)*I160),"N/M")</f>
        <v>0.21683458435355</v>
      </c>
      <c r="J161" s="46" t="n">
        <f aca="false">IFERROR(((J157*J158)*J160),"N/M")</f>
        <v>0.144293951991417</v>
      </c>
      <c r="K161" s="25" t="n">
        <f aca="false">IFERROR(AVERAGE(D161:J161),"N/M")</f>
        <v>0.123048406832461</v>
      </c>
      <c r="L161" s="86" t="n">
        <f aca="false">IFERROR(J161-D161,"N/M")</f>
        <v>0.353641648997101</v>
      </c>
      <c r="M161" s="87" t="n">
        <f aca="false">IFERROR(SLOPE(D161:J161,$D$3:$J$3),"N/M")</f>
        <v>0.0559237118574161</v>
      </c>
    </row>
    <row r="162" customFormat="false" ht="15" hidden="false" customHeight="false" outlineLevel="0" collapsed="false">
      <c r="A162" s="18" t="s">
        <v>633</v>
      </c>
      <c r="B162" s="19" t="s">
        <v>634</v>
      </c>
      <c r="D162" s="47" t="n">
        <f aca="false">IFERROR(IF(D20=0,"N/M",D22/D20),"N/M")</f>
        <v>1.01899256812552</v>
      </c>
      <c r="E162" s="47" t="n">
        <f aca="false">IFERROR(IF(E20=0,"N/M",E22/E20),"N/M")</f>
        <v>1.02475247524752</v>
      </c>
      <c r="F162" s="47" t="n">
        <f aca="false">IFERROR(IF(F20=0,"N/M",F22/F20),"N/M")</f>
        <v>0.899678972712681</v>
      </c>
      <c r="G162" s="47" t="n">
        <f aca="false">IFERROR(IF(G20=0,"N/M",G22/G20),"N/M")</f>
        <v>0.740587109125718</v>
      </c>
      <c r="H162" s="47" t="n">
        <f aca="false">IFERROR(IF(H20=0,"N/M",H22/H20),"N/M")</f>
        <v>0.732617297908423</v>
      </c>
      <c r="I162" s="47" t="n">
        <f aca="false">IFERROR(IF(I20=0,"N/M",I22/I20),"N/M")</f>
        <v>0.748406760875589</v>
      </c>
      <c r="J162" s="47" t="n">
        <f aca="false">IFERROR(IF(J20=0,"N/M",J22/J20),"N/M")</f>
        <v>0.73850377487989</v>
      </c>
      <c r="K162" s="22" t="n">
        <f aca="false">IFERROR(AVERAGE(D162:J162),"N/M")</f>
        <v>0.843362708410763</v>
      </c>
      <c r="L162" s="82" t="n">
        <f aca="false">IFERROR(J162-D162,"N/M")</f>
        <v>-0.280488793245626</v>
      </c>
      <c r="M162" s="83" t="n">
        <f aca="false">IFERROR(SLOPE(D162:J162,$D$3:$J$3),"N/M")</f>
        <v>-0.0557578386887503</v>
      </c>
    </row>
    <row r="163" customFormat="false" ht="15" hidden="false" customHeight="false" outlineLevel="0" collapsed="false">
      <c r="A163" s="18" t="s">
        <v>635</v>
      </c>
      <c r="B163" s="19" t="s">
        <v>636</v>
      </c>
      <c r="D163" s="47" t="n">
        <f aca="false">IFERROR(IF(D58=0,"N/M",D20/D58),"N/M")</f>
        <v>1.57887874837027</v>
      </c>
      <c r="E163" s="47" t="n">
        <f aca="false">IFERROR(IF(E58=0,"N/M",E20/E58),"N/M")</f>
        <v>1.19291338582677</v>
      </c>
      <c r="F163" s="47" t="n">
        <f aca="false">IFERROR(IF(F58=0,"N/M",F20/F58),"N/M")</f>
        <v>0.961172537927488</v>
      </c>
      <c r="G163" s="47" t="n">
        <f aca="false">IFERROR(IF(G58=0,"N/M",G20/G58),"N/M")</f>
        <v>0.968180413963547</v>
      </c>
      <c r="H163" s="47" t="n">
        <f aca="false">IFERROR(IF(H58=0,"N/M",H20/H58),"N/M")</f>
        <v>0.958807588075881</v>
      </c>
      <c r="I163" s="47" t="n">
        <f aca="false">IFERROR(IF(I58=0,"N/M",I20/I58),"N/M")</f>
        <v>0.915060851926978</v>
      </c>
      <c r="J163" s="47" t="n">
        <f aca="false">IFERROR(IF(J58=0,"N/M",J20/J58),"N/M")</f>
        <v>0.846846846846847</v>
      </c>
      <c r="K163" s="22" t="n">
        <f aca="false">IFERROR(AVERAGE(D163:J163),"N/M")</f>
        <v>1.06026576756254</v>
      </c>
      <c r="L163" s="82" t="n">
        <f aca="false">IFERROR(J163-D163,"N/M")</f>
        <v>-0.732031901523427</v>
      </c>
      <c r="M163" s="83" t="n">
        <f aca="false">IFERROR(SLOPE(D163:J163,$D$3:$J$3),"N/M")</f>
        <v>-0.0983630615079099</v>
      </c>
    </row>
    <row r="164" customFormat="false" ht="15" hidden="false" customHeight="false" outlineLevel="0" collapsed="false">
      <c r="A164" s="18" t="s">
        <v>637</v>
      </c>
      <c r="B164" s="19" t="s">
        <v>577</v>
      </c>
      <c r="D164" s="46" t="n">
        <f aca="false">IFERROR(IF(D9&lt;=0,"N/M",D58/D9),"N/M")</f>
        <v>-0.0254411569590023</v>
      </c>
      <c r="E164" s="46" t="n">
        <f aca="false">IFERROR(IF(E9&lt;=0,"N/M",E58/E9),"N/M")</f>
        <v>-0.0605230237683922</v>
      </c>
      <c r="F164" s="46" t="n">
        <f aca="false">IFERROR(IF(F9&lt;=0,"N/M",F58/F9),"N/M")</f>
        <v>0.063224463917023</v>
      </c>
      <c r="G164" s="46" t="n">
        <f aca="false">IFERROR(IF(G9&lt;=0,"N/M",G58/G9),"N/M")</f>
        <v>0.0746971270335756</v>
      </c>
      <c r="H164" s="46" t="n">
        <f aca="false">IFERROR(IF(H9&lt;=0,"N/M",H58/H9),"N/M")</f>
        <v>0.0767918088737202</v>
      </c>
      <c r="I164" s="46" t="n">
        <f aca="false">IFERROR(IF(I9&lt;=0,"N/M",I58/I9),"N/M")</f>
        <v>0.0735395573455651</v>
      </c>
      <c r="J164" s="46" t="n">
        <f aca="false">IFERROR(IF(J9&lt;=0,"N/M",J58/J9),"N/M")</f>
        <v>0.0600712265633183</v>
      </c>
      <c r="K164" s="25" t="n">
        <f aca="false">IFERROR(AVERAGE(D164:J164),"N/M")</f>
        <v>0.0374800004294011</v>
      </c>
      <c r="L164" s="86" t="n">
        <f aca="false">IFERROR(J164-D164,"N/M")</f>
        <v>0.0855123835223206</v>
      </c>
      <c r="M164" s="87" t="n">
        <f aca="false">IFERROR(SLOPE(D164:J164,$D$3:$J$3),"N/M")</f>
        <v>0.0192224877768419</v>
      </c>
    </row>
    <row r="165" customFormat="false" ht="15" hidden="false" customHeight="false" outlineLevel="0" collapsed="false">
      <c r="A165" s="18" t="s">
        <v>638</v>
      </c>
      <c r="B165" s="19" t="s">
        <v>626</v>
      </c>
      <c r="D165" s="47" t="n">
        <f aca="false">IFERROR(D113,"N/M")</f>
        <v>2.62008430017816</v>
      </c>
      <c r="E165" s="47" t="n">
        <f aca="false">IFERROR(E113,"N/M")</f>
        <v>1.77677815410669</v>
      </c>
      <c r="F165" s="47" t="n">
        <f aca="false">IFERROR(F113,"N/M")</f>
        <v>5.99814724524622</v>
      </c>
      <c r="G165" s="47" t="n">
        <f aca="false">IFERROR(G113,"N/M")</f>
        <v>3.59985047350058</v>
      </c>
      <c r="H165" s="47" t="n">
        <f aca="false">IFERROR(H113,"N/M")</f>
        <v>1.82644722338363</v>
      </c>
      <c r="I165" s="47" t="n">
        <f aca="false">IFERROR(I113,"N/M")</f>
        <v>3.16155274560085</v>
      </c>
      <c r="J165" s="47" t="n">
        <f aca="false">IFERROR(J113,"N/M")</f>
        <v>2.49970543954965</v>
      </c>
      <c r="K165" s="22" t="n">
        <f aca="false">IFERROR(AVERAGE(D165:J165),"N/M")</f>
        <v>3.06893794022368</v>
      </c>
      <c r="L165" s="82" t="n">
        <f aca="false">IFERROR(J165-D165,"N/M")</f>
        <v>-0.12037886062851</v>
      </c>
      <c r="M165" s="83" t="n">
        <f aca="false">IFERROR(SLOPE(D165:J165,$D$3:$J$3),"N/M")</f>
        <v>-0.0629745507414215</v>
      </c>
    </row>
    <row r="166" customFormat="false" ht="15" hidden="false" customHeight="false" outlineLevel="0" collapsed="false">
      <c r="A166" s="18" t="s">
        <v>639</v>
      </c>
      <c r="B166" s="19" t="s">
        <v>640</v>
      </c>
      <c r="D166" s="47" t="n">
        <f aca="false">IFERROR(D160,"N/M")</f>
        <v>1.95207396725761</v>
      </c>
      <c r="E166" s="47" t="n">
        <f aca="false">IFERROR(E160,"N/M")</f>
        <v>1.99577524292353</v>
      </c>
      <c r="F166" s="47" t="n">
        <f aca="false">IFERROR(F160,"N/M")</f>
        <v>1.76187612748046</v>
      </c>
      <c r="G166" s="47" t="n">
        <f aca="false">IFERROR(G160,"N/M")</f>
        <v>1.39927932116703</v>
      </c>
      <c r="H166" s="47" t="n">
        <f aca="false">IFERROR(H160,"N/M")</f>
        <v>1.26206466468387</v>
      </c>
      <c r="I166" s="47" t="n">
        <f aca="false">IFERROR(I160,"N/M")</f>
        <v>1.3618191305744</v>
      </c>
      <c r="J166" s="47" t="n">
        <f aca="false">IFERROR(J160,"N/M")</f>
        <v>1.53650932010192</v>
      </c>
      <c r="K166" s="22" t="n">
        <f aca="false">IFERROR(AVERAGE(D166:J166),"N/M")</f>
        <v>1.60991396774126</v>
      </c>
      <c r="L166" s="82" t="n">
        <f aca="false">IFERROR(J166-D166,"N/M")</f>
        <v>-0.415564647155695</v>
      </c>
      <c r="M166" s="83" t="n">
        <f aca="false">IFERROR(SLOPE(D166:J166,$D$3:$J$3),"N/M")</f>
        <v>-0.107657772462926</v>
      </c>
    </row>
    <row r="167" customFormat="false" ht="15" hidden="false" customHeight="false" outlineLevel="0" collapsed="false">
      <c r="A167" s="18" t="s">
        <v>641</v>
      </c>
      <c r="B167" s="19" t="s">
        <v>642</v>
      </c>
      <c r="D167" s="46" t="n">
        <f aca="false">IFERROR(((((D162*D163)*D164)*D165)*D166),"N/M")</f>
        <v>-0.209347697005683</v>
      </c>
      <c r="E167" s="46" t="n">
        <f aca="false">IFERROR(((((E162*E163)*E164)*E165)*E166),"N/M")</f>
        <v>-0.262357414448669</v>
      </c>
      <c r="F167" s="46" t="n">
        <f aca="false">IFERROR(((((F162*F163)*F164)*F165)*F166),"N/M")</f>
        <v>0.577785413624259</v>
      </c>
      <c r="G167" s="46" t="n">
        <f aca="false">IFERROR(((((G162*G163)*G164)*G165)*G166),"N/M")</f>
        <v>0.269789608276183</v>
      </c>
      <c r="H167" s="46" t="n">
        <f aca="false">IFERROR(((((H162*H163)*H164)*H165)*H166),"N/M")</f>
        <v>0.12434040103617</v>
      </c>
      <c r="I167" s="46" t="n">
        <f aca="false">IFERROR(((((I162*I163)*I164)*I165)*I166),"N/M")</f>
        <v>0.21683458435355</v>
      </c>
      <c r="J167" s="46" t="n">
        <f aca="false">IFERROR(((((J162*J163)*J164)*J165)*J166),"N/M")</f>
        <v>0.144293951991417</v>
      </c>
      <c r="K167" s="25" t="n">
        <f aca="false">IFERROR(AVERAGE(D167:J167),"N/M")</f>
        <v>0.123048406832461</v>
      </c>
      <c r="L167" s="86" t="n">
        <f aca="false">IFERROR(J167-D167,"N/M")</f>
        <v>0.353641648997101</v>
      </c>
      <c r="M167" s="87" t="n">
        <f aca="false">IFERROR(SLOPE(D167:J167,$D$3:$J$3),"N/M")</f>
        <v>0.0559237118574161</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str">
        <f aca="false">IFERROR(IF((1-(D135*D149))&lt;=0,"N/M",(D135*D149)/(1-(D135*D149))),"N/M")</f>
        <v>N/M</v>
      </c>
      <c r="E170" s="46" t="str">
        <f aca="false">IFERROR(IF((1-(E135*E149))&lt;=0,"N/M",(E135*E149)/(1-(E135*E149))),"N/M")</f>
        <v>N/M</v>
      </c>
      <c r="F170" s="46" t="n">
        <f aca="false">IFERROR(IF((1-(F135*F149))&lt;=0,"N/M",(F135*F149)/(1-(F135*F149))),"N/M")</f>
        <v>0.465418691054587</v>
      </c>
      <c r="G170" s="46" t="n">
        <f aca="false">IFERROR(IF((1-(G135*G149))&lt;=0,"N/M",(G135*G149)/(1-(G135*G149))),"N/M")</f>
        <v>0.238859730369456</v>
      </c>
      <c r="H170" s="46" t="n">
        <f aca="false">IFERROR(IF((1-(H135*H149))&lt;=0,"N/M",(H135*H149)/(1-(H135*H149))),"N/M")</f>
        <v>0.109288695872159</v>
      </c>
      <c r="I170" s="46" t="n">
        <f aca="false">IFERROR(IF((1-(I135*I149))&lt;=0,"N/M",(I135*I149)/(1-(I135*I149))),"N/M")</f>
        <v>0.189377738825592</v>
      </c>
      <c r="J170" s="46" t="n">
        <f aca="false">IFERROR(IF((1-(J135*J149))&lt;=0,"N/M",(J135*J149)/(1-(J135*J149))),"N/M")</f>
        <v>0.103643412719436</v>
      </c>
      <c r="K170" s="25" t="n">
        <f aca="false">IFERROR(AVERAGE(D170:J170),"N/M")</f>
        <v>0.221317653768246</v>
      </c>
      <c r="L170" s="86" t="str">
        <f aca="false">IFERROR(J170-D170,"N/M")</f>
        <v>N/M</v>
      </c>
      <c r="M170" s="87" t="n">
        <f aca="false">IFERROR(SLOPE(D170:J170,$D$3:$J$3),"N/M")</f>
        <v>-0.0773032548214167</v>
      </c>
    </row>
    <row r="171" customFormat="false" ht="15" hidden="false" customHeight="false" outlineLevel="0" collapsed="false">
      <c r="A171" s="18" t="s">
        <v>645</v>
      </c>
      <c r="B171" s="19" t="s">
        <v>646</v>
      </c>
      <c r="D171" s="46" t="str">
        <f aca="false">IFERROR(IF((1-(D139*D149))&lt;=0,"N/M",(D139*D149)/(1-(D139*D149))),"N/M")</f>
        <v>N/M</v>
      </c>
      <c r="E171" s="46" t="str">
        <f aca="false">IFERROR(IF((1-(E139*E149))&lt;=0,"N/M",(E139*E149)/(1-(E139*E149))),"N/M")</f>
        <v>N/M</v>
      </c>
      <c r="F171" s="46" t="n">
        <f aca="false">IFERROR(IF((1-(F139*F149))&lt;=0,"N/M",(F139*F149)/(1-(F139*F149))),"N/M")</f>
        <v>1.27052857421494</v>
      </c>
      <c r="G171" s="46" t="n">
        <f aca="false">IFERROR(IF((1-(G139*G149))&lt;=0,"N/M",(G139*G149)/(1-(G139*G149))),"N/M")</f>
        <v>0.369468322190385</v>
      </c>
      <c r="H171" s="46" t="n">
        <f aca="false">IFERROR(IF((1-(H139*H149))&lt;=0,"N/M",(H139*H149)/(1-(H139*H149))),"N/M")</f>
        <v>0.141996274789087</v>
      </c>
      <c r="I171" s="46" t="n">
        <f aca="false">IFERROR(IF((1-(I139*I149))&lt;=0,"N/M",(I139*I149)/(1-(I139*I149))),"N/M")</f>
        <v>0.276869458254318</v>
      </c>
      <c r="J171" s="46" t="n">
        <f aca="false">IFERROR(IF((1-(J139*J149))&lt;=0,"N/M",(J139*J149)/(1-(J139*J149))),"N/M")</f>
        <v>0.168625607271588</v>
      </c>
      <c r="K171" s="25" t="n">
        <f aca="false">IFERROR(AVERAGE(D171:J171),"N/M")</f>
        <v>0.445497647344064</v>
      </c>
      <c r="L171" s="86" t="str">
        <f aca="false">IFERROR(J171-D171,"N/M")</f>
        <v>N/M</v>
      </c>
      <c r="M171" s="87" t="n">
        <f aca="false">IFERROR(SLOPE(D171:J171,$D$3:$J$3),"N/M")</f>
        <v>-0.229640479782277</v>
      </c>
    </row>
    <row r="172" customFormat="false" ht="15" hidden="false" customHeight="false" outlineLevel="0" collapsed="false">
      <c r="A172" s="18" t="s">
        <v>647</v>
      </c>
      <c r="B172" s="19" t="s">
        <v>648</v>
      </c>
      <c r="D172" s="46" t="n">
        <f aca="false">IFERROR((IF(C9&lt;=0,"N/M",D9/C9)-1),"N/M")</f>
        <v>-0.0874197844775396</v>
      </c>
      <c r="E172" s="46" t="n">
        <f aca="false">IFERROR((IF(D9&lt;=0,"N/M",E9/D9)-1),"N/M")</f>
        <v>-0.443180310468356</v>
      </c>
      <c r="F172" s="46" t="n">
        <f aca="false">IFERROR((IF(E9&lt;=0,"N/M",F9/E9)-1),"N/M")</f>
        <v>2.66420444391493</v>
      </c>
      <c r="G172" s="46" t="n">
        <f aca="false">IFERROR((IF(F9&lt;=0,"N/M",G9/F9)-1),"N/M")</f>
        <v>-0.295491863243973</v>
      </c>
      <c r="H172" s="46" t="n">
        <f aca="false">IFERROR((IF(G9&lt;=0,"N/M",H9/G9)-1),"N/M")</f>
        <v>-0.445575170185762</v>
      </c>
      <c r="I172" s="46" t="n">
        <f aca="false">IFERROR((IF(H9&lt;=0,"N/M",I9/H9)-1),"N/M")</f>
        <v>1.23220677599267</v>
      </c>
      <c r="J172" s="46" t="n">
        <f aca="false">IFERROR((IF(I9&lt;=0,"N/M",J9/I9)-1),"N/M")</f>
        <v>0.0680762991553394</v>
      </c>
      <c r="K172" s="25" t="n">
        <f aca="false">IFERROR(AVERAGE(D172:J172),"N/M")</f>
        <v>0.384688627241045</v>
      </c>
      <c r="L172" s="86" t="n">
        <f aca="false">IFERROR(J172-D172,"N/M")</f>
        <v>0.155496083632879</v>
      </c>
      <c r="M172" s="87" t="n">
        <f aca="false">IFERROR(SLOPE(D172:J172,$D$3:$J$3),"N/M")</f>
        <v>0.0252672432042858</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0.924140904869311</v>
      </c>
      <c r="E176" s="46" t="n">
        <f aca="false">IFERROR(IF(E9&lt;=0,"N/M",E52/E9),"N/M")</f>
        <v>0.923750521236671</v>
      </c>
      <c r="F176" s="46" t="n">
        <f aca="false">IFERROR(IF(F9&lt;=0,"N/M",F52/F9),"N/M")</f>
        <v>0.91074767114825</v>
      </c>
      <c r="G176" s="46" t="n">
        <f aca="false">IFERROR(IF(G9&lt;=0,"N/M",G52/G9),"N/M")</f>
        <v>0.890873427945079</v>
      </c>
      <c r="H176" s="46" t="n">
        <f aca="false">IFERROR(IF(H9&lt;=0,"N/M",H52/H9),"N/M")</f>
        <v>0.856613668525764</v>
      </c>
      <c r="I176" s="46" t="n">
        <f aca="false">IFERROR(IF(I9&lt;=0,"N/M",I52/I9),"N/M")</f>
        <v>0.895545486752065</v>
      </c>
      <c r="J176" s="46" t="n">
        <f aca="false">IFERROR(IF(J9&lt;=0,"N/M",J52/J9),"N/M")</f>
        <v>0.89892112705562</v>
      </c>
      <c r="K176" s="25" t="n">
        <f aca="false">IFERROR(AVERAGE(D176:J176),"N/M")</f>
        <v>0.900084686790394</v>
      </c>
      <c r="L176" s="86" t="n">
        <f aca="false">IFERROR(J176-D176,"N/M")</f>
        <v>-0.0252197778136916</v>
      </c>
      <c r="M176" s="87" t="n">
        <f aca="false">IFERROR(SLOPE(D176:J176,$D$3:$J$3),"N/M")</f>
        <v>-0.00665012160831331</v>
      </c>
    </row>
    <row r="177" customFormat="false" ht="15" hidden="false" customHeight="false" outlineLevel="0" collapsed="false">
      <c r="A177" s="18" t="s">
        <v>407</v>
      </c>
      <c r="B177" s="19" t="s">
        <v>587</v>
      </c>
      <c r="D177" s="46" t="n">
        <f aca="false">IFERROR(IF(D9&lt;=0,"N/M",D14/D9),"N/M")</f>
        <v>0.0683959134934324</v>
      </c>
      <c r="E177" s="46" t="n">
        <f aca="false">IFERROR(IF(E9&lt;=0,"N/M",E14/E9),"N/M")</f>
        <v>0.0580210877464705</v>
      </c>
      <c r="F177" s="46" t="n">
        <f aca="false">IFERROR(IF(F9&lt;=0,"N/M",F14/F9),"N/M")</f>
        <v>0.0167287151891532</v>
      </c>
      <c r="G177" s="46" t="n">
        <f aca="false">IFERROR(IF(G9&lt;=0,"N/M",G14/G9),"N/M")</f>
        <v>0.0273912541825314</v>
      </c>
      <c r="H177" s="46" t="n">
        <f aca="false">IFERROR(IF(H9&lt;=0,"N/M",H14/H9),"N/M")</f>
        <v>0.0575626404728211</v>
      </c>
      <c r="I177" s="46" t="n">
        <f aca="false">IFERROR(IF(I9&lt;=0,"N/M",I14/I9),"N/M")</f>
        <v>0.0317167309951334</v>
      </c>
      <c r="J177" s="46" t="n">
        <f aca="false">IFERROR(IF(J9&lt;=0,"N/M",J14/J9),"N/M")</f>
        <v>0.0383191927656157</v>
      </c>
      <c r="K177" s="25" t="n">
        <f aca="false">IFERROR(AVERAGE(D177:J177),"N/M")</f>
        <v>0.0425907906921654</v>
      </c>
      <c r="L177" s="86" t="n">
        <f aca="false">IFERROR(J177-D177,"N/M")</f>
        <v>-0.0300767207278167</v>
      </c>
      <c r="M177" s="87" t="n">
        <f aca="false">IFERROR(SLOPE(D177:J177,$D$3:$J$3),"N/M")</f>
        <v>-0.00364303394294486</v>
      </c>
    </row>
    <row r="178" customFormat="false" ht="15" hidden="false" customHeight="false" outlineLevel="0" collapsed="false">
      <c r="A178" s="18" t="s">
        <v>654</v>
      </c>
      <c r="B178" s="19" t="s">
        <v>655</v>
      </c>
      <c r="D178" s="46" t="n">
        <f aca="false">IFERROR(IF(D9&lt;=0,"N/M",D15/D9),"N/M")</f>
        <v>0.0142297996550352</v>
      </c>
      <c r="E178" s="46" t="n">
        <f aca="false">IFERROR(IF(E9&lt;=0,"N/M",E15/E9),"N/M")</f>
        <v>0.0249597903139334</v>
      </c>
      <c r="F178" s="46" t="n">
        <f aca="false">IFERROR(IF(F9&lt;=0,"N/M",F15/F9),"N/M")</f>
        <v>0.00448700232478744</v>
      </c>
      <c r="G178" s="46" t="n">
        <f aca="false">IFERROR(IF(G9&lt;=0,"N/M",G15/G9),"N/M")</f>
        <v>0.0176762432214146</v>
      </c>
      <c r="H178" s="46" t="n">
        <f aca="false">IFERROR(IF(H9&lt;=0,"N/M",H15/H9),"N/M")</f>
        <v>0.0171064679930076</v>
      </c>
      <c r="I178" s="46" t="n">
        <f aca="false">IFERROR(IF(I9&lt;=0,"N/M",I15/I9),"N/M")</f>
        <v>0.0112621431634689</v>
      </c>
      <c r="J178" s="46" t="n">
        <f aca="false">IFERROR(IF(J9&lt;=0,"N/M",J15/J9),"N/M")</f>
        <v>0.0123599036346496</v>
      </c>
      <c r="K178" s="25" t="n">
        <f aca="false">IFERROR(AVERAGE(D178:J178),"N/M")</f>
        <v>0.0145830500437567</v>
      </c>
      <c r="L178" s="86" t="n">
        <f aca="false">IFERROR(J178-D178,"N/M")</f>
        <v>-0.00186989602038553</v>
      </c>
      <c r="M178" s="87" t="n">
        <f aca="false">IFERROR(SLOPE(D178:J178,$D$3:$J$3),"N/M")</f>
        <v>-0.000728054167638053</v>
      </c>
    </row>
    <row r="179" customFormat="false" ht="15" hidden="false" customHeight="false" outlineLevel="0" collapsed="false">
      <c r="A179" s="18" t="s">
        <v>411</v>
      </c>
      <c r="B179" s="19" t="s">
        <v>656</v>
      </c>
      <c r="D179" s="46" t="n">
        <f aca="false">IFERROR(IF(D9&lt;=0,"N/M",D16/D9),"N/M")</f>
        <v>0.0210627570651453</v>
      </c>
      <c r="E179" s="46" t="n">
        <f aca="false">IFERROR(IF(E9&lt;=0,"N/M",E16/E9),"N/M")</f>
        <v>0.0498004408172991</v>
      </c>
      <c r="F179" s="46" t="n">
        <f aca="false">IFERROR(IF(F9&lt;=0,"N/M",F16/F9),"N/M")</f>
        <v>0.00690933328998065</v>
      </c>
      <c r="G179" s="46" t="n">
        <f aca="false">IFERROR(IF(G9&lt;=0,"N/M",G16/G9),"N/M")</f>
        <v>0.0030460366908965</v>
      </c>
      <c r="H179" s="46" t="n">
        <f aca="false">IFERROR(IF(H9&lt;=0,"N/M",H16/H9),"N/M")</f>
        <v>0.00482810288853742</v>
      </c>
      <c r="I179" s="46" t="n">
        <f aca="false">IFERROR(IF(I9&lt;=0,"N/M",I16/I9),"N/M")</f>
        <v>0.00289011952042662</v>
      </c>
      <c r="J179" s="46" t="n">
        <f aca="false">IFERROR(IF(J9&lt;=0,"N/M",J16/J9),"N/M")</f>
        <v>0.00324709332774694</v>
      </c>
      <c r="K179" s="25" t="n">
        <f aca="false">IFERROR(AVERAGE(D179:J179),"N/M")</f>
        <v>0.0131119833714332</v>
      </c>
      <c r="L179" s="86" t="n">
        <f aca="false">IFERROR(J179-D179,"N/M")</f>
        <v>-0.0178156637373983</v>
      </c>
      <c r="M179" s="87" t="n">
        <f aca="false">IFERROR(SLOPE(D179:J179,$D$3:$J$3),"N/M")</f>
        <v>-0.00533388800740654</v>
      </c>
    </row>
    <row r="180" customFormat="false" ht="15" hidden="false" customHeight="false" outlineLevel="0" collapsed="false">
      <c r="A180" s="18" t="s">
        <v>657</v>
      </c>
      <c r="B180" s="19" t="s">
        <v>658</v>
      </c>
      <c r="D180" s="46" t="n">
        <f aca="false">IFERROR(IF(D9&lt;=0,"N/M",D56/D9),"N/M")</f>
        <v>-0.027829375082924</v>
      </c>
      <c r="E180" s="46" t="n">
        <f aca="false">IFERROR(IF(E9&lt;=0,"N/M",E56/E9),"N/M")</f>
        <v>-0.0565318401143741</v>
      </c>
      <c r="F180" s="46" t="n">
        <f aca="false">IFERROR(IF(F9&lt;=0,"N/M",F56/F9),"N/M")</f>
        <v>0.0611272780478289</v>
      </c>
      <c r="G180" s="46" t="n">
        <f aca="false">IFERROR(IF(G9&lt;=0,"N/M",G56/G9),"N/M")</f>
        <v>0.0610130379600785</v>
      </c>
      <c r="H180" s="46" t="n">
        <f aca="false">IFERROR(IF(H9&lt;=0,"N/M",H56/H9),"N/M")</f>
        <v>0.0638891201198701</v>
      </c>
      <c r="I180" s="46" t="n">
        <f aca="false">IFERROR(IF(I9&lt;=0,"N/M",I56/I9),"N/M")</f>
        <v>0.0585855195689059</v>
      </c>
      <c r="J180" s="46" t="n">
        <f aca="false">IFERROR(IF(J9&lt;=0,"N/M",J56/J9),"N/M")</f>
        <v>0.0471526832163681</v>
      </c>
      <c r="K180" s="25" t="n">
        <f aca="false">IFERROR(AVERAGE(D180:J180),"N/M")</f>
        <v>0.0296294891022505</v>
      </c>
      <c r="L180" s="86" t="n">
        <f aca="false">IFERROR(J180-D180,"N/M")</f>
        <v>0.0749820582992921</v>
      </c>
      <c r="M180" s="87" t="n">
        <f aca="false">IFERROR(SLOPE(D180:J180,$D$3:$J$3),"N/M")</f>
        <v>0.0163550977263028</v>
      </c>
    </row>
    <row r="181" customFormat="false" ht="15" hidden="false" customHeight="false" outlineLevel="0" collapsed="false">
      <c r="A181" s="18" t="s">
        <v>659</v>
      </c>
      <c r="B181" s="19" t="s">
        <v>660</v>
      </c>
      <c r="D181" s="46" t="n">
        <f aca="false">IFERROR(IF(D9&lt;=0,"N/M",D17/D9),"N/M")</f>
        <v>0.00563884834814913</v>
      </c>
      <c r="E181" s="46" t="n">
        <f aca="false">IFERROR(IF(E9&lt;=0,"N/M",E17/E9),"N/M")</f>
        <v>0.00131053791624471</v>
      </c>
      <c r="F181" s="46" t="n">
        <f aca="false">IFERROR(IF(F9&lt;=0,"N/M",F17/F9),"N/M")</f>
        <v>0.00339776625319049</v>
      </c>
      <c r="G181" s="46" t="n">
        <f aca="false">IFERROR(IF(G9&lt;=0,"N/M",G17/G9),"N/M")</f>
        <v>0.0154840198453906</v>
      </c>
      <c r="H181" s="46" t="n">
        <f aca="false">IFERROR(IF(H9&lt;=0,"N/M",H17/H9),"N/M")</f>
        <v>0.0161491717306252</v>
      </c>
      <c r="I181" s="46" t="n">
        <f aca="false">IFERROR(IF(I9&lt;=0,"N/M",I17/I9),"N/M")</f>
        <v>0.0165389420297962</v>
      </c>
      <c r="J181" s="46" t="n">
        <f aca="false">IFERROR(IF(J9&lt;=0,"N/M",J17/J9),"N/M")</f>
        <v>0.0145944624838518</v>
      </c>
      <c r="K181" s="25" t="n">
        <f aca="false">IFERROR(AVERAGE(D181:J181),"N/M")</f>
        <v>0.0104448212296069</v>
      </c>
      <c r="L181" s="86" t="n">
        <f aca="false">IFERROR(J181-D181,"N/M")</f>
        <v>0.00895561413570269</v>
      </c>
      <c r="M181" s="87" t="n">
        <f aca="false">IFERROR(SLOPE(D181:J181,$D$3:$J$3),"N/M")</f>
        <v>0.00250268057541592</v>
      </c>
    </row>
    <row r="182" customFormat="false" ht="15" hidden="false" customHeight="false" outlineLevel="0" collapsed="false">
      <c r="A182" s="18" t="s">
        <v>661</v>
      </c>
      <c r="B182" s="19" t="s">
        <v>662</v>
      </c>
      <c r="D182" s="46" t="n">
        <f aca="false">IFERROR(IF(D9&lt;=0,"N/M",D18/D9),"N/M")</f>
        <v>0.00325063022422715</v>
      </c>
      <c r="E182" s="46" t="n">
        <f aca="false">IFERROR(IF(E9&lt;=0,"N/M",E18/E9),"N/M")</f>
        <v>0.0053017215702627</v>
      </c>
      <c r="F182" s="46" t="n">
        <f aca="false">IFERROR(IF(F9&lt;=0,"N/M",F18/F9),"N/M")</f>
        <v>0.00130058038399636</v>
      </c>
      <c r="G182" s="46" t="n">
        <f aca="false">IFERROR(IF(G9&lt;=0,"N/M",G18/G9),"N/M")</f>
        <v>0.00179993077189339</v>
      </c>
      <c r="H182" s="46" t="n">
        <f aca="false">IFERROR(IF(H9&lt;=0,"N/M",H18/H9),"N/M")</f>
        <v>0.00324648297677516</v>
      </c>
      <c r="I182" s="46" t="n">
        <f aca="false">IFERROR(IF(I9&lt;=0,"N/M",I18/I9),"N/M")</f>
        <v>0.00158490425313718</v>
      </c>
      <c r="J182" s="46" t="n">
        <f aca="false">IFERROR(IF(J9&lt;=0,"N/M",J18/J9),"N/M")</f>
        <v>0.00167591913690164</v>
      </c>
      <c r="K182" s="25" t="n">
        <f aca="false">IFERROR(AVERAGE(D182:J182),"N/M")</f>
        <v>0.00259430990245623</v>
      </c>
      <c r="L182" s="86" t="n">
        <f aca="false">IFERROR(J182-D182,"N/M")</f>
        <v>-0.0015747110873255</v>
      </c>
      <c r="M182" s="87" t="n">
        <f aca="false">IFERROR(SLOPE(D182:J182,$D$3:$J$3),"N/M")</f>
        <v>-0.00036470947512317</v>
      </c>
    </row>
    <row r="183" customFormat="false" ht="15" hidden="false" customHeight="false" outlineLevel="0" collapsed="false">
      <c r="A183" s="18" t="s">
        <v>663</v>
      </c>
      <c r="B183" s="19" t="s">
        <v>591</v>
      </c>
      <c r="D183" s="46" t="n">
        <f aca="false">IFERROR(IF(D9&lt;=0,"N/M",D19/D9),"N/M")</f>
        <v>0.0147273450975189</v>
      </c>
      <c r="E183" s="46" t="n">
        <f aca="false">IFERROR(IF(E9&lt;=0,"N/M",E19/E9),"N/M")</f>
        <v>0.0116757014356347</v>
      </c>
      <c r="F183" s="46" t="n">
        <f aca="false">IFERROR(IF(F9&lt;=0,"N/M",F19/F9),"N/M")</f>
        <v>0.00245484547479313</v>
      </c>
      <c r="G183" s="46" t="n">
        <f aca="false">IFERROR(IF(G9&lt;=0,"N/M",G19/G9),"N/M")</f>
        <v>0.00237683166032076</v>
      </c>
      <c r="H183" s="46" t="n">
        <f aca="false">IFERROR(IF(H9&lt;=0,"N/M",H19/H9),"N/M")</f>
        <v>0.00316323982352452</v>
      </c>
      <c r="I183" s="46" t="n">
        <f aca="false">IFERROR(IF(I9&lt;=0,"N/M",I19/I9),"N/M")</f>
        <v>0.00624638735059947</v>
      </c>
      <c r="J183" s="46" t="n">
        <f aca="false">IFERROR(IF(J9&lt;=0,"N/M",J19/J9),"N/M")</f>
        <v>0.00920009776194965</v>
      </c>
      <c r="K183" s="25" t="n">
        <f aca="false">IFERROR(AVERAGE(D183:J183),"N/M")</f>
        <v>0.00712063551490588</v>
      </c>
      <c r="L183" s="86" t="n">
        <f aca="false">IFERROR(J183-D183,"N/M")</f>
        <v>-0.00552724733556926</v>
      </c>
      <c r="M183" s="87" t="n">
        <f aca="false">IFERROR(SLOPE(D183:J183,$D$3:$J$3),"N/M")</f>
        <v>-0.000954713422430246</v>
      </c>
    </row>
    <row r="184" customFormat="false" ht="15" hidden="false" customHeight="false" outlineLevel="0" collapsed="false">
      <c r="A184" s="18" t="s">
        <v>664</v>
      </c>
      <c r="B184" s="19" t="s">
        <v>665</v>
      </c>
      <c r="D184" s="46" t="n">
        <f aca="false">IFERROR(IF(D9&lt;=0,"N/M",D20/D9),"N/M")</f>
        <v>-0.0401685020565212</v>
      </c>
      <c r="E184" s="46" t="n">
        <f aca="false">IFERROR(IF(E9&lt;=0,"N/M",E20/E9),"N/M")</f>
        <v>-0.0721987252040269</v>
      </c>
      <c r="F184" s="46" t="n">
        <f aca="false">IFERROR(IF(F9&lt;=0,"N/M",F20/F9),"N/M")</f>
        <v>0.0607696184422299</v>
      </c>
      <c r="G184" s="46" t="n">
        <f aca="false">IFERROR(IF(G9&lt;=0,"N/M",G20/G9),"N/M")</f>
        <v>0.0723202953732549</v>
      </c>
      <c r="H184" s="46" t="n">
        <f aca="false">IFERROR(IF(H9&lt;=0,"N/M",H20/H9),"N/M")</f>
        <v>0.0736285690501956</v>
      </c>
      <c r="I184" s="46" t="n">
        <f aca="false">IFERROR(IF(I9&lt;=0,"N/M",I20/I9),"N/M")</f>
        <v>0.0672931699949656</v>
      </c>
      <c r="J184" s="46" t="n">
        <f aca="false">IFERROR(IF(J9&lt;=0,"N/M",J20/J9),"N/M")</f>
        <v>0.0508711288013687</v>
      </c>
      <c r="K184" s="25" t="n">
        <f aca="false">IFERROR(AVERAGE(D184:J184),"N/M")</f>
        <v>0.0303593649144952</v>
      </c>
      <c r="L184" s="86" t="n">
        <f aca="false">IFERROR(J184-D184,"N/M")</f>
        <v>0.0910396308578898</v>
      </c>
      <c r="M184" s="87" t="n">
        <f aca="false">IFERROR(SLOPE(D184:J184,$D$3:$J$3),"N/M")</f>
        <v>0.0201772011992722</v>
      </c>
    </row>
    <row r="185" customFormat="false" ht="15" hidden="false" customHeight="false" outlineLevel="0" collapsed="false">
      <c r="A185" s="18" t="s">
        <v>421</v>
      </c>
      <c r="B185" s="19" t="s">
        <v>666</v>
      </c>
      <c r="D185" s="46" t="n">
        <f aca="false">IFERROR(IF(D9&lt;=0,"N/M",D21/D9),"N/M")</f>
        <v>0.000729733315642829</v>
      </c>
      <c r="E185" s="46" t="n">
        <f aca="false">IFERROR(IF(E9&lt;=0,"N/M",E21/E9),"N/M")</f>
        <v>0.00178709715851552</v>
      </c>
      <c r="F185" s="46" t="n">
        <f aca="false">IFERROR(IF(F9&lt;=0,"N/M",F21/F9),"N/M")</f>
        <v>0.00609647054998293</v>
      </c>
      <c r="G185" s="46" t="n">
        <f aca="false">IFERROR(IF(G9&lt;=0,"N/M",G21/G9),"N/M")</f>
        <v>0.018760816891658</v>
      </c>
      <c r="H185" s="46" t="n">
        <f aca="false">IFERROR(IF(H9&lt;=0,"N/M",H21/H9),"N/M")</f>
        <v>0.0197286273204029</v>
      </c>
      <c r="I185" s="46" t="n">
        <f aca="false">IFERROR(IF(I9&lt;=0,"N/M",I21/I9),"N/M")</f>
        <v>0.016930506609983</v>
      </c>
      <c r="J185" s="46" t="n">
        <f aca="false">IFERROR(IF(J9&lt;=0,"N/M",J21/J9),"N/M")</f>
        <v>0.0132851506581474</v>
      </c>
      <c r="K185" s="25" t="n">
        <f aca="false">IFERROR(AVERAGE(D185:J185),"N/M")</f>
        <v>0.0110454860720475</v>
      </c>
      <c r="L185" s="86" t="n">
        <f aca="false">IFERROR(J185-D185,"N/M")</f>
        <v>0.0125554173425046</v>
      </c>
      <c r="M185" s="87" t="n">
        <f aca="false">IFERROR(SLOPE(D185:J185,$D$3:$J$3),"N/M")</f>
        <v>0.00291375813217388</v>
      </c>
    </row>
    <row r="186" customFormat="false" ht="15" hidden="false" customHeight="false" outlineLevel="0" collapsed="false">
      <c r="A186" s="18" t="s">
        <v>667</v>
      </c>
      <c r="B186" s="19" t="s">
        <v>668</v>
      </c>
      <c r="D186" s="46" t="n">
        <f aca="false">IFERROR(IF(D9&lt;=0,"N/M",D22/D9),"N/M")</f>
        <v>-0.0409314050683296</v>
      </c>
      <c r="E186" s="46" t="n">
        <f aca="false">IFERROR(IF(E9&lt;=0,"N/M",E22/E9),"N/M")</f>
        <v>-0.0739858223625425</v>
      </c>
      <c r="F186" s="46" t="n">
        <f aca="false">IFERROR(IF(F9&lt;=0,"N/M",F22/F9),"N/M")</f>
        <v>0.0546731478922469</v>
      </c>
      <c r="G186" s="46" t="n">
        <f aca="false">IFERROR(IF(G9&lt;=0,"N/M",G22/G9),"N/M")</f>
        <v>0.0535594784815969</v>
      </c>
      <c r="H186" s="46" t="n">
        <f aca="false">IFERROR(IF(H9&lt;=0,"N/M",H22/H9),"N/M")</f>
        <v>0.0539415633064181</v>
      </c>
      <c r="I186" s="46" t="n">
        <f aca="false">IFERROR(IF(I9&lt;=0,"N/M",I22/I9),"N/M")</f>
        <v>0.0503626633849826</v>
      </c>
      <c r="J186" s="46" t="n">
        <f aca="false">IFERROR(IF(J9&lt;=0,"N/M",J22/J9),"N/M")</f>
        <v>0.0375685206522119</v>
      </c>
      <c r="K186" s="25" t="n">
        <f aca="false">IFERROR(AVERAGE(D186:J186),"N/M")</f>
        <v>0.0193125923266549</v>
      </c>
      <c r="L186" s="86" t="n">
        <f aca="false">IFERROR(J186-D186,"N/M")</f>
        <v>0.0784999257205414</v>
      </c>
      <c r="M186" s="87" t="n">
        <f aca="false">IFERROR(SLOPE(D186:J186,$D$3:$J$3),"N/M")</f>
        <v>0.0172666130025302</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0.100561316715822</v>
      </c>
      <c r="E189" s="46" t="n">
        <f aca="false">IFERROR(IF(E35&lt;=0,"N/M",E26/E35),"N/M")</f>
        <v>0.126058437686345</v>
      </c>
      <c r="F189" s="46" t="n">
        <f aca="false">IFERROR(IF(F35&lt;=0,"N/M",F26/F35),"N/M")</f>
        <v>0.0871752577319588</v>
      </c>
      <c r="G189" s="46" t="n">
        <f aca="false">IFERROR(IF(G35&lt;=0,"N/M",G26/G35),"N/M")</f>
        <v>0.0884444816333361</v>
      </c>
      <c r="H189" s="46" t="n">
        <f aca="false">IFERROR(IF(H35&lt;=0,"N/M",H26/H35),"N/M")</f>
        <v>0.0736174954729071</v>
      </c>
      <c r="I189" s="46" t="n">
        <f aca="false">IFERROR(IF(I35&lt;=0,"N/M",I26/I35),"N/M")</f>
        <v>0.0540140017374419</v>
      </c>
      <c r="J189" s="46" t="n">
        <f aca="false">IFERROR(IF(J35&lt;=0,"N/M",J26/J35),"N/M")</f>
        <v>0.0402482674586856</v>
      </c>
      <c r="K189" s="25" t="n">
        <f aca="false">IFERROR(AVERAGE(D189:J189),"N/M")</f>
        <v>0.0814456083480708</v>
      </c>
      <c r="L189" s="86" t="n">
        <f aca="false">IFERROR(J189-D189,"N/M")</f>
        <v>-0.060313049257136</v>
      </c>
      <c r="M189" s="87" t="n">
        <f aca="false">IFERROR(SLOPE(D189:J189,$D$3:$J$3),"N/M")</f>
        <v>-0.0120923493545809</v>
      </c>
    </row>
    <row r="190" customFormat="false" ht="15" hidden="false" customHeight="false" outlineLevel="0" collapsed="false">
      <c r="A190" s="18" t="s">
        <v>671</v>
      </c>
      <c r="B190" s="19" t="s">
        <v>672</v>
      </c>
      <c r="D190" s="46" t="n">
        <f aca="false">IFERROR(IF(D35&lt;=0,"N/M",D27/D35),"N/M")</f>
        <v>0.40081819046713</v>
      </c>
      <c r="E190" s="46" t="n">
        <f aca="false">IFERROR(IF(E35&lt;=0,"N/M",E27/E35),"N/M")</f>
        <v>0.374597495527728</v>
      </c>
      <c r="F190" s="46" t="n">
        <f aca="false">IFERROR(IF(F35&lt;=0,"N/M",F27/F35),"N/M")</f>
        <v>0.526680412371134</v>
      </c>
      <c r="G190" s="46" t="n">
        <f aca="false">IFERROR(IF(G35&lt;=0,"N/M",G27/G35),"N/M")</f>
        <v>0.728474604635595</v>
      </c>
      <c r="H190" s="46" t="n">
        <f aca="false">IFERROR(IF(H35&lt;=0,"N/M",H27/H35),"N/M")</f>
        <v>0.69828666945257</v>
      </c>
      <c r="I190" s="46" t="n">
        <f aca="false">IFERROR(IF(I35&lt;=0,"N/M",I27/I35),"N/M")</f>
        <v>0.652716030456334</v>
      </c>
      <c r="J190" s="46" t="n">
        <f aca="false">IFERROR(IF(J35&lt;=0,"N/M",J27/J35),"N/M")</f>
        <v>0.568920874267002</v>
      </c>
      <c r="K190" s="25" t="n">
        <f aca="false">IFERROR(AVERAGE(D190:J190),"N/M")</f>
        <v>0.56435632531107</v>
      </c>
      <c r="L190" s="86" t="n">
        <f aca="false">IFERROR(J190-D190,"N/M")</f>
        <v>0.168102683799872</v>
      </c>
      <c r="M190" s="87" t="n">
        <f aca="false">IFERROR(SLOPE(D190:J190,$D$3:$J$3),"N/M")</f>
        <v>0.0440054063692237</v>
      </c>
    </row>
    <row r="191" customFormat="false" ht="15" hidden="false" customHeight="false" outlineLevel="0" collapsed="false">
      <c r="A191" s="18" t="s">
        <v>673</v>
      </c>
      <c r="B191" s="19" t="s">
        <v>674</v>
      </c>
      <c r="D191" s="46" t="n">
        <f aca="false">IFERROR(IF(D35&lt;=0,"N/M",D61/D35),"N/M")</f>
        <v>0.501379507182951</v>
      </c>
      <c r="E191" s="46" t="n">
        <f aca="false">IFERROR(IF(E35&lt;=0,"N/M",E61/E35),"N/M")</f>
        <v>0.500655933214073</v>
      </c>
      <c r="F191" s="46" t="n">
        <f aca="false">IFERROR(IF(F35&lt;=0,"N/M",F61/F35),"N/M")</f>
        <v>0.613855670103093</v>
      </c>
      <c r="G191" s="46" t="n">
        <f aca="false">IFERROR(IF(G35&lt;=0,"N/M",G61/G35),"N/M")</f>
        <v>0.816919086268931</v>
      </c>
      <c r="H191" s="46" t="n">
        <f aca="false">IFERROR(IF(H35&lt;=0,"N/M",H61/H35),"N/M")</f>
        <v>0.771904164925477</v>
      </c>
      <c r="I191" s="46" t="n">
        <f aca="false">IFERROR(IF(I35&lt;=0,"N/M",I61/I35),"N/M")</f>
        <v>0.706730032193776</v>
      </c>
      <c r="J191" s="46" t="n">
        <f aca="false">IFERROR(IF(J35&lt;=0,"N/M",J61/J35),"N/M")</f>
        <v>0.609169141725687</v>
      </c>
      <c r="K191" s="25" t="n">
        <f aca="false">IFERROR(AVERAGE(D191:J191),"N/M")</f>
        <v>0.645801933659141</v>
      </c>
      <c r="L191" s="86" t="n">
        <f aca="false">IFERROR(J191-D191,"N/M")</f>
        <v>0.107789634542736</v>
      </c>
      <c r="M191" s="87" t="n">
        <f aca="false">IFERROR(SLOPE(D191:J191,$D$3:$J$3),"N/M")</f>
        <v>0.0319130570146428</v>
      </c>
    </row>
    <row r="192" customFormat="false" ht="15" hidden="false" customHeight="false" outlineLevel="0" collapsed="false">
      <c r="A192" s="18" t="s">
        <v>675</v>
      </c>
      <c r="B192" s="19" t="s">
        <v>676</v>
      </c>
      <c r="D192" s="46" t="n">
        <f aca="false">IFERROR(IF(D35&lt;=0,"N/M",D28/D35),"N/M")</f>
        <v>0.348872609647037</v>
      </c>
      <c r="E192" s="46" t="n">
        <f aca="false">IFERROR(IF(E35&lt;=0,"N/M",E28/E35),"N/M")</f>
        <v>0.178413834227788</v>
      </c>
      <c r="F192" s="46" t="n">
        <f aca="false">IFERROR(IF(F35&lt;=0,"N/M",F28/F35),"N/M")</f>
        <v>0</v>
      </c>
      <c r="G192" s="46" t="n">
        <f aca="false">IFERROR(IF(G35&lt;=0,"N/M",G28/G35),"N/M")</f>
        <v>0</v>
      </c>
      <c r="H192" s="46" t="n">
        <f aca="false">IFERROR(IF(H35&lt;=0,"N/M",H28/H35),"N/M")</f>
        <v>0.0838556902075498</v>
      </c>
      <c r="I192" s="46" t="n">
        <f aca="false">IFERROR(IF(I35&lt;=0,"N/M",I28/I35),"N/M")</f>
        <v>0.17568603403342</v>
      </c>
      <c r="J192" s="46" t="n">
        <f aca="false">IFERROR(IF(J35&lt;=0,"N/M",J28/J35),"N/M")</f>
        <v>0.193054603609778</v>
      </c>
      <c r="K192" s="25" t="n">
        <f aca="false">IFERROR(AVERAGE(D192:J192),"N/M")</f>
        <v>0.139983253103653</v>
      </c>
      <c r="L192" s="86" t="n">
        <f aca="false">IFERROR(J192-D192,"N/M")</f>
        <v>-0.155818006037258</v>
      </c>
      <c r="M192" s="87" t="n">
        <f aca="false">IFERROR(SLOPE(D192:J192,$D$3:$J$3),"N/M")</f>
        <v>-0.01389478315332</v>
      </c>
    </row>
    <row r="193" customFormat="false" ht="15" hidden="false" customHeight="false" outlineLevel="0" collapsed="false">
      <c r="A193" s="18" t="s">
        <v>496</v>
      </c>
      <c r="B193" s="19" t="s">
        <v>677</v>
      </c>
      <c r="D193" s="46" t="n">
        <f aca="false">IFERROR(IF(D35&lt;=0,"N/M",D29/D35),"N/M")</f>
        <v>0.149747883170012</v>
      </c>
      <c r="E193" s="46" t="n">
        <f aca="false">IFERROR(IF(E35&lt;=0,"N/M",E29/E35),"N/M")</f>
        <v>0.32093023255814</v>
      </c>
      <c r="F193" s="46" t="n">
        <f aca="false">IFERROR(IF(F35&lt;=0,"N/M",F29/F35),"N/M")</f>
        <v>0.386144329896907</v>
      </c>
      <c r="G193" s="46" t="n">
        <f aca="false">IFERROR(IF(G35&lt;=0,"N/M",G29/G35),"N/M")</f>
        <v>0.183080913731069</v>
      </c>
      <c r="H193" s="46" t="n">
        <f aca="false">IFERROR(IF(H35&lt;=0,"N/M",H29/H35),"N/M")</f>
        <v>0.144240144866973</v>
      </c>
      <c r="I193" s="46" t="n">
        <f aca="false">IFERROR(IF(I35&lt;=0,"N/M",I29/I35),"N/M")</f>
        <v>0.117583933772804</v>
      </c>
      <c r="J193" s="46" t="n">
        <f aca="false">IFERROR(IF(J35&lt;=0,"N/M",J29/J35),"N/M")</f>
        <v>0.197776254664534</v>
      </c>
      <c r="K193" s="25" t="n">
        <f aca="false">IFERROR(AVERAGE(D193:J193),"N/M")</f>
        <v>0.214214813237206</v>
      </c>
      <c r="L193" s="86" t="n">
        <f aca="false">IFERROR(J193-D193,"N/M")</f>
        <v>0.0480283714945219</v>
      </c>
      <c r="M193" s="87" t="n">
        <f aca="false">IFERROR(SLOPE(D193:J193,$D$3:$J$3),"N/M")</f>
        <v>-0.0180182738613228</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0.0917134430596518</v>
      </c>
      <c r="E195" s="46" t="n">
        <f aca="false">IFERROR(IF(E35&lt;=0,"N/M",E31/E35),"N/M")</f>
        <v>0.102802623732856</v>
      </c>
      <c r="F195" s="46" t="n">
        <f aca="false">IFERROR(IF(F35&lt;=0,"N/M",F31/F35),"N/M")</f>
        <v>0.0647422680412371</v>
      </c>
      <c r="G195" s="46" t="n">
        <f aca="false">IFERROR(IF(G35&lt;=0,"N/M",G31/G35),"N/M")</f>
        <v>0.0628399297129947</v>
      </c>
      <c r="H195" s="46" t="n">
        <f aca="false">IFERROR(IF(H35&lt;=0,"N/M",H31/H35),"N/M")</f>
        <v>0.0630310628221201</v>
      </c>
      <c r="I195" s="46" t="n">
        <f aca="false">IFERROR(IF(I35&lt;=0,"N/M",I31/I35),"N/M")</f>
        <v>0.0454289948387756</v>
      </c>
      <c r="J195" s="46" t="n">
        <f aca="false">IFERROR(IF(J35&lt;=0,"N/M",J31/J35),"N/M")</f>
        <v>0.03739243012718</v>
      </c>
      <c r="K195" s="25" t="n">
        <f aca="false">IFERROR(AVERAGE(D195:J195),"N/M")</f>
        <v>0.0668501074764022</v>
      </c>
      <c r="L195" s="86" t="n">
        <f aca="false">IFERROR(J195-D195,"N/M")</f>
        <v>-0.0543210129324718</v>
      </c>
      <c r="M195" s="87" t="n">
        <f aca="false">IFERROR(SLOPE(D195:J195,$D$3:$J$3),"N/M")</f>
        <v>-0.00997933935016764</v>
      </c>
    </row>
    <row r="196" customFormat="false" ht="15" hidden="false" customHeight="false" outlineLevel="0" collapsed="false">
      <c r="A196" s="18" t="s">
        <v>680</v>
      </c>
      <c r="B196" s="19" t="s">
        <v>681</v>
      </c>
      <c r="D196" s="46" t="n">
        <f aca="false">IFERROR(IF(D35&lt;=0,"N/M",D32/D35),"N/M")</f>
        <v>0</v>
      </c>
      <c r="E196" s="46" t="n">
        <f aca="false">IFERROR(IF(E35&lt;=0,"N/M",E32/E35),"N/M")</f>
        <v>0</v>
      </c>
      <c r="F196" s="46" t="n">
        <f aca="false">IFERROR(IF(F35&lt;=0,"N/M",F32/F35),"N/M")</f>
        <v>0</v>
      </c>
      <c r="G196" s="46" t="n">
        <f aca="false">IFERROR(IF(G35&lt;=0,"N/M",G32/G35),"N/M")</f>
        <v>0</v>
      </c>
      <c r="H196" s="46" t="n">
        <f aca="false">IFERROR(IF(H35&lt;=0,"N/M",H32/H35),"N/M")</f>
        <v>0</v>
      </c>
      <c r="I196" s="46" t="n">
        <f aca="false">IFERROR(IF(I35&lt;=0,"N/M",I32/I35),"N/M")</f>
        <v>0</v>
      </c>
      <c r="J196" s="46" t="n">
        <f aca="false">IFERROR(IF(J35&lt;=0,"N/M",J32/J35),"N/M")</f>
        <v>0</v>
      </c>
      <c r="K196" s="25" t="n">
        <f aca="false">IFERROR(AVERAGE(D196:J196),"N/M")</f>
        <v>0</v>
      </c>
      <c r="L196" s="86" t="n">
        <f aca="false">IFERROR(J196-D196,"N/M")</f>
        <v>0</v>
      </c>
      <c r="M196" s="87" t="n">
        <f aca="false">IFERROR(SLOPE(D196:J196,$D$3:$J$3),"N/M")</f>
        <v>0</v>
      </c>
    </row>
    <row r="197" customFormat="false" ht="15" hidden="false" customHeight="false" outlineLevel="0" collapsed="false">
      <c r="A197" s="18" t="s">
        <v>442</v>
      </c>
      <c r="B197" s="19" t="s">
        <v>682</v>
      </c>
      <c r="D197" s="46" t="n">
        <f aca="false">IFERROR(IF(D35&lt;=0,"N/M",D33/D35),"N/M")</f>
        <v>0.00275901436590239</v>
      </c>
      <c r="E197" s="46" t="n">
        <f aca="false">IFERROR(IF(E35&lt;=0,"N/M",E33/E35),"N/M")</f>
        <v>0.00190816935002982</v>
      </c>
      <c r="F197" s="46" t="n">
        <f aca="false">IFERROR(IF(F35&lt;=0,"N/M",F33/F35),"N/M")</f>
        <v>0.0430515463917526</v>
      </c>
      <c r="G197" s="46" t="n">
        <f aca="false">IFERROR(IF(G35&lt;=0,"N/M",G33/G35),"N/M")</f>
        <v>0.0458539034390428</v>
      </c>
      <c r="H197" s="46" t="n">
        <f aca="false">IFERROR(IF(H35&lt;=0,"N/M",H33/H35),"N/M")</f>
        <v>0.0781445883827831</v>
      </c>
      <c r="I197" s="46" t="n">
        <f aca="false">IFERROR(IF(I35&lt;=0,"N/M",I33/I35),"N/M")</f>
        <v>0.0614236803106955</v>
      </c>
      <c r="J197" s="46" t="n">
        <f aca="false">IFERROR(IF(J35&lt;=0,"N/M",J33/J35),"N/M")</f>
        <v>0.0494631025816769</v>
      </c>
      <c r="K197" s="25" t="n">
        <f aca="false">IFERROR(AVERAGE(D197:J197),"N/M")</f>
        <v>0.0403720006888404</v>
      </c>
      <c r="L197" s="86" t="n">
        <f aca="false">IFERROR(J197-D197,"N/M")</f>
        <v>0.0467040882157746</v>
      </c>
      <c r="M197" s="87" t="n">
        <f aca="false">IFERROR(SLOPE(D197:J197,$D$3:$J$3),"N/M")</f>
        <v>0.0105084403057031</v>
      </c>
    </row>
    <row r="198" customFormat="false" ht="15" hidden="false" customHeight="false" outlineLevel="0" collapsed="false">
      <c r="A198" s="18" t="s">
        <v>494</v>
      </c>
      <c r="B198" s="19" t="s">
        <v>683</v>
      </c>
      <c r="D198" s="46" t="n">
        <f aca="false">IFERROR(IF(D35&lt;=0,"N/M",D34/D35),"N/M")</f>
        <v>0.905527542574446</v>
      </c>
      <c r="E198" s="46" t="n">
        <f aca="false">IFERROR(IF(E35&lt;=0,"N/M",E34/E35),"N/M")</f>
        <v>0.895289206917114</v>
      </c>
      <c r="F198" s="46" t="n">
        <f aca="false">IFERROR(IF(F35&lt;=0,"N/M",F34/F35),"N/M")</f>
        <v>0.89220618556701</v>
      </c>
      <c r="G198" s="46" t="n">
        <f aca="false">IFERROR(IF(G35&lt;=0,"N/M",G34/G35),"N/M")</f>
        <v>0.891306166847963</v>
      </c>
      <c r="H198" s="46" t="n">
        <f aca="false">IFERROR(IF(H35&lt;=0,"N/M",H34/H35),"N/M")</f>
        <v>0.858824348795097</v>
      </c>
      <c r="I198" s="46" t="n">
        <f aca="false">IFERROR(IF(I35&lt;=0,"N/M",I34/I35),"N/M")</f>
        <v>0.893147324850529</v>
      </c>
      <c r="J198" s="46" t="n">
        <f aca="false">IFERROR(IF(J35&lt;=0,"N/M",J34/J35),"N/M")</f>
        <v>0.913144467291143</v>
      </c>
      <c r="K198" s="25" t="n">
        <f aca="false">IFERROR(AVERAGE(D198:J198),"N/M")</f>
        <v>0.892777891834757</v>
      </c>
      <c r="L198" s="86" t="n">
        <f aca="false">IFERROR(J198-D198,"N/M")</f>
        <v>0.00761692471669717</v>
      </c>
      <c r="M198" s="87" t="n">
        <f aca="false">IFERROR(SLOPE(D198:J198,$D$3:$J$3),"N/M")</f>
        <v>-0.000529100955535429</v>
      </c>
    </row>
    <row r="199" customFormat="false" ht="15" hidden="false" customHeight="false" outlineLevel="0" collapsed="false">
      <c r="A199" s="18" t="s">
        <v>684</v>
      </c>
      <c r="B199" s="19" t="s">
        <v>685</v>
      </c>
      <c r="D199" s="46" t="n">
        <f aca="false">IFERROR(IF(D35&lt;=0,"N/M",D36/D35),"N/M")</f>
        <v>0.623346969841119</v>
      </c>
      <c r="E199" s="46" t="n">
        <f aca="false">IFERROR(IF(E35&lt;=0,"N/M",E36/E35),"N/M")</f>
        <v>0.51484794275492</v>
      </c>
      <c r="F199" s="46" t="n">
        <f aca="false">IFERROR(IF(F35&lt;=0,"N/M",F36/F35),"N/M")</f>
        <v>0.566268041237113</v>
      </c>
      <c r="G199" s="46" t="n">
        <f aca="false">IFERROR(IF(G35&lt;=0,"N/M",G36/G35),"N/M")</f>
        <v>0.412517780938834</v>
      </c>
      <c r="H199" s="46" t="n">
        <f aca="false">IFERROR(IF(H35&lt;=0,"N/M",H36/H35),"N/M")</f>
        <v>0.486070483354228</v>
      </c>
      <c r="I199" s="46" t="n">
        <f aca="false">IFERROR(IF(I35&lt;=0,"N/M",I36/I35),"N/M")</f>
        <v>0.524707445449435</v>
      </c>
      <c r="J199" s="46" t="n">
        <f aca="false">IFERROR(IF(J35&lt;=0,"N/M",J36/J35),"N/M")</f>
        <v>0.613167313989795</v>
      </c>
      <c r="K199" s="25" t="n">
        <f aca="false">IFERROR(AVERAGE(D199:J199),"N/M")</f>
        <v>0.534417996795063</v>
      </c>
      <c r="L199" s="86" t="n">
        <f aca="false">IFERROR(J199-D199,"N/M")</f>
        <v>-0.0101796558513236</v>
      </c>
      <c r="M199" s="87" t="n">
        <f aca="false">IFERROR(SLOPE(D199:J199,$D$3:$J$3),"N/M")</f>
        <v>-0.00325062571599375</v>
      </c>
    </row>
    <row r="200" customFormat="false" ht="15" hidden="false" customHeight="false" outlineLevel="0" collapsed="false">
      <c r="A200" s="18" t="s">
        <v>686</v>
      </c>
      <c r="B200" s="19" t="s">
        <v>687</v>
      </c>
      <c r="D200" s="46" t="n">
        <f aca="false">IFERROR(IF(D35&lt;=0,"N/M",D37/D35),"N/M")</f>
        <v>0</v>
      </c>
      <c r="E200" s="46" t="n">
        <f aca="false">IFERROR(IF(E35&lt;=0,"N/M",E37/E35),"N/M")</f>
        <v>0</v>
      </c>
      <c r="F200" s="46" t="n">
        <f aca="false">IFERROR(IF(F35&lt;=0,"N/M",F37/F35),"N/M")</f>
        <v>0</v>
      </c>
      <c r="G200" s="46" t="n">
        <f aca="false">IFERROR(IF(G35&lt;=0,"N/M",G37/G35),"N/M")</f>
        <v>0</v>
      </c>
      <c r="H200" s="46" t="n">
        <f aca="false">IFERROR(IF(H35&lt;=0,"N/M",H37/H35),"N/M")</f>
        <v>0</v>
      </c>
      <c r="I200" s="46" t="n">
        <f aca="false">IFERROR(IF(I35&lt;=0,"N/M",I37/I35),"N/M")</f>
        <v>0</v>
      </c>
      <c r="J200" s="46" t="n">
        <f aca="false">IFERROR(IF(J35&lt;=0,"N/M",J37/J35),"N/M")</f>
        <v>0</v>
      </c>
      <c r="K200" s="25" t="n">
        <f aca="false">IFERROR(AVERAGE(D200:J200),"N/M")</f>
        <v>0</v>
      </c>
      <c r="L200" s="86" t="n">
        <f aca="false">IFERROR(J200-D200,"N/M")</f>
        <v>0</v>
      </c>
      <c r="M200" s="87" t="n">
        <f aca="false">IFERROR(SLOPE(D200:J200,$D$3:$J$3),"N/M")</f>
        <v>0</v>
      </c>
    </row>
    <row r="201" customFormat="false" ht="15" hidden="false" customHeight="false" outlineLevel="0" collapsed="false">
      <c r="A201" s="18" t="s">
        <v>688</v>
      </c>
      <c r="B201" s="19" t="s">
        <v>689</v>
      </c>
      <c r="D201" s="46" t="n">
        <f aca="false">IFERROR(IF(D35&lt;=0,"N/M",D38/D35),"N/M")</f>
        <v>0.057463609551898</v>
      </c>
      <c r="E201" s="46" t="n">
        <f aca="false">IFERROR(IF(E35&lt;=0,"N/M",E38/E35),"N/M")</f>
        <v>0.0880143112701252</v>
      </c>
      <c r="F201" s="46" t="n">
        <f aca="false">IFERROR(IF(F35&lt;=0,"N/M",F38/F35),"N/M")</f>
        <v>0.260288659793814</v>
      </c>
      <c r="G201" s="46" t="n">
        <f aca="false">IFERROR(IF(G35&lt;=0,"N/M",G38/G35),"N/M")</f>
        <v>0.438457032884277</v>
      </c>
      <c r="H201" s="46" t="n">
        <f aca="false">IFERROR(IF(H35&lt;=0,"N/M",H38/H35),"N/M")</f>
        <v>0.290778659980499</v>
      </c>
      <c r="I201" s="46" t="n">
        <f aca="false">IFERROR(IF(I35&lt;=0,"N/M",I38/I35),"N/M")</f>
        <v>0.261433900557003</v>
      </c>
      <c r="J201" s="46" t="n">
        <f aca="false">IFERROR(IF(J35&lt;=0,"N/M",J38/J35),"N/M")</f>
        <v>0.157832609854543</v>
      </c>
      <c r="K201" s="25" t="n">
        <f aca="false">IFERROR(AVERAGE(D201:J201),"N/M")</f>
        <v>0.22203839769888</v>
      </c>
      <c r="L201" s="86" t="n">
        <f aca="false">IFERROR(J201-D201,"N/M")</f>
        <v>0.100369000302645</v>
      </c>
      <c r="M201" s="87" t="n">
        <f aca="false">IFERROR(SLOPE(D201:J201,$D$3:$J$3),"N/M")</f>
        <v>0.0242298635595848</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55.6819689531644</v>
      </c>
      <c r="F205" s="91" t="n">
        <f aca="false">IFERROR((IF($D9&lt;=0,"N/M",F9/$D9)*100),"N/M")</f>
        <v>204.030118084118</v>
      </c>
      <c r="G205" s="91" t="n">
        <f aca="false">IFERROR((IF($D9&lt;=0,"N/M",G9/$D9)*100),"N/M")</f>
        <v>143.740878333554</v>
      </c>
      <c r="H205" s="91" t="n">
        <f aca="false">IFERROR((IF($D9&lt;=0,"N/M",H9/$D9)*100),"N/M")</f>
        <v>79.69351200743</v>
      </c>
      <c r="I205" s="91" t="n">
        <f aca="false">IFERROR((IF($D9&lt;=0,"N/M",I9/$D9)*100),"N/M")</f>
        <v>177.892397505639</v>
      </c>
      <c r="J205" s="91" t="n">
        <f aca="false">IFERROR((IF($D9&lt;=0,"N/M",J9/$D9)*100),"N/M")</f>
        <v>190.002653575693</v>
      </c>
      <c r="K205" s="92" t="n">
        <f aca="false">IFERROR(AVERAGE(D205:J205),"N/M")</f>
        <v>135.863075494228</v>
      </c>
      <c r="L205" s="85" t="n">
        <f aca="false">IFERROR(J205-D205,"N/M")</f>
        <v>90.0026535756933</v>
      </c>
      <c r="M205" s="85" t="n">
        <f aca="false">IFERROR(SLOPE(D205:J205,$D$3:$J$3),"N/M")</f>
        <v>13.9318647055479</v>
      </c>
    </row>
    <row r="206" customFormat="false" ht="15" hidden="false" customHeight="false" outlineLevel="0" collapsed="false">
      <c r="A206" s="18" t="s">
        <v>657</v>
      </c>
      <c r="B206" s="19" t="s">
        <v>693</v>
      </c>
      <c r="D206" s="91" t="str">
        <f aca="false">IFERROR((IF($D56&lt;=0,"N/M",D56/$D56)*100),"N/M")</f>
        <v>N/M</v>
      </c>
      <c r="E206" s="91" t="str">
        <f aca="false">IFERROR((IF($D56&lt;=0,"N/M",E56/$D56)*100),"N/M")</f>
        <v>N/M</v>
      </c>
      <c r="F206" s="91" t="str">
        <f aca="false">IFERROR((IF($D56&lt;=0,"N/M",F56/$D56)*100),"N/M")</f>
        <v>N/M</v>
      </c>
      <c r="G206" s="91" t="str">
        <f aca="false">IFERROR((IF($D56&lt;=0,"N/M",G56/$D56)*100),"N/M")</f>
        <v>N/M</v>
      </c>
      <c r="H206" s="91" t="str">
        <f aca="false">IFERROR((IF($D56&lt;=0,"N/M",H56/$D56)*100),"N/M")</f>
        <v>N/M</v>
      </c>
      <c r="I206" s="91" t="str">
        <f aca="false">IFERROR((IF($D56&lt;=0,"N/M",I56/$D56)*100),"N/M")</f>
        <v>N/M</v>
      </c>
      <c r="J206" s="91" t="str">
        <f aca="false">IFERROR((IF($D56&lt;=0,"N/M",J56/$D56)*100),"N/M")</f>
        <v>N/M</v>
      </c>
      <c r="K206" s="92" t="str">
        <f aca="false">IFERROR(AVERAGE(D206:J206),"N/M")</f>
        <v>N/M</v>
      </c>
      <c r="L206" s="85" t="str">
        <f aca="false">IFERROR(J206-D206,"N/M")</f>
        <v>N/M</v>
      </c>
      <c r="M206" s="85" t="str">
        <f aca="false">IFERROR(SLOPE(D206:J206,$D$3:$J$3),"N/M")</f>
        <v>N/M</v>
      </c>
    </row>
    <row r="207" customFormat="false" ht="15" hidden="false" customHeight="false" outlineLevel="0" collapsed="false">
      <c r="A207" s="18" t="s">
        <v>667</v>
      </c>
      <c r="B207" s="19" t="s">
        <v>694</v>
      </c>
      <c r="D207" s="91" t="str">
        <f aca="false">IFERROR((IF($D22&lt;=0,"N/M",D22/$D22)*100),"N/M")</f>
        <v>N/M</v>
      </c>
      <c r="E207" s="91" t="str">
        <f aca="false">IFERROR((IF($D22&lt;=0,"N/M",E22/$D22)*100),"N/M")</f>
        <v>N/M</v>
      </c>
      <c r="F207" s="91" t="str">
        <f aca="false">IFERROR((IF($D22&lt;=0,"N/M",F22/$D22)*100),"N/M")</f>
        <v>N/M</v>
      </c>
      <c r="G207" s="91" t="str">
        <f aca="false">IFERROR((IF($D22&lt;=0,"N/M",G22/$D22)*100),"N/M")</f>
        <v>N/M</v>
      </c>
      <c r="H207" s="91" t="str">
        <f aca="false">IFERROR((IF($D22&lt;=0,"N/M",H22/$D22)*100),"N/M")</f>
        <v>N/M</v>
      </c>
      <c r="I207" s="91" t="str">
        <f aca="false">IFERROR((IF($D22&lt;=0,"N/M",I22/$D22)*100),"N/M")</f>
        <v>N/M</v>
      </c>
      <c r="J207" s="91" t="str">
        <f aca="false">IFERROR((IF($D22&lt;=0,"N/M",J22/$D22)*100),"N/M")</f>
        <v>N/M</v>
      </c>
      <c r="K207" s="92" t="str">
        <f aca="false">IFERROR(AVERAGE(D207:J207),"N/M")</f>
        <v>N/M</v>
      </c>
      <c r="L207" s="85" t="str">
        <f aca="false">IFERROR(J207-D207,"N/M")</f>
        <v>N/M</v>
      </c>
      <c r="M207" s="85" t="str">
        <f aca="false">IFERROR(SLOPE(D207:J207,$D$3:$J$3),"N/M")</f>
        <v>N/M</v>
      </c>
    </row>
    <row r="208" customFormat="false" ht="15" hidden="false" customHeight="false" outlineLevel="0" collapsed="false">
      <c r="A208" s="18" t="s">
        <v>446</v>
      </c>
      <c r="B208" s="19" t="s">
        <v>695</v>
      </c>
      <c r="D208" s="91" t="n">
        <f aca="false">IFERROR((IF($D35&lt;=0,"N/M",D35/$D35)*100),"N/M")</f>
        <v>100</v>
      </c>
      <c r="E208" s="91" t="n">
        <f aca="false">IFERROR((IF($D35&lt;=0,"N/M",E35/$D35)*100),"N/M")</f>
        <v>79.7735705451432</v>
      </c>
      <c r="F208" s="91" t="n">
        <f aca="false">IFERROR((IF($D35&lt;=0,"N/M",F35/$D35)*100),"N/M")</f>
        <v>115.355342022643</v>
      </c>
      <c r="G208" s="91" t="n">
        <f aca="false">IFERROR((IF($D35&lt;=0,"N/M",G35/$D35)*100),"N/M")</f>
        <v>113.699933403102</v>
      </c>
      <c r="H208" s="91" t="n">
        <f aca="false">IFERROR((IF($D35&lt;=0,"N/M",H35/$D35)*100),"N/M")</f>
        <v>136.599752640091</v>
      </c>
      <c r="I208" s="91" t="n">
        <f aca="false">IFERROR((IF($D35&lt;=0,"N/M",I35/$D35)*100),"N/M")</f>
        <v>186.176386642565</v>
      </c>
      <c r="J208" s="91" t="n">
        <f aca="false">IFERROR((IF($D35&lt;=0,"N/M",J35/$D35)*100),"N/M")</f>
        <v>249.852535439064</v>
      </c>
      <c r="K208" s="92" t="n">
        <f aca="false">IFERROR(AVERAGE(D208:J208),"N/M")</f>
        <v>140.208217241801</v>
      </c>
      <c r="L208" s="85" t="n">
        <f aca="false">IFERROR(J208-D208,"N/M")</f>
        <v>149.852535439064</v>
      </c>
      <c r="M208" s="85" t="n">
        <f aca="false">IFERROR(SLOPE(D208:J208,$D$3:$J$3),"N/M")</f>
        <v>24.4145588974816</v>
      </c>
    </row>
    <row r="209" customFormat="false" ht="15" hidden="false" customHeight="false" outlineLevel="0" collapsed="false">
      <c r="A209" s="18" t="s">
        <v>673</v>
      </c>
      <c r="B209" s="19" t="s">
        <v>696</v>
      </c>
      <c r="D209" s="91" t="n">
        <f aca="false">IFERROR((IF($D61&lt;=0,"N/M",D61/$D61)*100),"N/M")</f>
        <v>100</v>
      </c>
      <c r="E209" s="91" t="n">
        <f aca="false">IFERROR((IF($D61&lt;=0,"N/M",E61/$D61)*100),"N/M")</f>
        <v>79.6584440227704</v>
      </c>
      <c r="F209" s="91" t="n">
        <f aca="false">IFERROR((IF($D61&lt;=0,"N/M",F61/$D61)*100),"N/M")</f>
        <v>141.23339658444</v>
      </c>
      <c r="G209" s="91" t="n">
        <f aca="false">IFERROR((IF($D61&lt;=0,"N/M",G61/$D61)*100),"N/M")</f>
        <v>185.256166982922</v>
      </c>
      <c r="H209" s="91" t="n">
        <f aca="false">IFERROR((IF($D61&lt;=0,"N/M",H61/$D61)*100),"N/M")</f>
        <v>210.303605313093</v>
      </c>
      <c r="I209" s="91" t="n">
        <f aca="false">IFERROR((IF($D61&lt;=0,"N/M",I61/$D61)*100),"N/M")</f>
        <v>262.428842504744</v>
      </c>
      <c r="J209" s="91" t="n">
        <f aca="false">IFERROR((IF($D61&lt;=0,"N/M",J61/$D61)*100),"N/M")</f>
        <v>303.567362428842</v>
      </c>
      <c r="K209" s="92" t="n">
        <f aca="false">IFERROR(AVERAGE(D209:J209),"N/M")</f>
        <v>183.206831119545</v>
      </c>
      <c r="L209" s="85" t="n">
        <f aca="false">IFERROR(J209-D209,"N/M")</f>
        <v>203.567362428842</v>
      </c>
      <c r="M209" s="85" t="n">
        <f aca="false">IFERROR(SLOPE(D209:J209,$D$3:$J$3),"N/M")</f>
        <v>37.3326104635403</v>
      </c>
    </row>
    <row r="210" customFormat="false" ht="15" hidden="false" customHeight="false" outlineLevel="0" collapsed="false">
      <c r="A210" s="18" t="s">
        <v>675</v>
      </c>
      <c r="B210" s="19" t="s">
        <v>697</v>
      </c>
      <c r="D210" s="91" t="n">
        <f aca="false">IFERROR((IF($D28&lt;=0,"N/M",D28/$D28)*100),"N/M")</f>
        <v>100</v>
      </c>
      <c r="E210" s="91" t="n">
        <f aca="false">IFERROR((IF($D28&lt;=0,"N/M",E28/$D28)*100),"N/M")</f>
        <v>40.7962912462503</v>
      </c>
      <c r="F210" s="91" t="n">
        <f aca="false">IFERROR((IF($D28&lt;=0,"N/M",F28/$D28)*100),"N/M")</f>
        <v>0</v>
      </c>
      <c r="G210" s="91" t="n">
        <f aca="false">IFERROR((IF($D28&lt;=0,"N/M",G28/$D28)*100),"N/M")</f>
        <v>0</v>
      </c>
      <c r="H210" s="91" t="n">
        <f aca="false">IFERROR((IF($D28&lt;=0,"N/M",H28/$D28)*100),"N/M")</f>
        <v>32.8333787837469</v>
      </c>
      <c r="I210" s="91" t="n">
        <f aca="false">IFERROR((IF($D28&lt;=0,"N/M",I28/$D28)*100),"N/M")</f>
        <v>93.7551131715299</v>
      </c>
      <c r="J210" s="91" t="n">
        <f aca="false">IFERROR((IF($D28&lt;=0,"N/M",J28/$D28)*100),"N/M")</f>
        <v>138.260158167439</v>
      </c>
      <c r="K210" s="92" t="n">
        <f aca="false">IFERROR(AVERAGE(D210:J210),"N/M")</f>
        <v>57.9492773384238</v>
      </c>
      <c r="L210" s="85" t="n">
        <f aca="false">IFERROR(J210-D210,"N/M")</f>
        <v>38.2601581674393</v>
      </c>
      <c r="M210" s="85" t="n">
        <f aca="false">IFERROR(SLOPE(D210:J210,$D$3:$J$3),"N/M")</f>
        <v>9.054696326308</v>
      </c>
    </row>
    <row r="211" customFormat="false" ht="15" hidden="false" customHeight="false" outlineLevel="0" collapsed="false">
      <c r="A211" s="18" t="s">
        <v>698</v>
      </c>
      <c r="B211" s="19" t="s">
        <v>699</v>
      </c>
      <c r="D211" s="91" t="n">
        <f aca="false">IFERROR((IF($D36&lt;=0,"N/M",D36/$D36)*100),"N/M")</f>
        <v>100</v>
      </c>
      <c r="E211" s="91" t="n">
        <f aca="false">IFERROR((IF($D36&lt;=0,"N/M",E36/$D36)*100),"N/M")</f>
        <v>65.8882783882784</v>
      </c>
      <c r="F211" s="91" t="n">
        <f aca="false">IFERROR((IF($D36&lt;=0,"N/M",F36/$D36)*100),"N/M")</f>
        <v>104.79242979243</v>
      </c>
      <c r="G211" s="91" t="n">
        <f aca="false">IFERROR((IF($D36&lt;=0,"N/M",G36/$D36)*100),"N/M")</f>
        <v>75.2442002442002</v>
      </c>
      <c r="H211" s="91" t="n">
        <f aca="false">IFERROR((IF($D36&lt;=0,"N/M",H36/$D36)*100),"N/M")</f>
        <v>106.517094017094</v>
      </c>
      <c r="I211" s="91" t="n">
        <f aca="false">IFERROR((IF($D36&lt;=0,"N/M",I36/$D36)*100),"N/M")</f>
        <v>156.715506715507</v>
      </c>
      <c r="J211" s="91" t="n">
        <f aca="false">IFERROR((IF($D36&lt;=0,"N/M",J36/$D36)*100),"N/M")</f>
        <v>245.772283272283</v>
      </c>
      <c r="K211" s="92" t="n">
        <f aca="false">IFERROR(AVERAGE(D211:J211),"N/M")</f>
        <v>122.13282748997</v>
      </c>
      <c r="L211" s="85" t="n">
        <f aca="false">IFERROR(J211-D211,"N/M")</f>
        <v>145.772283272283</v>
      </c>
      <c r="M211" s="85" t="n">
        <f aca="false">IFERROR(SLOPE(D211:J211,$D$3:$J$3),"N/M")</f>
        <v>22.1677132391418</v>
      </c>
    </row>
    <row r="212" customFormat="false" ht="15" hidden="false" customHeight="false" outlineLevel="0" collapsed="false">
      <c r="A212" s="18" t="s">
        <v>700</v>
      </c>
      <c r="B212" s="19" t="s">
        <v>701</v>
      </c>
      <c r="D212" s="91" t="n">
        <f aca="false">IFERROR((IF($D41&lt;=0,"N/M",D41/$D41)*100),"N/M")</f>
        <v>100</v>
      </c>
      <c r="E212" s="91" t="n">
        <f aca="false">IFERROR((IF($D41&lt;=0,"N/M",E41/$D41)*100),"N/M")</f>
        <v>1231.60377358491</v>
      </c>
      <c r="F212" s="91" t="n">
        <f aca="false">IFERROR((IF($D41&lt;=0,"N/M",F41/$D41)*100),"N/M")</f>
        <v>2085.84905660377</v>
      </c>
      <c r="G212" s="91" t="n">
        <f aca="false">IFERROR((IF($D41&lt;=0,"N/M",G41/$D41)*100),"N/M")</f>
        <v>796.698113207547</v>
      </c>
      <c r="H212" s="91" t="n">
        <f aca="false">IFERROR((IF($D41&lt;=0,"N/M",H41/$D41)*100),"N/M")</f>
        <v>-811.320754716981</v>
      </c>
      <c r="I212" s="91" t="n">
        <f aca="false">IFERROR((IF($D41&lt;=0,"N/M",I41/$D41)*100),"N/M")</f>
        <v>-858.490566037736</v>
      </c>
      <c r="J212" s="91" t="n">
        <f aca="false">IFERROR((IF($D41&lt;=0,"N/M",J41/$D41)*100),"N/M")</f>
        <v>-831.132075471698</v>
      </c>
      <c r="K212" s="92" t="n">
        <f aca="false">IFERROR(AVERAGE(D212:J212),"N/M")</f>
        <v>244.743935309973</v>
      </c>
      <c r="L212" s="85" t="n">
        <f aca="false">IFERROR(J212-D212,"N/M")</f>
        <v>-931.132075471698</v>
      </c>
      <c r="M212" s="85" t="n">
        <f aca="false">IFERROR(SLOPE(D212:J212,$D$3:$J$3),"N/M")</f>
        <v>-352.526954177898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56</v>
      </c>
    </row>
    <row r="2" customFormat="false" ht="15" hidden="false" customHeight="false" outlineLevel="0" collapsed="false">
      <c r="A2" s="6" t="s">
        <v>703</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6894.86</v>
      </c>
      <c r="D9" s="93" t="n">
        <v>7346.24</v>
      </c>
      <c r="E9" s="93" t="n">
        <v>10498.1</v>
      </c>
      <c r="F9" s="93" t="n">
        <v>19062.06</v>
      </c>
      <c r="G9" s="93" t="n">
        <v>18050.77</v>
      </c>
      <c r="H9" s="93" t="n">
        <v>12968.68</v>
      </c>
      <c r="I9" s="93" t="n">
        <v>1961</v>
      </c>
      <c r="J9" s="93" t="n">
        <v>2058</v>
      </c>
    </row>
    <row r="10" customFormat="false" ht="15" hidden="false" customHeight="false" outlineLevel="0" collapsed="false">
      <c r="A10" s="18" t="s">
        <v>399</v>
      </c>
      <c r="B10" s="74" t="s">
        <v>400</v>
      </c>
      <c r="C10" s="93" t="n">
        <v>0</v>
      </c>
      <c r="D10" s="93" t="n">
        <v>0</v>
      </c>
      <c r="E10" s="93" t="n">
        <v>0</v>
      </c>
      <c r="F10" s="93" t="n">
        <v>0</v>
      </c>
      <c r="G10" s="93" t="n">
        <v>0</v>
      </c>
      <c r="H10" s="93" t="n">
        <v>0</v>
      </c>
      <c r="I10" s="93" t="n">
        <v>0</v>
      </c>
      <c r="J10" s="93" t="n">
        <v>0</v>
      </c>
    </row>
    <row r="11" customFormat="false" ht="15" hidden="false" customHeight="false" outlineLevel="0" collapsed="false">
      <c r="A11" s="18" t="s">
        <v>401</v>
      </c>
      <c r="B11" s="74" t="s">
        <v>402</v>
      </c>
      <c r="C11" s="93" t="n">
        <v>0</v>
      </c>
      <c r="D11" s="93" t="n">
        <v>0</v>
      </c>
      <c r="E11" s="93" t="n">
        <v>-3.35</v>
      </c>
      <c r="F11" s="93" t="n">
        <v>-0.53</v>
      </c>
      <c r="G11" s="93" t="n">
        <v>-0.36</v>
      </c>
      <c r="H11" s="93" t="n">
        <v>0</v>
      </c>
      <c r="I11" s="93" t="n">
        <v>0</v>
      </c>
      <c r="J11" s="93" t="n">
        <v>0</v>
      </c>
    </row>
    <row r="12" customFormat="false" ht="15" hidden="false" customHeight="false" outlineLevel="0" collapsed="false">
      <c r="A12" s="18" t="s">
        <v>403</v>
      </c>
      <c r="B12" s="74" t="s">
        <v>404</v>
      </c>
      <c r="C12" s="93" t="n">
        <v>24.75</v>
      </c>
      <c r="D12" s="93" t="n">
        <v>26.38</v>
      </c>
      <c r="E12" s="93" t="n">
        <v>35.29</v>
      </c>
      <c r="F12" s="93" t="n">
        <v>17.93</v>
      </c>
      <c r="G12" s="93" t="n">
        <v>20.39</v>
      </c>
      <c r="H12" s="93" t="n">
        <v>23.54</v>
      </c>
      <c r="I12" s="93" t="n">
        <v>9</v>
      </c>
      <c r="J12" s="93" t="n">
        <v>10</v>
      </c>
    </row>
    <row r="13" customFormat="false" ht="15" hidden="false" customHeight="false" outlineLevel="0" collapsed="false">
      <c r="A13" s="18" t="s">
        <v>405</v>
      </c>
      <c r="B13" s="74" t="s">
        <v>406</v>
      </c>
      <c r="C13" s="93" t="n">
        <v>4990.23</v>
      </c>
      <c r="D13" s="93" t="n">
        <v>5369.41</v>
      </c>
      <c r="E13" s="93" t="n">
        <v>8075.71</v>
      </c>
      <c r="F13" s="93" t="n">
        <v>15640.44</v>
      </c>
      <c r="G13" s="93" t="n">
        <v>14354.83</v>
      </c>
      <c r="H13" s="93" t="n">
        <v>9913.27</v>
      </c>
      <c r="I13" s="93" t="n">
        <v>1406</v>
      </c>
      <c r="J13" s="93" t="n">
        <v>1498</v>
      </c>
    </row>
    <row r="14" customFormat="false" ht="15" hidden="false" customHeight="false" outlineLevel="0" collapsed="false">
      <c r="A14" s="18" t="s">
        <v>407</v>
      </c>
      <c r="B14" s="74" t="s">
        <v>408</v>
      </c>
      <c r="C14" s="93" t="n">
        <v>1071.02</v>
      </c>
      <c r="D14" s="93" t="n">
        <v>1113.63</v>
      </c>
      <c r="E14" s="93" t="n">
        <v>1316.4</v>
      </c>
      <c r="F14" s="93" t="n">
        <v>1615.57</v>
      </c>
      <c r="G14" s="93" t="n">
        <v>1907.13</v>
      </c>
      <c r="H14" s="93" t="n">
        <v>1944.07</v>
      </c>
      <c r="I14" s="93" t="n">
        <v>224</v>
      </c>
      <c r="J14" s="93" t="n">
        <v>215</v>
      </c>
    </row>
    <row r="15" customFormat="false" ht="15" hidden="false" customHeight="false" outlineLevel="0" collapsed="false">
      <c r="A15" s="18" t="s">
        <v>409</v>
      </c>
      <c r="B15" s="74" t="s">
        <v>410</v>
      </c>
      <c r="C15" s="93" t="n">
        <v>312.35</v>
      </c>
      <c r="D15" s="93" t="n">
        <v>282.66</v>
      </c>
      <c r="E15" s="93" t="n">
        <v>346.92</v>
      </c>
      <c r="F15" s="93" t="n">
        <v>438.99</v>
      </c>
      <c r="G15" s="93" t="n">
        <v>527.36</v>
      </c>
      <c r="H15" s="93" t="n">
        <v>500.81</v>
      </c>
      <c r="I15" s="93" t="n">
        <v>97</v>
      </c>
      <c r="J15" s="93" t="n">
        <v>88</v>
      </c>
    </row>
    <row r="16" customFormat="false" ht="15" hidden="false" customHeight="false" outlineLevel="0" collapsed="false">
      <c r="A16" s="18" t="s">
        <v>411</v>
      </c>
      <c r="B16" s="74" t="s">
        <v>412</v>
      </c>
      <c r="C16" s="93" t="n">
        <v>39.6</v>
      </c>
      <c r="D16" s="93" t="n">
        <v>39.01</v>
      </c>
      <c r="E16" s="93" t="n">
        <v>77.34</v>
      </c>
      <c r="F16" s="93" t="n">
        <v>67.34</v>
      </c>
      <c r="G16" s="93" t="n">
        <v>100.5</v>
      </c>
      <c r="H16" s="93" t="n">
        <v>116.29</v>
      </c>
      <c r="I16" s="93" t="n">
        <v>23</v>
      </c>
      <c r="J16" s="93" t="n">
        <v>12</v>
      </c>
    </row>
    <row r="17" customFormat="false" ht="15" hidden="false" customHeight="false" outlineLevel="0" collapsed="false">
      <c r="A17" s="18" t="s">
        <v>413</v>
      </c>
      <c r="B17" s="74" t="s">
        <v>414</v>
      </c>
      <c r="C17" s="93" t="n">
        <v>37.16</v>
      </c>
      <c r="D17" s="93" t="n">
        <v>96.58</v>
      </c>
      <c r="E17" s="93" t="n">
        <v>-34.67</v>
      </c>
      <c r="F17" s="93" t="n">
        <v>274.13</v>
      </c>
      <c r="G17" s="93" t="n">
        <v>118.72</v>
      </c>
      <c r="H17" s="93" t="n">
        <v>233.27</v>
      </c>
      <c r="I17" s="93" t="n">
        <v>70</v>
      </c>
      <c r="J17" s="93" t="n">
        <v>35</v>
      </c>
    </row>
    <row r="18" customFormat="false" ht="15" hidden="false" customHeight="false" outlineLevel="0" collapsed="false">
      <c r="A18" s="18" t="s">
        <v>415</v>
      </c>
      <c r="B18" s="74" t="s">
        <v>416</v>
      </c>
      <c r="C18" s="93" t="n">
        <v>155.93</v>
      </c>
      <c r="D18" s="93" t="n">
        <v>231.6</v>
      </c>
      <c r="E18" s="93" t="n">
        <v>306.09</v>
      </c>
      <c r="F18" s="93" t="n">
        <v>237.57</v>
      </c>
      <c r="G18" s="93" t="n">
        <v>278.01</v>
      </c>
      <c r="H18" s="93" t="n">
        <v>400.02</v>
      </c>
      <c r="I18" s="93" t="n">
        <v>182</v>
      </c>
      <c r="J18" s="93" t="n">
        <v>204</v>
      </c>
    </row>
    <row r="19" customFormat="false" ht="15" hidden="false" customHeight="false" outlineLevel="0" collapsed="false">
      <c r="A19" s="18" t="s">
        <v>417</v>
      </c>
      <c r="B19" s="74" t="s">
        <v>418</v>
      </c>
      <c r="C19" s="93" t="n">
        <v>36.06</v>
      </c>
      <c r="D19" s="93" t="n">
        <v>74.69</v>
      </c>
      <c r="E19" s="93" t="n">
        <v>143.25</v>
      </c>
      <c r="F19" s="93" t="n">
        <v>96.21</v>
      </c>
      <c r="G19" s="93" t="n">
        <v>85.57</v>
      </c>
      <c r="H19" s="93" t="n">
        <v>139.54</v>
      </c>
      <c r="I19" s="93" t="n">
        <v>75</v>
      </c>
      <c r="J19" s="93" t="n">
        <v>62</v>
      </c>
    </row>
    <row r="20" customFormat="false" ht="15" hidden="false" customHeight="false" outlineLevel="0" collapsed="false">
      <c r="A20" s="18" t="s">
        <v>419</v>
      </c>
      <c r="B20" s="74" t="s">
        <v>420</v>
      </c>
      <c r="C20" s="93" t="n">
        <v>302.08</v>
      </c>
      <c r="D20" s="93" t="n">
        <v>305.44</v>
      </c>
      <c r="E20" s="93" t="n">
        <v>159.08</v>
      </c>
      <c r="F20" s="93" t="n">
        <v>1221.61</v>
      </c>
      <c r="G20" s="93" t="n">
        <v>895.34</v>
      </c>
      <c r="H20" s="93" t="n">
        <v>164.41</v>
      </c>
      <c r="I20" s="93" t="n">
        <v>15</v>
      </c>
      <c r="J20" s="93" t="n">
        <v>4</v>
      </c>
    </row>
    <row r="21" customFormat="false" ht="15" hidden="false" customHeight="false" outlineLevel="0" collapsed="false">
      <c r="A21" s="18" t="s">
        <v>421</v>
      </c>
      <c r="B21" s="74" t="s">
        <v>422</v>
      </c>
      <c r="C21" s="93" t="n">
        <v>54.24</v>
      </c>
      <c r="D21" s="93" t="n">
        <v>71.1</v>
      </c>
      <c r="E21" s="93" t="n">
        <v>63.97</v>
      </c>
      <c r="F21" s="93" t="n">
        <v>257.02</v>
      </c>
      <c r="G21" s="93" t="n">
        <v>242.13</v>
      </c>
      <c r="H21" s="93" t="n">
        <v>24.41</v>
      </c>
      <c r="I21" s="93" t="n">
        <v>-50</v>
      </c>
      <c r="J21" s="93" t="n">
        <v>-4</v>
      </c>
    </row>
    <row r="22" customFormat="false" ht="15" hidden="false" customHeight="false" outlineLevel="0" collapsed="false">
      <c r="A22" s="18" t="s">
        <v>423</v>
      </c>
      <c r="B22" s="74" t="s">
        <v>424</v>
      </c>
      <c r="C22" s="93" t="n">
        <v>241.96</v>
      </c>
      <c r="D22" s="93" t="n">
        <v>223</v>
      </c>
      <c r="E22" s="93" t="n">
        <v>172.9</v>
      </c>
      <c r="F22" s="93" t="n">
        <v>925.72</v>
      </c>
      <c r="G22" s="93" t="n">
        <v>629.59</v>
      </c>
      <c r="H22" s="93" t="n">
        <v>149.7</v>
      </c>
      <c r="I22" s="93" t="n">
        <v>65</v>
      </c>
      <c r="J22" s="93" t="n">
        <v>8</v>
      </c>
    </row>
    <row r="23" customFormat="false" ht="15" hidden="false" customHeight="false" outlineLevel="0" collapsed="false">
      <c r="A23" s="18" t="s">
        <v>425</v>
      </c>
      <c r="B23" s="74" t="s">
        <v>426</v>
      </c>
      <c r="C23" s="93" t="n">
        <v>86</v>
      </c>
      <c r="D23" s="93" t="n">
        <v>73.71</v>
      </c>
      <c r="E23" s="93" t="n">
        <v>49.14</v>
      </c>
      <c r="F23" s="93" t="n">
        <v>73.71</v>
      </c>
      <c r="G23" s="93" t="n">
        <v>79.85</v>
      </c>
      <c r="H23" s="93" t="n">
        <v>98.28</v>
      </c>
      <c r="I23" s="93" t="n">
        <v>315</v>
      </c>
      <c r="J23" s="93" t="n">
        <v>0</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49.14</v>
      </c>
      <c r="D26" s="93" t="n">
        <v>49.14</v>
      </c>
      <c r="E26" s="93" t="n">
        <v>49.14</v>
      </c>
      <c r="F26" s="93" t="n">
        <v>49.14</v>
      </c>
      <c r="G26" s="93" t="n">
        <v>49.14</v>
      </c>
      <c r="H26" s="93" t="n">
        <v>196.56</v>
      </c>
      <c r="I26" s="93" t="n">
        <v>300</v>
      </c>
      <c r="J26" s="93" t="n">
        <v>300</v>
      </c>
    </row>
    <row r="27" customFormat="false" ht="15" hidden="false" customHeight="false" outlineLevel="0" collapsed="false">
      <c r="A27" s="18" t="s">
        <v>430</v>
      </c>
      <c r="B27" s="74" t="s">
        <v>431</v>
      </c>
      <c r="C27" s="93" t="n">
        <v>1949.64</v>
      </c>
      <c r="D27" s="93" t="n">
        <v>2096.56</v>
      </c>
      <c r="E27" s="93" t="n">
        <v>2234.4</v>
      </c>
      <c r="F27" s="93" t="n">
        <v>3112.62</v>
      </c>
      <c r="G27" s="93" t="n">
        <v>2765.08</v>
      </c>
      <c r="H27" s="93" t="n">
        <v>2325.07</v>
      </c>
      <c r="I27" s="93" t="n">
        <v>262</v>
      </c>
      <c r="J27" s="93" t="n">
        <v>274</v>
      </c>
    </row>
    <row r="28" customFormat="false" ht="15" hidden="false" customHeight="false" outlineLevel="0" collapsed="false">
      <c r="A28" s="18" t="s">
        <v>432</v>
      </c>
      <c r="B28" s="74" t="s">
        <v>433</v>
      </c>
      <c r="C28" s="93" t="n">
        <v>598.24</v>
      </c>
      <c r="D28" s="93" t="n">
        <v>1603.34</v>
      </c>
      <c r="E28" s="93" t="n">
        <v>2065.37</v>
      </c>
      <c r="F28" s="93" t="n">
        <v>2317.31</v>
      </c>
      <c r="G28" s="93" t="n">
        <v>1179.5</v>
      </c>
      <c r="H28" s="93" t="n">
        <v>1846.14</v>
      </c>
      <c r="I28" s="93" t="n">
        <v>781</v>
      </c>
      <c r="J28" s="93" t="n">
        <v>693</v>
      </c>
    </row>
    <row r="29" customFormat="false" ht="15" hidden="false" customHeight="false" outlineLevel="0" collapsed="false">
      <c r="A29" s="18" t="s">
        <v>434</v>
      </c>
      <c r="B29" s="74" t="s">
        <v>435</v>
      </c>
      <c r="C29" s="93" t="n">
        <v>1317.35</v>
      </c>
      <c r="D29" s="93" t="n">
        <v>1551.9</v>
      </c>
      <c r="E29" s="93" t="n">
        <v>2964.36</v>
      </c>
      <c r="F29" s="93" t="n">
        <v>4124.93</v>
      </c>
      <c r="G29" s="93" t="n">
        <v>3237.13</v>
      </c>
      <c r="H29" s="93" t="n">
        <v>2795.71</v>
      </c>
      <c r="I29" s="93" t="n">
        <v>398</v>
      </c>
      <c r="J29" s="93" t="n">
        <v>469</v>
      </c>
    </row>
    <row r="30" customFormat="false" ht="15" hidden="false" customHeight="false" outlineLevel="0" collapsed="false">
      <c r="A30" s="18" t="s">
        <v>436</v>
      </c>
      <c r="B30" s="74" t="s">
        <v>437</v>
      </c>
      <c r="C30" s="93" t="n">
        <v>3914.37</v>
      </c>
      <c r="D30" s="93" t="n">
        <v>5300.94</v>
      </c>
      <c r="E30" s="93" t="n">
        <v>7313.27</v>
      </c>
      <c r="F30" s="93" t="n">
        <v>9604</v>
      </c>
      <c r="G30" s="93" t="n">
        <v>7230.85</v>
      </c>
      <c r="H30" s="93" t="n">
        <v>7163.48</v>
      </c>
      <c r="I30" s="93" t="n">
        <v>1741</v>
      </c>
      <c r="J30" s="93" t="n">
        <v>1736</v>
      </c>
    </row>
    <row r="31" customFormat="false" ht="15" hidden="false" customHeight="false" outlineLevel="0" collapsed="false">
      <c r="A31" s="18" t="s">
        <v>438</v>
      </c>
      <c r="B31" s="74" t="s">
        <v>439</v>
      </c>
      <c r="C31" s="93" t="n">
        <v>1596.66</v>
      </c>
      <c r="D31" s="93" t="n">
        <v>1967.99</v>
      </c>
      <c r="E31" s="93" t="n">
        <v>3164.56</v>
      </c>
      <c r="F31" s="93" t="n">
        <v>3491.76</v>
      </c>
      <c r="G31" s="93" t="n">
        <v>2131.88</v>
      </c>
      <c r="H31" s="93" t="n">
        <v>2834.35</v>
      </c>
      <c r="I31" s="93" t="n">
        <v>759</v>
      </c>
      <c r="J31" s="93" t="n">
        <v>783</v>
      </c>
    </row>
    <row r="32" customFormat="false" ht="15" hidden="false" customHeight="false" outlineLevel="0" collapsed="false">
      <c r="A32" s="18" t="s">
        <v>440</v>
      </c>
      <c r="B32" s="74" t="s">
        <v>441</v>
      </c>
      <c r="C32" s="93" t="n">
        <v>165.17</v>
      </c>
      <c r="D32" s="93" t="n">
        <v>269.25</v>
      </c>
      <c r="E32" s="93" t="n">
        <v>2.59</v>
      </c>
      <c r="F32" s="93" t="n">
        <v>2.88</v>
      </c>
      <c r="G32" s="93" t="n">
        <v>15.4</v>
      </c>
      <c r="H32" s="93" t="n">
        <v>46.82</v>
      </c>
      <c r="I32" s="93" t="n">
        <v>3</v>
      </c>
      <c r="J32" s="93" t="n">
        <v>3</v>
      </c>
    </row>
    <row r="33" customFormat="false" ht="15" hidden="false" customHeight="false" outlineLevel="0" collapsed="false">
      <c r="A33" s="18" t="s">
        <v>442</v>
      </c>
      <c r="B33" s="74" t="s">
        <v>443</v>
      </c>
      <c r="C33" s="93" t="n">
        <v>239.38</v>
      </c>
      <c r="D33" s="93" t="n">
        <v>509.76</v>
      </c>
      <c r="E33" s="93" t="n">
        <v>324.06</v>
      </c>
      <c r="F33" s="93" t="n">
        <v>566.64</v>
      </c>
      <c r="G33" s="93" t="n">
        <v>581.3</v>
      </c>
      <c r="H33" s="93" t="n">
        <v>243.87</v>
      </c>
      <c r="I33" s="93" t="n">
        <v>3</v>
      </c>
      <c r="J33" s="93" t="n">
        <v>0</v>
      </c>
    </row>
    <row r="34" customFormat="false" ht="15" hidden="false" customHeight="false" outlineLevel="0" collapsed="false">
      <c r="A34" s="18" t="s">
        <v>444</v>
      </c>
      <c r="B34" s="74" t="s">
        <v>445</v>
      </c>
      <c r="C34" s="93" t="n">
        <v>1913.16</v>
      </c>
      <c r="D34" s="93" t="n">
        <v>2553.94</v>
      </c>
      <c r="E34" s="93" t="n">
        <v>3822.06</v>
      </c>
      <c r="F34" s="93" t="n">
        <v>5542.72</v>
      </c>
      <c r="G34" s="93" t="n">
        <v>4502.27</v>
      </c>
      <c r="H34" s="93" t="n">
        <v>4038.44</v>
      </c>
      <c r="I34" s="93" t="n">
        <v>976</v>
      </c>
      <c r="J34" s="93" t="n">
        <v>950</v>
      </c>
    </row>
    <row r="35" customFormat="false" ht="15" hidden="false" customHeight="false" outlineLevel="0" collapsed="false">
      <c r="A35" s="18" t="s">
        <v>446</v>
      </c>
      <c r="B35" s="74" t="s">
        <v>447</v>
      </c>
      <c r="C35" s="93" t="n">
        <v>3914.37</v>
      </c>
      <c r="D35" s="93" t="n">
        <v>5300.94</v>
      </c>
      <c r="E35" s="93" t="n">
        <v>7313.27</v>
      </c>
      <c r="F35" s="93" t="n">
        <v>9604</v>
      </c>
      <c r="G35" s="93" t="n">
        <v>7230.85</v>
      </c>
      <c r="H35" s="93" t="n">
        <v>7163.48</v>
      </c>
      <c r="I35" s="93" t="n">
        <v>1741</v>
      </c>
      <c r="J35" s="93" t="n">
        <v>1736</v>
      </c>
    </row>
    <row r="36" customFormat="false" ht="15" hidden="false" customHeight="false" outlineLevel="0" collapsed="false">
      <c r="A36" s="18" t="s">
        <v>448</v>
      </c>
      <c r="B36" s="74" t="s">
        <v>449</v>
      </c>
      <c r="C36" s="93" t="n">
        <v>942.15</v>
      </c>
      <c r="D36" s="93" t="n">
        <v>1150.09</v>
      </c>
      <c r="E36" s="93" t="n">
        <v>2175.7</v>
      </c>
      <c r="F36" s="93" t="n">
        <v>3076.26</v>
      </c>
      <c r="G36" s="93" t="n">
        <v>2038.05</v>
      </c>
      <c r="H36" s="93" t="n">
        <v>2227.68</v>
      </c>
      <c r="I36" s="93" t="n">
        <v>375</v>
      </c>
      <c r="J36" s="93" t="n">
        <v>429</v>
      </c>
    </row>
    <row r="37" customFormat="false" ht="15" hidden="false" customHeight="false" outlineLevel="0" collapsed="false">
      <c r="A37" s="18" t="s">
        <v>450</v>
      </c>
      <c r="B37" s="74" t="s">
        <v>451</v>
      </c>
      <c r="C37" s="93" t="n">
        <v>8.88</v>
      </c>
      <c r="D37" s="93" t="n">
        <v>7.76</v>
      </c>
      <c r="E37" s="93" t="n">
        <v>9.85</v>
      </c>
      <c r="F37" s="93" t="n">
        <v>7.93</v>
      </c>
      <c r="G37" s="93" t="n">
        <v>3</v>
      </c>
      <c r="H37" s="93" t="n">
        <v>3</v>
      </c>
      <c r="I37" s="93" t="n">
        <v>0</v>
      </c>
      <c r="J37" s="93" t="n">
        <v>0</v>
      </c>
    </row>
    <row r="38" customFormat="false" ht="15" hidden="false" customHeight="false" outlineLevel="0" collapsed="false">
      <c r="A38" s="18" t="s">
        <v>452</v>
      </c>
      <c r="B38" s="74" t="s">
        <v>453</v>
      </c>
      <c r="C38" s="93" t="n">
        <v>240.64</v>
      </c>
      <c r="D38" s="93" t="n">
        <v>587.8</v>
      </c>
      <c r="E38" s="93" t="n">
        <v>381.22</v>
      </c>
      <c r="F38" s="93" t="n">
        <v>644.35</v>
      </c>
      <c r="G38" s="93" t="n">
        <v>1308.76</v>
      </c>
      <c r="H38" s="93" t="n">
        <v>558.79</v>
      </c>
      <c r="I38" s="93" t="n">
        <v>157</v>
      </c>
      <c r="J38" s="93" t="n">
        <v>131</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324.44</v>
      </c>
      <c r="D41" s="93" t="n">
        <v>319.46</v>
      </c>
      <c r="E41" s="93" t="n">
        <v>329.75</v>
      </c>
      <c r="F41" s="93" t="n">
        <v>850.34</v>
      </c>
      <c r="G41" s="93" t="n">
        <v>1582.76</v>
      </c>
      <c r="H41" s="93" t="n">
        <v>-145.73</v>
      </c>
      <c r="I41" s="93" t="n">
        <v>275</v>
      </c>
      <c r="J41" s="93" t="n">
        <v>314</v>
      </c>
    </row>
    <row r="42" customFormat="false" ht="15" hidden="false" customHeight="false" outlineLevel="0" collapsed="false">
      <c r="A42" s="18" t="s">
        <v>457</v>
      </c>
      <c r="B42" s="74" t="s">
        <v>458</v>
      </c>
      <c r="C42" s="93" t="n">
        <v>-294.51</v>
      </c>
      <c r="D42" s="93" t="n">
        <v>-997.97</v>
      </c>
      <c r="E42" s="93" t="n">
        <v>43.89</v>
      </c>
      <c r="F42" s="93" t="n">
        <v>-563.28</v>
      </c>
      <c r="G42" s="93" t="n">
        <v>-382.02</v>
      </c>
      <c r="H42" s="93" t="n">
        <v>-316.51</v>
      </c>
      <c r="I42" s="93" t="n">
        <v>146</v>
      </c>
      <c r="J42" s="93" t="n">
        <v>56</v>
      </c>
    </row>
    <row r="43" customFormat="false" ht="15" hidden="false" customHeight="false" outlineLevel="0" collapsed="false">
      <c r="A43" s="18" t="s">
        <v>459</v>
      </c>
      <c r="B43" s="74" t="s">
        <v>460</v>
      </c>
      <c r="C43" s="93" t="n">
        <v>-74.63</v>
      </c>
      <c r="D43" s="93" t="n">
        <v>738.27</v>
      </c>
      <c r="E43" s="93" t="n">
        <v>-316.08</v>
      </c>
      <c r="F43" s="93" t="n">
        <v>-18.79</v>
      </c>
      <c r="G43" s="93" t="n">
        <v>-856.61</v>
      </c>
      <c r="H43" s="93" t="n">
        <v>-46.47</v>
      </c>
      <c r="I43" s="93" t="n">
        <v>-435</v>
      </c>
      <c r="J43" s="93" t="n">
        <v>-373</v>
      </c>
    </row>
    <row r="44" customFormat="false" ht="15" hidden="false" customHeight="false" outlineLevel="0" collapsed="false">
      <c r="A44" s="18" t="s">
        <v>461</v>
      </c>
      <c r="B44" s="74" t="s">
        <v>462</v>
      </c>
      <c r="C44" s="93" t="n">
        <v>-44.7</v>
      </c>
      <c r="D44" s="93" t="n">
        <v>59.76</v>
      </c>
      <c r="E44" s="93" t="n">
        <v>57.56</v>
      </c>
      <c r="F44" s="93" t="n">
        <v>268.27</v>
      </c>
      <c r="G44" s="93" t="n">
        <v>344.13</v>
      </c>
      <c r="H44" s="93" t="n">
        <v>-508.71</v>
      </c>
      <c r="I44" s="93" t="n">
        <v>-14</v>
      </c>
      <c r="J44" s="93" t="n">
        <v>-3</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7.82</v>
      </c>
      <c r="D47" s="93" t="n">
        <v>3.97</v>
      </c>
      <c r="E47" s="93" t="n">
        <v>8.38</v>
      </c>
      <c r="F47" s="93" t="n">
        <v>24.33</v>
      </c>
      <c r="G47" s="93" t="n">
        <v>24.14</v>
      </c>
      <c r="H47" s="93" t="n">
        <v>24.94</v>
      </c>
      <c r="I47" s="93" t="n">
        <v>9.96</v>
      </c>
      <c r="J47" s="93" t="n">
        <v>7.18</v>
      </c>
    </row>
    <row r="48" customFormat="false" ht="15" hidden="false" customHeight="false" outlineLevel="0" collapsed="false">
      <c r="A48" s="99" t="s">
        <v>467</v>
      </c>
      <c r="B48" s="74" t="s">
        <v>468</v>
      </c>
      <c r="C48" s="93" t="n">
        <v>98.28</v>
      </c>
      <c r="D48" s="93" t="n">
        <v>98.28</v>
      </c>
      <c r="E48" s="93" t="n">
        <v>98.28</v>
      </c>
      <c r="F48" s="93" t="n">
        <v>98.28</v>
      </c>
      <c r="G48" s="93" t="n">
        <v>98.28</v>
      </c>
      <c r="H48" s="93" t="n">
        <v>98.28</v>
      </c>
      <c r="I48" s="93" t="n">
        <v>149.7778</v>
      </c>
      <c r="J48" s="93" t="n">
        <v>149.78</v>
      </c>
    </row>
    <row r="49" customFormat="false" ht="15" hidden="false" customHeight="false" outlineLevel="0" collapsed="false">
      <c r="A49" s="99" t="s">
        <v>469</v>
      </c>
      <c r="C49" s="100" t="n">
        <v>0</v>
      </c>
      <c r="D49" s="100" t="n">
        <v>0</v>
      </c>
      <c r="E49" s="100" t="n">
        <v>0</v>
      </c>
      <c r="F49" s="100" t="n">
        <v>0</v>
      </c>
      <c r="G49" s="100" t="n">
        <v>0</v>
      </c>
      <c r="H49" s="100" t="n">
        <v>0</v>
      </c>
      <c r="I49" s="100" t="n">
        <v>0</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5014.98</v>
      </c>
      <c r="D52" s="44" t="n">
        <f aca="false">IFERROR((((D10+D12)+D13)-D11),"N/M")</f>
        <v>5395.79</v>
      </c>
      <c r="E52" s="44" t="n">
        <f aca="false">IFERROR((((E10+E12)+E13)-E11),"N/M")</f>
        <v>8114.35</v>
      </c>
      <c r="F52" s="44" t="n">
        <f aca="false">IFERROR((((F10+F12)+F13)-F11),"N/M")</f>
        <v>15658.9</v>
      </c>
      <c r="G52" s="44" t="n">
        <f aca="false">IFERROR((((G10+G12)+G13)-G11),"N/M")</f>
        <v>14375.58</v>
      </c>
      <c r="H52" s="44" t="n">
        <f aca="false">IFERROR((((H10+H12)+H13)-H11),"N/M")</f>
        <v>9936.81</v>
      </c>
      <c r="I52" s="44" t="n">
        <f aca="false">IFERROR((((I10+I12)+I13)-I11),"N/M")</f>
        <v>1415</v>
      </c>
      <c r="J52" s="44" t="n">
        <f aca="false">IFERROR((((J10+J12)+J13)-J11),"N/M")</f>
        <v>1508</v>
      </c>
    </row>
    <row r="53" customFormat="false" ht="15" hidden="false" customHeight="false" outlineLevel="0" collapsed="false">
      <c r="A53" s="18" t="s">
        <v>473</v>
      </c>
      <c r="B53" s="19" t="s">
        <v>474</v>
      </c>
      <c r="C53" s="44" t="n">
        <f aca="false">IFERROR(((C14+C15)+C16),"N/M")</f>
        <v>1422.97</v>
      </c>
      <c r="D53" s="44" t="n">
        <f aca="false">IFERROR(((D14+D15)+D16),"N/M")</f>
        <v>1435.3</v>
      </c>
      <c r="E53" s="44" t="n">
        <f aca="false">IFERROR(((E14+E15)+E16),"N/M")</f>
        <v>1740.66</v>
      </c>
      <c r="F53" s="44" t="n">
        <f aca="false">IFERROR(((F14+F15)+F16),"N/M")</f>
        <v>2121.9</v>
      </c>
      <c r="G53" s="44" t="n">
        <f aca="false">IFERROR(((G14+G15)+G16),"N/M")</f>
        <v>2534.99</v>
      </c>
      <c r="H53" s="44" t="n">
        <f aca="false">IFERROR(((H14+H15)+H16),"N/M")</f>
        <v>2561.17</v>
      </c>
      <c r="I53" s="44" t="n">
        <f aca="false">IFERROR(((I14+I15)+I16),"N/M")</f>
        <v>344</v>
      </c>
      <c r="J53" s="44" t="n">
        <f aca="false">IFERROR(((J14+J15)+J16),"N/M")</f>
        <v>315</v>
      </c>
    </row>
    <row r="54" customFormat="false" ht="15" hidden="false" customHeight="false" outlineLevel="0" collapsed="false">
      <c r="A54" s="18" t="s">
        <v>475</v>
      </c>
      <c r="B54" s="19" t="s">
        <v>476</v>
      </c>
      <c r="C54" s="44" t="n">
        <f aca="false">IFERROR((C52+C53),"N/M")</f>
        <v>6437.95</v>
      </c>
      <c r="D54" s="44" t="n">
        <f aca="false">IFERROR((D52+D53),"N/M")</f>
        <v>6831.09</v>
      </c>
      <c r="E54" s="44" t="n">
        <f aca="false">IFERROR((E52+E53),"N/M")</f>
        <v>9855.01</v>
      </c>
      <c r="F54" s="44" t="n">
        <f aca="false">IFERROR((F52+F53),"N/M")</f>
        <v>17780.8</v>
      </c>
      <c r="G54" s="44" t="n">
        <f aca="false">IFERROR((G52+G53),"N/M")</f>
        <v>16910.57</v>
      </c>
      <c r="H54" s="44" t="n">
        <f aca="false">IFERROR((H52+H53),"N/M")</f>
        <v>12497.98</v>
      </c>
      <c r="I54" s="44" t="n">
        <f aca="false">IFERROR((I52+I53),"N/M")</f>
        <v>1759</v>
      </c>
      <c r="J54" s="44" t="n">
        <f aca="false">IFERROR((J52+J53),"N/M")</f>
        <v>1823</v>
      </c>
    </row>
    <row r="55" customFormat="false" ht="15" hidden="false" customHeight="false" outlineLevel="0" collapsed="false">
      <c r="A55" s="18" t="s">
        <v>477</v>
      </c>
      <c r="B55" s="19" t="s">
        <v>478</v>
      </c>
      <c r="C55" s="44" t="n">
        <f aca="false">IFERROR((C9-C52),"N/M")</f>
        <v>1879.88</v>
      </c>
      <c r="D55" s="44" t="n">
        <f aca="false">IFERROR((D9-D52),"N/M")</f>
        <v>1950.45</v>
      </c>
      <c r="E55" s="44" t="n">
        <f aca="false">IFERROR((E9-E52),"N/M")</f>
        <v>2383.75</v>
      </c>
      <c r="F55" s="44" t="n">
        <f aca="false">IFERROR((F9-F52),"N/M")</f>
        <v>3403.16</v>
      </c>
      <c r="G55" s="44" t="n">
        <f aca="false">IFERROR((G9-G52),"N/M")</f>
        <v>3675.19</v>
      </c>
      <c r="H55" s="44" t="n">
        <f aca="false">IFERROR((H9-H52),"N/M")</f>
        <v>3031.87</v>
      </c>
      <c r="I55" s="44" t="n">
        <f aca="false">IFERROR((I9-I52),"N/M")</f>
        <v>546</v>
      </c>
      <c r="J55" s="44" t="n">
        <f aca="false">IFERROR((J9-J52),"N/M")</f>
        <v>550</v>
      </c>
    </row>
    <row r="56" customFormat="false" ht="15" hidden="false" customHeight="false" outlineLevel="0" collapsed="false">
      <c r="A56" s="18" t="s">
        <v>479</v>
      </c>
      <c r="B56" s="19" t="s">
        <v>480</v>
      </c>
      <c r="C56" s="44" t="n">
        <f aca="false">IFERROR((C9-C54),"N/M")</f>
        <v>456.910000000001</v>
      </c>
      <c r="D56" s="44" t="n">
        <f aca="false">IFERROR((D9-D54),"N/M")</f>
        <v>515.15</v>
      </c>
      <c r="E56" s="44" t="n">
        <f aca="false">IFERROR((E9-E54),"N/M")</f>
        <v>643.09</v>
      </c>
      <c r="F56" s="44" t="n">
        <f aca="false">IFERROR((F9-F54),"N/M")</f>
        <v>1281.26</v>
      </c>
      <c r="G56" s="44" t="n">
        <f aca="false">IFERROR((G9-G54),"N/M")</f>
        <v>1140.2</v>
      </c>
      <c r="H56" s="44" t="n">
        <f aca="false">IFERROR((H9-H54),"N/M")</f>
        <v>470.699999999999</v>
      </c>
      <c r="I56" s="44" t="n">
        <f aca="false">IFERROR((I9-I54),"N/M")</f>
        <v>202</v>
      </c>
      <c r="J56" s="44" t="n">
        <f aca="false">IFERROR((J9-J54),"N/M")</f>
        <v>235</v>
      </c>
    </row>
    <row r="57" customFormat="false" ht="15" hidden="false" customHeight="false" outlineLevel="0" collapsed="false">
      <c r="A57" s="18" t="s">
        <v>481</v>
      </c>
      <c r="B57" s="19" t="s">
        <v>482</v>
      </c>
      <c r="C57" s="44" t="n">
        <f aca="false">IFERROR((C9+C17),"N/M")</f>
        <v>6932.02</v>
      </c>
      <c r="D57" s="44" t="n">
        <f aca="false">IFERROR((D9+D17),"N/M")</f>
        <v>7442.82</v>
      </c>
      <c r="E57" s="44" t="n">
        <f aca="false">IFERROR((E9+E17),"N/M")</f>
        <v>10463.43</v>
      </c>
      <c r="F57" s="44" t="n">
        <f aca="false">IFERROR((F9+F17),"N/M")</f>
        <v>19336.19</v>
      </c>
      <c r="G57" s="44" t="n">
        <f aca="false">IFERROR((G9+G17),"N/M")</f>
        <v>18169.49</v>
      </c>
      <c r="H57" s="44" t="n">
        <f aca="false">IFERROR((H9+H17),"N/M")</f>
        <v>13201.95</v>
      </c>
      <c r="I57" s="44" t="n">
        <f aca="false">IFERROR((I9+I17),"N/M")</f>
        <v>2031</v>
      </c>
      <c r="J57" s="44" t="n">
        <f aca="false">IFERROR((J9+J17),"N/M")</f>
        <v>2093</v>
      </c>
    </row>
    <row r="58" customFormat="false" ht="15" hidden="false" customHeight="false" outlineLevel="0" collapsed="false">
      <c r="A58" s="18" t="s">
        <v>483</v>
      </c>
      <c r="B58" s="19" t="s">
        <v>484</v>
      </c>
      <c r="C58" s="44" t="n">
        <f aca="false">IFERROR((C20+C19),"N/M")</f>
        <v>338.14</v>
      </c>
      <c r="D58" s="44" t="n">
        <f aca="false">IFERROR((D20+D19),"N/M")</f>
        <v>380.13</v>
      </c>
      <c r="E58" s="44" t="n">
        <f aca="false">IFERROR((E20+E19),"N/M")</f>
        <v>302.33</v>
      </c>
      <c r="F58" s="44" t="n">
        <f aca="false">IFERROR((F20+F19),"N/M")</f>
        <v>1317.82</v>
      </c>
      <c r="G58" s="44" t="n">
        <f aca="false">IFERROR((G20+G19),"N/M")</f>
        <v>980.91</v>
      </c>
      <c r="H58" s="44" t="n">
        <f aca="false">IFERROR((H20+H19),"N/M")</f>
        <v>303.95</v>
      </c>
      <c r="I58" s="44" t="n">
        <f aca="false">IFERROR((I20+I19),"N/M")</f>
        <v>90</v>
      </c>
      <c r="J58" s="44" t="n">
        <f aca="false">IFERROR((J20+J19),"N/M")</f>
        <v>66</v>
      </c>
    </row>
    <row r="59" customFormat="false" ht="15" hidden="false" customHeight="false" outlineLevel="0" collapsed="false">
      <c r="A59" s="18" t="s">
        <v>485</v>
      </c>
      <c r="B59" s="19" t="s">
        <v>486</v>
      </c>
      <c r="C59" s="44" t="n">
        <f aca="false">IFERROR((C58+C18),"N/M")</f>
        <v>494.07</v>
      </c>
      <c r="D59" s="44" t="n">
        <f aca="false">IFERROR((D58+D18),"N/M")</f>
        <v>611.73</v>
      </c>
      <c r="E59" s="44" t="n">
        <f aca="false">IFERROR((E58+E18),"N/M")</f>
        <v>608.42</v>
      </c>
      <c r="F59" s="44" t="n">
        <f aca="false">IFERROR((F58+F18),"N/M")</f>
        <v>1555.39</v>
      </c>
      <c r="G59" s="44" t="n">
        <f aca="false">IFERROR((G58+G18),"N/M")</f>
        <v>1258.92</v>
      </c>
      <c r="H59" s="44" t="n">
        <f aca="false">IFERROR((H58+H18),"N/M")</f>
        <v>703.97</v>
      </c>
      <c r="I59" s="44" t="n">
        <f aca="false">IFERROR((I58+I18),"N/M")</f>
        <v>272</v>
      </c>
      <c r="J59" s="44" t="n">
        <f aca="false">IFERROR((J58+J18),"N/M")</f>
        <v>270</v>
      </c>
    </row>
    <row r="60" customFormat="false" ht="15" hidden="false" customHeight="false" outlineLevel="0" collapsed="false">
      <c r="A60" s="18" t="s">
        <v>487</v>
      </c>
      <c r="B60" s="19" t="s">
        <v>488</v>
      </c>
      <c r="C60" s="46" t="n">
        <f aca="false">IFERROR(IF(C20&gt;0,MIN(MAX((C21/C20),0),1),0),"N/M")</f>
        <v>0.179555084745763</v>
      </c>
      <c r="D60" s="46" t="n">
        <f aca="false">IFERROR(IF(D20&gt;0,MIN(MAX((D21/D20),0),1),0),"N/M")</f>
        <v>0.232778941854374</v>
      </c>
      <c r="E60" s="46" t="n">
        <f aca="false">IFERROR(IF(E20&gt;0,MIN(MAX((E21/E20),0),1),0),"N/M")</f>
        <v>0.40212471712346</v>
      </c>
      <c r="F60" s="46" t="n">
        <f aca="false">IFERROR(IF(F20&gt;0,MIN(MAX((F21/F20),0),1),0),"N/M")</f>
        <v>0.210394479416508</v>
      </c>
      <c r="G60" s="46" t="n">
        <f aca="false">IFERROR(IF(G20&gt;0,MIN(MAX((G21/G20),0),1),0),"N/M")</f>
        <v>0.270433578305448</v>
      </c>
      <c r="H60" s="46" t="n">
        <f aca="false">IFERROR(IF(H20&gt;0,MIN(MAX((H21/H20),0),1),0),"N/M")</f>
        <v>0.148470287695396</v>
      </c>
      <c r="I60" s="46" t="n">
        <f aca="false">IFERROR(IF(I20&gt;0,MIN(MAX((I21/I20),0),1),0),"N/M")</f>
        <v>0</v>
      </c>
      <c r="J60" s="46" t="n">
        <f aca="false">IFERROR(IF(J20&gt;0,MIN(MAX((J21/J20),0),1),0),"N/M")</f>
        <v>0</v>
      </c>
    </row>
    <row r="61" customFormat="false" ht="15" hidden="false" customHeight="false" outlineLevel="0" collapsed="false">
      <c r="A61" s="18" t="s">
        <v>489</v>
      </c>
      <c r="B61" s="19" t="s">
        <v>490</v>
      </c>
      <c r="C61" s="44" t="n">
        <f aca="false">IFERROR((C26+C27),"N/M")</f>
        <v>1998.78</v>
      </c>
      <c r="D61" s="44" t="n">
        <f aca="false">IFERROR((D26+D27),"N/M")</f>
        <v>2145.7</v>
      </c>
      <c r="E61" s="44" t="n">
        <f aca="false">IFERROR((E26+E27),"N/M")</f>
        <v>2283.54</v>
      </c>
      <c r="F61" s="44" t="n">
        <f aca="false">IFERROR((F26+F27),"N/M")</f>
        <v>3161.76</v>
      </c>
      <c r="G61" s="44" t="n">
        <f aca="false">IFERROR((G26+G27),"N/M")</f>
        <v>2814.22</v>
      </c>
      <c r="H61" s="44" t="n">
        <f aca="false">IFERROR((H26+H27),"N/M")</f>
        <v>2521.63</v>
      </c>
      <c r="I61" s="44" t="n">
        <f aca="false">IFERROR((I26+I27),"N/M")</f>
        <v>562</v>
      </c>
      <c r="J61" s="44" t="n">
        <f aca="false">IFERROR((J26+J27),"N/M")</f>
        <v>574</v>
      </c>
    </row>
    <row r="62" customFormat="false" ht="15" hidden="false" customHeight="false" outlineLevel="0" collapsed="false">
      <c r="A62" s="18" t="s">
        <v>491</v>
      </c>
      <c r="B62" s="19" t="s">
        <v>492</v>
      </c>
      <c r="C62" s="44" t="n">
        <f aca="false">IFERROR((C61+C28),"N/M")</f>
        <v>2597.02</v>
      </c>
      <c r="D62" s="44" t="n">
        <f aca="false">IFERROR((D61+D28),"N/M")</f>
        <v>3749.04</v>
      </c>
      <c r="E62" s="44" t="n">
        <f aca="false">IFERROR((E61+E28),"N/M")</f>
        <v>4348.91</v>
      </c>
      <c r="F62" s="44" t="n">
        <f aca="false">IFERROR((F61+F28),"N/M")</f>
        <v>5479.07</v>
      </c>
      <c r="G62" s="44" t="n">
        <f aca="false">IFERROR((G61+G28),"N/M")</f>
        <v>3993.72</v>
      </c>
      <c r="H62" s="44" t="n">
        <f aca="false">IFERROR((H61+H28),"N/M")</f>
        <v>4367.77</v>
      </c>
      <c r="I62" s="44" t="n">
        <f aca="false">IFERROR((I61+I28),"N/M")</f>
        <v>1343</v>
      </c>
      <c r="J62" s="44" t="n">
        <f aca="false">IFERROR((J61+J28),"N/M")</f>
        <v>1267</v>
      </c>
    </row>
    <row r="63" customFormat="false" ht="15" hidden="false" customHeight="false" outlineLevel="0" collapsed="false">
      <c r="A63" s="18" t="s">
        <v>493</v>
      </c>
      <c r="B63" s="19" t="s">
        <v>494</v>
      </c>
      <c r="C63" s="44" t="n">
        <f aca="false">IFERROR(C34,"N/M")</f>
        <v>1913.16</v>
      </c>
      <c r="D63" s="44" t="n">
        <f aca="false">IFERROR(D34,"N/M")</f>
        <v>2553.94</v>
      </c>
      <c r="E63" s="44" t="n">
        <f aca="false">IFERROR(E34,"N/M")</f>
        <v>3822.06</v>
      </c>
      <c r="F63" s="44" t="n">
        <f aca="false">IFERROR(F34,"N/M")</f>
        <v>5542.72</v>
      </c>
      <c r="G63" s="44" t="n">
        <f aca="false">IFERROR(G34,"N/M")</f>
        <v>4502.27</v>
      </c>
      <c r="H63" s="44" t="n">
        <f aca="false">IFERROR(H34,"N/M")</f>
        <v>4038.44</v>
      </c>
      <c r="I63" s="44" t="n">
        <f aca="false">IFERROR(I34,"N/M")</f>
        <v>976</v>
      </c>
      <c r="J63" s="44" t="n">
        <f aca="false">IFERROR(J34,"N/M")</f>
        <v>950</v>
      </c>
    </row>
    <row r="64" customFormat="false" ht="15" hidden="false" customHeight="false" outlineLevel="0" collapsed="false">
      <c r="A64" s="18" t="s">
        <v>495</v>
      </c>
      <c r="B64" s="19" t="s">
        <v>496</v>
      </c>
      <c r="C64" s="44" t="n">
        <f aca="false">IFERROR(C29,"N/M")</f>
        <v>1317.35</v>
      </c>
      <c r="D64" s="44" t="n">
        <f aca="false">IFERROR(D29,"N/M")</f>
        <v>1551.9</v>
      </c>
      <c r="E64" s="44" t="n">
        <f aca="false">IFERROR(E29,"N/M")</f>
        <v>2964.36</v>
      </c>
      <c r="F64" s="44" t="n">
        <f aca="false">IFERROR(F29,"N/M")</f>
        <v>4124.93</v>
      </c>
      <c r="G64" s="44" t="n">
        <f aca="false">IFERROR(G29,"N/M")</f>
        <v>3237.13</v>
      </c>
      <c r="H64" s="44" t="n">
        <f aca="false">IFERROR(H29,"N/M")</f>
        <v>2795.71</v>
      </c>
      <c r="I64" s="44" t="n">
        <f aca="false">IFERROR(I29,"N/M")</f>
        <v>398</v>
      </c>
      <c r="J64" s="44" t="n">
        <f aca="false">IFERROR(J29,"N/M")</f>
        <v>469</v>
      </c>
    </row>
    <row r="65" customFormat="false" ht="15" hidden="false" customHeight="false" outlineLevel="0" collapsed="false">
      <c r="A65" s="18" t="s">
        <v>497</v>
      </c>
      <c r="B65" s="19" t="s">
        <v>498</v>
      </c>
      <c r="C65" s="44" t="n">
        <f aca="false">IFERROR((C63-C64),"N/M")</f>
        <v>595.81</v>
      </c>
      <c r="D65" s="44" t="n">
        <f aca="false">IFERROR((D63-D64),"N/M")</f>
        <v>1002.04</v>
      </c>
      <c r="E65" s="44" t="n">
        <f aca="false">IFERROR((E63-E64),"N/M")</f>
        <v>857.7</v>
      </c>
      <c r="F65" s="44" t="n">
        <f aca="false">IFERROR((F63-F64),"N/M")</f>
        <v>1417.79</v>
      </c>
      <c r="G65" s="44" t="n">
        <f aca="false">IFERROR((G63-G64),"N/M")</f>
        <v>1265.14</v>
      </c>
      <c r="H65" s="44" t="n">
        <f aca="false">IFERROR((H63-H64),"N/M")</f>
        <v>1242.73</v>
      </c>
      <c r="I65" s="44" t="n">
        <f aca="false">IFERROR((I63-I64),"N/M")</f>
        <v>578</v>
      </c>
      <c r="J65" s="44" t="n">
        <f aca="false">IFERROR((J63-J64),"N/M")</f>
        <v>481</v>
      </c>
    </row>
    <row r="66" customFormat="false" ht="15" hidden="false" customHeight="false" outlineLevel="0" collapsed="false">
      <c r="A66" s="18" t="s">
        <v>499</v>
      </c>
      <c r="B66" s="19" t="s">
        <v>500</v>
      </c>
      <c r="C66" s="44" t="n">
        <f aca="false">IFERROR((C36+C38),"N/M")</f>
        <v>1182.79</v>
      </c>
      <c r="D66" s="44" t="n">
        <f aca="false">IFERROR((D36+D38),"N/M")</f>
        <v>1737.89</v>
      </c>
      <c r="E66" s="44" t="n">
        <f aca="false">IFERROR((E36+E38),"N/M")</f>
        <v>2556.92</v>
      </c>
      <c r="F66" s="44" t="n">
        <f aca="false">IFERROR((F36+F38),"N/M")</f>
        <v>3720.61</v>
      </c>
      <c r="G66" s="44" t="n">
        <f aca="false">IFERROR((G36+G38),"N/M")</f>
        <v>3346.81</v>
      </c>
      <c r="H66" s="44" t="n">
        <f aca="false">IFERROR((H36+H38),"N/M")</f>
        <v>2786.47</v>
      </c>
      <c r="I66" s="44" t="n">
        <f aca="false">IFERROR((I36+I38),"N/M")</f>
        <v>532</v>
      </c>
      <c r="J66" s="44" t="n">
        <f aca="false">IFERROR((J36+J38),"N/M")</f>
        <v>560</v>
      </c>
    </row>
    <row r="67" customFormat="false" ht="15" hidden="false" customHeight="false" outlineLevel="0" collapsed="false">
      <c r="A67" s="18" t="s">
        <v>501</v>
      </c>
      <c r="B67" s="19" t="s">
        <v>502</v>
      </c>
      <c r="D67" s="44" t="n">
        <f aca="false">IFERROR((((D31+D32)-(C31+C32))+D18),"N/M")</f>
        <v>707.01</v>
      </c>
      <c r="E67" s="44" t="n">
        <f aca="false">IFERROR((((E31+E32)-(D31+D32))+E18),"N/M")</f>
        <v>1236</v>
      </c>
      <c r="F67" s="44" t="n">
        <f aca="false">IFERROR((((F31+F32)-(E31+E32))+F18),"N/M")</f>
        <v>565.06</v>
      </c>
      <c r="G67" s="44" t="n">
        <f aca="false">IFERROR((((G31+G32)-(F31+F32))+G18),"N/M")</f>
        <v>-1069.35</v>
      </c>
      <c r="H67" s="44" t="n">
        <f aca="false">IFERROR((((H31+H32)-(G31+G32))+H18),"N/M")</f>
        <v>1133.91</v>
      </c>
      <c r="I67" s="44" t="n">
        <f aca="false">IFERROR((((I31+I32)-(H31+H32))+I18),"N/M")</f>
        <v>-1937.17</v>
      </c>
      <c r="J67" s="44" t="n">
        <f aca="false">IFERROR((((J31+J32)-(I31+I32))+J18),"N/M")</f>
        <v>228</v>
      </c>
    </row>
    <row r="68" customFormat="false" ht="15" hidden="false" customHeight="false" outlineLevel="0" collapsed="false">
      <c r="A68" s="18" t="s">
        <v>503</v>
      </c>
      <c r="B68" s="19" t="s">
        <v>504</v>
      </c>
      <c r="D68" s="44" t="n">
        <f aca="false">IFERROR(MAX((C28-D28),0),"N/M")</f>
        <v>0</v>
      </c>
      <c r="E68" s="44" t="n">
        <f aca="false">IFERROR(MAX((D28-E28),0),"N/M")</f>
        <v>0</v>
      </c>
      <c r="F68" s="44" t="n">
        <f aca="false">IFERROR(MAX((E28-F28),0),"N/M")</f>
        <v>0</v>
      </c>
      <c r="G68" s="44" t="n">
        <f aca="false">IFERROR(MAX((F28-G28),0),"N/M")</f>
        <v>1137.81</v>
      </c>
      <c r="H68" s="44" t="n">
        <f aca="false">IFERROR(MAX((G28-H28),0),"N/M")</f>
        <v>0</v>
      </c>
      <c r="I68" s="44" t="n">
        <f aca="false">IFERROR(MAX((H28-I28),0),"N/M")</f>
        <v>1065.14</v>
      </c>
      <c r="J68" s="44" t="n">
        <f aca="false">IFERROR(MAX((I28-J28),0),"N/M")</f>
        <v>88</v>
      </c>
    </row>
    <row r="69" customFormat="false" ht="15" hidden="false" customHeight="false" outlineLevel="0" collapsed="false">
      <c r="A69" s="18" t="s">
        <v>505</v>
      </c>
      <c r="B69" s="19" t="s">
        <v>506</v>
      </c>
      <c r="C69" s="44" t="n">
        <f aca="false">IFERROR((C47*C48),"N/M")</f>
        <v>768.5496</v>
      </c>
      <c r="D69" s="44" t="n">
        <f aca="false">IFERROR((D47*D48),"N/M")</f>
        <v>390.1716</v>
      </c>
      <c r="E69" s="44" t="n">
        <f aca="false">IFERROR((E47*E48),"N/M")</f>
        <v>823.5864</v>
      </c>
      <c r="F69" s="44" t="n">
        <f aca="false">IFERROR((F47*F48),"N/M")</f>
        <v>2391.1524</v>
      </c>
      <c r="G69" s="44" t="n">
        <f aca="false">IFERROR((G47*G48),"N/M")</f>
        <v>2372.4792</v>
      </c>
      <c r="H69" s="44" t="n">
        <f aca="false">IFERROR((H47*H48),"N/M")</f>
        <v>2451.1032</v>
      </c>
      <c r="I69" s="44" t="n">
        <f aca="false">IFERROR((I47*I48),"N/M")</f>
        <v>1491.786888</v>
      </c>
      <c r="J69" s="44" t="n">
        <f aca="false">IFERROR((J47*J48),"N/M")</f>
        <v>1075.4204</v>
      </c>
    </row>
    <row r="70" customFormat="false" ht="15" hidden="false" customHeight="false" outlineLevel="0" collapsed="false">
      <c r="A70" s="18" t="s">
        <v>507</v>
      </c>
      <c r="B70" s="19" t="s">
        <v>508</v>
      </c>
      <c r="C70" s="44" t="n">
        <f aca="false">IFERROR(((C69+C28)-C38),"N/M")</f>
        <v>1126.1496</v>
      </c>
      <c r="D70" s="44" t="n">
        <f aca="false">IFERROR(((D69+D28)-D38),"N/M")</f>
        <v>1405.7116</v>
      </c>
      <c r="E70" s="44" t="n">
        <f aca="false">IFERROR(((E69+E28)-E38),"N/M")</f>
        <v>2507.7364</v>
      </c>
      <c r="F70" s="44" t="n">
        <f aca="false">IFERROR(((F69+F28)-F38),"N/M")</f>
        <v>4064.1124</v>
      </c>
      <c r="G70" s="44" t="n">
        <f aca="false">IFERROR(((G69+G28)-G38),"N/M")</f>
        <v>2243.2192</v>
      </c>
      <c r="H70" s="44" t="n">
        <f aca="false">IFERROR(((H69+H28)-H38),"N/M")</f>
        <v>3738.4532</v>
      </c>
      <c r="I70" s="44" t="n">
        <f aca="false">IFERROR(((I69+I28)-I38),"N/M")</f>
        <v>2115.786888</v>
      </c>
      <c r="J70" s="44" t="n">
        <f aca="false">IFERROR(((J69+J28)-J38),"N/M")</f>
        <v>1637.4204</v>
      </c>
    </row>
    <row r="71" customFormat="false" ht="15" hidden="false" customHeight="false" outlineLevel="0" collapsed="false">
      <c r="A71" s="18" t="s">
        <v>509</v>
      </c>
      <c r="C71" s="44" t="n">
        <f aca="false">IFERROR(IF(C49=1,C69,0),"N/M")</f>
        <v>0</v>
      </c>
      <c r="D71" s="44" t="n">
        <f aca="false">IFERROR(IF(D49=1,D69,0),"N/M")</f>
        <v>0</v>
      </c>
      <c r="E71" s="44" t="n">
        <f aca="false">IFERROR(IF(E49=1,E69,0),"N/M")</f>
        <v>0</v>
      </c>
      <c r="F71" s="44" t="n">
        <f aca="false">IFERROR(IF(F49=1,F69,0),"N/M")</f>
        <v>0</v>
      </c>
      <c r="G71" s="44" t="n">
        <f aca="false">IFERROR(IF(G49=1,G69,0),"N/M")</f>
        <v>0</v>
      </c>
      <c r="H71" s="44" t="n">
        <f aca="false">IFERROR(IF(H49=1,H69,0),"N/M")</f>
        <v>0</v>
      </c>
      <c r="I71" s="44" t="n">
        <f aca="false">IFERROR(IF(I49=1,I69,0),"N/M")</f>
        <v>0</v>
      </c>
      <c r="J71" s="44" t="n">
        <f aca="false">IFERROR(IF(J49=1,J69,0),"N/M")</f>
        <v>1075.4204</v>
      </c>
    </row>
    <row r="72" customFormat="false" ht="15" hidden="false" customHeight="false" outlineLevel="0" collapsed="false">
      <c r="A72" s="18" t="s">
        <v>510</v>
      </c>
      <c r="C72" s="44" t="n">
        <f aca="false">IFERROR(IF(C49=1,C22,0),"N/M")</f>
        <v>0</v>
      </c>
      <c r="D72" s="44" t="n">
        <f aca="false">IFERROR(IF(D49=1,D22,0),"N/M")</f>
        <v>0</v>
      </c>
      <c r="E72" s="44" t="n">
        <f aca="false">IFERROR(IF(E49=1,E22,0),"N/M")</f>
        <v>0</v>
      </c>
      <c r="F72" s="44" t="n">
        <f aca="false">IFERROR(IF(F49=1,F22,0),"N/M")</f>
        <v>0</v>
      </c>
      <c r="G72" s="44" t="n">
        <f aca="false">IFERROR(IF(G49=1,G22,0),"N/M")</f>
        <v>0</v>
      </c>
      <c r="H72" s="44" t="n">
        <f aca="false">IFERROR(IF(H49=1,H22,0),"N/M")</f>
        <v>0</v>
      </c>
      <c r="I72" s="44" t="n">
        <f aca="false">IFERROR(IF(I49=1,I22,0),"N/M")</f>
        <v>0</v>
      </c>
      <c r="J72" s="44" t="n">
        <f aca="false">IFERROR(IF(J49=1,J22,0),"N/M")</f>
        <v>8</v>
      </c>
    </row>
    <row r="73" customFormat="false" ht="15" hidden="false" customHeight="false" outlineLevel="0" collapsed="false">
      <c r="A73" s="18" t="s">
        <v>511</v>
      </c>
      <c r="C73" s="44" t="n">
        <f aca="false">IFERROR(IF(C49=1,C61,0),"N/M")</f>
        <v>0</v>
      </c>
      <c r="D73" s="44" t="n">
        <f aca="false">IFERROR(IF(D49=1,D61,0),"N/M")</f>
        <v>0</v>
      </c>
      <c r="E73" s="44" t="n">
        <f aca="false">IFERROR(IF(E49=1,E61,0),"N/M")</f>
        <v>0</v>
      </c>
      <c r="F73" s="44" t="n">
        <f aca="false">IFERROR(IF(F49=1,F61,0),"N/M")</f>
        <v>0</v>
      </c>
      <c r="G73" s="44" t="n">
        <f aca="false">IFERROR(IF(G49=1,G61,0),"N/M")</f>
        <v>0</v>
      </c>
      <c r="H73" s="44" t="n">
        <f aca="false">IFERROR(IF(H49=1,H61,0),"N/M")</f>
        <v>0</v>
      </c>
      <c r="I73" s="44" t="n">
        <f aca="false">IFERROR(IF(I49=1,I61,0),"N/M")</f>
        <v>0</v>
      </c>
      <c r="J73" s="44" t="n">
        <f aca="false">IFERROR(IF(J49=1,J61,0),"N/M")</f>
        <v>574</v>
      </c>
    </row>
    <row r="74" customFormat="false" ht="15" hidden="false" customHeight="false" outlineLevel="0" collapsed="false">
      <c r="A74" s="18" t="s">
        <v>512</v>
      </c>
      <c r="C74" s="44" t="n">
        <f aca="false">IFERROR(IF(C49=1,C59,0),"N/M")</f>
        <v>0</v>
      </c>
      <c r="D74" s="44" t="n">
        <f aca="false">IFERROR(IF(D49=1,D59,0),"N/M")</f>
        <v>0</v>
      </c>
      <c r="E74" s="44" t="n">
        <f aca="false">IFERROR(IF(E49=1,E59,0),"N/M")</f>
        <v>0</v>
      </c>
      <c r="F74" s="44" t="n">
        <f aca="false">IFERROR(IF(F49=1,F59,0),"N/M")</f>
        <v>0</v>
      </c>
      <c r="G74" s="44" t="n">
        <f aca="false">IFERROR(IF(G49=1,G59,0),"N/M")</f>
        <v>0</v>
      </c>
      <c r="H74" s="44" t="n">
        <f aca="false">IFERROR(IF(H49=1,H59,0),"N/M")</f>
        <v>0</v>
      </c>
      <c r="I74" s="44" t="n">
        <f aca="false">IFERROR(IF(I49=1,I59,0),"N/M")</f>
        <v>0</v>
      </c>
      <c r="J74" s="44" t="n">
        <f aca="false">IFERROR(IF(J49=1,J59,0),"N/M")</f>
        <v>270</v>
      </c>
    </row>
    <row r="75" customFormat="false" ht="15" hidden="false" customHeight="false" outlineLevel="0" collapsed="false">
      <c r="A75" s="18" t="s">
        <v>513</v>
      </c>
      <c r="C75" s="44" t="n">
        <f aca="false">IFERROR(IF(C49=1,C23,0),"N/M")</f>
        <v>0</v>
      </c>
      <c r="D75" s="44" t="n">
        <f aca="false">IFERROR(IF(D49=1,D23,0),"N/M")</f>
        <v>0</v>
      </c>
      <c r="E75" s="44" t="n">
        <f aca="false">IFERROR(IF(E49=1,E23,0),"N/M")</f>
        <v>0</v>
      </c>
      <c r="F75" s="44" t="n">
        <f aca="false">IFERROR(IF(F49=1,F23,0),"N/M")</f>
        <v>0</v>
      </c>
      <c r="G75" s="44" t="n">
        <f aca="false">IFERROR(IF(G49=1,G23,0),"N/M")</f>
        <v>0</v>
      </c>
      <c r="H75" s="44" t="n">
        <f aca="false">IFERROR(IF(H49=1,H23,0),"N/M")</f>
        <v>0</v>
      </c>
      <c r="I75" s="44" t="n">
        <f aca="false">IFERROR(IF(I49=1,I23,0),"N/M")</f>
        <v>0</v>
      </c>
      <c r="J75" s="44" t="n">
        <f aca="false">IFERROR(IF(J49=1,J23,0),"N/M")</f>
        <v>0</v>
      </c>
    </row>
    <row r="76" customFormat="false" ht="15" hidden="false" customHeight="false" outlineLevel="0" collapsed="false">
      <c r="A76" s="18" t="s">
        <v>514</v>
      </c>
      <c r="C76" s="44" t="n">
        <f aca="false">IFERROR(IF(C49=1,(C28-C38),0),"N/M")</f>
        <v>0</v>
      </c>
      <c r="D76" s="44" t="n">
        <f aca="false">IFERROR(IF(D49=1,(D28-D38),0),"N/M")</f>
        <v>0</v>
      </c>
      <c r="E76" s="44" t="n">
        <f aca="false">IFERROR(IF(E49=1,(E28-E38),0),"N/M")</f>
        <v>0</v>
      </c>
      <c r="F76" s="44" t="n">
        <f aca="false">IFERROR(IF(F49=1,(F28-F38),0),"N/M")</f>
        <v>0</v>
      </c>
      <c r="G76" s="44" t="n">
        <f aca="false">IFERROR(IF(G49=1,(G28-G38),0),"N/M")</f>
        <v>0</v>
      </c>
      <c r="H76" s="44" t="n">
        <f aca="false">IFERROR(IF(H49=1,(H28-H38),0),"N/M")</f>
        <v>0</v>
      </c>
      <c r="I76" s="44" t="n">
        <f aca="false">IFERROR(IF(I49=1,(I28-I38),0),"N/M")</f>
        <v>0</v>
      </c>
      <c r="J76" s="44" t="n">
        <f aca="false">IFERROR(IF(J49=1,(J28-J38),0),"N/M")</f>
        <v>562</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1002.04</v>
      </c>
      <c r="E79" s="79" t="n">
        <f aca="false">IFERROR(E65,"N/M")</f>
        <v>857.7</v>
      </c>
      <c r="F79" s="79" t="n">
        <f aca="false">IFERROR(F65,"N/M")</f>
        <v>1417.79</v>
      </c>
      <c r="G79" s="79" t="n">
        <f aca="false">IFERROR(G65,"N/M")</f>
        <v>1265.14</v>
      </c>
      <c r="H79" s="79" t="n">
        <f aca="false">IFERROR(H65,"N/M")</f>
        <v>1242.73</v>
      </c>
      <c r="I79" s="79" t="n">
        <f aca="false">IFERROR(I65,"N/M")</f>
        <v>578</v>
      </c>
      <c r="J79" s="79" t="n">
        <f aca="false">IFERROR(J65,"N/M")</f>
        <v>481</v>
      </c>
      <c r="K79" s="80" t="n">
        <f aca="false">IFERROR(AVERAGE(D79:J79),"N/M")</f>
        <v>977.771428571429</v>
      </c>
      <c r="L79" s="81" t="n">
        <f aca="false">IFERROR(J79-D79,"N/M")</f>
        <v>-521.04</v>
      </c>
      <c r="M79" s="81" t="n">
        <f aca="false">IFERROR(SLOPE(D79:J79,$D$3:$J$3),"N/M")</f>
        <v>-82.0564285714286</v>
      </c>
    </row>
    <row r="80" customFormat="false" ht="15" hidden="false" customHeight="false" outlineLevel="0" collapsed="false">
      <c r="A80" s="18" t="s">
        <v>119</v>
      </c>
      <c r="B80" s="19" t="s">
        <v>517</v>
      </c>
      <c r="D80" s="47" t="n">
        <f aca="false">IFERROR(IF(D64&lt;=0,"N/M",D63/D64),"N/M")</f>
        <v>1.645685933372</v>
      </c>
      <c r="E80" s="47" t="n">
        <f aca="false">IFERROR(IF(E64&lt;=0,"N/M",E63/E64),"N/M")</f>
        <v>1.28933732745011</v>
      </c>
      <c r="F80" s="47" t="n">
        <f aca="false">IFERROR(IF(F64&lt;=0,"N/M",F63/F64),"N/M")</f>
        <v>1.34371249936363</v>
      </c>
      <c r="G80" s="47" t="n">
        <f aca="false">IFERROR(IF(G64&lt;=0,"N/M",G63/G64),"N/M")</f>
        <v>1.39082149929104</v>
      </c>
      <c r="H80" s="47" t="n">
        <f aca="false">IFERROR(IF(H64&lt;=0,"N/M",H63/H64),"N/M")</f>
        <v>1.44451320058232</v>
      </c>
      <c r="I80" s="47" t="n">
        <f aca="false">IFERROR(IF(I64&lt;=0,"N/M",I63/I64),"N/M")</f>
        <v>2.45226130653266</v>
      </c>
      <c r="J80" s="47" t="n">
        <f aca="false">IFERROR(IF(J64&lt;=0,"N/M",J63/J64),"N/M")</f>
        <v>2.02558635394456</v>
      </c>
      <c r="K80" s="22" t="n">
        <f aca="false">IFERROR(AVERAGE(D80:J80),"N/M")</f>
        <v>1.65598830293376</v>
      </c>
      <c r="L80" s="82" t="n">
        <f aca="false">IFERROR(J80-D80,"N/M")</f>
        <v>0.379900420572568</v>
      </c>
      <c r="M80" s="83" t="n">
        <f aca="false">IFERROR(SLOPE(D80:J80,$D$3:$J$3),"N/M")</f>
        <v>0.12736964003934</v>
      </c>
    </row>
    <row r="81" customFormat="false" ht="15" hidden="false" customHeight="false" outlineLevel="0" collapsed="false">
      <c r="A81" s="18" t="s">
        <v>121</v>
      </c>
      <c r="B81" s="19" t="s">
        <v>518</v>
      </c>
      <c r="D81" s="47" t="n">
        <f aca="false">IFERROR(IF(D64&lt;=0,"N/M",D66/D64),"N/M")</f>
        <v>1.11984663960307</v>
      </c>
      <c r="E81" s="47" t="n">
        <f aca="false">IFERROR(IF(E64&lt;=0,"N/M",E66/E64),"N/M")</f>
        <v>0.862553805880527</v>
      </c>
      <c r="F81" s="47" t="n">
        <f aca="false">IFERROR(IF(F64&lt;=0,"N/M",F66/F64),"N/M")</f>
        <v>0.90198136695653</v>
      </c>
      <c r="G81" s="47" t="n">
        <f aca="false">IFERROR(IF(G64&lt;=0,"N/M",G66/G64),"N/M")</f>
        <v>1.03388186449108</v>
      </c>
      <c r="H81" s="47" t="n">
        <f aca="false">IFERROR(IF(H64&lt;=0,"N/M",H66/H64),"N/M")</f>
        <v>0.99669493617006</v>
      </c>
      <c r="I81" s="47" t="n">
        <f aca="false">IFERROR(IF(I64&lt;=0,"N/M",I66/I64),"N/M")</f>
        <v>1.33668341708543</v>
      </c>
      <c r="J81" s="47" t="n">
        <f aca="false">IFERROR(IF(J64&lt;=0,"N/M",J66/J64),"N/M")</f>
        <v>1.19402985074627</v>
      </c>
      <c r="K81" s="22" t="n">
        <f aca="false">IFERROR(AVERAGE(D81:J81),"N/M")</f>
        <v>1.06366741156185</v>
      </c>
      <c r="L81" s="82" t="n">
        <f aca="false">IFERROR(J81-D81,"N/M")</f>
        <v>0.0741832111432015</v>
      </c>
      <c r="M81" s="83" t="n">
        <f aca="false">IFERROR(SLOPE(D81:J81,$D$3:$J$3),"N/M")</f>
        <v>0.0451972294661762</v>
      </c>
    </row>
    <row r="82" customFormat="false" ht="15" hidden="false" customHeight="false" outlineLevel="0" collapsed="false">
      <c r="A82" s="18" t="s">
        <v>519</v>
      </c>
      <c r="B82" s="19" t="s">
        <v>520</v>
      </c>
      <c r="D82" s="47" t="n">
        <f aca="false">IFERROR(IF(D64&lt;=0,"N/M",D38/D64),"N/M")</f>
        <v>0.378761518139055</v>
      </c>
      <c r="E82" s="47" t="n">
        <f aca="false">IFERROR(IF(E64&lt;=0,"N/M",E38/E64),"N/M")</f>
        <v>0.128601114574478</v>
      </c>
      <c r="F82" s="47" t="n">
        <f aca="false">IFERROR(IF(F64&lt;=0,"N/M",F38/F64),"N/M")</f>
        <v>0.156208711420557</v>
      </c>
      <c r="G82" s="47" t="n">
        <f aca="false">IFERROR(IF(G64&lt;=0,"N/M",G38/G64),"N/M")</f>
        <v>0.404296398352862</v>
      </c>
      <c r="H82" s="47" t="n">
        <f aca="false">IFERROR(IF(H64&lt;=0,"N/M",H38/H64),"N/M")</f>
        <v>0.199874092806478</v>
      </c>
      <c r="I82" s="47" t="n">
        <f aca="false">IFERROR(IF(I64&lt;=0,"N/M",I38/I64),"N/M")</f>
        <v>0.394472361809045</v>
      </c>
      <c r="J82" s="47" t="n">
        <f aca="false">IFERROR(IF(J64&lt;=0,"N/M",J38/J64),"N/M")</f>
        <v>0.279317697228145</v>
      </c>
      <c r="K82" s="22" t="n">
        <f aca="false">IFERROR(AVERAGE(D82:J82),"N/M")</f>
        <v>0.277361699190089</v>
      </c>
      <c r="L82" s="82" t="n">
        <f aca="false">IFERROR(J82-D82,"N/M")</f>
        <v>-0.0994438209109103</v>
      </c>
      <c r="M82" s="83" t="n">
        <f aca="false">IFERROR(SLOPE(D82:J82,$D$3:$J$3),"N/M")</f>
        <v>0.00989558618294015</v>
      </c>
    </row>
    <row r="83" customFormat="false" ht="15" hidden="false" customHeight="false" outlineLevel="0" collapsed="false">
      <c r="A83" s="18" t="s">
        <v>521</v>
      </c>
      <c r="B83" s="19" t="s">
        <v>522</v>
      </c>
      <c r="D83" s="48" t="n">
        <f aca="false">IFERROR(IF((D54/365)&lt;=0,"N/M",D66/(D54/365)),"N/M")</f>
        <v>92.8592435467839</v>
      </c>
      <c r="E83" s="48" t="n">
        <f aca="false">IFERROR(IF((E54/365)&lt;=0,"N/M",E66/(E54/365)),"N/M")</f>
        <v>94.700644646733</v>
      </c>
      <c r="F83" s="48" t="n">
        <f aca="false">IFERROR(IF((F54/365)&lt;=0,"N/M",F66/(F54/365)),"N/M")</f>
        <v>76.3757901781697</v>
      </c>
      <c r="G83" s="48" t="n">
        <f aca="false">IFERROR(IF((G54/365)&lt;=0,"N/M",G66/(G54/365)),"N/M")</f>
        <v>72.2379937518369</v>
      </c>
      <c r="H83" s="48" t="n">
        <f aca="false">IFERROR(IF((H54/365)&lt;=0,"N/M",H66/(H54/365)),"N/M")</f>
        <v>81.378074696871</v>
      </c>
      <c r="I83" s="48" t="n">
        <f aca="false">IFERROR(IF((I54/365)&lt;=0,"N/M",I66/(I54/365)),"N/M")</f>
        <v>110.392268334281</v>
      </c>
      <c r="J83" s="48" t="n">
        <f aca="false">IFERROR(IF((J54/365)&lt;=0,"N/M",J66/(J54/365)),"N/M")</f>
        <v>112.122874382885</v>
      </c>
      <c r="K83" s="28" t="n">
        <f aca="false">IFERROR(AVERAGE(D83:J83),"N/M")</f>
        <v>91.4381270767944</v>
      </c>
      <c r="L83" s="84" t="n">
        <f aca="false">IFERROR(J83-D83,"N/M")</f>
        <v>19.2636308361015</v>
      </c>
      <c r="M83" s="85" t="n">
        <f aca="false">IFERROR(SLOPE(D83:J83,$D$3:$J$3),"N/M")</f>
        <v>3.36344372864648</v>
      </c>
    </row>
    <row r="84" customFormat="false" ht="15" hidden="false" customHeight="false" outlineLevel="0" collapsed="false">
      <c r="A84" s="18" t="s">
        <v>122</v>
      </c>
      <c r="B84" s="19" t="s">
        <v>523</v>
      </c>
      <c r="D84" s="47" t="n">
        <f aca="false">IFERROR(IF(D64&lt;=0,"N/M",D41/D64),"N/M")</f>
        <v>0.205850892454411</v>
      </c>
      <c r="E84" s="47" t="n">
        <f aca="false">IFERROR(IF(E64&lt;=0,"N/M",E41/E64),"N/M")</f>
        <v>0.111238176199922</v>
      </c>
      <c r="F84" s="47" t="n">
        <f aca="false">IFERROR(IF(F64&lt;=0,"N/M",F41/F64),"N/M")</f>
        <v>0.206146528547151</v>
      </c>
      <c r="G84" s="47" t="n">
        <f aca="false">IFERROR(IF(G64&lt;=0,"N/M",G41/G64),"N/M")</f>
        <v>0.48893927645785</v>
      </c>
      <c r="H84" s="47" t="n">
        <f aca="false">IFERROR(IF(H64&lt;=0,"N/M",H41/H64),"N/M")</f>
        <v>-0.0521262934996834</v>
      </c>
      <c r="I84" s="47" t="n">
        <f aca="false">IFERROR(IF(I64&lt;=0,"N/M",I41/I64),"N/M")</f>
        <v>0.690954773869347</v>
      </c>
      <c r="J84" s="47" t="n">
        <f aca="false">IFERROR(IF(J64&lt;=0,"N/M",J41/J64),"N/M")</f>
        <v>0.669509594882729</v>
      </c>
      <c r="K84" s="22" t="n">
        <f aca="false">IFERROR(AVERAGE(D84:J84),"N/M")</f>
        <v>0.331501849844532</v>
      </c>
      <c r="L84" s="82" t="n">
        <f aca="false">IFERROR(J84-D84,"N/M")</f>
        <v>0.463658702428319</v>
      </c>
      <c r="M84" s="83" t="n">
        <f aca="false">IFERROR(SLOPE(D84:J84,$D$3:$J$3),"N/M")</f>
        <v>0.0818620171634633</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0.7472340028895</v>
      </c>
      <c r="E87" s="47" t="n">
        <f aca="false">IFERROR(IF(E61&lt;=0,"N/M",E28/E61),"N/M")</f>
        <v>0.904459742329891</v>
      </c>
      <c r="F87" s="47" t="n">
        <f aca="false">IFERROR(IF(F61&lt;=0,"N/M",F28/F61),"N/M")</f>
        <v>0.732917742017105</v>
      </c>
      <c r="G87" s="47" t="n">
        <f aca="false">IFERROR(IF(G61&lt;=0,"N/M",G28/G61),"N/M")</f>
        <v>0.419121461719411</v>
      </c>
      <c r="H87" s="47" t="n">
        <f aca="false">IFERROR(IF(H61&lt;=0,"N/M",H28/H61),"N/M")</f>
        <v>0.73212168319698</v>
      </c>
      <c r="I87" s="47" t="n">
        <f aca="false">IFERROR(IF(I61&lt;=0,"N/M",I28/I61),"N/M")</f>
        <v>1.38967971530249</v>
      </c>
      <c r="J87" s="47" t="n">
        <f aca="false">IFERROR(IF(J61&lt;=0,"N/M",J28/J61),"N/M")</f>
        <v>1.20731707317073</v>
      </c>
      <c r="K87" s="22" t="n">
        <f aca="false">IFERROR(AVERAGE(D87:J87),"N/M")</f>
        <v>0.876121631518016</v>
      </c>
      <c r="L87" s="82" t="n">
        <f aca="false">IFERROR(J87-D87,"N/M")</f>
        <v>0.460083070281232</v>
      </c>
      <c r="M87" s="83" t="n">
        <f aca="false">IFERROR(SLOPE(D87:J87,$D$3:$J$3),"N/M")</f>
        <v>0.0839247534988847</v>
      </c>
    </row>
    <row r="88" customFormat="false" ht="15" hidden="false" customHeight="false" outlineLevel="0" collapsed="false">
      <c r="A88" s="18" t="s">
        <v>526</v>
      </c>
      <c r="B88" s="19" t="s">
        <v>527</v>
      </c>
      <c r="D88" s="47" t="n">
        <f aca="false">IFERROR(IF(D61&lt;=0,"N/M",(D28+D29)/D61),"N/M")</f>
        <v>1.47049447732675</v>
      </c>
      <c r="E88" s="47" t="n">
        <f aca="false">IFERROR(IF(E61&lt;=0,"N/M",(E28+E29)/E61),"N/M")</f>
        <v>2.20260210024786</v>
      </c>
      <c r="F88" s="47" t="n">
        <f aca="false">IFERROR(IF(F61&lt;=0,"N/M",(F28+F29)/F61),"N/M")</f>
        <v>2.03754870704924</v>
      </c>
      <c r="G88" s="47" t="n">
        <f aca="false">IFERROR(IF(G61&lt;=0,"N/M",(G28+G29)/G61),"N/M")</f>
        <v>1.56939755953692</v>
      </c>
      <c r="H88" s="47" t="n">
        <f aca="false">IFERROR(IF(H61&lt;=0,"N/M",(H28+H29)/H61),"N/M")</f>
        <v>1.84081328347141</v>
      </c>
      <c r="I88" s="47" t="n">
        <f aca="false">IFERROR(IF(I61&lt;=0,"N/M",(I28+I29)/I61),"N/M")</f>
        <v>2.09786476868327</v>
      </c>
      <c r="J88" s="47" t="n">
        <f aca="false">IFERROR(IF(J61&lt;=0,"N/M",(J28+J29)/J61),"N/M")</f>
        <v>2.02439024390244</v>
      </c>
      <c r="K88" s="22" t="n">
        <f aca="false">IFERROR(AVERAGE(D88:J88),"N/M")</f>
        <v>1.89187302003113</v>
      </c>
      <c r="L88" s="82" t="n">
        <f aca="false">IFERROR(J88-D88,"N/M")</f>
        <v>0.553895766575693</v>
      </c>
      <c r="M88" s="83" t="n">
        <f aca="false">IFERROR(SLOPE(D88:J88,$D$3:$J$3),"N/M")</f>
        <v>0.044838471893574</v>
      </c>
    </row>
    <row r="89" customFormat="false" ht="15" hidden="false" customHeight="false" outlineLevel="0" collapsed="false">
      <c r="A89" s="18" t="s">
        <v>528</v>
      </c>
      <c r="B89" s="19" t="s">
        <v>529</v>
      </c>
      <c r="D89" s="47" t="n">
        <f aca="false">IFERROR(IF(D35&lt;=0,"N/M",D28/D35),"N/M")</f>
        <v>0.302463336691228</v>
      </c>
      <c r="E89" s="47" t="n">
        <f aca="false">IFERROR(IF(E35&lt;=0,"N/M",E28/E35),"N/M")</f>
        <v>0.282414022728547</v>
      </c>
      <c r="F89" s="47" t="n">
        <f aca="false">IFERROR(IF(F35&lt;=0,"N/M",F28/F35),"N/M")</f>
        <v>0.241285922532278</v>
      </c>
      <c r="G89" s="47" t="n">
        <f aca="false">IFERROR(IF(G35&lt;=0,"N/M",G28/G35),"N/M")</f>
        <v>0.163120518334636</v>
      </c>
      <c r="H89" s="47" t="n">
        <f aca="false">IFERROR(IF(H35&lt;=0,"N/M",H28/H35),"N/M")</f>
        <v>0.257715523739858</v>
      </c>
      <c r="I89" s="47" t="n">
        <f aca="false">IFERROR(IF(I35&lt;=0,"N/M",I28/I35),"N/M")</f>
        <v>0.448592762780012</v>
      </c>
      <c r="J89" s="47" t="n">
        <f aca="false">IFERROR(IF(J35&lt;=0,"N/M",J28/J35),"N/M")</f>
        <v>0.399193548387097</v>
      </c>
      <c r="K89" s="22" t="n">
        <f aca="false">IFERROR(AVERAGE(D89:J89),"N/M")</f>
        <v>0.299255090741951</v>
      </c>
      <c r="L89" s="82" t="n">
        <f aca="false">IFERROR(J89-D89,"N/M")</f>
        <v>0.0967302116958684</v>
      </c>
      <c r="M89" s="83" t="n">
        <f aca="false">IFERROR(SLOPE(D89:J89,$D$3:$J$3),"N/M")</f>
        <v>0.0228206327285041</v>
      </c>
    </row>
    <row r="90" customFormat="false" ht="15" hidden="false" customHeight="false" outlineLevel="0" collapsed="false">
      <c r="A90" s="18" t="s">
        <v>530</v>
      </c>
      <c r="B90" s="19" t="s">
        <v>531</v>
      </c>
      <c r="D90" s="47" t="n">
        <f aca="false">IFERROR(IF(D62&lt;=0,"N/M",D28/D62),"N/M")</f>
        <v>0.427666816038239</v>
      </c>
      <c r="E90" s="47" t="n">
        <f aca="false">IFERROR(IF(E62&lt;=0,"N/M",E28/E62),"N/M")</f>
        <v>0.474916703265876</v>
      </c>
      <c r="F90" s="47" t="n">
        <f aca="false">IFERROR(IF(F62&lt;=0,"N/M",F28/F62),"N/M")</f>
        <v>0.422938564391402</v>
      </c>
      <c r="G90" s="47" t="n">
        <f aca="false">IFERROR(IF(G62&lt;=0,"N/M",G28/G62),"N/M")</f>
        <v>0.295338681730317</v>
      </c>
      <c r="H90" s="47" t="n">
        <f aca="false">IFERROR(IF(H62&lt;=0,"N/M",H28/H62),"N/M")</f>
        <v>0.422673355053036</v>
      </c>
      <c r="I90" s="47" t="n">
        <f aca="false">IFERROR(IF(I62&lt;=0,"N/M",I28/I62),"N/M")</f>
        <v>0.581533879374535</v>
      </c>
      <c r="J90" s="47" t="n">
        <f aca="false">IFERROR(IF(J62&lt;=0,"N/M",J28/J62),"N/M")</f>
        <v>0.546961325966851</v>
      </c>
      <c r="K90" s="22" t="n">
        <f aca="false">IFERROR(AVERAGE(D90:J90),"N/M")</f>
        <v>0.453147046545751</v>
      </c>
      <c r="L90" s="82" t="n">
        <f aca="false">IFERROR(J90-D90,"N/M")</f>
        <v>0.119294509928612</v>
      </c>
      <c r="M90" s="83" t="n">
        <f aca="false">IFERROR(SLOPE(D90:J90,$D$3:$J$3),"N/M")</f>
        <v>0.0203875954523138</v>
      </c>
    </row>
    <row r="91" customFormat="false" ht="15" hidden="false" customHeight="false" outlineLevel="0" collapsed="false">
      <c r="A91" s="18" t="s">
        <v>125</v>
      </c>
      <c r="B91" s="19" t="s">
        <v>532</v>
      </c>
      <c r="D91" s="46" t="n">
        <f aca="false">IFERROR(IF(D35=0,"N/M",D61/D35),"N/M")</f>
        <v>0.404777265918875</v>
      </c>
      <c r="E91" s="46" t="n">
        <f aca="false">IFERROR(IF(E35=0,"N/M",E61/E35),"N/M")</f>
        <v>0.312246095112036</v>
      </c>
      <c r="F91" s="46" t="n">
        <f aca="false">IFERROR(IF(F35=0,"N/M",F61/F35),"N/M")</f>
        <v>0.329212827988338</v>
      </c>
      <c r="G91" s="46" t="n">
        <f aca="false">IFERROR(IF(G35=0,"N/M",G61/G35),"N/M")</f>
        <v>0.389196290892495</v>
      </c>
      <c r="H91" s="46" t="n">
        <f aca="false">IFERROR(IF(H35=0,"N/M",H61/H35),"N/M")</f>
        <v>0.35201187132511</v>
      </c>
      <c r="I91" s="46" t="n">
        <f aca="false">IFERROR(IF(I35=0,"N/M",I61/I35),"N/M")</f>
        <v>0.322802986789202</v>
      </c>
      <c r="J91" s="46" t="n">
        <f aca="false">IFERROR(IF(J35=0,"N/M",J61/J35),"N/M")</f>
        <v>0.330645161290323</v>
      </c>
      <c r="K91" s="25" t="n">
        <f aca="false">IFERROR(AVERAGE(D91:J91),"N/M")</f>
        <v>0.348698928473768</v>
      </c>
      <c r="L91" s="86" t="n">
        <f aca="false">IFERROR(J91-D91,"N/M")</f>
        <v>-0.0741321046285522</v>
      </c>
      <c r="M91" s="87" t="n">
        <f aca="false">IFERROR(SLOPE(D91:J91,$D$3:$J$3),"N/M")</f>
        <v>-0.00637441025694834</v>
      </c>
    </row>
    <row r="92" customFormat="false" ht="15" hidden="false" customHeight="false" outlineLevel="0" collapsed="false">
      <c r="A92" s="18" t="s">
        <v>533</v>
      </c>
      <c r="B92" s="19" t="s">
        <v>534</v>
      </c>
      <c r="D92" s="47" t="n">
        <f aca="false">IFERROR(IF(D61&lt;=0,"N/M",D28/D61),"N/M")</f>
        <v>0.7472340028895</v>
      </c>
      <c r="E92" s="47" t="n">
        <f aca="false">IFERROR(IF(E61&lt;=0,"N/M",E28/E61),"N/M")</f>
        <v>0.904459742329891</v>
      </c>
      <c r="F92" s="47" t="n">
        <f aca="false">IFERROR(IF(F61&lt;=0,"N/M",F28/F61),"N/M")</f>
        <v>0.732917742017105</v>
      </c>
      <c r="G92" s="47" t="n">
        <f aca="false">IFERROR(IF(G61&lt;=0,"N/M",G28/G61),"N/M")</f>
        <v>0.419121461719411</v>
      </c>
      <c r="H92" s="47" t="n">
        <f aca="false">IFERROR(IF(H61&lt;=0,"N/M",H28/H61),"N/M")</f>
        <v>0.73212168319698</v>
      </c>
      <c r="I92" s="47" t="n">
        <f aca="false">IFERROR(IF(I61&lt;=0,"N/M",I28/I61),"N/M")</f>
        <v>1.38967971530249</v>
      </c>
      <c r="J92" s="47" t="n">
        <f aca="false">IFERROR(IF(J61&lt;=0,"N/M",J28/J61),"N/M")</f>
        <v>1.20731707317073</v>
      </c>
      <c r="K92" s="22" t="n">
        <f aca="false">IFERROR(AVERAGE(D92:J92),"N/M")</f>
        <v>0.876121631518016</v>
      </c>
      <c r="L92" s="82" t="n">
        <f aca="false">IFERROR(J92-D92,"N/M")</f>
        <v>0.460083070281232</v>
      </c>
      <c r="M92" s="83" t="n">
        <f aca="false">IFERROR(SLOPE(D92:J92,$D$3:$J$3),"N/M")</f>
        <v>0.0839247534988847</v>
      </c>
    </row>
    <row r="93" customFormat="false" ht="15" hidden="false" customHeight="false" outlineLevel="0" collapsed="false">
      <c r="A93" s="18" t="s">
        <v>126</v>
      </c>
      <c r="B93" s="19" t="s">
        <v>535</v>
      </c>
      <c r="D93" s="47" t="n">
        <f aca="false">IFERROR(IF(D59&lt;=0,"N/M",D28/D59),"N/M")</f>
        <v>2.62099292171383</v>
      </c>
      <c r="E93" s="47" t="n">
        <f aca="false">IFERROR(IF(E59&lt;=0,"N/M",E28/E59),"N/M")</f>
        <v>3.39464514644489</v>
      </c>
      <c r="F93" s="47" t="n">
        <f aca="false">IFERROR(IF(F59&lt;=0,"N/M",F28/F59),"N/M")</f>
        <v>1.4898578491568</v>
      </c>
      <c r="G93" s="47" t="n">
        <f aca="false">IFERROR(IF(G59&lt;=0,"N/M",G28/G59),"N/M")</f>
        <v>0.936914180408604</v>
      </c>
      <c r="H93" s="47" t="n">
        <f aca="false">IFERROR(IF(H59&lt;=0,"N/M",H28/H59),"N/M")</f>
        <v>2.62246970751595</v>
      </c>
      <c r="I93" s="47" t="n">
        <f aca="false">IFERROR(IF(I59&lt;=0,"N/M",I28/I59),"N/M")</f>
        <v>2.87132352941176</v>
      </c>
      <c r="J93" s="47" t="n">
        <f aca="false">IFERROR(IF(J59&lt;=0,"N/M",J28/J59),"N/M")</f>
        <v>2.56666666666667</v>
      </c>
      <c r="K93" s="22" t="n">
        <f aca="false">IFERROR(AVERAGE(D93:J93),"N/M")</f>
        <v>2.35755285733121</v>
      </c>
      <c r="L93" s="82" t="n">
        <f aca="false">IFERROR(J93-D93,"N/M")</f>
        <v>-0.0543262550471608</v>
      </c>
      <c r="M93" s="83" t="n">
        <f aca="false">IFERROR(SLOPE(D93:J93,$D$3:$J$3),"N/M")</f>
        <v>-0.00275036217316393</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5.08943633685902</v>
      </c>
      <c r="E96" s="47" t="n">
        <f aca="false">IFERROR(IF(E19&lt;=0,"N/M",E58/E19),"N/M")</f>
        <v>2.11050610820244</v>
      </c>
      <c r="F96" s="47" t="n">
        <f aca="false">IFERROR(IF(F19&lt;=0,"N/M",F58/F19),"N/M")</f>
        <v>13.6973287600042</v>
      </c>
      <c r="G96" s="47" t="n">
        <f aca="false">IFERROR(IF(G19&lt;=0,"N/M",G58/G19),"N/M")</f>
        <v>11.4632464648826</v>
      </c>
      <c r="H96" s="47" t="n">
        <f aca="false">IFERROR(IF(H19&lt;=0,"N/M",H58/H19),"N/M")</f>
        <v>2.17822846495629</v>
      </c>
      <c r="I96" s="47" t="n">
        <f aca="false">IFERROR(IF(I19&lt;=0,"N/M",I58/I19),"N/M")</f>
        <v>1.2</v>
      </c>
      <c r="J96" s="47" t="n">
        <f aca="false">IFERROR(IF(J19&lt;=0,"N/M",J58/J19),"N/M")</f>
        <v>1.06451612903226</v>
      </c>
      <c r="K96" s="22" t="n">
        <f aca="false">IFERROR(AVERAGE(D96:J96),"N/M")</f>
        <v>5.2576088948481</v>
      </c>
      <c r="L96" s="82" t="n">
        <f aca="false">IFERROR(J96-D96,"N/M")</f>
        <v>-4.02492020782676</v>
      </c>
      <c r="M96" s="83" t="n">
        <f aca="false">IFERROR(SLOPE(D96:J96,$D$3:$J$3),"N/M")</f>
        <v>-0.907674040533323</v>
      </c>
    </row>
    <row r="97" customFormat="false" ht="15" hidden="false" customHeight="false" outlineLevel="0" collapsed="false">
      <c r="A97" s="18" t="s">
        <v>538</v>
      </c>
      <c r="B97" s="19" t="s">
        <v>539</v>
      </c>
      <c r="D97" s="47" t="n">
        <f aca="false">IFERROR(IF(D19&lt;=0,"N/M",D59/D19),"N/M")</f>
        <v>8.19025304592315</v>
      </c>
      <c r="E97" s="47" t="n">
        <f aca="false">IFERROR(IF(E19&lt;=0,"N/M",E59/E19),"N/M")</f>
        <v>4.24726003490402</v>
      </c>
      <c r="F97" s="47" t="n">
        <f aca="false">IFERROR(IF(F19&lt;=0,"N/M",F59/F19),"N/M")</f>
        <v>16.1666146970169</v>
      </c>
      <c r="G97" s="47" t="n">
        <f aca="false">IFERROR(IF(G19&lt;=0,"N/M",G59/G19),"N/M")</f>
        <v>14.7121654785556</v>
      </c>
      <c r="H97" s="47" t="n">
        <f aca="false">IFERROR(IF(H19&lt;=0,"N/M",H59/H19),"N/M")</f>
        <v>5.04493335244374</v>
      </c>
      <c r="I97" s="47" t="n">
        <f aca="false">IFERROR(IF(I19&lt;=0,"N/M",I59/I19),"N/M")</f>
        <v>3.62666666666667</v>
      </c>
      <c r="J97" s="47" t="n">
        <f aca="false">IFERROR(IF(J19&lt;=0,"N/M",J59/J19),"N/M")</f>
        <v>4.35483870967742</v>
      </c>
      <c r="K97" s="22" t="n">
        <f aca="false">IFERROR(AVERAGE(D97:J97),"N/M")</f>
        <v>8.04896171216964</v>
      </c>
      <c r="L97" s="82" t="n">
        <f aca="false">IFERROR(J97-D97,"N/M")</f>
        <v>-3.83541433624573</v>
      </c>
      <c r="M97" s="83" t="n">
        <f aca="false">IFERROR(SLOPE(D97:J97,$D$3:$J$3),"N/M")</f>
        <v>-0.85246825320661</v>
      </c>
    </row>
    <row r="98" customFormat="false" ht="15" hidden="false" customHeight="false" outlineLevel="0" collapsed="false">
      <c r="A98" s="18" t="s">
        <v>540</v>
      </c>
      <c r="B98" s="19" t="s">
        <v>541</v>
      </c>
      <c r="D98" s="47" t="n">
        <f aca="false">IFERROR(IF(D23&lt;=0,"N/M",D22/D23),"N/M")</f>
        <v>3.02536969203636</v>
      </c>
      <c r="E98" s="47" t="n">
        <f aca="false">IFERROR(IF(E23&lt;=0,"N/M",E22/E23),"N/M")</f>
        <v>3.51851851851852</v>
      </c>
      <c r="F98" s="47" t="n">
        <f aca="false">IFERROR(IF(F23&lt;=0,"N/M",F22/F23),"N/M")</f>
        <v>12.5589472256139</v>
      </c>
      <c r="G98" s="47" t="n">
        <f aca="false">IFERROR(IF(G23&lt;=0,"N/M",G22/G23),"N/M")</f>
        <v>7.88465873512837</v>
      </c>
      <c r="H98" s="47" t="n">
        <f aca="false">IFERROR(IF(H23&lt;=0,"N/M",H22/H23),"N/M")</f>
        <v>1.52319902319902</v>
      </c>
      <c r="I98" s="47" t="n">
        <f aca="false">IFERROR(IF(I23&lt;=0,"N/M",I22/I23),"N/M")</f>
        <v>0.206349206349206</v>
      </c>
      <c r="J98" s="47" t="str">
        <f aca="false">IFERROR(IF(J23&lt;=0,"N/M",J22/J23),"N/M")</f>
        <v>N/M</v>
      </c>
      <c r="K98" s="22" t="n">
        <f aca="false">IFERROR(AVERAGE(D98:J98),"N/M")</f>
        <v>4.78617373347423</v>
      </c>
      <c r="L98" s="82" t="str">
        <f aca="false">IFERROR(J98-D98,"N/M")</f>
        <v>N/M</v>
      </c>
      <c r="M98" s="83" t="n">
        <f aca="false">IFERROR(SLOPE(D98:J98,$D$3:$J$3),"N/M")</f>
        <v>-0.707295697282279</v>
      </c>
    </row>
    <row r="99" customFormat="false" ht="15" hidden="false" customHeight="false" outlineLevel="0" collapsed="false">
      <c r="A99" s="18" t="s">
        <v>542</v>
      </c>
      <c r="B99" s="19" t="s">
        <v>543</v>
      </c>
      <c r="D99" s="47" t="n">
        <f aca="false">IFERROR(IF((D19+IF((1-D60)&lt;=0,"N/M",D68/(1-D60)))&lt;=0,"N/M",D59/(D19+IF((1-D60)&lt;=0,"N/M",D68/(1-D60)))),"N/M")</f>
        <v>8.19025304592315</v>
      </c>
      <c r="E99" s="47" t="n">
        <f aca="false">IFERROR(IF((E19+IF((1-E60)&lt;=0,"N/M",E68/(1-E60)))&lt;=0,"N/M",E59/(E19+IF((1-E60)&lt;=0,"N/M",E68/(1-E60)))),"N/M")</f>
        <v>4.24726003490402</v>
      </c>
      <c r="F99" s="47" t="n">
        <f aca="false">IFERROR(IF((F19+IF((1-F60)&lt;=0,"N/M",F68/(1-F60)))&lt;=0,"N/M",F59/(F19+IF((1-F60)&lt;=0,"N/M",F68/(1-F60)))),"N/M")</f>
        <v>16.1666146970169</v>
      </c>
      <c r="G99" s="47" t="n">
        <f aca="false">IFERROR(IF((G19+IF((1-G60)&lt;=0,"N/M",G68/(1-G60)))&lt;=0,"N/M",G59/(G19+IF((1-G60)&lt;=0,"N/M",G68/(1-G60)))),"N/M")</f>
        <v>0.765235724377514</v>
      </c>
      <c r="H99" s="47" t="n">
        <f aca="false">IFERROR(IF((H19+IF((1-H60)&lt;=0,"N/M",H68/(1-H60)))&lt;=0,"N/M",H59/(H19+IF((1-H60)&lt;=0,"N/M",H68/(1-H60)))),"N/M")</f>
        <v>5.04493335244374</v>
      </c>
      <c r="I99" s="47" t="n">
        <f aca="false">IFERROR(IF((I19+IF((1-I60)&lt;=0,"N/M",I68/(1-I60)))&lt;=0,"N/M",I59/(I19+IF((1-I60)&lt;=0,"N/M",I68/(1-I60)))),"N/M")</f>
        <v>0.238567193502552</v>
      </c>
      <c r="J99" s="47" t="n">
        <f aca="false">IFERROR(IF((J19+IF((1-J60)&lt;=0,"N/M",J68/(1-J60)))&lt;=0,"N/M",J59/(J19+IF((1-J60)&lt;=0,"N/M",J68/(1-J60)))),"N/M")</f>
        <v>1.8</v>
      </c>
      <c r="K99" s="22" t="n">
        <f aca="false">IFERROR(AVERAGE(D99:J99),"N/M")</f>
        <v>5.20755200688113</v>
      </c>
      <c r="L99" s="82" t="n">
        <f aca="false">IFERROR(J99-D99,"N/M")</f>
        <v>-6.39025304592315</v>
      </c>
      <c r="M99" s="83" t="n">
        <f aca="false">IFERROR(SLOPE(D99:J99,$D$3:$J$3),"N/M")</f>
        <v>-1.36820807732663</v>
      </c>
    </row>
    <row r="100" customFormat="false" ht="15" hidden="false" customHeight="false" outlineLevel="0" collapsed="false">
      <c r="A100" s="18" t="s">
        <v>544</v>
      </c>
      <c r="B100" s="19" t="s">
        <v>545</v>
      </c>
      <c r="D100" s="47" t="n">
        <f aca="false">IFERROR(IF((D19+IF((1-D60)&lt;=0,"N/M",D68/(1-D60)))&lt;=0,"N/M",(D41+D21)/(D19+IF((1-D60)&lt;=0,"N/M",D68/(1-D60)))),"N/M")</f>
        <v>5.22908019815236</v>
      </c>
      <c r="E100" s="47" t="n">
        <f aca="false">IFERROR(IF((E19+IF((1-E60)&lt;=0,"N/M",E68/(1-E60)))&lt;=0,"N/M",(E41+E21)/(E19+IF((1-E60)&lt;=0,"N/M",E68/(1-E60)))),"N/M")</f>
        <v>2.74848167539267</v>
      </c>
      <c r="F100" s="47" t="n">
        <f aca="false">IFERROR(IF((F19+IF((1-F60)&lt;=0,"N/M",F68/(1-F60)))&lt;=0,"N/M",(F41+F21)/(F19+IF((1-F60)&lt;=0,"N/M",F68/(1-F60)))),"N/M")</f>
        <v>11.5098222637979</v>
      </c>
      <c r="G100" s="47" t="n">
        <f aca="false">IFERROR(IF((G19+IF((1-G60)&lt;=0,"N/M",G68/(1-G60)))&lt;=0,"N/M",(G41+G21)/(G19+IF((1-G60)&lt;=0,"N/M",G68/(1-G60)))),"N/M")</f>
        <v>1.10926112942783</v>
      </c>
      <c r="H100" s="47" t="n">
        <f aca="false">IFERROR(IF((H19+IF((1-H60)&lt;=0,"N/M",H68/(1-H60)))&lt;=0,"N/M",(H41+H21)/(H19+IF((1-H60)&lt;=0,"N/M",H68/(1-H60)))),"N/M")</f>
        <v>-0.869428120968898</v>
      </c>
      <c r="I100" s="47" t="n">
        <f aca="false">IFERROR(IF((I19+IF((1-I60)&lt;=0,"N/M",I68/(1-I60)))&lt;=0,"N/M",(I41+I21)/(I19+IF((1-I60)&lt;=0,"N/M",I68/(1-I60)))),"N/M")</f>
        <v>0.197344185801744</v>
      </c>
      <c r="J100" s="47" t="n">
        <f aca="false">IFERROR(IF((J19+IF((1-J60)&lt;=0,"N/M",J68/(1-J60)))&lt;=0,"N/M",(J41+J21)/(J19+IF((1-J60)&lt;=0,"N/M",J68/(1-J60)))),"N/M")</f>
        <v>2.06666666666667</v>
      </c>
      <c r="K100" s="22" t="n">
        <f aca="false">IFERROR(AVERAGE(D100:J100),"N/M")</f>
        <v>3.1416039997529</v>
      </c>
      <c r="L100" s="82" t="n">
        <f aca="false">IFERROR(J100-D100,"N/M")</f>
        <v>-3.1624135314857</v>
      </c>
      <c r="M100" s="83" t="n">
        <f aca="false">IFERROR(SLOPE(D100:J100,$D$3:$J$3),"N/M")</f>
        <v>-0.963170212800207</v>
      </c>
    </row>
    <row r="101" customFormat="false" ht="15" hidden="false" customHeight="false" outlineLevel="0" collapsed="false">
      <c r="A101" s="18" t="s">
        <v>546</v>
      </c>
      <c r="B101" s="19" t="s">
        <v>547</v>
      </c>
      <c r="D101" s="47" t="n">
        <f aca="false">IFERROR(IF(D67&lt;=0,"N/M",D41/D67),"N/M")</f>
        <v>0.451846508535947</v>
      </c>
      <c r="E101" s="47" t="n">
        <f aca="false">IFERROR(IF(E67&lt;=0,"N/M",E41/E67),"N/M")</f>
        <v>0.266788025889968</v>
      </c>
      <c r="F101" s="47" t="n">
        <f aca="false">IFERROR(IF(F67&lt;=0,"N/M",F41/F67),"N/M")</f>
        <v>1.50486673981524</v>
      </c>
      <c r="G101" s="47" t="str">
        <f aca="false">IFERROR(IF(G67&lt;=0,"N/M",G41/G67),"N/M")</f>
        <v>N/M</v>
      </c>
      <c r="H101" s="47" t="n">
        <f aca="false">IFERROR(IF(H67&lt;=0,"N/M",H41/H67),"N/M")</f>
        <v>-0.128519900168444</v>
      </c>
      <c r="I101" s="47" t="str">
        <f aca="false">IFERROR(IF(I67&lt;=0,"N/M",I41/I67),"N/M")</f>
        <v>N/M</v>
      </c>
      <c r="J101" s="47" t="n">
        <f aca="false">IFERROR(IF(J67&lt;=0,"N/M",J41/J67),"N/M")</f>
        <v>1.37719298245614</v>
      </c>
      <c r="K101" s="22" t="n">
        <f aca="false">IFERROR(AVERAGE(D101:J101),"N/M")</f>
        <v>0.69443487130577</v>
      </c>
      <c r="L101" s="82" t="n">
        <f aca="false">IFERROR(J101-D101,"N/M")</f>
        <v>0.925346473920193</v>
      </c>
      <c r="M101" s="83" t="n">
        <f aca="false">IFERROR(SLOPE(D101:J101,$D$3:$J$3),"N/M")</f>
        <v>0.0861183824400216</v>
      </c>
    </row>
    <row r="102" customFormat="false" ht="15" hidden="false" customHeight="false" outlineLevel="0" collapsed="false">
      <c r="A102" s="18" t="s">
        <v>129</v>
      </c>
      <c r="B102" s="19" t="s">
        <v>548</v>
      </c>
      <c r="D102" s="47" t="n">
        <f aca="false">IFERROR(IF((D19+D68)&lt;=0,"N/M",((D22+D19)+D18)/(D19+D68)),"N/M")</f>
        <v>7.08649082875887</v>
      </c>
      <c r="E102" s="47" t="n">
        <f aca="false">IFERROR(IF((E19+E68)&lt;=0,"N/M",((E22+E19)+E18)/(E19+E68)),"N/M")</f>
        <v>4.34373472949389</v>
      </c>
      <c r="F102" s="47" t="n">
        <f aca="false">IFERROR(IF((F19+F68)&lt;=0,"N/M",((F22+F19)+F18)/(F19+F68)),"N/M")</f>
        <v>13.0911547656169</v>
      </c>
      <c r="G102" s="47" t="n">
        <f aca="false">IFERROR(IF((G19+G68)&lt;=0,"N/M",((G22+G19)+G18)/(G19+G68)),"N/M")</f>
        <v>0.811824617044582</v>
      </c>
      <c r="H102" s="47" t="n">
        <f aca="false">IFERROR(IF((H19+H68)&lt;=0,"N/M",((H22+H19)+H18)/(H19+H68)),"N/M")</f>
        <v>4.93951555109646</v>
      </c>
      <c r="I102" s="47" t="n">
        <f aca="false">IFERROR(IF((I19+I68)&lt;=0,"N/M",((I22+I19)+I18)/(I19+I68)),"N/M")</f>
        <v>0.282421457014051</v>
      </c>
      <c r="J102" s="47" t="n">
        <f aca="false">IFERROR(IF((J19+J68)&lt;=0,"N/M",((J22+J19)+J18)/(J19+J68)),"N/M")</f>
        <v>1.82666666666667</v>
      </c>
      <c r="K102" s="22" t="n">
        <f aca="false">IFERROR(AVERAGE(D102:J102),"N/M")</f>
        <v>4.62597265938449</v>
      </c>
      <c r="L102" s="82" t="n">
        <f aca="false">IFERROR(J102-D102,"N/M")</f>
        <v>-5.2598241620922</v>
      </c>
      <c r="M102" s="83" t="n">
        <f aca="false">IFERROR(SLOPE(D102:J102,$D$3:$J$3),"N/M")</f>
        <v>-1.14477636591988</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n">
        <f aca="false">IFERROR(IF(((D37+C37)/2)&lt;=0,"N/M",D52/((D37+C37)/2)),"N/M")</f>
        <v>648.532451923077</v>
      </c>
      <c r="E105" s="47" t="n">
        <f aca="false">IFERROR(IF(((E37+D37)/2)&lt;=0,"N/M",E52/((E37+D37)/2)),"N/M")</f>
        <v>921.561612720045</v>
      </c>
      <c r="F105" s="47" t="n">
        <f aca="false">IFERROR(IF(((F37+E37)/2)&lt;=0,"N/M",F52/((F37+E37)/2)),"N/M")</f>
        <v>1761.40607424072</v>
      </c>
      <c r="G105" s="47" t="n">
        <f aca="false">IFERROR(IF(((G37+F37)/2)&lt;=0,"N/M",G52/((G37+F37)/2)),"N/M")</f>
        <v>2630.48124428179</v>
      </c>
      <c r="H105" s="47" t="n">
        <f aca="false">IFERROR(IF(((H37+G37)/2)&lt;=0,"N/M",H52/((H37+G37)/2)),"N/M")</f>
        <v>3312.27</v>
      </c>
      <c r="I105" s="47" t="n">
        <f aca="false">IFERROR(IF(((I37+H37)/2)&lt;=0,"N/M",I52/((I37+H37)/2)),"N/M")</f>
        <v>943.333333333333</v>
      </c>
      <c r="J105" s="47" t="str">
        <f aca="false">IFERROR(IF(((J37+I37)/2)&lt;=0,"N/M",J52/((J37+I37)/2)),"N/M")</f>
        <v>N/M</v>
      </c>
      <c r="K105" s="22" t="n">
        <f aca="false">IFERROR(AVERAGE(D105:J105),"N/M")</f>
        <v>1702.93078608316</v>
      </c>
      <c r="L105" s="82" t="str">
        <f aca="false">IFERROR(J105-D105,"N/M")</f>
        <v>N/M</v>
      </c>
      <c r="M105" s="83" t="n">
        <f aca="false">IFERROR(SLOPE(D105:J105,$D$3:$J$3),"N/M")</f>
        <v>271.862992540921</v>
      </c>
    </row>
    <row r="106" customFormat="false" ht="15" hidden="false" customHeight="false" outlineLevel="0" collapsed="false">
      <c r="A106" s="18" t="s">
        <v>552</v>
      </c>
      <c r="B106" s="19" t="s">
        <v>553</v>
      </c>
      <c r="D106" s="48" t="n">
        <f aca="false">IFERROR(IF(D105&lt;=0,"N/M",365/D105),"N/M")</f>
        <v>0.562809153061924</v>
      </c>
      <c r="E106" s="48" t="n">
        <f aca="false">IFERROR(IF(E105&lt;=0,"N/M",365/E105),"N/M")</f>
        <v>0.396066844540844</v>
      </c>
      <c r="F106" s="48" t="n">
        <f aca="false">IFERROR(IF(F105&lt;=0,"N/M",365/F105),"N/M")</f>
        <v>0.207220813722548</v>
      </c>
      <c r="G106" s="48" t="n">
        <f aca="false">IFERROR(IF(G105&lt;=0,"N/M",365/G105),"N/M")</f>
        <v>0.138757879682072</v>
      </c>
      <c r="H106" s="48" t="n">
        <f aca="false">IFERROR(IF(H105&lt;=0,"N/M",365/H105),"N/M")</f>
        <v>0.110196330613144</v>
      </c>
      <c r="I106" s="48" t="n">
        <f aca="false">IFERROR(IF(I105&lt;=0,"N/M",365/I105),"N/M")</f>
        <v>0.386925795053004</v>
      </c>
      <c r="J106" s="48" t="str">
        <f aca="false">IFERROR(IF(J105&lt;=0,"N/M",365/J105),"N/M")</f>
        <v>N/M</v>
      </c>
      <c r="K106" s="28" t="n">
        <f aca="false">IFERROR(AVERAGE(D106:J106),"N/M")</f>
        <v>0.300329469445589</v>
      </c>
      <c r="L106" s="84" t="str">
        <f aca="false">IFERROR(J106-D106,"N/M")</f>
        <v>N/M</v>
      </c>
      <c r="M106" s="85" t="n">
        <f aca="false">IFERROR(SLOPE(D106:J106,$D$3:$J$3),"N/M")</f>
        <v>-0.0515854647390908</v>
      </c>
    </row>
    <row r="107" customFormat="false" ht="15" hidden="false" customHeight="false" outlineLevel="0" collapsed="false">
      <c r="A107" s="18" t="s">
        <v>554</v>
      </c>
      <c r="B107" s="19" t="s">
        <v>555</v>
      </c>
      <c r="D107" s="47" t="n">
        <f aca="false">IFERROR(IF(((D36+C36)/2)&lt;=0,"N/M",D9/((D36+C36)/2)),"N/M")</f>
        <v>7.02236837074141</v>
      </c>
      <c r="E107" s="47" t="n">
        <f aca="false">IFERROR(IF(((E36+D36)/2)&lt;=0,"N/M",E9/((E36+D36)/2)),"N/M")</f>
        <v>6.31314665087092</v>
      </c>
      <c r="F107" s="47" t="n">
        <f aca="false">IFERROR(IF(((F36+E36)/2)&lt;=0,"N/M",F9/((F36+E36)/2)),"N/M")</f>
        <v>7.25902710607088</v>
      </c>
      <c r="G107" s="47" t="n">
        <f aca="false">IFERROR(IF(((G36+F36)/2)&lt;=0,"N/M",G9/((G36+F36)/2)),"N/M")</f>
        <v>7.05892681515199</v>
      </c>
      <c r="H107" s="47" t="n">
        <f aca="false">IFERROR(IF(((H36+G36)/2)&lt;=0,"N/M",H9/((H36+G36)/2)),"N/M")</f>
        <v>6.08040358860031</v>
      </c>
      <c r="I107" s="47" t="n">
        <f aca="false">IFERROR(IF(((I36+H36)/2)&lt;=0,"N/M",I9/((I36+H36)/2)),"N/M")</f>
        <v>1.50690826378963</v>
      </c>
      <c r="J107" s="47" t="n">
        <f aca="false">IFERROR(IF(((J36+I36)/2)&lt;=0,"N/M",J9/((J36+I36)/2)),"N/M")</f>
        <v>5.11940298507463</v>
      </c>
      <c r="K107" s="22" t="n">
        <f aca="false">IFERROR(AVERAGE(D107:J107),"N/M")</f>
        <v>5.76574054004283</v>
      </c>
      <c r="L107" s="82" t="n">
        <f aca="false">IFERROR(J107-D107,"N/M")</f>
        <v>-1.90296538566678</v>
      </c>
      <c r="M107" s="83" t="n">
        <f aca="false">IFERROR(SLOPE(D107:J107,$D$3:$J$3),"N/M")</f>
        <v>-0.589285587451196</v>
      </c>
    </row>
    <row r="108" customFormat="false" ht="15" hidden="false" customHeight="false" outlineLevel="0" collapsed="false">
      <c r="A108" s="18" t="s">
        <v>130</v>
      </c>
      <c r="B108" s="19" t="s">
        <v>556</v>
      </c>
      <c r="D108" s="48" t="n">
        <f aca="false">IFERROR(IF(D107&lt;=0,"N/M",365/D107),"N/M")</f>
        <v>51.9767663457769</v>
      </c>
      <c r="E108" s="48" t="n">
        <f aca="false">IFERROR(IF(E107&lt;=0,"N/M",365/E107),"N/M")</f>
        <v>57.8158595364876</v>
      </c>
      <c r="F108" s="48" t="n">
        <f aca="false">IFERROR(IF(F107&lt;=0,"N/M",365/F107),"N/M")</f>
        <v>50.2822202846912</v>
      </c>
      <c r="G108" s="48" t="n">
        <f aca="false">IFERROR(IF(G107&lt;=0,"N/M",365/G107),"N/M")</f>
        <v>51.7075767404936</v>
      </c>
      <c r="H108" s="48" t="n">
        <f aca="false">IFERROR(IF(H107&lt;=0,"N/M",365/H107),"N/M")</f>
        <v>60.0289100355626</v>
      </c>
      <c r="I108" s="48" t="n">
        <f aca="false">IFERROR(IF(I107&lt;=0,"N/M",365/I107),"N/M")</f>
        <v>242.217797042325</v>
      </c>
      <c r="J108" s="48" t="n">
        <f aca="false">IFERROR(IF(J107&lt;=0,"N/M",365/J107),"N/M")</f>
        <v>71.2973760932945</v>
      </c>
      <c r="K108" s="28" t="n">
        <f aca="false">IFERROR(AVERAGE(D108:J108),"N/M")</f>
        <v>83.6180722969474</v>
      </c>
      <c r="L108" s="84" t="n">
        <f aca="false">IFERROR(J108-D108,"N/M")</f>
        <v>19.3206097475176</v>
      </c>
      <c r="M108" s="85" t="n">
        <f aca="false">IFERROR(SLOPE(D108:J108,$D$3:$J$3),"N/M")</f>
        <v>15.589728357325</v>
      </c>
    </row>
    <row r="109" customFormat="false" ht="15" hidden="false" customHeight="false" outlineLevel="0" collapsed="false">
      <c r="A109" s="18" t="s">
        <v>557</v>
      </c>
      <c r="B109" s="19" t="s">
        <v>558</v>
      </c>
      <c r="D109" s="47" t="n">
        <f aca="false">IFERROR(IF(((D29+C29)/2)&lt;=0,"N/M",D52/((D29+C29)/2)),"N/M")</f>
        <v>3.76111527402631</v>
      </c>
      <c r="E109" s="47" t="n">
        <f aca="false">IFERROR(IF(((E29+D29)/2)&lt;=0,"N/M",E52/((E29+D29)/2)),"N/M")</f>
        <v>3.59339364872704</v>
      </c>
      <c r="F109" s="47" t="n">
        <f aca="false">IFERROR(IF(((F29+E29)/2)&lt;=0,"N/M",F52/((F29+E29)/2)),"N/M")</f>
        <v>4.41762151075778</v>
      </c>
      <c r="G109" s="47" t="n">
        <f aca="false">IFERROR(IF(((G29+F29)/2)&lt;=0,"N/M",G52/((G29+F29)/2)),"N/M")</f>
        <v>3.90531454511373</v>
      </c>
      <c r="H109" s="47" t="n">
        <f aca="false">IFERROR(IF(((H29+G29)/2)&lt;=0,"N/M",H52/((H29+G29)/2)),"N/M")</f>
        <v>3.29423952897806</v>
      </c>
      <c r="I109" s="47" t="n">
        <f aca="false">IFERROR(IF(((I29+H29)/2)&lt;=0,"N/M",I52/((I29+H29)/2)),"N/M")</f>
        <v>0.886116773282483</v>
      </c>
      <c r="J109" s="47" t="n">
        <f aca="false">IFERROR(IF(((J29+I29)/2)&lt;=0,"N/M",J52/((J29+I29)/2)),"N/M")</f>
        <v>3.47866205305652</v>
      </c>
      <c r="K109" s="22" t="n">
        <f aca="false">IFERROR(AVERAGE(D109:J109),"N/M")</f>
        <v>3.33378047627742</v>
      </c>
      <c r="L109" s="82" t="n">
        <f aca="false">IFERROR(J109-D109,"N/M")</f>
        <v>-0.282453220969797</v>
      </c>
      <c r="M109" s="83" t="n">
        <f aca="false">IFERROR(SLOPE(D109:J109,$D$3:$J$3),"N/M")</f>
        <v>-0.26376054984208</v>
      </c>
    </row>
    <row r="110" customFormat="false" ht="15" hidden="false" customHeight="false" outlineLevel="0" collapsed="false">
      <c r="A110" s="18" t="s">
        <v>559</v>
      </c>
      <c r="B110" s="19" t="s">
        <v>560</v>
      </c>
      <c r="D110" s="48" t="n">
        <f aca="false">IFERROR(IF(D109&lt;=0,"N/M",365/D109),"N/M")</f>
        <v>97.0456828379162</v>
      </c>
      <c r="E110" s="48" t="n">
        <f aca="false">IFERROR(IF(E109&lt;=0,"N/M",365/E109),"N/M")</f>
        <v>101.575289456334</v>
      </c>
      <c r="F110" s="48" t="n">
        <f aca="false">IFERROR(IF(F109&lt;=0,"N/M",365/F109),"N/M")</f>
        <v>82.6236469356085</v>
      </c>
      <c r="G110" s="48" t="n">
        <f aca="false">IFERROR(IF(G109&lt;=0,"N/M",365/G109),"N/M")</f>
        <v>93.4623820395421</v>
      </c>
      <c r="H110" s="48" t="n">
        <f aca="false">IFERROR(IF(H109&lt;=0,"N/M",365/H109),"N/M")</f>
        <v>110.7994718627</v>
      </c>
      <c r="I110" s="48" t="n">
        <f aca="false">IFERROR(IF(I109&lt;=0,"N/M",365/I109),"N/M")</f>
        <v>411.909593639576</v>
      </c>
      <c r="J110" s="48" t="n">
        <f aca="false">IFERROR(IF(J109&lt;=0,"N/M",365/J109),"N/M")</f>
        <v>104.925397877984</v>
      </c>
      <c r="K110" s="28" t="n">
        <f aca="false">IFERROR(AVERAGE(D110:J110),"N/M")</f>
        <v>143.191637807094</v>
      </c>
      <c r="L110" s="84" t="n">
        <f aca="false">IFERROR(J110-D110,"N/M")</f>
        <v>7.87971504006785</v>
      </c>
      <c r="M110" s="85" t="n">
        <f aca="false">IFERROR(SLOPE(D110:J110,$D$3:$J$3),"N/M")</f>
        <v>24.017270657635</v>
      </c>
    </row>
    <row r="111" customFormat="false" ht="15" hidden="false" customHeight="false" outlineLevel="0" collapsed="false">
      <c r="A111" s="18" t="s">
        <v>561</v>
      </c>
      <c r="B111" s="19" t="s">
        <v>562</v>
      </c>
      <c r="D111" s="48" t="n">
        <f aca="false">IFERROR(((IF(ISNUMBER(D106),D106,0)+D108)-D110),"N/M")</f>
        <v>-44.5061073390774</v>
      </c>
      <c r="E111" s="48" t="n">
        <f aca="false">IFERROR(((IF(ISNUMBER(E106),E106,0)+E108)-E110),"N/M")</f>
        <v>-43.3633630753051</v>
      </c>
      <c r="F111" s="48" t="n">
        <f aca="false">IFERROR(((IF(ISNUMBER(F106),F106,0)+F108)-F110),"N/M")</f>
        <v>-32.1342058371948</v>
      </c>
      <c r="G111" s="48" t="n">
        <f aca="false">IFERROR(((IF(ISNUMBER(G106),G106,0)+G108)-G110),"N/M")</f>
        <v>-41.6160474193664</v>
      </c>
      <c r="H111" s="48" t="n">
        <f aca="false">IFERROR(((IF(ISNUMBER(H106),H106,0)+H108)-H110),"N/M")</f>
        <v>-50.6603654965247</v>
      </c>
      <c r="I111" s="48" t="n">
        <f aca="false">IFERROR(((IF(ISNUMBER(I106),I106,0)+I108)-I110),"N/M")</f>
        <v>-169.304870802198</v>
      </c>
      <c r="J111" s="48" t="n">
        <f aca="false">IFERROR(((IF(ISNUMBER(J106),J106,0)+J108)-J110),"N/M")</f>
        <v>-33.6280217846896</v>
      </c>
      <c r="K111" s="28" t="n">
        <f aca="false">IFERROR(AVERAGE(D111:J111),"N/M")</f>
        <v>-59.3161402506222</v>
      </c>
      <c r="L111" s="84" t="n">
        <f aca="false">IFERROR(J111-D111,"N/M")</f>
        <v>10.8780855543878</v>
      </c>
      <c r="M111" s="85" t="n">
        <f aca="false">IFERROR(SLOPE(D111:J111,$D$3:$J$3),"N/M")</f>
        <v>-8.49196137321255</v>
      </c>
    </row>
    <row r="112" customFormat="false" ht="15" hidden="false" customHeight="false" outlineLevel="0" collapsed="false">
      <c r="A112" s="18" t="s">
        <v>132</v>
      </c>
      <c r="B112" s="19" t="s">
        <v>563</v>
      </c>
      <c r="D112" s="47" t="n">
        <f aca="false">IFERROR(IF(((D31+C31)/2)&lt;=0,"N/M",D9/((D31+C31)/2)),"N/M")</f>
        <v>4.12171741966252</v>
      </c>
      <c r="E112" s="47" t="n">
        <f aca="false">IFERROR(IF(((E31+D31)/2)&lt;=0,"N/M",E9/((E31+D31)/2)),"N/M")</f>
        <v>4.09079307556673</v>
      </c>
      <c r="F112" s="47" t="n">
        <f aca="false">IFERROR(IF(((F31+E31)/2)&lt;=0,"N/M",F9/((F31+E31)/2)),"N/M")</f>
        <v>5.72750709100524</v>
      </c>
      <c r="G112" s="47" t="n">
        <f aca="false">IFERROR(IF(((G31+F31)/2)&lt;=0,"N/M",G9/((G31+F31)/2)),"N/M")</f>
        <v>6.41960367306584</v>
      </c>
      <c r="H112" s="47" t="n">
        <f aca="false">IFERROR(IF(((H31+G31)/2)&lt;=0,"N/M",H9/((H31+G31)/2)),"N/M")</f>
        <v>5.22274642938406</v>
      </c>
      <c r="I112" s="47" t="n">
        <f aca="false">IFERROR(IF(((I31+H31)/2)&lt;=0,"N/M",I9/((I31+H31)/2)),"N/M")</f>
        <v>1.09146061474668</v>
      </c>
      <c r="J112" s="47" t="n">
        <f aca="false">IFERROR(IF(((J31+I31)/2)&lt;=0,"N/M",J9/((J31+I31)/2)),"N/M")</f>
        <v>2.66926070038911</v>
      </c>
      <c r="K112" s="22" t="n">
        <f aca="false">IFERROR(AVERAGE(D112:J112),"N/M")</f>
        <v>4.1918698576886</v>
      </c>
      <c r="L112" s="82" t="n">
        <f aca="false">IFERROR(J112-D112,"N/M")</f>
        <v>-1.45245671927341</v>
      </c>
      <c r="M112" s="83" t="n">
        <f aca="false">IFERROR(SLOPE(D112:J112,$D$3:$J$3),"N/M")</f>
        <v>-0.387885562181482</v>
      </c>
    </row>
    <row r="113" customFormat="false" ht="15" hidden="false" customHeight="false" outlineLevel="0" collapsed="false">
      <c r="A113" s="18" t="s">
        <v>133</v>
      </c>
      <c r="B113" s="19" t="s">
        <v>564</v>
      </c>
      <c r="D113" s="47" t="n">
        <f aca="false">IFERROR(IF(((D35+C35)/2)&lt;=0,"N/M",D9/((D35+C35)/2)),"N/M")</f>
        <v>1.59435548017375</v>
      </c>
      <c r="E113" s="47" t="n">
        <f aca="false">IFERROR(IF(((E35+D35)/2)&lt;=0,"N/M",E9/((E35+D35)/2)),"N/M")</f>
        <v>1.66448790689231</v>
      </c>
      <c r="F113" s="47" t="n">
        <f aca="false">IFERROR(IF(((F35+E35)/2)&lt;=0,"N/M",F9/((F35+E35)/2)),"N/M")</f>
        <v>2.25356218822541</v>
      </c>
      <c r="G113" s="47" t="n">
        <f aca="false">IFERROR(IF(((G35+F35)/2)&lt;=0,"N/M",G9/((G35+F35)/2)),"N/M")</f>
        <v>2.14445272752653</v>
      </c>
      <c r="H113" s="47" t="n">
        <f aca="false">IFERROR(IF(((H35+G35)/2)&lt;=0,"N/M",H9/((H35+G35)/2)),"N/M")</f>
        <v>1.80191505961028</v>
      </c>
      <c r="I113" s="47" t="n">
        <f aca="false">IFERROR(IF(((I35+H35)/2)&lt;=0,"N/M",I9/((I35+H35)/2)),"N/M")</f>
        <v>0.440452446408999</v>
      </c>
      <c r="J113" s="47" t="n">
        <f aca="false">IFERROR(IF(((J35+I35)/2)&lt;=0,"N/M",J9/((J35+I35)/2)),"N/M")</f>
        <v>1.18377911993098</v>
      </c>
      <c r="K113" s="22" t="n">
        <f aca="false">IFERROR(AVERAGE(D113:J113),"N/M")</f>
        <v>1.58328641839546</v>
      </c>
      <c r="L113" s="82" t="n">
        <f aca="false">IFERROR(J113-D113,"N/M")</f>
        <v>-0.410576360242779</v>
      </c>
      <c r="M113" s="83" t="n">
        <f aca="false">IFERROR(SLOPE(D113:J113,$D$3:$J$3),"N/M")</f>
        <v>-0.14755168322536</v>
      </c>
    </row>
    <row r="114" customFormat="false" ht="15" hidden="false" customHeight="false" outlineLevel="0" collapsed="false">
      <c r="A114" s="18" t="s">
        <v>565</v>
      </c>
      <c r="B114" s="19" t="s">
        <v>566</v>
      </c>
      <c r="D114" s="47" t="n">
        <f aca="false">IFERROR(IF(((D62+C62)/2)&lt;=0,"N/M",D9/((D62+C62)/2)),"N/M")</f>
        <v>2.31521290375446</v>
      </c>
      <c r="E114" s="47" t="n">
        <f aca="false">IFERROR(IF(((E62+D62)/2)&lt;=0,"N/M",E9/((E62+D62)/2)),"N/M")</f>
        <v>2.59277965410999</v>
      </c>
      <c r="F114" s="47" t="n">
        <f aca="false">IFERROR(IF(((F62+E62)/2)&lt;=0,"N/M",F9/((F62+E62)/2)),"N/M")</f>
        <v>3.87914098319288</v>
      </c>
      <c r="G114" s="47" t="n">
        <f aca="false">IFERROR(IF(((G62+F62)/2)&lt;=0,"N/M",G9/((G62+F62)/2)),"N/M")</f>
        <v>3.81107783451338</v>
      </c>
      <c r="H114" s="47" t="n">
        <f aca="false">IFERROR(IF(((H62+G62)/2)&lt;=0,"N/M",H9/((H62+G62)/2)),"N/M")</f>
        <v>3.10200215511829</v>
      </c>
      <c r="I114" s="47" t="n">
        <f aca="false">IFERROR(IF(((I62+H62)/2)&lt;=0,"N/M",I9/((I62+H62)/2)),"N/M")</f>
        <v>0.686772536803268</v>
      </c>
      <c r="J114" s="47" t="n">
        <f aca="false">IFERROR(IF(((J62+I62)/2)&lt;=0,"N/M",J9/((J62+I62)/2)),"N/M")</f>
        <v>1.57701149425287</v>
      </c>
      <c r="K114" s="22" t="n">
        <f aca="false">IFERROR(AVERAGE(D114:J114),"N/M")</f>
        <v>2.56628536596359</v>
      </c>
      <c r="L114" s="82" t="n">
        <f aca="false">IFERROR(J114-D114,"N/M")</f>
        <v>-0.738201409501582</v>
      </c>
      <c r="M114" s="83" t="n">
        <f aca="false">IFERROR(SLOPE(D114:J114,$D$3:$J$3),"N/M")</f>
        <v>-0.242991331828314</v>
      </c>
    </row>
    <row r="115" customFormat="false" ht="15" hidden="false" customHeight="false" outlineLevel="0" collapsed="false">
      <c r="A115" s="18" t="s">
        <v>567</v>
      </c>
      <c r="B115" s="19" t="s">
        <v>568</v>
      </c>
      <c r="D115" s="47" t="n">
        <f aca="false">IFERROR(IF(((D63+C63)/2)&lt;=0,"N/M",D9/((D63+C63)/2)),"N/M")</f>
        <v>3.28904210785521</v>
      </c>
      <c r="E115" s="47" t="n">
        <f aca="false">IFERROR(IF(((E63+D63)/2)&lt;=0,"N/M",E9/((E63+D63)/2)),"N/M")</f>
        <v>3.29300501882058</v>
      </c>
      <c r="F115" s="47" t="n">
        <f aca="false">IFERROR(IF(((F63+E63)/2)&lt;=0,"N/M",F9/((F63+E63)/2)),"N/M")</f>
        <v>4.07101074451295</v>
      </c>
      <c r="G115" s="47" t="n">
        <f aca="false">IFERROR(IF(((G63+F63)/2)&lt;=0,"N/M",G9/((G63+F63)/2)),"N/M")</f>
        <v>3.59398466300116</v>
      </c>
      <c r="H115" s="47" t="n">
        <f aca="false">IFERROR(IF(((H63+G63)/2)&lt;=0,"N/M",H9/((H63+G63)/2)),"N/M")</f>
        <v>3.03690910943001</v>
      </c>
      <c r="I115" s="47" t="n">
        <f aca="false">IFERROR(IF(((I63+H63)/2)&lt;=0,"N/M",I9/((I63+H63)/2)),"N/M")</f>
        <v>0.782141176282895</v>
      </c>
      <c r="J115" s="47" t="n">
        <f aca="false">IFERROR(IF(((J63+I63)/2)&lt;=0,"N/M",J9/((J63+I63)/2)),"N/M")</f>
        <v>2.13707165109034</v>
      </c>
      <c r="K115" s="22" t="n">
        <f aca="false">IFERROR(AVERAGE(D115:J115),"N/M")</f>
        <v>2.88616635299902</v>
      </c>
      <c r="L115" s="82" t="n">
        <f aca="false">IFERROR(J115-D115,"N/M")</f>
        <v>-1.15197045676487</v>
      </c>
      <c r="M115" s="83" t="n">
        <f aca="false">IFERROR(SLOPE(D115:J115,$D$3:$J$3),"N/M")</f>
        <v>-0.339705024659032</v>
      </c>
    </row>
    <row r="116" customFormat="false" ht="15" hidden="false" customHeight="false" outlineLevel="0" collapsed="false">
      <c r="A116" s="18" t="s">
        <v>569</v>
      </c>
      <c r="B116" s="19" t="s">
        <v>570</v>
      </c>
      <c r="D116" s="47" t="n">
        <f aca="false">IFERROR(IF(D65&lt;=0,"N/M",D9/D65),"N/M")</f>
        <v>7.33128418027224</v>
      </c>
      <c r="E116" s="47" t="n">
        <f aca="false">IFERROR(IF(E65&lt;=0,"N/M",E9/E65),"N/M")</f>
        <v>12.2398274454938</v>
      </c>
      <c r="F116" s="47" t="n">
        <f aca="false">IFERROR(IF(F65&lt;=0,"N/M",F9/F65),"N/M")</f>
        <v>13.4449107413651</v>
      </c>
      <c r="G116" s="47" t="n">
        <f aca="false">IFERROR(IF(G65&lt;=0,"N/M",G9/G65),"N/M")</f>
        <v>14.2678043536684</v>
      </c>
      <c r="H116" s="47" t="n">
        <f aca="false">IFERROR(IF(H65&lt;=0,"N/M",H9/H65),"N/M")</f>
        <v>10.4356376686811</v>
      </c>
      <c r="I116" s="47" t="n">
        <f aca="false">IFERROR(IF(I65&lt;=0,"N/M",I9/I65),"N/M")</f>
        <v>3.39273356401384</v>
      </c>
      <c r="J116" s="47" t="n">
        <f aca="false">IFERROR(IF(J65&lt;=0,"N/M",J9/J65),"N/M")</f>
        <v>4.27858627858628</v>
      </c>
      <c r="K116" s="22" t="n">
        <f aca="false">IFERROR(AVERAGE(D116:J116),"N/M")</f>
        <v>9.34154060458295</v>
      </c>
      <c r="L116" s="82" t="n">
        <f aca="false">IFERROR(J116-D116,"N/M")</f>
        <v>-3.05269790168597</v>
      </c>
      <c r="M116" s="83" t="n">
        <f aca="false">IFERROR(SLOPE(D116:J116,$D$3:$J$3),"N/M")</f>
        <v>-1.06648409073935</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0.265503168968071</v>
      </c>
      <c r="E119" s="46" t="n">
        <f aca="false">IFERROR(IF(E9&lt;=0,"N/M",E55/E9),"N/M")</f>
        <v>0.227064897457635</v>
      </c>
      <c r="F119" s="46" t="n">
        <f aca="false">IFERROR(IF(F9&lt;=0,"N/M",F55/F9),"N/M")</f>
        <v>0.178530547065742</v>
      </c>
      <c r="G119" s="46" t="n">
        <f aca="false">IFERROR(IF(G9&lt;=0,"N/M",G55/G9),"N/M")</f>
        <v>0.203602948793874</v>
      </c>
      <c r="H119" s="46" t="n">
        <f aca="false">IFERROR(IF(H9&lt;=0,"N/M",H55/H9),"N/M")</f>
        <v>0.233784008858265</v>
      </c>
      <c r="I119" s="46" t="n">
        <f aca="false">IFERROR(IF(I9&lt;=0,"N/M",I55/I9),"N/M")</f>
        <v>0.278429372768995</v>
      </c>
      <c r="J119" s="46" t="n">
        <f aca="false">IFERROR(IF(J9&lt;=0,"N/M",J55/J9),"N/M")</f>
        <v>0.267249757045675</v>
      </c>
      <c r="K119" s="25" t="n">
        <f aca="false">IFERROR(AVERAGE(D119:J119),"N/M")</f>
        <v>0.236309242994037</v>
      </c>
      <c r="L119" s="86" t="n">
        <f aca="false">IFERROR(J119-D119,"N/M")</f>
        <v>0.00174658807760469</v>
      </c>
      <c r="M119" s="87" t="n">
        <f aca="false">IFERROR(SLOPE(D119:J119,$D$3:$J$3),"N/M")</f>
        <v>0.00582936345171632</v>
      </c>
    </row>
    <row r="120" customFormat="false" ht="15" hidden="false" customHeight="false" outlineLevel="0" collapsed="false">
      <c r="A120" s="18" t="s">
        <v>573</v>
      </c>
      <c r="B120" s="19" t="s">
        <v>574</v>
      </c>
      <c r="D120" s="46" t="n">
        <f aca="false">IFERROR(IF(D57&lt;=0,"N/M",D59/D57),"N/M")</f>
        <v>0.0821906212967666</v>
      </c>
      <c r="E120" s="46" t="n">
        <f aca="false">IFERROR(IF(E57&lt;=0,"N/M",E59/E57),"N/M")</f>
        <v>0.0581472805762546</v>
      </c>
      <c r="F120" s="46" t="n">
        <f aca="false">IFERROR(IF(F57&lt;=0,"N/M",F59/F57),"N/M")</f>
        <v>0.0804393212933882</v>
      </c>
      <c r="G120" s="46" t="n">
        <f aca="false">IFERROR(IF(G57&lt;=0,"N/M",G59/G57),"N/M")</f>
        <v>0.06928758044392</v>
      </c>
      <c r="H120" s="46" t="n">
        <f aca="false">IFERROR(IF(H57&lt;=0,"N/M",H59/H57),"N/M")</f>
        <v>0.053323183317616</v>
      </c>
      <c r="I120" s="46" t="n">
        <f aca="false">IFERROR(IF(I57&lt;=0,"N/M",I59/I57),"N/M")</f>
        <v>0.133924175283112</v>
      </c>
      <c r="J120" s="46" t="n">
        <f aca="false">IFERROR(IF(J57&lt;=0,"N/M",J59/J57),"N/M")</f>
        <v>0.129001433349259</v>
      </c>
      <c r="K120" s="25" t="n">
        <f aca="false">IFERROR(AVERAGE(D120:J120),"N/M")</f>
        <v>0.0866162279371881</v>
      </c>
      <c r="L120" s="86" t="n">
        <f aca="false">IFERROR(J120-D120,"N/M")</f>
        <v>0.0468108120524929</v>
      </c>
      <c r="M120" s="87" t="n">
        <f aca="false">IFERROR(SLOPE(D120:J120,$D$3:$J$3),"N/M")</f>
        <v>0.00945964598555074</v>
      </c>
    </row>
    <row r="121" customFormat="false" ht="15" hidden="false" customHeight="false" outlineLevel="0" collapsed="false">
      <c r="A121" s="18" t="s">
        <v>136</v>
      </c>
      <c r="B121" s="19" t="s">
        <v>575</v>
      </c>
      <c r="D121" s="46" t="n">
        <f aca="false">IFERROR(IF(D9&lt;=0,"N/M",D56/D9),"N/M")</f>
        <v>0.0701243084897852</v>
      </c>
      <c r="E121" s="46" t="n">
        <f aca="false">IFERROR(IF(E9&lt;=0,"N/M",E56/E9),"N/M")</f>
        <v>0.0612577514026348</v>
      </c>
      <c r="F121" s="46" t="n">
        <f aca="false">IFERROR(IF(F9&lt;=0,"N/M",F56/F9),"N/M")</f>
        <v>0.0672151908030925</v>
      </c>
      <c r="G121" s="46" t="n">
        <f aca="false">IFERROR(IF(G9&lt;=0,"N/M",G56/G9),"N/M")</f>
        <v>0.0631662804412222</v>
      </c>
      <c r="H121" s="46" t="n">
        <f aca="false">IFERROR(IF(H9&lt;=0,"N/M",H56/H9),"N/M")</f>
        <v>0.0362951356653105</v>
      </c>
      <c r="I121" s="46" t="n">
        <f aca="false">IFERROR(IF(I9&lt;=0,"N/M",I56/I9),"N/M")</f>
        <v>0.103008669046405</v>
      </c>
      <c r="J121" s="46" t="n">
        <f aca="false">IFERROR(IF(J9&lt;=0,"N/M",J56/J9),"N/M")</f>
        <v>0.114188532555879</v>
      </c>
      <c r="K121" s="25" t="n">
        <f aca="false">IFERROR(AVERAGE(D121:J121),"N/M")</f>
        <v>0.0736079812006185</v>
      </c>
      <c r="L121" s="86" t="n">
        <f aca="false">IFERROR(J121-D121,"N/M")</f>
        <v>0.0440642240660943</v>
      </c>
      <c r="M121" s="87" t="n">
        <f aca="false">IFERROR(SLOPE(D121:J121,$D$3:$J$3),"N/M")</f>
        <v>0.00659908758385861</v>
      </c>
    </row>
    <row r="122" customFormat="false" ht="15" hidden="false" customHeight="false" outlineLevel="0" collapsed="false">
      <c r="A122" s="18" t="s">
        <v>576</v>
      </c>
      <c r="B122" s="19" t="s">
        <v>577</v>
      </c>
      <c r="D122" s="46" t="n">
        <f aca="false">IFERROR(IF(D9&lt;=0,"N/M",D58/D9),"N/M")</f>
        <v>0.0517448381757198</v>
      </c>
      <c r="E122" s="46" t="n">
        <f aca="false">IFERROR(IF(E9&lt;=0,"N/M",E58/E9),"N/M")</f>
        <v>0.0287985444985283</v>
      </c>
      <c r="F122" s="46" t="n">
        <f aca="false">IFERROR(IF(F9&lt;=0,"N/M",F58/F9),"N/M")</f>
        <v>0.0691331367124015</v>
      </c>
      <c r="G122" s="46" t="n">
        <f aca="false">IFERROR(IF(G9&lt;=0,"N/M",G58/G9),"N/M")</f>
        <v>0.0543417261424305</v>
      </c>
      <c r="H122" s="46" t="n">
        <f aca="false">IFERROR(IF(H9&lt;=0,"N/M",H58/H9),"N/M")</f>
        <v>0.0234372349383283</v>
      </c>
      <c r="I122" s="46" t="n">
        <f aca="false">IFERROR(IF(I9&lt;=0,"N/M",I58/I9),"N/M")</f>
        <v>0.0458949515553289</v>
      </c>
      <c r="J122" s="46" t="n">
        <f aca="false">IFERROR(IF(J9&lt;=0,"N/M",J58/J9),"N/M")</f>
        <v>0.0320699708454811</v>
      </c>
      <c r="K122" s="25" t="n">
        <f aca="false">IFERROR(AVERAGE(D122:J122),"N/M")</f>
        <v>0.0436314861240312</v>
      </c>
      <c r="L122" s="86" t="n">
        <f aca="false">IFERROR(J122-D122,"N/M")</f>
        <v>-0.0196748673302388</v>
      </c>
      <c r="M122" s="87" t="n">
        <f aca="false">IFERROR(SLOPE(D122:J122,$D$3:$J$3),"N/M")</f>
        <v>-0.00251884605897101</v>
      </c>
    </row>
    <row r="123" customFormat="false" ht="15" hidden="false" customHeight="false" outlineLevel="0" collapsed="false">
      <c r="A123" s="18" t="s">
        <v>578</v>
      </c>
      <c r="B123" s="19" t="s">
        <v>579</v>
      </c>
      <c r="D123" s="46" t="n">
        <f aca="false">IFERROR(IF(D9&lt;=0,"N/M",D20/D9),"N/M")</f>
        <v>0.0415777322820926</v>
      </c>
      <c r="E123" s="46" t="n">
        <f aca="false">IFERROR(IF(E9&lt;=0,"N/M",E20/E9),"N/M")</f>
        <v>0.0151532182013888</v>
      </c>
      <c r="F123" s="46" t="n">
        <f aca="false">IFERROR(IF(F9&lt;=0,"N/M",F20/F9),"N/M")</f>
        <v>0.0640859382459189</v>
      </c>
      <c r="G123" s="46" t="n">
        <f aca="false">IFERROR(IF(G9&lt;=0,"N/M",G20/G9),"N/M")</f>
        <v>0.0496012081479073</v>
      </c>
      <c r="H123" s="46" t="n">
        <f aca="false">IFERROR(IF(H9&lt;=0,"N/M",H20/H9),"N/M")</f>
        <v>0.0126774660181298</v>
      </c>
      <c r="I123" s="46" t="n">
        <f aca="false">IFERROR(IF(I9&lt;=0,"N/M",I20/I9),"N/M")</f>
        <v>0.00764915859255482</v>
      </c>
      <c r="J123" s="46" t="n">
        <f aca="false">IFERROR(IF(J9&lt;=0,"N/M",J20/J9),"N/M")</f>
        <v>0.00194363459669582</v>
      </c>
      <c r="K123" s="25" t="n">
        <f aca="false">IFERROR(AVERAGE(D123:J123),"N/M")</f>
        <v>0.0275269080120983</v>
      </c>
      <c r="L123" s="86" t="n">
        <f aca="false">IFERROR(J123-D123,"N/M")</f>
        <v>-0.0396340976853968</v>
      </c>
      <c r="M123" s="87" t="n">
        <f aca="false">IFERROR(SLOPE(D123:J123,$D$3:$J$3),"N/M")</f>
        <v>-0.00661853158934455</v>
      </c>
    </row>
    <row r="124" customFormat="false" ht="15" hidden="false" customHeight="false" outlineLevel="0" collapsed="false">
      <c r="A124" s="18" t="s">
        <v>137</v>
      </c>
      <c r="B124" s="19" t="s">
        <v>580</v>
      </c>
      <c r="D124" s="46" t="n">
        <f aca="false">IFERROR(IF(D9&lt;=0,"N/M",D22/D9),"N/M")</f>
        <v>0.0303556649387986</v>
      </c>
      <c r="E124" s="46" t="n">
        <f aca="false">IFERROR(IF(E9&lt;=0,"N/M",E22/E9),"N/M")</f>
        <v>0.0164696468884846</v>
      </c>
      <c r="F124" s="46" t="n">
        <f aca="false">IFERROR(IF(F9&lt;=0,"N/M",F22/F9),"N/M")</f>
        <v>0.0485634815964277</v>
      </c>
      <c r="G124" s="46" t="n">
        <f aca="false">IFERROR(IF(G9&lt;=0,"N/M",G22/G9),"N/M")</f>
        <v>0.0348788445035863</v>
      </c>
      <c r="H124" s="46" t="n">
        <f aca="false">IFERROR(IF(H9&lt;=0,"N/M",H22/H9),"N/M")</f>
        <v>0.0115431948355577</v>
      </c>
      <c r="I124" s="46" t="n">
        <f aca="false">IFERROR(IF(I9&lt;=0,"N/M",I22/I9),"N/M")</f>
        <v>0.0331463539010709</v>
      </c>
      <c r="J124" s="46" t="n">
        <f aca="false">IFERROR(IF(J9&lt;=0,"N/M",J22/J9),"N/M")</f>
        <v>0.00388726919339164</v>
      </c>
      <c r="K124" s="25" t="n">
        <f aca="false">IFERROR(AVERAGE(D124:J124),"N/M")</f>
        <v>0.0255492079796168</v>
      </c>
      <c r="L124" s="86" t="n">
        <f aca="false">IFERROR(J124-D124,"N/M")</f>
        <v>-0.026468395745407</v>
      </c>
      <c r="M124" s="87" t="n">
        <f aca="false">IFERROR(SLOPE(D124:J124,$D$3:$J$3),"N/M")</f>
        <v>-0.00296685928471137</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0.734496831031929</v>
      </c>
      <c r="E127" s="46" t="n">
        <f aca="false">IFERROR(IF(E9&lt;=0,"N/M",E52/E9),"N/M")</f>
        <v>0.772935102542365</v>
      </c>
      <c r="F127" s="46" t="n">
        <f aca="false">IFERROR(IF(F9&lt;=0,"N/M",F52/F9),"N/M")</f>
        <v>0.821469452934258</v>
      </c>
      <c r="G127" s="46" t="n">
        <f aca="false">IFERROR(IF(G9&lt;=0,"N/M",G52/G9),"N/M")</f>
        <v>0.796397051206126</v>
      </c>
      <c r="H127" s="46" t="n">
        <f aca="false">IFERROR(IF(H9&lt;=0,"N/M",H52/H9),"N/M")</f>
        <v>0.766215991141735</v>
      </c>
      <c r="I127" s="46" t="n">
        <f aca="false">IFERROR(IF(I9&lt;=0,"N/M",I52/I9),"N/M")</f>
        <v>0.721570627231005</v>
      </c>
      <c r="J127" s="46" t="n">
        <f aca="false">IFERROR(IF(J9&lt;=0,"N/M",J52/J9),"N/M")</f>
        <v>0.732750242954325</v>
      </c>
      <c r="K127" s="25" t="n">
        <f aca="false">IFERROR(AVERAGE(D127:J127),"N/M")</f>
        <v>0.763690757005963</v>
      </c>
      <c r="L127" s="86" t="n">
        <f aca="false">IFERROR(J127-D127,"N/M")</f>
        <v>-0.00174658807760475</v>
      </c>
      <c r="M127" s="87" t="n">
        <f aca="false">IFERROR(SLOPE(D127:J127,$D$3:$J$3),"N/M")</f>
        <v>-0.00582936345171633</v>
      </c>
    </row>
    <row r="128" customFormat="false" ht="15" hidden="false" customHeight="false" outlineLevel="0" collapsed="false">
      <c r="A128" s="18" t="s">
        <v>584</v>
      </c>
      <c r="B128" s="19" t="s">
        <v>585</v>
      </c>
      <c r="D128" s="46" t="n">
        <f aca="false">IFERROR(IF(D9&lt;=0,"N/M",D53/D9),"N/M")</f>
        <v>0.195378860478286</v>
      </c>
      <c r="E128" s="46" t="n">
        <f aca="false">IFERROR(IF(E9&lt;=0,"N/M",E53/E9),"N/M")</f>
        <v>0.165807146055</v>
      </c>
      <c r="F128" s="46" t="n">
        <f aca="false">IFERROR(IF(F9&lt;=0,"N/M",F53/F9),"N/M")</f>
        <v>0.111315356262649</v>
      </c>
      <c r="G128" s="46" t="n">
        <f aca="false">IFERROR(IF(G9&lt;=0,"N/M",G53/G9),"N/M")</f>
        <v>0.140436668352652</v>
      </c>
      <c r="H128" s="46" t="n">
        <f aca="false">IFERROR(IF(H9&lt;=0,"N/M",H53/H9),"N/M")</f>
        <v>0.197488873192954</v>
      </c>
      <c r="I128" s="46" t="n">
        <f aca="false">IFERROR(IF(I9&lt;=0,"N/M",I53/I9),"N/M")</f>
        <v>0.175420703722591</v>
      </c>
      <c r="J128" s="46" t="n">
        <f aca="false">IFERROR(IF(J9&lt;=0,"N/M",J53/J9),"N/M")</f>
        <v>0.153061224489796</v>
      </c>
      <c r="K128" s="25" t="n">
        <f aca="false">IFERROR(AVERAGE(D128:J128),"N/M")</f>
        <v>0.162701261793418</v>
      </c>
      <c r="L128" s="86" t="n">
        <f aca="false">IFERROR(J128-D128,"N/M")</f>
        <v>-0.0423176359884896</v>
      </c>
      <c r="M128" s="87" t="n">
        <f aca="false">IFERROR(SLOPE(D128:J128,$D$3:$J$3),"N/M")</f>
        <v>-0.000769724132142284</v>
      </c>
    </row>
    <row r="129" customFormat="false" ht="15" hidden="false" customHeight="false" outlineLevel="0" collapsed="false">
      <c r="A129" s="18" t="s">
        <v>586</v>
      </c>
      <c r="B129" s="19" t="s">
        <v>587</v>
      </c>
      <c r="D129" s="46" t="n">
        <f aca="false">IFERROR(IF(D9&lt;=0,"N/M",D14/D9),"N/M")</f>
        <v>0.151591834734504</v>
      </c>
      <c r="E129" s="46" t="n">
        <f aca="false">IFERROR(IF(E9&lt;=0,"N/M",E14/E9),"N/M")</f>
        <v>0.125394118935807</v>
      </c>
      <c r="F129" s="46" t="n">
        <f aca="false">IFERROR(IF(F9&lt;=0,"N/M",F14/F9),"N/M")</f>
        <v>0.084753169384631</v>
      </c>
      <c r="G129" s="46" t="n">
        <f aca="false">IFERROR(IF(G9&lt;=0,"N/M",G14/G9),"N/M")</f>
        <v>0.105653664635913</v>
      </c>
      <c r="H129" s="46" t="n">
        <f aca="false">IFERROR(IF(H9&lt;=0,"N/M",H14/H9),"N/M")</f>
        <v>0.149905001896878</v>
      </c>
      <c r="I129" s="46" t="n">
        <f aca="false">IFERROR(IF(I9&lt;=0,"N/M",I14/I9),"N/M")</f>
        <v>0.114227434982152</v>
      </c>
      <c r="J129" s="46" t="n">
        <f aca="false">IFERROR(IF(J9&lt;=0,"N/M",J14/J9),"N/M")</f>
        <v>0.1044703595724</v>
      </c>
      <c r="K129" s="25" t="n">
        <f aca="false">IFERROR(AVERAGE(D129:J129),"N/M")</f>
        <v>0.119427940591755</v>
      </c>
      <c r="L129" s="86" t="n">
        <f aca="false">IFERROR(J129-D129,"N/M")</f>
        <v>-0.0471214751621033</v>
      </c>
      <c r="M129" s="87" t="n">
        <f aca="false">IFERROR(SLOPE(D129:J129,$D$3:$J$3),"N/M")</f>
        <v>-0.00351949860290622</v>
      </c>
    </row>
    <row r="130" customFormat="false" ht="15" hidden="false" customHeight="false" outlineLevel="0" collapsed="false">
      <c r="A130" s="18" t="s">
        <v>588</v>
      </c>
      <c r="B130" s="19" t="s">
        <v>589</v>
      </c>
      <c r="D130" s="46" t="n">
        <f aca="false">IFERROR(IF(D9&lt;=0,"N/M",D15/D9),"N/M")</f>
        <v>0.0384768262403624</v>
      </c>
      <c r="E130" s="46" t="n">
        <f aca="false">IFERROR(IF(E9&lt;=0,"N/M",E15/E9),"N/M")</f>
        <v>0.0330459797487164</v>
      </c>
      <c r="F130" s="46" t="n">
        <f aca="false">IFERROR(IF(F9&lt;=0,"N/M",F15/F9),"N/M")</f>
        <v>0.0230295151730715</v>
      </c>
      <c r="G130" s="46" t="n">
        <f aca="false">IFERROR(IF(G9&lt;=0,"N/M",G15/G9),"N/M")</f>
        <v>0.0292153741917935</v>
      </c>
      <c r="H130" s="46" t="n">
        <f aca="false">IFERROR(IF(H9&lt;=0,"N/M",H15/H9),"N/M")</f>
        <v>0.0386168831369114</v>
      </c>
      <c r="I130" s="46" t="n">
        <f aca="false">IFERROR(IF(I9&lt;=0,"N/M",I15/I9),"N/M")</f>
        <v>0.0494645588985212</v>
      </c>
      <c r="J130" s="46" t="n">
        <f aca="false">IFERROR(IF(J9&lt;=0,"N/M",J15/J9),"N/M")</f>
        <v>0.0427599611273081</v>
      </c>
      <c r="K130" s="25" t="n">
        <f aca="false">IFERROR(AVERAGE(D130:J130),"N/M")</f>
        <v>0.0363727283595264</v>
      </c>
      <c r="L130" s="86" t="n">
        <f aca="false">IFERROR(J130-D130,"N/M")</f>
        <v>0.00428313488694564</v>
      </c>
      <c r="M130" s="87" t="n">
        <f aca="false">IFERROR(SLOPE(D130:J130,$D$3:$J$3),"N/M")</f>
        <v>0.00218835467586737</v>
      </c>
    </row>
    <row r="131" customFormat="false" ht="15" hidden="false" customHeight="false" outlineLevel="0" collapsed="false">
      <c r="A131" s="18" t="s">
        <v>590</v>
      </c>
      <c r="B131" s="19" t="s">
        <v>591</v>
      </c>
      <c r="D131" s="46" t="n">
        <f aca="false">IFERROR(IF(D9&lt;=0,"N/M",D19/D9),"N/M")</f>
        <v>0.0101671058936272</v>
      </c>
      <c r="E131" s="46" t="n">
        <f aca="false">IFERROR(IF(E9&lt;=0,"N/M",E19/E9),"N/M")</f>
        <v>0.0136453262971395</v>
      </c>
      <c r="F131" s="46" t="n">
        <f aca="false">IFERROR(IF(F9&lt;=0,"N/M",F19/F9),"N/M")</f>
        <v>0.00504719846648264</v>
      </c>
      <c r="G131" s="46" t="n">
        <f aca="false">IFERROR(IF(G9&lt;=0,"N/M",G19/G9),"N/M")</f>
        <v>0.00474051799452323</v>
      </c>
      <c r="H131" s="46" t="n">
        <f aca="false">IFERROR(IF(H9&lt;=0,"N/M",H19/H9),"N/M")</f>
        <v>0.0107597689201985</v>
      </c>
      <c r="I131" s="46" t="n">
        <f aca="false">IFERROR(IF(I9&lt;=0,"N/M",I19/I9),"N/M")</f>
        <v>0.0382457929627741</v>
      </c>
      <c r="J131" s="46" t="n">
        <f aca="false">IFERROR(IF(J9&lt;=0,"N/M",J19/J9),"N/M")</f>
        <v>0.0301263362487852</v>
      </c>
      <c r="K131" s="25" t="n">
        <f aca="false">IFERROR(AVERAGE(D131:J131),"N/M")</f>
        <v>0.0161045781119329</v>
      </c>
      <c r="L131" s="86" t="n">
        <f aca="false">IFERROR(J131-D131,"N/M")</f>
        <v>0.019959230355158</v>
      </c>
      <c r="M131" s="87" t="n">
        <f aca="false">IFERROR(SLOPE(D131:J131,$D$3:$J$3),"N/M")</f>
        <v>0.00409968553037354</v>
      </c>
    </row>
    <row r="132" customFormat="false" ht="15" hidden="false" customHeight="false" outlineLevel="0" collapsed="false">
      <c r="A132" s="18" t="s">
        <v>138</v>
      </c>
      <c r="B132" s="19" t="s">
        <v>592</v>
      </c>
      <c r="D132" s="46" t="n">
        <f aca="false">IFERROR(IF(D9&lt;=0,"N/M",D54/D9),"N/M")</f>
        <v>0.929875691510215</v>
      </c>
      <c r="E132" s="46" t="n">
        <f aca="false">IFERROR(IF(E9&lt;=0,"N/M",E54/E9),"N/M")</f>
        <v>0.938742248597365</v>
      </c>
      <c r="F132" s="46" t="n">
        <f aca="false">IFERROR(IF(F9&lt;=0,"N/M",F54/F9),"N/M")</f>
        <v>0.932784809196907</v>
      </c>
      <c r="G132" s="46" t="n">
        <f aca="false">IFERROR(IF(G9&lt;=0,"N/M",G54/G9),"N/M")</f>
        <v>0.936833719558778</v>
      </c>
      <c r="H132" s="46" t="n">
        <f aca="false">IFERROR(IF(H9&lt;=0,"N/M",H54/H9),"N/M")</f>
        <v>0.96370486433469</v>
      </c>
      <c r="I132" s="46" t="n">
        <f aca="false">IFERROR(IF(I9&lt;=0,"N/M",I54/I9),"N/M")</f>
        <v>0.896991330953595</v>
      </c>
      <c r="J132" s="46" t="n">
        <f aca="false">IFERROR(IF(J9&lt;=0,"N/M",J54/J9),"N/M")</f>
        <v>0.885811467444121</v>
      </c>
      <c r="K132" s="25" t="n">
        <f aca="false">IFERROR(AVERAGE(D132:J132),"N/M")</f>
        <v>0.926392018799382</v>
      </c>
      <c r="L132" s="86" t="n">
        <f aca="false">IFERROR(J132-D132,"N/M")</f>
        <v>-0.0440642240660942</v>
      </c>
      <c r="M132" s="87" t="n">
        <f aca="false">IFERROR(SLOPE(D132:J132,$D$3:$J$3),"N/M")</f>
        <v>-0.0065990875838586</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0.0483977207494919</v>
      </c>
      <c r="E135" s="46" t="n">
        <f aca="false">IFERROR(IF(((E35+D35)/2)&lt;=0,"N/M",E22/((E35+D35)/2)),"N/M")</f>
        <v>0.0274135280766691</v>
      </c>
      <c r="F135" s="46" t="n">
        <f aca="false">IFERROR(IF(((F35+E35)/2)&lt;=0,"N/M",F22/((F35+E35)/2)),"N/M")</f>
        <v>0.10944082585429</v>
      </c>
      <c r="G135" s="46" t="n">
        <f aca="false">IFERROR(IF(((G35+F35)/2)&lt;=0,"N/M",G22/((G35+F35)/2)),"N/M")</f>
        <v>0.0747960332286893</v>
      </c>
      <c r="H135" s="46" t="n">
        <f aca="false">IFERROR(IF(((H35+G35)/2)&lt;=0,"N/M",H22/((H35+G35)/2)),"N/M")</f>
        <v>0.0207998566102069</v>
      </c>
      <c r="I135" s="46" t="n">
        <f aca="false">IFERROR(IF(((I35+H35)/2)&lt;=0,"N/M",I22/((I35+H35)/2)),"N/M")</f>
        <v>0.0145993926652651</v>
      </c>
      <c r="J135" s="46" t="n">
        <f aca="false">IFERROR(IF(((J35+I35)/2)&lt;=0,"N/M",J22/((J35+I35)/2)),"N/M")</f>
        <v>0.00460166810468795</v>
      </c>
      <c r="K135" s="25" t="n">
        <f aca="false">IFERROR(AVERAGE(D135:J135),"N/M")</f>
        <v>0.0428641464699</v>
      </c>
      <c r="L135" s="86" t="n">
        <f aca="false">IFERROR(J135-D135,"N/M")</f>
        <v>-0.0437960526448039</v>
      </c>
      <c r="M135" s="87" t="n">
        <f aca="false">IFERROR(SLOPE(D135:J135,$D$3:$J$3),"N/M")</f>
        <v>-0.00877347850004652</v>
      </c>
    </row>
    <row r="136" customFormat="false" ht="15" hidden="false" customHeight="false" outlineLevel="0" collapsed="false">
      <c r="A136" s="18" t="s">
        <v>595</v>
      </c>
      <c r="B136" s="19" t="s">
        <v>596</v>
      </c>
      <c r="D136" s="46" t="n">
        <f aca="false">IFERROR(IF(((D35+C35)/2)&lt;=0,"N/M",(D22+(D19*(1-D60)))/((D35+C35)/2)),"N/M")</f>
        <v>0.0608343595240739</v>
      </c>
      <c r="E136" s="46" t="n">
        <f aca="false">IFERROR(IF(((E35+D35)/2)&lt;=0,"N/M",(E22+(E19*(1-E60)))/((E35+D35)/2)),"N/M")</f>
        <v>0.0409927588445197</v>
      </c>
      <c r="F136" s="46" t="n">
        <f aca="false">IFERROR(IF(((F35+E35)/2)&lt;=0,"N/M",(F22+(F19*(1-F60)))/((F35+E35)/2)),"N/M")</f>
        <v>0.11842193771635</v>
      </c>
      <c r="G136" s="46" t="n">
        <f aca="false">IFERROR(IF(((G35+F35)/2)&lt;=0,"N/M",(G22+(G19*(1-G60)))/((G35+F35)/2)),"N/M")</f>
        <v>0.0822126717736604</v>
      </c>
      <c r="H136" s="46" t="n">
        <f aca="false">IFERROR(IF(((H35+G35)/2)&lt;=0,"N/M",(H22+(H19*(1-H60)))/((H35+G35)/2)),"N/M")</f>
        <v>0.037309476169434</v>
      </c>
      <c r="I136" s="46" t="n">
        <f aca="false">IFERROR(IF(((I35+H35)/2)&lt;=0,"N/M",(I22+(I19*(1-I60)))/((I35+H35)/2)),"N/M")</f>
        <v>0.031444845740571</v>
      </c>
      <c r="J136" s="46" t="n">
        <f aca="false">IFERROR(IF(((J35+I35)/2)&lt;=0,"N/M",(J22+(J19*(1-J60)))/((J35+I35)/2)),"N/M")</f>
        <v>0.0402645959160196</v>
      </c>
      <c r="K136" s="25" t="n">
        <f aca="false">IFERROR(AVERAGE(D136:J136),"N/M")</f>
        <v>0.0587829493835184</v>
      </c>
      <c r="L136" s="86" t="n">
        <f aca="false">IFERROR(J136-D136,"N/M")</f>
        <v>-0.0205697636080544</v>
      </c>
      <c r="M136" s="87" t="n">
        <f aca="false">IFERROR(SLOPE(D136:J136,$D$3:$J$3),"N/M")</f>
        <v>-0.00578277066353487</v>
      </c>
    </row>
    <row r="137" customFormat="false" ht="15" hidden="false" customHeight="false" outlineLevel="0" collapsed="false">
      <c r="A137" s="18" t="s">
        <v>597</v>
      </c>
      <c r="B137" s="19" t="s">
        <v>598</v>
      </c>
      <c r="D137" s="46" t="n">
        <f aca="false">IFERROR(IF(((D35+C35)/2)&lt;=0,"N/M",D58/((D35+C35)/2)),"N/M")</f>
        <v>0.082499666316163</v>
      </c>
      <c r="E137" s="46" t="n">
        <f aca="false">IFERROR(IF(((E35+D35)/2)&lt;=0,"N/M",E58/((E35+D35)/2)),"N/M")</f>
        <v>0.0479348290539003</v>
      </c>
      <c r="F137" s="46" t="n">
        <f aca="false">IFERROR(IF(((F35+E35)/2)&lt;=0,"N/M",F58/((F35+E35)/2)),"N/M")</f>
        <v>0.155795822848486</v>
      </c>
      <c r="G137" s="46" t="n">
        <f aca="false">IFERROR(IF(((G35+F35)/2)&lt;=0,"N/M",G58/((G35+F35)/2)),"N/M")</f>
        <v>0.116533262844635</v>
      </c>
      <c r="H137" s="46" t="n">
        <f aca="false">IFERROR(IF(((H35+G35)/2)&lt;=0,"N/M",H58/((H35+G35)/2)),"N/M")</f>
        <v>0.042231906590998</v>
      </c>
      <c r="I137" s="46" t="n">
        <f aca="false">IFERROR(IF(((I35+H35)/2)&lt;=0,"N/M",I58/((I35+H35)/2)),"N/M")</f>
        <v>0.0202145436903671</v>
      </c>
      <c r="J137" s="46" t="n">
        <f aca="false">IFERROR(IF(((J35+I35)/2)&lt;=0,"N/M",J58/((J35+I35)/2)),"N/M")</f>
        <v>0.0379637618636756</v>
      </c>
      <c r="K137" s="25" t="n">
        <f aca="false">IFERROR(AVERAGE(D137:J137),"N/M")</f>
        <v>0.0718819704583178</v>
      </c>
      <c r="L137" s="86" t="n">
        <f aca="false">IFERROR(J137-D137,"N/M")</f>
        <v>-0.0445359044524874</v>
      </c>
      <c r="M137" s="87" t="n">
        <f aca="false">IFERROR(SLOPE(D137:J137,$D$3:$J$3),"N/M")</f>
        <v>-0.0108075785836434</v>
      </c>
    </row>
    <row r="138" customFormat="false" ht="15" hidden="false" customHeight="false" outlineLevel="0" collapsed="false">
      <c r="A138" s="18" t="s">
        <v>141</v>
      </c>
      <c r="B138" s="19" t="s">
        <v>599</v>
      </c>
      <c r="D138" s="46" t="n">
        <f aca="false">IFERROR(IF(((D62+C62)/2)&lt;=0,"N/M",(D58*(1-D60))/((D62+C62)/2)),"N/M")</f>
        <v>0.0919133260110673</v>
      </c>
      <c r="E138" s="46" t="n">
        <f aca="false">IFERROR(IF(((E62+D62)/2)&lt;=0,"N/M",(E58*(1-E60))/((E62+D62)/2)),"N/M")</f>
        <v>0.044642319172646</v>
      </c>
      <c r="F138" s="46" t="n">
        <f aca="false">IFERROR(IF(((F62+E62)/2)&lt;=0,"N/M",(F58*(1-F60))/((F62+E62)/2)),"N/M")</f>
        <v>0.211754184915993</v>
      </c>
      <c r="G138" s="46" t="n">
        <f aca="false">IFERROR(IF(((G62+F62)/2)&lt;=0,"N/M",(G58*(1-G60))/((G62+F62)/2)),"N/M")</f>
        <v>0.151093605728492</v>
      </c>
      <c r="H138" s="46" t="n">
        <f aca="false">IFERROR(IF(((H62+G62)/2)&lt;=0,"N/M",(H58*(1-H60))/((H62+G62)/2)),"N/M")</f>
        <v>0.0619082139798013</v>
      </c>
      <c r="I138" s="46" t="n">
        <f aca="false">IFERROR(IF(((I62+H62)/2)&lt;=0,"N/M",(I58*(1-I60))/((I62+H62)/2)),"N/M")</f>
        <v>0.0315193923061163</v>
      </c>
      <c r="J138" s="46" t="n">
        <f aca="false">IFERROR(IF(((J62+I62)/2)&lt;=0,"N/M",(J58*(1-J60))/((J62+I62)/2)),"N/M")</f>
        <v>0.0505747126436782</v>
      </c>
      <c r="K138" s="25" t="n">
        <f aca="false">IFERROR(AVERAGE(D138:J138),"N/M")</f>
        <v>0.091915107822542</v>
      </c>
      <c r="L138" s="86" t="n">
        <f aca="false">IFERROR(J138-D138,"N/M")</f>
        <v>-0.0413386133673891</v>
      </c>
      <c r="M138" s="87" t="n">
        <f aca="false">IFERROR(SLOPE(D138:J138,$D$3:$J$3),"N/M")</f>
        <v>-0.0107181308846935</v>
      </c>
    </row>
    <row r="139" customFormat="false" ht="15" hidden="false" customHeight="false" outlineLevel="0" collapsed="false">
      <c r="A139" s="18" t="s">
        <v>142</v>
      </c>
      <c r="B139" s="19" t="s">
        <v>600</v>
      </c>
      <c r="D139" s="46" t="n">
        <f aca="false">IFERROR(IF(((D61+C61)/2)&lt;=0,"N/M",D22/((D61+C61)/2)),"N/M")</f>
        <v>0.107613017797166</v>
      </c>
      <c r="E139" s="46" t="n">
        <f aca="false">IFERROR(IF(((E61+D61)/2)&lt;=0,"N/M",E22/((E61+D61)/2)),"N/M")</f>
        <v>0.0780720846014215</v>
      </c>
      <c r="F139" s="46" t="n">
        <f aca="false">IFERROR(IF(((F61+E61)/2)&lt;=0,"N/M",F22/((F61+E61)/2)),"N/M")</f>
        <v>0.340006978495216</v>
      </c>
      <c r="G139" s="46" t="n">
        <f aca="false">IFERROR(IF(((G61+F61)/2)&lt;=0,"N/M",G22/((G61+F61)/2)),"N/M")</f>
        <v>0.210706863142112</v>
      </c>
      <c r="H139" s="46" t="n">
        <f aca="false">IFERROR(IF(((H61+G61)/2)&lt;=0,"N/M",H22/((H61+G61)/2)),"N/M")</f>
        <v>0.0561110226112053</v>
      </c>
      <c r="I139" s="46" t="n">
        <f aca="false">IFERROR(IF(((I61+H61)/2)&lt;=0,"N/M",I22/((I61+H61)/2)),"N/M")</f>
        <v>0.0421581058687326</v>
      </c>
      <c r="J139" s="46" t="n">
        <f aca="false">IFERROR(IF(((J61+I61)/2)&lt;=0,"N/M",J22/((J61+I61)/2)),"N/M")</f>
        <v>0.0140845070422535</v>
      </c>
      <c r="K139" s="25" t="n">
        <f aca="false">IFERROR(AVERAGE(D139:J139),"N/M")</f>
        <v>0.121250368508301</v>
      </c>
      <c r="L139" s="86" t="n">
        <f aca="false">IFERROR(J139-D139,"N/M")</f>
        <v>-0.0935285107549129</v>
      </c>
      <c r="M139" s="87" t="n">
        <f aca="false">IFERROR(SLOPE(D139:J139,$D$3:$J$3),"N/M")</f>
        <v>-0.0227253373433617</v>
      </c>
    </row>
    <row r="140" customFormat="false" ht="15" hidden="false" customHeight="false" outlineLevel="0" collapsed="false">
      <c r="A140" s="18" t="s">
        <v>601</v>
      </c>
      <c r="B140" s="19" t="s">
        <v>602</v>
      </c>
      <c r="D140" s="46" t="n">
        <f aca="false">IFERROR(IF(((D61+C61)/2)&lt;=0,"N/M",(D22-0)/((D61+C61)/2)),"N/M")</f>
        <v>0.107613017797166</v>
      </c>
      <c r="E140" s="46" t="n">
        <f aca="false">IFERROR(IF(((E61+D61)/2)&lt;=0,"N/M",(E22-0)/((E61+D61)/2)),"N/M")</f>
        <v>0.0780720846014215</v>
      </c>
      <c r="F140" s="46" t="n">
        <f aca="false">IFERROR(IF(((F61+E61)/2)&lt;=0,"N/M",(F22-0)/((F61+E61)/2)),"N/M")</f>
        <v>0.340006978495216</v>
      </c>
      <c r="G140" s="46" t="n">
        <f aca="false">IFERROR(IF(((G61+F61)/2)&lt;=0,"N/M",(G22-0)/((G61+F61)/2)),"N/M")</f>
        <v>0.210706863142112</v>
      </c>
      <c r="H140" s="46" t="n">
        <f aca="false">IFERROR(IF(((H61+G61)/2)&lt;=0,"N/M",(H22-0)/((H61+G61)/2)),"N/M")</f>
        <v>0.0561110226112053</v>
      </c>
      <c r="I140" s="46" t="n">
        <f aca="false">IFERROR(IF(((I61+H61)/2)&lt;=0,"N/M",(I22-0)/((I61+H61)/2)),"N/M")</f>
        <v>0.0421581058687326</v>
      </c>
      <c r="J140" s="46" t="n">
        <f aca="false">IFERROR(IF(((J61+I61)/2)&lt;=0,"N/M",(J22-0)/((J61+I61)/2)),"N/M")</f>
        <v>0.0140845070422535</v>
      </c>
      <c r="K140" s="25" t="n">
        <f aca="false">IFERROR(AVERAGE(D140:J140),"N/M")</f>
        <v>0.121250368508301</v>
      </c>
      <c r="L140" s="86" t="n">
        <f aca="false">IFERROR(J140-D140,"N/M")</f>
        <v>-0.0935285107549129</v>
      </c>
      <c r="M140" s="87" t="n">
        <f aca="false">IFERROR(SLOPE(D140:J140,$D$3:$J$3),"N/M")</f>
        <v>-0.0227253373433617</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2.26902726902727</v>
      </c>
      <c r="E143" s="95" t="n">
        <f aca="false">IFERROR(IF(E48&lt;=0,"N/M",E22/E48),"N/M")</f>
        <v>1.75925925925926</v>
      </c>
      <c r="F143" s="95" t="n">
        <f aca="false">IFERROR(IF(F48&lt;=0,"N/M",F22/F48),"N/M")</f>
        <v>9.41921041921042</v>
      </c>
      <c r="G143" s="95" t="n">
        <f aca="false">IFERROR(IF(G48&lt;=0,"N/M",G22/G48),"N/M")</f>
        <v>6.40608465608466</v>
      </c>
      <c r="H143" s="95" t="n">
        <f aca="false">IFERROR(IF(H48&lt;=0,"N/M",H22/H48),"N/M")</f>
        <v>1.52319902319902</v>
      </c>
      <c r="I143" s="95" t="n">
        <f aca="false">IFERROR(IF(I48&lt;=0,"N/M",I22/I48),"N/M")</f>
        <v>0.433976196739437</v>
      </c>
      <c r="J143" s="95" t="n">
        <f aca="false">IFERROR(IF(J48&lt;=0,"N/M",J22/J48),"N/M")</f>
        <v>0.0534116704499933</v>
      </c>
      <c r="K143" s="96" t="n">
        <f aca="false">IFERROR(AVERAGE(D143:J143),"N/M")</f>
        <v>3.12345264199572</v>
      </c>
      <c r="L143" s="97" t="n">
        <f aca="false">IFERROR(J143-D143,"N/M")</f>
        <v>-2.21561559857728</v>
      </c>
      <c r="M143" s="98" t="n">
        <f aca="false">IFERROR(SLOPE(D143:J143,$D$3:$J$3),"N/M")</f>
        <v>-0.614050868456531</v>
      </c>
    </row>
    <row r="144" customFormat="false" ht="15" hidden="false" customHeight="false" outlineLevel="0" collapsed="false">
      <c r="A144" s="18" t="s">
        <v>606</v>
      </c>
      <c r="B144" s="19" t="s">
        <v>607</v>
      </c>
      <c r="D144" s="95" t="n">
        <f aca="false">IFERROR(IF(D48&lt;=0,"N/M",(D22+D18)/D48),"N/M")</f>
        <v>4.62555962555963</v>
      </c>
      <c r="E144" s="95" t="n">
        <f aca="false">IFERROR(IF(E48&lt;=0,"N/M",(E22+E18)/E48),"N/M")</f>
        <v>4.87372812372812</v>
      </c>
      <c r="F144" s="95" t="n">
        <f aca="false">IFERROR(IF(F48&lt;=0,"N/M",(F22+F18)/F48),"N/M")</f>
        <v>11.8364875864876</v>
      </c>
      <c r="G144" s="95" t="n">
        <f aca="false">IFERROR(IF(G48&lt;=0,"N/M",(G22+G18)/G48),"N/M")</f>
        <v>9.23483923483924</v>
      </c>
      <c r="H144" s="95" t="n">
        <f aca="false">IFERROR(IF(H48&lt;=0,"N/M",(H22+H18)/H48),"N/M")</f>
        <v>5.59340659340659</v>
      </c>
      <c r="I144" s="95" t="n">
        <f aca="false">IFERROR(IF(I48&lt;=0,"N/M",(I22+I18)/I48),"N/M")</f>
        <v>1.64910954760986</v>
      </c>
      <c r="J144" s="95" t="n">
        <f aca="false">IFERROR(IF(J48&lt;=0,"N/M",(J22+J18)/J48),"N/M")</f>
        <v>1.41540926692482</v>
      </c>
      <c r="K144" s="96" t="n">
        <f aca="false">IFERROR(AVERAGE(D144:J144),"N/M")</f>
        <v>5.60407713979369</v>
      </c>
      <c r="L144" s="97" t="n">
        <f aca="false">IFERROR(J144-D144,"N/M")</f>
        <v>-3.2101503586348</v>
      </c>
      <c r="M144" s="98" t="n">
        <f aca="false">IFERROR(SLOPE(D144:J144,$D$3:$J$3),"N/M")</f>
        <v>-0.797241757900783</v>
      </c>
    </row>
    <row r="145" customFormat="false" ht="15" hidden="false" customHeight="false" outlineLevel="0" collapsed="false">
      <c r="A145" s="18" t="s">
        <v>608</v>
      </c>
      <c r="B145" s="19" t="s">
        <v>609</v>
      </c>
      <c r="D145" s="95" t="n">
        <f aca="false">IFERROR(IF(D48&lt;=0,"N/M",D61/D48),"N/M")</f>
        <v>21.8325193325193</v>
      </c>
      <c r="E145" s="95" t="n">
        <f aca="false">IFERROR(IF(E48&lt;=0,"N/M",E61/E48),"N/M")</f>
        <v>23.2350427350427</v>
      </c>
      <c r="F145" s="95" t="n">
        <f aca="false">IFERROR(IF(F48&lt;=0,"N/M",F61/F48),"N/M")</f>
        <v>32.1709401709402</v>
      </c>
      <c r="G145" s="95" t="n">
        <f aca="false">IFERROR(IF(G48&lt;=0,"N/M",G61/G48),"N/M")</f>
        <v>28.6347171347171</v>
      </c>
      <c r="H145" s="95" t="n">
        <f aca="false">IFERROR(IF(H48&lt;=0,"N/M",H61/H48),"N/M")</f>
        <v>25.6576109076109</v>
      </c>
      <c r="I145" s="95" t="n">
        <f aca="false">IFERROR(IF(I48&lt;=0,"N/M",I61/I48),"N/M")</f>
        <v>3.7522249625779</v>
      </c>
      <c r="J145" s="95" t="n">
        <f aca="false">IFERROR(IF(J48&lt;=0,"N/M",J61/J48),"N/M")</f>
        <v>3.83228735478702</v>
      </c>
      <c r="K145" s="96" t="n">
        <f aca="false">IFERROR(AVERAGE(D145:J145),"N/M")</f>
        <v>19.8736203711707</v>
      </c>
      <c r="L145" s="97" t="n">
        <f aca="false">IFERROR(J145-D145,"N/M")</f>
        <v>-18.0002319777323</v>
      </c>
      <c r="M145" s="98" t="n">
        <f aca="false">IFERROR(SLOPE(D145:J145,$D$3:$J$3),"N/M")</f>
        <v>-3.55284502648057</v>
      </c>
    </row>
    <row r="146" customFormat="false" ht="15" hidden="false" customHeight="false" outlineLevel="0" collapsed="false">
      <c r="A146" s="18" t="s">
        <v>145</v>
      </c>
      <c r="B146" s="19" t="s">
        <v>610</v>
      </c>
      <c r="D146" s="47" t="str">
        <f aca="false">IFERROR(IF(D49=0,"N/C",IF(D145&lt;=0,"N/M",D47/D145)),"N/M")</f>
        <v>N/C</v>
      </c>
      <c r="E146" s="47" t="str">
        <f aca="false">IFERROR(IF(E49=0,"N/C",IF(E145&lt;=0,"N/M",E47/E145)),"N/M")</f>
        <v>N/C</v>
      </c>
      <c r="F146" s="47" t="str">
        <f aca="false">IFERROR(IF(F49=0,"N/C",IF(F145&lt;=0,"N/M",F47/F145)),"N/M")</f>
        <v>N/C</v>
      </c>
      <c r="G146" s="47" t="str">
        <f aca="false">IFERROR(IF(G49=0,"N/C",IF(G145&lt;=0,"N/M",G47/G145)),"N/M")</f>
        <v>N/C</v>
      </c>
      <c r="H146" s="47" t="str">
        <f aca="false">IFERROR(IF(H49=0,"N/C",IF(H145&lt;=0,"N/M",H47/H145)),"N/M")</f>
        <v>N/C</v>
      </c>
      <c r="I146" s="47" t="str">
        <f aca="false">IFERROR(IF(I49=0,"N/C",IF(I145&lt;=0,"N/M",I47/I145)),"N/M")</f>
        <v>N/C</v>
      </c>
      <c r="J146" s="47" t="n">
        <f aca="false">IFERROR(IF(J49=0,"N/C",IF(J145&lt;=0,"N/M",J47/J145)),"N/M")</f>
        <v>1.87355470383275</v>
      </c>
      <c r="K146" s="22" t="n">
        <f aca="false">IFERROR(AVERAGE(D146:J146),"N/M")</f>
        <v>1.87355470383275</v>
      </c>
      <c r="L146" s="82" t="str">
        <f aca="false">IFERROR(J146-D146,"N/M")</f>
        <v>N/M</v>
      </c>
      <c r="M146" s="83" t="str">
        <f aca="false">IFERROR(SLOPE(D146:J146,$D$3:$J$3),"N/M")</f>
        <v>N/M</v>
      </c>
    </row>
    <row r="147" customFormat="false" ht="15" hidden="false" customHeight="false" outlineLevel="0" collapsed="false">
      <c r="A147" s="18" t="s">
        <v>611</v>
      </c>
      <c r="B147" s="19" t="s">
        <v>612</v>
      </c>
      <c r="D147" s="95" t="n">
        <f aca="false">IFERROR(IF(D48&lt;=0,"N/M",D23/D48),"N/M")</f>
        <v>0.75</v>
      </c>
      <c r="E147" s="95" t="n">
        <f aca="false">IFERROR(IF(E48&lt;=0,"N/M",E23/E48),"N/M")</f>
        <v>0.5</v>
      </c>
      <c r="F147" s="95" t="n">
        <f aca="false">IFERROR(IF(F48&lt;=0,"N/M",F23/F48),"N/M")</f>
        <v>0.75</v>
      </c>
      <c r="G147" s="95" t="n">
        <f aca="false">IFERROR(IF(G48&lt;=0,"N/M",G23/G48),"N/M")</f>
        <v>0.812474562474562</v>
      </c>
      <c r="H147" s="95" t="n">
        <f aca="false">IFERROR(IF(H48&lt;=0,"N/M",H23/H48),"N/M")</f>
        <v>1</v>
      </c>
      <c r="I147" s="95" t="n">
        <f aca="false">IFERROR(IF(I48&lt;=0,"N/M",I23/I48),"N/M")</f>
        <v>2.10311541496804</v>
      </c>
      <c r="J147" s="95" t="n">
        <f aca="false">IFERROR(IF(J48&lt;=0,"N/M",J23/J48),"N/M")</f>
        <v>0</v>
      </c>
      <c r="K147" s="96" t="n">
        <f aca="false">IFERROR(AVERAGE(D147:J147),"N/M")</f>
        <v>0.8450842824918</v>
      </c>
      <c r="L147" s="97" t="n">
        <f aca="false">IFERROR(J147-D147,"N/M")</f>
        <v>-0.75</v>
      </c>
      <c r="M147" s="98" t="n">
        <f aca="false">IFERROR(SLOPE(D147:J147,$D$3:$J$3),"N/M")</f>
        <v>0.0430796724977171</v>
      </c>
    </row>
    <row r="148" customFormat="false" ht="15" hidden="false" customHeight="false" outlineLevel="0" collapsed="false">
      <c r="A148" s="18" t="s">
        <v>613</v>
      </c>
      <c r="B148" s="19" t="s">
        <v>614</v>
      </c>
      <c r="D148" s="46" t="n">
        <f aca="false">IFERROR(IF(D143&lt;=0,"N/M",D147/D143),"N/M")</f>
        <v>0.330538116591928</v>
      </c>
      <c r="E148" s="46" t="n">
        <f aca="false">IFERROR(IF(E143&lt;=0,"N/M",E147/E143),"N/M")</f>
        <v>0.284210526315789</v>
      </c>
      <c r="F148" s="46" t="n">
        <f aca="false">IFERROR(IF(F143&lt;=0,"N/M",F147/F143),"N/M")</f>
        <v>0.0796245084906883</v>
      </c>
      <c r="G148" s="46" t="n">
        <f aca="false">IFERROR(IF(G143&lt;=0,"N/M",G147/G143),"N/M")</f>
        <v>0.126828570974761</v>
      </c>
      <c r="H148" s="46" t="n">
        <f aca="false">IFERROR(IF(H143&lt;=0,"N/M",H147/H143),"N/M")</f>
        <v>0.656513026052104</v>
      </c>
      <c r="I148" s="46" t="n">
        <f aca="false">IFERROR(IF(I143&lt;=0,"N/M",I147/I143),"N/M")</f>
        <v>4.84615384615385</v>
      </c>
      <c r="J148" s="46" t="n">
        <f aca="false">IFERROR(IF(J143&lt;=0,"N/M",J147/J143),"N/M")</f>
        <v>0</v>
      </c>
      <c r="K148" s="25" t="n">
        <f aca="false">IFERROR(AVERAGE(D148:J148),"N/M")</f>
        <v>0.903409799225588</v>
      </c>
      <c r="L148" s="86" t="n">
        <f aca="false">IFERROR(J148-D148,"N/M")</f>
        <v>-0.330538116591928</v>
      </c>
      <c r="M148" s="87" t="n">
        <f aca="false">IFERROR(SLOPE(D148:J148,$D$3:$J$3),"N/M")</f>
        <v>0.311041457409348</v>
      </c>
    </row>
    <row r="149" customFormat="false" ht="15" hidden="false" customHeight="false" outlineLevel="0" collapsed="false">
      <c r="A149" s="18" t="s">
        <v>615</v>
      </c>
      <c r="B149" s="19" t="s">
        <v>616</v>
      </c>
      <c r="D149" s="46" t="n">
        <f aca="false">IFERROR((1-D148),"N/M")</f>
        <v>0.669461883408072</v>
      </c>
      <c r="E149" s="46" t="n">
        <f aca="false">IFERROR((1-E148),"N/M")</f>
        <v>0.715789473684211</v>
      </c>
      <c r="F149" s="46" t="n">
        <f aca="false">IFERROR((1-F148),"N/M")</f>
        <v>0.920375491509312</v>
      </c>
      <c r="G149" s="46" t="n">
        <f aca="false">IFERROR((1-G148),"N/M")</f>
        <v>0.873171429025239</v>
      </c>
      <c r="H149" s="46" t="n">
        <f aca="false">IFERROR((1-H148),"N/M")</f>
        <v>0.343486973947896</v>
      </c>
      <c r="I149" s="46" t="n">
        <f aca="false">IFERROR((1-I148),"N/M")</f>
        <v>-3.84615384615385</v>
      </c>
      <c r="J149" s="46" t="n">
        <f aca="false">IFERROR((1-J148),"N/M")</f>
        <v>1</v>
      </c>
      <c r="K149" s="25" t="n">
        <f aca="false">IFERROR(AVERAGE(D149:J149),"N/M")</f>
        <v>0.0965902007744117</v>
      </c>
      <c r="L149" s="86" t="n">
        <f aca="false">IFERROR(J149-D149,"N/M")</f>
        <v>0.330538116591928</v>
      </c>
      <c r="M149" s="87" t="n">
        <f aca="false">IFERROR(SLOPE(D149:J149,$D$3:$J$3),"N/M")</f>
        <v>-0.311041457409348</v>
      </c>
    </row>
    <row r="150" customFormat="false" ht="15" hidden="false" customHeight="false" outlineLevel="0" collapsed="false">
      <c r="A150" s="18" t="s">
        <v>617</v>
      </c>
      <c r="B150" s="19" t="s">
        <v>618</v>
      </c>
      <c r="D150" s="46" t="str">
        <f aca="false">IFERROR(IF(D49=0,"N/C",IF(D47&lt;=0,"N/M",D143/D47)),"N/M")</f>
        <v>N/C</v>
      </c>
      <c r="E150" s="46" t="str">
        <f aca="false">IFERROR(IF(E49=0,"N/C",IF(E47&lt;=0,"N/M",E143/E47)),"N/M")</f>
        <v>N/C</v>
      </c>
      <c r="F150" s="46" t="str">
        <f aca="false">IFERROR(IF(F49=0,"N/C",IF(F47&lt;=0,"N/M",F143/F47)),"N/M")</f>
        <v>N/C</v>
      </c>
      <c r="G150" s="46" t="str">
        <f aca="false">IFERROR(IF(G49=0,"N/C",IF(G47&lt;=0,"N/M",G143/G47)),"N/M")</f>
        <v>N/C</v>
      </c>
      <c r="H150" s="46" t="str">
        <f aca="false">IFERROR(IF(H49=0,"N/C",IF(H47&lt;=0,"N/M",H143/H47)),"N/M")</f>
        <v>N/C</v>
      </c>
      <c r="I150" s="46" t="str">
        <f aca="false">IFERROR(IF(I49=0,"N/C",IF(I47&lt;=0,"N/M",I143/I47)),"N/M")</f>
        <v>N/C</v>
      </c>
      <c r="J150" s="46" t="n">
        <f aca="false">IFERROR(IF(J49=0,"N/C",IF(J47&lt;=0,"N/M",J143/J47)),"N/M")</f>
        <v>0.00743895131615506</v>
      </c>
      <c r="K150" s="25" t="n">
        <f aca="false">IFERROR(AVERAGE(D150:J150),"N/M")</f>
        <v>0.00743895131615506</v>
      </c>
      <c r="L150" s="86" t="str">
        <f aca="false">IFERROR(J150-D150,"N/M")</f>
        <v>N/M</v>
      </c>
      <c r="M150" s="87" t="str">
        <f aca="false">IFERROR(SLOPE(D150:J150,$D$3:$J$3),"N/M")</f>
        <v>N/M</v>
      </c>
    </row>
    <row r="151" customFormat="false" ht="15" hidden="false" customHeight="false" outlineLevel="0" collapsed="false">
      <c r="A151" s="18" t="s">
        <v>146</v>
      </c>
      <c r="B151" s="19" t="s">
        <v>619</v>
      </c>
      <c r="D151" s="46" t="str">
        <f aca="false">IFERROR(IF(D49=0,"N/C",IF(D47&lt;=0,"N/M",D147/D47)),"N/M")</f>
        <v>N/C</v>
      </c>
      <c r="E151" s="46" t="str">
        <f aca="false">IFERROR(IF(E49=0,"N/C",IF(E47&lt;=0,"N/M",E147/E47)),"N/M")</f>
        <v>N/C</v>
      </c>
      <c r="F151" s="46" t="str">
        <f aca="false">IFERROR(IF(F49=0,"N/C",IF(F47&lt;=0,"N/M",F147/F47)),"N/M")</f>
        <v>N/C</v>
      </c>
      <c r="G151" s="46" t="str">
        <f aca="false">IFERROR(IF(G49=0,"N/C",IF(G47&lt;=0,"N/M",G147/G47)),"N/M")</f>
        <v>N/C</v>
      </c>
      <c r="H151" s="46" t="str">
        <f aca="false">IFERROR(IF(H49=0,"N/C",IF(H47&lt;=0,"N/M",H147/H47)),"N/M")</f>
        <v>N/C</v>
      </c>
      <c r="I151" s="46" t="str">
        <f aca="false">IFERROR(IF(I49=0,"N/C",IF(I47&lt;=0,"N/M",I147/I47)),"N/M")</f>
        <v>N/C</v>
      </c>
      <c r="J151" s="46" t="n">
        <f aca="false">IFERROR(IF(J49=0,"N/C",IF(J47&lt;=0,"N/M",J147/J47)),"N/M")</f>
        <v>0</v>
      </c>
      <c r="K151" s="25" t="n">
        <f aca="false">IFERROR(AVERAGE(D151:J151),"N/M")</f>
        <v>0</v>
      </c>
      <c r="L151" s="86" t="str">
        <f aca="false">IFERROR(J151-D151,"N/M")</f>
        <v>N/M</v>
      </c>
      <c r="M151" s="87" t="str">
        <f aca="false">IFERROR(SLOPE(D151:J151,$D$3:$J$3),"N/M")</f>
        <v>N/M</v>
      </c>
    </row>
    <row r="152" customFormat="false" ht="15" hidden="false" customHeight="false" outlineLevel="0" collapsed="false">
      <c r="A152" s="18" t="s">
        <v>143</v>
      </c>
      <c r="B152" s="19" t="s">
        <v>620</v>
      </c>
      <c r="D152" s="47" t="str">
        <f aca="false">IFERROR(IF(D49=0,"N/C",IF(D143&lt;=0,"N/M",D47/D143)),"N/M")</f>
        <v>N/C</v>
      </c>
      <c r="E152" s="47" t="str">
        <f aca="false">IFERROR(IF(E49=0,"N/C",IF(E143&lt;=0,"N/M",E47/E143)),"N/M")</f>
        <v>N/C</v>
      </c>
      <c r="F152" s="47" t="str">
        <f aca="false">IFERROR(IF(F49=0,"N/C",IF(F143&lt;=0,"N/M",F47/F143)),"N/M")</f>
        <v>N/C</v>
      </c>
      <c r="G152" s="47" t="str">
        <f aca="false">IFERROR(IF(G49=0,"N/C",IF(G143&lt;=0,"N/M",G47/G143)),"N/M")</f>
        <v>N/C</v>
      </c>
      <c r="H152" s="47" t="str">
        <f aca="false">IFERROR(IF(H49=0,"N/C",IF(H143&lt;=0,"N/M",H47/H143)),"N/M")</f>
        <v>N/C</v>
      </c>
      <c r="I152" s="47" t="str">
        <f aca="false">IFERROR(IF(I49=0,"N/C",IF(I143&lt;=0,"N/M",I47/I143)),"N/M")</f>
        <v>N/C</v>
      </c>
      <c r="J152" s="47" t="n">
        <f aca="false">IFERROR(IF(J49=0,"N/C",IF(J143&lt;=0,"N/M",J47/J143)),"N/M")</f>
        <v>134.42755</v>
      </c>
      <c r="K152" s="22" t="n">
        <f aca="false">IFERROR(AVERAGE(D152:J152),"N/M")</f>
        <v>134.42755</v>
      </c>
      <c r="L152" s="82" t="str">
        <f aca="false">IFERROR(J152-D152,"N/M")</f>
        <v>N/M</v>
      </c>
      <c r="M152" s="83" t="str">
        <f aca="false">IFERROR(SLOPE(D152:J152,$D$3:$J$3),"N/M")</f>
        <v>N/M</v>
      </c>
    </row>
    <row r="153" customFormat="false" ht="15" hidden="false" customHeight="false" outlineLevel="0" collapsed="false">
      <c r="A153" s="18" t="s">
        <v>148</v>
      </c>
      <c r="B153" s="19" t="s">
        <v>621</v>
      </c>
      <c r="D153" s="46" t="n">
        <f aca="false">IFERROR(IF(C47&lt;=0,"N/M",((D147+D47)-C47)/C47),"N/M")</f>
        <v>-0.396419437340154</v>
      </c>
      <c r="E153" s="46" t="n">
        <f aca="false">IFERROR(IF(D47&lt;=0,"N/M",((E147+E47)-D47)/D47),"N/M")</f>
        <v>1.2367758186398</v>
      </c>
      <c r="F153" s="46" t="n">
        <f aca="false">IFERROR(IF(E47&lt;=0,"N/M",((F147+F47)-E47)/E47),"N/M")</f>
        <v>1.99284009546539</v>
      </c>
      <c r="G153" s="46" t="n">
        <f aca="false">IFERROR(IF(F47&lt;=0,"N/M",((G147+G47)-F47)/F47),"N/M")</f>
        <v>0.0255846511497972</v>
      </c>
      <c r="H153" s="46" t="n">
        <f aca="false">IFERROR(IF(G47&lt;=0,"N/M",((H147+H47)-G47)/G47),"N/M")</f>
        <v>0.0745650372825187</v>
      </c>
      <c r="I153" s="46" t="n">
        <f aca="false">IFERROR(IF(H47&lt;=0,"N/M",((I147+I47)-H47)/H47),"N/M")</f>
        <v>-0.516314538293182</v>
      </c>
      <c r="J153" s="46" t="n">
        <f aca="false">IFERROR(IF(I47&lt;=0,"N/M",((J147+J47)-I47)/I47),"N/M")</f>
        <v>-0.279116465863454</v>
      </c>
      <c r="K153" s="25" t="n">
        <f aca="false">IFERROR(AVERAGE(D153:J153),"N/M")</f>
        <v>0.305416451577245</v>
      </c>
      <c r="L153" s="86" t="n">
        <f aca="false">IFERROR(J153-D153,"N/M")</f>
        <v>0.1173029714767</v>
      </c>
      <c r="M153" s="87" t="n">
        <f aca="false">IFERROR(SLOPE(D153:J153,$D$3:$J$3),"N/M")</f>
        <v>-0.181162387772098</v>
      </c>
    </row>
    <row r="154" customFormat="false" ht="15" hidden="false" customHeight="false" outlineLevel="0" collapsed="false">
      <c r="A154" s="18" t="s">
        <v>147</v>
      </c>
      <c r="B154" s="19" t="s">
        <v>622</v>
      </c>
      <c r="D154" s="47" t="str">
        <f aca="false">IFERROR(IF(D49=0,"N/C",IF(D59&lt;=0,"N/M",D70/D59)),"N/M")</f>
        <v>N/C</v>
      </c>
      <c r="E154" s="47" t="str">
        <f aca="false">IFERROR(IF(E49=0,"N/C",IF(E59&lt;=0,"N/M",E70/E59)),"N/M")</f>
        <v>N/C</v>
      </c>
      <c r="F154" s="47" t="str">
        <f aca="false">IFERROR(IF(F49=0,"N/C",IF(F59&lt;=0,"N/M",F70/F59)),"N/M")</f>
        <v>N/C</v>
      </c>
      <c r="G154" s="47" t="str">
        <f aca="false">IFERROR(IF(G49=0,"N/C",IF(G59&lt;=0,"N/M",G70/G59)),"N/M")</f>
        <v>N/C</v>
      </c>
      <c r="H154" s="47" t="str">
        <f aca="false">IFERROR(IF(H49=0,"N/C",IF(H59&lt;=0,"N/M",H70/H59)),"N/M")</f>
        <v>N/C</v>
      </c>
      <c r="I154" s="47" t="str">
        <f aca="false">IFERROR(IF(I49=0,"N/C",IF(I59&lt;=0,"N/M",I70/I59)),"N/M")</f>
        <v>N/C</v>
      </c>
      <c r="J154" s="47" t="n">
        <f aca="false">IFERROR(IF(J49=0,"N/C",IF(J59&lt;=0,"N/M",J70/J59)),"N/M")</f>
        <v>6.06452</v>
      </c>
      <c r="K154" s="22" t="n">
        <f aca="false">IFERROR(AVERAGE(D154:J154),"N/M")</f>
        <v>6.06452</v>
      </c>
      <c r="L154" s="82" t="str">
        <f aca="false">IFERROR(J154-D154,"N/M")</f>
        <v>N/M</v>
      </c>
      <c r="M154" s="83" t="str">
        <f aca="false">IFERROR(SLOPE(D154:J154,$D$3:$J$3),"N/M")</f>
        <v>N/M</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0.0303556649387986</v>
      </c>
      <c r="E157" s="46" t="n">
        <f aca="false">IFERROR(E124,"N/M")</f>
        <v>0.0164696468884846</v>
      </c>
      <c r="F157" s="46" t="n">
        <f aca="false">IFERROR(F124,"N/M")</f>
        <v>0.0485634815964277</v>
      </c>
      <c r="G157" s="46" t="n">
        <f aca="false">IFERROR(G124,"N/M")</f>
        <v>0.0348788445035863</v>
      </c>
      <c r="H157" s="46" t="n">
        <f aca="false">IFERROR(H124,"N/M")</f>
        <v>0.0115431948355577</v>
      </c>
      <c r="I157" s="46" t="n">
        <f aca="false">IFERROR(I124,"N/M")</f>
        <v>0.0331463539010709</v>
      </c>
      <c r="J157" s="46" t="n">
        <f aca="false">IFERROR(J124,"N/M")</f>
        <v>0.00388726919339164</v>
      </c>
      <c r="K157" s="25" t="n">
        <f aca="false">IFERROR(AVERAGE(D157:J157),"N/M")</f>
        <v>0.0255492079796168</v>
      </c>
      <c r="L157" s="86" t="n">
        <f aca="false">IFERROR(J157-D157,"N/M")</f>
        <v>-0.026468395745407</v>
      </c>
      <c r="M157" s="87" t="n">
        <f aca="false">IFERROR(SLOPE(D157:J157,$D$3:$J$3),"N/M")</f>
        <v>-0.00296685928471137</v>
      </c>
    </row>
    <row r="158" customFormat="false" ht="15" hidden="false" customHeight="false" outlineLevel="0" collapsed="false">
      <c r="A158" s="18" t="s">
        <v>625</v>
      </c>
      <c r="B158" s="19" t="s">
        <v>626</v>
      </c>
      <c r="D158" s="47" t="n">
        <f aca="false">IFERROR(D113,"N/M")</f>
        <v>1.59435548017375</v>
      </c>
      <c r="E158" s="47" t="n">
        <f aca="false">IFERROR(E113,"N/M")</f>
        <v>1.66448790689231</v>
      </c>
      <c r="F158" s="47" t="n">
        <f aca="false">IFERROR(F113,"N/M")</f>
        <v>2.25356218822541</v>
      </c>
      <c r="G158" s="47" t="n">
        <f aca="false">IFERROR(G113,"N/M")</f>
        <v>2.14445272752653</v>
      </c>
      <c r="H158" s="47" t="n">
        <f aca="false">IFERROR(H113,"N/M")</f>
        <v>1.80191505961028</v>
      </c>
      <c r="I158" s="47" t="n">
        <f aca="false">IFERROR(I113,"N/M")</f>
        <v>0.440452446408999</v>
      </c>
      <c r="J158" s="47" t="n">
        <f aca="false">IFERROR(J113,"N/M")</f>
        <v>1.18377911993098</v>
      </c>
      <c r="K158" s="22" t="n">
        <f aca="false">IFERROR(AVERAGE(D158:J158),"N/M")</f>
        <v>1.58328641839546</v>
      </c>
      <c r="L158" s="82" t="n">
        <f aca="false">IFERROR(J158-D158,"N/M")</f>
        <v>-0.410576360242779</v>
      </c>
      <c r="M158" s="83" t="n">
        <f aca="false">IFERROR(SLOPE(D158:J158,$D$3:$J$3),"N/M")</f>
        <v>-0.14755168322536</v>
      </c>
    </row>
    <row r="159" customFormat="false" ht="15" hidden="false" customHeight="false" outlineLevel="0" collapsed="false">
      <c r="A159" s="18" t="s">
        <v>627</v>
      </c>
      <c r="B159" s="19" t="s">
        <v>628</v>
      </c>
      <c r="D159" s="46" t="n">
        <f aca="false">IFERROR((D157*D158),"N/M")</f>
        <v>0.0483977207494919</v>
      </c>
      <c r="E159" s="46" t="n">
        <f aca="false">IFERROR((E157*E158),"N/M")</f>
        <v>0.0274135280766691</v>
      </c>
      <c r="F159" s="46" t="n">
        <f aca="false">IFERROR((F157*F158),"N/M")</f>
        <v>0.10944082585429</v>
      </c>
      <c r="G159" s="46" t="n">
        <f aca="false">IFERROR((G157*G158),"N/M")</f>
        <v>0.0747960332286893</v>
      </c>
      <c r="H159" s="46" t="n">
        <f aca="false">IFERROR((H157*H158),"N/M")</f>
        <v>0.0207998566102069</v>
      </c>
      <c r="I159" s="46" t="n">
        <f aca="false">IFERROR((I157*I158),"N/M")</f>
        <v>0.0145993926652651</v>
      </c>
      <c r="J159" s="46" t="n">
        <f aca="false">IFERROR((J157*J158),"N/M")</f>
        <v>0.00460166810468795</v>
      </c>
      <c r="K159" s="25" t="n">
        <f aca="false">IFERROR(AVERAGE(D159:J159),"N/M")</f>
        <v>0.0428641464699</v>
      </c>
      <c r="L159" s="86" t="n">
        <f aca="false">IFERROR(J159-D159,"N/M")</f>
        <v>-0.0437960526448039</v>
      </c>
      <c r="M159" s="87" t="n">
        <f aca="false">IFERROR(SLOPE(D159:J159,$D$3:$J$3),"N/M")</f>
        <v>-0.00877347850004652</v>
      </c>
    </row>
    <row r="160" customFormat="false" ht="15" hidden="false" customHeight="false" outlineLevel="0" collapsed="false">
      <c r="A160" s="18" t="s">
        <v>629</v>
      </c>
      <c r="B160" s="19" t="s">
        <v>630</v>
      </c>
      <c r="D160" s="47" t="n">
        <f aca="false">IFERROR(IF(((D61+C61)/2)&lt;=0,"N/M",((D35+C35)/2)/((D61+C61)/2)),"N/M")</f>
        <v>2.22351416824306</v>
      </c>
      <c r="E160" s="47" t="n">
        <f aca="false">IFERROR(IF(((E61+D61)/2)&lt;=0,"N/M",((E35+D35)/2)/((E61+D61)/2)),"N/M")</f>
        <v>2.84794005292104</v>
      </c>
      <c r="F160" s="47" t="n">
        <f aca="false">IFERROR(IF(((F61+E61)/2)&lt;=0,"N/M",((F35+E35)/2)/((F61+E61)/2)),"N/M")</f>
        <v>3.10676546746736</v>
      </c>
      <c r="G160" s="47" t="n">
        <f aca="false">IFERROR(IF(((G61+F61)/2)&lt;=0,"N/M",((G35+F35)/2)/((G61+F61)/2)),"N/M")</f>
        <v>2.81708606789179</v>
      </c>
      <c r="H160" s="47" t="n">
        <f aca="false">IFERROR(IF(((H61+G61)/2)&lt;=0,"N/M",((H35+G35)/2)/((H61+G61)/2)),"N/M")</f>
        <v>2.69766391484018</v>
      </c>
      <c r="I160" s="47" t="n">
        <f aca="false">IFERROR(IF(((I61+H61)/2)&lt;=0,"N/M",((I35+H35)/2)/((I61+H61)/2)),"N/M")</f>
        <v>2.88766161958471</v>
      </c>
      <c r="J160" s="47" t="n">
        <f aca="false">IFERROR(IF(((J61+I61)/2)&lt;=0,"N/M",((J35+I35)/2)/((J61+I61)/2)),"N/M")</f>
        <v>3.06073943661972</v>
      </c>
      <c r="K160" s="22" t="n">
        <f aca="false">IFERROR(AVERAGE(D160:J160),"N/M")</f>
        <v>2.80591010393827</v>
      </c>
      <c r="L160" s="82" t="n">
        <f aca="false">IFERROR(J160-D160,"N/M")</f>
        <v>0.837225268376658</v>
      </c>
      <c r="M160" s="83" t="n">
        <f aca="false">IFERROR(SLOPE(D160:J160,$D$3:$J$3),"N/M")</f>
        <v>0.0779291923510762</v>
      </c>
    </row>
    <row r="161" customFormat="false" ht="15" hidden="false" customHeight="false" outlineLevel="0" collapsed="false">
      <c r="A161" s="18" t="s">
        <v>631</v>
      </c>
      <c r="B161" s="19" t="s">
        <v>632</v>
      </c>
      <c r="D161" s="46" t="n">
        <f aca="false">IFERROR(((D157*D158)*D160),"N/M")</f>
        <v>0.107613017797166</v>
      </c>
      <c r="E161" s="46" t="n">
        <f aca="false">IFERROR(((E157*E158)*E160),"N/M")</f>
        <v>0.0780720846014215</v>
      </c>
      <c r="F161" s="46" t="n">
        <f aca="false">IFERROR(((F157*F158)*F160),"N/M")</f>
        <v>0.340006978495216</v>
      </c>
      <c r="G161" s="46" t="n">
        <f aca="false">IFERROR(((G157*G158)*G160),"N/M")</f>
        <v>0.210706863142112</v>
      </c>
      <c r="H161" s="46" t="n">
        <f aca="false">IFERROR(((H157*H158)*H160),"N/M")</f>
        <v>0.0561110226112053</v>
      </c>
      <c r="I161" s="46" t="n">
        <f aca="false">IFERROR(((I157*I158)*I160),"N/M")</f>
        <v>0.0421581058687326</v>
      </c>
      <c r="J161" s="46" t="n">
        <f aca="false">IFERROR(((J157*J158)*J160),"N/M")</f>
        <v>0.0140845070422535</v>
      </c>
      <c r="K161" s="25" t="n">
        <f aca="false">IFERROR(AVERAGE(D161:J161),"N/M")</f>
        <v>0.121250368508301</v>
      </c>
      <c r="L161" s="86" t="n">
        <f aca="false">IFERROR(J161-D161,"N/M")</f>
        <v>-0.0935285107549128</v>
      </c>
      <c r="M161" s="87" t="n">
        <f aca="false">IFERROR(SLOPE(D161:J161,$D$3:$J$3),"N/M")</f>
        <v>-0.0227253373433617</v>
      </c>
    </row>
    <row r="162" customFormat="false" ht="15" hidden="false" customHeight="false" outlineLevel="0" collapsed="false">
      <c r="A162" s="18" t="s">
        <v>633</v>
      </c>
      <c r="B162" s="19" t="s">
        <v>634</v>
      </c>
      <c r="D162" s="47" t="n">
        <f aca="false">IFERROR(IF(D20=0,"N/M",D22/D20),"N/M")</f>
        <v>0.730094290204295</v>
      </c>
      <c r="E162" s="47" t="n">
        <f aca="false">IFERROR(IF(E20=0,"N/M",E22/E20),"N/M")</f>
        <v>1.0868745285391</v>
      </c>
      <c r="F162" s="47" t="n">
        <f aca="false">IFERROR(IF(F20=0,"N/M",F22/F20),"N/M")</f>
        <v>0.75778685505194</v>
      </c>
      <c r="G162" s="47" t="n">
        <f aca="false">IFERROR(IF(G20=0,"N/M",G22/G20),"N/M")</f>
        <v>0.703185382089486</v>
      </c>
      <c r="H162" s="47" t="n">
        <f aca="false">IFERROR(IF(H20=0,"N/M",H22/H20),"N/M")</f>
        <v>0.910528556657138</v>
      </c>
      <c r="I162" s="47" t="n">
        <f aca="false">IFERROR(IF(I20=0,"N/M",I22/I20),"N/M")</f>
        <v>4.33333333333333</v>
      </c>
      <c r="J162" s="47" t="n">
        <f aca="false">IFERROR(IF(J20=0,"N/M",J22/J20),"N/M")</f>
        <v>2</v>
      </c>
      <c r="K162" s="22" t="n">
        <f aca="false">IFERROR(AVERAGE(D162:J162),"N/M")</f>
        <v>1.50311470655361</v>
      </c>
      <c r="L162" s="82" t="n">
        <f aca="false">IFERROR(J162-D162,"N/M")</f>
        <v>1.2699057097957</v>
      </c>
      <c r="M162" s="83" t="n">
        <f aca="false">IFERROR(SLOPE(D162:J162,$D$3:$J$3),"N/M")</f>
        <v>0.373406301449314</v>
      </c>
    </row>
    <row r="163" customFormat="false" ht="15" hidden="false" customHeight="false" outlineLevel="0" collapsed="false">
      <c r="A163" s="18" t="s">
        <v>635</v>
      </c>
      <c r="B163" s="19" t="s">
        <v>636</v>
      </c>
      <c r="D163" s="47" t="n">
        <f aca="false">IFERROR(IF(D58=0,"N/M",D20/D58),"N/M")</f>
        <v>0.803514587114934</v>
      </c>
      <c r="E163" s="47" t="n">
        <f aca="false">IFERROR(IF(E58=0,"N/M",E20/E58),"N/M")</f>
        <v>0.526180001984586</v>
      </c>
      <c r="F163" s="47" t="n">
        <f aca="false">IFERROR(IF(F58=0,"N/M",F20/F58),"N/M")</f>
        <v>0.926993064303167</v>
      </c>
      <c r="G163" s="47" t="n">
        <f aca="false">IFERROR(IF(G58=0,"N/M",G20/G58),"N/M")</f>
        <v>0.91276467769724</v>
      </c>
      <c r="H163" s="47" t="n">
        <f aca="false">IFERROR(IF(H58=0,"N/M",H20/H58),"N/M")</f>
        <v>0.540911334101003</v>
      </c>
      <c r="I163" s="47" t="n">
        <f aca="false">IFERROR(IF(I58=0,"N/M",I20/I58),"N/M")</f>
        <v>0.166666666666667</v>
      </c>
      <c r="J163" s="47" t="n">
        <f aca="false">IFERROR(IF(J58=0,"N/M",J20/J58),"N/M")</f>
        <v>0.0606060606060606</v>
      </c>
      <c r="K163" s="22" t="n">
        <f aca="false">IFERROR(AVERAGE(D163:J163),"N/M")</f>
        <v>0.562519484639094</v>
      </c>
      <c r="L163" s="82" t="n">
        <f aca="false">IFERROR(J163-D163,"N/M")</f>
        <v>-0.742908526508874</v>
      </c>
      <c r="M163" s="83" t="n">
        <f aca="false">IFERROR(SLOPE(D163:J163,$D$3:$J$3),"N/M")</f>
        <v>-0.119065499298737</v>
      </c>
    </row>
    <row r="164" customFormat="false" ht="15" hidden="false" customHeight="false" outlineLevel="0" collapsed="false">
      <c r="A164" s="18" t="s">
        <v>637</v>
      </c>
      <c r="B164" s="19" t="s">
        <v>577</v>
      </c>
      <c r="D164" s="46" t="n">
        <f aca="false">IFERROR(IF(D9&lt;=0,"N/M",D58/D9),"N/M")</f>
        <v>0.0517448381757198</v>
      </c>
      <c r="E164" s="46" t="n">
        <f aca="false">IFERROR(IF(E9&lt;=0,"N/M",E58/E9),"N/M")</f>
        <v>0.0287985444985283</v>
      </c>
      <c r="F164" s="46" t="n">
        <f aca="false">IFERROR(IF(F9&lt;=0,"N/M",F58/F9),"N/M")</f>
        <v>0.0691331367124015</v>
      </c>
      <c r="G164" s="46" t="n">
        <f aca="false">IFERROR(IF(G9&lt;=0,"N/M",G58/G9),"N/M")</f>
        <v>0.0543417261424305</v>
      </c>
      <c r="H164" s="46" t="n">
        <f aca="false">IFERROR(IF(H9&lt;=0,"N/M",H58/H9),"N/M")</f>
        <v>0.0234372349383283</v>
      </c>
      <c r="I164" s="46" t="n">
        <f aca="false">IFERROR(IF(I9&lt;=0,"N/M",I58/I9),"N/M")</f>
        <v>0.0458949515553289</v>
      </c>
      <c r="J164" s="46" t="n">
        <f aca="false">IFERROR(IF(J9&lt;=0,"N/M",J58/J9),"N/M")</f>
        <v>0.0320699708454811</v>
      </c>
      <c r="K164" s="25" t="n">
        <f aca="false">IFERROR(AVERAGE(D164:J164),"N/M")</f>
        <v>0.0436314861240312</v>
      </c>
      <c r="L164" s="86" t="n">
        <f aca="false">IFERROR(J164-D164,"N/M")</f>
        <v>-0.0196748673302388</v>
      </c>
      <c r="M164" s="87" t="n">
        <f aca="false">IFERROR(SLOPE(D164:J164,$D$3:$J$3),"N/M")</f>
        <v>-0.00251884605897101</v>
      </c>
    </row>
    <row r="165" customFormat="false" ht="15" hidden="false" customHeight="false" outlineLevel="0" collapsed="false">
      <c r="A165" s="18" t="s">
        <v>638</v>
      </c>
      <c r="B165" s="19" t="s">
        <v>626</v>
      </c>
      <c r="D165" s="47" t="n">
        <f aca="false">IFERROR(D113,"N/M")</f>
        <v>1.59435548017375</v>
      </c>
      <c r="E165" s="47" t="n">
        <f aca="false">IFERROR(E113,"N/M")</f>
        <v>1.66448790689231</v>
      </c>
      <c r="F165" s="47" t="n">
        <f aca="false">IFERROR(F113,"N/M")</f>
        <v>2.25356218822541</v>
      </c>
      <c r="G165" s="47" t="n">
        <f aca="false">IFERROR(G113,"N/M")</f>
        <v>2.14445272752653</v>
      </c>
      <c r="H165" s="47" t="n">
        <f aca="false">IFERROR(H113,"N/M")</f>
        <v>1.80191505961028</v>
      </c>
      <c r="I165" s="47" t="n">
        <f aca="false">IFERROR(I113,"N/M")</f>
        <v>0.440452446408999</v>
      </c>
      <c r="J165" s="47" t="n">
        <f aca="false">IFERROR(J113,"N/M")</f>
        <v>1.18377911993098</v>
      </c>
      <c r="K165" s="22" t="n">
        <f aca="false">IFERROR(AVERAGE(D165:J165),"N/M")</f>
        <v>1.58328641839546</v>
      </c>
      <c r="L165" s="82" t="n">
        <f aca="false">IFERROR(J165-D165,"N/M")</f>
        <v>-0.410576360242779</v>
      </c>
      <c r="M165" s="83" t="n">
        <f aca="false">IFERROR(SLOPE(D165:J165,$D$3:$J$3),"N/M")</f>
        <v>-0.14755168322536</v>
      </c>
    </row>
    <row r="166" customFormat="false" ht="15" hidden="false" customHeight="false" outlineLevel="0" collapsed="false">
      <c r="A166" s="18" t="s">
        <v>639</v>
      </c>
      <c r="B166" s="19" t="s">
        <v>640</v>
      </c>
      <c r="D166" s="47" t="n">
        <f aca="false">IFERROR(D160,"N/M")</f>
        <v>2.22351416824306</v>
      </c>
      <c r="E166" s="47" t="n">
        <f aca="false">IFERROR(E160,"N/M")</f>
        <v>2.84794005292104</v>
      </c>
      <c r="F166" s="47" t="n">
        <f aca="false">IFERROR(F160,"N/M")</f>
        <v>3.10676546746736</v>
      </c>
      <c r="G166" s="47" t="n">
        <f aca="false">IFERROR(G160,"N/M")</f>
        <v>2.81708606789179</v>
      </c>
      <c r="H166" s="47" t="n">
        <f aca="false">IFERROR(H160,"N/M")</f>
        <v>2.69766391484018</v>
      </c>
      <c r="I166" s="47" t="n">
        <f aca="false">IFERROR(I160,"N/M")</f>
        <v>2.88766161958471</v>
      </c>
      <c r="J166" s="47" t="n">
        <f aca="false">IFERROR(J160,"N/M")</f>
        <v>3.06073943661972</v>
      </c>
      <c r="K166" s="22" t="n">
        <f aca="false">IFERROR(AVERAGE(D166:J166),"N/M")</f>
        <v>2.80591010393827</v>
      </c>
      <c r="L166" s="82" t="n">
        <f aca="false">IFERROR(J166-D166,"N/M")</f>
        <v>0.837225268376658</v>
      </c>
      <c r="M166" s="83" t="n">
        <f aca="false">IFERROR(SLOPE(D166:J166,$D$3:$J$3),"N/M")</f>
        <v>0.0779291923510762</v>
      </c>
    </row>
    <row r="167" customFormat="false" ht="15" hidden="false" customHeight="false" outlineLevel="0" collapsed="false">
      <c r="A167" s="18" t="s">
        <v>641</v>
      </c>
      <c r="B167" s="19" t="s">
        <v>642</v>
      </c>
      <c r="D167" s="46" t="n">
        <f aca="false">IFERROR(((((D162*D163)*D164)*D165)*D166),"N/M")</f>
        <v>0.107613017797166</v>
      </c>
      <c r="E167" s="46" t="n">
        <f aca="false">IFERROR(((((E162*E163)*E164)*E165)*E166),"N/M")</f>
        <v>0.0780720846014215</v>
      </c>
      <c r="F167" s="46" t="n">
        <f aca="false">IFERROR(((((F162*F163)*F164)*F165)*F166),"N/M")</f>
        <v>0.340006978495216</v>
      </c>
      <c r="G167" s="46" t="n">
        <f aca="false">IFERROR(((((G162*G163)*G164)*G165)*G166),"N/M")</f>
        <v>0.210706863142112</v>
      </c>
      <c r="H167" s="46" t="n">
        <f aca="false">IFERROR(((((H162*H163)*H164)*H165)*H166),"N/M")</f>
        <v>0.0561110226112053</v>
      </c>
      <c r="I167" s="46" t="n">
        <f aca="false">IFERROR(((((I162*I163)*I164)*I165)*I166),"N/M")</f>
        <v>0.0421581058687326</v>
      </c>
      <c r="J167" s="46" t="n">
        <f aca="false">IFERROR(((((J162*J163)*J164)*J165)*J166),"N/M")</f>
        <v>0.0140845070422535</v>
      </c>
      <c r="K167" s="25" t="n">
        <f aca="false">IFERROR(AVERAGE(D167:J167),"N/M")</f>
        <v>0.121250368508301</v>
      </c>
      <c r="L167" s="86" t="n">
        <f aca="false">IFERROR(J167-D167,"N/M")</f>
        <v>-0.0935285107549128</v>
      </c>
      <c r="M167" s="87" t="n">
        <f aca="false">IFERROR(SLOPE(D167:J167,$D$3:$J$3),"N/M")</f>
        <v>-0.0227253373433617</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n">
        <f aca="false">IFERROR(IF((1-(D135*D149))&lt;=0,"N/M",(D135*D149)/(1-(D135*D149))),"N/M")</f>
        <v>0.0334853696366269</v>
      </c>
      <c r="E170" s="46" t="n">
        <f aca="false">IFERROR(IF((1-(E135*E149))&lt;=0,"N/M",(E135*E149)/(1-(E135*E149))),"N/M")</f>
        <v>0.020015056575365</v>
      </c>
      <c r="F170" s="46" t="n">
        <f aca="false">IFERROR(IF((1-(F135*F149))&lt;=0,"N/M",(F135*F149)/(1-(F135*F149))),"N/M")</f>
        <v>0.112008939575699</v>
      </c>
      <c r="G170" s="46" t="n">
        <f aca="false">IFERROR(IF((1-(G135*G149))&lt;=0,"N/M",(G135*G149)/(1-(G135*G149))),"N/M")</f>
        <v>0.0698731583686942</v>
      </c>
      <c r="H170" s="46" t="n">
        <f aca="false">IFERROR(IF((1-(H135*H149))&lt;=0,"N/M",(H135*H149)/(1-(H135*H149))),"N/M")</f>
        <v>0.00719589070138943</v>
      </c>
      <c r="I170" s="46" t="n">
        <f aca="false">IFERROR(IF((1-(I135*I149))&lt;=0,"N/M",(I135*I149)/(1-(I135*I149))),"N/M")</f>
        <v>-0.0531661506005648</v>
      </c>
      <c r="J170" s="46" t="n">
        <f aca="false">IFERROR(IF((1-(J135*J149))&lt;=0,"N/M",(J135*J149)/(1-(J135*J149))),"N/M")</f>
        <v>0.00462294134643167</v>
      </c>
      <c r="K170" s="25" t="n">
        <f aca="false">IFERROR(AVERAGE(D170:J170),"N/M")</f>
        <v>0.0277193150862344</v>
      </c>
      <c r="L170" s="86" t="n">
        <f aca="false">IFERROR(J170-D170,"N/M")</f>
        <v>-0.0288624282901952</v>
      </c>
      <c r="M170" s="87" t="n">
        <f aca="false">IFERROR(SLOPE(D170:J170,$D$3:$J$3),"N/M")</f>
        <v>-0.0120629552891698</v>
      </c>
    </row>
    <row r="171" customFormat="false" ht="15" hidden="false" customHeight="false" outlineLevel="0" collapsed="false">
      <c r="A171" s="18" t="s">
        <v>645</v>
      </c>
      <c r="B171" s="19" t="s">
        <v>646</v>
      </c>
      <c r="D171" s="46" t="n">
        <f aca="false">IFERROR(IF((1-(D139*D149))&lt;=0,"N/M",(D139*D149)/(1-(D139*D149))),"N/M")</f>
        <v>0.0776359239709821</v>
      </c>
      <c r="E171" s="46" t="n">
        <f aca="false">IFERROR(IF((1-(E139*E149))&lt;=0,"N/M",(E139*E149)/(1-(E139*E149))),"N/M")</f>
        <v>0.059190954918072</v>
      </c>
      <c r="F171" s="46" t="n">
        <f aca="false">IFERROR(IF((1-(F139*F149))&lt;=0,"N/M",(F139*F149)/(1-(F139*F149))),"N/M")</f>
        <v>0.455464439977762</v>
      </c>
      <c r="G171" s="46" t="n">
        <f aca="false">IFERROR(IF((1-(G139*G149))&lt;=0,"N/M",(G139*G149)/(1-(G139*G149))),"N/M")</f>
        <v>0.22546498513278</v>
      </c>
      <c r="H171" s="46" t="n">
        <f aca="false">IFERROR(IF((1-(H139*H149))&lt;=0,"N/M",(H139*H149)/(1-(H139*H149))),"N/M")</f>
        <v>0.0196521695926436</v>
      </c>
      <c r="I171" s="46" t="n">
        <f aca="false">IFERROR(IF((1-(I139*I149))&lt;=0,"N/M",(I139*I149)/(1-(I139*I149))),"N/M")</f>
        <v>-0.139523332486892</v>
      </c>
      <c r="J171" s="46" t="n">
        <f aca="false">IFERROR(IF((1-(J139*J149))&lt;=0,"N/M",(J139*J149)/(1-(J139*J149))),"N/M")</f>
        <v>0.0142857142857143</v>
      </c>
      <c r="K171" s="25" t="n">
        <f aca="false">IFERROR(AVERAGE(D171:J171),"N/M")</f>
        <v>0.101738693627295</v>
      </c>
      <c r="L171" s="86" t="n">
        <f aca="false">IFERROR(J171-D171,"N/M")</f>
        <v>-0.0633502096852678</v>
      </c>
      <c r="M171" s="87" t="n">
        <f aca="false">IFERROR(SLOPE(D171:J171,$D$3:$J$3),"N/M")</f>
        <v>-0.0365461240803875</v>
      </c>
    </row>
    <row r="172" customFormat="false" ht="15" hidden="false" customHeight="false" outlineLevel="0" collapsed="false">
      <c r="A172" s="18" t="s">
        <v>647</v>
      </c>
      <c r="B172" s="19" t="s">
        <v>648</v>
      </c>
      <c r="D172" s="46" t="n">
        <f aca="false">IFERROR((IF(C9&lt;=0,"N/M",D9/C9)-1),"N/M")</f>
        <v>0.0654661588487657</v>
      </c>
      <c r="E172" s="46" t="n">
        <f aca="false">IFERROR((IF(D9&lt;=0,"N/M",E9/D9)-1),"N/M")</f>
        <v>0.429043973515703</v>
      </c>
      <c r="F172" s="46" t="n">
        <f aca="false">IFERROR((IF(E9&lt;=0,"N/M",F9/E9)-1),"N/M")</f>
        <v>0.815762852325659</v>
      </c>
      <c r="G172" s="46" t="n">
        <f aca="false">IFERROR((IF(F9&lt;=0,"N/M",G9/F9)-1),"N/M")</f>
        <v>-0.0530525032446652</v>
      </c>
      <c r="H172" s="46" t="n">
        <f aca="false">IFERROR((IF(G9&lt;=0,"N/M",H9/G9)-1),"N/M")</f>
        <v>-0.281544222213235</v>
      </c>
      <c r="I172" s="46" t="n">
        <f aca="false">IFERROR((IF(H9&lt;=0,"N/M",I9/H9)-1),"N/M")</f>
        <v>-0.84878954527369</v>
      </c>
      <c r="J172" s="46" t="n">
        <f aca="false">IFERROR((IF(I9&lt;=0,"N/M",J9/I9)-1),"N/M")</f>
        <v>0.0494645588985212</v>
      </c>
      <c r="K172" s="25" t="n">
        <f aca="false">IFERROR(AVERAGE(D172:J172),"N/M")</f>
        <v>0.0251930389795798</v>
      </c>
      <c r="L172" s="86" t="n">
        <f aca="false">IFERROR(J172-D172,"N/M")</f>
        <v>-0.0160015999502445</v>
      </c>
      <c r="M172" s="87" t="n">
        <f aca="false">IFERROR(SLOPE(D172:J172,$D$3:$J$3),"N/M")</f>
        <v>-0.132177818284586</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0.734496831031929</v>
      </c>
      <c r="E176" s="46" t="n">
        <f aca="false">IFERROR(IF(E9&lt;=0,"N/M",E52/E9),"N/M")</f>
        <v>0.772935102542365</v>
      </c>
      <c r="F176" s="46" t="n">
        <f aca="false">IFERROR(IF(F9&lt;=0,"N/M",F52/F9),"N/M")</f>
        <v>0.821469452934258</v>
      </c>
      <c r="G176" s="46" t="n">
        <f aca="false">IFERROR(IF(G9&lt;=0,"N/M",G52/G9),"N/M")</f>
        <v>0.796397051206126</v>
      </c>
      <c r="H176" s="46" t="n">
        <f aca="false">IFERROR(IF(H9&lt;=0,"N/M",H52/H9),"N/M")</f>
        <v>0.766215991141735</v>
      </c>
      <c r="I176" s="46" t="n">
        <f aca="false">IFERROR(IF(I9&lt;=0,"N/M",I52/I9),"N/M")</f>
        <v>0.721570627231005</v>
      </c>
      <c r="J176" s="46" t="n">
        <f aca="false">IFERROR(IF(J9&lt;=0,"N/M",J52/J9),"N/M")</f>
        <v>0.732750242954325</v>
      </c>
      <c r="K176" s="25" t="n">
        <f aca="false">IFERROR(AVERAGE(D176:J176),"N/M")</f>
        <v>0.763690757005963</v>
      </c>
      <c r="L176" s="86" t="n">
        <f aca="false">IFERROR(J176-D176,"N/M")</f>
        <v>-0.00174658807760475</v>
      </c>
      <c r="M176" s="87" t="n">
        <f aca="false">IFERROR(SLOPE(D176:J176,$D$3:$J$3),"N/M")</f>
        <v>-0.00582936345171633</v>
      </c>
    </row>
    <row r="177" customFormat="false" ht="15" hidden="false" customHeight="false" outlineLevel="0" collapsed="false">
      <c r="A177" s="18" t="s">
        <v>407</v>
      </c>
      <c r="B177" s="19" t="s">
        <v>587</v>
      </c>
      <c r="D177" s="46" t="n">
        <f aca="false">IFERROR(IF(D9&lt;=0,"N/M",D14/D9),"N/M")</f>
        <v>0.151591834734504</v>
      </c>
      <c r="E177" s="46" t="n">
        <f aca="false">IFERROR(IF(E9&lt;=0,"N/M",E14/E9),"N/M")</f>
        <v>0.125394118935807</v>
      </c>
      <c r="F177" s="46" t="n">
        <f aca="false">IFERROR(IF(F9&lt;=0,"N/M",F14/F9),"N/M")</f>
        <v>0.084753169384631</v>
      </c>
      <c r="G177" s="46" t="n">
        <f aca="false">IFERROR(IF(G9&lt;=0,"N/M",G14/G9),"N/M")</f>
        <v>0.105653664635913</v>
      </c>
      <c r="H177" s="46" t="n">
        <f aca="false">IFERROR(IF(H9&lt;=0,"N/M",H14/H9),"N/M")</f>
        <v>0.149905001896878</v>
      </c>
      <c r="I177" s="46" t="n">
        <f aca="false">IFERROR(IF(I9&lt;=0,"N/M",I14/I9),"N/M")</f>
        <v>0.114227434982152</v>
      </c>
      <c r="J177" s="46" t="n">
        <f aca="false">IFERROR(IF(J9&lt;=0,"N/M",J14/J9),"N/M")</f>
        <v>0.1044703595724</v>
      </c>
      <c r="K177" s="25" t="n">
        <f aca="false">IFERROR(AVERAGE(D177:J177),"N/M")</f>
        <v>0.119427940591755</v>
      </c>
      <c r="L177" s="86" t="n">
        <f aca="false">IFERROR(J177-D177,"N/M")</f>
        <v>-0.0471214751621033</v>
      </c>
      <c r="M177" s="87" t="n">
        <f aca="false">IFERROR(SLOPE(D177:J177,$D$3:$J$3),"N/M")</f>
        <v>-0.00351949860290622</v>
      </c>
    </row>
    <row r="178" customFormat="false" ht="15" hidden="false" customHeight="false" outlineLevel="0" collapsed="false">
      <c r="A178" s="18" t="s">
        <v>654</v>
      </c>
      <c r="B178" s="19" t="s">
        <v>655</v>
      </c>
      <c r="D178" s="46" t="n">
        <f aca="false">IFERROR(IF(D9&lt;=0,"N/M",D15/D9),"N/M")</f>
        <v>0.0384768262403624</v>
      </c>
      <c r="E178" s="46" t="n">
        <f aca="false">IFERROR(IF(E9&lt;=0,"N/M",E15/E9),"N/M")</f>
        <v>0.0330459797487164</v>
      </c>
      <c r="F178" s="46" t="n">
        <f aca="false">IFERROR(IF(F9&lt;=0,"N/M",F15/F9),"N/M")</f>
        <v>0.0230295151730715</v>
      </c>
      <c r="G178" s="46" t="n">
        <f aca="false">IFERROR(IF(G9&lt;=0,"N/M",G15/G9),"N/M")</f>
        <v>0.0292153741917935</v>
      </c>
      <c r="H178" s="46" t="n">
        <f aca="false">IFERROR(IF(H9&lt;=0,"N/M",H15/H9),"N/M")</f>
        <v>0.0386168831369114</v>
      </c>
      <c r="I178" s="46" t="n">
        <f aca="false">IFERROR(IF(I9&lt;=0,"N/M",I15/I9),"N/M")</f>
        <v>0.0494645588985212</v>
      </c>
      <c r="J178" s="46" t="n">
        <f aca="false">IFERROR(IF(J9&lt;=0,"N/M",J15/J9),"N/M")</f>
        <v>0.0427599611273081</v>
      </c>
      <c r="K178" s="25" t="n">
        <f aca="false">IFERROR(AVERAGE(D178:J178),"N/M")</f>
        <v>0.0363727283595264</v>
      </c>
      <c r="L178" s="86" t="n">
        <f aca="false">IFERROR(J178-D178,"N/M")</f>
        <v>0.00428313488694564</v>
      </c>
      <c r="M178" s="87" t="n">
        <f aca="false">IFERROR(SLOPE(D178:J178,$D$3:$J$3),"N/M")</f>
        <v>0.00218835467586737</v>
      </c>
    </row>
    <row r="179" customFormat="false" ht="15" hidden="false" customHeight="false" outlineLevel="0" collapsed="false">
      <c r="A179" s="18" t="s">
        <v>411</v>
      </c>
      <c r="B179" s="19" t="s">
        <v>656</v>
      </c>
      <c r="D179" s="46" t="n">
        <f aca="false">IFERROR(IF(D9&lt;=0,"N/M",D16/D9),"N/M")</f>
        <v>0.00531019950341944</v>
      </c>
      <c r="E179" s="46" t="n">
        <f aca="false">IFERROR(IF(E9&lt;=0,"N/M",E16/E9),"N/M")</f>
        <v>0.00736704737047656</v>
      </c>
      <c r="F179" s="46" t="n">
        <f aca="false">IFERROR(IF(F9&lt;=0,"N/M",F16/F9),"N/M")</f>
        <v>0.00353267170494689</v>
      </c>
      <c r="G179" s="46" t="n">
        <f aca="false">IFERROR(IF(G9&lt;=0,"N/M",G16/G9),"N/M")</f>
        <v>0.00556762952494547</v>
      </c>
      <c r="H179" s="46" t="n">
        <f aca="false">IFERROR(IF(H9&lt;=0,"N/M",H16/H9),"N/M")</f>
        <v>0.008966988159165</v>
      </c>
      <c r="I179" s="46" t="n">
        <f aca="false">IFERROR(IF(I9&lt;=0,"N/M",I16/I9),"N/M")</f>
        <v>0.0117287098419174</v>
      </c>
      <c r="J179" s="46" t="n">
        <f aca="false">IFERROR(IF(J9&lt;=0,"N/M",J16/J9),"N/M")</f>
        <v>0.00583090379008746</v>
      </c>
      <c r="K179" s="25" t="n">
        <f aca="false">IFERROR(AVERAGE(D179:J179),"N/M")</f>
        <v>0.00690059284213689</v>
      </c>
      <c r="L179" s="86" t="n">
        <f aca="false">IFERROR(J179-D179,"N/M")</f>
        <v>0.000520704286668027</v>
      </c>
      <c r="M179" s="87" t="n">
        <f aca="false">IFERROR(SLOPE(D179:J179,$D$3:$J$3),"N/M")</f>
        <v>0.000561419794896566</v>
      </c>
    </row>
    <row r="180" customFormat="false" ht="15" hidden="false" customHeight="false" outlineLevel="0" collapsed="false">
      <c r="A180" s="18" t="s">
        <v>657</v>
      </c>
      <c r="B180" s="19" t="s">
        <v>658</v>
      </c>
      <c r="D180" s="46" t="n">
        <f aca="false">IFERROR(IF(D9&lt;=0,"N/M",D56/D9),"N/M")</f>
        <v>0.0701243084897852</v>
      </c>
      <c r="E180" s="46" t="n">
        <f aca="false">IFERROR(IF(E9&lt;=0,"N/M",E56/E9),"N/M")</f>
        <v>0.0612577514026348</v>
      </c>
      <c r="F180" s="46" t="n">
        <f aca="false">IFERROR(IF(F9&lt;=0,"N/M",F56/F9),"N/M")</f>
        <v>0.0672151908030925</v>
      </c>
      <c r="G180" s="46" t="n">
        <f aca="false">IFERROR(IF(G9&lt;=0,"N/M",G56/G9),"N/M")</f>
        <v>0.0631662804412222</v>
      </c>
      <c r="H180" s="46" t="n">
        <f aca="false">IFERROR(IF(H9&lt;=0,"N/M",H56/H9),"N/M")</f>
        <v>0.0362951356653105</v>
      </c>
      <c r="I180" s="46" t="n">
        <f aca="false">IFERROR(IF(I9&lt;=0,"N/M",I56/I9),"N/M")</f>
        <v>0.103008669046405</v>
      </c>
      <c r="J180" s="46" t="n">
        <f aca="false">IFERROR(IF(J9&lt;=0,"N/M",J56/J9),"N/M")</f>
        <v>0.114188532555879</v>
      </c>
      <c r="K180" s="25" t="n">
        <f aca="false">IFERROR(AVERAGE(D180:J180),"N/M")</f>
        <v>0.0736079812006185</v>
      </c>
      <c r="L180" s="86" t="n">
        <f aca="false">IFERROR(J180-D180,"N/M")</f>
        <v>0.0440642240660943</v>
      </c>
      <c r="M180" s="87" t="n">
        <f aca="false">IFERROR(SLOPE(D180:J180,$D$3:$J$3),"N/M")</f>
        <v>0.00659908758385861</v>
      </c>
    </row>
    <row r="181" customFormat="false" ht="15" hidden="false" customHeight="false" outlineLevel="0" collapsed="false">
      <c r="A181" s="18" t="s">
        <v>659</v>
      </c>
      <c r="B181" s="19" t="s">
        <v>660</v>
      </c>
      <c r="D181" s="46" t="n">
        <f aca="false">IFERROR(IF(D9&lt;=0,"N/M",D17/D9),"N/M")</f>
        <v>0.0131468615237183</v>
      </c>
      <c r="E181" s="46" t="n">
        <f aca="false">IFERROR(IF(E9&lt;=0,"N/M",E17/E9),"N/M")</f>
        <v>-0.00330250235756947</v>
      </c>
      <c r="F181" s="46" t="n">
        <f aca="false">IFERROR(IF(F9&lt;=0,"N/M",F17/F9),"N/M")</f>
        <v>0.0143809221039069</v>
      </c>
      <c r="G181" s="46" t="n">
        <f aca="false">IFERROR(IF(G9&lt;=0,"N/M",G17/G9),"N/M")</f>
        <v>0.0065770047482739</v>
      </c>
      <c r="H181" s="46" t="n">
        <f aca="false">IFERROR(IF(H9&lt;=0,"N/M",H17/H9),"N/M")</f>
        <v>0.0179871814247865</v>
      </c>
      <c r="I181" s="46" t="n">
        <f aca="false">IFERROR(IF(I9&lt;=0,"N/M",I17/I9),"N/M")</f>
        <v>0.0356960734319225</v>
      </c>
      <c r="J181" s="46" t="n">
        <f aca="false">IFERROR(IF(J9&lt;=0,"N/M",J17/J9),"N/M")</f>
        <v>0.0170068027210884</v>
      </c>
      <c r="K181" s="25" t="n">
        <f aca="false">IFERROR(AVERAGE(D181:J181),"N/M")</f>
        <v>0.0144989062280181</v>
      </c>
      <c r="L181" s="86" t="n">
        <f aca="false">IFERROR(J181-D181,"N/M")</f>
        <v>0.00385994119737018</v>
      </c>
      <c r="M181" s="87" t="n">
        <f aca="false">IFERROR(SLOPE(D181:J181,$D$3:$J$3),"N/M")</f>
        <v>0.00332797266042764</v>
      </c>
    </row>
    <row r="182" customFormat="false" ht="15" hidden="false" customHeight="false" outlineLevel="0" collapsed="false">
      <c r="A182" s="18" t="s">
        <v>661</v>
      </c>
      <c r="B182" s="19" t="s">
        <v>662</v>
      </c>
      <c r="D182" s="46" t="n">
        <f aca="false">IFERROR(IF(D9&lt;=0,"N/M",D18/D9),"N/M")</f>
        <v>0.0315263318377837</v>
      </c>
      <c r="E182" s="46" t="n">
        <f aca="false">IFERROR(IF(E9&lt;=0,"N/M",E18/E9),"N/M")</f>
        <v>0.029156704546537</v>
      </c>
      <c r="F182" s="46" t="n">
        <f aca="false">IFERROR(IF(F9&lt;=0,"N/M",F18/F9),"N/M")</f>
        <v>0.0124629761945981</v>
      </c>
      <c r="G182" s="46" t="n">
        <f aca="false">IFERROR(IF(G9&lt;=0,"N/M",G18/G9),"N/M")</f>
        <v>0.0154015590470656</v>
      </c>
      <c r="H182" s="46" t="n">
        <f aca="false">IFERROR(IF(H9&lt;=0,"N/M",H18/H9),"N/M")</f>
        <v>0.0308450821517687</v>
      </c>
      <c r="I182" s="46" t="n">
        <f aca="false">IFERROR(IF(I9&lt;=0,"N/M",I18/I9),"N/M")</f>
        <v>0.0928097909229985</v>
      </c>
      <c r="J182" s="46" t="n">
        <f aca="false">IFERROR(IF(J9&lt;=0,"N/M",J18/J9),"N/M")</f>
        <v>0.0991253644314869</v>
      </c>
      <c r="K182" s="25" t="n">
        <f aca="false">IFERROR(AVERAGE(D182:J182),"N/M")</f>
        <v>0.0444754013046055</v>
      </c>
      <c r="L182" s="86" t="n">
        <f aca="false">IFERROR(J182-D182,"N/M")</f>
        <v>0.0675990325937032</v>
      </c>
      <c r="M182" s="87" t="n">
        <f aca="false">IFERROR(SLOPE(D182:J182,$D$3:$J$3),"N/M")</f>
        <v>0.0124459063032573</v>
      </c>
    </row>
    <row r="183" customFormat="false" ht="15" hidden="false" customHeight="false" outlineLevel="0" collapsed="false">
      <c r="A183" s="18" t="s">
        <v>663</v>
      </c>
      <c r="B183" s="19" t="s">
        <v>591</v>
      </c>
      <c r="D183" s="46" t="n">
        <f aca="false">IFERROR(IF(D9&lt;=0,"N/M",D19/D9),"N/M")</f>
        <v>0.0101671058936272</v>
      </c>
      <c r="E183" s="46" t="n">
        <f aca="false">IFERROR(IF(E9&lt;=0,"N/M",E19/E9),"N/M")</f>
        <v>0.0136453262971395</v>
      </c>
      <c r="F183" s="46" t="n">
        <f aca="false">IFERROR(IF(F9&lt;=0,"N/M",F19/F9),"N/M")</f>
        <v>0.00504719846648264</v>
      </c>
      <c r="G183" s="46" t="n">
        <f aca="false">IFERROR(IF(G9&lt;=0,"N/M",G19/G9),"N/M")</f>
        <v>0.00474051799452323</v>
      </c>
      <c r="H183" s="46" t="n">
        <f aca="false">IFERROR(IF(H9&lt;=0,"N/M",H19/H9),"N/M")</f>
        <v>0.0107597689201985</v>
      </c>
      <c r="I183" s="46" t="n">
        <f aca="false">IFERROR(IF(I9&lt;=0,"N/M",I19/I9),"N/M")</f>
        <v>0.0382457929627741</v>
      </c>
      <c r="J183" s="46" t="n">
        <f aca="false">IFERROR(IF(J9&lt;=0,"N/M",J19/J9),"N/M")</f>
        <v>0.0301263362487852</v>
      </c>
      <c r="K183" s="25" t="n">
        <f aca="false">IFERROR(AVERAGE(D183:J183),"N/M")</f>
        <v>0.0161045781119329</v>
      </c>
      <c r="L183" s="86" t="n">
        <f aca="false">IFERROR(J183-D183,"N/M")</f>
        <v>0.019959230355158</v>
      </c>
      <c r="M183" s="87" t="n">
        <f aca="false">IFERROR(SLOPE(D183:J183,$D$3:$J$3),"N/M")</f>
        <v>0.00409968553037354</v>
      </c>
    </row>
    <row r="184" customFormat="false" ht="15" hidden="false" customHeight="false" outlineLevel="0" collapsed="false">
      <c r="A184" s="18" t="s">
        <v>664</v>
      </c>
      <c r="B184" s="19" t="s">
        <v>665</v>
      </c>
      <c r="D184" s="46" t="n">
        <f aca="false">IFERROR(IF(D9&lt;=0,"N/M",D20/D9),"N/M")</f>
        <v>0.0415777322820926</v>
      </c>
      <c r="E184" s="46" t="n">
        <f aca="false">IFERROR(IF(E9&lt;=0,"N/M",E20/E9),"N/M")</f>
        <v>0.0151532182013888</v>
      </c>
      <c r="F184" s="46" t="n">
        <f aca="false">IFERROR(IF(F9&lt;=0,"N/M",F20/F9),"N/M")</f>
        <v>0.0640859382459189</v>
      </c>
      <c r="G184" s="46" t="n">
        <f aca="false">IFERROR(IF(G9&lt;=0,"N/M",G20/G9),"N/M")</f>
        <v>0.0496012081479073</v>
      </c>
      <c r="H184" s="46" t="n">
        <f aca="false">IFERROR(IF(H9&lt;=0,"N/M",H20/H9),"N/M")</f>
        <v>0.0126774660181298</v>
      </c>
      <c r="I184" s="46" t="n">
        <f aca="false">IFERROR(IF(I9&lt;=0,"N/M",I20/I9),"N/M")</f>
        <v>0.00764915859255482</v>
      </c>
      <c r="J184" s="46" t="n">
        <f aca="false">IFERROR(IF(J9&lt;=0,"N/M",J20/J9),"N/M")</f>
        <v>0.00194363459669582</v>
      </c>
      <c r="K184" s="25" t="n">
        <f aca="false">IFERROR(AVERAGE(D184:J184),"N/M")</f>
        <v>0.0275269080120983</v>
      </c>
      <c r="L184" s="86" t="n">
        <f aca="false">IFERROR(J184-D184,"N/M")</f>
        <v>-0.0396340976853968</v>
      </c>
      <c r="M184" s="87" t="n">
        <f aca="false">IFERROR(SLOPE(D184:J184,$D$3:$J$3),"N/M")</f>
        <v>-0.00661853158934455</v>
      </c>
    </row>
    <row r="185" customFormat="false" ht="15" hidden="false" customHeight="false" outlineLevel="0" collapsed="false">
      <c r="A185" s="18" t="s">
        <v>421</v>
      </c>
      <c r="B185" s="19" t="s">
        <v>666</v>
      </c>
      <c r="D185" s="46" t="n">
        <f aca="false">IFERROR(IF(D9&lt;=0,"N/M",D21/D9),"N/M")</f>
        <v>0.00967842052532996</v>
      </c>
      <c r="E185" s="46" t="n">
        <f aca="false">IFERROR(IF(E9&lt;=0,"N/M",E21/E9),"N/M")</f>
        <v>0.00609348358274354</v>
      </c>
      <c r="F185" s="46" t="n">
        <f aca="false">IFERROR(IF(F9&lt;=0,"N/M",F21/F9),"N/M")</f>
        <v>0.0134833276151686</v>
      </c>
      <c r="G185" s="46" t="n">
        <f aca="false">IFERROR(IF(G9&lt;=0,"N/M",G21/G9),"N/M")</f>
        <v>0.0134138322077119</v>
      </c>
      <c r="H185" s="46" t="n">
        <f aca="false">IFERROR(IF(H9&lt;=0,"N/M",H21/H9),"N/M")</f>
        <v>0.00188222702696034</v>
      </c>
      <c r="I185" s="46" t="n">
        <f aca="false">IFERROR(IF(I9&lt;=0,"N/M",I21/I9),"N/M")</f>
        <v>-0.0254971953085161</v>
      </c>
      <c r="J185" s="46" t="n">
        <f aca="false">IFERROR(IF(J9&lt;=0,"N/M",J21/J9),"N/M")</f>
        <v>-0.00194363459669582</v>
      </c>
      <c r="K185" s="25" t="n">
        <f aca="false">IFERROR(AVERAGE(D185:J185),"N/M")</f>
        <v>0.00244435157895749</v>
      </c>
      <c r="L185" s="86" t="n">
        <f aca="false">IFERROR(J185-D185,"N/M")</f>
        <v>-0.0116220551220258</v>
      </c>
      <c r="M185" s="87" t="n">
        <f aca="false">IFERROR(SLOPE(D185:J185,$D$3:$J$3),"N/M")</f>
        <v>-0.00391602227631446</v>
      </c>
    </row>
    <row r="186" customFormat="false" ht="15" hidden="false" customHeight="false" outlineLevel="0" collapsed="false">
      <c r="A186" s="18" t="s">
        <v>667</v>
      </c>
      <c r="B186" s="19" t="s">
        <v>668</v>
      </c>
      <c r="D186" s="46" t="n">
        <f aca="false">IFERROR(IF(D9&lt;=0,"N/M",D22/D9),"N/M")</f>
        <v>0.0303556649387986</v>
      </c>
      <c r="E186" s="46" t="n">
        <f aca="false">IFERROR(IF(E9&lt;=0,"N/M",E22/E9),"N/M")</f>
        <v>0.0164696468884846</v>
      </c>
      <c r="F186" s="46" t="n">
        <f aca="false">IFERROR(IF(F9&lt;=0,"N/M",F22/F9),"N/M")</f>
        <v>0.0485634815964277</v>
      </c>
      <c r="G186" s="46" t="n">
        <f aca="false">IFERROR(IF(G9&lt;=0,"N/M",G22/G9),"N/M")</f>
        <v>0.0348788445035863</v>
      </c>
      <c r="H186" s="46" t="n">
        <f aca="false">IFERROR(IF(H9&lt;=0,"N/M",H22/H9),"N/M")</f>
        <v>0.0115431948355577</v>
      </c>
      <c r="I186" s="46" t="n">
        <f aca="false">IFERROR(IF(I9&lt;=0,"N/M",I22/I9),"N/M")</f>
        <v>0.0331463539010709</v>
      </c>
      <c r="J186" s="46" t="n">
        <f aca="false">IFERROR(IF(J9&lt;=0,"N/M",J22/J9),"N/M")</f>
        <v>0.00388726919339164</v>
      </c>
      <c r="K186" s="25" t="n">
        <f aca="false">IFERROR(AVERAGE(D186:J186),"N/M")</f>
        <v>0.0255492079796168</v>
      </c>
      <c r="L186" s="86" t="n">
        <f aca="false">IFERROR(J186-D186,"N/M")</f>
        <v>-0.026468395745407</v>
      </c>
      <c r="M186" s="87" t="n">
        <f aca="false">IFERROR(SLOPE(D186:J186,$D$3:$J$3),"N/M")</f>
        <v>-0.00296685928471137</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0.00927005399042434</v>
      </c>
      <c r="E189" s="46" t="n">
        <f aca="false">IFERROR(IF(E35&lt;=0,"N/M",E26/E35),"N/M")</f>
        <v>0.0067192924642465</v>
      </c>
      <c r="F189" s="46" t="n">
        <f aca="false">IFERROR(IF(F35&lt;=0,"N/M",F26/F35),"N/M")</f>
        <v>0.00511661807580175</v>
      </c>
      <c r="G189" s="46" t="n">
        <f aca="false">IFERROR(IF(G35&lt;=0,"N/M",G26/G35),"N/M")</f>
        <v>0.00679588153536583</v>
      </c>
      <c r="H189" s="46" t="n">
        <f aca="false">IFERROR(IF(H35&lt;=0,"N/M",H26/H35),"N/M")</f>
        <v>0.0274391776064148</v>
      </c>
      <c r="I189" s="46" t="n">
        <f aca="false">IFERROR(IF(I35&lt;=0,"N/M",I26/I35),"N/M")</f>
        <v>0.172314761631246</v>
      </c>
      <c r="J189" s="46" t="n">
        <f aca="false">IFERROR(IF(J35&lt;=0,"N/M",J26/J35),"N/M")</f>
        <v>0.172811059907834</v>
      </c>
      <c r="K189" s="25" t="n">
        <f aca="false">IFERROR(AVERAGE(D189:J189),"N/M")</f>
        <v>0.0572095493159048</v>
      </c>
      <c r="L189" s="86" t="n">
        <f aca="false">IFERROR(J189-D189,"N/M")</f>
        <v>0.16354100591741</v>
      </c>
      <c r="M189" s="87" t="n">
        <f aca="false">IFERROR(SLOPE(D189:J189,$D$3:$J$3),"N/M")</f>
        <v>0.0301477327006015</v>
      </c>
    </row>
    <row r="190" customFormat="false" ht="15" hidden="false" customHeight="false" outlineLevel="0" collapsed="false">
      <c r="A190" s="18" t="s">
        <v>671</v>
      </c>
      <c r="B190" s="19" t="s">
        <v>672</v>
      </c>
      <c r="D190" s="46" t="n">
        <f aca="false">IFERROR(IF(D35&lt;=0,"N/M",D27/D35),"N/M")</f>
        <v>0.39550721192845</v>
      </c>
      <c r="E190" s="46" t="n">
        <f aca="false">IFERROR(IF(E35&lt;=0,"N/M",E27/E35),"N/M")</f>
        <v>0.30552680264779</v>
      </c>
      <c r="F190" s="46" t="n">
        <f aca="false">IFERROR(IF(F35&lt;=0,"N/M",F27/F35),"N/M")</f>
        <v>0.324096209912536</v>
      </c>
      <c r="G190" s="46" t="n">
        <f aca="false">IFERROR(IF(G35&lt;=0,"N/M",G27/G35),"N/M")</f>
        <v>0.38240040935713</v>
      </c>
      <c r="H190" s="46" t="n">
        <f aca="false">IFERROR(IF(H35&lt;=0,"N/M",H27/H35),"N/M")</f>
        <v>0.324572693718695</v>
      </c>
      <c r="I190" s="46" t="n">
        <f aca="false">IFERROR(IF(I35&lt;=0,"N/M",I27/I35),"N/M")</f>
        <v>0.150488225157955</v>
      </c>
      <c r="J190" s="46" t="n">
        <f aca="false">IFERROR(IF(J35&lt;=0,"N/M",J27/J35),"N/M")</f>
        <v>0.157834101382489</v>
      </c>
      <c r="K190" s="25" t="n">
        <f aca="false">IFERROR(AVERAGE(D190:J190),"N/M")</f>
        <v>0.291489379157864</v>
      </c>
      <c r="L190" s="86" t="n">
        <f aca="false">IFERROR(J190-D190,"N/M")</f>
        <v>-0.237673110545962</v>
      </c>
      <c r="M190" s="87" t="n">
        <f aca="false">IFERROR(SLOPE(D190:J190,$D$3:$J$3),"N/M")</f>
        <v>-0.0365221429575498</v>
      </c>
    </row>
    <row r="191" customFormat="false" ht="15" hidden="false" customHeight="false" outlineLevel="0" collapsed="false">
      <c r="A191" s="18" t="s">
        <v>673</v>
      </c>
      <c r="B191" s="19" t="s">
        <v>674</v>
      </c>
      <c r="D191" s="46" t="n">
        <f aca="false">IFERROR(IF(D35&lt;=0,"N/M",D61/D35),"N/M")</f>
        <v>0.404777265918875</v>
      </c>
      <c r="E191" s="46" t="n">
        <f aca="false">IFERROR(IF(E35&lt;=0,"N/M",E61/E35),"N/M")</f>
        <v>0.312246095112036</v>
      </c>
      <c r="F191" s="46" t="n">
        <f aca="false">IFERROR(IF(F35&lt;=0,"N/M",F61/F35),"N/M")</f>
        <v>0.329212827988338</v>
      </c>
      <c r="G191" s="46" t="n">
        <f aca="false">IFERROR(IF(G35&lt;=0,"N/M",G61/G35),"N/M")</f>
        <v>0.389196290892495</v>
      </c>
      <c r="H191" s="46" t="n">
        <f aca="false">IFERROR(IF(H35&lt;=0,"N/M",H61/H35),"N/M")</f>
        <v>0.35201187132511</v>
      </c>
      <c r="I191" s="46" t="n">
        <f aca="false">IFERROR(IF(I35&lt;=0,"N/M",I61/I35),"N/M")</f>
        <v>0.322802986789202</v>
      </c>
      <c r="J191" s="46" t="n">
        <f aca="false">IFERROR(IF(J35&lt;=0,"N/M",J61/J35),"N/M")</f>
        <v>0.330645161290323</v>
      </c>
      <c r="K191" s="25" t="n">
        <f aca="false">IFERROR(AVERAGE(D191:J191),"N/M")</f>
        <v>0.348698928473768</v>
      </c>
      <c r="L191" s="86" t="n">
        <f aca="false">IFERROR(J191-D191,"N/M")</f>
        <v>-0.0741321046285522</v>
      </c>
      <c r="M191" s="87" t="n">
        <f aca="false">IFERROR(SLOPE(D191:J191,$D$3:$J$3),"N/M")</f>
        <v>-0.00637441025694834</v>
      </c>
    </row>
    <row r="192" customFormat="false" ht="15" hidden="false" customHeight="false" outlineLevel="0" collapsed="false">
      <c r="A192" s="18" t="s">
        <v>675</v>
      </c>
      <c r="B192" s="19" t="s">
        <v>676</v>
      </c>
      <c r="D192" s="46" t="n">
        <f aca="false">IFERROR(IF(D35&lt;=0,"N/M",D28/D35),"N/M")</f>
        <v>0.302463336691228</v>
      </c>
      <c r="E192" s="46" t="n">
        <f aca="false">IFERROR(IF(E35&lt;=0,"N/M",E28/E35),"N/M")</f>
        <v>0.282414022728547</v>
      </c>
      <c r="F192" s="46" t="n">
        <f aca="false">IFERROR(IF(F35&lt;=0,"N/M",F28/F35),"N/M")</f>
        <v>0.241285922532278</v>
      </c>
      <c r="G192" s="46" t="n">
        <f aca="false">IFERROR(IF(G35&lt;=0,"N/M",G28/G35),"N/M")</f>
        <v>0.163120518334636</v>
      </c>
      <c r="H192" s="46" t="n">
        <f aca="false">IFERROR(IF(H35&lt;=0,"N/M",H28/H35),"N/M")</f>
        <v>0.257715523739858</v>
      </c>
      <c r="I192" s="46" t="n">
        <f aca="false">IFERROR(IF(I35&lt;=0,"N/M",I28/I35),"N/M")</f>
        <v>0.448592762780012</v>
      </c>
      <c r="J192" s="46" t="n">
        <f aca="false">IFERROR(IF(J35&lt;=0,"N/M",J28/J35),"N/M")</f>
        <v>0.399193548387097</v>
      </c>
      <c r="K192" s="25" t="n">
        <f aca="false">IFERROR(AVERAGE(D192:J192),"N/M")</f>
        <v>0.299255090741951</v>
      </c>
      <c r="L192" s="86" t="n">
        <f aca="false">IFERROR(J192-D192,"N/M")</f>
        <v>0.0967302116958684</v>
      </c>
      <c r="M192" s="87" t="n">
        <f aca="false">IFERROR(SLOPE(D192:J192,$D$3:$J$3),"N/M")</f>
        <v>0.0228206327285041</v>
      </c>
    </row>
    <row r="193" customFormat="false" ht="15" hidden="false" customHeight="false" outlineLevel="0" collapsed="false">
      <c r="A193" s="18" t="s">
        <v>496</v>
      </c>
      <c r="B193" s="19" t="s">
        <v>677</v>
      </c>
      <c r="D193" s="46" t="n">
        <f aca="false">IFERROR(IF(D35&lt;=0,"N/M",D29/D35),"N/M")</f>
        <v>0.292759397389897</v>
      </c>
      <c r="E193" s="46" t="n">
        <f aca="false">IFERROR(IF(E35&lt;=0,"N/M",E29/E35),"N/M")</f>
        <v>0.405339882159417</v>
      </c>
      <c r="F193" s="46" t="n">
        <f aca="false">IFERROR(IF(F35&lt;=0,"N/M",F29/F35),"N/M")</f>
        <v>0.429501249479384</v>
      </c>
      <c r="G193" s="46" t="n">
        <f aca="false">IFERROR(IF(G35&lt;=0,"N/M",G29/G35),"N/M")</f>
        <v>0.447683190772869</v>
      </c>
      <c r="H193" s="46" t="n">
        <f aca="false">IFERROR(IF(H35&lt;=0,"N/M",H29/H35),"N/M")</f>
        <v>0.390272604935032</v>
      </c>
      <c r="I193" s="46" t="n">
        <f aca="false">IFERROR(IF(I35&lt;=0,"N/M",I29/I35),"N/M")</f>
        <v>0.228604250430787</v>
      </c>
      <c r="J193" s="46" t="n">
        <f aca="false">IFERROR(IF(J35&lt;=0,"N/M",J29/J35),"N/M")</f>
        <v>0.270161290322581</v>
      </c>
      <c r="K193" s="25" t="n">
        <f aca="false">IFERROR(AVERAGE(D193:J193),"N/M")</f>
        <v>0.352045980784281</v>
      </c>
      <c r="L193" s="86" t="n">
        <f aca="false">IFERROR(J193-D193,"N/M")</f>
        <v>-0.0225981070673163</v>
      </c>
      <c r="M193" s="87" t="n">
        <f aca="false">IFERROR(SLOPE(D193:J193,$D$3:$J$3),"N/M")</f>
        <v>-0.0164462224715558</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0.371253023048742</v>
      </c>
      <c r="E195" s="46" t="n">
        <f aca="false">IFERROR(IF(E35&lt;=0,"N/M",E31/E35),"N/M")</f>
        <v>0.432714777384125</v>
      </c>
      <c r="F195" s="46" t="n">
        <f aca="false">IFERROR(IF(F35&lt;=0,"N/M",F31/F35),"N/M")</f>
        <v>0.363573511037068</v>
      </c>
      <c r="G195" s="46" t="n">
        <f aca="false">IFERROR(IF(G35&lt;=0,"N/M",G31/G35),"N/M")</f>
        <v>0.294831174758154</v>
      </c>
      <c r="H195" s="46" t="n">
        <f aca="false">IFERROR(IF(H35&lt;=0,"N/M",H31/H35),"N/M")</f>
        <v>0.395666631302105</v>
      </c>
      <c r="I195" s="46" t="n">
        <f aca="false">IFERROR(IF(I35&lt;=0,"N/M",I31/I35),"N/M")</f>
        <v>0.435956346927053</v>
      </c>
      <c r="J195" s="46" t="n">
        <f aca="false">IFERROR(IF(J35&lt;=0,"N/M",J31/J35),"N/M")</f>
        <v>0.451036866359447</v>
      </c>
      <c r="K195" s="25" t="n">
        <f aca="false">IFERROR(AVERAGE(D195:J195),"N/M")</f>
        <v>0.392147475830956</v>
      </c>
      <c r="L195" s="86" t="n">
        <f aca="false">IFERROR(J195-D195,"N/M")</f>
        <v>0.0797838433107047</v>
      </c>
      <c r="M195" s="87" t="n">
        <f aca="false">IFERROR(SLOPE(D195:J195,$D$3:$J$3),"N/M")</f>
        <v>0.00992599247439313</v>
      </c>
    </row>
    <row r="196" customFormat="false" ht="15" hidden="false" customHeight="false" outlineLevel="0" collapsed="false">
      <c r="A196" s="18" t="s">
        <v>680</v>
      </c>
      <c r="B196" s="19" t="s">
        <v>681</v>
      </c>
      <c r="D196" s="46" t="n">
        <f aca="false">IFERROR(IF(D35&lt;=0,"N/M",D32/D35),"N/M")</f>
        <v>0.0507928782442359</v>
      </c>
      <c r="E196" s="46" t="n">
        <f aca="false">IFERROR(IF(E35&lt;=0,"N/M",E32/E35),"N/M")</f>
        <v>0.000354150742417551</v>
      </c>
      <c r="F196" s="46" t="n">
        <f aca="false">IFERROR(IF(F35&lt;=0,"N/M",F32/F35),"N/M")</f>
        <v>0.000299875052061641</v>
      </c>
      <c r="G196" s="46" t="n">
        <f aca="false">IFERROR(IF(G35&lt;=0,"N/M",G32/G35),"N/M")</f>
        <v>0.00212976344413174</v>
      </c>
      <c r="H196" s="46" t="n">
        <f aca="false">IFERROR(IF(H35&lt;=0,"N/M",H32/H35),"N/M")</f>
        <v>0.00653592946445024</v>
      </c>
      <c r="I196" s="46" t="n">
        <f aca="false">IFERROR(IF(I35&lt;=0,"N/M",I32/I35),"N/M")</f>
        <v>0.00172314761631246</v>
      </c>
      <c r="J196" s="46" t="n">
        <f aca="false">IFERROR(IF(J35&lt;=0,"N/M",J32/J35),"N/M")</f>
        <v>0.00172811059907834</v>
      </c>
      <c r="K196" s="25" t="n">
        <f aca="false">IFERROR(AVERAGE(D196:J196),"N/M")</f>
        <v>0.00908055073752684</v>
      </c>
      <c r="L196" s="86" t="n">
        <f aca="false">IFERROR(J196-D196,"N/M")</f>
        <v>-0.0490647676451576</v>
      </c>
      <c r="M196" s="87" t="n">
        <f aca="false">IFERROR(SLOPE(D196:J196,$D$3:$J$3),"N/M")</f>
        <v>-0.00493643767054623</v>
      </c>
    </row>
    <row r="197" customFormat="false" ht="15" hidden="false" customHeight="false" outlineLevel="0" collapsed="false">
      <c r="A197" s="18" t="s">
        <v>442</v>
      </c>
      <c r="B197" s="19" t="s">
        <v>682</v>
      </c>
      <c r="D197" s="46" t="n">
        <f aca="false">IFERROR(IF(D35&lt;=0,"N/M",D33/D35),"N/M")</f>
        <v>0.0961640765600064</v>
      </c>
      <c r="E197" s="46" t="n">
        <f aca="false">IFERROR(IF(E35&lt;=0,"N/M",E33/E35),"N/M")</f>
        <v>0.0443112315010932</v>
      </c>
      <c r="F197" s="46" t="n">
        <f aca="false">IFERROR(IF(F35&lt;=0,"N/M",F33/F35),"N/M")</f>
        <v>0.0590004164931279</v>
      </c>
      <c r="G197" s="46" t="n">
        <f aca="false">IFERROR(IF(G35&lt;=0,"N/M",G33/G35),"N/M")</f>
        <v>0.0803916551995962</v>
      </c>
      <c r="H197" s="46" t="n">
        <f aca="false">IFERROR(IF(H35&lt;=0,"N/M",H33/H35),"N/M")</f>
        <v>0.0340435095791431</v>
      </c>
      <c r="I197" s="46" t="n">
        <f aca="false">IFERROR(IF(I35&lt;=0,"N/M",I33/I35),"N/M")</f>
        <v>0.00172314761631246</v>
      </c>
      <c r="J197" s="46" t="n">
        <f aca="false">IFERROR(IF(J35&lt;=0,"N/M",J33/J35),"N/M")</f>
        <v>0</v>
      </c>
      <c r="K197" s="25" t="n">
        <f aca="false">IFERROR(AVERAGE(D197:J197),"N/M")</f>
        <v>0.0450905767070399</v>
      </c>
      <c r="L197" s="86" t="n">
        <f aca="false">IFERROR(J197-D197,"N/M")</f>
        <v>-0.0961640765600064</v>
      </c>
      <c r="M197" s="87" t="n">
        <f aca="false">IFERROR(SLOPE(D197:J197,$D$3:$J$3),"N/M")</f>
        <v>-0.0142366180129845</v>
      </c>
    </row>
    <row r="198" customFormat="false" ht="15" hidden="false" customHeight="false" outlineLevel="0" collapsed="false">
      <c r="A198" s="18" t="s">
        <v>494</v>
      </c>
      <c r="B198" s="19" t="s">
        <v>683</v>
      </c>
      <c r="D198" s="46" t="n">
        <f aca="false">IFERROR(IF(D35&lt;=0,"N/M",D34/D35),"N/M")</f>
        <v>0.481790022147016</v>
      </c>
      <c r="E198" s="46" t="n">
        <f aca="false">IFERROR(IF(E35&lt;=0,"N/M",E34/E35),"N/M")</f>
        <v>0.522619840372364</v>
      </c>
      <c r="F198" s="46" t="n">
        <f aca="false">IFERROR(IF(F35&lt;=0,"N/M",F34/F35),"N/M")</f>
        <v>0.577126197417743</v>
      </c>
      <c r="G198" s="46" t="n">
        <f aca="false">IFERROR(IF(G35&lt;=0,"N/M",G34/G35),"N/M")</f>
        <v>0.622647406598118</v>
      </c>
      <c r="H198" s="46" t="n">
        <f aca="false">IFERROR(IF(H35&lt;=0,"N/M",H34/H35),"N/M")</f>
        <v>0.563753929654302</v>
      </c>
      <c r="I198" s="46" t="n">
        <f aca="false">IFERROR(IF(I35&lt;=0,"N/M",I34/I35),"N/M")</f>
        <v>0.560597357840322</v>
      </c>
      <c r="J198" s="46" t="n">
        <f aca="false">IFERROR(IF(J35&lt;=0,"N/M",J34/J35),"N/M")</f>
        <v>0.547235023041475</v>
      </c>
      <c r="K198" s="25" t="n">
        <f aca="false">IFERROR(AVERAGE(D198:J198),"N/M")</f>
        <v>0.553681396724477</v>
      </c>
      <c r="L198" s="86" t="n">
        <f aca="false">IFERROR(J198-D198,"N/M")</f>
        <v>0.0654450008944592</v>
      </c>
      <c r="M198" s="87" t="n">
        <f aca="false">IFERROR(SLOPE(D198:J198,$D$3:$J$3),"N/M")</f>
        <v>0.00924706320913757</v>
      </c>
    </row>
    <row r="199" customFormat="false" ht="15" hidden="false" customHeight="false" outlineLevel="0" collapsed="false">
      <c r="A199" s="18" t="s">
        <v>684</v>
      </c>
      <c r="B199" s="19" t="s">
        <v>685</v>
      </c>
      <c r="D199" s="46" t="n">
        <f aca="false">IFERROR(IF(D35&lt;=0,"N/M",D36/D35),"N/M")</f>
        <v>0.216959633574423</v>
      </c>
      <c r="E199" s="46" t="n">
        <f aca="false">IFERROR(IF(E35&lt;=0,"N/M",E36/E35),"N/M")</f>
        <v>0.297500297404581</v>
      </c>
      <c r="F199" s="46" t="n">
        <f aca="false">IFERROR(IF(F35&lt;=0,"N/M",F36/F35),"N/M")</f>
        <v>0.320310287380258</v>
      </c>
      <c r="G199" s="46" t="n">
        <f aca="false">IFERROR(IF(G35&lt;=0,"N/M",G36/G35),"N/M")</f>
        <v>0.28185483034498</v>
      </c>
      <c r="H199" s="46" t="n">
        <f aca="false">IFERROR(IF(H35&lt;=0,"N/M",H36/H35),"N/M")</f>
        <v>0.310977346206034</v>
      </c>
      <c r="I199" s="46" t="n">
        <f aca="false">IFERROR(IF(I35&lt;=0,"N/M",I36/I35),"N/M")</f>
        <v>0.215393452039058</v>
      </c>
      <c r="J199" s="46" t="n">
        <f aca="false">IFERROR(IF(J35&lt;=0,"N/M",J36/J35),"N/M")</f>
        <v>0.247119815668203</v>
      </c>
      <c r="K199" s="25" t="n">
        <f aca="false">IFERROR(AVERAGE(D199:J199),"N/M")</f>
        <v>0.270016523231077</v>
      </c>
      <c r="L199" s="86" t="n">
        <f aca="false">IFERROR(J199-D199,"N/M")</f>
        <v>0.0301601820937801</v>
      </c>
      <c r="M199" s="87" t="n">
        <f aca="false">IFERROR(SLOPE(D199:J199,$D$3:$J$3),"N/M")</f>
        <v>-0.00296664591514035</v>
      </c>
    </row>
    <row r="200" customFormat="false" ht="15" hidden="false" customHeight="false" outlineLevel="0" collapsed="false">
      <c r="A200" s="18" t="s">
        <v>686</v>
      </c>
      <c r="B200" s="19" t="s">
        <v>687</v>
      </c>
      <c r="D200" s="46" t="n">
        <f aca="false">IFERROR(IF(D35&lt;=0,"N/M",D37/D35),"N/M")</f>
        <v>0.00146389130984316</v>
      </c>
      <c r="E200" s="46" t="n">
        <f aca="false">IFERROR(IF(E35&lt;=0,"N/M",E37/E35),"N/M")</f>
        <v>0.00134686672309377</v>
      </c>
      <c r="F200" s="46" t="n">
        <f aca="false">IFERROR(IF(F35&lt;=0,"N/M",F37/F35),"N/M")</f>
        <v>0.000825697625989171</v>
      </c>
      <c r="G200" s="46" t="n">
        <f aca="false">IFERROR(IF(G35&lt;=0,"N/M",G37/G35),"N/M")</f>
        <v>0.000414888982623066</v>
      </c>
      <c r="H200" s="46" t="n">
        <f aca="false">IFERROR(IF(H35&lt;=0,"N/M",H37/H35),"N/M")</f>
        <v>0.000418790867008772</v>
      </c>
      <c r="I200" s="46" t="n">
        <f aca="false">IFERROR(IF(I35&lt;=0,"N/M",I37/I35),"N/M")</f>
        <v>0</v>
      </c>
      <c r="J200" s="46" t="n">
        <f aca="false">IFERROR(IF(J35&lt;=0,"N/M",J37/J35),"N/M")</f>
        <v>0</v>
      </c>
      <c r="K200" s="25" t="n">
        <f aca="false">IFERROR(AVERAGE(D200:J200),"N/M")</f>
        <v>0.000638590786936849</v>
      </c>
      <c r="L200" s="86" t="n">
        <f aca="false">IFERROR(J200-D200,"N/M")</f>
        <v>-0.00146389130984316</v>
      </c>
      <c r="M200" s="87" t="n">
        <f aca="false">IFERROR(SLOPE(D200:J200,$D$3:$J$3),"N/M")</f>
        <v>-0.000267582647667765</v>
      </c>
    </row>
    <row r="201" customFormat="false" ht="15" hidden="false" customHeight="false" outlineLevel="0" collapsed="false">
      <c r="A201" s="18" t="s">
        <v>688</v>
      </c>
      <c r="B201" s="19" t="s">
        <v>689</v>
      </c>
      <c r="D201" s="46" t="n">
        <f aca="false">IFERROR(IF(D35&lt;=0,"N/M",D38/D35),"N/M")</f>
        <v>0.110885993804872</v>
      </c>
      <c r="E201" s="46" t="n">
        <f aca="false">IFERROR(IF(E35&lt;=0,"N/M",E38/E35),"N/M")</f>
        <v>0.0521271606271887</v>
      </c>
      <c r="F201" s="46" t="n">
        <f aca="false">IFERROR(IF(F35&lt;=0,"N/M",F38/F35),"N/M")</f>
        <v>0.0670918367346939</v>
      </c>
      <c r="G201" s="46" t="n">
        <f aca="false">IFERROR(IF(G35&lt;=0,"N/M",G38/G35),"N/M")</f>
        <v>0.180996701632588</v>
      </c>
      <c r="H201" s="46" t="n">
        <f aca="false">IFERROR(IF(H35&lt;=0,"N/M",H38/H35),"N/M")</f>
        <v>0.0780053828586106</v>
      </c>
      <c r="I201" s="46" t="n">
        <f aca="false">IFERROR(IF(I35&lt;=0,"N/M",I38/I35),"N/M")</f>
        <v>0.090178058587019</v>
      </c>
      <c r="J201" s="46" t="n">
        <f aca="false">IFERROR(IF(J35&lt;=0,"N/M",J38/J35),"N/M")</f>
        <v>0.0754608294930876</v>
      </c>
      <c r="K201" s="25" t="n">
        <f aca="false">IFERROR(AVERAGE(D201:J201),"N/M")</f>
        <v>0.0935351376768657</v>
      </c>
      <c r="L201" s="86" t="n">
        <f aca="false">IFERROR(J201-D201,"N/M")</f>
        <v>-0.0354251643117848</v>
      </c>
      <c r="M201" s="87" t="n">
        <f aca="false">IFERROR(SLOPE(D201:J201,$D$3:$J$3),"N/M")</f>
        <v>-0.000687862531849178</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142.90439735157</v>
      </c>
      <c r="F205" s="91" t="n">
        <f aca="false">IFERROR((IF($D9&lt;=0,"N/M",F9/$D9)*100),"N/M")</f>
        <v>259.480496144967</v>
      </c>
      <c r="G205" s="91" t="n">
        <f aca="false">IFERROR((IF($D9&lt;=0,"N/M",G9/$D9)*100),"N/M")</f>
        <v>245.714406281309</v>
      </c>
      <c r="H205" s="91" t="n">
        <f aca="false">IFERROR((IF($D9&lt;=0,"N/M",H9/$D9)*100),"N/M")</f>
        <v>176.534934878251</v>
      </c>
      <c r="I205" s="91" t="n">
        <f aca="false">IFERROR((IF($D9&lt;=0,"N/M",I9/$D9)*100),"N/M")</f>
        <v>26.6939277780198</v>
      </c>
      <c r="J205" s="91" t="n">
        <f aca="false">IFERROR((IF($D9&lt;=0,"N/M",J9/$D9)*100),"N/M")</f>
        <v>28.0143311408285</v>
      </c>
      <c r="K205" s="92" t="n">
        <f aca="false">IFERROR(AVERAGE(D205:J205),"N/M")</f>
        <v>139.906070510706</v>
      </c>
      <c r="L205" s="85" t="n">
        <f aca="false">IFERROR(J205-D205,"N/M")</f>
        <v>-71.9856688591715</v>
      </c>
      <c r="M205" s="85" t="n">
        <f aca="false">IFERROR(SLOPE(D205:J205,$D$3:$J$3),"N/M")</f>
        <v>-18.9758395354047</v>
      </c>
    </row>
    <row r="206" customFormat="false" ht="15" hidden="false" customHeight="false" outlineLevel="0" collapsed="false">
      <c r="A206" s="18" t="s">
        <v>657</v>
      </c>
      <c r="B206" s="19" t="s">
        <v>693</v>
      </c>
      <c r="D206" s="91" t="n">
        <f aca="false">IFERROR((IF($D56&lt;=0,"N/M",D56/$D56)*100),"N/M")</f>
        <v>100</v>
      </c>
      <c r="E206" s="91" t="n">
        <f aca="false">IFERROR((IF($D56&lt;=0,"N/M",E56/$D56)*100),"N/M")</f>
        <v>124.83548481025</v>
      </c>
      <c r="F206" s="91" t="n">
        <f aca="false">IFERROR((IF($D56&lt;=0,"N/M",F56/$D56)*100),"N/M")</f>
        <v>248.715907987965</v>
      </c>
      <c r="G206" s="91" t="n">
        <f aca="false">IFERROR((IF($D56&lt;=0,"N/M",G56/$D56)*100),"N/M")</f>
        <v>221.333592157624</v>
      </c>
      <c r="H206" s="91" t="n">
        <f aca="false">IFERROR((IF($D56&lt;=0,"N/M",H56/$D56)*100),"N/M")</f>
        <v>91.3714452101328</v>
      </c>
      <c r="I206" s="91" t="n">
        <f aca="false">IFERROR((IF($D56&lt;=0,"N/M",I56/$D56)*100),"N/M")</f>
        <v>39.2118800349413</v>
      </c>
      <c r="J206" s="91" t="n">
        <f aca="false">IFERROR((IF($D56&lt;=0,"N/M",J56/$D56)*100),"N/M")</f>
        <v>45.6177812287684</v>
      </c>
      <c r="K206" s="92" t="n">
        <f aca="false">IFERROR(AVERAGE(D206:J206),"N/M")</f>
        <v>124.44087020424</v>
      </c>
      <c r="L206" s="85" t="n">
        <f aca="false">IFERROR(J206-D206,"N/M")</f>
        <v>-54.3822187712317</v>
      </c>
      <c r="M206" s="85" t="n">
        <f aca="false">IFERROR(SLOPE(D206:J206,$D$3:$J$3),"N/M")</f>
        <v>-17.5620831657908</v>
      </c>
    </row>
    <row r="207" customFormat="false" ht="15" hidden="false" customHeight="false" outlineLevel="0" collapsed="false">
      <c r="A207" s="18" t="s">
        <v>667</v>
      </c>
      <c r="B207" s="19" t="s">
        <v>694</v>
      </c>
      <c r="D207" s="91" t="n">
        <f aca="false">IFERROR((IF($D22&lt;=0,"N/M",D22/$D22)*100),"N/M")</f>
        <v>100</v>
      </c>
      <c r="E207" s="91" t="n">
        <f aca="false">IFERROR((IF($D22&lt;=0,"N/M",E22/$D22)*100),"N/M")</f>
        <v>77.5336322869955</v>
      </c>
      <c r="F207" s="91" t="n">
        <f aca="false">IFERROR((IF($D22&lt;=0,"N/M",F22/$D22)*100),"N/M")</f>
        <v>415.121076233184</v>
      </c>
      <c r="G207" s="91" t="n">
        <f aca="false">IFERROR((IF($D22&lt;=0,"N/M",G22/$D22)*100),"N/M")</f>
        <v>282.32735426009</v>
      </c>
      <c r="H207" s="91" t="n">
        <f aca="false">IFERROR((IF($D22&lt;=0,"N/M",H22/$D22)*100),"N/M")</f>
        <v>67.1300448430493</v>
      </c>
      <c r="I207" s="91" t="n">
        <f aca="false">IFERROR((IF($D22&lt;=0,"N/M",I22/$D22)*100),"N/M")</f>
        <v>29.1479820627803</v>
      </c>
      <c r="J207" s="91" t="n">
        <f aca="false">IFERROR((IF($D22&lt;=0,"N/M",J22/$D22)*100),"N/M")</f>
        <v>3.58744394618834</v>
      </c>
      <c r="K207" s="92" t="n">
        <f aca="false">IFERROR(AVERAGE(D207:J207),"N/M")</f>
        <v>139.263933376041</v>
      </c>
      <c r="L207" s="85" t="n">
        <f aca="false">IFERROR(J207-D207,"N/M")</f>
        <v>-96.4125560538117</v>
      </c>
      <c r="M207" s="85" t="n">
        <f aca="false">IFERROR(SLOPE(D207:J207,$D$3:$J$3),"N/M")</f>
        <v>-26.2142857142857</v>
      </c>
    </row>
    <row r="208" customFormat="false" ht="15" hidden="false" customHeight="false" outlineLevel="0" collapsed="false">
      <c r="A208" s="18" t="s">
        <v>446</v>
      </c>
      <c r="B208" s="19" t="s">
        <v>695</v>
      </c>
      <c r="D208" s="91" t="n">
        <f aca="false">IFERROR((IF($D35&lt;=0,"N/M",D35/$D35)*100),"N/M")</f>
        <v>100</v>
      </c>
      <c r="E208" s="91" t="n">
        <f aca="false">IFERROR((IF($D35&lt;=0,"N/M",E35/$D35)*100),"N/M")</f>
        <v>137.961757725988</v>
      </c>
      <c r="F208" s="91" t="n">
        <f aca="false">IFERROR((IF($D35&lt;=0,"N/M",F35/$D35)*100),"N/M")</f>
        <v>181.175414171826</v>
      </c>
      <c r="G208" s="91" t="n">
        <f aca="false">IFERROR((IF($D35&lt;=0,"N/M",G35/$D35)*100),"N/M")</f>
        <v>136.406939146642</v>
      </c>
      <c r="H208" s="91" t="n">
        <f aca="false">IFERROR((IF($D35&lt;=0,"N/M",H35/$D35)*100),"N/M")</f>
        <v>135.136032477259</v>
      </c>
      <c r="I208" s="91" t="n">
        <f aca="false">IFERROR((IF($D35&lt;=0,"N/M",I35/$D35)*100),"N/M")</f>
        <v>32.8432315777956</v>
      </c>
      <c r="J208" s="91" t="n">
        <f aca="false">IFERROR((IF($D35&lt;=0,"N/M",J35/$D35)*100),"N/M")</f>
        <v>32.7489086841202</v>
      </c>
      <c r="K208" s="92" t="n">
        <f aca="false">IFERROR(AVERAGE(D208:J208),"N/M")</f>
        <v>108.038897683376</v>
      </c>
      <c r="L208" s="85" t="n">
        <f aca="false">IFERROR(J208-D208,"N/M")</f>
        <v>-67.2510913158798</v>
      </c>
      <c r="M208" s="85" t="n">
        <f aca="false">IFERROR(SLOPE(D208:J208,$D$3:$J$3),"N/M")</f>
        <v>-16.3582038549497</v>
      </c>
    </row>
    <row r="209" customFormat="false" ht="15" hidden="false" customHeight="false" outlineLevel="0" collapsed="false">
      <c r="A209" s="18" t="s">
        <v>673</v>
      </c>
      <c r="B209" s="19" t="s">
        <v>696</v>
      </c>
      <c r="D209" s="91" t="n">
        <f aca="false">IFERROR((IF($D61&lt;=0,"N/M",D61/$D61)*100),"N/M")</f>
        <v>100</v>
      </c>
      <c r="E209" s="91" t="n">
        <f aca="false">IFERROR((IF($D61&lt;=0,"N/M",E61/$D61)*100),"N/M")</f>
        <v>106.424010812322</v>
      </c>
      <c r="F209" s="91" t="n">
        <f aca="false">IFERROR((IF($D61&lt;=0,"N/M",F61/$D61)*100),"N/M")</f>
        <v>147.35331127371</v>
      </c>
      <c r="G209" s="91" t="n">
        <f aca="false">IFERROR((IF($D61&lt;=0,"N/M",G61/$D61)*100),"N/M")</f>
        <v>131.156266020413</v>
      </c>
      <c r="H209" s="91" t="n">
        <f aca="false">IFERROR((IF($D61&lt;=0,"N/M",H61/$D61)*100),"N/M")</f>
        <v>117.520156592254</v>
      </c>
      <c r="I209" s="91" t="n">
        <f aca="false">IFERROR((IF($D61&lt;=0,"N/M",I61/$D61)*100),"N/M")</f>
        <v>26.1919187211633</v>
      </c>
      <c r="J209" s="91" t="n">
        <f aca="false">IFERROR((IF($D61&lt;=0,"N/M",J61/$D61)*100),"N/M")</f>
        <v>26.751176772149</v>
      </c>
      <c r="K209" s="92" t="n">
        <f aca="false">IFERROR(AVERAGE(D209:J209),"N/M")</f>
        <v>93.6281200274303</v>
      </c>
      <c r="L209" s="85" t="n">
        <f aca="false">IFERROR(J209-D209,"N/M")</f>
        <v>-73.2488232278511</v>
      </c>
      <c r="M209" s="85" t="n">
        <f aca="false">IFERROR(SLOPE(D209:J209,$D$3:$J$3),"N/M")</f>
        <v>-14.6444217338331</v>
      </c>
    </row>
    <row r="210" customFormat="false" ht="15" hidden="false" customHeight="false" outlineLevel="0" collapsed="false">
      <c r="A210" s="18" t="s">
        <v>675</v>
      </c>
      <c r="B210" s="19" t="s">
        <v>697</v>
      </c>
      <c r="D210" s="91" t="n">
        <f aca="false">IFERROR((IF($D28&lt;=0,"N/M",D28/$D28)*100),"N/M")</f>
        <v>100</v>
      </c>
      <c r="E210" s="91" t="n">
        <f aca="false">IFERROR((IF($D28&lt;=0,"N/M",E28/$D28)*100),"N/M")</f>
        <v>128.816720096798</v>
      </c>
      <c r="F210" s="91" t="n">
        <f aca="false">IFERROR((IF($D28&lt;=0,"N/M",F28/$D28)*100),"N/M")</f>
        <v>144.530168273729</v>
      </c>
      <c r="G210" s="91" t="n">
        <f aca="false">IFERROR((IF($D28&lt;=0,"N/M",G28/$D28)*100),"N/M")</f>
        <v>73.5651826811531</v>
      </c>
      <c r="H210" s="91" t="n">
        <f aca="false">IFERROR((IF($D28&lt;=0,"N/M",H28/$D28)*100),"N/M")</f>
        <v>115.14338817718</v>
      </c>
      <c r="I210" s="91" t="n">
        <f aca="false">IFERROR((IF($D28&lt;=0,"N/M",I28/$D28)*100),"N/M")</f>
        <v>48.7108161712425</v>
      </c>
      <c r="J210" s="91" t="n">
        <f aca="false">IFERROR((IF($D28&lt;=0,"N/M",J28/$D28)*100),"N/M")</f>
        <v>43.2222735040603</v>
      </c>
      <c r="K210" s="92" t="n">
        <f aca="false">IFERROR(AVERAGE(D210:J210),"N/M")</f>
        <v>93.4269355577375</v>
      </c>
      <c r="L210" s="85" t="n">
        <f aca="false">IFERROR(J210-D210,"N/M")</f>
        <v>-56.7777264959397</v>
      </c>
      <c r="M210" s="85" t="n">
        <f aca="false">IFERROR(SLOPE(D210:J210,$D$3:$J$3),"N/M")</f>
        <v>-12.8547059798385</v>
      </c>
    </row>
    <row r="211" customFormat="false" ht="15" hidden="false" customHeight="false" outlineLevel="0" collapsed="false">
      <c r="A211" s="18" t="s">
        <v>698</v>
      </c>
      <c r="B211" s="19" t="s">
        <v>699</v>
      </c>
      <c r="D211" s="91" t="n">
        <f aca="false">IFERROR((IF($D36&lt;=0,"N/M",D36/$D36)*100),"N/M")</f>
        <v>100</v>
      </c>
      <c r="E211" s="91" t="n">
        <f aca="false">IFERROR((IF($D36&lt;=0,"N/M",E36/$D36)*100),"N/M")</f>
        <v>189.176499230495</v>
      </c>
      <c r="F211" s="91" t="n">
        <f aca="false">IFERROR((IF($D36&lt;=0,"N/M",F36/$D36)*100),"N/M")</f>
        <v>267.479936352807</v>
      </c>
      <c r="G211" s="91" t="n">
        <f aca="false">IFERROR((IF($D36&lt;=0,"N/M",G36/$D36)*100),"N/M")</f>
        <v>177.207870688381</v>
      </c>
      <c r="H211" s="91" t="n">
        <f aca="false">IFERROR((IF($D36&lt;=0,"N/M",H36/$D36)*100),"N/M")</f>
        <v>193.696145519046</v>
      </c>
      <c r="I211" s="91" t="n">
        <f aca="false">IFERROR((IF($D36&lt;=0,"N/M",I36/$D36)*100),"N/M")</f>
        <v>32.6061438670017</v>
      </c>
      <c r="J211" s="91" t="n">
        <f aca="false">IFERROR((IF($D36&lt;=0,"N/M",J36/$D36)*100),"N/M")</f>
        <v>37.30142858385</v>
      </c>
      <c r="K211" s="92" t="n">
        <f aca="false">IFERROR(AVERAGE(D211:J211),"N/M")</f>
        <v>142.495432034512</v>
      </c>
      <c r="L211" s="85" t="n">
        <f aca="false">IFERROR(J211-D211,"N/M")</f>
        <v>-62.69857141615</v>
      </c>
      <c r="M211" s="85" t="n">
        <f aca="false">IFERROR(SLOPE(D211:J211,$D$3:$J$3),"N/M")</f>
        <v>-20.5364362788999</v>
      </c>
    </row>
    <row r="212" customFormat="false" ht="15" hidden="false" customHeight="false" outlineLevel="0" collapsed="false">
      <c r="A212" s="18" t="s">
        <v>700</v>
      </c>
      <c r="B212" s="19" t="s">
        <v>701</v>
      </c>
      <c r="D212" s="91" t="n">
        <f aca="false">IFERROR((IF($D41&lt;=0,"N/M",D41/$D41)*100),"N/M")</f>
        <v>100</v>
      </c>
      <c r="E212" s="91" t="n">
        <f aca="false">IFERROR((IF($D41&lt;=0,"N/M",E41/$D41)*100),"N/M")</f>
        <v>103.221060539661</v>
      </c>
      <c r="F212" s="91" t="n">
        <f aca="false">IFERROR((IF($D41&lt;=0,"N/M",F41/$D41)*100),"N/M")</f>
        <v>266.180429474739</v>
      </c>
      <c r="G212" s="91" t="n">
        <f aca="false">IFERROR((IF($D41&lt;=0,"N/M",G41/$D41)*100),"N/M")</f>
        <v>495.448569460965</v>
      </c>
      <c r="H212" s="91" t="n">
        <f aca="false">IFERROR((IF($D41&lt;=0,"N/M",H41/$D41)*100),"N/M")</f>
        <v>-45.6176047079447</v>
      </c>
      <c r="I212" s="91" t="n">
        <f aca="false">IFERROR((IF($D41&lt;=0,"N/M",I41/$D41)*100),"N/M")</f>
        <v>86.0827646653728</v>
      </c>
      <c r="J212" s="91" t="n">
        <f aca="false">IFERROR((IF($D41&lt;=0,"N/M",J41/$D41)*100),"N/M")</f>
        <v>98.2908658360984</v>
      </c>
      <c r="K212" s="92" t="n">
        <f aca="false">IFERROR(AVERAGE(D212:J212),"N/M")</f>
        <v>157.65801218127</v>
      </c>
      <c r="L212" s="85" t="n">
        <f aca="false">IFERROR(J212-D212,"N/M")</f>
        <v>-1.70913416390158</v>
      </c>
      <c r="M212" s="85" t="n">
        <f aca="false">IFERROR(SLOPE(D212:J212,$D$3:$J$3),"N/M")</f>
        <v>-12.5429295865344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61</v>
      </c>
    </row>
    <row r="2" customFormat="false" ht="15" hidden="false" customHeight="false" outlineLevel="0" collapsed="false">
      <c r="A2" s="6" t="s">
        <v>704</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3174.4</v>
      </c>
      <c r="D9" s="93" t="n">
        <v>3175.13</v>
      </c>
      <c r="E9" s="93" t="n">
        <v>3288.13</v>
      </c>
      <c r="F9" s="93" t="n">
        <v>4410.49</v>
      </c>
      <c r="G9" s="93" t="n">
        <v>5172.22</v>
      </c>
      <c r="H9" s="93" t="n">
        <v>5267.83</v>
      </c>
      <c r="I9" s="93" t="n">
        <v>5720.18</v>
      </c>
      <c r="J9" s="93" t="n">
        <v>6140.88</v>
      </c>
    </row>
    <row r="10" customFormat="false" ht="15" hidden="false" customHeight="false" outlineLevel="0" collapsed="false">
      <c r="A10" s="18" t="s">
        <v>399</v>
      </c>
      <c r="B10" s="74" t="s">
        <v>400</v>
      </c>
      <c r="C10" s="93" t="n">
        <v>0</v>
      </c>
      <c r="D10" s="93" t="n">
        <v>0</v>
      </c>
      <c r="E10" s="93" t="n">
        <v>0</v>
      </c>
      <c r="F10" s="93" t="n">
        <v>0</v>
      </c>
      <c r="G10" s="93" t="n">
        <v>0</v>
      </c>
      <c r="H10" s="93" t="n">
        <v>0</v>
      </c>
      <c r="I10" s="93" t="n">
        <v>0</v>
      </c>
      <c r="J10" s="93" t="n">
        <v>0</v>
      </c>
    </row>
    <row r="11" customFormat="false" ht="15" hidden="false" customHeight="false" outlineLevel="0" collapsed="false">
      <c r="A11" s="18" t="s">
        <v>401</v>
      </c>
      <c r="B11" s="74" t="s">
        <v>402</v>
      </c>
      <c r="C11" s="93" t="n">
        <v>0</v>
      </c>
      <c r="D11" s="93" t="n">
        <v>0</v>
      </c>
      <c r="E11" s="93" t="n">
        <v>0</v>
      </c>
      <c r="F11" s="93" t="n">
        <v>0</v>
      </c>
      <c r="G11" s="93" t="n">
        <v>0</v>
      </c>
      <c r="H11" s="93" t="n">
        <v>0</v>
      </c>
      <c r="I11" s="93" t="n">
        <v>0</v>
      </c>
      <c r="J11" s="93" t="n">
        <v>0</v>
      </c>
    </row>
    <row r="12" customFormat="false" ht="15" hidden="false" customHeight="false" outlineLevel="0" collapsed="false">
      <c r="A12" s="18" t="s">
        <v>403</v>
      </c>
      <c r="B12" s="74" t="s">
        <v>404</v>
      </c>
      <c r="C12" s="93" t="n">
        <v>263.43</v>
      </c>
      <c r="D12" s="93" t="n">
        <v>234.37</v>
      </c>
      <c r="E12" s="93" t="n">
        <v>172.22</v>
      </c>
      <c r="F12" s="93" t="n">
        <v>332.04</v>
      </c>
      <c r="G12" s="93" t="n">
        <v>516.57</v>
      </c>
      <c r="H12" s="93" t="n">
        <v>403.34</v>
      </c>
      <c r="I12" s="93" t="n">
        <v>444.62</v>
      </c>
      <c r="J12" s="93" t="n">
        <v>386.82</v>
      </c>
    </row>
    <row r="13" customFormat="false" ht="15" hidden="false" customHeight="false" outlineLevel="0" collapsed="false">
      <c r="A13" s="18" t="s">
        <v>405</v>
      </c>
      <c r="B13" s="74" t="s">
        <v>406</v>
      </c>
      <c r="C13" s="93" t="n">
        <v>1566.53</v>
      </c>
      <c r="D13" s="93" t="n">
        <v>1489.92</v>
      </c>
      <c r="E13" s="93" t="n">
        <v>1480.39</v>
      </c>
      <c r="F13" s="93" t="n">
        <v>2044.93</v>
      </c>
      <c r="G13" s="93" t="n">
        <v>2601.58</v>
      </c>
      <c r="H13" s="93" t="n">
        <v>2791.22</v>
      </c>
      <c r="I13" s="93" t="n">
        <v>3078.6</v>
      </c>
      <c r="J13" s="93" t="n">
        <v>3353.74</v>
      </c>
    </row>
    <row r="14" customFormat="false" ht="15" hidden="false" customHeight="false" outlineLevel="0" collapsed="false">
      <c r="A14" s="18" t="s">
        <v>407</v>
      </c>
      <c r="B14" s="74" t="s">
        <v>408</v>
      </c>
      <c r="C14" s="93" t="n">
        <v>698.67</v>
      </c>
      <c r="D14" s="93" t="n">
        <v>733.88</v>
      </c>
      <c r="E14" s="93" t="n">
        <v>729.81</v>
      </c>
      <c r="F14" s="93" t="n">
        <v>766.33</v>
      </c>
      <c r="G14" s="93" t="n">
        <v>839.55</v>
      </c>
      <c r="H14" s="93" t="n">
        <v>908.79</v>
      </c>
      <c r="I14" s="93" t="n">
        <v>969.52</v>
      </c>
      <c r="J14" s="93" t="n">
        <v>1043.81</v>
      </c>
    </row>
    <row r="15" customFormat="false" ht="15" hidden="false" customHeight="false" outlineLevel="0" collapsed="false">
      <c r="A15" s="18" t="s">
        <v>409</v>
      </c>
      <c r="B15" s="74" t="s">
        <v>410</v>
      </c>
      <c r="C15" s="93" t="n">
        <v>346.38</v>
      </c>
      <c r="D15" s="93" t="n">
        <v>207.12</v>
      </c>
      <c r="E15" s="93" t="n">
        <v>197.26</v>
      </c>
      <c r="F15" s="93" t="n">
        <v>248.72</v>
      </c>
      <c r="G15" s="93" t="n">
        <v>227.67</v>
      </c>
      <c r="H15" s="93" t="n">
        <v>278.88</v>
      </c>
      <c r="I15" s="93" t="n">
        <v>317.17</v>
      </c>
      <c r="J15" s="93" t="n">
        <v>357.35</v>
      </c>
    </row>
    <row r="16" customFormat="false" ht="15" hidden="false" customHeight="false" outlineLevel="0" collapsed="false">
      <c r="A16" s="18" t="s">
        <v>411</v>
      </c>
      <c r="B16" s="74" t="s">
        <v>412</v>
      </c>
      <c r="C16" s="93" t="n">
        <v>13.21</v>
      </c>
      <c r="D16" s="93" t="n">
        <v>35.23</v>
      </c>
      <c r="E16" s="93" t="n">
        <v>22.16</v>
      </c>
      <c r="F16" s="93" t="n">
        <v>18.46</v>
      </c>
      <c r="G16" s="93" t="n">
        <v>49.24</v>
      </c>
      <c r="H16" s="93" t="n">
        <v>32.6</v>
      </c>
      <c r="I16" s="93" t="n">
        <v>34.01</v>
      </c>
      <c r="J16" s="93" t="n">
        <v>48.5</v>
      </c>
    </row>
    <row r="17" customFormat="false" ht="15" hidden="false" customHeight="false" outlineLevel="0" collapsed="false">
      <c r="A17" s="18" t="s">
        <v>413</v>
      </c>
      <c r="B17" s="74" t="s">
        <v>414</v>
      </c>
      <c r="C17" s="93" t="n">
        <v>18.51</v>
      </c>
      <c r="D17" s="93" t="n">
        <v>-49.02</v>
      </c>
      <c r="E17" s="93" t="n">
        <v>-5.55</v>
      </c>
      <c r="F17" s="93" t="n">
        <v>-5.38</v>
      </c>
      <c r="G17" s="93" t="n">
        <v>31.92</v>
      </c>
      <c r="H17" s="93" t="n">
        <v>50.62</v>
      </c>
      <c r="I17" s="93" t="n">
        <v>38.31</v>
      </c>
      <c r="J17" s="93" t="n">
        <v>-2.2</v>
      </c>
    </row>
    <row r="18" customFormat="false" ht="15" hidden="false" customHeight="false" outlineLevel="0" collapsed="false">
      <c r="A18" s="18" t="s">
        <v>415</v>
      </c>
      <c r="B18" s="74" t="s">
        <v>416</v>
      </c>
      <c r="C18" s="93" t="n">
        <v>127.89</v>
      </c>
      <c r="D18" s="93" t="n">
        <v>347.33</v>
      </c>
      <c r="E18" s="93" t="n">
        <v>430</v>
      </c>
      <c r="F18" s="93" t="n">
        <v>395.37</v>
      </c>
      <c r="G18" s="93" t="n">
        <v>394.48</v>
      </c>
      <c r="H18" s="93" t="n">
        <v>432.86</v>
      </c>
      <c r="I18" s="93" t="n">
        <v>484.94</v>
      </c>
      <c r="J18" s="93" t="n">
        <v>536.07</v>
      </c>
    </row>
    <row r="19" customFormat="false" ht="15" hidden="false" customHeight="false" outlineLevel="0" collapsed="false">
      <c r="A19" s="18" t="s">
        <v>417</v>
      </c>
      <c r="B19" s="74" t="s">
        <v>418</v>
      </c>
      <c r="C19" s="93" t="n">
        <v>42.66</v>
      </c>
      <c r="D19" s="93" t="n">
        <v>117.38</v>
      </c>
      <c r="E19" s="93" t="n">
        <v>110.95</v>
      </c>
      <c r="F19" s="93" t="n">
        <v>86.97</v>
      </c>
      <c r="G19" s="93" t="n">
        <v>66.85</v>
      </c>
      <c r="H19" s="93" t="n">
        <v>78.06</v>
      </c>
      <c r="I19" s="93" t="n">
        <v>82.39</v>
      </c>
      <c r="J19" s="93" t="n">
        <v>85.64</v>
      </c>
    </row>
    <row r="20" customFormat="false" ht="15" hidden="false" customHeight="false" outlineLevel="0" collapsed="false">
      <c r="A20" s="18" t="s">
        <v>419</v>
      </c>
      <c r="B20" s="74" t="s">
        <v>420</v>
      </c>
      <c r="C20" s="93" t="n">
        <v>134.14</v>
      </c>
      <c r="D20" s="93" t="n">
        <v>-39.12</v>
      </c>
      <c r="E20" s="93" t="n">
        <v>139.79</v>
      </c>
      <c r="F20" s="93" t="n">
        <v>512.29</v>
      </c>
      <c r="G20" s="93" t="n">
        <v>508.2</v>
      </c>
      <c r="H20" s="93" t="n">
        <v>392.7</v>
      </c>
      <c r="I20" s="93" t="n">
        <v>347.24</v>
      </c>
      <c r="J20" s="93" t="n">
        <v>326.75</v>
      </c>
    </row>
    <row r="21" customFormat="false" ht="15" hidden="false" customHeight="false" outlineLevel="0" collapsed="false">
      <c r="A21" s="18" t="s">
        <v>421</v>
      </c>
      <c r="B21" s="74" t="s">
        <v>422</v>
      </c>
      <c r="C21" s="93" t="n">
        <v>44.38</v>
      </c>
      <c r="D21" s="93" t="n">
        <v>2.74</v>
      </c>
      <c r="E21" s="93" t="n">
        <v>37.98</v>
      </c>
      <c r="F21" s="93" t="n">
        <v>130.08</v>
      </c>
      <c r="G21" s="93" t="n">
        <v>137.67</v>
      </c>
      <c r="H21" s="93" t="n">
        <v>91.69</v>
      </c>
      <c r="I21" s="93" t="n">
        <v>94.82</v>
      </c>
      <c r="J21" s="93" t="n">
        <v>79.36</v>
      </c>
    </row>
    <row r="22" customFormat="false" ht="15" hidden="false" customHeight="false" outlineLevel="0" collapsed="false">
      <c r="A22" s="18" t="s">
        <v>423</v>
      </c>
      <c r="B22" s="74" t="s">
        <v>424</v>
      </c>
      <c r="C22" s="93" t="n">
        <v>89.76</v>
      </c>
      <c r="D22" s="93" t="n">
        <v>-41.86</v>
      </c>
      <c r="E22" s="93" t="n">
        <v>101.81</v>
      </c>
      <c r="F22" s="93" t="n">
        <v>382.21</v>
      </c>
      <c r="G22" s="93" t="n">
        <v>370.53</v>
      </c>
      <c r="H22" s="93" t="n">
        <v>301.01</v>
      </c>
      <c r="I22" s="93" t="n">
        <v>252.42</v>
      </c>
      <c r="J22" s="93" t="n">
        <v>247.39</v>
      </c>
    </row>
    <row r="23" customFormat="false" ht="15" hidden="false" customHeight="false" outlineLevel="0" collapsed="false">
      <c r="A23" s="18" t="s">
        <v>425</v>
      </c>
      <c r="B23" s="74" t="s">
        <v>426</v>
      </c>
      <c r="C23" s="93" t="n">
        <v>29.7</v>
      </c>
      <c r="D23" s="93" t="n">
        <v>0</v>
      </c>
      <c r="E23" s="93" t="n">
        <v>35.64</v>
      </c>
      <c r="F23" s="93" t="n">
        <v>142.56</v>
      </c>
      <c r="G23" s="93" t="n">
        <v>71.28</v>
      </c>
      <c r="H23" s="93" t="n">
        <v>59.4</v>
      </c>
      <c r="I23" s="93" t="n">
        <v>59.4</v>
      </c>
      <c r="J23" s="93" t="n">
        <v>59.4</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23.76</v>
      </c>
      <c r="D26" s="93" t="n">
        <v>23.76</v>
      </c>
      <c r="E26" s="93" t="n">
        <v>23.76</v>
      </c>
      <c r="F26" s="93" t="n">
        <v>23.76</v>
      </c>
      <c r="G26" s="93" t="n">
        <v>23.76</v>
      </c>
      <c r="H26" s="93" t="n">
        <v>23.76</v>
      </c>
      <c r="I26" s="93" t="n">
        <v>23.76</v>
      </c>
      <c r="J26" s="93" t="n">
        <v>23.76</v>
      </c>
    </row>
    <row r="27" customFormat="false" ht="15" hidden="false" customHeight="false" outlineLevel="0" collapsed="false">
      <c r="A27" s="18" t="s">
        <v>430</v>
      </c>
      <c r="B27" s="74" t="s">
        <v>431</v>
      </c>
      <c r="C27" s="93" t="n">
        <v>553.96</v>
      </c>
      <c r="D27" s="93" t="n">
        <v>467.07</v>
      </c>
      <c r="E27" s="93" t="n">
        <v>568.2</v>
      </c>
      <c r="F27" s="93" t="n">
        <v>848.23</v>
      </c>
      <c r="G27" s="93" t="n">
        <v>1155.8</v>
      </c>
      <c r="H27" s="93" t="n">
        <v>1343.51</v>
      </c>
      <c r="I27" s="93" t="n">
        <v>1535.28</v>
      </c>
      <c r="J27" s="93" t="n">
        <v>1753.07</v>
      </c>
    </row>
    <row r="28" customFormat="false" ht="15" hidden="false" customHeight="false" outlineLevel="0" collapsed="false">
      <c r="A28" s="18" t="s">
        <v>432</v>
      </c>
      <c r="B28" s="74" t="s">
        <v>433</v>
      </c>
      <c r="C28" s="93" t="n">
        <v>572.68</v>
      </c>
      <c r="D28" s="93" t="n">
        <v>530</v>
      </c>
      <c r="E28" s="93" t="n">
        <v>1522.15</v>
      </c>
      <c r="F28" s="93" t="n">
        <v>1065.94</v>
      </c>
      <c r="G28" s="93" t="n">
        <v>1120.14</v>
      </c>
      <c r="H28" s="93" t="n">
        <v>1072.95</v>
      </c>
      <c r="I28" s="93" t="n">
        <v>1006.99</v>
      </c>
      <c r="J28" s="93" t="n">
        <v>1141.9</v>
      </c>
    </row>
    <row r="29" customFormat="false" ht="15" hidden="false" customHeight="false" outlineLevel="0" collapsed="false">
      <c r="A29" s="18" t="s">
        <v>434</v>
      </c>
      <c r="B29" s="74" t="s">
        <v>435</v>
      </c>
      <c r="C29" s="93" t="n">
        <v>660.86</v>
      </c>
      <c r="D29" s="93" t="n">
        <v>1619.96</v>
      </c>
      <c r="E29" s="93" t="n">
        <v>783.32</v>
      </c>
      <c r="F29" s="93" t="n">
        <v>890.83</v>
      </c>
      <c r="G29" s="93" t="n">
        <v>923.34</v>
      </c>
      <c r="H29" s="93" t="n">
        <v>1020.68</v>
      </c>
      <c r="I29" s="93" t="n">
        <v>1096.73</v>
      </c>
      <c r="J29" s="93" t="n">
        <v>1208.12</v>
      </c>
    </row>
    <row r="30" customFormat="false" ht="15" hidden="false" customHeight="false" outlineLevel="0" collapsed="false">
      <c r="A30" s="18" t="s">
        <v>436</v>
      </c>
      <c r="B30" s="74" t="s">
        <v>437</v>
      </c>
      <c r="C30" s="93" t="n">
        <v>1811.26</v>
      </c>
      <c r="D30" s="93" t="n">
        <v>2640.79</v>
      </c>
      <c r="E30" s="93" t="n">
        <v>2897.43</v>
      </c>
      <c r="F30" s="93" t="n">
        <v>2828.76</v>
      </c>
      <c r="G30" s="93" t="n">
        <v>3223.04</v>
      </c>
      <c r="H30" s="93" t="n">
        <v>3460.9</v>
      </c>
      <c r="I30" s="93" t="n">
        <v>3662.76</v>
      </c>
      <c r="J30" s="93" t="n">
        <v>4126.85</v>
      </c>
    </row>
    <row r="31" customFormat="false" ht="15" hidden="false" customHeight="false" outlineLevel="0" collapsed="false">
      <c r="A31" s="18" t="s">
        <v>438</v>
      </c>
      <c r="B31" s="74" t="s">
        <v>439</v>
      </c>
      <c r="C31" s="93" t="n">
        <v>654.36</v>
      </c>
      <c r="D31" s="93" t="n">
        <v>1664.98</v>
      </c>
      <c r="E31" s="93" t="n">
        <v>1583.18</v>
      </c>
      <c r="F31" s="93" t="n">
        <v>1436.87</v>
      </c>
      <c r="G31" s="93" t="n">
        <v>1437.03</v>
      </c>
      <c r="H31" s="93" t="n">
        <v>1822.54</v>
      </c>
      <c r="I31" s="93" t="n">
        <v>1813.58</v>
      </c>
      <c r="J31" s="93" t="n">
        <v>2035.38</v>
      </c>
    </row>
    <row r="32" customFormat="false" ht="15" hidden="false" customHeight="false" outlineLevel="0" collapsed="false">
      <c r="A32" s="18" t="s">
        <v>440</v>
      </c>
      <c r="B32" s="74" t="s">
        <v>441</v>
      </c>
      <c r="C32" s="93" t="n">
        <v>90.66</v>
      </c>
      <c r="D32" s="93" t="n">
        <v>18.03</v>
      </c>
      <c r="E32" s="93" t="n">
        <v>6.68</v>
      </c>
      <c r="F32" s="93" t="n">
        <v>69.13</v>
      </c>
      <c r="G32" s="93" t="n">
        <v>438.91</v>
      </c>
      <c r="H32" s="93" t="n">
        <v>73.86</v>
      </c>
      <c r="I32" s="93" t="n">
        <v>76.95</v>
      </c>
      <c r="J32" s="93" t="n">
        <v>26.91</v>
      </c>
    </row>
    <row r="33" customFormat="false" ht="15" hidden="false" customHeight="false" outlineLevel="0" collapsed="false">
      <c r="A33" s="18" t="s">
        <v>442</v>
      </c>
      <c r="B33" s="74" t="s">
        <v>443</v>
      </c>
      <c r="C33" s="93" t="n">
        <v>0</v>
      </c>
      <c r="D33" s="93" t="n">
        <v>0</v>
      </c>
      <c r="E33" s="93" t="n">
        <v>150.07</v>
      </c>
      <c r="F33" s="93" t="n">
        <v>207.39</v>
      </c>
      <c r="G33" s="93" t="n">
        <v>170.89</v>
      </c>
      <c r="H33" s="93" t="n">
        <v>307.28</v>
      </c>
      <c r="I33" s="93" t="n">
        <v>385.78</v>
      </c>
      <c r="J33" s="93" t="n">
        <v>412.56</v>
      </c>
    </row>
    <row r="34" customFormat="false" ht="15" hidden="false" customHeight="false" outlineLevel="0" collapsed="false">
      <c r="A34" s="18" t="s">
        <v>444</v>
      </c>
      <c r="B34" s="74" t="s">
        <v>445</v>
      </c>
      <c r="C34" s="93" t="n">
        <v>1066.24</v>
      </c>
      <c r="D34" s="93" t="n">
        <v>957.78</v>
      </c>
      <c r="E34" s="93" t="n">
        <v>1157.5</v>
      </c>
      <c r="F34" s="93" t="n">
        <v>1115.37</v>
      </c>
      <c r="G34" s="93" t="n">
        <v>1176.21</v>
      </c>
      <c r="H34" s="93" t="n">
        <v>1257.22</v>
      </c>
      <c r="I34" s="93" t="n">
        <v>1386.45</v>
      </c>
      <c r="J34" s="93" t="n">
        <v>1652</v>
      </c>
    </row>
    <row r="35" customFormat="false" ht="15" hidden="false" customHeight="false" outlineLevel="0" collapsed="false">
      <c r="A35" s="18" t="s">
        <v>446</v>
      </c>
      <c r="B35" s="74" t="s">
        <v>447</v>
      </c>
      <c r="C35" s="93" t="n">
        <v>1811.26</v>
      </c>
      <c r="D35" s="93" t="n">
        <v>2640.79</v>
      </c>
      <c r="E35" s="93" t="n">
        <v>2897.43</v>
      </c>
      <c r="F35" s="93" t="n">
        <v>2828.76</v>
      </c>
      <c r="G35" s="93" t="n">
        <v>3223.04</v>
      </c>
      <c r="H35" s="93" t="n">
        <v>3460.9</v>
      </c>
      <c r="I35" s="93" t="n">
        <v>3662.76</v>
      </c>
      <c r="J35" s="93" t="n">
        <v>4126.85</v>
      </c>
    </row>
    <row r="36" customFormat="false" ht="15" hidden="false" customHeight="false" outlineLevel="0" collapsed="false">
      <c r="A36" s="18" t="s">
        <v>448</v>
      </c>
      <c r="B36" s="74" t="s">
        <v>449</v>
      </c>
      <c r="C36" s="93" t="n">
        <v>491.02</v>
      </c>
      <c r="D36" s="93" t="n">
        <v>528.23</v>
      </c>
      <c r="E36" s="93" t="n">
        <v>517.92</v>
      </c>
      <c r="F36" s="93" t="n">
        <v>580.01</v>
      </c>
      <c r="G36" s="93" t="n">
        <v>636.66</v>
      </c>
      <c r="H36" s="93" t="n">
        <v>670.43</v>
      </c>
      <c r="I36" s="93" t="n">
        <v>786.09</v>
      </c>
      <c r="J36" s="93" t="n">
        <v>918.25</v>
      </c>
    </row>
    <row r="37" customFormat="false" ht="15" hidden="false" customHeight="false" outlineLevel="0" collapsed="false">
      <c r="A37" s="18" t="s">
        <v>450</v>
      </c>
      <c r="B37" s="74" t="s">
        <v>451</v>
      </c>
      <c r="C37" s="93" t="n">
        <v>26.01</v>
      </c>
      <c r="D37" s="93" t="n">
        <v>26.99</v>
      </c>
      <c r="E37" s="93" t="n">
        <v>31.78</v>
      </c>
      <c r="F37" s="93" t="n">
        <v>34.99</v>
      </c>
      <c r="G37" s="93" t="n">
        <v>39.35</v>
      </c>
      <c r="H37" s="93" t="n">
        <v>51.83</v>
      </c>
      <c r="I37" s="93" t="n">
        <v>51.53</v>
      </c>
      <c r="J37" s="93" t="n">
        <v>55.94</v>
      </c>
    </row>
    <row r="38" customFormat="false" ht="15" hidden="false" customHeight="false" outlineLevel="0" collapsed="false">
      <c r="A38" s="18" t="s">
        <v>452</v>
      </c>
      <c r="B38" s="74" t="s">
        <v>453</v>
      </c>
      <c r="C38" s="93" t="n">
        <v>268.71</v>
      </c>
      <c r="D38" s="93" t="n">
        <v>100</v>
      </c>
      <c r="E38" s="93" t="n">
        <v>310.52</v>
      </c>
      <c r="F38" s="93" t="n">
        <v>184.33</v>
      </c>
      <c r="G38" s="93" t="n">
        <v>95.52</v>
      </c>
      <c r="H38" s="93" t="n">
        <v>166.24</v>
      </c>
      <c r="I38" s="93" t="n">
        <v>167.31</v>
      </c>
      <c r="J38" s="93" t="n">
        <v>238.98</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243.33</v>
      </c>
      <c r="D41" s="93" t="n">
        <v>364.11</v>
      </c>
      <c r="E41" s="93" t="n">
        <v>750.18</v>
      </c>
      <c r="F41" s="93" t="n">
        <v>859.79</v>
      </c>
      <c r="G41" s="93" t="n">
        <v>716.74</v>
      </c>
      <c r="H41" s="93" t="n">
        <v>846.73</v>
      </c>
      <c r="I41" s="93" t="n">
        <v>735.12</v>
      </c>
      <c r="J41" s="93" t="n">
        <v>810.25</v>
      </c>
    </row>
    <row r="42" customFormat="false" ht="15" hidden="false" customHeight="false" outlineLevel="0" collapsed="false">
      <c r="A42" s="18" t="s">
        <v>457</v>
      </c>
      <c r="B42" s="74" t="s">
        <v>458</v>
      </c>
      <c r="C42" s="93" t="n">
        <v>-280.03</v>
      </c>
      <c r="D42" s="93" t="n">
        <v>-192.58</v>
      </c>
      <c r="E42" s="93" t="n">
        <v>-528.98</v>
      </c>
      <c r="F42" s="93" t="n">
        <v>11.31</v>
      </c>
      <c r="G42" s="93" t="n">
        <v>-514.09</v>
      </c>
      <c r="H42" s="93" t="n">
        <v>-374.64</v>
      </c>
      <c r="I42" s="93" t="n">
        <v>-299.72</v>
      </c>
      <c r="J42" s="93" t="n">
        <v>-314.92</v>
      </c>
    </row>
    <row r="43" customFormat="false" ht="15" hidden="false" customHeight="false" outlineLevel="0" collapsed="false">
      <c r="A43" s="18" t="s">
        <v>459</v>
      </c>
      <c r="B43" s="74" t="s">
        <v>460</v>
      </c>
      <c r="C43" s="93" t="n">
        <v>79.17</v>
      </c>
      <c r="D43" s="93" t="n">
        <v>-340.09</v>
      </c>
      <c r="E43" s="93" t="n">
        <v>-235.2</v>
      </c>
      <c r="F43" s="93" t="n">
        <v>-772.06</v>
      </c>
      <c r="G43" s="93" t="n">
        <v>-291.45</v>
      </c>
      <c r="H43" s="93" t="n">
        <v>-401.23</v>
      </c>
      <c r="I43" s="93" t="n">
        <v>-433.69</v>
      </c>
      <c r="J43" s="93" t="n">
        <v>-423.65</v>
      </c>
    </row>
    <row r="44" customFormat="false" ht="15" hidden="false" customHeight="false" outlineLevel="0" collapsed="false">
      <c r="A44" s="18" t="s">
        <v>461</v>
      </c>
      <c r="B44" s="74" t="s">
        <v>462</v>
      </c>
      <c r="C44" s="93" t="n">
        <v>42.47</v>
      </c>
      <c r="D44" s="93" t="n">
        <v>-168.56</v>
      </c>
      <c r="E44" s="93" t="n">
        <v>-14</v>
      </c>
      <c r="F44" s="93" t="n">
        <v>99.04</v>
      </c>
      <c r="G44" s="93" t="n">
        <v>-88.8</v>
      </c>
      <c r="H44" s="93" t="n">
        <v>70.86</v>
      </c>
      <c r="I44" s="93" t="n">
        <v>1.71</v>
      </c>
      <c r="J44" s="93" t="n">
        <v>71.68</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3593.85</v>
      </c>
      <c r="D47" s="93" t="n">
        <v>2199.05</v>
      </c>
      <c r="E47" s="93" t="n">
        <v>5574.35</v>
      </c>
      <c r="F47" s="93" t="n">
        <v>6862.25</v>
      </c>
      <c r="G47" s="93" t="n">
        <v>6212.95</v>
      </c>
      <c r="H47" s="93" t="n">
        <v>6183.95</v>
      </c>
      <c r="I47" s="93" t="n">
        <v>6136.5</v>
      </c>
      <c r="J47" s="93" t="n">
        <v>4747</v>
      </c>
    </row>
    <row r="48" customFormat="false" ht="15" hidden="false" customHeight="false" outlineLevel="0" collapsed="false">
      <c r="A48" s="18" t="s">
        <v>467</v>
      </c>
      <c r="B48" s="74" t="s">
        <v>468</v>
      </c>
      <c r="C48" s="93" t="n">
        <v>2.37</v>
      </c>
      <c r="D48" s="93" t="n">
        <v>2.37</v>
      </c>
      <c r="E48" s="93" t="n">
        <v>2.37</v>
      </c>
      <c r="F48" s="93" t="n">
        <v>2.37</v>
      </c>
      <c r="G48" s="93" t="n">
        <v>2.37</v>
      </c>
      <c r="H48" s="93" t="n">
        <v>2.37</v>
      </c>
      <c r="I48" s="93" t="n">
        <v>2.37</v>
      </c>
      <c r="J48" s="93" t="n">
        <v>2.37</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1829.96</v>
      </c>
      <c r="D52" s="44" t="n">
        <f aca="false">IFERROR((((D10+D12)+D13)-D11),"N/M")</f>
        <v>1724.29</v>
      </c>
      <c r="E52" s="44" t="n">
        <f aca="false">IFERROR((((E10+E12)+E13)-E11),"N/M")</f>
        <v>1652.61</v>
      </c>
      <c r="F52" s="44" t="n">
        <f aca="false">IFERROR((((F10+F12)+F13)-F11),"N/M")</f>
        <v>2376.97</v>
      </c>
      <c r="G52" s="44" t="n">
        <f aca="false">IFERROR((((G10+G12)+G13)-G11),"N/M")</f>
        <v>3118.15</v>
      </c>
      <c r="H52" s="44" t="n">
        <f aca="false">IFERROR((((H10+H12)+H13)-H11),"N/M")</f>
        <v>3194.56</v>
      </c>
      <c r="I52" s="44" t="n">
        <f aca="false">IFERROR((((I10+I12)+I13)-I11),"N/M")</f>
        <v>3523.22</v>
      </c>
      <c r="J52" s="44" t="n">
        <f aca="false">IFERROR((((J10+J12)+J13)-J11),"N/M")</f>
        <v>3740.56</v>
      </c>
    </row>
    <row r="53" customFormat="false" ht="15" hidden="false" customHeight="false" outlineLevel="0" collapsed="false">
      <c r="A53" s="18" t="s">
        <v>473</v>
      </c>
      <c r="B53" s="19" t="s">
        <v>474</v>
      </c>
      <c r="C53" s="44" t="n">
        <f aca="false">IFERROR(((C14+C15)+C16),"N/M")</f>
        <v>1058.26</v>
      </c>
      <c r="D53" s="44" t="n">
        <f aca="false">IFERROR(((D14+D15)+D16),"N/M")</f>
        <v>976.23</v>
      </c>
      <c r="E53" s="44" t="n">
        <f aca="false">IFERROR(((E14+E15)+E16),"N/M")</f>
        <v>949.23</v>
      </c>
      <c r="F53" s="44" t="n">
        <f aca="false">IFERROR(((F14+F15)+F16),"N/M")</f>
        <v>1033.51</v>
      </c>
      <c r="G53" s="44" t="n">
        <f aca="false">IFERROR(((G14+G15)+G16),"N/M")</f>
        <v>1116.46</v>
      </c>
      <c r="H53" s="44" t="n">
        <f aca="false">IFERROR(((H14+H15)+H16),"N/M")</f>
        <v>1220.27</v>
      </c>
      <c r="I53" s="44" t="n">
        <f aca="false">IFERROR(((I14+I15)+I16),"N/M")</f>
        <v>1320.7</v>
      </c>
      <c r="J53" s="44" t="n">
        <f aca="false">IFERROR(((J14+J15)+J16),"N/M")</f>
        <v>1449.66</v>
      </c>
    </row>
    <row r="54" customFormat="false" ht="15" hidden="false" customHeight="false" outlineLevel="0" collapsed="false">
      <c r="A54" s="18" t="s">
        <v>475</v>
      </c>
      <c r="B54" s="19" t="s">
        <v>476</v>
      </c>
      <c r="C54" s="44" t="n">
        <f aca="false">IFERROR((C52+C53),"N/M")</f>
        <v>2888.22</v>
      </c>
      <c r="D54" s="44" t="n">
        <f aca="false">IFERROR((D52+D53),"N/M")</f>
        <v>2700.52</v>
      </c>
      <c r="E54" s="44" t="n">
        <f aca="false">IFERROR((E52+E53),"N/M")</f>
        <v>2601.84</v>
      </c>
      <c r="F54" s="44" t="n">
        <f aca="false">IFERROR((F52+F53),"N/M")</f>
        <v>3410.48</v>
      </c>
      <c r="G54" s="44" t="n">
        <f aca="false">IFERROR((G52+G53),"N/M")</f>
        <v>4234.61</v>
      </c>
      <c r="H54" s="44" t="n">
        <f aca="false">IFERROR((H52+H53),"N/M")</f>
        <v>4414.83</v>
      </c>
      <c r="I54" s="44" t="n">
        <f aca="false">IFERROR((I52+I53),"N/M")</f>
        <v>4843.92</v>
      </c>
      <c r="J54" s="44" t="n">
        <f aca="false">IFERROR((J52+J53),"N/M")</f>
        <v>5190.22</v>
      </c>
    </row>
    <row r="55" customFormat="false" ht="15" hidden="false" customHeight="false" outlineLevel="0" collapsed="false">
      <c r="A55" s="18" t="s">
        <v>477</v>
      </c>
      <c r="B55" s="19" t="s">
        <v>478</v>
      </c>
      <c r="C55" s="44" t="n">
        <f aca="false">IFERROR((C9-C52),"N/M")</f>
        <v>1344.44</v>
      </c>
      <c r="D55" s="44" t="n">
        <f aca="false">IFERROR((D9-D52),"N/M")</f>
        <v>1450.84</v>
      </c>
      <c r="E55" s="44" t="n">
        <f aca="false">IFERROR((E9-E52),"N/M")</f>
        <v>1635.52</v>
      </c>
      <c r="F55" s="44" t="n">
        <f aca="false">IFERROR((F9-F52),"N/M")</f>
        <v>2033.52</v>
      </c>
      <c r="G55" s="44" t="n">
        <f aca="false">IFERROR((G9-G52),"N/M")</f>
        <v>2054.07</v>
      </c>
      <c r="H55" s="44" t="n">
        <f aca="false">IFERROR((H9-H52),"N/M")</f>
        <v>2073.27</v>
      </c>
      <c r="I55" s="44" t="n">
        <f aca="false">IFERROR((I9-I52),"N/M")</f>
        <v>2196.96</v>
      </c>
      <c r="J55" s="44" t="n">
        <f aca="false">IFERROR((J9-J52),"N/M")</f>
        <v>2400.32</v>
      </c>
    </row>
    <row r="56" customFormat="false" ht="15" hidden="false" customHeight="false" outlineLevel="0" collapsed="false">
      <c r="A56" s="18" t="s">
        <v>479</v>
      </c>
      <c r="B56" s="19" t="s">
        <v>480</v>
      </c>
      <c r="C56" s="44" t="n">
        <f aca="false">IFERROR((C9-C54),"N/M")</f>
        <v>286.18</v>
      </c>
      <c r="D56" s="44" t="n">
        <f aca="false">IFERROR((D9-D54),"N/M")</f>
        <v>474.61</v>
      </c>
      <c r="E56" s="44" t="n">
        <f aca="false">IFERROR((E9-E54),"N/M")</f>
        <v>686.29</v>
      </c>
      <c r="F56" s="44" t="n">
        <f aca="false">IFERROR((F9-F54),"N/M")</f>
        <v>1000.01</v>
      </c>
      <c r="G56" s="44" t="n">
        <f aca="false">IFERROR((G9-G54),"N/M")</f>
        <v>937.61</v>
      </c>
      <c r="H56" s="44" t="n">
        <f aca="false">IFERROR((H9-H54),"N/M")</f>
        <v>853</v>
      </c>
      <c r="I56" s="44" t="n">
        <f aca="false">IFERROR((I9-I54),"N/M")</f>
        <v>876.26</v>
      </c>
      <c r="J56" s="44" t="n">
        <f aca="false">IFERROR((J9-J54),"N/M")</f>
        <v>950.660000000001</v>
      </c>
    </row>
    <row r="57" customFormat="false" ht="15" hidden="false" customHeight="false" outlineLevel="0" collapsed="false">
      <c r="A57" s="18" t="s">
        <v>481</v>
      </c>
      <c r="B57" s="19" t="s">
        <v>482</v>
      </c>
      <c r="C57" s="44" t="n">
        <f aca="false">IFERROR((C9+C17),"N/M")</f>
        <v>3192.91</v>
      </c>
      <c r="D57" s="44" t="n">
        <f aca="false">IFERROR((D9+D17),"N/M")</f>
        <v>3126.11</v>
      </c>
      <c r="E57" s="44" t="n">
        <f aca="false">IFERROR((E9+E17),"N/M")</f>
        <v>3282.58</v>
      </c>
      <c r="F57" s="44" t="n">
        <f aca="false">IFERROR((F9+F17),"N/M")</f>
        <v>4405.11</v>
      </c>
      <c r="G57" s="44" t="n">
        <f aca="false">IFERROR((G9+G17),"N/M")</f>
        <v>5204.14</v>
      </c>
      <c r="H57" s="44" t="n">
        <f aca="false">IFERROR((H9+H17),"N/M")</f>
        <v>5318.45</v>
      </c>
      <c r="I57" s="44" t="n">
        <f aca="false">IFERROR((I9+I17),"N/M")</f>
        <v>5758.49</v>
      </c>
      <c r="J57" s="44" t="n">
        <f aca="false">IFERROR((J9+J17),"N/M")</f>
        <v>6138.68</v>
      </c>
    </row>
    <row r="58" customFormat="false" ht="15" hidden="false" customHeight="false" outlineLevel="0" collapsed="false">
      <c r="A58" s="18" t="s">
        <v>483</v>
      </c>
      <c r="B58" s="19" t="s">
        <v>484</v>
      </c>
      <c r="C58" s="44" t="n">
        <f aca="false">IFERROR((C20+C19),"N/M")</f>
        <v>176.8</v>
      </c>
      <c r="D58" s="44" t="n">
        <f aca="false">IFERROR((D20+D19),"N/M")</f>
        <v>78.26</v>
      </c>
      <c r="E58" s="44" t="n">
        <f aca="false">IFERROR((E20+E19),"N/M")</f>
        <v>250.74</v>
      </c>
      <c r="F58" s="44" t="n">
        <f aca="false">IFERROR((F20+F19),"N/M")</f>
        <v>599.26</v>
      </c>
      <c r="G58" s="44" t="n">
        <f aca="false">IFERROR((G20+G19),"N/M")</f>
        <v>575.05</v>
      </c>
      <c r="H58" s="44" t="n">
        <f aca="false">IFERROR((H20+H19),"N/M")</f>
        <v>470.76</v>
      </c>
      <c r="I58" s="44" t="n">
        <f aca="false">IFERROR((I20+I19),"N/M")</f>
        <v>429.63</v>
      </c>
      <c r="J58" s="44" t="n">
        <f aca="false">IFERROR((J20+J19),"N/M")</f>
        <v>412.39</v>
      </c>
    </row>
    <row r="59" customFormat="false" ht="15" hidden="false" customHeight="false" outlineLevel="0" collapsed="false">
      <c r="A59" s="18" t="s">
        <v>485</v>
      </c>
      <c r="B59" s="19" t="s">
        <v>486</v>
      </c>
      <c r="C59" s="44" t="n">
        <f aca="false">IFERROR((C58+C18),"N/M")</f>
        <v>304.69</v>
      </c>
      <c r="D59" s="44" t="n">
        <f aca="false">IFERROR((D58+D18),"N/M")</f>
        <v>425.59</v>
      </c>
      <c r="E59" s="44" t="n">
        <f aca="false">IFERROR((E58+E18),"N/M")</f>
        <v>680.74</v>
      </c>
      <c r="F59" s="44" t="n">
        <f aca="false">IFERROR((F58+F18),"N/M")</f>
        <v>994.63</v>
      </c>
      <c r="G59" s="44" t="n">
        <f aca="false">IFERROR((G58+G18),"N/M")</f>
        <v>969.53</v>
      </c>
      <c r="H59" s="44" t="n">
        <f aca="false">IFERROR((H58+H18),"N/M")</f>
        <v>903.62</v>
      </c>
      <c r="I59" s="44" t="n">
        <f aca="false">IFERROR((I58+I18),"N/M")</f>
        <v>914.57</v>
      </c>
      <c r="J59" s="44" t="n">
        <f aca="false">IFERROR((J58+J18),"N/M")</f>
        <v>948.46</v>
      </c>
    </row>
    <row r="60" customFormat="false" ht="15" hidden="false" customHeight="false" outlineLevel="0" collapsed="false">
      <c r="A60" s="18" t="s">
        <v>487</v>
      </c>
      <c r="B60" s="19" t="s">
        <v>488</v>
      </c>
      <c r="C60" s="46" t="n">
        <f aca="false">IFERROR(IF(C20&gt;0,MIN(MAX((C21/C20),0),1),0),"N/M")</f>
        <v>0.330848367377367</v>
      </c>
      <c r="D60" s="46" t="n">
        <f aca="false">IFERROR(IF(D20&gt;0,MIN(MAX((D21/D20),0),1),0),"N/M")</f>
        <v>0</v>
      </c>
      <c r="E60" s="46" t="n">
        <f aca="false">IFERROR(IF(E20&gt;0,MIN(MAX((E21/E20),0),1),0),"N/M")</f>
        <v>0.271693254166965</v>
      </c>
      <c r="F60" s="46" t="n">
        <f aca="false">IFERROR(IF(F20&gt;0,MIN(MAX((F21/F20),0),1),0),"N/M")</f>
        <v>0.253918678873294</v>
      </c>
      <c r="G60" s="46" t="n">
        <f aca="false">IFERROR(IF(G20&gt;0,MIN(MAX((G21/G20),0),1),0),"N/M")</f>
        <v>0.270897284533648</v>
      </c>
      <c r="H60" s="46" t="n">
        <f aca="false">IFERROR(IF(H20&gt;0,MIN(MAX((H21/H20),0),1),0),"N/M")</f>
        <v>0.233486121721416</v>
      </c>
      <c r="I60" s="46" t="n">
        <f aca="false">IFERROR(IF(I20&gt;0,MIN(MAX((I21/I20),0),1),0),"N/M")</f>
        <v>0.27306761893791</v>
      </c>
      <c r="J60" s="46" t="n">
        <f aca="false">IFERROR(IF(J20&gt;0,MIN(MAX((J21/J20),0),1),0),"N/M")</f>
        <v>0.242876817138485</v>
      </c>
    </row>
    <row r="61" customFormat="false" ht="15" hidden="false" customHeight="false" outlineLevel="0" collapsed="false">
      <c r="A61" s="18" t="s">
        <v>489</v>
      </c>
      <c r="B61" s="19" t="s">
        <v>490</v>
      </c>
      <c r="C61" s="44" t="n">
        <f aca="false">IFERROR((C26+C27),"N/M")</f>
        <v>577.72</v>
      </c>
      <c r="D61" s="44" t="n">
        <f aca="false">IFERROR((D26+D27),"N/M")</f>
        <v>490.83</v>
      </c>
      <c r="E61" s="44" t="n">
        <f aca="false">IFERROR((E26+E27),"N/M")</f>
        <v>591.96</v>
      </c>
      <c r="F61" s="44" t="n">
        <f aca="false">IFERROR((F26+F27),"N/M")</f>
        <v>871.99</v>
      </c>
      <c r="G61" s="44" t="n">
        <f aca="false">IFERROR((G26+G27),"N/M")</f>
        <v>1179.56</v>
      </c>
      <c r="H61" s="44" t="n">
        <f aca="false">IFERROR((H26+H27),"N/M")</f>
        <v>1367.27</v>
      </c>
      <c r="I61" s="44" t="n">
        <f aca="false">IFERROR((I26+I27),"N/M")</f>
        <v>1559.04</v>
      </c>
      <c r="J61" s="44" t="n">
        <f aca="false">IFERROR((J26+J27),"N/M")</f>
        <v>1776.83</v>
      </c>
    </row>
    <row r="62" customFormat="false" ht="15" hidden="false" customHeight="false" outlineLevel="0" collapsed="false">
      <c r="A62" s="18" t="s">
        <v>491</v>
      </c>
      <c r="B62" s="19" t="s">
        <v>492</v>
      </c>
      <c r="C62" s="44" t="n">
        <f aca="false">IFERROR((C61+C28),"N/M")</f>
        <v>1150.4</v>
      </c>
      <c r="D62" s="44" t="n">
        <f aca="false">IFERROR((D61+D28),"N/M")</f>
        <v>1020.83</v>
      </c>
      <c r="E62" s="44" t="n">
        <f aca="false">IFERROR((E61+E28),"N/M")</f>
        <v>2114.11</v>
      </c>
      <c r="F62" s="44" t="n">
        <f aca="false">IFERROR((F61+F28),"N/M")</f>
        <v>1937.93</v>
      </c>
      <c r="G62" s="44" t="n">
        <f aca="false">IFERROR((G61+G28),"N/M")</f>
        <v>2299.7</v>
      </c>
      <c r="H62" s="44" t="n">
        <f aca="false">IFERROR((H61+H28),"N/M")</f>
        <v>2440.22</v>
      </c>
      <c r="I62" s="44" t="n">
        <f aca="false">IFERROR((I61+I28),"N/M")</f>
        <v>2566.03</v>
      </c>
      <c r="J62" s="44" t="n">
        <f aca="false">IFERROR((J61+J28),"N/M")</f>
        <v>2918.73</v>
      </c>
    </row>
    <row r="63" customFormat="false" ht="15" hidden="false" customHeight="false" outlineLevel="0" collapsed="false">
      <c r="A63" s="18" t="s">
        <v>493</v>
      </c>
      <c r="B63" s="19" t="s">
        <v>494</v>
      </c>
      <c r="C63" s="44" t="n">
        <f aca="false">IFERROR(C34,"N/M")</f>
        <v>1066.24</v>
      </c>
      <c r="D63" s="44" t="n">
        <f aca="false">IFERROR(D34,"N/M")</f>
        <v>957.78</v>
      </c>
      <c r="E63" s="44" t="n">
        <f aca="false">IFERROR(E34,"N/M")</f>
        <v>1157.5</v>
      </c>
      <c r="F63" s="44" t="n">
        <f aca="false">IFERROR(F34,"N/M")</f>
        <v>1115.37</v>
      </c>
      <c r="G63" s="44" t="n">
        <f aca="false">IFERROR(G34,"N/M")</f>
        <v>1176.21</v>
      </c>
      <c r="H63" s="44" t="n">
        <f aca="false">IFERROR(H34,"N/M")</f>
        <v>1257.22</v>
      </c>
      <c r="I63" s="44" t="n">
        <f aca="false">IFERROR(I34,"N/M")</f>
        <v>1386.45</v>
      </c>
      <c r="J63" s="44" t="n">
        <f aca="false">IFERROR(J34,"N/M")</f>
        <v>1652</v>
      </c>
    </row>
    <row r="64" customFormat="false" ht="15" hidden="false" customHeight="false" outlineLevel="0" collapsed="false">
      <c r="A64" s="18" t="s">
        <v>495</v>
      </c>
      <c r="B64" s="19" t="s">
        <v>496</v>
      </c>
      <c r="C64" s="44" t="n">
        <f aca="false">IFERROR(C29,"N/M")</f>
        <v>660.86</v>
      </c>
      <c r="D64" s="44" t="n">
        <f aca="false">IFERROR(D29,"N/M")</f>
        <v>1619.96</v>
      </c>
      <c r="E64" s="44" t="n">
        <f aca="false">IFERROR(E29,"N/M")</f>
        <v>783.32</v>
      </c>
      <c r="F64" s="44" t="n">
        <f aca="false">IFERROR(F29,"N/M")</f>
        <v>890.83</v>
      </c>
      <c r="G64" s="44" t="n">
        <f aca="false">IFERROR(G29,"N/M")</f>
        <v>923.34</v>
      </c>
      <c r="H64" s="44" t="n">
        <f aca="false">IFERROR(H29,"N/M")</f>
        <v>1020.68</v>
      </c>
      <c r="I64" s="44" t="n">
        <f aca="false">IFERROR(I29,"N/M")</f>
        <v>1096.73</v>
      </c>
      <c r="J64" s="44" t="n">
        <f aca="false">IFERROR(J29,"N/M")</f>
        <v>1208.12</v>
      </c>
    </row>
    <row r="65" customFormat="false" ht="15" hidden="false" customHeight="false" outlineLevel="0" collapsed="false">
      <c r="A65" s="18" t="s">
        <v>497</v>
      </c>
      <c r="B65" s="19" t="s">
        <v>498</v>
      </c>
      <c r="C65" s="44" t="n">
        <f aca="false">IFERROR((C63-C64),"N/M")</f>
        <v>405.38</v>
      </c>
      <c r="D65" s="44" t="n">
        <f aca="false">IFERROR((D63-D64),"N/M")</f>
        <v>-662.18</v>
      </c>
      <c r="E65" s="44" t="n">
        <f aca="false">IFERROR((E63-E64),"N/M")</f>
        <v>374.18</v>
      </c>
      <c r="F65" s="44" t="n">
        <f aca="false">IFERROR((F63-F64),"N/M")</f>
        <v>224.54</v>
      </c>
      <c r="G65" s="44" t="n">
        <f aca="false">IFERROR((G63-G64),"N/M")</f>
        <v>252.87</v>
      </c>
      <c r="H65" s="44" t="n">
        <f aca="false">IFERROR((H63-H64),"N/M")</f>
        <v>236.54</v>
      </c>
      <c r="I65" s="44" t="n">
        <f aca="false">IFERROR((I63-I64),"N/M")</f>
        <v>289.72</v>
      </c>
      <c r="J65" s="44" t="n">
        <f aca="false">IFERROR((J63-J64),"N/M")</f>
        <v>443.88</v>
      </c>
    </row>
    <row r="66" customFormat="false" ht="15" hidden="false" customHeight="false" outlineLevel="0" collapsed="false">
      <c r="A66" s="18" t="s">
        <v>499</v>
      </c>
      <c r="B66" s="19" t="s">
        <v>500</v>
      </c>
      <c r="C66" s="44" t="n">
        <f aca="false">IFERROR((C36+C38),"N/M")</f>
        <v>759.73</v>
      </c>
      <c r="D66" s="44" t="n">
        <f aca="false">IFERROR((D36+D38),"N/M")</f>
        <v>628.23</v>
      </c>
      <c r="E66" s="44" t="n">
        <f aca="false">IFERROR((E36+E38),"N/M")</f>
        <v>828.44</v>
      </c>
      <c r="F66" s="44" t="n">
        <f aca="false">IFERROR((F36+F38),"N/M")</f>
        <v>764.34</v>
      </c>
      <c r="G66" s="44" t="n">
        <f aca="false">IFERROR((G36+G38),"N/M")</f>
        <v>732.18</v>
      </c>
      <c r="H66" s="44" t="n">
        <f aca="false">IFERROR((H36+H38),"N/M")</f>
        <v>836.67</v>
      </c>
      <c r="I66" s="44" t="n">
        <f aca="false">IFERROR((I36+I38),"N/M")</f>
        <v>953.4</v>
      </c>
      <c r="J66" s="44" t="n">
        <f aca="false">IFERROR((J36+J38),"N/M")</f>
        <v>1157.23</v>
      </c>
    </row>
    <row r="67" customFormat="false" ht="15" hidden="false" customHeight="false" outlineLevel="0" collapsed="false">
      <c r="A67" s="18" t="s">
        <v>501</v>
      </c>
      <c r="B67" s="19" t="s">
        <v>502</v>
      </c>
      <c r="D67" s="44" t="n">
        <f aca="false">IFERROR((((D31+D32)-(C31+C32))+D18),"N/M")</f>
        <v>1285.32</v>
      </c>
      <c r="E67" s="44" t="n">
        <f aca="false">IFERROR((((E31+E32)-(D31+D32))+E18),"N/M")</f>
        <v>336.85</v>
      </c>
      <c r="F67" s="44" t="n">
        <f aca="false">IFERROR((((F31+F32)-(E31+E32))+F18),"N/M")</f>
        <v>311.51</v>
      </c>
      <c r="G67" s="44" t="n">
        <f aca="false">IFERROR((((G31+G32)-(F31+F32))+G18),"N/M")</f>
        <v>764.42</v>
      </c>
      <c r="H67" s="44" t="n">
        <f aca="false">IFERROR((((H31+H32)-(G31+G32))+H18),"N/M")</f>
        <v>453.32</v>
      </c>
      <c r="I67" s="44" t="n">
        <f aca="false">IFERROR((((I31+I32)-(H31+H32))+I18),"N/M")</f>
        <v>479.07</v>
      </c>
      <c r="J67" s="44" t="n">
        <f aca="false">IFERROR((((J31+J32)-(I31+I32))+J18),"N/M")</f>
        <v>707.83</v>
      </c>
    </row>
    <row r="68" customFormat="false" ht="15" hidden="false" customHeight="false" outlineLevel="0" collapsed="false">
      <c r="A68" s="18" t="s">
        <v>503</v>
      </c>
      <c r="B68" s="19" t="s">
        <v>504</v>
      </c>
      <c r="D68" s="44" t="n">
        <f aca="false">IFERROR(MAX((C28-D28),0),"N/M")</f>
        <v>42.68</v>
      </c>
      <c r="E68" s="44" t="n">
        <f aca="false">IFERROR(MAX((D28-E28),0),"N/M")</f>
        <v>0</v>
      </c>
      <c r="F68" s="44" t="n">
        <f aca="false">IFERROR(MAX((E28-F28),0),"N/M")</f>
        <v>456.21</v>
      </c>
      <c r="G68" s="44" t="n">
        <f aca="false">IFERROR(MAX((F28-G28),0),"N/M")</f>
        <v>0</v>
      </c>
      <c r="H68" s="44" t="n">
        <f aca="false">IFERROR(MAX((G28-H28),0),"N/M")</f>
        <v>47.1900000000001</v>
      </c>
      <c r="I68" s="44" t="n">
        <f aca="false">IFERROR(MAX((H28-I28),0),"N/M")</f>
        <v>65.96</v>
      </c>
      <c r="J68" s="44" t="n">
        <f aca="false">IFERROR(MAX((I28-J28),0),"N/M")</f>
        <v>0</v>
      </c>
    </row>
    <row r="69" customFormat="false" ht="15" hidden="false" customHeight="false" outlineLevel="0" collapsed="false">
      <c r="A69" s="18" t="s">
        <v>505</v>
      </c>
      <c r="B69" s="19" t="s">
        <v>506</v>
      </c>
      <c r="C69" s="44" t="n">
        <f aca="false">IFERROR((C47*C48),"N/M")</f>
        <v>8517.4245</v>
      </c>
      <c r="D69" s="44" t="n">
        <f aca="false">IFERROR((D47*D48),"N/M")</f>
        <v>5211.7485</v>
      </c>
      <c r="E69" s="44" t="n">
        <f aca="false">IFERROR((E47*E48),"N/M")</f>
        <v>13211.2095</v>
      </c>
      <c r="F69" s="44" t="n">
        <f aca="false">IFERROR((F47*F48),"N/M")</f>
        <v>16263.5325</v>
      </c>
      <c r="G69" s="44" t="n">
        <f aca="false">IFERROR((G47*G48),"N/M")</f>
        <v>14724.6915</v>
      </c>
      <c r="H69" s="44" t="n">
        <f aca="false">IFERROR((H47*H48),"N/M")</f>
        <v>14655.9615</v>
      </c>
      <c r="I69" s="44" t="n">
        <f aca="false">IFERROR((I47*I48),"N/M")</f>
        <v>14543.505</v>
      </c>
      <c r="J69" s="44" t="n">
        <f aca="false">IFERROR((J47*J48),"N/M")</f>
        <v>11250.39</v>
      </c>
    </row>
    <row r="70" customFormat="false" ht="15" hidden="false" customHeight="false" outlineLevel="0" collapsed="false">
      <c r="A70" s="18" t="s">
        <v>507</v>
      </c>
      <c r="B70" s="19" t="s">
        <v>508</v>
      </c>
      <c r="C70" s="44" t="n">
        <f aca="false">IFERROR(((C69+C28)-C38),"N/M")</f>
        <v>8821.3945</v>
      </c>
      <c r="D70" s="44" t="n">
        <f aca="false">IFERROR(((D69+D28)-D38),"N/M")</f>
        <v>5641.7485</v>
      </c>
      <c r="E70" s="44" t="n">
        <f aca="false">IFERROR(((E69+E28)-E38),"N/M")</f>
        <v>14422.8395</v>
      </c>
      <c r="F70" s="44" t="n">
        <f aca="false">IFERROR(((F69+F28)-F38),"N/M")</f>
        <v>17145.1425</v>
      </c>
      <c r="G70" s="44" t="n">
        <f aca="false">IFERROR(((G69+G28)-G38),"N/M")</f>
        <v>15749.3115</v>
      </c>
      <c r="H70" s="44" t="n">
        <f aca="false">IFERROR(((H69+H28)-H38),"N/M")</f>
        <v>15562.6715</v>
      </c>
      <c r="I70" s="44" t="n">
        <f aca="false">IFERROR(((I69+I28)-I38),"N/M")</f>
        <v>15383.185</v>
      </c>
      <c r="J70" s="44" t="n">
        <f aca="false">IFERROR(((J69+J28)-J38),"N/M")</f>
        <v>12153.31</v>
      </c>
    </row>
    <row r="71" customFormat="false" ht="15" hidden="false" customHeight="false" outlineLevel="0" collapsed="false">
      <c r="A71" s="18" t="s">
        <v>509</v>
      </c>
      <c r="C71" s="44" t="n">
        <f aca="false">IFERROR(IF(C49=1,C69,0),"N/M")</f>
        <v>8517.4245</v>
      </c>
      <c r="D71" s="44" t="n">
        <f aca="false">IFERROR(IF(D49=1,D69,0),"N/M")</f>
        <v>5211.7485</v>
      </c>
      <c r="E71" s="44" t="n">
        <f aca="false">IFERROR(IF(E49=1,E69,0),"N/M")</f>
        <v>13211.2095</v>
      </c>
      <c r="F71" s="44" t="n">
        <f aca="false">IFERROR(IF(F49=1,F69,0),"N/M")</f>
        <v>16263.5325</v>
      </c>
      <c r="G71" s="44" t="n">
        <f aca="false">IFERROR(IF(G49=1,G69,0),"N/M")</f>
        <v>14724.6915</v>
      </c>
      <c r="H71" s="44" t="n">
        <f aca="false">IFERROR(IF(H49=1,H69,0),"N/M")</f>
        <v>14655.9615</v>
      </c>
      <c r="I71" s="44" t="n">
        <f aca="false">IFERROR(IF(I49=1,I69,0),"N/M")</f>
        <v>14543.505</v>
      </c>
      <c r="J71" s="44" t="n">
        <f aca="false">IFERROR(IF(J49=1,J69,0),"N/M")</f>
        <v>11250.39</v>
      </c>
    </row>
    <row r="72" customFormat="false" ht="15" hidden="false" customHeight="false" outlineLevel="0" collapsed="false">
      <c r="A72" s="18" t="s">
        <v>510</v>
      </c>
      <c r="C72" s="44" t="n">
        <f aca="false">IFERROR(IF(C49=1,C22,0),"N/M")</f>
        <v>89.76</v>
      </c>
      <c r="D72" s="44" t="n">
        <f aca="false">IFERROR(IF(D49=1,D22,0),"N/M")</f>
        <v>-41.86</v>
      </c>
      <c r="E72" s="44" t="n">
        <f aca="false">IFERROR(IF(E49=1,E22,0),"N/M")</f>
        <v>101.81</v>
      </c>
      <c r="F72" s="44" t="n">
        <f aca="false">IFERROR(IF(F49=1,F22,0),"N/M")</f>
        <v>382.21</v>
      </c>
      <c r="G72" s="44" t="n">
        <f aca="false">IFERROR(IF(G49=1,G22,0),"N/M")</f>
        <v>370.53</v>
      </c>
      <c r="H72" s="44" t="n">
        <f aca="false">IFERROR(IF(H49=1,H22,0),"N/M")</f>
        <v>301.01</v>
      </c>
      <c r="I72" s="44" t="n">
        <f aca="false">IFERROR(IF(I49=1,I22,0),"N/M")</f>
        <v>252.42</v>
      </c>
      <c r="J72" s="44" t="n">
        <f aca="false">IFERROR(IF(J49=1,J22,0),"N/M")</f>
        <v>247.39</v>
      </c>
    </row>
    <row r="73" customFormat="false" ht="15" hidden="false" customHeight="false" outlineLevel="0" collapsed="false">
      <c r="A73" s="18" t="s">
        <v>511</v>
      </c>
      <c r="C73" s="44" t="n">
        <f aca="false">IFERROR(IF(C49=1,C61,0),"N/M")</f>
        <v>577.72</v>
      </c>
      <c r="D73" s="44" t="n">
        <f aca="false">IFERROR(IF(D49=1,D61,0),"N/M")</f>
        <v>490.83</v>
      </c>
      <c r="E73" s="44" t="n">
        <f aca="false">IFERROR(IF(E49=1,E61,0),"N/M")</f>
        <v>591.96</v>
      </c>
      <c r="F73" s="44" t="n">
        <f aca="false">IFERROR(IF(F49=1,F61,0),"N/M")</f>
        <v>871.99</v>
      </c>
      <c r="G73" s="44" t="n">
        <f aca="false">IFERROR(IF(G49=1,G61,0),"N/M")</f>
        <v>1179.56</v>
      </c>
      <c r="H73" s="44" t="n">
        <f aca="false">IFERROR(IF(H49=1,H61,0),"N/M")</f>
        <v>1367.27</v>
      </c>
      <c r="I73" s="44" t="n">
        <f aca="false">IFERROR(IF(I49=1,I61,0),"N/M")</f>
        <v>1559.04</v>
      </c>
      <c r="J73" s="44" t="n">
        <f aca="false">IFERROR(IF(J49=1,J61,0),"N/M")</f>
        <v>1776.83</v>
      </c>
    </row>
    <row r="74" customFormat="false" ht="15" hidden="false" customHeight="false" outlineLevel="0" collapsed="false">
      <c r="A74" s="18" t="s">
        <v>512</v>
      </c>
      <c r="C74" s="44" t="n">
        <f aca="false">IFERROR(IF(C49=1,C59,0),"N/M")</f>
        <v>304.69</v>
      </c>
      <c r="D74" s="44" t="n">
        <f aca="false">IFERROR(IF(D49=1,D59,0),"N/M")</f>
        <v>425.59</v>
      </c>
      <c r="E74" s="44" t="n">
        <f aca="false">IFERROR(IF(E49=1,E59,0),"N/M")</f>
        <v>680.74</v>
      </c>
      <c r="F74" s="44" t="n">
        <f aca="false">IFERROR(IF(F49=1,F59,0),"N/M")</f>
        <v>994.63</v>
      </c>
      <c r="G74" s="44" t="n">
        <f aca="false">IFERROR(IF(G49=1,G59,0),"N/M")</f>
        <v>969.53</v>
      </c>
      <c r="H74" s="44" t="n">
        <f aca="false">IFERROR(IF(H49=1,H59,0),"N/M")</f>
        <v>903.62</v>
      </c>
      <c r="I74" s="44" t="n">
        <f aca="false">IFERROR(IF(I49=1,I59,0),"N/M")</f>
        <v>914.57</v>
      </c>
      <c r="J74" s="44" t="n">
        <f aca="false">IFERROR(IF(J49=1,J59,0),"N/M")</f>
        <v>948.46</v>
      </c>
    </row>
    <row r="75" customFormat="false" ht="15" hidden="false" customHeight="false" outlineLevel="0" collapsed="false">
      <c r="A75" s="18" t="s">
        <v>513</v>
      </c>
      <c r="C75" s="44" t="n">
        <f aca="false">IFERROR(IF(C49=1,C23,0),"N/M")</f>
        <v>29.7</v>
      </c>
      <c r="D75" s="44" t="n">
        <f aca="false">IFERROR(IF(D49=1,D23,0),"N/M")</f>
        <v>0</v>
      </c>
      <c r="E75" s="44" t="n">
        <f aca="false">IFERROR(IF(E49=1,E23,0),"N/M")</f>
        <v>35.64</v>
      </c>
      <c r="F75" s="44" t="n">
        <f aca="false">IFERROR(IF(F49=1,F23,0),"N/M")</f>
        <v>142.56</v>
      </c>
      <c r="G75" s="44" t="n">
        <f aca="false">IFERROR(IF(G49=1,G23,0),"N/M")</f>
        <v>71.28</v>
      </c>
      <c r="H75" s="44" t="n">
        <f aca="false">IFERROR(IF(H49=1,H23,0),"N/M")</f>
        <v>59.4</v>
      </c>
      <c r="I75" s="44" t="n">
        <f aca="false">IFERROR(IF(I49=1,I23,0),"N/M")</f>
        <v>59.4</v>
      </c>
      <c r="J75" s="44" t="n">
        <f aca="false">IFERROR(IF(J49=1,J23,0),"N/M")</f>
        <v>59.4</v>
      </c>
    </row>
    <row r="76" customFormat="false" ht="15" hidden="false" customHeight="false" outlineLevel="0" collapsed="false">
      <c r="A76" s="18" t="s">
        <v>514</v>
      </c>
      <c r="C76" s="44" t="n">
        <f aca="false">IFERROR(IF(C49=1,(C28-C38),0),"N/M")</f>
        <v>303.97</v>
      </c>
      <c r="D76" s="44" t="n">
        <f aca="false">IFERROR(IF(D49=1,(D28-D38),0),"N/M")</f>
        <v>430</v>
      </c>
      <c r="E76" s="44" t="n">
        <f aca="false">IFERROR(IF(E49=1,(E28-E38),0),"N/M")</f>
        <v>1211.63</v>
      </c>
      <c r="F76" s="44" t="n">
        <f aca="false">IFERROR(IF(F49=1,(F28-F38),0),"N/M")</f>
        <v>881.61</v>
      </c>
      <c r="G76" s="44" t="n">
        <f aca="false">IFERROR(IF(G49=1,(G28-G38),0),"N/M")</f>
        <v>1024.62</v>
      </c>
      <c r="H76" s="44" t="n">
        <f aca="false">IFERROR(IF(H49=1,(H28-H38),0),"N/M")</f>
        <v>906.71</v>
      </c>
      <c r="I76" s="44" t="n">
        <f aca="false">IFERROR(IF(I49=1,(I28-I38),0),"N/M")</f>
        <v>839.68</v>
      </c>
      <c r="J76" s="44" t="n">
        <f aca="false">IFERROR(IF(J49=1,(J28-J38),0),"N/M")</f>
        <v>902.92</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-662.18</v>
      </c>
      <c r="E79" s="79" t="n">
        <f aca="false">IFERROR(E65,"N/M")</f>
        <v>374.18</v>
      </c>
      <c r="F79" s="79" t="n">
        <f aca="false">IFERROR(F65,"N/M")</f>
        <v>224.54</v>
      </c>
      <c r="G79" s="79" t="n">
        <f aca="false">IFERROR(G65,"N/M")</f>
        <v>252.87</v>
      </c>
      <c r="H79" s="79" t="n">
        <f aca="false">IFERROR(H65,"N/M")</f>
        <v>236.54</v>
      </c>
      <c r="I79" s="79" t="n">
        <f aca="false">IFERROR(I65,"N/M")</f>
        <v>289.72</v>
      </c>
      <c r="J79" s="79" t="n">
        <f aca="false">IFERROR(J65,"N/M")</f>
        <v>443.88</v>
      </c>
      <c r="K79" s="80" t="n">
        <f aca="false">IFERROR(AVERAGE(D79:J79),"N/M")</f>
        <v>165.65</v>
      </c>
      <c r="L79" s="81" t="n">
        <f aca="false">IFERROR(J79-D79,"N/M")</f>
        <v>1106.06</v>
      </c>
      <c r="M79" s="81" t="n">
        <f aca="false">IFERROR(SLOPE(D79:J79,$D$3:$J$3),"N/M")</f>
        <v>112.902142857143</v>
      </c>
    </row>
    <row r="80" customFormat="false" ht="15" hidden="false" customHeight="false" outlineLevel="0" collapsed="false">
      <c r="A80" s="18" t="s">
        <v>119</v>
      </c>
      <c r="B80" s="19" t="s">
        <v>517</v>
      </c>
      <c r="D80" s="47" t="n">
        <f aca="false">IFERROR(IF(D64&lt;=0,"N/M",D63/D64),"N/M")</f>
        <v>0.591236820662239</v>
      </c>
      <c r="E80" s="47" t="n">
        <f aca="false">IFERROR(IF(E64&lt;=0,"N/M",E63/E64),"N/M")</f>
        <v>1.47768472654854</v>
      </c>
      <c r="F80" s="47" t="n">
        <f aca="false">IFERROR(IF(F64&lt;=0,"N/M",F63/F64),"N/M")</f>
        <v>1.25205707037257</v>
      </c>
      <c r="G80" s="47" t="n">
        <f aca="false">IFERROR(IF(G64&lt;=0,"N/M",G63/G64),"N/M")</f>
        <v>1.27386444863214</v>
      </c>
      <c r="H80" s="47" t="n">
        <f aca="false">IFERROR(IF(H64&lt;=0,"N/M",H63/H64),"N/M")</f>
        <v>1.231747462476</v>
      </c>
      <c r="I80" s="47" t="n">
        <f aca="false">IFERROR(IF(I64&lt;=0,"N/M",I63/I64),"N/M")</f>
        <v>1.26416711496904</v>
      </c>
      <c r="J80" s="47" t="n">
        <f aca="false">IFERROR(IF(J64&lt;=0,"N/M",J63/J64),"N/M")</f>
        <v>1.36741383306294</v>
      </c>
      <c r="K80" s="22" t="n">
        <f aca="false">IFERROR(AVERAGE(D80:J80),"N/M")</f>
        <v>1.2083102109605</v>
      </c>
      <c r="L80" s="82" t="n">
        <f aca="false">IFERROR(J80-D80,"N/M")</f>
        <v>0.776177012400702</v>
      </c>
      <c r="M80" s="83" t="n">
        <f aca="false">IFERROR(SLOPE(D80:J80,$D$3:$J$3),"N/M")</f>
        <v>0.0671852216480909</v>
      </c>
    </row>
    <row r="81" customFormat="false" ht="15" hidden="false" customHeight="false" outlineLevel="0" collapsed="false">
      <c r="A81" s="18" t="s">
        <v>121</v>
      </c>
      <c r="B81" s="19" t="s">
        <v>518</v>
      </c>
      <c r="D81" s="47" t="n">
        <f aca="false">IFERROR(IF(D64&lt;=0,"N/M",D66/D64),"N/M")</f>
        <v>0.38780587174992</v>
      </c>
      <c r="E81" s="47" t="n">
        <f aca="false">IFERROR(IF(E64&lt;=0,"N/M",E66/E64),"N/M")</f>
        <v>1.05760098044222</v>
      </c>
      <c r="F81" s="47" t="n">
        <f aca="false">IFERROR(IF(F64&lt;=0,"N/M",F66/F64),"N/M")</f>
        <v>0.858008823232267</v>
      </c>
      <c r="G81" s="47" t="n">
        <f aca="false">IFERROR(IF(G64&lt;=0,"N/M",G66/G64),"N/M")</f>
        <v>0.792969003833907</v>
      </c>
      <c r="H81" s="47" t="n">
        <f aca="false">IFERROR(IF(H64&lt;=0,"N/M",H66/H64),"N/M")</f>
        <v>0.81971822706431</v>
      </c>
      <c r="I81" s="47" t="n">
        <f aca="false">IFERROR(IF(I64&lt;=0,"N/M",I66/I64),"N/M")</f>
        <v>0.869311498728037</v>
      </c>
      <c r="J81" s="47" t="n">
        <f aca="false">IFERROR(IF(J64&lt;=0,"N/M",J66/J64),"N/M")</f>
        <v>0.957876700989968</v>
      </c>
      <c r="K81" s="22" t="n">
        <f aca="false">IFERROR(AVERAGE(D81:J81),"N/M")</f>
        <v>0.820470158005804</v>
      </c>
      <c r="L81" s="82" t="n">
        <f aca="false">IFERROR(J81-D81,"N/M")</f>
        <v>0.570070829240048</v>
      </c>
      <c r="M81" s="83" t="n">
        <f aca="false">IFERROR(SLOPE(D81:J81,$D$3:$J$3),"N/M")</f>
        <v>0.0462622474329936</v>
      </c>
    </row>
    <row r="82" customFormat="false" ht="15" hidden="false" customHeight="false" outlineLevel="0" collapsed="false">
      <c r="A82" s="18" t="s">
        <v>519</v>
      </c>
      <c r="B82" s="19" t="s">
        <v>520</v>
      </c>
      <c r="D82" s="47" t="n">
        <f aca="false">IFERROR(IF(D64&lt;=0,"N/M",D38/D64),"N/M")</f>
        <v>0.0617299192572656</v>
      </c>
      <c r="E82" s="47" t="n">
        <f aca="false">IFERROR(IF(E64&lt;=0,"N/M",E38/E64),"N/M")</f>
        <v>0.396415258132053</v>
      </c>
      <c r="F82" s="47" t="n">
        <f aca="false">IFERROR(IF(F64&lt;=0,"N/M",F38/F64),"N/M")</f>
        <v>0.206919389782562</v>
      </c>
      <c r="G82" s="47" t="n">
        <f aca="false">IFERROR(IF(G64&lt;=0,"N/M",G38/G64),"N/M")</f>
        <v>0.103450516602768</v>
      </c>
      <c r="H82" s="47" t="n">
        <f aca="false">IFERROR(IF(H64&lt;=0,"N/M",H38/H64),"N/M")</f>
        <v>0.162871810949563</v>
      </c>
      <c r="I82" s="47" t="n">
        <f aca="false">IFERROR(IF(I64&lt;=0,"N/M",I38/I64),"N/M")</f>
        <v>0.152553499949851</v>
      </c>
      <c r="J82" s="47" t="n">
        <f aca="false">IFERROR(IF(J64&lt;=0,"N/M",J38/J64),"N/M")</f>
        <v>0.197811475681224</v>
      </c>
      <c r="K82" s="22" t="n">
        <f aca="false">IFERROR(AVERAGE(D82:J82),"N/M")</f>
        <v>0.183107410050755</v>
      </c>
      <c r="L82" s="82" t="n">
        <f aca="false">IFERROR(J82-D82,"N/M")</f>
        <v>0.136081556423958</v>
      </c>
      <c r="M82" s="83" t="n">
        <f aca="false">IFERROR(SLOPE(D82:J82,$D$3:$J$3),"N/M")</f>
        <v>-0.00441165806876892</v>
      </c>
    </row>
    <row r="83" customFormat="false" ht="15" hidden="false" customHeight="false" outlineLevel="0" collapsed="false">
      <c r="A83" s="18" t="s">
        <v>521</v>
      </c>
      <c r="B83" s="19" t="s">
        <v>522</v>
      </c>
      <c r="D83" s="48" t="n">
        <f aca="false">IFERROR(IF((D54/365)&lt;=0,"N/M",D66/(D54/365)),"N/M")</f>
        <v>84.9110356523929</v>
      </c>
      <c r="E83" s="48" t="n">
        <f aca="false">IFERROR(IF((E54/365)&lt;=0,"N/M",E66/(E54/365)),"N/M")</f>
        <v>116.2179841958</v>
      </c>
      <c r="F83" s="48" t="n">
        <f aca="false">IFERROR(IF((F54/365)&lt;=0,"N/M",F66/(F54/365)),"N/M")</f>
        <v>81.8020044099364</v>
      </c>
      <c r="G83" s="48" t="n">
        <f aca="false">IFERROR(IF((G54/365)&lt;=0,"N/M",G66/(G54/365)),"N/M")</f>
        <v>63.1098731642347</v>
      </c>
      <c r="H83" s="48" t="n">
        <f aca="false">IFERROR(IF((H54/365)&lt;=0,"N/M",H66/(H54/365)),"N/M")</f>
        <v>69.1724369907788</v>
      </c>
      <c r="I83" s="48" t="n">
        <f aca="false">IFERROR(IF((I54/365)&lt;=0,"N/M",I66/(I54/365)),"N/M")</f>
        <v>71.8407818461081</v>
      </c>
      <c r="J83" s="48" t="n">
        <f aca="false">IFERROR(IF((J54/365)&lt;=0,"N/M",J66/(J54/365)),"N/M")</f>
        <v>81.3817044364208</v>
      </c>
      <c r="K83" s="28" t="n">
        <f aca="false">IFERROR(AVERAGE(D83:J83),"N/M")</f>
        <v>81.2051172422388</v>
      </c>
      <c r="L83" s="84" t="n">
        <f aca="false">IFERROR(J83-D83,"N/M")</f>
        <v>-3.52933121597205</v>
      </c>
      <c r="M83" s="85" t="n">
        <f aca="false">IFERROR(SLOPE(D83:J83,$D$3:$J$3),"N/M")</f>
        <v>-3.99899877737347</v>
      </c>
    </row>
    <row r="84" customFormat="false" ht="15" hidden="false" customHeight="false" outlineLevel="0" collapsed="false">
      <c r="A84" s="18" t="s">
        <v>122</v>
      </c>
      <c r="B84" s="19" t="s">
        <v>523</v>
      </c>
      <c r="D84" s="47" t="n">
        <f aca="false">IFERROR(IF(D64&lt;=0,"N/M",D41/D64),"N/M")</f>
        <v>0.22476480900763</v>
      </c>
      <c r="E84" s="47" t="n">
        <f aca="false">IFERROR(IF(E64&lt;=0,"N/M",E41/E64),"N/M")</f>
        <v>0.957692896900373</v>
      </c>
      <c r="F84" s="47" t="n">
        <f aca="false">IFERROR(IF(F64&lt;=0,"N/M",F41/F64),"N/M")</f>
        <v>0.965156090387616</v>
      </c>
      <c r="G84" s="47" t="n">
        <f aca="false">IFERROR(IF(G64&lt;=0,"N/M",G41/G64),"N/M")</f>
        <v>0.776247102909004</v>
      </c>
      <c r="H84" s="47" t="n">
        <f aca="false">IFERROR(IF(H64&lt;=0,"N/M",H41/H64),"N/M")</f>
        <v>0.829574401379473</v>
      </c>
      <c r="I84" s="47" t="n">
        <f aca="false">IFERROR(IF(I64&lt;=0,"N/M",I41/I64),"N/M")</f>
        <v>0.670283479069598</v>
      </c>
      <c r="J84" s="47" t="n">
        <f aca="false">IFERROR(IF(J64&lt;=0,"N/M",J41/J64),"N/M")</f>
        <v>0.670670132106082</v>
      </c>
      <c r="K84" s="22" t="n">
        <f aca="false">IFERROR(AVERAGE(D84:J84),"N/M")</f>
        <v>0.727769844537111</v>
      </c>
      <c r="L84" s="82" t="n">
        <f aca="false">IFERROR(J84-D84,"N/M")</f>
        <v>0.445905323098452</v>
      </c>
      <c r="M84" s="83" t="n">
        <f aca="false">IFERROR(SLOPE(D84:J84,$D$3:$J$3),"N/M")</f>
        <v>0.0224041230223452</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1.07980359798708</v>
      </c>
      <c r="E87" s="47" t="n">
        <f aca="false">IFERROR(IF(E61&lt;=0,"N/M",E28/E61),"N/M")</f>
        <v>2.57137306574769</v>
      </c>
      <c r="F87" s="47" t="n">
        <f aca="false">IFERROR(IF(F61&lt;=0,"N/M",F28/F61),"N/M")</f>
        <v>1.22242227548481</v>
      </c>
      <c r="G87" s="47" t="n">
        <f aca="false">IFERROR(IF(G61&lt;=0,"N/M",G28/G61),"N/M")</f>
        <v>0.949625284004205</v>
      </c>
      <c r="H87" s="47" t="n">
        <f aca="false">IFERROR(IF(H61&lt;=0,"N/M",H28/H61),"N/M")</f>
        <v>0.784738932324998</v>
      </c>
      <c r="I87" s="47" t="n">
        <f aca="false">IFERROR(IF(I61&lt;=0,"N/M",I28/I61),"N/M")</f>
        <v>0.645903889573071</v>
      </c>
      <c r="J87" s="47" t="n">
        <f aca="false">IFERROR(IF(J61&lt;=0,"N/M",J28/J61),"N/M")</f>
        <v>0.642661368842264</v>
      </c>
      <c r="K87" s="22" t="n">
        <f aca="false">IFERROR(AVERAGE(D87:J87),"N/M")</f>
        <v>1.12807548770916</v>
      </c>
      <c r="L87" s="82" t="n">
        <f aca="false">IFERROR(J87-D87,"N/M")</f>
        <v>-0.437142229144819</v>
      </c>
      <c r="M87" s="83" t="n">
        <f aca="false">IFERROR(SLOPE(D87:J87,$D$3:$J$3),"N/M")</f>
        <v>-0.200001727962268</v>
      </c>
    </row>
    <row r="88" customFormat="false" ht="15" hidden="false" customHeight="false" outlineLevel="0" collapsed="false">
      <c r="A88" s="18" t="s">
        <v>526</v>
      </c>
      <c r="B88" s="19" t="s">
        <v>527</v>
      </c>
      <c r="D88" s="47" t="n">
        <f aca="false">IFERROR(IF(D61&lt;=0,"N/M",(D28+D29)/D61),"N/M")</f>
        <v>4.38025385571379</v>
      </c>
      <c r="E88" s="47" t="n">
        <f aca="false">IFERROR(IF(E61&lt;=0,"N/M",(E28+E29)/E61),"N/M")</f>
        <v>3.89463815122643</v>
      </c>
      <c r="F88" s="47" t="n">
        <f aca="false">IFERROR(IF(F61&lt;=0,"N/M",(F28+F29)/F61),"N/M")</f>
        <v>2.24402802784436</v>
      </c>
      <c r="G88" s="47" t="n">
        <f aca="false">IFERROR(IF(G61&lt;=0,"N/M",(G28+G29)/G61),"N/M")</f>
        <v>1.73240869476754</v>
      </c>
      <c r="H88" s="47" t="n">
        <f aca="false">IFERROR(IF(H61&lt;=0,"N/M",(H28+H29)/H61),"N/M")</f>
        <v>1.53124840009654</v>
      </c>
      <c r="I88" s="47" t="n">
        <f aca="false">IFERROR(IF(I61&lt;=0,"N/M",(I28+I29)/I61),"N/M")</f>
        <v>1.34936884236453</v>
      </c>
      <c r="J88" s="47" t="n">
        <f aca="false">IFERROR(IF(J61&lt;=0,"N/M",(J28+J29)/J61),"N/M")</f>
        <v>1.32259135651694</v>
      </c>
      <c r="K88" s="22" t="n">
        <f aca="false">IFERROR(AVERAGE(D88:J88),"N/M")</f>
        <v>2.35064818979002</v>
      </c>
      <c r="L88" s="82" t="n">
        <f aca="false">IFERROR(J88-D88,"N/M")</f>
        <v>-3.05766249919685</v>
      </c>
      <c r="M88" s="83" t="n">
        <f aca="false">IFERROR(SLOPE(D88:J88,$D$3:$J$3),"N/M")</f>
        <v>-0.53486806225222</v>
      </c>
    </row>
    <row r="89" customFormat="false" ht="15" hidden="false" customHeight="false" outlineLevel="0" collapsed="false">
      <c r="A89" s="18" t="s">
        <v>528</v>
      </c>
      <c r="B89" s="19" t="s">
        <v>529</v>
      </c>
      <c r="D89" s="47" t="n">
        <f aca="false">IFERROR(IF(D35&lt;=0,"N/M",D28/D35),"N/M")</f>
        <v>0.200697518545587</v>
      </c>
      <c r="E89" s="47" t="n">
        <f aca="false">IFERROR(IF(E35&lt;=0,"N/M",E28/E35),"N/M")</f>
        <v>0.525344874595763</v>
      </c>
      <c r="F89" s="47" t="n">
        <f aca="false">IFERROR(IF(F35&lt;=0,"N/M",F28/F35),"N/M")</f>
        <v>0.376822353257258</v>
      </c>
      <c r="G89" s="47" t="n">
        <f aca="false">IFERROR(IF(G35&lt;=0,"N/M",G28/G35),"N/M")</f>
        <v>0.347541451548848</v>
      </c>
      <c r="H89" s="47" t="n">
        <f aca="false">IFERROR(IF(H35&lt;=0,"N/M",H28/H35),"N/M")</f>
        <v>0.31002051489497</v>
      </c>
      <c r="I89" s="47" t="n">
        <f aca="false">IFERROR(IF(I35&lt;=0,"N/M",I28/I35),"N/M")</f>
        <v>0.274926558114646</v>
      </c>
      <c r="J89" s="47" t="n">
        <f aca="false">IFERROR(IF(J35&lt;=0,"N/M",J28/J35),"N/M")</f>
        <v>0.276700146600918</v>
      </c>
      <c r="K89" s="22" t="n">
        <f aca="false">IFERROR(AVERAGE(D89:J89),"N/M")</f>
        <v>0.330293345365427</v>
      </c>
      <c r="L89" s="82" t="n">
        <f aca="false">IFERROR(J89-D89,"N/M")</f>
        <v>0.0760026280553316</v>
      </c>
      <c r="M89" s="83" t="n">
        <f aca="false">IFERROR(SLOPE(D89:J89,$D$3:$J$3),"N/M")</f>
        <v>-0.0121296638270902</v>
      </c>
    </row>
    <row r="90" customFormat="false" ht="15" hidden="false" customHeight="false" outlineLevel="0" collapsed="false">
      <c r="A90" s="18" t="s">
        <v>530</v>
      </c>
      <c r="B90" s="19" t="s">
        <v>531</v>
      </c>
      <c r="D90" s="47" t="n">
        <f aca="false">IFERROR(IF(D62&lt;=0,"N/M",D28/D62),"N/M")</f>
        <v>0.519185368768551</v>
      </c>
      <c r="E90" s="47" t="n">
        <f aca="false">IFERROR(IF(E62&lt;=0,"N/M",E28/E62),"N/M")</f>
        <v>0.719995648286986</v>
      </c>
      <c r="F90" s="47" t="n">
        <f aca="false">IFERROR(IF(F62&lt;=0,"N/M",F28/F62),"N/M")</f>
        <v>0.550040507139061</v>
      </c>
      <c r="G90" s="47" t="n">
        <f aca="false">IFERROR(IF(G62&lt;=0,"N/M",G28/G62),"N/M")</f>
        <v>0.48708092359873</v>
      </c>
      <c r="H90" s="47" t="n">
        <f aca="false">IFERROR(IF(H62&lt;=0,"N/M",H28/H62),"N/M")</f>
        <v>0.439693962019818</v>
      </c>
      <c r="I90" s="47" t="n">
        <f aca="false">IFERROR(IF(I62&lt;=0,"N/M",I28/I62),"N/M")</f>
        <v>0.392431109534963</v>
      </c>
      <c r="J90" s="47" t="n">
        <f aca="false">IFERROR(IF(J62&lt;=0,"N/M",J28/J62),"N/M")</f>
        <v>0.391231802873167</v>
      </c>
      <c r="K90" s="22" t="n">
        <f aca="false">IFERROR(AVERAGE(D90:J90),"N/M")</f>
        <v>0.499951331745897</v>
      </c>
      <c r="L90" s="82" t="n">
        <f aca="false">IFERROR(J90-D90,"N/M")</f>
        <v>-0.127953565895384</v>
      </c>
      <c r="M90" s="83" t="n">
        <f aca="false">IFERROR(SLOPE(D90:J90,$D$3:$J$3),"N/M")</f>
        <v>-0.0410477257253372</v>
      </c>
    </row>
    <row r="91" customFormat="false" ht="15" hidden="false" customHeight="false" outlineLevel="0" collapsed="false">
      <c r="A91" s="18" t="s">
        <v>125</v>
      </c>
      <c r="B91" s="19" t="s">
        <v>532</v>
      </c>
      <c r="D91" s="46" t="n">
        <f aca="false">IFERROR(IF(D35=0,"N/M",D61/D35),"N/M")</f>
        <v>0.185864835901378</v>
      </c>
      <c r="E91" s="46" t="n">
        <f aca="false">IFERROR(IF(E35=0,"N/M",E61/E35),"N/M")</f>
        <v>0.204305194603493</v>
      </c>
      <c r="F91" s="46" t="n">
        <f aca="false">IFERROR(IF(F35=0,"N/M",F61/F35),"N/M")</f>
        <v>0.30825874234647</v>
      </c>
      <c r="G91" s="46" t="n">
        <f aca="false">IFERROR(IF(G35=0,"N/M",G61/G35),"N/M")</f>
        <v>0.365977462271644</v>
      </c>
      <c r="H91" s="46" t="n">
        <f aca="false">IFERROR(IF(H35=0,"N/M",H61/H35),"N/M")</f>
        <v>0.395061978098183</v>
      </c>
      <c r="I91" s="46" t="n">
        <f aca="false">IFERROR(IF(I35=0,"N/M",I61/I35),"N/M")</f>
        <v>0.425646233987485</v>
      </c>
      <c r="J91" s="46" t="n">
        <f aca="false">IFERROR(IF(J35=0,"N/M",J61/J35),"N/M")</f>
        <v>0.430553569914099</v>
      </c>
      <c r="K91" s="25" t="n">
        <f aca="false">IFERROR(AVERAGE(D91:J91),"N/M")</f>
        <v>0.330809716731822</v>
      </c>
      <c r="L91" s="86" t="n">
        <f aca="false">IFERROR(J91-D91,"N/M")</f>
        <v>0.244688734012721</v>
      </c>
      <c r="M91" s="87" t="n">
        <f aca="false">IFERROR(SLOPE(D91:J91,$D$3:$J$3),"N/M")</f>
        <v>0.0451268398770664</v>
      </c>
    </row>
    <row r="92" customFormat="false" ht="15" hidden="false" customHeight="false" outlineLevel="0" collapsed="false">
      <c r="A92" s="18" t="s">
        <v>533</v>
      </c>
      <c r="B92" s="19" t="s">
        <v>534</v>
      </c>
      <c r="D92" s="47" t="n">
        <f aca="false">IFERROR(IF(D61&lt;=0,"N/M",D28/D61),"N/M")</f>
        <v>1.07980359798708</v>
      </c>
      <c r="E92" s="47" t="n">
        <f aca="false">IFERROR(IF(E61&lt;=0,"N/M",E28/E61),"N/M")</f>
        <v>2.57137306574769</v>
      </c>
      <c r="F92" s="47" t="n">
        <f aca="false">IFERROR(IF(F61&lt;=0,"N/M",F28/F61),"N/M")</f>
        <v>1.22242227548481</v>
      </c>
      <c r="G92" s="47" t="n">
        <f aca="false">IFERROR(IF(G61&lt;=0,"N/M",G28/G61),"N/M")</f>
        <v>0.949625284004205</v>
      </c>
      <c r="H92" s="47" t="n">
        <f aca="false">IFERROR(IF(H61&lt;=0,"N/M",H28/H61),"N/M")</f>
        <v>0.784738932324998</v>
      </c>
      <c r="I92" s="47" t="n">
        <f aca="false">IFERROR(IF(I61&lt;=0,"N/M",I28/I61),"N/M")</f>
        <v>0.645903889573071</v>
      </c>
      <c r="J92" s="47" t="n">
        <f aca="false">IFERROR(IF(J61&lt;=0,"N/M",J28/J61),"N/M")</f>
        <v>0.642661368842264</v>
      </c>
      <c r="K92" s="22" t="n">
        <f aca="false">IFERROR(AVERAGE(D92:J92),"N/M")</f>
        <v>1.12807548770916</v>
      </c>
      <c r="L92" s="82" t="n">
        <f aca="false">IFERROR(J92-D92,"N/M")</f>
        <v>-0.437142229144819</v>
      </c>
      <c r="M92" s="83" t="n">
        <f aca="false">IFERROR(SLOPE(D92:J92,$D$3:$J$3),"N/M")</f>
        <v>-0.200001727962268</v>
      </c>
    </row>
    <row r="93" customFormat="false" ht="15" hidden="false" customHeight="false" outlineLevel="0" collapsed="false">
      <c r="A93" s="18" t="s">
        <v>126</v>
      </c>
      <c r="B93" s="19" t="s">
        <v>535</v>
      </c>
      <c r="D93" s="47" t="n">
        <f aca="false">IFERROR(IF(D59&lt;=0,"N/M",D28/D59),"N/M")</f>
        <v>1.2453300124533</v>
      </c>
      <c r="E93" s="47" t="n">
        <f aca="false">IFERROR(IF(E59&lt;=0,"N/M",E28/E59),"N/M")</f>
        <v>2.2360225636807</v>
      </c>
      <c r="F93" s="47" t="n">
        <f aca="false">IFERROR(IF(F59&lt;=0,"N/M",F28/F59),"N/M")</f>
        <v>1.07169500216161</v>
      </c>
      <c r="G93" s="47" t="n">
        <f aca="false">IFERROR(IF(G59&lt;=0,"N/M",G28/G59),"N/M")</f>
        <v>1.15534331067631</v>
      </c>
      <c r="H93" s="47" t="n">
        <f aca="false">IFERROR(IF(H59&lt;=0,"N/M",H28/H59),"N/M")</f>
        <v>1.18739071733693</v>
      </c>
      <c r="I93" s="47" t="n">
        <f aca="false">IFERROR(IF(I59&lt;=0,"N/M",I28/I59),"N/M")</f>
        <v>1.10105295384716</v>
      </c>
      <c r="J93" s="47" t="n">
        <f aca="false">IFERROR(IF(J59&lt;=0,"N/M",J28/J59),"N/M")</f>
        <v>1.20395166902136</v>
      </c>
      <c r="K93" s="22" t="n">
        <f aca="false">IFERROR(AVERAGE(D93:J93),"N/M")</f>
        <v>1.31439803273962</v>
      </c>
      <c r="L93" s="82" t="n">
        <f aca="false">IFERROR(J93-D93,"N/M")</f>
        <v>-0.0413783434319392</v>
      </c>
      <c r="M93" s="83" t="n">
        <f aca="false">IFERROR(SLOPE(D93:J93,$D$3:$J$3),"N/M")</f>
        <v>-0.0813706619566988</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0.666723462259329</v>
      </c>
      <c r="E96" s="47" t="n">
        <f aca="false">IFERROR(IF(E19&lt;=0,"N/M",E58/E19),"N/M")</f>
        <v>2.25993690851735</v>
      </c>
      <c r="F96" s="47" t="n">
        <f aca="false">IFERROR(IF(F19&lt;=0,"N/M",F58/F19),"N/M")</f>
        <v>6.89042198459239</v>
      </c>
      <c r="G96" s="47" t="n">
        <f aca="false">IFERROR(IF(G19&lt;=0,"N/M",G58/G19),"N/M")</f>
        <v>8.6020942408377</v>
      </c>
      <c r="H96" s="47" t="n">
        <f aca="false">IFERROR(IF(H19&lt;=0,"N/M",H58/H19),"N/M")</f>
        <v>6.03074558032283</v>
      </c>
      <c r="I96" s="47" t="n">
        <f aca="false">IFERROR(IF(I19&lt;=0,"N/M",I58/I19),"N/M")</f>
        <v>5.21458914916859</v>
      </c>
      <c r="J96" s="47" t="n">
        <f aca="false">IFERROR(IF(J19&lt;=0,"N/M",J58/J19),"N/M")</f>
        <v>4.81539000467071</v>
      </c>
      <c r="K96" s="22" t="n">
        <f aca="false">IFERROR(AVERAGE(D96:J96),"N/M")</f>
        <v>4.9257001900527</v>
      </c>
      <c r="L96" s="82" t="n">
        <f aca="false">IFERROR(J96-D96,"N/M")</f>
        <v>4.14866654241139</v>
      </c>
      <c r="M96" s="83" t="n">
        <f aca="false">IFERROR(SLOPE(D96:J96,$D$3:$J$3),"N/M")</f>
        <v>0.624843846580967</v>
      </c>
    </row>
    <row r="97" customFormat="false" ht="15" hidden="false" customHeight="false" outlineLevel="0" collapsed="false">
      <c r="A97" s="18" t="s">
        <v>538</v>
      </c>
      <c r="B97" s="19" t="s">
        <v>539</v>
      </c>
      <c r="D97" s="47" t="n">
        <f aca="false">IFERROR(IF(D19&lt;=0,"N/M",D59/D19),"N/M")</f>
        <v>3.62574544215369</v>
      </c>
      <c r="E97" s="47" t="n">
        <f aca="false">IFERROR(IF(E19&lt;=0,"N/M",E59/E19),"N/M")</f>
        <v>6.13555655700766</v>
      </c>
      <c r="F97" s="47" t="n">
        <f aca="false">IFERROR(IF(F19&lt;=0,"N/M",F59/F19),"N/M")</f>
        <v>11.4364723467862</v>
      </c>
      <c r="G97" s="47" t="n">
        <f aca="false">IFERROR(IF(G19&lt;=0,"N/M",G59/G19),"N/M")</f>
        <v>14.5030665669409</v>
      </c>
      <c r="H97" s="47" t="n">
        <f aca="false">IFERROR(IF(H19&lt;=0,"N/M",H59/H19),"N/M")</f>
        <v>11.5759672047143</v>
      </c>
      <c r="I97" s="47" t="n">
        <f aca="false">IFERROR(IF(I19&lt;=0,"N/M",I59/I19),"N/M")</f>
        <v>11.1004976332079</v>
      </c>
      <c r="J97" s="47" t="n">
        <f aca="false">IFERROR(IF(J19&lt;=0,"N/M",J59/J19),"N/M")</f>
        <v>11.0749649696404</v>
      </c>
      <c r="K97" s="22" t="n">
        <f aca="false">IFERROR(AVERAGE(D97:J97),"N/M")</f>
        <v>9.92175296006444</v>
      </c>
      <c r="L97" s="82" t="n">
        <f aca="false">IFERROR(J97-D97,"N/M")</f>
        <v>7.44921952748667</v>
      </c>
      <c r="M97" s="83" t="n">
        <f aca="false">IFERROR(SLOPE(D97:J97,$D$3:$J$3),"N/M")</f>
        <v>1.15775127117102</v>
      </c>
    </row>
    <row r="98" customFormat="false" ht="15" hidden="false" customHeight="false" outlineLevel="0" collapsed="false">
      <c r="A98" s="18" t="s">
        <v>540</v>
      </c>
      <c r="B98" s="19" t="s">
        <v>541</v>
      </c>
      <c r="D98" s="47" t="str">
        <f aca="false">IFERROR(IF(D23&lt;=0,"N/M",D22/D23),"N/M")</f>
        <v>N/M</v>
      </c>
      <c r="E98" s="47" t="n">
        <f aca="false">IFERROR(IF(E23&lt;=0,"N/M",E22/E23),"N/M")</f>
        <v>2.85662177328844</v>
      </c>
      <c r="F98" s="47" t="n">
        <f aca="false">IFERROR(IF(F23&lt;=0,"N/M",F22/F23),"N/M")</f>
        <v>2.68104657687991</v>
      </c>
      <c r="G98" s="47" t="n">
        <f aca="false">IFERROR(IF(G23&lt;=0,"N/M",G22/G23),"N/M")</f>
        <v>5.19823232323232</v>
      </c>
      <c r="H98" s="47" t="n">
        <f aca="false">IFERROR(IF(H23&lt;=0,"N/M",H22/H23),"N/M")</f>
        <v>5.06750841750842</v>
      </c>
      <c r="I98" s="47" t="n">
        <f aca="false">IFERROR(IF(I23&lt;=0,"N/M",I22/I23),"N/M")</f>
        <v>4.24949494949495</v>
      </c>
      <c r="J98" s="47" t="n">
        <f aca="false">IFERROR(IF(J23&lt;=0,"N/M",J22/J23),"N/M")</f>
        <v>4.16481481481481</v>
      </c>
      <c r="K98" s="22" t="n">
        <f aca="false">IFERROR(AVERAGE(D98:J98),"N/M")</f>
        <v>4.03628647586981</v>
      </c>
      <c r="L98" s="82" t="str">
        <f aca="false">IFERROR(J98-D98,"N/M")</f>
        <v>N/M</v>
      </c>
      <c r="M98" s="83" t="n">
        <f aca="false">IFERROR(SLOPE(D98:J98,$D$3:$J$3),"N/M")</f>
        <v>0.317588183421517</v>
      </c>
    </row>
    <row r="99" customFormat="false" ht="15" hidden="false" customHeight="false" outlineLevel="0" collapsed="false">
      <c r="A99" s="18" t="s">
        <v>542</v>
      </c>
      <c r="B99" s="19" t="s">
        <v>543</v>
      </c>
      <c r="D99" s="47" t="n">
        <f aca="false">IFERROR(IF((D19+IF((1-D60)&lt;=0,"N/M",D68/(1-D60)))&lt;=0,"N/M",D59/(D19+IF((1-D60)&lt;=0,"N/M",D68/(1-D60)))),"N/M")</f>
        <v>2.65894039735099</v>
      </c>
      <c r="E99" s="47" t="n">
        <f aca="false">IFERROR(IF((E19+IF((1-E60)&lt;=0,"N/M",E68/(1-E60)))&lt;=0,"N/M",E59/(E19+IF((1-E60)&lt;=0,"N/M",E68/(1-E60)))),"N/M")</f>
        <v>6.13555655700766</v>
      </c>
      <c r="F99" s="47" t="n">
        <f aca="false">IFERROR(IF((F19+IF((1-F60)&lt;=0,"N/M",F68/(1-F60)))&lt;=0,"N/M",F59/(F19+IF((1-F60)&lt;=0,"N/M",F68/(1-F60)))),"N/M")</f>
        <v>1.42406366249302</v>
      </c>
      <c r="G99" s="47" t="n">
        <f aca="false">IFERROR(IF((G19+IF((1-G60)&lt;=0,"N/M",G68/(1-G60)))&lt;=0,"N/M",G59/(G19+IF((1-G60)&lt;=0,"N/M",G68/(1-G60)))),"N/M")</f>
        <v>14.5030665669409</v>
      </c>
      <c r="H99" s="47" t="n">
        <f aca="false">IFERROR(IF((H19+IF((1-H60)&lt;=0,"N/M",H68/(1-H60)))&lt;=0,"N/M",H59/(H19+IF((1-H60)&lt;=0,"N/M",H68/(1-H60)))),"N/M")</f>
        <v>6.47178946833644</v>
      </c>
      <c r="I99" s="47" t="n">
        <f aca="false">IFERROR(IF((I19+IF((1-I60)&lt;=0,"N/M",I68/(1-I60)))&lt;=0,"N/M",I59/(I19+IF((1-I60)&lt;=0,"N/M",I68/(1-I60)))),"N/M")</f>
        <v>5.28263964810081</v>
      </c>
      <c r="J99" s="47" t="n">
        <f aca="false">IFERROR(IF((J19+IF((1-J60)&lt;=0,"N/M",J68/(1-J60)))&lt;=0,"N/M",J59/(J19+IF((1-J60)&lt;=0,"N/M",J68/(1-J60)))),"N/M")</f>
        <v>11.0749649696404</v>
      </c>
      <c r="K99" s="22" t="n">
        <f aca="false">IFERROR(AVERAGE(D99:J99),"N/M")</f>
        <v>6.79300303855288</v>
      </c>
      <c r="L99" s="82" t="n">
        <f aca="false">IFERROR(J99-D99,"N/M")</f>
        <v>8.41602457228936</v>
      </c>
      <c r="M99" s="83" t="n">
        <f aca="false">IFERROR(SLOPE(D99:J99,$D$3:$J$3),"N/M")</f>
        <v>1.02107020374635</v>
      </c>
    </row>
    <row r="100" customFormat="false" ht="15" hidden="false" customHeight="false" outlineLevel="0" collapsed="false">
      <c r="A100" s="18" t="s">
        <v>544</v>
      </c>
      <c r="B100" s="19" t="s">
        <v>545</v>
      </c>
      <c r="D100" s="47" t="n">
        <f aca="false">IFERROR(IF((D19+IF((1-D60)&lt;=0,"N/M",D68/(1-D60)))&lt;=0,"N/M",(D41+D21)/(D19+IF((1-D60)&lt;=0,"N/M",D68/(1-D60)))),"N/M")</f>
        <v>2.29195301761839</v>
      </c>
      <c r="E100" s="47" t="n">
        <f aca="false">IFERROR(IF((E19+IF((1-E60)&lt;=0,"N/M",E68/(1-E60)))&lt;=0,"N/M",(E41+E21)/(E19+IF((1-E60)&lt;=0,"N/M",E68/(1-E60)))),"N/M")</f>
        <v>7.10374042361424</v>
      </c>
      <c r="F100" s="47" t="n">
        <f aca="false">IFERROR(IF((F19+IF((1-F60)&lt;=0,"N/M",F68/(1-F60)))&lt;=0,"N/M",(F41+F21)/(F19+IF((1-F60)&lt;=0,"N/M",F68/(1-F60)))),"N/M")</f>
        <v>1.41724852215594</v>
      </c>
      <c r="G100" s="47" t="n">
        <f aca="false">IFERROR(IF((G19+IF((1-G60)&lt;=0,"N/M",G68/(1-G60)))&lt;=0,"N/M",(G41+G21)/(G19+IF((1-G60)&lt;=0,"N/M",G68/(1-G60)))),"N/M")</f>
        <v>12.7810022438295</v>
      </c>
      <c r="H100" s="47" t="n">
        <f aca="false">IFERROR(IF((H19+IF((1-H60)&lt;=0,"N/M",H68/(1-H60)))&lt;=0,"N/M",(H41+H21)/(H19+IF((1-H60)&lt;=0,"N/M",H68/(1-H60)))),"N/M")</f>
        <v>6.72102949566884</v>
      </c>
      <c r="I100" s="47" t="n">
        <f aca="false">IFERROR(IF((I19+IF((1-I60)&lt;=0,"N/M",I68/(1-I60)))&lt;=0,"N/M",(I41+I21)/(I19+IF((1-I60)&lt;=0,"N/M",I68/(1-I60)))),"N/M")</f>
        <v>4.79380905731085</v>
      </c>
      <c r="J100" s="47" t="n">
        <f aca="false">IFERROR(IF((J19+IF((1-J60)&lt;=0,"N/M",J68/(1-J60)))&lt;=0,"N/M",(J41+J21)/(J19+IF((1-J60)&lt;=0,"N/M",J68/(1-J60)))),"N/M")</f>
        <v>10.3877860812704</v>
      </c>
      <c r="K100" s="22" t="n">
        <f aca="false">IFERROR(AVERAGE(D100:J100),"N/M")</f>
        <v>6.49950983449545</v>
      </c>
      <c r="L100" s="82" t="n">
        <f aca="false">IFERROR(J100-D100,"N/M")</f>
        <v>8.09583306365204</v>
      </c>
      <c r="M100" s="83" t="n">
        <f aca="false">IFERROR(SLOPE(D100:J100,$D$3:$J$3),"N/M")</f>
        <v>0.891836336852223</v>
      </c>
    </row>
    <row r="101" customFormat="false" ht="15" hidden="false" customHeight="false" outlineLevel="0" collapsed="false">
      <c r="A101" s="18" t="s">
        <v>546</v>
      </c>
      <c r="B101" s="19" t="s">
        <v>547</v>
      </c>
      <c r="D101" s="47" t="n">
        <f aca="false">IFERROR(IF(D67&lt;=0,"N/M",D41/D67),"N/M")</f>
        <v>0.283283540285688</v>
      </c>
      <c r="E101" s="47" t="n">
        <f aca="false">IFERROR(IF(E67&lt;=0,"N/M",E41/E67),"N/M")</f>
        <v>2.22704467864034</v>
      </c>
      <c r="F101" s="47" t="n">
        <f aca="false">IFERROR(IF(F67&lt;=0,"N/M",F41/F67),"N/M")</f>
        <v>2.76007190780392</v>
      </c>
      <c r="G101" s="47" t="n">
        <f aca="false">IFERROR(IF(G67&lt;=0,"N/M",G41/G67),"N/M")</f>
        <v>0.937625912456503</v>
      </c>
      <c r="H101" s="47" t="n">
        <f aca="false">IFERROR(IF(H67&lt;=0,"N/M",H41/H67),"N/M")</f>
        <v>1.86784170122651</v>
      </c>
      <c r="I101" s="47" t="n">
        <f aca="false">IFERROR(IF(I67&lt;=0,"N/M",I41/I67),"N/M")</f>
        <v>1.53447304151794</v>
      </c>
      <c r="J101" s="47" t="n">
        <f aca="false">IFERROR(IF(J67&lt;=0,"N/M",J41/J67),"N/M")</f>
        <v>1.14469576028142</v>
      </c>
      <c r="K101" s="22" t="n">
        <f aca="false">IFERROR(AVERAGE(D101:J101),"N/M")</f>
        <v>1.53643379174462</v>
      </c>
      <c r="L101" s="82" t="n">
        <f aca="false">IFERROR(J101-D101,"N/M")</f>
        <v>0.861412219995736</v>
      </c>
      <c r="M101" s="83" t="n">
        <f aca="false">IFERROR(SLOPE(D101:J101,$D$3:$J$3),"N/M")</f>
        <v>0.0109593992558923</v>
      </c>
    </row>
    <row r="102" customFormat="false" ht="15" hidden="false" customHeight="false" outlineLevel="0" collapsed="false">
      <c r="A102" s="18" t="s">
        <v>129</v>
      </c>
      <c r="B102" s="19" t="s">
        <v>548</v>
      </c>
      <c r="D102" s="47" t="n">
        <f aca="false">IFERROR(IF((D19+D68)&lt;=0,"N/M",((D22+D19)+D18)/(D19+D68)),"N/M")</f>
        <v>2.64182181681869</v>
      </c>
      <c r="E102" s="47" t="n">
        <f aca="false">IFERROR(IF((E19+E68)&lt;=0,"N/M",((E22+E19)+E18)/(E19+E68)),"N/M")</f>
        <v>5.79324019828752</v>
      </c>
      <c r="F102" s="47" t="n">
        <f aca="false">IFERROR(IF((F19+F68)&lt;=0,"N/M",((F22+F19)+F18)/(F19+F68)),"N/M")</f>
        <v>1.59164549504768</v>
      </c>
      <c r="G102" s="47" t="n">
        <f aca="false">IFERROR(IF((G19+G68)&lt;=0,"N/M",((G22+G19)+G18)/(G19+G68)),"N/M")</f>
        <v>12.4436798803291</v>
      </c>
      <c r="H102" s="47" t="n">
        <f aca="false">IFERROR(IF((H19+H68)&lt;=0,"N/M",((H22+H19)+H18)/(H19+H68)),"N/M")</f>
        <v>6.4824750499002</v>
      </c>
      <c r="I102" s="47" t="n">
        <f aca="false">IFERROR(IF((I19+I68)&lt;=0,"N/M",((I22+I19)+I18)/(I19+I68)),"N/M")</f>
        <v>5.525783619818</v>
      </c>
      <c r="J102" s="47" t="n">
        <f aca="false">IFERROR(IF((J19+J68)&lt;=0,"N/M",((J22+J19)+J18)/(J19+J68)),"N/M")</f>
        <v>10.1482951891639</v>
      </c>
      <c r="K102" s="22" t="n">
        <f aca="false">IFERROR(AVERAGE(D102:J102),"N/M")</f>
        <v>6.37527732133788</v>
      </c>
      <c r="L102" s="82" t="n">
        <f aca="false">IFERROR(J102-D102,"N/M")</f>
        <v>7.50647337234525</v>
      </c>
      <c r="M102" s="83" t="n">
        <f aca="false">IFERROR(SLOPE(D102:J102,$D$3:$J$3),"N/M")</f>
        <v>0.959833446962472</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n">
        <f aca="false">IFERROR(IF(((D37+C37)/2)&lt;=0,"N/M",D52/((D37+C37)/2)),"N/M")</f>
        <v>65.0675471698113</v>
      </c>
      <c r="E105" s="47" t="n">
        <f aca="false">IFERROR(IF(((E37+D37)/2)&lt;=0,"N/M",E52/((E37+D37)/2)),"N/M")</f>
        <v>56.2399183256764</v>
      </c>
      <c r="F105" s="47" t="n">
        <f aca="false">IFERROR(IF(((F37+E37)/2)&lt;=0,"N/M",F52/((F37+E37)/2)),"N/M")</f>
        <v>71.1987419499775</v>
      </c>
      <c r="G105" s="47" t="n">
        <f aca="false">IFERROR(IF(((G37+F37)/2)&lt;=0,"N/M",G52/((G37+F37)/2)),"N/M")</f>
        <v>83.8888888888889</v>
      </c>
      <c r="H105" s="47" t="n">
        <f aca="false">IFERROR(IF(((H37+G37)/2)&lt;=0,"N/M",H52/((H37+G37)/2)),"N/M")</f>
        <v>70.07150690941</v>
      </c>
      <c r="I105" s="47" t="n">
        <f aca="false">IFERROR(IF(((I37+H37)/2)&lt;=0,"N/M",I52/((I37+H37)/2)),"N/M")</f>
        <v>68.1737616099071</v>
      </c>
      <c r="J105" s="47" t="n">
        <f aca="false">IFERROR(IF(((J37+I37)/2)&lt;=0,"N/M",J52/((J37+I37)/2)),"N/M")</f>
        <v>69.6112403461431</v>
      </c>
      <c r="K105" s="22" t="n">
        <f aca="false">IFERROR(AVERAGE(D105:J105),"N/M")</f>
        <v>69.1788007428306</v>
      </c>
      <c r="L105" s="82" t="n">
        <f aca="false">IFERROR(J105-D105,"N/M")</f>
        <v>4.54369317633179</v>
      </c>
      <c r="M105" s="83" t="n">
        <f aca="false">IFERROR(SLOPE(D105:J105,$D$3:$J$3),"N/M")</f>
        <v>1.29898325203176</v>
      </c>
    </row>
    <row r="106" customFormat="false" ht="15" hidden="false" customHeight="false" outlineLevel="0" collapsed="false">
      <c r="A106" s="18" t="s">
        <v>552</v>
      </c>
      <c r="B106" s="19" t="s">
        <v>553</v>
      </c>
      <c r="D106" s="48" t="n">
        <f aca="false">IFERROR(IF(D105&lt;=0,"N/M",365/D105),"N/M")</f>
        <v>5.60955523722808</v>
      </c>
      <c r="E106" s="48" t="n">
        <f aca="false">IFERROR(IF(E105&lt;=0,"N/M",365/E105),"N/M")</f>
        <v>6.49005209940639</v>
      </c>
      <c r="F106" s="48" t="n">
        <f aca="false">IFERROR(IF(F105&lt;=0,"N/M",365/F105),"N/M")</f>
        <v>5.12649507566356</v>
      </c>
      <c r="G106" s="48" t="n">
        <f aca="false">IFERROR(IF(G105&lt;=0,"N/M",365/G105),"N/M")</f>
        <v>4.35099337748344</v>
      </c>
      <c r="H106" s="48" t="n">
        <f aca="false">IFERROR(IF(H105&lt;=0,"N/M",365/H105),"N/M")</f>
        <v>5.20896461484524</v>
      </c>
      <c r="I106" s="48" t="n">
        <f aca="false">IFERROR(IF(I105&lt;=0,"N/M",365/I105),"N/M")</f>
        <v>5.35396597430759</v>
      </c>
      <c r="J106" s="48" t="n">
        <f aca="false">IFERROR(IF(J105&lt;=0,"N/M",365/J105),"N/M")</f>
        <v>5.24340606754069</v>
      </c>
      <c r="K106" s="28" t="n">
        <f aca="false">IFERROR(AVERAGE(D106:J106),"N/M")</f>
        <v>5.34049034949643</v>
      </c>
      <c r="L106" s="84" t="n">
        <f aca="false">IFERROR(J106-D106,"N/M")</f>
        <v>-0.366149169687387</v>
      </c>
      <c r="M106" s="85" t="n">
        <f aca="false">IFERROR(SLOPE(D106:J106,$D$3:$J$3),"N/M")</f>
        <v>-0.11743393643136</v>
      </c>
    </row>
    <row r="107" customFormat="false" ht="15" hidden="false" customHeight="false" outlineLevel="0" collapsed="false">
      <c r="A107" s="18" t="s">
        <v>554</v>
      </c>
      <c r="B107" s="19" t="s">
        <v>555</v>
      </c>
      <c r="D107" s="47" t="n">
        <f aca="false">IFERROR(IF(((D36+C36)/2)&lt;=0,"N/M",D9/((D36+C36)/2)),"N/M")</f>
        <v>6.23032622026</v>
      </c>
      <c r="E107" s="47" t="n">
        <f aca="false">IFERROR(IF(((E36+D36)/2)&lt;=0,"N/M",E9/((E36+D36)/2)),"N/M")</f>
        <v>6.28615399321321</v>
      </c>
      <c r="F107" s="47" t="n">
        <f aca="false">IFERROR(IF(((F36+E36)/2)&lt;=0,"N/M",F9/((F36+E36)/2)),"N/M")</f>
        <v>8.03419161513029</v>
      </c>
      <c r="G107" s="47" t="n">
        <f aca="false">IFERROR(IF(((G36+F36)/2)&lt;=0,"N/M",G9/((G36+F36)/2)),"N/M")</f>
        <v>8.50225615820231</v>
      </c>
      <c r="H107" s="47" t="n">
        <f aca="false">IFERROR(IF(((H36+G36)/2)&lt;=0,"N/M",H9/((H36+G36)/2)),"N/M")</f>
        <v>8.06039369898018</v>
      </c>
      <c r="I107" s="47" t="n">
        <f aca="false">IFERROR(IF(((I36+H36)/2)&lt;=0,"N/M",I9/((I36+H36)/2)),"N/M")</f>
        <v>7.8545849009969</v>
      </c>
      <c r="J107" s="47" t="n">
        <f aca="false">IFERROR(IF(((J36+I36)/2)&lt;=0,"N/M",J9/((J36+I36)/2)),"N/M")</f>
        <v>7.2061677834235</v>
      </c>
      <c r="K107" s="22" t="n">
        <f aca="false">IFERROR(AVERAGE(D107:J107),"N/M")</f>
        <v>7.45343919574377</v>
      </c>
      <c r="L107" s="82" t="n">
        <f aca="false">IFERROR(J107-D107,"N/M")</f>
        <v>0.9758415631635</v>
      </c>
      <c r="M107" s="83" t="n">
        <f aca="false">IFERROR(SLOPE(D107:J107,$D$3:$J$3),"N/M")</f>
        <v>0.21752102103242</v>
      </c>
    </row>
    <row r="108" customFormat="false" ht="15" hidden="false" customHeight="false" outlineLevel="0" collapsed="false">
      <c r="A108" s="18" t="s">
        <v>130</v>
      </c>
      <c r="B108" s="19" t="s">
        <v>556</v>
      </c>
      <c r="D108" s="48" t="n">
        <f aca="false">IFERROR(IF(D107&lt;=0,"N/M",365/D107),"N/M")</f>
        <v>58.5844122917802</v>
      </c>
      <c r="E108" s="48" t="n">
        <f aca="false">IFERROR(IF(E107&lt;=0,"N/M",365/E107),"N/M")</f>
        <v>58.0641200317506</v>
      </c>
      <c r="F108" s="48" t="n">
        <f aca="false">IFERROR(IF(F107&lt;=0,"N/M",365/F107),"N/M")</f>
        <v>45.4308308147167</v>
      </c>
      <c r="G108" s="48" t="n">
        <f aca="false">IFERROR(IF(G107&lt;=0,"N/M",365/G107),"N/M")</f>
        <v>42.929781602484</v>
      </c>
      <c r="H108" s="48" t="n">
        <f aca="false">IFERROR(IF(H107&lt;=0,"N/M",365/H107),"N/M")</f>
        <v>45.2831478996095</v>
      </c>
      <c r="I108" s="48" t="n">
        <f aca="false">IFERROR(IF(I107&lt;=0,"N/M",365/I107),"N/M")</f>
        <v>46.4696740312368</v>
      </c>
      <c r="J108" s="48" t="n">
        <f aca="false">IFERROR(IF(J107&lt;=0,"N/M",365/J107),"N/M")</f>
        <v>50.6510548976694</v>
      </c>
      <c r="K108" s="28" t="n">
        <f aca="false">IFERROR(AVERAGE(D108:J108),"N/M")</f>
        <v>49.6304316527496</v>
      </c>
      <c r="L108" s="84" t="n">
        <f aca="false">IFERROR(J108-D108,"N/M")</f>
        <v>-7.93335739411079</v>
      </c>
      <c r="M108" s="85" t="n">
        <f aca="false">IFERROR(SLOPE(D108:J108,$D$3:$J$3),"N/M")</f>
        <v>-1.68345168208811</v>
      </c>
    </row>
    <row r="109" customFormat="false" ht="15" hidden="false" customHeight="false" outlineLevel="0" collapsed="false">
      <c r="A109" s="18" t="s">
        <v>557</v>
      </c>
      <c r="B109" s="19" t="s">
        <v>558</v>
      </c>
      <c r="D109" s="47" t="n">
        <f aca="false">IFERROR(IF(((D29+C29)/2)&lt;=0,"N/M",D52/((D29+C29)/2)),"N/M")</f>
        <v>1.51199130137407</v>
      </c>
      <c r="E109" s="47" t="n">
        <f aca="false">IFERROR(IF(((E29+D29)/2)&lt;=0,"N/M",E52/((E29+D29)/2)),"N/M")</f>
        <v>1.37529542957957</v>
      </c>
      <c r="F109" s="47" t="n">
        <f aca="false">IFERROR(IF(((F29+E29)/2)&lt;=0,"N/M",F52/((F29+E29)/2)),"N/M")</f>
        <v>2.83961413254487</v>
      </c>
      <c r="G109" s="47" t="n">
        <f aca="false">IFERROR(IF(((G29+F29)/2)&lt;=0,"N/M",G52/((G29+F29)/2)),"N/M")</f>
        <v>3.43754995397344</v>
      </c>
      <c r="H109" s="47" t="n">
        <f aca="false">IFERROR(IF(((H29+G29)/2)&lt;=0,"N/M",H52/((H29+G29)/2)),"N/M")</f>
        <v>3.28655054989146</v>
      </c>
      <c r="I109" s="47" t="n">
        <f aca="false">IFERROR(IF(((I29+H29)/2)&lt;=0,"N/M",I52/((I29+H29)/2)),"N/M")</f>
        <v>3.32785809078072</v>
      </c>
      <c r="J109" s="47" t="n">
        <f aca="false">IFERROR(IF(((J29+I29)/2)&lt;=0,"N/M",J52/((J29+I29)/2)),"N/M")</f>
        <v>3.24581643057032</v>
      </c>
      <c r="K109" s="22" t="n">
        <f aca="false">IFERROR(AVERAGE(D109:J109),"N/M")</f>
        <v>2.71781084124492</v>
      </c>
      <c r="L109" s="82" t="n">
        <f aca="false">IFERROR(J109-D109,"N/M")</f>
        <v>1.73382512919625</v>
      </c>
      <c r="M109" s="83" t="n">
        <f aca="false">IFERROR(SLOPE(D109:J109,$D$3:$J$3),"N/M")</f>
        <v>0.341197754547773</v>
      </c>
    </row>
    <row r="110" customFormat="false" ht="15" hidden="false" customHeight="false" outlineLevel="0" collapsed="false">
      <c r="A110" s="18" t="s">
        <v>559</v>
      </c>
      <c r="B110" s="19" t="s">
        <v>560</v>
      </c>
      <c r="D110" s="48" t="n">
        <f aca="false">IFERROR(IF(D109&lt;=0,"N/M",365/D109),"N/M")</f>
        <v>241.40350521084</v>
      </c>
      <c r="E110" s="48" t="n">
        <f aca="false">IFERROR(IF(E109&lt;=0,"N/M",365/E109),"N/M")</f>
        <v>265.397522706507</v>
      </c>
      <c r="F110" s="48" t="n">
        <f aca="false">IFERROR(IF(F109&lt;=0,"N/M",365/F109),"N/M")</f>
        <v>128.538591147553</v>
      </c>
      <c r="G110" s="48" t="n">
        <f aca="false">IFERROR(IF(G109&lt;=0,"N/M",365/G109),"N/M")</f>
        <v>106.180275163158</v>
      </c>
      <c r="H110" s="48" t="n">
        <f aca="false">IFERROR(IF(H109&lt;=0,"N/M",365/H109),"N/M")</f>
        <v>111.058690398678</v>
      </c>
      <c r="I110" s="48" t="n">
        <f aca="false">IFERROR(IF(I109&lt;=0,"N/M",365/I109),"N/M")</f>
        <v>109.680157639886</v>
      </c>
      <c r="J110" s="48" t="n">
        <f aca="false">IFERROR(IF(J109&lt;=0,"N/M",365/J109),"N/M")</f>
        <v>112.452446959814</v>
      </c>
      <c r="K110" s="28" t="n">
        <f aca="false">IFERROR(AVERAGE(D110:J110),"N/M")</f>
        <v>153.530169889491</v>
      </c>
      <c r="L110" s="84" t="n">
        <f aca="false">IFERROR(J110-D110,"N/M")</f>
        <v>-128.951058251027</v>
      </c>
      <c r="M110" s="85" t="n">
        <f aca="false">IFERROR(SLOPE(D110:J110,$D$3:$J$3),"N/M")</f>
        <v>-25.5631359155428</v>
      </c>
    </row>
    <row r="111" customFormat="false" ht="15" hidden="false" customHeight="false" outlineLevel="0" collapsed="false">
      <c r="A111" s="18" t="s">
        <v>561</v>
      </c>
      <c r="B111" s="19" t="s">
        <v>562</v>
      </c>
      <c r="D111" s="48" t="n">
        <f aca="false">IFERROR(((IF(ISNUMBER(D106),D106,0)+D108)-D110),"N/M")</f>
        <v>-177.209537681832</v>
      </c>
      <c r="E111" s="48" t="n">
        <f aca="false">IFERROR(((IF(ISNUMBER(E106),E106,0)+E108)-E110),"N/M")</f>
        <v>-200.84335057535</v>
      </c>
      <c r="F111" s="48" t="n">
        <f aca="false">IFERROR(((IF(ISNUMBER(F106),F106,0)+F108)-F110),"N/M")</f>
        <v>-77.9812652571731</v>
      </c>
      <c r="G111" s="48" t="n">
        <f aca="false">IFERROR(((IF(ISNUMBER(G106),G106,0)+G108)-G110),"N/M")</f>
        <v>-58.8995001831902</v>
      </c>
      <c r="H111" s="48" t="n">
        <f aca="false">IFERROR(((IF(ISNUMBER(H106),H106,0)+H108)-H110),"N/M")</f>
        <v>-60.566577884223</v>
      </c>
      <c r="I111" s="48" t="n">
        <f aca="false">IFERROR(((IF(ISNUMBER(I106),I106,0)+I108)-I110),"N/M")</f>
        <v>-57.8565176343419</v>
      </c>
      <c r="J111" s="48" t="n">
        <f aca="false">IFERROR(((IF(ISNUMBER(J106),J106,0)+J108)-J110),"N/M")</f>
        <v>-56.5579859946034</v>
      </c>
      <c r="K111" s="28" t="n">
        <f aca="false">IFERROR(AVERAGE(D111:J111),"N/M")</f>
        <v>-98.5592478872448</v>
      </c>
      <c r="L111" s="84" t="n">
        <f aca="false">IFERROR(J111-D111,"N/M")</f>
        <v>120.651551687229</v>
      </c>
      <c r="M111" s="85" t="n">
        <f aca="false">IFERROR(SLOPE(D111:J111,$D$3:$J$3),"N/M")</f>
        <v>23.7622502970233</v>
      </c>
    </row>
    <row r="112" customFormat="false" ht="15" hidden="false" customHeight="false" outlineLevel="0" collapsed="false">
      <c r="A112" s="18" t="s">
        <v>132</v>
      </c>
      <c r="B112" s="19" t="s">
        <v>563</v>
      </c>
      <c r="D112" s="47" t="n">
        <f aca="false">IFERROR(IF(((D31+C31)/2)&lt;=0,"N/M",D9/((D31+C31)/2)),"N/M")</f>
        <v>2.73795993687859</v>
      </c>
      <c r="E112" s="47" t="n">
        <f aca="false">IFERROR(IF(((E31+D31)/2)&lt;=0,"N/M",E9/((E31+D31)/2)),"N/M")</f>
        <v>2.02461085660805</v>
      </c>
      <c r="F112" s="47" t="n">
        <f aca="false">IFERROR(IF(((F31+E31)/2)&lt;=0,"N/M",F9/((F31+E31)/2)),"N/M")</f>
        <v>2.92080594692141</v>
      </c>
      <c r="G112" s="47" t="n">
        <f aca="false">IFERROR(IF(((G31+F31)/2)&lt;=0,"N/M",G9/((G31+F31)/2)),"N/M")</f>
        <v>3.59944326524931</v>
      </c>
      <c r="H112" s="47" t="n">
        <f aca="false">IFERROR(IF(((H31+G31)/2)&lt;=0,"N/M",H9/((H31+G31)/2)),"N/M")</f>
        <v>3.23222388229122</v>
      </c>
      <c r="I112" s="47" t="n">
        <f aca="false">IFERROR(IF(((I31+H31)/2)&lt;=0,"N/M",I9/((I31+H31)/2)),"N/M")</f>
        <v>3.14630980275679</v>
      </c>
      <c r="J112" s="47" t="n">
        <f aca="false">IFERROR(IF(((J31+I31)/2)&lt;=0,"N/M",J9/((J31+I31)/2)),"N/M")</f>
        <v>3.19092949783838</v>
      </c>
      <c r="K112" s="22" t="n">
        <f aca="false">IFERROR(AVERAGE(D112:J112),"N/M")</f>
        <v>2.97889759836339</v>
      </c>
      <c r="L112" s="82" t="n">
        <f aca="false">IFERROR(J112-D112,"N/M")</f>
        <v>0.452969560959783</v>
      </c>
      <c r="M112" s="83" t="n">
        <f aca="false">IFERROR(SLOPE(D112:J112,$D$3:$J$3),"N/M")</f>
        <v>0.139775875376666</v>
      </c>
    </row>
    <row r="113" customFormat="false" ht="15" hidden="false" customHeight="false" outlineLevel="0" collapsed="false">
      <c r="A113" s="18" t="s">
        <v>133</v>
      </c>
      <c r="B113" s="19" t="s">
        <v>564</v>
      </c>
      <c r="D113" s="47" t="n">
        <f aca="false">IFERROR(IF(((D35+C35)/2)&lt;=0,"N/M",D9/((D35+C35)/2)),"N/M")</f>
        <v>1.42636762839591</v>
      </c>
      <c r="E113" s="47" t="n">
        <f aca="false">IFERROR(IF(((E35+D35)/2)&lt;=0,"N/M",E9/((E35+D35)/2)),"N/M")</f>
        <v>1.18743206300941</v>
      </c>
      <c r="F113" s="47" t="n">
        <f aca="false">IFERROR(IF(((F35+E35)/2)&lt;=0,"N/M",F9/((F35+E35)/2)),"N/M")</f>
        <v>1.54046233184718</v>
      </c>
      <c r="G113" s="47" t="n">
        <f aca="false">IFERROR(IF(((G35+F35)/2)&lt;=0,"N/M",G9/((G35+F35)/2)),"N/M")</f>
        <v>1.70931623649162</v>
      </c>
      <c r="H113" s="47" t="n">
        <f aca="false">IFERROR(IF(((H35+G35)/2)&lt;=0,"N/M",H9/((H35+G35)/2)),"N/M")</f>
        <v>1.57626489765019</v>
      </c>
      <c r="I113" s="47" t="n">
        <f aca="false">IFERROR(IF(((I35+H35)/2)&lt;=0,"N/M",I9/((I35+H35)/2)),"N/M")</f>
        <v>1.60596659582293</v>
      </c>
      <c r="J113" s="47" t="n">
        <f aca="false">IFERROR(IF(((J35+I35)/2)&lt;=0,"N/M",J9/((J35+I35)/2)),"N/M")</f>
        <v>1.57668484044772</v>
      </c>
      <c r="K113" s="22" t="n">
        <f aca="false">IFERROR(AVERAGE(D113:J113),"N/M")</f>
        <v>1.51749922766642</v>
      </c>
      <c r="L113" s="82" t="n">
        <f aca="false">IFERROR(J113-D113,"N/M")</f>
        <v>0.150317212051817</v>
      </c>
      <c r="M113" s="83" t="n">
        <f aca="false">IFERROR(SLOPE(D113:J113,$D$3:$J$3),"N/M")</f>
        <v>0.0472794024137678</v>
      </c>
    </row>
    <row r="114" customFormat="false" ht="15" hidden="false" customHeight="false" outlineLevel="0" collapsed="false">
      <c r="A114" s="18" t="s">
        <v>565</v>
      </c>
      <c r="B114" s="19" t="s">
        <v>566</v>
      </c>
      <c r="D114" s="47" t="n">
        <f aca="false">IFERROR(IF(((D62+C62)/2)&lt;=0,"N/M",D9/((D62+C62)/2)),"N/M")</f>
        <v>2.92472930090318</v>
      </c>
      <c r="E114" s="47" t="n">
        <f aca="false">IFERROR(IF(((E62+D62)/2)&lt;=0,"N/M",E9/((E62+D62)/2)),"N/M")</f>
        <v>2.09773073806835</v>
      </c>
      <c r="F114" s="47" t="n">
        <f aca="false">IFERROR(IF(((F62+E62)/2)&lt;=0,"N/M",F9/((F62+E62)/2)),"N/M")</f>
        <v>2.1769232287934</v>
      </c>
      <c r="G114" s="47" t="n">
        <f aca="false">IFERROR(IF(((G62+F62)/2)&lt;=0,"N/M",G9/((G62+F62)/2)),"N/M")</f>
        <v>2.44109089278677</v>
      </c>
      <c r="H114" s="47" t="n">
        <f aca="false">IFERROR(IF(((H62+G62)/2)&lt;=0,"N/M",H9/((H62+G62)/2)),"N/M")</f>
        <v>2.22275059494675</v>
      </c>
      <c r="I114" s="47" t="n">
        <f aca="false">IFERROR(IF(((I62+H62)/2)&lt;=0,"N/M",I9/((I62+H62)/2)),"N/M")</f>
        <v>2.28521548064919</v>
      </c>
      <c r="J114" s="47" t="n">
        <f aca="false">IFERROR(IF(((J62+I62)/2)&lt;=0,"N/M",J9/((J62+I62)/2)),"N/M")</f>
        <v>2.23925203655219</v>
      </c>
      <c r="K114" s="22" t="n">
        <f aca="false">IFERROR(AVERAGE(D114:J114),"N/M")</f>
        <v>2.34109889609998</v>
      </c>
      <c r="L114" s="82" t="n">
        <f aca="false">IFERROR(J114-D114,"N/M")</f>
        <v>-0.685477264350983</v>
      </c>
      <c r="M114" s="83" t="n">
        <f aca="false">IFERROR(SLOPE(D114:J114,$D$3:$J$3),"N/M")</f>
        <v>-0.0584155336334973</v>
      </c>
    </row>
    <row r="115" customFormat="false" ht="15" hidden="false" customHeight="false" outlineLevel="0" collapsed="false">
      <c r="A115" s="18" t="s">
        <v>567</v>
      </c>
      <c r="B115" s="19" t="s">
        <v>568</v>
      </c>
      <c r="D115" s="47" t="n">
        <f aca="false">IFERROR(IF(((D63+C63)/2)&lt;=0,"N/M",D9/((D63+C63)/2)),"N/M")</f>
        <v>3.13744923469136</v>
      </c>
      <c r="E115" s="47" t="n">
        <f aca="false">IFERROR(IF(((E63+D63)/2)&lt;=0,"N/M",E9/((E63+D63)/2)),"N/M")</f>
        <v>3.10893120532506</v>
      </c>
      <c r="F115" s="47" t="n">
        <f aca="false">IFERROR(IF(((F63+E63)/2)&lt;=0,"N/M",F9/((F63+E63)/2)),"N/M")</f>
        <v>3.88098747398663</v>
      </c>
      <c r="G115" s="47" t="n">
        <f aca="false">IFERROR(IF(((G63+F63)/2)&lt;=0,"N/M",G9/((G63+F63)/2)),"N/M")</f>
        <v>4.51410816990897</v>
      </c>
      <c r="H115" s="47" t="n">
        <f aca="false">IFERROR(IF(((H63+G63)/2)&lt;=0,"N/M",H9/((H63+G63)/2)),"N/M")</f>
        <v>4.329551291798</v>
      </c>
      <c r="I115" s="47" t="n">
        <f aca="false">IFERROR(IF(((I63+H63)/2)&lt;=0,"N/M",I9/((I63+H63)/2)),"N/M")</f>
        <v>4.32745388040111</v>
      </c>
      <c r="J115" s="47" t="n">
        <f aca="false">IFERROR(IF(((J63+I63)/2)&lt;=0,"N/M",J9/((J63+I63)/2)),"N/M")</f>
        <v>4.0421135776465</v>
      </c>
      <c r="K115" s="22" t="n">
        <f aca="false">IFERROR(AVERAGE(D115:J115),"N/M")</f>
        <v>3.90579926196538</v>
      </c>
      <c r="L115" s="82" t="n">
        <f aca="false">IFERROR(J115-D115,"N/M")</f>
        <v>0.904664342955141</v>
      </c>
      <c r="M115" s="83" t="n">
        <f aca="false">IFERROR(SLOPE(D115:J115,$D$3:$J$3),"N/M")</f>
        <v>0.199985792743888</v>
      </c>
    </row>
    <row r="116" customFormat="false" ht="15" hidden="false" customHeight="false" outlineLevel="0" collapsed="false">
      <c r="A116" s="18" t="s">
        <v>569</v>
      </c>
      <c r="B116" s="19" t="s">
        <v>570</v>
      </c>
      <c r="D116" s="47" t="str">
        <f aca="false">IFERROR(IF(D65&lt;=0,"N/M",D9/D65),"N/M")</f>
        <v>N/M</v>
      </c>
      <c r="E116" s="47" t="n">
        <f aca="false">IFERROR(IF(E65&lt;=0,"N/M",E9/E65),"N/M")</f>
        <v>8.78756213587044</v>
      </c>
      <c r="F116" s="47" t="n">
        <f aca="false">IFERROR(IF(F65&lt;=0,"N/M",F9/F65),"N/M")</f>
        <v>19.6423354413468</v>
      </c>
      <c r="G116" s="47" t="n">
        <f aca="false">IFERROR(IF(G65&lt;=0,"N/M",G9/G65),"N/M")</f>
        <v>20.4540673073121</v>
      </c>
      <c r="H116" s="47" t="n">
        <f aca="false">IFERROR(IF(H65&lt;=0,"N/M",H9/H65),"N/M")</f>
        <v>22.2703559651645</v>
      </c>
      <c r="I116" s="47" t="n">
        <f aca="false">IFERROR(IF(I65&lt;=0,"N/M",I9/I65),"N/M")</f>
        <v>19.7438216208753</v>
      </c>
      <c r="J116" s="47" t="n">
        <f aca="false">IFERROR(IF(J65&lt;=0,"N/M",J9/J65),"N/M")</f>
        <v>13.8345498783455</v>
      </c>
      <c r="K116" s="22" t="n">
        <f aca="false">IFERROR(AVERAGE(D116:J116),"N/M")</f>
        <v>17.4554487248191</v>
      </c>
      <c r="L116" s="82" t="str">
        <f aca="false">IFERROR(J116-D116,"N/M")</f>
        <v>N/M</v>
      </c>
      <c r="M116" s="83" t="n">
        <f aca="false">IFERROR(SLOPE(D116:J116,$D$3:$J$3),"N/M")</f>
        <v>0.781591025966096</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0.456938771010951</v>
      </c>
      <c r="E119" s="46" t="n">
        <f aca="false">IFERROR(IF(E9&lt;=0,"N/M",E55/E9),"N/M")</f>
        <v>0.497401258466058</v>
      </c>
      <c r="F119" s="46" t="n">
        <f aca="false">IFERROR(IF(F9&lt;=0,"N/M",F55/F9),"N/M")</f>
        <v>0.46106441687885</v>
      </c>
      <c r="G119" s="46" t="n">
        <f aca="false">IFERROR(IF(G9&lt;=0,"N/M",G55/G9),"N/M")</f>
        <v>0.397135079327639</v>
      </c>
      <c r="H119" s="46" t="n">
        <f aca="false">IFERROR(IF(H9&lt;=0,"N/M",H55/H9),"N/M")</f>
        <v>0.393571926201111</v>
      </c>
      <c r="I119" s="46" t="n">
        <f aca="false">IFERROR(IF(I9&lt;=0,"N/M",I55/I9),"N/M")</f>
        <v>0.384071829907451</v>
      </c>
      <c r="J119" s="46" t="n">
        <f aca="false">IFERROR(IF(J9&lt;=0,"N/M",J55/J9),"N/M")</f>
        <v>0.39087557483618</v>
      </c>
      <c r="K119" s="25" t="n">
        <f aca="false">IFERROR(AVERAGE(D119:J119),"N/M")</f>
        <v>0.425865550946891</v>
      </c>
      <c r="L119" s="86" t="n">
        <f aca="false">IFERROR(J119-D119,"N/M")</f>
        <v>-0.0660631961747709</v>
      </c>
      <c r="M119" s="87" t="n">
        <f aca="false">IFERROR(SLOPE(D119:J119,$D$3:$J$3),"N/M")</f>
        <v>-0.0175836048685453</v>
      </c>
    </row>
    <row r="120" customFormat="false" ht="15" hidden="false" customHeight="false" outlineLevel="0" collapsed="false">
      <c r="A120" s="18" t="s">
        <v>573</v>
      </c>
      <c r="B120" s="19" t="s">
        <v>574</v>
      </c>
      <c r="D120" s="46" t="n">
        <f aca="false">IFERROR(IF(D57&lt;=0,"N/M",D59/D57),"N/M")</f>
        <v>0.136140442914677</v>
      </c>
      <c r="E120" s="46" t="n">
        <f aca="false">IFERROR(IF(E57&lt;=0,"N/M",E59/E57),"N/M")</f>
        <v>0.207379561198813</v>
      </c>
      <c r="F120" s="46" t="n">
        <f aca="false">IFERROR(IF(F57&lt;=0,"N/M",F59/F57),"N/M")</f>
        <v>0.225790048375637</v>
      </c>
      <c r="G120" s="46" t="n">
        <f aca="false">IFERROR(IF(G57&lt;=0,"N/M",G59/G57),"N/M")</f>
        <v>0.186299753657665</v>
      </c>
      <c r="H120" s="46" t="n">
        <f aca="false">IFERROR(IF(H57&lt;=0,"N/M",H59/H57),"N/M")</f>
        <v>0.16990288523912</v>
      </c>
      <c r="I120" s="46" t="n">
        <f aca="false">IFERROR(IF(I57&lt;=0,"N/M",I59/I57),"N/M")</f>
        <v>0.158821149294346</v>
      </c>
      <c r="J120" s="46" t="n">
        <f aca="false">IFERROR(IF(J57&lt;=0,"N/M",J59/J57),"N/M")</f>
        <v>0.154505528875915</v>
      </c>
      <c r="K120" s="25" t="n">
        <f aca="false">IFERROR(AVERAGE(D120:J120),"N/M")</f>
        <v>0.176977052793739</v>
      </c>
      <c r="L120" s="86" t="n">
        <f aca="false">IFERROR(J120-D120,"N/M")</f>
        <v>0.018365085961238</v>
      </c>
      <c r="M120" s="87" t="n">
        <f aca="false">IFERROR(SLOPE(D120:J120,$D$3:$J$3),"N/M")</f>
        <v>-0.00349674032363342</v>
      </c>
    </row>
    <row r="121" customFormat="false" ht="15" hidden="false" customHeight="false" outlineLevel="0" collapsed="false">
      <c r="A121" s="18" t="s">
        <v>136</v>
      </c>
      <c r="B121" s="19" t="s">
        <v>575</v>
      </c>
      <c r="D121" s="46" t="n">
        <f aca="false">IFERROR(IF(D9&lt;=0,"N/M",D56/D9),"N/M")</f>
        <v>0.149477344234724</v>
      </c>
      <c r="E121" s="46" t="n">
        <f aca="false">IFERROR(IF(E9&lt;=0,"N/M",E56/E9),"N/M")</f>
        <v>0.208717416890451</v>
      </c>
      <c r="F121" s="46" t="n">
        <f aca="false">IFERROR(IF(F9&lt;=0,"N/M",F56/F9),"N/M")</f>
        <v>0.226734444472156</v>
      </c>
      <c r="G121" s="46" t="n">
        <f aca="false">IFERROR(IF(G9&lt;=0,"N/M",G56/G9),"N/M")</f>
        <v>0.18127805855126</v>
      </c>
      <c r="H121" s="46" t="n">
        <f aca="false">IFERROR(IF(H9&lt;=0,"N/M",H56/H9),"N/M")</f>
        <v>0.16192625806072</v>
      </c>
      <c r="I121" s="46" t="n">
        <f aca="false">IFERROR(IF(I9&lt;=0,"N/M",I56/I9),"N/M")</f>
        <v>0.153187487107049</v>
      </c>
      <c r="J121" s="46" t="n">
        <f aca="false">IFERROR(IF(J9&lt;=0,"N/M",J56/J9),"N/M")</f>
        <v>0.154808431364886</v>
      </c>
      <c r="K121" s="25" t="n">
        <f aca="false">IFERROR(AVERAGE(D121:J121),"N/M")</f>
        <v>0.176589920097321</v>
      </c>
      <c r="L121" s="86" t="n">
        <f aca="false">IFERROR(J121-D121,"N/M")</f>
        <v>0.00533108713016164</v>
      </c>
      <c r="M121" s="87" t="n">
        <f aca="false">IFERROR(SLOPE(D121:J121,$D$3:$J$3),"N/M")</f>
        <v>-0.00570981373527701</v>
      </c>
    </row>
    <row r="122" customFormat="false" ht="15" hidden="false" customHeight="false" outlineLevel="0" collapsed="false">
      <c r="A122" s="18" t="s">
        <v>576</v>
      </c>
      <c r="B122" s="19" t="s">
        <v>577</v>
      </c>
      <c r="D122" s="46" t="n">
        <f aca="false">IFERROR(IF(D9&lt;=0,"N/M",D58/D9),"N/M")</f>
        <v>0.024647809695981</v>
      </c>
      <c r="E122" s="46" t="n">
        <f aca="false">IFERROR(IF(E9&lt;=0,"N/M",E58/E9),"N/M")</f>
        <v>0.0762561090954433</v>
      </c>
      <c r="F122" s="46" t="n">
        <f aca="false">IFERROR(IF(F9&lt;=0,"N/M",F58/F9),"N/M")</f>
        <v>0.13587152447914</v>
      </c>
      <c r="G122" s="46" t="n">
        <f aca="false">IFERROR(IF(G9&lt;=0,"N/M",G58/G9),"N/M")</f>
        <v>0.111180498896025</v>
      </c>
      <c r="H122" s="46" t="n">
        <f aca="false">IFERROR(IF(H9&lt;=0,"N/M",H58/H9),"N/M")</f>
        <v>0.0893650706268046</v>
      </c>
      <c r="I122" s="46" t="n">
        <f aca="false">IFERROR(IF(I9&lt;=0,"N/M",I58/I9),"N/M")</f>
        <v>0.0751077763287169</v>
      </c>
      <c r="J122" s="46" t="n">
        <f aca="false">IFERROR(IF(J9&lt;=0,"N/M",J58/J9),"N/M")</f>
        <v>0.0671548703117468</v>
      </c>
      <c r="K122" s="25" t="n">
        <f aca="false">IFERROR(AVERAGE(D122:J122),"N/M")</f>
        <v>0.0827976656334082</v>
      </c>
      <c r="L122" s="86" t="n">
        <f aca="false">IFERROR(J122-D122,"N/M")</f>
        <v>0.0425070606157659</v>
      </c>
      <c r="M122" s="87" t="n">
        <f aca="false">IFERROR(SLOPE(D122:J122,$D$3:$J$3),"N/M")</f>
        <v>0.00281135937362536</v>
      </c>
    </row>
    <row r="123" customFormat="false" ht="15" hidden="false" customHeight="false" outlineLevel="0" collapsed="false">
      <c r="A123" s="18" t="s">
        <v>578</v>
      </c>
      <c r="B123" s="19" t="s">
        <v>579</v>
      </c>
      <c r="D123" s="46" t="n">
        <f aca="false">IFERROR(IF(D9&lt;=0,"N/M",D20/D9),"N/M")</f>
        <v>-0.0123207553706462</v>
      </c>
      <c r="E123" s="46" t="n">
        <f aca="false">IFERROR(IF(E9&lt;=0,"N/M",E20/E9),"N/M")</f>
        <v>0.0425135259250699</v>
      </c>
      <c r="F123" s="46" t="n">
        <f aca="false">IFERROR(IF(F9&lt;=0,"N/M",F20/F9),"N/M")</f>
        <v>0.116152627032371</v>
      </c>
      <c r="G123" s="46" t="n">
        <f aca="false">IFERROR(IF(G9&lt;=0,"N/M",G20/G9),"N/M")</f>
        <v>0.0982556813128599</v>
      </c>
      <c r="H123" s="46" t="n">
        <f aca="false">IFERROR(IF(H9&lt;=0,"N/M",H20/H9),"N/M")</f>
        <v>0.0745468247836396</v>
      </c>
      <c r="I123" s="46" t="n">
        <f aca="false">IFERROR(IF(I9&lt;=0,"N/M",I20/I9),"N/M")</f>
        <v>0.0607043834284935</v>
      </c>
      <c r="J123" s="46" t="n">
        <f aca="false">IFERROR(IF(J9&lt;=0,"N/M",J20/J9),"N/M")</f>
        <v>0.0532089863342062</v>
      </c>
      <c r="K123" s="25" t="n">
        <f aca="false">IFERROR(AVERAGE(D123:J123),"N/M")</f>
        <v>0.0618658962065705</v>
      </c>
      <c r="L123" s="86" t="n">
        <f aca="false">IFERROR(J123-D123,"N/M")</f>
        <v>0.0655297417048524</v>
      </c>
      <c r="M123" s="87" t="n">
        <f aca="false">IFERROR(SLOPE(D123:J123,$D$3:$J$3),"N/M")</f>
        <v>0.00683446920973834</v>
      </c>
    </row>
    <row r="124" customFormat="false" ht="15" hidden="false" customHeight="false" outlineLevel="0" collapsed="false">
      <c r="A124" s="18" t="s">
        <v>137</v>
      </c>
      <c r="B124" s="19" t="s">
        <v>580</v>
      </c>
      <c r="D124" s="46" t="n">
        <f aca="false">IFERROR(IF(D9&lt;=0,"N/M",D22/D9),"N/M")</f>
        <v>-0.0131837121629666</v>
      </c>
      <c r="E124" s="46" t="n">
        <f aca="false">IFERROR(IF(E9&lt;=0,"N/M",E22/E9),"N/M")</f>
        <v>0.030962887720376</v>
      </c>
      <c r="F124" s="46" t="n">
        <f aca="false">IFERROR(IF(F9&lt;=0,"N/M",F22/F9),"N/M")</f>
        <v>0.0866593054286485</v>
      </c>
      <c r="G124" s="46" t="n">
        <f aca="false">IFERROR(IF(G9&lt;=0,"N/M",G22/G9),"N/M")</f>
        <v>0.0716384840552026</v>
      </c>
      <c r="H124" s="46" t="n">
        <f aca="false">IFERROR(IF(H9&lt;=0,"N/M",H22/H9),"N/M")</f>
        <v>0.0571411757782616</v>
      </c>
      <c r="I124" s="46" t="n">
        <f aca="false">IFERROR(IF(I9&lt;=0,"N/M",I22/I9),"N/M")</f>
        <v>0.0441279819865808</v>
      </c>
      <c r="J124" s="46" t="n">
        <f aca="false">IFERROR(IF(J9&lt;=0,"N/M",J22/J9),"N/M")</f>
        <v>0.040285757090189</v>
      </c>
      <c r="K124" s="25" t="n">
        <f aca="false">IFERROR(AVERAGE(D124:J124),"N/M")</f>
        <v>0.0453759828423274</v>
      </c>
      <c r="L124" s="86" t="n">
        <f aca="false">IFERROR(J124-D124,"N/M")</f>
        <v>0.0534694692531556</v>
      </c>
      <c r="M124" s="87" t="n">
        <f aca="false">IFERROR(SLOPE(D124:J124,$D$3:$J$3),"N/M")</f>
        <v>0.00561501666576748</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0.543061228989049</v>
      </c>
      <c r="E127" s="46" t="n">
        <f aca="false">IFERROR(IF(E9&lt;=0,"N/M",E52/E9),"N/M")</f>
        <v>0.502598741533942</v>
      </c>
      <c r="F127" s="46" t="n">
        <f aca="false">IFERROR(IF(F9&lt;=0,"N/M",F52/F9),"N/M")</f>
        <v>0.53893558312115</v>
      </c>
      <c r="G127" s="46" t="n">
        <f aca="false">IFERROR(IF(G9&lt;=0,"N/M",G52/G9),"N/M")</f>
        <v>0.602864920672361</v>
      </c>
      <c r="H127" s="46" t="n">
        <f aca="false">IFERROR(IF(H9&lt;=0,"N/M",H52/H9),"N/M")</f>
        <v>0.606428073798889</v>
      </c>
      <c r="I127" s="46" t="n">
        <f aca="false">IFERROR(IF(I9&lt;=0,"N/M",I52/I9),"N/M")</f>
        <v>0.61592817009255</v>
      </c>
      <c r="J127" s="46" t="n">
        <f aca="false">IFERROR(IF(J9&lt;=0,"N/M",J52/J9),"N/M")</f>
        <v>0.60912442516382</v>
      </c>
      <c r="K127" s="25" t="n">
        <f aca="false">IFERROR(AVERAGE(D127:J127),"N/M")</f>
        <v>0.574134449053109</v>
      </c>
      <c r="L127" s="86" t="n">
        <f aca="false">IFERROR(J127-D127,"N/M")</f>
        <v>0.066063196174771</v>
      </c>
      <c r="M127" s="87" t="n">
        <f aca="false">IFERROR(SLOPE(D127:J127,$D$3:$J$3),"N/M")</f>
        <v>0.0175836048685453</v>
      </c>
    </row>
    <row r="128" customFormat="false" ht="15" hidden="false" customHeight="false" outlineLevel="0" collapsed="false">
      <c r="A128" s="18" t="s">
        <v>584</v>
      </c>
      <c r="B128" s="19" t="s">
        <v>585</v>
      </c>
      <c r="D128" s="46" t="n">
        <f aca="false">IFERROR(IF(D9&lt;=0,"N/M",D53/D9),"N/M")</f>
        <v>0.307461426776226</v>
      </c>
      <c r="E128" s="46" t="n">
        <f aca="false">IFERROR(IF(E9&lt;=0,"N/M",E53/E9),"N/M")</f>
        <v>0.288683841575607</v>
      </c>
      <c r="F128" s="46" t="n">
        <f aca="false">IFERROR(IF(F9&lt;=0,"N/M",F53/F9),"N/M")</f>
        <v>0.234329972406694</v>
      </c>
      <c r="G128" s="46" t="n">
        <f aca="false">IFERROR(IF(G9&lt;=0,"N/M",G53/G9),"N/M")</f>
        <v>0.215857020776378</v>
      </c>
      <c r="H128" s="46" t="n">
        <f aca="false">IFERROR(IF(H9&lt;=0,"N/M",H53/H9),"N/M")</f>
        <v>0.231645668140392</v>
      </c>
      <c r="I128" s="46" t="n">
        <f aca="false">IFERROR(IF(I9&lt;=0,"N/M",I53/I9),"N/M")</f>
        <v>0.230884342800401</v>
      </c>
      <c r="J128" s="46" t="n">
        <f aca="false">IFERROR(IF(J9&lt;=0,"N/M",J53/J9),"N/M")</f>
        <v>0.236067143471294</v>
      </c>
      <c r="K128" s="25" t="n">
        <f aca="false">IFERROR(AVERAGE(D128:J128),"N/M")</f>
        <v>0.24927563084957</v>
      </c>
      <c r="L128" s="86" t="n">
        <f aca="false">IFERROR(J128-D128,"N/M")</f>
        <v>-0.0713942833049325</v>
      </c>
      <c r="M128" s="87" t="n">
        <f aca="false">IFERROR(SLOPE(D128:J128,$D$3:$J$3),"N/M")</f>
        <v>-0.0118737911332682</v>
      </c>
    </row>
    <row r="129" customFormat="false" ht="15" hidden="false" customHeight="false" outlineLevel="0" collapsed="false">
      <c r="A129" s="18" t="s">
        <v>586</v>
      </c>
      <c r="B129" s="19" t="s">
        <v>587</v>
      </c>
      <c r="D129" s="46" t="n">
        <f aca="false">IFERROR(IF(D9&lt;=0,"N/M",D14/D9),"N/M")</f>
        <v>0.231133843338698</v>
      </c>
      <c r="E129" s="46" t="n">
        <f aca="false">IFERROR(IF(E9&lt;=0,"N/M",E14/E9),"N/M")</f>
        <v>0.221952903321949</v>
      </c>
      <c r="F129" s="46" t="n">
        <f aca="false">IFERROR(IF(F9&lt;=0,"N/M",F14/F9),"N/M")</f>
        <v>0.173751669315654</v>
      </c>
      <c r="G129" s="46" t="n">
        <f aca="false">IFERROR(IF(G9&lt;=0,"N/M",G14/G9),"N/M")</f>
        <v>0.162319081554922</v>
      </c>
      <c r="H129" s="46" t="n">
        <f aca="false">IFERROR(IF(H9&lt;=0,"N/M",H14/H9),"N/M")</f>
        <v>0.17251695669754</v>
      </c>
      <c r="I129" s="46" t="n">
        <f aca="false">IFERROR(IF(I9&lt;=0,"N/M",I14/I9),"N/M")</f>
        <v>0.169491169858291</v>
      </c>
      <c r="J129" s="46" t="n">
        <f aca="false">IFERROR(IF(J9&lt;=0,"N/M",J14/J9),"N/M")</f>
        <v>0.169977267101783</v>
      </c>
      <c r="K129" s="25" t="n">
        <f aca="false">IFERROR(AVERAGE(D129:J129),"N/M")</f>
        <v>0.18587755588412</v>
      </c>
      <c r="L129" s="86" t="n">
        <f aca="false">IFERROR(J129-D129,"N/M")</f>
        <v>-0.0611565762369145</v>
      </c>
      <c r="M129" s="87" t="n">
        <f aca="false">IFERROR(SLOPE(D129:J129,$D$3:$J$3),"N/M")</f>
        <v>-0.0103438538662919</v>
      </c>
    </row>
    <row r="130" customFormat="false" ht="15" hidden="false" customHeight="false" outlineLevel="0" collapsed="false">
      <c r="A130" s="18" t="s">
        <v>588</v>
      </c>
      <c r="B130" s="19" t="s">
        <v>589</v>
      </c>
      <c r="D130" s="46" t="n">
        <f aca="false">IFERROR(IF(D9&lt;=0,"N/M",D15/D9),"N/M")</f>
        <v>0.0652319747537896</v>
      </c>
      <c r="E130" s="46" t="n">
        <f aca="false">IFERROR(IF(E9&lt;=0,"N/M",E15/E9),"N/M")</f>
        <v>0.0599915453464431</v>
      </c>
      <c r="F130" s="46" t="n">
        <f aca="false">IFERROR(IF(F9&lt;=0,"N/M",F15/F9),"N/M")</f>
        <v>0.0563928271008437</v>
      </c>
      <c r="G130" s="46" t="n">
        <f aca="false">IFERROR(IF(G9&lt;=0,"N/M",G15/G9),"N/M")</f>
        <v>0.0440178492020834</v>
      </c>
      <c r="H130" s="46" t="n">
        <f aca="false">IFERROR(IF(H9&lt;=0,"N/M",H15/H9),"N/M")</f>
        <v>0.0529402049800392</v>
      </c>
      <c r="I130" s="46" t="n">
        <f aca="false">IFERROR(IF(I9&lt;=0,"N/M",I15/I9),"N/M")</f>
        <v>0.0554475558461447</v>
      </c>
      <c r="J130" s="46" t="n">
        <f aca="false">IFERROR(IF(J9&lt;=0,"N/M",J15/J9),"N/M")</f>
        <v>0.0581919855134769</v>
      </c>
      <c r="K130" s="25" t="n">
        <f aca="false">IFERROR(AVERAGE(D130:J130),"N/M")</f>
        <v>0.0560305632489744</v>
      </c>
      <c r="L130" s="86" t="n">
        <f aca="false">IFERROR(J130-D130,"N/M")</f>
        <v>-0.00703998924031271</v>
      </c>
      <c r="M130" s="87" t="n">
        <f aca="false">IFERROR(SLOPE(D130:J130,$D$3:$J$3),"N/M")</f>
        <v>-0.00120216317294069</v>
      </c>
    </row>
    <row r="131" customFormat="false" ht="15" hidden="false" customHeight="false" outlineLevel="0" collapsed="false">
      <c r="A131" s="18" t="s">
        <v>590</v>
      </c>
      <c r="B131" s="19" t="s">
        <v>591</v>
      </c>
      <c r="D131" s="46" t="n">
        <f aca="false">IFERROR(IF(D9&lt;=0,"N/M",D19/D9),"N/M")</f>
        <v>0.0369685650666272</v>
      </c>
      <c r="E131" s="46" t="n">
        <f aca="false">IFERROR(IF(E9&lt;=0,"N/M",E19/E9),"N/M")</f>
        <v>0.0337425831703734</v>
      </c>
      <c r="F131" s="46" t="n">
        <f aca="false">IFERROR(IF(F9&lt;=0,"N/M",F19/F9),"N/M")</f>
        <v>0.019718897446769</v>
      </c>
      <c r="G131" s="46" t="n">
        <f aca="false">IFERROR(IF(G9&lt;=0,"N/M",G19/G9),"N/M")</f>
        <v>0.0129248175831654</v>
      </c>
      <c r="H131" s="46" t="n">
        <f aca="false">IFERROR(IF(H9&lt;=0,"N/M",H19/H9),"N/M")</f>
        <v>0.014818245843165</v>
      </c>
      <c r="I131" s="46" t="n">
        <f aca="false">IFERROR(IF(I9&lt;=0,"N/M",I19/I9),"N/M")</f>
        <v>0.0144033929002234</v>
      </c>
      <c r="J131" s="46" t="n">
        <f aca="false">IFERROR(IF(J9&lt;=0,"N/M",J19/J9),"N/M")</f>
        <v>0.0139458839775407</v>
      </c>
      <c r="K131" s="25" t="n">
        <f aca="false">IFERROR(AVERAGE(D131:J131),"N/M")</f>
        <v>0.0209317694268377</v>
      </c>
      <c r="L131" s="86" t="n">
        <f aca="false">IFERROR(J131-D131,"N/M")</f>
        <v>-0.0230226810890865</v>
      </c>
      <c r="M131" s="87" t="n">
        <f aca="false">IFERROR(SLOPE(D131:J131,$D$3:$J$3),"N/M")</f>
        <v>-0.00402310983611298</v>
      </c>
    </row>
    <row r="132" customFormat="false" ht="15" hidden="false" customHeight="false" outlineLevel="0" collapsed="false">
      <c r="A132" s="18" t="s">
        <v>138</v>
      </c>
      <c r="B132" s="19" t="s">
        <v>592</v>
      </c>
      <c r="D132" s="46" t="n">
        <f aca="false">IFERROR(IF(D9&lt;=0,"N/M",D54/D9),"N/M")</f>
        <v>0.850522655765276</v>
      </c>
      <c r="E132" s="46" t="n">
        <f aca="false">IFERROR(IF(E9&lt;=0,"N/M",E54/E9),"N/M")</f>
        <v>0.791282583109549</v>
      </c>
      <c r="F132" s="46" t="n">
        <f aca="false">IFERROR(IF(F9&lt;=0,"N/M",F54/F9),"N/M")</f>
        <v>0.773265555527844</v>
      </c>
      <c r="G132" s="46" t="n">
        <f aca="false">IFERROR(IF(G9&lt;=0,"N/M",G54/G9),"N/M")</f>
        <v>0.81872194144874</v>
      </c>
      <c r="H132" s="46" t="n">
        <f aca="false">IFERROR(IF(H9&lt;=0,"N/M",H54/H9),"N/M")</f>
        <v>0.838073741939281</v>
      </c>
      <c r="I132" s="46" t="n">
        <f aca="false">IFERROR(IF(I9&lt;=0,"N/M",I54/I9),"N/M")</f>
        <v>0.846812512892951</v>
      </c>
      <c r="J132" s="46" t="n">
        <f aca="false">IFERROR(IF(J9&lt;=0,"N/M",J54/J9),"N/M")</f>
        <v>0.845191568635114</v>
      </c>
      <c r="K132" s="25" t="n">
        <f aca="false">IFERROR(AVERAGE(D132:J132),"N/M")</f>
        <v>0.823410079902679</v>
      </c>
      <c r="L132" s="86" t="n">
        <f aca="false">IFERROR(J132-D132,"N/M")</f>
        <v>-0.00533108713016173</v>
      </c>
      <c r="M132" s="87" t="n">
        <f aca="false">IFERROR(SLOPE(D132:J132,$D$3:$J$3),"N/M")</f>
        <v>0.005709813735277</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-0.0188048202513449</v>
      </c>
      <c r="E135" s="46" t="n">
        <f aca="false">IFERROR(IF(((E35+D35)/2)&lt;=0,"N/M",E22/((E35+D35)/2)),"N/M")</f>
        <v>0.036766325642535</v>
      </c>
      <c r="F135" s="46" t="n">
        <f aca="false">IFERROR(IF(((F35+E35)/2)&lt;=0,"N/M",F22/((F35+E35)/2)),"N/M")</f>
        <v>0.133495395716873</v>
      </c>
      <c r="G135" s="46" t="n">
        <f aca="false">IFERROR(IF(((G35+F35)/2)&lt;=0,"N/M",G22/((G35+F35)/2)),"N/M")</f>
        <v>0.122452823953204</v>
      </c>
      <c r="H135" s="46" t="n">
        <f aca="false">IFERROR(IF(((H35+G35)/2)&lt;=0,"N/M",H22/((H35+G35)/2)),"N/M")</f>
        <v>0.090069629589733</v>
      </c>
      <c r="I135" s="46" t="n">
        <f aca="false">IFERROR(IF(((I35+H35)/2)&lt;=0,"N/M",I22/((I35+H35)/2)),"N/M")</f>
        <v>0.070868065011525</v>
      </c>
      <c r="J135" s="46" t="n">
        <f aca="false">IFERROR(IF(((J35+I35)/2)&lt;=0,"N/M",J22/((J35+I35)/2)),"N/M")</f>
        <v>0.0635179424900605</v>
      </c>
      <c r="K135" s="25" t="n">
        <f aca="false">IFERROR(AVERAGE(D135:J135),"N/M")</f>
        <v>0.0711950517360836</v>
      </c>
      <c r="L135" s="86" t="n">
        <f aca="false">IFERROR(J135-D135,"N/M")</f>
        <v>0.0823227627414054</v>
      </c>
      <c r="M135" s="87" t="n">
        <f aca="false">IFERROR(SLOPE(D135:J135,$D$3:$J$3),"N/M")</f>
        <v>0.00970521431553772</v>
      </c>
    </row>
    <row r="136" customFormat="false" ht="15" hidden="false" customHeight="false" outlineLevel="0" collapsed="false">
      <c r="A136" s="18" t="s">
        <v>595</v>
      </c>
      <c r="B136" s="19" t="s">
        <v>596</v>
      </c>
      <c r="D136" s="46" t="n">
        <f aca="false">IFERROR(IF(((D35+C35)/2)&lt;=0,"N/M",(D22+(D19*(1-D60)))/((D35+C35)/2)),"N/M")</f>
        <v>0.0339259442279399</v>
      </c>
      <c r="E136" s="46" t="n">
        <f aca="false">IFERROR(IF(((E35+D35)/2)&lt;=0,"N/M",(E22+(E19*(1-E60)))/((E35+D35)/2)),"N/M")</f>
        <v>0.0659474103412921</v>
      </c>
      <c r="F136" s="46" t="n">
        <f aca="false">IFERROR(IF(((F35+E35)/2)&lt;=0,"N/M",(F22+(F19*(1-F60)))/((F35+E35)/2)),"N/M")</f>
        <v>0.156158525126966</v>
      </c>
      <c r="G136" s="46" t="n">
        <f aca="false">IFERROR(IF(((G35+F35)/2)&lt;=0,"N/M",(G22+(G19*(1-G60)))/((G35+F35)/2)),"N/M")</f>
        <v>0.1385605990049</v>
      </c>
      <c r="H136" s="46" t="n">
        <f aca="false">IFERROR(IF(((H35+G35)/2)&lt;=0,"N/M",(H22+(H19*(1-H60)))/((H35+G35)/2)),"N/M")</f>
        <v>0.107973462759518</v>
      </c>
      <c r="I136" s="46" t="n">
        <f aca="false">IFERROR(IF(((I35+H35)/2)&lt;=0,"N/M",(I22+(I19*(1-I60)))/((I35+H35)/2)),"N/M")</f>
        <v>0.0876830053303233</v>
      </c>
      <c r="J136" s="46" t="n">
        <f aca="false">IFERROR(IF(((J35+I35)/2)&lt;=0,"N/M",(J22+(J19*(1-J60)))/((J35+I35)/2)),"N/M")</f>
        <v>0.0801657668048234</v>
      </c>
      <c r="K136" s="25" t="n">
        <f aca="false">IFERROR(AVERAGE(D136:J136),"N/M")</f>
        <v>0.0957735305136803</v>
      </c>
      <c r="L136" s="86" t="n">
        <f aca="false">IFERROR(J136-D136,"N/M")</f>
        <v>0.0462398225768834</v>
      </c>
      <c r="M136" s="87" t="n">
        <f aca="false">IFERROR(SLOPE(D136:J136,$D$3:$J$3),"N/M")</f>
        <v>0.0047859141193309</v>
      </c>
    </row>
    <row r="137" customFormat="false" ht="15" hidden="false" customHeight="false" outlineLevel="0" collapsed="false">
      <c r="A137" s="18" t="s">
        <v>597</v>
      </c>
      <c r="B137" s="19" t="s">
        <v>598</v>
      </c>
      <c r="D137" s="46" t="n">
        <f aca="false">IFERROR(IF(((D35+C35)/2)&lt;=0,"N/M",D58/((D35+C35)/2)),"N/M")</f>
        <v>0.03515683786121</v>
      </c>
      <c r="E137" s="46" t="n">
        <f aca="false">IFERROR(IF(((E35+D35)/2)&lt;=0,"N/M",E58/((E35+D35)/2)),"N/M")</f>
        <v>0.0905489489402732</v>
      </c>
      <c r="F137" s="46" t="n">
        <f aca="false">IFERROR(IF(((F35+E35)/2)&lt;=0,"N/M",F58/((F35+E35)/2)),"N/M")</f>
        <v>0.209304965430766</v>
      </c>
      <c r="G137" s="46" t="n">
        <f aca="false">IFERROR(IF(((G35+F35)/2)&lt;=0,"N/M",G58/((G35+F35)/2)),"N/M")</f>
        <v>0.190042631944215</v>
      </c>
      <c r="H137" s="46" t="n">
        <f aca="false">IFERROR(IF(((H35+G35)/2)&lt;=0,"N/M",H58/((H35+G35)/2)),"N/M")</f>
        <v>0.140863023905062</v>
      </c>
      <c r="I137" s="46" t="n">
        <f aca="false">IFERROR(IF(((I35+H35)/2)&lt;=0,"N/M",I58/((I35+H35)/2)),"N/M")</f>
        <v>0.12062057987046</v>
      </c>
      <c r="J137" s="46" t="n">
        <f aca="false">IFERROR(IF(((J35+I35)/2)&lt;=0,"N/M",J58/((J35+I35)/2)),"N/M")</f>
        <v>0.105882065982764</v>
      </c>
      <c r="K137" s="25" t="n">
        <f aca="false">IFERROR(AVERAGE(D137:J137),"N/M")</f>
        <v>0.127488436276393</v>
      </c>
      <c r="L137" s="86" t="n">
        <f aca="false">IFERROR(J137-D137,"N/M")</f>
        <v>0.0707252281215542</v>
      </c>
      <c r="M137" s="87" t="n">
        <f aca="false">IFERROR(SLOPE(D137:J137,$D$3:$J$3),"N/M")</f>
        <v>0.0072813215964047</v>
      </c>
    </row>
    <row r="138" customFormat="false" ht="15" hidden="false" customHeight="false" outlineLevel="0" collapsed="false">
      <c r="A138" s="18" t="s">
        <v>141</v>
      </c>
      <c r="B138" s="19" t="s">
        <v>599</v>
      </c>
      <c r="D138" s="46" t="n">
        <f aca="false">IFERROR(IF(((D62+C62)/2)&lt;=0,"N/M",(D58*(1-D60))/((D62+C62)/2)),"N/M")</f>
        <v>0.0720881712209209</v>
      </c>
      <c r="E138" s="46" t="n">
        <f aca="false">IFERROR(IF(((E62+D62)/2)&lt;=0,"N/M",(E58*(1-E60))/((E62+D62)/2)),"N/M")</f>
        <v>0.116503431293853</v>
      </c>
      <c r="F138" s="46" t="n">
        <f aca="false">IFERROR(IF(((F62+E62)/2)&lt;=0,"N/M",(F58*(1-F60))/((F62+E62)/2)),"N/M")</f>
        <v>0.220677334132136</v>
      </c>
      <c r="G138" s="46" t="n">
        <f aca="false">IFERROR(IF(((G62+F62)/2)&lt;=0,"N/M",(G58*(1-G60))/((G62+F62)/2)),"N/M")</f>
        <v>0.197879718865935</v>
      </c>
      <c r="H138" s="46" t="n">
        <f aca="false">IFERROR(IF(((H62+G62)/2)&lt;=0,"N/M",(H58*(1-H60))/((H62+G62)/2)),"N/M")</f>
        <v>0.152257453011201</v>
      </c>
      <c r="I138" s="46" t="n">
        <f aca="false">IFERROR(IF(((I62+H62)/2)&lt;=0,"N/M",(I58*(1-I60))/((I62+H62)/2)),"N/M")</f>
        <v>0.12476882252213</v>
      </c>
      <c r="J138" s="46" t="n">
        <f aca="false">IFERROR(IF(((J62+I62)/2)&lt;=0,"N/M",(J58*(1-J60))/((J62+I62)/2)),"N/M")</f>
        <v>0.113853670673014</v>
      </c>
      <c r="K138" s="25" t="n">
        <f aca="false">IFERROR(AVERAGE(D138:J138),"N/M")</f>
        <v>0.142575514531313</v>
      </c>
      <c r="L138" s="86" t="n">
        <f aca="false">IFERROR(J138-D138,"N/M")</f>
        <v>0.0417654994520931</v>
      </c>
      <c r="M138" s="87" t="n">
        <f aca="false">IFERROR(SLOPE(D138:J138,$D$3:$J$3),"N/M")</f>
        <v>0.00262169284613924</v>
      </c>
    </row>
    <row r="139" customFormat="false" ht="15" hidden="false" customHeight="false" outlineLevel="0" collapsed="false">
      <c r="A139" s="18" t="s">
        <v>142</v>
      </c>
      <c r="B139" s="19" t="s">
        <v>600</v>
      </c>
      <c r="D139" s="46" t="n">
        <f aca="false">IFERROR(IF(((D61+C61)/2)&lt;=0,"N/M",D22/((D61+C61)/2)),"N/M")</f>
        <v>-0.0783491647559777</v>
      </c>
      <c r="E139" s="46" t="n">
        <f aca="false">IFERROR(IF(((E61+D61)/2)&lt;=0,"N/M",E22/((E61+D61)/2)),"N/M")</f>
        <v>0.188051238005523</v>
      </c>
      <c r="F139" s="46" t="n">
        <f aca="false">IFERROR(IF(((F61+E61)/2)&lt;=0,"N/M",F22/((F61+E61)/2)),"N/M")</f>
        <v>0.522162642166741</v>
      </c>
      <c r="G139" s="46" t="n">
        <f aca="false">IFERROR(IF(((G61+F61)/2)&lt;=0,"N/M",G22/((G61+F61)/2)),"N/M")</f>
        <v>0.361219565694231</v>
      </c>
      <c r="H139" s="46" t="n">
        <f aca="false">IFERROR(IF(((H61+G61)/2)&lt;=0,"N/M",H22/((H61+G61)/2)),"N/M")</f>
        <v>0.236380127452559</v>
      </c>
      <c r="I139" s="46" t="n">
        <f aca="false">IFERROR(IF(((I61+H61)/2)&lt;=0,"N/M",I22/((I61+H61)/2)),"N/M")</f>
        <v>0.172517607498864</v>
      </c>
      <c r="J139" s="46" t="n">
        <f aca="false">IFERROR(IF(((J61+I61)/2)&lt;=0,"N/M",J22/((J61+I61)/2)),"N/M")</f>
        <v>0.14832112762188</v>
      </c>
      <c r="K139" s="25" t="n">
        <f aca="false">IFERROR(AVERAGE(D139:J139),"N/M")</f>
        <v>0.221471877669117</v>
      </c>
      <c r="L139" s="86" t="n">
        <f aca="false">IFERROR(J139-D139,"N/M")</f>
        <v>0.226670292377857</v>
      </c>
      <c r="M139" s="87" t="n">
        <f aca="false">IFERROR(SLOPE(D139:J139,$D$3:$J$3),"N/M")</f>
        <v>0.0129700393359312</v>
      </c>
    </row>
    <row r="140" customFormat="false" ht="15" hidden="false" customHeight="false" outlineLevel="0" collapsed="false">
      <c r="A140" s="18" t="s">
        <v>601</v>
      </c>
      <c r="B140" s="19" t="s">
        <v>602</v>
      </c>
      <c r="D140" s="46" t="n">
        <f aca="false">IFERROR(IF(((D61+C61)/2)&lt;=0,"N/M",(D22-0)/((D61+C61)/2)),"N/M")</f>
        <v>-0.0783491647559777</v>
      </c>
      <c r="E140" s="46" t="n">
        <f aca="false">IFERROR(IF(((E61+D61)/2)&lt;=0,"N/M",(E22-0)/((E61+D61)/2)),"N/M")</f>
        <v>0.188051238005523</v>
      </c>
      <c r="F140" s="46" t="n">
        <f aca="false">IFERROR(IF(((F61+E61)/2)&lt;=0,"N/M",(F22-0)/((F61+E61)/2)),"N/M")</f>
        <v>0.522162642166741</v>
      </c>
      <c r="G140" s="46" t="n">
        <f aca="false">IFERROR(IF(((G61+F61)/2)&lt;=0,"N/M",(G22-0)/((G61+F61)/2)),"N/M")</f>
        <v>0.361219565694231</v>
      </c>
      <c r="H140" s="46" t="n">
        <f aca="false">IFERROR(IF(((H61+G61)/2)&lt;=0,"N/M",(H22-0)/((H61+G61)/2)),"N/M")</f>
        <v>0.236380127452559</v>
      </c>
      <c r="I140" s="46" t="n">
        <f aca="false">IFERROR(IF(((I61+H61)/2)&lt;=0,"N/M",(I22-0)/((I61+H61)/2)),"N/M")</f>
        <v>0.172517607498864</v>
      </c>
      <c r="J140" s="46" t="n">
        <f aca="false">IFERROR(IF(((J61+I61)/2)&lt;=0,"N/M",(J22-0)/((J61+I61)/2)),"N/M")</f>
        <v>0.14832112762188</v>
      </c>
      <c r="K140" s="25" t="n">
        <f aca="false">IFERROR(AVERAGE(D140:J140),"N/M")</f>
        <v>0.221471877669117</v>
      </c>
      <c r="L140" s="86" t="n">
        <f aca="false">IFERROR(J140-D140,"N/M")</f>
        <v>0.226670292377857</v>
      </c>
      <c r="M140" s="87" t="n">
        <f aca="false">IFERROR(SLOPE(D140:J140,$D$3:$J$3),"N/M")</f>
        <v>0.0129700393359312</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-17.662447257384</v>
      </c>
      <c r="E143" s="95" t="n">
        <f aca="false">IFERROR(IF(E48&lt;=0,"N/M",E22/E48),"N/M")</f>
        <v>42.957805907173</v>
      </c>
      <c r="F143" s="95" t="n">
        <f aca="false">IFERROR(IF(F48&lt;=0,"N/M",F22/F48),"N/M")</f>
        <v>161.270042194093</v>
      </c>
      <c r="G143" s="95" t="n">
        <f aca="false">IFERROR(IF(G48&lt;=0,"N/M",G22/G48),"N/M")</f>
        <v>156.341772151899</v>
      </c>
      <c r="H143" s="95" t="n">
        <f aca="false">IFERROR(IF(H48&lt;=0,"N/M",H22/H48),"N/M")</f>
        <v>127.008438818565</v>
      </c>
      <c r="I143" s="95" t="n">
        <f aca="false">IFERROR(IF(I48&lt;=0,"N/M",I22/I48),"N/M")</f>
        <v>106.506329113924</v>
      </c>
      <c r="J143" s="95" t="n">
        <f aca="false">IFERROR(IF(J48&lt;=0,"N/M",J22/J48),"N/M")</f>
        <v>104.383966244726</v>
      </c>
      <c r="K143" s="96" t="n">
        <f aca="false">IFERROR(AVERAGE(D143:J143),"N/M")</f>
        <v>97.2579867389994</v>
      </c>
      <c r="L143" s="97" t="n">
        <f aca="false">IFERROR(J143-D143,"N/M")</f>
        <v>122.04641350211</v>
      </c>
      <c r="M143" s="98" t="n">
        <f aca="false">IFERROR(SLOPE(D143:J143,$D$3:$J$3),"N/M")</f>
        <v>16.3919529837251</v>
      </c>
    </row>
    <row r="144" customFormat="false" ht="15" hidden="false" customHeight="false" outlineLevel="0" collapsed="false">
      <c r="A144" s="18" t="s">
        <v>606</v>
      </c>
      <c r="B144" s="19" t="s">
        <v>607</v>
      </c>
      <c r="D144" s="95" t="n">
        <f aca="false">IFERROR(IF(D48&lt;=0,"N/M",(D22+D18)/D48),"N/M")</f>
        <v>128.89029535865</v>
      </c>
      <c r="E144" s="95" t="n">
        <f aca="false">IFERROR(IF(E48&lt;=0,"N/M",(E22+E18)/E48),"N/M")</f>
        <v>224.392405063291</v>
      </c>
      <c r="F144" s="95" t="n">
        <f aca="false">IFERROR(IF(F48&lt;=0,"N/M",(F22+F18)/F48),"N/M")</f>
        <v>328.092827004219</v>
      </c>
      <c r="G144" s="95" t="n">
        <f aca="false">IFERROR(IF(G48&lt;=0,"N/M",(G22+G18)/G48),"N/M")</f>
        <v>322.789029535865</v>
      </c>
      <c r="H144" s="95" t="n">
        <f aca="false">IFERROR(IF(H48&lt;=0,"N/M",(H22+H18)/H48),"N/M")</f>
        <v>309.649789029536</v>
      </c>
      <c r="I144" s="95" t="n">
        <f aca="false">IFERROR(IF(I48&lt;=0,"N/M",(I22+I18)/I48),"N/M")</f>
        <v>311.122362869198</v>
      </c>
      <c r="J144" s="95" t="n">
        <f aca="false">IFERROR(IF(J48&lt;=0,"N/M",(J22+J18)/J48),"N/M")</f>
        <v>330.573839662447</v>
      </c>
      <c r="K144" s="96" t="n">
        <f aca="false">IFERROR(AVERAGE(D144:J144),"N/M")</f>
        <v>279.35864978903</v>
      </c>
      <c r="L144" s="97" t="n">
        <f aca="false">IFERROR(J144-D144,"N/M")</f>
        <v>201.683544303797</v>
      </c>
      <c r="M144" s="98" t="n">
        <f aca="false">IFERROR(SLOPE(D144:J144,$D$3:$J$3),"N/M")</f>
        <v>27.1452682338758</v>
      </c>
    </row>
    <row r="145" customFormat="false" ht="15" hidden="false" customHeight="false" outlineLevel="0" collapsed="false">
      <c r="A145" s="18" t="s">
        <v>608</v>
      </c>
      <c r="B145" s="19" t="s">
        <v>609</v>
      </c>
      <c r="D145" s="95" t="n">
        <f aca="false">IFERROR(IF(D48&lt;=0,"N/M",D61/D48),"N/M")</f>
        <v>207.101265822785</v>
      </c>
      <c r="E145" s="95" t="n">
        <f aca="false">IFERROR(IF(E48&lt;=0,"N/M",E61/E48),"N/M")</f>
        <v>249.772151898734</v>
      </c>
      <c r="F145" s="95" t="n">
        <f aca="false">IFERROR(IF(F48&lt;=0,"N/M",F61/F48),"N/M")</f>
        <v>367.928270042194</v>
      </c>
      <c r="G145" s="95" t="n">
        <f aca="false">IFERROR(IF(G48&lt;=0,"N/M",G61/G48),"N/M")</f>
        <v>497.704641350211</v>
      </c>
      <c r="H145" s="95" t="n">
        <f aca="false">IFERROR(IF(H48&lt;=0,"N/M",H61/H48),"N/M")</f>
        <v>576.907172995781</v>
      </c>
      <c r="I145" s="95" t="n">
        <f aca="false">IFERROR(IF(I48&lt;=0,"N/M",I61/I48),"N/M")</f>
        <v>657.822784810127</v>
      </c>
      <c r="J145" s="95" t="n">
        <f aca="false">IFERROR(IF(J48&lt;=0,"N/M",J61/J48),"N/M")</f>
        <v>749.717299578059</v>
      </c>
      <c r="K145" s="96" t="n">
        <f aca="false">IFERROR(AVERAGE(D145:J145),"N/M")</f>
        <v>472.42194092827</v>
      </c>
      <c r="L145" s="97" t="n">
        <f aca="false">IFERROR(J145-D145,"N/M")</f>
        <v>542.616033755274</v>
      </c>
      <c r="M145" s="98" t="n">
        <f aca="false">IFERROR(SLOPE(D145:J145,$D$3:$J$3),"N/M")</f>
        <v>94.7474382157926</v>
      </c>
    </row>
    <row r="146" customFormat="false" ht="15" hidden="false" customHeight="false" outlineLevel="0" collapsed="false">
      <c r="A146" s="18" t="s">
        <v>145</v>
      </c>
      <c r="B146" s="19" t="s">
        <v>610</v>
      </c>
      <c r="D146" s="47" t="n">
        <f aca="false">IFERROR(IF(D49=0,"N/C",IF(D145&lt;=0,"N/M",D47/D145)),"N/M")</f>
        <v>10.6182354379317</v>
      </c>
      <c r="E146" s="47" t="n">
        <f aca="false">IFERROR(IF(E49=0,"N/C",IF(E145&lt;=0,"N/M",E47/E145)),"N/M")</f>
        <v>22.3177402189337</v>
      </c>
      <c r="F146" s="47" t="n">
        <f aca="false">IFERROR(IF(F49=0,"N/C",IF(F145&lt;=0,"N/M",F47/F145)),"N/M")</f>
        <v>18.6510539111687</v>
      </c>
      <c r="G146" s="47" t="n">
        <f aca="false">IFERROR(IF(G49=0,"N/C",IF(G145&lt;=0,"N/M",G47/G145)),"N/M")</f>
        <v>12.4832068737495</v>
      </c>
      <c r="H146" s="47" t="n">
        <f aca="false">IFERROR(IF(H49=0,"N/C",IF(H145&lt;=0,"N/M",H47/H145)),"N/M")</f>
        <v>10.7191421591931</v>
      </c>
      <c r="I146" s="47" t="n">
        <f aca="false">IFERROR(IF(I49=0,"N/C",IF(I145&lt;=0,"N/M",I47/I145)),"N/M")</f>
        <v>9.32850023091133</v>
      </c>
      <c r="J146" s="47" t="n">
        <f aca="false">IFERROR(IF(J49=0,"N/C",IF(J145&lt;=0,"N/M",J47/J145)),"N/M")</f>
        <v>6.33171997321072</v>
      </c>
      <c r="K146" s="22" t="n">
        <f aca="false">IFERROR(AVERAGE(D146:J146),"N/M")</f>
        <v>12.9213712578713</v>
      </c>
      <c r="L146" s="82" t="n">
        <f aca="false">IFERROR(J146-D146,"N/M")</f>
        <v>-4.28651546472095</v>
      </c>
      <c r="M146" s="83" t="n">
        <f aca="false">IFERROR(SLOPE(D146:J146,$D$3:$J$3),"N/M")</f>
        <v>-1.67035493293511</v>
      </c>
    </row>
    <row r="147" customFormat="false" ht="15" hidden="false" customHeight="false" outlineLevel="0" collapsed="false">
      <c r="A147" s="18" t="s">
        <v>611</v>
      </c>
      <c r="B147" s="19" t="s">
        <v>612</v>
      </c>
      <c r="D147" s="95" t="n">
        <f aca="false">IFERROR(IF(D48&lt;=0,"N/M",D23/D48),"N/M")</f>
        <v>0</v>
      </c>
      <c r="E147" s="95" t="n">
        <f aca="false">IFERROR(IF(E48&lt;=0,"N/M",E23/E48),"N/M")</f>
        <v>15.0379746835443</v>
      </c>
      <c r="F147" s="95" t="n">
        <f aca="false">IFERROR(IF(F48&lt;=0,"N/M",F23/F48),"N/M")</f>
        <v>60.1518987341772</v>
      </c>
      <c r="G147" s="95" t="n">
        <f aca="false">IFERROR(IF(G48&lt;=0,"N/M",G23/G48),"N/M")</f>
        <v>30.0759493670886</v>
      </c>
      <c r="H147" s="95" t="n">
        <f aca="false">IFERROR(IF(H48&lt;=0,"N/M",H23/H48),"N/M")</f>
        <v>25.0632911392405</v>
      </c>
      <c r="I147" s="95" t="n">
        <f aca="false">IFERROR(IF(I48&lt;=0,"N/M",I23/I48),"N/M")</f>
        <v>25.0632911392405</v>
      </c>
      <c r="J147" s="95" t="n">
        <f aca="false">IFERROR(IF(J48&lt;=0,"N/M",J23/J48),"N/M")</f>
        <v>25.0632911392405</v>
      </c>
      <c r="K147" s="96" t="n">
        <f aca="false">IFERROR(AVERAGE(D147:J147),"N/M")</f>
        <v>25.7793851717902</v>
      </c>
      <c r="L147" s="97" t="n">
        <f aca="false">IFERROR(J147-D147,"N/M")</f>
        <v>25.0632911392405</v>
      </c>
      <c r="M147" s="98" t="n">
        <f aca="false">IFERROR(SLOPE(D147:J147,$D$3:$J$3),"N/M")</f>
        <v>2.14828209764919</v>
      </c>
    </row>
    <row r="148" customFormat="false" ht="15" hidden="false" customHeight="false" outlineLevel="0" collapsed="false">
      <c r="A148" s="18" t="s">
        <v>613</v>
      </c>
      <c r="B148" s="19" t="s">
        <v>614</v>
      </c>
      <c r="D148" s="46" t="str">
        <f aca="false">IFERROR(IF(D143&lt;=0,"N/M",D147/D143),"N/M")</f>
        <v>N/M</v>
      </c>
      <c r="E148" s="46" t="n">
        <f aca="false">IFERROR(IF(E143&lt;=0,"N/M",E147/E143),"N/M")</f>
        <v>0.350063844416069</v>
      </c>
      <c r="F148" s="46" t="n">
        <f aca="false">IFERROR(IF(F143&lt;=0,"N/M",F147/F143),"N/M")</f>
        <v>0.372988671149368</v>
      </c>
      <c r="G148" s="46" t="n">
        <f aca="false">IFERROR(IF(G143&lt;=0,"N/M",G147/G143),"N/M")</f>
        <v>0.192373087199417</v>
      </c>
      <c r="H148" s="46" t="n">
        <f aca="false">IFERROR(IF(H143&lt;=0,"N/M",H147/H143),"N/M")</f>
        <v>0.197335636689811</v>
      </c>
      <c r="I148" s="46" t="n">
        <f aca="false">IFERROR(IF(I143&lt;=0,"N/M",I147/I143),"N/M")</f>
        <v>0.235322082243879</v>
      </c>
      <c r="J148" s="46" t="n">
        <f aca="false">IFERROR(IF(J143&lt;=0,"N/M",J147/J143),"N/M")</f>
        <v>0.240106714095153</v>
      </c>
      <c r="K148" s="25" t="n">
        <f aca="false">IFERROR(AVERAGE(D148:J148),"N/M")</f>
        <v>0.26469833929895</v>
      </c>
      <c r="L148" s="86" t="str">
        <f aca="false">IFERROR(J148-D148,"N/M")</f>
        <v>N/M</v>
      </c>
      <c r="M148" s="87" t="n">
        <f aca="false">IFERROR(SLOPE(D148:J148,$D$3:$J$3),"N/M")</f>
        <v>-0.0273663676808758</v>
      </c>
    </row>
    <row r="149" customFormat="false" ht="15" hidden="false" customHeight="false" outlineLevel="0" collapsed="false">
      <c r="A149" s="18" t="s">
        <v>615</v>
      </c>
      <c r="B149" s="19" t="s">
        <v>616</v>
      </c>
      <c r="D149" s="46" t="str">
        <f aca="false">IFERROR((1-D148),"N/M")</f>
        <v>N/M</v>
      </c>
      <c r="E149" s="46" t="n">
        <f aca="false">IFERROR((1-E148),"N/M")</f>
        <v>0.649936155583931</v>
      </c>
      <c r="F149" s="46" t="n">
        <f aca="false">IFERROR((1-F148),"N/M")</f>
        <v>0.627011328850632</v>
      </c>
      <c r="G149" s="46" t="n">
        <f aca="false">IFERROR((1-G148),"N/M")</f>
        <v>0.807626912800583</v>
      </c>
      <c r="H149" s="46" t="n">
        <f aca="false">IFERROR((1-H148),"N/M")</f>
        <v>0.802664363310189</v>
      </c>
      <c r="I149" s="46" t="n">
        <f aca="false">IFERROR((1-I148),"N/M")</f>
        <v>0.764677917756121</v>
      </c>
      <c r="J149" s="46" t="n">
        <f aca="false">IFERROR((1-J148),"N/M")</f>
        <v>0.759893285904847</v>
      </c>
      <c r="K149" s="25" t="n">
        <f aca="false">IFERROR(AVERAGE(D149:J149),"N/M")</f>
        <v>0.73530166070105</v>
      </c>
      <c r="L149" s="86" t="str">
        <f aca="false">IFERROR(J149-D149,"N/M")</f>
        <v>N/M</v>
      </c>
      <c r="M149" s="87" t="n">
        <f aca="false">IFERROR(SLOPE(D149:J149,$D$3:$J$3),"N/M")</f>
        <v>0.0273663676808758</v>
      </c>
    </row>
    <row r="150" customFormat="false" ht="15" hidden="false" customHeight="false" outlineLevel="0" collapsed="false">
      <c r="A150" s="18" t="s">
        <v>617</v>
      </c>
      <c r="B150" s="19" t="s">
        <v>618</v>
      </c>
      <c r="D150" s="46" t="n">
        <f aca="false">IFERROR(IF(D49=0,"N/C",IF(D47&lt;=0,"N/M",D143/D47)),"N/M")</f>
        <v>-0.00803185341733202</v>
      </c>
      <c r="E150" s="46" t="n">
        <f aca="false">IFERROR(IF(E49=0,"N/C",IF(E47&lt;=0,"N/M",E143/E47)),"N/M")</f>
        <v>0.00770633453356409</v>
      </c>
      <c r="F150" s="46" t="n">
        <f aca="false">IFERROR(IF(F49=0,"N/C",IF(F47&lt;=0,"N/M",F143/F47)),"N/M")</f>
        <v>0.0235010444379165</v>
      </c>
      <c r="G150" s="46" t="n">
        <f aca="false">IFERROR(IF(G49=0,"N/C",IF(G47&lt;=0,"N/M",G143/G47)),"N/M")</f>
        <v>0.0251638548760088</v>
      </c>
      <c r="H150" s="46" t="n">
        <f aca="false">IFERROR(IF(H49=0,"N/C",IF(H47&lt;=0,"N/M",H143/H47)),"N/M")</f>
        <v>0.0205384000224073</v>
      </c>
      <c r="I150" s="46" t="n">
        <f aca="false">IFERROR(IF(I49=0,"N/C",IF(I47&lt;=0,"N/M",I143/I47)),"N/M")</f>
        <v>0.0173562012733519</v>
      </c>
      <c r="J150" s="46" t="n">
        <f aca="false">IFERROR(IF(J49=0,"N/C",IF(J47&lt;=0,"N/M",J143/J47)),"N/M")</f>
        <v>0.021989459920945</v>
      </c>
      <c r="K150" s="25" t="n">
        <f aca="false">IFERROR(AVERAGE(D150:J150),"N/M")</f>
        <v>0.0154604916638374</v>
      </c>
      <c r="L150" s="86" t="n">
        <f aca="false">IFERROR(J150-D150,"N/M")</f>
        <v>0.030021313338277</v>
      </c>
      <c r="M150" s="87" t="n">
        <f aca="false">IFERROR(SLOPE(D150:J150,$D$3:$J$3),"N/M")</f>
        <v>0.00380003675281776</v>
      </c>
    </row>
    <row r="151" customFormat="false" ht="15" hidden="false" customHeight="false" outlineLevel="0" collapsed="false">
      <c r="A151" s="18" t="s">
        <v>146</v>
      </c>
      <c r="B151" s="19" t="s">
        <v>619</v>
      </c>
      <c r="D151" s="46" t="n">
        <f aca="false">IFERROR(IF(D49=0,"N/C",IF(D47&lt;=0,"N/M",D147/D47)),"N/M")</f>
        <v>0</v>
      </c>
      <c r="E151" s="46" t="n">
        <f aca="false">IFERROR(IF(E49=0,"N/C",IF(E47&lt;=0,"N/M",E147/E47)),"N/M")</f>
        <v>0.00269770909317576</v>
      </c>
      <c r="F151" s="46" t="n">
        <f aca="false">IFERROR(IF(F49=0,"N/C",IF(F47&lt;=0,"N/M",F147/F47)),"N/M")</f>
        <v>0.00876562333552074</v>
      </c>
      <c r="G151" s="46" t="n">
        <f aca="false">IFERROR(IF(G49=0,"N/C",IF(G47&lt;=0,"N/M",G147/G47)),"N/M")</f>
        <v>0.00484084844833591</v>
      </c>
      <c r="H151" s="46" t="n">
        <f aca="false">IFERROR(IF(H49=0,"N/C",IF(H47&lt;=0,"N/M",H147/H47)),"N/M")</f>
        <v>0.00405295824501177</v>
      </c>
      <c r="I151" s="46" t="n">
        <f aca="false">IFERROR(IF(I49=0,"N/C",IF(I47&lt;=0,"N/M",I147/I47)),"N/M")</f>
        <v>0.00408429742348904</v>
      </c>
      <c r="J151" s="46" t="n">
        <f aca="false">IFERROR(IF(J49=0,"N/C",IF(J47&lt;=0,"N/M",J147/J47)),"N/M")</f>
        <v>0.00527981696634517</v>
      </c>
      <c r="K151" s="25" t="n">
        <f aca="false">IFERROR(AVERAGE(D151:J151),"N/M")</f>
        <v>0.00424589335883977</v>
      </c>
      <c r="L151" s="86" t="n">
        <f aca="false">IFERROR(J151-D151,"N/M")</f>
        <v>0.00527981696634517</v>
      </c>
      <c r="M151" s="87" t="n">
        <f aca="false">IFERROR(SLOPE(D151:J151,$D$3:$J$3),"N/M")</f>
        <v>0.000496427231041182</v>
      </c>
    </row>
    <row r="152" customFormat="false" ht="15" hidden="false" customHeight="false" outlineLevel="0" collapsed="false">
      <c r="A152" s="18" t="s">
        <v>143</v>
      </c>
      <c r="B152" s="19" t="s">
        <v>620</v>
      </c>
      <c r="D152" s="47" t="str">
        <f aca="false">IFERROR(IF(D49=0,"N/C",IF(D143&lt;=0,"N/M",D47/D143)),"N/M")</f>
        <v>N/M</v>
      </c>
      <c r="E152" s="47" t="n">
        <f aca="false">IFERROR(IF(E49=0,"N/C",IF(E143&lt;=0,"N/M",E47/E143)),"N/M")</f>
        <v>129.763377860721</v>
      </c>
      <c r="F152" s="47" t="n">
        <f aca="false">IFERROR(IF(F49=0,"N/C",IF(F143&lt;=0,"N/M",F47/F143)),"N/M")</f>
        <v>42.5513003322781</v>
      </c>
      <c r="G152" s="47" t="n">
        <f aca="false">IFERROR(IF(G49=0,"N/C",IF(G143&lt;=0,"N/M",G47/G143)),"N/M")</f>
        <v>39.739539308558</v>
      </c>
      <c r="H152" s="47" t="n">
        <f aca="false">IFERROR(IF(H49=0,"N/C",IF(H143&lt;=0,"N/M",H47/H143)),"N/M")</f>
        <v>48.6892844091558</v>
      </c>
      <c r="I152" s="47" t="n">
        <f aca="false">IFERROR(IF(I49=0,"N/C",IF(I143&lt;=0,"N/M",I47/I143)),"N/M")</f>
        <v>57.6162942714524</v>
      </c>
      <c r="J152" s="47" t="n">
        <f aca="false">IFERROR(IF(J49=0,"N/C",IF(J143&lt;=0,"N/M",J47/J143)),"N/M")</f>
        <v>45.4763329156393</v>
      </c>
      <c r="K152" s="22" t="n">
        <f aca="false">IFERROR(AVERAGE(D152:J152),"N/M")</f>
        <v>60.6393548496341</v>
      </c>
      <c r="L152" s="82" t="str">
        <f aca="false">IFERROR(J152-D152,"N/M")</f>
        <v>N/M</v>
      </c>
      <c r="M152" s="83" t="n">
        <f aca="false">IFERROR(SLOPE(D152:J152,$D$3:$J$3),"N/M")</f>
        <v>-10.4940142230654</v>
      </c>
    </row>
    <row r="153" customFormat="false" ht="15" hidden="false" customHeight="false" outlineLevel="0" collapsed="false">
      <c r="A153" s="18" t="s">
        <v>148</v>
      </c>
      <c r="B153" s="19" t="s">
        <v>621</v>
      </c>
      <c r="D153" s="46" t="n">
        <f aca="false">IFERROR(IF(C47&lt;=0,"N/M",((D147+D47)-C47)/C47),"N/M")</f>
        <v>-0.388107461357597</v>
      </c>
      <c r="E153" s="46" t="n">
        <f aca="false">IFERROR(IF(D47&lt;=0,"N/M",((E147+E47)-D47)/D47),"N/M")</f>
        <v>1.54172846214663</v>
      </c>
      <c r="F153" s="46" t="n">
        <f aca="false">IFERROR(IF(E47&lt;=0,"N/M",((F147+F47)-E47)/E47),"N/M")</f>
        <v>0.241831226732117</v>
      </c>
      <c r="G153" s="46" t="n">
        <f aca="false">IFERROR(IF(F47&lt;=0,"N/M",((G147+G47)-F47)/F47),"N/M")</f>
        <v>-0.0902363001395915</v>
      </c>
      <c r="H153" s="46" t="n">
        <f aca="false">IFERROR(IF(G47&lt;=0,"N/M",((H147+H47)-G47)/G47),"N/M")</f>
        <v>-0.000633629573835233</v>
      </c>
      <c r="I153" s="46" t="n">
        <f aca="false">IFERROR(IF(H47&lt;=0,"N/M",((I147+I47)-H47)/H47),"N/M")</f>
        <v>-0.00362013096172502</v>
      </c>
      <c r="J153" s="46" t="n">
        <f aca="false">IFERROR(IF(I47&lt;=0,"N/M",((J147+J47)-I47)/I47),"N/M")</f>
        <v>-0.22234770779121</v>
      </c>
      <c r="K153" s="25" t="n">
        <f aca="false">IFERROR(AVERAGE(D153:J153),"N/M")</f>
        <v>0.15408777986497</v>
      </c>
      <c r="L153" s="86" t="n">
        <f aca="false">IFERROR(J153-D153,"N/M")</f>
        <v>0.165759753566387</v>
      </c>
      <c r="M153" s="87" t="n">
        <f aca="false">IFERROR(SLOPE(D153:J153,$D$3:$J$3),"N/M")</f>
        <v>-0.101281527922268</v>
      </c>
    </row>
    <row r="154" customFormat="false" ht="15" hidden="false" customHeight="false" outlineLevel="0" collapsed="false">
      <c r="A154" s="18" t="s">
        <v>147</v>
      </c>
      <c r="B154" s="19" t="s">
        <v>622</v>
      </c>
      <c r="D154" s="47" t="n">
        <f aca="false">IFERROR(IF(D49=0,"N/C",IF(D59&lt;=0,"N/M",D70/D59)),"N/M")</f>
        <v>13.2562994901196</v>
      </c>
      <c r="E154" s="47" t="n">
        <f aca="false">IFERROR(IF(E49=0,"N/C",IF(E59&lt;=0,"N/M",E70/E59)),"N/M")</f>
        <v>21.1870016452684</v>
      </c>
      <c r="F154" s="47" t="n">
        <f aca="false">IFERROR(IF(F49=0,"N/C",IF(F59&lt;=0,"N/M",F70/F59)),"N/M")</f>
        <v>17.2377089973156</v>
      </c>
      <c r="G154" s="47" t="n">
        <f aca="false">IFERROR(IF(G49=0,"N/C",IF(G59&lt;=0,"N/M",G70/G59)),"N/M")</f>
        <v>16.2442745453983</v>
      </c>
      <c r="H154" s="47" t="n">
        <f aca="false">IFERROR(IF(H49=0,"N/C",IF(H59&lt;=0,"N/M",H70/H59)),"N/M")</f>
        <v>17.2225841614838</v>
      </c>
      <c r="I154" s="47" t="n">
        <f aca="false">IFERROR(IF(I49=0,"N/C",IF(I59&lt;=0,"N/M",I70/I59)),"N/M")</f>
        <v>16.8201285850181</v>
      </c>
      <c r="J154" s="47" t="n">
        <f aca="false">IFERROR(IF(J49=0,"N/C",IF(J59&lt;=0,"N/M",J70/J59)),"N/M")</f>
        <v>12.8137296248656</v>
      </c>
      <c r="K154" s="22" t="n">
        <f aca="false">IFERROR(AVERAGE(D154:J154),"N/M")</f>
        <v>16.3973895784956</v>
      </c>
      <c r="L154" s="82" t="n">
        <f aca="false">IFERROR(J154-D154,"N/M")</f>
        <v>-0.442569865254027</v>
      </c>
      <c r="M154" s="83" t="n">
        <f aca="false">IFERROR(SLOPE(D154:J154,$D$3:$J$3),"N/M")</f>
        <v>-0.359877876860515</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-0.0131837121629666</v>
      </c>
      <c r="E157" s="46" t="n">
        <f aca="false">IFERROR(E124,"N/M")</f>
        <v>0.030962887720376</v>
      </c>
      <c r="F157" s="46" t="n">
        <f aca="false">IFERROR(F124,"N/M")</f>
        <v>0.0866593054286485</v>
      </c>
      <c r="G157" s="46" t="n">
        <f aca="false">IFERROR(G124,"N/M")</f>
        <v>0.0716384840552026</v>
      </c>
      <c r="H157" s="46" t="n">
        <f aca="false">IFERROR(H124,"N/M")</f>
        <v>0.0571411757782616</v>
      </c>
      <c r="I157" s="46" t="n">
        <f aca="false">IFERROR(I124,"N/M")</f>
        <v>0.0441279819865808</v>
      </c>
      <c r="J157" s="46" t="n">
        <f aca="false">IFERROR(J124,"N/M")</f>
        <v>0.040285757090189</v>
      </c>
      <c r="K157" s="25" t="n">
        <f aca="false">IFERROR(AVERAGE(D157:J157),"N/M")</f>
        <v>0.0453759828423274</v>
      </c>
      <c r="L157" s="86" t="n">
        <f aca="false">IFERROR(J157-D157,"N/M")</f>
        <v>0.0534694692531556</v>
      </c>
      <c r="M157" s="87" t="n">
        <f aca="false">IFERROR(SLOPE(D157:J157,$D$3:$J$3),"N/M")</f>
        <v>0.00561501666576748</v>
      </c>
    </row>
    <row r="158" customFormat="false" ht="15" hidden="false" customHeight="false" outlineLevel="0" collapsed="false">
      <c r="A158" s="18" t="s">
        <v>625</v>
      </c>
      <c r="B158" s="19" t="s">
        <v>626</v>
      </c>
      <c r="D158" s="47" t="n">
        <f aca="false">IFERROR(D113,"N/M")</f>
        <v>1.42636762839591</v>
      </c>
      <c r="E158" s="47" t="n">
        <f aca="false">IFERROR(E113,"N/M")</f>
        <v>1.18743206300941</v>
      </c>
      <c r="F158" s="47" t="n">
        <f aca="false">IFERROR(F113,"N/M")</f>
        <v>1.54046233184718</v>
      </c>
      <c r="G158" s="47" t="n">
        <f aca="false">IFERROR(G113,"N/M")</f>
        <v>1.70931623649162</v>
      </c>
      <c r="H158" s="47" t="n">
        <f aca="false">IFERROR(H113,"N/M")</f>
        <v>1.57626489765019</v>
      </c>
      <c r="I158" s="47" t="n">
        <f aca="false">IFERROR(I113,"N/M")</f>
        <v>1.60596659582293</v>
      </c>
      <c r="J158" s="47" t="n">
        <f aca="false">IFERROR(J113,"N/M")</f>
        <v>1.57668484044772</v>
      </c>
      <c r="K158" s="22" t="n">
        <f aca="false">IFERROR(AVERAGE(D158:J158),"N/M")</f>
        <v>1.51749922766642</v>
      </c>
      <c r="L158" s="82" t="n">
        <f aca="false">IFERROR(J158-D158,"N/M")</f>
        <v>0.150317212051817</v>
      </c>
      <c r="M158" s="83" t="n">
        <f aca="false">IFERROR(SLOPE(D158:J158,$D$3:$J$3),"N/M")</f>
        <v>0.0472794024137678</v>
      </c>
    </row>
    <row r="159" customFormat="false" ht="15" hidden="false" customHeight="false" outlineLevel="0" collapsed="false">
      <c r="A159" s="18" t="s">
        <v>627</v>
      </c>
      <c r="B159" s="19" t="s">
        <v>628</v>
      </c>
      <c r="D159" s="46" t="n">
        <f aca="false">IFERROR((D157*D158),"N/M")</f>
        <v>-0.0188048202513449</v>
      </c>
      <c r="E159" s="46" t="n">
        <f aca="false">IFERROR((E157*E158),"N/M")</f>
        <v>0.036766325642535</v>
      </c>
      <c r="F159" s="46" t="n">
        <f aca="false">IFERROR((F157*F158),"N/M")</f>
        <v>0.133495395716873</v>
      </c>
      <c r="G159" s="46" t="n">
        <f aca="false">IFERROR((G157*G158),"N/M")</f>
        <v>0.122452823953204</v>
      </c>
      <c r="H159" s="46" t="n">
        <f aca="false">IFERROR((H157*H158),"N/M")</f>
        <v>0.090069629589733</v>
      </c>
      <c r="I159" s="46" t="n">
        <f aca="false">IFERROR((I157*I158),"N/M")</f>
        <v>0.070868065011525</v>
      </c>
      <c r="J159" s="46" t="n">
        <f aca="false">IFERROR((J157*J158),"N/M")</f>
        <v>0.0635179424900605</v>
      </c>
      <c r="K159" s="25" t="n">
        <f aca="false">IFERROR(AVERAGE(D159:J159),"N/M")</f>
        <v>0.0711950517360836</v>
      </c>
      <c r="L159" s="86" t="n">
        <f aca="false">IFERROR(J159-D159,"N/M")</f>
        <v>0.0823227627414054</v>
      </c>
      <c r="M159" s="87" t="n">
        <f aca="false">IFERROR(SLOPE(D159:J159,$D$3:$J$3),"N/M")</f>
        <v>0.00970521431553772</v>
      </c>
    </row>
    <row r="160" customFormat="false" ht="15" hidden="false" customHeight="false" outlineLevel="0" collapsed="false">
      <c r="A160" s="18" t="s">
        <v>629</v>
      </c>
      <c r="B160" s="19" t="s">
        <v>630</v>
      </c>
      <c r="D160" s="47" t="n">
        <f aca="false">IFERROR(IF(((D61+C61)/2)&lt;=0,"N/M",((D35+C35)/2)/((D61+C61)/2)),"N/M")</f>
        <v>4.16644050348603</v>
      </c>
      <c r="E160" s="47" t="n">
        <f aca="false">IFERROR(IF(((E61+D61)/2)&lt;=0,"N/M",((E35+D35)/2)/((E61+D61)/2)),"N/M")</f>
        <v>5.11476832996241</v>
      </c>
      <c r="F160" s="47" t="n">
        <f aca="false">IFERROR(IF(((F61+E61)/2)&lt;=0,"N/M",((F35+E35)/2)/((F61+E61)/2)),"N/M")</f>
        <v>3.91146555551761</v>
      </c>
      <c r="G160" s="47" t="n">
        <f aca="false">IFERROR(IF(((G61+F61)/2)&lt;=0,"N/M",((G35+F35)/2)/((G61+F61)/2)),"N/M")</f>
        <v>2.94986717360045</v>
      </c>
      <c r="H160" s="47" t="n">
        <f aca="false">IFERROR(IF(((H61+G61)/2)&lt;=0,"N/M",((H35+G35)/2)/((H61+G61)/2)),"N/M")</f>
        <v>2.62441544979445</v>
      </c>
      <c r="I160" s="47" t="n">
        <f aca="false">IFERROR(IF(((I61+H61)/2)&lt;=0,"N/M",((I35+H35)/2)/((I61+H61)/2)),"N/M")</f>
        <v>2.43434906076253</v>
      </c>
      <c r="J160" s="47" t="n">
        <f aca="false">IFERROR(IF(((J61+I61)/2)&lt;=0,"N/M",((J35+I35)/2)/((J61+I61)/2)),"N/M")</f>
        <v>2.33510598434591</v>
      </c>
      <c r="K160" s="22" t="n">
        <f aca="false">IFERROR(AVERAGE(D160:J160),"N/M")</f>
        <v>3.36234457963849</v>
      </c>
      <c r="L160" s="82" t="n">
        <f aca="false">IFERROR(J160-D160,"N/M")</f>
        <v>-1.83133451914012</v>
      </c>
      <c r="M160" s="83" t="n">
        <f aca="false">IFERROR(SLOPE(D160:J160,$D$3:$J$3),"N/M")</f>
        <v>-0.433639007197974</v>
      </c>
    </row>
    <row r="161" customFormat="false" ht="15" hidden="false" customHeight="false" outlineLevel="0" collapsed="false">
      <c r="A161" s="18" t="s">
        <v>631</v>
      </c>
      <c r="B161" s="19" t="s">
        <v>632</v>
      </c>
      <c r="D161" s="46" t="n">
        <f aca="false">IFERROR(((D157*D158)*D160),"N/M")</f>
        <v>-0.0783491647559777</v>
      </c>
      <c r="E161" s="46" t="n">
        <f aca="false">IFERROR(((E157*E158)*E160),"N/M")</f>
        <v>0.188051238005523</v>
      </c>
      <c r="F161" s="46" t="n">
        <f aca="false">IFERROR(((F157*F158)*F160),"N/M")</f>
        <v>0.522162642166741</v>
      </c>
      <c r="G161" s="46" t="n">
        <f aca="false">IFERROR(((G157*G158)*G160),"N/M")</f>
        <v>0.361219565694231</v>
      </c>
      <c r="H161" s="46" t="n">
        <f aca="false">IFERROR(((H157*H158)*H160),"N/M")</f>
        <v>0.236380127452559</v>
      </c>
      <c r="I161" s="46" t="n">
        <f aca="false">IFERROR(((I157*I158)*I160),"N/M")</f>
        <v>0.172517607498864</v>
      </c>
      <c r="J161" s="46" t="n">
        <f aca="false">IFERROR(((J157*J158)*J160),"N/M")</f>
        <v>0.14832112762188</v>
      </c>
      <c r="K161" s="25" t="n">
        <f aca="false">IFERROR(AVERAGE(D161:J161),"N/M")</f>
        <v>0.221471877669117</v>
      </c>
      <c r="L161" s="86" t="n">
        <f aca="false">IFERROR(J161-D161,"N/M")</f>
        <v>0.226670292377858</v>
      </c>
      <c r="M161" s="87" t="n">
        <f aca="false">IFERROR(SLOPE(D161:J161,$D$3:$J$3),"N/M")</f>
        <v>0.0129700393359312</v>
      </c>
    </row>
    <row r="162" customFormat="false" ht="15" hidden="false" customHeight="false" outlineLevel="0" collapsed="false">
      <c r="A162" s="18" t="s">
        <v>633</v>
      </c>
      <c r="B162" s="19" t="s">
        <v>634</v>
      </c>
      <c r="D162" s="47" t="n">
        <f aca="false">IFERROR(IF(D20=0,"N/M",D22/D20),"N/M")</f>
        <v>1.0700408997955</v>
      </c>
      <c r="E162" s="47" t="n">
        <f aca="false">IFERROR(IF(E20=0,"N/M",E22/E20),"N/M")</f>
        <v>0.728306745833035</v>
      </c>
      <c r="F162" s="47" t="n">
        <f aca="false">IFERROR(IF(F20=0,"N/M",F22/F20),"N/M")</f>
        <v>0.746081321126706</v>
      </c>
      <c r="G162" s="47" t="n">
        <f aca="false">IFERROR(IF(G20=0,"N/M",G22/G20),"N/M")</f>
        <v>0.729102715466352</v>
      </c>
      <c r="H162" s="47" t="n">
        <f aca="false">IFERROR(IF(H20=0,"N/M",H22/H20),"N/M")</f>
        <v>0.766513878278584</v>
      </c>
      <c r="I162" s="47" t="n">
        <f aca="false">IFERROR(IF(I20=0,"N/M",I22/I20),"N/M")</f>
        <v>0.72693238106209</v>
      </c>
      <c r="J162" s="47" t="n">
        <f aca="false">IFERROR(IF(J20=0,"N/M",J22/J20),"N/M")</f>
        <v>0.757123182861515</v>
      </c>
      <c r="K162" s="22" t="n">
        <f aca="false">IFERROR(AVERAGE(D162:J162),"N/M")</f>
        <v>0.789157303489112</v>
      </c>
      <c r="L162" s="82" t="n">
        <f aca="false">IFERROR(J162-D162,"N/M")</f>
        <v>-0.312917716933986</v>
      </c>
      <c r="M162" s="83" t="n">
        <f aca="false">IFERROR(SLOPE(D162:J162,$D$3:$J$3),"N/M")</f>
        <v>-0.0328953329711418</v>
      </c>
    </row>
    <row r="163" customFormat="false" ht="15" hidden="false" customHeight="false" outlineLevel="0" collapsed="false">
      <c r="A163" s="18" t="s">
        <v>635</v>
      </c>
      <c r="B163" s="19" t="s">
        <v>636</v>
      </c>
      <c r="D163" s="47" t="n">
        <f aca="false">IFERROR(IF(D58=0,"N/M",D20/D58),"N/M")</f>
        <v>-0.499872220802453</v>
      </c>
      <c r="E163" s="47" t="n">
        <f aca="false">IFERROR(IF(E58=0,"N/M",E20/E58),"N/M")</f>
        <v>0.55750977107761</v>
      </c>
      <c r="F163" s="47" t="n">
        <f aca="false">IFERROR(IF(F58=0,"N/M",F20/F58),"N/M")</f>
        <v>0.85487100757601</v>
      </c>
      <c r="G163" s="47" t="n">
        <f aca="false">IFERROR(IF(G58=0,"N/M",G20/G58),"N/M")</f>
        <v>0.883749239196592</v>
      </c>
      <c r="H163" s="47" t="n">
        <f aca="false">IFERROR(IF(H58=0,"N/M",H20/H58),"N/M")</f>
        <v>0.834183023196533</v>
      </c>
      <c r="I163" s="47" t="n">
        <f aca="false">IFERROR(IF(I58=0,"N/M",I20/I58),"N/M")</f>
        <v>0.808230337732468</v>
      </c>
      <c r="J163" s="47" t="n">
        <f aca="false">IFERROR(IF(J58=0,"N/M",J20/J58),"N/M")</f>
        <v>0.792332500788089</v>
      </c>
      <c r="K163" s="22" t="n">
        <f aca="false">IFERROR(AVERAGE(D163:J163),"N/M")</f>
        <v>0.604429094109264</v>
      </c>
      <c r="L163" s="82" t="n">
        <f aca="false">IFERROR(J163-D163,"N/M")</f>
        <v>1.29220472159054</v>
      </c>
      <c r="M163" s="83" t="n">
        <f aca="false">IFERROR(SLOPE(D163:J163,$D$3:$J$3),"N/M")</f>
        <v>0.155620261203638</v>
      </c>
    </row>
    <row r="164" customFormat="false" ht="15" hidden="false" customHeight="false" outlineLevel="0" collapsed="false">
      <c r="A164" s="18" t="s">
        <v>637</v>
      </c>
      <c r="B164" s="19" t="s">
        <v>577</v>
      </c>
      <c r="D164" s="46" t="n">
        <f aca="false">IFERROR(IF(D9&lt;=0,"N/M",D58/D9),"N/M")</f>
        <v>0.024647809695981</v>
      </c>
      <c r="E164" s="46" t="n">
        <f aca="false">IFERROR(IF(E9&lt;=0,"N/M",E58/E9),"N/M")</f>
        <v>0.0762561090954433</v>
      </c>
      <c r="F164" s="46" t="n">
        <f aca="false">IFERROR(IF(F9&lt;=0,"N/M",F58/F9),"N/M")</f>
        <v>0.13587152447914</v>
      </c>
      <c r="G164" s="46" t="n">
        <f aca="false">IFERROR(IF(G9&lt;=0,"N/M",G58/G9),"N/M")</f>
        <v>0.111180498896025</v>
      </c>
      <c r="H164" s="46" t="n">
        <f aca="false">IFERROR(IF(H9&lt;=0,"N/M",H58/H9),"N/M")</f>
        <v>0.0893650706268046</v>
      </c>
      <c r="I164" s="46" t="n">
        <f aca="false">IFERROR(IF(I9&lt;=0,"N/M",I58/I9),"N/M")</f>
        <v>0.0751077763287169</v>
      </c>
      <c r="J164" s="46" t="n">
        <f aca="false">IFERROR(IF(J9&lt;=0,"N/M",J58/J9),"N/M")</f>
        <v>0.0671548703117468</v>
      </c>
      <c r="K164" s="25" t="n">
        <f aca="false">IFERROR(AVERAGE(D164:J164),"N/M")</f>
        <v>0.0827976656334082</v>
      </c>
      <c r="L164" s="86" t="n">
        <f aca="false">IFERROR(J164-D164,"N/M")</f>
        <v>0.0425070606157659</v>
      </c>
      <c r="M164" s="87" t="n">
        <f aca="false">IFERROR(SLOPE(D164:J164,$D$3:$J$3),"N/M")</f>
        <v>0.00281135937362536</v>
      </c>
    </row>
    <row r="165" customFormat="false" ht="15" hidden="false" customHeight="false" outlineLevel="0" collapsed="false">
      <c r="A165" s="18" t="s">
        <v>638</v>
      </c>
      <c r="B165" s="19" t="s">
        <v>626</v>
      </c>
      <c r="D165" s="47" t="n">
        <f aca="false">IFERROR(D113,"N/M")</f>
        <v>1.42636762839591</v>
      </c>
      <c r="E165" s="47" t="n">
        <f aca="false">IFERROR(E113,"N/M")</f>
        <v>1.18743206300941</v>
      </c>
      <c r="F165" s="47" t="n">
        <f aca="false">IFERROR(F113,"N/M")</f>
        <v>1.54046233184718</v>
      </c>
      <c r="G165" s="47" t="n">
        <f aca="false">IFERROR(G113,"N/M")</f>
        <v>1.70931623649162</v>
      </c>
      <c r="H165" s="47" t="n">
        <f aca="false">IFERROR(H113,"N/M")</f>
        <v>1.57626489765019</v>
      </c>
      <c r="I165" s="47" t="n">
        <f aca="false">IFERROR(I113,"N/M")</f>
        <v>1.60596659582293</v>
      </c>
      <c r="J165" s="47" t="n">
        <f aca="false">IFERROR(J113,"N/M")</f>
        <v>1.57668484044772</v>
      </c>
      <c r="K165" s="22" t="n">
        <f aca="false">IFERROR(AVERAGE(D165:J165),"N/M")</f>
        <v>1.51749922766642</v>
      </c>
      <c r="L165" s="82" t="n">
        <f aca="false">IFERROR(J165-D165,"N/M")</f>
        <v>0.150317212051817</v>
      </c>
      <c r="M165" s="83" t="n">
        <f aca="false">IFERROR(SLOPE(D165:J165,$D$3:$J$3),"N/M")</f>
        <v>0.0472794024137678</v>
      </c>
    </row>
    <row r="166" customFormat="false" ht="15" hidden="false" customHeight="false" outlineLevel="0" collapsed="false">
      <c r="A166" s="18" t="s">
        <v>639</v>
      </c>
      <c r="B166" s="19" t="s">
        <v>640</v>
      </c>
      <c r="D166" s="47" t="n">
        <f aca="false">IFERROR(D160,"N/M")</f>
        <v>4.16644050348603</v>
      </c>
      <c r="E166" s="47" t="n">
        <f aca="false">IFERROR(E160,"N/M")</f>
        <v>5.11476832996241</v>
      </c>
      <c r="F166" s="47" t="n">
        <f aca="false">IFERROR(F160,"N/M")</f>
        <v>3.91146555551761</v>
      </c>
      <c r="G166" s="47" t="n">
        <f aca="false">IFERROR(G160,"N/M")</f>
        <v>2.94986717360045</v>
      </c>
      <c r="H166" s="47" t="n">
        <f aca="false">IFERROR(H160,"N/M")</f>
        <v>2.62441544979445</v>
      </c>
      <c r="I166" s="47" t="n">
        <f aca="false">IFERROR(I160,"N/M")</f>
        <v>2.43434906076253</v>
      </c>
      <c r="J166" s="47" t="n">
        <f aca="false">IFERROR(J160,"N/M")</f>
        <v>2.33510598434591</v>
      </c>
      <c r="K166" s="22" t="n">
        <f aca="false">IFERROR(AVERAGE(D166:J166),"N/M")</f>
        <v>3.36234457963849</v>
      </c>
      <c r="L166" s="82" t="n">
        <f aca="false">IFERROR(J166-D166,"N/M")</f>
        <v>-1.83133451914012</v>
      </c>
      <c r="M166" s="83" t="n">
        <f aca="false">IFERROR(SLOPE(D166:J166,$D$3:$J$3),"N/M")</f>
        <v>-0.433639007197974</v>
      </c>
    </row>
    <row r="167" customFormat="false" ht="15" hidden="false" customHeight="false" outlineLevel="0" collapsed="false">
      <c r="A167" s="18" t="s">
        <v>641</v>
      </c>
      <c r="B167" s="19" t="s">
        <v>642</v>
      </c>
      <c r="D167" s="46" t="n">
        <f aca="false">IFERROR(((((D162*D163)*D164)*D165)*D166),"N/M")</f>
        <v>-0.0783491647559777</v>
      </c>
      <c r="E167" s="46" t="n">
        <f aca="false">IFERROR(((((E162*E163)*E164)*E165)*E166),"N/M")</f>
        <v>0.188051238005523</v>
      </c>
      <c r="F167" s="46" t="n">
        <f aca="false">IFERROR(((((F162*F163)*F164)*F165)*F166),"N/M")</f>
        <v>0.522162642166741</v>
      </c>
      <c r="G167" s="46" t="n">
        <f aca="false">IFERROR(((((G162*G163)*G164)*G165)*G166),"N/M")</f>
        <v>0.361219565694231</v>
      </c>
      <c r="H167" s="46" t="n">
        <f aca="false">IFERROR(((((H162*H163)*H164)*H165)*H166),"N/M")</f>
        <v>0.236380127452559</v>
      </c>
      <c r="I167" s="46" t="n">
        <f aca="false">IFERROR(((((I162*I163)*I164)*I165)*I166),"N/M")</f>
        <v>0.172517607498864</v>
      </c>
      <c r="J167" s="46" t="n">
        <f aca="false">IFERROR(((((J162*J163)*J164)*J165)*J166),"N/M")</f>
        <v>0.14832112762188</v>
      </c>
      <c r="K167" s="25" t="n">
        <f aca="false">IFERROR(AVERAGE(D167:J167),"N/M")</f>
        <v>0.221471877669117</v>
      </c>
      <c r="L167" s="86" t="n">
        <f aca="false">IFERROR(J167-D167,"N/M")</f>
        <v>0.226670292377857</v>
      </c>
      <c r="M167" s="87" t="n">
        <f aca="false">IFERROR(SLOPE(D167:J167,$D$3:$J$3),"N/M")</f>
        <v>0.0129700393359312</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str">
        <f aca="false">IFERROR(IF((1-(D135*D149))&lt;=0,"N/M",(D135*D149)/(1-(D135*D149))),"N/M")</f>
        <v>N/M</v>
      </c>
      <c r="E170" s="46" t="n">
        <f aca="false">IFERROR(IF((1-(E135*E149))&lt;=0,"N/M",(E135*E149)/(1-(E135*E149))),"N/M")</f>
        <v>0.0244807505900982</v>
      </c>
      <c r="F170" s="46" t="n">
        <f aca="false">IFERROR(IF((1-(F135*F149))&lt;=0,"N/M",(F135*F149)/(1-(F135*F149))),"N/M")</f>
        <v>0.0913493517112041</v>
      </c>
      <c r="G170" s="46" t="n">
        <f aca="false">IFERROR(IF((1-(G135*G149))&lt;=0,"N/M",(G135*G149)/(1-(G135*G149))),"N/M")</f>
        <v>0.109750059596941</v>
      </c>
      <c r="H170" s="46" t="n">
        <f aca="false">IFERROR(IF((1-(H135*H149))&lt;=0,"N/M",(H135*H149)/(1-(H135*H149))),"N/M")</f>
        <v>0.0779296597814447</v>
      </c>
      <c r="I170" s="46" t="n">
        <f aca="false">IFERROR(IF((1-(I135*I149))&lt;=0,"N/M",(I135*I149)/(1-(I135*I149))),"N/M")</f>
        <v>0.0572961965798012</v>
      </c>
      <c r="J170" s="46" t="n">
        <f aca="false">IFERROR(IF((1-(J135*J149))&lt;=0,"N/M",(J135*J149)/(1-(J135*J149))),"N/M")</f>
        <v>0.0507146971186854</v>
      </c>
      <c r="K170" s="25" t="n">
        <f aca="false">IFERROR(AVERAGE(D170:J170),"N/M")</f>
        <v>0.0685867858963625</v>
      </c>
      <c r="L170" s="86" t="str">
        <f aca="false">IFERROR(J170-D170,"N/M")</f>
        <v>N/M</v>
      </c>
      <c r="M170" s="87" t="n">
        <f aca="false">IFERROR(SLOPE(D170:J170,$D$3:$J$3),"N/M")</f>
        <v>-8.02895019076923E-005</v>
      </c>
    </row>
    <row r="171" customFormat="false" ht="15" hidden="false" customHeight="false" outlineLevel="0" collapsed="false">
      <c r="A171" s="18" t="s">
        <v>645</v>
      </c>
      <c r="B171" s="19" t="s">
        <v>646</v>
      </c>
      <c r="D171" s="46" t="str">
        <f aca="false">IFERROR(IF((1-(D139*D149))&lt;=0,"N/M",(D139*D149)/(1-(D139*D149))),"N/M")</f>
        <v>N/M</v>
      </c>
      <c r="E171" s="46" t="n">
        <f aca="false">IFERROR(IF((1-(E139*E149))&lt;=0,"N/M",(E139*E149)/(1-(E139*E149))),"N/M")</f>
        <v>0.139239307696354</v>
      </c>
      <c r="F171" s="46" t="n">
        <f aca="false">IFERROR(IF((1-(F139*F149))&lt;=0,"N/M",(F139*F149)/(1-(F139*F149))),"N/M")</f>
        <v>0.486771949423653</v>
      </c>
      <c r="G171" s="46" t="n">
        <f aca="false">IFERROR(IF((1-(G139*G149))&lt;=0,"N/M",(G139*G149)/(1-(G139*G149))),"N/M")</f>
        <v>0.411892226695571</v>
      </c>
      <c r="H171" s="46" t="n">
        <f aca="false">IFERROR(IF((1-(H139*H149))&lt;=0,"N/M",(H139*H149)/(1-(H139*H149))),"N/M")</f>
        <v>0.234162462868468</v>
      </c>
      <c r="I171" s="46" t="n">
        <f aca="false">IFERROR(IF((1-(I139*I149))&lt;=0,"N/M",(I139*I149)/(1-(I139*I149))),"N/M")</f>
        <v>0.151968097879359</v>
      </c>
      <c r="J171" s="46" t="n">
        <f aca="false">IFERROR(IF((1-(J139*J149))&lt;=0,"N/M",(J139*J149)/(1-(J139*J149))),"N/M")</f>
        <v>0.127024990793577</v>
      </c>
      <c r="K171" s="25" t="n">
        <f aca="false">IFERROR(AVERAGE(D171:J171),"N/M")</f>
        <v>0.258509839226164</v>
      </c>
      <c r="L171" s="86" t="str">
        <f aca="false">IFERROR(J171-D171,"N/M")</f>
        <v>N/M</v>
      </c>
      <c r="M171" s="87" t="n">
        <f aca="false">IFERROR(SLOPE(D171:J171,$D$3:$J$3),"N/M")</f>
        <v>-0.0355203686563963</v>
      </c>
    </row>
    <row r="172" customFormat="false" ht="15" hidden="false" customHeight="false" outlineLevel="0" collapsed="false">
      <c r="A172" s="18" t="s">
        <v>647</v>
      </c>
      <c r="B172" s="19" t="s">
        <v>648</v>
      </c>
      <c r="D172" s="46" t="n">
        <f aca="false">IFERROR((IF(C9&lt;=0,"N/M",D9/C9)-1),"N/M")</f>
        <v>0.000229964717741948</v>
      </c>
      <c r="E172" s="46" t="n">
        <f aca="false">IFERROR((IF(D9&lt;=0,"N/M",E9/D9)-1),"N/M")</f>
        <v>0.0355890939898524</v>
      </c>
      <c r="F172" s="46" t="n">
        <f aca="false">IFERROR((IF(E9&lt;=0,"N/M",F9/E9)-1),"N/M")</f>
        <v>0.341336869284365</v>
      </c>
      <c r="G172" s="46" t="n">
        <f aca="false">IFERROR((IF(F9&lt;=0,"N/M",G9/F9)-1),"N/M")</f>
        <v>0.172708701300763</v>
      </c>
      <c r="H172" s="46" t="n">
        <f aca="false">IFERROR((IF(G9&lt;=0,"N/M",H9/G9)-1),"N/M")</f>
        <v>0.0184852925822954</v>
      </c>
      <c r="I172" s="46" t="n">
        <f aca="false">IFERROR((IF(H9&lt;=0,"N/M",I9/H9)-1),"N/M")</f>
        <v>0.0858702729586947</v>
      </c>
      <c r="J172" s="46" t="n">
        <f aca="false">IFERROR((IF(I9&lt;=0,"N/M",J9/I9)-1),"N/M")</f>
        <v>0.0735466366443014</v>
      </c>
      <c r="K172" s="25" t="n">
        <f aca="false">IFERROR(AVERAGE(D172:J172),"N/M")</f>
        <v>0.103966690211145</v>
      </c>
      <c r="L172" s="86" t="n">
        <f aca="false">IFERROR(J172-D172,"N/M")</f>
        <v>0.0733166719265594</v>
      </c>
      <c r="M172" s="87" t="n">
        <f aca="false">IFERROR(SLOPE(D172:J172,$D$3:$J$3),"N/M")</f>
        <v>-8.35429637395405E-005</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0.543061228989049</v>
      </c>
      <c r="E176" s="46" t="n">
        <f aca="false">IFERROR(IF(E9&lt;=0,"N/M",E52/E9),"N/M")</f>
        <v>0.502598741533942</v>
      </c>
      <c r="F176" s="46" t="n">
        <f aca="false">IFERROR(IF(F9&lt;=0,"N/M",F52/F9),"N/M")</f>
        <v>0.53893558312115</v>
      </c>
      <c r="G176" s="46" t="n">
        <f aca="false">IFERROR(IF(G9&lt;=0,"N/M",G52/G9),"N/M")</f>
        <v>0.602864920672361</v>
      </c>
      <c r="H176" s="46" t="n">
        <f aca="false">IFERROR(IF(H9&lt;=0,"N/M",H52/H9),"N/M")</f>
        <v>0.606428073798889</v>
      </c>
      <c r="I176" s="46" t="n">
        <f aca="false">IFERROR(IF(I9&lt;=0,"N/M",I52/I9),"N/M")</f>
        <v>0.61592817009255</v>
      </c>
      <c r="J176" s="46" t="n">
        <f aca="false">IFERROR(IF(J9&lt;=0,"N/M",J52/J9),"N/M")</f>
        <v>0.60912442516382</v>
      </c>
      <c r="K176" s="25" t="n">
        <f aca="false">IFERROR(AVERAGE(D176:J176),"N/M")</f>
        <v>0.574134449053109</v>
      </c>
      <c r="L176" s="86" t="n">
        <f aca="false">IFERROR(J176-D176,"N/M")</f>
        <v>0.066063196174771</v>
      </c>
      <c r="M176" s="87" t="n">
        <f aca="false">IFERROR(SLOPE(D176:J176,$D$3:$J$3),"N/M")</f>
        <v>0.0175836048685453</v>
      </c>
    </row>
    <row r="177" customFormat="false" ht="15" hidden="false" customHeight="false" outlineLevel="0" collapsed="false">
      <c r="A177" s="18" t="s">
        <v>407</v>
      </c>
      <c r="B177" s="19" t="s">
        <v>587</v>
      </c>
      <c r="D177" s="46" t="n">
        <f aca="false">IFERROR(IF(D9&lt;=0,"N/M",D14/D9),"N/M")</f>
        <v>0.231133843338698</v>
      </c>
      <c r="E177" s="46" t="n">
        <f aca="false">IFERROR(IF(E9&lt;=0,"N/M",E14/E9),"N/M")</f>
        <v>0.221952903321949</v>
      </c>
      <c r="F177" s="46" t="n">
        <f aca="false">IFERROR(IF(F9&lt;=0,"N/M",F14/F9),"N/M")</f>
        <v>0.173751669315654</v>
      </c>
      <c r="G177" s="46" t="n">
        <f aca="false">IFERROR(IF(G9&lt;=0,"N/M",G14/G9),"N/M")</f>
        <v>0.162319081554922</v>
      </c>
      <c r="H177" s="46" t="n">
        <f aca="false">IFERROR(IF(H9&lt;=0,"N/M",H14/H9),"N/M")</f>
        <v>0.17251695669754</v>
      </c>
      <c r="I177" s="46" t="n">
        <f aca="false">IFERROR(IF(I9&lt;=0,"N/M",I14/I9),"N/M")</f>
        <v>0.169491169858291</v>
      </c>
      <c r="J177" s="46" t="n">
        <f aca="false">IFERROR(IF(J9&lt;=0,"N/M",J14/J9),"N/M")</f>
        <v>0.169977267101783</v>
      </c>
      <c r="K177" s="25" t="n">
        <f aca="false">IFERROR(AVERAGE(D177:J177),"N/M")</f>
        <v>0.18587755588412</v>
      </c>
      <c r="L177" s="86" t="n">
        <f aca="false">IFERROR(J177-D177,"N/M")</f>
        <v>-0.0611565762369145</v>
      </c>
      <c r="M177" s="87" t="n">
        <f aca="false">IFERROR(SLOPE(D177:J177,$D$3:$J$3),"N/M")</f>
        <v>-0.0103438538662919</v>
      </c>
    </row>
    <row r="178" customFormat="false" ht="15" hidden="false" customHeight="false" outlineLevel="0" collapsed="false">
      <c r="A178" s="18" t="s">
        <v>654</v>
      </c>
      <c r="B178" s="19" t="s">
        <v>655</v>
      </c>
      <c r="D178" s="46" t="n">
        <f aca="false">IFERROR(IF(D9&lt;=0,"N/M",D15/D9),"N/M")</f>
        <v>0.0652319747537896</v>
      </c>
      <c r="E178" s="46" t="n">
        <f aca="false">IFERROR(IF(E9&lt;=0,"N/M",E15/E9),"N/M")</f>
        <v>0.0599915453464431</v>
      </c>
      <c r="F178" s="46" t="n">
        <f aca="false">IFERROR(IF(F9&lt;=0,"N/M",F15/F9),"N/M")</f>
        <v>0.0563928271008437</v>
      </c>
      <c r="G178" s="46" t="n">
        <f aca="false">IFERROR(IF(G9&lt;=0,"N/M",G15/G9),"N/M")</f>
        <v>0.0440178492020834</v>
      </c>
      <c r="H178" s="46" t="n">
        <f aca="false">IFERROR(IF(H9&lt;=0,"N/M",H15/H9),"N/M")</f>
        <v>0.0529402049800392</v>
      </c>
      <c r="I178" s="46" t="n">
        <f aca="false">IFERROR(IF(I9&lt;=0,"N/M",I15/I9),"N/M")</f>
        <v>0.0554475558461447</v>
      </c>
      <c r="J178" s="46" t="n">
        <f aca="false">IFERROR(IF(J9&lt;=0,"N/M",J15/J9),"N/M")</f>
        <v>0.0581919855134769</v>
      </c>
      <c r="K178" s="25" t="n">
        <f aca="false">IFERROR(AVERAGE(D178:J178),"N/M")</f>
        <v>0.0560305632489744</v>
      </c>
      <c r="L178" s="86" t="n">
        <f aca="false">IFERROR(J178-D178,"N/M")</f>
        <v>-0.00703998924031271</v>
      </c>
      <c r="M178" s="87" t="n">
        <f aca="false">IFERROR(SLOPE(D178:J178,$D$3:$J$3),"N/M")</f>
        <v>-0.00120216317294069</v>
      </c>
    </row>
    <row r="179" customFormat="false" ht="15" hidden="false" customHeight="false" outlineLevel="0" collapsed="false">
      <c r="A179" s="18" t="s">
        <v>411</v>
      </c>
      <c r="B179" s="19" t="s">
        <v>656</v>
      </c>
      <c r="D179" s="46" t="n">
        <f aca="false">IFERROR(IF(D9&lt;=0,"N/M",D16/D9),"N/M")</f>
        <v>0.0110956086837389</v>
      </c>
      <c r="E179" s="46" t="n">
        <f aca="false">IFERROR(IF(E9&lt;=0,"N/M",E16/E9),"N/M")</f>
        <v>0.00673939290721474</v>
      </c>
      <c r="F179" s="46" t="n">
        <f aca="false">IFERROR(IF(F9&lt;=0,"N/M",F16/F9),"N/M")</f>
        <v>0.0041854759901961</v>
      </c>
      <c r="G179" s="46" t="n">
        <f aca="false">IFERROR(IF(G9&lt;=0,"N/M",G16/G9),"N/M")</f>
        <v>0.00952009001937273</v>
      </c>
      <c r="H179" s="46" t="n">
        <f aca="false">IFERROR(IF(H9&lt;=0,"N/M",H16/H9),"N/M")</f>
        <v>0.00618850646281296</v>
      </c>
      <c r="I179" s="46" t="n">
        <f aca="false">IFERROR(IF(I9&lt;=0,"N/M",I16/I9),"N/M")</f>
        <v>0.00594561709596551</v>
      </c>
      <c r="J179" s="46" t="n">
        <f aca="false">IFERROR(IF(J9&lt;=0,"N/M",J16/J9),"N/M")</f>
        <v>0.00789789085603366</v>
      </c>
      <c r="K179" s="25" t="n">
        <f aca="false">IFERROR(AVERAGE(D179:J179),"N/M")</f>
        <v>0.00736751171647638</v>
      </c>
      <c r="L179" s="86" t="n">
        <f aca="false">IFERROR(J179-D179,"N/M")</f>
        <v>-0.00319771782770527</v>
      </c>
      <c r="M179" s="87" t="n">
        <f aca="false">IFERROR(SLOPE(D179:J179,$D$3:$J$3),"N/M")</f>
        <v>-0.000327774094035621</v>
      </c>
    </row>
    <row r="180" customFormat="false" ht="15" hidden="false" customHeight="false" outlineLevel="0" collapsed="false">
      <c r="A180" s="18" t="s">
        <v>657</v>
      </c>
      <c r="B180" s="19" t="s">
        <v>658</v>
      </c>
      <c r="D180" s="46" t="n">
        <f aca="false">IFERROR(IF(D9&lt;=0,"N/M",D56/D9),"N/M")</f>
        <v>0.149477344234724</v>
      </c>
      <c r="E180" s="46" t="n">
        <f aca="false">IFERROR(IF(E9&lt;=0,"N/M",E56/E9),"N/M")</f>
        <v>0.208717416890451</v>
      </c>
      <c r="F180" s="46" t="n">
        <f aca="false">IFERROR(IF(F9&lt;=0,"N/M",F56/F9),"N/M")</f>
        <v>0.226734444472156</v>
      </c>
      <c r="G180" s="46" t="n">
        <f aca="false">IFERROR(IF(G9&lt;=0,"N/M",G56/G9),"N/M")</f>
        <v>0.18127805855126</v>
      </c>
      <c r="H180" s="46" t="n">
        <f aca="false">IFERROR(IF(H9&lt;=0,"N/M",H56/H9),"N/M")</f>
        <v>0.16192625806072</v>
      </c>
      <c r="I180" s="46" t="n">
        <f aca="false">IFERROR(IF(I9&lt;=0,"N/M",I56/I9),"N/M")</f>
        <v>0.153187487107049</v>
      </c>
      <c r="J180" s="46" t="n">
        <f aca="false">IFERROR(IF(J9&lt;=0,"N/M",J56/J9),"N/M")</f>
        <v>0.154808431364886</v>
      </c>
      <c r="K180" s="25" t="n">
        <f aca="false">IFERROR(AVERAGE(D180:J180),"N/M")</f>
        <v>0.176589920097321</v>
      </c>
      <c r="L180" s="86" t="n">
        <f aca="false">IFERROR(J180-D180,"N/M")</f>
        <v>0.00533108713016164</v>
      </c>
      <c r="M180" s="87" t="n">
        <f aca="false">IFERROR(SLOPE(D180:J180,$D$3:$J$3),"N/M")</f>
        <v>-0.00570981373527701</v>
      </c>
    </row>
    <row r="181" customFormat="false" ht="15" hidden="false" customHeight="false" outlineLevel="0" collapsed="false">
      <c r="A181" s="18" t="s">
        <v>659</v>
      </c>
      <c r="B181" s="19" t="s">
        <v>660</v>
      </c>
      <c r="D181" s="46" t="n">
        <f aca="false">IFERROR(IF(D9&lt;=0,"N/M",D17/D9),"N/M")</f>
        <v>-0.0154387379414386</v>
      </c>
      <c r="E181" s="46" t="n">
        <f aca="false">IFERROR(IF(E9&lt;=0,"N/M",E17/E9),"N/M")</f>
        <v>-0.00168788946909033</v>
      </c>
      <c r="F181" s="46" t="n">
        <f aca="false">IFERROR(IF(F9&lt;=0,"N/M",F17/F9),"N/M")</f>
        <v>-0.00121981911306907</v>
      </c>
      <c r="G181" s="46" t="n">
        <f aca="false">IFERROR(IF(G9&lt;=0,"N/M",G17/G9),"N/M")</f>
        <v>0.00617143122295649</v>
      </c>
      <c r="H181" s="46" t="n">
        <f aca="false">IFERROR(IF(H9&lt;=0,"N/M",H17/H9),"N/M")</f>
        <v>0.00960926985115313</v>
      </c>
      <c r="I181" s="46" t="n">
        <f aca="false">IFERROR(IF(I9&lt;=0,"N/M",I17/I9),"N/M")</f>
        <v>0.00669734169204466</v>
      </c>
      <c r="J181" s="46" t="n">
        <f aca="false">IFERROR(IF(J9&lt;=0,"N/M",J17/J9),"N/M")</f>
        <v>-0.000358254842954104</v>
      </c>
      <c r="K181" s="25" t="n">
        <f aca="false">IFERROR(AVERAGE(D181:J181),"N/M")</f>
        <v>0.000539048771371735</v>
      </c>
      <c r="L181" s="86" t="n">
        <f aca="false">IFERROR(J181-D181,"N/M")</f>
        <v>0.0150804830984845</v>
      </c>
      <c r="M181" s="87" t="n">
        <f aca="false">IFERROR(SLOPE(D181:J181,$D$3:$J$3),"N/M")</f>
        <v>0.00260146430649806</v>
      </c>
    </row>
    <row r="182" customFormat="false" ht="15" hidden="false" customHeight="false" outlineLevel="0" collapsed="false">
      <c r="A182" s="18" t="s">
        <v>661</v>
      </c>
      <c r="B182" s="19" t="s">
        <v>662</v>
      </c>
      <c r="D182" s="46" t="n">
        <f aca="false">IFERROR(IF(D9&lt;=0,"N/M",D18/D9),"N/M")</f>
        <v>0.109390796597305</v>
      </c>
      <c r="E182" s="46" t="n">
        <f aca="false">IFERROR(IF(E9&lt;=0,"N/M",E18/E9),"N/M")</f>
        <v>0.130773418325918</v>
      </c>
      <c r="F182" s="46" t="n">
        <f aca="false">IFERROR(IF(F9&lt;=0,"N/M",F18/F9),"N/M")</f>
        <v>0.0896431008799476</v>
      </c>
      <c r="G182" s="46" t="n">
        <f aca="false">IFERROR(IF(G9&lt;=0,"N/M",G18/G9),"N/M")</f>
        <v>0.0762689908781916</v>
      </c>
      <c r="H182" s="46" t="n">
        <f aca="false">IFERROR(IF(H9&lt;=0,"N/M",H18/H9),"N/M")</f>
        <v>0.0821704572850681</v>
      </c>
      <c r="I182" s="46" t="n">
        <f aca="false">IFERROR(IF(I9&lt;=0,"N/M",I18/I9),"N/M")</f>
        <v>0.0847770524703768</v>
      </c>
      <c r="J182" s="46" t="n">
        <f aca="false">IFERROR(IF(J9&lt;=0,"N/M",J18/J9),"N/M")</f>
        <v>0.0872953062101849</v>
      </c>
      <c r="K182" s="25" t="n">
        <f aca="false">IFERROR(AVERAGE(D182:J182),"N/M")</f>
        <v>0.0943313032352845</v>
      </c>
      <c r="L182" s="86" t="n">
        <f aca="false">IFERROR(J182-D182,"N/M")</f>
        <v>-0.0220954903871198</v>
      </c>
      <c r="M182" s="87" t="n">
        <f aca="false">IFERROR(SLOPE(D182:J182,$D$3:$J$3),"N/M")</f>
        <v>-0.00591970880240432</v>
      </c>
    </row>
    <row r="183" customFormat="false" ht="15" hidden="false" customHeight="false" outlineLevel="0" collapsed="false">
      <c r="A183" s="18" t="s">
        <v>663</v>
      </c>
      <c r="B183" s="19" t="s">
        <v>591</v>
      </c>
      <c r="D183" s="46" t="n">
        <f aca="false">IFERROR(IF(D9&lt;=0,"N/M",D19/D9),"N/M")</f>
        <v>0.0369685650666272</v>
      </c>
      <c r="E183" s="46" t="n">
        <f aca="false">IFERROR(IF(E9&lt;=0,"N/M",E19/E9),"N/M")</f>
        <v>0.0337425831703734</v>
      </c>
      <c r="F183" s="46" t="n">
        <f aca="false">IFERROR(IF(F9&lt;=0,"N/M",F19/F9),"N/M")</f>
        <v>0.019718897446769</v>
      </c>
      <c r="G183" s="46" t="n">
        <f aca="false">IFERROR(IF(G9&lt;=0,"N/M",G19/G9),"N/M")</f>
        <v>0.0129248175831654</v>
      </c>
      <c r="H183" s="46" t="n">
        <f aca="false">IFERROR(IF(H9&lt;=0,"N/M",H19/H9),"N/M")</f>
        <v>0.014818245843165</v>
      </c>
      <c r="I183" s="46" t="n">
        <f aca="false">IFERROR(IF(I9&lt;=0,"N/M",I19/I9),"N/M")</f>
        <v>0.0144033929002234</v>
      </c>
      <c r="J183" s="46" t="n">
        <f aca="false">IFERROR(IF(J9&lt;=0,"N/M",J19/J9),"N/M")</f>
        <v>0.0139458839775407</v>
      </c>
      <c r="K183" s="25" t="n">
        <f aca="false">IFERROR(AVERAGE(D183:J183),"N/M")</f>
        <v>0.0209317694268377</v>
      </c>
      <c r="L183" s="86" t="n">
        <f aca="false">IFERROR(J183-D183,"N/M")</f>
        <v>-0.0230226810890865</v>
      </c>
      <c r="M183" s="87" t="n">
        <f aca="false">IFERROR(SLOPE(D183:J183,$D$3:$J$3),"N/M")</f>
        <v>-0.00402310983611298</v>
      </c>
    </row>
    <row r="184" customFormat="false" ht="15" hidden="false" customHeight="false" outlineLevel="0" collapsed="false">
      <c r="A184" s="18" t="s">
        <v>664</v>
      </c>
      <c r="B184" s="19" t="s">
        <v>665</v>
      </c>
      <c r="D184" s="46" t="n">
        <f aca="false">IFERROR(IF(D9&lt;=0,"N/M",D20/D9),"N/M")</f>
        <v>-0.0123207553706462</v>
      </c>
      <c r="E184" s="46" t="n">
        <f aca="false">IFERROR(IF(E9&lt;=0,"N/M",E20/E9),"N/M")</f>
        <v>0.0425135259250699</v>
      </c>
      <c r="F184" s="46" t="n">
        <f aca="false">IFERROR(IF(F9&lt;=0,"N/M",F20/F9),"N/M")</f>
        <v>0.116152627032371</v>
      </c>
      <c r="G184" s="46" t="n">
        <f aca="false">IFERROR(IF(G9&lt;=0,"N/M",G20/G9),"N/M")</f>
        <v>0.0982556813128599</v>
      </c>
      <c r="H184" s="46" t="n">
        <f aca="false">IFERROR(IF(H9&lt;=0,"N/M",H20/H9),"N/M")</f>
        <v>0.0745468247836396</v>
      </c>
      <c r="I184" s="46" t="n">
        <f aca="false">IFERROR(IF(I9&lt;=0,"N/M",I20/I9),"N/M")</f>
        <v>0.0607043834284935</v>
      </c>
      <c r="J184" s="46" t="n">
        <f aca="false">IFERROR(IF(J9&lt;=0,"N/M",J20/J9),"N/M")</f>
        <v>0.0532089863342062</v>
      </c>
      <c r="K184" s="25" t="n">
        <f aca="false">IFERROR(AVERAGE(D184:J184),"N/M")</f>
        <v>0.0618658962065705</v>
      </c>
      <c r="L184" s="86" t="n">
        <f aca="false">IFERROR(J184-D184,"N/M")</f>
        <v>0.0655297417048524</v>
      </c>
      <c r="M184" s="87" t="n">
        <f aca="false">IFERROR(SLOPE(D184:J184,$D$3:$J$3),"N/M")</f>
        <v>0.00683446920973834</v>
      </c>
    </row>
    <row r="185" customFormat="false" ht="15" hidden="false" customHeight="false" outlineLevel="0" collapsed="false">
      <c r="A185" s="18" t="s">
        <v>421</v>
      </c>
      <c r="B185" s="19" t="s">
        <v>666</v>
      </c>
      <c r="D185" s="46" t="n">
        <f aca="false">IFERROR(IF(D9&lt;=0,"N/M",D21/D9),"N/M")</f>
        <v>0.000862956792320315</v>
      </c>
      <c r="E185" s="46" t="n">
        <f aca="false">IFERROR(IF(E9&lt;=0,"N/M",E21/E9),"N/M")</f>
        <v>0.0115506382046939</v>
      </c>
      <c r="F185" s="46" t="n">
        <f aca="false">IFERROR(IF(F9&lt;=0,"N/M",F21/F9),"N/M")</f>
        <v>0.029493321603722</v>
      </c>
      <c r="G185" s="46" t="n">
        <f aca="false">IFERROR(IF(G9&lt;=0,"N/M",G21/G9),"N/M")</f>
        <v>0.0266171972576573</v>
      </c>
      <c r="H185" s="46" t="n">
        <f aca="false">IFERROR(IF(H9&lt;=0,"N/M",H21/H9),"N/M")</f>
        <v>0.0174056490053779</v>
      </c>
      <c r="I185" s="46" t="n">
        <f aca="false">IFERROR(IF(I9&lt;=0,"N/M",I21/I9),"N/M")</f>
        <v>0.0165764014419127</v>
      </c>
      <c r="J185" s="46" t="n">
        <f aca="false">IFERROR(IF(J9&lt;=0,"N/M",J21/J9),"N/M")</f>
        <v>0.0129232292440171</v>
      </c>
      <c r="K185" s="25" t="n">
        <f aca="false">IFERROR(AVERAGE(D185:J185),"N/M")</f>
        <v>0.016489913364243</v>
      </c>
      <c r="L185" s="86" t="n">
        <f aca="false">IFERROR(J185-D185,"N/M")</f>
        <v>0.0120602724516968</v>
      </c>
      <c r="M185" s="87" t="n">
        <f aca="false">IFERROR(SLOPE(D185:J185,$D$3:$J$3),"N/M")</f>
        <v>0.00121945254397086</v>
      </c>
    </row>
    <row r="186" customFormat="false" ht="15" hidden="false" customHeight="false" outlineLevel="0" collapsed="false">
      <c r="A186" s="18" t="s">
        <v>667</v>
      </c>
      <c r="B186" s="19" t="s">
        <v>668</v>
      </c>
      <c r="D186" s="46" t="n">
        <f aca="false">IFERROR(IF(D9&lt;=0,"N/M",D22/D9),"N/M")</f>
        <v>-0.0131837121629666</v>
      </c>
      <c r="E186" s="46" t="n">
        <f aca="false">IFERROR(IF(E9&lt;=0,"N/M",E22/E9),"N/M")</f>
        <v>0.030962887720376</v>
      </c>
      <c r="F186" s="46" t="n">
        <f aca="false">IFERROR(IF(F9&lt;=0,"N/M",F22/F9),"N/M")</f>
        <v>0.0866593054286485</v>
      </c>
      <c r="G186" s="46" t="n">
        <f aca="false">IFERROR(IF(G9&lt;=0,"N/M",G22/G9),"N/M")</f>
        <v>0.0716384840552026</v>
      </c>
      <c r="H186" s="46" t="n">
        <f aca="false">IFERROR(IF(H9&lt;=0,"N/M",H22/H9),"N/M")</f>
        <v>0.0571411757782616</v>
      </c>
      <c r="I186" s="46" t="n">
        <f aca="false">IFERROR(IF(I9&lt;=0,"N/M",I22/I9),"N/M")</f>
        <v>0.0441279819865808</v>
      </c>
      <c r="J186" s="46" t="n">
        <f aca="false">IFERROR(IF(J9&lt;=0,"N/M",J22/J9),"N/M")</f>
        <v>0.040285757090189</v>
      </c>
      <c r="K186" s="25" t="n">
        <f aca="false">IFERROR(AVERAGE(D186:J186),"N/M")</f>
        <v>0.0453759828423274</v>
      </c>
      <c r="L186" s="86" t="n">
        <f aca="false">IFERROR(J186-D186,"N/M")</f>
        <v>0.0534694692531556</v>
      </c>
      <c r="M186" s="87" t="n">
        <f aca="false">IFERROR(SLOPE(D186:J186,$D$3:$J$3),"N/M")</f>
        <v>0.00561501666576748</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0.00899730762385498</v>
      </c>
      <c r="E189" s="46" t="n">
        <f aca="false">IFERROR(IF(E35&lt;=0,"N/M",E26/E35),"N/M")</f>
        <v>0.00820037067332084</v>
      </c>
      <c r="F189" s="46" t="n">
        <f aca="false">IFERROR(IF(F35&lt;=0,"N/M",F26/F35),"N/M")</f>
        <v>0.00839944003733084</v>
      </c>
      <c r="G189" s="46" t="n">
        <f aca="false">IFERROR(IF(G35&lt;=0,"N/M",G26/G35),"N/M")</f>
        <v>0.0073719221604448</v>
      </c>
      <c r="H189" s="46" t="n">
        <f aca="false">IFERROR(IF(H35&lt;=0,"N/M",H26/H35),"N/M")</f>
        <v>0.00686526626022133</v>
      </c>
      <c r="I189" s="46" t="n">
        <f aca="false">IFERROR(IF(I35&lt;=0,"N/M",I26/I35),"N/M")</f>
        <v>0.0064869115093536</v>
      </c>
      <c r="J189" s="46" t="n">
        <f aca="false">IFERROR(IF(J35&lt;=0,"N/M",J26/J35),"N/M")</f>
        <v>0.00575741788531204</v>
      </c>
      <c r="K189" s="25" t="n">
        <f aca="false">IFERROR(AVERAGE(D189:J189),"N/M")</f>
        <v>0.00743980516426263</v>
      </c>
      <c r="L189" s="86" t="n">
        <f aca="false">IFERROR(J189-D189,"N/M")</f>
        <v>-0.00323988973854294</v>
      </c>
      <c r="M189" s="87" t="n">
        <f aca="false">IFERROR(SLOPE(D189:J189,$D$3:$J$3),"N/M")</f>
        <v>-0.000524312904309743</v>
      </c>
    </row>
    <row r="190" customFormat="false" ht="15" hidden="false" customHeight="false" outlineLevel="0" collapsed="false">
      <c r="A190" s="18" t="s">
        <v>671</v>
      </c>
      <c r="B190" s="19" t="s">
        <v>672</v>
      </c>
      <c r="D190" s="46" t="n">
        <f aca="false">IFERROR(IF(D35&lt;=0,"N/M",D27/D35),"N/M")</f>
        <v>0.176867528277523</v>
      </c>
      <c r="E190" s="46" t="n">
        <f aca="false">IFERROR(IF(E35&lt;=0,"N/M",E27/E35),"N/M")</f>
        <v>0.196104823930173</v>
      </c>
      <c r="F190" s="46" t="n">
        <f aca="false">IFERROR(IF(F35&lt;=0,"N/M",F27/F35),"N/M")</f>
        <v>0.299859302309139</v>
      </c>
      <c r="G190" s="46" t="n">
        <f aca="false">IFERROR(IF(G35&lt;=0,"N/M",G27/G35),"N/M")</f>
        <v>0.358605540111199</v>
      </c>
      <c r="H190" s="46" t="n">
        <f aca="false">IFERROR(IF(H35&lt;=0,"N/M",H27/H35),"N/M")</f>
        <v>0.388196711837961</v>
      </c>
      <c r="I190" s="46" t="n">
        <f aca="false">IFERROR(IF(I35&lt;=0,"N/M",I27/I35),"N/M")</f>
        <v>0.419159322478131</v>
      </c>
      <c r="J190" s="46" t="n">
        <f aca="false">IFERROR(IF(J35&lt;=0,"N/M",J27/J35),"N/M")</f>
        <v>0.424796152028787</v>
      </c>
      <c r="K190" s="25" t="n">
        <f aca="false">IFERROR(AVERAGE(D190:J190),"N/M")</f>
        <v>0.323369911567559</v>
      </c>
      <c r="L190" s="86" t="n">
        <f aca="false">IFERROR(J190-D190,"N/M")</f>
        <v>0.247928623751264</v>
      </c>
      <c r="M190" s="87" t="n">
        <f aca="false">IFERROR(SLOPE(D190:J190,$D$3:$J$3),"N/M")</f>
        <v>0.0456511527813761</v>
      </c>
    </row>
    <row r="191" customFormat="false" ht="15" hidden="false" customHeight="false" outlineLevel="0" collapsed="false">
      <c r="A191" s="18" t="s">
        <v>673</v>
      </c>
      <c r="B191" s="19" t="s">
        <v>674</v>
      </c>
      <c r="D191" s="46" t="n">
        <f aca="false">IFERROR(IF(D35&lt;=0,"N/M",D61/D35),"N/M")</f>
        <v>0.185864835901378</v>
      </c>
      <c r="E191" s="46" t="n">
        <f aca="false">IFERROR(IF(E35&lt;=0,"N/M",E61/E35),"N/M")</f>
        <v>0.204305194603493</v>
      </c>
      <c r="F191" s="46" t="n">
        <f aca="false">IFERROR(IF(F35&lt;=0,"N/M",F61/F35),"N/M")</f>
        <v>0.30825874234647</v>
      </c>
      <c r="G191" s="46" t="n">
        <f aca="false">IFERROR(IF(G35&lt;=0,"N/M",G61/G35),"N/M")</f>
        <v>0.365977462271644</v>
      </c>
      <c r="H191" s="46" t="n">
        <f aca="false">IFERROR(IF(H35&lt;=0,"N/M",H61/H35),"N/M")</f>
        <v>0.395061978098183</v>
      </c>
      <c r="I191" s="46" t="n">
        <f aca="false">IFERROR(IF(I35&lt;=0,"N/M",I61/I35),"N/M")</f>
        <v>0.425646233987485</v>
      </c>
      <c r="J191" s="46" t="n">
        <f aca="false">IFERROR(IF(J35&lt;=0,"N/M",J61/J35),"N/M")</f>
        <v>0.430553569914099</v>
      </c>
      <c r="K191" s="25" t="n">
        <f aca="false">IFERROR(AVERAGE(D191:J191),"N/M")</f>
        <v>0.330809716731822</v>
      </c>
      <c r="L191" s="86" t="n">
        <f aca="false">IFERROR(J191-D191,"N/M")</f>
        <v>0.244688734012721</v>
      </c>
      <c r="M191" s="87" t="n">
        <f aca="false">IFERROR(SLOPE(D191:J191,$D$3:$J$3),"N/M")</f>
        <v>0.0451268398770664</v>
      </c>
    </row>
    <row r="192" customFormat="false" ht="15" hidden="false" customHeight="false" outlineLevel="0" collapsed="false">
      <c r="A192" s="18" t="s">
        <v>675</v>
      </c>
      <c r="B192" s="19" t="s">
        <v>676</v>
      </c>
      <c r="D192" s="46" t="n">
        <f aca="false">IFERROR(IF(D35&lt;=0,"N/M",D28/D35),"N/M")</f>
        <v>0.200697518545587</v>
      </c>
      <c r="E192" s="46" t="n">
        <f aca="false">IFERROR(IF(E35&lt;=0,"N/M",E28/E35),"N/M")</f>
        <v>0.525344874595763</v>
      </c>
      <c r="F192" s="46" t="n">
        <f aca="false">IFERROR(IF(F35&lt;=0,"N/M",F28/F35),"N/M")</f>
        <v>0.376822353257258</v>
      </c>
      <c r="G192" s="46" t="n">
        <f aca="false">IFERROR(IF(G35&lt;=0,"N/M",G28/G35),"N/M")</f>
        <v>0.347541451548848</v>
      </c>
      <c r="H192" s="46" t="n">
        <f aca="false">IFERROR(IF(H35&lt;=0,"N/M",H28/H35),"N/M")</f>
        <v>0.31002051489497</v>
      </c>
      <c r="I192" s="46" t="n">
        <f aca="false">IFERROR(IF(I35&lt;=0,"N/M",I28/I35),"N/M")</f>
        <v>0.274926558114646</v>
      </c>
      <c r="J192" s="46" t="n">
        <f aca="false">IFERROR(IF(J35&lt;=0,"N/M",J28/J35),"N/M")</f>
        <v>0.276700146600918</v>
      </c>
      <c r="K192" s="25" t="n">
        <f aca="false">IFERROR(AVERAGE(D192:J192),"N/M")</f>
        <v>0.330293345365427</v>
      </c>
      <c r="L192" s="86" t="n">
        <f aca="false">IFERROR(J192-D192,"N/M")</f>
        <v>0.0760026280553316</v>
      </c>
      <c r="M192" s="87" t="n">
        <f aca="false">IFERROR(SLOPE(D192:J192,$D$3:$J$3),"N/M")</f>
        <v>-0.0121296638270902</v>
      </c>
    </row>
    <row r="193" customFormat="false" ht="15" hidden="false" customHeight="false" outlineLevel="0" collapsed="false">
      <c r="A193" s="18" t="s">
        <v>496</v>
      </c>
      <c r="B193" s="19" t="s">
        <v>677</v>
      </c>
      <c r="D193" s="46" t="n">
        <f aca="false">IFERROR(IF(D35&lt;=0,"N/M",D29/D35),"N/M")</f>
        <v>0.613437645553035</v>
      </c>
      <c r="E193" s="46" t="n">
        <f aca="false">IFERROR(IF(E35&lt;=0,"N/M",E29/E35),"N/M")</f>
        <v>0.270349930800744</v>
      </c>
      <c r="F193" s="46" t="n">
        <f aca="false">IFERROR(IF(F35&lt;=0,"N/M",F29/F35),"N/M")</f>
        <v>0.314918904396273</v>
      </c>
      <c r="G193" s="46" t="n">
        <f aca="false">IFERROR(IF(G35&lt;=0,"N/M",G29/G35),"N/M")</f>
        <v>0.286481086179508</v>
      </c>
      <c r="H193" s="46" t="n">
        <f aca="false">IFERROR(IF(H35&lt;=0,"N/M",H29/H35),"N/M")</f>
        <v>0.294917507006848</v>
      </c>
      <c r="I193" s="46" t="n">
        <f aca="false">IFERROR(IF(I35&lt;=0,"N/M",I29/I35),"N/M")</f>
        <v>0.299427207897869</v>
      </c>
      <c r="J193" s="46" t="n">
        <f aca="false">IFERROR(IF(J35&lt;=0,"N/M",J29/J35),"N/M")</f>
        <v>0.292746283484982</v>
      </c>
      <c r="K193" s="25" t="n">
        <f aca="false">IFERROR(AVERAGE(D193:J193),"N/M")</f>
        <v>0.338896937902751</v>
      </c>
      <c r="L193" s="86" t="n">
        <f aca="false">IFERROR(J193-D193,"N/M")</f>
        <v>-0.320691362068053</v>
      </c>
      <c r="M193" s="87" t="n">
        <f aca="false">IFERROR(SLOPE(D193:J193,$D$3:$J$3),"N/M")</f>
        <v>-0.0329971760499762</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0.630485574392511</v>
      </c>
      <c r="E195" s="46" t="n">
        <f aca="false">IFERROR(IF(E35&lt;=0,"N/M",E31/E35),"N/M")</f>
        <v>0.546408368795795</v>
      </c>
      <c r="F195" s="46" t="n">
        <f aca="false">IFERROR(IF(F35&lt;=0,"N/M",F31/F35),"N/M")</f>
        <v>0.507950480069006</v>
      </c>
      <c r="G195" s="46" t="n">
        <f aca="false">IFERROR(IF(G35&lt;=0,"N/M",G31/G35),"N/M")</f>
        <v>0.445861670969023</v>
      </c>
      <c r="H195" s="46" t="n">
        <f aca="false">IFERROR(IF(H35&lt;=0,"N/M",H31/H35),"N/M")</f>
        <v>0.526608685602011</v>
      </c>
      <c r="I195" s="46" t="n">
        <f aca="false">IFERROR(IF(I35&lt;=0,"N/M",I31/I35),"N/M")</f>
        <v>0.495140276731208</v>
      </c>
      <c r="J195" s="46" t="n">
        <f aca="false">IFERROR(IF(J35&lt;=0,"N/M",J31/J35),"N/M")</f>
        <v>0.493204259907678</v>
      </c>
      <c r="K195" s="25" t="n">
        <f aca="false">IFERROR(AVERAGE(D195:J195),"N/M")</f>
        <v>0.520808473781033</v>
      </c>
      <c r="L195" s="86" t="n">
        <f aca="false">IFERROR(J195-D195,"N/M")</f>
        <v>-0.137281314484834</v>
      </c>
      <c r="M195" s="87" t="n">
        <f aca="false">IFERROR(SLOPE(D195:J195,$D$3:$J$3),"N/M")</f>
        <v>-0.0177043543589525</v>
      </c>
    </row>
    <row r="196" customFormat="false" ht="15" hidden="false" customHeight="false" outlineLevel="0" collapsed="false">
      <c r="A196" s="18" t="s">
        <v>680</v>
      </c>
      <c r="B196" s="19" t="s">
        <v>681</v>
      </c>
      <c r="D196" s="46" t="n">
        <f aca="false">IFERROR(IF(D35&lt;=0,"N/M",D32/D35),"N/M")</f>
        <v>0.00682750237618289</v>
      </c>
      <c r="E196" s="46" t="n">
        <f aca="false">IFERROR(IF(E35&lt;=0,"N/M",E32/E35),"N/M")</f>
        <v>0.00230549141825687</v>
      </c>
      <c r="F196" s="46" t="n">
        <f aca="false">IFERROR(IF(F35&lt;=0,"N/M",F32/F35),"N/M")</f>
        <v>0.0244382697719142</v>
      </c>
      <c r="G196" s="46" t="n">
        <f aca="false">IFERROR(IF(G35&lt;=0,"N/M",G32/G35),"N/M")</f>
        <v>0.136178887013503</v>
      </c>
      <c r="H196" s="46" t="n">
        <f aca="false">IFERROR(IF(H35&lt;=0,"N/M",H32/H35),"N/M")</f>
        <v>0.0213412696119507</v>
      </c>
      <c r="I196" s="46" t="n">
        <f aca="false">IFERROR(IF(I35&lt;=0,"N/M",I32/I35),"N/M")</f>
        <v>0.0210087475018838</v>
      </c>
      <c r="J196" s="46" t="n">
        <f aca="false">IFERROR(IF(J35&lt;=0,"N/M",J32/J35),"N/M")</f>
        <v>0.0065207119231375</v>
      </c>
      <c r="K196" s="25" t="n">
        <f aca="false">IFERROR(AVERAGE(D196:J196),"N/M")</f>
        <v>0.0312315542309755</v>
      </c>
      <c r="L196" s="86" t="n">
        <f aca="false">IFERROR(J196-D196,"N/M")</f>
        <v>-0.000306790453045384</v>
      </c>
      <c r="M196" s="87" t="n">
        <f aca="false">IFERROR(SLOPE(D196:J196,$D$3:$J$3),"N/M")</f>
        <v>0.00119246930886265</v>
      </c>
    </row>
    <row r="197" customFormat="false" ht="15" hidden="false" customHeight="false" outlineLevel="0" collapsed="false">
      <c r="A197" s="18" t="s">
        <v>442</v>
      </c>
      <c r="B197" s="19" t="s">
        <v>682</v>
      </c>
      <c r="D197" s="46" t="n">
        <f aca="false">IFERROR(IF(D35&lt;=0,"N/M",D33/D35),"N/M")</f>
        <v>0</v>
      </c>
      <c r="E197" s="46" t="n">
        <f aca="false">IFERROR(IF(E35&lt;=0,"N/M",E33/E35),"N/M")</f>
        <v>0.0517941762182348</v>
      </c>
      <c r="F197" s="46" t="n">
        <f aca="false">IFERROR(IF(F35&lt;=0,"N/M",F33/F35),"N/M")</f>
        <v>0.0733148093157426</v>
      </c>
      <c r="G197" s="46" t="n">
        <f aca="false">IFERROR(IF(G35&lt;=0,"N/M",G33/G35),"N/M")</f>
        <v>0.0530213711278793</v>
      </c>
      <c r="H197" s="46" t="n">
        <f aca="false">IFERROR(IF(H35&lt;=0,"N/M",H33/H35),"N/M")</f>
        <v>0.0887861538906065</v>
      </c>
      <c r="I197" s="46" t="n">
        <f aca="false">IFERROR(IF(I35&lt;=0,"N/M",I33/I35),"N/M")</f>
        <v>0.105324946215422</v>
      </c>
      <c r="J197" s="46" t="n">
        <f aca="false">IFERROR(IF(J35&lt;=0,"N/M",J33/J35),"N/M")</f>
        <v>0.0999697105540545</v>
      </c>
      <c r="K197" s="25" t="n">
        <f aca="false">IFERROR(AVERAGE(D197:J197),"N/M")</f>
        <v>0.0674587381888486</v>
      </c>
      <c r="L197" s="86" t="n">
        <f aca="false">IFERROR(J197-D197,"N/M")</f>
        <v>0.0999697105540545</v>
      </c>
      <c r="M197" s="87" t="n">
        <f aca="false">IFERROR(SLOPE(D197:J197,$D$3:$J$3),"N/M")</f>
        <v>0.0150872148654072</v>
      </c>
    </row>
    <row r="198" customFormat="false" ht="15" hidden="false" customHeight="false" outlineLevel="0" collapsed="false">
      <c r="A198" s="18" t="s">
        <v>494</v>
      </c>
      <c r="B198" s="19" t="s">
        <v>683</v>
      </c>
      <c r="D198" s="46" t="n">
        <f aca="false">IFERROR(IF(D35&lt;=0,"N/M",D34/D35),"N/M")</f>
        <v>0.362686923231306</v>
      </c>
      <c r="E198" s="46" t="n">
        <f aca="false">IFERROR(IF(E35&lt;=0,"N/M",E34/E35),"N/M")</f>
        <v>0.399491963567714</v>
      </c>
      <c r="F198" s="46" t="n">
        <f aca="false">IFERROR(IF(F35&lt;=0,"N/M",F34/F35),"N/M")</f>
        <v>0.394296440843338</v>
      </c>
      <c r="G198" s="46" t="n">
        <f aca="false">IFERROR(IF(G35&lt;=0,"N/M",G34/G35),"N/M")</f>
        <v>0.364938070889595</v>
      </c>
      <c r="H198" s="46" t="n">
        <f aca="false">IFERROR(IF(H35&lt;=0,"N/M",H34/H35),"N/M")</f>
        <v>0.363263890895432</v>
      </c>
      <c r="I198" s="46" t="n">
        <f aca="false">IFERROR(IF(I35&lt;=0,"N/M",I34/I35),"N/M")</f>
        <v>0.378526029551486</v>
      </c>
      <c r="J198" s="46" t="n">
        <f aca="false">IFERROR(IF(J35&lt;=0,"N/M",J34/J35),"N/M")</f>
        <v>0.40030531761513</v>
      </c>
      <c r="K198" s="25" t="n">
        <f aca="false">IFERROR(AVERAGE(D198:J198),"N/M")</f>
        <v>0.380501233799143</v>
      </c>
      <c r="L198" s="86" t="n">
        <f aca="false">IFERROR(J198-D198,"N/M")</f>
        <v>0.0376183943838244</v>
      </c>
      <c r="M198" s="87" t="n">
        <f aca="false">IFERROR(SLOPE(D198:J198,$D$3:$J$3),"N/M")</f>
        <v>0.00142467018468256</v>
      </c>
    </row>
    <row r="199" customFormat="false" ht="15" hidden="false" customHeight="false" outlineLevel="0" collapsed="false">
      <c r="A199" s="18" t="s">
        <v>684</v>
      </c>
      <c r="B199" s="19" t="s">
        <v>685</v>
      </c>
      <c r="D199" s="46" t="n">
        <f aca="false">IFERROR(IF(D35&lt;=0,"N/M",D36/D35),"N/M")</f>
        <v>0.200027264568557</v>
      </c>
      <c r="E199" s="46" t="n">
        <f aca="false">IFERROR(IF(E35&lt;=0,"N/M",E36/E35),"N/M")</f>
        <v>0.178751514272994</v>
      </c>
      <c r="F199" s="46" t="n">
        <f aca="false">IFERROR(IF(F35&lt;=0,"N/M",F36/F35),"N/M")</f>
        <v>0.205040371045971</v>
      </c>
      <c r="G199" s="46" t="n">
        <f aca="false">IFERROR(IF(G35&lt;=0,"N/M",G36/G35),"N/M")</f>
        <v>0.197534005162828</v>
      </c>
      <c r="H199" s="46" t="n">
        <f aca="false">IFERROR(IF(H35&lt;=0,"N/M",H36/H35),"N/M")</f>
        <v>0.193715507526944</v>
      </c>
      <c r="I199" s="46" t="n">
        <f aca="false">IFERROR(IF(I35&lt;=0,"N/M",I36/I35),"N/M")</f>
        <v>0.214616846312617</v>
      </c>
      <c r="J199" s="46" t="n">
        <f aca="false">IFERROR(IF(J35&lt;=0,"N/M",J36/J35),"N/M")</f>
        <v>0.222506269915311</v>
      </c>
      <c r="K199" s="25" t="n">
        <f aca="false">IFERROR(AVERAGE(D199:J199),"N/M")</f>
        <v>0.20174168268646</v>
      </c>
      <c r="L199" s="86" t="n">
        <f aca="false">IFERROR(J199-D199,"N/M")</f>
        <v>0.0224790053467535</v>
      </c>
      <c r="M199" s="87" t="n">
        <f aca="false">IFERROR(SLOPE(D199:J199,$D$3:$J$3),"N/M")</f>
        <v>0.00456581487858857</v>
      </c>
    </row>
    <row r="200" customFormat="false" ht="15" hidden="false" customHeight="false" outlineLevel="0" collapsed="false">
      <c r="A200" s="18" t="s">
        <v>686</v>
      </c>
      <c r="B200" s="19" t="s">
        <v>687</v>
      </c>
      <c r="D200" s="46" t="n">
        <f aca="false">IFERROR(IF(D35&lt;=0,"N/M",D37/D35),"N/M")</f>
        <v>0.0102204264632932</v>
      </c>
      <c r="E200" s="46" t="n">
        <f aca="false">IFERROR(IF(E35&lt;=0,"N/M",E37/E35),"N/M")</f>
        <v>0.0109683409090125</v>
      </c>
      <c r="F200" s="46" t="n">
        <f aca="false">IFERROR(IF(F35&lt;=0,"N/M",F37/F35),"N/M")</f>
        <v>0.0123693773950424</v>
      </c>
      <c r="G200" s="46" t="n">
        <f aca="false">IFERROR(IF(G35&lt;=0,"N/M",G37/G35),"N/M")</f>
        <v>0.0122089704130262</v>
      </c>
      <c r="H200" s="46" t="n">
        <f aca="false">IFERROR(IF(H35&lt;=0,"N/M",H37/H35),"N/M")</f>
        <v>0.0149758733277471</v>
      </c>
      <c r="I200" s="46" t="n">
        <f aca="false">IFERROR(IF(I35&lt;=0,"N/M",I37/I35),"N/M")</f>
        <v>0.0140686258449912</v>
      </c>
      <c r="J200" s="46" t="n">
        <f aca="false">IFERROR(IF(J35&lt;=0,"N/M",J37/J35),"N/M")</f>
        <v>0.0135551328495099</v>
      </c>
      <c r="K200" s="25" t="n">
        <f aca="false">IFERROR(AVERAGE(D200:J200),"N/M")</f>
        <v>0.0126238210289461</v>
      </c>
      <c r="L200" s="86" t="n">
        <f aca="false">IFERROR(J200-D200,"N/M")</f>
        <v>0.00333470638621673</v>
      </c>
      <c r="M200" s="87" t="n">
        <f aca="false">IFERROR(SLOPE(D200:J200,$D$3:$J$3),"N/M")</f>
        <v>0.000671828034404016</v>
      </c>
    </row>
    <row r="201" customFormat="false" ht="15" hidden="false" customHeight="false" outlineLevel="0" collapsed="false">
      <c r="A201" s="18" t="s">
        <v>688</v>
      </c>
      <c r="B201" s="19" t="s">
        <v>689</v>
      </c>
      <c r="D201" s="46" t="n">
        <f aca="false">IFERROR(IF(D35&lt;=0,"N/M",D38/D35),"N/M")</f>
        <v>0.037867456329356</v>
      </c>
      <c r="E201" s="46" t="n">
        <f aca="false">IFERROR(IF(E35&lt;=0,"N/M",E38/E35),"N/M")</f>
        <v>0.10717083760436</v>
      </c>
      <c r="F201" s="46" t="n">
        <f aca="false">IFERROR(IF(F35&lt;=0,"N/M",F38/F35),"N/M")</f>
        <v>0.0651628275286698</v>
      </c>
      <c r="G201" s="46" t="n">
        <f aca="false">IFERROR(IF(G35&lt;=0,"N/M",G38/G35),"N/M")</f>
        <v>0.0296366163621922</v>
      </c>
      <c r="H201" s="46" t="n">
        <f aca="false">IFERROR(IF(H35&lt;=0,"N/M",H38/H35),"N/M")</f>
        <v>0.0480337484469358</v>
      </c>
      <c r="I201" s="46" t="n">
        <f aca="false">IFERROR(IF(I35&lt;=0,"N/M",I38/I35),"N/M")</f>
        <v>0.0456786685450316</v>
      </c>
      <c r="J201" s="46" t="n">
        <f aca="false">IFERROR(IF(J35&lt;=0,"N/M",J38/J35),"N/M")</f>
        <v>0.0579085743363582</v>
      </c>
      <c r="K201" s="25" t="n">
        <f aca="false">IFERROR(AVERAGE(D201:J201),"N/M")</f>
        <v>0.0559226755932719</v>
      </c>
      <c r="L201" s="86" t="n">
        <f aca="false">IFERROR(J201-D201,"N/M")</f>
        <v>0.0200411180070022</v>
      </c>
      <c r="M201" s="87" t="n">
        <f aca="false">IFERROR(SLOPE(D201:J201,$D$3:$J$3),"N/M")</f>
        <v>-0.00285678797069227</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103.558909398985</v>
      </c>
      <c r="F205" s="91" t="n">
        <f aca="false">IFERROR((IF($D9&lt;=0,"N/M",F9/$D9)*100),"N/M")</f>
        <v>138.907383319738</v>
      </c>
      <c r="G205" s="91" t="n">
        <f aca="false">IFERROR((IF($D9&lt;=0,"N/M",G9/$D9)*100),"N/M")</f>
        <v>162.897897093977</v>
      </c>
      <c r="H205" s="91" t="n">
        <f aca="false">IFERROR((IF($D9&lt;=0,"N/M",H9/$D9)*100),"N/M")</f>
        <v>165.9091123828</v>
      </c>
      <c r="I205" s="91" t="n">
        <f aca="false">IFERROR((IF($D9&lt;=0,"N/M",I9/$D9)*100),"N/M")</f>
        <v>180.155773149446</v>
      </c>
      <c r="J205" s="91" t="n">
        <f aca="false">IFERROR((IF($D9&lt;=0,"N/M",J9/$D9)*100),"N/M")</f>
        <v>193.405624336641</v>
      </c>
      <c r="K205" s="92" t="n">
        <f aca="false">IFERROR(AVERAGE(D205:J205),"N/M")</f>
        <v>149.262099954513</v>
      </c>
      <c r="L205" s="85" t="n">
        <f aca="false">IFERROR(J205-D205,"N/M")</f>
        <v>93.4056243366413</v>
      </c>
      <c r="M205" s="85" t="n">
        <f aca="false">IFERROR(SLOPE(D205:J205,$D$3:$J$3),"N/M")</f>
        <v>16.4432974847824</v>
      </c>
    </row>
    <row r="206" customFormat="false" ht="15" hidden="false" customHeight="false" outlineLevel="0" collapsed="false">
      <c r="A206" s="18" t="s">
        <v>657</v>
      </c>
      <c r="B206" s="19" t="s">
        <v>693</v>
      </c>
      <c r="D206" s="91" t="n">
        <f aca="false">IFERROR((IF($D56&lt;=0,"N/M",D56/$D56)*100),"N/M")</f>
        <v>100</v>
      </c>
      <c r="E206" s="91" t="n">
        <f aca="false">IFERROR((IF($D56&lt;=0,"N/M",E56/$D56)*100),"N/M")</f>
        <v>144.600830155285</v>
      </c>
      <c r="F206" s="91" t="n">
        <f aca="false">IFERROR((IF($D56&lt;=0,"N/M",F56/$D56)*100),"N/M")</f>
        <v>210.701418006363</v>
      </c>
      <c r="G206" s="91" t="n">
        <f aca="false">IFERROR((IF($D56&lt;=0,"N/M",G56/$D56)*100),"N/M")</f>
        <v>197.553780999136</v>
      </c>
      <c r="H206" s="91" t="n">
        <f aca="false">IFERROR((IF($D56&lt;=0,"N/M",H56/$D56)*100),"N/M")</f>
        <v>179.726512294305</v>
      </c>
      <c r="I206" s="91" t="n">
        <f aca="false">IFERROR((IF($D56&lt;=0,"N/M",I56/$D56)*100),"N/M")</f>
        <v>184.627378268473</v>
      </c>
      <c r="J206" s="91" t="n">
        <f aca="false">IFERROR((IF($D56&lt;=0,"N/M",J56/$D56)*100),"N/M")</f>
        <v>200.303407007859</v>
      </c>
      <c r="K206" s="92" t="n">
        <f aca="false">IFERROR(AVERAGE(D206:J206),"N/M")</f>
        <v>173.930475247346</v>
      </c>
      <c r="L206" s="85" t="n">
        <f aca="false">IFERROR(J206-D206,"N/M")</f>
        <v>100.303407007859</v>
      </c>
      <c r="M206" s="85" t="n">
        <f aca="false">IFERROR(SLOPE(D206:J206,$D$3:$J$3),"N/M")</f>
        <v>12.4995861263534</v>
      </c>
    </row>
    <row r="207" customFormat="false" ht="15" hidden="false" customHeight="false" outlineLevel="0" collapsed="false">
      <c r="A207" s="18" t="s">
        <v>667</v>
      </c>
      <c r="B207" s="19" t="s">
        <v>694</v>
      </c>
      <c r="D207" s="91" t="str">
        <f aca="false">IFERROR((IF($D22&lt;=0,"N/M",D22/$D22)*100),"N/M")</f>
        <v>N/M</v>
      </c>
      <c r="E207" s="91" t="str">
        <f aca="false">IFERROR((IF($D22&lt;=0,"N/M",E22/$D22)*100),"N/M")</f>
        <v>N/M</v>
      </c>
      <c r="F207" s="91" t="str">
        <f aca="false">IFERROR((IF($D22&lt;=0,"N/M",F22/$D22)*100),"N/M")</f>
        <v>N/M</v>
      </c>
      <c r="G207" s="91" t="str">
        <f aca="false">IFERROR((IF($D22&lt;=0,"N/M",G22/$D22)*100),"N/M")</f>
        <v>N/M</v>
      </c>
      <c r="H207" s="91" t="str">
        <f aca="false">IFERROR((IF($D22&lt;=0,"N/M",H22/$D22)*100),"N/M")</f>
        <v>N/M</v>
      </c>
      <c r="I207" s="91" t="str">
        <f aca="false">IFERROR((IF($D22&lt;=0,"N/M",I22/$D22)*100),"N/M")</f>
        <v>N/M</v>
      </c>
      <c r="J207" s="91" t="str">
        <f aca="false">IFERROR((IF($D22&lt;=0,"N/M",J22/$D22)*100),"N/M")</f>
        <v>N/M</v>
      </c>
      <c r="K207" s="92" t="str">
        <f aca="false">IFERROR(AVERAGE(D207:J207),"N/M")</f>
        <v>N/M</v>
      </c>
      <c r="L207" s="85" t="str">
        <f aca="false">IFERROR(J207-D207,"N/M")</f>
        <v>N/M</v>
      </c>
      <c r="M207" s="85" t="str">
        <f aca="false">IFERROR(SLOPE(D207:J207,$D$3:$J$3),"N/M")</f>
        <v>N/M</v>
      </c>
    </row>
    <row r="208" customFormat="false" ht="15" hidden="false" customHeight="false" outlineLevel="0" collapsed="false">
      <c r="A208" s="18" t="s">
        <v>446</v>
      </c>
      <c r="B208" s="19" t="s">
        <v>695</v>
      </c>
      <c r="D208" s="91" t="n">
        <f aca="false">IFERROR((IF($D35&lt;=0,"N/M",D35/$D35)*100),"N/M")</f>
        <v>100</v>
      </c>
      <c r="E208" s="91" t="n">
        <f aca="false">IFERROR((IF($D35&lt;=0,"N/M",E35/$D35)*100),"N/M")</f>
        <v>109.718303992366</v>
      </c>
      <c r="F208" s="91" t="n">
        <f aca="false">IFERROR((IF($D35&lt;=0,"N/M",F35/$D35)*100),"N/M")</f>
        <v>107.117945766229</v>
      </c>
      <c r="G208" s="91" t="n">
        <f aca="false">IFERROR((IF($D35&lt;=0,"N/M",G35/$D35)*100),"N/M")</f>
        <v>122.048326447768</v>
      </c>
      <c r="H208" s="91" t="n">
        <f aca="false">IFERROR((IF($D35&lt;=0,"N/M",H35/$D35)*100),"N/M")</f>
        <v>131.055479610268</v>
      </c>
      <c r="I208" s="91" t="n">
        <f aca="false">IFERROR((IF($D35&lt;=0,"N/M",I35/$D35)*100),"N/M")</f>
        <v>138.699404344912</v>
      </c>
      <c r="J208" s="91" t="n">
        <f aca="false">IFERROR((IF($D35&lt;=0,"N/M",J35/$D35)*100),"N/M")</f>
        <v>156.273312152803</v>
      </c>
      <c r="K208" s="92" t="n">
        <f aca="false">IFERROR(AVERAGE(D208:J208),"N/M")</f>
        <v>123.558967473478</v>
      </c>
      <c r="L208" s="85" t="n">
        <f aca="false">IFERROR(J208-D208,"N/M")</f>
        <v>56.2733121528028</v>
      </c>
      <c r="M208" s="85" t="n">
        <f aca="false">IFERROR(SLOPE(D208:J208,$D$3:$J$3),"N/M")</f>
        <v>8.95427396455498</v>
      </c>
    </row>
    <row r="209" customFormat="false" ht="15" hidden="false" customHeight="false" outlineLevel="0" collapsed="false">
      <c r="A209" s="18" t="s">
        <v>673</v>
      </c>
      <c r="B209" s="19" t="s">
        <v>696</v>
      </c>
      <c r="D209" s="91" t="n">
        <f aca="false">IFERROR((IF($D61&lt;=0,"N/M",D61/$D61)*100),"N/M")</f>
        <v>100</v>
      </c>
      <c r="E209" s="91" t="n">
        <f aca="false">IFERROR((IF($D61&lt;=0,"N/M",E61/$D61)*100),"N/M")</f>
        <v>120.603875068761</v>
      </c>
      <c r="F209" s="91" t="n">
        <f aca="false">IFERROR((IF($D61&lt;=0,"N/M",F61/$D61)*100),"N/M")</f>
        <v>177.656214982784</v>
      </c>
      <c r="G209" s="91" t="n">
        <f aca="false">IFERROR((IF($D61&lt;=0,"N/M",G61/$D61)*100),"N/M")</f>
        <v>240.319458875782</v>
      </c>
      <c r="H209" s="91" t="n">
        <f aca="false">IFERROR((IF($D61&lt;=0,"N/M",H61/$D61)*100),"N/M")</f>
        <v>278.562842532038</v>
      </c>
      <c r="I209" s="91" t="n">
        <f aca="false">IFERROR((IF($D61&lt;=0,"N/M",I61/$D61)*100),"N/M")</f>
        <v>317.633396491657</v>
      </c>
      <c r="J209" s="91" t="n">
        <f aca="false">IFERROR((IF($D61&lt;=0,"N/M",J61/$D61)*100),"N/M")</f>
        <v>362.005174907809</v>
      </c>
      <c r="K209" s="92" t="n">
        <f aca="false">IFERROR(AVERAGE(D209:J209),"N/M")</f>
        <v>228.11156612269</v>
      </c>
      <c r="L209" s="85" t="n">
        <f aca="false">IFERROR(J209-D209,"N/M")</f>
        <v>262.005174907809</v>
      </c>
      <c r="M209" s="85" t="n">
        <f aca="false">IFERROR(SLOPE(D209:J209,$D$3:$J$3),"N/M")</f>
        <v>45.7493283970883</v>
      </c>
    </row>
    <row r="210" customFormat="false" ht="15" hidden="false" customHeight="false" outlineLevel="0" collapsed="false">
      <c r="A210" s="18" t="s">
        <v>675</v>
      </c>
      <c r="B210" s="19" t="s">
        <v>697</v>
      </c>
      <c r="D210" s="91" t="n">
        <f aca="false">IFERROR((IF($D28&lt;=0,"N/M",D28/$D28)*100),"N/M")</f>
        <v>100</v>
      </c>
      <c r="E210" s="91" t="n">
        <f aca="false">IFERROR((IF($D28&lt;=0,"N/M",E28/$D28)*100),"N/M")</f>
        <v>287.198113207547</v>
      </c>
      <c r="F210" s="91" t="n">
        <f aca="false">IFERROR((IF($D28&lt;=0,"N/M",F28/$D28)*100),"N/M")</f>
        <v>201.120754716981</v>
      </c>
      <c r="G210" s="91" t="n">
        <f aca="false">IFERROR((IF($D28&lt;=0,"N/M",G28/$D28)*100),"N/M")</f>
        <v>211.347169811321</v>
      </c>
      <c r="H210" s="91" t="n">
        <f aca="false">IFERROR((IF($D28&lt;=0,"N/M",H28/$D28)*100),"N/M")</f>
        <v>202.443396226415</v>
      </c>
      <c r="I210" s="91" t="n">
        <f aca="false">IFERROR((IF($D28&lt;=0,"N/M",I28/$D28)*100),"N/M")</f>
        <v>189.998113207547</v>
      </c>
      <c r="J210" s="91" t="n">
        <f aca="false">IFERROR((IF($D28&lt;=0,"N/M",J28/$D28)*100),"N/M")</f>
        <v>215.452830188679</v>
      </c>
      <c r="K210" s="92" t="n">
        <f aca="false">IFERROR(AVERAGE(D210:J210),"N/M")</f>
        <v>201.080053908356</v>
      </c>
      <c r="L210" s="85" t="n">
        <f aca="false">IFERROR(J210-D210,"N/M")</f>
        <v>115.452830188679</v>
      </c>
      <c r="M210" s="85" t="n">
        <f aca="false">IFERROR(SLOPE(D210:J210,$D$3:$J$3),"N/M")</f>
        <v>5.47432614555257</v>
      </c>
    </row>
    <row r="211" customFormat="false" ht="15" hidden="false" customHeight="false" outlineLevel="0" collapsed="false">
      <c r="A211" s="18" t="s">
        <v>698</v>
      </c>
      <c r="B211" s="19" t="s">
        <v>699</v>
      </c>
      <c r="D211" s="91" t="n">
        <f aca="false">IFERROR((IF($D36&lt;=0,"N/M",D36/$D36)*100),"N/M")</f>
        <v>100</v>
      </c>
      <c r="E211" s="91" t="n">
        <f aca="false">IFERROR((IF($D36&lt;=0,"N/M",E36/$D36)*100),"N/M")</f>
        <v>98.0481987013233</v>
      </c>
      <c r="F211" s="91" t="n">
        <f aca="false">IFERROR((IF($D36&lt;=0,"N/M",F36/$D36)*100),"N/M")</f>
        <v>109.802548132442</v>
      </c>
      <c r="G211" s="91" t="n">
        <f aca="false">IFERROR((IF($D36&lt;=0,"N/M",G36/$D36)*100),"N/M")</f>
        <v>120.527043144085</v>
      </c>
      <c r="H211" s="91" t="n">
        <f aca="false">IFERROR((IF($D36&lt;=0,"N/M",H36/$D36)*100),"N/M")</f>
        <v>126.920091626753</v>
      </c>
      <c r="I211" s="91" t="n">
        <f aca="false">IFERROR((IF($D36&lt;=0,"N/M",I36/$D36)*100),"N/M")</f>
        <v>148.815856729076</v>
      </c>
      <c r="J211" s="91" t="n">
        <f aca="false">IFERROR((IF($D36&lt;=0,"N/M",J36/$D36)*100),"N/M")</f>
        <v>173.835261155179</v>
      </c>
      <c r="K211" s="92" t="n">
        <f aca="false">IFERROR(AVERAGE(D211:J211),"N/M")</f>
        <v>125.421285641266</v>
      </c>
      <c r="L211" s="85" t="n">
        <f aca="false">IFERROR(J211-D211,"N/M")</f>
        <v>73.8352611551786</v>
      </c>
      <c r="M211" s="85" t="n">
        <f aca="false">IFERROR(SLOPE(D211:J211,$D$3:$J$3),"N/M")</f>
        <v>12.148522964834</v>
      </c>
    </row>
    <row r="212" customFormat="false" ht="15" hidden="false" customHeight="false" outlineLevel="0" collapsed="false">
      <c r="A212" s="18" t="s">
        <v>700</v>
      </c>
      <c r="B212" s="19" t="s">
        <v>701</v>
      </c>
      <c r="D212" s="91" t="n">
        <f aca="false">IFERROR((IF($D41&lt;=0,"N/M",D41/$D41)*100),"N/M")</f>
        <v>100</v>
      </c>
      <c r="E212" s="91" t="n">
        <f aca="false">IFERROR((IF($D41&lt;=0,"N/M",E41/$D41)*100),"N/M")</f>
        <v>206.031144434374</v>
      </c>
      <c r="F212" s="91" t="n">
        <f aca="false">IFERROR((IF($D41&lt;=0,"N/M",F41/$D41)*100),"N/M")</f>
        <v>236.134684573343</v>
      </c>
      <c r="G212" s="91" t="n">
        <f aca="false">IFERROR((IF($D41&lt;=0,"N/M",G41/$D41)*100),"N/M")</f>
        <v>196.847106643597</v>
      </c>
      <c r="H212" s="91" t="n">
        <f aca="false">IFERROR((IF($D41&lt;=0,"N/M",H41/$D41)*100),"N/M")</f>
        <v>232.547856417017</v>
      </c>
      <c r="I212" s="91" t="n">
        <f aca="false">IFERROR((IF($D41&lt;=0,"N/M",I41/$D41)*100),"N/M")</f>
        <v>201.895031721183</v>
      </c>
      <c r="J212" s="91" t="n">
        <f aca="false">IFERROR((IF($D41&lt;=0,"N/M",J41/$D41)*100),"N/M")</f>
        <v>222.528906099805</v>
      </c>
      <c r="K212" s="92" t="n">
        <f aca="false">IFERROR(AVERAGE(D212:J212),"N/M")</f>
        <v>199.426389984188</v>
      </c>
      <c r="L212" s="85" t="n">
        <f aca="false">IFERROR(J212-D212,"N/M")</f>
        <v>122.528906099805</v>
      </c>
      <c r="M212" s="85" t="n">
        <f aca="false">IFERROR(SLOPE(D212:J212,$D$3:$J$3),"N/M")</f>
        <v>12.7045594541681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66</v>
      </c>
    </row>
    <row r="2" customFormat="false" ht="15" hidden="false" customHeight="false" outlineLevel="0" collapsed="false">
      <c r="A2" s="6" t="s">
        <v>705</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6956.06</v>
      </c>
      <c r="D9" s="93" t="n">
        <v>6530.27</v>
      </c>
      <c r="E9" s="93" t="n">
        <v>6427.08</v>
      </c>
      <c r="F9" s="93" t="n">
        <v>7652.73</v>
      </c>
      <c r="G9" s="93" t="n">
        <v>8169.12</v>
      </c>
      <c r="H9" s="93" t="n">
        <v>8653.41</v>
      </c>
      <c r="I9" s="93" t="n">
        <v>8887.02</v>
      </c>
      <c r="J9" s="93" t="n">
        <v>9078.97</v>
      </c>
    </row>
    <row r="10" customFormat="false" ht="15" hidden="false" customHeight="false" outlineLevel="0" collapsed="false">
      <c r="A10" s="18" t="s">
        <v>399</v>
      </c>
      <c r="B10" s="74" t="s">
        <v>400</v>
      </c>
      <c r="C10" s="93" t="n">
        <v>0</v>
      </c>
      <c r="D10" s="93" t="n">
        <v>0</v>
      </c>
      <c r="E10" s="93" t="n">
        <v>0</v>
      </c>
      <c r="F10" s="93" t="n">
        <v>0</v>
      </c>
      <c r="G10" s="93" t="n">
        <v>0</v>
      </c>
      <c r="H10" s="93" t="n">
        <v>0</v>
      </c>
      <c r="I10" s="93" t="n">
        <v>0</v>
      </c>
      <c r="J10" s="93" t="n">
        <v>0</v>
      </c>
    </row>
    <row r="11" customFormat="false" ht="15" hidden="false" customHeight="false" outlineLevel="0" collapsed="false">
      <c r="A11" s="18" t="s">
        <v>401</v>
      </c>
      <c r="B11" s="74" t="s">
        <v>402</v>
      </c>
      <c r="C11" s="93" t="n">
        <v>-0.03</v>
      </c>
      <c r="D11" s="93" t="n">
        <v>-0.21</v>
      </c>
      <c r="E11" s="93" t="n">
        <v>-0.15</v>
      </c>
      <c r="F11" s="93" t="n">
        <v>-0.03</v>
      </c>
      <c r="G11" s="93" t="n">
        <v>0</v>
      </c>
      <c r="H11" s="93" t="n">
        <v>-1.26</v>
      </c>
      <c r="I11" s="93" t="n">
        <v>-0.88</v>
      </c>
      <c r="J11" s="93" t="n">
        <v>-0.91</v>
      </c>
    </row>
    <row r="12" customFormat="false" ht="15" hidden="false" customHeight="false" outlineLevel="0" collapsed="false">
      <c r="A12" s="18" t="s">
        <v>403</v>
      </c>
      <c r="B12" s="74" t="s">
        <v>404</v>
      </c>
      <c r="C12" s="93" t="n">
        <v>12.44</v>
      </c>
      <c r="D12" s="93" t="n">
        <v>12.62</v>
      </c>
      <c r="E12" s="93" t="n">
        <v>12.58</v>
      </c>
      <c r="F12" s="93" t="n">
        <v>12.76</v>
      </c>
      <c r="G12" s="93" t="n">
        <v>14.71</v>
      </c>
      <c r="H12" s="93" t="n">
        <v>14.68</v>
      </c>
      <c r="I12" s="93" t="n">
        <v>14.01</v>
      </c>
      <c r="J12" s="93" t="n">
        <v>13.4</v>
      </c>
    </row>
    <row r="13" customFormat="false" ht="15" hidden="false" customHeight="false" outlineLevel="0" collapsed="false">
      <c r="A13" s="18" t="s">
        <v>405</v>
      </c>
      <c r="B13" s="74" t="s">
        <v>406</v>
      </c>
      <c r="C13" s="93" t="n">
        <v>4441.33</v>
      </c>
      <c r="D13" s="93" t="n">
        <v>4295.15</v>
      </c>
      <c r="E13" s="93" t="n">
        <v>4097.35</v>
      </c>
      <c r="F13" s="93" t="n">
        <v>4863.18</v>
      </c>
      <c r="G13" s="93" t="n">
        <v>5299.11</v>
      </c>
      <c r="H13" s="93" t="n">
        <v>5687.24</v>
      </c>
      <c r="I13" s="93" t="n">
        <v>5919.37</v>
      </c>
      <c r="J13" s="93" t="n">
        <v>6009</v>
      </c>
    </row>
    <row r="14" customFormat="false" ht="15" hidden="false" customHeight="false" outlineLevel="0" collapsed="false">
      <c r="A14" s="18" t="s">
        <v>407</v>
      </c>
      <c r="B14" s="74" t="s">
        <v>408</v>
      </c>
      <c r="C14" s="93" t="n">
        <v>341.07</v>
      </c>
      <c r="D14" s="93" t="n">
        <v>317.33</v>
      </c>
      <c r="E14" s="93" t="n">
        <v>428.86</v>
      </c>
      <c r="F14" s="93" t="n">
        <v>419.33</v>
      </c>
      <c r="G14" s="93" t="n">
        <v>431.11</v>
      </c>
      <c r="H14" s="93" t="n">
        <v>463.49</v>
      </c>
      <c r="I14" s="93" t="n">
        <v>489.44</v>
      </c>
      <c r="J14" s="93" t="n">
        <v>519.92</v>
      </c>
    </row>
    <row r="15" customFormat="false" ht="15" hidden="false" customHeight="false" outlineLevel="0" collapsed="false">
      <c r="A15" s="18" t="s">
        <v>409</v>
      </c>
      <c r="B15" s="74" t="s">
        <v>410</v>
      </c>
      <c r="C15" s="93" t="n">
        <v>434.87</v>
      </c>
      <c r="D15" s="93" t="n">
        <v>271.73</v>
      </c>
      <c r="E15" s="93" t="n">
        <v>882.6</v>
      </c>
      <c r="F15" s="93" t="n">
        <v>694.97</v>
      </c>
      <c r="G15" s="93" t="n">
        <v>655.24</v>
      </c>
      <c r="H15" s="93" t="n">
        <v>646.84</v>
      </c>
      <c r="I15" s="93" t="n">
        <v>638.23</v>
      </c>
      <c r="J15" s="93" t="n">
        <v>723.88</v>
      </c>
    </row>
    <row r="16" customFormat="false" ht="15" hidden="false" customHeight="false" outlineLevel="0" collapsed="false">
      <c r="A16" s="18" t="s">
        <v>411</v>
      </c>
      <c r="B16" s="74" t="s">
        <v>412</v>
      </c>
      <c r="C16" s="93" t="n">
        <v>-65.8</v>
      </c>
      <c r="D16" s="93" t="n">
        <v>-60.99</v>
      </c>
      <c r="E16" s="93" t="n">
        <v>-41.85</v>
      </c>
      <c r="F16" s="93" t="n">
        <v>-86.01</v>
      </c>
      <c r="G16" s="93" t="n">
        <v>-98.85</v>
      </c>
      <c r="H16" s="93" t="n">
        <v>-118.78</v>
      </c>
      <c r="I16" s="93" t="n">
        <v>-104.92</v>
      </c>
      <c r="J16" s="93" t="n">
        <v>-139.46</v>
      </c>
    </row>
    <row r="17" customFormat="false" ht="15" hidden="false" customHeight="false" outlineLevel="0" collapsed="false">
      <c r="A17" s="18" t="s">
        <v>413</v>
      </c>
      <c r="B17" s="74" t="s">
        <v>414</v>
      </c>
      <c r="C17" s="93" t="n">
        <v>363.73</v>
      </c>
      <c r="D17" s="93" t="n">
        <v>-559.58</v>
      </c>
      <c r="E17" s="93" t="n">
        <v>223.08</v>
      </c>
      <c r="F17" s="93" t="n">
        <v>270.26</v>
      </c>
      <c r="G17" s="93" t="n">
        <v>333.08</v>
      </c>
      <c r="H17" s="93" t="n">
        <v>400.2</v>
      </c>
      <c r="I17" s="93" t="n">
        <v>446.85</v>
      </c>
      <c r="J17" s="93" t="n">
        <v>393.51</v>
      </c>
    </row>
    <row r="18" customFormat="false" ht="15" hidden="false" customHeight="false" outlineLevel="0" collapsed="false">
      <c r="A18" s="18" t="s">
        <v>415</v>
      </c>
      <c r="B18" s="74" t="s">
        <v>416</v>
      </c>
      <c r="C18" s="93" t="n">
        <v>452.26</v>
      </c>
      <c r="D18" s="93" t="n">
        <v>544.41</v>
      </c>
      <c r="E18" s="93" t="n">
        <v>553.38</v>
      </c>
      <c r="F18" s="93" t="n">
        <v>561.42</v>
      </c>
      <c r="G18" s="93" t="n">
        <v>573.01</v>
      </c>
      <c r="H18" s="93" t="n">
        <v>618.61</v>
      </c>
      <c r="I18" s="93" t="n">
        <v>581.24</v>
      </c>
      <c r="J18" s="93" t="n">
        <v>615.53</v>
      </c>
    </row>
    <row r="19" customFormat="false" ht="15" hidden="false" customHeight="false" outlineLevel="0" collapsed="false">
      <c r="A19" s="18" t="s">
        <v>417</v>
      </c>
      <c r="B19" s="74" t="s">
        <v>418</v>
      </c>
      <c r="C19" s="93" t="n">
        <v>6.85</v>
      </c>
      <c r="D19" s="93" t="n">
        <v>46.44</v>
      </c>
      <c r="E19" s="93" t="n">
        <v>43.41</v>
      </c>
      <c r="F19" s="93" t="n">
        <v>62.84</v>
      </c>
      <c r="G19" s="93" t="n">
        <v>64.68</v>
      </c>
      <c r="H19" s="93" t="n">
        <v>71.73</v>
      </c>
      <c r="I19" s="93" t="n">
        <v>73.56</v>
      </c>
      <c r="J19" s="93" t="n">
        <v>78.53</v>
      </c>
    </row>
    <row r="20" customFormat="false" ht="15" hidden="false" customHeight="false" outlineLevel="0" collapsed="false">
      <c r="A20" s="18" t="s">
        <v>419</v>
      </c>
      <c r="B20" s="74" t="s">
        <v>420</v>
      </c>
      <c r="C20" s="93" t="n">
        <v>1696.74</v>
      </c>
      <c r="D20" s="93" t="n">
        <v>543.79</v>
      </c>
      <c r="E20" s="93" t="n">
        <v>673.68</v>
      </c>
      <c r="F20" s="93" t="n">
        <v>1394.47</v>
      </c>
      <c r="G20" s="93" t="n">
        <v>1563.19</v>
      </c>
      <c r="H20" s="93" t="n">
        <v>1668.54</v>
      </c>
      <c r="I20" s="93" t="n">
        <v>1722.06</v>
      </c>
      <c r="J20" s="93" t="n">
        <v>1650.77</v>
      </c>
    </row>
    <row r="21" customFormat="false" ht="15" hidden="false" customHeight="false" outlineLevel="0" collapsed="false">
      <c r="A21" s="18" t="s">
        <v>421</v>
      </c>
      <c r="B21" s="74" t="s">
        <v>422</v>
      </c>
      <c r="C21" s="93" t="n">
        <v>474.4</v>
      </c>
      <c r="D21" s="93" t="n">
        <v>138.09</v>
      </c>
      <c r="E21" s="93" t="n">
        <v>172.98</v>
      </c>
      <c r="F21" s="93" t="n">
        <v>342.2</v>
      </c>
      <c r="G21" s="93" t="n">
        <v>389.72</v>
      </c>
      <c r="H21" s="93" t="n">
        <v>406.45</v>
      </c>
      <c r="I21" s="93" t="n">
        <v>428.96</v>
      </c>
      <c r="J21" s="93" t="n">
        <v>405.03</v>
      </c>
    </row>
    <row r="22" customFormat="false" ht="15" hidden="false" customHeight="false" outlineLevel="0" collapsed="false">
      <c r="A22" s="18" t="s">
        <v>423</v>
      </c>
      <c r="B22" s="74" t="s">
        <v>424</v>
      </c>
      <c r="C22" s="93" t="n">
        <v>1229.37</v>
      </c>
      <c r="D22" s="93" t="n">
        <v>403.52</v>
      </c>
      <c r="E22" s="93" t="n">
        <v>505.26</v>
      </c>
      <c r="F22" s="93" t="n">
        <v>1055.12</v>
      </c>
      <c r="G22" s="93" t="n">
        <v>1173.87</v>
      </c>
      <c r="H22" s="93" t="n">
        <v>1260.59</v>
      </c>
      <c r="I22" s="93" t="n">
        <v>1290.01</v>
      </c>
      <c r="J22" s="93" t="n">
        <v>1241.8</v>
      </c>
    </row>
    <row r="23" customFormat="false" ht="15" hidden="false" customHeight="false" outlineLevel="0" collapsed="false">
      <c r="A23" s="18" t="s">
        <v>425</v>
      </c>
      <c r="B23" s="74" t="s">
        <v>426</v>
      </c>
      <c r="C23" s="93" t="n">
        <v>520.95</v>
      </c>
      <c r="D23" s="93" t="n">
        <v>219.35</v>
      </c>
      <c r="E23" s="93" t="n">
        <v>304.65</v>
      </c>
      <c r="F23" s="93" t="n">
        <v>548.37</v>
      </c>
      <c r="G23" s="93" t="n">
        <v>670.23</v>
      </c>
      <c r="H23" s="93" t="n">
        <v>700.7</v>
      </c>
      <c r="I23" s="93" t="n">
        <v>700.7</v>
      </c>
      <c r="J23" s="93" t="n">
        <v>654.99</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304.65</v>
      </c>
      <c r="D26" s="93" t="n">
        <v>304.65</v>
      </c>
      <c r="E26" s="93" t="n">
        <v>304.65</v>
      </c>
      <c r="F26" s="93" t="n">
        <v>304.65</v>
      </c>
      <c r="G26" s="93" t="n">
        <v>304.65</v>
      </c>
      <c r="H26" s="93" t="n">
        <v>304.65</v>
      </c>
      <c r="I26" s="93" t="n">
        <v>304.65</v>
      </c>
      <c r="J26" s="93" t="n">
        <v>380.81</v>
      </c>
    </row>
    <row r="27" customFormat="false" ht="15" hidden="false" customHeight="false" outlineLevel="0" collapsed="false">
      <c r="A27" s="18" t="s">
        <v>430</v>
      </c>
      <c r="B27" s="74" t="s">
        <v>431</v>
      </c>
      <c r="C27" s="93" t="n">
        <v>10022.76</v>
      </c>
      <c r="D27" s="93" t="n">
        <v>9741.45</v>
      </c>
      <c r="E27" s="93" t="n">
        <v>9882.61</v>
      </c>
      <c r="F27" s="93" t="n">
        <v>10450.9</v>
      </c>
      <c r="G27" s="93" t="n">
        <v>10921.38</v>
      </c>
      <c r="H27" s="93" t="n">
        <v>11518.56</v>
      </c>
      <c r="I27" s="93" t="n">
        <v>12076.81</v>
      </c>
      <c r="J27" s="93" t="n">
        <v>12561.54</v>
      </c>
    </row>
    <row r="28" customFormat="false" ht="15" hidden="false" customHeight="false" outlineLevel="0" collapsed="false">
      <c r="A28" s="18" t="s">
        <v>432</v>
      </c>
      <c r="B28" s="74" t="s">
        <v>433</v>
      </c>
      <c r="C28" s="93" t="n">
        <v>770.65</v>
      </c>
      <c r="D28" s="93" t="n">
        <v>70</v>
      </c>
      <c r="E28" s="93" t="n">
        <v>722.93</v>
      </c>
      <c r="F28" s="93" t="n">
        <v>735.28</v>
      </c>
      <c r="G28" s="93" t="n">
        <v>778.64</v>
      </c>
      <c r="H28" s="93" t="n">
        <v>938.7</v>
      </c>
      <c r="I28" s="93" t="n">
        <v>861.46</v>
      </c>
      <c r="J28" s="93" t="n">
        <v>964.57</v>
      </c>
    </row>
    <row r="29" customFormat="false" ht="15" hidden="false" customHeight="false" outlineLevel="0" collapsed="false">
      <c r="A29" s="18" t="s">
        <v>434</v>
      </c>
      <c r="B29" s="74" t="s">
        <v>435</v>
      </c>
      <c r="C29" s="93" t="n">
        <v>1699.56</v>
      </c>
      <c r="D29" s="93" t="n">
        <v>1672.66</v>
      </c>
      <c r="E29" s="93" t="n">
        <v>1500.26</v>
      </c>
      <c r="F29" s="93" t="n">
        <v>1511.43</v>
      </c>
      <c r="G29" s="93" t="n">
        <v>1460.39</v>
      </c>
      <c r="H29" s="93" t="n">
        <v>1276.25</v>
      </c>
      <c r="I29" s="93" t="n">
        <v>1234.34</v>
      </c>
      <c r="J29" s="93" t="n">
        <v>1268.86</v>
      </c>
    </row>
    <row r="30" customFormat="false" ht="15" hidden="false" customHeight="false" outlineLevel="0" collapsed="false">
      <c r="A30" s="18" t="s">
        <v>436</v>
      </c>
      <c r="B30" s="74" t="s">
        <v>437</v>
      </c>
      <c r="C30" s="93" t="n">
        <v>12797.62</v>
      </c>
      <c r="D30" s="93" t="n">
        <v>11788.76</v>
      </c>
      <c r="E30" s="93" t="n">
        <v>12410.45</v>
      </c>
      <c r="F30" s="93" t="n">
        <v>13002.26</v>
      </c>
      <c r="G30" s="93" t="n">
        <v>13465.06</v>
      </c>
      <c r="H30" s="93" t="n">
        <v>14038.16</v>
      </c>
      <c r="I30" s="93" t="n">
        <v>14477.26</v>
      </c>
      <c r="J30" s="93" t="n">
        <v>15175.78</v>
      </c>
    </row>
    <row r="31" customFormat="false" ht="15" hidden="false" customHeight="false" outlineLevel="0" collapsed="false">
      <c r="A31" s="18" t="s">
        <v>438</v>
      </c>
      <c r="B31" s="74" t="s">
        <v>439</v>
      </c>
      <c r="C31" s="93" t="n">
        <v>4564.06</v>
      </c>
      <c r="D31" s="93" t="n">
        <v>5347.81</v>
      </c>
      <c r="E31" s="93" t="n">
        <v>5662.68</v>
      </c>
      <c r="F31" s="93" t="n">
        <v>5722.71</v>
      </c>
      <c r="G31" s="93" t="n">
        <v>5620.69</v>
      </c>
      <c r="H31" s="93" t="n">
        <v>6014.76</v>
      </c>
      <c r="I31" s="93" t="n">
        <v>6578.47</v>
      </c>
      <c r="J31" s="93" t="n">
        <v>7172.5</v>
      </c>
    </row>
    <row r="32" customFormat="false" ht="15" hidden="false" customHeight="false" outlineLevel="0" collapsed="false">
      <c r="A32" s="18" t="s">
        <v>440</v>
      </c>
      <c r="B32" s="74" t="s">
        <v>441</v>
      </c>
      <c r="C32" s="93" t="n">
        <v>626.34</v>
      </c>
      <c r="D32" s="93" t="n">
        <v>943.07</v>
      </c>
      <c r="E32" s="93" t="n">
        <v>922.56</v>
      </c>
      <c r="F32" s="93" t="n">
        <v>755.44</v>
      </c>
      <c r="G32" s="93" t="n">
        <v>836.74</v>
      </c>
      <c r="H32" s="93" t="n">
        <v>892.65</v>
      </c>
      <c r="I32" s="93" t="n">
        <v>854.33</v>
      </c>
      <c r="J32" s="93" t="n">
        <v>906.14</v>
      </c>
    </row>
    <row r="33" customFormat="false" ht="15" hidden="false" customHeight="false" outlineLevel="0" collapsed="false">
      <c r="A33" s="18" t="s">
        <v>442</v>
      </c>
      <c r="B33" s="74" t="s">
        <v>443</v>
      </c>
      <c r="C33" s="93" t="n">
        <v>1168.8</v>
      </c>
      <c r="D33" s="93" t="n">
        <v>1198.92</v>
      </c>
      <c r="E33" s="93" t="n">
        <v>1261.32</v>
      </c>
      <c r="F33" s="93" t="n">
        <v>1207.04</v>
      </c>
      <c r="G33" s="93" t="n">
        <v>1213.26</v>
      </c>
      <c r="H33" s="93" t="n">
        <v>1107.06</v>
      </c>
      <c r="I33" s="93" t="n">
        <v>1120.71</v>
      </c>
      <c r="J33" s="93" t="n">
        <v>1068.61</v>
      </c>
    </row>
    <row r="34" customFormat="false" ht="15" hidden="false" customHeight="false" outlineLevel="0" collapsed="false">
      <c r="A34" s="18" t="s">
        <v>444</v>
      </c>
      <c r="B34" s="74" t="s">
        <v>445</v>
      </c>
      <c r="C34" s="93" t="n">
        <v>6438.42</v>
      </c>
      <c r="D34" s="93" t="n">
        <v>4298.96</v>
      </c>
      <c r="E34" s="93" t="n">
        <v>4563.89</v>
      </c>
      <c r="F34" s="93" t="n">
        <v>5317.07</v>
      </c>
      <c r="G34" s="93" t="n">
        <v>5794.37</v>
      </c>
      <c r="H34" s="93" t="n">
        <v>6023.69</v>
      </c>
      <c r="I34" s="93" t="n">
        <v>5923.75</v>
      </c>
      <c r="J34" s="93" t="n">
        <v>6028.53</v>
      </c>
    </row>
    <row r="35" customFormat="false" ht="15" hidden="false" customHeight="false" outlineLevel="0" collapsed="false">
      <c r="A35" s="18" t="s">
        <v>446</v>
      </c>
      <c r="B35" s="74" t="s">
        <v>447</v>
      </c>
      <c r="C35" s="93" t="n">
        <v>12797.62</v>
      </c>
      <c r="D35" s="93" t="n">
        <v>11788.76</v>
      </c>
      <c r="E35" s="93" t="n">
        <v>12410.45</v>
      </c>
      <c r="F35" s="93" t="n">
        <v>13002.26</v>
      </c>
      <c r="G35" s="93" t="n">
        <v>13465.06</v>
      </c>
      <c r="H35" s="93" t="n">
        <v>14038.16</v>
      </c>
      <c r="I35" s="93" t="n">
        <v>14477.26</v>
      </c>
      <c r="J35" s="93" t="n">
        <v>15175.78</v>
      </c>
    </row>
    <row r="36" customFormat="false" ht="15" hidden="false" customHeight="false" outlineLevel="0" collapsed="false">
      <c r="A36" s="18" t="s">
        <v>448</v>
      </c>
      <c r="B36" s="74" t="s">
        <v>449</v>
      </c>
      <c r="C36" s="93" t="n">
        <v>95.48</v>
      </c>
      <c r="D36" s="93" t="n">
        <v>164.63</v>
      </c>
      <c r="E36" s="93" t="n">
        <v>161.03</v>
      </c>
      <c r="F36" s="93" t="n">
        <v>181.72</v>
      </c>
      <c r="G36" s="93" t="n">
        <v>216</v>
      </c>
      <c r="H36" s="93" t="n">
        <v>333.63</v>
      </c>
      <c r="I36" s="93" t="n">
        <v>399.98</v>
      </c>
      <c r="J36" s="93" t="n">
        <v>484.98</v>
      </c>
    </row>
    <row r="37" customFormat="false" ht="15" hidden="false" customHeight="false" outlineLevel="0" collapsed="false">
      <c r="A37" s="18" t="s">
        <v>450</v>
      </c>
      <c r="B37" s="74" t="s">
        <v>451</v>
      </c>
      <c r="C37" s="93" t="n">
        <v>23.76</v>
      </c>
      <c r="D37" s="93" t="n">
        <v>26.38</v>
      </c>
      <c r="E37" s="93" t="n">
        <v>24.09</v>
      </c>
      <c r="F37" s="93" t="n">
        <v>31.49</v>
      </c>
      <c r="G37" s="93" t="n">
        <v>37.3</v>
      </c>
      <c r="H37" s="93" t="n">
        <v>50.34</v>
      </c>
      <c r="I37" s="93" t="n">
        <v>50.05</v>
      </c>
      <c r="J37" s="93" t="n">
        <v>52.34</v>
      </c>
    </row>
    <row r="38" customFormat="false" ht="15" hidden="false" customHeight="false" outlineLevel="0" collapsed="false">
      <c r="A38" s="18" t="s">
        <v>452</v>
      </c>
      <c r="B38" s="74" t="s">
        <v>453</v>
      </c>
      <c r="C38" s="93" t="n">
        <v>205.74</v>
      </c>
      <c r="D38" s="93" t="n">
        <v>2191.62</v>
      </c>
      <c r="E38" s="93" t="n">
        <v>2492.8</v>
      </c>
      <c r="F38" s="93" t="n">
        <v>2917.84</v>
      </c>
      <c r="G38" s="93" t="n">
        <v>3102.12</v>
      </c>
      <c r="H38" s="93" t="n">
        <v>3296.09</v>
      </c>
      <c r="I38" s="93" t="n">
        <v>3663.1</v>
      </c>
      <c r="J38" s="93" t="n">
        <v>3487.32</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-1941.38</v>
      </c>
      <c r="D41" s="93" t="n">
        <v>4285.77</v>
      </c>
      <c r="E41" s="93" t="n">
        <v>1029.06</v>
      </c>
      <c r="F41" s="93" t="n">
        <v>1369.42</v>
      </c>
      <c r="G41" s="93" t="n">
        <v>1405.83</v>
      </c>
      <c r="H41" s="93" t="n">
        <v>1388.5</v>
      </c>
      <c r="I41" s="93" t="n">
        <v>1711.54</v>
      </c>
      <c r="J41" s="93" t="n">
        <v>1482.23</v>
      </c>
    </row>
    <row r="42" customFormat="false" ht="15" hidden="false" customHeight="false" outlineLevel="0" collapsed="false">
      <c r="A42" s="18" t="s">
        <v>457</v>
      </c>
      <c r="B42" s="74" t="s">
        <v>458</v>
      </c>
      <c r="C42" s="93" t="n">
        <v>1381.47</v>
      </c>
      <c r="D42" s="93" t="n">
        <v>-2875.04</v>
      </c>
      <c r="E42" s="93" t="n">
        <v>33.71</v>
      </c>
      <c r="F42" s="93" t="n">
        <v>-1070.19</v>
      </c>
      <c r="G42" s="93" t="n">
        <v>-593.44</v>
      </c>
      <c r="H42" s="93" t="n">
        <v>-698.67</v>
      </c>
      <c r="I42" s="93" t="n">
        <v>-628.63</v>
      </c>
      <c r="J42" s="93" t="n">
        <v>-235.85</v>
      </c>
    </row>
    <row r="43" customFormat="false" ht="15" hidden="false" customHeight="false" outlineLevel="0" collapsed="false">
      <c r="A43" s="18" t="s">
        <v>459</v>
      </c>
      <c r="B43" s="74" t="s">
        <v>460</v>
      </c>
      <c r="C43" s="93" t="n">
        <v>480.65</v>
      </c>
      <c r="D43" s="93" t="n">
        <v>-1470.15</v>
      </c>
      <c r="E43" s="93" t="n">
        <v>-456.62</v>
      </c>
      <c r="F43" s="93" t="n">
        <v>-594.98</v>
      </c>
      <c r="G43" s="93" t="n">
        <v>-853.59</v>
      </c>
      <c r="H43" s="93" t="n">
        <v>-840.1</v>
      </c>
      <c r="I43" s="93" t="n">
        <v>-914.06</v>
      </c>
      <c r="J43" s="93" t="n">
        <v>-954.34</v>
      </c>
    </row>
    <row r="44" customFormat="false" ht="15" hidden="false" customHeight="false" outlineLevel="0" collapsed="false">
      <c r="A44" s="18" t="s">
        <v>461</v>
      </c>
      <c r="B44" s="74" t="s">
        <v>462</v>
      </c>
      <c r="C44" s="93" t="n">
        <v>-79.26</v>
      </c>
      <c r="D44" s="93" t="n">
        <v>-59.42</v>
      </c>
      <c r="E44" s="93" t="n">
        <v>606.15</v>
      </c>
      <c r="F44" s="93" t="n">
        <v>-295.75</v>
      </c>
      <c r="G44" s="93" t="n">
        <v>-41.2</v>
      </c>
      <c r="H44" s="93" t="n">
        <v>-150.27</v>
      </c>
      <c r="I44" s="93" t="n">
        <v>168.85</v>
      </c>
      <c r="J44" s="93" t="n">
        <v>292.04</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420.24</v>
      </c>
      <c r="D47" s="93" t="n">
        <v>265.32</v>
      </c>
      <c r="E47" s="93" t="n">
        <v>478.4</v>
      </c>
      <c r="F47" s="93" t="n">
        <v>537.72</v>
      </c>
      <c r="G47" s="93" t="n">
        <v>464.2</v>
      </c>
      <c r="H47" s="93" t="n">
        <v>705.68</v>
      </c>
      <c r="I47" s="93" t="n">
        <v>553.28</v>
      </c>
      <c r="J47" s="93" t="n">
        <v>425.3</v>
      </c>
    </row>
    <row r="48" customFormat="false" ht="15" hidden="false" customHeight="false" outlineLevel="0" collapsed="false">
      <c r="A48" s="18" t="s">
        <v>467</v>
      </c>
      <c r="B48" s="74" t="s">
        <v>468</v>
      </c>
      <c r="C48" s="93" t="n">
        <v>76.16</v>
      </c>
      <c r="D48" s="93" t="n">
        <v>76.16</v>
      </c>
      <c r="E48" s="93" t="n">
        <v>76.16</v>
      </c>
      <c r="F48" s="93" t="n">
        <v>76.16</v>
      </c>
      <c r="G48" s="93" t="n">
        <v>76.16</v>
      </c>
      <c r="H48" s="93" t="n">
        <v>76.16</v>
      </c>
      <c r="I48" s="93" t="n">
        <v>76.16</v>
      </c>
      <c r="J48" s="93" t="n">
        <v>76.16</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4453.8</v>
      </c>
      <c r="D52" s="44" t="n">
        <f aca="false">IFERROR((((D10+D12)+D13)-D11),"N/M")</f>
        <v>4307.98</v>
      </c>
      <c r="E52" s="44" t="n">
        <f aca="false">IFERROR((((E10+E12)+E13)-E11),"N/M")</f>
        <v>4110.08</v>
      </c>
      <c r="F52" s="44" t="n">
        <f aca="false">IFERROR((((F10+F12)+F13)-F11),"N/M")</f>
        <v>4875.97</v>
      </c>
      <c r="G52" s="44" t="n">
        <f aca="false">IFERROR((((G10+G12)+G13)-G11),"N/M")</f>
        <v>5313.82</v>
      </c>
      <c r="H52" s="44" t="n">
        <f aca="false">IFERROR((((H10+H12)+H13)-H11),"N/M")</f>
        <v>5703.18</v>
      </c>
      <c r="I52" s="44" t="n">
        <f aca="false">IFERROR((((I10+I12)+I13)-I11),"N/M")</f>
        <v>5934.26</v>
      </c>
      <c r="J52" s="44" t="n">
        <f aca="false">IFERROR((((J10+J12)+J13)-J11),"N/M")</f>
        <v>6023.31</v>
      </c>
    </row>
    <row r="53" customFormat="false" ht="15" hidden="false" customHeight="false" outlineLevel="0" collapsed="false">
      <c r="A53" s="18" t="s">
        <v>473</v>
      </c>
      <c r="B53" s="19" t="s">
        <v>474</v>
      </c>
      <c r="C53" s="44" t="n">
        <f aca="false">IFERROR(((C14+C15)+C16),"N/M")</f>
        <v>710.14</v>
      </c>
      <c r="D53" s="44" t="n">
        <f aca="false">IFERROR(((D14+D15)+D16),"N/M")</f>
        <v>528.07</v>
      </c>
      <c r="E53" s="44" t="n">
        <f aca="false">IFERROR(((E14+E15)+E16),"N/M")</f>
        <v>1269.61</v>
      </c>
      <c r="F53" s="44" t="n">
        <f aca="false">IFERROR(((F14+F15)+F16),"N/M")</f>
        <v>1028.29</v>
      </c>
      <c r="G53" s="44" t="n">
        <f aca="false">IFERROR(((G14+G15)+G16),"N/M")</f>
        <v>987.5</v>
      </c>
      <c r="H53" s="44" t="n">
        <f aca="false">IFERROR(((H14+H15)+H16),"N/M")</f>
        <v>991.55</v>
      </c>
      <c r="I53" s="44" t="n">
        <f aca="false">IFERROR(((I14+I15)+I16),"N/M")</f>
        <v>1022.75</v>
      </c>
      <c r="J53" s="44" t="n">
        <f aca="false">IFERROR(((J14+J15)+J16),"N/M")</f>
        <v>1104.34</v>
      </c>
    </row>
    <row r="54" customFormat="false" ht="15" hidden="false" customHeight="false" outlineLevel="0" collapsed="false">
      <c r="A54" s="18" t="s">
        <v>475</v>
      </c>
      <c r="B54" s="19" t="s">
        <v>476</v>
      </c>
      <c r="C54" s="44" t="n">
        <f aca="false">IFERROR((C52+C53),"N/M")</f>
        <v>5163.94</v>
      </c>
      <c r="D54" s="44" t="n">
        <f aca="false">IFERROR((D52+D53),"N/M")</f>
        <v>4836.05</v>
      </c>
      <c r="E54" s="44" t="n">
        <f aca="false">IFERROR((E52+E53),"N/M")</f>
        <v>5379.69</v>
      </c>
      <c r="F54" s="44" t="n">
        <f aca="false">IFERROR((F52+F53),"N/M")</f>
        <v>5904.26</v>
      </c>
      <c r="G54" s="44" t="n">
        <f aca="false">IFERROR((G52+G53),"N/M")</f>
        <v>6301.32</v>
      </c>
      <c r="H54" s="44" t="n">
        <f aca="false">IFERROR((H52+H53),"N/M")</f>
        <v>6694.73</v>
      </c>
      <c r="I54" s="44" t="n">
        <f aca="false">IFERROR((I52+I53),"N/M")</f>
        <v>6957.01</v>
      </c>
      <c r="J54" s="44" t="n">
        <f aca="false">IFERROR((J52+J53),"N/M")</f>
        <v>7127.65</v>
      </c>
    </row>
    <row r="55" customFormat="false" ht="15" hidden="false" customHeight="false" outlineLevel="0" collapsed="false">
      <c r="A55" s="18" t="s">
        <v>477</v>
      </c>
      <c r="B55" s="19" t="s">
        <v>478</v>
      </c>
      <c r="C55" s="44" t="n">
        <f aca="false">IFERROR((C9-C52),"N/M")</f>
        <v>2502.26</v>
      </c>
      <c r="D55" s="44" t="n">
        <f aca="false">IFERROR((D9-D52),"N/M")</f>
        <v>2222.29</v>
      </c>
      <c r="E55" s="44" t="n">
        <f aca="false">IFERROR((E9-E52),"N/M")</f>
        <v>2317</v>
      </c>
      <c r="F55" s="44" t="n">
        <f aca="false">IFERROR((F9-F52),"N/M")</f>
        <v>2776.76</v>
      </c>
      <c r="G55" s="44" t="n">
        <f aca="false">IFERROR((G9-G52),"N/M")</f>
        <v>2855.3</v>
      </c>
      <c r="H55" s="44" t="n">
        <f aca="false">IFERROR((H9-H52),"N/M")</f>
        <v>2950.23</v>
      </c>
      <c r="I55" s="44" t="n">
        <f aca="false">IFERROR((I9-I52),"N/M")</f>
        <v>2952.76</v>
      </c>
      <c r="J55" s="44" t="n">
        <f aca="false">IFERROR((J9-J52),"N/M")</f>
        <v>3055.66</v>
      </c>
    </row>
    <row r="56" customFormat="false" ht="15" hidden="false" customHeight="false" outlineLevel="0" collapsed="false">
      <c r="A56" s="18" t="s">
        <v>479</v>
      </c>
      <c r="B56" s="19" t="s">
        <v>480</v>
      </c>
      <c r="C56" s="44" t="n">
        <f aca="false">IFERROR((C9-C54),"N/M")</f>
        <v>1792.12</v>
      </c>
      <c r="D56" s="44" t="n">
        <f aca="false">IFERROR((D9-D54),"N/M")</f>
        <v>1694.22</v>
      </c>
      <c r="E56" s="44" t="n">
        <f aca="false">IFERROR((E9-E54),"N/M")</f>
        <v>1047.39</v>
      </c>
      <c r="F56" s="44" t="n">
        <f aca="false">IFERROR((F9-F54),"N/M")</f>
        <v>1748.47</v>
      </c>
      <c r="G56" s="44" t="n">
        <f aca="false">IFERROR((G9-G54),"N/M")</f>
        <v>1867.8</v>
      </c>
      <c r="H56" s="44" t="n">
        <f aca="false">IFERROR((H9-H54),"N/M")</f>
        <v>1958.68</v>
      </c>
      <c r="I56" s="44" t="n">
        <f aca="false">IFERROR((I9-I54),"N/M")</f>
        <v>1930.01</v>
      </c>
      <c r="J56" s="44" t="n">
        <f aca="false">IFERROR((J9-J54),"N/M")</f>
        <v>1951.32</v>
      </c>
    </row>
    <row r="57" customFormat="false" ht="15" hidden="false" customHeight="false" outlineLevel="0" collapsed="false">
      <c r="A57" s="18" t="s">
        <v>481</v>
      </c>
      <c r="B57" s="19" t="s">
        <v>482</v>
      </c>
      <c r="C57" s="44" t="n">
        <f aca="false">IFERROR((C9+C17),"N/M")</f>
        <v>7319.79</v>
      </c>
      <c r="D57" s="44" t="n">
        <f aca="false">IFERROR((D9+D17),"N/M")</f>
        <v>5970.69</v>
      </c>
      <c r="E57" s="44" t="n">
        <f aca="false">IFERROR((E9+E17),"N/M")</f>
        <v>6650.16</v>
      </c>
      <c r="F57" s="44" t="n">
        <f aca="false">IFERROR((F9+F17),"N/M")</f>
        <v>7922.99</v>
      </c>
      <c r="G57" s="44" t="n">
        <f aca="false">IFERROR((G9+G17),"N/M")</f>
        <v>8502.2</v>
      </c>
      <c r="H57" s="44" t="n">
        <f aca="false">IFERROR((H9+H17),"N/M")</f>
        <v>9053.61</v>
      </c>
      <c r="I57" s="44" t="n">
        <f aca="false">IFERROR((I9+I17),"N/M")</f>
        <v>9333.87</v>
      </c>
      <c r="J57" s="44" t="n">
        <f aca="false">IFERROR((J9+J17),"N/M")</f>
        <v>9472.48</v>
      </c>
    </row>
    <row r="58" customFormat="false" ht="15" hidden="false" customHeight="false" outlineLevel="0" collapsed="false">
      <c r="A58" s="18" t="s">
        <v>483</v>
      </c>
      <c r="B58" s="19" t="s">
        <v>484</v>
      </c>
      <c r="C58" s="44" t="n">
        <f aca="false">IFERROR((C20+C19),"N/M")</f>
        <v>1703.59</v>
      </c>
      <c r="D58" s="44" t="n">
        <f aca="false">IFERROR((D20+D19),"N/M")</f>
        <v>590.23</v>
      </c>
      <c r="E58" s="44" t="n">
        <f aca="false">IFERROR((E20+E19),"N/M")</f>
        <v>717.09</v>
      </c>
      <c r="F58" s="44" t="n">
        <f aca="false">IFERROR((F20+F19),"N/M")</f>
        <v>1457.31</v>
      </c>
      <c r="G58" s="44" t="n">
        <f aca="false">IFERROR((G20+G19),"N/M")</f>
        <v>1627.87</v>
      </c>
      <c r="H58" s="44" t="n">
        <f aca="false">IFERROR((H20+H19),"N/M")</f>
        <v>1740.27</v>
      </c>
      <c r="I58" s="44" t="n">
        <f aca="false">IFERROR((I20+I19),"N/M")</f>
        <v>1795.62</v>
      </c>
      <c r="J58" s="44" t="n">
        <f aca="false">IFERROR((J20+J19),"N/M")</f>
        <v>1729.3</v>
      </c>
    </row>
    <row r="59" customFormat="false" ht="15" hidden="false" customHeight="false" outlineLevel="0" collapsed="false">
      <c r="A59" s="18" t="s">
        <v>485</v>
      </c>
      <c r="B59" s="19" t="s">
        <v>486</v>
      </c>
      <c r="C59" s="44" t="n">
        <f aca="false">IFERROR((C58+C18),"N/M")</f>
        <v>2155.85</v>
      </c>
      <c r="D59" s="44" t="n">
        <f aca="false">IFERROR((D58+D18),"N/M")</f>
        <v>1134.64</v>
      </c>
      <c r="E59" s="44" t="n">
        <f aca="false">IFERROR((E58+E18),"N/M")</f>
        <v>1270.47</v>
      </c>
      <c r="F59" s="44" t="n">
        <f aca="false">IFERROR((F58+F18),"N/M")</f>
        <v>2018.73</v>
      </c>
      <c r="G59" s="44" t="n">
        <f aca="false">IFERROR((G58+G18),"N/M")</f>
        <v>2200.88</v>
      </c>
      <c r="H59" s="44" t="n">
        <f aca="false">IFERROR((H58+H18),"N/M")</f>
        <v>2358.88</v>
      </c>
      <c r="I59" s="44" t="n">
        <f aca="false">IFERROR((I58+I18),"N/M")</f>
        <v>2376.86</v>
      </c>
      <c r="J59" s="44" t="n">
        <f aca="false">IFERROR((J58+J18),"N/M")</f>
        <v>2344.83</v>
      </c>
    </row>
    <row r="60" customFormat="false" ht="15" hidden="false" customHeight="false" outlineLevel="0" collapsed="false">
      <c r="A60" s="18" t="s">
        <v>487</v>
      </c>
      <c r="B60" s="19" t="s">
        <v>488</v>
      </c>
      <c r="C60" s="46" t="n">
        <f aca="false">IFERROR(IF(C20&gt;0,MIN(MAX((C21/C20),0),1),0),"N/M")</f>
        <v>0.279594988035881</v>
      </c>
      <c r="D60" s="46" t="n">
        <f aca="false">IFERROR(IF(D20&gt;0,MIN(MAX((D21/D20),0),1),0),"N/M")</f>
        <v>0.253939940050387</v>
      </c>
      <c r="E60" s="46" t="n">
        <f aca="false">IFERROR(IF(E20&gt;0,MIN(MAX((E21/E20),0),1),0),"N/M")</f>
        <v>0.256768792304952</v>
      </c>
      <c r="F60" s="46" t="n">
        <f aca="false">IFERROR(IF(F20&gt;0,MIN(MAX((F21/F20),0),1),0),"N/M")</f>
        <v>0.245397893106341</v>
      </c>
      <c r="G60" s="46" t="n">
        <f aca="false">IFERROR(IF(G20&gt;0,MIN(MAX((G21/G20),0),1),0),"N/M")</f>
        <v>0.24931070439294</v>
      </c>
      <c r="H60" s="46" t="n">
        <f aca="false">IFERROR(IF(H20&gt;0,MIN(MAX((H21/H20),0),1),0),"N/M")</f>
        <v>0.24359619787359</v>
      </c>
      <c r="I60" s="46" t="n">
        <f aca="false">IFERROR(IF(I20&gt;0,MIN(MAX((I21/I20),0),1),0),"N/M")</f>
        <v>0.249097011718523</v>
      </c>
      <c r="J60" s="46" t="n">
        <f aca="false">IFERROR(IF(J20&gt;0,MIN(MAX((J21/J20),0),1),0),"N/M")</f>
        <v>0.245358226766903</v>
      </c>
    </row>
    <row r="61" customFormat="false" ht="15" hidden="false" customHeight="false" outlineLevel="0" collapsed="false">
      <c r="A61" s="18" t="s">
        <v>489</v>
      </c>
      <c r="B61" s="19" t="s">
        <v>490</v>
      </c>
      <c r="C61" s="44" t="n">
        <f aca="false">IFERROR((C26+C27),"N/M")</f>
        <v>10327.41</v>
      </c>
      <c r="D61" s="44" t="n">
        <f aca="false">IFERROR((D26+D27),"N/M")</f>
        <v>10046.1</v>
      </c>
      <c r="E61" s="44" t="n">
        <f aca="false">IFERROR((E26+E27),"N/M")</f>
        <v>10187.26</v>
      </c>
      <c r="F61" s="44" t="n">
        <f aca="false">IFERROR((F26+F27),"N/M")</f>
        <v>10755.55</v>
      </c>
      <c r="G61" s="44" t="n">
        <f aca="false">IFERROR((G26+G27),"N/M")</f>
        <v>11226.03</v>
      </c>
      <c r="H61" s="44" t="n">
        <f aca="false">IFERROR((H26+H27),"N/M")</f>
        <v>11823.21</v>
      </c>
      <c r="I61" s="44" t="n">
        <f aca="false">IFERROR((I26+I27),"N/M")</f>
        <v>12381.46</v>
      </c>
      <c r="J61" s="44" t="n">
        <f aca="false">IFERROR((J26+J27),"N/M")</f>
        <v>12942.35</v>
      </c>
    </row>
    <row r="62" customFormat="false" ht="15" hidden="false" customHeight="false" outlineLevel="0" collapsed="false">
      <c r="A62" s="18" t="s">
        <v>491</v>
      </c>
      <c r="B62" s="19" t="s">
        <v>492</v>
      </c>
      <c r="C62" s="44" t="n">
        <f aca="false">IFERROR((C61+C28),"N/M")</f>
        <v>11098.06</v>
      </c>
      <c r="D62" s="44" t="n">
        <f aca="false">IFERROR((D61+D28),"N/M")</f>
        <v>10116.1</v>
      </c>
      <c r="E62" s="44" t="n">
        <f aca="false">IFERROR((E61+E28),"N/M")</f>
        <v>10910.19</v>
      </c>
      <c r="F62" s="44" t="n">
        <f aca="false">IFERROR((F61+F28),"N/M")</f>
        <v>11490.83</v>
      </c>
      <c r="G62" s="44" t="n">
        <f aca="false">IFERROR((G61+G28),"N/M")</f>
        <v>12004.67</v>
      </c>
      <c r="H62" s="44" t="n">
        <f aca="false">IFERROR((H61+H28),"N/M")</f>
        <v>12761.91</v>
      </c>
      <c r="I62" s="44" t="n">
        <f aca="false">IFERROR((I61+I28),"N/M")</f>
        <v>13242.92</v>
      </c>
      <c r="J62" s="44" t="n">
        <f aca="false">IFERROR((J61+J28),"N/M")</f>
        <v>13906.92</v>
      </c>
    </row>
    <row r="63" customFormat="false" ht="15" hidden="false" customHeight="false" outlineLevel="0" collapsed="false">
      <c r="A63" s="18" t="s">
        <v>493</v>
      </c>
      <c r="B63" s="19" t="s">
        <v>494</v>
      </c>
      <c r="C63" s="44" t="n">
        <f aca="false">IFERROR(C34,"N/M")</f>
        <v>6438.42</v>
      </c>
      <c r="D63" s="44" t="n">
        <f aca="false">IFERROR(D34,"N/M")</f>
        <v>4298.96</v>
      </c>
      <c r="E63" s="44" t="n">
        <f aca="false">IFERROR(E34,"N/M")</f>
        <v>4563.89</v>
      </c>
      <c r="F63" s="44" t="n">
        <f aca="false">IFERROR(F34,"N/M")</f>
        <v>5317.07</v>
      </c>
      <c r="G63" s="44" t="n">
        <f aca="false">IFERROR(G34,"N/M")</f>
        <v>5794.37</v>
      </c>
      <c r="H63" s="44" t="n">
        <f aca="false">IFERROR(H34,"N/M")</f>
        <v>6023.69</v>
      </c>
      <c r="I63" s="44" t="n">
        <f aca="false">IFERROR(I34,"N/M")</f>
        <v>5923.75</v>
      </c>
      <c r="J63" s="44" t="n">
        <f aca="false">IFERROR(J34,"N/M")</f>
        <v>6028.53</v>
      </c>
    </row>
    <row r="64" customFormat="false" ht="15" hidden="false" customHeight="false" outlineLevel="0" collapsed="false">
      <c r="A64" s="18" t="s">
        <v>495</v>
      </c>
      <c r="B64" s="19" t="s">
        <v>496</v>
      </c>
      <c r="C64" s="44" t="n">
        <f aca="false">IFERROR(C29,"N/M")</f>
        <v>1699.56</v>
      </c>
      <c r="D64" s="44" t="n">
        <f aca="false">IFERROR(D29,"N/M")</f>
        <v>1672.66</v>
      </c>
      <c r="E64" s="44" t="n">
        <f aca="false">IFERROR(E29,"N/M")</f>
        <v>1500.26</v>
      </c>
      <c r="F64" s="44" t="n">
        <f aca="false">IFERROR(F29,"N/M")</f>
        <v>1511.43</v>
      </c>
      <c r="G64" s="44" t="n">
        <f aca="false">IFERROR(G29,"N/M")</f>
        <v>1460.39</v>
      </c>
      <c r="H64" s="44" t="n">
        <f aca="false">IFERROR(H29,"N/M")</f>
        <v>1276.25</v>
      </c>
      <c r="I64" s="44" t="n">
        <f aca="false">IFERROR(I29,"N/M")</f>
        <v>1234.34</v>
      </c>
      <c r="J64" s="44" t="n">
        <f aca="false">IFERROR(J29,"N/M")</f>
        <v>1268.86</v>
      </c>
    </row>
    <row r="65" customFormat="false" ht="15" hidden="false" customHeight="false" outlineLevel="0" collapsed="false">
      <c r="A65" s="18" t="s">
        <v>497</v>
      </c>
      <c r="B65" s="19" t="s">
        <v>498</v>
      </c>
      <c r="C65" s="44" t="n">
        <f aca="false">IFERROR((C63-C64),"N/M")</f>
        <v>4738.86</v>
      </c>
      <c r="D65" s="44" t="n">
        <f aca="false">IFERROR((D63-D64),"N/M")</f>
        <v>2626.3</v>
      </c>
      <c r="E65" s="44" t="n">
        <f aca="false">IFERROR((E63-E64),"N/M")</f>
        <v>3063.63</v>
      </c>
      <c r="F65" s="44" t="n">
        <f aca="false">IFERROR((F63-F64),"N/M")</f>
        <v>3805.64</v>
      </c>
      <c r="G65" s="44" t="n">
        <f aca="false">IFERROR((G63-G64),"N/M")</f>
        <v>4333.98</v>
      </c>
      <c r="H65" s="44" t="n">
        <f aca="false">IFERROR((H63-H64),"N/M")</f>
        <v>4747.44</v>
      </c>
      <c r="I65" s="44" t="n">
        <f aca="false">IFERROR((I63-I64),"N/M")</f>
        <v>4689.41</v>
      </c>
      <c r="J65" s="44" t="n">
        <f aca="false">IFERROR((J63-J64),"N/M")</f>
        <v>4759.67</v>
      </c>
    </row>
    <row r="66" customFormat="false" ht="15" hidden="false" customHeight="false" outlineLevel="0" collapsed="false">
      <c r="A66" s="18" t="s">
        <v>499</v>
      </c>
      <c r="B66" s="19" t="s">
        <v>500</v>
      </c>
      <c r="C66" s="44" t="n">
        <f aca="false">IFERROR((C36+C38),"N/M")</f>
        <v>301.22</v>
      </c>
      <c r="D66" s="44" t="n">
        <f aca="false">IFERROR((D36+D38),"N/M")</f>
        <v>2356.25</v>
      </c>
      <c r="E66" s="44" t="n">
        <f aca="false">IFERROR((E36+E38),"N/M")</f>
        <v>2653.83</v>
      </c>
      <c r="F66" s="44" t="n">
        <f aca="false">IFERROR((F36+F38),"N/M")</f>
        <v>3099.56</v>
      </c>
      <c r="G66" s="44" t="n">
        <f aca="false">IFERROR((G36+G38),"N/M")</f>
        <v>3318.12</v>
      </c>
      <c r="H66" s="44" t="n">
        <f aca="false">IFERROR((H36+H38),"N/M")</f>
        <v>3629.72</v>
      </c>
      <c r="I66" s="44" t="n">
        <f aca="false">IFERROR((I36+I38),"N/M")</f>
        <v>4063.08</v>
      </c>
      <c r="J66" s="44" t="n">
        <f aca="false">IFERROR((J36+J38),"N/M")</f>
        <v>3972.3</v>
      </c>
    </row>
    <row r="67" customFormat="false" ht="15" hidden="false" customHeight="false" outlineLevel="0" collapsed="false">
      <c r="A67" s="18" t="s">
        <v>501</v>
      </c>
      <c r="B67" s="19" t="s">
        <v>502</v>
      </c>
      <c r="D67" s="44" t="n">
        <f aca="false">IFERROR((((D31+D32)-(C31+C32))+D18),"N/M")</f>
        <v>1644.89</v>
      </c>
      <c r="E67" s="44" t="n">
        <f aca="false">IFERROR((((E31+E32)-(D31+D32))+E18),"N/M")</f>
        <v>847.74</v>
      </c>
      <c r="F67" s="44" t="n">
        <f aca="false">IFERROR((((F31+F32)-(E31+E32))+F18),"N/M")</f>
        <v>454.33</v>
      </c>
      <c r="G67" s="44" t="n">
        <f aca="false">IFERROR((((G31+G32)-(F31+F32))+G18),"N/M")</f>
        <v>552.29</v>
      </c>
      <c r="H67" s="44" t="n">
        <f aca="false">IFERROR((((H31+H32)-(G31+G32))+H18),"N/M")</f>
        <v>1068.59</v>
      </c>
      <c r="I67" s="44" t="n">
        <f aca="false">IFERROR((((I31+I32)-(H31+H32))+I18),"N/M")</f>
        <v>1106.63</v>
      </c>
      <c r="J67" s="44" t="n">
        <f aca="false">IFERROR((((J31+J32)-(I31+I32))+J18),"N/M")</f>
        <v>1261.37</v>
      </c>
    </row>
    <row r="68" customFormat="false" ht="15" hidden="false" customHeight="false" outlineLevel="0" collapsed="false">
      <c r="A68" s="18" t="s">
        <v>503</v>
      </c>
      <c r="B68" s="19" t="s">
        <v>504</v>
      </c>
      <c r="D68" s="44" t="n">
        <f aca="false">IFERROR(MAX((C28-D28),0),"N/M")</f>
        <v>700.65</v>
      </c>
      <c r="E68" s="44" t="n">
        <f aca="false">IFERROR(MAX((D28-E28),0),"N/M")</f>
        <v>0</v>
      </c>
      <c r="F68" s="44" t="n">
        <f aca="false">IFERROR(MAX((E28-F28),0),"N/M")</f>
        <v>0</v>
      </c>
      <c r="G68" s="44" t="n">
        <f aca="false">IFERROR(MAX((F28-G28),0),"N/M")</f>
        <v>0</v>
      </c>
      <c r="H68" s="44" t="n">
        <f aca="false">IFERROR(MAX((G28-H28),0),"N/M")</f>
        <v>0</v>
      </c>
      <c r="I68" s="44" t="n">
        <f aca="false">IFERROR(MAX((H28-I28),0),"N/M")</f>
        <v>77.24</v>
      </c>
      <c r="J68" s="44" t="n">
        <f aca="false">IFERROR(MAX((I28-J28),0),"N/M")</f>
        <v>0</v>
      </c>
    </row>
    <row r="69" customFormat="false" ht="15" hidden="false" customHeight="false" outlineLevel="0" collapsed="false">
      <c r="A69" s="18" t="s">
        <v>505</v>
      </c>
      <c r="B69" s="19" t="s">
        <v>506</v>
      </c>
      <c r="C69" s="44" t="n">
        <f aca="false">IFERROR((C47*C48),"N/M")</f>
        <v>32005.4784</v>
      </c>
      <c r="D69" s="44" t="n">
        <f aca="false">IFERROR((D47*D48),"N/M")</f>
        <v>20206.7712</v>
      </c>
      <c r="E69" s="44" t="n">
        <f aca="false">IFERROR((E47*E48),"N/M")</f>
        <v>36434.944</v>
      </c>
      <c r="F69" s="44" t="n">
        <f aca="false">IFERROR((F47*F48),"N/M")</f>
        <v>40952.7552</v>
      </c>
      <c r="G69" s="44" t="n">
        <f aca="false">IFERROR((G47*G48),"N/M")</f>
        <v>35353.472</v>
      </c>
      <c r="H69" s="44" t="n">
        <f aca="false">IFERROR((H47*H48),"N/M")</f>
        <v>53744.5888</v>
      </c>
      <c r="I69" s="44" t="n">
        <f aca="false">IFERROR((I47*I48),"N/M")</f>
        <v>42137.8048</v>
      </c>
      <c r="J69" s="44" t="n">
        <f aca="false">IFERROR((J47*J48),"N/M")</f>
        <v>32390.848</v>
      </c>
    </row>
    <row r="70" customFormat="false" ht="15" hidden="false" customHeight="false" outlineLevel="0" collapsed="false">
      <c r="A70" s="18" t="s">
        <v>507</v>
      </c>
      <c r="B70" s="19" t="s">
        <v>508</v>
      </c>
      <c r="C70" s="44" t="n">
        <f aca="false">IFERROR(((C69+C28)-C38),"N/M")</f>
        <v>32570.3884</v>
      </c>
      <c r="D70" s="44" t="n">
        <f aca="false">IFERROR(((D69+D28)-D38),"N/M")</f>
        <v>18085.1512</v>
      </c>
      <c r="E70" s="44" t="n">
        <f aca="false">IFERROR(((E69+E28)-E38),"N/M")</f>
        <v>34665.074</v>
      </c>
      <c r="F70" s="44" t="n">
        <f aca="false">IFERROR(((F69+F28)-F38),"N/M")</f>
        <v>38770.1952</v>
      </c>
      <c r="G70" s="44" t="n">
        <f aca="false">IFERROR(((G69+G28)-G38),"N/M")</f>
        <v>33029.992</v>
      </c>
      <c r="H70" s="44" t="n">
        <f aca="false">IFERROR(((H69+H28)-H38),"N/M")</f>
        <v>51387.1988</v>
      </c>
      <c r="I70" s="44" t="n">
        <f aca="false">IFERROR(((I69+I28)-I38),"N/M")</f>
        <v>39336.1648</v>
      </c>
      <c r="J70" s="44" t="n">
        <f aca="false">IFERROR(((J69+J28)-J38),"N/M")</f>
        <v>29868.098</v>
      </c>
    </row>
    <row r="71" customFormat="false" ht="15" hidden="false" customHeight="false" outlineLevel="0" collapsed="false">
      <c r="A71" s="18" t="s">
        <v>509</v>
      </c>
      <c r="C71" s="44" t="n">
        <f aca="false">IFERROR(IF(C49=1,C69,0),"N/M")</f>
        <v>32005.4784</v>
      </c>
      <c r="D71" s="44" t="n">
        <f aca="false">IFERROR(IF(D49=1,D69,0),"N/M")</f>
        <v>20206.7712</v>
      </c>
      <c r="E71" s="44" t="n">
        <f aca="false">IFERROR(IF(E49=1,E69,0),"N/M")</f>
        <v>36434.944</v>
      </c>
      <c r="F71" s="44" t="n">
        <f aca="false">IFERROR(IF(F49=1,F69,0),"N/M")</f>
        <v>40952.7552</v>
      </c>
      <c r="G71" s="44" t="n">
        <f aca="false">IFERROR(IF(G49=1,G69,0),"N/M")</f>
        <v>35353.472</v>
      </c>
      <c r="H71" s="44" t="n">
        <f aca="false">IFERROR(IF(H49=1,H69,0),"N/M")</f>
        <v>53744.5888</v>
      </c>
      <c r="I71" s="44" t="n">
        <f aca="false">IFERROR(IF(I49=1,I69,0),"N/M")</f>
        <v>42137.8048</v>
      </c>
      <c r="J71" s="44" t="n">
        <f aca="false">IFERROR(IF(J49=1,J69,0),"N/M")</f>
        <v>32390.848</v>
      </c>
    </row>
    <row r="72" customFormat="false" ht="15" hidden="false" customHeight="false" outlineLevel="0" collapsed="false">
      <c r="A72" s="18" t="s">
        <v>510</v>
      </c>
      <c r="C72" s="44" t="n">
        <f aca="false">IFERROR(IF(C49=1,C22,0),"N/M")</f>
        <v>1229.37</v>
      </c>
      <c r="D72" s="44" t="n">
        <f aca="false">IFERROR(IF(D49=1,D22,0),"N/M")</f>
        <v>403.52</v>
      </c>
      <c r="E72" s="44" t="n">
        <f aca="false">IFERROR(IF(E49=1,E22,0),"N/M")</f>
        <v>505.26</v>
      </c>
      <c r="F72" s="44" t="n">
        <f aca="false">IFERROR(IF(F49=1,F22,0),"N/M")</f>
        <v>1055.12</v>
      </c>
      <c r="G72" s="44" t="n">
        <f aca="false">IFERROR(IF(G49=1,G22,0),"N/M")</f>
        <v>1173.87</v>
      </c>
      <c r="H72" s="44" t="n">
        <f aca="false">IFERROR(IF(H49=1,H22,0),"N/M")</f>
        <v>1260.59</v>
      </c>
      <c r="I72" s="44" t="n">
        <f aca="false">IFERROR(IF(I49=1,I22,0),"N/M")</f>
        <v>1290.01</v>
      </c>
      <c r="J72" s="44" t="n">
        <f aca="false">IFERROR(IF(J49=1,J22,0),"N/M")</f>
        <v>1241.8</v>
      </c>
    </row>
    <row r="73" customFormat="false" ht="15" hidden="false" customHeight="false" outlineLevel="0" collapsed="false">
      <c r="A73" s="18" t="s">
        <v>511</v>
      </c>
      <c r="C73" s="44" t="n">
        <f aca="false">IFERROR(IF(C49=1,C61,0),"N/M")</f>
        <v>10327.41</v>
      </c>
      <c r="D73" s="44" t="n">
        <f aca="false">IFERROR(IF(D49=1,D61,0),"N/M")</f>
        <v>10046.1</v>
      </c>
      <c r="E73" s="44" t="n">
        <f aca="false">IFERROR(IF(E49=1,E61,0),"N/M")</f>
        <v>10187.26</v>
      </c>
      <c r="F73" s="44" t="n">
        <f aca="false">IFERROR(IF(F49=1,F61,0),"N/M")</f>
        <v>10755.55</v>
      </c>
      <c r="G73" s="44" t="n">
        <f aca="false">IFERROR(IF(G49=1,G61,0),"N/M")</f>
        <v>11226.03</v>
      </c>
      <c r="H73" s="44" t="n">
        <f aca="false">IFERROR(IF(H49=1,H61,0),"N/M")</f>
        <v>11823.21</v>
      </c>
      <c r="I73" s="44" t="n">
        <f aca="false">IFERROR(IF(I49=1,I61,0),"N/M")</f>
        <v>12381.46</v>
      </c>
      <c r="J73" s="44" t="n">
        <f aca="false">IFERROR(IF(J49=1,J61,0),"N/M")</f>
        <v>12942.35</v>
      </c>
    </row>
    <row r="74" customFormat="false" ht="15" hidden="false" customHeight="false" outlineLevel="0" collapsed="false">
      <c r="A74" s="18" t="s">
        <v>512</v>
      </c>
      <c r="C74" s="44" t="n">
        <f aca="false">IFERROR(IF(C49=1,C59,0),"N/M")</f>
        <v>2155.85</v>
      </c>
      <c r="D74" s="44" t="n">
        <f aca="false">IFERROR(IF(D49=1,D59,0),"N/M")</f>
        <v>1134.64</v>
      </c>
      <c r="E74" s="44" t="n">
        <f aca="false">IFERROR(IF(E49=1,E59,0),"N/M")</f>
        <v>1270.47</v>
      </c>
      <c r="F74" s="44" t="n">
        <f aca="false">IFERROR(IF(F49=1,F59,0),"N/M")</f>
        <v>2018.73</v>
      </c>
      <c r="G74" s="44" t="n">
        <f aca="false">IFERROR(IF(G49=1,G59,0),"N/M")</f>
        <v>2200.88</v>
      </c>
      <c r="H74" s="44" t="n">
        <f aca="false">IFERROR(IF(H49=1,H59,0),"N/M")</f>
        <v>2358.88</v>
      </c>
      <c r="I74" s="44" t="n">
        <f aca="false">IFERROR(IF(I49=1,I59,0),"N/M")</f>
        <v>2376.86</v>
      </c>
      <c r="J74" s="44" t="n">
        <f aca="false">IFERROR(IF(J49=1,J59,0),"N/M")</f>
        <v>2344.83</v>
      </c>
    </row>
    <row r="75" customFormat="false" ht="15" hidden="false" customHeight="false" outlineLevel="0" collapsed="false">
      <c r="A75" s="18" t="s">
        <v>513</v>
      </c>
      <c r="C75" s="44" t="n">
        <f aca="false">IFERROR(IF(C49=1,C23,0),"N/M")</f>
        <v>520.95</v>
      </c>
      <c r="D75" s="44" t="n">
        <f aca="false">IFERROR(IF(D49=1,D23,0),"N/M")</f>
        <v>219.35</v>
      </c>
      <c r="E75" s="44" t="n">
        <f aca="false">IFERROR(IF(E49=1,E23,0),"N/M")</f>
        <v>304.65</v>
      </c>
      <c r="F75" s="44" t="n">
        <f aca="false">IFERROR(IF(F49=1,F23,0),"N/M")</f>
        <v>548.37</v>
      </c>
      <c r="G75" s="44" t="n">
        <f aca="false">IFERROR(IF(G49=1,G23,0),"N/M")</f>
        <v>670.23</v>
      </c>
      <c r="H75" s="44" t="n">
        <f aca="false">IFERROR(IF(H49=1,H23,0),"N/M")</f>
        <v>700.7</v>
      </c>
      <c r="I75" s="44" t="n">
        <f aca="false">IFERROR(IF(I49=1,I23,0),"N/M")</f>
        <v>700.7</v>
      </c>
      <c r="J75" s="44" t="n">
        <f aca="false">IFERROR(IF(J49=1,J23,0),"N/M")</f>
        <v>654.99</v>
      </c>
    </row>
    <row r="76" customFormat="false" ht="15" hidden="false" customHeight="false" outlineLevel="0" collapsed="false">
      <c r="A76" s="18" t="s">
        <v>514</v>
      </c>
      <c r="C76" s="44" t="n">
        <f aca="false">IFERROR(IF(C49=1,(C28-C38),0),"N/M")</f>
        <v>564.91</v>
      </c>
      <c r="D76" s="44" t="n">
        <f aca="false">IFERROR(IF(D49=1,(D28-D38),0),"N/M")</f>
        <v>-2121.62</v>
      </c>
      <c r="E76" s="44" t="n">
        <f aca="false">IFERROR(IF(E49=1,(E28-E38),0),"N/M")</f>
        <v>-1769.87</v>
      </c>
      <c r="F76" s="44" t="n">
        <f aca="false">IFERROR(IF(F49=1,(F28-F38),0),"N/M")</f>
        <v>-2182.56</v>
      </c>
      <c r="G76" s="44" t="n">
        <f aca="false">IFERROR(IF(G49=1,(G28-G38),0),"N/M")</f>
        <v>-2323.48</v>
      </c>
      <c r="H76" s="44" t="n">
        <f aca="false">IFERROR(IF(H49=1,(H28-H38),0),"N/M")</f>
        <v>-2357.39</v>
      </c>
      <c r="I76" s="44" t="n">
        <f aca="false">IFERROR(IF(I49=1,(I28-I38),0),"N/M")</f>
        <v>-2801.64</v>
      </c>
      <c r="J76" s="44" t="n">
        <f aca="false">IFERROR(IF(J49=1,(J28-J38),0),"N/M")</f>
        <v>-2522.75</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2626.3</v>
      </c>
      <c r="E79" s="79" t="n">
        <f aca="false">IFERROR(E65,"N/M")</f>
        <v>3063.63</v>
      </c>
      <c r="F79" s="79" t="n">
        <f aca="false">IFERROR(F65,"N/M")</f>
        <v>3805.64</v>
      </c>
      <c r="G79" s="79" t="n">
        <f aca="false">IFERROR(G65,"N/M")</f>
        <v>4333.98</v>
      </c>
      <c r="H79" s="79" t="n">
        <f aca="false">IFERROR(H65,"N/M")</f>
        <v>4747.44</v>
      </c>
      <c r="I79" s="79" t="n">
        <f aca="false">IFERROR(I65,"N/M")</f>
        <v>4689.41</v>
      </c>
      <c r="J79" s="79" t="n">
        <f aca="false">IFERROR(J65,"N/M")</f>
        <v>4759.67</v>
      </c>
      <c r="K79" s="80" t="n">
        <f aca="false">IFERROR(AVERAGE(D79:J79),"N/M")</f>
        <v>4003.72428571429</v>
      </c>
      <c r="L79" s="81" t="n">
        <f aca="false">IFERROR(J79-D79,"N/M")</f>
        <v>2133.37</v>
      </c>
      <c r="M79" s="81" t="n">
        <f aca="false">IFERROR(SLOPE(D79:J79,$D$3:$J$3),"N/M")</f>
        <v>378.338214285714</v>
      </c>
    </row>
    <row r="80" customFormat="false" ht="15" hidden="false" customHeight="false" outlineLevel="0" collapsed="false">
      <c r="A80" s="18" t="s">
        <v>119</v>
      </c>
      <c r="B80" s="19" t="s">
        <v>517</v>
      </c>
      <c r="D80" s="47" t="n">
        <f aca="false">IFERROR(IF(D64&lt;=0,"N/M",D63/D64),"N/M")</f>
        <v>2.5701337988593</v>
      </c>
      <c r="E80" s="47" t="n">
        <f aca="false">IFERROR(IF(E64&lt;=0,"N/M",E63/E64),"N/M")</f>
        <v>3.04206604188607</v>
      </c>
      <c r="F80" s="47" t="n">
        <f aca="false">IFERROR(IF(F64&lt;=0,"N/M",F63/F64),"N/M")</f>
        <v>3.51790688288574</v>
      </c>
      <c r="G80" s="47" t="n">
        <f aca="false">IFERROR(IF(G64&lt;=0,"N/M",G63/G64),"N/M")</f>
        <v>3.96768671382302</v>
      </c>
      <c r="H80" s="47" t="n">
        <f aca="false">IFERROR(IF(H64&lt;=0,"N/M",H63/H64),"N/M")</f>
        <v>4.71983545543585</v>
      </c>
      <c r="I80" s="47" t="n">
        <f aca="false">IFERROR(IF(I64&lt;=0,"N/M",I63/I64),"N/M")</f>
        <v>4.799123418183</v>
      </c>
      <c r="J80" s="47" t="n">
        <f aca="false">IFERROR(IF(J64&lt;=0,"N/M",J63/J64),"N/M")</f>
        <v>4.75113881752124</v>
      </c>
      <c r="K80" s="22" t="n">
        <f aca="false">IFERROR(AVERAGE(D80:J80),"N/M")</f>
        <v>3.90969873265632</v>
      </c>
      <c r="L80" s="82" t="n">
        <f aca="false">IFERROR(J80-D80,"N/M")</f>
        <v>2.18100501866194</v>
      </c>
      <c r="M80" s="83" t="n">
        <f aca="false">IFERROR(SLOPE(D80:J80,$D$3:$J$3),"N/M")</f>
        <v>0.402109227897492</v>
      </c>
    </row>
    <row r="81" customFormat="false" ht="15" hidden="false" customHeight="false" outlineLevel="0" collapsed="false">
      <c r="A81" s="18" t="s">
        <v>121</v>
      </c>
      <c r="B81" s="19" t="s">
        <v>518</v>
      </c>
      <c r="D81" s="47" t="n">
        <f aca="false">IFERROR(IF(D64&lt;=0,"N/M",D66/D64),"N/M")</f>
        <v>1.40868437100188</v>
      </c>
      <c r="E81" s="47" t="n">
        <f aca="false">IFERROR(IF(E64&lt;=0,"N/M",E66/E64),"N/M")</f>
        <v>1.76891338834602</v>
      </c>
      <c r="F81" s="47" t="n">
        <f aca="false">IFERROR(IF(F64&lt;=0,"N/M",F66/F64),"N/M")</f>
        <v>2.05074664390676</v>
      </c>
      <c r="G81" s="47" t="n">
        <f aca="false">IFERROR(IF(G64&lt;=0,"N/M",G66/G64),"N/M")</f>
        <v>2.27207800655989</v>
      </c>
      <c r="H81" s="47" t="n">
        <f aca="false">IFERROR(IF(H64&lt;=0,"N/M",H66/H64),"N/M")</f>
        <v>2.84405093046033</v>
      </c>
      <c r="I81" s="47" t="n">
        <f aca="false">IFERROR(IF(I64&lt;=0,"N/M",I66/I64),"N/M")</f>
        <v>3.29170244827195</v>
      </c>
      <c r="J81" s="47" t="n">
        <f aca="false">IFERROR(IF(J64&lt;=0,"N/M",J66/J64),"N/M")</f>
        <v>3.13060542534243</v>
      </c>
      <c r="K81" s="22" t="n">
        <f aca="false">IFERROR(AVERAGE(D81:J81),"N/M")</f>
        <v>2.39525445912704</v>
      </c>
      <c r="L81" s="82" t="n">
        <f aca="false">IFERROR(J81-D81,"N/M")</f>
        <v>1.72192105434056</v>
      </c>
      <c r="M81" s="83" t="n">
        <f aca="false">IFERROR(SLOPE(D81:J81,$D$3:$J$3),"N/M")</f>
        <v>0.321594484622397</v>
      </c>
    </row>
    <row r="82" customFormat="false" ht="15" hidden="false" customHeight="false" outlineLevel="0" collapsed="false">
      <c r="A82" s="18" t="s">
        <v>519</v>
      </c>
      <c r="B82" s="19" t="s">
        <v>520</v>
      </c>
      <c r="D82" s="47" t="n">
        <f aca="false">IFERROR(IF(D64&lt;=0,"N/M",D38/D64),"N/M")</f>
        <v>1.31026030394701</v>
      </c>
      <c r="E82" s="47" t="n">
        <f aca="false">IFERROR(IF(E64&lt;=0,"N/M",E38/E64),"N/M")</f>
        <v>1.66157865969899</v>
      </c>
      <c r="F82" s="47" t="n">
        <f aca="false">IFERROR(IF(F64&lt;=0,"N/M",F38/F64),"N/M")</f>
        <v>1.93051613372766</v>
      </c>
      <c r="G82" s="47" t="n">
        <f aca="false">IFERROR(IF(G64&lt;=0,"N/M",G38/G64),"N/M")</f>
        <v>2.12417231013633</v>
      </c>
      <c r="H82" s="47" t="n">
        <f aca="false">IFERROR(IF(H64&lt;=0,"N/M",H38/H64),"N/M")</f>
        <v>2.58263663075416</v>
      </c>
      <c r="I82" s="47" t="n">
        <f aca="false">IFERROR(IF(I64&lt;=0,"N/M",I38/I64),"N/M")</f>
        <v>2.96765882981999</v>
      </c>
      <c r="J82" s="47" t="n">
        <f aca="false">IFERROR(IF(J64&lt;=0,"N/M",J38/J64),"N/M")</f>
        <v>2.74838831707202</v>
      </c>
      <c r="K82" s="22" t="n">
        <f aca="false">IFERROR(AVERAGE(D82:J82),"N/M")</f>
        <v>2.18931588359374</v>
      </c>
      <c r="L82" s="82" t="n">
        <f aca="false">IFERROR(J82-D82,"N/M")</f>
        <v>1.43812801312501</v>
      </c>
      <c r="M82" s="83" t="n">
        <f aca="false">IFERROR(SLOPE(D82:J82,$D$3:$J$3),"N/M")</f>
        <v>0.270666602737269</v>
      </c>
    </row>
    <row r="83" customFormat="false" ht="15" hidden="false" customHeight="false" outlineLevel="0" collapsed="false">
      <c r="A83" s="18" t="s">
        <v>521</v>
      </c>
      <c r="B83" s="19" t="s">
        <v>522</v>
      </c>
      <c r="D83" s="48" t="n">
        <f aca="false">IFERROR(IF((D54/365)&lt;=0,"N/M",D66/(D54/365)),"N/M")</f>
        <v>177.837543036156</v>
      </c>
      <c r="E83" s="48" t="n">
        <f aca="false">IFERROR(IF((E54/365)&lt;=0,"N/M",E66/(E54/365)),"N/M")</f>
        <v>180.056462361214</v>
      </c>
      <c r="F83" s="48" t="n">
        <f aca="false">IFERROR(IF((F54/365)&lt;=0,"N/M",F66/(F54/365)),"N/M")</f>
        <v>191.614088810452</v>
      </c>
      <c r="G83" s="48" t="n">
        <f aca="false">IFERROR(IF((G54/365)&lt;=0,"N/M",G66/(G54/365)),"N/M")</f>
        <v>192.200015234903</v>
      </c>
      <c r="H83" s="48" t="n">
        <f aca="false">IFERROR(IF((H54/365)&lt;=0,"N/M",H66/(H54/365)),"N/M")</f>
        <v>197.894134640232</v>
      </c>
      <c r="I83" s="48" t="n">
        <f aca="false">IFERROR(IF((I54/365)&lt;=0,"N/M",I66/(I54/365)),"N/M")</f>
        <v>213.169766896986</v>
      </c>
      <c r="J83" s="48" t="n">
        <f aca="false">IFERROR(IF((J54/365)&lt;=0,"N/M",J66/(J54/365)),"N/M")</f>
        <v>203.417606083351</v>
      </c>
      <c r="K83" s="28" t="n">
        <f aca="false">IFERROR(AVERAGE(D83:J83),"N/M")</f>
        <v>193.741373866185</v>
      </c>
      <c r="L83" s="84" t="n">
        <f aca="false">IFERROR(J83-D83,"N/M")</f>
        <v>25.5800630471959</v>
      </c>
      <c r="M83" s="85" t="n">
        <f aca="false">IFERROR(SLOPE(D83:J83,$D$3:$J$3),"N/M")</f>
        <v>5.33024443010397</v>
      </c>
    </row>
    <row r="84" customFormat="false" ht="15" hidden="false" customHeight="false" outlineLevel="0" collapsed="false">
      <c r="A84" s="18" t="s">
        <v>122</v>
      </c>
      <c r="B84" s="19" t="s">
        <v>523</v>
      </c>
      <c r="D84" s="47" t="n">
        <f aca="false">IFERROR(IF(D64&lt;=0,"N/M",D41/D64),"N/M")</f>
        <v>2.56224815563235</v>
      </c>
      <c r="E84" s="47" t="n">
        <f aca="false">IFERROR(IF(E64&lt;=0,"N/M",E41/E64),"N/M")</f>
        <v>0.685921107008119</v>
      </c>
      <c r="F84" s="47" t="n">
        <f aca="false">IFERROR(IF(F64&lt;=0,"N/M",F41/F64),"N/M")</f>
        <v>0.906042621887881</v>
      </c>
      <c r="G84" s="47" t="n">
        <f aca="false">IFERROR(IF(G64&lt;=0,"N/M",G41/G64),"N/M")</f>
        <v>0.962640116681161</v>
      </c>
      <c r="H84" s="47" t="n">
        <f aca="false">IFERROR(IF(H64&lt;=0,"N/M",H41/H64),"N/M")</f>
        <v>1.08795298726739</v>
      </c>
      <c r="I84" s="47" t="n">
        <f aca="false">IFERROR(IF(I64&lt;=0,"N/M",I41/I64),"N/M")</f>
        <v>1.38660336698155</v>
      </c>
      <c r="J84" s="47" t="n">
        <f aca="false">IFERROR(IF(J64&lt;=0,"N/M",J41/J64),"N/M")</f>
        <v>1.16815881972794</v>
      </c>
      <c r="K84" s="22" t="n">
        <f aca="false">IFERROR(AVERAGE(D84:J84),"N/M")</f>
        <v>1.25136673931234</v>
      </c>
      <c r="L84" s="82" t="n">
        <f aca="false">IFERROR(J84-D84,"N/M")</f>
        <v>-1.3940893359044</v>
      </c>
      <c r="M84" s="83" t="n">
        <f aca="false">IFERROR(SLOPE(D84:J84,$D$3:$J$3),"N/M")</f>
        <v>-0.0928211829423874</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0.00696787808204179</v>
      </c>
      <c r="E87" s="47" t="n">
        <f aca="false">IFERROR(IF(E61&lt;=0,"N/M",E28/E61),"N/M")</f>
        <v>0.0709641257806319</v>
      </c>
      <c r="F87" s="47" t="n">
        <f aca="false">IFERROR(IF(F61&lt;=0,"N/M",F28/F61),"N/M")</f>
        <v>0.0683628452287424</v>
      </c>
      <c r="G87" s="47" t="n">
        <f aca="false">IFERROR(IF(G61&lt;=0,"N/M",G28/G61),"N/M")</f>
        <v>0.0693602279701729</v>
      </c>
      <c r="H87" s="47" t="n">
        <f aca="false">IFERROR(IF(H61&lt;=0,"N/M",H28/H61),"N/M")</f>
        <v>0.0793946821548463</v>
      </c>
      <c r="I87" s="47" t="n">
        <f aca="false">IFERROR(IF(I61&lt;=0,"N/M",I28/I61),"N/M")</f>
        <v>0.0695766088974968</v>
      </c>
      <c r="J87" s="47" t="n">
        <f aca="false">IFERROR(IF(J61&lt;=0,"N/M",J28/J61),"N/M")</f>
        <v>0.0745281961931179</v>
      </c>
      <c r="K87" s="22" t="n">
        <f aca="false">IFERROR(AVERAGE(D87:J87),"N/M")</f>
        <v>0.0627363663295786</v>
      </c>
      <c r="L87" s="82" t="n">
        <f aca="false">IFERROR(J87-D87,"N/M")</f>
        <v>0.0675603181110762</v>
      </c>
      <c r="M87" s="83" t="n">
        <f aca="false">IFERROR(SLOPE(D87:J87,$D$3:$J$3),"N/M")</f>
        <v>0.00753349133903793</v>
      </c>
    </row>
    <row r="88" customFormat="false" ht="15" hidden="false" customHeight="false" outlineLevel="0" collapsed="false">
      <c r="A88" s="18" t="s">
        <v>526</v>
      </c>
      <c r="B88" s="19" t="s">
        <v>527</v>
      </c>
      <c r="D88" s="47" t="n">
        <f aca="false">IFERROR(IF(D61&lt;=0,"N/M",(D28+D29)/D61),"N/M")</f>
        <v>0.173466320263585</v>
      </c>
      <c r="E88" s="47" t="n">
        <f aca="false">IFERROR(IF(E61&lt;=0,"N/M",(E28+E29)/E61),"N/M")</f>
        <v>0.218232380443809</v>
      </c>
      <c r="F88" s="47" t="n">
        <f aca="false">IFERROR(IF(F61&lt;=0,"N/M",(F28+F29)/F61),"N/M")</f>
        <v>0.2088884343432</v>
      </c>
      <c r="G88" s="47" t="n">
        <f aca="false">IFERROR(IF(G61&lt;=0,"N/M",(G28+G29)/G61),"N/M")</f>
        <v>0.199449850036032</v>
      </c>
      <c r="H88" s="47" t="n">
        <f aca="false">IFERROR(IF(H61&lt;=0,"N/M",(H28+H29)/H61),"N/M")</f>
        <v>0.187339140554892</v>
      </c>
      <c r="I88" s="47" t="n">
        <f aca="false">IFERROR(IF(I61&lt;=0,"N/M",(I28+I29)/I61),"N/M")</f>
        <v>0.169269213808388</v>
      </c>
      <c r="J88" s="47" t="n">
        <f aca="false">IFERROR(IF(J61&lt;=0,"N/M",(J28+J29)/J61),"N/M")</f>
        <v>0.172567578530947</v>
      </c>
      <c r="K88" s="22" t="n">
        <f aca="false">IFERROR(AVERAGE(D88:J88),"N/M")</f>
        <v>0.18988755971155</v>
      </c>
      <c r="L88" s="82" t="n">
        <f aca="false">IFERROR(J88-D88,"N/M")</f>
        <v>-0.000898741732638042</v>
      </c>
      <c r="M88" s="83" t="n">
        <f aca="false">IFERROR(SLOPE(D88:J88,$D$3:$J$3),"N/M")</f>
        <v>-0.00436328043775233</v>
      </c>
    </row>
    <row r="89" customFormat="false" ht="15" hidden="false" customHeight="false" outlineLevel="0" collapsed="false">
      <c r="A89" s="18" t="s">
        <v>528</v>
      </c>
      <c r="B89" s="19" t="s">
        <v>529</v>
      </c>
      <c r="D89" s="47" t="n">
        <f aca="false">IFERROR(IF(D35&lt;=0,"N/M",D28/D35),"N/M")</f>
        <v>0.00593785945256329</v>
      </c>
      <c r="E89" s="47" t="n">
        <f aca="false">IFERROR(IF(E35&lt;=0,"N/M",E28/E35),"N/M")</f>
        <v>0.0582517152883256</v>
      </c>
      <c r="F89" s="47" t="n">
        <f aca="false">IFERROR(IF(F35&lt;=0,"N/M",F28/F35),"N/M")</f>
        <v>0.0565501689706251</v>
      </c>
      <c r="G89" s="47" t="n">
        <f aca="false">IFERROR(IF(G35&lt;=0,"N/M",G28/G35),"N/M")</f>
        <v>0.0578267011064191</v>
      </c>
      <c r="H89" s="47" t="n">
        <f aca="false">IFERROR(IF(H35&lt;=0,"N/M",H28/H35),"N/M")</f>
        <v>0.0668677376522279</v>
      </c>
      <c r="I89" s="47" t="n">
        <f aca="false">IFERROR(IF(I35&lt;=0,"N/M",I28/I35),"N/M")</f>
        <v>0.0595043537243926</v>
      </c>
      <c r="J89" s="47" t="n">
        <f aca="false">IFERROR(IF(J35&lt;=0,"N/M",J28/J35),"N/M")</f>
        <v>0.0635598302031263</v>
      </c>
      <c r="K89" s="22" t="n">
        <f aca="false">IFERROR(AVERAGE(D89:J89),"N/M")</f>
        <v>0.0526426237710971</v>
      </c>
      <c r="L89" s="82" t="n">
        <f aca="false">IFERROR(J89-D89,"N/M")</f>
        <v>0.057621970750563</v>
      </c>
      <c r="M89" s="83" t="n">
        <f aca="false">IFERROR(SLOPE(D89:J89,$D$3:$J$3),"N/M")</f>
        <v>0.00663174135019378</v>
      </c>
    </row>
    <row r="90" customFormat="false" ht="15" hidden="false" customHeight="false" outlineLevel="0" collapsed="false">
      <c r="A90" s="18" t="s">
        <v>530</v>
      </c>
      <c r="B90" s="19" t="s">
        <v>531</v>
      </c>
      <c r="D90" s="47" t="n">
        <f aca="false">IFERROR(IF(D62&lt;=0,"N/M",D28/D62),"N/M")</f>
        <v>0.00691966271586876</v>
      </c>
      <c r="E90" s="47" t="n">
        <f aca="false">IFERROR(IF(E62&lt;=0,"N/M",E28/E62),"N/M")</f>
        <v>0.0662619074461581</v>
      </c>
      <c r="F90" s="47" t="n">
        <f aca="false">IFERROR(IF(F62&lt;=0,"N/M",F28/F62),"N/M")</f>
        <v>0.0639884151101356</v>
      </c>
      <c r="G90" s="47" t="n">
        <f aca="false">IFERROR(IF(G62&lt;=0,"N/M",G28/G62),"N/M")</f>
        <v>0.0648614247621967</v>
      </c>
      <c r="H90" s="47" t="n">
        <f aca="false">IFERROR(IF(H62&lt;=0,"N/M",H28/H62),"N/M")</f>
        <v>0.0735548205558572</v>
      </c>
      <c r="I90" s="47" t="n">
        <f aca="false">IFERROR(IF(I62&lt;=0,"N/M",I28/I62),"N/M")</f>
        <v>0.0650506081740281</v>
      </c>
      <c r="J90" s="47" t="n">
        <f aca="false">IFERROR(IF(J62&lt;=0,"N/M",J28/J62),"N/M")</f>
        <v>0.0693589953778407</v>
      </c>
      <c r="K90" s="22" t="n">
        <f aca="false">IFERROR(AVERAGE(D90:J90),"N/M")</f>
        <v>0.0585708334488693</v>
      </c>
      <c r="L90" s="82" t="n">
        <f aca="false">IFERROR(J90-D90,"N/M")</f>
        <v>0.0624393326619719</v>
      </c>
      <c r="M90" s="83" t="n">
        <f aca="false">IFERROR(SLOPE(D90:J90,$D$3:$J$3),"N/M")</f>
        <v>0.00694506446026347</v>
      </c>
    </row>
    <row r="91" customFormat="false" ht="15" hidden="false" customHeight="false" outlineLevel="0" collapsed="false">
      <c r="A91" s="18" t="s">
        <v>125</v>
      </c>
      <c r="B91" s="19" t="s">
        <v>532</v>
      </c>
      <c r="D91" s="46" t="n">
        <f aca="false">IFERROR(IF(D35=0,"N/M",D61/D35),"N/M")</f>
        <v>0.852176140662801</v>
      </c>
      <c r="E91" s="46" t="n">
        <f aca="false">IFERROR(IF(E35=0,"N/M",E61/E35),"N/M")</f>
        <v>0.820861451438103</v>
      </c>
      <c r="F91" s="46" t="n">
        <f aca="false">IFERROR(IF(F35=0,"N/M",F61/F35),"N/M")</f>
        <v>0.827206193384842</v>
      </c>
      <c r="G91" s="46" t="n">
        <f aca="false">IFERROR(IF(G35=0,"N/M",G61/G35),"N/M")</f>
        <v>0.833715557153106</v>
      </c>
      <c r="H91" s="46" t="n">
        <f aca="false">IFERROR(IF(H35=0,"N/M",H61/H35),"N/M")</f>
        <v>0.842219350684135</v>
      </c>
      <c r="I91" s="46" t="n">
        <f aca="false">IFERROR(IF(I35=0,"N/M",I61/I35),"N/M")</f>
        <v>0.855235037569264</v>
      </c>
      <c r="J91" s="46" t="n">
        <f aca="false">IFERROR(IF(J35=0,"N/M",J61/J35),"N/M")</f>
        <v>0.852829310915156</v>
      </c>
      <c r="K91" s="25" t="n">
        <f aca="false">IFERROR(AVERAGE(D91:J91),"N/M")</f>
        <v>0.84060614882963</v>
      </c>
      <c r="L91" s="86" t="n">
        <f aca="false">IFERROR(J91-D91,"N/M")</f>
        <v>0.000653170252354673</v>
      </c>
      <c r="M91" s="87" t="n">
        <f aca="false">IFERROR(SLOPE(D91:J91,$D$3:$J$3),"N/M")</f>
        <v>0.00306142286852427</v>
      </c>
    </row>
    <row r="92" customFormat="false" ht="15" hidden="false" customHeight="false" outlineLevel="0" collapsed="false">
      <c r="A92" s="18" t="s">
        <v>533</v>
      </c>
      <c r="B92" s="19" t="s">
        <v>534</v>
      </c>
      <c r="D92" s="47" t="n">
        <f aca="false">IFERROR(IF(D61&lt;=0,"N/M",D28/D61),"N/M")</f>
        <v>0.00696787808204179</v>
      </c>
      <c r="E92" s="47" t="n">
        <f aca="false">IFERROR(IF(E61&lt;=0,"N/M",E28/E61),"N/M")</f>
        <v>0.0709641257806319</v>
      </c>
      <c r="F92" s="47" t="n">
        <f aca="false">IFERROR(IF(F61&lt;=0,"N/M",F28/F61),"N/M")</f>
        <v>0.0683628452287424</v>
      </c>
      <c r="G92" s="47" t="n">
        <f aca="false">IFERROR(IF(G61&lt;=0,"N/M",G28/G61),"N/M")</f>
        <v>0.0693602279701729</v>
      </c>
      <c r="H92" s="47" t="n">
        <f aca="false">IFERROR(IF(H61&lt;=0,"N/M",H28/H61),"N/M")</f>
        <v>0.0793946821548463</v>
      </c>
      <c r="I92" s="47" t="n">
        <f aca="false">IFERROR(IF(I61&lt;=0,"N/M",I28/I61),"N/M")</f>
        <v>0.0695766088974968</v>
      </c>
      <c r="J92" s="47" t="n">
        <f aca="false">IFERROR(IF(J61&lt;=0,"N/M",J28/J61),"N/M")</f>
        <v>0.0745281961931179</v>
      </c>
      <c r="K92" s="22" t="n">
        <f aca="false">IFERROR(AVERAGE(D92:J92),"N/M")</f>
        <v>0.0627363663295786</v>
      </c>
      <c r="L92" s="82" t="n">
        <f aca="false">IFERROR(J92-D92,"N/M")</f>
        <v>0.0675603181110762</v>
      </c>
      <c r="M92" s="83" t="n">
        <f aca="false">IFERROR(SLOPE(D92:J92,$D$3:$J$3),"N/M")</f>
        <v>0.00753349133903793</v>
      </c>
    </row>
    <row r="93" customFormat="false" ht="15" hidden="false" customHeight="false" outlineLevel="0" collapsed="false">
      <c r="A93" s="18" t="s">
        <v>126</v>
      </c>
      <c r="B93" s="19" t="s">
        <v>535</v>
      </c>
      <c r="D93" s="47" t="n">
        <f aca="false">IFERROR(IF(D59&lt;=0,"N/M",D28/D59),"N/M")</f>
        <v>0.0616935768173165</v>
      </c>
      <c r="E93" s="47" t="n">
        <f aca="false">IFERROR(IF(E59&lt;=0,"N/M",E28/E59),"N/M")</f>
        <v>0.569025636181886</v>
      </c>
      <c r="F93" s="47" t="n">
        <f aca="false">IFERROR(IF(F59&lt;=0,"N/M",F28/F59),"N/M")</f>
        <v>0.36422899545754</v>
      </c>
      <c r="G93" s="47" t="n">
        <f aca="false">IFERROR(IF(G59&lt;=0,"N/M",G28/G59),"N/M")</f>
        <v>0.353785758423903</v>
      </c>
      <c r="H93" s="47" t="n">
        <f aca="false">IFERROR(IF(H59&lt;=0,"N/M",H28/H59),"N/M")</f>
        <v>0.397943091636709</v>
      </c>
      <c r="I93" s="47" t="n">
        <f aca="false">IFERROR(IF(I59&lt;=0,"N/M",I28/I59),"N/M")</f>
        <v>0.362436155263667</v>
      </c>
      <c r="J93" s="47" t="n">
        <f aca="false">IFERROR(IF(J59&lt;=0,"N/M",J28/J59),"N/M")</f>
        <v>0.411360311834973</v>
      </c>
      <c r="K93" s="22" t="n">
        <f aca="false">IFERROR(AVERAGE(D93:J93),"N/M")</f>
        <v>0.360067646516571</v>
      </c>
      <c r="L93" s="82" t="n">
        <f aca="false">IFERROR(J93-D93,"N/M")</f>
        <v>0.349666735017657</v>
      </c>
      <c r="M93" s="83" t="n">
        <f aca="false">IFERROR(SLOPE(D93:J93,$D$3:$J$3),"N/M")</f>
        <v>0.0239119764069894</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12.7095176571921</v>
      </c>
      <c r="E96" s="47" t="n">
        <f aca="false">IFERROR(IF(E19&lt;=0,"N/M",E58/E19),"N/M")</f>
        <v>16.519004837595</v>
      </c>
      <c r="F96" s="47" t="n">
        <f aca="false">IFERROR(IF(F19&lt;=0,"N/M",F58/F19),"N/M")</f>
        <v>23.1908020369192</v>
      </c>
      <c r="G96" s="47" t="n">
        <f aca="false">IFERROR(IF(G19&lt;=0,"N/M",G58/G19),"N/M")</f>
        <v>25.1680581323438</v>
      </c>
      <c r="H96" s="47" t="n">
        <f aca="false">IFERROR(IF(H19&lt;=0,"N/M",H58/H19),"N/M")</f>
        <v>24.2613969050606</v>
      </c>
      <c r="I96" s="47" t="n">
        <f aca="false">IFERROR(IF(I19&lt;=0,"N/M",I58/I19),"N/M")</f>
        <v>24.410277324633</v>
      </c>
      <c r="J96" s="47" t="n">
        <f aca="false">IFERROR(IF(J19&lt;=0,"N/M",J58/J19),"N/M")</f>
        <v>22.0208837386986</v>
      </c>
      <c r="K96" s="22" t="n">
        <f aca="false">IFERROR(AVERAGE(D96:J96),"N/M")</f>
        <v>21.1828486617775</v>
      </c>
      <c r="L96" s="82" t="n">
        <f aca="false">IFERROR(J96-D96,"N/M")</f>
        <v>9.31136608150651</v>
      </c>
      <c r="M96" s="83" t="n">
        <f aca="false">IFERROR(SLOPE(D96:J96,$D$3:$J$3),"N/M")</f>
        <v>1.59954421738346</v>
      </c>
    </row>
    <row r="97" customFormat="false" ht="15" hidden="false" customHeight="false" outlineLevel="0" collapsed="false">
      <c r="A97" s="18" t="s">
        <v>538</v>
      </c>
      <c r="B97" s="19" t="s">
        <v>539</v>
      </c>
      <c r="D97" s="47" t="n">
        <f aca="false">IFERROR(IF(D19&lt;=0,"N/M",D59/D19),"N/M")</f>
        <v>24.4323858742463</v>
      </c>
      <c r="E97" s="47" t="n">
        <f aca="false">IFERROR(IF(E19&lt;=0,"N/M",E59/E19),"N/M")</f>
        <v>29.2667588113338</v>
      </c>
      <c r="F97" s="47" t="n">
        <f aca="false">IFERROR(IF(F19&lt;=0,"N/M",F59/F19),"N/M")</f>
        <v>32.1249204328453</v>
      </c>
      <c r="G97" s="47" t="n">
        <f aca="false">IFERROR(IF(G19&lt;=0,"N/M",G59/G19),"N/M")</f>
        <v>34.0272108843537</v>
      </c>
      <c r="H97" s="47" t="n">
        <f aca="false">IFERROR(IF(H19&lt;=0,"N/M",H59/H19),"N/M")</f>
        <v>32.8855430085041</v>
      </c>
      <c r="I97" s="47" t="n">
        <f aca="false">IFERROR(IF(I19&lt;=0,"N/M",I59/I19),"N/M")</f>
        <v>32.3118542686242</v>
      </c>
      <c r="J97" s="47" t="n">
        <f aca="false">IFERROR(IF(J19&lt;=0,"N/M",J59/J19),"N/M")</f>
        <v>29.8590347637845</v>
      </c>
      <c r="K97" s="22" t="n">
        <f aca="false">IFERROR(AVERAGE(D97:J97),"N/M")</f>
        <v>30.7011011490989</v>
      </c>
      <c r="L97" s="82" t="n">
        <f aca="false">IFERROR(J97-D97,"N/M")</f>
        <v>5.4266488895382</v>
      </c>
      <c r="M97" s="83" t="n">
        <f aca="false">IFERROR(SLOPE(D97:J97,$D$3:$J$3),"N/M")</f>
        <v>0.826098577101939</v>
      </c>
    </row>
    <row r="98" customFormat="false" ht="15" hidden="false" customHeight="false" outlineLevel="0" collapsed="false">
      <c r="A98" s="18" t="s">
        <v>540</v>
      </c>
      <c r="B98" s="19" t="s">
        <v>541</v>
      </c>
      <c r="D98" s="47" t="n">
        <f aca="false">IFERROR(IF(D23&lt;=0,"N/M",D22/D23),"N/M")</f>
        <v>1.83961705037611</v>
      </c>
      <c r="E98" s="47" t="n">
        <f aca="false">IFERROR(IF(E23&lt;=0,"N/M",E22/E23),"N/M")</f>
        <v>1.65849335302807</v>
      </c>
      <c r="F98" s="47" t="n">
        <f aca="false">IFERROR(IF(F23&lt;=0,"N/M",F22/F23),"N/M")</f>
        <v>1.92410233966118</v>
      </c>
      <c r="G98" s="47" t="n">
        <f aca="false">IFERROR(IF(G23&lt;=0,"N/M",G22/G23),"N/M")</f>
        <v>1.75144353430912</v>
      </c>
      <c r="H98" s="47" t="n">
        <f aca="false">IFERROR(IF(H23&lt;=0,"N/M",H22/H23),"N/M")</f>
        <v>1.79904381332953</v>
      </c>
      <c r="I98" s="47" t="n">
        <f aca="false">IFERROR(IF(I23&lt;=0,"N/M",I22/I23),"N/M")</f>
        <v>1.84103039817326</v>
      </c>
      <c r="J98" s="47" t="n">
        <f aca="false">IFERROR(IF(J23&lt;=0,"N/M",J22/J23),"N/M")</f>
        <v>1.89590680773752</v>
      </c>
      <c r="K98" s="22" t="n">
        <f aca="false">IFERROR(AVERAGE(D98:J98),"N/M")</f>
        <v>1.81566247094497</v>
      </c>
      <c r="L98" s="82" t="n">
        <f aca="false">IFERROR(J98-D98,"N/M")</f>
        <v>0.0562897573614114</v>
      </c>
      <c r="M98" s="83" t="n">
        <f aca="false">IFERROR(SLOPE(D98:J98,$D$3:$J$3),"N/M")</f>
        <v>0.0146030298586773</v>
      </c>
    </row>
    <row r="99" customFormat="false" ht="15" hidden="false" customHeight="false" outlineLevel="0" collapsed="false">
      <c r="A99" s="18" t="s">
        <v>542</v>
      </c>
      <c r="B99" s="19" t="s">
        <v>543</v>
      </c>
      <c r="D99" s="47" t="n">
        <f aca="false">IFERROR(IF((D19+IF((1-D60)&lt;=0,"N/M",D68/(1-D60)))&lt;=0,"N/M",D59/(D19+IF((1-D60)&lt;=0,"N/M",D68/(1-D60)))),"N/M")</f>
        <v>1.15124847894541</v>
      </c>
      <c r="E99" s="47" t="n">
        <f aca="false">IFERROR(IF((E19+IF((1-E60)&lt;=0,"N/M",E68/(1-E60)))&lt;=0,"N/M",E59/(E19+IF((1-E60)&lt;=0,"N/M",E68/(1-E60)))),"N/M")</f>
        <v>29.2667588113338</v>
      </c>
      <c r="F99" s="47" t="n">
        <f aca="false">IFERROR(IF((F19+IF((1-F60)&lt;=0,"N/M",F68/(1-F60)))&lt;=0,"N/M",F59/(F19+IF((1-F60)&lt;=0,"N/M",F68/(1-F60)))),"N/M")</f>
        <v>32.1249204328453</v>
      </c>
      <c r="G99" s="47" t="n">
        <f aca="false">IFERROR(IF((G19+IF((1-G60)&lt;=0,"N/M",G68/(1-G60)))&lt;=0,"N/M",G59/(G19+IF((1-G60)&lt;=0,"N/M",G68/(1-G60)))),"N/M")</f>
        <v>34.0272108843537</v>
      </c>
      <c r="H99" s="47" t="n">
        <f aca="false">IFERROR(IF((H19+IF((1-H60)&lt;=0,"N/M",H68/(1-H60)))&lt;=0,"N/M",H59/(H19+IF((1-H60)&lt;=0,"N/M",H68/(1-H60)))),"N/M")</f>
        <v>32.8855430085041</v>
      </c>
      <c r="I99" s="47" t="n">
        <f aca="false">IFERROR(IF((I19+IF((1-I60)&lt;=0,"N/M",I68/(1-I60)))&lt;=0,"N/M",I59/(I19+IF((1-I60)&lt;=0,"N/M",I68/(1-I60)))),"N/M")</f>
        <v>13.4725200551828</v>
      </c>
      <c r="J99" s="47" t="n">
        <f aca="false">IFERROR(IF((J19+IF((1-J60)&lt;=0,"N/M",J68/(1-J60)))&lt;=0,"N/M",J59/(J19+IF((1-J60)&lt;=0,"N/M",J68/(1-J60)))),"N/M")</f>
        <v>29.8590347637845</v>
      </c>
      <c r="K99" s="22" t="n">
        <f aca="false">IFERROR(AVERAGE(D99:J99),"N/M")</f>
        <v>24.6838909192785</v>
      </c>
      <c r="L99" s="82" t="n">
        <f aca="false">IFERROR(J99-D99,"N/M")</f>
        <v>28.7077862848391</v>
      </c>
      <c r="M99" s="83" t="n">
        <f aca="false">IFERROR(SLOPE(D99:J99,$D$3:$J$3),"N/M")</f>
        <v>1.97483942563837</v>
      </c>
    </row>
    <row r="100" customFormat="false" ht="15" hidden="false" customHeight="false" outlineLevel="0" collapsed="false">
      <c r="A100" s="18" t="s">
        <v>544</v>
      </c>
      <c r="B100" s="19" t="s">
        <v>545</v>
      </c>
      <c r="D100" s="47" t="n">
        <f aca="false">IFERROR(IF((D19+IF((1-D60)&lt;=0,"N/M",D68/(1-D60)))&lt;=0,"N/M",(D41+D21)/(D19+IF((1-D60)&lt;=0,"N/M",D68/(1-D60)))),"N/M")</f>
        <v>4.48861497573455</v>
      </c>
      <c r="E100" s="47" t="n">
        <f aca="false">IFERROR(IF((E19+IF((1-E60)&lt;=0,"N/M",E68/(1-E60)))&lt;=0,"N/M",(E41+E21)/(E19+IF((1-E60)&lt;=0,"N/M",E68/(1-E60)))),"N/M")</f>
        <v>27.690393918452</v>
      </c>
      <c r="F100" s="47" t="n">
        <f aca="false">IFERROR(IF((F19+IF((1-F60)&lt;=0,"N/M",F68/(1-F60)))&lt;=0,"N/M",(F41+F21)/(F19+IF((1-F60)&lt;=0,"N/M",F68/(1-F60)))),"N/M")</f>
        <v>27.2377466581795</v>
      </c>
      <c r="G100" s="47" t="n">
        <f aca="false">IFERROR(IF((G19+IF((1-G60)&lt;=0,"N/M",G68/(1-G60)))&lt;=0,"N/M",(G41+G21)/(G19+IF((1-G60)&lt;=0,"N/M",G68/(1-G60)))),"N/M")</f>
        <v>27.7605132962276</v>
      </c>
      <c r="H100" s="47" t="n">
        <f aca="false">IFERROR(IF((H19+IF((1-H60)&lt;=0,"N/M",H68/(1-H60)))&lt;=0,"N/M",(H41+H21)/(H19+IF((1-H60)&lt;=0,"N/M",H68/(1-H60)))),"N/M")</f>
        <v>25.0236999860588</v>
      </c>
      <c r="I100" s="47" t="n">
        <f aca="false">IFERROR(IF((I19+IF((1-I60)&lt;=0,"N/M",I68/(1-I60)))&lt;=0,"N/M",(I41+I21)/(I19+IF((1-I60)&lt;=0,"N/M",I68/(1-I60)))),"N/M")</f>
        <v>12.1327840840937</v>
      </c>
      <c r="J100" s="47" t="n">
        <f aca="false">IFERROR(IF((J19+IF((1-J60)&lt;=0,"N/M",J68/(1-J60)))&lt;=0,"N/M",(J41+J21)/(J19+IF((1-J60)&lt;=0,"N/M",J68/(1-J60)))),"N/M")</f>
        <v>24.0323443270088</v>
      </c>
      <c r="K100" s="22" t="n">
        <f aca="false">IFERROR(AVERAGE(D100:J100),"N/M")</f>
        <v>21.1951567493936</v>
      </c>
      <c r="L100" s="82" t="n">
        <f aca="false">IFERROR(J100-D100,"N/M")</f>
        <v>19.5437293512742</v>
      </c>
      <c r="M100" s="83" t="n">
        <f aca="false">IFERROR(SLOPE(D100:J100,$D$3:$J$3),"N/M")</f>
        <v>0.903640061178051</v>
      </c>
    </row>
    <row r="101" customFormat="false" ht="15" hidden="false" customHeight="false" outlineLevel="0" collapsed="false">
      <c r="A101" s="18" t="s">
        <v>546</v>
      </c>
      <c r="B101" s="19" t="s">
        <v>547</v>
      </c>
      <c r="D101" s="47" t="n">
        <f aca="false">IFERROR(IF(D67&lt;=0,"N/M",D41/D67),"N/M")</f>
        <v>2.60550553532455</v>
      </c>
      <c r="E101" s="47" t="n">
        <f aca="false">IFERROR(IF(E67&lt;=0,"N/M",E41/E67),"N/M")</f>
        <v>1.21388633307382</v>
      </c>
      <c r="F101" s="47" t="n">
        <f aca="false">IFERROR(IF(F67&lt;=0,"N/M",F41/F67),"N/M")</f>
        <v>3.01415270838378</v>
      </c>
      <c r="G101" s="47" t="n">
        <f aca="false">IFERROR(IF(G67&lt;=0,"N/M",G41/G67),"N/M")</f>
        <v>2.5454561914936</v>
      </c>
      <c r="H101" s="47" t="n">
        <f aca="false">IFERROR(IF(H67&lt;=0,"N/M",H41/H67),"N/M")</f>
        <v>1.29937581298721</v>
      </c>
      <c r="I101" s="47" t="n">
        <f aca="false">IFERROR(IF(I67&lt;=0,"N/M",I41/I67),"N/M")</f>
        <v>1.54662353270741</v>
      </c>
      <c r="J101" s="47" t="n">
        <f aca="false">IFERROR(IF(J67&lt;=0,"N/M",J41/J67),"N/M")</f>
        <v>1.17509533285237</v>
      </c>
      <c r="K101" s="22" t="n">
        <f aca="false">IFERROR(AVERAGE(D101:J101),"N/M")</f>
        <v>1.91429934954611</v>
      </c>
      <c r="L101" s="82" t="n">
        <f aca="false">IFERROR(J101-D101,"N/M")</f>
        <v>-1.43041020247218</v>
      </c>
      <c r="M101" s="83" t="n">
        <f aca="false">IFERROR(SLOPE(D101:J101,$D$3:$J$3),"N/M")</f>
        <v>-0.19073332512664</v>
      </c>
    </row>
    <row r="102" customFormat="false" ht="15" hidden="false" customHeight="false" outlineLevel="0" collapsed="false">
      <c r="A102" s="18" t="s">
        <v>129</v>
      </c>
      <c r="B102" s="19" t="s">
        <v>548</v>
      </c>
      <c r="D102" s="47" t="n">
        <f aca="false">IFERROR(IF((D19+D68)&lt;=0,"N/M",((D22+D19)+D18)/(D19+D68)),"N/M")</f>
        <v>1.33099091140291</v>
      </c>
      <c r="E102" s="47" t="n">
        <f aca="false">IFERROR(IF((E19+E68)&lt;=0,"N/M",((E22+E19)+E18)/(E19+E68)),"N/M")</f>
        <v>25.387007601935</v>
      </c>
      <c r="F102" s="47" t="n">
        <f aca="false">IFERROR(IF((F19+F68)&lt;=0,"N/M",((F22+F19)+F18)/(F19+F68)),"N/M")</f>
        <v>26.7246976448122</v>
      </c>
      <c r="G102" s="47" t="n">
        <f aca="false">IFERROR(IF((G19+G68)&lt;=0,"N/M",((G22+G19)+G18)/(G19+G68)),"N/M")</f>
        <v>28.0080395794681</v>
      </c>
      <c r="H102" s="47" t="n">
        <f aca="false">IFERROR(IF((H19+H68)&lt;=0,"N/M",((H22+H19)+H18)/(H19+H68)),"N/M")</f>
        <v>27.198243412798</v>
      </c>
      <c r="I102" s="47" t="n">
        <f aca="false">IFERROR(IF((I19+I68)&lt;=0,"N/M",((I22+I19)+I18)/(I19+I68)),"N/M")</f>
        <v>12.8966180371353</v>
      </c>
      <c r="J102" s="47" t="n">
        <f aca="false">IFERROR(IF((J19+J68)&lt;=0,"N/M",((J22+J19)+J18)/(J19+J68)),"N/M")</f>
        <v>24.6512160957596</v>
      </c>
      <c r="K102" s="22" t="n">
        <f aca="false">IFERROR(AVERAGE(D102:J102),"N/M")</f>
        <v>20.885259040473</v>
      </c>
      <c r="L102" s="82" t="n">
        <f aca="false">IFERROR(J102-D102,"N/M")</f>
        <v>23.3202251843567</v>
      </c>
      <c r="M102" s="83" t="n">
        <f aca="false">IFERROR(SLOPE(D102:J102,$D$3:$J$3),"N/M")</f>
        <v>1.62333722112344</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n">
        <f aca="false">IFERROR(IF(((D37+C37)/2)&lt;=0,"N/M",D52/((D37+C37)/2)),"N/M")</f>
        <v>171.838053450339</v>
      </c>
      <c r="E105" s="47" t="n">
        <f aca="false">IFERROR(IF(((E37+D37)/2)&lt;=0,"N/M",E52/((E37+D37)/2)),"N/M")</f>
        <v>162.872201307708</v>
      </c>
      <c r="F105" s="47" t="n">
        <f aca="false">IFERROR(IF(((F37+E37)/2)&lt;=0,"N/M",F52/((F37+E37)/2)),"N/M")</f>
        <v>175.457718603814</v>
      </c>
      <c r="G105" s="47" t="n">
        <f aca="false">IFERROR(IF(((G37+F37)/2)&lt;=0,"N/M",G52/((G37+F37)/2)),"N/M")</f>
        <v>154.493967146388</v>
      </c>
      <c r="H105" s="47" t="n">
        <f aca="false">IFERROR(IF(((H37+G37)/2)&lt;=0,"N/M",H52/((H37+G37)/2)),"N/M")</f>
        <v>130.150159744409</v>
      </c>
      <c r="I105" s="47" t="n">
        <f aca="false">IFERROR(IF(((I37+H37)/2)&lt;=0,"N/M",I52/((I37+H37)/2)),"N/M")</f>
        <v>118.224125908955</v>
      </c>
      <c r="J105" s="47" t="n">
        <f aca="false">IFERROR(IF(((J37+I37)/2)&lt;=0,"N/M",J52/((J37+I37)/2)),"N/M")</f>
        <v>117.654263111632</v>
      </c>
      <c r="K105" s="22" t="n">
        <f aca="false">IFERROR(AVERAGE(D105:J105),"N/M")</f>
        <v>147.241498467606</v>
      </c>
      <c r="L105" s="82" t="n">
        <f aca="false">IFERROR(J105-D105,"N/M")</f>
        <v>-54.183790338707</v>
      </c>
      <c r="M105" s="83" t="n">
        <f aca="false">IFERROR(SLOPE(D105:J105,$D$3:$J$3),"N/M")</f>
        <v>-10.6126814526083</v>
      </c>
    </row>
    <row r="106" customFormat="false" ht="15" hidden="false" customHeight="false" outlineLevel="0" collapsed="false">
      <c r="A106" s="18" t="s">
        <v>552</v>
      </c>
      <c r="B106" s="19" t="s">
        <v>553</v>
      </c>
      <c r="D106" s="48" t="n">
        <f aca="false">IFERROR(IF(D105&lt;=0,"N/M",365/D105),"N/M")</f>
        <v>2.12409296236287</v>
      </c>
      <c r="E106" s="48" t="n">
        <f aca="false">IFERROR(IF(E105&lt;=0,"N/M",365/E105),"N/M")</f>
        <v>2.24102085604173</v>
      </c>
      <c r="F106" s="48" t="n">
        <f aca="false">IFERROR(IF(F105&lt;=0,"N/M",365/F105),"N/M")</f>
        <v>2.08027325844909</v>
      </c>
      <c r="G106" s="48" t="n">
        <f aca="false">IFERROR(IF(G105&lt;=0,"N/M",365/G105),"N/M")</f>
        <v>2.3625517988942</v>
      </c>
      <c r="H106" s="48" t="n">
        <f aca="false">IFERROR(IF(H105&lt;=0,"N/M",365/H105),"N/M")</f>
        <v>2.80445295431671</v>
      </c>
      <c r="I106" s="48" t="n">
        <f aca="false">IFERROR(IF(I105&lt;=0,"N/M",365/I105),"N/M")</f>
        <v>3.08735630053284</v>
      </c>
      <c r="J106" s="48" t="n">
        <f aca="false">IFERROR(IF(J105&lt;=0,"N/M",365/J105),"N/M")</f>
        <v>3.10231002555074</v>
      </c>
      <c r="K106" s="28" t="n">
        <f aca="false">IFERROR(AVERAGE(D106:J106),"N/M")</f>
        <v>2.54315116516403</v>
      </c>
      <c r="L106" s="84" t="n">
        <f aca="false">IFERROR(J106-D106,"N/M")</f>
        <v>0.978217063187865</v>
      </c>
      <c r="M106" s="85" t="n">
        <f aca="false">IFERROR(SLOPE(D106:J106,$D$3:$J$3),"N/M")</f>
        <v>0.191125063371908</v>
      </c>
    </row>
    <row r="107" customFormat="false" ht="15" hidden="false" customHeight="false" outlineLevel="0" collapsed="false">
      <c r="A107" s="18" t="s">
        <v>554</v>
      </c>
      <c r="B107" s="19" t="s">
        <v>555</v>
      </c>
      <c r="D107" s="47" t="n">
        <f aca="false">IFERROR(IF(((D36+C36)/2)&lt;=0,"N/M",D9/((D36+C36)/2)),"N/M")</f>
        <v>50.2116027834378</v>
      </c>
      <c r="E107" s="47" t="n">
        <f aca="false">IFERROR(IF(((E36+D36)/2)&lt;=0,"N/M",E9/((E36+D36)/2)),"N/M")</f>
        <v>39.4711048332617</v>
      </c>
      <c r="F107" s="47" t="n">
        <f aca="false">IFERROR(IF(((F36+E36)/2)&lt;=0,"N/M",F9/((F36+E36)/2)),"N/M")</f>
        <v>44.6548796498906</v>
      </c>
      <c r="G107" s="47" t="n">
        <f aca="false">IFERROR(IF(((G36+F36)/2)&lt;=0,"N/M",G9/((G36+F36)/2)),"N/M")</f>
        <v>41.079754601227</v>
      </c>
      <c r="H107" s="47" t="n">
        <f aca="false">IFERROR(IF(((H36+G36)/2)&lt;=0,"N/M",H9/((H36+G36)/2)),"N/M")</f>
        <v>31.488128377272</v>
      </c>
      <c r="I107" s="47" t="n">
        <f aca="false">IFERROR(IF(((I36+H36)/2)&lt;=0,"N/M",I9/((I36+H36)/2)),"N/M")</f>
        <v>24.2281866386772</v>
      </c>
      <c r="J107" s="47" t="n">
        <f aca="false">IFERROR(IF(((J36+I36)/2)&lt;=0,"N/M",J9/((J36+I36)/2)),"N/M")</f>
        <v>20.5183737118062</v>
      </c>
      <c r="K107" s="22" t="n">
        <f aca="false">IFERROR(AVERAGE(D107:J107),"N/M")</f>
        <v>35.9502900850818</v>
      </c>
      <c r="L107" s="82" t="n">
        <f aca="false">IFERROR(J107-D107,"N/M")</f>
        <v>-29.6932290716316</v>
      </c>
      <c r="M107" s="83" t="n">
        <f aca="false">IFERROR(SLOPE(D107:J107,$D$3:$J$3),"N/M")</f>
        <v>-4.74043838845294</v>
      </c>
    </row>
    <row r="108" customFormat="false" ht="15" hidden="false" customHeight="false" outlineLevel="0" collapsed="false">
      <c r="A108" s="18" t="s">
        <v>130</v>
      </c>
      <c r="B108" s="19" t="s">
        <v>556</v>
      </c>
      <c r="D108" s="48" t="n">
        <f aca="false">IFERROR(IF(D107&lt;=0,"N/M",365/D107),"N/M")</f>
        <v>7.26923618778397</v>
      </c>
      <c r="E108" s="48" t="n">
        <f aca="false">IFERROR(IF(E107&lt;=0,"N/M",365/E107),"N/M")</f>
        <v>9.24727092240956</v>
      </c>
      <c r="F108" s="48" t="n">
        <f aca="false">IFERROR(IF(F107&lt;=0,"N/M",365/F107),"N/M")</f>
        <v>8.17379876201042</v>
      </c>
      <c r="G108" s="48" t="n">
        <f aca="false">IFERROR(IF(G107&lt;=0,"N/M",365/G107),"N/M")</f>
        <v>8.88515531660693</v>
      </c>
      <c r="H108" s="48" t="n">
        <f aca="false">IFERROR(IF(H107&lt;=0,"N/M",365/H107),"N/M")</f>
        <v>11.5916702201791</v>
      </c>
      <c r="I108" s="48" t="n">
        <f aca="false">IFERROR(IF(I107&lt;=0,"N/M",365/I107),"N/M")</f>
        <v>15.0650977493018</v>
      </c>
      <c r="J108" s="48" t="n">
        <f aca="false">IFERROR(IF(J107&lt;=0,"N/M",365/J107),"N/M")</f>
        <v>17.7889342072944</v>
      </c>
      <c r="K108" s="28" t="n">
        <f aca="false">IFERROR(AVERAGE(D108:J108),"N/M")</f>
        <v>11.145880480798</v>
      </c>
      <c r="L108" s="84" t="n">
        <f aca="false">IFERROR(J108-D108,"N/M")</f>
        <v>10.5196980195105</v>
      </c>
      <c r="M108" s="85" t="n">
        <f aca="false">IFERROR(SLOPE(D108:J108,$D$3:$J$3),"N/M")</f>
        <v>1.66473639894588</v>
      </c>
    </row>
    <row r="109" customFormat="false" ht="15" hidden="false" customHeight="false" outlineLevel="0" collapsed="false">
      <c r="A109" s="18" t="s">
        <v>557</v>
      </c>
      <c r="B109" s="19" t="s">
        <v>558</v>
      </c>
      <c r="D109" s="47" t="n">
        <f aca="false">IFERROR(IF(((D29+C29)/2)&lt;=0,"N/M",D52/((D29+C29)/2)),"N/M")</f>
        <v>2.55498158483136</v>
      </c>
      <c r="E109" s="47" t="n">
        <f aca="false">IFERROR(IF(((E29+D29)/2)&lt;=0,"N/M",E52/((E29+D29)/2)),"N/M")</f>
        <v>2.59072400186579</v>
      </c>
      <c r="F109" s="47" t="n">
        <f aca="false">IFERROR(IF(((F29+E29)/2)&lt;=0,"N/M",F52/((F29+E29)/2)),"N/M")</f>
        <v>3.23802914642609</v>
      </c>
      <c r="G109" s="47" t="n">
        <f aca="false">IFERROR(IF(((G29+F29)/2)&lt;=0,"N/M",G52/((G29+F29)/2)),"N/M")</f>
        <v>3.57613852790546</v>
      </c>
      <c r="H109" s="47" t="n">
        <f aca="false">IFERROR(IF(((H29+G29)/2)&lt;=0,"N/M",H52/((H29+G29)/2)),"N/M")</f>
        <v>4.16801625350795</v>
      </c>
      <c r="I109" s="47" t="n">
        <f aca="false">IFERROR(IF(((I29+H29)/2)&lt;=0,"N/M",I52/((I29+H29)/2)),"N/M")</f>
        <v>4.72738280643195</v>
      </c>
      <c r="J109" s="47" t="n">
        <f aca="false">IFERROR(IF(((J29+I29)/2)&lt;=0,"N/M",J52/((J29+I29)/2)),"N/M")</f>
        <v>4.81248801534037</v>
      </c>
      <c r="K109" s="22" t="n">
        <f aca="false">IFERROR(AVERAGE(D109:J109),"N/M")</f>
        <v>3.666822905187</v>
      </c>
      <c r="L109" s="82" t="n">
        <f aca="false">IFERROR(J109-D109,"N/M")</f>
        <v>2.25750643050901</v>
      </c>
      <c r="M109" s="83" t="n">
        <f aca="false">IFERROR(SLOPE(D109:J109,$D$3:$J$3),"N/M")</f>
        <v>0.427708000276472</v>
      </c>
    </row>
    <row r="110" customFormat="false" ht="15" hidden="false" customHeight="false" outlineLevel="0" collapsed="false">
      <c r="A110" s="18" t="s">
        <v>559</v>
      </c>
      <c r="B110" s="19" t="s">
        <v>560</v>
      </c>
      <c r="D110" s="48" t="n">
        <f aca="false">IFERROR(IF(D109&lt;=0,"N/M",365/D109),"N/M")</f>
        <v>142.858172507765</v>
      </c>
      <c r="E110" s="48" t="n">
        <f aca="false">IFERROR(IF(E109&lt;=0,"N/M",365/E109),"N/M")</f>
        <v>140.887257668951</v>
      </c>
      <c r="F110" s="48" t="n">
        <f aca="false">IFERROR(IF(F109&lt;=0,"N/M",365/F109),"N/M")</f>
        <v>112.722888984141</v>
      </c>
      <c r="G110" s="48" t="n">
        <f aca="false">IFERROR(IF(G109&lt;=0,"N/M",365/G109),"N/M")</f>
        <v>102.065397397729</v>
      </c>
      <c r="H110" s="48" t="n">
        <f aca="false">IFERROR(IF(H109&lt;=0,"N/M",365/H109),"N/M")</f>
        <v>87.5716354735428</v>
      </c>
      <c r="I110" s="48" t="n">
        <f aca="false">IFERROR(IF(I109&lt;=0,"N/M",365/I109),"N/M")</f>
        <v>77.2097405573736</v>
      </c>
      <c r="J110" s="48" t="n">
        <f aca="false">IFERROR(IF(J109&lt;=0,"N/M",365/J109),"N/M")</f>
        <v>75.8443447207599</v>
      </c>
      <c r="K110" s="28" t="n">
        <f aca="false">IFERROR(AVERAGE(D110:J110),"N/M")</f>
        <v>105.594205330037</v>
      </c>
      <c r="L110" s="84" t="n">
        <f aca="false">IFERROR(J110-D110,"N/M")</f>
        <v>-67.0138277870048</v>
      </c>
      <c r="M110" s="85" t="n">
        <f aca="false">IFERROR(SLOPE(D110:J110,$D$3:$J$3),"N/M")</f>
        <v>-12.6267061105274</v>
      </c>
    </row>
    <row r="111" customFormat="false" ht="15" hidden="false" customHeight="false" outlineLevel="0" collapsed="false">
      <c r="A111" s="18" t="s">
        <v>561</v>
      </c>
      <c r="B111" s="19" t="s">
        <v>562</v>
      </c>
      <c r="D111" s="48" t="n">
        <f aca="false">IFERROR(((IF(ISNUMBER(D106),D106,0)+D108)-D110),"N/M")</f>
        <v>-133.464843357618</v>
      </c>
      <c r="E111" s="48" t="n">
        <f aca="false">IFERROR(((IF(ISNUMBER(E106),E106,0)+E108)-E110),"N/M")</f>
        <v>-129.398965890499</v>
      </c>
      <c r="F111" s="48" t="n">
        <f aca="false">IFERROR(((IF(ISNUMBER(F106),F106,0)+F108)-F110),"N/M")</f>
        <v>-102.468816963681</v>
      </c>
      <c r="G111" s="48" t="n">
        <f aca="false">IFERROR(((IF(ISNUMBER(G106),G106,0)+G108)-G110),"N/M")</f>
        <v>-90.8176902822278</v>
      </c>
      <c r="H111" s="48" t="n">
        <f aca="false">IFERROR(((IF(ISNUMBER(H106),H106,0)+H108)-H110),"N/M")</f>
        <v>-73.175512299047</v>
      </c>
      <c r="I111" s="48" t="n">
        <f aca="false">IFERROR(((IF(ISNUMBER(I106),I106,0)+I108)-I110),"N/M")</f>
        <v>-59.057286507539</v>
      </c>
      <c r="J111" s="48" t="n">
        <f aca="false">IFERROR(((IF(ISNUMBER(J106),J106,0)+J108)-J110),"N/M")</f>
        <v>-54.9531004879147</v>
      </c>
      <c r="K111" s="28" t="n">
        <f aca="false">IFERROR(AVERAGE(D111:J111),"N/M")</f>
        <v>-91.9051736840752</v>
      </c>
      <c r="L111" s="84" t="n">
        <f aca="false">IFERROR(J111-D111,"N/M")</f>
        <v>78.5117428697032</v>
      </c>
      <c r="M111" s="85" t="n">
        <f aca="false">IFERROR(SLOPE(D111:J111,$D$3:$J$3),"N/M")</f>
        <v>14.4825675728451</v>
      </c>
    </row>
    <row r="112" customFormat="false" ht="15" hidden="false" customHeight="false" outlineLevel="0" collapsed="false">
      <c r="A112" s="18" t="s">
        <v>132</v>
      </c>
      <c r="B112" s="19" t="s">
        <v>563</v>
      </c>
      <c r="D112" s="47" t="n">
        <f aca="false">IFERROR(IF(((D31+C31)/2)&lt;=0,"N/M",D9/((D31+C31)/2)),"N/M")</f>
        <v>1.31766659570797</v>
      </c>
      <c r="E112" s="47" t="n">
        <f aca="false">IFERROR(IF(((E31+D31)/2)&lt;=0,"N/M",E9/((E31+D31)/2)),"N/M")</f>
        <v>1.16744668039297</v>
      </c>
      <c r="F112" s="47" t="n">
        <f aca="false">IFERROR(IF(((F31+E31)/2)&lt;=0,"N/M",F9/((F31+E31)/2)),"N/M")</f>
        <v>1.34430704613544</v>
      </c>
      <c r="G112" s="47" t="n">
        <f aca="false">IFERROR(IF(((G31+F31)/2)&lt;=0,"N/M",G9/((G31+F31)/2)),"N/M")</f>
        <v>1.44033005977044</v>
      </c>
      <c r="H112" s="47" t="n">
        <f aca="false">IFERROR(IF(((H31+G31)/2)&lt;=0,"N/M",H9/((H31+G31)/2)),"N/M")</f>
        <v>1.48742162958889</v>
      </c>
      <c r="I112" s="47" t="n">
        <f aca="false">IFERROR(IF(((I31+H31)/2)&lt;=0,"N/M",I9/((I31+H31)/2)),"N/M")</f>
        <v>1.41139644078604</v>
      </c>
      <c r="J112" s="47" t="n">
        <f aca="false">IFERROR(IF(((J31+I31)/2)&lt;=0,"N/M",J9/((J31+I31)/2)),"N/M")</f>
        <v>1.32048430038026</v>
      </c>
      <c r="K112" s="22" t="n">
        <f aca="false">IFERROR(AVERAGE(D112:J112),"N/M")</f>
        <v>1.35557896468029</v>
      </c>
      <c r="L112" s="82" t="n">
        <f aca="false">IFERROR(J112-D112,"N/M")</f>
        <v>0.0028177046722897</v>
      </c>
      <c r="M112" s="83" t="n">
        <f aca="false">IFERROR(SLOPE(D112:J112,$D$3:$J$3),"N/M")</f>
        <v>0.0228381149377305</v>
      </c>
    </row>
    <row r="113" customFormat="false" ht="15" hidden="false" customHeight="false" outlineLevel="0" collapsed="false">
      <c r="A113" s="18" t="s">
        <v>133</v>
      </c>
      <c r="B113" s="19" t="s">
        <v>564</v>
      </c>
      <c r="D113" s="47" t="n">
        <f aca="false">IFERROR(IF(((D35+C35)/2)&lt;=0,"N/M",D9/((D35+C35)/2)),"N/M")</f>
        <v>0.531210369318297</v>
      </c>
      <c r="E113" s="47" t="n">
        <f aca="false">IFERROR(IF(((E35+D35)/2)&lt;=0,"N/M",E9/((E35+D35)/2)),"N/M")</f>
        <v>0.53118097656907</v>
      </c>
      <c r="F113" s="47" t="n">
        <f aca="false">IFERROR(IF(((F35+E35)/2)&lt;=0,"N/M",F9/((F35+E35)/2)),"N/M")</f>
        <v>0.602275790342706</v>
      </c>
      <c r="G113" s="47" t="n">
        <f aca="false">IFERROR(IF(((G35+F35)/2)&lt;=0,"N/M",G9/((G35+F35)/2)),"N/M")</f>
        <v>0.617298615802431</v>
      </c>
      <c r="H113" s="47" t="n">
        <f aca="false">IFERROR(IF(((H35+G35)/2)&lt;=0,"N/M",H9/((H35+G35)/2)),"N/M")</f>
        <v>0.62926522785332</v>
      </c>
      <c r="I113" s="47" t="n">
        <f aca="false">IFERROR(IF(((I35+H35)/2)&lt;=0,"N/M",I9/((I35+H35)/2)),"N/M")</f>
        <v>0.623313281024793</v>
      </c>
      <c r="J113" s="47" t="n">
        <f aca="false">IFERROR(IF(((J35+I35)/2)&lt;=0,"N/M",J9/((J35+I35)/2)),"N/M")</f>
        <v>0.61234665990401</v>
      </c>
      <c r="K113" s="22" t="n">
        <f aca="false">IFERROR(AVERAGE(D113:J113),"N/M")</f>
        <v>0.592412988687804</v>
      </c>
      <c r="L113" s="82" t="n">
        <f aca="false">IFERROR(J113-D113,"N/M")</f>
        <v>0.0811362905857125</v>
      </c>
      <c r="M113" s="83" t="n">
        <f aca="false">IFERROR(SLOPE(D113:J113,$D$3:$J$3),"N/M")</f>
        <v>0.0162379613635428</v>
      </c>
    </row>
    <row r="114" customFormat="false" ht="15" hidden="false" customHeight="false" outlineLevel="0" collapsed="false">
      <c r="A114" s="18" t="s">
        <v>565</v>
      </c>
      <c r="B114" s="19" t="s">
        <v>566</v>
      </c>
      <c r="D114" s="47" t="n">
        <f aca="false">IFERROR(IF(((D62+C62)/2)&lt;=0,"N/M",D9/((D62+C62)/2)),"N/M")</f>
        <v>0.615651998476489</v>
      </c>
      <c r="E114" s="47" t="n">
        <f aca="false">IFERROR(IF(((E62+D62)/2)&lt;=0,"N/M",E9/((E62+D62)/2)),"N/M")</f>
        <v>0.61133752078945</v>
      </c>
      <c r="F114" s="47" t="n">
        <f aca="false">IFERROR(IF(((F62+E62)/2)&lt;=0,"N/M",F9/((F62+E62)/2)),"N/M")</f>
        <v>0.683248352083968</v>
      </c>
      <c r="G114" s="47" t="n">
        <f aca="false">IFERROR(IF(((G62+F62)/2)&lt;=0,"N/M",G9/((G62+F62)/2)),"N/M")</f>
        <v>0.695377412696048</v>
      </c>
      <c r="H114" s="47" t="n">
        <f aca="false">IFERROR(IF(((H62+G62)/2)&lt;=0,"N/M",H9/((H62+G62)/2)),"N/M")</f>
        <v>0.698797330919328</v>
      </c>
      <c r="I114" s="47" t="n">
        <f aca="false">IFERROR(IF(((I62+H62)/2)&lt;=0,"N/M",I9/((I62+H62)/2)),"N/M")</f>
        <v>0.683489951674362</v>
      </c>
      <c r="J114" s="47" t="n">
        <f aca="false">IFERROR(IF(((J62+I62)/2)&lt;=0,"N/M",J9/((J62+I62)/2)),"N/M")</f>
        <v>0.668804678038618</v>
      </c>
      <c r="K114" s="22" t="n">
        <f aca="false">IFERROR(AVERAGE(D114:J114),"N/M")</f>
        <v>0.665243892096895</v>
      </c>
      <c r="L114" s="82" t="n">
        <f aca="false">IFERROR(J114-D114,"N/M")</f>
        <v>0.053152679562129</v>
      </c>
      <c r="M114" s="83" t="n">
        <f aca="false">IFERROR(SLOPE(D114:J114,$D$3:$J$3),"N/M")</f>
        <v>0.0114039956889847</v>
      </c>
    </row>
    <row r="115" customFormat="false" ht="15" hidden="false" customHeight="false" outlineLevel="0" collapsed="false">
      <c r="A115" s="18" t="s">
        <v>567</v>
      </c>
      <c r="B115" s="19" t="s">
        <v>568</v>
      </c>
      <c r="D115" s="47" t="n">
        <f aca="false">IFERROR(IF(((D63+C63)/2)&lt;=0,"N/M",D9/((D63+C63)/2)),"N/M")</f>
        <v>1.2163619057908</v>
      </c>
      <c r="E115" s="47" t="n">
        <f aca="false">IFERROR(IF(((E63+D63)/2)&lt;=0,"N/M",E9/((E63+D63)/2)),"N/M")</f>
        <v>1.45034159440812</v>
      </c>
      <c r="F115" s="47" t="n">
        <f aca="false">IFERROR(IF(((F63+E63)/2)&lt;=0,"N/M",F9/((F63+E63)/2)),"N/M")</f>
        <v>1.54898511885485</v>
      </c>
      <c r="G115" s="47" t="n">
        <f aca="false">IFERROR(IF(((G63+F63)/2)&lt;=0,"N/M",G9/((G63+F63)/2)),"N/M")</f>
        <v>1.47039807621694</v>
      </c>
      <c r="H115" s="47" t="n">
        <f aca="false">IFERROR(IF(((H63+G63)/2)&lt;=0,"N/M",H9/((H63+G63)/2)),"N/M")</f>
        <v>1.4644383257489</v>
      </c>
      <c r="I115" s="47" t="n">
        <f aca="false">IFERROR(IF(((I63+H63)/2)&lt;=0,"N/M",I9/((I63+H63)/2)),"N/M")</f>
        <v>1.48768606496455</v>
      </c>
      <c r="J115" s="47" t="n">
        <f aca="false">IFERROR(IF(((J63+I63)/2)&lt;=0,"N/M",J9/((J63+I63)/2)),"N/M")</f>
        <v>1.51920303071883</v>
      </c>
      <c r="K115" s="22" t="n">
        <f aca="false">IFERROR(AVERAGE(D115:J115),"N/M")</f>
        <v>1.451059159529</v>
      </c>
      <c r="L115" s="82" t="n">
        <f aca="false">IFERROR(J115-D115,"N/M")</f>
        <v>0.302841124928027</v>
      </c>
      <c r="M115" s="83" t="n">
        <f aca="false">IFERROR(SLOPE(D115:J115,$D$3:$J$3),"N/M")</f>
        <v>0.032095197242535</v>
      </c>
    </row>
    <row r="116" customFormat="false" ht="15" hidden="false" customHeight="false" outlineLevel="0" collapsed="false">
      <c r="A116" s="18" t="s">
        <v>569</v>
      </c>
      <c r="B116" s="19" t="s">
        <v>570</v>
      </c>
      <c r="D116" s="47" t="n">
        <f aca="false">IFERROR(IF(D65&lt;=0,"N/M",D9/D65),"N/M")</f>
        <v>2.48649049994289</v>
      </c>
      <c r="E116" s="47" t="n">
        <f aca="false">IFERROR(IF(E65&lt;=0,"N/M",E9/E65),"N/M")</f>
        <v>2.09786429823445</v>
      </c>
      <c r="F116" s="47" t="n">
        <f aca="false">IFERROR(IF(F65&lt;=0,"N/M",F9/F65),"N/M")</f>
        <v>2.01089172911784</v>
      </c>
      <c r="G116" s="47" t="n">
        <f aca="false">IFERROR(IF(G65&lt;=0,"N/M",G9/G65),"N/M")</f>
        <v>1.88490025334681</v>
      </c>
      <c r="H116" s="47" t="n">
        <f aca="false">IFERROR(IF(H65&lt;=0,"N/M",H9/H65),"N/M")</f>
        <v>1.8227528941914</v>
      </c>
      <c r="I116" s="47" t="n">
        <f aca="false">IFERROR(IF(I65&lt;=0,"N/M",I9/I65),"N/M")</f>
        <v>1.89512539957052</v>
      </c>
      <c r="J116" s="47" t="n">
        <f aca="false">IFERROR(IF(J65&lt;=0,"N/M",J9/J65),"N/M")</f>
        <v>1.90747887983831</v>
      </c>
      <c r="K116" s="22" t="n">
        <f aca="false">IFERROR(AVERAGE(D116:J116),"N/M")</f>
        <v>2.01507199346317</v>
      </c>
      <c r="L116" s="82" t="n">
        <f aca="false">IFERROR(J116-D116,"N/M")</f>
        <v>-0.579011620104578</v>
      </c>
      <c r="M116" s="83" t="n">
        <f aca="false">IFERROR(SLOPE(D116:J116,$D$3:$J$3),"N/M")</f>
        <v>-0.0832375533060009</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0.34030599041081</v>
      </c>
      <c r="E119" s="46" t="n">
        <f aca="false">IFERROR(IF(E9&lt;=0,"N/M",E55/E9),"N/M")</f>
        <v>0.360505859581645</v>
      </c>
      <c r="F119" s="46" t="n">
        <f aca="false">IFERROR(IF(F9&lt;=0,"N/M",F55/F9),"N/M")</f>
        <v>0.362845677294247</v>
      </c>
      <c r="G119" s="46" t="n">
        <f aca="false">IFERROR(IF(G9&lt;=0,"N/M",G55/G9),"N/M")</f>
        <v>0.349523571694381</v>
      </c>
      <c r="H119" s="46" t="n">
        <f aca="false">IFERROR(IF(H9&lt;=0,"N/M",H55/H9),"N/M")</f>
        <v>0.34093264967221</v>
      </c>
      <c r="I119" s="46" t="n">
        <f aca="false">IFERROR(IF(I9&lt;=0,"N/M",I55/I9),"N/M")</f>
        <v>0.332255356688744</v>
      </c>
      <c r="J119" s="46" t="n">
        <f aca="false">IFERROR(IF(J9&lt;=0,"N/M",J55/J9),"N/M")</f>
        <v>0.336564610302711</v>
      </c>
      <c r="K119" s="25" t="n">
        <f aca="false">IFERROR(AVERAGE(D119:J119),"N/M")</f>
        <v>0.34613338794925</v>
      </c>
      <c r="L119" s="86" t="n">
        <f aca="false">IFERROR(J119-D119,"N/M")</f>
        <v>-0.00374138010809949</v>
      </c>
      <c r="M119" s="87" t="n">
        <f aca="false">IFERROR(SLOPE(D119:J119,$D$3:$J$3),"N/M")</f>
        <v>-0.00320136334757634</v>
      </c>
    </row>
    <row r="120" customFormat="false" ht="15" hidden="false" customHeight="false" outlineLevel="0" collapsed="false">
      <c r="A120" s="18" t="s">
        <v>573</v>
      </c>
      <c r="B120" s="19" t="s">
        <v>574</v>
      </c>
      <c r="D120" s="46" t="n">
        <f aca="false">IFERROR(IF(D57&lt;=0,"N/M",D59/D57),"N/M")</f>
        <v>0.190034987581</v>
      </c>
      <c r="E120" s="46" t="n">
        <f aca="false">IFERROR(IF(E57&lt;=0,"N/M",E59/E57),"N/M")</f>
        <v>0.191043523764842</v>
      </c>
      <c r="F120" s="46" t="n">
        <f aca="false">IFERROR(IF(F57&lt;=0,"N/M",F59/F57),"N/M")</f>
        <v>0.254793960360924</v>
      </c>
      <c r="G120" s="46" t="n">
        <f aca="false">IFERROR(IF(G57&lt;=0,"N/M",G59/G57),"N/M")</f>
        <v>0.258860059749241</v>
      </c>
      <c r="H120" s="46" t="n">
        <f aca="false">IFERROR(IF(H57&lt;=0,"N/M",H59/H57),"N/M")</f>
        <v>0.260545793335476</v>
      </c>
      <c r="I120" s="46" t="n">
        <f aca="false">IFERROR(IF(I57&lt;=0,"N/M",I59/I57),"N/M")</f>
        <v>0.254648929115147</v>
      </c>
      <c r="J120" s="46" t="n">
        <f aca="false">IFERROR(IF(J57&lt;=0,"N/M",J59/J57),"N/M")</f>
        <v>0.247541298582842</v>
      </c>
      <c r="K120" s="25" t="n">
        <f aca="false">IFERROR(AVERAGE(D120:J120),"N/M")</f>
        <v>0.23678122178421</v>
      </c>
      <c r="L120" s="86" t="n">
        <f aca="false">IFERROR(J120-D120,"N/M")</f>
        <v>0.0575063110018423</v>
      </c>
      <c r="M120" s="87" t="n">
        <f aca="false">IFERROR(SLOPE(D120:J120,$D$3:$J$3),"N/M")</f>
        <v>0.0109100563100246</v>
      </c>
    </row>
    <row r="121" customFormat="false" ht="15" hidden="false" customHeight="false" outlineLevel="0" collapsed="false">
      <c r="A121" s="18" t="s">
        <v>136</v>
      </c>
      <c r="B121" s="19" t="s">
        <v>575</v>
      </c>
      <c r="D121" s="46" t="n">
        <f aca="false">IFERROR(IF(D9&lt;=0,"N/M",D56/D9),"N/M")</f>
        <v>0.259441033831679</v>
      </c>
      <c r="E121" s="46" t="n">
        <f aca="false">IFERROR(IF(E9&lt;=0,"N/M",E56/E9),"N/M")</f>
        <v>0.162965141246102</v>
      </c>
      <c r="F121" s="46" t="n">
        <f aca="false">IFERROR(IF(F9&lt;=0,"N/M",F56/F9),"N/M")</f>
        <v>0.228476635135435</v>
      </c>
      <c r="G121" s="46" t="n">
        <f aca="false">IFERROR(IF(G9&lt;=0,"N/M",G56/G9),"N/M")</f>
        <v>0.228641518303073</v>
      </c>
      <c r="H121" s="46" t="n">
        <f aca="false">IFERROR(IF(H9&lt;=0,"N/M",H56/H9),"N/M")</f>
        <v>0.226347763482835</v>
      </c>
      <c r="I121" s="46" t="n">
        <f aca="false">IFERROR(IF(I9&lt;=0,"N/M",I56/I9),"N/M")</f>
        <v>0.217171785367874</v>
      </c>
      <c r="J121" s="46" t="n">
        <f aca="false">IFERROR(IF(J9&lt;=0,"N/M",J56/J9),"N/M")</f>
        <v>0.214927464238785</v>
      </c>
      <c r="K121" s="25" t="n">
        <f aca="false">IFERROR(AVERAGE(D121:J121),"N/M")</f>
        <v>0.219710191657969</v>
      </c>
      <c r="L121" s="86" t="n">
        <f aca="false">IFERROR(J121-D121,"N/M")</f>
        <v>-0.0445135695928946</v>
      </c>
      <c r="M121" s="87" t="n">
        <f aca="false">IFERROR(SLOPE(D121:J121,$D$3:$J$3),"N/M")</f>
        <v>-0.000973439006705054</v>
      </c>
    </row>
    <row r="122" customFormat="false" ht="15" hidden="false" customHeight="false" outlineLevel="0" collapsed="false">
      <c r="A122" s="18" t="s">
        <v>576</v>
      </c>
      <c r="B122" s="19" t="s">
        <v>577</v>
      </c>
      <c r="D122" s="46" t="n">
        <f aca="false">IFERROR(IF(D9&lt;=0,"N/M",D58/D9),"N/M")</f>
        <v>0.0903837054210622</v>
      </c>
      <c r="E122" s="46" t="n">
        <f aca="false">IFERROR(IF(E9&lt;=0,"N/M",E58/E9),"N/M")</f>
        <v>0.111573218319984</v>
      </c>
      <c r="F122" s="46" t="n">
        <f aca="false">IFERROR(IF(F9&lt;=0,"N/M",F58/F9),"N/M")</f>
        <v>0.190430081813941</v>
      </c>
      <c r="G122" s="46" t="n">
        <f aca="false">IFERROR(IF(G9&lt;=0,"N/M",G58/G9),"N/M")</f>
        <v>0.199271157725679</v>
      </c>
      <c r="H122" s="46" t="n">
        <f aca="false">IFERROR(IF(H9&lt;=0,"N/M",H58/H9),"N/M")</f>
        <v>0.201108002509993</v>
      </c>
      <c r="I122" s="46" t="n">
        <f aca="false">IFERROR(IF(I9&lt;=0,"N/M",I58/I9),"N/M")</f>
        <v>0.202049730955933</v>
      </c>
      <c r="J122" s="46" t="n">
        <f aca="false">IFERROR(IF(J9&lt;=0,"N/M",J58/J9),"N/M")</f>
        <v>0.190473148385775</v>
      </c>
      <c r="K122" s="25" t="n">
        <f aca="false">IFERROR(AVERAGE(D122:J122),"N/M")</f>
        <v>0.169327006447481</v>
      </c>
      <c r="L122" s="86" t="n">
        <f aca="false">IFERROR(J122-D122,"N/M")</f>
        <v>0.100089442964713</v>
      </c>
      <c r="M122" s="87" t="n">
        <f aca="false">IFERROR(SLOPE(D122:J122,$D$3:$J$3),"N/M")</f>
        <v>0.0175678312450747</v>
      </c>
    </row>
    <row r="123" customFormat="false" ht="15" hidden="false" customHeight="false" outlineLevel="0" collapsed="false">
      <c r="A123" s="18" t="s">
        <v>578</v>
      </c>
      <c r="B123" s="19" t="s">
        <v>579</v>
      </c>
      <c r="D123" s="46" t="n">
        <f aca="false">IFERROR(IF(D9&lt;=0,"N/M",D20/D9),"N/M")</f>
        <v>0.0832722077341366</v>
      </c>
      <c r="E123" s="46" t="n">
        <f aca="false">IFERROR(IF(E9&lt;=0,"N/M",E20/E9),"N/M")</f>
        <v>0.10481898467111</v>
      </c>
      <c r="F123" s="46" t="n">
        <f aca="false">IFERROR(IF(F9&lt;=0,"N/M",F20/F9),"N/M")</f>
        <v>0.182218633089107</v>
      </c>
      <c r="G123" s="46" t="n">
        <f aca="false">IFERROR(IF(G9&lt;=0,"N/M",G20/G9),"N/M")</f>
        <v>0.191353536243806</v>
      </c>
      <c r="H123" s="46" t="n">
        <f aca="false">IFERROR(IF(H9&lt;=0,"N/M",H20/H9),"N/M")</f>
        <v>0.192818784733417</v>
      </c>
      <c r="I123" s="46" t="n">
        <f aca="false">IFERROR(IF(I9&lt;=0,"N/M",I20/I9),"N/M")</f>
        <v>0.193772490666163</v>
      </c>
      <c r="J123" s="46" t="n">
        <f aca="false">IFERROR(IF(J9&lt;=0,"N/M",J20/J9),"N/M")</f>
        <v>0.181823488787825</v>
      </c>
      <c r="K123" s="25" t="n">
        <f aca="false">IFERROR(AVERAGE(D123:J123),"N/M")</f>
        <v>0.161439732275081</v>
      </c>
      <c r="L123" s="86" t="n">
        <f aca="false">IFERROR(J123-D123,"N/M")</f>
        <v>0.0985512810536885</v>
      </c>
      <c r="M123" s="87" t="n">
        <f aca="false">IFERROR(SLOPE(D123:J123,$D$3:$J$3),"N/M")</f>
        <v>0.01729146452841</v>
      </c>
    </row>
    <row r="124" customFormat="false" ht="15" hidden="false" customHeight="false" outlineLevel="0" collapsed="false">
      <c r="A124" s="18" t="s">
        <v>137</v>
      </c>
      <c r="B124" s="19" t="s">
        <v>580</v>
      </c>
      <c r="D124" s="46" t="n">
        <f aca="false">IFERROR(IF(D9&lt;=0,"N/M",D22/D9),"N/M")</f>
        <v>0.0617922382994884</v>
      </c>
      <c r="E124" s="46" t="n">
        <f aca="false">IFERROR(IF(E9&lt;=0,"N/M",E22/E9),"N/M")</f>
        <v>0.0786142385033328</v>
      </c>
      <c r="F124" s="46" t="n">
        <f aca="false">IFERROR(IF(F9&lt;=0,"N/M",F22/F9),"N/M")</f>
        <v>0.137874980562492</v>
      </c>
      <c r="G124" s="46" t="n">
        <f aca="false">IFERROR(IF(G9&lt;=0,"N/M",G22/G9),"N/M")</f>
        <v>0.143696016217169</v>
      </c>
      <c r="H124" s="46" t="n">
        <f aca="false">IFERROR(IF(H9&lt;=0,"N/M",H22/H9),"N/M")</f>
        <v>0.145675519823977</v>
      </c>
      <c r="I124" s="46" t="n">
        <f aca="false">IFERROR(IF(I9&lt;=0,"N/M",I22/I9),"N/M")</f>
        <v>0.14515664418444</v>
      </c>
      <c r="J124" s="46" t="n">
        <f aca="false">IFERROR(IF(J9&lt;=0,"N/M",J22/J9),"N/M")</f>
        <v>0.13677763006156</v>
      </c>
      <c r="K124" s="25" t="n">
        <f aca="false">IFERROR(AVERAGE(D124:J124),"N/M")</f>
        <v>0.121369609664637</v>
      </c>
      <c r="L124" s="86" t="n">
        <f aca="false">IFERROR(J124-D124,"N/M")</f>
        <v>0.0749853917620715</v>
      </c>
      <c r="M124" s="87" t="n">
        <f aca="false">IFERROR(SLOPE(D124:J124,$D$3:$J$3),"N/M")</f>
        <v>0.0130657687824969</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0.65969400958919</v>
      </c>
      <c r="E127" s="46" t="n">
        <f aca="false">IFERROR(IF(E9&lt;=0,"N/M",E52/E9),"N/M")</f>
        <v>0.639494140418355</v>
      </c>
      <c r="F127" s="46" t="n">
        <f aca="false">IFERROR(IF(F9&lt;=0,"N/M",F52/F9),"N/M")</f>
        <v>0.637154322705754</v>
      </c>
      <c r="G127" s="46" t="n">
        <f aca="false">IFERROR(IF(G9&lt;=0,"N/M",G52/G9),"N/M")</f>
        <v>0.650476428305619</v>
      </c>
      <c r="H127" s="46" t="n">
        <f aca="false">IFERROR(IF(H9&lt;=0,"N/M",H52/H9),"N/M")</f>
        <v>0.65906735032779</v>
      </c>
      <c r="I127" s="46" t="n">
        <f aca="false">IFERROR(IF(I9&lt;=0,"N/M",I52/I9),"N/M")</f>
        <v>0.667744643311256</v>
      </c>
      <c r="J127" s="46" t="n">
        <f aca="false">IFERROR(IF(J9&lt;=0,"N/M",J52/J9),"N/M")</f>
        <v>0.663435389697289</v>
      </c>
      <c r="K127" s="25" t="n">
        <f aca="false">IFERROR(AVERAGE(D127:J127),"N/M")</f>
        <v>0.65386661205075</v>
      </c>
      <c r="L127" s="86" t="n">
        <f aca="false">IFERROR(J127-D127,"N/M")</f>
        <v>0.00374138010809955</v>
      </c>
      <c r="M127" s="87" t="n">
        <f aca="false">IFERROR(SLOPE(D127:J127,$D$3:$J$3),"N/M")</f>
        <v>0.00320136334757635</v>
      </c>
    </row>
    <row r="128" customFormat="false" ht="15" hidden="false" customHeight="false" outlineLevel="0" collapsed="false">
      <c r="A128" s="18" t="s">
        <v>584</v>
      </c>
      <c r="B128" s="19" t="s">
        <v>585</v>
      </c>
      <c r="D128" s="46" t="n">
        <f aca="false">IFERROR(IF(D9&lt;=0,"N/M",D53/D9),"N/M")</f>
        <v>0.0808649565791307</v>
      </c>
      <c r="E128" s="46" t="n">
        <f aca="false">IFERROR(IF(E9&lt;=0,"N/M",E53/E9),"N/M")</f>
        <v>0.197540718335543</v>
      </c>
      <c r="F128" s="46" t="n">
        <f aca="false">IFERROR(IF(F9&lt;=0,"N/M",F53/F9),"N/M")</f>
        <v>0.134369042158811</v>
      </c>
      <c r="G128" s="46" t="n">
        <f aca="false">IFERROR(IF(G9&lt;=0,"N/M",G53/G9),"N/M")</f>
        <v>0.120882053391308</v>
      </c>
      <c r="H128" s="46" t="n">
        <f aca="false">IFERROR(IF(H9&lt;=0,"N/M",H53/H9),"N/M")</f>
        <v>0.114584886189375</v>
      </c>
      <c r="I128" s="46" t="n">
        <f aca="false">IFERROR(IF(I9&lt;=0,"N/M",I53/I9),"N/M")</f>
        <v>0.11508357132087</v>
      </c>
      <c r="J128" s="46" t="n">
        <f aca="false">IFERROR(IF(J9&lt;=0,"N/M",J53/J9),"N/M")</f>
        <v>0.121637146063926</v>
      </c>
      <c r="K128" s="25" t="n">
        <f aca="false">IFERROR(AVERAGE(D128:J128),"N/M")</f>
        <v>0.126423196291281</v>
      </c>
      <c r="L128" s="86" t="n">
        <f aca="false">IFERROR(J128-D128,"N/M")</f>
        <v>0.0407721894847951</v>
      </c>
      <c r="M128" s="87" t="n">
        <f aca="false">IFERROR(SLOPE(D128:J128,$D$3:$J$3),"N/M")</f>
        <v>-0.00222792434087129</v>
      </c>
    </row>
    <row r="129" customFormat="false" ht="15" hidden="false" customHeight="false" outlineLevel="0" collapsed="false">
      <c r="A129" s="18" t="s">
        <v>586</v>
      </c>
      <c r="B129" s="19" t="s">
        <v>587</v>
      </c>
      <c r="D129" s="46" t="n">
        <f aca="false">IFERROR(IF(D9&lt;=0,"N/M",D14/D9),"N/M")</f>
        <v>0.0485937028637407</v>
      </c>
      <c r="E129" s="46" t="n">
        <f aca="false">IFERROR(IF(E9&lt;=0,"N/M",E14/E9),"N/M")</f>
        <v>0.0667270362279605</v>
      </c>
      <c r="F129" s="46" t="n">
        <f aca="false">IFERROR(IF(F9&lt;=0,"N/M",F14/F9),"N/M")</f>
        <v>0.054794824853353</v>
      </c>
      <c r="G129" s="46" t="n">
        <f aca="false">IFERROR(IF(G9&lt;=0,"N/M",G14/G9),"N/M")</f>
        <v>0.0527731261139511</v>
      </c>
      <c r="H129" s="46" t="n">
        <f aca="false">IFERROR(IF(H9&lt;=0,"N/M",H14/H9),"N/M")</f>
        <v>0.0535615439462593</v>
      </c>
      <c r="I129" s="46" t="n">
        <f aca="false">IFERROR(IF(I9&lt;=0,"N/M",I14/I9),"N/M")</f>
        <v>0.055073579220031</v>
      </c>
      <c r="J129" s="46" t="n">
        <f aca="false">IFERROR(IF(J9&lt;=0,"N/M",J14/J9),"N/M")</f>
        <v>0.0572664079735917</v>
      </c>
      <c r="K129" s="25" t="n">
        <f aca="false">IFERROR(AVERAGE(D129:J129),"N/M")</f>
        <v>0.0555414601712696</v>
      </c>
      <c r="L129" s="86" t="n">
        <f aca="false">IFERROR(J129-D129,"N/M")</f>
        <v>0.00867270510985102</v>
      </c>
      <c r="M129" s="87" t="n">
        <f aca="false">IFERROR(SLOPE(D129:J129,$D$3:$J$3),"N/M")</f>
        <v>5.27828716643052E-005</v>
      </c>
    </row>
    <row r="130" customFormat="false" ht="15" hidden="false" customHeight="false" outlineLevel="0" collapsed="false">
      <c r="A130" s="18" t="s">
        <v>588</v>
      </c>
      <c r="B130" s="19" t="s">
        <v>589</v>
      </c>
      <c r="D130" s="46" t="n">
        <f aca="false">IFERROR(IF(D9&lt;=0,"N/M",D15/D9),"N/M")</f>
        <v>0.0416108369179222</v>
      </c>
      <c r="E130" s="46" t="n">
        <f aca="false">IFERROR(IF(E9&lt;=0,"N/M",E15/E9),"N/M")</f>
        <v>0.137325192778058</v>
      </c>
      <c r="F130" s="46" t="n">
        <f aca="false">IFERROR(IF(F9&lt;=0,"N/M",F15/F9),"N/M")</f>
        <v>0.0908133437348502</v>
      </c>
      <c r="G130" s="46" t="n">
        <f aca="false">IFERROR(IF(G9&lt;=0,"N/M",G15/G9),"N/M")</f>
        <v>0.080209373837084</v>
      </c>
      <c r="H130" s="46" t="n">
        <f aca="false">IFERROR(IF(H9&lt;=0,"N/M",H15/H9),"N/M")</f>
        <v>0.0747497229415918</v>
      </c>
      <c r="I130" s="46" t="n">
        <f aca="false">IFERROR(IF(I9&lt;=0,"N/M",I15/I9),"N/M")</f>
        <v>0.0718159743085984</v>
      </c>
      <c r="J130" s="46" t="n">
        <f aca="false">IFERROR(IF(J9&lt;=0,"N/M",J15/J9),"N/M")</f>
        <v>0.0797315113939136</v>
      </c>
      <c r="K130" s="25" t="n">
        <f aca="false">IFERROR(AVERAGE(D130:J130),"N/M")</f>
        <v>0.0823222794160026</v>
      </c>
      <c r="L130" s="86" t="n">
        <f aca="false">IFERROR(J130-D130,"N/M")</f>
        <v>0.0381206744759914</v>
      </c>
      <c r="M130" s="87" t="n">
        <f aca="false">IFERROR(SLOPE(D130:J130,$D$3:$J$3),"N/M")</f>
        <v>-0.00116857265372154</v>
      </c>
    </row>
    <row r="131" customFormat="false" ht="15" hidden="false" customHeight="false" outlineLevel="0" collapsed="false">
      <c r="A131" s="18" t="s">
        <v>590</v>
      </c>
      <c r="B131" s="19" t="s">
        <v>591</v>
      </c>
      <c r="D131" s="46" t="n">
        <f aca="false">IFERROR(IF(D9&lt;=0,"N/M",D19/D9),"N/M")</f>
        <v>0.00711149768692566</v>
      </c>
      <c r="E131" s="46" t="n">
        <f aca="false">IFERROR(IF(E9&lt;=0,"N/M",E19/E9),"N/M")</f>
        <v>0.0067542336488732</v>
      </c>
      <c r="F131" s="46" t="n">
        <f aca="false">IFERROR(IF(F9&lt;=0,"N/M",F19/F9),"N/M")</f>
        <v>0.00821144872483415</v>
      </c>
      <c r="G131" s="46" t="n">
        <f aca="false">IFERROR(IF(G9&lt;=0,"N/M",G19/G9),"N/M")</f>
        <v>0.0079176214818732</v>
      </c>
      <c r="H131" s="46" t="n">
        <f aca="false">IFERROR(IF(H9&lt;=0,"N/M",H19/H9),"N/M")</f>
        <v>0.00828921777657594</v>
      </c>
      <c r="I131" s="46" t="n">
        <f aca="false">IFERROR(IF(I9&lt;=0,"N/M",I19/I9),"N/M")</f>
        <v>0.00827724028977092</v>
      </c>
      <c r="J131" s="46" t="n">
        <f aca="false">IFERROR(IF(J9&lt;=0,"N/M",J19/J9),"N/M")</f>
        <v>0.00864965959794999</v>
      </c>
      <c r="K131" s="25" t="n">
        <f aca="false">IFERROR(AVERAGE(D131:J131),"N/M")</f>
        <v>0.00788727417240044</v>
      </c>
      <c r="L131" s="86" t="n">
        <f aca="false">IFERROR(J131-D131,"N/M")</f>
        <v>0.00153816191102433</v>
      </c>
      <c r="M131" s="87" t="n">
        <f aca="false">IFERROR(SLOPE(D131:J131,$D$3:$J$3),"N/M")</f>
        <v>0.000276366716664651</v>
      </c>
    </row>
    <row r="132" customFormat="false" ht="15" hidden="false" customHeight="false" outlineLevel="0" collapsed="false">
      <c r="A132" s="18" t="s">
        <v>138</v>
      </c>
      <c r="B132" s="19" t="s">
        <v>592</v>
      </c>
      <c r="D132" s="46" t="n">
        <f aca="false">IFERROR(IF(D9&lt;=0,"N/M",D54/D9),"N/M")</f>
        <v>0.740558966168321</v>
      </c>
      <c r="E132" s="46" t="n">
        <f aca="false">IFERROR(IF(E9&lt;=0,"N/M",E54/E9),"N/M")</f>
        <v>0.837034858753898</v>
      </c>
      <c r="F132" s="46" t="n">
        <f aca="false">IFERROR(IF(F9&lt;=0,"N/M",F54/F9),"N/M")</f>
        <v>0.771523364864565</v>
      </c>
      <c r="G132" s="46" t="n">
        <f aca="false">IFERROR(IF(G9&lt;=0,"N/M",G54/G9),"N/M")</f>
        <v>0.771358481696927</v>
      </c>
      <c r="H132" s="46" t="n">
        <f aca="false">IFERROR(IF(H9&lt;=0,"N/M",H54/H9),"N/M")</f>
        <v>0.773652236517165</v>
      </c>
      <c r="I132" s="46" t="n">
        <f aca="false">IFERROR(IF(I9&lt;=0,"N/M",I54/I9),"N/M")</f>
        <v>0.782828214632126</v>
      </c>
      <c r="J132" s="46" t="n">
        <f aca="false">IFERROR(IF(J9&lt;=0,"N/M",J54/J9),"N/M")</f>
        <v>0.785072535761215</v>
      </c>
      <c r="K132" s="25" t="n">
        <f aca="false">IFERROR(AVERAGE(D132:J132),"N/M")</f>
        <v>0.780289808342031</v>
      </c>
      <c r="L132" s="86" t="n">
        <f aca="false">IFERROR(J132-D132,"N/M")</f>
        <v>0.0445135695928947</v>
      </c>
      <c r="M132" s="87" t="n">
        <f aca="false">IFERROR(SLOPE(D132:J132,$D$3:$J$3),"N/M")</f>
        <v>0.000973439006705054</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0.0328246777280755</v>
      </c>
      <c r="E135" s="46" t="n">
        <f aca="false">IFERROR(IF(((E35+D35)/2)&lt;=0,"N/M",E22/((E35+D35)/2)),"N/M")</f>
        <v>0.0417583879804341</v>
      </c>
      <c r="F135" s="46" t="n">
        <f aca="false">IFERROR(IF(((F35+E35)/2)&lt;=0,"N/M",F22/((F35+E35)/2)),"N/M")</f>
        <v>0.0830387628867602</v>
      </c>
      <c r="G135" s="46" t="n">
        <f aca="false">IFERROR(IF(((G35+F35)/2)&lt;=0,"N/M",G22/((G35+F35)/2)),"N/M")</f>
        <v>0.0887033519071821</v>
      </c>
      <c r="H135" s="46" t="n">
        <f aca="false">IFERROR(IF(((H35+G35)/2)&lt;=0,"N/M",H22/((H35+G35)/2)),"N/M")</f>
        <v>0.0916685391746857</v>
      </c>
      <c r="I135" s="46" t="n">
        <f aca="false">IFERROR(IF(((I35+H35)/2)&lt;=0,"N/M",I22/((I35+H35)/2)),"N/M")</f>
        <v>0.0904780641491516</v>
      </c>
      <c r="J135" s="46" t="n">
        <f aca="false">IFERROR(IF(((J35+I35)/2)&lt;=0,"N/M",J22/((J35+I35)/2)),"N/M")</f>
        <v>0.0837553249177825</v>
      </c>
      <c r="K135" s="25" t="n">
        <f aca="false">IFERROR(AVERAGE(D135:J135),"N/M")</f>
        <v>0.0731753012491531</v>
      </c>
      <c r="L135" s="86" t="n">
        <f aca="false">IFERROR(J135-D135,"N/M")</f>
        <v>0.050930647189707</v>
      </c>
      <c r="M135" s="87" t="n">
        <f aca="false">IFERROR(SLOPE(D135:J135,$D$3:$J$3),"N/M")</f>
        <v>0.00924503822123149</v>
      </c>
    </row>
    <row r="136" customFormat="false" ht="15" hidden="false" customHeight="false" outlineLevel="0" collapsed="false">
      <c r="A136" s="18" t="s">
        <v>595</v>
      </c>
      <c r="B136" s="19" t="s">
        <v>596</v>
      </c>
      <c r="D136" s="46" t="n">
        <f aca="false">IFERROR(IF(((D35+C35)/2)&lt;=0,"N/M",(D22+(D19*(1-D60)))/((D35+C35)/2)),"N/M")</f>
        <v>0.0356430697958837</v>
      </c>
      <c r="E136" s="46" t="n">
        <f aca="false">IFERROR(IF(((E35+D35)/2)&lt;=0,"N/M",(E22+(E19*(1-E60)))/((E35+D35)/2)),"N/M")</f>
        <v>0.0444248937652132</v>
      </c>
      <c r="F136" s="46" t="n">
        <f aca="false">IFERROR(IF(((F35+E35)/2)&lt;=0,"N/M",(F22+(F19*(1-F60)))/((F35+E35)/2)),"N/M")</f>
        <v>0.0867706904456233</v>
      </c>
      <c r="G136" s="46" t="n">
        <f aca="false">IFERROR(IF(((G35+F35)/2)&lt;=0,"N/M",(G22+(G19*(1-G60)))/((G35+F35)/2)),"N/M")</f>
        <v>0.0923723734507207</v>
      </c>
      <c r="H136" s="46" t="n">
        <f aca="false">IFERROR(IF(((H35+G35)/2)&lt;=0,"N/M",(H22+(H19*(1-H60)))/((H35+G35)/2)),"N/M")</f>
        <v>0.0956140295373798</v>
      </c>
      <c r="I136" s="46" t="n">
        <f aca="false">IFERROR(IF(((I35+H35)/2)&lt;=0,"N/M",(I22+(I19*(1-I60)))/((I35+H35)/2)),"N/M")</f>
        <v>0.0943522083011918</v>
      </c>
      <c r="J136" s="46" t="n">
        <f aca="false">IFERROR(IF(((J35+I35)/2)&lt;=0,"N/M",(J22+(J19*(1-J60)))/((J35+I35)/2)),"N/M")</f>
        <v>0.0877523531113164</v>
      </c>
      <c r="K136" s="25" t="n">
        <f aca="false">IFERROR(AVERAGE(D136:J136),"N/M")</f>
        <v>0.076704231201047</v>
      </c>
      <c r="L136" s="86" t="n">
        <f aca="false">IFERROR(J136-D136,"N/M")</f>
        <v>0.0521092833154327</v>
      </c>
      <c r="M136" s="87" t="n">
        <f aca="false">IFERROR(SLOPE(D136:J136,$D$3:$J$3),"N/M")</f>
        <v>0.00946520778964328</v>
      </c>
    </row>
    <row r="137" customFormat="false" ht="15" hidden="false" customHeight="false" outlineLevel="0" collapsed="false">
      <c r="A137" s="18" t="s">
        <v>597</v>
      </c>
      <c r="B137" s="19" t="s">
        <v>598</v>
      </c>
      <c r="D137" s="46" t="n">
        <f aca="false">IFERROR(IF(((D35+C35)/2)&lt;=0,"N/M",D58/((D35+C35)/2)),"N/M")</f>
        <v>0.0480127615370787</v>
      </c>
      <c r="E137" s="46" t="n">
        <f aca="false">IFERROR(IF(((E35+D35)/2)&lt;=0,"N/M",E58/((E35+D35)/2)),"N/M")</f>
        <v>0.0592655710661629</v>
      </c>
      <c r="F137" s="46" t="n">
        <f aca="false">IFERROR(IF(((F35+E35)/2)&lt;=0,"N/M",F58/((F35+E35)/2)),"N/M")</f>
        <v>0.114691428029518</v>
      </c>
      <c r="G137" s="46" t="n">
        <f aca="false">IFERROR(IF(((G35+F35)/2)&lt;=0,"N/M",G58/((G35+F35)/2)),"N/M")</f>
        <v>0.12300980983341</v>
      </c>
      <c r="H137" s="46" t="n">
        <f aca="false">IFERROR(IF(((H35+G35)/2)&lt;=0,"N/M",H58/((H35+G35)/2)),"N/M")</f>
        <v>0.126550273022577</v>
      </c>
      <c r="I137" s="46" t="n">
        <f aca="false">IFERROR(IF(((I35+H35)/2)&lt;=0,"N/M",I58/((I35+H35)/2)),"N/M")</f>
        <v>0.12594028073232</v>
      </c>
      <c r="J137" s="46" t="n">
        <f aca="false">IFERROR(IF(((J35+I35)/2)&lt;=0,"N/M",J58/((J35+I35)/2)),"N/M")</f>
        <v>0.11663559621543</v>
      </c>
      <c r="K137" s="25" t="n">
        <f aca="false">IFERROR(AVERAGE(D137:J137),"N/M")</f>
        <v>0.102015102919499</v>
      </c>
      <c r="L137" s="86" t="n">
        <f aca="false">IFERROR(J137-D137,"N/M")</f>
        <v>0.0686228346783515</v>
      </c>
      <c r="M137" s="87" t="n">
        <f aca="false">IFERROR(SLOPE(D137:J137,$D$3:$J$3),"N/M")</f>
        <v>0.0125384560128724</v>
      </c>
    </row>
    <row r="138" customFormat="false" ht="15" hidden="false" customHeight="false" outlineLevel="0" collapsed="false">
      <c r="A138" s="18" t="s">
        <v>141</v>
      </c>
      <c r="B138" s="19" t="s">
        <v>599</v>
      </c>
      <c r="D138" s="46" t="n">
        <f aca="false">IFERROR(IF(((D62+C62)/2)&lt;=0,"N/M",(D58*(1-D60))/((D62+C62)/2)),"N/M")</f>
        <v>0.0415144440490748</v>
      </c>
      <c r="E138" s="46" t="n">
        <f aca="false">IFERROR(IF(((E62+D62)/2)&lt;=0,"N/M",(E58*(1-E60))/((E62+D62)/2)),"N/M")</f>
        <v>0.0506949791642788</v>
      </c>
      <c r="F138" s="46" t="n">
        <f aca="false">IFERROR(IF(((F62+E62)/2)&lt;=0,"N/M",(F58*(1-F60))/((F62+E62)/2)),"N/M")</f>
        <v>0.0981820646021652</v>
      </c>
      <c r="G138" s="46" t="n">
        <f aca="false">IFERROR(IF(((G62+F62)/2)&lt;=0,"N/M",(G58*(1-G60))/((G62+F62)/2)),"N/M")</f>
        <v>0.104022011333223</v>
      </c>
      <c r="H138" s="46" t="n">
        <f aca="false">IFERROR(IF(((H62+G62)/2)&lt;=0,"N/M",(H58*(1-H60))/((H62+G62)/2)),"N/M")</f>
        <v>0.106300251768837</v>
      </c>
      <c r="I138" s="46" t="n">
        <f aca="false">IFERROR(IF(((I62+H62)/2)&lt;=0,"N/M",(I58*(1-I60))/((I62+H62)/2)),"N/M")</f>
        <v>0.103698922378496</v>
      </c>
      <c r="J138" s="46" t="n">
        <f aca="false">IFERROR(IF(((J62+I62)/2)&lt;=0,"N/M",(J58*(1-J60))/((J62+I62)/2)),"N/M")</f>
        <v>0.0961333119054842</v>
      </c>
      <c r="K138" s="25" t="n">
        <f aca="false">IFERROR(AVERAGE(D138:J138),"N/M")</f>
        <v>0.0857922836002226</v>
      </c>
      <c r="L138" s="86" t="n">
        <f aca="false">IFERROR(J138-D138,"N/M")</f>
        <v>0.0546188678564094</v>
      </c>
      <c r="M138" s="87" t="n">
        <f aca="false">IFERROR(SLOPE(D138:J138,$D$3:$J$3),"N/M")</f>
        <v>0.00992795275586907</v>
      </c>
    </row>
    <row r="139" customFormat="false" ht="15" hidden="false" customHeight="false" outlineLevel="0" collapsed="false">
      <c r="A139" s="18" t="s">
        <v>142</v>
      </c>
      <c r="B139" s="19" t="s">
        <v>600</v>
      </c>
      <c r="D139" s="46" t="n">
        <f aca="false">IFERROR(IF(((D61+C61)/2)&lt;=0,"N/M",D22/((D61+C61)/2)),"N/M")</f>
        <v>0.0396122219489916</v>
      </c>
      <c r="E139" s="46" t="n">
        <f aca="false">IFERROR(IF(((E61+D61)/2)&lt;=0,"N/M",E22/((E61+D61)/2)),"N/M")</f>
        <v>0.0499432620187651</v>
      </c>
      <c r="F139" s="46" t="n">
        <f aca="false">IFERROR(IF(((F61+E61)/2)&lt;=0,"N/M",F22/((F61+E61)/2)),"N/M")</f>
        <v>0.100762027636215</v>
      </c>
      <c r="G139" s="46" t="n">
        <f aca="false">IFERROR(IF(((G61+F61)/2)&lt;=0,"N/M",G22/((G61+F61)/2)),"N/M")</f>
        <v>0.106804879358081</v>
      </c>
      <c r="H139" s="46" t="n">
        <f aca="false">IFERROR(IF(((H61+G61)/2)&lt;=0,"N/M",H22/((H61+G61)/2)),"N/M")</f>
        <v>0.109382348398472</v>
      </c>
      <c r="I139" s="46" t="n">
        <f aca="false">IFERROR(IF(((I61+H61)/2)&lt;=0,"N/M",I22/((I61+H61)/2)),"N/M")</f>
        <v>0.106591827114354</v>
      </c>
      <c r="J139" s="46" t="n">
        <f aca="false">IFERROR(IF(((J61+I61)/2)&lt;=0,"N/M",J22/((J61+I61)/2)),"N/M")</f>
        <v>0.098073710077591</v>
      </c>
      <c r="K139" s="25" t="n">
        <f aca="false">IFERROR(AVERAGE(D139:J139),"N/M")</f>
        <v>0.0873100395074957</v>
      </c>
      <c r="L139" s="86" t="n">
        <f aca="false">IFERROR(J139-D139,"N/M")</f>
        <v>0.0584614881285994</v>
      </c>
      <c r="M139" s="87" t="n">
        <f aca="false">IFERROR(SLOPE(D139:J139,$D$3:$J$3),"N/M")</f>
        <v>0.0106179255478298</v>
      </c>
    </row>
    <row r="140" customFormat="false" ht="15" hidden="false" customHeight="false" outlineLevel="0" collapsed="false">
      <c r="A140" s="18" t="s">
        <v>601</v>
      </c>
      <c r="B140" s="19" t="s">
        <v>602</v>
      </c>
      <c r="D140" s="46" t="n">
        <f aca="false">IFERROR(IF(((D61+C61)/2)&lt;=0,"N/M",(D22-0)/((D61+C61)/2)),"N/M")</f>
        <v>0.0396122219489916</v>
      </c>
      <c r="E140" s="46" t="n">
        <f aca="false">IFERROR(IF(((E61+D61)/2)&lt;=0,"N/M",(E22-0)/((E61+D61)/2)),"N/M")</f>
        <v>0.0499432620187651</v>
      </c>
      <c r="F140" s="46" t="n">
        <f aca="false">IFERROR(IF(((F61+E61)/2)&lt;=0,"N/M",(F22-0)/((F61+E61)/2)),"N/M")</f>
        <v>0.100762027636215</v>
      </c>
      <c r="G140" s="46" t="n">
        <f aca="false">IFERROR(IF(((G61+F61)/2)&lt;=0,"N/M",(G22-0)/((G61+F61)/2)),"N/M")</f>
        <v>0.106804879358081</v>
      </c>
      <c r="H140" s="46" t="n">
        <f aca="false">IFERROR(IF(((H61+G61)/2)&lt;=0,"N/M",(H22-0)/((H61+G61)/2)),"N/M")</f>
        <v>0.109382348398472</v>
      </c>
      <c r="I140" s="46" t="n">
        <f aca="false">IFERROR(IF(((I61+H61)/2)&lt;=0,"N/M",(I22-0)/((I61+H61)/2)),"N/M")</f>
        <v>0.106591827114354</v>
      </c>
      <c r="J140" s="46" t="n">
        <f aca="false">IFERROR(IF(((J61+I61)/2)&lt;=0,"N/M",(J22-0)/((J61+I61)/2)),"N/M")</f>
        <v>0.098073710077591</v>
      </c>
      <c r="K140" s="25" t="n">
        <f aca="false">IFERROR(AVERAGE(D140:J140),"N/M")</f>
        <v>0.0873100395074957</v>
      </c>
      <c r="L140" s="86" t="n">
        <f aca="false">IFERROR(J140-D140,"N/M")</f>
        <v>0.0584614881285994</v>
      </c>
      <c r="M140" s="87" t="n">
        <f aca="false">IFERROR(SLOPE(D140:J140,$D$3:$J$3),"N/M")</f>
        <v>0.0106179255478298</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5.29831932773109</v>
      </c>
      <c r="E143" s="95" t="n">
        <f aca="false">IFERROR(IF(E48&lt;=0,"N/M",E22/E48),"N/M")</f>
        <v>6.63419117647059</v>
      </c>
      <c r="F143" s="95" t="n">
        <f aca="false">IFERROR(IF(F48&lt;=0,"N/M",F22/F48),"N/M")</f>
        <v>13.8539915966387</v>
      </c>
      <c r="G143" s="95" t="n">
        <f aca="false">IFERROR(IF(G48&lt;=0,"N/M",G22/G48),"N/M")</f>
        <v>15.4132090336134</v>
      </c>
      <c r="H143" s="95" t="n">
        <f aca="false">IFERROR(IF(H48&lt;=0,"N/M",H22/H48),"N/M")</f>
        <v>16.5518644957983</v>
      </c>
      <c r="I143" s="95" t="n">
        <f aca="false">IFERROR(IF(I48&lt;=0,"N/M",I22/I48),"N/M")</f>
        <v>16.938156512605</v>
      </c>
      <c r="J143" s="95" t="n">
        <f aca="false">IFERROR(IF(J48&lt;=0,"N/M",J22/J48),"N/M")</f>
        <v>16.3051470588235</v>
      </c>
      <c r="K143" s="96" t="n">
        <f aca="false">IFERROR(AVERAGE(D143:J143),"N/M")</f>
        <v>12.999268457383</v>
      </c>
      <c r="L143" s="97" t="n">
        <f aca="false">IFERROR(J143-D143,"N/M")</f>
        <v>11.0068277310924</v>
      </c>
      <c r="M143" s="98" t="n">
        <f aca="false">IFERROR(SLOPE(D143:J143,$D$3:$J$3),"N/M")</f>
        <v>2.0116530987395</v>
      </c>
    </row>
    <row r="144" customFormat="false" ht="15" hidden="false" customHeight="false" outlineLevel="0" collapsed="false">
      <c r="A144" s="18" t="s">
        <v>606</v>
      </c>
      <c r="B144" s="19" t="s">
        <v>607</v>
      </c>
      <c r="D144" s="95" t="n">
        <f aca="false">IFERROR(IF(D48&lt;=0,"N/M",(D22+D18)/D48),"N/M")</f>
        <v>12.4465598739496</v>
      </c>
      <c r="E144" s="95" t="n">
        <f aca="false">IFERROR(IF(E48&lt;=0,"N/M",(E22+E18)/E48),"N/M")</f>
        <v>13.9002100840336</v>
      </c>
      <c r="F144" s="95" t="n">
        <f aca="false">IFERROR(IF(F48&lt;=0,"N/M",(F22+F18)/F48),"N/M")</f>
        <v>21.2255777310924</v>
      </c>
      <c r="G144" s="95" t="n">
        <f aca="false">IFERROR(IF(G48&lt;=0,"N/M",(G22+G18)/G48),"N/M")</f>
        <v>22.936974789916</v>
      </c>
      <c r="H144" s="95" t="n">
        <f aca="false">IFERROR(IF(H48&lt;=0,"N/M",(H22+H18)/H48),"N/M")</f>
        <v>24.6743697478992</v>
      </c>
      <c r="I144" s="95" t="n">
        <f aca="false">IFERROR(IF(I48&lt;=0,"N/M",(I22+I18)/I48),"N/M")</f>
        <v>24.5699842436975</v>
      </c>
      <c r="J144" s="95" t="n">
        <f aca="false">IFERROR(IF(J48&lt;=0,"N/M",(J22+J18)/J48),"N/M")</f>
        <v>24.3872111344538</v>
      </c>
      <c r="K144" s="96" t="n">
        <f aca="false">IFERROR(AVERAGE(D144:J144),"N/M")</f>
        <v>20.5915553721489</v>
      </c>
      <c r="L144" s="97" t="n">
        <f aca="false">IFERROR(J144-D144,"N/M")</f>
        <v>11.9406512605042</v>
      </c>
      <c r="M144" s="98" t="n">
        <f aca="false">IFERROR(SLOPE(D144:J144,$D$3:$J$3),"N/M")</f>
        <v>2.16465336134454</v>
      </c>
    </row>
    <row r="145" customFormat="false" ht="15" hidden="false" customHeight="false" outlineLevel="0" collapsed="false">
      <c r="A145" s="18" t="s">
        <v>608</v>
      </c>
      <c r="B145" s="19" t="s">
        <v>609</v>
      </c>
      <c r="D145" s="95" t="n">
        <f aca="false">IFERROR(IF(D48&lt;=0,"N/M",D61/D48),"N/M")</f>
        <v>131.907825630252</v>
      </c>
      <c r="E145" s="95" t="n">
        <f aca="false">IFERROR(IF(E48&lt;=0,"N/M",E61/E48),"N/M")</f>
        <v>133.761292016807</v>
      </c>
      <c r="F145" s="95" t="n">
        <f aca="false">IFERROR(IF(F48&lt;=0,"N/M",F61/F48),"N/M")</f>
        <v>141.223082983193</v>
      </c>
      <c r="G145" s="95" t="n">
        <f aca="false">IFERROR(IF(G48&lt;=0,"N/M",G61/G48),"N/M")</f>
        <v>147.400603991597</v>
      </c>
      <c r="H145" s="95" t="n">
        <f aca="false">IFERROR(IF(H48&lt;=0,"N/M",H61/H48),"N/M")</f>
        <v>155.241727941176</v>
      </c>
      <c r="I145" s="95" t="n">
        <f aca="false">IFERROR(IF(I48&lt;=0,"N/M",I61/I48),"N/M")</f>
        <v>162.571691176471</v>
      </c>
      <c r="J145" s="95" t="n">
        <f aca="false">IFERROR(IF(J48&lt;=0,"N/M",J61/J48),"N/M")</f>
        <v>169.936318277311</v>
      </c>
      <c r="K145" s="96" t="n">
        <f aca="false">IFERROR(AVERAGE(D145:J145),"N/M")</f>
        <v>148.863220288115</v>
      </c>
      <c r="L145" s="97" t="n">
        <f aca="false">IFERROR(J145-D145,"N/M")</f>
        <v>38.0284926470588</v>
      </c>
      <c r="M145" s="98" t="n">
        <f aca="false">IFERROR(SLOPE(D145:J145,$D$3:$J$3),"N/M")</f>
        <v>6.63303290066026</v>
      </c>
    </row>
    <row r="146" customFormat="false" ht="15" hidden="false" customHeight="false" outlineLevel="0" collapsed="false">
      <c r="A146" s="18" t="s">
        <v>145</v>
      </c>
      <c r="B146" s="19" t="s">
        <v>610</v>
      </c>
      <c r="D146" s="47" t="n">
        <f aca="false">IFERROR(IF(D49=0,"N/C",IF(D145&lt;=0,"N/M",D47/D145)),"N/M")</f>
        <v>2.01140454504733</v>
      </c>
      <c r="E146" s="47" t="n">
        <f aca="false">IFERROR(IF(E49=0,"N/C",IF(E145&lt;=0,"N/M",E47/E145)),"N/M")</f>
        <v>3.57652047753763</v>
      </c>
      <c r="F146" s="47" t="n">
        <f aca="false">IFERROR(IF(F49=0,"N/C",IF(F145&lt;=0,"N/M",F47/F145)),"N/M")</f>
        <v>3.8075928427649</v>
      </c>
      <c r="G146" s="47" t="n">
        <f aca="false">IFERROR(IF(G49=0,"N/C",IF(G145&lt;=0,"N/M",G47/G145)),"N/M")</f>
        <v>3.14924082689963</v>
      </c>
      <c r="H146" s="47" t="n">
        <f aca="false">IFERROR(IF(H49=0,"N/C",IF(H145&lt;=0,"N/M",H47/H145)),"N/M")</f>
        <v>4.545685038158</v>
      </c>
      <c r="I146" s="47" t="n">
        <f aca="false">IFERROR(IF(I49=0,"N/C",IF(I145&lt;=0,"N/M",I47/I145)),"N/M")</f>
        <v>3.40329854475967</v>
      </c>
      <c r="J146" s="47" t="n">
        <f aca="false">IFERROR(IF(J49=0,"N/C",IF(J145&lt;=0,"N/M",J47/J145)),"N/M")</f>
        <v>2.50270221404923</v>
      </c>
      <c r="K146" s="22" t="n">
        <f aca="false">IFERROR(AVERAGE(D146:J146),"N/M")</f>
        <v>3.28520635560234</v>
      </c>
      <c r="L146" s="82" t="n">
        <f aca="false">IFERROR(J146-D146,"N/M")</f>
        <v>0.491297669001895</v>
      </c>
      <c r="M146" s="83" t="n">
        <f aca="false">IFERROR(SLOPE(D146:J146,$D$3:$J$3),"N/M")</f>
        <v>0.0666264763158161</v>
      </c>
    </row>
    <row r="147" customFormat="false" ht="15" hidden="false" customHeight="false" outlineLevel="0" collapsed="false">
      <c r="A147" s="18" t="s">
        <v>611</v>
      </c>
      <c r="B147" s="19" t="s">
        <v>612</v>
      </c>
      <c r="D147" s="95" t="n">
        <f aca="false">IFERROR(IF(D48&lt;=0,"N/M",D23/D48),"N/M")</f>
        <v>2.88012079831933</v>
      </c>
      <c r="E147" s="95" t="n">
        <f aca="false">IFERROR(IF(E48&lt;=0,"N/M",E23/E48),"N/M")</f>
        <v>4.00013130252101</v>
      </c>
      <c r="F147" s="95" t="n">
        <f aca="false">IFERROR(IF(F48&lt;=0,"N/M",F23/F48),"N/M")</f>
        <v>7.20023634453782</v>
      </c>
      <c r="G147" s="95" t="n">
        <f aca="false">IFERROR(IF(G48&lt;=0,"N/M",G23/G48),"N/M")</f>
        <v>8.80028886554622</v>
      </c>
      <c r="H147" s="95" t="n">
        <f aca="false">IFERROR(IF(H48&lt;=0,"N/M",H23/H48),"N/M")</f>
        <v>9.20036764705882</v>
      </c>
      <c r="I147" s="95" t="n">
        <f aca="false">IFERROR(IF(I48&lt;=0,"N/M",I23/I48),"N/M")</f>
        <v>9.20036764705882</v>
      </c>
      <c r="J147" s="95" t="n">
        <f aca="false">IFERROR(IF(J48&lt;=0,"N/M",J23/J48),"N/M")</f>
        <v>8.60018382352941</v>
      </c>
      <c r="K147" s="96" t="n">
        <f aca="false">IFERROR(AVERAGE(D147:J147),"N/M")</f>
        <v>7.12595663265306</v>
      </c>
      <c r="L147" s="97" t="n">
        <f aca="false">IFERROR(J147-D147,"N/M")</f>
        <v>5.72006302521009</v>
      </c>
      <c r="M147" s="98" t="n">
        <f aca="false">IFERROR(SLOPE(D147:J147,$D$3:$J$3),"N/M")</f>
        <v>1.05574260954382</v>
      </c>
    </row>
    <row r="148" customFormat="false" ht="15" hidden="false" customHeight="false" outlineLevel="0" collapsed="false">
      <c r="A148" s="18" t="s">
        <v>613</v>
      </c>
      <c r="B148" s="19" t="s">
        <v>614</v>
      </c>
      <c r="D148" s="46" t="n">
        <f aca="false">IFERROR(IF(D143&lt;=0,"N/M",D147/D143),"N/M")</f>
        <v>0.543591395717684</v>
      </c>
      <c r="E148" s="46" t="n">
        <f aca="false">IFERROR(IF(E143&lt;=0,"N/M",E147/E143),"N/M")</f>
        <v>0.602956893480584</v>
      </c>
      <c r="F148" s="46" t="n">
        <f aca="false">IFERROR(IF(F143&lt;=0,"N/M",F147/F143),"N/M")</f>
        <v>0.519722875123209</v>
      </c>
      <c r="G148" s="46" t="n">
        <f aca="false">IFERROR(IF(G143&lt;=0,"N/M",G147/G143),"N/M")</f>
        <v>0.570957601778732</v>
      </c>
      <c r="H148" s="46" t="n">
        <f aca="false">IFERROR(IF(H143&lt;=0,"N/M",H147/H143),"N/M")</f>
        <v>0.555850831753385</v>
      </c>
      <c r="I148" s="46" t="n">
        <f aca="false">IFERROR(IF(I143&lt;=0,"N/M",I147/I143),"N/M")</f>
        <v>0.54317408392183</v>
      </c>
      <c r="J148" s="46" t="n">
        <f aca="false">IFERROR(IF(J143&lt;=0,"N/M",J147/J143),"N/M")</f>
        <v>0.527452085682075</v>
      </c>
      <c r="K148" s="25" t="n">
        <f aca="false">IFERROR(AVERAGE(D148:J148),"N/M")</f>
        <v>0.551957966779643</v>
      </c>
      <c r="L148" s="86" t="n">
        <f aca="false">IFERROR(J148-D148,"N/M")</f>
        <v>-0.01613931003561</v>
      </c>
      <c r="M148" s="87" t="n">
        <f aca="false">IFERROR(SLOPE(D148:J148,$D$3:$J$3),"N/M")</f>
        <v>-0.00470912830693434</v>
      </c>
    </row>
    <row r="149" customFormat="false" ht="15" hidden="false" customHeight="false" outlineLevel="0" collapsed="false">
      <c r="A149" s="18" t="s">
        <v>615</v>
      </c>
      <c r="B149" s="19" t="s">
        <v>616</v>
      </c>
      <c r="D149" s="46" t="n">
        <f aca="false">IFERROR((1-D148),"N/M")</f>
        <v>0.456408604282316</v>
      </c>
      <c r="E149" s="46" t="n">
        <f aca="false">IFERROR((1-E148),"N/M")</f>
        <v>0.397043106519416</v>
      </c>
      <c r="F149" s="46" t="n">
        <f aca="false">IFERROR((1-F148),"N/M")</f>
        <v>0.480277124876791</v>
      </c>
      <c r="G149" s="46" t="n">
        <f aca="false">IFERROR((1-G148),"N/M")</f>
        <v>0.429042398221268</v>
      </c>
      <c r="H149" s="46" t="n">
        <f aca="false">IFERROR((1-H148),"N/M")</f>
        <v>0.444149168246615</v>
      </c>
      <c r="I149" s="46" t="n">
        <f aca="false">IFERROR((1-I148),"N/M")</f>
        <v>0.45682591607817</v>
      </c>
      <c r="J149" s="46" t="n">
        <f aca="false">IFERROR((1-J148),"N/M")</f>
        <v>0.472547914317926</v>
      </c>
      <c r="K149" s="25" t="n">
        <f aca="false">IFERROR(AVERAGE(D149:J149),"N/M")</f>
        <v>0.448042033220357</v>
      </c>
      <c r="L149" s="86" t="n">
        <f aca="false">IFERROR(J149-D149,"N/M")</f>
        <v>0.01613931003561</v>
      </c>
      <c r="M149" s="87" t="n">
        <f aca="false">IFERROR(SLOPE(D149:J149,$D$3:$J$3),"N/M")</f>
        <v>0.00470912830693434</v>
      </c>
    </row>
    <row r="150" customFormat="false" ht="15" hidden="false" customHeight="false" outlineLevel="0" collapsed="false">
      <c r="A150" s="18" t="s">
        <v>617</v>
      </c>
      <c r="B150" s="19" t="s">
        <v>618</v>
      </c>
      <c r="D150" s="46" t="n">
        <f aca="false">IFERROR(IF(D49=0,"N/C",IF(D47&lt;=0,"N/M",D143/D47)),"N/M")</f>
        <v>0.0199695436745481</v>
      </c>
      <c r="E150" s="46" t="n">
        <f aca="false">IFERROR(IF(E49=0,"N/C",IF(E47&lt;=0,"N/M",E143/E47)),"N/M")</f>
        <v>0.0138674564725556</v>
      </c>
      <c r="F150" s="46" t="n">
        <f aca="false">IFERROR(IF(F49=0,"N/C",IF(F47&lt;=0,"N/M",F143/F47)),"N/M")</f>
        <v>0.0257643226895757</v>
      </c>
      <c r="G150" s="46" t="n">
        <f aca="false">IFERROR(IF(G49=0,"N/C",IF(G47&lt;=0,"N/M",G143/G47)),"N/M")</f>
        <v>0.0332038109298006</v>
      </c>
      <c r="H150" s="46" t="n">
        <f aca="false">IFERROR(IF(H49=0,"N/C",IF(H47&lt;=0,"N/M",H143/H47)),"N/M")</f>
        <v>0.0234551985259584</v>
      </c>
      <c r="I150" s="46" t="n">
        <f aca="false">IFERROR(IF(I49=0,"N/C",IF(I47&lt;=0,"N/M",I143/I47)),"N/M")</f>
        <v>0.0306140769820074</v>
      </c>
      <c r="J150" s="46" t="n">
        <f aca="false">IFERROR(IF(J49=0,"N/C",IF(J47&lt;=0,"N/M",J143/J47)),"N/M")</f>
        <v>0.0383379897926723</v>
      </c>
      <c r="K150" s="25" t="n">
        <f aca="false">IFERROR(AVERAGE(D150:J150),"N/M")</f>
        <v>0.0264589141524454</v>
      </c>
      <c r="L150" s="86" t="n">
        <f aca="false">IFERROR(J150-D150,"N/M")</f>
        <v>0.0183684461181242</v>
      </c>
      <c r="M150" s="87" t="n">
        <f aca="false">IFERROR(SLOPE(D150:J150,$D$3:$J$3),"N/M")</f>
        <v>0.00308176625748782</v>
      </c>
    </row>
    <row r="151" customFormat="false" ht="15" hidden="false" customHeight="false" outlineLevel="0" collapsed="false">
      <c r="A151" s="18" t="s">
        <v>146</v>
      </c>
      <c r="B151" s="19" t="s">
        <v>619</v>
      </c>
      <c r="D151" s="46" t="n">
        <f aca="false">IFERROR(IF(D49=0,"N/C",IF(D47&lt;=0,"N/M",D147/D47)),"N/M")</f>
        <v>0.0108552721178928</v>
      </c>
      <c r="E151" s="46" t="n">
        <f aca="false">IFERROR(IF(E49=0,"N/C",IF(E47&lt;=0,"N/M",E147/E47)),"N/M")</f>
        <v>0.00836147847516933</v>
      </c>
      <c r="F151" s="46" t="n">
        <f aca="false">IFERROR(IF(F49=0,"N/C",IF(F47&lt;=0,"N/M",F147/F47)),"N/M")</f>
        <v>0.0133903078638284</v>
      </c>
      <c r="G151" s="46" t="n">
        <f aca="false">IFERROR(IF(G49=0,"N/C",IF(G47&lt;=0,"N/M",G147/G47)),"N/M")</f>
        <v>0.0189579682583934</v>
      </c>
      <c r="H151" s="46" t="n">
        <f aca="false">IFERROR(IF(H49=0,"N/C",IF(H47&lt;=0,"N/M",H147/H47)),"N/M")</f>
        <v>0.0130375916095948</v>
      </c>
      <c r="I151" s="46" t="n">
        <f aca="false">IFERROR(IF(I49=0,"N/C",IF(I47&lt;=0,"N/M",I147/I47)),"N/M")</f>
        <v>0.0166287732198142</v>
      </c>
      <c r="J151" s="46" t="n">
        <f aca="false">IFERROR(IF(J49=0,"N/C",IF(J47&lt;=0,"N/M",J147/J47)),"N/M")</f>
        <v>0.0202214526770031</v>
      </c>
      <c r="K151" s="25" t="n">
        <f aca="false">IFERROR(AVERAGE(D151:J151),"N/M")</f>
        <v>0.0144932634602423</v>
      </c>
      <c r="L151" s="86" t="n">
        <f aca="false">IFERROR(J151-D151,"N/M")</f>
        <v>0.00936618055911025</v>
      </c>
      <c r="M151" s="87" t="n">
        <f aca="false">IFERROR(SLOPE(D151:J151,$D$3:$J$3),"N/M")</f>
        <v>0.0015814433897281</v>
      </c>
    </row>
    <row r="152" customFormat="false" ht="15" hidden="false" customHeight="false" outlineLevel="0" collapsed="false">
      <c r="A152" s="18" t="s">
        <v>143</v>
      </c>
      <c r="B152" s="19" t="s">
        <v>620</v>
      </c>
      <c r="D152" s="47" t="n">
        <f aca="false">IFERROR(IF(D49=0,"N/C",IF(D143&lt;=0,"N/M",D47/D143)),"N/M")</f>
        <v>50.0762569389374</v>
      </c>
      <c r="E152" s="47" t="n">
        <f aca="false">IFERROR(IF(E49=0,"N/C",IF(E143&lt;=0,"N/M",E47/E143)),"N/M")</f>
        <v>72.1112773621502</v>
      </c>
      <c r="F152" s="47" t="n">
        <f aca="false">IFERROR(IF(F49=0,"N/C",IF(F143&lt;=0,"N/M",F47/F143)),"N/M")</f>
        <v>38.8133626506938</v>
      </c>
      <c r="G152" s="47" t="n">
        <f aca="false">IFERROR(IF(G49=0,"N/C",IF(G143&lt;=0,"N/M",G47/G143)),"N/M")</f>
        <v>30.117024883505</v>
      </c>
      <c r="H152" s="47" t="n">
        <f aca="false">IFERROR(IF(H49=0,"N/C",IF(H143&lt;=0,"N/M",H47/H143)),"N/M")</f>
        <v>42.6344717949532</v>
      </c>
      <c r="I152" s="47" t="n">
        <f aca="false">IFERROR(IF(I49=0,"N/C",IF(I143&lt;=0,"N/M",I47/I143)),"N/M")</f>
        <v>32.6647117464206</v>
      </c>
      <c r="J152" s="47" t="n">
        <f aca="false">IFERROR(IF(J49=0,"N/C",IF(J143&lt;=0,"N/M",J47/J143)),"N/M")</f>
        <v>26.0837880496054</v>
      </c>
      <c r="K152" s="22" t="n">
        <f aca="false">IFERROR(AVERAGE(D152:J152),"N/M")</f>
        <v>41.7858419180379</v>
      </c>
      <c r="L152" s="82" t="n">
        <f aca="false">IFERROR(J152-D152,"N/M")</f>
        <v>-23.9924688893319</v>
      </c>
      <c r="M152" s="83" t="n">
        <f aca="false">IFERROR(SLOPE(D152:J152,$D$3:$J$3),"N/M")</f>
        <v>-5.25176531268556</v>
      </c>
    </row>
    <row r="153" customFormat="false" ht="15" hidden="false" customHeight="false" outlineLevel="0" collapsed="false">
      <c r="A153" s="18" t="s">
        <v>148</v>
      </c>
      <c r="B153" s="19" t="s">
        <v>621</v>
      </c>
      <c r="D153" s="46" t="n">
        <f aca="false">IFERROR(IF(C47&lt;=0,"N/M",((D147+D47)-C47)/C47),"N/M")</f>
        <v>-0.361792973542929</v>
      </c>
      <c r="E153" s="46" t="n">
        <f aca="false">IFERROR(IF(D47&lt;=0,"N/M",((E147+E47)-D47)/D47),"N/M")</f>
        <v>0.818182313065434</v>
      </c>
      <c r="F153" s="46" t="n">
        <f aca="false">IFERROR(IF(E47&lt;=0,"N/M",((F147+F47)-E47)/E47),"N/M")</f>
        <v>0.1390473167737</v>
      </c>
      <c r="G153" s="46" t="n">
        <f aca="false">IFERROR(IF(F47&lt;=0,"N/M",((G147+G47)-F47)/F47),"N/M")</f>
        <v>-0.120359501477449</v>
      </c>
      <c r="H153" s="46" t="n">
        <f aca="false">IFERROR(IF(G47&lt;=0,"N/M",((H147+H47)-G47)/G47),"N/M")</f>
        <v>0.540026642927744</v>
      </c>
      <c r="I153" s="46" t="n">
        <f aca="false">IFERROR(IF(H47&lt;=0,"N/M",((I147+I47)-H47)/H47),"N/M")</f>
        <v>-0.202924317471008</v>
      </c>
      <c r="J153" s="46" t="n">
        <f aca="false">IFERROR(IF(I47&lt;=0,"N/M",((J147+J47)-I47)/I47),"N/M")</f>
        <v>-0.215767452603511</v>
      </c>
      <c r="K153" s="25" t="n">
        <f aca="false">IFERROR(AVERAGE(D153:J153),"N/M")</f>
        <v>0.0852017182388543</v>
      </c>
      <c r="L153" s="86" t="n">
        <f aca="false">IFERROR(J153-D153,"N/M")</f>
        <v>0.146025520939418</v>
      </c>
      <c r="M153" s="87" t="n">
        <f aca="false">IFERROR(SLOPE(D153:J153,$D$3:$J$3),"N/M")</f>
        <v>-0.0429699061464495</v>
      </c>
    </row>
    <row r="154" customFormat="false" ht="15" hidden="false" customHeight="false" outlineLevel="0" collapsed="false">
      <c r="A154" s="18" t="s">
        <v>147</v>
      </c>
      <c r="B154" s="19" t="s">
        <v>622</v>
      </c>
      <c r="D154" s="47" t="n">
        <f aca="false">IFERROR(IF(D49=0,"N/C",IF(D59&lt;=0,"N/M",D70/D59)),"N/M")</f>
        <v>15.9391094972855</v>
      </c>
      <c r="E154" s="47" t="n">
        <f aca="false">IFERROR(IF(E49=0,"N/C",IF(E59&lt;=0,"N/M",E70/E59)),"N/M")</f>
        <v>27.2852361724401</v>
      </c>
      <c r="F154" s="47" t="n">
        <f aca="false">IFERROR(IF(F49=0,"N/C",IF(F59&lt;=0,"N/M",F70/F59)),"N/M")</f>
        <v>19.2052405225067</v>
      </c>
      <c r="G154" s="47" t="n">
        <f aca="false">IFERROR(IF(G49=0,"N/C",IF(G59&lt;=0,"N/M",G70/G59)),"N/M")</f>
        <v>15.0076296754026</v>
      </c>
      <c r="H154" s="47" t="n">
        <f aca="false">IFERROR(IF(H49=0,"N/C",IF(H59&lt;=0,"N/M",H70/H59)),"N/M")</f>
        <v>21.7845752221393</v>
      </c>
      <c r="I154" s="47" t="n">
        <f aca="false">IFERROR(IF(I49=0,"N/C",IF(I59&lt;=0,"N/M",I70/I59)),"N/M")</f>
        <v>16.5496347281708</v>
      </c>
      <c r="J154" s="47" t="n">
        <f aca="false">IFERROR(IF(J49=0,"N/C",IF(J59&lt;=0,"N/M",J70/J59)),"N/M")</f>
        <v>12.7378522110345</v>
      </c>
      <c r="K154" s="22" t="n">
        <f aca="false">IFERROR(AVERAGE(D154:J154),"N/M")</f>
        <v>18.3584682898542</v>
      </c>
      <c r="L154" s="82" t="n">
        <f aca="false">IFERROR(J154-D154,"N/M")</f>
        <v>-3.201257286251</v>
      </c>
      <c r="M154" s="83" t="n">
        <f aca="false">IFERROR(SLOPE(D154:J154,$D$3:$J$3),"N/M")</f>
        <v>-1.01770143027354</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0.0617922382994884</v>
      </c>
      <c r="E157" s="46" t="n">
        <f aca="false">IFERROR(E124,"N/M")</f>
        <v>0.0786142385033328</v>
      </c>
      <c r="F157" s="46" t="n">
        <f aca="false">IFERROR(F124,"N/M")</f>
        <v>0.137874980562492</v>
      </c>
      <c r="G157" s="46" t="n">
        <f aca="false">IFERROR(G124,"N/M")</f>
        <v>0.143696016217169</v>
      </c>
      <c r="H157" s="46" t="n">
        <f aca="false">IFERROR(H124,"N/M")</f>
        <v>0.145675519823977</v>
      </c>
      <c r="I157" s="46" t="n">
        <f aca="false">IFERROR(I124,"N/M")</f>
        <v>0.14515664418444</v>
      </c>
      <c r="J157" s="46" t="n">
        <f aca="false">IFERROR(J124,"N/M")</f>
        <v>0.13677763006156</v>
      </c>
      <c r="K157" s="25" t="n">
        <f aca="false">IFERROR(AVERAGE(D157:J157),"N/M")</f>
        <v>0.121369609664637</v>
      </c>
      <c r="L157" s="86" t="n">
        <f aca="false">IFERROR(J157-D157,"N/M")</f>
        <v>0.0749853917620715</v>
      </c>
      <c r="M157" s="87" t="n">
        <f aca="false">IFERROR(SLOPE(D157:J157,$D$3:$J$3),"N/M")</f>
        <v>0.0130657687824969</v>
      </c>
    </row>
    <row r="158" customFormat="false" ht="15" hidden="false" customHeight="false" outlineLevel="0" collapsed="false">
      <c r="A158" s="18" t="s">
        <v>625</v>
      </c>
      <c r="B158" s="19" t="s">
        <v>626</v>
      </c>
      <c r="D158" s="47" t="n">
        <f aca="false">IFERROR(D113,"N/M")</f>
        <v>0.531210369318297</v>
      </c>
      <c r="E158" s="47" t="n">
        <f aca="false">IFERROR(E113,"N/M")</f>
        <v>0.53118097656907</v>
      </c>
      <c r="F158" s="47" t="n">
        <f aca="false">IFERROR(F113,"N/M")</f>
        <v>0.602275790342706</v>
      </c>
      <c r="G158" s="47" t="n">
        <f aca="false">IFERROR(G113,"N/M")</f>
        <v>0.617298615802431</v>
      </c>
      <c r="H158" s="47" t="n">
        <f aca="false">IFERROR(H113,"N/M")</f>
        <v>0.62926522785332</v>
      </c>
      <c r="I158" s="47" t="n">
        <f aca="false">IFERROR(I113,"N/M")</f>
        <v>0.623313281024793</v>
      </c>
      <c r="J158" s="47" t="n">
        <f aca="false">IFERROR(J113,"N/M")</f>
        <v>0.61234665990401</v>
      </c>
      <c r="K158" s="22" t="n">
        <f aca="false">IFERROR(AVERAGE(D158:J158),"N/M")</f>
        <v>0.592412988687804</v>
      </c>
      <c r="L158" s="82" t="n">
        <f aca="false">IFERROR(J158-D158,"N/M")</f>
        <v>0.0811362905857125</v>
      </c>
      <c r="M158" s="83" t="n">
        <f aca="false">IFERROR(SLOPE(D158:J158,$D$3:$J$3),"N/M")</f>
        <v>0.0162379613635428</v>
      </c>
    </row>
    <row r="159" customFormat="false" ht="15" hidden="false" customHeight="false" outlineLevel="0" collapsed="false">
      <c r="A159" s="18" t="s">
        <v>627</v>
      </c>
      <c r="B159" s="19" t="s">
        <v>628</v>
      </c>
      <c r="D159" s="46" t="n">
        <f aca="false">IFERROR((D157*D158),"N/M")</f>
        <v>0.0328246777280755</v>
      </c>
      <c r="E159" s="46" t="n">
        <f aca="false">IFERROR((E157*E158),"N/M")</f>
        <v>0.0417583879804341</v>
      </c>
      <c r="F159" s="46" t="n">
        <f aca="false">IFERROR((F157*F158),"N/M")</f>
        <v>0.0830387628867602</v>
      </c>
      <c r="G159" s="46" t="n">
        <f aca="false">IFERROR((G157*G158),"N/M")</f>
        <v>0.0887033519071821</v>
      </c>
      <c r="H159" s="46" t="n">
        <f aca="false">IFERROR((H157*H158),"N/M")</f>
        <v>0.0916685391746857</v>
      </c>
      <c r="I159" s="46" t="n">
        <f aca="false">IFERROR((I157*I158),"N/M")</f>
        <v>0.0904780641491516</v>
      </c>
      <c r="J159" s="46" t="n">
        <f aca="false">IFERROR((J157*J158),"N/M")</f>
        <v>0.0837553249177825</v>
      </c>
      <c r="K159" s="25" t="n">
        <f aca="false">IFERROR(AVERAGE(D159:J159),"N/M")</f>
        <v>0.0731753012491531</v>
      </c>
      <c r="L159" s="86" t="n">
        <f aca="false">IFERROR(J159-D159,"N/M")</f>
        <v>0.050930647189707</v>
      </c>
      <c r="M159" s="87" t="n">
        <f aca="false">IFERROR(SLOPE(D159:J159,$D$3:$J$3),"N/M")</f>
        <v>0.00924503822123149</v>
      </c>
    </row>
    <row r="160" customFormat="false" ht="15" hidden="false" customHeight="false" outlineLevel="0" collapsed="false">
      <c r="A160" s="18" t="s">
        <v>629</v>
      </c>
      <c r="B160" s="19" t="s">
        <v>630</v>
      </c>
      <c r="D160" s="47" t="n">
        <f aca="false">IFERROR(IF(((D61+C61)/2)&lt;=0,"N/M",((D35+C35)/2)/((D61+C61)/2)),"N/M")</f>
        <v>1.20678174747503</v>
      </c>
      <c r="E160" s="47" t="n">
        <f aca="false">IFERROR(IF(((E61+D61)/2)&lt;=0,"N/M",((E35+D35)/2)/((E61+D61)/2)),"N/M")</f>
        <v>1.19600550773574</v>
      </c>
      <c r="F160" s="47" t="n">
        <f aca="false">IFERROR(IF(((F61+E61)/2)&lt;=0,"N/M",((F35+E35)/2)/((F61+E61)/2)),"N/M")</f>
        <v>1.21343363187652</v>
      </c>
      <c r="G160" s="47" t="n">
        <f aca="false">IFERROR(IF(((G61+F61)/2)&lt;=0,"N/M",((G35+F35)/2)/((G61+F61)/2)),"N/M")</f>
        <v>1.20406813340988</v>
      </c>
      <c r="H160" s="47" t="n">
        <f aca="false">IFERROR(IF(((H61+G61)/2)&lt;=0,"N/M",((H35+G35)/2)/((H61+G61)/2)),"N/M")</f>
        <v>1.19323760783436</v>
      </c>
      <c r="I160" s="47" t="n">
        <f aca="false">IFERROR(IF(((I61+H61)/2)&lt;=0,"N/M",((I35+H35)/2)/((I61+H61)/2)),"N/M")</f>
        <v>1.17809579721599</v>
      </c>
      <c r="J160" s="47" t="n">
        <f aca="false">IFERROR(IF(((J61+I61)/2)&lt;=0,"N/M",((J35+I35)/2)/((J61+I61)/2)),"N/M")</f>
        <v>1.17095492344951</v>
      </c>
      <c r="K160" s="22" t="n">
        <f aca="false">IFERROR(AVERAGE(D160:J160),"N/M")</f>
        <v>1.19465390699958</v>
      </c>
      <c r="L160" s="82" t="n">
        <f aca="false">IFERROR(J160-D160,"N/M")</f>
        <v>-0.0358268240255173</v>
      </c>
      <c r="M160" s="83" t="n">
        <f aca="false">IFERROR(SLOPE(D160:J160,$D$3:$J$3),"N/M")</f>
        <v>-0.00583913989850762</v>
      </c>
    </row>
    <row r="161" customFormat="false" ht="15" hidden="false" customHeight="false" outlineLevel="0" collapsed="false">
      <c r="A161" s="18" t="s">
        <v>631</v>
      </c>
      <c r="B161" s="19" t="s">
        <v>632</v>
      </c>
      <c r="D161" s="46" t="n">
        <f aca="false">IFERROR(((D157*D158)*D160),"N/M")</f>
        <v>0.0396122219489916</v>
      </c>
      <c r="E161" s="46" t="n">
        <f aca="false">IFERROR(((E157*E158)*E160),"N/M")</f>
        <v>0.049943262018765</v>
      </c>
      <c r="F161" s="46" t="n">
        <f aca="false">IFERROR(((F157*F158)*F160),"N/M")</f>
        <v>0.100762027636215</v>
      </c>
      <c r="G161" s="46" t="n">
        <f aca="false">IFERROR(((G157*G158)*G160),"N/M")</f>
        <v>0.106804879358081</v>
      </c>
      <c r="H161" s="46" t="n">
        <f aca="false">IFERROR(((H157*H158)*H160),"N/M")</f>
        <v>0.109382348398472</v>
      </c>
      <c r="I161" s="46" t="n">
        <f aca="false">IFERROR(((I157*I158)*I160),"N/M")</f>
        <v>0.106591827114354</v>
      </c>
      <c r="J161" s="46" t="n">
        <f aca="false">IFERROR(((J157*J158)*J160),"N/M")</f>
        <v>0.098073710077591</v>
      </c>
      <c r="K161" s="25" t="n">
        <f aca="false">IFERROR(AVERAGE(D161:J161),"N/M")</f>
        <v>0.0873100395074957</v>
      </c>
      <c r="L161" s="86" t="n">
        <f aca="false">IFERROR(J161-D161,"N/M")</f>
        <v>0.0584614881285994</v>
      </c>
      <c r="M161" s="87" t="n">
        <f aca="false">IFERROR(SLOPE(D161:J161,$D$3:$J$3),"N/M")</f>
        <v>0.0106179255478298</v>
      </c>
    </row>
    <row r="162" customFormat="false" ht="15" hidden="false" customHeight="false" outlineLevel="0" collapsed="false">
      <c r="A162" s="18" t="s">
        <v>633</v>
      </c>
      <c r="B162" s="19" t="s">
        <v>634</v>
      </c>
      <c r="D162" s="47" t="n">
        <f aca="false">IFERROR(IF(D20=0,"N/M",D22/D20),"N/M")</f>
        <v>0.742051159454937</v>
      </c>
      <c r="E162" s="47" t="n">
        <f aca="false">IFERROR(IF(E20=0,"N/M",E22/E20),"N/M")</f>
        <v>0.75</v>
      </c>
      <c r="F162" s="47" t="n">
        <f aca="false">IFERROR(IF(F20=0,"N/M",F22/F20),"N/M")</f>
        <v>0.756645894138992</v>
      </c>
      <c r="G162" s="47" t="n">
        <f aca="false">IFERROR(IF(G20=0,"N/M",G22/G20),"N/M")</f>
        <v>0.750945182607361</v>
      </c>
      <c r="H162" s="47" t="n">
        <f aca="false">IFERROR(IF(H20=0,"N/M",H22/H20),"N/M")</f>
        <v>0.755504812590648</v>
      </c>
      <c r="I162" s="47" t="n">
        <f aca="false">IFERROR(IF(I20=0,"N/M",I22/I20),"N/M")</f>
        <v>0.749108625715713</v>
      </c>
      <c r="J162" s="47" t="n">
        <f aca="false">IFERROR(IF(J20=0,"N/M",J22/J20),"N/M")</f>
        <v>0.752255008268869</v>
      </c>
      <c r="K162" s="22" t="n">
        <f aca="false">IFERROR(AVERAGE(D162:J162),"N/M")</f>
        <v>0.750930097539503</v>
      </c>
      <c r="L162" s="82" t="n">
        <f aca="false">IFERROR(J162-D162,"N/M")</f>
        <v>0.0102038488139318</v>
      </c>
      <c r="M162" s="83" t="n">
        <f aca="false">IFERROR(SLOPE(D162:J162,$D$3:$J$3),"N/M")</f>
        <v>0.000988847011602742</v>
      </c>
    </row>
    <row r="163" customFormat="false" ht="15" hidden="false" customHeight="false" outlineLevel="0" collapsed="false">
      <c r="A163" s="18" t="s">
        <v>635</v>
      </c>
      <c r="B163" s="19" t="s">
        <v>636</v>
      </c>
      <c r="D163" s="47" t="n">
        <f aca="false">IFERROR(IF(D58=0,"N/M",D20/D58),"N/M")</f>
        <v>0.921318807922335</v>
      </c>
      <c r="E163" s="47" t="n">
        <f aca="false">IFERROR(IF(E58=0,"N/M",E20/E58),"N/M")</f>
        <v>0.939463665648663</v>
      </c>
      <c r="F163" s="47" t="n">
        <f aca="false">IFERROR(IF(F58=0,"N/M",F20/F58),"N/M")</f>
        <v>0.956879455983971</v>
      </c>
      <c r="G163" s="47" t="n">
        <f aca="false">IFERROR(IF(G58=0,"N/M",G20/G58),"N/M")</f>
        <v>0.9602670974955</v>
      </c>
      <c r="H163" s="47" t="n">
        <f aca="false">IFERROR(IF(H58=0,"N/M",H20/H58),"N/M")</f>
        <v>0.958782257925494</v>
      </c>
      <c r="I163" s="47" t="n">
        <f aca="false">IFERROR(IF(I58=0,"N/M",I20/I58),"N/M")</f>
        <v>0.959033648544792</v>
      </c>
      <c r="J163" s="47" t="n">
        <f aca="false">IFERROR(IF(J58=0,"N/M",J20/J58),"N/M")</f>
        <v>0.954588561845834</v>
      </c>
      <c r="K163" s="22" t="n">
        <f aca="false">IFERROR(AVERAGE(D163:J163),"N/M")</f>
        <v>0.950047642195227</v>
      </c>
      <c r="L163" s="82" t="n">
        <f aca="false">IFERROR(J163-D163,"N/M")</f>
        <v>0.0332697539234984</v>
      </c>
      <c r="M163" s="83" t="n">
        <f aca="false">IFERROR(SLOPE(D163:J163,$D$3:$J$3),"N/M")</f>
        <v>0.00503042962515275</v>
      </c>
    </row>
    <row r="164" customFormat="false" ht="15" hidden="false" customHeight="false" outlineLevel="0" collapsed="false">
      <c r="A164" s="18" t="s">
        <v>637</v>
      </c>
      <c r="B164" s="19" t="s">
        <v>577</v>
      </c>
      <c r="D164" s="46" t="n">
        <f aca="false">IFERROR(IF(D9&lt;=0,"N/M",D58/D9),"N/M")</f>
        <v>0.0903837054210622</v>
      </c>
      <c r="E164" s="46" t="n">
        <f aca="false">IFERROR(IF(E9&lt;=0,"N/M",E58/E9),"N/M")</f>
        <v>0.111573218319984</v>
      </c>
      <c r="F164" s="46" t="n">
        <f aca="false">IFERROR(IF(F9&lt;=0,"N/M",F58/F9),"N/M")</f>
        <v>0.190430081813941</v>
      </c>
      <c r="G164" s="46" t="n">
        <f aca="false">IFERROR(IF(G9&lt;=0,"N/M",G58/G9),"N/M")</f>
        <v>0.199271157725679</v>
      </c>
      <c r="H164" s="46" t="n">
        <f aca="false">IFERROR(IF(H9&lt;=0,"N/M",H58/H9),"N/M")</f>
        <v>0.201108002509993</v>
      </c>
      <c r="I164" s="46" t="n">
        <f aca="false">IFERROR(IF(I9&lt;=0,"N/M",I58/I9),"N/M")</f>
        <v>0.202049730955933</v>
      </c>
      <c r="J164" s="46" t="n">
        <f aca="false">IFERROR(IF(J9&lt;=0,"N/M",J58/J9),"N/M")</f>
        <v>0.190473148385775</v>
      </c>
      <c r="K164" s="25" t="n">
        <f aca="false">IFERROR(AVERAGE(D164:J164),"N/M")</f>
        <v>0.169327006447481</v>
      </c>
      <c r="L164" s="86" t="n">
        <f aca="false">IFERROR(J164-D164,"N/M")</f>
        <v>0.100089442964713</v>
      </c>
      <c r="M164" s="87" t="n">
        <f aca="false">IFERROR(SLOPE(D164:J164,$D$3:$J$3),"N/M")</f>
        <v>0.0175678312450747</v>
      </c>
    </row>
    <row r="165" customFormat="false" ht="15" hidden="false" customHeight="false" outlineLevel="0" collapsed="false">
      <c r="A165" s="18" t="s">
        <v>638</v>
      </c>
      <c r="B165" s="19" t="s">
        <v>626</v>
      </c>
      <c r="D165" s="47" t="n">
        <f aca="false">IFERROR(D113,"N/M")</f>
        <v>0.531210369318297</v>
      </c>
      <c r="E165" s="47" t="n">
        <f aca="false">IFERROR(E113,"N/M")</f>
        <v>0.53118097656907</v>
      </c>
      <c r="F165" s="47" t="n">
        <f aca="false">IFERROR(F113,"N/M")</f>
        <v>0.602275790342706</v>
      </c>
      <c r="G165" s="47" t="n">
        <f aca="false">IFERROR(G113,"N/M")</f>
        <v>0.617298615802431</v>
      </c>
      <c r="H165" s="47" t="n">
        <f aca="false">IFERROR(H113,"N/M")</f>
        <v>0.62926522785332</v>
      </c>
      <c r="I165" s="47" t="n">
        <f aca="false">IFERROR(I113,"N/M")</f>
        <v>0.623313281024793</v>
      </c>
      <c r="J165" s="47" t="n">
        <f aca="false">IFERROR(J113,"N/M")</f>
        <v>0.61234665990401</v>
      </c>
      <c r="K165" s="22" t="n">
        <f aca="false">IFERROR(AVERAGE(D165:J165),"N/M")</f>
        <v>0.592412988687804</v>
      </c>
      <c r="L165" s="82" t="n">
        <f aca="false">IFERROR(J165-D165,"N/M")</f>
        <v>0.0811362905857125</v>
      </c>
      <c r="M165" s="83" t="n">
        <f aca="false">IFERROR(SLOPE(D165:J165,$D$3:$J$3),"N/M")</f>
        <v>0.0162379613635428</v>
      </c>
    </row>
    <row r="166" customFormat="false" ht="15" hidden="false" customHeight="false" outlineLevel="0" collapsed="false">
      <c r="A166" s="18" t="s">
        <v>639</v>
      </c>
      <c r="B166" s="19" t="s">
        <v>640</v>
      </c>
      <c r="D166" s="47" t="n">
        <f aca="false">IFERROR(D160,"N/M")</f>
        <v>1.20678174747503</v>
      </c>
      <c r="E166" s="47" t="n">
        <f aca="false">IFERROR(E160,"N/M")</f>
        <v>1.19600550773574</v>
      </c>
      <c r="F166" s="47" t="n">
        <f aca="false">IFERROR(F160,"N/M")</f>
        <v>1.21343363187652</v>
      </c>
      <c r="G166" s="47" t="n">
        <f aca="false">IFERROR(G160,"N/M")</f>
        <v>1.20406813340988</v>
      </c>
      <c r="H166" s="47" t="n">
        <f aca="false">IFERROR(H160,"N/M")</f>
        <v>1.19323760783436</v>
      </c>
      <c r="I166" s="47" t="n">
        <f aca="false">IFERROR(I160,"N/M")</f>
        <v>1.17809579721599</v>
      </c>
      <c r="J166" s="47" t="n">
        <f aca="false">IFERROR(J160,"N/M")</f>
        <v>1.17095492344951</v>
      </c>
      <c r="K166" s="22" t="n">
        <f aca="false">IFERROR(AVERAGE(D166:J166),"N/M")</f>
        <v>1.19465390699958</v>
      </c>
      <c r="L166" s="82" t="n">
        <f aca="false">IFERROR(J166-D166,"N/M")</f>
        <v>-0.0358268240255173</v>
      </c>
      <c r="M166" s="83" t="n">
        <f aca="false">IFERROR(SLOPE(D166:J166,$D$3:$J$3),"N/M")</f>
        <v>-0.00583913989850762</v>
      </c>
    </row>
    <row r="167" customFormat="false" ht="15" hidden="false" customHeight="false" outlineLevel="0" collapsed="false">
      <c r="A167" s="18" t="s">
        <v>641</v>
      </c>
      <c r="B167" s="19" t="s">
        <v>642</v>
      </c>
      <c r="D167" s="46" t="n">
        <f aca="false">IFERROR(((((D162*D163)*D164)*D165)*D166),"N/M")</f>
        <v>0.0396122219489916</v>
      </c>
      <c r="E167" s="46" t="n">
        <f aca="false">IFERROR(((((E162*E163)*E164)*E165)*E166),"N/M")</f>
        <v>0.049943262018765</v>
      </c>
      <c r="F167" s="46" t="n">
        <f aca="false">IFERROR(((((F162*F163)*F164)*F165)*F166),"N/M")</f>
        <v>0.100762027636215</v>
      </c>
      <c r="G167" s="46" t="n">
        <f aca="false">IFERROR(((((G162*G163)*G164)*G165)*G166),"N/M")</f>
        <v>0.106804879358081</v>
      </c>
      <c r="H167" s="46" t="n">
        <f aca="false">IFERROR(((((H162*H163)*H164)*H165)*H166),"N/M")</f>
        <v>0.109382348398472</v>
      </c>
      <c r="I167" s="46" t="n">
        <f aca="false">IFERROR(((((I162*I163)*I164)*I165)*I166),"N/M")</f>
        <v>0.106591827114354</v>
      </c>
      <c r="J167" s="46" t="n">
        <f aca="false">IFERROR(((((J162*J163)*J164)*J165)*J166),"N/M")</f>
        <v>0.0980737100775911</v>
      </c>
      <c r="K167" s="25" t="n">
        <f aca="false">IFERROR(AVERAGE(D167:J167),"N/M")</f>
        <v>0.0873100395074957</v>
      </c>
      <c r="L167" s="86" t="n">
        <f aca="false">IFERROR(J167-D167,"N/M")</f>
        <v>0.0584614881285995</v>
      </c>
      <c r="M167" s="87" t="n">
        <f aca="false">IFERROR(SLOPE(D167:J167,$D$3:$J$3),"N/M")</f>
        <v>0.0106179255478298</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n">
        <f aca="false">IFERROR(IF((1-(D135*D149))&lt;=0,"N/M",(D135*D149)/(1-(D135*D149))),"N/M")</f>
        <v>0.0152093232978391</v>
      </c>
      <c r="E170" s="46" t="n">
        <f aca="false">IFERROR(IF((1-(E135*E149))&lt;=0,"N/M",(E135*E149)/(1-(E135*E149))),"N/M")</f>
        <v>0.0168594070339554</v>
      </c>
      <c r="F170" s="46" t="n">
        <f aca="false">IFERROR(IF((1-(F135*F149))&lt;=0,"N/M",(F135*F149)/(1-(F135*F149))),"N/M")</f>
        <v>0.0415382301312214</v>
      </c>
      <c r="G170" s="46" t="n">
        <f aca="false">IFERROR(IF((1-(G135*G149))&lt;=0,"N/M",(G135*G149)/(1-(G135*G149))),"N/M")</f>
        <v>0.0395631742919493</v>
      </c>
      <c r="H170" s="46" t="n">
        <f aca="false">IFERROR(IF((1-(H135*H149))&lt;=0,"N/M",(H135*H149)/(1-(H135*H149))),"N/M")</f>
        <v>0.042442532133793</v>
      </c>
      <c r="I170" s="46" t="n">
        <f aca="false">IFERROR(IF((1-(I135*I149))&lt;=0,"N/M",(I135*I149)/(1-(I135*I149))),"N/M")</f>
        <v>0.043114775686986</v>
      </c>
      <c r="J170" s="46" t="n">
        <f aca="false">IFERROR(IF((1-(J135*J149))&lt;=0,"N/M",(J135*J149)/(1-(J135*J149))),"N/M")</f>
        <v>0.0412094066522422</v>
      </c>
      <c r="K170" s="25" t="n">
        <f aca="false">IFERROR(AVERAGE(D170:J170),"N/M")</f>
        <v>0.0342766927468552</v>
      </c>
      <c r="L170" s="86" t="n">
        <f aca="false">IFERROR(J170-D170,"N/M")</f>
        <v>0.0260000833544031</v>
      </c>
      <c r="M170" s="87" t="n">
        <f aca="false">IFERROR(SLOPE(D170:J170,$D$3:$J$3),"N/M")</f>
        <v>0.0046934031918515</v>
      </c>
    </row>
    <row r="171" customFormat="false" ht="15" hidden="false" customHeight="false" outlineLevel="0" collapsed="false">
      <c r="A171" s="18" t="s">
        <v>645</v>
      </c>
      <c r="B171" s="19" t="s">
        <v>646</v>
      </c>
      <c r="D171" s="46" t="n">
        <f aca="false">IFERROR(IF((1-(D139*D149))&lt;=0,"N/M",(D139*D149)/(1-(D139*D149))),"N/M")</f>
        <v>0.0184122404358473</v>
      </c>
      <c r="E171" s="46" t="n">
        <f aca="false">IFERROR(IF((1-(E139*E149))&lt;=0,"N/M",(E139*E149)/(1-(E139*E149))),"N/M")</f>
        <v>0.0202307970798915</v>
      </c>
      <c r="F171" s="46" t="n">
        <f aca="false">IFERROR(IF((1-(F139*F149))&lt;=0,"N/M",(F139*F149)/(1-(F139*F149))),"N/M")</f>
        <v>0.0508547461000908</v>
      </c>
      <c r="G171" s="46" t="n">
        <f aca="false">IFERROR(IF((1-(G139*G149))&lt;=0,"N/M",(G139*G149)/(1-(G139*G149))),"N/M")</f>
        <v>0.0480244871104161</v>
      </c>
      <c r="H171" s="46" t="n">
        <f aca="false">IFERROR(IF((1-(H139*H149))&lt;=0,"N/M",(H139*H149)/(1-(H139*H149))),"N/M")</f>
        <v>0.0510628168682676</v>
      </c>
      <c r="I171" s="46" t="n">
        <f aca="false">IFERROR(IF((1-(I139*I149))&lt;=0,"N/M",(I139*I149)/(1-(I139*I149))),"N/M")</f>
        <v>0.0511863736941421</v>
      </c>
      <c r="J171" s="46" t="n">
        <f aca="false">IFERROR(IF((1-(J139*J149))&lt;=0,"N/M",(J139*J149)/(1-(J139*J149))),"N/M")</f>
        <v>0.0485967191148393</v>
      </c>
      <c r="K171" s="25" t="n">
        <f aca="false">IFERROR(AVERAGE(D171:J171),"N/M")</f>
        <v>0.0411954543433564</v>
      </c>
      <c r="L171" s="86" t="n">
        <f aca="false">IFERROR(J171-D171,"N/M")</f>
        <v>0.0301844786789919</v>
      </c>
      <c r="M171" s="87" t="n">
        <f aca="false">IFERROR(SLOPE(D171:J171,$D$3:$J$3),"N/M")</f>
        <v>0.00545259500120192</v>
      </c>
    </row>
    <row r="172" customFormat="false" ht="15" hidden="false" customHeight="false" outlineLevel="0" collapsed="false">
      <c r="A172" s="18" t="s">
        <v>647</v>
      </c>
      <c r="B172" s="19" t="s">
        <v>648</v>
      </c>
      <c r="D172" s="46" t="n">
        <f aca="false">IFERROR((IF(C9&lt;=0,"N/M",D9/C9)-1),"N/M")</f>
        <v>-0.0612113754050425</v>
      </c>
      <c r="E172" s="46" t="n">
        <f aca="false">IFERROR((IF(D9&lt;=0,"N/M",E9/D9)-1),"N/M")</f>
        <v>-0.0158017968629169</v>
      </c>
      <c r="F172" s="46" t="n">
        <f aca="false">IFERROR((IF(E9&lt;=0,"N/M",F9/E9)-1),"N/M")</f>
        <v>0.190700909277619</v>
      </c>
      <c r="G172" s="46" t="n">
        <f aca="false">IFERROR((IF(F9&lt;=0,"N/M",G9/F9)-1),"N/M")</f>
        <v>0.0674778804426657</v>
      </c>
      <c r="H172" s="46" t="n">
        <f aca="false">IFERROR((IF(G9&lt;=0,"N/M",H9/G9)-1),"N/M")</f>
        <v>0.0592830072272166</v>
      </c>
      <c r="I172" s="46" t="n">
        <f aca="false">IFERROR((IF(H9&lt;=0,"N/M",I9/H9)-1),"N/M")</f>
        <v>0.0269962939465482</v>
      </c>
      <c r="J172" s="46" t="n">
        <f aca="false">IFERROR((IF(I9&lt;=0,"N/M",J9/I9)-1),"N/M")</f>
        <v>0.0215989161721251</v>
      </c>
      <c r="K172" s="25" t="n">
        <f aca="false">IFERROR(AVERAGE(D172:J172),"N/M")</f>
        <v>0.041291976399745</v>
      </c>
      <c r="L172" s="86" t="n">
        <f aca="false">IFERROR(J172-D172,"N/M")</f>
        <v>0.0828102915771676</v>
      </c>
      <c r="M172" s="87" t="n">
        <f aca="false">IFERROR(SLOPE(D172:J172,$D$3:$J$3),"N/M")</f>
        <v>0.00723604122500109</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0.65969400958919</v>
      </c>
      <c r="E176" s="46" t="n">
        <f aca="false">IFERROR(IF(E9&lt;=0,"N/M",E52/E9),"N/M")</f>
        <v>0.639494140418355</v>
      </c>
      <c r="F176" s="46" t="n">
        <f aca="false">IFERROR(IF(F9&lt;=0,"N/M",F52/F9),"N/M")</f>
        <v>0.637154322705754</v>
      </c>
      <c r="G176" s="46" t="n">
        <f aca="false">IFERROR(IF(G9&lt;=0,"N/M",G52/G9),"N/M")</f>
        <v>0.650476428305619</v>
      </c>
      <c r="H176" s="46" t="n">
        <f aca="false">IFERROR(IF(H9&lt;=0,"N/M",H52/H9),"N/M")</f>
        <v>0.65906735032779</v>
      </c>
      <c r="I176" s="46" t="n">
        <f aca="false">IFERROR(IF(I9&lt;=0,"N/M",I52/I9),"N/M")</f>
        <v>0.667744643311256</v>
      </c>
      <c r="J176" s="46" t="n">
        <f aca="false">IFERROR(IF(J9&lt;=0,"N/M",J52/J9),"N/M")</f>
        <v>0.663435389697289</v>
      </c>
      <c r="K176" s="25" t="n">
        <f aca="false">IFERROR(AVERAGE(D176:J176),"N/M")</f>
        <v>0.65386661205075</v>
      </c>
      <c r="L176" s="86" t="n">
        <f aca="false">IFERROR(J176-D176,"N/M")</f>
        <v>0.00374138010809955</v>
      </c>
      <c r="M176" s="87" t="n">
        <f aca="false">IFERROR(SLOPE(D176:J176,$D$3:$J$3),"N/M")</f>
        <v>0.00320136334757635</v>
      </c>
    </row>
    <row r="177" customFormat="false" ht="15" hidden="false" customHeight="false" outlineLevel="0" collapsed="false">
      <c r="A177" s="18" t="s">
        <v>407</v>
      </c>
      <c r="B177" s="19" t="s">
        <v>587</v>
      </c>
      <c r="D177" s="46" t="n">
        <f aca="false">IFERROR(IF(D9&lt;=0,"N/M",D14/D9),"N/M")</f>
        <v>0.0485937028637407</v>
      </c>
      <c r="E177" s="46" t="n">
        <f aca="false">IFERROR(IF(E9&lt;=0,"N/M",E14/E9),"N/M")</f>
        <v>0.0667270362279605</v>
      </c>
      <c r="F177" s="46" t="n">
        <f aca="false">IFERROR(IF(F9&lt;=0,"N/M",F14/F9),"N/M")</f>
        <v>0.054794824853353</v>
      </c>
      <c r="G177" s="46" t="n">
        <f aca="false">IFERROR(IF(G9&lt;=0,"N/M",G14/G9),"N/M")</f>
        <v>0.0527731261139511</v>
      </c>
      <c r="H177" s="46" t="n">
        <f aca="false">IFERROR(IF(H9&lt;=0,"N/M",H14/H9),"N/M")</f>
        <v>0.0535615439462593</v>
      </c>
      <c r="I177" s="46" t="n">
        <f aca="false">IFERROR(IF(I9&lt;=0,"N/M",I14/I9),"N/M")</f>
        <v>0.055073579220031</v>
      </c>
      <c r="J177" s="46" t="n">
        <f aca="false">IFERROR(IF(J9&lt;=0,"N/M",J14/J9),"N/M")</f>
        <v>0.0572664079735917</v>
      </c>
      <c r="K177" s="25" t="n">
        <f aca="false">IFERROR(AVERAGE(D177:J177),"N/M")</f>
        <v>0.0555414601712696</v>
      </c>
      <c r="L177" s="86" t="n">
        <f aca="false">IFERROR(J177-D177,"N/M")</f>
        <v>0.00867270510985102</v>
      </c>
      <c r="M177" s="87" t="n">
        <f aca="false">IFERROR(SLOPE(D177:J177,$D$3:$J$3),"N/M")</f>
        <v>5.27828716643052E-005</v>
      </c>
    </row>
    <row r="178" customFormat="false" ht="15" hidden="false" customHeight="false" outlineLevel="0" collapsed="false">
      <c r="A178" s="18" t="s">
        <v>654</v>
      </c>
      <c r="B178" s="19" t="s">
        <v>655</v>
      </c>
      <c r="D178" s="46" t="n">
        <f aca="false">IFERROR(IF(D9&lt;=0,"N/M",D15/D9),"N/M")</f>
        <v>0.0416108369179222</v>
      </c>
      <c r="E178" s="46" t="n">
        <f aca="false">IFERROR(IF(E9&lt;=0,"N/M",E15/E9),"N/M")</f>
        <v>0.137325192778058</v>
      </c>
      <c r="F178" s="46" t="n">
        <f aca="false">IFERROR(IF(F9&lt;=0,"N/M",F15/F9),"N/M")</f>
        <v>0.0908133437348502</v>
      </c>
      <c r="G178" s="46" t="n">
        <f aca="false">IFERROR(IF(G9&lt;=0,"N/M",G15/G9),"N/M")</f>
        <v>0.080209373837084</v>
      </c>
      <c r="H178" s="46" t="n">
        <f aca="false">IFERROR(IF(H9&lt;=0,"N/M",H15/H9),"N/M")</f>
        <v>0.0747497229415918</v>
      </c>
      <c r="I178" s="46" t="n">
        <f aca="false">IFERROR(IF(I9&lt;=0,"N/M",I15/I9),"N/M")</f>
        <v>0.0718159743085984</v>
      </c>
      <c r="J178" s="46" t="n">
        <f aca="false">IFERROR(IF(J9&lt;=0,"N/M",J15/J9),"N/M")</f>
        <v>0.0797315113939136</v>
      </c>
      <c r="K178" s="25" t="n">
        <f aca="false">IFERROR(AVERAGE(D178:J178),"N/M")</f>
        <v>0.0823222794160026</v>
      </c>
      <c r="L178" s="86" t="n">
        <f aca="false">IFERROR(J178-D178,"N/M")</f>
        <v>0.0381206744759914</v>
      </c>
      <c r="M178" s="87" t="n">
        <f aca="false">IFERROR(SLOPE(D178:J178,$D$3:$J$3),"N/M")</f>
        <v>-0.00116857265372154</v>
      </c>
    </row>
    <row r="179" customFormat="false" ht="15" hidden="false" customHeight="false" outlineLevel="0" collapsed="false">
      <c r="A179" s="18" t="s">
        <v>411</v>
      </c>
      <c r="B179" s="19" t="s">
        <v>656</v>
      </c>
      <c r="D179" s="46" t="n">
        <f aca="false">IFERROR(IF(D9&lt;=0,"N/M",D16/D9),"N/M")</f>
        <v>-0.00933958320253221</v>
      </c>
      <c r="E179" s="46" t="n">
        <f aca="false">IFERROR(IF(E9&lt;=0,"N/M",E16/E9),"N/M")</f>
        <v>-0.00651151067047555</v>
      </c>
      <c r="F179" s="46" t="n">
        <f aca="false">IFERROR(IF(F9&lt;=0,"N/M",F16/F9),"N/M")</f>
        <v>-0.0112391264293919</v>
      </c>
      <c r="G179" s="46" t="n">
        <f aca="false">IFERROR(IF(G9&lt;=0,"N/M",G16/G9),"N/M")</f>
        <v>-0.0121004465597274</v>
      </c>
      <c r="H179" s="46" t="n">
        <f aca="false">IFERROR(IF(H9&lt;=0,"N/M",H16/H9),"N/M")</f>
        <v>-0.0137263806984761</v>
      </c>
      <c r="I179" s="46" t="n">
        <f aca="false">IFERROR(IF(I9&lt;=0,"N/M",I16/I9),"N/M")</f>
        <v>-0.0118059822077592</v>
      </c>
      <c r="J179" s="46" t="n">
        <f aca="false">IFERROR(IF(J9&lt;=0,"N/M",J16/J9),"N/M")</f>
        <v>-0.0153607733035796</v>
      </c>
      <c r="K179" s="25" t="n">
        <f aca="false">IFERROR(AVERAGE(D179:J179),"N/M")</f>
        <v>-0.0114405432959917</v>
      </c>
      <c r="L179" s="86" t="n">
        <f aca="false">IFERROR(J179-D179,"N/M")</f>
        <v>-0.00602119010104739</v>
      </c>
      <c r="M179" s="87" t="n">
        <f aca="false">IFERROR(SLOPE(D179:J179,$D$3:$J$3),"N/M")</f>
        <v>-0.00111213455881406</v>
      </c>
    </row>
    <row r="180" customFormat="false" ht="15" hidden="false" customHeight="false" outlineLevel="0" collapsed="false">
      <c r="A180" s="18" t="s">
        <v>657</v>
      </c>
      <c r="B180" s="19" t="s">
        <v>658</v>
      </c>
      <c r="D180" s="46" t="n">
        <f aca="false">IFERROR(IF(D9&lt;=0,"N/M",D56/D9),"N/M")</f>
        <v>0.259441033831679</v>
      </c>
      <c r="E180" s="46" t="n">
        <f aca="false">IFERROR(IF(E9&lt;=0,"N/M",E56/E9),"N/M")</f>
        <v>0.162965141246102</v>
      </c>
      <c r="F180" s="46" t="n">
        <f aca="false">IFERROR(IF(F9&lt;=0,"N/M",F56/F9),"N/M")</f>
        <v>0.228476635135435</v>
      </c>
      <c r="G180" s="46" t="n">
        <f aca="false">IFERROR(IF(G9&lt;=0,"N/M",G56/G9),"N/M")</f>
        <v>0.228641518303073</v>
      </c>
      <c r="H180" s="46" t="n">
        <f aca="false">IFERROR(IF(H9&lt;=0,"N/M",H56/H9),"N/M")</f>
        <v>0.226347763482835</v>
      </c>
      <c r="I180" s="46" t="n">
        <f aca="false">IFERROR(IF(I9&lt;=0,"N/M",I56/I9),"N/M")</f>
        <v>0.217171785367874</v>
      </c>
      <c r="J180" s="46" t="n">
        <f aca="false">IFERROR(IF(J9&lt;=0,"N/M",J56/J9),"N/M")</f>
        <v>0.214927464238785</v>
      </c>
      <c r="K180" s="25" t="n">
        <f aca="false">IFERROR(AVERAGE(D180:J180),"N/M")</f>
        <v>0.219710191657969</v>
      </c>
      <c r="L180" s="86" t="n">
        <f aca="false">IFERROR(J180-D180,"N/M")</f>
        <v>-0.0445135695928946</v>
      </c>
      <c r="M180" s="87" t="n">
        <f aca="false">IFERROR(SLOPE(D180:J180,$D$3:$J$3),"N/M")</f>
        <v>-0.000973439006705054</v>
      </c>
    </row>
    <row r="181" customFormat="false" ht="15" hidden="false" customHeight="false" outlineLevel="0" collapsed="false">
      <c r="A181" s="18" t="s">
        <v>659</v>
      </c>
      <c r="B181" s="19" t="s">
        <v>660</v>
      </c>
      <c r="D181" s="46" t="n">
        <f aca="false">IFERROR(IF(D9&lt;=0,"N/M",D17/D9),"N/M")</f>
        <v>-0.0856901782009013</v>
      </c>
      <c r="E181" s="46" t="n">
        <f aca="false">IFERROR(IF(E9&lt;=0,"N/M",E17/E9),"N/M")</f>
        <v>0.0347093859108647</v>
      </c>
      <c r="F181" s="46" t="n">
        <f aca="false">IFERROR(IF(F9&lt;=0,"N/M",F17/F9),"N/M")</f>
        <v>0.0353155017882507</v>
      </c>
      <c r="G181" s="46" t="n">
        <f aca="false">IFERROR(IF(G9&lt;=0,"N/M",G17/G9),"N/M")</f>
        <v>0.0407730575631157</v>
      </c>
      <c r="H181" s="46" t="n">
        <f aca="false">IFERROR(IF(H9&lt;=0,"N/M",H17/H9),"N/M")</f>
        <v>0.0462476642156098</v>
      </c>
      <c r="I181" s="46" t="n">
        <f aca="false">IFERROR(IF(I9&lt;=0,"N/M",I17/I9),"N/M")</f>
        <v>0.0502811966215897</v>
      </c>
      <c r="J181" s="46" t="n">
        <f aca="false">IFERROR(IF(J9&lt;=0,"N/M",J17/J9),"N/M")</f>
        <v>0.0433430223913065</v>
      </c>
      <c r="K181" s="25" t="n">
        <f aca="false">IFERROR(AVERAGE(D181:J181),"N/M")</f>
        <v>0.0235685214699765</v>
      </c>
      <c r="L181" s="86" t="n">
        <f aca="false">IFERROR(J181-D181,"N/M")</f>
        <v>0.129033200592208</v>
      </c>
      <c r="M181" s="87" t="n">
        <f aca="false">IFERROR(SLOPE(D181:J181,$D$3:$J$3),"N/M")</f>
        <v>0.0153276923437655</v>
      </c>
    </row>
    <row r="182" customFormat="false" ht="15" hidden="false" customHeight="false" outlineLevel="0" collapsed="false">
      <c r="A182" s="18" t="s">
        <v>661</v>
      </c>
      <c r="B182" s="19" t="s">
        <v>662</v>
      </c>
      <c r="D182" s="46" t="n">
        <f aca="false">IFERROR(IF(D9&lt;=0,"N/M",D18/D9),"N/M")</f>
        <v>0.0833671502097157</v>
      </c>
      <c r="E182" s="46" t="n">
        <f aca="false">IFERROR(IF(E9&lt;=0,"N/M",E18/E9),"N/M")</f>
        <v>0.0861013088369835</v>
      </c>
      <c r="F182" s="46" t="n">
        <f aca="false">IFERROR(IF(F9&lt;=0,"N/M",F18/F9),"N/M")</f>
        <v>0.0733620551097452</v>
      </c>
      <c r="G182" s="46" t="n">
        <f aca="false">IFERROR(IF(G9&lt;=0,"N/M",G18/G9),"N/M")</f>
        <v>0.0701434181405096</v>
      </c>
      <c r="H182" s="46" t="n">
        <f aca="false">IFERROR(IF(H9&lt;=0,"N/M",H18/H9),"N/M")</f>
        <v>0.0714874251884517</v>
      </c>
      <c r="I182" s="46" t="n">
        <f aca="false">IFERROR(IF(I9&lt;=0,"N/M",I18/I9),"N/M")</f>
        <v>0.0654032510335298</v>
      </c>
      <c r="J182" s="46" t="n">
        <f aca="false">IFERROR(IF(J9&lt;=0,"N/M",J18/J9),"N/M")</f>
        <v>0.0677973382443163</v>
      </c>
      <c r="K182" s="25" t="n">
        <f aca="false">IFERROR(AVERAGE(D182:J182),"N/M")</f>
        <v>0.0739517066804645</v>
      </c>
      <c r="L182" s="86" t="n">
        <f aca="false">IFERROR(J182-D182,"N/M")</f>
        <v>-0.0155698119653994</v>
      </c>
      <c r="M182" s="87" t="n">
        <f aca="false">IFERROR(SLOPE(D182:J182,$D$3:$J$3),"N/M")</f>
        <v>-0.00321357790801425</v>
      </c>
    </row>
    <row r="183" customFormat="false" ht="15" hidden="false" customHeight="false" outlineLevel="0" collapsed="false">
      <c r="A183" s="18" t="s">
        <v>663</v>
      </c>
      <c r="B183" s="19" t="s">
        <v>591</v>
      </c>
      <c r="D183" s="46" t="n">
        <f aca="false">IFERROR(IF(D9&lt;=0,"N/M",D19/D9),"N/M")</f>
        <v>0.00711149768692566</v>
      </c>
      <c r="E183" s="46" t="n">
        <f aca="false">IFERROR(IF(E9&lt;=0,"N/M",E19/E9),"N/M")</f>
        <v>0.0067542336488732</v>
      </c>
      <c r="F183" s="46" t="n">
        <f aca="false">IFERROR(IF(F9&lt;=0,"N/M",F19/F9),"N/M")</f>
        <v>0.00821144872483415</v>
      </c>
      <c r="G183" s="46" t="n">
        <f aca="false">IFERROR(IF(G9&lt;=0,"N/M",G19/G9),"N/M")</f>
        <v>0.0079176214818732</v>
      </c>
      <c r="H183" s="46" t="n">
        <f aca="false">IFERROR(IF(H9&lt;=0,"N/M",H19/H9),"N/M")</f>
        <v>0.00828921777657594</v>
      </c>
      <c r="I183" s="46" t="n">
        <f aca="false">IFERROR(IF(I9&lt;=0,"N/M",I19/I9),"N/M")</f>
        <v>0.00827724028977092</v>
      </c>
      <c r="J183" s="46" t="n">
        <f aca="false">IFERROR(IF(J9&lt;=0,"N/M",J19/J9),"N/M")</f>
        <v>0.00864965959794999</v>
      </c>
      <c r="K183" s="25" t="n">
        <f aca="false">IFERROR(AVERAGE(D183:J183),"N/M")</f>
        <v>0.00788727417240044</v>
      </c>
      <c r="L183" s="86" t="n">
        <f aca="false">IFERROR(J183-D183,"N/M")</f>
        <v>0.00153816191102433</v>
      </c>
      <c r="M183" s="87" t="n">
        <f aca="false">IFERROR(SLOPE(D183:J183,$D$3:$J$3),"N/M")</f>
        <v>0.000276366716664651</v>
      </c>
    </row>
    <row r="184" customFormat="false" ht="15" hidden="false" customHeight="false" outlineLevel="0" collapsed="false">
      <c r="A184" s="18" t="s">
        <v>664</v>
      </c>
      <c r="B184" s="19" t="s">
        <v>665</v>
      </c>
      <c r="D184" s="46" t="n">
        <f aca="false">IFERROR(IF(D9&lt;=0,"N/M",D20/D9),"N/M")</f>
        <v>0.0832722077341366</v>
      </c>
      <c r="E184" s="46" t="n">
        <f aca="false">IFERROR(IF(E9&lt;=0,"N/M",E20/E9),"N/M")</f>
        <v>0.10481898467111</v>
      </c>
      <c r="F184" s="46" t="n">
        <f aca="false">IFERROR(IF(F9&lt;=0,"N/M",F20/F9),"N/M")</f>
        <v>0.182218633089107</v>
      </c>
      <c r="G184" s="46" t="n">
        <f aca="false">IFERROR(IF(G9&lt;=0,"N/M",G20/G9),"N/M")</f>
        <v>0.191353536243806</v>
      </c>
      <c r="H184" s="46" t="n">
        <f aca="false">IFERROR(IF(H9&lt;=0,"N/M",H20/H9),"N/M")</f>
        <v>0.192818784733417</v>
      </c>
      <c r="I184" s="46" t="n">
        <f aca="false">IFERROR(IF(I9&lt;=0,"N/M",I20/I9),"N/M")</f>
        <v>0.193772490666163</v>
      </c>
      <c r="J184" s="46" t="n">
        <f aca="false">IFERROR(IF(J9&lt;=0,"N/M",J20/J9),"N/M")</f>
        <v>0.181823488787825</v>
      </c>
      <c r="K184" s="25" t="n">
        <f aca="false">IFERROR(AVERAGE(D184:J184),"N/M")</f>
        <v>0.161439732275081</v>
      </c>
      <c r="L184" s="86" t="n">
        <f aca="false">IFERROR(J184-D184,"N/M")</f>
        <v>0.0985512810536885</v>
      </c>
      <c r="M184" s="87" t="n">
        <f aca="false">IFERROR(SLOPE(D184:J184,$D$3:$J$3),"N/M")</f>
        <v>0.01729146452841</v>
      </c>
    </row>
    <row r="185" customFormat="false" ht="15" hidden="false" customHeight="false" outlineLevel="0" collapsed="false">
      <c r="A185" s="18" t="s">
        <v>421</v>
      </c>
      <c r="B185" s="19" t="s">
        <v>666</v>
      </c>
      <c r="D185" s="46" t="n">
        <f aca="false">IFERROR(IF(D9&lt;=0,"N/M",D21/D9),"N/M")</f>
        <v>0.02114613943987</v>
      </c>
      <c r="E185" s="46" t="n">
        <f aca="false">IFERROR(IF(E9&lt;=0,"N/M",E21/E9),"N/M")</f>
        <v>0.0269142441046323</v>
      </c>
      <c r="F185" s="46" t="n">
        <f aca="false">IFERROR(IF(F9&lt;=0,"N/M",F21/F9),"N/M")</f>
        <v>0.0447160686447843</v>
      </c>
      <c r="G185" s="46" t="n">
        <f aca="false">IFERROR(IF(G9&lt;=0,"N/M",G21/G9),"N/M")</f>
        <v>0.0477064849090233</v>
      </c>
      <c r="H185" s="46" t="n">
        <f aca="false">IFERROR(IF(H9&lt;=0,"N/M",H21/H9),"N/M")</f>
        <v>0.0469699228396667</v>
      </c>
      <c r="I185" s="46" t="n">
        <f aca="false">IFERROR(IF(I9&lt;=0,"N/M",I21/I9),"N/M")</f>
        <v>0.0482681483781965</v>
      </c>
      <c r="J185" s="46" t="n">
        <f aca="false">IFERROR(IF(J9&lt;=0,"N/M",J21/J9),"N/M")</f>
        <v>0.0446118887935526</v>
      </c>
      <c r="K185" s="25" t="n">
        <f aca="false">IFERROR(AVERAGE(D185:J185),"N/M")</f>
        <v>0.0400475567299608</v>
      </c>
      <c r="L185" s="86" t="n">
        <f aca="false">IFERROR(J185-D185,"N/M")</f>
        <v>0.0234657493536826</v>
      </c>
      <c r="M185" s="87" t="n">
        <f aca="false">IFERROR(SLOPE(D185:J185,$D$3:$J$3),"N/M")</f>
        <v>0.00411996110010923</v>
      </c>
    </row>
    <row r="186" customFormat="false" ht="15" hidden="false" customHeight="false" outlineLevel="0" collapsed="false">
      <c r="A186" s="18" t="s">
        <v>667</v>
      </c>
      <c r="B186" s="19" t="s">
        <v>668</v>
      </c>
      <c r="D186" s="46" t="n">
        <f aca="false">IFERROR(IF(D9&lt;=0,"N/M",D22/D9),"N/M")</f>
        <v>0.0617922382994884</v>
      </c>
      <c r="E186" s="46" t="n">
        <f aca="false">IFERROR(IF(E9&lt;=0,"N/M",E22/E9),"N/M")</f>
        <v>0.0786142385033328</v>
      </c>
      <c r="F186" s="46" t="n">
        <f aca="false">IFERROR(IF(F9&lt;=0,"N/M",F22/F9),"N/M")</f>
        <v>0.137874980562492</v>
      </c>
      <c r="G186" s="46" t="n">
        <f aca="false">IFERROR(IF(G9&lt;=0,"N/M",G22/G9),"N/M")</f>
        <v>0.143696016217169</v>
      </c>
      <c r="H186" s="46" t="n">
        <f aca="false">IFERROR(IF(H9&lt;=0,"N/M",H22/H9),"N/M")</f>
        <v>0.145675519823977</v>
      </c>
      <c r="I186" s="46" t="n">
        <f aca="false">IFERROR(IF(I9&lt;=0,"N/M",I22/I9),"N/M")</f>
        <v>0.14515664418444</v>
      </c>
      <c r="J186" s="46" t="n">
        <f aca="false">IFERROR(IF(J9&lt;=0,"N/M",J22/J9),"N/M")</f>
        <v>0.13677763006156</v>
      </c>
      <c r="K186" s="25" t="n">
        <f aca="false">IFERROR(AVERAGE(D186:J186),"N/M")</f>
        <v>0.121369609664637</v>
      </c>
      <c r="L186" s="86" t="n">
        <f aca="false">IFERROR(J186-D186,"N/M")</f>
        <v>0.0749853917620715</v>
      </c>
      <c r="M186" s="87" t="n">
        <f aca="false">IFERROR(SLOPE(D186:J186,$D$3:$J$3),"N/M")</f>
        <v>0.0130657687824969</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0.0258424126031915</v>
      </c>
      <c r="E189" s="46" t="n">
        <f aca="false">IFERROR(IF(E35&lt;=0,"N/M",E26/E35),"N/M")</f>
        <v>0.0245478608753107</v>
      </c>
      <c r="F189" s="46" t="n">
        <f aca="false">IFERROR(IF(F35&lt;=0,"N/M",F26/F35),"N/M")</f>
        <v>0.0234305420749931</v>
      </c>
      <c r="G189" s="46" t="n">
        <f aca="false">IFERROR(IF(G35&lt;=0,"N/M",G26/G35),"N/M")</f>
        <v>0.0226252240985187</v>
      </c>
      <c r="H189" s="46" t="n">
        <f aca="false">IFERROR(IF(H35&lt;=0,"N/M",H26/H35),"N/M")</f>
        <v>0.0217015620280721</v>
      </c>
      <c r="I189" s="46" t="n">
        <f aca="false">IFERROR(IF(I35&lt;=0,"N/M",I26/I35),"N/M")</f>
        <v>0.0210433466001163</v>
      </c>
      <c r="J189" s="46" t="n">
        <f aca="false">IFERROR(IF(J35&lt;=0,"N/M",J26/J35),"N/M")</f>
        <v>0.0250932736241564</v>
      </c>
      <c r="K189" s="25" t="n">
        <f aca="false">IFERROR(AVERAGE(D189:J189),"N/M")</f>
        <v>0.0234691745577655</v>
      </c>
      <c r="L189" s="86" t="n">
        <f aca="false">IFERROR(J189-D189,"N/M")</f>
        <v>-0.000749138979035127</v>
      </c>
      <c r="M189" s="87" t="n">
        <f aca="false">IFERROR(SLOPE(D189:J189,$D$3:$J$3),"N/M")</f>
        <v>-0.000392336626229116</v>
      </c>
    </row>
    <row r="190" customFormat="false" ht="15" hidden="false" customHeight="false" outlineLevel="0" collapsed="false">
      <c r="A190" s="18" t="s">
        <v>671</v>
      </c>
      <c r="B190" s="19" t="s">
        <v>672</v>
      </c>
      <c r="D190" s="46" t="n">
        <f aca="false">IFERROR(IF(D35&lt;=0,"N/M",D27/D35),"N/M")</f>
        <v>0.826333728059609</v>
      </c>
      <c r="E190" s="46" t="n">
        <f aca="false">IFERROR(IF(E35&lt;=0,"N/M",E27/E35),"N/M")</f>
        <v>0.796313590562792</v>
      </c>
      <c r="F190" s="46" t="n">
        <f aca="false">IFERROR(IF(F35&lt;=0,"N/M",F27/F35),"N/M")</f>
        <v>0.803775651309849</v>
      </c>
      <c r="G190" s="46" t="n">
        <f aca="false">IFERROR(IF(G35&lt;=0,"N/M",G27/G35),"N/M")</f>
        <v>0.811090333054587</v>
      </c>
      <c r="H190" s="46" t="n">
        <f aca="false">IFERROR(IF(H35&lt;=0,"N/M",H27/H35),"N/M")</f>
        <v>0.820517788656063</v>
      </c>
      <c r="I190" s="46" t="n">
        <f aca="false">IFERROR(IF(I35&lt;=0,"N/M",I27/I35),"N/M")</f>
        <v>0.834191690969148</v>
      </c>
      <c r="J190" s="46" t="n">
        <f aca="false">IFERROR(IF(J35&lt;=0,"N/M",J27/J35),"N/M")</f>
        <v>0.827736037290999</v>
      </c>
      <c r="K190" s="25" t="n">
        <f aca="false">IFERROR(AVERAGE(D190:J190),"N/M")</f>
        <v>0.817136974271864</v>
      </c>
      <c r="L190" s="86" t="n">
        <f aca="false">IFERROR(J190-D190,"N/M")</f>
        <v>0.00140230923138984</v>
      </c>
      <c r="M190" s="87" t="n">
        <f aca="false">IFERROR(SLOPE(D190:J190,$D$3:$J$3),"N/M")</f>
        <v>0.00345375949475339</v>
      </c>
    </row>
    <row r="191" customFormat="false" ht="15" hidden="false" customHeight="false" outlineLevel="0" collapsed="false">
      <c r="A191" s="18" t="s">
        <v>673</v>
      </c>
      <c r="B191" s="19" t="s">
        <v>674</v>
      </c>
      <c r="D191" s="46" t="n">
        <f aca="false">IFERROR(IF(D35&lt;=0,"N/M",D61/D35),"N/M")</f>
        <v>0.852176140662801</v>
      </c>
      <c r="E191" s="46" t="n">
        <f aca="false">IFERROR(IF(E35&lt;=0,"N/M",E61/E35),"N/M")</f>
        <v>0.820861451438103</v>
      </c>
      <c r="F191" s="46" t="n">
        <f aca="false">IFERROR(IF(F35&lt;=0,"N/M",F61/F35),"N/M")</f>
        <v>0.827206193384842</v>
      </c>
      <c r="G191" s="46" t="n">
        <f aca="false">IFERROR(IF(G35&lt;=0,"N/M",G61/G35),"N/M")</f>
        <v>0.833715557153106</v>
      </c>
      <c r="H191" s="46" t="n">
        <f aca="false">IFERROR(IF(H35&lt;=0,"N/M",H61/H35),"N/M")</f>
        <v>0.842219350684135</v>
      </c>
      <c r="I191" s="46" t="n">
        <f aca="false">IFERROR(IF(I35&lt;=0,"N/M",I61/I35),"N/M")</f>
        <v>0.855235037569264</v>
      </c>
      <c r="J191" s="46" t="n">
        <f aca="false">IFERROR(IF(J35&lt;=0,"N/M",J61/J35),"N/M")</f>
        <v>0.852829310915156</v>
      </c>
      <c r="K191" s="25" t="n">
        <f aca="false">IFERROR(AVERAGE(D191:J191),"N/M")</f>
        <v>0.84060614882963</v>
      </c>
      <c r="L191" s="86" t="n">
        <f aca="false">IFERROR(J191-D191,"N/M")</f>
        <v>0.000653170252354673</v>
      </c>
      <c r="M191" s="87" t="n">
        <f aca="false">IFERROR(SLOPE(D191:J191,$D$3:$J$3),"N/M")</f>
        <v>0.00306142286852427</v>
      </c>
    </row>
    <row r="192" customFormat="false" ht="15" hidden="false" customHeight="false" outlineLevel="0" collapsed="false">
      <c r="A192" s="18" t="s">
        <v>675</v>
      </c>
      <c r="B192" s="19" t="s">
        <v>676</v>
      </c>
      <c r="D192" s="46" t="n">
        <f aca="false">IFERROR(IF(D35&lt;=0,"N/M",D28/D35),"N/M")</f>
        <v>0.00593785945256329</v>
      </c>
      <c r="E192" s="46" t="n">
        <f aca="false">IFERROR(IF(E35&lt;=0,"N/M",E28/E35),"N/M")</f>
        <v>0.0582517152883256</v>
      </c>
      <c r="F192" s="46" t="n">
        <f aca="false">IFERROR(IF(F35&lt;=0,"N/M",F28/F35),"N/M")</f>
        <v>0.0565501689706251</v>
      </c>
      <c r="G192" s="46" t="n">
        <f aca="false">IFERROR(IF(G35&lt;=0,"N/M",G28/G35),"N/M")</f>
        <v>0.0578267011064191</v>
      </c>
      <c r="H192" s="46" t="n">
        <f aca="false">IFERROR(IF(H35&lt;=0,"N/M",H28/H35),"N/M")</f>
        <v>0.0668677376522279</v>
      </c>
      <c r="I192" s="46" t="n">
        <f aca="false">IFERROR(IF(I35&lt;=0,"N/M",I28/I35),"N/M")</f>
        <v>0.0595043537243926</v>
      </c>
      <c r="J192" s="46" t="n">
        <f aca="false">IFERROR(IF(J35&lt;=0,"N/M",J28/J35),"N/M")</f>
        <v>0.0635598302031263</v>
      </c>
      <c r="K192" s="25" t="n">
        <f aca="false">IFERROR(AVERAGE(D192:J192),"N/M")</f>
        <v>0.0526426237710971</v>
      </c>
      <c r="L192" s="86" t="n">
        <f aca="false">IFERROR(J192-D192,"N/M")</f>
        <v>0.057621970750563</v>
      </c>
      <c r="M192" s="87" t="n">
        <f aca="false">IFERROR(SLOPE(D192:J192,$D$3:$J$3),"N/M")</f>
        <v>0.00663174135019378</v>
      </c>
    </row>
    <row r="193" customFormat="false" ht="15" hidden="false" customHeight="false" outlineLevel="0" collapsed="false">
      <c r="A193" s="18" t="s">
        <v>496</v>
      </c>
      <c r="B193" s="19" t="s">
        <v>677</v>
      </c>
      <c r="D193" s="46" t="n">
        <f aca="false">IFERROR(IF(D35&lt;=0,"N/M",D29/D35),"N/M")</f>
        <v>0.141885999884636</v>
      </c>
      <c r="E193" s="46" t="n">
        <f aca="false">IFERROR(IF(E35&lt;=0,"N/M",E29/E35),"N/M")</f>
        <v>0.120886833273572</v>
      </c>
      <c r="F193" s="46" t="n">
        <f aca="false">IFERROR(IF(F35&lt;=0,"N/M",F29/F35),"N/M")</f>
        <v>0.116243637644533</v>
      </c>
      <c r="G193" s="46" t="n">
        <f aca="false">IFERROR(IF(G35&lt;=0,"N/M",G29/G35),"N/M")</f>
        <v>0.108457741740475</v>
      </c>
      <c r="H193" s="46" t="n">
        <f aca="false">IFERROR(IF(H35&lt;=0,"N/M",H29/H35),"N/M")</f>
        <v>0.0909129116636368</v>
      </c>
      <c r="I193" s="46" t="n">
        <f aca="false">IFERROR(IF(I35&lt;=0,"N/M",I29/I35),"N/M")</f>
        <v>0.0852606087063436</v>
      </c>
      <c r="J193" s="46" t="n">
        <f aca="false">IFERROR(IF(J35&lt;=0,"N/M",J29/J35),"N/M")</f>
        <v>0.0836108588817181</v>
      </c>
      <c r="K193" s="25" t="n">
        <f aca="false">IFERROR(AVERAGE(D193:J193),"N/M")</f>
        <v>0.106751227399273</v>
      </c>
      <c r="L193" s="86" t="n">
        <f aca="false">IFERROR(J193-D193,"N/M")</f>
        <v>-0.0582751410029178</v>
      </c>
      <c r="M193" s="87" t="n">
        <f aca="false">IFERROR(SLOPE(D193:J193,$D$3:$J$3),"N/M")</f>
        <v>-0.00969316421871806</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0.45363634512875</v>
      </c>
      <c r="E195" s="46" t="n">
        <f aca="false">IFERROR(IF(E35&lt;=0,"N/M",E31/E35),"N/M")</f>
        <v>0.456283212937484</v>
      </c>
      <c r="F195" s="46" t="n">
        <f aca="false">IFERROR(IF(F35&lt;=0,"N/M",F31/F35),"N/M")</f>
        <v>0.440131946292414</v>
      </c>
      <c r="G195" s="46" t="n">
        <f aca="false">IFERROR(IF(G35&lt;=0,"N/M",G31/G35),"N/M")</f>
        <v>0.417427772323332</v>
      </c>
      <c r="H195" s="46" t="n">
        <f aca="false">IFERROR(IF(H35&lt;=0,"N/M",H31/H35),"N/M")</f>
        <v>0.42845786057432</v>
      </c>
      <c r="I195" s="46" t="n">
        <f aca="false">IFERROR(IF(I35&lt;=0,"N/M",I31/I35),"N/M")</f>
        <v>0.454400211089668</v>
      </c>
      <c r="J195" s="46" t="n">
        <f aca="false">IFERROR(IF(J35&lt;=0,"N/M",J31/J35),"N/M")</f>
        <v>0.472628095557527</v>
      </c>
      <c r="K195" s="25" t="n">
        <f aca="false">IFERROR(AVERAGE(D195:J195),"N/M")</f>
        <v>0.446137920557642</v>
      </c>
      <c r="L195" s="86" t="n">
        <f aca="false">IFERROR(J195-D195,"N/M")</f>
        <v>0.0189917504287767</v>
      </c>
      <c r="M195" s="87" t="n">
        <f aca="false">IFERROR(SLOPE(D195:J195,$D$3:$J$3),"N/M")</f>
        <v>0.00148339863830727</v>
      </c>
    </row>
    <row r="196" customFormat="false" ht="15" hidden="false" customHeight="false" outlineLevel="0" collapsed="false">
      <c r="A196" s="18" t="s">
        <v>680</v>
      </c>
      <c r="B196" s="19" t="s">
        <v>681</v>
      </c>
      <c r="D196" s="46" t="n">
        <f aca="false">IFERROR(IF(D35&lt;=0,"N/M",D32/D35),"N/M")</f>
        <v>0.0799973873418409</v>
      </c>
      <c r="E196" s="46" t="n">
        <f aca="false">IFERROR(IF(E35&lt;=0,"N/M",E32/E35),"N/M")</f>
        <v>0.0743373527954264</v>
      </c>
      <c r="F196" s="46" t="n">
        <f aca="false">IFERROR(IF(F35&lt;=0,"N/M",F32/F35),"N/M")</f>
        <v>0.058100668652988</v>
      </c>
      <c r="G196" s="46" t="n">
        <f aca="false">IFERROR(IF(G35&lt;=0,"N/M",G32/G35),"N/M")</f>
        <v>0.0621415723361055</v>
      </c>
      <c r="H196" s="46" t="n">
        <f aca="false">IFERROR(IF(H35&lt;=0,"N/M",H32/H35),"N/M")</f>
        <v>0.0635873932196242</v>
      </c>
      <c r="I196" s="46" t="n">
        <f aca="false">IFERROR(IF(I35&lt;=0,"N/M",I32/I35),"N/M")</f>
        <v>0.0590118572160754</v>
      </c>
      <c r="J196" s="46" t="n">
        <f aca="false">IFERROR(IF(J35&lt;=0,"N/M",J32/J35),"N/M")</f>
        <v>0.0597096162437779</v>
      </c>
      <c r="K196" s="25" t="n">
        <f aca="false">IFERROR(AVERAGE(D196:J196),"N/M")</f>
        <v>0.0652694068294055</v>
      </c>
      <c r="L196" s="86" t="n">
        <f aca="false">IFERROR(J196-D196,"N/M")</f>
        <v>-0.020287771098063</v>
      </c>
      <c r="M196" s="87" t="n">
        <f aca="false">IFERROR(SLOPE(D196:J196,$D$3:$J$3),"N/M")</f>
        <v>-0.00307241356736624</v>
      </c>
    </row>
    <row r="197" customFormat="false" ht="15" hidden="false" customHeight="false" outlineLevel="0" collapsed="false">
      <c r="A197" s="18" t="s">
        <v>442</v>
      </c>
      <c r="B197" s="19" t="s">
        <v>682</v>
      </c>
      <c r="D197" s="46" t="n">
        <f aca="false">IFERROR(IF(D35&lt;=0,"N/M",D33/D35),"N/M")</f>
        <v>0.10170026364096</v>
      </c>
      <c r="E197" s="46" t="n">
        <f aca="false">IFERROR(IF(E35&lt;=0,"N/M",E33/E35),"N/M")</f>
        <v>0.101633703854413</v>
      </c>
      <c r="F197" s="46" t="n">
        <f aca="false">IFERROR(IF(F35&lt;=0,"N/M",F33/F35),"N/M")</f>
        <v>0.0928330920932207</v>
      </c>
      <c r="G197" s="46" t="n">
        <f aca="false">IFERROR(IF(G35&lt;=0,"N/M",G33/G35),"N/M")</f>
        <v>0.090104314425632</v>
      </c>
      <c r="H197" s="46" t="n">
        <f aca="false">IFERROR(IF(H35&lt;=0,"N/M",H33/H35),"N/M")</f>
        <v>0.0788607623791152</v>
      </c>
      <c r="I197" s="46" t="n">
        <f aca="false">IFERROR(IF(I35&lt;=0,"N/M",I33/I35),"N/M")</f>
        <v>0.0774117478031064</v>
      </c>
      <c r="J197" s="46" t="n">
        <f aca="false">IFERROR(IF(J35&lt;=0,"N/M",J33/J35),"N/M")</f>
        <v>0.0704154909994742</v>
      </c>
      <c r="K197" s="25" t="n">
        <f aca="false">IFERROR(AVERAGE(D197:J197),"N/M")</f>
        <v>0.0875656250279887</v>
      </c>
      <c r="L197" s="86" t="n">
        <f aca="false">IFERROR(J197-D197,"N/M")</f>
        <v>-0.0312847726414856</v>
      </c>
      <c r="M197" s="87" t="n">
        <f aca="false">IFERROR(SLOPE(D197:J197,$D$3:$J$3),"N/M")</f>
        <v>-0.00558109141932769</v>
      </c>
    </row>
    <row r="198" customFormat="false" ht="15" hidden="false" customHeight="false" outlineLevel="0" collapsed="false">
      <c r="A198" s="18" t="s">
        <v>494</v>
      </c>
      <c r="B198" s="19" t="s">
        <v>683</v>
      </c>
      <c r="D198" s="46" t="n">
        <f aca="false">IFERROR(IF(D35&lt;=0,"N/M",D34/D35),"N/M")</f>
        <v>0.36466600388845</v>
      </c>
      <c r="E198" s="46" t="n">
        <f aca="false">IFERROR(IF(E35&lt;=0,"N/M",E34/E35),"N/M")</f>
        <v>0.367745730412676</v>
      </c>
      <c r="F198" s="46" t="n">
        <f aca="false">IFERROR(IF(F35&lt;=0,"N/M",F34/F35),"N/M")</f>
        <v>0.408934292961377</v>
      </c>
      <c r="G198" s="46" t="n">
        <f aca="false">IFERROR(IF(G35&lt;=0,"N/M",G34/G35),"N/M")</f>
        <v>0.430326340914931</v>
      </c>
      <c r="H198" s="46" t="n">
        <f aca="false">IFERROR(IF(H35&lt;=0,"N/M",H34/H35),"N/M")</f>
        <v>0.42909398382694</v>
      </c>
      <c r="I198" s="46" t="n">
        <f aca="false">IFERROR(IF(I35&lt;=0,"N/M",I34/I35),"N/M")</f>
        <v>0.409176183891151</v>
      </c>
      <c r="J198" s="46" t="n">
        <f aca="false">IFERROR(IF(J35&lt;=0,"N/M",J34/J35),"N/M")</f>
        <v>0.397246797199221</v>
      </c>
      <c r="K198" s="25" t="n">
        <f aca="false">IFERROR(AVERAGE(D198:J198),"N/M")</f>
        <v>0.401027047584964</v>
      </c>
      <c r="L198" s="86" t="n">
        <f aca="false">IFERROR(J198-D198,"N/M")</f>
        <v>0.0325807933107717</v>
      </c>
      <c r="M198" s="87" t="n">
        <f aca="false">IFERROR(SLOPE(D198:J198,$D$3:$J$3),"N/M")</f>
        <v>0.00717010634838665</v>
      </c>
    </row>
    <row r="199" customFormat="false" ht="15" hidden="false" customHeight="false" outlineLevel="0" collapsed="false">
      <c r="A199" s="18" t="s">
        <v>684</v>
      </c>
      <c r="B199" s="19" t="s">
        <v>685</v>
      </c>
      <c r="D199" s="46" t="n">
        <f aca="false">IFERROR(IF(D35&lt;=0,"N/M",D36/D35),"N/M")</f>
        <v>0.0139649971667928</v>
      </c>
      <c r="E199" s="46" t="n">
        <f aca="false">IFERROR(IF(E35&lt;=0,"N/M",E36/E35),"N/M")</f>
        <v>0.0129753554464181</v>
      </c>
      <c r="F199" s="46" t="n">
        <f aca="false">IFERROR(IF(F35&lt;=0,"N/M",F36/F35),"N/M")</f>
        <v>0.0139760318590768</v>
      </c>
      <c r="G199" s="46" t="n">
        <f aca="false">IFERROR(IF(G35&lt;=0,"N/M",G36/G35),"N/M")</f>
        <v>0.0160415178246514</v>
      </c>
      <c r="H199" s="46" t="n">
        <f aca="false">IFERROR(IF(H35&lt;=0,"N/M",H36/H35),"N/M")</f>
        <v>0.0237659351367986</v>
      </c>
      <c r="I199" s="46" t="n">
        <f aca="false">IFERROR(IF(I35&lt;=0,"N/M",I36/I35),"N/M")</f>
        <v>0.0276281561566208</v>
      </c>
      <c r="J199" s="46" t="n">
        <f aca="false">IFERROR(IF(J35&lt;=0,"N/M",J36/J35),"N/M")</f>
        <v>0.0319575007017761</v>
      </c>
      <c r="K199" s="25" t="n">
        <f aca="false">IFERROR(AVERAGE(D199:J199),"N/M")</f>
        <v>0.0200442134703049</v>
      </c>
      <c r="L199" s="86" t="n">
        <f aca="false">IFERROR(J199-D199,"N/M")</f>
        <v>0.0179925035349833</v>
      </c>
      <c r="M199" s="87" t="n">
        <f aca="false">IFERROR(SLOPE(D199:J199,$D$3:$J$3),"N/M")</f>
        <v>0.00332403626082418</v>
      </c>
    </row>
    <row r="200" customFormat="false" ht="15" hidden="false" customHeight="false" outlineLevel="0" collapsed="false">
      <c r="A200" s="18" t="s">
        <v>686</v>
      </c>
      <c r="B200" s="19" t="s">
        <v>687</v>
      </c>
      <c r="D200" s="46" t="n">
        <f aca="false">IFERROR(IF(D35&lt;=0,"N/M",D37/D35),"N/M")</f>
        <v>0.00223772474798028</v>
      </c>
      <c r="E200" s="46" t="n">
        <f aca="false">IFERROR(IF(E35&lt;=0,"N/M",E37/E35),"N/M")</f>
        <v>0.00194110608398567</v>
      </c>
      <c r="F200" s="46" t="n">
        <f aca="false">IFERROR(IF(F35&lt;=0,"N/M",F37/F35),"N/M")</f>
        <v>0.00242188665662739</v>
      </c>
      <c r="G200" s="46" t="n">
        <f aca="false">IFERROR(IF(G35&lt;=0,"N/M",G37/G35),"N/M")</f>
        <v>0.00277013247620137</v>
      </c>
      <c r="H200" s="46" t="n">
        <f aca="false">IFERROR(IF(H35&lt;=0,"N/M",H37/H35),"N/M")</f>
        <v>0.00358594003772574</v>
      </c>
      <c r="I200" s="46" t="n">
        <f aca="false">IFERROR(IF(I35&lt;=0,"N/M",I37/I35),"N/M")</f>
        <v>0.003457145896392</v>
      </c>
      <c r="J200" s="46" t="n">
        <f aca="false">IFERROR(IF(J35&lt;=0,"N/M",J37/J35),"N/M")</f>
        <v>0.00344891662899699</v>
      </c>
      <c r="K200" s="25" t="n">
        <f aca="false">IFERROR(AVERAGE(D200:J200),"N/M")</f>
        <v>0.00283755036112992</v>
      </c>
      <c r="L200" s="86" t="n">
        <f aca="false">IFERROR(J200-D200,"N/M")</f>
        <v>0.00121119188101671</v>
      </c>
      <c r="M200" s="87" t="n">
        <f aca="false">IFERROR(SLOPE(D200:J200,$D$3:$J$3),"N/M")</f>
        <v>0.000279632451748612</v>
      </c>
    </row>
    <row r="201" customFormat="false" ht="15" hidden="false" customHeight="false" outlineLevel="0" collapsed="false">
      <c r="A201" s="18" t="s">
        <v>688</v>
      </c>
      <c r="B201" s="19" t="s">
        <v>689</v>
      </c>
      <c r="D201" s="46" t="n">
        <f aca="false">IFERROR(IF(D35&lt;=0,"N/M",D38/D35),"N/M")</f>
        <v>0.185907593334668</v>
      </c>
      <c r="E201" s="46" t="n">
        <f aca="false">IFERROR(IF(E35&lt;=0,"N/M",E38/E35),"N/M")</f>
        <v>0.200862982405956</v>
      </c>
      <c r="F201" s="46" t="n">
        <f aca="false">IFERROR(IF(F35&lt;=0,"N/M",F38/F35),"N/M")</f>
        <v>0.224410217915962</v>
      </c>
      <c r="G201" s="46" t="n">
        <f aca="false">IFERROR(IF(G35&lt;=0,"N/M",G38/G35),"N/M")</f>
        <v>0.230382931825035</v>
      </c>
      <c r="H201" s="46" t="n">
        <f aca="false">IFERROR(IF(H35&lt;=0,"N/M",H38/H35),"N/M")</f>
        <v>0.234795015871026</v>
      </c>
      <c r="I201" s="46" t="n">
        <f aca="false">IFERROR(IF(I35&lt;=0,"N/M",I38/I35),"N/M")</f>
        <v>0.253024398263207</v>
      </c>
      <c r="J201" s="46" t="n">
        <f aca="false">IFERROR(IF(J35&lt;=0,"N/M",J38/J35),"N/M")</f>
        <v>0.229795107730871</v>
      </c>
      <c r="K201" s="25" t="n">
        <f aca="false">IFERROR(AVERAGE(D201:J201),"N/M")</f>
        <v>0.222739749620961</v>
      </c>
      <c r="L201" s="86" t="n">
        <f aca="false">IFERROR(J201-D201,"N/M")</f>
        <v>0.0438875143962033</v>
      </c>
      <c r="M201" s="87" t="n">
        <f aca="false">IFERROR(SLOPE(D201:J201,$D$3:$J$3),"N/M")</f>
        <v>0.00879893474493483</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98.4198203137083</v>
      </c>
      <c r="F205" s="91" t="n">
        <f aca="false">IFERROR((IF($D9&lt;=0,"N/M",F9/$D9)*100),"N/M")</f>
        <v>117.188569538472</v>
      </c>
      <c r="G205" s="91" t="n">
        <f aca="false">IFERROR((IF($D9&lt;=0,"N/M",G9/$D9)*100),"N/M")</f>
        <v>125.096205823036</v>
      </c>
      <c r="H205" s="91" t="n">
        <f aca="false">IFERROR((IF($D9&lt;=0,"N/M",H9/$D9)*100),"N/M")</f>
        <v>132.512285096941</v>
      </c>
      <c r="I205" s="91" t="n">
        <f aca="false">IFERROR((IF($D9&lt;=0,"N/M",I9/$D9)*100),"N/M")</f>
        <v>136.089625696947</v>
      </c>
      <c r="J205" s="91" t="n">
        <f aca="false">IFERROR((IF($D9&lt;=0,"N/M",J9/$D9)*100),"N/M")</f>
        <v>139.029014114271</v>
      </c>
      <c r="K205" s="92" t="n">
        <f aca="false">IFERROR(AVERAGE(D205:J205),"N/M")</f>
        <v>121.190788654768</v>
      </c>
      <c r="L205" s="85" t="n">
        <f aca="false">IFERROR(J205-D205,"N/M")</f>
        <v>39.0290141142709</v>
      </c>
      <c r="M205" s="85" t="n">
        <f aca="false">IFERROR(SLOPE(D205:J205,$D$3:$J$3),"N/M")</f>
        <v>7.4196560238485</v>
      </c>
    </row>
    <row r="206" customFormat="false" ht="15" hidden="false" customHeight="false" outlineLevel="0" collapsed="false">
      <c r="A206" s="18" t="s">
        <v>657</v>
      </c>
      <c r="B206" s="19" t="s">
        <v>693</v>
      </c>
      <c r="D206" s="91" t="n">
        <f aca="false">IFERROR((IF($D56&lt;=0,"N/M",D56/$D56)*100),"N/M")</f>
        <v>100</v>
      </c>
      <c r="E206" s="91" t="n">
        <f aca="false">IFERROR((IF($D56&lt;=0,"N/M",E56/$D56)*100),"N/M")</f>
        <v>61.8213691256153</v>
      </c>
      <c r="F206" s="91" t="n">
        <f aca="false">IFERROR((IF($D56&lt;=0,"N/M",F56/$D56)*100),"N/M")</f>
        <v>103.202063486442</v>
      </c>
      <c r="G206" s="91" t="n">
        <f aca="false">IFERROR((IF($D56&lt;=0,"N/M",G56/$D56)*100),"N/M")</f>
        <v>110.24542267238</v>
      </c>
      <c r="H206" s="91" t="n">
        <f aca="false">IFERROR((IF($D56&lt;=0,"N/M",H56/$D56)*100),"N/M")</f>
        <v>115.609543034553</v>
      </c>
      <c r="I206" s="91" t="n">
        <f aca="false">IFERROR((IF($D56&lt;=0,"N/M",I56/$D56)*100),"N/M")</f>
        <v>113.917318884206</v>
      </c>
      <c r="J206" s="91" t="n">
        <f aca="false">IFERROR((IF($D56&lt;=0,"N/M",J56/$D56)*100),"N/M")</f>
        <v>115.175124836208</v>
      </c>
      <c r="K206" s="92" t="n">
        <f aca="false">IFERROR(AVERAGE(D206:J206),"N/M")</f>
        <v>102.852977434201</v>
      </c>
      <c r="L206" s="85" t="n">
        <f aca="false">IFERROR(J206-D206,"N/M")</f>
        <v>15.1751248362077</v>
      </c>
      <c r="M206" s="85" t="n">
        <f aca="false">IFERROR(SLOPE(D206:J206,$D$3:$J$3),"N/M")</f>
        <v>5.79016977049699</v>
      </c>
    </row>
    <row r="207" customFormat="false" ht="15" hidden="false" customHeight="false" outlineLevel="0" collapsed="false">
      <c r="A207" s="18" t="s">
        <v>667</v>
      </c>
      <c r="B207" s="19" t="s">
        <v>694</v>
      </c>
      <c r="D207" s="91" t="n">
        <f aca="false">IFERROR((IF($D22&lt;=0,"N/M",D22/$D22)*100),"N/M")</f>
        <v>100</v>
      </c>
      <c r="E207" s="91" t="n">
        <f aca="false">IFERROR((IF($D22&lt;=0,"N/M",E22/$D22)*100),"N/M")</f>
        <v>125.213124504362</v>
      </c>
      <c r="F207" s="91" t="n">
        <f aca="false">IFERROR((IF($D22&lt;=0,"N/M",F22/$D22)*100),"N/M")</f>
        <v>261.478984932593</v>
      </c>
      <c r="G207" s="91" t="n">
        <f aca="false">IFERROR((IF($D22&lt;=0,"N/M",G22/$D22)*100),"N/M")</f>
        <v>290.907513877875</v>
      </c>
      <c r="H207" s="91" t="n">
        <f aca="false">IFERROR((IF($D22&lt;=0,"N/M",H22/$D22)*100),"N/M")</f>
        <v>312.398394131642</v>
      </c>
      <c r="I207" s="91" t="n">
        <f aca="false">IFERROR((IF($D22&lt;=0,"N/M",I22/$D22)*100),"N/M")</f>
        <v>319.689234734338</v>
      </c>
      <c r="J207" s="91" t="n">
        <f aca="false">IFERROR((IF($D22&lt;=0,"N/M",J22/$D22)*100),"N/M")</f>
        <v>307.741871530531</v>
      </c>
      <c r="K207" s="92" t="n">
        <f aca="false">IFERROR(AVERAGE(D207:J207),"N/M")</f>
        <v>245.347017673049</v>
      </c>
      <c r="L207" s="85" t="n">
        <f aca="false">IFERROR(J207-D207,"N/M")</f>
        <v>207.741871530531</v>
      </c>
      <c r="M207" s="85" t="n">
        <f aca="false">IFERROR(SLOPE(D207:J207,$D$3:$J$3),"N/M")</f>
        <v>37.9677587232355</v>
      </c>
    </row>
    <row r="208" customFormat="false" ht="15" hidden="false" customHeight="false" outlineLevel="0" collapsed="false">
      <c r="A208" s="18" t="s">
        <v>446</v>
      </c>
      <c r="B208" s="19" t="s">
        <v>695</v>
      </c>
      <c r="D208" s="91" t="n">
        <f aca="false">IFERROR((IF($D35&lt;=0,"N/M",D35/$D35)*100),"N/M")</f>
        <v>100</v>
      </c>
      <c r="E208" s="91" t="n">
        <f aca="false">IFERROR((IF($D35&lt;=0,"N/M",E35/$D35)*100),"N/M")</f>
        <v>105.273582632949</v>
      </c>
      <c r="F208" s="91" t="n">
        <f aca="false">IFERROR((IF($D35&lt;=0,"N/M",F35/$D35)*100),"N/M")</f>
        <v>110.293703493836</v>
      </c>
      <c r="G208" s="91" t="n">
        <f aca="false">IFERROR((IF($D35&lt;=0,"N/M",G35/$D35)*100),"N/M")</f>
        <v>114.219476857617</v>
      </c>
      <c r="H208" s="91" t="n">
        <f aca="false">IFERROR((IF($D35&lt;=0,"N/M",H35/$D35)*100),"N/M")</f>
        <v>119.080887217994</v>
      </c>
      <c r="I208" s="91" t="n">
        <f aca="false">IFERROR((IF($D35&lt;=0,"N/M",I35/$D35)*100),"N/M")</f>
        <v>122.805621626023</v>
      </c>
      <c r="J208" s="91" t="n">
        <f aca="false">IFERROR((IF($D35&lt;=0,"N/M",J35/$D35)*100),"N/M")</f>
        <v>128.730926747173</v>
      </c>
      <c r="K208" s="92" t="n">
        <f aca="false">IFERROR(AVERAGE(D208:J208),"N/M")</f>
        <v>114.34345693937</v>
      </c>
      <c r="L208" s="85" t="n">
        <f aca="false">IFERROR(J208-D208,"N/M")</f>
        <v>28.7309267471727</v>
      </c>
      <c r="M208" s="85" t="n">
        <f aca="false">IFERROR(SLOPE(D208:J208,$D$3:$J$3),"N/M")</f>
        <v>4.64443006970805</v>
      </c>
    </row>
    <row r="209" customFormat="false" ht="15" hidden="false" customHeight="false" outlineLevel="0" collapsed="false">
      <c r="A209" s="18" t="s">
        <v>673</v>
      </c>
      <c r="B209" s="19" t="s">
        <v>696</v>
      </c>
      <c r="D209" s="91" t="n">
        <f aca="false">IFERROR((IF($D61&lt;=0,"N/M",D61/$D61)*100),"N/M")</f>
        <v>100</v>
      </c>
      <c r="E209" s="91" t="n">
        <f aca="false">IFERROR((IF($D61&lt;=0,"N/M",E61/$D61)*100),"N/M")</f>
        <v>101.405122385801</v>
      </c>
      <c r="F209" s="91" t="n">
        <f aca="false">IFERROR((IF($D61&lt;=0,"N/M",F61/$D61)*100),"N/M")</f>
        <v>107.061944436149</v>
      </c>
      <c r="G209" s="91" t="n">
        <f aca="false">IFERROR((IF($D61&lt;=0,"N/M",G61/$D61)*100),"N/M")</f>
        <v>111.745154836205</v>
      </c>
      <c r="H209" s="91" t="n">
        <f aca="false">IFERROR((IF($D61&lt;=0,"N/M",H61/$D61)*100),"N/M")</f>
        <v>117.68955116911</v>
      </c>
      <c r="I209" s="91" t="n">
        <f aca="false">IFERROR((IF($D61&lt;=0,"N/M",I61/$D61)*100),"N/M")</f>
        <v>123.246433939539</v>
      </c>
      <c r="J209" s="91" t="n">
        <f aca="false">IFERROR((IF($D61&lt;=0,"N/M",J61/$D61)*100),"N/M")</f>
        <v>128.829595564448</v>
      </c>
      <c r="K209" s="92" t="n">
        <f aca="false">IFERROR(AVERAGE(D209:J209),"N/M")</f>
        <v>112.853971761608</v>
      </c>
      <c r="L209" s="85" t="n">
        <f aca="false">IFERROR(J209-D209,"N/M")</f>
        <v>28.8295955644479</v>
      </c>
      <c r="M209" s="85" t="n">
        <f aca="false">IFERROR(SLOPE(D209:J209,$D$3:$J$3),"N/M")</f>
        <v>5.02853630477783</v>
      </c>
    </row>
    <row r="210" customFormat="false" ht="15" hidden="false" customHeight="false" outlineLevel="0" collapsed="false">
      <c r="A210" s="18" t="s">
        <v>675</v>
      </c>
      <c r="B210" s="19" t="s">
        <v>697</v>
      </c>
      <c r="D210" s="91" t="n">
        <f aca="false">IFERROR((IF($D28&lt;=0,"N/M",D28/$D28)*100),"N/M")</f>
        <v>100</v>
      </c>
      <c r="E210" s="91" t="n">
        <f aca="false">IFERROR((IF($D28&lt;=0,"N/M",E28/$D28)*100),"N/M")</f>
        <v>1032.75714285714</v>
      </c>
      <c r="F210" s="91" t="n">
        <f aca="false">IFERROR((IF($D28&lt;=0,"N/M",F28/$D28)*100),"N/M")</f>
        <v>1050.4</v>
      </c>
      <c r="G210" s="91" t="n">
        <f aca="false">IFERROR((IF($D28&lt;=0,"N/M",G28/$D28)*100),"N/M")</f>
        <v>1112.34285714286</v>
      </c>
      <c r="H210" s="91" t="n">
        <f aca="false">IFERROR((IF($D28&lt;=0,"N/M",H28/$D28)*100),"N/M")</f>
        <v>1341</v>
      </c>
      <c r="I210" s="91" t="n">
        <f aca="false">IFERROR((IF($D28&lt;=0,"N/M",I28/$D28)*100),"N/M")</f>
        <v>1230.65714285714</v>
      </c>
      <c r="J210" s="91" t="n">
        <f aca="false">IFERROR((IF($D28&lt;=0,"N/M",J28/$D28)*100),"N/M")</f>
        <v>1377.95714285714</v>
      </c>
      <c r="K210" s="92" t="n">
        <f aca="false">IFERROR(AVERAGE(D210:J210),"N/M")</f>
        <v>1035.01632653061</v>
      </c>
      <c r="L210" s="85" t="n">
        <f aca="false">IFERROR(J210-D210,"N/M")</f>
        <v>1277.95714285714</v>
      </c>
      <c r="M210" s="85" t="n">
        <f aca="false">IFERROR(SLOPE(D210:J210,$D$3:$J$3),"N/M")</f>
        <v>161.438265306122</v>
      </c>
    </row>
    <row r="211" customFormat="false" ht="15" hidden="false" customHeight="false" outlineLevel="0" collapsed="false">
      <c r="A211" s="18" t="s">
        <v>698</v>
      </c>
      <c r="B211" s="19" t="s">
        <v>699</v>
      </c>
      <c r="D211" s="91" t="n">
        <f aca="false">IFERROR((IF($D36&lt;=0,"N/M",D36/$D36)*100),"N/M")</f>
        <v>100</v>
      </c>
      <c r="E211" s="91" t="n">
        <f aca="false">IFERROR((IF($D36&lt;=0,"N/M",E36/$D36)*100),"N/M")</f>
        <v>97.8132782603414</v>
      </c>
      <c r="F211" s="91" t="n">
        <f aca="false">IFERROR((IF($D36&lt;=0,"N/M",F36/$D36)*100),"N/M")</f>
        <v>110.380854036324</v>
      </c>
      <c r="G211" s="91" t="n">
        <f aca="false">IFERROR((IF($D36&lt;=0,"N/M",G36/$D36)*100),"N/M")</f>
        <v>131.203304379518</v>
      </c>
      <c r="H211" s="91" t="n">
        <f aca="false">IFERROR((IF($D36&lt;=0,"N/M",H36/$D36)*100),"N/M")</f>
        <v>202.654437222863</v>
      </c>
      <c r="I211" s="91" t="n">
        <f aca="false">IFERROR((IF($D36&lt;=0,"N/M",I36/$D36)*100),"N/M")</f>
        <v>242.956933730183</v>
      </c>
      <c r="J211" s="91" t="n">
        <f aca="false">IFERROR((IF($D36&lt;=0,"N/M",J36/$D36)*100),"N/M")</f>
        <v>294.587863694345</v>
      </c>
      <c r="K211" s="92" t="n">
        <f aca="false">IFERROR(AVERAGE(D211:J211),"N/M")</f>
        <v>168.513810189082</v>
      </c>
      <c r="L211" s="85" t="n">
        <f aca="false">IFERROR(J211-D211,"N/M")</f>
        <v>194.587863694345</v>
      </c>
      <c r="M211" s="85" t="n">
        <f aca="false">IFERROR(SLOPE(D211:J211,$D$3:$J$3),"N/M")</f>
        <v>34.5115887574735</v>
      </c>
    </row>
    <row r="212" customFormat="false" ht="15" hidden="false" customHeight="false" outlineLevel="0" collapsed="false">
      <c r="A212" s="18" t="s">
        <v>700</v>
      </c>
      <c r="B212" s="19" t="s">
        <v>701</v>
      </c>
      <c r="D212" s="91" t="n">
        <f aca="false">IFERROR((IF($D41&lt;=0,"N/M",D41/$D41)*100),"N/M")</f>
        <v>100</v>
      </c>
      <c r="E212" s="91" t="n">
        <f aca="false">IFERROR((IF($D41&lt;=0,"N/M",E41/$D41)*100),"N/M")</f>
        <v>24.0110878558579</v>
      </c>
      <c r="F212" s="91" t="n">
        <f aca="false">IFERROR((IF($D41&lt;=0,"N/M",F41/$D41)*100),"N/M")</f>
        <v>31.952717948</v>
      </c>
      <c r="G212" s="91" t="n">
        <f aca="false">IFERROR((IF($D41&lt;=0,"N/M",G41/$D41)*100),"N/M")</f>
        <v>32.8022735704436</v>
      </c>
      <c r="H212" s="91" t="n">
        <f aca="false">IFERROR((IF($D41&lt;=0,"N/M",H41/$D41)*100),"N/M")</f>
        <v>32.3979121604752</v>
      </c>
      <c r="I212" s="91" t="n">
        <f aca="false">IFERROR((IF($D41&lt;=0,"N/M",I41/$D41)*100),"N/M")</f>
        <v>39.9354141729491</v>
      </c>
      <c r="J212" s="91" t="n">
        <f aca="false">IFERROR((IF($D41&lt;=0,"N/M",J41/$D41)*100),"N/M")</f>
        <v>34.5849170627449</v>
      </c>
      <c r="K212" s="92" t="n">
        <f aca="false">IFERROR(AVERAGE(D212:J212),"N/M")</f>
        <v>42.2406175386387</v>
      </c>
      <c r="L212" s="85" t="n">
        <f aca="false">IFERROR(J212-D212,"N/M")</f>
        <v>-65.4150829372552</v>
      </c>
      <c r="M212" s="85" t="n">
        <f aca="false">IFERROR(SLOPE(D212:J212,$D$3:$J$3),"N/M")</f>
        <v>-5.85540721303956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71</v>
      </c>
    </row>
    <row r="2" customFormat="false" ht="15" hidden="false" customHeight="false" outlineLevel="0" collapsed="false">
      <c r="A2" s="6" t="s">
        <v>706</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337.52</v>
      </c>
      <c r="D9" s="93" t="n">
        <v>299.78</v>
      </c>
      <c r="E9" s="93" t="n">
        <v>346.79</v>
      </c>
      <c r="F9" s="93" t="n">
        <v>456.76</v>
      </c>
      <c r="G9" s="93" t="n">
        <v>416.69</v>
      </c>
      <c r="H9" s="93" t="n">
        <v>387.77</v>
      </c>
      <c r="I9" s="93" t="n">
        <v>436.63</v>
      </c>
      <c r="J9" s="93" t="n">
        <v>444.08</v>
      </c>
    </row>
    <row r="10" customFormat="false" ht="15" hidden="false" customHeight="false" outlineLevel="0" collapsed="false">
      <c r="A10" s="18" t="s">
        <v>399</v>
      </c>
      <c r="B10" s="74" t="s">
        <v>400</v>
      </c>
      <c r="C10" s="93" t="n">
        <v>312.42</v>
      </c>
      <c r="D10" s="93" t="n">
        <v>284.13</v>
      </c>
      <c r="E10" s="93" t="n">
        <v>0</v>
      </c>
      <c r="F10" s="93" t="n">
        <v>0</v>
      </c>
      <c r="G10" s="93" t="n">
        <v>0</v>
      </c>
      <c r="H10" s="93" t="n">
        <v>0</v>
      </c>
      <c r="I10" s="93" t="n">
        <v>0</v>
      </c>
      <c r="J10" s="93" t="n">
        <v>0</v>
      </c>
    </row>
    <row r="11" customFormat="false" ht="15" hidden="false" customHeight="false" outlineLevel="0" collapsed="false">
      <c r="A11" s="18" t="s">
        <v>401</v>
      </c>
      <c r="B11" s="74" t="s">
        <v>402</v>
      </c>
      <c r="C11" s="93" t="n">
        <v>0</v>
      </c>
      <c r="D11" s="93" t="n">
        <v>0</v>
      </c>
      <c r="E11" s="93" t="n">
        <v>0</v>
      </c>
      <c r="F11" s="93" t="n">
        <v>0</v>
      </c>
      <c r="G11" s="93" t="n">
        <v>0</v>
      </c>
      <c r="H11" s="93" t="n">
        <v>0</v>
      </c>
      <c r="I11" s="93" t="n">
        <v>0</v>
      </c>
      <c r="J11" s="93" t="n">
        <v>0</v>
      </c>
    </row>
    <row r="12" customFormat="false" ht="15" hidden="false" customHeight="false" outlineLevel="0" collapsed="false">
      <c r="A12" s="18" t="s">
        <v>403</v>
      </c>
      <c r="B12" s="74" t="s">
        <v>404</v>
      </c>
      <c r="C12" s="93" t="n">
        <v>0.17</v>
      </c>
      <c r="D12" s="93" t="n">
        <v>0.16</v>
      </c>
      <c r="E12" s="93" t="n">
        <v>0.08</v>
      </c>
      <c r="F12" s="93" t="n">
        <v>0.1</v>
      </c>
      <c r="G12" s="93" t="n">
        <v>0.15</v>
      </c>
      <c r="H12" s="93" t="n">
        <v>0.15</v>
      </c>
      <c r="I12" s="93" t="n">
        <v>0.21</v>
      </c>
      <c r="J12" s="93" t="n">
        <v>0.2</v>
      </c>
    </row>
    <row r="13" customFormat="false" ht="15" hidden="false" customHeight="false" outlineLevel="0" collapsed="false">
      <c r="A13" s="18" t="s">
        <v>405</v>
      </c>
      <c r="B13" s="74" t="s">
        <v>406</v>
      </c>
      <c r="C13" s="93" t="n">
        <v>0.25</v>
      </c>
      <c r="D13" s="93" t="n">
        <v>0.25</v>
      </c>
      <c r="E13" s="93" t="n">
        <v>327.01</v>
      </c>
      <c r="F13" s="93" t="n">
        <v>427.96</v>
      </c>
      <c r="G13" s="93" t="n">
        <v>385.83</v>
      </c>
      <c r="H13" s="93" t="n">
        <v>352.66</v>
      </c>
      <c r="I13" s="93" t="n">
        <v>396</v>
      </c>
      <c r="J13" s="93" t="n">
        <v>399.98</v>
      </c>
    </row>
    <row r="14" customFormat="false" ht="15" hidden="false" customHeight="false" outlineLevel="0" collapsed="false">
      <c r="A14" s="18" t="s">
        <v>407</v>
      </c>
      <c r="B14" s="74" t="s">
        <v>408</v>
      </c>
      <c r="C14" s="93" t="n">
        <v>10.94</v>
      </c>
      <c r="D14" s="93" t="n">
        <v>11.68</v>
      </c>
      <c r="E14" s="93" t="n">
        <v>8.83</v>
      </c>
      <c r="F14" s="93" t="n">
        <v>12.33</v>
      </c>
      <c r="G14" s="93" t="n">
        <v>17.1</v>
      </c>
      <c r="H14" s="93" t="n">
        <v>22.45</v>
      </c>
      <c r="I14" s="93" t="n">
        <v>20.07</v>
      </c>
      <c r="J14" s="93" t="n">
        <v>20.62</v>
      </c>
    </row>
    <row r="15" customFormat="false" ht="15" hidden="false" customHeight="false" outlineLevel="0" collapsed="false">
      <c r="A15" s="18" t="s">
        <v>409</v>
      </c>
      <c r="B15" s="74" t="s">
        <v>410</v>
      </c>
      <c r="C15" s="93" t="n">
        <v>3.82</v>
      </c>
      <c r="D15" s="93" t="n">
        <v>4.69</v>
      </c>
      <c r="E15" s="93" t="n">
        <v>2.28</v>
      </c>
      <c r="F15" s="93" t="n">
        <v>5.58</v>
      </c>
      <c r="G15" s="93" t="n">
        <v>5.24</v>
      </c>
      <c r="H15" s="93" t="n">
        <v>4.8</v>
      </c>
      <c r="I15" s="93" t="n">
        <v>4.37</v>
      </c>
      <c r="J15" s="93" t="n">
        <v>5.52</v>
      </c>
    </row>
    <row r="16" customFormat="false" ht="15" hidden="false" customHeight="false" outlineLevel="0" collapsed="false">
      <c r="A16" s="18" t="s">
        <v>411</v>
      </c>
      <c r="B16" s="74" t="s">
        <v>412</v>
      </c>
      <c r="C16" s="93" t="n">
        <v>-0.41</v>
      </c>
      <c r="D16" s="93" t="n">
        <v>2.38</v>
      </c>
      <c r="E16" s="93" t="n">
        <v>-0.72</v>
      </c>
      <c r="F16" s="93" t="n">
        <v>0.01</v>
      </c>
      <c r="G16" s="93" t="n">
        <v>0.37</v>
      </c>
      <c r="H16" s="93" t="n">
        <v>1.8</v>
      </c>
      <c r="I16" s="93" t="n">
        <v>1.71</v>
      </c>
      <c r="J16" s="93" t="n">
        <v>1.19</v>
      </c>
    </row>
    <row r="17" customFormat="false" ht="15" hidden="false" customHeight="false" outlineLevel="0" collapsed="false">
      <c r="A17" s="18" t="s">
        <v>413</v>
      </c>
      <c r="B17" s="74" t="s">
        <v>414</v>
      </c>
      <c r="C17" s="93" t="n">
        <v>0.36</v>
      </c>
      <c r="D17" s="93" t="n">
        <v>0.68</v>
      </c>
      <c r="E17" s="93" t="n">
        <v>0.6</v>
      </c>
      <c r="F17" s="93" t="n">
        <v>0.5</v>
      </c>
      <c r="G17" s="93" t="n">
        <v>0.72</v>
      </c>
      <c r="H17" s="93" t="n">
        <v>2.46</v>
      </c>
      <c r="I17" s="93" t="n">
        <v>1.02</v>
      </c>
      <c r="J17" s="93" t="n">
        <v>3.93</v>
      </c>
    </row>
    <row r="18" customFormat="false" ht="15" hidden="false" customHeight="false" outlineLevel="0" collapsed="false">
      <c r="A18" s="18" t="s">
        <v>415</v>
      </c>
      <c r="B18" s="74" t="s">
        <v>416</v>
      </c>
      <c r="C18" s="93" t="n">
        <v>0.89</v>
      </c>
      <c r="D18" s="93" t="n">
        <v>1.27</v>
      </c>
      <c r="E18" s="93" t="n">
        <v>2.16</v>
      </c>
      <c r="F18" s="93" t="n">
        <v>2.74</v>
      </c>
      <c r="G18" s="93" t="n">
        <v>2.81</v>
      </c>
      <c r="H18" s="93" t="n">
        <v>2.21</v>
      </c>
      <c r="I18" s="93" t="n">
        <v>2.08</v>
      </c>
      <c r="J18" s="93" t="n">
        <v>1.91</v>
      </c>
    </row>
    <row r="19" customFormat="false" ht="15" hidden="false" customHeight="false" outlineLevel="0" collapsed="false">
      <c r="A19" s="18" t="s">
        <v>417</v>
      </c>
      <c r="B19" s="74" t="s">
        <v>418</v>
      </c>
      <c r="C19" s="93" t="n">
        <v>3.72</v>
      </c>
      <c r="D19" s="93" t="n">
        <v>4.58</v>
      </c>
      <c r="E19" s="93" t="n">
        <v>3.88</v>
      </c>
      <c r="F19" s="93" t="n">
        <v>4.04</v>
      </c>
      <c r="G19" s="93" t="n">
        <v>5.05</v>
      </c>
      <c r="H19" s="93" t="n">
        <v>5.94</v>
      </c>
      <c r="I19" s="93" t="n">
        <v>6.9</v>
      </c>
      <c r="J19" s="93" t="n">
        <v>7</v>
      </c>
    </row>
    <row r="20" customFormat="false" ht="15" hidden="false" customHeight="false" outlineLevel="0" collapsed="false">
      <c r="A20" s="18" t="s">
        <v>419</v>
      </c>
      <c r="B20" s="74" t="s">
        <v>420</v>
      </c>
      <c r="C20" s="93" t="n">
        <v>6.08</v>
      </c>
      <c r="D20" s="93" t="n">
        <v>-8.68</v>
      </c>
      <c r="E20" s="93" t="n">
        <v>3.87</v>
      </c>
      <c r="F20" s="93" t="n">
        <v>4.5</v>
      </c>
      <c r="G20" s="93" t="n">
        <v>0.86</v>
      </c>
      <c r="H20" s="93" t="n">
        <v>0.22</v>
      </c>
      <c r="I20" s="93" t="n">
        <v>6.31</v>
      </c>
      <c r="J20" s="93" t="n">
        <v>11.59</v>
      </c>
    </row>
    <row r="21" customFormat="false" ht="15" hidden="false" customHeight="false" outlineLevel="0" collapsed="false">
      <c r="A21" s="18" t="s">
        <v>421</v>
      </c>
      <c r="B21" s="74" t="s">
        <v>422</v>
      </c>
      <c r="C21" s="93" t="n">
        <v>1.78</v>
      </c>
      <c r="D21" s="93" t="n">
        <v>-0.11</v>
      </c>
      <c r="E21" s="93" t="n">
        <v>1.37</v>
      </c>
      <c r="F21" s="93" t="n">
        <v>1.68</v>
      </c>
      <c r="G21" s="93" t="n">
        <v>0.79</v>
      </c>
      <c r="H21" s="93" t="n">
        <v>-0.04</v>
      </c>
      <c r="I21" s="93" t="n">
        <v>2.58</v>
      </c>
      <c r="J21" s="93" t="n">
        <v>4.78</v>
      </c>
    </row>
    <row r="22" customFormat="false" ht="15" hidden="false" customHeight="false" outlineLevel="0" collapsed="false">
      <c r="A22" s="18" t="s">
        <v>423</v>
      </c>
      <c r="B22" s="74" t="s">
        <v>424</v>
      </c>
      <c r="C22" s="93" t="n">
        <v>4.31</v>
      </c>
      <c r="D22" s="93" t="n">
        <v>-8.57</v>
      </c>
      <c r="E22" s="93" t="n">
        <v>2.51</v>
      </c>
      <c r="F22" s="93" t="n">
        <v>2.82</v>
      </c>
      <c r="G22" s="93" t="n">
        <v>0.06</v>
      </c>
      <c r="H22" s="93" t="n">
        <v>0.26</v>
      </c>
      <c r="I22" s="93" t="n">
        <v>3.73</v>
      </c>
      <c r="J22" s="93" t="n">
        <v>6.8</v>
      </c>
    </row>
    <row r="23" customFormat="false" ht="15" hidden="false" customHeight="false" outlineLevel="0" collapsed="false">
      <c r="A23" s="18" t="s">
        <v>425</v>
      </c>
      <c r="B23" s="74" t="s">
        <v>426</v>
      </c>
      <c r="C23" s="93" t="n">
        <v>0.12</v>
      </c>
      <c r="D23" s="93" t="n">
        <v>0</v>
      </c>
      <c r="E23" s="93" t="n">
        <v>0</v>
      </c>
      <c r="F23" s="93" t="n">
        <v>0.12</v>
      </c>
      <c r="G23" s="93" t="n">
        <v>0</v>
      </c>
      <c r="H23" s="93" t="n">
        <v>0</v>
      </c>
      <c r="I23" s="93" t="n">
        <v>0</v>
      </c>
      <c r="J23" s="93" t="n">
        <v>0</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11.6</v>
      </c>
      <c r="D26" s="93" t="n">
        <v>11.6</v>
      </c>
      <c r="E26" s="93" t="n">
        <v>11.6</v>
      </c>
      <c r="F26" s="93" t="n">
        <v>11.6</v>
      </c>
      <c r="G26" s="93" t="n">
        <v>23.2</v>
      </c>
      <c r="H26" s="93" t="n">
        <v>23.2</v>
      </c>
      <c r="I26" s="93" t="n">
        <v>23.2</v>
      </c>
      <c r="J26" s="93" t="n">
        <v>23.2</v>
      </c>
    </row>
    <row r="27" customFormat="false" ht="15" hidden="false" customHeight="false" outlineLevel="0" collapsed="false">
      <c r="A27" s="18" t="s">
        <v>430</v>
      </c>
      <c r="B27" s="74" t="s">
        <v>431</v>
      </c>
      <c r="C27" s="93" t="n">
        <v>14.23</v>
      </c>
      <c r="D27" s="93" t="n">
        <v>5.66</v>
      </c>
      <c r="E27" s="93" t="n">
        <v>9.93</v>
      </c>
      <c r="F27" s="93" t="n">
        <v>12.77</v>
      </c>
      <c r="G27" s="93" t="n">
        <v>39.04</v>
      </c>
      <c r="H27" s="93" t="n">
        <v>39.28</v>
      </c>
      <c r="I27" s="93" t="n">
        <v>42.87</v>
      </c>
      <c r="J27" s="93" t="n">
        <v>49.59</v>
      </c>
    </row>
    <row r="28" customFormat="false" ht="15" hidden="false" customHeight="false" outlineLevel="0" collapsed="false">
      <c r="A28" s="18" t="s">
        <v>432</v>
      </c>
      <c r="B28" s="74" t="s">
        <v>433</v>
      </c>
      <c r="C28" s="93" t="n">
        <v>43.32</v>
      </c>
      <c r="D28" s="93" t="n">
        <v>37.28</v>
      </c>
      <c r="E28" s="93" t="n">
        <v>31.07</v>
      </c>
      <c r="F28" s="93" t="n">
        <v>49.23</v>
      </c>
      <c r="G28" s="93" t="n">
        <v>60.87</v>
      </c>
      <c r="H28" s="93" t="n">
        <v>55.8</v>
      </c>
      <c r="I28" s="93" t="n">
        <v>64.34</v>
      </c>
      <c r="J28" s="93" t="n">
        <v>74.07</v>
      </c>
    </row>
    <row r="29" customFormat="false" ht="15" hidden="false" customHeight="false" outlineLevel="0" collapsed="false">
      <c r="A29" s="18" t="s">
        <v>434</v>
      </c>
      <c r="B29" s="74" t="s">
        <v>435</v>
      </c>
      <c r="C29" s="93" t="n">
        <v>24.44</v>
      </c>
      <c r="D29" s="93" t="n">
        <v>33.27</v>
      </c>
      <c r="E29" s="93" t="n">
        <v>45.57</v>
      </c>
      <c r="F29" s="93" t="n">
        <v>36.41</v>
      </c>
      <c r="G29" s="93" t="n">
        <v>30.75</v>
      </c>
      <c r="H29" s="93" t="n">
        <v>52.28</v>
      </c>
      <c r="I29" s="93" t="n">
        <v>52.02</v>
      </c>
      <c r="J29" s="93" t="n">
        <v>47.23</v>
      </c>
    </row>
    <row r="30" customFormat="false" ht="15" hidden="false" customHeight="false" outlineLevel="0" collapsed="false">
      <c r="A30" s="18" t="s">
        <v>436</v>
      </c>
      <c r="B30" s="74" t="s">
        <v>437</v>
      </c>
      <c r="C30" s="93" t="n">
        <v>93.59</v>
      </c>
      <c r="D30" s="93" t="n">
        <v>87.81</v>
      </c>
      <c r="E30" s="93" t="n">
        <v>98.17</v>
      </c>
      <c r="F30" s="93" t="n">
        <v>110.01</v>
      </c>
      <c r="G30" s="93" t="n">
        <v>153.86</v>
      </c>
      <c r="H30" s="93" t="n">
        <v>170.56</v>
      </c>
      <c r="I30" s="93" t="n">
        <v>182.43</v>
      </c>
      <c r="J30" s="93" t="n">
        <v>194.09</v>
      </c>
    </row>
    <row r="31" customFormat="false" ht="15" hidden="false" customHeight="false" outlineLevel="0" collapsed="false">
      <c r="A31" s="18" t="s">
        <v>438</v>
      </c>
      <c r="B31" s="74" t="s">
        <v>439</v>
      </c>
      <c r="C31" s="93" t="n">
        <v>15.35</v>
      </c>
      <c r="D31" s="93" t="n">
        <v>14.35</v>
      </c>
      <c r="E31" s="93" t="n">
        <v>28.55</v>
      </c>
      <c r="F31" s="93" t="n">
        <v>31.16</v>
      </c>
      <c r="G31" s="93" t="n">
        <v>30.55</v>
      </c>
      <c r="H31" s="93" t="n">
        <v>27.16</v>
      </c>
      <c r="I31" s="93" t="n">
        <v>26.37</v>
      </c>
      <c r="J31" s="93" t="n">
        <v>24.36</v>
      </c>
    </row>
    <row r="32" customFormat="false" ht="15" hidden="false" customHeight="false" outlineLevel="0" collapsed="false">
      <c r="A32" s="18" t="s">
        <v>440</v>
      </c>
      <c r="B32" s="74" t="s">
        <v>441</v>
      </c>
      <c r="C32" s="93" t="n">
        <v>0</v>
      </c>
      <c r="D32" s="93" t="n">
        <v>0.76</v>
      </c>
      <c r="E32" s="93" t="n">
        <v>0</v>
      </c>
      <c r="F32" s="93" t="n">
        <v>0</v>
      </c>
      <c r="G32" s="93" t="n">
        <v>0</v>
      </c>
      <c r="H32" s="93" t="n">
        <v>0</v>
      </c>
      <c r="I32" s="93" t="n">
        <v>0</v>
      </c>
      <c r="J32" s="93" t="n">
        <v>0</v>
      </c>
    </row>
    <row r="33" customFormat="false" ht="15" hidden="false" customHeight="false" outlineLevel="0" collapsed="false">
      <c r="A33" s="18" t="s">
        <v>442</v>
      </c>
      <c r="B33" s="74" t="s">
        <v>443</v>
      </c>
      <c r="C33" s="93" t="n">
        <v>0.27</v>
      </c>
      <c r="D33" s="93" t="n">
        <v>0.27</v>
      </c>
      <c r="E33" s="93" t="n">
        <v>0.27</v>
      </c>
      <c r="F33" s="93" t="n">
        <v>0.27</v>
      </c>
      <c r="G33" s="93" t="n">
        <v>0.27</v>
      </c>
      <c r="H33" s="93" t="n">
        <v>0.26</v>
      </c>
      <c r="I33" s="93" t="n">
        <v>0.26</v>
      </c>
      <c r="J33" s="93" t="n">
        <v>0.26</v>
      </c>
    </row>
    <row r="34" customFormat="false" ht="15" hidden="false" customHeight="false" outlineLevel="0" collapsed="false">
      <c r="A34" s="18" t="s">
        <v>444</v>
      </c>
      <c r="B34" s="74" t="s">
        <v>445</v>
      </c>
      <c r="C34" s="93" t="n">
        <v>77.97</v>
      </c>
      <c r="D34" s="93" t="n">
        <v>72.43</v>
      </c>
      <c r="E34" s="93" t="n">
        <v>69.35</v>
      </c>
      <c r="F34" s="93" t="n">
        <v>78.58</v>
      </c>
      <c r="G34" s="93" t="n">
        <v>123.04</v>
      </c>
      <c r="H34" s="93" t="n">
        <v>143.14</v>
      </c>
      <c r="I34" s="93" t="n">
        <v>155.8</v>
      </c>
      <c r="J34" s="93" t="n">
        <v>169.47</v>
      </c>
    </row>
    <row r="35" customFormat="false" ht="15" hidden="false" customHeight="false" outlineLevel="0" collapsed="false">
      <c r="A35" s="18" t="s">
        <v>446</v>
      </c>
      <c r="B35" s="74" t="s">
        <v>447</v>
      </c>
      <c r="C35" s="93" t="n">
        <v>93.59</v>
      </c>
      <c r="D35" s="93" t="n">
        <v>87.81</v>
      </c>
      <c r="E35" s="93" t="n">
        <v>98.17</v>
      </c>
      <c r="F35" s="93" t="n">
        <v>110.01</v>
      </c>
      <c r="G35" s="93" t="n">
        <v>153.86</v>
      </c>
      <c r="H35" s="93" t="n">
        <v>170.56</v>
      </c>
      <c r="I35" s="93" t="n">
        <v>182.43</v>
      </c>
      <c r="J35" s="93" t="n">
        <v>194.09</v>
      </c>
    </row>
    <row r="36" customFormat="false" ht="15" hidden="false" customHeight="false" outlineLevel="0" collapsed="false">
      <c r="A36" s="18" t="s">
        <v>448</v>
      </c>
      <c r="B36" s="74" t="s">
        <v>449</v>
      </c>
      <c r="C36" s="93" t="n">
        <v>64.6</v>
      </c>
      <c r="D36" s="93" t="n">
        <v>51.58</v>
      </c>
      <c r="E36" s="93" t="n">
        <v>39.59</v>
      </c>
      <c r="F36" s="93" t="n">
        <v>41.9</v>
      </c>
      <c r="G36" s="93" t="n">
        <v>44.99</v>
      </c>
      <c r="H36" s="93" t="n">
        <v>69.17</v>
      </c>
      <c r="I36" s="93" t="n">
        <v>78.05</v>
      </c>
      <c r="J36" s="93" t="n">
        <v>97.11</v>
      </c>
    </row>
    <row r="37" customFormat="false" ht="15" hidden="false" customHeight="false" outlineLevel="0" collapsed="false">
      <c r="A37" s="18" t="s">
        <v>450</v>
      </c>
      <c r="B37" s="74" t="s">
        <v>451</v>
      </c>
      <c r="C37" s="93" t="n">
        <v>0</v>
      </c>
      <c r="D37" s="93" t="n">
        <v>0</v>
      </c>
      <c r="E37" s="93" t="n">
        <v>0</v>
      </c>
      <c r="F37" s="93" t="n">
        <v>0</v>
      </c>
      <c r="G37" s="93" t="n">
        <v>0</v>
      </c>
      <c r="H37" s="93" t="n">
        <v>0</v>
      </c>
      <c r="I37" s="93" t="n">
        <v>0</v>
      </c>
      <c r="J37" s="93" t="n">
        <v>0</v>
      </c>
    </row>
    <row r="38" customFormat="false" ht="15" hidden="false" customHeight="false" outlineLevel="0" collapsed="false">
      <c r="A38" s="18" t="s">
        <v>452</v>
      </c>
      <c r="B38" s="74" t="s">
        <v>453</v>
      </c>
      <c r="C38" s="93" t="n">
        <v>2.11</v>
      </c>
      <c r="D38" s="93" t="n">
        <v>3.44</v>
      </c>
      <c r="E38" s="93" t="n">
        <v>3.19</v>
      </c>
      <c r="F38" s="93" t="n">
        <v>6.59</v>
      </c>
      <c r="G38" s="93" t="n">
        <v>8.49</v>
      </c>
      <c r="H38" s="93" t="n">
        <v>13.3</v>
      </c>
      <c r="I38" s="93" t="n">
        <v>12.43</v>
      </c>
      <c r="J38" s="93" t="n">
        <v>14.57</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-1.13</v>
      </c>
      <c r="D41" s="93" t="n">
        <v>12.79</v>
      </c>
      <c r="E41" s="93" t="n">
        <v>9.94</v>
      </c>
      <c r="F41" s="93" t="n">
        <v>-10.56</v>
      </c>
      <c r="G41" s="93" t="n">
        <v>-38.91</v>
      </c>
      <c r="H41" s="93" t="n">
        <v>16.91</v>
      </c>
      <c r="I41" s="93" t="n">
        <v>-0.84</v>
      </c>
      <c r="J41" s="93" t="n">
        <v>-7.25</v>
      </c>
    </row>
    <row r="42" customFormat="false" ht="15" hidden="false" customHeight="false" outlineLevel="0" collapsed="false">
      <c r="A42" s="18" t="s">
        <v>457</v>
      </c>
      <c r="B42" s="74" t="s">
        <v>458</v>
      </c>
      <c r="C42" s="93" t="n">
        <v>-7.7</v>
      </c>
      <c r="D42" s="93" t="n">
        <v>-0.9</v>
      </c>
      <c r="E42" s="93" t="n">
        <v>-0.81</v>
      </c>
      <c r="F42" s="93" t="n">
        <v>-3.79</v>
      </c>
      <c r="G42" s="93" t="n">
        <v>-4.01</v>
      </c>
      <c r="H42" s="93" t="n">
        <v>-5.74</v>
      </c>
      <c r="I42" s="93" t="n">
        <v>-0.69</v>
      </c>
      <c r="J42" s="93" t="n">
        <v>4.32</v>
      </c>
    </row>
    <row r="43" customFormat="false" ht="15" hidden="false" customHeight="false" outlineLevel="0" collapsed="false">
      <c r="A43" s="18" t="s">
        <v>459</v>
      </c>
      <c r="B43" s="74" t="s">
        <v>460</v>
      </c>
      <c r="C43" s="93" t="n">
        <v>10.08</v>
      </c>
      <c r="D43" s="93" t="n">
        <v>-10.56</v>
      </c>
      <c r="E43" s="93" t="n">
        <v>-9.9</v>
      </c>
      <c r="F43" s="93" t="n">
        <v>13.9</v>
      </c>
      <c r="G43" s="93" t="n">
        <v>42.88</v>
      </c>
      <c r="H43" s="93" t="n">
        <v>-11.06</v>
      </c>
      <c r="I43" s="93" t="n">
        <v>1.73</v>
      </c>
      <c r="J43" s="93" t="n">
        <v>3.27</v>
      </c>
    </row>
    <row r="44" customFormat="false" ht="15" hidden="false" customHeight="false" outlineLevel="0" collapsed="false">
      <c r="A44" s="18" t="s">
        <v>461</v>
      </c>
      <c r="B44" s="74" t="s">
        <v>462</v>
      </c>
      <c r="C44" s="93" t="n">
        <v>1.26</v>
      </c>
      <c r="D44" s="93" t="n">
        <v>1.33</v>
      </c>
      <c r="E44" s="93" t="n">
        <v>-0.77</v>
      </c>
      <c r="F44" s="93" t="n">
        <v>-0.45</v>
      </c>
      <c r="G44" s="93" t="n">
        <v>-0.04</v>
      </c>
      <c r="H44" s="93" t="n">
        <v>0.12</v>
      </c>
      <c r="I44" s="93" t="n">
        <v>0.21</v>
      </c>
      <c r="J44" s="93" t="n">
        <v>0.34</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11.03</v>
      </c>
      <c r="D47" s="93" t="n">
        <v>5.68</v>
      </c>
      <c r="E47" s="93" t="n">
        <v>7.19</v>
      </c>
      <c r="F47" s="93" t="n">
        <v>29.08</v>
      </c>
      <c r="G47" s="93" t="n">
        <v>11.8</v>
      </c>
      <c r="H47" s="93" t="n">
        <v>12.45</v>
      </c>
      <c r="I47" s="93" t="n">
        <v>11.52</v>
      </c>
      <c r="J47" s="93" t="n">
        <v>17.06</v>
      </c>
    </row>
    <row r="48" customFormat="false" ht="15" hidden="false" customHeight="false" outlineLevel="0" collapsed="false">
      <c r="A48" s="18" t="s">
        <v>467</v>
      </c>
      <c r="B48" s="74" t="s">
        <v>468</v>
      </c>
      <c r="C48" s="93" t="n">
        <v>4.64</v>
      </c>
      <c r="D48" s="93" t="n">
        <v>4.64</v>
      </c>
      <c r="E48" s="93" t="n">
        <v>4.64</v>
      </c>
      <c r="F48" s="93" t="n">
        <v>4.64</v>
      </c>
      <c r="G48" s="93" t="n">
        <v>4.64</v>
      </c>
      <c r="H48" s="93" t="n">
        <v>4.64</v>
      </c>
      <c r="I48" s="93" t="n">
        <v>4.64</v>
      </c>
      <c r="J48" s="93" t="n">
        <v>4.64</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312.84</v>
      </c>
      <c r="D52" s="44" t="n">
        <f aca="false">IFERROR((((D10+D12)+D13)-D11),"N/M")</f>
        <v>284.54</v>
      </c>
      <c r="E52" s="44" t="n">
        <f aca="false">IFERROR((((E10+E12)+E13)-E11),"N/M")</f>
        <v>327.09</v>
      </c>
      <c r="F52" s="44" t="n">
        <f aca="false">IFERROR((((F10+F12)+F13)-F11),"N/M")</f>
        <v>428.06</v>
      </c>
      <c r="G52" s="44" t="n">
        <f aca="false">IFERROR((((G10+G12)+G13)-G11),"N/M")</f>
        <v>385.98</v>
      </c>
      <c r="H52" s="44" t="n">
        <f aca="false">IFERROR((((H10+H12)+H13)-H11),"N/M")</f>
        <v>352.81</v>
      </c>
      <c r="I52" s="44" t="n">
        <f aca="false">IFERROR((((I10+I12)+I13)-I11),"N/M")</f>
        <v>396.21</v>
      </c>
      <c r="J52" s="44" t="n">
        <f aca="false">IFERROR((((J10+J12)+J13)-J11),"N/M")</f>
        <v>400.18</v>
      </c>
    </row>
    <row r="53" customFormat="false" ht="15" hidden="false" customHeight="false" outlineLevel="0" collapsed="false">
      <c r="A53" s="18" t="s">
        <v>473</v>
      </c>
      <c r="B53" s="19" t="s">
        <v>474</v>
      </c>
      <c r="C53" s="44" t="n">
        <f aca="false">IFERROR(((C14+C15)+C16),"N/M")</f>
        <v>14.35</v>
      </c>
      <c r="D53" s="44" t="n">
        <f aca="false">IFERROR(((D14+D15)+D16),"N/M")</f>
        <v>18.75</v>
      </c>
      <c r="E53" s="44" t="n">
        <f aca="false">IFERROR(((E14+E15)+E16),"N/M")</f>
        <v>10.39</v>
      </c>
      <c r="F53" s="44" t="n">
        <f aca="false">IFERROR(((F14+F15)+F16),"N/M")</f>
        <v>17.92</v>
      </c>
      <c r="G53" s="44" t="n">
        <f aca="false">IFERROR(((G14+G15)+G16),"N/M")</f>
        <v>22.71</v>
      </c>
      <c r="H53" s="44" t="n">
        <f aca="false">IFERROR(((H14+H15)+H16),"N/M")</f>
        <v>29.05</v>
      </c>
      <c r="I53" s="44" t="n">
        <f aca="false">IFERROR(((I14+I15)+I16),"N/M")</f>
        <v>26.15</v>
      </c>
      <c r="J53" s="44" t="n">
        <f aca="false">IFERROR(((J14+J15)+J16),"N/M")</f>
        <v>27.33</v>
      </c>
    </row>
    <row r="54" customFormat="false" ht="15" hidden="false" customHeight="false" outlineLevel="0" collapsed="false">
      <c r="A54" s="18" t="s">
        <v>475</v>
      </c>
      <c r="B54" s="19" t="s">
        <v>476</v>
      </c>
      <c r="C54" s="44" t="n">
        <f aca="false">IFERROR((C52+C53),"N/M")</f>
        <v>327.19</v>
      </c>
      <c r="D54" s="44" t="n">
        <f aca="false">IFERROR((D52+D53),"N/M")</f>
        <v>303.29</v>
      </c>
      <c r="E54" s="44" t="n">
        <f aca="false">IFERROR((E52+E53),"N/M")</f>
        <v>337.48</v>
      </c>
      <c r="F54" s="44" t="n">
        <f aca="false">IFERROR((F52+F53),"N/M")</f>
        <v>445.98</v>
      </c>
      <c r="G54" s="44" t="n">
        <f aca="false">IFERROR((G52+G53),"N/M")</f>
        <v>408.69</v>
      </c>
      <c r="H54" s="44" t="n">
        <f aca="false">IFERROR((H52+H53),"N/M")</f>
        <v>381.86</v>
      </c>
      <c r="I54" s="44" t="n">
        <f aca="false">IFERROR((I52+I53),"N/M")</f>
        <v>422.36</v>
      </c>
      <c r="J54" s="44" t="n">
        <f aca="false">IFERROR((J52+J53),"N/M")</f>
        <v>427.51</v>
      </c>
    </row>
    <row r="55" customFormat="false" ht="15" hidden="false" customHeight="false" outlineLevel="0" collapsed="false">
      <c r="A55" s="18" t="s">
        <v>477</v>
      </c>
      <c r="B55" s="19" t="s">
        <v>478</v>
      </c>
      <c r="C55" s="44" t="n">
        <f aca="false">IFERROR((C9-C52),"N/M")</f>
        <v>24.68</v>
      </c>
      <c r="D55" s="44" t="n">
        <f aca="false">IFERROR((D9-D52),"N/M")</f>
        <v>15.24</v>
      </c>
      <c r="E55" s="44" t="n">
        <f aca="false">IFERROR((E9-E52),"N/M")</f>
        <v>19.7</v>
      </c>
      <c r="F55" s="44" t="n">
        <f aca="false">IFERROR((F9-F52),"N/M")</f>
        <v>28.7</v>
      </c>
      <c r="G55" s="44" t="n">
        <f aca="false">IFERROR((G9-G52),"N/M")</f>
        <v>30.71</v>
      </c>
      <c r="H55" s="44" t="n">
        <f aca="false">IFERROR((H9-H52),"N/M")</f>
        <v>34.96</v>
      </c>
      <c r="I55" s="44" t="n">
        <f aca="false">IFERROR((I9-I52),"N/M")</f>
        <v>40.42</v>
      </c>
      <c r="J55" s="44" t="n">
        <f aca="false">IFERROR((J9-J52),"N/M")</f>
        <v>43.9</v>
      </c>
    </row>
    <row r="56" customFormat="false" ht="15" hidden="false" customHeight="false" outlineLevel="0" collapsed="false">
      <c r="A56" s="18" t="s">
        <v>479</v>
      </c>
      <c r="B56" s="19" t="s">
        <v>480</v>
      </c>
      <c r="C56" s="44" t="n">
        <f aca="false">IFERROR((C9-C54),"N/M")</f>
        <v>10.3299999999999</v>
      </c>
      <c r="D56" s="44" t="n">
        <f aca="false">IFERROR((D9-D54),"N/M")</f>
        <v>-3.51000000000005</v>
      </c>
      <c r="E56" s="44" t="n">
        <f aca="false">IFERROR((E9-E54),"N/M")</f>
        <v>9.31000000000006</v>
      </c>
      <c r="F56" s="44" t="n">
        <f aca="false">IFERROR((F9-F54),"N/M")</f>
        <v>10.78</v>
      </c>
      <c r="G56" s="44" t="n">
        <f aca="false">IFERROR((G9-G54),"N/M")</f>
        <v>8.00000000000006</v>
      </c>
      <c r="H56" s="44" t="n">
        <f aca="false">IFERROR((H9-H54),"N/M")</f>
        <v>5.90999999999997</v>
      </c>
      <c r="I56" s="44" t="n">
        <f aca="false">IFERROR((I9-I54),"N/M")</f>
        <v>14.27</v>
      </c>
      <c r="J56" s="44" t="n">
        <f aca="false">IFERROR((J9-J54),"N/M")</f>
        <v>16.57</v>
      </c>
    </row>
    <row r="57" customFormat="false" ht="15" hidden="false" customHeight="false" outlineLevel="0" collapsed="false">
      <c r="A57" s="18" t="s">
        <v>481</v>
      </c>
      <c r="B57" s="19" t="s">
        <v>482</v>
      </c>
      <c r="C57" s="44" t="n">
        <f aca="false">IFERROR((C9+C17),"N/M")</f>
        <v>337.88</v>
      </c>
      <c r="D57" s="44" t="n">
        <f aca="false">IFERROR((D9+D17),"N/M")</f>
        <v>300.46</v>
      </c>
      <c r="E57" s="44" t="n">
        <f aca="false">IFERROR((E9+E17),"N/M")</f>
        <v>347.39</v>
      </c>
      <c r="F57" s="44" t="n">
        <f aca="false">IFERROR((F9+F17),"N/M")</f>
        <v>457.26</v>
      </c>
      <c r="G57" s="44" t="n">
        <f aca="false">IFERROR((G9+G17),"N/M")</f>
        <v>417.41</v>
      </c>
      <c r="H57" s="44" t="n">
        <f aca="false">IFERROR((H9+H17),"N/M")</f>
        <v>390.23</v>
      </c>
      <c r="I57" s="44" t="n">
        <f aca="false">IFERROR((I9+I17),"N/M")</f>
        <v>437.65</v>
      </c>
      <c r="J57" s="44" t="n">
        <f aca="false">IFERROR((J9+J17),"N/M")</f>
        <v>448.01</v>
      </c>
    </row>
    <row r="58" customFormat="false" ht="15" hidden="false" customHeight="false" outlineLevel="0" collapsed="false">
      <c r="A58" s="18" t="s">
        <v>483</v>
      </c>
      <c r="B58" s="19" t="s">
        <v>484</v>
      </c>
      <c r="C58" s="44" t="n">
        <f aca="false">IFERROR((C20+C19),"N/M")</f>
        <v>9.8</v>
      </c>
      <c r="D58" s="44" t="n">
        <f aca="false">IFERROR((D20+D19),"N/M")</f>
        <v>-4.1</v>
      </c>
      <c r="E58" s="44" t="n">
        <f aca="false">IFERROR((E20+E19),"N/M")</f>
        <v>7.75</v>
      </c>
      <c r="F58" s="44" t="n">
        <f aca="false">IFERROR((F20+F19),"N/M")</f>
        <v>8.54</v>
      </c>
      <c r="G58" s="44" t="n">
        <f aca="false">IFERROR((G20+G19),"N/M")</f>
        <v>5.91</v>
      </c>
      <c r="H58" s="44" t="n">
        <f aca="false">IFERROR((H20+H19),"N/M")</f>
        <v>6.16</v>
      </c>
      <c r="I58" s="44" t="n">
        <f aca="false">IFERROR((I20+I19),"N/M")</f>
        <v>13.21</v>
      </c>
      <c r="J58" s="44" t="n">
        <f aca="false">IFERROR((J20+J19),"N/M")</f>
        <v>18.59</v>
      </c>
    </row>
    <row r="59" customFormat="false" ht="15" hidden="false" customHeight="false" outlineLevel="0" collapsed="false">
      <c r="A59" s="18" t="s">
        <v>485</v>
      </c>
      <c r="B59" s="19" t="s">
        <v>486</v>
      </c>
      <c r="C59" s="44" t="n">
        <f aca="false">IFERROR((C58+C18),"N/M")</f>
        <v>10.69</v>
      </c>
      <c r="D59" s="44" t="n">
        <f aca="false">IFERROR((D58+D18),"N/M")</f>
        <v>-2.83</v>
      </c>
      <c r="E59" s="44" t="n">
        <f aca="false">IFERROR((E58+E18),"N/M")</f>
        <v>9.91</v>
      </c>
      <c r="F59" s="44" t="n">
        <f aca="false">IFERROR((F58+F18),"N/M")</f>
        <v>11.28</v>
      </c>
      <c r="G59" s="44" t="n">
        <f aca="false">IFERROR((G58+G18),"N/M")</f>
        <v>8.72</v>
      </c>
      <c r="H59" s="44" t="n">
        <f aca="false">IFERROR((H58+H18),"N/M")</f>
        <v>8.37</v>
      </c>
      <c r="I59" s="44" t="n">
        <f aca="false">IFERROR((I58+I18),"N/M")</f>
        <v>15.29</v>
      </c>
      <c r="J59" s="44" t="n">
        <f aca="false">IFERROR((J58+J18),"N/M")</f>
        <v>20.5</v>
      </c>
    </row>
    <row r="60" customFormat="false" ht="15" hidden="false" customHeight="false" outlineLevel="0" collapsed="false">
      <c r="A60" s="18" t="s">
        <v>487</v>
      </c>
      <c r="B60" s="19" t="s">
        <v>488</v>
      </c>
      <c r="C60" s="46" t="n">
        <f aca="false">IFERROR(IF(C20&gt;0,MIN(MAX((C21/C20),0),1),0),"N/M")</f>
        <v>0.292763157894737</v>
      </c>
      <c r="D60" s="46" t="n">
        <f aca="false">IFERROR(IF(D20&gt;0,MIN(MAX((D21/D20),0),1),0),"N/M")</f>
        <v>0</v>
      </c>
      <c r="E60" s="46" t="n">
        <f aca="false">IFERROR(IF(E20&gt;0,MIN(MAX((E21/E20),0),1),0),"N/M")</f>
        <v>0.354005167958656</v>
      </c>
      <c r="F60" s="46" t="n">
        <f aca="false">IFERROR(IF(F20&gt;0,MIN(MAX((F21/F20),0),1),0),"N/M")</f>
        <v>0.373333333333333</v>
      </c>
      <c r="G60" s="46" t="n">
        <f aca="false">IFERROR(IF(G20&gt;0,MIN(MAX((G21/G20),0),1),0),"N/M")</f>
        <v>0.918604651162791</v>
      </c>
      <c r="H60" s="46" t="n">
        <f aca="false">IFERROR(IF(H20&gt;0,MIN(MAX((H21/H20),0),1),0),"N/M")</f>
        <v>0</v>
      </c>
      <c r="I60" s="46" t="n">
        <f aca="false">IFERROR(IF(I20&gt;0,MIN(MAX((I21/I20),0),1),0),"N/M")</f>
        <v>0.408874801901743</v>
      </c>
      <c r="J60" s="46" t="n">
        <f aca="false">IFERROR(IF(J20&gt;0,MIN(MAX((J21/J20),0),1),0),"N/M")</f>
        <v>0.412424503882658</v>
      </c>
    </row>
    <row r="61" customFormat="false" ht="15" hidden="false" customHeight="false" outlineLevel="0" collapsed="false">
      <c r="A61" s="18" t="s">
        <v>489</v>
      </c>
      <c r="B61" s="19" t="s">
        <v>490</v>
      </c>
      <c r="C61" s="44" t="n">
        <f aca="false">IFERROR((C26+C27),"N/M")</f>
        <v>25.83</v>
      </c>
      <c r="D61" s="44" t="n">
        <f aca="false">IFERROR((D26+D27),"N/M")</f>
        <v>17.26</v>
      </c>
      <c r="E61" s="44" t="n">
        <f aca="false">IFERROR((E26+E27),"N/M")</f>
        <v>21.53</v>
      </c>
      <c r="F61" s="44" t="n">
        <f aca="false">IFERROR((F26+F27),"N/M")</f>
        <v>24.37</v>
      </c>
      <c r="G61" s="44" t="n">
        <f aca="false">IFERROR((G26+G27),"N/M")</f>
        <v>62.24</v>
      </c>
      <c r="H61" s="44" t="n">
        <f aca="false">IFERROR((H26+H27),"N/M")</f>
        <v>62.48</v>
      </c>
      <c r="I61" s="44" t="n">
        <f aca="false">IFERROR((I26+I27),"N/M")</f>
        <v>66.07</v>
      </c>
      <c r="J61" s="44" t="n">
        <f aca="false">IFERROR((J26+J27),"N/M")</f>
        <v>72.79</v>
      </c>
    </row>
    <row r="62" customFormat="false" ht="15" hidden="false" customHeight="false" outlineLevel="0" collapsed="false">
      <c r="A62" s="18" t="s">
        <v>491</v>
      </c>
      <c r="B62" s="19" t="s">
        <v>492</v>
      </c>
      <c r="C62" s="44" t="n">
        <f aca="false">IFERROR((C61+C28),"N/M")</f>
        <v>69.15</v>
      </c>
      <c r="D62" s="44" t="n">
        <f aca="false">IFERROR((D61+D28),"N/M")</f>
        <v>54.54</v>
      </c>
      <c r="E62" s="44" t="n">
        <f aca="false">IFERROR((E61+E28),"N/M")</f>
        <v>52.6</v>
      </c>
      <c r="F62" s="44" t="n">
        <f aca="false">IFERROR((F61+F28),"N/M")</f>
        <v>73.6</v>
      </c>
      <c r="G62" s="44" t="n">
        <f aca="false">IFERROR((G61+G28),"N/M")</f>
        <v>123.11</v>
      </c>
      <c r="H62" s="44" t="n">
        <f aca="false">IFERROR((H61+H28),"N/M")</f>
        <v>118.28</v>
      </c>
      <c r="I62" s="44" t="n">
        <f aca="false">IFERROR((I61+I28),"N/M")</f>
        <v>130.41</v>
      </c>
      <c r="J62" s="44" t="n">
        <f aca="false">IFERROR((J61+J28),"N/M")</f>
        <v>146.86</v>
      </c>
    </row>
    <row r="63" customFormat="false" ht="15" hidden="false" customHeight="false" outlineLevel="0" collapsed="false">
      <c r="A63" s="18" t="s">
        <v>493</v>
      </c>
      <c r="B63" s="19" t="s">
        <v>494</v>
      </c>
      <c r="C63" s="44" t="n">
        <f aca="false">IFERROR(C34,"N/M")</f>
        <v>77.97</v>
      </c>
      <c r="D63" s="44" t="n">
        <f aca="false">IFERROR(D34,"N/M")</f>
        <v>72.43</v>
      </c>
      <c r="E63" s="44" t="n">
        <f aca="false">IFERROR(E34,"N/M")</f>
        <v>69.35</v>
      </c>
      <c r="F63" s="44" t="n">
        <f aca="false">IFERROR(F34,"N/M")</f>
        <v>78.58</v>
      </c>
      <c r="G63" s="44" t="n">
        <f aca="false">IFERROR(G34,"N/M")</f>
        <v>123.04</v>
      </c>
      <c r="H63" s="44" t="n">
        <f aca="false">IFERROR(H34,"N/M")</f>
        <v>143.14</v>
      </c>
      <c r="I63" s="44" t="n">
        <f aca="false">IFERROR(I34,"N/M")</f>
        <v>155.8</v>
      </c>
      <c r="J63" s="44" t="n">
        <f aca="false">IFERROR(J34,"N/M")</f>
        <v>169.47</v>
      </c>
    </row>
    <row r="64" customFormat="false" ht="15" hidden="false" customHeight="false" outlineLevel="0" collapsed="false">
      <c r="A64" s="18" t="s">
        <v>495</v>
      </c>
      <c r="B64" s="19" t="s">
        <v>496</v>
      </c>
      <c r="C64" s="44" t="n">
        <f aca="false">IFERROR(C29,"N/M")</f>
        <v>24.44</v>
      </c>
      <c r="D64" s="44" t="n">
        <f aca="false">IFERROR(D29,"N/M")</f>
        <v>33.27</v>
      </c>
      <c r="E64" s="44" t="n">
        <f aca="false">IFERROR(E29,"N/M")</f>
        <v>45.57</v>
      </c>
      <c r="F64" s="44" t="n">
        <f aca="false">IFERROR(F29,"N/M")</f>
        <v>36.41</v>
      </c>
      <c r="G64" s="44" t="n">
        <f aca="false">IFERROR(G29,"N/M")</f>
        <v>30.75</v>
      </c>
      <c r="H64" s="44" t="n">
        <f aca="false">IFERROR(H29,"N/M")</f>
        <v>52.28</v>
      </c>
      <c r="I64" s="44" t="n">
        <f aca="false">IFERROR(I29,"N/M")</f>
        <v>52.02</v>
      </c>
      <c r="J64" s="44" t="n">
        <f aca="false">IFERROR(J29,"N/M")</f>
        <v>47.23</v>
      </c>
    </row>
    <row r="65" customFormat="false" ht="15" hidden="false" customHeight="false" outlineLevel="0" collapsed="false">
      <c r="A65" s="18" t="s">
        <v>497</v>
      </c>
      <c r="B65" s="19" t="s">
        <v>498</v>
      </c>
      <c r="C65" s="44" t="n">
        <f aca="false">IFERROR((C63-C64),"N/M")</f>
        <v>53.53</v>
      </c>
      <c r="D65" s="44" t="n">
        <f aca="false">IFERROR((D63-D64),"N/M")</f>
        <v>39.16</v>
      </c>
      <c r="E65" s="44" t="n">
        <f aca="false">IFERROR((E63-E64),"N/M")</f>
        <v>23.78</v>
      </c>
      <c r="F65" s="44" t="n">
        <f aca="false">IFERROR((F63-F64),"N/M")</f>
        <v>42.17</v>
      </c>
      <c r="G65" s="44" t="n">
        <f aca="false">IFERROR((G63-G64),"N/M")</f>
        <v>92.29</v>
      </c>
      <c r="H65" s="44" t="n">
        <f aca="false">IFERROR((H63-H64),"N/M")</f>
        <v>90.86</v>
      </c>
      <c r="I65" s="44" t="n">
        <f aca="false">IFERROR((I63-I64),"N/M")</f>
        <v>103.78</v>
      </c>
      <c r="J65" s="44" t="n">
        <f aca="false">IFERROR((J63-J64),"N/M")</f>
        <v>122.24</v>
      </c>
    </row>
    <row r="66" customFormat="false" ht="15" hidden="false" customHeight="false" outlineLevel="0" collapsed="false">
      <c r="A66" s="18" t="s">
        <v>499</v>
      </c>
      <c r="B66" s="19" t="s">
        <v>500</v>
      </c>
      <c r="C66" s="44" t="n">
        <f aca="false">IFERROR((C36+C38),"N/M")</f>
        <v>66.71</v>
      </c>
      <c r="D66" s="44" t="n">
        <f aca="false">IFERROR((D36+D38),"N/M")</f>
        <v>55.02</v>
      </c>
      <c r="E66" s="44" t="n">
        <f aca="false">IFERROR((E36+E38),"N/M")</f>
        <v>42.78</v>
      </c>
      <c r="F66" s="44" t="n">
        <f aca="false">IFERROR((F36+F38),"N/M")</f>
        <v>48.49</v>
      </c>
      <c r="G66" s="44" t="n">
        <f aca="false">IFERROR((G36+G38),"N/M")</f>
        <v>53.48</v>
      </c>
      <c r="H66" s="44" t="n">
        <f aca="false">IFERROR((H36+H38),"N/M")</f>
        <v>82.47</v>
      </c>
      <c r="I66" s="44" t="n">
        <f aca="false">IFERROR((I36+I38),"N/M")</f>
        <v>90.48</v>
      </c>
      <c r="J66" s="44" t="n">
        <f aca="false">IFERROR((J36+J38),"N/M")</f>
        <v>111.68</v>
      </c>
    </row>
    <row r="67" customFormat="false" ht="15" hidden="false" customHeight="false" outlineLevel="0" collapsed="false">
      <c r="A67" s="18" t="s">
        <v>501</v>
      </c>
      <c r="B67" s="19" t="s">
        <v>502</v>
      </c>
      <c r="D67" s="44" t="n">
        <f aca="false">IFERROR((((D31+D32)-(C31+C32))+D18),"N/M")</f>
        <v>1.03</v>
      </c>
      <c r="E67" s="44" t="n">
        <f aca="false">IFERROR((((E31+E32)-(D31+D32))+E18),"N/M")</f>
        <v>15.6</v>
      </c>
      <c r="F67" s="44" t="n">
        <f aca="false">IFERROR((((F31+F32)-(E31+E32))+F18),"N/M")</f>
        <v>5.35</v>
      </c>
      <c r="G67" s="44" t="n">
        <f aca="false">IFERROR((((G31+G32)-(F31+F32))+G18),"N/M")</f>
        <v>2.2</v>
      </c>
      <c r="H67" s="44" t="n">
        <f aca="false">IFERROR((((H31+H32)-(G31+G32))+H18),"N/M")</f>
        <v>-1.18</v>
      </c>
      <c r="I67" s="44" t="n">
        <f aca="false">IFERROR((((I31+I32)-(H31+H32))+I18),"N/M")</f>
        <v>1.29</v>
      </c>
      <c r="J67" s="44" t="n">
        <f aca="false">IFERROR((((J31+J32)-(I31+I32))+J18),"N/M")</f>
        <v>-0.100000000000002</v>
      </c>
    </row>
    <row r="68" customFormat="false" ht="15" hidden="false" customHeight="false" outlineLevel="0" collapsed="false">
      <c r="A68" s="18" t="s">
        <v>503</v>
      </c>
      <c r="B68" s="19" t="s">
        <v>504</v>
      </c>
      <c r="D68" s="44" t="n">
        <f aca="false">IFERROR(MAX((C28-D28),0),"N/M")</f>
        <v>6.04</v>
      </c>
      <c r="E68" s="44" t="n">
        <f aca="false">IFERROR(MAX((D28-E28),0),"N/M")</f>
        <v>6.21</v>
      </c>
      <c r="F68" s="44" t="n">
        <f aca="false">IFERROR(MAX((E28-F28),0),"N/M")</f>
        <v>0</v>
      </c>
      <c r="G68" s="44" t="n">
        <f aca="false">IFERROR(MAX((F28-G28),0),"N/M")</f>
        <v>0</v>
      </c>
      <c r="H68" s="44" t="n">
        <f aca="false">IFERROR(MAX((G28-H28),0),"N/M")</f>
        <v>5.07</v>
      </c>
      <c r="I68" s="44" t="n">
        <f aca="false">IFERROR(MAX((H28-I28),0),"N/M")</f>
        <v>0</v>
      </c>
      <c r="J68" s="44" t="n">
        <f aca="false">IFERROR(MAX((I28-J28),0),"N/M")</f>
        <v>0</v>
      </c>
    </row>
    <row r="69" customFormat="false" ht="15" hidden="false" customHeight="false" outlineLevel="0" collapsed="false">
      <c r="A69" s="18" t="s">
        <v>505</v>
      </c>
      <c r="B69" s="19" t="s">
        <v>506</v>
      </c>
      <c r="C69" s="44" t="n">
        <f aca="false">IFERROR((C47*C48),"N/M")</f>
        <v>51.1792</v>
      </c>
      <c r="D69" s="44" t="n">
        <f aca="false">IFERROR((D47*D48),"N/M")</f>
        <v>26.3552</v>
      </c>
      <c r="E69" s="44" t="n">
        <f aca="false">IFERROR((E47*E48),"N/M")</f>
        <v>33.3616</v>
      </c>
      <c r="F69" s="44" t="n">
        <f aca="false">IFERROR((F47*F48),"N/M")</f>
        <v>134.9312</v>
      </c>
      <c r="G69" s="44" t="n">
        <f aca="false">IFERROR((G47*G48),"N/M")</f>
        <v>54.752</v>
      </c>
      <c r="H69" s="44" t="n">
        <f aca="false">IFERROR((H47*H48),"N/M")</f>
        <v>57.768</v>
      </c>
      <c r="I69" s="44" t="n">
        <f aca="false">IFERROR((I47*I48),"N/M")</f>
        <v>53.4528</v>
      </c>
      <c r="J69" s="44" t="n">
        <f aca="false">IFERROR((J47*J48),"N/M")</f>
        <v>79.1584</v>
      </c>
    </row>
    <row r="70" customFormat="false" ht="15" hidden="false" customHeight="false" outlineLevel="0" collapsed="false">
      <c r="A70" s="18" t="s">
        <v>507</v>
      </c>
      <c r="B70" s="19" t="s">
        <v>508</v>
      </c>
      <c r="C70" s="44" t="n">
        <f aca="false">IFERROR(((C69+C28)-C38),"N/M")</f>
        <v>92.3892</v>
      </c>
      <c r="D70" s="44" t="n">
        <f aca="false">IFERROR(((D69+D28)-D38),"N/M")</f>
        <v>60.1952</v>
      </c>
      <c r="E70" s="44" t="n">
        <f aca="false">IFERROR(((E69+E28)-E38),"N/M")</f>
        <v>61.2416</v>
      </c>
      <c r="F70" s="44" t="n">
        <f aca="false">IFERROR(((F69+F28)-F38),"N/M")</f>
        <v>177.5712</v>
      </c>
      <c r="G70" s="44" t="n">
        <f aca="false">IFERROR(((G69+G28)-G38),"N/M")</f>
        <v>107.132</v>
      </c>
      <c r="H70" s="44" t="n">
        <f aca="false">IFERROR(((H69+H28)-H38),"N/M")</f>
        <v>100.268</v>
      </c>
      <c r="I70" s="44" t="n">
        <f aca="false">IFERROR(((I69+I28)-I38),"N/M")</f>
        <v>105.3628</v>
      </c>
      <c r="J70" s="44" t="n">
        <f aca="false">IFERROR(((J69+J28)-J38),"N/M")</f>
        <v>138.6584</v>
      </c>
    </row>
    <row r="71" customFormat="false" ht="15" hidden="false" customHeight="false" outlineLevel="0" collapsed="false">
      <c r="A71" s="18" t="s">
        <v>509</v>
      </c>
      <c r="C71" s="44" t="n">
        <f aca="false">IFERROR(IF(C49=1,C69,0),"N/M")</f>
        <v>51.1792</v>
      </c>
      <c r="D71" s="44" t="n">
        <f aca="false">IFERROR(IF(D49=1,D69,0),"N/M")</f>
        <v>26.3552</v>
      </c>
      <c r="E71" s="44" t="n">
        <f aca="false">IFERROR(IF(E49=1,E69,0),"N/M")</f>
        <v>33.3616</v>
      </c>
      <c r="F71" s="44" t="n">
        <f aca="false">IFERROR(IF(F49=1,F69,0),"N/M")</f>
        <v>134.9312</v>
      </c>
      <c r="G71" s="44" t="n">
        <f aca="false">IFERROR(IF(G49=1,G69,0),"N/M")</f>
        <v>54.752</v>
      </c>
      <c r="H71" s="44" t="n">
        <f aca="false">IFERROR(IF(H49=1,H69,0),"N/M")</f>
        <v>57.768</v>
      </c>
      <c r="I71" s="44" t="n">
        <f aca="false">IFERROR(IF(I49=1,I69,0),"N/M")</f>
        <v>53.4528</v>
      </c>
      <c r="J71" s="44" t="n">
        <f aca="false">IFERROR(IF(J49=1,J69,0),"N/M")</f>
        <v>79.1584</v>
      </c>
    </row>
    <row r="72" customFormat="false" ht="15" hidden="false" customHeight="false" outlineLevel="0" collapsed="false">
      <c r="A72" s="18" t="s">
        <v>510</v>
      </c>
      <c r="C72" s="44" t="n">
        <f aca="false">IFERROR(IF(C49=1,C22,0),"N/M")</f>
        <v>4.31</v>
      </c>
      <c r="D72" s="44" t="n">
        <f aca="false">IFERROR(IF(D49=1,D22,0),"N/M")</f>
        <v>-8.57</v>
      </c>
      <c r="E72" s="44" t="n">
        <f aca="false">IFERROR(IF(E49=1,E22,0),"N/M")</f>
        <v>2.51</v>
      </c>
      <c r="F72" s="44" t="n">
        <f aca="false">IFERROR(IF(F49=1,F22,0),"N/M")</f>
        <v>2.82</v>
      </c>
      <c r="G72" s="44" t="n">
        <f aca="false">IFERROR(IF(G49=1,G22,0),"N/M")</f>
        <v>0.06</v>
      </c>
      <c r="H72" s="44" t="n">
        <f aca="false">IFERROR(IF(H49=1,H22,0),"N/M")</f>
        <v>0.26</v>
      </c>
      <c r="I72" s="44" t="n">
        <f aca="false">IFERROR(IF(I49=1,I22,0),"N/M")</f>
        <v>3.73</v>
      </c>
      <c r="J72" s="44" t="n">
        <f aca="false">IFERROR(IF(J49=1,J22,0),"N/M")</f>
        <v>6.8</v>
      </c>
    </row>
    <row r="73" customFormat="false" ht="15" hidden="false" customHeight="false" outlineLevel="0" collapsed="false">
      <c r="A73" s="18" t="s">
        <v>511</v>
      </c>
      <c r="C73" s="44" t="n">
        <f aca="false">IFERROR(IF(C49=1,C61,0),"N/M")</f>
        <v>25.83</v>
      </c>
      <c r="D73" s="44" t="n">
        <f aca="false">IFERROR(IF(D49=1,D61,0),"N/M")</f>
        <v>17.26</v>
      </c>
      <c r="E73" s="44" t="n">
        <f aca="false">IFERROR(IF(E49=1,E61,0),"N/M")</f>
        <v>21.53</v>
      </c>
      <c r="F73" s="44" t="n">
        <f aca="false">IFERROR(IF(F49=1,F61,0),"N/M")</f>
        <v>24.37</v>
      </c>
      <c r="G73" s="44" t="n">
        <f aca="false">IFERROR(IF(G49=1,G61,0),"N/M")</f>
        <v>62.24</v>
      </c>
      <c r="H73" s="44" t="n">
        <f aca="false">IFERROR(IF(H49=1,H61,0),"N/M")</f>
        <v>62.48</v>
      </c>
      <c r="I73" s="44" t="n">
        <f aca="false">IFERROR(IF(I49=1,I61,0),"N/M")</f>
        <v>66.07</v>
      </c>
      <c r="J73" s="44" t="n">
        <f aca="false">IFERROR(IF(J49=1,J61,0),"N/M")</f>
        <v>72.79</v>
      </c>
    </row>
    <row r="74" customFormat="false" ht="15" hidden="false" customHeight="false" outlineLevel="0" collapsed="false">
      <c r="A74" s="18" t="s">
        <v>512</v>
      </c>
      <c r="C74" s="44" t="n">
        <f aca="false">IFERROR(IF(C49=1,C59,0),"N/M")</f>
        <v>10.69</v>
      </c>
      <c r="D74" s="44" t="n">
        <f aca="false">IFERROR(IF(D49=1,D59,0),"N/M")</f>
        <v>-2.83</v>
      </c>
      <c r="E74" s="44" t="n">
        <f aca="false">IFERROR(IF(E49=1,E59,0),"N/M")</f>
        <v>9.91</v>
      </c>
      <c r="F74" s="44" t="n">
        <f aca="false">IFERROR(IF(F49=1,F59,0),"N/M")</f>
        <v>11.28</v>
      </c>
      <c r="G74" s="44" t="n">
        <f aca="false">IFERROR(IF(G49=1,G59,0),"N/M")</f>
        <v>8.72</v>
      </c>
      <c r="H74" s="44" t="n">
        <f aca="false">IFERROR(IF(H49=1,H59,0),"N/M")</f>
        <v>8.37</v>
      </c>
      <c r="I74" s="44" t="n">
        <f aca="false">IFERROR(IF(I49=1,I59,0),"N/M")</f>
        <v>15.29</v>
      </c>
      <c r="J74" s="44" t="n">
        <f aca="false">IFERROR(IF(J49=1,J59,0),"N/M")</f>
        <v>20.5</v>
      </c>
    </row>
    <row r="75" customFormat="false" ht="15" hidden="false" customHeight="false" outlineLevel="0" collapsed="false">
      <c r="A75" s="18" t="s">
        <v>513</v>
      </c>
      <c r="C75" s="44" t="n">
        <f aca="false">IFERROR(IF(C49=1,C23,0),"N/M")</f>
        <v>0.12</v>
      </c>
      <c r="D75" s="44" t="n">
        <f aca="false">IFERROR(IF(D49=1,D23,0),"N/M")</f>
        <v>0</v>
      </c>
      <c r="E75" s="44" t="n">
        <f aca="false">IFERROR(IF(E49=1,E23,0),"N/M")</f>
        <v>0</v>
      </c>
      <c r="F75" s="44" t="n">
        <f aca="false">IFERROR(IF(F49=1,F23,0),"N/M")</f>
        <v>0.12</v>
      </c>
      <c r="G75" s="44" t="n">
        <f aca="false">IFERROR(IF(G49=1,G23,0),"N/M")</f>
        <v>0</v>
      </c>
      <c r="H75" s="44" t="n">
        <f aca="false">IFERROR(IF(H49=1,H23,0),"N/M")</f>
        <v>0</v>
      </c>
      <c r="I75" s="44" t="n">
        <f aca="false">IFERROR(IF(I49=1,I23,0),"N/M")</f>
        <v>0</v>
      </c>
      <c r="J75" s="44" t="n">
        <f aca="false">IFERROR(IF(J49=1,J23,0),"N/M")</f>
        <v>0</v>
      </c>
    </row>
    <row r="76" customFormat="false" ht="15" hidden="false" customHeight="false" outlineLevel="0" collapsed="false">
      <c r="A76" s="18" t="s">
        <v>514</v>
      </c>
      <c r="C76" s="44" t="n">
        <f aca="false">IFERROR(IF(C49=1,(C28-C38),0),"N/M")</f>
        <v>41.21</v>
      </c>
      <c r="D76" s="44" t="n">
        <f aca="false">IFERROR(IF(D49=1,(D28-D38),0),"N/M")</f>
        <v>33.84</v>
      </c>
      <c r="E76" s="44" t="n">
        <f aca="false">IFERROR(IF(E49=1,(E28-E38),0),"N/M")</f>
        <v>27.88</v>
      </c>
      <c r="F76" s="44" t="n">
        <f aca="false">IFERROR(IF(F49=1,(F28-F38),0),"N/M")</f>
        <v>42.64</v>
      </c>
      <c r="G76" s="44" t="n">
        <f aca="false">IFERROR(IF(G49=1,(G28-G38),0),"N/M")</f>
        <v>52.38</v>
      </c>
      <c r="H76" s="44" t="n">
        <f aca="false">IFERROR(IF(H49=1,(H28-H38),0),"N/M")</f>
        <v>42.5</v>
      </c>
      <c r="I76" s="44" t="n">
        <f aca="false">IFERROR(IF(I49=1,(I28-I38),0),"N/M")</f>
        <v>51.91</v>
      </c>
      <c r="J76" s="44" t="n">
        <f aca="false">IFERROR(IF(J49=1,(J28-J38),0),"N/M")</f>
        <v>59.5</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39.16</v>
      </c>
      <c r="E79" s="79" t="n">
        <f aca="false">IFERROR(E65,"N/M")</f>
        <v>23.78</v>
      </c>
      <c r="F79" s="79" t="n">
        <f aca="false">IFERROR(F65,"N/M")</f>
        <v>42.17</v>
      </c>
      <c r="G79" s="79" t="n">
        <f aca="false">IFERROR(G65,"N/M")</f>
        <v>92.29</v>
      </c>
      <c r="H79" s="79" t="n">
        <f aca="false">IFERROR(H65,"N/M")</f>
        <v>90.86</v>
      </c>
      <c r="I79" s="79" t="n">
        <f aca="false">IFERROR(I65,"N/M")</f>
        <v>103.78</v>
      </c>
      <c r="J79" s="79" t="n">
        <f aca="false">IFERROR(J65,"N/M")</f>
        <v>122.24</v>
      </c>
      <c r="K79" s="80" t="n">
        <f aca="false">IFERROR(AVERAGE(D79:J79),"N/M")</f>
        <v>73.4685714285714</v>
      </c>
      <c r="L79" s="81" t="n">
        <f aca="false">IFERROR(J79-D79,"N/M")</f>
        <v>83.08</v>
      </c>
      <c r="M79" s="81" t="n">
        <f aca="false">IFERROR(SLOPE(D79:J79,$D$3:$J$3),"N/M")</f>
        <v>16.3546428571429</v>
      </c>
    </row>
    <row r="80" customFormat="false" ht="15" hidden="false" customHeight="false" outlineLevel="0" collapsed="false">
      <c r="A80" s="18" t="s">
        <v>119</v>
      </c>
      <c r="B80" s="19" t="s">
        <v>517</v>
      </c>
      <c r="D80" s="47" t="n">
        <f aca="false">IFERROR(IF(D64&lt;=0,"N/M",D63/D64),"N/M")</f>
        <v>2.17703636910129</v>
      </c>
      <c r="E80" s="47" t="n">
        <f aca="false">IFERROR(IF(E64&lt;=0,"N/M",E63/E64),"N/M")</f>
        <v>1.52183454026772</v>
      </c>
      <c r="F80" s="47" t="n">
        <f aca="false">IFERROR(IF(F64&lt;=0,"N/M",F63/F64),"N/M")</f>
        <v>2.15819829717111</v>
      </c>
      <c r="G80" s="47" t="n">
        <f aca="false">IFERROR(IF(G64&lt;=0,"N/M",G63/G64),"N/M")</f>
        <v>4.00130081300813</v>
      </c>
      <c r="H80" s="47" t="n">
        <f aca="false">IFERROR(IF(H64&lt;=0,"N/M",H63/H64),"N/M")</f>
        <v>2.73794950267789</v>
      </c>
      <c r="I80" s="47" t="n">
        <f aca="false">IFERROR(IF(I64&lt;=0,"N/M",I63/I64),"N/M")</f>
        <v>2.99500192233756</v>
      </c>
      <c r="J80" s="47" t="n">
        <f aca="false">IFERROR(IF(J64&lt;=0,"N/M",J63/J64),"N/M")</f>
        <v>3.58818547533347</v>
      </c>
      <c r="K80" s="22" t="n">
        <f aca="false">IFERROR(AVERAGE(D80:J80),"N/M")</f>
        <v>2.73992955998531</v>
      </c>
      <c r="L80" s="82" t="n">
        <f aca="false">IFERROR(J80-D80,"N/M")</f>
        <v>1.41114910623218</v>
      </c>
      <c r="M80" s="83" t="n">
        <f aca="false">IFERROR(SLOPE(D80:J80,$D$3:$J$3),"N/M")</f>
        <v>0.277126188869393</v>
      </c>
    </row>
    <row r="81" customFormat="false" ht="15" hidden="false" customHeight="false" outlineLevel="0" collapsed="false">
      <c r="A81" s="18" t="s">
        <v>121</v>
      </c>
      <c r="B81" s="19" t="s">
        <v>518</v>
      </c>
      <c r="D81" s="47" t="n">
        <f aca="false">IFERROR(IF(D64&lt;=0,"N/M",D66/D64),"N/M")</f>
        <v>1.65374211000902</v>
      </c>
      <c r="E81" s="47" t="n">
        <f aca="false">IFERROR(IF(E64&lt;=0,"N/M",E66/E64),"N/M")</f>
        <v>0.938775510204082</v>
      </c>
      <c r="F81" s="47" t="n">
        <f aca="false">IFERROR(IF(F64&lt;=0,"N/M",F66/F64),"N/M")</f>
        <v>1.33177698434496</v>
      </c>
      <c r="G81" s="47" t="n">
        <f aca="false">IFERROR(IF(G64&lt;=0,"N/M",G66/G64),"N/M")</f>
        <v>1.73918699186992</v>
      </c>
      <c r="H81" s="47" t="n">
        <f aca="false">IFERROR(IF(H64&lt;=0,"N/M",H66/H64),"N/M")</f>
        <v>1.577467482785</v>
      </c>
      <c r="I81" s="47" t="n">
        <f aca="false">IFERROR(IF(I64&lt;=0,"N/M",I66/I64),"N/M")</f>
        <v>1.73933102652826</v>
      </c>
      <c r="J81" s="47" t="n">
        <f aca="false">IFERROR(IF(J64&lt;=0,"N/M",J66/J64),"N/M")</f>
        <v>2.36459877196697</v>
      </c>
      <c r="K81" s="22" t="n">
        <f aca="false">IFERROR(AVERAGE(D81:J81),"N/M")</f>
        <v>1.62069698252974</v>
      </c>
      <c r="L81" s="82" t="n">
        <f aca="false">IFERROR(J81-D81,"N/M")</f>
        <v>0.710856661957954</v>
      </c>
      <c r="M81" s="83" t="n">
        <f aca="false">IFERROR(SLOPE(D81:J81,$D$3:$J$3),"N/M")</f>
        <v>0.142120411320081</v>
      </c>
    </row>
    <row r="82" customFormat="false" ht="15" hidden="false" customHeight="false" outlineLevel="0" collapsed="false">
      <c r="A82" s="18" t="s">
        <v>519</v>
      </c>
      <c r="B82" s="19" t="s">
        <v>520</v>
      </c>
      <c r="D82" s="47" t="n">
        <f aca="false">IFERROR(IF(D64&lt;=0,"N/M",D38/D64),"N/M")</f>
        <v>0.103396453261196</v>
      </c>
      <c r="E82" s="47" t="n">
        <f aca="false">IFERROR(IF(E64&lt;=0,"N/M",E38/E64),"N/M")</f>
        <v>0.0700021944261576</v>
      </c>
      <c r="F82" s="47" t="n">
        <f aca="false">IFERROR(IF(F64&lt;=0,"N/M",F38/F64),"N/M")</f>
        <v>0.180994232353749</v>
      </c>
      <c r="G82" s="47" t="n">
        <f aca="false">IFERROR(IF(G64&lt;=0,"N/M",G38/G64),"N/M")</f>
        <v>0.27609756097561</v>
      </c>
      <c r="H82" s="47" t="n">
        <f aca="false">IFERROR(IF(H64&lt;=0,"N/M",H38/H64),"N/M")</f>
        <v>0.254399387911247</v>
      </c>
      <c r="I82" s="47" t="n">
        <f aca="false">IFERROR(IF(I64&lt;=0,"N/M",I38/I64),"N/M")</f>
        <v>0.238946559015763</v>
      </c>
      <c r="J82" s="47" t="n">
        <f aca="false">IFERROR(IF(J64&lt;=0,"N/M",J38/J64),"N/M")</f>
        <v>0.308490366292611</v>
      </c>
      <c r="K82" s="22" t="n">
        <f aca="false">IFERROR(AVERAGE(D82:J82),"N/M")</f>
        <v>0.204618107748048</v>
      </c>
      <c r="L82" s="82" t="n">
        <f aca="false">IFERROR(J82-D82,"N/M")</f>
        <v>0.205093913031414</v>
      </c>
      <c r="M82" s="83" t="n">
        <f aca="false">IFERROR(SLOPE(D82:J82,$D$3:$J$3),"N/M")</f>
        <v>0.0366634151368197</v>
      </c>
    </row>
    <row r="83" customFormat="false" ht="15" hidden="false" customHeight="false" outlineLevel="0" collapsed="false">
      <c r="A83" s="18" t="s">
        <v>521</v>
      </c>
      <c r="B83" s="19" t="s">
        <v>522</v>
      </c>
      <c r="D83" s="48" t="n">
        <f aca="false">IFERROR(IF((D54/365)&lt;=0,"N/M",D66/(D54/365)),"N/M")</f>
        <v>66.2148438787959</v>
      </c>
      <c r="E83" s="48" t="n">
        <f aca="false">IFERROR(IF((E54/365)&lt;=0,"N/M",E66/(E54/365)),"N/M")</f>
        <v>46.2685196159773</v>
      </c>
      <c r="F83" s="48" t="n">
        <f aca="false">IFERROR(IF((F54/365)&lt;=0,"N/M",F66/(F54/365)),"N/M")</f>
        <v>39.6852997892282</v>
      </c>
      <c r="G83" s="48" t="n">
        <f aca="false">IFERROR(IF((G54/365)&lt;=0,"N/M",G66/(G54/365)),"N/M")</f>
        <v>47.7628520394431</v>
      </c>
      <c r="H83" s="48" t="n">
        <f aca="false">IFERROR(IF((H54/365)&lt;=0,"N/M",H66/(H54/365)),"N/M")</f>
        <v>78.8287592311318</v>
      </c>
      <c r="I83" s="48" t="n">
        <f aca="false">IFERROR(IF((I54/365)&lt;=0,"N/M",I66/(I54/365)),"N/M")</f>
        <v>78.1920636423904</v>
      </c>
      <c r="J83" s="48" t="n">
        <f aca="false">IFERROR(IF((J54/365)&lt;=0,"N/M",J66/(J54/365)),"N/M")</f>
        <v>95.3502842038783</v>
      </c>
      <c r="K83" s="28" t="n">
        <f aca="false">IFERROR(AVERAGE(D83:J83),"N/M")</f>
        <v>64.6146603429778</v>
      </c>
      <c r="L83" s="84" t="n">
        <f aca="false">IFERROR(J83-D83,"N/M")</f>
        <v>29.1354403250824</v>
      </c>
      <c r="M83" s="85" t="n">
        <f aca="false">IFERROR(SLOPE(D83:J83,$D$3:$J$3),"N/M")</f>
        <v>6.79988815964204</v>
      </c>
    </row>
    <row r="84" customFormat="false" ht="15" hidden="false" customHeight="false" outlineLevel="0" collapsed="false">
      <c r="A84" s="18" t="s">
        <v>122</v>
      </c>
      <c r="B84" s="19" t="s">
        <v>523</v>
      </c>
      <c r="D84" s="47" t="n">
        <f aca="false">IFERROR(IF(D64&lt;=0,"N/M",D41/D64),"N/M")</f>
        <v>0.384430417793808</v>
      </c>
      <c r="E84" s="47" t="n">
        <f aca="false">IFERROR(IF(E64&lt;=0,"N/M",E41/E64),"N/M")</f>
        <v>0.218125960061444</v>
      </c>
      <c r="F84" s="47" t="n">
        <f aca="false">IFERROR(IF(F64&lt;=0,"N/M",F41/F64),"N/M")</f>
        <v>-0.290030211480363</v>
      </c>
      <c r="G84" s="47" t="n">
        <f aca="false">IFERROR(IF(G64&lt;=0,"N/M",G41/G64),"N/M")</f>
        <v>-1.26536585365854</v>
      </c>
      <c r="H84" s="47" t="n">
        <f aca="false">IFERROR(IF(H64&lt;=0,"N/M",H41/H64),"N/M")</f>
        <v>0.3234506503443</v>
      </c>
      <c r="I84" s="47" t="n">
        <f aca="false">IFERROR(IF(I64&lt;=0,"N/M",I41/I64),"N/M")</f>
        <v>-0.0161476355247982</v>
      </c>
      <c r="J84" s="47" t="n">
        <f aca="false">IFERROR(IF(J64&lt;=0,"N/M",J41/J64),"N/M")</f>
        <v>-0.153504128731738</v>
      </c>
      <c r="K84" s="22" t="n">
        <f aca="false">IFERROR(AVERAGE(D84:J84),"N/M")</f>
        <v>-0.114148685885126</v>
      </c>
      <c r="L84" s="82" t="n">
        <f aca="false">IFERROR(J84-D84,"N/M")</f>
        <v>-0.537934546525547</v>
      </c>
      <c r="M84" s="83" t="n">
        <f aca="false">IFERROR(SLOPE(D84:J84,$D$3:$J$3),"N/M")</f>
        <v>-0.0524596417473022</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2.15990730011588</v>
      </c>
      <c r="E87" s="47" t="n">
        <f aca="false">IFERROR(IF(E61&lt;=0,"N/M",E28/E61),"N/M")</f>
        <v>1.44310264746865</v>
      </c>
      <c r="F87" s="47" t="n">
        <f aca="false">IFERROR(IF(F61&lt;=0,"N/M",F28/F61),"N/M")</f>
        <v>2.0201066885515</v>
      </c>
      <c r="G87" s="47" t="n">
        <f aca="false">IFERROR(IF(G61&lt;=0,"N/M",G28/G61),"N/M")</f>
        <v>0.977988431876607</v>
      </c>
      <c r="H87" s="47" t="n">
        <f aca="false">IFERROR(IF(H61&lt;=0,"N/M",H28/H61),"N/M")</f>
        <v>0.893085787451985</v>
      </c>
      <c r="I87" s="47" t="n">
        <f aca="false">IFERROR(IF(I61&lt;=0,"N/M",I28/I61),"N/M")</f>
        <v>0.97381565006811</v>
      </c>
      <c r="J87" s="47" t="n">
        <f aca="false">IFERROR(IF(J61&lt;=0,"N/M",J28/J61),"N/M")</f>
        <v>1.01758483308147</v>
      </c>
      <c r="K87" s="22" t="n">
        <f aca="false">IFERROR(AVERAGE(D87:J87),"N/M")</f>
        <v>1.35508447694488</v>
      </c>
      <c r="L87" s="82" t="n">
        <f aca="false">IFERROR(J87-D87,"N/M")</f>
        <v>-1.14232246703441</v>
      </c>
      <c r="M87" s="83" t="n">
        <f aca="false">IFERROR(SLOPE(D87:J87,$D$3:$J$3),"N/M")</f>
        <v>-0.196162939178708</v>
      </c>
    </row>
    <row r="88" customFormat="false" ht="15" hidden="false" customHeight="false" outlineLevel="0" collapsed="false">
      <c r="A88" s="18" t="s">
        <v>526</v>
      </c>
      <c r="B88" s="19" t="s">
        <v>527</v>
      </c>
      <c r="D88" s="47" t="n">
        <f aca="false">IFERROR(IF(D61&lt;=0,"N/M",(D28+D29)/D61),"N/M")</f>
        <v>4.08748551564311</v>
      </c>
      <c r="E88" s="47" t="n">
        <f aca="false">IFERROR(IF(E61&lt;=0,"N/M",(E28+E29)/E61),"N/M")</f>
        <v>3.55968416163493</v>
      </c>
      <c r="F88" s="47" t="n">
        <f aca="false">IFERROR(IF(F61&lt;=0,"N/M",(F28+F29)/F61),"N/M")</f>
        <v>3.51415675010258</v>
      </c>
      <c r="G88" s="47" t="n">
        <f aca="false">IFERROR(IF(G61&lt;=0,"N/M",(G28+G29)/G61),"N/M")</f>
        <v>1.47204370179949</v>
      </c>
      <c r="H88" s="47" t="n">
        <f aca="false">IFERROR(IF(H61&lt;=0,"N/M",(H28+H29)/H61),"N/M")</f>
        <v>1.72983354673496</v>
      </c>
      <c r="I88" s="47" t="n">
        <f aca="false">IFERROR(IF(I61&lt;=0,"N/M",(I28+I29)/I61),"N/M")</f>
        <v>1.76116240351143</v>
      </c>
      <c r="J88" s="47" t="n">
        <f aca="false">IFERROR(IF(J61&lt;=0,"N/M",(J28+J29)/J61),"N/M")</f>
        <v>1.66643769748592</v>
      </c>
      <c r="K88" s="22" t="n">
        <f aca="false">IFERROR(AVERAGE(D88:J88),"N/M")</f>
        <v>2.54154339670177</v>
      </c>
      <c r="L88" s="82" t="n">
        <f aca="false">IFERROR(J88-D88,"N/M")</f>
        <v>-2.42104781815719</v>
      </c>
      <c r="M88" s="83" t="n">
        <f aca="false">IFERROR(SLOPE(D88:J88,$D$3:$J$3),"N/M")</f>
        <v>-0.451589649074507</v>
      </c>
    </row>
    <row r="89" customFormat="false" ht="15" hidden="false" customHeight="false" outlineLevel="0" collapsed="false">
      <c r="A89" s="18" t="s">
        <v>528</v>
      </c>
      <c r="B89" s="19" t="s">
        <v>529</v>
      </c>
      <c r="D89" s="47" t="n">
        <f aca="false">IFERROR(IF(D35&lt;=0,"N/M",D28/D35),"N/M")</f>
        <v>0.4245530121854</v>
      </c>
      <c r="E89" s="47" t="n">
        <f aca="false">IFERROR(IF(E35&lt;=0,"N/M",E28/E35),"N/M")</f>
        <v>0.316491799938882</v>
      </c>
      <c r="F89" s="47" t="n">
        <f aca="false">IFERROR(IF(F35&lt;=0,"N/M",F28/F35),"N/M")</f>
        <v>0.447504772293428</v>
      </c>
      <c r="G89" s="47" t="n">
        <f aca="false">IFERROR(IF(G35&lt;=0,"N/M",G28/G35),"N/M")</f>
        <v>0.395619394254517</v>
      </c>
      <c r="H89" s="47" t="n">
        <f aca="false">IFERROR(IF(H35&lt;=0,"N/M",H28/H35),"N/M")</f>
        <v>0.327157598499062</v>
      </c>
      <c r="I89" s="47" t="n">
        <f aca="false">IFERROR(IF(I35&lt;=0,"N/M",I28/I35),"N/M")</f>
        <v>0.352683220961465</v>
      </c>
      <c r="J89" s="47" t="n">
        <f aca="false">IFERROR(IF(J35&lt;=0,"N/M",J28/J35),"N/M")</f>
        <v>0.381627080220516</v>
      </c>
      <c r="K89" s="22" t="n">
        <f aca="false">IFERROR(AVERAGE(D89:J89),"N/M")</f>
        <v>0.377948125479039</v>
      </c>
      <c r="L89" s="82" t="n">
        <f aca="false">IFERROR(J89-D89,"N/M")</f>
        <v>-0.0429259319648841</v>
      </c>
      <c r="M89" s="83" t="n">
        <f aca="false">IFERROR(SLOPE(D89:J89,$D$3:$J$3),"N/M")</f>
        <v>-0.00631221884442329</v>
      </c>
    </row>
    <row r="90" customFormat="false" ht="15" hidden="false" customHeight="false" outlineLevel="0" collapsed="false">
      <c r="A90" s="18" t="s">
        <v>530</v>
      </c>
      <c r="B90" s="19" t="s">
        <v>531</v>
      </c>
      <c r="D90" s="47" t="n">
        <f aca="false">IFERROR(IF(D62&lt;=0,"N/M",D28/D62),"N/M")</f>
        <v>0.683535020168684</v>
      </c>
      <c r="E90" s="47" t="n">
        <f aca="false">IFERROR(IF(E62&lt;=0,"N/M",E28/E62),"N/M")</f>
        <v>0.590684410646388</v>
      </c>
      <c r="F90" s="47" t="n">
        <f aca="false">IFERROR(IF(F62&lt;=0,"N/M",F28/F62),"N/M")</f>
        <v>0.668885869565218</v>
      </c>
      <c r="G90" s="47" t="n">
        <f aca="false">IFERROR(IF(G62&lt;=0,"N/M",G28/G62),"N/M")</f>
        <v>0.494435870359841</v>
      </c>
      <c r="H90" s="47" t="n">
        <f aca="false">IFERROR(IF(H62&lt;=0,"N/M",H28/H62),"N/M")</f>
        <v>0.471761920865742</v>
      </c>
      <c r="I90" s="47" t="n">
        <f aca="false">IFERROR(IF(I62&lt;=0,"N/M",I28/I62),"N/M")</f>
        <v>0.493367073077218</v>
      </c>
      <c r="J90" s="47" t="n">
        <f aca="false">IFERROR(IF(J62&lt;=0,"N/M",J28/J62),"N/M")</f>
        <v>0.504357891869808</v>
      </c>
      <c r="K90" s="22" t="n">
        <f aca="false">IFERROR(AVERAGE(D90:J90),"N/M")</f>
        <v>0.558146865221843</v>
      </c>
      <c r="L90" s="82" t="n">
        <f aca="false">IFERROR(J90-D90,"N/M")</f>
        <v>-0.179177128298876</v>
      </c>
      <c r="M90" s="83" t="n">
        <f aca="false">IFERROR(SLOPE(D90:J90,$D$3:$J$3),"N/M")</f>
        <v>-0.0331889288833729</v>
      </c>
    </row>
    <row r="91" customFormat="false" ht="15" hidden="false" customHeight="false" outlineLevel="0" collapsed="false">
      <c r="A91" s="18" t="s">
        <v>125</v>
      </c>
      <c r="B91" s="19" t="s">
        <v>532</v>
      </c>
      <c r="D91" s="46" t="n">
        <f aca="false">IFERROR(IF(D35=0,"N/M",D61/D35),"N/M")</f>
        <v>0.196560756178112</v>
      </c>
      <c r="E91" s="46" t="n">
        <f aca="false">IFERROR(IF(E35=0,"N/M",E61/E35),"N/M")</f>
        <v>0.219313435876541</v>
      </c>
      <c r="F91" s="46" t="n">
        <f aca="false">IFERROR(IF(F35=0,"N/M",F61/F35),"N/M")</f>
        <v>0.221525315880374</v>
      </c>
      <c r="G91" s="46" t="n">
        <f aca="false">IFERROR(IF(G35=0,"N/M",G61/G35),"N/M")</f>
        <v>0.404523592876641</v>
      </c>
      <c r="H91" s="46" t="n">
        <f aca="false">IFERROR(IF(H35=0,"N/M",H61/H35),"N/M")</f>
        <v>0.366322701688555</v>
      </c>
      <c r="I91" s="46" t="n">
        <f aca="false">IFERROR(IF(I35=0,"N/M",I61/I35),"N/M")</f>
        <v>0.36216631036562</v>
      </c>
      <c r="J91" s="46" t="n">
        <f aca="false">IFERROR(IF(J35=0,"N/M",J61/J35),"N/M")</f>
        <v>0.375032201555979</v>
      </c>
      <c r="K91" s="25" t="n">
        <f aca="false">IFERROR(AVERAGE(D91:J91),"N/M")</f>
        <v>0.306492044917403</v>
      </c>
      <c r="L91" s="86" t="n">
        <f aca="false">IFERROR(J91-D91,"N/M")</f>
        <v>0.178471445377867</v>
      </c>
      <c r="M91" s="87" t="n">
        <f aca="false">IFERROR(SLOPE(D91:J91,$D$3:$J$3),"N/M")</f>
        <v>0.034497052532855</v>
      </c>
    </row>
    <row r="92" customFormat="false" ht="15" hidden="false" customHeight="false" outlineLevel="0" collapsed="false">
      <c r="A92" s="18" t="s">
        <v>533</v>
      </c>
      <c r="B92" s="19" t="s">
        <v>534</v>
      </c>
      <c r="D92" s="47" t="n">
        <f aca="false">IFERROR(IF(D61&lt;=0,"N/M",D28/D61),"N/M")</f>
        <v>2.15990730011588</v>
      </c>
      <c r="E92" s="47" t="n">
        <f aca="false">IFERROR(IF(E61&lt;=0,"N/M",E28/E61),"N/M")</f>
        <v>1.44310264746865</v>
      </c>
      <c r="F92" s="47" t="n">
        <f aca="false">IFERROR(IF(F61&lt;=0,"N/M",F28/F61),"N/M")</f>
        <v>2.0201066885515</v>
      </c>
      <c r="G92" s="47" t="n">
        <f aca="false">IFERROR(IF(G61&lt;=0,"N/M",G28/G61),"N/M")</f>
        <v>0.977988431876607</v>
      </c>
      <c r="H92" s="47" t="n">
        <f aca="false">IFERROR(IF(H61&lt;=0,"N/M",H28/H61),"N/M")</f>
        <v>0.893085787451985</v>
      </c>
      <c r="I92" s="47" t="n">
        <f aca="false">IFERROR(IF(I61&lt;=0,"N/M",I28/I61),"N/M")</f>
        <v>0.97381565006811</v>
      </c>
      <c r="J92" s="47" t="n">
        <f aca="false">IFERROR(IF(J61&lt;=0,"N/M",J28/J61),"N/M")</f>
        <v>1.01758483308147</v>
      </c>
      <c r="K92" s="22" t="n">
        <f aca="false">IFERROR(AVERAGE(D92:J92),"N/M")</f>
        <v>1.35508447694488</v>
      </c>
      <c r="L92" s="82" t="n">
        <f aca="false">IFERROR(J92-D92,"N/M")</f>
        <v>-1.14232246703441</v>
      </c>
      <c r="M92" s="83" t="n">
        <f aca="false">IFERROR(SLOPE(D92:J92,$D$3:$J$3),"N/M")</f>
        <v>-0.196162939178708</v>
      </c>
    </row>
    <row r="93" customFormat="false" ht="15" hidden="false" customHeight="false" outlineLevel="0" collapsed="false">
      <c r="A93" s="18" t="s">
        <v>126</v>
      </c>
      <c r="B93" s="19" t="s">
        <v>535</v>
      </c>
      <c r="D93" s="47" t="str">
        <f aca="false">IFERROR(IF(D59&lt;=0,"N/M",D28/D59),"N/M")</f>
        <v>N/M</v>
      </c>
      <c r="E93" s="47" t="n">
        <f aca="false">IFERROR(IF(E59&lt;=0,"N/M",E28/E59),"N/M")</f>
        <v>3.13521695257316</v>
      </c>
      <c r="F93" s="47" t="n">
        <f aca="false">IFERROR(IF(F59&lt;=0,"N/M",F28/F59),"N/M")</f>
        <v>4.36436170212766</v>
      </c>
      <c r="G93" s="47" t="n">
        <f aca="false">IFERROR(IF(G59&lt;=0,"N/M",G28/G59),"N/M")</f>
        <v>6.98050458715596</v>
      </c>
      <c r="H93" s="47" t="n">
        <f aca="false">IFERROR(IF(H59&lt;=0,"N/M",H28/H59),"N/M")</f>
        <v>6.66666666666667</v>
      </c>
      <c r="I93" s="47" t="n">
        <f aca="false">IFERROR(IF(I59&lt;=0,"N/M",I28/I59),"N/M")</f>
        <v>4.20797907128842</v>
      </c>
      <c r="J93" s="47" t="n">
        <f aca="false">IFERROR(IF(J59&lt;=0,"N/M",J28/J59),"N/M")</f>
        <v>3.61317073170732</v>
      </c>
      <c r="K93" s="22" t="n">
        <f aca="false">IFERROR(AVERAGE(D93:J93),"N/M")</f>
        <v>4.8279832852532</v>
      </c>
      <c r="L93" s="82" t="str">
        <f aca="false">IFERROR(J93-D93,"N/M")</f>
        <v>N/M</v>
      </c>
      <c r="M93" s="83" t="n">
        <f aca="false">IFERROR(SLOPE(D93:J93,$D$3:$J$3),"N/M")</f>
        <v>0.0459080880761082</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-0.895196506550218</v>
      </c>
      <c r="E96" s="47" t="n">
        <f aca="false">IFERROR(IF(E19&lt;=0,"N/M",E58/E19),"N/M")</f>
        <v>1.99742268041237</v>
      </c>
      <c r="F96" s="47" t="n">
        <f aca="false">IFERROR(IF(F19&lt;=0,"N/M",F58/F19),"N/M")</f>
        <v>2.11386138613861</v>
      </c>
      <c r="G96" s="47" t="n">
        <f aca="false">IFERROR(IF(G19&lt;=0,"N/M",G58/G19),"N/M")</f>
        <v>1.17029702970297</v>
      </c>
      <c r="H96" s="47" t="n">
        <f aca="false">IFERROR(IF(H19&lt;=0,"N/M",H58/H19),"N/M")</f>
        <v>1.03703703703704</v>
      </c>
      <c r="I96" s="47" t="n">
        <f aca="false">IFERROR(IF(I19&lt;=0,"N/M",I58/I19),"N/M")</f>
        <v>1.91449275362319</v>
      </c>
      <c r="J96" s="47" t="n">
        <f aca="false">IFERROR(IF(J19&lt;=0,"N/M",J58/J19),"N/M")</f>
        <v>2.65571428571429</v>
      </c>
      <c r="K96" s="22" t="n">
        <f aca="false">IFERROR(AVERAGE(D96:J96),"N/M")</f>
        <v>1.42766123801118</v>
      </c>
      <c r="L96" s="82" t="n">
        <f aca="false">IFERROR(J96-D96,"N/M")</f>
        <v>3.5509107922645</v>
      </c>
      <c r="M96" s="83" t="n">
        <f aca="false">IFERROR(SLOPE(D96:J96,$D$3:$J$3),"N/M")</f>
        <v>0.336073149075485</v>
      </c>
    </row>
    <row r="97" customFormat="false" ht="15" hidden="false" customHeight="false" outlineLevel="0" collapsed="false">
      <c r="A97" s="18" t="s">
        <v>538</v>
      </c>
      <c r="B97" s="19" t="s">
        <v>539</v>
      </c>
      <c r="D97" s="47" t="n">
        <f aca="false">IFERROR(IF(D19&lt;=0,"N/M",D59/D19),"N/M")</f>
        <v>-0.617903930131004</v>
      </c>
      <c r="E97" s="47" t="n">
        <f aca="false">IFERROR(IF(E19&lt;=0,"N/M",E59/E19),"N/M")</f>
        <v>2.55412371134021</v>
      </c>
      <c r="F97" s="47" t="n">
        <f aca="false">IFERROR(IF(F19&lt;=0,"N/M",F59/F19),"N/M")</f>
        <v>2.79207920792079</v>
      </c>
      <c r="G97" s="47" t="n">
        <f aca="false">IFERROR(IF(G19&lt;=0,"N/M",G59/G19),"N/M")</f>
        <v>1.72673267326733</v>
      </c>
      <c r="H97" s="47" t="n">
        <f aca="false">IFERROR(IF(H19&lt;=0,"N/M",H59/H19),"N/M")</f>
        <v>1.40909090909091</v>
      </c>
      <c r="I97" s="47" t="n">
        <f aca="false">IFERROR(IF(I19&lt;=0,"N/M",I59/I19),"N/M")</f>
        <v>2.21594202898551</v>
      </c>
      <c r="J97" s="47" t="n">
        <f aca="false">IFERROR(IF(J19&lt;=0,"N/M",J59/J19),"N/M")</f>
        <v>2.92857142857143</v>
      </c>
      <c r="K97" s="22" t="n">
        <f aca="false">IFERROR(AVERAGE(D97:J97),"N/M")</f>
        <v>1.85837657557788</v>
      </c>
      <c r="L97" s="82" t="n">
        <f aca="false">IFERROR(J97-D97,"N/M")</f>
        <v>3.54647535870243</v>
      </c>
      <c r="M97" s="83" t="n">
        <f aca="false">IFERROR(SLOPE(D97:J97,$D$3:$J$3),"N/M")</f>
        <v>0.306431229020286</v>
      </c>
    </row>
    <row r="98" customFormat="false" ht="15" hidden="false" customHeight="false" outlineLevel="0" collapsed="false">
      <c r="A98" s="18" t="s">
        <v>540</v>
      </c>
      <c r="B98" s="19" t="s">
        <v>541</v>
      </c>
      <c r="D98" s="47" t="str">
        <f aca="false">IFERROR(IF(D23&lt;=0,"N/M",D22/D23),"N/M")</f>
        <v>N/M</v>
      </c>
      <c r="E98" s="47" t="str">
        <f aca="false">IFERROR(IF(E23&lt;=0,"N/M",E22/E23),"N/M")</f>
        <v>N/M</v>
      </c>
      <c r="F98" s="47" t="n">
        <f aca="false">IFERROR(IF(F23&lt;=0,"N/M",F22/F23),"N/M")</f>
        <v>23.5</v>
      </c>
      <c r="G98" s="47" t="str">
        <f aca="false">IFERROR(IF(G23&lt;=0,"N/M",G22/G23),"N/M")</f>
        <v>N/M</v>
      </c>
      <c r="H98" s="47" t="str">
        <f aca="false">IFERROR(IF(H23&lt;=0,"N/M",H22/H23),"N/M")</f>
        <v>N/M</v>
      </c>
      <c r="I98" s="47" t="str">
        <f aca="false">IFERROR(IF(I23&lt;=0,"N/M",I22/I23),"N/M")</f>
        <v>N/M</v>
      </c>
      <c r="J98" s="47" t="str">
        <f aca="false">IFERROR(IF(J23&lt;=0,"N/M",J22/J23),"N/M")</f>
        <v>N/M</v>
      </c>
      <c r="K98" s="22" t="n">
        <f aca="false">IFERROR(AVERAGE(D98:J98),"N/M")</f>
        <v>23.5</v>
      </c>
      <c r="L98" s="82" t="str">
        <f aca="false">IFERROR(J98-D98,"N/M")</f>
        <v>N/M</v>
      </c>
      <c r="M98" s="83" t="str">
        <f aca="false">IFERROR(SLOPE(D98:J98,$D$3:$J$3),"N/M")</f>
        <v>N/M</v>
      </c>
    </row>
    <row r="99" customFormat="false" ht="15" hidden="false" customHeight="false" outlineLevel="0" collapsed="false">
      <c r="A99" s="18" t="s">
        <v>542</v>
      </c>
      <c r="B99" s="19" t="s">
        <v>543</v>
      </c>
      <c r="D99" s="47" t="n">
        <f aca="false">IFERROR(IF((D19+IF((1-D60)&lt;=0,"N/M",D68/(1-D60)))&lt;=0,"N/M",D59/(D19+IF((1-D60)&lt;=0,"N/M",D68/(1-D60)))),"N/M")</f>
        <v>-0.266478342749529</v>
      </c>
      <c r="E99" s="47" t="n">
        <f aca="false">IFERROR(IF((E19+IF((1-E60)&lt;=0,"N/M",E68/(1-E60)))&lt;=0,"N/M",E59/(E19+IF((1-E60)&lt;=0,"N/M",E68/(1-E60)))),"N/M")</f>
        <v>0.734450547984596</v>
      </c>
      <c r="F99" s="47" t="n">
        <f aca="false">IFERROR(IF((F19+IF((1-F60)&lt;=0,"N/M",F68/(1-F60)))&lt;=0,"N/M",F59/(F19+IF((1-F60)&lt;=0,"N/M",F68/(1-F60)))),"N/M")</f>
        <v>2.79207920792079</v>
      </c>
      <c r="G99" s="47" t="n">
        <f aca="false">IFERROR(IF((G19+IF((1-G60)&lt;=0,"N/M",G68/(1-G60)))&lt;=0,"N/M",G59/(G19+IF((1-G60)&lt;=0,"N/M",G68/(1-G60)))),"N/M")</f>
        <v>1.72673267326733</v>
      </c>
      <c r="H99" s="47" t="n">
        <f aca="false">IFERROR(IF((H19+IF((1-H60)&lt;=0,"N/M",H68/(1-H60)))&lt;=0,"N/M",H59/(H19+IF((1-H60)&lt;=0,"N/M",H68/(1-H60)))),"N/M")</f>
        <v>0.760217983651226</v>
      </c>
      <c r="I99" s="47" t="n">
        <f aca="false">IFERROR(IF((I19+IF((1-I60)&lt;=0,"N/M",I68/(1-I60)))&lt;=0,"N/M",I59/(I19+IF((1-I60)&lt;=0,"N/M",I68/(1-I60)))),"N/M")</f>
        <v>2.21594202898551</v>
      </c>
      <c r="J99" s="47" t="n">
        <f aca="false">IFERROR(IF((J19+IF((1-J60)&lt;=0,"N/M",J68/(1-J60)))&lt;=0,"N/M",J59/(J19+IF((1-J60)&lt;=0,"N/M",J68/(1-J60)))),"N/M")</f>
        <v>2.92857142857143</v>
      </c>
      <c r="K99" s="22" t="n">
        <f aca="false">IFERROR(AVERAGE(D99:J99),"N/M")</f>
        <v>1.55593078966162</v>
      </c>
      <c r="L99" s="82" t="n">
        <f aca="false">IFERROR(J99-D99,"N/M")</f>
        <v>3.19504977132096</v>
      </c>
      <c r="M99" s="83" t="n">
        <f aca="false">IFERROR(SLOPE(D99:J99,$D$3:$J$3),"N/M")</f>
        <v>0.375581108989112</v>
      </c>
    </row>
    <row r="100" customFormat="false" ht="15" hidden="false" customHeight="false" outlineLevel="0" collapsed="false">
      <c r="A100" s="18" t="s">
        <v>544</v>
      </c>
      <c r="B100" s="19" t="s">
        <v>545</v>
      </c>
      <c r="D100" s="47" t="n">
        <f aca="false">IFERROR(IF((D19+IF((1-D60)&lt;=0,"N/M",D68/(1-D60)))&lt;=0,"N/M",(D41+D21)/(D19+IF((1-D60)&lt;=0,"N/M",D68/(1-D60)))),"N/M")</f>
        <v>1.1939736346516</v>
      </c>
      <c r="E100" s="47" t="n">
        <f aca="false">IFERROR(IF((E19+IF((1-E60)&lt;=0,"N/M",E68/(1-E60)))&lt;=0,"N/M",(E41+E21)/(E19+IF((1-E60)&lt;=0,"N/M",E68/(1-E60)))),"N/M")</f>
        <v>0.838207436700886</v>
      </c>
      <c r="F100" s="47" t="n">
        <f aca="false">IFERROR(IF((F19+IF((1-F60)&lt;=0,"N/M",F68/(1-F60)))&lt;=0,"N/M",(F41+F21)/(F19+IF((1-F60)&lt;=0,"N/M",F68/(1-F60)))),"N/M")</f>
        <v>-2.1980198019802</v>
      </c>
      <c r="G100" s="47" t="n">
        <f aca="false">IFERROR(IF((G19+IF((1-G60)&lt;=0,"N/M",G68/(1-G60)))&lt;=0,"N/M",(G41+G21)/(G19+IF((1-G60)&lt;=0,"N/M",G68/(1-G60)))),"N/M")</f>
        <v>-7.54851485148515</v>
      </c>
      <c r="H100" s="47" t="n">
        <f aca="false">IFERROR(IF((H19+IF((1-H60)&lt;=0,"N/M",H68/(1-H60)))&lt;=0,"N/M",(H41+H21)/(H19+IF((1-H60)&lt;=0,"N/M",H68/(1-H60)))),"N/M")</f>
        <v>1.5322434150772</v>
      </c>
      <c r="I100" s="47" t="n">
        <f aca="false">IFERROR(IF((I19+IF((1-I60)&lt;=0,"N/M",I68/(1-I60)))&lt;=0,"N/M",(I41+I21)/(I19+IF((1-I60)&lt;=0,"N/M",I68/(1-I60)))),"N/M")</f>
        <v>0.252173913043478</v>
      </c>
      <c r="J100" s="47" t="n">
        <f aca="false">IFERROR(IF((J19+IF((1-J60)&lt;=0,"N/M",J68/(1-J60)))&lt;=0,"N/M",(J41+J21)/(J19+IF((1-J60)&lt;=0,"N/M",J68/(1-J60)))),"N/M")</f>
        <v>-0.352857142857143</v>
      </c>
      <c r="K100" s="22" t="n">
        <f aca="false">IFERROR(AVERAGE(D100:J100),"N/M")</f>
        <v>-0.897541913835617</v>
      </c>
      <c r="L100" s="82" t="n">
        <f aca="false">IFERROR(J100-D100,"N/M")</f>
        <v>-1.54683077750874</v>
      </c>
      <c r="M100" s="83" t="n">
        <f aca="false">IFERROR(SLOPE(D100:J100,$D$3:$J$3),"N/M")</f>
        <v>-0.074367720099416</v>
      </c>
    </row>
    <row r="101" customFormat="false" ht="15" hidden="false" customHeight="false" outlineLevel="0" collapsed="false">
      <c r="A101" s="18" t="s">
        <v>546</v>
      </c>
      <c r="B101" s="19" t="s">
        <v>547</v>
      </c>
      <c r="D101" s="47" t="n">
        <f aca="false">IFERROR(IF(D67&lt;=0,"N/M",D41/D67),"N/M")</f>
        <v>12.4174757281553</v>
      </c>
      <c r="E101" s="47" t="n">
        <f aca="false">IFERROR(IF(E67&lt;=0,"N/M",E41/E67),"N/M")</f>
        <v>0.637179487179487</v>
      </c>
      <c r="F101" s="47" t="n">
        <f aca="false">IFERROR(IF(F67&lt;=0,"N/M",F41/F67),"N/M")</f>
        <v>-1.97383177570093</v>
      </c>
      <c r="G101" s="47" t="n">
        <f aca="false">IFERROR(IF(G67&lt;=0,"N/M",G41/G67),"N/M")</f>
        <v>-17.6863636363636</v>
      </c>
      <c r="H101" s="47" t="str">
        <f aca="false">IFERROR(IF(H67&lt;=0,"N/M",H41/H67),"N/M")</f>
        <v>N/M</v>
      </c>
      <c r="I101" s="47" t="n">
        <f aca="false">IFERROR(IF(I67&lt;=0,"N/M",I41/I67),"N/M")</f>
        <v>-0.651162790697674</v>
      </c>
      <c r="J101" s="47" t="str">
        <f aca="false">IFERROR(IF(J67&lt;=0,"N/M",J41/J67),"N/M")</f>
        <v>N/M</v>
      </c>
      <c r="K101" s="22" t="n">
        <f aca="false">IFERROR(AVERAGE(D101:J101),"N/M")</f>
        <v>-1.45134059748548</v>
      </c>
      <c r="L101" s="82" t="str">
        <f aca="false">IFERROR(J101-D101,"N/M")</f>
        <v>N/M</v>
      </c>
      <c r="M101" s="83" t="n">
        <f aca="false">IFERROR(SLOPE(D101:J101,$D$3:$J$3),"N/M")</f>
        <v>-2.95004340232847</v>
      </c>
    </row>
    <row r="102" customFormat="false" ht="15" hidden="false" customHeight="false" outlineLevel="0" collapsed="false">
      <c r="A102" s="18" t="s">
        <v>129</v>
      </c>
      <c r="B102" s="19" t="s">
        <v>548</v>
      </c>
      <c r="D102" s="47" t="n">
        <f aca="false">IFERROR(IF((D19+D68)&lt;=0,"N/M",((D22+D19)+D18)/(D19+D68)),"N/M")</f>
        <v>-0.256120527306968</v>
      </c>
      <c r="E102" s="47" t="n">
        <f aca="false">IFERROR(IF((E19+E68)&lt;=0,"N/M",((E22+E19)+E18)/(E19+E68)),"N/M")</f>
        <v>0.847373637264619</v>
      </c>
      <c r="F102" s="47" t="n">
        <f aca="false">IFERROR(IF((F19+F68)&lt;=0,"N/M",((F22+F19)+F18)/(F19+F68)),"N/M")</f>
        <v>2.37623762376238</v>
      </c>
      <c r="G102" s="47" t="n">
        <f aca="false">IFERROR(IF((G19+G68)&lt;=0,"N/M",((G22+G19)+G18)/(G19+G68)),"N/M")</f>
        <v>1.56831683168317</v>
      </c>
      <c r="H102" s="47" t="n">
        <f aca="false">IFERROR(IF((H19+H68)&lt;=0,"N/M",((H22+H19)+H18)/(H19+H68)),"N/M")</f>
        <v>0.763851044504995</v>
      </c>
      <c r="I102" s="47" t="n">
        <f aca="false">IFERROR(IF((I19+I68)&lt;=0,"N/M",((I22+I19)+I18)/(I19+I68)),"N/M")</f>
        <v>1.84202898550725</v>
      </c>
      <c r="J102" s="47" t="n">
        <f aca="false">IFERROR(IF((J19+J68)&lt;=0,"N/M",((J22+J19)+J18)/(J19+J68)),"N/M")</f>
        <v>2.24428571428571</v>
      </c>
      <c r="K102" s="22" t="n">
        <f aca="false">IFERROR(AVERAGE(D102:J102),"N/M")</f>
        <v>1.34085332995731</v>
      </c>
      <c r="L102" s="82" t="n">
        <f aca="false">IFERROR(J102-D102,"N/M")</f>
        <v>2.50040624159268</v>
      </c>
      <c r="M102" s="83" t="n">
        <f aca="false">IFERROR(SLOPE(D102:J102,$D$3:$J$3),"N/M")</f>
        <v>0.281362244357354</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str">
        <f aca="false">IFERROR(IF(((D37+C37)/2)&lt;=0,"N/M",D52/((D37+C37)/2)),"N/M")</f>
        <v>N/M</v>
      </c>
      <c r="E105" s="47" t="str">
        <f aca="false">IFERROR(IF(((E37+D37)/2)&lt;=0,"N/M",E52/((E37+D37)/2)),"N/M")</f>
        <v>N/M</v>
      </c>
      <c r="F105" s="47" t="str">
        <f aca="false">IFERROR(IF(((F37+E37)/2)&lt;=0,"N/M",F52/((F37+E37)/2)),"N/M")</f>
        <v>N/M</v>
      </c>
      <c r="G105" s="47" t="str">
        <f aca="false">IFERROR(IF(((G37+F37)/2)&lt;=0,"N/M",G52/((G37+F37)/2)),"N/M")</f>
        <v>N/M</v>
      </c>
      <c r="H105" s="47" t="str">
        <f aca="false">IFERROR(IF(((H37+G37)/2)&lt;=0,"N/M",H52/((H37+G37)/2)),"N/M")</f>
        <v>N/M</v>
      </c>
      <c r="I105" s="47" t="str">
        <f aca="false">IFERROR(IF(((I37+H37)/2)&lt;=0,"N/M",I52/((I37+H37)/2)),"N/M")</f>
        <v>N/M</v>
      </c>
      <c r="J105" s="47" t="str">
        <f aca="false">IFERROR(IF(((J37+I37)/2)&lt;=0,"N/M",J52/((J37+I37)/2)),"N/M")</f>
        <v>N/M</v>
      </c>
      <c r="K105" s="22" t="str">
        <f aca="false">IFERROR(AVERAGE(D105:J105),"N/M")</f>
        <v>N/M</v>
      </c>
      <c r="L105" s="82" t="str">
        <f aca="false">IFERROR(J105-D105,"N/M")</f>
        <v>N/M</v>
      </c>
      <c r="M105" s="83" t="str">
        <f aca="false">IFERROR(SLOPE(D105:J105,$D$3:$J$3),"N/M")</f>
        <v>N/M</v>
      </c>
    </row>
    <row r="106" customFormat="false" ht="15" hidden="false" customHeight="false" outlineLevel="0" collapsed="false">
      <c r="A106" s="18" t="s">
        <v>552</v>
      </c>
      <c r="B106" s="19" t="s">
        <v>553</v>
      </c>
      <c r="D106" s="48" t="str">
        <f aca="false">IFERROR(IF(D105&lt;=0,"N/M",365/D105),"N/M")</f>
        <v>N/M</v>
      </c>
      <c r="E106" s="48" t="str">
        <f aca="false">IFERROR(IF(E105&lt;=0,"N/M",365/E105),"N/M")</f>
        <v>N/M</v>
      </c>
      <c r="F106" s="48" t="str">
        <f aca="false">IFERROR(IF(F105&lt;=0,"N/M",365/F105),"N/M")</f>
        <v>N/M</v>
      </c>
      <c r="G106" s="48" t="str">
        <f aca="false">IFERROR(IF(G105&lt;=0,"N/M",365/G105),"N/M")</f>
        <v>N/M</v>
      </c>
      <c r="H106" s="48" t="str">
        <f aca="false">IFERROR(IF(H105&lt;=0,"N/M",365/H105),"N/M")</f>
        <v>N/M</v>
      </c>
      <c r="I106" s="48" t="str">
        <f aca="false">IFERROR(IF(I105&lt;=0,"N/M",365/I105),"N/M")</f>
        <v>N/M</v>
      </c>
      <c r="J106" s="48" t="str">
        <f aca="false">IFERROR(IF(J105&lt;=0,"N/M",365/J105),"N/M")</f>
        <v>N/M</v>
      </c>
      <c r="K106" s="28" t="str">
        <f aca="false">IFERROR(AVERAGE(D106:J106),"N/M")</f>
        <v>N/M</v>
      </c>
      <c r="L106" s="84" t="str">
        <f aca="false">IFERROR(J106-D106,"N/M")</f>
        <v>N/M</v>
      </c>
      <c r="M106" s="85" t="str">
        <f aca="false">IFERROR(SLOPE(D106:J106,$D$3:$J$3),"N/M")</f>
        <v>N/M</v>
      </c>
    </row>
    <row r="107" customFormat="false" ht="15" hidden="false" customHeight="false" outlineLevel="0" collapsed="false">
      <c r="A107" s="18" t="s">
        <v>554</v>
      </c>
      <c r="B107" s="19" t="s">
        <v>555</v>
      </c>
      <c r="D107" s="47" t="n">
        <f aca="false">IFERROR(IF(((D36+C36)/2)&lt;=0,"N/M",D9/((D36+C36)/2)),"N/M")</f>
        <v>5.1606128421415</v>
      </c>
      <c r="E107" s="47" t="n">
        <f aca="false">IFERROR(IF(((E36+D36)/2)&lt;=0,"N/M",E9/((E36+D36)/2)),"N/M")</f>
        <v>7.60754634199846</v>
      </c>
      <c r="F107" s="47" t="n">
        <f aca="false">IFERROR(IF(((F36+E36)/2)&lt;=0,"N/M",F9/((F36+E36)/2)),"N/M")</f>
        <v>11.2102098416984</v>
      </c>
      <c r="G107" s="47" t="n">
        <f aca="false">IFERROR(IF(((G36+F36)/2)&lt;=0,"N/M",G9/((G36+F36)/2)),"N/M")</f>
        <v>9.59120727356428</v>
      </c>
      <c r="H107" s="47" t="n">
        <f aca="false">IFERROR(IF(((H36+G36)/2)&lt;=0,"N/M",H9/((H36+G36)/2)),"N/M")</f>
        <v>6.79344779257183</v>
      </c>
      <c r="I107" s="47" t="n">
        <f aca="false">IFERROR(IF(((I36+H36)/2)&lt;=0,"N/M",I9/((I36+H36)/2)),"N/M")</f>
        <v>5.93166689308518</v>
      </c>
      <c r="J107" s="47" t="n">
        <f aca="false">IFERROR(IF(((J36+I36)/2)&lt;=0,"N/M",J9/((J36+I36)/2)),"N/M")</f>
        <v>5.07056405572048</v>
      </c>
      <c r="K107" s="22" t="n">
        <f aca="false">IFERROR(AVERAGE(D107:J107),"N/M")</f>
        <v>7.3378935772543</v>
      </c>
      <c r="L107" s="82" t="n">
        <f aca="false">IFERROR(J107-D107,"N/M")</f>
        <v>-0.0900487864210202</v>
      </c>
      <c r="M107" s="83" t="n">
        <f aca="false">IFERROR(SLOPE(D107:J107,$D$3:$J$3),"N/M")</f>
        <v>-0.287095260936292</v>
      </c>
    </row>
    <row r="108" customFormat="false" ht="15" hidden="false" customHeight="false" outlineLevel="0" collapsed="false">
      <c r="A108" s="18" t="s">
        <v>130</v>
      </c>
      <c r="B108" s="19" t="s">
        <v>556</v>
      </c>
      <c r="D108" s="48" t="n">
        <f aca="false">IFERROR(IF(D107&lt;=0,"N/M",365/D107),"N/M")</f>
        <v>70.7280338915205</v>
      </c>
      <c r="E108" s="48" t="n">
        <f aca="false">IFERROR(IF(E107&lt;=0,"N/M",365/E107),"N/M")</f>
        <v>47.9786758557052</v>
      </c>
      <c r="F108" s="48" t="n">
        <f aca="false">IFERROR(IF(F107&lt;=0,"N/M",365/F107),"N/M")</f>
        <v>32.5596046063578</v>
      </c>
      <c r="G108" s="48" t="n">
        <f aca="false">IFERROR(IF(G107&lt;=0,"N/M",365/G107),"N/M")</f>
        <v>38.0556888814226</v>
      </c>
      <c r="H108" s="48" t="n">
        <f aca="false">IFERROR(IF(H107&lt;=0,"N/M",365/H107),"N/M")</f>
        <v>53.7282409675839</v>
      </c>
      <c r="I108" s="48" t="n">
        <f aca="false">IFERROR(IF(I107&lt;=0,"N/M",365/I107),"N/M")</f>
        <v>61.5341364542061</v>
      </c>
      <c r="J108" s="48" t="n">
        <f aca="false">IFERROR(IF(J107&lt;=0,"N/M",365/J107),"N/M")</f>
        <v>71.9841019636102</v>
      </c>
      <c r="K108" s="28" t="n">
        <f aca="false">IFERROR(AVERAGE(D108:J108),"N/M")</f>
        <v>53.7954975172009</v>
      </c>
      <c r="L108" s="84" t="n">
        <f aca="false">IFERROR(J108-D108,"N/M")</f>
        <v>1.2560680720897</v>
      </c>
      <c r="M108" s="85" t="n">
        <f aca="false">IFERROR(SLOPE(D108:J108,$D$3:$J$3),"N/M")</f>
        <v>1.85884863480346</v>
      </c>
    </row>
    <row r="109" customFormat="false" ht="15" hidden="false" customHeight="false" outlineLevel="0" collapsed="false">
      <c r="A109" s="18" t="s">
        <v>557</v>
      </c>
      <c r="B109" s="19" t="s">
        <v>558</v>
      </c>
      <c r="D109" s="47" t="n">
        <f aca="false">IFERROR(IF(((D29+C29)/2)&lt;=0,"N/M",D52/((D29+C29)/2)),"N/M")</f>
        <v>9.8610292843528</v>
      </c>
      <c r="E109" s="47" t="n">
        <f aca="false">IFERROR(IF(((E29+D29)/2)&lt;=0,"N/M",E52/((E29+D29)/2)),"N/M")</f>
        <v>8.29756468797565</v>
      </c>
      <c r="F109" s="47" t="n">
        <f aca="false">IFERROR(IF(((F29+E29)/2)&lt;=0,"N/M",F52/((F29+E29)/2)),"N/M")</f>
        <v>10.4430348865577</v>
      </c>
      <c r="G109" s="47" t="n">
        <f aca="false">IFERROR(IF(((G29+F29)/2)&lt;=0,"N/M",G52/((G29+F29)/2)),"N/M")</f>
        <v>11.4943418701608</v>
      </c>
      <c r="H109" s="47" t="n">
        <f aca="false">IFERROR(IF(((H29+G29)/2)&lt;=0,"N/M",H52/((H29+G29)/2)),"N/M")</f>
        <v>8.49837408165723</v>
      </c>
      <c r="I109" s="47" t="n">
        <f aca="false">IFERROR(IF(((I29+H29)/2)&lt;=0,"N/M",I52/((I29+H29)/2)),"N/M")</f>
        <v>7.59750719079578</v>
      </c>
      <c r="J109" s="47" t="n">
        <f aca="false">IFERROR(IF(((J29+I29)/2)&lt;=0,"N/M",J52/((J29+I29)/2)),"N/M")</f>
        <v>8.06408060453401</v>
      </c>
      <c r="K109" s="22" t="n">
        <f aca="false">IFERROR(AVERAGE(D109:J109),"N/M")</f>
        <v>9.17941894371914</v>
      </c>
      <c r="L109" s="82" t="n">
        <f aca="false">IFERROR(J109-D109,"N/M")</f>
        <v>-1.79694867981879</v>
      </c>
      <c r="M109" s="83" t="n">
        <f aca="false">IFERROR(SLOPE(D109:J109,$D$3:$J$3),"N/M")</f>
        <v>-0.311986494239878</v>
      </c>
    </row>
    <row r="110" customFormat="false" ht="15" hidden="false" customHeight="false" outlineLevel="0" collapsed="false">
      <c r="A110" s="18" t="s">
        <v>559</v>
      </c>
      <c r="B110" s="19" t="s">
        <v>560</v>
      </c>
      <c r="D110" s="48" t="n">
        <f aca="false">IFERROR(IF(D109&lt;=0,"N/M",365/D109),"N/M")</f>
        <v>37.0143916496802</v>
      </c>
      <c r="E110" s="48" t="n">
        <f aca="false">IFERROR(IF(E109&lt;=0,"N/M",365/E109),"N/M")</f>
        <v>43.9888104191507</v>
      </c>
      <c r="F110" s="48" t="n">
        <f aca="false">IFERROR(IF(F109&lt;=0,"N/M",365/F109),"N/M")</f>
        <v>34.9515254870812</v>
      </c>
      <c r="G110" s="48" t="n">
        <f aca="false">IFERROR(IF(G109&lt;=0,"N/M",365/G109),"N/M")</f>
        <v>31.7547541323385</v>
      </c>
      <c r="H110" s="48" t="n">
        <f aca="false">IFERROR(IF(H109&lt;=0,"N/M",365/H109),"N/M")</f>
        <v>42.9493920240356</v>
      </c>
      <c r="I110" s="48" t="n">
        <f aca="false">IFERROR(IF(I109&lt;=0,"N/M",365/I109),"N/M")</f>
        <v>48.042073647813</v>
      </c>
      <c r="J110" s="48" t="n">
        <f aca="false">IFERROR(IF(J109&lt;=0,"N/M",365/J109),"N/M")</f>
        <v>45.26244440002</v>
      </c>
      <c r="K110" s="28" t="n">
        <f aca="false">IFERROR(AVERAGE(D110:J110),"N/M")</f>
        <v>40.5661988228742</v>
      </c>
      <c r="L110" s="84" t="n">
        <f aca="false">IFERROR(J110-D110,"N/M")</f>
        <v>8.2480527503398</v>
      </c>
      <c r="M110" s="85" t="n">
        <f aca="false">IFERROR(SLOPE(D110:J110,$D$3:$J$3),"N/M")</f>
        <v>1.45887683018923</v>
      </c>
    </row>
    <row r="111" customFormat="false" ht="15" hidden="false" customHeight="false" outlineLevel="0" collapsed="false">
      <c r="A111" s="18" t="s">
        <v>561</v>
      </c>
      <c r="B111" s="19" t="s">
        <v>562</v>
      </c>
      <c r="D111" s="48" t="n">
        <f aca="false">IFERROR(((IF(ISNUMBER(D106),D106,0)+D108)-D110),"N/M")</f>
        <v>33.7136422418403</v>
      </c>
      <c r="E111" s="48" t="n">
        <f aca="false">IFERROR(((IF(ISNUMBER(E106),E106,0)+E108)-E110),"N/M")</f>
        <v>3.98986543655449</v>
      </c>
      <c r="F111" s="48" t="n">
        <f aca="false">IFERROR(((IF(ISNUMBER(F106),F106,0)+F108)-F110),"N/M")</f>
        <v>-2.39192088072341</v>
      </c>
      <c r="G111" s="48" t="n">
        <f aca="false">IFERROR(((IF(ISNUMBER(G106),G106,0)+G108)-G110),"N/M")</f>
        <v>6.30093474908417</v>
      </c>
      <c r="H111" s="48" t="n">
        <f aca="false">IFERROR(((IF(ISNUMBER(H106),H106,0)+H108)-H110),"N/M")</f>
        <v>10.7788489435483</v>
      </c>
      <c r="I111" s="48" t="n">
        <f aca="false">IFERROR(((IF(ISNUMBER(I106),I106,0)+I108)-I110),"N/M")</f>
        <v>13.492062806393</v>
      </c>
      <c r="J111" s="48" t="n">
        <f aca="false">IFERROR(((IF(ISNUMBER(J106),J106,0)+J108)-J110),"N/M")</f>
        <v>26.7216575635902</v>
      </c>
      <c r="K111" s="28" t="n">
        <f aca="false">IFERROR(AVERAGE(D111:J111),"N/M")</f>
        <v>13.2292986943267</v>
      </c>
      <c r="L111" s="84" t="n">
        <f aca="false">IFERROR(J111-D111,"N/M")</f>
        <v>-6.99198467825009</v>
      </c>
      <c r="M111" s="85" t="n">
        <f aca="false">IFERROR(SLOPE(D111:J111,$D$3:$J$3),"N/M")</f>
        <v>0.399971804614233</v>
      </c>
    </row>
    <row r="112" customFormat="false" ht="15" hidden="false" customHeight="false" outlineLevel="0" collapsed="false">
      <c r="A112" s="18" t="s">
        <v>132</v>
      </c>
      <c r="B112" s="19" t="s">
        <v>563</v>
      </c>
      <c r="D112" s="47" t="n">
        <f aca="false">IFERROR(IF(((D31+C31)/2)&lt;=0,"N/M",D9/((D31+C31)/2)),"N/M")</f>
        <v>20.1872053872054</v>
      </c>
      <c r="E112" s="47" t="n">
        <f aca="false">IFERROR(IF(((E31+D31)/2)&lt;=0,"N/M",E9/((E31+D31)/2)),"N/M")</f>
        <v>16.167365967366</v>
      </c>
      <c r="F112" s="47" t="n">
        <f aca="false">IFERROR(IF(((F31+E31)/2)&lt;=0,"N/M",F9/((F31+E31)/2)),"N/M")</f>
        <v>15.299279852621</v>
      </c>
      <c r="G112" s="47" t="n">
        <f aca="false">IFERROR(IF(((G31+F31)/2)&lt;=0,"N/M",G9/((G31+F31)/2)),"N/M")</f>
        <v>13.5047804245665</v>
      </c>
      <c r="H112" s="47" t="n">
        <f aca="false">IFERROR(IF(((H31+G31)/2)&lt;=0,"N/M",H9/((H31+G31)/2)),"N/M")</f>
        <v>13.4385721712008</v>
      </c>
      <c r="I112" s="47" t="n">
        <f aca="false">IFERROR(IF(((I31+H31)/2)&lt;=0,"N/M",I9/((I31+H31)/2)),"N/M")</f>
        <v>16.3134690827573</v>
      </c>
      <c r="J112" s="47" t="n">
        <f aca="false">IFERROR(IF(((J31+I31)/2)&lt;=0,"N/M",J9/((J31+I31)/2)),"N/M")</f>
        <v>17.5075891977134</v>
      </c>
      <c r="K112" s="22" t="n">
        <f aca="false">IFERROR(AVERAGE(D112:J112),"N/M")</f>
        <v>16.0597517262043</v>
      </c>
      <c r="L112" s="82" t="n">
        <f aca="false">IFERROR(J112-D112,"N/M")</f>
        <v>-2.679616189492</v>
      </c>
      <c r="M112" s="83" t="n">
        <f aca="false">IFERROR(SLOPE(D112:J112,$D$3:$J$3),"N/M")</f>
        <v>-0.343119643539766</v>
      </c>
    </row>
    <row r="113" customFormat="false" ht="15" hidden="false" customHeight="false" outlineLevel="0" collapsed="false">
      <c r="A113" s="18" t="s">
        <v>133</v>
      </c>
      <c r="B113" s="19" t="s">
        <v>564</v>
      </c>
      <c r="D113" s="47" t="n">
        <f aca="false">IFERROR(IF(((D35+C35)/2)&lt;=0,"N/M",D9/((D35+C35)/2)),"N/M")</f>
        <v>3.30518191841235</v>
      </c>
      <c r="E113" s="47" t="n">
        <f aca="false">IFERROR(IF(((E35+D35)/2)&lt;=0,"N/M",E9/((E35+D35)/2)),"N/M")</f>
        <v>3.72932573394989</v>
      </c>
      <c r="F113" s="47" t="n">
        <f aca="false">IFERROR(IF(((F35+E35)/2)&lt;=0,"N/M",F9/((F35+E35)/2)),"N/M")</f>
        <v>4.38812566048612</v>
      </c>
      <c r="G113" s="47" t="n">
        <f aca="false">IFERROR(IF(((G35+F35)/2)&lt;=0,"N/M",G9/((G35+F35)/2)),"N/M")</f>
        <v>3.15829764656839</v>
      </c>
      <c r="H113" s="47" t="n">
        <f aca="false">IFERROR(IF(((H35+G35)/2)&lt;=0,"N/M",H9/((H35+G35)/2)),"N/M")</f>
        <v>2.39054312311202</v>
      </c>
      <c r="I113" s="47" t="n">
        <f aca="false">IFERROR(IF(((I35+H35)/2)&lt;=0,"N/M",I9/((I35+H35)/2)),"N/M")</f>
        <v>2.47389444460183</v>
      </c>
      <c r="J113" s="47" t="n">
        <f aca="false">IFERROR(IF(((J35+I35)/2)&lt;=0,"N/M",J9/((J35+I35)/2)),"N/M")</f>
        <v>2.35886539891639</v>
      </c>
      <c r="K113" s="22" t="n">
        <f aca="false">IFERROR(AVERAGE(D113:J113),"N/M")</f>
        <v>3.11489056086385</v>
      </c>
      <c r="L113" s="82" t="n">
        <f aca="false">IFERROR(J113-D113,"N/M")</f>
        <v>-0.946316519495956</v>
      </c>
      <c r="M113" s="83" t="n">
        <f aca="false">IFERROR(SLOPE(D113:J113,$D$3:$J$3),"N/M")</f>
        <v>-0.262406952662789</v>
      </c>
    </row>
    <row r="114" customFormat="false" ht="15" hidden="false" customHeight="false" outlineLevel="0" collapsed="false">
      <c r="A114" s="18" t="s">
        <v>565</v>
      </c>
      <c r="B114" s="19" t="s">
        <v>566</v>
      </c>
      <c r="D114" s="47" t="n">
        <f aca="false">IFERROR(IF(((D62+C62)/2)&lt;=0,"N/M",D9/((D62+C62)/2)),"N/M")</f>
        <v>4.84727948904519</v>
      </c>
      <c r="E114" s="47" t="n">
        <f aca="false">IFERROR(IF(((E62+D62)/2)&lt;=0,"N/M",E9/((E62+D62)/2)),"N/M")</f>
        <v>6.47358596229233</v>
      </c>
      <c r="F114" s="47" t="n">
        <f aca="false">IFERROR(IF(((F62+E62)/2)&lt;=0,"N/M",F9/((F62+E62)/2)),"N/M")</f>
        <v>7.23866877971474</v>
      </c>
      <c r="G114" s="47" t="n">
        <f aca="false">IFERROR(IF(((G62+F62)/2)&lt;=0,"N/M",G9/((G62+F62)/2)),"N/M")</f>
        <v>4.23659193736973</v>
      </c>
      <c r="H114" s="47" t="n">
        <f aca="false">IFERROR(IF(((H62+G62)/2)&lt;=0,"N/M",H9/((H62+G62)/2)),"N/M")</f>
        <v>3.21280914702349</v>
      </c>
      <c r="I114" s="47" t="n">
        <f aca="false">IFERROR(IF(((I62+H62)/2)&lt;=0,"N/M",I9/((I62+H62)/2)),"N/M")</f>
        <v>3.51143994531344</v>
      </c>
      <c r="J114" s="47" t="n">
        <f aca="false">IFERROR(IF(((J62+I62)/2)&lt;=0,"N/M",J9/((J62+I62)/2)),"N/M")</f>
        <v>3.20323150719515</v>
      </c>
      <c r="K114" s="22" t="n">
        <f aca="false">IFERROR(AVERAGE(D114:J114),"N/M")</f>
        <v>4.67480096685058</v>
      </c>
      <c r="L114" s="82" t="n">
        <f aca="false">IFERROR(J114-D114,"N/M")</f>
        <v>-1.64404798185004</v>
      </c>
      <c r="M114" s="83" t="n">
        <f aca="false">IFERROR(SLOPE(D114:J114,$D$3:$J$3),"N/M")</f>
        <v>-0.531510557578541</v>
      </c>
    </row>
    <row r="115" customFormat="false" ht="15" hidden="false" customHeight="false" outlineLevel="0" collapsed="false">
      <c r="A115" s="18" t="s">
        <v>567</v>
      </c>
      <c r="B115" s="19" t="s">
        <v>568</v>
      </c>
      <c r="D115" s="47" t="n">
        <f aca="false">IFERROR(IF(((D63+C63)/2)&lt;=0,"N/M",D9/((D63+C63)/2)),"N/M")</f>
        <v>3.98643617021277</v>
      </c>
      <c r="E115" s="47" t="n">
        <f aca="false">IFERROR(IF(((E63+D63)/2)&lt;=0,"N/M",E9/((E63+D63)/2)),"N/M")</f>
        <v>4.89194526731556</v>
      </c>
      <c r="F115" s="47" t="n">
        <f aca="false">IFERROR(IF(((F63+E63)/2)&lt;=0,"N/M",F9/((F63+E63)/2)),"N/M")</f>
        <v>6.17535320759819</v>
      </c>
      <c r="G115" s="47" t="n">
        <f aca="false">IFERROR(IF(((G63+F63)/2)&lt;=0,"N/M",G9/((G63+F63)/2)),"N/M")</f>
        <v>4.13341930364051</v>
      </c>
      <c r="H115" s="47" t="n">
        <f aca="false">IFERROR(IF(((H63+G63)/2)&lt;=0,"N/M",H9/((H63+G63)/2)),"N/M")</f>
        <v>2.91359230595837</v>
      </c>
      <c r="I115" s="47" t="n">
        <f aca="false">IFERROR(IF(((I63+H63)/2)&lt;=0,"N/M",I9/((I63+H63)/2)),"N/M")</f>
        <v>2.92118819830066</v>
      </c>
      <c r="J115" s="47" t="n">
        <f aca="false">IFERROR(IF(((J63+I63)/2)&lt;=0,"N/M",J9/((J63+I63)/2)),"N/M")</f>
        <v>2.73053155839764</v>
      </c>
      <c r="K115" s="22" t="n">
        <f aca="false">IFERROR(AVERAGE(D115:J115),"N/M")</f>
        <v>3.96463800163196</v>
      </c>
      <c r="L115" s="82" t="n">
        <f aca="false">IFERROR(J115-D115,"N/M")</f>
        <v>-1.25590461181513</v>
      </c>
      <c r="M115" s="83" t="n">
        <f aca="false">IFERROR(SLOPE(D115:J115,$D$3:$J$3),"N/M")</f>
        <v>-0.391821031254107</v>
      </c>
    </row>
    <row r="116" customFormat="false" ht="15" hidden="false" customHeight="false" outlineLevel="0" collapsed="false">
      <c r="A116" s="18" t="s">
        <v>569</v>
      </c>
      <c r="B116" s="19" t="s">
        <v>570</v>
      </c>
      <c r="D116" s="47" t="n">
        <f aca="false">IFERROR(IF(D65&lt;=0,"N/M",D9/D65),"N/M")</f>
        <v>7.65526046986721</v>
      </c>
      <c r="E116" s="47" t="n">
        <f aca="false">IFERROR(IF(E65&lt;=0,"N/M",E9/E65),"N/M")</f>
        <v>14.5832632464256</v>
      </c>
      <c r="F116" s="47" t="n">
        <f aca="false">IFERROR(IF(F65&lt;=0,"N/M",F9/F65),"N/M")</f>
        <v>10.8313967275314</v>
      </c>
      <c r="G116" s="47" t="n">
        <f aca="false">IFERROR(IF(G65&lt;=0,"N/M",G9/G65),"N/M")</f>
        <v>4.51500704301658</v>
      </c>
      <c r="H116" s="47" t="n">
        <f aca="false">IFERROR(IF(H65&lt;=0,"N/M",H9/H65),"N/M")</f>
        <v>4.26777459828307</v>
      </c>
      <c r="I116" s="47" t="n">
        <f aca="false">IFERROR(IF(I65&lt;=0,"N/M",I9/I65),"N/M")</f>
        <v>4.20726536904991</v>
      </c>
      <c r="J116" s="47" t="n">
        <f aca="false">IFERROR(IF(J65&lt;=0,"N/M",J9/J65),"N/M")</f>
        <v>3.63285340314136</v>
      </c>
      <c r="K116" s="22" t="n">
        <f aca="false">IFERROR(AVERAGE(D116:J116),"N/M")</f>
        <v>7.09897440818788</v>
      </c>
      <c r="L116" s="82" t="n">
        <f aca="false">IFERROR(J116-D116,"N/M")</f>
        <v>-4.02240706672585</v>
      </c>
      <c r="M116" s="83" t="n">
        <f aca="false">IFERROR(SLOPE(D116:J116,$D$3:$J$3),"N/M")</f>
        <v>-1.40652996729204</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0.050837280672493</v>
      </c>
      <c r="E119" s="46" t="n">
        <f aca="false">IFERROR(IF(E9&lt;=0,"N/M",E55/E9),"N/M")</f>
        <v>0.056806712996338</v>
      </c>
      <c r="F119" s="46" t="n">
        <f aca="false">IFERROR(IF(F9&lt;=0,"N/M",F55/F9),"N/M")</f>
        <v>0.0628338733689465</v>
      </c>
      <c r="G119" s="46" t="n">
        <f aca="false">IFERROR(IF(G9&lt;=0,"N/M",G55/G9),"N/M")</f>
        <v>0.0736998728071229</v>
      </c>
      <c r="H119" s="46" t="n">
        <f aca="false">IFERROR(IF(H9&lt;=0,"N/M",H55/H9),"N/M")</f>
        <v>0.0901565360909817</v>
      </c>
      <c r="I119" s="46" t="n">
        <f aca="false">IFERROR(IF(I9&lt;=0,"N/M",I55/I9),"N/M")</f>
        <v>0.0925726587728741</v>
      </c>
      <c r="J119" s="46" t="n">
        <f aca="false">IFERROR(IF(J9&lt;=0,"N/M",J55/J9),"N/M")</f>
        <v>0.098856061970816</v>
      </c>
      <c r="K119" s="25" t="n">
        <f aca="false">IFERROR(AVERAGE(D119:J119),"N/M")</f>
        <v>0.0751089995256532</v>
      </c>
      <c r="L119" s="86" t="n">
        <f aca="false">IFERROR(J119-D119,"N/M")</f>
        <v>0.048018781298323</v>
      </c>
      <c r="M119" s="87" t="n">
        <f aca="false">IFERROR(SLOPE(D119:J119,$D$3:$J$3),"N/M")</f>
        <v>0.00867538922035988</v>
      </c>
    </row>
    <row r="120" customFormat="false" ht="15" hidden="false" customHeight="false" outlineLevel="0" collapsed="false">
      <c r="A120" s="18" t="s">
        <v>573</v>
      </c>
      <c r="B120" s="19" t="s">
        <v>574</v>
      </c>
      <c r="D120" s="46" t="n">
        <f aca="false">IFERROR(IF(D57&lt;=0,"N/M",D59/D57),"N/M")</f>
        <v>-0.00941889103374825</v>
      </c>
      <c r="E120" s="46" t="n">
        <f aca="false">IFERROR(IF(E57&lt;=0,"N/M",E59/E57),"N/M")</f>
        <v>0.0285270157459915</v>
      </c>
      <c r="F120" s="46" t="n">
        <f aca="false">IFERROR(IF(F57&lt;=0,"N/M",F59/F57),"N/M")</f>
        <v>0.0246686786510957</v>
      </c>
      <c r="G120" s="46" t="n">
        <f aca="false">IFERROR(IF(G57&lt;=0,"N/M",G59/G57),"N/M")</f>
        <v>0.0208907309360102</v>
      </c>
      <c r="H120" s="46" t="n">
        <f aca="false">IFERROR(IF(H57&lt;=0,"N/M",H59/H57),"N/M")</f>
        <v>0.0214488891166748</v>
      </c>
      <c r="I120" s="46" t="n">
        <f aca="false">IFERROR(IF(I57&lt;=0,"N/M",I59/I57),"N/M")</f>
        <v>0.0349365931680567</v>
      </c>
      <c r="J120" s="46" t="n">
        <f aca="false">IFERROR(IF(J57&lt;=0,"N/M",J59/J57),"N/M")</f>
        <v>0.0457579071895717</v>
      </c>
      <c r="K120" s="25" t="n">
        <f aca="false">IFERROR(AVERAGE(D120:J120),"N/M")</f>
        <v>0.0238301319676646</v>
      </c>
      <c r="L120" s="86" t="n">
        <f aca="false">IFERROR(J120-D120,"N/M")</f>
        <v>0.0551767982233199</v>
      </c>
      <c r="M120" s="87" t="n">
        <f aca="false">IFERROR(SLOPE(D120:J120,$D$3:$J$3),"N/M")</f>
        <v>0.00625463428498819</v>
      </c>
    </row>
    <row r="121" customFormat="false" ht="15" hidden="false" customHeight="false" outlineLevel="0" collapsed="false">
      <c r="A121" s="18" t="s">
        <v>136</v>
      </c>
      <c r="B121" s="19" t="s">
        <v>575</v>
      </c>
      <c r="D121" s="46" t="n">
        <f aca="false">IFERROR(IF(D9&lt;=0,"N/M",D56/D9),"N/M")</f>
        <v>-0.0117085862966177</v>
      </c>
      <c r="E121" s="46" t="n">
        <f aca="false">IFERROR(IF(E9&lt;=0,"N/M",E56/E9),"N/M")</f>
        <v>0.0268462181723812</v>
      </c>
      <c r="F121" s="46" t="n">
        <f aca="false">IFERROR(IF(F9&lt;=0,"N/M",F56/F9),"N/M")</f>
        <v>0.023601015850775</v>
      </c>
      <c r="G121" s="46" t="n">
        <f aca="false">IFERROR(IF(G9&lt;=0,"N/M",G56/G9),"N/M")</f>
        <v>0.019198924860208</v>
      </c>
      <c r="H121" s="46" t="n">
        <f aca="false">IFERROR(IF(H9&lt;=0,"N/M",H56/H9),"N/M")</f>
        <v>0.0152409933723598</v>
      </c>
      <c r="I121" s="46" t="n">
        <f aca="false">IFERROR(IF(I9&lt;=0,"N/M",I56/I9),"N/M")</f>
        <v>0.032682133614273</v>
      </c>
      <c r="J121" s="46" t="n">
        <f aca="false">IFERROR(IF(J9&lt;=0,"N/M",J56/J9),"N/M")</f>
        <v>0.0373130967393262</v>
      </c>
      <c r="K121" s="25" t="n">
        <f aca="false">IFERROR(AVERAGE(D121:J121),"N/M")</f>
        <v>0.0204533994732436</v>
      </c>
      <c r="L121" s="86" t="n">
        <f aca="false">IFERROR(J121-D121,"N/M")</f>
        <v>0.0490216830359439</v>
      </c>
      <c r="M121" s="87" t="n">
        <f aca="false">IFERROR(SLOPE(D121:J121,$D$3:$J$3),"N/M")</f>
        <v>0.00537060205404287</v>
      </c>
    </row>
    <row r="122" customFormat="false" ht="15" hidden="false" customHeight="false" outlineLevel="0" collapsed="false">
      <c r="A122" s="18" t="s">
        <v>576</v>
      </c>
      <c r="B122" s="19" t="s">
        <v>577</v>
      </c>
      <c r="D122" s="46" t="n">
        <f aca="false">IFERROR(IF(D9&lt;=0,"N/M",D58/D9),"N/M")</f>
        <v>-0.0136766962439122</v>
      </c>
      <c r="E122" s="46" t="n">
        <f aca="false">IFERROR(IF(E9&lt;=0,"N/M",E58/E9),"N/M")</f>
        <v>0.0223478185645492</v>
      </c>
      <c r="F122" s="46" t="n">
        <f aca="false">IFERROR(IF(F9&lt;=0,"N/M",F58/F9),"N/M")</f>
        <v>0.0186969086610036</v>
      </c>
      <c r="G122" s="46" t="n">
        <f aca="false">IFERROR(IF(G9&lt;=0,"N/M",G58/G9),"N/M")</f>
        <v>0.0141832057404785</v>
      </c>
      <c r="H122" s="46" t="n">
        <f aca="false">IFERROR(IF(H9&lt;=0,"N/M",H58/H9),"N/M")</f>
        <v>0.0158857054439487</v>
      </c>
      <c r="I122" s="46" t="n">
        <f aca="false">IFERROR(IF(I9&lt;=0,"N/M",I58/I9),"N/M")</f>
        <v>0.0302544488468497</v>
      </c>
      <c r="J122" s="46" t="n">
        <f aca="false">IFERROR(IF(J9&lt;=0,"N/M",J58/J9),"N/M")</f>
        <v>0.0418618266978923</v>
      </c>
      <c r="K122" s="25" t="n">
        <f aca="false">IFERROR(AVERAGE(D122:J122),"N/M")</f>
        <v>0.0185076025301157</v>
      </c>
      <c r="L122" s="86" t="n">
        <f aca="false">IFERROR(J122-D122,"N/M")</f>
        <v>0.0555385229418045</v>
      </c>
      <c r="M122" s="87" t="n">
        <f aca="false">IFERROR(SLOPE(D122:J122,$D$3:$J$3),"N/M")</f>
        <v>0.00641491522046285</v>
      </c>
    </row>
    <row r="123" customFormat="false" ht="15" hidden="false" customHeight="false" outlineLevel="0" collapsed="false">
      <c r="A123" s="18" t="s">
        <v>578</v>
      </c>
      <c r="B123" s="19" t="s">
        <v>579</v>
      </c>
      <c r="D123" s="46" t="n">
        <f aca="false">IFERROR(IF(D9&lt;=0,"N/M",D20/D9),"N/M")</f>
        <v>-0.0289545666822336</v>
      </c>
      <c r="E123" s="46" t="n">
        <f aca="false">IFERROR(IF(E9&lt;=0,"N/M",E20/E9),"N/M")</f>
        <v>0.0111594913348136</v>
      </c>
      <c r="F123" s="46" t="n">
        <f aca="false">IFERROR(IF(F9&lt;=0,"N/M",F20/F9),"N/M")</f>
        <v>0.00985200105088011</v>
      </c>
      <c r="G123" s="46" t="n">
        <f aca="false">IFERROR(IF(G9&lt;=0,"N/M",G20/G9),"N/M")</f>
        <v>0.00206388442247234</v>
      </c>
      <c r="H123" s="46" t="n">
        <f aca="false">IFERROR(IF(H9&lt;=0,"N/M",H20/H9),"N/M")</f>
        <v>0.000567346622998169</v>
      </c>
      <c r="I123" s="46" t="n">
        <f aca="false">IFERROR(IF(I9&lt;=0,"N/M",I20/I9),"N/M")</f>
        <v>0.0144515951721137</v>
      </c>
      <c r="J123" s="46" t="n">
        <f aca="false">IFERROR(IF(J9&lt;=0,"N/M",J20/J9),"N/M")</f>
        <v>0.0260989010989011</v>
      </c>
      <c r="K123" s="25" t="n">
        <f aca="false">IFERROR(AVERAGE(D123:J123),"N/M")</f>
        <v>0.00503409328856362</v>
      </c>
      <c r="L123" s="86" t="n">
        <f aca="false">IFERROR(J123-D123,"N/M")</f>
        <v>0.0550534677811347</v>
      </c>
      <c r="M123" s="87" t="n">
        <f aca="false">IFERROR(SLOPE(D123:J123,$D$3:$J$3),"N/M")</f>
        <v>0.00580214130679009</v>
      </c>
    </row>
    <row r="124" customFormat="false" ht="15" hidden="false" customHeight="false" outlineLevel="0" collapsed="false">
      <c r="A124" s="18" t="s">
        <v>137</v>
      </c>
      <c r="B124" s="19" t="s">
        <v>580</v>
      </c>
      <c r="D124" s="46" t="n">
        <f aca="false">IFERROR(IF(D9&lt;=0,"N/M",D22/D9),"N/M")</f>
        <v>-0.0285876309293482</v>
      </c>
      <c r="E124" s="46" t="n">
        <f aca="false">IFERROR(IF(E9&lt;=0,"N/M",E22/E9),"N/M")</f>
        <v>0.00723780962542172</v>
      </c>
      <c r="F124" s="46" t="n">
        <f aca="false">IFERROR(IF(F9&lt;=0,"N/M",F22/F9),"N/M")</f>
        <v>0.00617392065855154</v>
      </c>
      <c r="G124" s="46" t="n">
        <f aca="false">IFERROR(IF(G9&lt;=0,"N/M",G22/G9),"N/M")</f>
        <v>0.000143991936451559</v>
      </c>
      <c r="H124" s="46" t="n">
        <f aca="false">IFERROR(IF(H9&lt;=0,"N/M",H22/H9),"N/M")</f>
        <v>0.000670500554452382</v>
      </c>
      <c r="I124" s="46" t="n">
        <f aca="false">IFERROR(IF(I9&lt;=0,"N/M",I22/I9),"N/M")</f>
        <v>0.00854270205895152</v>
      </c>
      <c r="J124" s="46" t="n">
        <f aca="false">IFERROR(IF(J9&lt;=0,"N/M",J22/J9),"N/M")</f>
        <v>0.0153125562961629</v>
      </c>
      <c r="K124" s="25" t="n">
        <f aca="false">IFERROR(AVERAGE(D124:J124),"N/M")</f>
        <v>0.00135626431437763</v>
      </c>
      <c r="L124" s="86" t="n">
        <f aca="false">IFERROR(J124-D124,"N/M")</f>
        <v>0.0439001872255111</v>
      </c>
      <c r="M124" s="87" t="n">
        <f aca="false">IFERROR(SLOPE(D124:J124,$D$3:$J$3),"N/M")</f>
        <v>0.00460024737283906</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0.949162719327507</v>
      </c>
      <c r="E127" s="46" t="n">
        <f aca="false">IFERROR(IF(E9&lt;=0,"N/M",E52/E9),"N/M")</f>
        <v>0.943193287003662</v>
      </c>
      <c r="F127" s="46" t="n">
        <f aca="false">IFERROR(IF(F9&lt;=0,"N/M",F52/F9),"N/M")</f>
        <v>0.937166126631054</v>
      </c>
      <c r="G127" s="46" t="n">
        <f aca="false">IFERROR(IF(G9&lt;=0,"N/M",G52/G9),"N/M")</f>
        <v>0.926300127192877</v>
      </c>
      <c r="H127" s="46" t="n">
        <f aca="false">IFERROR(IF(H9&lt;=0,"N/M",H52/H9),"N/M")</f>
        <v>0.909843463909018</v>
      </c>
      <c r="I127" s="46" t="n">
        <f aca="false">IFERROR(IF(I9&lt;=0,"N/M",I52/I9),"N/M")</f>
        <v>0.907427341227126</v>
      </c>
      <c r="J127" s="46" t="n">
        <f aca="false">IFERROR(IF(J9&lt;=0,"N/M",J52/J9),"N/M")</f>
        <v>0.901143938029184</v>
      </c>
      <c r="K127" s="25" t="n">
        <f aca="false">IFERROR(AVERAGE(D127:J127),"N/M")</f>
        <v>0.924891000474347</v>
      </c>
      <c r="L127" s="86" t="n">
        <f aca="false">IFERROR(J127-D127,"N/M")</f>
        <v>-0.0480187812983229</v>
      </c>
      <c r="M127" s="87" t="n">
        <f aca="false">IFERROR(SLOPE(D127:J127,$D$3:$J$3),"N/M")</f>
        <v>-0.00867538922035987</v>
      </c>
    </row>
    <row r="128" customFormat="false" ht="15" hidden="false" customHeight="false" outlineLevel="0" collapsed="false">
      <c r="A128" s="18" t="s">
        <v>584</v>
      </c>
      <c r="B128" s="19" t="s">
        <v>585</v>
      </c>
      <c r="D128" s="46" t="n">
        <f aca="false">IFERROR(IF(D9&lt;=0,"N/M",D53/D9),"N/M")</f>
        <v>0.0625458669691107</v>
      </c>
      <c r="E128" s="46" t="n">
        <f aca="false">IFERROR(IF(E9&lt;=0,"N/M",E53/E9),"N/M")</f>
        <v>0.0299604948239569</v>
      </c>
      <c r="F128" s="46" t="n">
        <f aca="false">IFERROR(IF(F9&lt;=0,"N/M",F53/F9),"N/M")</f>
        <v>0.0392328575181715</v>
      </c>
      <c r="G128" s="46" t="n">
        <f aca="false">IFERROR(IF(G9&lt;=0,"N/M",G53/G9),"N/M")</f>
        <v>0.054500947946915</v>
      </c>
      <c r="H128" s="46" t="n">
        <f aca="false">IFERROR(IF(H9&lt;=0,"N/M",H53/H9),"N/M")</f>
        <v>0.0749155427186219</v>
      </c>
      <c r="I128" s="46" t="n">
        <f aca="false">IFERROR(IF(I9&lt;=0,"N/M",I53/I9),"N/M")</f>
        <v>0.0598905251586011</v>
      </c>
      <c r="J128" s="46" t="n">
        <f aca="false">IFERROR(IF(J9&lt;=0,"N/M",J53/J9),"N/M")</f>
        <v>0.0615429652314898</v>
      </c>
      <c r="K128" s="25" t="n">
        <f aca="false">IFERROR(AVERAGE(D128:J128),"N/M")</f>
        <v>0.0546556000524096</v>
      </c>
      <c r="L128" s="86" t="n">
        <f aca="false">IFERROR(J128-D128,"N/M")</f>
        <v>-0.00100290173762086</v>
      </c>
      <c r="M128" s="87" t="n">
        <f aca="false">IFERROR(SLOPE(D128:J128,$D$3:$J$3),"N/M")</f>
        <v>0.00330478716631701</v>
      </c>
    </row>
    <row r="129" customFormat="false" ht="15" hidden="false" customHeight="false" outlineLevel="0" collapsed="false">
      <c r="A129" s="18" t="s">
        <v>586</v>
      </c>
      <c r="B129" s="19" t="s">
        <v>587</v>
      </c>
      <c r="D129" s="46" t="n">
        <f aca="false">IFERROR(IF(D9&lt;=0,"N/M",D14/D9),"N/M")</f>
        <v>0.0389619053972914</v>
      </c>
      <c r="E129" s="46" t="n">
        <f aca="false">IFERROR(IF(E9&lt;=0,"N/M",E14/E9),"N/M")</f>
        <v>0.025462095216125</v>
      </c>
      <c r="F129" s="46" t="n">
        <f aca="false">IFERROR(IF(F9&lt;=0,"N/M",F14/F9),"N/M")</f>
        <v>0.0269944828794115</v>
      </c>
      <c r="G129" s="46" t="n">
        <f aca="false">IFERROR(IF(G9&lt;=0,"N/M",G14/G9),"N/M")</f>
        <v>0.0410377018886942</v>
      </c>
      <c r="H129" s="46" t="n">
        <f aca="false">IFERROR(IF(H9&lt;=0,"N/M",H14/H9),"N/M")</f>
        <v>0.0578951440286768</v>
      </c>
      <c r="I129" s="46" t="n">
        <f aca="false">IFERROR(IF(I9&lt;=0,"N/M",I14/I9),"N/M")</f>
        <v>0.0459656917756453</v>
      </c>
      <c r="J129" s="46" t="n">
        <f aca="false">IFERROR(IF(J9&lt;=0,"N/M",J14/J9),"N/M")</f>
        <v>0.0464330751215997</v>
      </c>
      <c r="K129" s="25" t="n">
        <f aca="false">IFERROR(AVERAGE(D129:J129),"N/M")</f>
        <v>0.0403928709010634</v>
      </c>
      <c r="L129" s="86" t="n">
        <f aca="false">IFERROR(J129-D129,"N/M")</f>
        <v>0.00747116972430836</v>
      </c>
      <c r="M129" s="87" t="n">
        <f aca="false">IFERROR(SLOPE(D129:J129,$D$3:$J$3),"N/M")</f>
        <v>0.0033686201229011</v>
      </c>
    </row>
    <row r="130" customFormat="false" ht="15" hidden="false" customHeight="false" outlineLevel="0" collapsed="false">
      <c r="A130" s="18" t="s">
        <v>588</v>
      </c>
      <c r="B130" s="19" t="s">
        <v>589</v>
      </c>
      <c r="D130" s="46" t="n">
        <f aca="false">IFERROR(IF(D9&lt;=0,"N/M",D15/D9),"N/M")</f>
        <v>0.0156448061912069</v>
      </c>
      <c r="E130" s="46" t="n">
        <f aca="false">IFERROR(IF(E9&lt;=0,"N/M",E15/E9),"N/M")</f>
        <v>0.00657458404221575</v>
      </c>
      <c r="F130" s="46" t="n">
        <f aca="false">IFERROR(IF(F9&lt;=0,"N/M",F15/F9),"N/M")</f>
        <v>0.0122164813030913</v>
      </c>
      <c r="G130" s="46" t="n">
        <f aca="false">IFERROR(IF(G9&lt;=0,"N/M",G15/G9),"N/M")</f>
        <v>0.0125752957834361</v>
      </c>
      <c r="H130" s="46" t="n">
        <f aca="false">IFERROR(IF(H9&lt;=0,"N/M",H15/H9),"N/M")</f>
        <v>0.0123784717745055</v>
      </c>
      <c r="I130" s="46" t="n">
        <f aca="false">IFERROR(IF(I9&lt;=0,"N/M",I15/I9),"N/M")</f>
        <v>0.0100084739939995</v>
      </c>
      <c r="J130" s="46" t="n">
        <f aca="false">IFERROR(IF(J9&lt;=0,"N/M",J15/J9),"N/M")</f>
        <v>0.0124301927580616</v>
      </c>
      <c r="K130" s="25" t="n">
        <f aca="false">IFERROR(AVERAGE(D130:J130),"N/M")</f>
        <v>0.0116897579780738</v>
      </c>
      <c r="L130" s="86" t="n">
        <f aca="false">IFERROR(J130-D130,"N/M")</f>
        <v>-0.00321461343314528</v>
      </c>
      <c r="M130" s="87" t="n">
        <f aca="false">IFERROR(SLOPE(D130:J130,$D$3:$J$3),"N/M")</f>
        <v>-9.33596401590777E-005</v>
      </c>
    </row>
    <row r="131" customFormat="false" ht="15" hidden="false" customHeight="false" outlineLevel="0" collapsed="false">
      <c r="A131" s="18" t="s">
        <v>590</v>
      </c>
      <c r="B131" s="19" t="s">
        <v>591</v>
      </c>
      <c r="D131" s="46" t="n">
        <f aca="false">IFERROR(IF(D9&lt;=0,"N/M",D19/D9),"N/M")</f>
        <v>0.0152778704383214</v>
      </c>
      <c r="E131" s="46" t="n">
        <f aca="false">IFERROR(IF(E9&lt;=0,"N/M",E19/E9),"N/M")</f>
        <v>0.0111883272297356</v>
      </c>
      <c r="F131" s="46" t="n">
        <f aca="false">IFERROR(IF(F9&lt;=0,"N/M",F19/F9),"N/M")</f>
        <v>0.00884490761012348</v>
      </c>
      <c r="G131" s="46" t="n">
        <f aca="false">IFERROR(IF(G9&lt;=0,"N/M",G19/G9),"N/M")</f>
        <v>0.0121193213180062</v>
      </c>
      <c r="H131" s="46" t="n">
        <f aca="false">IFERROR(IF(H9&lt;=0,"N/M",H19/H9),"N/M")</f>
        <v>0.0153183588209506</v>
      </c>
      <c r="I131" s="46" t="n">
        <f aca="false">IFERROR(IF(I9&lt;=0,"N/M",I19/I9),"N/M")</f>
        <v>0.015802853674736</v>
      </c>
      <c r="J131" s="46" t="n">
        <f aca="false">IFERROR(IF(J9&lt;=0,"N/M",J19/J9),"N/M")</f>
        <v>0.0157629255989912</v>
      </c>
      <c r="K131" s="25" t="n">
        <f aca="false">IFERROR(AVERAGE(D131:J131),"N/M")</f>
        <v>0.0134735092415521</v>
      </c>
      <c r="L131" s="86" t="n">
        <f aca="false">IFERROR(J131-D131,"N/M")</f>
        <v>0.000485055160669736</v>
      </c>
      <c r="M131" s="87" t="n">
        <f aca="false">IFERROR(SLOPE(D131:J131,$D$3:$J$3),"N/M")</f>
        <v>0.000612773913672759</v>
      </c>
    </row>
    <row r="132" customFormat="false" ht="15" hidden="false" customHeight="false" outlineLevel="0" collapsed="false">
      <c r="A132" s="18" t="s">
        <v>138</v>
      </c>
      <c r="B132" s="19" t="s">
        <v>592</v>
      </c>
      <c r="D132" s="46" t="n">
        <f aca="false">IFERROR(IF(D9&lt;=0,"N/M",D54/D9),"N/M")</f>
        <v>1.01170858629662</v>
      </c>
      <c r="E132" s="46" t="n">
        <f aca="false">IFERROR(IF(E9&lt;=0,"N/M",E54/E9),"N/M")</f>
        <v>0.973153781827619</v>
      </c>
      <c r="F132" s="46" t="n">
        <f aca="false">IFERROR(IF(F9&lt;=0,"N/M",F54/F9),"N/M")</f>
        <v>0.976398984149225</v>
      </c>
      <c r="G132" s="46" t="n">
        <f aca="false">IFERROR(IF(G9&lt;=0,"N/M",G54/G9),"N/M")</f>
        <v>0.980801075139792</v>
      </c>
      <c r="H132" s="46" t="n">
        <f aca="false">IFERROR(IF(H9&lt;=0,"N/M",H54/H9),"N/M")</f>
        <v>0.98475900662764</v>
      </c>
      <c r="I132" s="46" t="n">
        <f aca="false">IFERROR(IF(I9&lt;=0,"N/M",I54/I9),"N/M")</f>
        <v>0.967317866385727</v>
      </c>
      <c r="J132" s="46" t="n">
        <f aca="false">IFERROR(IF(J9&lt;=0,"N/M",J54/J9),"N/M")</f>
        <v>0.962686903260674</v>
      </c>
      <c r="K132" s="25" t="n">
        <f aca="false">IFERROR(AVERAGE(D132:J132),"N/M")</f>
        <v>0.979546600526756</v>
      </c>
      <c r="L132" s="86" t="n">
        <f aca="false">IFERROR(J132-D132,"N/M")</f>
        <v>-0.049021683035944</v>
      </c>
      <c r="M132" s="87" t="n">
        <f aca="false">IFERROR(SLOPE(D132:J132,$D$3:$J$3),"N/M")</f>
        <v>-0.00537060205404288</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-0.0944873208379272</v>
      </c>
      <c r="E135" s="46" t="n">
        <f aca="false">IFERROR(IF(((E35+D35)/2)&lt;=0,"N/M",E22/((E35+D35)/2)),"N/M")</f>
        <v>0.0269921496935154</v>
      </c>
      <c r="F135" s="46" t="n">
        <f aca="false">IFERROR(IF(((F35+E35)/2)&lt;=0,"N/M",F22/((F35+E35)/2)),"N/M")</f>
        <v>0.0270919396675954</v>
      </c>
      <c r="G135" s="46" t="n">
        <f aca="false">IFERROR(IF(((G35+F35)/2)&lt;=0,"N/M",G22/((G35+F35)/2)),"N/M")</f>
        <v>0.000454769394019782</v>
      </c>
      <c r="H135" s="46" t="n">
        <f aca="false">IFERROR(IF(((H35+G35)/2)&lt;=0,"N/M",H22/((H35+G35)/2)),"N/M")</f>
        <v>0.00160286048948893</v>
      </c>
      <c r="I135" s="46" t="n">
        <f aca="false">IFERROR(IF(((I35+H35)/2)&lt;=0,"N/M",I22/((I35+H35)/2)),"N/M")</f>
        <v>0.0211337431655288</v>
      </c>
      <c r="J135" s="46" t="n">
        <f aca="false">IFERROR(IF(((J35+I35)/2)&lt;=0,"N/M",J22/((J35+I35)/2)),"N/M")</f>
        <v>0.0361202592159779</v>
      </c>
      <c r="K135" s="25" t="n">
        <f aca="false">IFERROR(AVERAGE(D135:J135),"N/M")</f>
        <v>0.00270120011259985</v>
      </c>
      <c r="L135" s="86" t="n">
        <f aca="false">IFERROR(J135-D135,"N/M")</f>
        <v>0.130607580053905</v>
      </c>
      <c r="M135" s="87" t="n">
        <f aca="false">IFERROR(SLOPE(D135:J135,$D$3:$J$3),"N/M")</f>
        <v>0.012664887425987</v>
      </c>
    </row>
    <row r="136" customFormat="false" ht="15" hidden="false" customHeight="false" outlineLevel="0" collapsed="false">
      <c r="A136" s="18" t="s">
        <v>595</v>
      </c>
      <c r="B136" s="19" t="s">
        <v>596</v>
      </c>
      <c r="D136" s="46" t="n">
        <f aca="false">IFERROR(IF(((D35+C35)/2)&lt;=0,"N/M",(D22+(D19*(1-D60)))/((D35+C35)/2)),"N/M")</f>
        <v>-0.0439911797133407</v>
      </c>
      <c r="E136" s="46" t="n">
        <f aca="false">IFERROR(IF(((E35+D35)/2)&lt;=0,"N/M",(E22+(E19*(1-E60)))/((E35+D35)/2)),"N/M")</f>
        <v>0.0539462302217487</v>
      </c>
      <c r="F136" s="46" t="n">
        <f aca="false">IFERROR(IF(((F35+E35)/2)&lt;=0,"N/M",(F22+(F19*(1-F60)))/((F35+E35)/2)),"N/M")</f>
        <v>0.0514144810580587</v>
      </c>
      <c r="G136" s="46" t="n">
        <f aca="false">IFERROR(IF(((G35+F35)/2)&lt;=0,"N/M",(G22+(G19*(1-G60)))/((G35+F35)/2)),"N/M")</f>
        <v>0.00357029227746926</v>
      </c>
      <c r="H136" s="46" t="n">
        <f aca="false">IFERROR(IF(((H35+G35)/2)&lt;=0,"N/M",(H22+(H19*(1-H60)))/((H35+G35)/2)),"N/M")</f>
        <v>0.0382220578262746</v>
      </c>
      <c r="I136" s="46" t="n">
        <f aca="false">IFERROR(IF(((I35+H35)/2)&lt;=0,"N/M",(I22+(I19*(1-I60)))/((I35+H35)/2)),"N/M")</f>
        <v>0.0442435415557266</v>
      </c>
      <c r="J136" s="46" t="n">
        <f aca="false">IFERROR(IF(((J35+I35)/2)&lt;=0,"N/M",(J22+(J19*(1-J60)))/((J35+I35)/2)),"N/M")</f>
        <v>0.0579678554808318</v>
      </c>
      <c r="K136" s="25" t="n">
        <f aca="false">IFERROR(AVERAGE(D136:J136),"N/M")</f>
        <v>0.0293390398152527</v>
      </c>
      <c r="L136" s="86" t="n">
        <f aca="false">IFERROR(J136-D136,"N/M")</f>
        <v>0.101959035194173</v>
      </c>
      <c r="M136" s="87" t="n">
        <f aca="false">IFERROR(SLOPE(D136:J136,$D$3:$J$3),"N/M")</f>
        <v>0.0097599751792389</v>
      </c>
    </row>
    <row r="137" customFormat="false" ht="15" hidden="false" customHeight="false" outlineLevel="0" collapsed="false">
      <c r="A137" s="18" t="s">
        <v>597</v>
      </c>
      <c r="B137" s="19" t="s">
        <v>598</v>
      </c>
      <c r="D137" s="46" t="n">
        <f aca="false">IFERROR(IF(((D35+C35)/2)&lt;=0,"N/M",D58/((D35+C35)/2)),"N/M")</f>
        <v>-0.0452039691289967</v>
      </c>
      <c r="E137" s="46" t="n">
        <f aca="false">IFERROR(IF(((E35+D35)/2)&lt;=0,"N/M",E58/((E35+D35)/2)),"N/M")</f>
        <v>0.0833422948704162</v>
      </c>
      <c r="F137" s="46" t="n">
        <f aca="false">IFERROR(IF(((F35+E35)/2)&lt;=0,"N/M",F58/((F35+E35)/2)),"N/M")</f>
        <v>0.082044384667115</v>
      </c>
      <c r="G137" s="46" t="n">
        <f aca="false">IFERROR(IF(((G35+F35)/2)&lt;=0,"N/M",G58/((G35+F35)/2)),"N/M")</f>
        <v>0.0447947853109486</v>
      </c>
      <c r="H137" s="46" t="n">
        <f aca="false">IFERROR(IF(((H35+G35)/2)&lt;=0,"N/M",H58/((H35+G35)/2)),"N/M")</f>
        <v>0.0379754639048147</v>
      </c>
      <c r="I137" s="46" t="n">
        <f aca="false">IFERROR(IF(((I35+H35)/2)&lt;=0,"N/M",I58/((I35+H35)/2)),"N/M")</f>
        <v>0.0748463129267118</v>
      </c>
      <c r="J137" s="46" t="n">
        <f aca="false">IFERROR(IF(((J35+I35)/2)&lt;=0,"N/M",J58/((J35+I35)/2)),"N/M")</f>
        <v>0.0987464145330925</v>
      </c>
      <c r="K137" s="25" t="n">
        <f aca="false">IFERROR(AVERAGE(D137:J137),"N/M")</f>
        <v>0.0537922410120146</v>
      </c>
      <c r="L137" s="86" t="n">
        <f aca="false">IFERROR(J137-D137,"N/M")</f>
        <v>0.143950383662089</v>
      </c>
      <c r="M137" s="87" t="n">
        <f aca="false">IFERROR(SLOPE(D137:J137,$D$3:$J$3),"N/M")</f>
        <v>0.01324250951202</v>
      </c>
    </row>
    <row r="138" customFormat="false" ht="15" hidden="false" customHeight="false" outlineLevel="0" collapsed="false">
      <c r="A138" s="18" t="s">
        <v>141</v>
      </c>
      <c r="B138" s="19" t="s">
        <v>599</v>
      </c>
      <c r="D138" s="46" t="n">
        <f aca="false">IFERROR(IF(((D62+C62)/2)&lt;=0,"N/M",(D58*(1-D60))/((D62+C62)/2)),"N/M")</f>
        <v>-0.0662947691810171</v>
      </c>
      <c r="E138" s="46" t="n">
        <f aca="false">IFERROR(IF(((E62+D62)/2)&lt;=0,"N/M",(E58*(1-E60))/((E62+D62)/2)),"N/M")</f>
        <v>0.0934564112062799</v>
      </c>
      <c r="F138" s="46" t="n">
        <f aca="false">IFERROR(IF(((F62+E62)/2)&lt;=0,"N/M",(F58*(1-F60))/((F62+E62)/2)),"N/M")</f>
        <v>0.0848135235076598</v>
      </c>
      <c r="G138" s="46" t="n">
        <f aca="false">IFERROR(IF(((G62+F62)/2)&lt;=0,"N/M",(G58*(1-G60))/((G62+F62)/2)),"N/M")</f>
        <v>0.00489092076282758</v>
      </c>
      <c r="H138" s="46" t="n">
        <f aca="false">IFERROR(IF(((H62+G62)/2)&lt;=0,"N/M",(H58*(1-H60))/((H62+G62)/2)),"N/M")</f>
        <v>0.0510377397572393</v>
      </c>
      <c r="I138" s="46" t="n">
        <f aca="false">IFERROR(IF(((I62+H62)/2)&lt;=0,"N/M",(I58*(1-I60))/((I62+H62)/2)),"N/M")</f>
        <v>0.0627991786310505</v>
      </c>
      <c r="J138" s="46" t="n">
        <f aca="false">IFERROR(IF(((J62+I62)/2)&lt;=0,"N/M",(J58*(1-J60))/((J62+I62)/2)),"N/M")</f>
        <v>0.0787898328187067</v>
      </c>
      <c r="K138" s="25" t="n">
        <f aca="false">IFERROR(AVERAGE(D138:J138),"N/M")</f>
        <v>0.0442132625003924</v>
      </c>
      <c r="L138" s="86" t="n">
        <f aca="false">IFERROR(J138-D138,"N/M")</f>
        <v>0.145084601999724</v>
      </c>
      <c r="M138" s="87" t="n">
        <f aca="false">IFERROR(SLOPE(D138:J138,$D$3:$J$3),"N/M")</f>
        <v>0.0121486984677961</v>
      </c>
    </row>
    <row r="139" customFormat="false" ht="15" hidden="false" customHeight="false" outlineLevel="0" collapsed="false">
      <c r="A139" s="18" t="s">
        <v>142</v>
      </c>
      <c r="B139" s="19" t="s">
        <v>600</v>
      </c>
      <c r="D139" s="46" t="n">
        <f aca="false">IFERROR(IF(((D61+C61)/2)&lt;=0,"N/M",D22/((D61+C61)/2)),"N/M")</f>
        <v>-0.397772104896728</v>
      </c>
      <c r="E139" s="46" t="n">
        <f aca="false">IFERROR(IF(((E61+D61)/2)&lt;=0,"N/M",E22/((E61+D61)/2)),"N/M")</f>
        <v>0.129414797628255</v>
      </c>
      <c r="F139" s="46" t="n">
        <f aca="false">IFERROR(IF(((F61+E61)/2)&lt;=0,"N/M",F22/((F61+E61)/2)),"N/M")</f>
        <v>0.122875816993464</v>
      </c>
      <c r="G139" s="46" t="n">
        <f aca="false">IFERROR(IF(((G61+F61)/2)&lt;=0,"N/M",G22/((G61+F61)/2)),"N/M")</f>
        <v>0.00138552130239002</v>
      </c>
      <c r="H139" s="46" t="n">
        <f aca="false">IFERROR(IF(((H61+G61)/2)&lt;=0,"N/M",H22/((H61+G61)/2)),"N/M")</f>
        <v>0.00416933932007697</v>
      </c>
      <c r="I139" s="46" t="n">
        <f aca="false">IFERROR(IF(((I61+H61)/2)&lt;=0,"N/M",I22/((I61+H61)/2)),"N/M")</f>
        <v>0.0580318942045897</v>
      </c>
      <c r="J139" s="46" t="n">
        <f aca="false">IFERROR(IF(((J61+I61)/2)&lt;=0,"N/M",J22/((J61+I61)/2)),"N/M")</f>
        <v>0.0979403715972922</v>
      </c>
      <c r="K139" s="25" t="n">
        <f aca="false">IFERROR(AVERAGE(D139:J139),"N/M")</f>
        <v>0.00229223373561997</v>
      </c>
      <c r="L139" s="86" t="n">
        <f aca="false">IFERROR(J139-D139,"N/M")</f>
        <v>0.49571247649402</v>
      </c>
      <c r="M139" s="87" t="n">
        <f aca="false">IFERROR(SLOPE(D139:J139,$D$3:$J$3),"N/M")</f>
        <v>0.0437737551771908</v>
      </c>
    </row>
    <row r="140" customFormat="false" ht="15" hidden="false" customHeight="false" outlineLevel="0" collapsed="false">
      <c r="A140" s="18" t="s">
        <v>601</v>
      </c>
      <c r="B140" s="19" t="s">
        <v>602</v>
      </c>
      <c r="D140" s="46" t="n">
        <f aca="false">IFERROR(IF(((D61+C61)/2)&lt;=0,"N/M",(D22-0)/((D61+C61)/2)),"N/M")</f>
        <v>-0.397772104896728</v>
      </c>
      <c r="E140" s="46" t="n">
        <f aca="false">IFERROR(IF(((E61+D61)/2)&lt;=0,"N/M",(E22-0)/((E61+D61)/2)),"N/M")</f>
        <v>0.129414797628255</v>
      </c>
      <c r="F140" s="46" t="n">
        <f aca="false">IFERROR(IF(((F61+E61)/2)&lt;=0,"N/M",(F22-0)/((F61+E61)/2)),"N/M")</f>
        <v>0.122875816993464</v>
      </c>
      <c r="G140" s="46" t="n">
        <f aca="false">IFERROR(IF(((G61+F61)/2)&lt;=0,"N/M",(G22-0)/((G61+F61)/2)),"N/M")</f>
        <v>0.00138552130239002</v>
      </c>
      <c r="H140" s="46" t="n">
        <f aca="false">IFERROR(IF(((H61+G61)/2)&lt;=0,"N/M",(H22-0)/((H61+G61)/2)),"N/M")</f>
        <v>0.00416933932007697</v>
      </c>
      <c r="I140" s="46" t="n">
        <f aca="false">IFERROR(IF(((I61+H61)/2)&lt;=0,"N/M",(I22-0)/((I61+H61)/2)),"N/M")</f>
        <v>0.0580318942045897</v>
      </c>
      <c r="J140" s="46" t="n">
        <f aca="false">IFERROR(IF(((J61+I61)/2)&lt;=0,"N/M",(J22-0)/((J61+I61)/2)),"N/M")</f>
        <v>0.0979403715972922</v>
      </c>
      <c r="K140" s="25" t="n">
        <f aca="false">IFERROR(AVERAGE(D140:J140),"N/M")</f>
        <v>0.00229223373561997</v>
      </c>
      <c r="L140" s="86" t="n">
        <f aca="false">IFERROR(J140-D140,"N/M")</f>
        <v>0.49571247649402</v>
      </c>
      <c r="M140" s="87" t="n">
        <f aca="false">IFERROR(SLOPE(D140:J140,$D$3:$J$3),"N/M")</f>
        <v>0.0437737551771908</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-1.84698275862069</v>
      </c>
      <c r="E143" s="95" t="n">
        <f aca="false">IFERROR(IF(E48&lt;=0,"N/M",E22/E48),"N/M")</f>
        <v>0.540948275862069</v>
      </c>
      <c r="F143" s="95" t="n">
        <f aca="false">IFERROR(IF(F48&lt;=0,"N/M",F22/F48),"N/M")</f>
        <v>0.607758620689655</v>
      </c>
      <c r="G143" s="95" t="n">
        <f aca="false">IFERROR(IF(G48&lt;=0,"N/M",G22/G48),"N/M")</f>
        <v>0.0129310344827586</v>
      </c>
      <c r="H143" s="95" t="n">
        <f aca="false">IFERROR(IF(H48&lt;=0,"N/M",H22/H48),"N/M")</f>
        <v>0.0560344827586207</v>
      </c>
      <c r="I143" s="95" t="n">
        <f aca="false">IFERROR(IF(I48&lt;=0,"N/M",I22/I48),"N/M")</f>
        <v>0.803879310344828</v>
      </c>
      <c r="J143" s="95" t="n">
        <f aca="false">IFERROR(IF(J48&lt;=0,"N/M",J22/J48),"N/M")</f>
        <v>1.46551724137931</v>
      </c>
      <c r="K143" s="96" t="n">
        <f aca="false">IFERROR(AVERAGE(D143:J143),"N/M")</f>
        <v>0.23429802955665</v>
      </c>
      <c r="L143" s="97" t="n">
        <f aca="false">IFERROR(J143-D143,"N/M")</f>
        <v>3.3125</v>
      </c>
      <c r="M143" s="98" t="n">
        <f aca="false">IFERROR(SLOPE(D143:J143,$D$3:$J$3),"N/M")</f>
        <v>0.353987068965517</v>
      </c>
    </row>
    <row r="144" customFormat="false" ht="15" hidden="false" customHeight="false" outlineLevel="0" collapsed="false">
      <c r="A144" s="18" t="s">
        <v>606</v>
      </c>
      <c r="B144" s="19" t="s">
        <v>607</v>
      </c>
      <c r="D144" s="95" t="n">
        <f aca="false">IFERROR(IF(D48&lt;=0,"N/M",(D22+D18)/D48),"N/M")</f>
        <v>-1.57327586206897</v>
      </c>
      <c r="E144" s="95" t="n">
        <f aca="false">IFERROR(IF(E48&lt;=0,"N/M",(E22+E18)/E48),"N/M")</f>
        <v>1.00646551724138</v>
      </c>
      <c r="F144" s="95" t="n">
        <f aca="false">IFERROR(IF(F48&lt;=0,"N/M",(F22+F18)/F48),"N/M")</f>
        <v>1.19827586206897</v>
      </c>
      <c r="G144" s="95" t="n">
        <f aca="false">IFERROR(IF(G48&lt;=0,"N/M",(G22+G18)/G48),"N/M")</f>
        <v>0.618534482758621</v>
      </c>
      <c r="H144" s="95" t="n">
        <f aca="false">IFERROR(IF(H48&lt;=0,"N/M",(H22+H18)/H48),"N/M")</f>
        <v>0.532327586206897</v>
      </c>
      <c r="I144" s="95" t="n">
        <f aca="false">IFERROR(IF(I48&lt;=0,"N/M",(I22+I18)/I48),"N/M")</f>
        <v>1.25215517241379</v>
      </c>
      <c r="J144" s="95" t="n">
        <f aca="false">IFERROR(IF(J48&lt;=0,"N/M",(J22+J18)/J48),"N/M")</f>
        <v>1.87715517241379</v>
      </c>
      <c r="K144" s="96" t="n">
        <f aca="false">IFERROR(AVERAGE(D144:J144),"N/M")</f>
        <v>0.701662561576355</v>
      </c>
      <c r="L144" s="97" t="n">
        <f aca="false">IFERROR(J144-D144,"N/M")</f>
        <v>3.45043103448276</v>
      </c>
      <c r="M144" s="98" t="n">
        <f aca="false">IFERROR(SLOPE(D144:J144,$D$3:$J$3),"N/M")</f>
        <v>0.363454433497537</v>
      </c>
    </row>
    <row r="145" customFormat="false" ht="15" hidden="false" customHeight="false" outlineLevel="0" collapsed="false">
      <c r="A145" s="18" t="s">
        <v>608</v>
      </c>
      <c r="B145" s="19" t="s">
        <v>609</v>
      </c>
      <c r="D145" s="95" t="n">
        <f aca="false">IFERROR(IF(D48&lt;=0,"N/M",D61/D48),"N/M")</f>
        <v>3.7198275862069</v>
      </c>
      <c r="E145" s="95" t="n">
        <f aca="false">IFERROR(IF(E48&lt;=0,"N/M",E61/E48),"N/M")</f>
        <v>4.64008620689655</v>
      </c>
      <c r="F145" s="95" t="n">
        <f aca="false">IFERROR(IF(F48&lt;=0,"N/M",F61/F48),"N/M")</f>
        <v>5.25215517241379</v>
      </c>
      <c r="G145" s="95" t="n">
        <f aca="false">IFERROR(IF(G48&lt;=0,"N/M",G61/G48),"N/M")</f>
        <v>13.4137931034483</v>
      </c>
      <c r="H145" s="95" t="n">
        <f aca="false">IFERROR(IF(H48&lt;=0,"N/M",H61/H48),"N/M")</f>
        <v>13.4655172413793</v>
      </c>
      <c r="I145" s="95" t="n">
        <f aca="false">IFERROR(IF(I48&lt;=0,"N/M",I61/I48),"N/M")</f>
        <v>14.239224137931</v>
      </c>
      <c r="J145" s="95" t="n">
        <f aca="false">IFERROR(IF(J48&lt;=0,"N/M",J61/J48),"N/M")</f>
        <v>15.6875</v>
      </c>
      <c r="K145" s="96" t="n">
        <f aca="false">IFERROR(AVERAGE(D145:J145),"N/M")</f>
        <v>10.0597290640394</v>
      </c>
      <c r="L145" s="97" t="n">
        <f aca="false">IFERROR(J145-D145,"N/M")</f>
        <v>11.9676724137931</v>
      </c>
      <c r="M145" s="98" t="n">
        <f aca="false">IFERROR(SLOPE(D145:J145,$D$3:$J$3),"N/M")</f>
        <v>2.26123768472906</v>
      </c>
    </row>
    <row r="146" customFormat="false" ht="15" hidden="false" customHeight="false" outlineLevel="0" collapsed="false">
      <c r="A146" s="18" t="s">
        <v>145</v>
      </c>
      <c r="B146" s="19" t="s">
        <v>610</v>
      </c>
      <c r="D146" s="47" t="n">
        <f aca="false">IFERROR(IF(D49=0,"N/C",IF(D145&lt;=0,"N/M",D47/D145)),"N/M")</f>
        <v>1.52695249130939</v>
      </c>
      <c r="E146" s="47" t="n">
        <f aca="false">IFERROR(IF(E49=0,"N/C",IF(E145&lt;=0,"N/M",E47/E145)),"N/M")</f>
        <v>1.54954017649791</v>
      </c>
      <c r="F146" s="47" t="n">
        <f aca="false">IFERROR(IF(F49=0,"N/C",IF(F145&lt;=0,"N/M",F47/F145)),"N/M")</f>
        <v>5.53677472302011</v>
      </c>
      <c r="G146" s="47" t="n">
        <f aca="false">IFERROR(IF(G49=0,"N/C",IF(G145&lt;=0,"N/M",G47/G145)),"N/M")</f>
        <v>0.879691516709512</v>
      </c>
      <c r="H146" s="47" t="n">
        <f aca="false">IFERROR(IF(H49=0,"N/C",IF(H145&lt;=0,"N/M",H47/H145)),"N/M")</f>
        <v>0.924583866837388</v>
      </c>
      <c r="I146" s="47" t="n">
        <f aca="false">IFERROR(IF(I49=0,"N/C",IF(I145&lt;=0,"N/M",I47/I145)),"N/M")</f>
        <v>0.809032843953383</v>
      </c>
      <c r="J146" s="47" t="n">
        <f aca="false">IFERROR(IF(J49=0,"N/C",IF(J145&lt;=0,"N/M",J47/J145)),"N/M")</f>
        <v>1.08749003984064</v>
      </c>
      <c r="K146" s="22" t="n">
        <f aca="false">IFERROR(AVERAGE(D146:J146),"N/M")</f>
        <v>1.75915223688119</v>
      </c>
      <c r="L146" s="82" t="n">
        <f aca="false">IFERROR(J146-D146,"N/M")</f>
        <v>-0.439462451468749</v>
      </c>
      <c r="M146" s="83" t="n">
        <f aca="false">IFERROR(SLOPE(D146:J146,$D$3:$J$3),"N/M")</f>
        <v>-0.264699745559929</v>
      </c>
    </row>
    <row r="147" customFormat="false" ht="15" hidden="false" customHeight="false" outlineLevel="0" collapsed="false">
      <c r="A147" s="18" t="s">
        <v>611</v>
      </c>
      <c r="B147" s="19" t="s">
        <v>612</v>
      </c>
      <c r="D147" s="95" t="n">
        <f aca="false">IFERROR(IF(D48&lt;=0,"N/M",D23/D48),"N/M")</f>
        <v>0</v>
      </c>
      <c r="E147" s="95" t="n">
        <f aca="false">IFERROR(IF(E48&lt;=0,"N/M",E23/E48),"N/M")</f>
        <v>0</v>
      </c>
      <c r="F147" s="95" t="n">
        <f aca="false">IFERROR(IF(F48&lt;=0,"N/M",F23/F48),"N/M")</f>
        <v>0.0258620689655172</v>
      </c>
      <c r="G147" s="95" t="n">
        <f aca="false">IFERROR(IF(G48&lt;=0,"N/M",G23/G48),"N/M")</f>
        <v>0</v>
      </c>
      <c r="H147" s="95" t="n">
        <f aca="false">IFERROR(IF(H48&lt;=0,"N/M",H23/H48),"N/M")</f>
        <v>0</v>
      </c>
      <c r="I147" s="95" t="n">
        <f aca="false">IFERROR(IF(I48&lt;=0,"N/M",I23/I48),"N/M")</f>
        <v>0</v>
      </c>
      <c r="J147" s="95" t="n">
        <f aca="false">IFERROR(IF(J48&lt;=0,"N/M",J23/J48),"N/M")</f>
        <v>0</v>
      </c>
      <c r="K147" s="96" t="n">
        <f aca="false">IFERROR(AVERAGE(D147:J147),"N/M")</f>
        <v>0.00369458128078818</v>
      </c>
      <c r="L147" s="97" t="n">
        <f aca="false">IFERROR(J147-D147,"N/M")</f>
        <v>0</v>
      </c>
      <c r="M147" s="98" t="n">
        <f aca="false">IFERROR(SLOPE(D147:J147,$D$3:$J$3),"N/M")</f>
        <v>-0.000923645320197044</v>
      </c>
    </row>
    <row r="148" customFormat="false" ht="15" hidden="false" customHeight="false" outlineLevel="0" collapsed="false">
      <c r="A148" s="18" t="s">
        <v>613</v>
      </c>
      <c r="B148" s="19" t="s">
        <v>614</v>
      </c>
      <c r="D148" s="46" t="str">
        <f aca="false">IFERROR(IF(D143&lt;=0,"N/M",D147/D143),"N/M")</f>
        <v>N/M</v>
      </c>
      <c r="E148" s="46" t="n">
        <f aca="false">IFERROR(IF(E143&lt;=0,"N/M",E147/E143),"N/M")</f>
        <v>0</v>
      </c>
      <c r="F148" s="46" t="n">
        <f aca="false">IFERROR(IF(F143&lt;=0,"N/M",F147/F143),"N/M")</f>
        <v>0.0425531914893617</v>
      </c>
      <c r="G148" s="46" t="n">
        <f aca="false">IFERROR(IF(G143&lt;=0,"N/M",G147/G143),"N/M")</f>
        <v>0</v>
      </c>
      <c r="H148" s="46" t="n">
        <f aca="false">IFERROR(IF(H143&lt;=0,"N/M",H147/H143),"N/M")</f>
        <v>0</v>
      </c>
      <c r="I148" s="46" t="n">
        <f aca="false">IFERROR(IF(I143&lt;=0,"N/M",I147/I143),"N/M")</f>
        <v>0</v>
      </c>
      <c r="J148" s="46" t="n">
        <f aca="false">IFERROR(IF(J143&lt;=0,"N/M",J147/J143),"N/M")</f>
        <v>0</v>
      </c>
      <c r="K148" s="25" t="n">
        <f aca="false">IFERROR(AVERAGE(D148:J148),"N/M")</f>
        <v>0.00709219858156028</v>
      </c>
      <c r="L148" s="86" t="str">
        <f aca="false">IFERROR(J148-D148,"N/M")</f>
        <v>N/M</v>
      </c>
      <c r="M148" s="87" t="n">
        <f aca="false">IFERROR(SLOPE(D148:J148,$D$3:$J$3),"N/M")</f>
        <v>-0.00364741641337386</v>
      </c>
    </row>
    <row r="149" customFormat="false" ht="15" hidden="false" customHeight="false" outlineLevel="0" collapsed="false">
      <c r="A149" s="18" t="s">
        <v>615</v>
      </c>
      <c r="B149" s="19" t="s">
        <v>616</v>
      </c>
      <c r="D149" s="46" t="str">
        <f aca="false">IFERROR((1-D148),"N/M")</f>
        <v>N/M</v>
      </c>
      <c r="E149" s="46" t="n">
        <f aca="false">IFERROR((1-E148),"N/M")</f>
        <v>1</v>
      </c>
      <c r="F149" s="46" t="n">
        <f aca="false">IFERROR((1-F148),"N/M")</f>
        <v>0.957446808510638</v>
      </c>
      <c r="G149" s="46" t="n">
        <f aca="false">IFERROR((1-G148),"N/M")</f>
        <v>1</v>
      </c>
      <c r="H149" s="46" t="n">
        <f aca="false">IFERROR((1-H148),"N/M")</f>
        <v>1</v>
      </c>
      <c r="I149" s="46" t="n">
        <f aca="false">IFERROR((1-I148),"N/M")</f>
        <v>1</v>
      </c>
      <c r="J149" s="46" t="n">
        <f aca="false">IFERROR((1-J148),"N/M")</f>
        <v>1</v>
      </c>
      <c r="K149" s="25" t="n">
        <f aca="false">IFERROR(AVERAGE(D149:J149),"N/M")</f>
        <v>0.99290780141844</v>
      </c>
      <c r="L149" s="86" t="str">
        <f aca="false">IFERROR(J149-D149,"N/M")</f>
        <v>N/M</v>
      </c>
      <c r="M149" s="87" t="n">
        <f aca="false">IFERROR(SLOPE(D149:J149,$D$3:$J$3),"N/M")</f>
        <v>0.00364741641337386</v>
      </c>
    </row>
    <row r="150" customFormat="false" ht="15" hidden="false" customHeight="false" outlineLevel="0" collapsed="false">
      <c r="A150" s="18" t="s">
        <v>617</v>
      </c>
      <c r="B150" s="19" t="s">
        <v>618</v>
      </c>
      <c r="D150" s="46" t="n">
        <f aca="false">IFERROR(IF(D49=0,"N/C",IF(D47&lt;=0,"N/M",D143/D47)),"N/M")</f>
        <v>-0.325173020883924</v>
      </c>
      <c r="E150" s="46" t="n">
        <f aca="false">IFERROR(IF(E49=0,"N/C",IF(E47&lt;=0,"N/M",E143/E47)),"N/M")</f>
        <v>0.0752361997026522</v>
      </c>
      <c r="F150" s="46" t="n">
        <f aca="false">IFERROR(IF(F49=0,"N/C",IF(F47&lt;=0,"N/M",F143/F47)),"N/M")</f>
        <v>0.0208995399136745</v>
      </c>
      <c r="G150" s="46" t="n">
        <f aca="false">IFERROR(IF(G49=0,"N/C",IF(G47&lt;=0,"N/M",G143/G47)),"N/M")</f>
        <v>0.0010958503798948</v>
      </c>
      <c r="H150" s="46" t="n">
        <f aca="false">IFERROR(IF(H49=0,"N/C",IF(H47&lt;=0,"N/M",H143/H47)),"N/M")</f>
        <v>0.00450076166735909</v>
      </c>
      <c r="I150" s="46" t="n">
        <f aca="false">IFERROR(IF(I49=0,"N/C",IF(I47&lt;=0,"N/M",I143/I47)),"N/M")</f>
        <v>0.0697811901340996</v>
      </c>
      <c r="J150" s="46" t="n">
        <f aca="false">IFERROR(IF(J49=0,"N/C",IF(J47&lt;=0,"N/M",J143/J47)),"N/M")</f>
        <v>0.0859037069976149</v>
      </c>
      <c r="K150" s="25" t="n">
        <f aca="false">IFERROR(AVERAGE(D150:J150),"N/M")</f>
        <v>-0.00967939601266131</v>
      </c>
      <c r="L150" s="86" t="n">
        <f aca="false">IFERROR(J150-D150,"N/M")</f>
        <v>0.411076727881539</v>
      </c>
      <c r="M150" s="87" t="n">
        <f aca="false">IFERROR(SLOPE(D150:J150,$D$3:$J$3),"N/M")</f>
        <v>0.0430686209378999</v>
      </c>
    </row>
    <row r="151" customFormat="false" ht="15" hidden="false" customHeight="false" outlineLevel="0" collapsed="false">
      <c r="A151" s="18" t="s">
        <v>146</v>
      </c>
      <c r="B151" s="19" t="s">
        <v>619</v>
      </c>
      <c r="D151" s="46" t="n">
        <f aca="false">IFERROR(IF(D49=0,"N/C",IF(D47&lt;=0,"N/M",D147/D47)),"N/M")</f>
        <v>0</v>
      </c>
      <c r="E151" s="46" t="n">
        <f aca="false">IFERROR(IF(E49=0,"N/C",IF(E47&lt;=0,"N/M",E147/E47)),"N/M")</f>
        <v>0</v>
      </c>
      <c r="F151" s="46" t="n">
        <f aca="false">IFERROR(IF(F49=0,"N/C",IF(F47&lt;=0,"N/M",F147/F47)),"N/M")</f>
        <v>0.00088934212398615</v>
      </c>
      <c r="G151" s="46" t="n">
        <f aca="false">IFERROR(IF(G49=0,"N/C",IF(G47&lt;=0,"N/M",G147/G47)),"N/M")</f>
        <v>0</v>
      </c>
      <c r="H151" s="46" t="n">
        <f aca="false">IFERROR(IF(H49=0,"N/C",IF(H47&lt;=0,"N/M",H147/H47)),"N/M")</f>
        <v>0</v>
      </c>
      <c r="I151" s="46" t="n">
        <f aca="false">IFERROR(IF(I49=0,"N/C",IF(I47&lt;=0,"N/M",I147/I47)),"N/M")</f>
        <v>0</v>
      </c>
      <c r="J151" s="46" t="n">
        <f aca="false">IFERROR(IF(J49=0,"N/C",IF(J47&lt;=0,"N/M",J147/J47)),"N/M")</f>
        <v>0</v>
      </c>
      <c r="K151" s="25" t="n">
        <f aca="false">IFERROR(AVERAGE(D151:J151),"N/M")</f>
        <v>0.000127048874855164</v>
      </c>
      <c r="L151" s="86" t="n">
        <f aca="false">IFERROR(J151-D151,"N/M")</f>
        <v>0</v>
      </c>
      <c r="M151" s="87" t="n">
        <f aca="false">IFERROR(SLOPE(D151:J151,$D$3:$J$3),"N/M")</f>
        <v>-3.17622187137911E-005</v>
      </c>
    </row>
    <row r="152" customFormat="false" ht="15" hidden="false" customHeight="false" outlineLevel="0" collapsed="false">
      <c r="A152" s="18" t="s">
        <v>143</v>
      </c>
      <c r="B152" s="19" t="s">
        <v>620</v>
      </c>
      <c r="D152" s="47" t="str">
        <f aca="false">IFERROR(IF(D49=0,"N/C",IF(D143&lt;=0,"N/M",D47/D143)),"N/M")</f>
        <v>N/M</v>
      </c>
      <c r="E152" s="47" t="n">
        <f aca="false">IFERROR(IF(E49=0,"N/C",IF(E143&lt;=0,"N/M",E47/E143)),"N/M")</f>
        <v>13.2914741035857</v>
      </c>
      <c r="F152" s="47" t="n">
        <f aca="false">IFERROR(IF(F49=0,"N/C",IF(F143&lt;=0,"N/M",F47/F143)),"N/M")</f>
        <v>47.8479432624114</v>
      </c>
      <c r="G152" s="47" t="n">
        <f aca="false">IFERROR(IF(G49=0,"N/C",IF(G143&lt;=0,"N/M",G47/G143)),"N/M")</f>
        <v>912.533333333333</v>
      </c>
      <c r="H152" s="47" t="n">
        <f aca="false">IFERROR(IF(H49=0,"N/C",IF(H143&lt;=0,"N/M",H47/H143)),"N/M")</f>
        <v>222.184615384615</v>
      </c>
      <c r="I152" s="47" t="n">
        <f aca="false">IFERROR(IF(I49=0,"N/C",IF(I143&lt;=0,"N/M",I47/I143)),"N/M")</f>
        <v>14.330509383378</v>
      </c>
      <c r="J152" s="47" t="n">
        <f aca="false">IFERROR(IF(J49=0,"N/C",IF(J143&lt;=0,"N/M",J47/J143)),"N/M")</f>
        <v>11.6409411764706</v>
      </c>
      <c r="K152" s="22" t="n">
        <f aca="false">IFERROR(AVERAGE(D152:J152),"N/M")</f>
        <v>203.638136107299</v>
      </c>
      <c r="L152" s="82" t="str">
        <f aca="false">IFERROR(J152-D152,"N/M")</f>
        <v>N/M</v>
      </c>
      <c r="M152" s="83" t="n">
        <f aca="false">IFERROR(SLOPE(D152:J152,$D$3:$J$3),"N/M")</f>
        <v>-22.8329624063255</v>
      </c>
    </row>
    <row r="153" customFormat="false" ht="15" hidden="false" customHeight="false" outlineLevel="0" collapsed="false">
      <c r="A153" s="18" t="s">
        <v>148</v>
      </c>
      <c r="B153" s="19" t="s">
        <v>621</v>
      </c>
      <c r="D153" s="46" t="n">
        <f aca="false">IFERROR(IF(C47&lt;=0,"N/M",((D147+D47)-C47)/C47),"N/M")</f>
        <v>-0.485040797824116</v>
      </c>
      <c r="E153" s="46" t="n">
        <f aca="false">IFERROR(IF(D47&lt;=0,"N/M",((E147+E47)-D47)/D47),"N/M")</f>
        <v>0.265845070422535</v>
      </c>
      <c r="F153" s="46" t="n">
        <f aca="false">IFERROR(IF(E47&lt;=0,"N/M",((F147+F47)-E47)/E47),"N/M")</f>
        <v>3.04810320847921</v>
      </c>
      <c r="G153" s="46" t="n">
        <f aca="false">IFERROR(IF(F47&lt;=0,"N/M",((G147+G47)-F47)/F47),"N/M")</f>
        <v>-0.594222833562586</v>
      </c>
      <c r="H153" s="46" t="n">
        <f aca="false">IFERROR(IF(G47&lt;=0,"N/M",((H147+H47)-G47)/G47),"N/M")</f>
        <v>0.0550847457627117</v>
      </c>
      <c r="I153" s="46" t="n">
        <f aca="false">IFERROR(IF(H47&lt;=0,"N/M",((I147+I47)-H47)/H47),"N/M")</f>
        <v>-0.0746987951807229</v>
      </c>
      <c r="J153" s="46" t="n">
        <f aca="false">IFERROR(IF(I47&lt;=0,"N/M",((J147+J47)-I47)/I47),"N/M")</f>
        <v>0.480902777777778</v>
      </c>
      <c r="K153" s="25" t="n">
        <f aca="false">IFERROR(AVERAGE(D153:J153),"N/M")</f>
        <v>0.385139053696401</v>
      </c>
      <c r="L153" s="86" t="n">
        <f aca="false">IFERROR(J153-D153,"N/M")</f>
        <v>0.965943575601894</v>
      </c>
      <c r="M153" s="87" t="n">
        <f aca="false">IFERROR(SLOPE(D153:J153,$D$3:$J$3),"N/M")</f>
        <v>-0.027724123825619</v>
      </c>
    </row>
    <row r="154" customFormat="false" ht="15" hidden="false" customHeight="false" outlineLevel="0" collapsed="false">
      <c r="A154" s="18" t="s">
        <v>147</v>
      </c>
      <c r="B154" s="19" t="s">
        <v>622</v>
      </c>
      <c r="D154" s="47" t="str">
        <f aca="false">IFERROR(IF(D49=0,"N/C",IF(D59&lt;=0,"N/M",D70/D59)),"N/M")</f>
        <v>N/M</v>
      </c>
      <c r="E154" s="47" t="n">
        <f aca="false">IFERROR(IF(E49=0,"N/C",IF(E59&lt;=0,"N/M",E70/E59)),"N/M")</f>
        <v>6.17977800201816</v>
      </c>
      <c r="F154" s="47" t="n">
        <f aca="false">IFERROR(IF(F49=0,"N/C",IF(F59&lt;=0,"N/M",F70/F59)),"N/M")</f>
        <v>15.7421276595745</v>
      </c>
      <c r="G154" s="47" t="n">
        <f aca="false">IFERROR(IF(G49=0,"N/C",IF(G59&lt;=0,"N/M",G70/G59)),"N/M")</f>
        <v>12.2857798165138</v>
      </c>
      <c r="H154" s="47" t="n">
        <f aca="false">IFERROR(IF(H49=0,"N/C",IF(H59&lt;=0,"N/M",H70/H59)),"N/M")</f>
        <v>11.9794504181601</v>
      </c>
      <c r="I154" s="47" t="n">
        <f aca="false">IFERROR(IF(I49=0,"N/C",IF(I59&lt;=0,"N/M",I70/I59)),"N/M")</f>
        <v>6.89096141268803</v>
      </c>
      <c r="J154" s="47" t="n">
        <f aca="false">IFERROR(IF(J49=0,"N/C",IF(J59&lt;=0,"N/M",J70/J59)),"N/M")</f>
        <v>6.7638243902439</v>
      </c>
      <c r="K154" s="22" t="n">
        <f aca="false">IFERROR(AVERAGE(D154:J154),"N/M")</f>
        <v>9.97365361653307</v>
      </c>
      <c r="L154" s="82" t="str">
        <f aca="false">IFERROR(J154-D154,"N/M")</f>
        <v>N/M</v>
      </c>
      <c r="M154" s="83" t="n">
        <f aca="false">IFERROR(SLOPE(D154:J154,$D$3:$J$3),"N/M")</f>
        <v>-0.683988462796694</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-0.0285876309293482</v>
      </c>
      <c r="E157" s="46" t="n">
        <f aca="false">IFERROR(E124,"N/M")</f>
        <v>0.00723780962542172</v>
      </c>
      <c r="F157" s="46" t="n">
        <f aca="false">IFERROR(F124,"N/M")</f>
        <v>0.00617392065855154</v>
      </c>
      <c r="G157" s="46" t="n">
        <f aca="false">IFERROR(G124,"N/M")</f>
        <v>0.000143991936451559</v>
      </c>
      <c r="H157" s="46" t="n">
        <f aca="false">IFERROR(H124,"N/M")</f>
        <v>0.000670500554452382</v>
      </c>
      <c r="I157" s="46" t="n">
        <f aca="false">IFERROR(I124,"N/M")</f>
        <v>0.00854270205895152</v>
      </c>
      <c r="J157" s="46" t="n">
        <f aca="false">IFERROR(J124,"N/M")</f>
        <v>0.0153125562961629</v>
      </c>
      <c r="K157" s="25" t="n">
        <f aca="false">IFERROR(AVERAGE(D157:J157),"N/M")</f>
        <v>0.00135626431437763</v>
      </c>
      <c r="L157" s="86" t="n">
        <f aca="false">IFERROR(J157-D157,"N/M")</f>
        <v>0.0439001872255111</v>
      </c>
      <c r="M157" s="87" t="n">
        <f aca="false">IFERROR(SLOPE(D157:J157,$D$3:$J$3),"N/M")</f>
        <v>0.00460024737283906</v>
      </c>
    </row>
    <row r="158" customFormat="false" ht="15" hidden="false" customHeight="false" outlineLevel="0" collapsed="false">
      <c r="A158" s="18" t="s">
        <v>625</v>
      </c>
      <c r="B158" s="19" t="s">
        <v>626</v>
      </c>
      <c r="D158" s="47" t="n">
        <f aca="false">IFERROR(D113,"N/M")</f>
        <v>3.30518191841235</v>
      </c>
      <c r="E158" s="47" t="n">
        <f aca="false">IFERROR(E113,"N/M")</f>
        <v>3.72932573394989</v>
      </c>
      <c r="F158" s="47" t="n">
        <f aca="false">IFERROR(F113,"N/M")</f>
        <v>4.38812566048612</v>
      </c>
      <c r="G158" s="47" t="n">
        <f aca="false">IFERROR(G113,"N/M")</f>
        <v>3.15829764656839</v>
      </c>
      <c r="H158" s="47" t="n">
        <f aca="false">IFERROR(H113,"N/M")</f>
        <v>2.39054312311202</v>
      </c>
      <c r="I158" s="47" t="n">
        <f aca="false">IFERROR(I113,"N/M")</f>
        <v>2.47389444460183</v>
      </c>
      <c r="J158" s="47" t="n">
        <f aca="false">IFERROR(J113,"N/M")</f>
        <v>2.35886539891639</v>
      </c>
      <c r="K158" s="22" t="n">
        <f aca="false">IFERROR(AVERAGE(D158:J158),"N/M")</f>
        <v>3.11489056086385</v>
      </c>
      <c r="L158" s="82" t="n">
        <f aca="false">IFERROR(J158-D158,"N/M")</f>
        <v>-0.946316519495956</v>
      </c>
      <c r="M158" s="83" t="n">
        <f aca="false">IFERROR(SLOPE(D158:J158,$D$3:$J$3),"N/M")</f>
        <v>-0.262406952662789</v>
      </c>
    </row>
    <row r="159" customFormat="false" ht="15" hidden="false" customHeight="false" outlineLevel="0" collapsed="false">
      <c r="A159" s="18" t="s">
        <v>627</v>
      </c>
      <c r="B159" s="19" t="s">
        <v>628</v>
      </c>
      <c r="D159" s="46" t="n">
        <f aca="false">IFERROR((D157*D158),"N/M")</f>
        <v>-0.0944873208379272</v>
      </c>
      <c r="E159" s="46" t="n">
        <f aca="false">IFERROR((E157*E158),"N/M")</f>
        <v>0.0269921496935154</v>
      </c>
      <c r="F159" s="46" t="n">
        <f aca="false">IFERROR((F157*F158),"N/M")</f>
        <v>0.0270919396675954</v>
      </c>
      <c r="G159" s="46" t="n">
        <f aca="false">IFERROR((G157*G158),"N/M")</f>
        <v>0.000454769394019782</v>
      </c>
      <c r="H159" s="46" t="n">
        <f aca="false">IFERROR((H157*H158),"N/M")</f>
        <v>0.00160286048948893</v>
      </c>
      <c r="I159" s="46" t="n">
        <f aca="false">IFERROR((I157*I158),"N/M")</f>
        <v>0.0211337431655288</v>
      </c>
      <c r="J159" s="46" t="n">
        <f aca="false">IFERROR((J157*J158),"N/M")</f>
        <v>0.0361202592159779</v>
      </c>
      <c r="K159" s="25" t="n">
        <f aca="false">IFERROR(AVERAGE(D159:J159),"N/M")</f>
        <v>0.00270120011259985</v>
      </c>
      <c r="L159" s="86" t="n">
        <f aca="false">IFERROR(J159-D159,"N/M")</f>
        <v>0.130607580053905</v>
      </c>
      <c r="M159" s="87" t="n">
        <f aca="false">IFERROR(SLOPE(D159:J159,$D$3:$J$3),"N/M")</f>
        <v>0.012664887425987</v>
      </c>
    </row>
    <row r="160" customFormat="false" ht="15" hidden="false" customHeight="false" outlineLevel="0" collapsed="false">
      <c r="A160" s="18" t="s">
        <v>629</v>
      </c>
      <c r="B160" s="19" t="s">
        <v>630</v>
      </c>
      <c r="D160" s="47" t="n">
        <f aca="false">IFERROR(IF(((D61+C61)/2)&lt;=0,"N/M",((D35+C35)/2)/((D61+C61)/2)),"N/M")</f>
        <v>4.20979345555814</v>
      </c>
      <c r="E160" s="47" t="n">
        <f aca="false">IFERROR(IF(((E61+D61)/2)&lt;=0,"N/M",((E35+D35)/2)/((E61+D61)/2)),"N/M")</f>
        <v>4.79453467388502</v>
      </c>
      <c r="F160" s="47" t="n">
        <f aca="false">IFERROR(IF(((F61+E61)/2)&lt;=0,"N/M",((F35+E35)/2)/((F61+E61)/2)),"N/M")</f>
        <v>4.53551198257081</v>
      </c>
      <c r="G160" s="47" t="n">
        <f aca="false">IFERROR(IF(((G61+F61)/2)&lt;=0,"N/M",((G35+F35)/2)/((G61+F61)/2)),"N/M")</f>
        <v>3.04664588384713</v>
      </c>
      <c r="H160" s="47" t="n">
        <f aca="false">IFERROR(IF(((H61+G61)/2)&lt;=0,"N/M",((H35+G35)/2)/((H61+G61)/2)),"N/M")</f>
        <v>2.60118665811418</v>
      </c>
      <c r="I160" s="47" t="n">
        <f aca="false">IFERROR(IF(((I61+H61)/2)&lt;=0,"N/M",((I35+H35)/2)/((I61+H61)/2)),"N/M")</f>
        <v>2.74593543368339</v>
      </c>
      <c r="J160" s="47" t="n">
        <f aca="false">IFERROR(IF(((J61+I61)/2)&lt;=0,"N/M",((J35+I35)/2)/((J61+I61)/2)),"N/M")</f>
        <v>2.71150799366268</v>
      </c>
      <c r="K160" s="22" t="n">
        <f aca="false">IFERROR(AVERAGE(D160:J160),"N/M")</f>
        <v>3.52073086876019</v>
      </c>
      <c r="L160" s="82" t="n">
        <f aca="false">IFERROR(J160-D160,"N/M")</f>
        <v>-1.49828546189545</v>
      </c>
      <c r="M160" s="83" t="n">
        <f aca="false">IFERROR(SLOPE(D160:J160,$D$3:$J$3),"N/M")</f>
        <v>-0.375942149662366</v>
      </c>
    </row>
    <row r="161" customFormat="false" ht="15" hidden="false" customHeight="false" outlineLevel="0" collapsed="false">
      <c r="A161" s="18" t="s">
        <v>631</v>
      </c>
      <c r="B161" s="19" t="s">
        <v>632</v>
      </c>
      <c r="D161" s="46" t="n">
        <f aca="false">IFERROR(((D157*D158)*D160),"N/M")</f>
        <v>-0.397772104896728</v>
      </c>
      <c r="E161" s="46" t="n">
        <f aca="false">IFERROR(((E157*E158)*E160),"N/M")</f>
        <v>0.129414797628255</v>
      </c>
      <c r="F161" s="46" t="n">
        <f aca="false">IFERROR(((F157*F158)*F160),"N/M")</f>
        <v>0.122875816993464</v>
      </c>
      <c r="G161" s="46" t="n">
        <f aca="false">IFERROR(((G157*G158)*G160),"N/M")</f>
        <v>0.00138552130239002</v>
      </c>
      <c r="H161" s="46" t="n">
        <f aca="false">IFERROR(((H157*H158)*H160),"N/M")</f>
        <v>0.00416933932007697</v>
      </c>
      <c r="I161" s="46" t="n">
        <f aca="false">IFERROR(((I157*I158)*I160),"N/M")</f>
        <v>0.0580318942045897</v>
      </c>
      <c r="J161" s="46" t="n">
        <f aca="false">IFERROR(((J157*J158)*J160),"N/M")</f>
        <v>0.0979403715972922</v>
      </c>
      <c r="K161" s="25" t="n">
        <f aca="false">IFERROR(AVERAGE(D161:J161),"N/M")</f>
        <v>0.00229223373561997</v>
      </c>
      <c r="L161" s="86" t="n">
        <f aca="false">IFERROR(J161-D161,"N/M")</f>
        <v>0.49571247649402</v>
      </c>
      <c r="M161" s="87" t="n">
        <f aca="false">IFERROR(SLOPE(D161:J161,$D$3:$J$3),"N/M")</f>
        <v>0.0437737551771908</v>
      </c>
    </row>
    <row r="162" customFormat="false" ht="15" hidden="false" customHeight="false" outlineLevel="0" collapsed="false">
      <c r="A162" s="18" t="s">
        <v>633</v>
      </c>
      <c r="B162" s="19" t="s">
        <v>634</v>
      </c>
      <c r="D162" s="47" t="n">
        <f aca="false">IFERROR(IF(D20=0,"N/M",D22/D20),"N/M")</f>
        <v>0.987327188940092</v>
      </c>
      <c r="E162" s="47" t="n">
        <f aca="false">IFERROR(IF(E20=0,"N/M",E22/E20),"N/M")</f>
        <v>0.648578811369509</v>
      </c>
      <c r="F162" s="47" t="n">
        <f aca="false">IFERROR(IF(F20=0,"N/M",F22/F20),"N/M")</f>
        <v>0.626666666666667</v>
      </c>
      <c r="G162" s="47" t="n">
        <f aca="false">IFERROR(IF(G20=0,"N/M",G22/G20),"N/M")</f>
        <v>0.0697674418604651</v>
      </c>
      <c r="H162" s="47" t="n">
        <f aca="false">IFERROR(IF(H20=0,"N/M",H22/H20),"N/M")</f>
        <v>1.18181818181818</v>
      </c>
      <c r="I162" s="47" t="n">
        <f aca="false">IFERROR(IF(I20=0,"N/M",I22/I20),"N/M")</f>
        <v>0.591125198098257</v>
      </c>
      <c r="J162" s="47" t="n">
        <f aca="false">IFERROR(IF(J20=0,"N/M",J22/J20),"N/M")</f>
        <v>0.586712683347714</v>
      </c>
      <c r="K162" s="22" t="n">
        <f aca="false">IFERROR(AVERAGE(D162:J162),"N/M")</f>
        <v>0.670285167442984</v>
      </c>
      <c r="L162" s="82" t="n">
        <f aca="false">IFERROR(J162-D162,"N/M")</f>
        <v>-0.400614505592379</v>
      </c>
      <c r="M162" s="83" t="n">
        <f aca="false">IFERROR(SLOPE(D162:J162,$D$3:$J$3),"N/M")</f>
        <v>-0.0271999724345759</v>
      </c>
    </row>
    <row r="163" customFormat="false" ht="15" hidden="false" customHeight="false" outlineLevel="0" collapsed="false">
      <c r="A163" s="18" t="s">
        <v>635</v>
      </c>
      <c r="B163" s="19" t="s">
        <v>636</v>
      </c>
      <c r="D163" s="47" t="n">
        <f aca="false">IFERROR(IF(D58=0,"N/M",D20/D58),"N/M")</f>
        <v>2.11707317073171</v>
      </c>
      <c r="E163" s="47" t="n">
        <f aca="false">IFERROR(IF(E58=0,"N/M",E20/E58),"N/M")</f>
        <v>0.499354838709677</v>
      </c>
      <c r="F163" s="47" t="n">
        <f aca="false">IFERROR(IF(F58=0,"N/M",F20/F58),"N/M")</f>
        <v>0.526932084309134</v>
      </c>
      <c r="G163" s="47" t="n">
        <f aca="false">IFERROR(IF(G58=0,"N/M",G20/G58),"N/M")</f>
        <v>0.145516074450085</v>
      </c>
      <c r="H163" s="47" t="n">
        <f aca="false">IFERROR(IF(H58=0,"N/M",H20/H58),"N/M")</f>
        <v>0.0357142857142857</v>
      </c>
      <c r="I163" s="47" t="n">
        <f aca="false">IFERROR(IF(I58=0,"N/M",I20/I58),"N/M")</f>
        <v>0.477668433005299</v>
      </c>
      <c r="J163" s="47" t="n">
        <f aca="false">IFERROR(IF(J58=0,"N/M",J20/J58),"N/M")</f>
        <v>0.623453469607316</v>
      </c>
      <c r="K163" s="22" t="n">
        <f aca="false">IFERROR(AVERAGE(D163:J163),"N/M")</f>
        <v>0.632244622361072</v>
      </c>
      <c r="L163" s="82" t="n">
        <f aca="false">IFERROR(J163-D163,"N/M")</f>
        <v>-1.49361970112439</v>
      </c>
      <c r="M163" s="83" t="n">
        <f aca="false">IFERROR(SLOPE(D163:J163,$D$3:$J$3),"N/M")</f>
        <v>-0.179123204049171</v>
      </c>
    </row>
    <row r="164" customFormat="false" ht="15" hidden="false" customHeight="false" outlineLevel="0" collapsed="false">
      <c r="A164" s="18" t="s">
        <v>637</v>
      </c>
      <c r="B164" s="19" t="s">
        <v>577</v>
      </c>
      <c r="D164" s="46" t="n">
        <f aca="false">IFERROR(IF(D9&lt;=0,"N/M",D58/D9),"N/M")</f>
        <v>-0.0136766962439122</v>
      </c>
      <c r="E164" s="46" t="n">
        <f aca="false">IFERROR(IF(E9&lt;=0,"N/M",E58/E9),"N/M")</f>
        <v>0.0223478185645492</v>
      </c>
      <c r="F164" s="46" t="n">
        <f aca="false">IFERROR(IF(F9&lt;=0,"N/M",F58/F9),"N/M")</f>
        <v>0.0186969086610036</v>
      </c>
      <c r="G164" s="46" t="n">
        <f aca="false">IFERROR(IF(G9&lt;=0,"N/M",G58/G9),"N/M")</f>
        <v>0.0141832057404785</v>
      </c>
      <c r="H164" s="46" t="n">
        <f aca="false">IFERROR(IF(H9&lt;=0,"N/M",H58/H9),"N/M")</f>
        <v>0.0158857054439487</v>
      </c>
      <c r="I164" s="46" t="n">
        <f aca="false">IFERROR(IF(I9&lt;=0,"N/M",I58/I9),"N/M")</f>
        <v>0.0302544488468497</v>
      </c>
      <c r="J164" s="46" t="n">
        <f aca="false">IFERROR(IF(J9&lt;=0,"N/M",J58/J9),"N/M")</f>
        <v>0.0418618266978923</v>
      </c>
      <c r="K164" s="25" t="n">
        <f aca="false">IFERROR(AVERAGE(D164:J164),"N/M")</f>
        <v>0.0185076025301157</v>
      </c>
      <c r="L164" s="86" t="n">
        <f aca="false">IFERROR(J164-D164,"N/M")</f>
        <v>0.0555385229418045</v>
      </c>
      <c r="M164" s="87" t="n">
        <f aca="false">IFERROR(SLOPE(D164:J164,$D$3:$J$3),"N/M")</f>
        <v>0.00641491522046285</v>
      </c>
    </row>
    <row r="165" customFormat="false" ht="15" hidden="false" customHeight="false" outlineLevel="0" collapsed="false">
      <c r="A165" s="18" t="s">
        <v>638</v>
      </c>
      <c r="B165" s="19" t="s">
        <v>626</v>
      </c>
      <c r="D165" s="47" t="n">
        <f aca="false">IFERROR(D113,"N/M")</f>
        <v>3.30518191841235</v>
      </c>
      <c r="E165" s="47" t="n">
        <f aca="false">IFERROR(E113,"N/M")</f>
        <v>3.72932573394989</v>
      </c>
      <c r="F165" s="47" t="n">
        <f aca="false">IFERROR(F113,"N/M")</f>
        <v>4.38812566048612</v>
      </c>
      <c r="G165" s="47" t="n">
        <f aca="false">IFERROR(G113,"N/M")</f>
        <v>3.15829764656839</v>
      </c>
      <c r="H165" s="47" t="n">
        <f aca="false">IFERROR(H113,"N/M")</f>
        <v>2.39054312311202</v>
      </c>
      <c r="I165" s="47" t="n">
        <f aca="false">IFERROR(I113,"N/M")</f>
        <v>2.47389444460183</v>
      </c>
      <c r="J165" s="47" t="n">
        <f aca="false">IFERROR(J113,"N/M")</f>
        <v>2.35886539891639</v>
      </c>
      <c r="K165" s="22" t="n">
        <f aca="false">IFERROR(AVERAGE(D165:J165),"N/M")</f>
        <v>3.11489056086385</v>
      </c>
      <c r="L165" s="82" t="n">
        <f aca="false">IFERROR(J165-D165,"N/M")</f>
        <v>-0.946316519495956</v>
      </c>
      <c r="M165" s="83" t="n">
        <f aca="false">IFERROR(SLOPE(D165:J165,$D$3:$J$3),"N/M")</f>
        <v>-0.262406952662789</v>
      </c>
    </row>
    <row r="166" customFormat="false" ht="15" hidden="false" customHeight="false" outlineLevel="0" collapsed="false">
      <c r="A166" s="18" t="s">
        <v>639</v>
      </c>
      <c r="B166" s="19" t="s">
        <v>640</v>
      </c>
      <c r="D166" s="47" t="n">
        <f aca="false">IFERROR(D160,"N/M")</f>
        <v>4.20979345555814</v>
      </c>
      <c r="E166" s="47" t="n">
        <f aca="false">IFERROR(E160,"N/M")</f>
        <v>4.79453467388502</v>
      </c>
      <c r="F166" s="47" t="n">
        <f aca="false">IFERROR(F160,"N/M")</f>
        <v>4.53551198257081</v>
      </c>
      <c r="G166" s="47" t="n">
        <f aca="false">IFERROR(G160,"N/M")</f>
        <v>3.04664588384713</v>
      </c>
      <c r="H166" s="47" t="n">
        <f aca="false">IFERROR(H160,"N/M")</f>
        <v>2.60118665811418</v>
      </c>
      <c r="I166" s="47" t="n">
        <f aca="false">IFERROR(I160,"N/M")</f>
        <v>2.74593543368339</v>
      </c>
      <c r="J166" s="47" t="n">
        <f aca="false">IFERROR(J160,"N/M")</f>
        <v>2.71150799366268</v>
      </c>
      <c r="K166" s="22" t="n">
        <f aca="false">IFERROR(AVERAGE(D166:J166),"N/M")</f>
        <v>3.52073086876019</v>
      </c>
      <c r="L166" s="82" t="n">
        <f aca="false">IFERROR(J166-D166,"N/M")</f>
        <v>-1.49828546189545</v>
      </c>
      <c r="M166" s="83" t="n">
        <f aca="false">IFERROR(SLOPE(D166:J166,$D$3:$J$3),"N/M")</f>
        <v>-0.375942149662366</v>
      </c>
    </row>
    <row r="167" customFormat="false" ht="15" hidden="false" customHeight="false" outlineLevel="0" collapsed="false">
      <c r="A167" s="18" t="s">
        <v>641</v>
      </c>
      <c r="B167" s="19" t="s">
        <v>642</v>
      </c>
      <c r="D167" s="46" t="n">
        <f aca="false">IFERROR(((((D162*D163)*D164)*D165)*D166),"N/M")</f>
        <v>-0.397772104896728</v>
      </c>
      <c r="E167" s="46" t="n">
        <f aca="false">IFERROR(((((E162*E163)*E164)*E165)*E166),"N/M")</f>
        <v>0.129414797628255</v>
      </c>
      <c r="F167" s="46" t="n">
        <f aca="false">IFERROR(((((F162*F163)*F164)*F165)*F166),"N/M")</f>
        <v>0.122875816993464</v>
      </c>
      <c r="G167" s="46" t="n">
        <f aca="false">IFERROR(((((G162*G163)*G164)*G165)*G166),"N/M")</f>
        <v>0.00138552130239002</v>
      </c>
      <c r="H167" s="46" t="n">
        <f aca="false">IFERROR(((((H162*H163)*H164)*H165)*H166),"N/M")</f>
        <v>0.00416933932007697</v>
      </c>
      <c r="I167" s="46" t="n">
        <f aca="false">IFERROR(((((I162*I163)*I164)*I165)*I166),"N/M")</f>
        <v>0.0580318942045897</v>
      </c>
      <c r="J167" s="46" t="n">
        <f aca="false">IFERROR(((((J162*J163)*J164)*J165)*J166),"N/M")</f>
        <v>0.0979403715972922</v>
      </c>
      <c r="K167" s="25" t="n">
        <f aca="false">IFERROR(AVERAGE(D167:J167),"N/M")</f>
        <v>0.00229223373561997</v>
      </c>
      <c r="L167" s="86" t="n">
        <f aca="false">IFERROR(J167-D167,"N/M")</f>
        <v>0.49571247649402</v>
      </c>
      <c r="M167" s="87" t="n">
        <f aca="false">IFERROR(SLOPE(D167:J167,$D$3:$J$3),"N/M")</f>
        <v>0.0437737551771908</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str">
        <f aca="false">IFERROR(IF((1-(D135*D149))&lt;=0,"N/M",(D135*D149)/(1-(D135*D149))),"N/M")</f>
        <v>N/M</v>
      </c>
      <c r="E170" s="46" t="n">
        <f aca="false">IFERROR(IF((1-(E135*E149))&lt;=0,"N/M",(E135*E149)/(1-(E135*E149))),"N/M")</f>
        <v>0.0277409372236958</v>
      </c>
      <c r="F170" s="46" t="n">
        <f aca="false">IFERROR(IF((1-(F135*F149))&lt;=0,"N/M",(F135*F149)/(1-(F135*F149))),"N/M")</f>
        <v>0.0266298451523819</v>
      </c>
      <c r="G170" s="46" t="n">
        <f aca="false">IFERROR(IF((1-(G135*G149))&lt;=0,"N/M",(G135*G149)/(1-(G135*G149))),"N/M")</f>
        <v>0.000454976303317536</v>
      </c>
      <c r="H170" s="46" t="n">
        <f aca="false">IFERROR(IF((1-(H135*H149))&lt;=0,"N/M",(H135*H149)/(1-(H135*H149))),"N/M")</f>
        <v>0.00160543377585675</v>
      </c>
      <c r="I170" s="46" t="n">
        <f aca="false">IFERROR(IF((1-(I135*I149))&lt;=0,"N/M",(I135*I149)/(1-(I135*I149))),"N/M")</f>
        <v>0.0215900211269644</v>
      </c>
      <c r="J170" s="46" t="n">
        <f aca="false">IFERROR(IF((1-(J135*J149))&lt;=0,"N/M",(J135*J149)/(1-(J135*J149))),"N/M")</f>
        <v>0.0374738234321614</v>
      </c>
      <c r="K170" s="25" t="n">
        <f aca="false">IFERROR(AVERAGE(D170:J170),"N/M")</f>
        <v>0.0192491728357296</v>
      </c>
      <c r="L170" s="86" t="str">
        <f aca="false">IFERROR(J170-D170,"N/M")</f>
        <v>N/M</v>
      </c>
      <c r="M170" s="87" t="n">
        <f aca="false">IFERROR(SLOPE(D170:J170,$D$3:$J$3),"N/M")</f>
        <v>0.000991297612531836</v>
      </c>
    </row>
    <row r="171" customFormat="false" ht="15" hidden="false" customHeight="false" outlineLevel="0" collapsed="false">
      <c r="A171" s="18" t="s">
        <v>645</v>
      </c>
      <c r="B171" s="19" t="s">
        <v>646</v>
      </c>
      <c r="D171" s="46" t="str">
        <f aca="false">IFERROR(IF((1-(D139*D149))&lt;=0,"N/M",(D139*D149)/(1-(D139*D149))),"N/M")</f>
        <v>N/M</v>
      </c>
      <c r="E171" s="46" t="n">
        <f aca="false">IFERROR(IF((1-(E139*E149))&lt;=0,"N/M",(E139*E149)/(1-(E139*E149))),"N/M")</f>
        <v>0.148652650281315</v>
      </c>
      <c r="F171" s="46" t="n">
        <f aca="false">IFERROR(IF((1-(F139*F149))&lt;=0,"N/M",(F139*F149)/(1-(F139*F149))),"N/M")</f>
        <v>0.133333333333333</v>
      </c>
      <c r="G171" s="46" t="n">
        <f aca="false">IFERROR(IF((1-(G139*G149))&lt;=0,"N/M",(G139*G149)/(1-(G139*G149))),"N/M")</f>
        <v>0.00138744363510232</v>
      </c>
      <c r="H171" s="46" t="n">
        <f aca="false">IFERROR(IF((1-(H139*H149))&lt;=0,"N/M",(H139*H149)/(1-(H139*H149))),"N/M")</f>
        <v>0.00418679549114332</v>
      </c>
      <c r="I171" s="46" t="n">
        <f aca="false">IFERROR(IF((1-(I139*I149))&lt;=0,"N/M",(I139*I149)/(1-(I139*I149))),"N/M")</f>
        <v>0.0616070691221406</v>
      </c>
      <c r="J171" s="46" t="n">
        <f aca="false">IFERROR(IF((1-(J139*J149))&lt;=0,"N/M",(J139*J149)/(1-(J139*J149))),"N/M")</f>
        <v>0.108574165735271</v>
      </c>
      <c r="K171" s="25" t="n">
        <f aca="false">IFERROR(AVERAGE(D171:J171),"N/M")</f>
        <v>0.0762902429330508</v>
      </c>
      <c r="L171" s="86" t="str">
        <f aca="false">IFERROR(J171-D171,"N/M")</f>
        <v>N/M</v>
      </c>
      <c r="M171" s="87" t="n">
        <f aca="false">IFERROR(SLOPE(D171:J171,$D$3:$J$3),"N/M")</f>
        <v>-0.0117934818145074</v>
      </c>
    </row>
    <row r="172" customFormat="false" ht="15" hidden="false" customHeight="false" outlineLevel="0" collapsed="false">
      <c r="A172" s="18" t="s">
        <v>647</v>
      </c>
      <c r="B172" s="19" t="s">
        <v>648</v>
      </c>
      <c r="D172" s="46" t="n">
        <f aca="false">IFERROR((IF(C9&lt;=0,"N/M",D9/C9)-1),"N/M")</f>
        <v>-0.111815596112823</v>
      </c>
      <c r="E172" s="46" t="n">
        <f aca="false">IFERROR((IF(D9&lt;=0,"N/M",E9/D9)-1),"N/M")</f>
        <v>0.156814997664954</v>
      </c>
      <c r="F172" s="46" t="n">
        <f aca="false">IFERROR((IF(E9&lt;=0,"N/M",F9/E9)-1),"N/M")</f>
        <v>0.317108336457222</v>
      </c>
      <c r="G172" s="46" t="n">
        <f aca="false">IFERROR((IF(F9&lt;=0,"N/M",G9/F9)-1),"N/M")</f>
        <v>-0.0877265960241702</v>
      </c>
      <c r="H172" s="46" t="n">
        <f aca="false">IFERROR((IF(G9&lt;=0,"N/M",H9/G9)-1),"N/M")</f>
        <v>-0.0694041133696514</v>
      </c>
      <c r="I172" s="46" t="n">
        <f aca="false">IFERROR((IF(H9&lt;=0,"N/M",I9/H9)-1),"N/M")</f>
        <v>0.126002527271321</v>
      </c>
      <c r="J172" s="46" t="n">
        <f aca="false">IFERROR((IF(I9&lt;=0,"N/M",J9/I9)-1),"N/M")</f>
        <v>0.0170625014314179</v>
      </c>
      <c r="K172" s="25" t="n">
        <f aca="false">IFERROR(AVERAGE(D172:J172),"N/M")</f>
        <v>0.0497202939026101</v>
      </c>
      <c r="L172" s="86" t="n">
        <f aca="false">IFERROR(J172-D172,"N/M")</f>
        <v>0.128878097544241</v>
      </c>
      <c r="M172" s="87" t="n">
        <f aca="false">IFERROR(SLOPE(D172:J172,$D$3:$J$3),"N/M")</f>
        <v>-0.00219653921362207</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0.949162719327507</v>
      </c>
      <c r="E176" s="46" t="n">
        <f aca="false">IFERROR(IF(E9&lt;=0,"N/M",E52/E9),"N/M")</f>
        <v>0.943193287003662</v>
      </c>
      <c r="F176" s="46" t="n">
        <f aca="false">IFERROR(IF(F9&lt;=0,"N/M",F52/F9),"N/M")</f>
        <v>0.937166126631054</v>
      </c>
      <c r="G176" s="46" t="n">
        <f aca="false">IFERROR(IF(G9&lt;=0,"N/M",G52/G9),"N/M")</f>
        <v>0.926300127192877</v>
      </c>
      <c r="H176" s="46" t="n">
        <f aca="false">IFERROR(IF(H9&lt;=0,"N/M",H52/H9),"N/M")</f>
        <v>0.909843463909018</v>
      </c>
      <c r="I176" s="46" t="n">
        <f aca="false">IFERROR(IF(I9&lt;=0,"N/M",I52/I9),"N/M")</f>
        <v>0.907427341227126</v>
      </c>
      <c r="J176" s="46" t="n">
        <f aca="false">IFERROR(IF(J9&lt;=0,"N/M",J52/J9),"N/M")</f>
        <v>0.901143938029184</v>
      </c>
      <c r="K176" s="25" t="n">
        <f aca="false">IFERROR(AVERAGE(D176:J176),"N/M")</f>
        <v>0.924891000474347</v>
      </c>
      <c r="L176" s="86" t="n">
        <f aca="false">IFERROR(J176-D176,"N/M")</f>
        <v>-0.0480187812983229</v>
      </c>
      <c r="M176" s="87" t="n">
        <f aca="false">IFERROR(SLOPE(D176:J176,$D$3:$J$3),"N/M")</f>
        <v>-0.00867538922035987</v>
      </c>
    </row>
    <row r="177" customFormat="false" ht="15" hidden="false" customHeight="false" outlineLevel="0" collapsed="false">
      <c r="A177" s="18" t="s">
        <v>407</v>
      </c>
      <c r="B177" s="19" t="s">
        <v>587</v>
      </c>
      <c r="D177" s="46" t="n">
        <f aca="false">IFERROR(IF(D9&lt;=0,"N/M",D14/D9),"N/M")</f>
        <v>0.0389619053972914</v>
      </c>
      <c r="E177" s="46" t="n">
        <f aca="false">IFERROR(IF(E9&lt;=0,"N/M",E14/E9),"N/M")</f>
        <v>0.025462095216125</v>
      </c>
      <c r="F177" s="46" t="n">
        <f aca="false">IFERROR(IF(F9&lt;=0,"N/M",F14/F9),"N/M")</f>
        <v>0.0269944828794115</v>
      </c>
      <c r="G177" s="46" t="n">
        <f aca="false">IFERROR(IF(G9&lt;=0,"N/M",G14/G9),"N/M")</f>
        <v>0.0410377018886942</v>
      </c>
      <c r="H177" s="46" t="n">
        <f aca="false">IFERROR(IF(H9&lt;=0,"N/M",H14/H9),"N/M")</f>
        <v>0.0578951440286768</v>
      </c>
      <c r="I177" s="46" t="n">
        <f aca="false">IFERROR(IF(I9&lt;=0,"N/M",I14/I9),"N/M")</f>
        <v>0.0459656917756453</v>
      </c>
      <c r="J177" s="46" t="n">
        <f aca="false">IFERROR(IF(J9&lt;=0,"N/M",J14/J9),"N/M")</f>
        <v>0.0464330751215997</v>
      </c>
      <c r="K177" s="25" t="n">
        <f aca="false">IFERROR(AVERAGE(D177:J177),"N/M")</f>
        <v>0.0403928709010634</v>
      </c>
      <c r="L177" s="86" t="n">
        <f aca="false">IFERROR(J177-D177,"N/M")</f>
        <v>0.00747116972430836</v>
      </c>
      <c r="M177" s="87" t="n">
        <f aca="false">IFERROR(SLOPE(D177:J177,$D$3:$J$3),"N/M")</f>
        <v>0.0033686201229011</v>
      </c>
    </row>
    <row r="178" customFormat="false" ht="15" hidden="false" customHeight="false" outlineLevel="0" collapsed="false">
      <c r="A178" s="18" t="s">
        <v>654</v>
      </c>
      <c r="B178" s="19" t="s">
        <v>655</v>
      </c>
      <c r="D178" s="46" t="n">
        <f aca="false">IFERROR(IF(D9&lt;=0,"N/M",D15/D9),"N/M")</f>
        <v>0.0156448061912069</v>
      </c>
      <c r="E178" s="46" t="n">
        <f aca="false">IFERROR(IF(E9&lt;=0,"N/M",E15/E9),"N/M")</f>
        <v>0.00657458404221575</v>
      </c>
      <c r="F178" s="46" t="n">
        <f aca="false">IFERROR(IF(F9&lt;=0,"N/M",F15/F9),"N/M")</f>
        <v>0.0122164813030913</v>
      </c>
      <c r="G178" s="46" t="n">
        <f aca="false">IFERROR(IF(G9&lt;=0,"N/M",G15/G9),"N/M")</f>
        <v>0.0125752957834361</v>
      </c>
      <c r="H178" s="46" t="n">
        <f aca="false">IFERROR(IF(H9&lt;=0,"N/M",H15/H9),"N/M")</f>
        <v>0.0123784717745055</v>
      </c>
      <c r="I178" s="46" t="n">
        <f aca="false">IFERROR(IF(I9&lt;=0,"N/M",I15/I9),"N/M")</f>
        <v>0.0100084739939995</v>
      </c>
      <c r="J178" s="46" t="n">
        <f aca="false">IFERROR(IF(J9&lt;=0,"N/M",J15/J9),"N/M")</f>
        <v>0.0124301927580616</v>
      </c>
      <c r="K178" s="25" t="n">
        <f aca="false">IFERROR(AVERAGE(D178:J178),"N/M")</f>
        <v>0.0116897579780738</v>
      </c>
      <c r="L178" s="86" t="n">
        <f aca="false">IFERROR(J178-D178,"N/M")</f>
        <v>-0.00321461343314528</v>
      </c>
      <c r="M178" s="87" t="n">
        <f aca="false">IFERROR(SLOPE(D178:J178,$D$3:$J$3),"N/M")</f>
        <v>-9.33596401590777E-005</v>
      </c>
    </row>
    <row r="179" customFormat="false" ht="15" hidden="false" customHeight="false" outlineLevel="0" collapsed="false">
      <c r="A179" s="18" t="s">
        <v>411</v>
      </c>
      <c r="B179" s="19" t="s">
        <v>656</v>
      </c>
      <c r="D179" s="46" t="n">
        <f aca="false">IFERROR(IF(D9&lt;=0,"N/M",D16/D9),"N/M")</f>
        <v>0.00793915538061245</v>
      </c>
      <c r="E179" s="46" t="n">
        <f aca="false">IFERROR(IF(E9&lt;=0,"N/M",E16/E9),"N/M")</f>
        <v>-0.00207618443438392</v>
      </c>
      <c r="F179" s="46" t="n">
        <f aca="false">IFERROR(IF(F9&lt;=0,"N/M",F16/F9),"N/M")</f>
        <v>2.18933356686225E-005</v>
      </c>
      <c r="G179" s="46" t="n">
        <f aca="false">IFERROR(IF(G9&lt;=0,"N/M",G16/G9),"N/M")</f>
        <v>0.000887950274784612</v>
      </c>
      <c r="H179" s="46" t="n">
        <f aca="false">IFERROR(IF(H9&lt;=0,"N/M",H16/H9),"N/M")</f>
        <v>0.00464192691543957</v>
      </c>
      <c r="I179" s="46" t="n">
        <f aca="false">IFERROR(IF(I9&lt;=0,"N/M",I16/I9),"N/M")</f>
        <v>0.00391635938895633</v>
      </c>
      <c r="J179" s="46" t="n">
        <f aca="false">IFERROR(IF(J9&lt;=0,"N/M",J16/J9),"N/M")</f>
        <v>0.0026796973518285</v>
      </c>
      <c r="K179" s="25" t="n">
        <f aca="false">IFERROR(AVERAGE(D179:J179),"N/M")</f>
        <v>0.00257297117327231</v>
      </c>
      <c r="L179" s="86" t="n">
        <f aca="false">IFERROR(J179-D179,"N/M")</f>
        <v>-0.00525945802878395</v>
      </c>
      <c r="M179" s="87" t="n">
        <f aca="false">IFERROR(SLOPE(D179:J179,$D$3:$J$3),"N/M")</f>
        <v>2.95266835749851E-005</v>
      </c>
    </row>
    <row r="180" customFormat="false" ht="15" hidden="false" customHeight="false" outlineLevel="0" collapsed="false">
      <c r="A180" s="18" t="s">
        <v>657</v>
      </c>
      <c r="B180" s="19" t="s">
        <v>658</v>
      </c>
      <c r="D180" s="46" t="n">
        <f aca="false">IFERROR(IF(D9&lt;=0,"N/M",D56/D9),"N/M")</f>
        <v>-0.0117085862966177</v>
      </c>
      <c r="E180" s="46" t="n">
        <f aca="false">IFERROR(IF(E9&lt;=0,"N/M",E56/E9),"N/M")</f>
        <v>0.0268462181723812</v>
      </c>
      <c r="F180" s="46" t="n">
        <f aca="false">IFERROR(IF(F9&lt;=0,"N/M",F56/F9),"N/M")</f>
        <v>0.023601015850775</v>
      </c>
      <c r="G180" s="46" t="n">
        <f aca="false">IFERROR(IF(G9&lt;=0,"N/M",G56/G9),"N/M")</f>
        <v>0.019198924860208</v>
      </c>
      <c r="H180" s="46" t="n">
        <f aca="false">IFERROR(IF(H9&lt;=0,"N/M",H56/H9),"N/M")</f>
        <v>0.0152409933723598</v>
      </c>
      <c r="I180" s="46" t="n">
        <f aca="false">IFERROR(IF(I9&lt;=0,"N/M",I56/I9),"N/M")</f>
        <v>0.032682133614273</v>
      </c>
      <c r="J180" s="46" t="n">
        <f aca="false">IFERROR(IF(J9&lt;=0,"N/M",J56/J9),"N/M")</f>
        <v>0.0373130967393262</v>
      </c>
      <c r="K180" s="25" t="n">
        <f aca="false">IFERROR(AVERAGE(D180:J180),"N/M")</f>
        <v>0.0204533994732436</v>
      </c>
      <c r="L180" s="86" t="n">
        <f aca="false">IFERROR(J180-D180,"N/M")</f>
        <v>0.0490216830359439</v>
      </c>
      <c r="M180" s="87" t="n">
        <f aca="false">IFERROR(SLOPE(D180:J180,$D$3:$J$3),"N/M")</f>
        <v>0.00537060205404287</v>
      </c>
    </row>
    <row r="181" customFormat="false" ht="15" hidden="false" customHeight="false" outlineLevel="0" collapsed="false">
      <c r="A181" s="18" t="s">
        <v>659</v>
      </c>
      <c r="B181" s="19" t="s">
        <v>660</v>
      </c>
      <c r="D181" s="46" t="n">
        <f aca="false">IFERROR(IF(D9&lt;=0,"N/M",D17/D9),"N/M")</f>
        <v>0.00226833010874641</v>
      </c>
      <c r="E181" s="46" t="n">
        <f aca="false">IFERROR(IF(E9&lt;=0,"N/M",E17/E9),"N/M")</f>
        <v>0.00173015369531993</v>
      </c>
      <c r="F181" s="46" t="n">
        <f aca="false">IFERROR(IF(F9&lt;=0,"N/M",F17/F9),"N/M")</f>
        <v>0.00109466678343112</v>
      </c>
      <c r="G181" s="46" t="n">
        <f aca="false">IFERROR(IF(G9&lt;=0,"N/M",G17/G9),"N/M")</f>
        <v>0.0017279032374187</v>
      </c>
      <c r="H181" s="46" t="n">
        <f aca="false">IFERROR(IF(H9&lt;=0,"N/M",H17/H9),"N/M")</f>
        <v>0.00634396678443407</v>
      </c>
      <c r="I181" s="46" t="n">
        <f aca="false">IFERROR(IF(I9&lt;=0,"N/M",I17/I9),"N/M")</f>
        <v>0.00233607402148272</v>
      </c>
      <c r="J181" s="46" t="n">
        <f aca="false">IFERROR(IF(J9&lt;=0,"N/M",J17/J9),"N/M")</f>
        <v>0.00884975680057647</v>
      </c>
      <c r="K181" s="25" t="n">
        <f aca="false">IFERROR(AVERAGE(D181:J181),"N/M")</f>
        <v>0.00347869306162992</v>
      </c>
      <c r="L181" s="86" t="n">
        <f aca="false">IFERROR(J181-D181,"N/M")</f>
        <v>0.00658142669183006</v>
      </c>
      <c r="M181" s="87" t="n">
        <f aca="false">IFERROR(SLOPE(D181:J181,$D$3:$J$3),"N/M")</f>
        <v>0.000935907883172097</v>
      </c>
    </row>
    <row r="182" customFormat="false" ht="15" hidden="false" customHeight="false" outlineLevel="0" collapsed="false">
      <c r="A182" s="18" t="s">
        <v>661</v>
      </c>
      <c r="B182" s="19" t="s">
        <v>662</v>
      </c>
      <c r="D182" s="46" t="n">
        <f aca="false">IFERROR(IF(D9&lt;=0,"N/M",D18/D9),"N/M")</f>
        <v>0.0042364400560411</v>
      </c>
      <c r="E182" s="46" t="n">
        <f aca="false">IFERROR(IF(E9&lt;=0,"N/M",E18/E9),"N/M")</f>
        <v>0.00622855330315176</v>
      </c>
      <c r="F182" s="46" t="n">
        <f aca="false">IFERROR(IF(F9&lt;=0,"N/M",F18/F9),"N/M")</f>
        <v>0.00599877397320256</v>
      </c>
      <c r="G182" s="46" t="n">
        <f aca="false">IFERROR(IF(G9&lt;=0,"N/M",G18/G9),"N/M")</f>
        <v>0.006743622357148</v>
      </c>
      <c r="H182" s="46" t="n">
        <f aca="false">IFERROR(IF(H9&lt;=0,"N/M",H18/H9),"N/M")</f>
        <v>0.00569925471284524</v>
      </c>
      <c r="I182" s="46" t="n">
        <f aca="false">IFERROR(IF(I9&lt;=0,"N/M",I18/I9),"N/M")</f>
        <v>0.00476375878890594</v>
      </c>
      <c r="J182" s="46" t="n">
        <f aca="false">IFERROR(IF(J9&lt;=0,"N/M",J18/J9),"N/M")</f>
        <v>0.00430102684201045</v>
      </c>
      <c r="K182" s="25" t="n">
        <f aca="false">IFERROR(AVERAGE(D182:J182),"N/M")</f>
        <v>0.00542449000475786</v>
      </c>
      <c r="L182" s="86" t="n">
        <f aca="false">IFERROR(J182-D182,"N/M")</f>
        <v>6.45867859693514E-005</v>
      </c>
      <c r="M182" s="87" t="n">
        <f aca="false">IFERROR(SLOPE(D182:J182,$D$3:$J$3),"N/M")</f>
        <v>-0.00010840528324789</v>
      </c>
    </row>
    <row r="183" customFormat="false" ht="15" hidden="false" customHeight="false" outlineLevel="0" collapsed="false">
      <c r="A183" s="18" t="s">
        <v>663</v>
      </c>
      <c r="B183" s="19" t="s">
        <v>591</v>
      </c>
      <c r="D183" s="46" t="n">
        <f aca="false">IFERROR(IF(D9&lt;=0,"N/M",D19/D9),"N/M")</f>
        <v>0.0152778704383214</v>
      </c>
      <c r="E183" s="46" t="n">
        <f aca="false">IFERROR(IF(E9&lt;=0,"N/M",E19/E9),"N/M")</f>
        <v>0.0111883272297356</v>
      </c>
      <c r="F183" s="46" t="n">
        <f aca="false">IFERROR(IF(F9&lt;=0,"N/M",F19/F9),"N/M")</f>
        <v>0.00884490761012348</v>
      </c>
      <c r="G183" s="46" t="n">
        <f aca="false">IFERROR(IF(G9&lt;=0,"N/M",G19/G9),"N/M")</f>
        <v>0.0121193213180062</v>
      </c>
      <c r="H183" s="46" t="n">
        <f aca="false">IFERROR(IF(H9&lt;=0,"N/M",H19/H9),"N/M")</f>
        <v>0.0153183588209506</v>
      </c>
      <c r="I183" s="46" t="n">
        <f aca="false">IFERROR(IF(I9&lt;=0,"N/M",I19/I9),"N/M")</f>
        <v>0.015802853674736</v>
      </c>
      <c r="J183" s="46" t="n">
        <f aca="false">IFERROR(IF(J9&lt;=0,"N/M",J19/J9),"N/M")</f>
        <v>0.0157629255989912</v>
      </c>
      <c r="K183" s="25" t="n">
        <f aca="false">IFERROR(AVERAGE(D183:J183),"N/M")</f>
        <v>0.0134735092415521</v>
      </c>
      <c r="L183" s="86" t="n">
        <f aca="false">IFERROR(J183-D183,"N/M")</f>
        <v>0.000485055160669736</v>
      </c>
      <c r="M183" s="87" t="n">
        <f aca="false">IFERROR(SLOPE(D183:J183,$D$3:$J$3),"N/M")</f>
        <v>0.000612773913672759</v>
      </c>
    </row>
    <row r="184" customFormat="false" ht="15" hidden="false" customHeight="false" outlineLevel="0" collapsed="false">
      <c r="A184" s="18" t="s">
        <v>664</v>
      </c>
      <c r="B184" s="19" t="s">
        <v>665</v>
      </c>
      <c r="D184" s="46" t="n">
        <f aca="false">IFERROR(IF(D9&lt;=0,"N/M",D20/D9),"N/M")</f>
        <v>-0.0289545666822336</v>
      </c>
      <c r="E184" s="46" t="n">
        <f aca="false">IFERROR(IF(E9&lt;=0,"N/M",E20/E9),"N/M")</f>
        <v>0.0111594913348136</v>
      </c>
      <c r="F184" s="46" t="n">
        <f aca="false">IFERROR(IF(F9&lt;=0,"N/M",F20/F9),"N/M")</f>
        <v>0.00985200105088011</v>
      </c>
      <c r="G184" s="46" t="n">
        <f aca="false">IFERROR(IF(G9&lt;=0,"N/M",G20/G9),"N/M")</f>
        <v>0.00206388442247234</v>
      </c>
      <c r="H184" s="46" t="n">
        <f aca="false">IFERROR(IF(H9&lt;=0,"N/M",H20/H9),"N/M")</f>
        <v>0.000567346622998169</v>
      </c>
      <c r="I184" s="46" t="n">
        <f aca="false">IFERROR(IF(I9&lt;=0,"N/M",I20/I9),"N/M")</f>
        <v>0.0144515951721137</v>
      </c>
      <c r="J184" s="46" t="n">
        <f aca="false">IFERROR(IF(J9&lt;=0,"N/M",J20/J9),"N/M")</f>
        <v>0.0260989010989011</v>
      </c>
      <c r="K184" s="25" t="n">
        <f aca="false">IFERROR(AVERAGE(D184:J184),"N/M")</f>
        <v>0.00503409328856362</v>
      </c>
      <c r="L184" s="86" t="n">
        <f aca="false">IFERROR(J184-D184,"N/M")</f>
        <v>0.0550534677811347</v>
      </c>
      <c r="M184" s="87" t="n">
        <f aca="false">IFERROR(SLOPE(D184:J184,$D$3:$J$3),"N/M")</f>
        <v>0.00580214130679009</v>
      </c>
    </row>
    <row r="185" customFormat="false" ht="15" hidden="false" customHeight="false" outlineLevel="0" collapsed="false">
      <c r="A185" s="18" t="s">
        <v>421</v>
      </c>
      <c r="B185" s="19" t="s">
        <v>666</v>
      </c>
      <c r="D185" s="46" t="n">
        <f aca="false">IFERROR(IF(D9&lt;=0,"N/M",D21/D9),"N/M")</f>
        <v>-0.000366935752885449</v>
      </c>
      <c r="E185" s="46" t="n">
        <f aca="false">IFERROR(IF(E9&lt;=0,"N/M",E21/E9),"N/M")</f>
        <v>0.00395051760431385</v>
      </c>
      <c r="F185" s="46" t="n">
        <f aca="false">IFERROR(IF(F9&lt;=0,"N/M",F21/F9),"N/M")</f>
        <v>0.00367808039232858</v>
      </c>
      <c r="G185" s="46" t="n">
        <f aca="false">IFERROR(IF(G9&lt;=0,"N/M",G21/G9),"N/M")</f>
        <v>0.00189589382994552</v>
      </c>
      <c r="H185" s="46" t="n">
        <f aca="false">IFERROR(IF(H9&lt;=0,"N/M",H21/H9),"N/M")</f>
        <v>-0.000103153931454213</v>
      </c>
      <c r="I185" s="46" t="n">
        <f aca="false">IFERROR(IF(I9&lt;=0,"N/M",I21/I9),"N/M")</f>
        <v>0.00590889311316217</v>
      </c>
      <c r="J185" s="46" t="n">
        <f aca="false">IFERROR(IF(J9&lt;=0,"N/M",J21/J9),"N/M")</f>
        <v>0.0107638263375968</v>
      </c>
      <c r="K185" s="25" t="n">
        <f aca="false">IFERROR(AVERAGE(D185:J185),"N/M")</f>
        <v>0.00367530308471533</v>
      </c>
      <c r="L185" s="86" t="n">
        <f aca="false">IFERROR(J185-D185,"N/M")</f>
        <v>0.0111307620904823</v>
      </c>
      <c r="M185" s="87" t="n">
        <f aca="false">IFERROR(SLOPE(D185:J185,$D$3:$J$3),"N/M")</f>
        <v>0.00119742153447717</v>
      </c>
    </row>
    <row r="186" customFormat="false" ht="15" hidden="false" customHeight="false" outlineLevel="0" collapsed="false">
      <c r="A186" s="18" t="s">
        <v>667</v>
      </c>
      <c r="B186" s="19" t="s">
        <v>668</v>
      </c>
      <c r="D186" s="46" t="n">
        <f aca="false">IFERROR(IF(D9&lt;=0,"N/M",D22/D9),"N/M")</f>
        <v>-0.0285876309293482</v>
      </c>
      <c r="E186" s="46" t="n">
        <f aca="false">IFERROR(IF(E9&lt;=0,"N/M",E22/E9),"N/M")</f>
        <v>0.00723780962542172</v>
      </c>
      <c r="F186" s="46" t="n">
        <f aca="false">IFERROR(IF(F9&lt;=0,"N/M",F22/F9),"N/M")</f>
        <v>0.00617392065855154</v>
      </c>
      <c r="G186" s="46" t="n">
        <f aca="false">IFERROR(IF(G9&lt;=0,"N/M",G22/G9),"N/M")</f>
        <v>0.000143991936451559</v>
      </c>
      <c r="H186" s="46" t="n">
        <f aca="false">IFERROR(IF(H9&lt;=0,"N/M",H22/H9),"N/M")</f>
        <v>0.000670500554452382</v>
      </c>
      <c r="I186" s="46" t="n">
        <f aca="false">IFERROR(IF(I9&lt;=0,"N/M",I22/I9),"N/M")</f>
        <v>0.00854270205895152</v>
      </c>
      <c r="J186" s="46" t="n">
        <f aca="false">IFERROR(IF(J9&lt;=0,"N/M",J22/J9),"N/M")</f>
        <v>0.0153125562961629</v>
      </c>
      <c r="K186" s="25" t="n">
        <f aca="false">IFERROR(AVERAGE(D186:J186),"N/M")</f>
        <v>0.00135626431437763</v>
      </c>
      <c r="L186" s="86" t="n">
        <f aca="false">IFERROR(J186-D186,"N/M")</f>
        <v>0.0439001872255111</v>
      </c>
      <c r="M186" s="87" t="n">
        <f aca="false">IFERROR(SLOPE(D186:J186,$D$3:$J$3),"N/M")</f>
        <v>0.00460024737283906</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0.132103405079148</v>
      </c>
      <c r="E189" s="46" t="n">
        <f aca="false">IFERROR(IF(E35&lt;=0,"N/M",E26/E35),"N/M")</f>
        <v>0.118162371396557</v>
      </c>
      <c r="F189" s="46" t="n">
        <f aca="false">IFERROR(IF(F35&lt;=0,"N/M",F26/F35),"N/M")</f>
        <v>0.105444959549132</v>
      </c>
      <c r="G189" s="46" t="n">
        <f aca="false">IFERROR(IF(G35&lt;=0,"N/M",G26/G35),"N/M")</f>
        <v>0.15078642922137</v>
      </c>
      <c r="H189" s="46" t="n">
        <f aca="false">IFERROR(IF(H35&lt;=0,"N/M",H26/H35),"N/M")</f>
        <v>0.136022514071295</v>
      </c>
      <c r="I189" s="46" t="n">
        <f aca="false">IFERROR(IF(I35&lt;=0,"N/M",I26/I35),"N/M")</f>
        <v>0.127172065997917</v>
      </c>
      <c r="J189" s="46" t="n">
        <f aca="false">IFERROR(IF(J35&lt;=0,"N/M",J26/J35),"N/M")</f>
        <v>0.119532175794734</v>
      </c>
      <c r="K189" s="25" t="n">
        <f aca="false">IFERROR(AVERAGE(D189:J189),"N/M")</f>
        <v>0.127031988730022</v>
      </c>
      <c r="L189" s="86" t="n">
        <f aca="false">IFERROR(J189-D189,"N/M")</f>
        <v>-0.0125712292844137</v>
      </c>
      <c r="M189" s="87" t="n">
        <f aca="false">IFERROR(SLOPE(D189:J189,$D$3:$J$3),"N/M")</f>
        <v>0.000388687709701481</v>
      </c>
    </row>
    <row r="190" customFormat="false" ht="15" hidden="false" customHeight="false" outlineLevel="0" collapsed="false">
      <c r="A190" s="18" t="s">
        <v>671</v>
      </c>
      <c r="B190" s="19" t="s">
        <v>672</v>
      </c>
      <c r="D190" s="46" t="n">
        <f aca="false">IFERROR(IF(D35&lt;=0,"N/M",D27/D35),"N/M")</f>
        <v>0.0644573510989637</v>
      </c>
      <c r="E190" s="46" t="n">
        <f aca="false">IFERROR(IF(E35&lt;=0,"N/M",E27/E35),"N/M")</f>
        <v>0.101151064479984</v>
      </c>
      <c r="F190" s="46" t="n">
        <f aca="false">IFERROR(IF(F35&lt;=0,"N/M",F27/F35),"N/M")</f>
        <v>0.116080356331243</v>
      </c>
      <c r="G190" s="46" t="n">
        <f aca="false">IFERROR(IF(G35&lt;=0,"N/M",G27/G35),"N/M")</f>
        <v>0.253737163655271</v>
      </c>
      <c r="H190" s="46" t="n">
        <f aca="false">IFERROR(IF(H35&lt;=0,"N/M",H27/H35),"N/M")</f>
        <v>0.230300187617261</v>
      </c>
      <c r="I190" s="46" t="n">
        <f aca="false">IFERROR(IF(I35&lt;=0,"N/M",I27/I35),"N/M")</f>
        <v>0.234994244367703</v>
      </c>
      <c r="J190" s="46" t="n">
        <f aca="false">IFERROR(IF(J35&lt;=0,"N/M",J27/J35),"N/M")</f>
        <v>0.255500025761245</v>
      </c>
      <c r="K190" s="25" t="n">
        <f aca="false">IFERROR(AVERAGE(D190:J190),"N/M")</f>
        <v>0.179460056187381</v>
      </c>
      <c r="L190" s="86" t="n">
        <f aca="false">IFERROR(J190-D190,"N/M")</f>
        <v>0.191042674662281</v>
      </c>
      <c r="M190" s="87" t="n">
        <f aca="false">IFERROR(SLOPE(D190:J190,$D$3:$J$3),"N/M")</f>
        <v>0.0341083648231536</v>
      </c>
    </row>
    <row r="191" customFormat="false" ht="15" hidden="false" customHeight="false" outlineLevel="0" collapsed="false">
      <c r="A191" s="18" t="s">
        <v>673</v>
      </c>
      <c r="B191" s="19" t="s">
        <v>674</v>
      </c>
      <c r="D191" s="46" t="n">
        <f aca="false">IFERROR(IF(D35&lt;=0,"N/M",D61/D35),"N/M")</f>
        <v>0.196560756178112</v>
      </c>
      <c r="E191" s="46" t="n">
        <f aca="false">IFERROR(IF(E35&lt;=0,"N/M",E61/E35),"N/M")</f>
        <v>0.219313435876541</v>
      </c>
      <c r="F191" s="46" t="n">
        <f aca="false">IFERROR(IF(F35&lt;=0,"N/M",F61/F35),"N/M")</f>
        <v>0.221525315880374</v>
      </c>
      <c r="G191" s="46" t="n">
        <f aca="false">IFERROR(IF(G35&lt;=0,"N/M",G61/G35),"N/M")</f>
        <v>0.404523592876641</v>
      </c>
      <c r="H191" s="46" t="n">
        <f aca="false">IFERROR(IF(H35&lt;=0,"N/M",H61/H35),"N/M")</f>
        <v>0.366322701688555</v>
      </c>
      <c r="I191" s="46" t="n">
        <f aca="false">IFERROR(IF(I35&lt;=0,"N/M",I61/I35),"N/M")</f>
        <v>0.36216631036562</v>
      </c>
      <c r="J191" s="46" t="n">
        <f aca="false">IFERROR(IF(J35&lt;=0,"N/M",J61/J35),"N/M")</f>
        <v>0.375032201555979</v>
      </c>
      <c r="K191" s="25" t="n">
        <f aca="false">IFERROR(AVERAGE(D191:J191),"N/M")</f>
        <v>0.306492044917403</v>
      </c>
      <c r="L191" s="86" t="n">
        <f aca="false">IFERROR(J191-D191,"N/M")</f>
        <v>0.178471445377867</v>
      </c>
      <c r="M191" s="87" t="n">
        <f aca="false">IFERROR(SLOPE(D191:J191,$D$3:$J$3),"N/M")</f>
        <v>0.034497052532855</v>
      </c>
    </row>
    <row r="192" customFormat="false" ht="15" hidden="false" customHeight="false" outlineLevel="0" collapsed="false">
      <c r="A192" s="18" t="s">
        <v>675</v>
      </c>
      <c r="B192" s="19" t="s">
        <v>676</v>
      </c>
      <c r="D192" s="46" t="n">
        <f aca="false">IFERROR(IF(D35&lt;=0,"N/M",D28/D35),"N/M")</f>
        <v>0.4245530121854</v>
      </c>
      <c r="E192" s="46" t="n">
        <f aca="false">IFERROR(IF(E35&lt;=0,"N/M",E28/E35),"N/M")</f>
        <v>0.316491799938882</v>
      </c>
      <c r="F192" s="46" t="n">
        <f aca="false">IFERROR(IF(F35&lt;=0,"N/M",F28/F35),"N/M")</f>
        <v>0.447504772293428</v>
      </c>
      <c r="G192" s="46" t="n">
        <f aca="false">IFERROR(IF(G35&lt;=0,"N/M",G28/G35),"N/M")</f>
        <v>0.395619394254517</v>
      </c>
      <c r="H192" s="46" t="n">
        <f aca="false">IFERROR(IF(H35&lt;=0,"N/M",H28/H35),"N/M")</f>
        <v>0.327157598499062</v>
      </c>
      <c r="I192" s="46" t="n">
        <f aca="false">IFERROR(IF(I35&lt;=0,"N/M",I28/I35),"N/M")</f>
        <v>0.352683220961465</v>
      </c>
      <c r="J192" s="46" t="n">
        <f aca="false">IFERROR(IF(J35&lt;=0,"N/M",J28/J35),"N/M")</f>
        <v>0.381627080220516</v>
      </c>
      <c r="K192" s="25" t="n">
        <f aca="false">IFERROR(AVERAGE(D192:J192),"N/M")</f>
        <v>0.377948125479039</v>
      </c>
      <c r="L192" s="86" t="n">
        <f aca="false">IFERROR(J192-D192,"N/M")</f>
        <v>-0.0429259319648841</v>
      </c>
      <c r="M192" s="87" t="n">
        <f aca="false">IFERROR(SLOPE(D192:J192,$D$3:$J$3),"N/M")</f>
        <v>-0.00631221884442329</v>
      </c>
    </row>
    <row r="193" customFormat="false" ht="15" hidden="false" customHeight="false" outlineLevel="0" collapsed="false">
      <c r="A193" s="18" t="s">
        <v>496</v>
      </c>
      <c r="B193" s="19" t="s">
        <v>677</v>
      </c>
      <c r="D193" s="46" t="n">
        <f aca="false">IFERROR(IF(D35&lt;=0,"N/M",D29/D35),"N/M")</f>
        <v>0.378886231636488</v>
      </c>
      <c r="E193" s="46" t="n">
        <f aca="false">IFERROR(IF(E35&lt;=0,"N/M",E29/E35),"N/M")</f>
        <v>0.464194764184578</v>
      </c>
      <c r="F193" s="46" t="n">
        <f aca="false">IFERROR(IF(F35&lt;=0,"N/M",F29/F35),"N/M")</f>
        <v>0.330969911826198</v>
      </c>
      <c r="G193" s="46" t="n">
        <f aca="false">IFERROR(IF(G35&lt;=0,"N/M",G29/G35),"N/M")</f>
        <v>0.199857012868842</v>
      </c>
      <c r="H193" s="46" t="n">
        <f aca="false">IFERROR(IF(H35&lt;=0,"N/M",H29/H35),"N/M")</f>
        <v>0.306519699812383</v>
      </c>
      <c r="I193" s="46" t="n">
        <f aca="false">IFERROR(IF(I35&lt;=0,"N/M",I29/I35),"N/M")</f>
        <v>0.285150468672916</v>
      </c>
      <c r="J193" s="46" t="n">
        <f aca="false">IFERROR(IF(J35&lt;=0,"N/M",J29/J35),"N/M")</f>
        <v>0.243340718223505</v>
      </c>
      <c r="K193" s="25" t="n">
        <f aca="false">IFERROR(AVERAGE(D193:J193),"N/M")</f>
        <v>0.315559829603558</v>
      </c>
      <c r="L193" s="86" t="n">
        <f aca="false">IFERROR(J193-D193,"N/M")</f>
        <v>-0.135545513412983</v>
      </c>
      <c r="M193" s="87" t="n">
        <f aca="false">IFERROR(SLOPE(D193:J193,$D$3:$J$3),"N/M")</f>
        <v>-0.0281848336884318</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0.163421022662567</v>
      </c>
      <c r="E195" s="46" t="n">
        <f aca="false">IFERROR(IF(E35&lt;=0,"N/M",E31/E35),"N/M")</f>
        <v>0.290822043394112</v>
      </c>
      <c r="F195" s="46" t="n">
        <f aca="false">IFERROR(IF(F35&lt;=0,"N/M",F31/F35),"N/M")</f>
        <v>0.283246977547496</v>
      </c>
      <c r="G195" s="46" t="n">
        <f aca="false">IFERROR(IF(G35&lt;=0,"N/M",G31/G35),"N/M")</f>
        <v>0.198557129858313</v>
      </c>
      <c r="H195" s="46" t="n">
        <f aca="false">IFERROR(IF(H35&lt;=0,"N/M",H31/H35),"N/M")</f>
        <v>0.159240150093809</v>
      </c>
      <c r="I195" s="46" t="n">
        <f aca="false">IFERROR(IF(I35&lt;=0,"N/M",I31/I35),"N/M")</f>
        <v>0.144548593981253</v>
      </c>
      <c r="J195" s="46" t="n">
        <f aca="false">IFERROR(IF(J35&lt;=0,"N/M",J31/J35),"N/M")</f>
        <v>0.125508784584471</v>
      </c>
      <c r="K195" s="25" t="n">
        <f aca="false">IFERROR(AVERAGE(D195:J195),"N/M")</f>
        <v>0.195049243160289</v>
      </c>
      <c r="L195" s="86" t="n">
        <f aca="false">IFERROR(J195-D195,"N/M")</f>
        <v>-0.0379122380780958</v>
      </c>
      <c r="M195" s="87" t="n">
        <f aca="false">IFERROR(SLOPE(D195:J195,$D$3:$J$3),"N/M")</f>
        <v>-0.0189389443040605</v>
      </c>
    </row>
    <row r="196" customFormat="false" ht="15" hidden="false" customHeight="false" outlineLevel="0" collapsed="false">
      <c r="A196" s="18" t="s">
        <v>680</v>
      </c>
      <c r="B196" s="19" t="s">
        <v>681</v>
      </c>
      <c r="D196" s="46" t="n">
        <f aca="false">IFERROR(IF(D35&lt;=0,"N/M",D32/D35),"N/M")</f>
        <v>0.00865505067759936</v>
      </c>
      <c r="E196" s="46" t="n">
        <f aca="false">IFERROR(IF(E35&lt;=0,"N/M",E32/E35),"N/M")</f>
        <v>0</v>
      </c>
      <c r="F196" s="46" t="n">
        <f aca="false">IFERROR(IF(F35&lt;=0,"N/M",F32/F35),"N/M")</f>
        <v>0</v>
      </c>
      <c r="G196" s="46" t="n">
        <f aca="false">IFERROR(IF(G35&lt;=0,"N/M",G32/G35),"N/M")</f>
        <v>0</v>
      </c>
      <c r="H196" s="46" t="n">
        <f aca="false">IFERROR(IF(H35&lt;=0,"N/M",H32/H35),"N/M")</f>
        <v>0</v>
      </c>
      <c r="I196" s="46" t="n">
        <f aca="false">IFERROR(IF(I35&lt;=0,"N/M",I32/I35),"N/M")</f>
        <v>0</v>
      </c>
      <c r="J196" s="46" t="n">
        <f aca="false">IFERROR(IF(J35&lt;=0,"N/M",J32/J35),"N/M")</f>
        <v>0</v>
      </c>
      <c r="K196" s="25" t="n">
        <f aca="false">IFERROR(AVERAGE(D196:J196),"N/M")</f>
        <v>0.00123643581108562</v>
      </c>
      <c r="L196" s="86" t="n">
        <f aca="false">IFERROR(J196-D196,"N/M")</f>
        <v>-0.00865505067759936</v>
      </c>
      <c r="M196" s="87" t="n">
        <f aca="false">IFERROR(SLOPE(D196:J196,$D$3:$J$3),"N/M")</f>
        <v>-0.000927326858314218</v>
      </c>
    </row>
    <row r="197" customFormat="false" ht="15" hidden="false" customHeight="false" outlineLevel="0" collapsed="false">
      <c r="A197" s="18" t="s">
        <v>442</v>
      </c>
      <c r="B197" s="19" t="s">
        <v>682</v>
      </c>
      <c r="D197" s="46" t="n">
        <f aca="false">IFERROR(IF(D35&lt;=0,"N/M",D33/D35),"N/M")</f>
        <v>0.00307482063546293</v>
      </c>
      <c r="E197" s="46" t="n">
        <f aca="false">IFERROR(IF(E35&lt;=0,"N/M",E33/E35),"N/M")</f>
        <v>0.00275033105836814</v>
      </c>
      <c r="F197" s="46" t="n">
        <f aca="false">IFERROR(IF(F35&lt;=0,"N/M",F33/F35),"N/M")</f>
        <v>0.00245432233433324</v>
      </c>
      <c r="G197" s="46" t="n">
        <f aca="false">IFERROR(IF(G35&lt;=0,"N/M",G33/G35),"N/M")</f>
        <v>0.00175484206421422</v>
      </c>
      <c r="H197" s="46" t="n">
        <f aca="false">IFERROR(IF(H35&lt;=0,"N/M",H33/H35),"N/M")</f>
        <v>0.00152439024390244</v>
      </c>
      <c r="I197" s="46" t="n">
        <f aca="false">IFERROR(IF(I35&lt;=0,"N/M",I33/I35),"N/M")</f>
        <v>0.00142520418790769</v>
      </c>
      <c r="J197" s="46" t="n">
        <f aca="false">IFERROR(IF(J35&lt;=0,"N/M",J33/J35),"N/M")</f>
        <v>0.00133958472873409</v>
      </c>
      <c r="K197" s="25" t="n">
        <f aca="false">IFERROR(AVERAGE(D197:J197),"N/M")</f>
        <v>0.00204621360756039</v>
      </c>
      <c r="L197" s="86" t="n">
        <f aca="false">IFERROR(J197-D197,"N/M")</f>
        <v>-0.00173523590672884</v>
      </c>
      <c r="M197" s="87" t="n">
        <f aca="false">IFERROR(SLOPE(D197:J197,$D$3:$J$3),"N/M")</f>
        <v>-0.000313781912554936</v>
      </c>
    </row>
    <row r="198" customFormat="false" ht="15" hidden="false" customHeight="false" outlineLevel="0" collapsed="false">
      <c r="A198" s="18" t="s">
        <v>494</v>
      </c>
      <c r="B198" s="19" t="s">
        <v>683</v>
      </c>
      <c r="D198" s="46" t="n">
        <f aca="false">IFERROR(IF(D35&lt;=0,"N/M",D34/D35),"N/M")</f>
        <v>0.824849106024371</v>
      </c>
      <c r="E198" s="46" t="n">
        <f aca="false">IFERROR(IF(E35&lt;=0,"N/M",E34/E35),"N/M")</f>
        <v>0.70642762554752</v>
      </c>
      <c r="F198" s="46" t="n">
        <f aca="false">IFERROR(IF(F35&lt;=0,"N/M",F34/F35),"N/M")</f>
        <v>0.714298700118171</v>
      </c>
      <c r="G198" s="46" t="n">
        <f aca="false">IFERROR(IF(G35&lt;=0,"N/M",G34/G35),"N/M")</f>
        <v>0.799688028077473</v>
      </c>
      <c r="H198" s="46" t="n">
        <f aca="false">IFERROR(IF(H35&lt;=0,"N/M",H34/H35),"N/M")</f>
        <v>0.839235459662289</v>
      </c>
      <c r="I198" s="46" t="n">
        <f aca="false">IFERROR(IF(I35&lt;=0,"N/M",I34/I35),"N/M")</f>
        <v>0.854026201830839</v>
      </c>
      <c r="J198" s="46" t="n">
        <f aca="false">IFERROR(IF(J35&lt;=0,"N/M",J34/J35),"N/M")</f>
        <v>0.873151630686795</v>
      </c>
      <c r="K198" s="25" t="n">
        <f aca="false">IFERROR(AVERAGE(D198:J198),"N/M")</f>
        <v>0.801668107421065</v>
      </c>
      <c r="L198" s="86" t="n">
        <f aca="false">IFERROR(J198-D198,"N/M")</f>
        <v>0.0483025246624239</v>
      </c>
      <c r="M198" s="87" t="n">
        <f aca="false">IFERROR(SLOPE(D198:J198,$D$3:$J$3),"N/M")</f>
        <v>0.0201800530749296</v>
      </c>
    </row>
    <row r="199" customFormat="false" ht="15" hidden="false" customHeight="false" outlineLevel="0" collapsed="false">
      <c r="A199" s="18" t="s">
        <v>684</v>
      </c>
      <c r="B199" s="19" t="s">
        <v>685</v>
      </c>
      <c r="D199" s="46" t="n">
        <f aca="false">IFERROR(IF(D35&lt;=0,"N/M",D36/D35),"N/M")</f>
        <v>0.587404623619178</v>
      </c>
      <c r="E199" s="46" t="n">
        <f aca="false">IFERROR(IF(E35&lt;=0,"N/M",E36/E35),"N/M")</f>
        <v>0.403280024447387</v>
      </c>
      <c r="F199" s="46" t="n">
        <f aca="false">IFERROR(IF(F35&lt;=0,"N/M",F36/F35),"N/M")</f>
        <v>0.38087446595764</v>
      </c>
      <c r="G199" s="46" t="n">
        <f aca="false">IFERROR(IF(G35&lt;=0,"N/M",G36/G35),"N/M")</f>
        <v>0.29240868321851</v>
      </c>
      <c r="H199" s="46" t="n">
        <f aca="false">IFERROR(IF(H35&lt;=0,"N/M",H36/H35),"N/M")</f>
        <v>0.405546435272045</v>
      </c>
      <c r="I199" s="46" t="n">
        <f aca="false">IFERROR(IF(I35&lt;=0,"N/M",I36/I35),"N/M")</f>
        <v>0.427835334100751</v>
      </c>
      <c r="J199" s="46" t="n">
        <f aca="false">IFERROR(IF(J35&lt;=0,"N/M",J36/J35),"N/M")</f>
        <v>0.500334896182184</v>
      </c>
      <c r="K199" s="25" t="n">
        <f aca="false">IFERROR(AVERAGE(D199:J199),"N/M")</f>
        <v>0.428240637542528</v>
      </c>
      <c r="L199" s="86" t="n">
        <f aca="false">IFERROR(J199-D199,"N/M")</f>
        <v>-0.0870697274369943</v>
      </c>
      <c r="M199" s="87" t="n">
        <f aca="false">IFERROR(SLOPE(D199:J199,$D$3:$J$3),"N/M")</f>
        <v>-0.00669380691749466</v>
      </c>
    </row>
    <row r="200" customFormat="false" ht="15" hidden="false" customHeight="false" outlineLevel="0" collapsed="false">
      <c r="A200" s="18" t="s">
        <v>686</v>
      </c>
      <c r="B200" s="19" t="s">
        <v>687</v>
      </c>
      <c r="D200" s="46" t="n">
        <f aca="false">IFERROR(IF(D35&lt;=0,"N/M",D37/D35),"N/M")</f>
        <v>0</v>
      </c>
      <c r="E200" s="46" t="n">
        <f aca="false">IFERROR(IF(E35&lt;=0,"N/M",E37/E35),"N/M")</f>
        <v>0</v>
      </c>
      <c r="F200" s="46" t="n">
        <f aca="false">IFERROR(IF(F35&lt;=0,"N/M",F37/F35),"N/M")</f>
        <v>0</v>
      </c>
      <c r="G200" s="46" t="n">
        <f aca="false">IFERROR(IF(G35&lt;=0,"N/M",G37/G35),"N/M")</f>
        <v>0</v>
      </c>
      <c r="H200" s="46" t="n">
        <f aca="false">IFERROR(IF(H35&lt;=0,"N/M",H37/H35),"N/M")</f>
        <v>0</v>
      </c>
      <c r="I200" s="46" t="n">
        <f aca="false">IFERROR(IF(I35&lt;=0,"N/M",I37/I35),"N/M")</f>
        <v>0</v>
      </c>
      <c r="J200" s="46" t="n">
        <f aca="false">IFERROR(IF(J35&lt;=0,"N/M",J37/J35),"N/M")</f>
        <v>0</v>
      </c>
      <c r="K200" s="25" t="n">
        <f aca="false">IFERROR(AVERAGE(D200:J200),"N/M")</f>
        <v>0</v>
      </c>
      <c r="L200" s="86" t="n">
        <f aca="false">IFERROR(J200-D200,"N/M")</f>
        <v>0</v>
      </c>
      <c r="M200" s="87" t="n">
        <f aca="false">IFERROR(SLOPE(D200:J200,$D$3:$J$3),"N/M")</f>
        <v>0</v>
      </c>
    </row>
    <row r="201" customFormat="false" ht="15" hidden="false" customHeight="false" outlineLevel="0" collapsed="false">
      <c r="A201" s="18" t="s">
        <v>688</v>
      </c>
      <c r="B201" s="19" t="s">
        <v>689</v>
      </c>
      <c r="D201" s="46" t="n">
        <f aca="false">IFERROR(IF(D35&lt;=0,"N/M",D38/D35),"N/M")</f>
        <v>0.0391754925407129</v>
      </c>
      <c r="E201" s="46" t="n">
        <f aca="false">IFERROR(IF(E35&lt;=0,"N/M",E38/E35),"N/M")</f>
        <v>0.0324946521340532</v>
      </c>
      <c r="F201" s="46" t="n">
        <f aca="false">IFERROR(IF(F35&lt;=0,"N/M",F38/F35),"N/M")</f>
        <v>0.0599036451231706</v>
      </c>
      <c r="G201" s="46" t="n">
        <f aca="false">IFERROR(IF(G35&lt;=0,"N/M",G38/G35),"N/M")</f>
        <v>0.0551800337969583</v>
      </c>
      <c r="H201" s="46" t="n">
        <f aca="false">IFERROR(IF(H35&lt;=0,"N/M",H38/H35),"N/M")</f>
        <v>0.0779784240150094</v>
      </c>
      <c r="I201" s="46" t="n">
        <f aca="false">IFERROR(IF(I35&lt;=0,"N/M",I38/I35),"N/M")</f>
        <v>0.0681357232911254</v>
      </c>
      <c r="J201" s="46" t="n">
        <f aca="false">IFERROR(IF(J35&lt;=0,"N/M",J38/J35),"N/M")</f>
        <v>0.0750682672986759</v>
      </c>
      <c r="K201" s="25" t="n">
        <f aca="false">IFERROR(AVERAGE(D201:J201),"N/M")</f>
        <v>0.0582766054571008</v>
      </c>
      <c r="L201" s="86" t="n">
        <f aca="false">IFERROR(J201-D201,"N/M")</f>
        <v>0.035892774757963</v>
      </c>
      <c r="M201" s="87" t="n">
        <f aca="false">IFERROR(SLOPE(D201:J201,$D$3:$J$3),"N/M")</f>
        <v>0.00703697305285257</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115.681499766495</v>
      </c>
      <c r="F205" s="91" t="n">
        <f aca="false">IFERROR((IF($D9&lt;=0,"N/M",F9/$D9)*100),"N/M")</f>
        <v>152.365067716325</v>
      </c>
      <c r="G205" s="91" t="n">
        <f aca="false">IFERROR((IF($D9&lt;=0,"N/M",G9/$D9)*100),"N/M")</f>
        <v>138.99859897258</v>
      </c>
      <c r="H205" s="91" t="n">
        <f aca="false">IFERROR((IF($D9&lt;=0,"N/M",H9/$D9)*100),"N/M")</f>
        <v>129.351524451264</v>
      </c>
      <c r="I205" s="91" t="n">
        <f aca="false">IFERROR((IF($D9&lt;=0,"N/M",I9/$D9)*100),"N/M")</f>
        <v>145.650143438522</v>
      </c>
      <c r="J205" s="91" t="n">
        <f aca="false">IFERROR((IF($D9&lt;=0,"N/M",J9/$D9)*100),"N/M")</f>
        <v>148.135299219428</v>
      </c>
      <c r="K205" s="92" t="n">
        <f aca="false">IFERROR(AVERAGE(D205:J205),"N/M")</f>
        <v>132.883161937802</v>
      </c>
      <c r="L205" s="85" t="n">
        <f aca="false">IFERROR(J205-D205,"N/M")</f>
        <v>48.1352992194276</v>
      </c>
      <c r="M205" s="85" t="n">
        <f aca="false">IFERROR(SLOPE(D205:J205,$D$3:$J$3),"N/M")</f>
        <v>6.47605863347407</v>
      </c>
    </row>
    <row r="206" customFormat="false" ht="15" hidden="false" customHeight="false" outlineLevel="0" collapsed="false">
      <c r="A206" s="18" t="s">
        <v>657</v>
      </c>
      <c r="B206" s="19" t="s">
        <v>693</v>
      </c>
      <c r="D206" s="91" t="str">
        <f aca="false">IFERROR((IF($D56&lt;=0,"N/M",D56/$D56)*100),"N/M")</f>
        <v>N/M</v>
      </c>
      <c r="E206" s="91" t="str">
        <f aca="false">IFERROR((IF($D56&lt;=0,"N/M",E56/$D56)*100),"N/M")</f>
        <v>N/M</v>
      </c>
      <c r="F206" s="91" t="str">
        <f aca="false">IFERROR((IF($D56&lt;=0,"N/M",F56/$D56)*100),"N/M")</f>
        <v>N/M</v>
      </c>
      <c r="G206" s="91" t="str">
        <f aca="false">IFERROR((IF($D56&lt;=0,"N/M",G56/$D56)*100),"N/M")</f>
        <v>N/M</v>
      </c>
      <c r="H206" s="91" t="str">
        <f aca="false">IFERROR((IF($D56&lt;=0,"N/M",H56/$D56)*100),"N/M")</f>
        <v>N/M</v>
      </c>
      <c r="I206" s="91" t="str">
        <f aca="false">IFERROR((IF($D56&lt;=0,"N/M",I56/$D56)*100),"N/M")</f>
        <v>N/M</v>
      </c>
      <c r="J206" s="91" t="str">
        <f aca="false">IFERROR((IF($D56&lt;=0,"N/M",J56/$D56)*100),"N/M")</f>
        <v>N/M</v>
      </c>
      <c r="K206" s="92" t="str">
        <f aca="false">IFERROR(AVERAGE(D206:J206),"N/M")</f>
        <v>N/M</v>
      </c>
      <c r="L206" s="85" t="str">
        <f aca="false">IFERROR(J206-D206,"N/M")</f>
        <v>N/M</v>
      </c>
      <c r="M206" s="85" t="str">
        <f aca="false">IFERROR(SLOPE(D206:J206,$D$3:$J$3),"N/M")</f>
        <v>N/M</v>
      </c>
    </row>
    <row r="207" customFormat="false" ht="15" hidden="false" customHeight="false" outlineLevel="0" collapsed="false">
      <c r="A207" s="18" t="s">
        <v>667</v>
      </c>
      <c r="B207" s="19" t="s">
        <v>694</v>
      </c>
      <c r="D207" s="91" t="str">
        <f aca="false">IFERROR((IF($D22&lt;=0,"N/M",D22/$D22)*100),"N/M")</f>
        <v>N/M</v>
      </c>
      <c r="E207" s="91" t="str">
        <f aca="false">IFERROR((IF($D22&lt;=0,"N/M",E22/$D22)*100),"N/M")</f>
        <v>N/M</v>
      </c>
      <c r="F207" s="91" t="str">
        <f aca="false">IFERROR((IF($D22&lt;=0,"N/M",F22/$D22)*100),"N/M")</f>
        <v>N/M</v>
      </c>
      <c r="G207" s="91" t="str">
        <f aca="false">IFERROR((IF($D22&lt;=0,"N/M",G22/$D22)*100),"N/M")</f>
        <v>N/M</v>
      </c>
      <c r="H207" s="91" t="str">
        <f aca="false">IFERROR((IF($D22&lt;=0,"N/M",H22/$D22)*100),"N/M")</f>
        <v>N/M</v>
      </c>
      <c r="I207" s="91" t="str">
        <f aca="false">IFERROR((IF($D22&lt;=0,"N/M",I22/$D22)*100),"N/M")</f>
        <v>N/M</v>
      </c>
      <c r="J207" s="91" t="str">
        <f aca="false">IFERROR((IF($D22&lt;=0,"N/M",J22/$D22)*100),"N/M")</f>
        <v>N/M</v>
      </c>
      <c r="K207" s="92" t="str">
        <f aca="false">IFERROR(AVERAGE(D207:J207),"N/M")</f>
        <v>N/M</v>
      </c>
      <c r="L207" s="85" t="str">
        <f aca="false">IFERROR(J207-D207,"N/M")</f>
        <v>N/M</v>
      </c>
      <c r="M207" s="85" t="str">
        <f aca="false">IFERROR(SLOPE(D207:J207,$D$3:$J$3),"N/M")</f>
        <v>N/M</v>
      </c>
    </row>
    <row r="208" customFormat="false" ht="15" hidden="false" customHeight="false" outlineLevel="0" collapsed="false">
      <c r="A208" s="18" t="s">
        <v>446</v>
      </c>
      <c r="B208" s="19" t="s">
        <v>695</v>
      </c>
      <c r="D208" s="91" t="n">
        <f aca="false">IFERROR((IF($D35&lt;=0,"N/M",D35/$D35)*100),"N/M")</f>
        <v>100</v>
      </c>
      <c r="E208" s="91" t="n">
        <f aca="false">IFERROR((IF($D35&lt;=0,"N/M",E35/$D35)*100),"N/M")</f>
        <v>111.798200660517</v>
      </c>
      <c r="F208" s="91" t="n">
        <f aca="false">IFERROR((IF($D35&lt;=0,"N/M",F35/$D35)*100),"N/M")</f>
        <v>125.281858558251</v>
      </c>
      <c r="G208" s="91" t="n">
        <f aca="false">IFERROR((IF($D35&lt;=0,"N/M",G35/$D35)*100),"N/M")</f>
        <v>175.219223323084</v>
      </c>
      <c r="H208" s="91" t="n">
        <f aca="false">IFERROR((IF($D35&lt;=0,"N/M",H35/$D35)*100),"N/M")</f>
        <v>194.237558364651</v>
      </c>
      <c r="I208" s="91" t="n">
        <f aca="false">IFERROR((IF($D35&lt;=0,"N/M",I35/$D35)*100),"N/M")</f>
        <v>207.755380936112</v>
      </c>
      <c r="J208" s="91" t="n">
        <f aca="false">IFERROR((IF($D35&lt;=0,"N/M",J35/$D35)*100),"N/M")</f>
        <v>221.034050791482</v>
      </c>
      <c r="K208" s="92" t="n">
        <f aca="false">IFERROR(AVERAGE(D208:J208),"N/M")</f>
        <v>162.189467519157</v>
      </c>
      <c r="L208" s="85" t="n">
        <f aca="false">IFERROR(J208-D208,"N/M")</f>
        <v>121.034050791482</v>
      </c>
      <c r="M208" s="85" t="n">
        <f aca="false">IFERROR(SLOPE(D208:J208,$D$3:$J$3),"N/M")</f>
        <v>22.284721883287</v>
      </c>
    </row>
    <row r="209" customFormat="false" ht="15" hidden="false" customHeight="false" outlineLevel="0" collapsed="false">
      <c r="A209" s="18" t="s">
        <v>673</v>
      </c>
      <c r="B209" s="19" t="s">
        <v>696</v>
      </c>
      <c r="D209" s="91" t="n">
        <f aca="false">IFERROR((IF($D61&lt;=0,"N/M",D61/$D61)*100),"N/M")</f>
        <v>100</v>
      </c>
      <c r="E209" s="91" t="n">
        <f aca="false">IFERROR((IF($D61&lt;=0,"N/M",E61/$D61)*100),"N/M")</f>
        <v>124.739281575898</v>
      </c>
      <c r="F209" s="91" t="n">
        <f aca="false">IFERROR((IF($D61&lt;=0,"N/M",F61/$D61)*100),"N/M")</f>
        <v>141.193511008111</v>
      </c>
      <c r="G209" s="91" t="n">
        <f aca="false">IFERROR((IF($D61&lt;=0,"N/M",G61/$D61)*100),"N/M")</f>
        <v>360.602549246813</v>
      </c>
      <c r="H209" s="91" t="n">
        <f aca="false">IFERROR((IF($D61&lt;=0,"N/M",H61/$D61)*100),"N/M")</f>
        <v>361.993047508691</v>
      </c>
      <c r="I209" s="91" t="n">
        <f aca="false">IFERROR((IF($D61&lt;=0,"N/M",I61/$D61)*100),"N/M")</f>
        <v>382.79258400927</v>
      </c>
      <c r="J209" s="91" t="n">
        <f aca="false">IFERROR((IF($D61&lt;=0,"N/M",J61/$D61)*100),"N/M")</f>
        <v>421.726535341831</v>
      </c>
      <c r="K209" s="92" t="n">
        <f aca="false">IFERROR(AVERAGE(D209:J209),"N/M")</f>
        <v>270.435358384374</v>
      </c>
      <c r="L209" s="85" t="n">
        <f aca="false">IFERROR(J209-D209,"N/M")</f>
        <v>321.726535341831</v>
      </c>
      <c r="M209" s="85" t="n">
        <f aca="false">IFERROR(SLOPE(D209:J209,$D$3:$J$3),"N/M")</f>
        <v>60.7887766926006</v>
      </c>
    </row>
    <row r="210" customFormat="false" ht="15" hidden="false" customHeight="false" outlineLevel="0" collapsed="false">
      <c r="A210" s="18" t="s">
        <v>675</v>
      </c>
      <c r="B210" s="19" t="s">
        <v>697</v>
      </c>
      <c r="D210" s="91" t="n">
        <f aca="false">IFERROR((IF($D28&lt;=0,"N/M",D28/$D28)*100),"N/M")</f>
        <v>100</v>
      </c>
      <c r="E210" s="91" t="n">
        <f aca="false">IFERROR((IF($D28&lt;=0,"N/M",E28/$D28)*100),"N/M")</f>
        <v>83.3422746781116</v>
      </c>
      <c r="F210" s="91" t="n">
        <f aca="false">IFERROR((IF($D28&lt;=0,"N/M",F28/$D28)*100),"N/M")</f>
        <v>132.054721030043</v>
      </c>
      <c r="G210" s="91" t="n">
        <f aca="false">IFERROR((IF($D28&lt;=0,"N/M",G28/$D28)*100),"N/M")</f>
        <v>163.277896995708</v>
      </c>
      <c r="H210" s="91" t="n">
        <f aca="false">IFERROR((IF($D28&lt;=0,"N/M",H28/$D28)*100),"N/M")</f>
        <v>149.678111587983</v>
      </c>
      <c r="I210" s="91" t="n">
        <f aca="false">IFERROR((IF($D28&lt;=0,"N/M",I28/$D28)*100),"N/M")</f>
        <v>172.585836909871</v>
      </c>
      <c r="J210" s="91" t="n">
        <f aca="false">IFERROR((IF($D28&lt;=0,"N/M",J28/$D28)*100),"N/M")</f>
        <v>198.685622317597</v>
      </c>
      <c r="K210" s="92" t="n">
        <f aca="false">IFERROR(AVERAGE(D210:J210),"N/M")</f>
        <v>142.803494788473</v>
      </c>
      <c r="L210" s="85" t="n">
        <f aca="false">IFERROR(J210-D210,"N/M")</f>
        <v>98.6856223175965</v>
      </c>
      <c r="M210" s="85" t="n">
        <f aca="false">IFERROR(SLOPE(D210:J210,$D$3:$J$3),"N/M")</f>
        <v>17.5774064990803</v>
      </c>
    </row>
    <row r="211" customFormat="false" ht="15" hidden="false" customHeight="false" outlineLevel="0" collapsed="false">
      <c r="A211" s="18" t="s">
        <v>698</v>
      </c>
      <c r="B211" s="19" t="s">
        <v>699</v>
      </c>
      <c r="D211" s="91" t="n">
        <f aca="false">IFERROR((IF($D36&lt;=0,"N/M",D36/$D36)*100),"N/M")</f>
        <v>100</v>
      </c>
      <c r="E211" s="91" t="n">
        <f aca="false">IFERROR((IF($D36&lt;=0,"N/M",E36/$D36)*100),"N/M")</f>
        <v>76.7545560294688</v>
      </c>
      <c r="F211" s="91" t="n">
        <f aca="false">IFERROR((IF($D36&lt;=0,"N/M",F36/$D36)*100),"N/M")</f>
        <v>81.2330360604886</v>
      </c>
      <c r="G211" s="91" t="n">
        <f aca="false">IFERROR((IF($D36&lt;=0,"N/M",G36/$D36)*100),"N/M")</f>
        <v>87.2237301279566</v>
      </c>
      <c r="H211" s="91" t="n">
        <f aca="false">IFERROR((IF($D36&lt;=0,"N/M",H36/$D36)*100),"N/M")</f>
        <v>134.102365257852</v>
      </c>
      <c r="I211" s="91" t="n">
        <f aca="false">IFERROR((IF($D36&lt;=0,"N/M",I36/$D36)*100),"N/M")</f>
        <v>151.318340442032</v>
      </c>
      <c r="J211" s="91" t="n">
        <f aca="false">IFERROR((IF($D36&lt;=0,"N/M",J36/$D36)*100),"N/M")</f>
        <v>188.270647537805</v>
      </c>
      <c r="K211" s="92" t="n">
        <f aca="false">IFERROR(AVERAGE(D211:J211),"N/M")</f>
        <v>116.986096493658</v>
      </c>
      <c r="L211" s="85" t="n">
        <f aca="false">IFERROR(J211-D211,"N/M")</f>
        <v>88.2706475378054</v>
      </c>
      <c r="M211" s="85" t="n">
        <f aca="false">IFERROR(SLOPE(D211:J211,$D$3:$J$3),"N/M")</f>
        <v>16.6717443084252</v>
      </c>
    </row>
    <row r="212" customFormat="false" ht="15" hidden="false" customHeight="false" outlineLevel="0" collapsed="false">
      <c r="A212" s="18" t="s">
        <v>700</v>
      </c>
      <c r="B212" s="19" t="s">
        <v>701</v>
      </c>
      <c r="D212" s="91" t="n">
        <f aca="false">IFERROR((IF($D41&lt;=0,"N/M",D41/$D41)*100),"N/M")</f>
        <v>100</v>
      </c>
      <c r="E212" s="91" t="n">
        <f aca="false">IFERROR((IF($D41&lt;=0,"N/M",E41/$D41)*100),"N/M")</f>
        <v>77.7169663799844</v>
      </c>
      <c r="F212" s="91" t="n">
        <f aca="false">IFERROR((IF($D41&lt;=0,"N/M",F41/$D41)*100),"N/M")</f>
        <v>-82.5645035183737</v>
      </c>
      <c r="G212" s="91" t="n">
        <f aca="false">IFERROR((IF($D41&lt;=0,"N/M",G41/$D41)*100),"N/M")</f>
        <v>-304.222048475371</v>
      </c>
      <c r="H212" s="91" t="n">
        <f aca="false">IFERROR((IF($D41&lt;=0,"N/M",H41/$D41)*100),"N/M")</f>
        <v>132.212666145426</v>
      </c>
      <c r="I212" s="91" t="n">
        <f aca="false">IFERROR((IF($D41&lt;=0,"N/M",I41/$D41)*100),"N/M")</f>
        <v>-6.56763096168882</v>
      </c>
      <c r="J212" s="91" t="n">
        <f aca="false">IFERROR((IF($D41&lt;=0,"N/M",J41/$D41)*100),"N/M")</f>
        <v>-56.6849100860047</v>
      </c>
      <c r="K212" s="92" t="n">
        <f aca="false">IFERROR(AVERAGE(D212:J212),"N/M")</f>
        <v>-20.0156372165755</v>
      </c>
      <c r="L212" s="85" t="n">
        <f aca="false">IFERROR(J212-D212,"N/M")</f>
        <v>-156.684910086005</v>
      </c>
      <c r="M212" s="85" t="n">
        <f aca="false">IFERROR(SLOPE(D212:J212,$D$3:$J$3),"N/M")</f>
        <v>-15.1373841170557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75</v>
      </c>
    </row>
    <row r="2" customFormat="false" ht="15" hidden="false" customHeight="false" outlineLevel="0" collapsed="false">
      <c r="A2" s="6" t="s">
        <v>707</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447.75</v>
      </c>
      <c r="D9" s="93" t="n">
        <v>347.41</v>
      </c>
      <c r="E9" s="93" t="n">
        <v>212.25</v>
      </c>
      <c r="F9" s="93" t="n">
        <v>234.32</v>
      </c>
      <c r="G9" s="93" t="n">
        <v>278.28</v>
      </c>
      <c r="H9" s="93" t="n">
        <v>290.55</v>
      </c>
      <c r="I9" s="93" t="n">
        <v>342.69</v>
      </c>
      <c r="J9" s="93" t="n">
        <v>357.14</v>
      </c>
    </row>
    <row r="10" customFormat="false" ht="15" hidden="false" customHeight="false" outlineLevel="0" collapsed="false">
      <c r="A10" s="18" t="s">
        <v>399</v>
      </c>
      <c r="B10" s="74" t="s">
        <v>400</v>
      </c>
      <c r="C10" s="93" t="n">
        <v>0</v>
      </c>
      <c r="D10" s="93" t="n">
        <v>0</v>
      </c>
      <c r="E10" s="93" t="n">
        <v>0</v>
      </c>
      <c r="F10" s="93" t="n">
        <v>0</v>
      </c>
      <c r="G10" s="93" t="n">
        <v>0</v>
      </c>
      <c r="H10" s="93" t="n">
        <v>0</v>
      </c>
      <c r="I10" s="93" t="n">
        <v>0</v>
      </c>
      <c r="J10" s="93" t="n">
        <v>0</v>
      </c>
    </row>
    <row r="11" customFormat="false" ht="15" hidden="false" customHeight="false" outlineLevel="0" collapsed="false">
      <c r="A11" s="18" t="s">
        <v>401</v>
      </c>
      <c r="B11" s="74" t="s">
        <v>402</v>
      </c>
      <c r="C11" s="93" t="n">
        <v>0</v>
      </c>
      <c r="D11" s="93" t="n">
        <v>0</v>
      </c>
      <c r="E11" s="93" t="n">
        <v>0</v>
      </c>
      <c r="F11" s="93" t="n">
        <v>0</v>
      </c>
      <c r="G11" s="93" t="n">
        <v>0</v>
      </c>
      <c r="H11" s="93" t="n">
        <v>0</v>
      </c>
      <c r="I11" s="93" t="n">
        <v>0</v>
      </c>
      <c r="J11" s="93" t="n">
        <v>0</v>
      </c>
    </row>
    <row r="12" customFormat="false" ht="15" hidden="false" customHeight="false" outlineLevel="0" collapsed="false">
      <c r="A12" s="18" t="s">
        <v>403</v>
      </c>
      <c r="B12" s="74" t="s">
        <v>404</v>
      </c>
      <c r="C12" s="93" t="n">
        <v>11.4</v>
      </c>
      <c r="D12" s="93" t="n">
        <v>3.8</v>
      </c>
      <c r="E12" s="93" t="n">
        <v>0.2</v>
      </c>
      <c r="F12" s="93" t="n">
        <v>0.27</v>
      </c>
      <c r="G12" s="93" t="n">
        <v>0.33</v>
      </c>
      <c r="H12" s="93" t="n">
        <v>0.39</v>
      </c>
      <c r="I12" s="93" t="n">
        <v>0.4</v>
      </c>
      <c r="J12" s="93" t="n">
        <v>0.35</v>
      </c>
    </row>
    <row r="13" customFormat="false" ht="15" hidden="false" customHeight="false" outlineLevel="0" collapsed="false">
      <c r="A13" s="18" t="s">
        <v>405</v>
      </c>
      <c r="B13" s="74" t="s">
        <v>406</v>
      </c>
      <c r="C13" s="93" t="n">
        <v>368.76</v>
      </c>
      <c r="D13" s="93" t="n">
        <v>304.84</v>
      </c>
      <c r="E13" s="93" t="n">
        <v>190</v>
      </c>
      <c r="F13" s="93" t="n">
        <v>210.15</v>
      </c>
      <c r="G13" s="93" t="n">
        <v>249.38</v>
      </c>
      <c r="H13" s="93" t="n">
        <v>261.82</v>
      </c>
      <c r="I13" s="93" t="n">
        <v>313.37</v>
      </c>
      <c r="J13" s="93" t="n">
        <v>323.91</v>
      </c>
    </row>
    <row r="14" customFormat="false" ht="15" hidden="false" customHeight="false" outlineLevel="0" collapsed="false">
      <c r="A14" s="18" t="s">
        <v>407</v>
      </c>
      <c r="B14" s="74" t="s">
        <v>408</v>
      </c>
      <c r="C14" s="93" t="n">
        <v>30.88</v>
      </c>
      <c r="D14" s="93" t="n">
        <v>18.93</v>
      </c>
      <c r="E14" s="93" t="n">
        <v>11.43</v>
      </c>
      <c r="F14" s="93" t="n">
        <v>10.92</v>
      </c>
      <c r="G14" s="93" t="n">
        <v>12.37</v>
      </c>
      <c r="H14" s="93" t="n">
        <v>12.54</v>
      </c>
      <c r="I14" s="93" t="n">
        <v>13.76</v>
      </c>
      <c r="J14" s="93" t="n">
        <v>15.45</v>
      </c>
    </row>
    <row r="15" customFormat="false" ht="15" hidden="false" customHeight="false" outlineLevel="0" collapsed="false">
      <c r="A15" s="18" t="s">
        <v>409</v>
      </c>
      <c r="B15" s="74" t="s">
        <v>410</v>
      </c>
      <c r="C15" s="93" t="n">
        <v>13.35</v>
      </c>
      <c r="D15" s="93" t="n">
        <v>7.49</v>
      </c>
      <c r="E15" s="93" t="n">
        <v>4.13</v>
      </c>
      <c r="F15" s="93" t="n">
        <v>3.92</v>
      </c>
      <c r="G15" s="93" t="n">
        <v>4.69</v>
      </c>
      <c r="H15" s="93" t="n">
        <v>5.49</v>
      </c>
      <c r="I15" s="93" t="n">
        <v>5.18</v>
      </c>
      <c r="J15" s="93" t="n">
        <v>5.66</v>
      </c>
    </row>
    <row r="16" customFormat="false" ht="15" hidden="false" customHeight="false" outlineLevel="0" collapsed="false">
      <c r="A16" s="18" t="s">
        <v>411</v>
      </c>
      <c r="B16" s="74" t="s">
        <v>412</v>
      </c>
      <c r="C16" s="93" t="n">
        <v>8.55</v>
      </c>
      <c r="D16" s="93" t="n">
        <v>4.26</v>
      </c>
      <c r="E16" s="93" t="n">
        <v>1.32</v>
      </c>
      <c r="F16" s="93" t="n">
        <v>1.37</v>
      </c>
      <c r="G16" s="93" t="n">
        <v>1.19</v>
      </c>
      <c r="H16" s="93" t="n">
        <v>1.21</v>
      </c>
      <c r="I16" s="93" t="n">
        <v>1.17</v>
      </c>
      <c r="J16" s="93" t="n">
        <v>1.4</v>
      </c>
    </row>
    <row r="17" customFormat="false" ht="15" hidden="false" customHeight="false" outlineLevel="0" collapsed="false">
      <c r="A17" s="18" t="s">
        <v>413</v>
      </c>
      <c r="B17" s="74" t="s">
        <v>414</v>
      </c>
      <c r="C17" s="93" t="n">
        <v>5.59</v>
      </c>
      <c r="D17" s="93" t="n">
        <v>16.04</v>
      </c>
      <c r="E17" s="93" t="n">
        <v>5.05</v>
      </c>
      <c r="F17" s="93" t="n">
        <v>2.51</v>
      </c>
      <c r="G17" s="93" t="n">
        <v>2.01</v>
      </c>
      <c r="H17" s="93" t="n">
        <v>1.97</v>
      </c>
      <c r="I17" s="93" t="n">
        <v>2.65</v>
      </c>
      <c r="J17" s="93" t="n">
        <v>2.84</v>
      </c>
    </row>
    <row r="18" customFormat="false" ht="15" hidden="false" customHeight="false" outlineLevel="0" collapsed="false">
      <c r="A18" s="18" t="s">
        <v>415</v>
      </c>
      <c r="B18" s="74" t="s">
        <v>416</v>
      </c>
      <c r="C18" s="93" t="n">
        <v>4.63</v>
      </c>
      <c r="D18" s="93" t="n">
        <v>3.91</v>
      </c>
      <c r="E18" s="93" t="n">
        <v>2.35</v>
      </c>
      <c r="F18" s="93" t="n">
        <v>2.63</v>
      </c>
      <c r="G18" s="93" t="n">
        <v>2.92</v>
      </c>
      <c r="H18" s="93" t="n">
        <v>2.8</v>
      </c>
      <c r="I18" s="93" t="n">
        <v>2.61</v>
      </c>
      <c r="J18" s="93" t="n">
        <v>2.55</v>
      </c>
    </row>
    <row r="19" customFormat="false" ht="15" hidden="false" customHeight="false" outlineLevel="0" collapsed="false">
      <c r="A19" s="18" t="s">
        <v>417</v>
      </c>
      <c r="B19" s="74" t="s">
        <v>418</v>
      </c>
      <c r="C19" s="93" t="n">
        <v>8.37</v>
      </c>
      <c r="D19" s="93" t="n">
        <v>7.39</v>
      </c>
      <c r="E19" s="93" t="n">
        <v>7.59</v>
      </c>
      <c r="F19" s="93" t="n">
        <v>5.34</v>
      </c>
      <c r="G19" s="93" t="n">
        <v>4.77</v>
      </c>
      <c r="H19" s="93" t="n">
        <v>2.59</v>
      </c>
      <c r="I19" s="93" t="n">
        <v>1.18</v>
      </c>
      <c r="J19" s="93" t="n">
        <v>0.35</v>
      </c>
    </row>
    <row r="20" customFormat="false" ht="15" hidden="false" customHeight="false" outlineLevel="0" collapsed="false">
      <c r="A20" s="18" t="s">
        <v>419</v>
      </c>
      <c r="B20" s="74" t="s">
        <v>420</v>
      </c>
      <c r="C20" s="93" t="n">
        <v>7.4</v>
      </c>
      <c r="D20" s="93" t="n">
        <v>12.83</v>
      </c>
      <c r="E20" s="93" t="n">
        <v>0.28</v>
      </c>
      <c r="F20" s="93" t="n">
        <v>2.23</v>
      </c>
      <c r="G20" s="93" t="n">
        <v>4.64</v>
      </c>
      <c r="H20" s="93" t="n">
        <v>5.68</v>
      </c>
      <c r="I20" s="93" t="n">
        <v>7.67</v>
      </c>
      <c r="J20" s="93" t="n">
        <v>10.31</v>
      </c>
    </row>
    <row r="21" customFormat="false" ht="15" hidden="false" customHeight="false" outlineLevel="0" collapsed="false">
      <c r="A21" s="18" t="s">
        <v>421</v>
      </c>
      <c r="B21" s="74" t="s">
        <v>422</v>
      </c>
      <c r="C21" s="93" t="n">
        <v>1.08</v>
      </c>
      <c r="D21" s="93" t="n">
        <v>2.1</v>
      </c>
      <c r="E21" s="93" t="n">
        <v>0.22</v>
      </c>
      <c r="F21" s="93" t="n">
        <v>-0.04</v>
      </c>
      <c r="G21" s="93" t="n">
        <v>-0.25</v>
      </c>
      <c r="H21" s="93" t="n">
        <v>0.14</v>
      </c>
      <c r="I21" s="93" t="n">
        <v>0.06</v>
      </c>
      <c r="J21" s="93" t="n">
        <v>0.72</v>
      </c>
    </row>
    <row r="22" customFormat="false" ht="15" hidden="false" customHeight="false" outlineLevel="0" collapsed="false">
      <c r="A22" s="18" t="s">
        <v>423</v>
      </c>
      <c r="B22" s="74" t="s">
        <v>424</v>
      </c>
      <c r="C22" s="93" t="n">
        <v>6.33</v>
      </c>
      <c r="D22" s="93" t="n">
        <v>10.74</v>
      </c>
      <c r="E22" s="93" t="n">
        <v>0.05</v>
      </c>
      <c r="F22" s="93" t="n">
        <v>2.27</v>
      </c>
      <c r="G22" s="93" t="n">
        <v>4.9</v>
      </c>
      <c r="H22" s="93" t="n">
        <v>5.54</v>
      </c>
      <c r="I22" s="93" t="n">
        <v>7.6</v>
      </c>
      <c r="J22" s="93" t="n">
        <v>9.6</v>
      </c>
    </row>
    <row r="23" customFormat="false" ht="15" hidden="false" customHeight="false" outlineLevel="0" collapsed="false">
      <c r="A23" s="18" t="s">
        <v>425</v>
      </c>
      <c r="B23" s="74" t="s">
        <v>426</v>
      </c>
      <c r="C23" s="93" t="n">
        <v>0.83</v>
      </c>
      <c r="D23" s="93" t="n">
        <v>0.17</v>
      </c>
      <c r="E23" s="93" t="n">
        <v>0.26</v>
      </c>
      <c r="F23" s="93" t="n">
        <v>0.36</v>
      </c>
      <c r="G23" s="93" t="n">
        <v>0.65</v>
      </c>
      <c r="H23" s="93" t="n">
        <v>0.65</v>
      </c>
      <c r="I23" s="93" t="n">
        <v>2.09</v>
      </c>
      <c r="J23" s="93" t="n">
        <v>1.39</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16.54</v>
      </c>
      <c r="D26" s="93" t="n">
        <v>16.54</v>
      </c>
      <c r="E26" s="93" t="n">
        <v>26.04</v>
      </c>
      <c r="F26" s="93" t="n">
        <v>36.04</v>
      </c>
      <c r="G26" s="93" t="n">
        <v>64.95</v>
      </c>
      <c r="H26" s="93" t="n">
        <v>64.59</v>
      </c>
      <c r="I26" s="93" t="n">
        <v>69.59</v>
      </c>
      <c r="J26" s="93" t="n">
        <v>69.59</v>
      </c>
    </row>
    <row r="27" customFormat="false" ht="15" hidden="false" customHeight="false" outlineLevel="0" collapsed="false">
      <c r="A27" s="18" t="s">
        <v>430</v>
      </c>
      <c r="B27" s="74" t="s">
        <v>431</v>
      </c>
      <c r="C27" s="93" t="n">
        <v>111.54</v>
      </c>
      <c r="D27" s="93" t="n">
        <v>102.49</v>
      </c>
      <c r="E27" s="93" t="n">
        <v>90.58</v>
      </c>
      <c r="F27" s="93" t="n">
        <v>81.22</v>
      </c>
      <c r="G27" s="93" t="n">
        <v>52.74</v>
      </c>
      <c r="H27" s="93" t="n">
        <v>54.74</v>
      </c>
      <c r="I27" s="93" t="n">
        <v>52.07</v>
      </c>
      <c r="J27" s="93" t="n">
        <v>53.93</v>
      </c>
    </row>
    <row r="28" customFormat="false" ht="15" hidden="false" customHeight="false" outlineLevel="0" collapsed="false">
      <c r="A28" s="18" t="s">
        <v>432</v>
      </c>
      <c r="B28" s="74" t="s">
        <v>433</v>
      </c>
      <c r="C28" s="93" t="n">
        <v>76.34</v>
      </c>
      <c r="D28" s="93" t="n">
        <v>60.72</v>
      </c>
      <c r="E28" s="93" t="n">
        <v>61.72</v>
      </c>
      <c r="F28" s="93" t="n">
        <v>47.98</v>
      </c>
      <c r="G28" s="93" t="n">
        <v>31.26</v>
      </c>
      <c r="H28" s="93" t="n">
        <v>24.12</v>
      </c>
      <c r="I28" s="93" t="n">
        <v>13.07</v>
      </c>
      <c r="J28" s="93" t="n">
        <v>6.26</v>
      </c>
    </row>
    <row r="29" customFormat="false" ht="15" hidden="false" customHeight="false" outlineLevel="0" collapsed="false">
      <c r="A29" s="18" t="s">
        <v>434</v>
      </c>
      <c r="B29" s="74" t="s">
        <v>435</v>
      </c>
      <c r="C29" s="93" t="n">
        <v>22.6</v>
      </c>
      <c r="D29" s="93" t="n">
        <v>25.64</v>
      </c>
      <c r="E29" s="93" t="n">
        <v>11.96</v>
      </c>
      <c r="F29" s="93" t="n">
        <v>13.81</v>
      </c>
      <c r="G29" s="93" t="n">
        <v>23.2</v>
      </c>
      <c r="H29" s="93" t="n">
        <v>48.59</v>
      </c>
      <c r="I29" s="93" t="n">
        <v>33.39</v>
      </c>
      <c r="J29" s="93" t="n">
        <v>33.54</v>
      </c>
    </row>
    <row r="30" customFormat="false" ht="15" hidden="false" customHeight="false" outlineLevel="0" collapsed="false">
      <c r="A30" s="18" t="s">
        <v>436</v>
      </c>
      <c r="B30" s="74" t="s">
        <v>437</v>
      </c>
      <c r="C30" s="93" t="n">
        <v>227.02</v>
      </c>
      <c r="D30" s="93" t="n">
        <v>205.39</v>
      </c>
      <c r="E30" s="93" t="n">
        <v>190.3</v>
      </c>
      <c r="F30" s="93" t="n">
        <v>179.05</v>
      </c>
      <c r="G30" s="93" t="n">
        <v>172.15</v>
      </c>
      <c r="H30" s="93" t="n">
        <v>192.04</v>
      </c>
      <c r="I30" s="93" t="n">
        <v>168.12</v>
      </c>
      <c r="J30" s="93" t="n">
        <v>163.32</v>
      </c>
    </row>
    <row r="31" customFormat="false" ht="15" hidden="false" customHeight="false" outlineLevel="0" collapsed="false">
      <c r="A31" s="18" t="s">
        <v>438</v>
      </c>
      <c r="B31" s="74" t="s">
        <v>439</v>
      </c>
      <c r="C31" s="93" t="n">
        <v>59.74</v>
      </c>
      <c r="D31" s="93" t="n">
        <v>51.1</v>
      </c>
      <c r="E31" s="93" t="n">
        <v>53.13</v>
      </c>
      <c r="F31" s="93" t="n">
        <v>56.91</v>
      </c>
      <c r="G31" s="93" t="n">
        <v>55.08</v>
      </c>
      <c r="H31" s="93" t="n">
        <v>48.5</v>
      </c>
      <c r="I31" s="93" t="n">
        <v>47.13</v>
      </c>
      <c r="J31" s="93" t="n">
        <v>45.85</v>
      </c>
    </row>
    <row r="32" customFormat="false" ht="15" hidden="false" customHeight="false" outlineLevel="0" collapsed="false">
      <c r="A32" s="18" t="s">
        <v>440</v>
      </c>
      <c r="B32" s="74" t="s">
        <v>441</v>
      </c>
      <c r="C32" s="93" t="n">
        <v>1.95</v>
      </c>
      <c r="D32" s="93" t="n">
        <v>2.13</v>
      </c>
      <c r="E32" s="93" t="n">
        <v>0.78</v>
      </c>
      <c r="F32" s="93" t="n">
        <v>0.14</v>
      </c>
      <c r="G32" s="93" t="n">
        <v>0.16</v>
      </c>
      <c r="H32" s="93" t="n">
        <v>0.05</v>
      </c>
      <c r="I32" s="93" t="n">
        <v>0.05</v>
      </c>
      <c r="J32" s="93" t="n">
        <v>0.05</v>
      </c>
    </row>
    <row r="33" customFormat="false" ht="15" hidden="false" customHeight="false" outlineLevel="0" collapsed="false">
      <c r="A33" s="18" t="s">
        <v>442</v>
      </c>
      <c r="B33" s="74" t="s">
        <v>443</v>
      </c>
      <c r="C33" s="93" t="n">
        <v>14.26</v>
      </c>
      <c r="D33" s="93" t="n">
        <v>10.65</v>
      </c>
      <c r="E33" s="93" t="n">
        <v>9.39</v>
      </c>
      <c r="F33" s="93" t="n">
        <v>5.91</v>
      </c>
      <c r="G33" s="93" t="n">
        <v>5.19</v>
      </c>
      <c r="H33" s="93" t="n">
        <v>4.72</v>
      </c>
      <c r="I33" s="93" t="n">
        <v>4.36</v>
      </c>
      <c r="J33" s="93" t="n">
        <v>4.56</v>
      </c>
    </row>
    <row r="34" customFormat="false" ht="15" hidden="false" customHeight="false" outlineLevel="0" collapsed="false">
      <c r="A34" s="18" t="s">
        <v>444</v>
      </c>
      <c r="B34" s="74" t="s">
        <v>445</v>
      </c>
      <c r="C34" s="93" t="n">
        <v>151.07</v>
      </c>
      <c r="D34" s="93" t="n">
        <v>141.51</v>
      </c>
      <c r="E34" s="93" t="n">
        <v>127</v>
      </c>
      <c r="F34" s="93" t="n">
        <v>116.09</v>
      </c>
      <c r="G34" s="93" t="n">
        <v>111.72</v>
      </c>
      <c r="H34" s="93" t="n">
        <v>138.77</v>
      </c>
      <c r="I34" s="93" t="n">
        <v>116.58</v>
      </c>
      <c r="J34" s="93" t="n">
        <v>112.86</v>
      </c>
    </row>
    <row r="35" customFormat="false" ht="15" hidden="false" customHeight="false" outlineLevel="0" collapsed="false">
      <c r="A35" s="18" t="s">
        <v>446</v>
      </c>
      <c r="B35" s="74" t="s">
        <v>447</v>
      </c>
      <c r="C35" s="93" t="n">
        <v>227.02</v>
      </c>
      <c r="D35" s="93" t="n">
        <v>205.39</v>
      </c>
      <c r="E35" s="93" t="n">
        <v>190.3</v>
      </c>
      <c r="F35" s="93" t="n">
        <v>179.05</v>
      </c>
      <c r="G35" s="93" t="n">
        <v>172.15</v>
      </c>
      <c r="H35" s="93" t="n">
        <v>192.04</v>
      </c>
      <c r="I35" s="93" t="n">
        <v>168.12</v>
      </c>
      <c r="J35" s="93" t="n">
        <v>163.32</v>
      </c>
    </row>
    <row r="36" customFormat="false" ht="15" hidden="false" customHeight="false" outlineLevel="0" collapsed="false">
      <c r="A36" s="18" t="s">
        <v>448</v>
      </c>
      <c r="B36" s="74" t="s">
        <v>449</v>
      </c>
      <c r="C36" s="93" t="n">
        <v>99.37</v>
      </c>
      <c r="D36" s="93" t="n">
        <v>88.76</v>
      </c>
      <c r="E36" s="93" t="n">
        <v>71.91</v>
      </c>
      <c r="F36" s="93" t="n">
        <v>64.34</v>
      </c>
      <c r="G36" s="93" t="n">
        <v>73.86</v>
      </c>
      <c r="H36" s="93" t="n">
        <v>90.76</v>
      </c>
      <c r="I36" s="93" t="n">
        <v>67.49</v>
      </c>
      <c r="J36" s="93" t="n">
        <v>72.68</v>
      </c>
    </row>
    <row r="37" customFormat="false" ht="15" hidden="false" customHeight="false" outlineLevel="0" collapsed="false">
      <c r="A37" s="18" t="s">
        <v>450</v>
      </c>
      <c r="B37" s="74" t="s">
        <v>451</v>
      </c>
      <c r="C37" s="93" t="n">
        <v>0</v>
      </c>
      <c r="D37" s="93" t="n">
        <v>0</v>
      </c>
      <c r="E37" s="93" t="n">
        <v>0</v>
      </c>
      <c r="F37" s="93" t="n">
        <v>0</v>
      </c>
      <c r="G37" s="93" t="n">
        <v>0</v>
      </c>
      <c r="H37" s="93" t="n">
        <v>0</v>
      </c>
      <c r="I37" s="93" t="n">
        <v>0</v>
      </c>
      <c r="J37" s="93" t="n">
        <v>0</v>
      </c>
    </row>
    <row r="38" customFormat="false" ht="15" hidden="false" customHeight="false" outlineLevel="0" collapsed="false">
      <c r="A38" s="18" t="s">
        <v>452</v>
      </c>
      <c r="B38" s="74" t="s">
        <v>453</v>
      </c>
      <c r="C38" s="93" t="n">
        <v>12.63</v>
      </c>
      <c r="D38" s="93" t="n">
        <v>12.87</v>
      </c>
      <c r="E38" s="93" t="n">
        <v>23.08</v>
      </c>
      <c r="F38" s="93" t="n">
        <v>21.67</v>
      </c>
      <c r="G38" s="93" t="n">
        <v>24.16</v>
      </c>
      <c r="H38" s="93" t="n">
        <v>32.35</v>
      </c>
      <c r="I38" s="93" t="n">
        <v>28.58</v>
      </c>
      <c r="J38" s="93" t="n">
        <v>26.93</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-2.74</v>
      </c>
      <c r="D41" s="93" t="n">
        <v>-15.65</v>
      </c>
      <c r="E41" s="93" t="n">
        <v>4.55</v>
      </c>
      <c r="F41" s="93" t="n">
        <v>9.15</v>
      </c>
      <c r="G41" s="93" t="n">
        <v>-4.36</v>
      </c>
      <c r="H41" s="93" t="n">
        <v>12.21</v>
      </c>
      <c r="I41" s="93" t="n">
        <v>0.88</v>
      </c>
      <c r="J41" s="93" t="n">
        <v>7.92</v>
      </c>
    </row>
    <row r="42" customFormat="false" ht="15" hidden="false" customHeight="false" outlineLevel="0" collapsed="false">
      <c r="A42" s="18" t="s">
        <v>457</v>
      </c>
      <c r="B42" s="74" t="s">
        <v>458</v>
      </c>
      <c r="C42" s="93" t="n">
        <v>0.63</v>
      </c>
      <c r="D42" s="93" t="n">
        <v>40.11</v>
      </c>
      <c r="E42" s="93" t="n">
        <v>4.26</v>
      </c>
      <c r="F42" s="93" t="n">
        <v>-0.53</v>
      </c>
      <c r="G42" s="93" t="n">
        <v>4.7</v>
      </c>
      <c r="H42" s="93" t="n">
        <v>8.72</v>
      </c>
      <c r="I42" s="93" t="n">
        <v>0.55</v>
      </c>
      <c r="J42" s="93" t="n">
        <v>-0.6</v>
      </c>
    </row>
    <row r="43" customFormat="false" ht="15" hidden="false" customHeight="false" outlineLevel="0" collapsed="false">
      <c r="A43" s="18" t="s">
        <v>459</v>
      </c>
      <c r="B43" s="74" t="s">
        <v>460</v>
      </c>
      <c r="C43" s="93" t="n">
        <v>-7.36</v>
      </c>
      <c r="D43" s="93" t="n">
        <v>-17.51</v>
      </c>
      <c r="E43" s="93" t="n">
        <v>3.12</v>
      </c>
      <c r="F43" s="93" t="n">
        <v>-4.2</v>
      </c>
      <c r="G43" s="93" t="n">
        <v>23.25</v>
      </c>
      <c r="H43" s="93" t="n">
        <v>-10.26</v>
      </c>
      <c r="I43" s="93" t="n">
        <v>-4.79</v>
      </c>
      <c r="J43" s="93" t="n">
        <v>-2.56</v>
      </c>
    </row>
    <row r="44" customFormat="false" ht="15" hidden="false" customHeight="false" outlineLevel="0" collapsed="false">
      <c r="A44" s="18" t="s">
        <v>461</v>
      </c>
      <c r="B44" s="74" t="s">
        <v>462</v>
      </c>
      <c r="C44" s="93" t="n">
        <v>-9.47</v>
      </c>
      <c r="D44" s="93" t="n">
        <v>6.94</v>
      </c>
      <c r="E44" s="93" t="n">
        <v>11.92</v>
      </c>
      <c r="F44" s="93" t="n">
        <v>4.42</v>
      </c>
      <c r="G44" s="93" t="n">
        <v>23.59</v>
      </c>
      <c r="H44" s="93" t="n">
        <v>10.66</v>
      </c>
      <c r="I44" s="93" t="n">
        <v>-3.36</v>
      </c>
      <c r="J44" s="93" t="n">
        <v>4.77</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21.21</v>
      </c>
      <c r="D47" s="93" t="n">
        <v>4.74</v>
      </c>
      <c r="E47" s="93" t="n">
        <v>9.47</v>
      </c>
      <c r="F47" s="93" t="n">
        <v>12.67</v>
      </c>
      <c r="G47" s="93" t="n">
        <v>10.8</v>
      </c>
      <c r="H47" s="93" t="n">
        <v>19.69</v>
      </c>
      <c r="I47" s="93" t="n">
        <v>13.36</v>
      </c>
      <c r="J47" s="93" t="n">
        <v>8.26</v>
      </c>
    </row>
    <row r="48" customFormat="false" ht="15" hidden="false" customHeight="false" outlineLevel="0" collapsed="false">
      <c r="A48" s="18" t="s">
        <v>467</v>
      </c>
      <c r="B48" s="74" t="s">
        <v>468</v>
      </c>
      <c r="C48" s="93" t="n">
        <v>7.1</v>
      </c>
      <c r="D48" s="93" t="n">
        <v>7.1</v>
      </c>
      <c r="E48" s="93" t="n">
        <v>7.13</v>
      </c>
      <c r="F48" s="93" t="n">
        <v>7.13</v>
      </c>
      <c r="G48" s="93" t="n">
        <v>6.96</v>
      </c>
      <c r="H48" s="93" t="n">
        <v>6.96</v>
      </c>
      <c r="I48" s="93" t="n">
        <v>6.96</v>
      </c>
      <c r="J48" s="93" t="n">
        <v>6.96</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380.16</v>
      </c>
      <c r="D52" s="44" t="n">
        <f aca="false">IFERROR((((D10+D12)+D13)-D11),"N/M")</f>
        <v>308.64</v>
      </c>
      <c r="E52" s="44" t="n">
        <f aca="false">IFERROR((((E10+E12)+E13)-E11),"N/M")</f>
        <v>190.2</v>
      </c>
      <c r="F52" s="44" t="n">
        <f aca="false">IFERROR((((F10+F12)+F13)-F11),"N/M")</f>
        <v>210.42</v>
      </c>
      <c r="G52" s="44" t="n">
        <f aca="false">IFERROR((((G10+G12)+G13)-G11),"N/M")</f>
        <v>249.71</v>
      </c>
      <c r="H52" s="44" t="n">
        <f aca="false">IFERROR((((H10+H12)+H13)-H11),"N/M")</f>
        <v>262.21</v>
      </c>
      <c r="I52" s="44" t="n">
        <f aca="false">IFERROR((((I10+I12)+I13)-I11),"N/M")</f>
        <v>313.77</v>
      </c>
      <c r="J52" s="44" t="n">
        <f aca="false">IFERROR((((J10+J12)+J13)-J11),"N/M")</f>
        <v>324.26</v>
      </c>
    </row>
    <row r="53" customFormat="false" ht="15" hidden="false" customHeight="false" outlineLevel="0" collapsed="false">
      <c r="A53" s="18" t="s">
        <v>473</v>
      </c>
      <c r="B53" s="19" t="s">
        <v>474</v>
      </c>
      <c r="C53" s="44" t="n">
        <f aca="false">IFERROR(((C14+C15)+C16),"N/M")</f>
        <v>52.78</v>
      </c>
      <c r="D53" s="44" t="n">
        <f aca="false">IFERROR(((D14+D15)+D16),"N/M")</f>
        <v>30.68</v>
      </c>
      <c r="E53" s="44" t="n">
        <f aca="false">IFERROR(((E14+E15)+E16),"N/M")</f>
        <v>16.88</v>
      </c>
      <c r="F53" s="44" t="n">
        <f aca="false">IFERROR(((F14+F15)+F16),"N/M")</f>
        <v>16.21</v>
      </c>
      <c r="G53" s="44" t="n">
        <f aca="false">IFERROR(((G14+G15)+G16),"N/M")</f>
        <v>18.25</v>
      </c>
      <c r="H53" s="44" t="n">
        <f aca="false">IFERROR(((H14+H15)+H16),"N/M")</f>
        <v>19.24</v>
      </c>
      <c r="I53" s="44" t="n">
        <f aca="false">IFERROR(((I14+I15)+I16),"N/M")</f>
        <v>20.11</v>
      </c>
      <c r="J53" s="44" t="n">
        <f aca="false">IFERROR(((J14+J15)+J16),"N/M")</f>
        <v>22.51</v>
      </c>
    </row>
    <row r="54" customFormat="false" ht="15" hidden="false" customHeight="false" outlineLevel="0" collapsed="false">
      <c r="A54" s="18" t="s">
        <v>475</v>
      </c>
      <c r="B54" s="19" t="s">
        <v>476</v>
      </c>
      <c r="C54" s="44" t="n">
        <f aca="false">IFERROR((C52+C53),"N/M")</f>
        <v>432.94</v>
      </c>
      <c r="D54" s="44" t="n">
        <f aca="false">IFERROR((D52+D53),"N/M")</f>
        <v>339.32</v>
      </c>
      <c r="E54" s="44" t="n">
        <f aca="false">IFERROR((E52+E53),"N/M")</f>
        <v>207.08</v>
      </c>
      <c r="F54" s="44" t="n">
        <f aca="false">IFERROR((F52+F53),"N/M")</f>
        <v>226.63</v>
      </c>
      <c r="G54" s="44" t="n">
        <f aca="false">IFERROR((G52+G53),"N/M")</f>
        <v>267.96</v>
      </c>
      <c r="H54" s="44" t="n">
        <f aca="false">IFERROR((H52+H53),"N/M")</f>
        <v>281.45</v>
      </c>
      <c r="I54" s="44" t="n">
        <f aca="false">IFERROR((I52+I53),"N/M")</f>
        <v>333.88</v>
      </c>
      <c r="J54" s="44" t="n">
        <f aca="false">IFERROR((J52+J53),"N/M")</f>
        <v>346.77</v>
      </c>
    </row>
    <row r="55" customFormat="false" ht="15" hidden="false" customHeight="false" outlineLevel="0" collapsed="false">
      <c r="A55" s="18" t="s">
        <v>477</v>
      </c>
      <c r="B55" s="19" t="s">
        <v>478</v>
      </c>
      <c r="C55" s="44" t="n">
        <f aca="false">IFERROR((C9-C52),"N/M")</f>
        <v>67.59</v>
      </c>
      <c r="D55" s="44" t="n">
        <f aca="false">IFERROR((D9-D52),"N/M")</f>
        <v>38.77</v>
      </c>
      <c r="E55" s="44" t="n">
        <f aca="false">IFERROR((E9-E52),"N/M")</f>
        <v>22.05</v>
      </c>
      <c r="F55" s="44" t="n">
        <f aca="false">IFERROR((F9-F52),"N/M")</f>
        <v>23.9</v>
      </c>
      <c r="G55" s="44" t="n">
        <f aca="false">IFERROR((G9-G52),"N/M")</f>
        <v>28.57</v>
      </c>
      <c r="H55" s="44" t="n">
        <f aca="false">IFERROR((H9-H52),"N/M")</f>
        <v>28.34</v>
      </c>
      <c r="I55" s="44" t="n">
        <f aca="false">IFERROR((I9-I52),"N/M")</f>
        <v>28.92</v>
      </c>
      <c r="J55" s="44" t="n">
        <f aca="false">IFERROR((J9-J52),"N/M")</f>
        <v>32.8799999999999</v>
      </c>
    </row>
    <row r="56" customFormat="false" ht="15" hidden="false" customHeight="false" outlineLevel="0" collapsed="false">
      <c r="A56" s="18" t="s">
        <v>479</v>
      </c>
      <c r="B56" s="19" t="s">
        <v>480</v>
      </c>
      <c r="C56" s="44" t="n">
        <f aca="false">IFERROR((C9-C54),"N/M")</f>
        <v>14.8100000000001</v>
      </c>
      <c r="D56" s="44" t="n">
        <f aca="false">IFERROR((D9-D54),"N/M")</f>
        <v>8.09000000000003</v>
      </c>
      <c r="E56" s="44" t="n">
        <f aca="false">IFERROR((E9-E54),"N/M")</f>
        <v>5.17000000000002</v>
      </c>
      <c r="F56" s="44" t="n">
        <f aca="false">IFERROR((F9-F54),"N/M")</f>
        <v>7.68999999999997</v>
      </c>
      <c r="G56" s="44" t="n">
        <f aca="false">IFERROR((G9-G54),"N/M")</f>
        <v>10.3199999999999</v>
      </c>
      <c r="H56" s="44" t="n">
        <f aca="false">IFERROR((H9-H54),"N/M")</f>
        <v>9.10000000000002</v>
      </c>
      <c r="I56" s="44" t="n">
        <f aca="false">IFERROR((I9-I54),"N/M")</f>
        <v>8.81</v>
      </c>
      <c r="J56" s="44" t="n">
        <f aca="false">IFERROR((J9-J54),"N/M")</f>
        <v>10.3699999999999</v>
      </c>
    </row>
    <row r="57" customFormat="false" ht="15" hidden="false" customHeight="false" outlineLevel="0" collapsed="false">
      <c r="A57" s="18" t="s">
        <v>481</v>
      </c>
      <c r="B57" s="19" t="s">
        <v>482</v>
      </c>
      <c r="C57" s="44" t="n">
        <f aca="false">IFERROR((C9+C17),"N/M")</f>
        <v>453.34</v>
      </c>
      <c r="D57" s="44" t="n">
        <f aca="false">IFERROR((D9+D17),"N/M")</f>
        <v>363.45</v>
      </c>
      <c r="E57" s="44" t="n">
        <f aca="false">IFERROR((E9+E17),"N/M")</f>
        <v>217.3</v>
      </c>
      <c r="F57" s="44" t="n">
        <f aca="false">IFERROR((F9+F17),"N/M")</f>
        <v>236.83</v>
      </c>
      <c r="G57" s="44" t="n">
        <f aca="false">IFERROR((G9+G17),"N/M")</f>
        <v>280.29</v>
      </c>
      <c r="H57" s="44" t="n">
        <f aca="false">IFERROR((H9+H17),"N/M")</f>
        <v>292.52</v>
      </c>
      <c r="I57" s="44" t="n">
        <f aca="false">IFERROR((I9+I17),"N/M")</f>
        <v>345.34</v>
      </c>
      <c r="J57" s="44" t="n">
        <f aca="false">IFERROR((J9+J17),"N/M")</f>
        <v>359.98</v>
      </c>
    </row>
    <row r="58" customFormat="false" ht="15" hidden="false" customHeight="false" outlineLevel="0" collapsed="false">
      <c r="A58" s="18" t="s">
        <v>483</v>
      </c>
      <c r="B58" s="19" t="s">
        <v>484</v>
      </c>
      <c r="C58" s="44" t="n">
        <f aca="false">IFERROR((C20+C19),"N/M")</f>
        <v>15.77</v>
      </c>
      <c r="D58" s="44" t="n">
        <f aca="false">IFERROR((D20+D19),"N/M")</f>
        <v>20.22</v>
      </c>
      <c r="E58" s="44" t="n">
        <f aca="false">IFERROR((E20+E19),"N/M")</f>
        <v>7.87</v>
      </c>
      <c r="F58" s="44" t="n">
        <f aca="false">IFERROR((F20+F19),"N/M")</f>
        <v>7.57</v>
      </c>
      <c r="G58" s="44" t="n">
        <f aca="false">IFERROR((G20+G19),"N/M")</f>
        <v>9.41</v>
      </c>
      <c r="H58" s="44" t="n">
        <f aca="false">IFERROR((H20+H19),"N/M")</f>
        <v>8.27</v>
      </c>
      <c r="I58" s="44" t="n">
        <f aca="false">IFERROR((I20+I19),"N/M")</f>
        <v>8.85</v>
      </c>
      <c r="J58" s="44" t="n">
        <f aca="false">IFERROR((J20+J19),"N/M")</f>
        <v>10.66</v>
      </c>
    </row>
    <row r="59" customFormat="false" ht="15" hidden="false" customHeight="false" outlineLevel="0" collapsed="false">
      <c r="A59" s="18" t="s">
        <v>485</v>
      </c>
      <c r="B59" s="19" t="s">
        <v>486</v>
      </c>
      <c r="C59" s="44" t="n">
        <f aca="false">IFERROR((C58+C18),"N/M")</f>
        <v>20.4</v>
      </c>
      <c r="D59" s="44" t="n">
        <f aca="false">IFERROR((D58+D18),"N/M")</f>
        <v>24.13</v>
      </c>
      <c r="E59" s="44" t="n">
        <f aca="false">IFERROR((E58+E18),"N/M")</f>
        <v>10.22</v>
      </c>
      <c r="F59" s="44" t="n">
        <f aca="false">IFERROR((F58+F18),"N/M")</f>
        <v>10.2</v>
      </c>
      <c r="G59" s="44" t="n">
        <f aca="false">IFERROR((G58+G18),"N/M")</f>
        <v>12.33</v>
      </c>
      <c r="H59" s="44" t="n">
        <f aca="false">IFERROR((H58+H18),"N/M")</f>
        <v>11.07</v>
      </c>
      <c r="I59" s="44" t="n">
        <f aca="false">IFERROR((I58+I18),"N/M")</f>
        <v>11.46</v>
      </c>
      <c r="J59" s="44" t="n">
        <f aca="false">IFERROR((J58+J18),"N/M")</f>
        <v>13.21</v>
      </c>
    </row>
    <row r="60" customFormat="false" ht="15" hidden="false" customHeight="false" outlineLevel="0" collapsed="false">
      <c r="A60" s="18" t="s">
        <v>487</v>
      </c>
      <c r="B60" s="19" t="s">
        <v>488</v>
      </c>
      <c r="C60" s="46" t="n">
        <f aca="false">IFERROR(IF(C20&gt;0,MIN(MAX((C21/C20),0),1),0),"N/M")</f>
        <v>0.145945945945946</v>
      </c>
      <c r="D60" s="46" t="n">
        <f aca="false">IFERROR(IF(D20&gt;0,MIN(MAX((D21/D20),0),1),0),"N/M")</f>
        <v>0.163678877630553</v>
      </c>
      <c r="E60" s="46" t="n">
        <f aca="false">IFERROR(IF(E20&gt;0,MIN(MAX((E21/E20),0),1),0),"N/M")</f>
        <v>0.785714285714286</v>
      </c>
      <c r="F60" s="46" t="n">
        <f aca="false">IFERROR(IF(F20&gt;0,MIN(MAX((F21/F20),0),1),0),"N/M")</f>
        <v>0</v>
      </c>
      <c r="G60" s="46" t="n">
        <f aca="false">IFERROR(IF(G20&gt;0,MIN(MAX((G21/G20),0),1),0),"N/M")</f>
        <v>0</v>
      </c>
      <c r="H60" s="46" t="n">
        <f aca="false">IFERROR(IF(H20&gt;0,MIN(MAX((H21/H20),0),1),0),"N/M")</f>
        <v>0.0246478873239437</v>
      </c>
      <c r="I60" s="46" t="n">
        <f aca="false">IFERROR(IF(I20&gt;0,MIN(MAX((I21/I20),0),1),0),"N/M")</f>
        <v>0.00782268578878748</v>
      </c>
      <c r="J60" s="46" t="n">
        <f aca="false">IFERROR(IF(J20&gt;0,MIN(MAX((J21/J20),0),1),0),"N/M")</f>
        <v>0.0698351115421921</v>
      </c>
    </row>
    <row r="61" customFormat="false" ht="15" hidden="false" customHeight="false" outlineLevel="0" collapsed="false">
      <c r="A61" s="18" t="s">
        <v>489</v>
      </c>
      <c r="B61" s="19" t="s">
        <v>490</v>
      </c>
      <c r="C61" s="44" t="n">
        <f aca="false">IFERROR((C26+C27),"N/M")</f>
        <v>128.08</v>
      </c>
      <c r="D61" s="44" t="n">
        <f aca="false">IFERROR((D26+D27),"N/M")</f>
        <v>119.03</v>
      </c>
      <c r="E61" s="44" t="n">
        <f aca="false">IFERROR((E26+E27),"N/M")</f>
        <v>116.62</v>
      </c>
      <c r="F61" s="44" t="n">
        <f aca="false">IFERROR((F26+F27),"N/M")</f>
        <v>117.26</v>
      </c>
      <c r="G61" s="44" t="n">
        <f aca="false">IFERROR((G26+G27),"N/M")</f>
        <v>117.69</v>
      </c>
      <c r="H61" s="44" t="n">
        <f aca="false">IFERROR((H26+H27),"N/M")</f>
        <v>119.33</v>
      </c>
      <c r="I61" s="44" t="n">
        <f aca="false">IFERROR((I26+I27),"N/M")</f>
        <v>121.66</v>
      </c>
      <c r="J61" s="44" t="n">
        <f aca="false">IFERROR((J26+J27),"N/M")</f>
        <v>123.52</v>
      </c>
    </row>
    <row r="62" customFormat="false" ht="15" hidden="false" customHeight="false" outlineLevel="0" collapsed="false">
      <c r="A62" s="18" t="s">
        <v>491</v>
      </c>
      <c r="B62" s="19" t="s">
        <v>492</v>
      </c>
      <c r="C62" s="44" t="n">
        <f aca="false">IFERROR((C61+C28),"N/M")</f>
        <v>204.42</v>
      </c>
      <c r="D62" s="44" t="n">
        <f aca="false">IFERROR((D61+D28),"N/M")</f>
        <v>179.75</v>
      </c>
      <c r="E62" s="44" t="n">
        <f aca="false">IFERROR((E61+E28),"N/M")</f>
        <v>178.34</v>
      </c>
      <c r="F62" s="44" t="n">
        <f aca="false">IFERROR((F61+F28),"N/M")</f>
        <v>165.24</v>
      </c>
      <c r="G62" s="44" t="n">
        <f aca="false">IFERROR((G61+G28),"N/M")</f>
        <v>148.95</v>
      </c>
      <c r="H62" s="44" t="n">
        <f aca="false">IFERROR((H61+H28),"N/M")</f>
        <v>143.45</v>
      </c>
      <c r="I62" s="44" t="n">
        <f aca="false">IFERROR((I61+I28),"N/M")</f>
        <v>134.73</v>
      </c>
      <c r="J62" s="44" t="n">
        <f aca="false">IFERROR((J61+J28),"N/M")</f>
        <v>129.78</v>
      </c>
    </row>
    <row r="63" customFormat="false" ht="15" hidden="false" customHeight="false" outlineLevel="0" collapsed="false">
      <c r="A63" s="18" t="s">
        <v>493</v>
      </c>
      <c r="B63" s="19" t="s">
        <v>494</v>
      </c>
      <c r="C63" s="44" t="n">
        <f aca="false">IFERROR(C34,"N/M")</f>
        <v>151.07</v>
      </c>
      <c r="D63" s="44" t="n">
        <f aca="false">IFERROR(D34,"N/M")</f>
        <v>141.51</v>
      </c>
      <c r="E63" s="44" t="n">
        <f aca="false">IFERROR(E34,"N/M")</f>
        <v>127</v>
      </c>
      <c r="F63" s="44" t="n">
        <f aca="false">IFERROR(F34,"N/M")</f>
        <v>116.09</v>
      </c>
      <c r="G63" s="44" t="n">
        <f aca="false">IFERROR(G34,"N/M")</f>
        <v>111.72</v>
      </c>
      <c r="H63" s="44" t="n">
        <f aca="false">IFERROR(H34,"N/M")</f>
        <v>138.77</v>
      </c>
      <c r="I63" s="44" t="n">
        <f aca="false">IFERROR(I34,"N/M")</f>
        <v>116.58</v>
      </c>
      <c r="J63" s="44" t="n">
        <f aca="false">IFERROR(J34,"N/M")</f>
        <v>112.86</v>
      </c>
    </row>
    <row r="64" customFormat="false" ht="15" hidden="false" customHeight="false" outlineLevel="0" collapsed="false">
      <c r="A64" s="18" t="s">
        <v>495</v>
      </c>
      <c r="B64" s="19" t="s">
        <v>496</v>
      </c>
      <c r="C64" s="44" t="n">
        <f aca="false">IFERROR(C29,"N/M")</f>
        <v>22.6</v>
      </c>
      <c r="D64" s="44" t="n">
        <f aca="false">IFERROR(D29,"N/M")</f>
        <v>25.64</v>
      </c>
      <c r="E64" s="44" t="n">
        <f aca="false">IFERROR(E29,"N/M")</f>
        <v>11.96</v>
      </c>
      <c r="F64" s="44" t="n">
        <f aca="false">IFERROR(F29,"N/M")</f>
        <v>13.81</v>
      </c>
      <c r="G64" s="44" t="n">
        <f aca="false">IFERROR(G29,"N/M")</f>
        <v>23.2</v>
      </c>
      <c r="H64" s="44" t="n">
        <f aca="false">IFERROR(H29,"N/M")</f>
        <v>48.59</v>
      </c>
      <c r="I64" s="44" t="n">
        <f aca="false">IFERROR(I29,"N/M")</f>
        <v>33.39</v>
      </c>
      <c r="J64" s="44" t="n">
        <f aca="false">IFERROR(J29,"N/M")</f>
        <v>33.54</v>
      </c>
    </row>
    <row r="65" customFormat="false" ht="15" hidden="false" customHeight="false" outlineLevel="0" collapsed="false">
      <c r="A65" s="18" t="s">
        <v>497</v>
      </c>
      <c r="B65" s="19" t="s">
        <v>498</v>
      </c>
      <c r="C65" s="44" t="n">
        <f aca="false">IFERROR((C63-C64),"N/M")</f>
        <v>128.47</v>
      </c>
      <c r="D65" s="44" t="n">
        <f aca="false">IFERROR((D63-D64),"N/M")</f>
        <v>115.87</v>
      </c>
      <c r="E65" s="44" t="n">
        <f aca="false">IFERROR((E63-E64),"N/M")</f>
        <v>115.04</v>
      </c>
      <c r="F65" s="44" t="n">
        <f aca="false">IFERROR((F63-F64),"N/M")</f>
        <v>102.28</v>
      </c>
      <c r="G65" s="44" t="n">
        <f aca="false">IFERROR((G63-G64),"N/M")</f>
        <v>88.52</v>
      </c>
      <c r="H65" s="44" t="n">
        <f aca="false">IFERROR((H63-H64),"N/M")</f>
        <v>90.18</v>
      </c>
      <c r="I65" s="44" t="n">
        <f aca="false">IFERROR((I63-I64),"N/M")</f>
        <v>83.19</v>
      </c>
      <c r="J65" s="44" t="n">
        <f aca="false">IFERROR((J63-J64),"N/M")</f>
        <v>79.32</v>
      </c>
    </row>
    <row r="66" customFormat="false" ht="15" hidden="false" customHeight="false" outlineLevel="0" collapsed="false">
      <c r="A66" s="18" t="s">
        <v>499</v>
      </c>
      <c r="B66" s="19" t="s">
        <v>500</v>
      </c>
      <c r="C66" s="44" t="n">
        <f aca="false">IFERROR((C36+C38),"N/M")</f>
        <v>112</v>
      </c>
      <c r="D66" s="44" t="n">
        <f aca="false">IFERROR((D36+D38),"N/M")</f>
        <v>101.63</v>
      </c>
      <c r="E66" s="44" t="n">
        <f aca="false">IFERROR((E36+E38),"N/M")</f>
        <v>94.99</v>
      </c>
      <c r="F66" s="44" t="n">
        <f aca="false">IFERROR((F36+F38),"N/M")</f>
        <v>86.01</v>
      </c>
      <c r="G66" s="44" t="n">
        <f aca="false">IFERROR((G36+G38),"N/M")</f>
        <v>98.02</v>
      </c>
      <c r="H66" s="44" t="n">
        <f aca="false">IFERROR((H36+H38),"N/M")</f>
        <v>123.11</v>
      </c>
      <c r="I66" s="44" t="n">
        <f aca="false">IFERROR((I36+I38),"N/M")</f>
        <v>96.07</v>
      </c>
      <c r="J66" s="44" t="n">
        <f aca="false">IFERROR((J36+J38),"N/M")</f>
        <v>99.61</v>
      </c>
    </row>
    <row r="67" customFormat="false" ht="15" hidden="false" customHeight="false" outlineLevel="0" collapsed="false">
      <c r="A67" s="18" t="s">
        <v>501</v>
      </c>
      <c r="B67" s="19" t="s">
        <v>502</v>
      </c>
      <c r="D67" s="44" t="n">
        <f aca="false">IFERROR((((D31+D32)-(C31+C32))+D18),"N/M")</f>
        <v>-4.55</v>
      </c>
      <c r="E67" s="44" t="n">
        <f aca="false">IFERROR((((E31+E32)-(D31+D32))+E18),"N/M")</f>
        <v>3.03</v>
      </c>
      <c r="F67" s="44" t="n">
        <f aca="false">IFERROR((((F31+F32)-(E31+E32))+F18),"N/M")</f>
        <v>5.76999999999999</v>
      </c>
      <c r="G67" s="44" t="n">
        <f aca="false">IFERROR((((G31+G32)-(F31+F32))+G18),"N/M")</f>
        <v>1.11</v>
      </c>
      <c r="H67" s="44" t="n">
        <f aca="false">IFERROR((((H31+H32)-(G31+G32))+H18),"N/M")</f>
        <v>-3.89</v>
      </c>
      <c r="I67" s="44" t="n">
        <f aca="false">IFERROR((((I31+I32)-(H31+H32))+I18),"N/M")</f>
        <v>1.24</v>
      </c>
      <c r="J67" s="44" t="n">
        <f aca="false">IFERROR((((J31+J32)-(I31+I32))+J18),"N/M")</f>
        <v>1.27</v>
      </c>
    </row>
    <row r="68" customFormat="false" ht="15" hidden="false" customHeight="false" outlineLevel="0" collapsed="false">
      <c r="A68" s="18" t="s">
        <v>503</v>
      </c>
      <c r="B68" s="19" t="s">
        <v>504</v>
      </c>
      <c r="D68" s="44" t="n">
        <f aca="false">IFERROR(MAX((C28-D28),0),"N/M")</f>
        <v>15.62</v>
      </c>
      <c r="E68" s="44" t="n">
        <f aca="false">IFERROR(MAX((D28-E28),0),"N/M")</f>
        <v>0</v>
      </c>
      <c r="F68" s="44" t="n">
        <f aca="false">IFERROR(MAX((E28-F28),0),"N/M")</f>
        <v>13.74</v>
      </c>
      <c r="G68" s="44" t="n">
        <f aca="false">IFERROR(MAX((F28-G28),0),"N/M")</f>
        <v>16.72</v>
      </c>
      <c r="H68" s="44" t="n">
        <f aca="false">IFERROR(MAX((G28-H28),0),"N/M")</f>
        <v>7.14</v>
      </c>
      <c r="I68" s="44" t="n">
        <f aca="false">IFERROR(MAX((H28-I28),0),"N/M")</f>
        <v>11.05</v>
      </c>
      <c r="J68" s="44" t="n">
        <f aca="false">IFERROR(MAX((I28-J28),0),"N/M")</f>
        <v>6.81</v>
      </c>
    </row>
    <row r="69" customFormat="false" ht="15" hidden="false" customHeight="false" outlineLevel="0" collapsed="false">
      <c r="A69" s="18" t="s">
        <v>505</v>
      </c>
      <c r="B69" s="19" t="s">
        <v>506</v>
      </c>
      <c r="C69" s="44" t="n">
        <f aca="false">IFERROR((C47*C48),"N/M")</f>
        <v>150.591</v>
      </c>
      <c r="D69" s="44" t="n">
        <f aca="false">IFERROR((D47*D48),"N/M")</f>
        <v>33.654</v>
      </c>
      <c r="E69" s="44" t="n">
        <f aca="false">IFERROR((E47*E48),"N/M")</f>
        <v>67.5211</v>
      </c>
      <c r="F69" s="44" t="n">
        <f aca="false">IFERROR((F47*F48),"N/M")</f>
        <v>90.3371</v>
      </c>
      <c r="G69" s="44" t="n">
        <f aca="false">IFERROR((G47*G48),"N/M")</f>
        <v>75.168</v>
      </c>
      <c r="H69" s="44" t="n">
        <f aca="false">IFERROR((H47*H48),"N/M")</f>
        <v>137.0424</v>
      </c>
      <c r="I69" s="44" t="n">
        <f aca="false">IFERROR((I47*I48),"N/M")</f>
        <v>92.9856</v>
      </c>
      <c r="J69" s="44" t="n">
        <f aca="false">IFERROR((J47*J48),"N/M")</f>
        <v>57.4896</v>
      </c>
    </row>
    <row r="70" customFormat="false" ht="15" hidden="false" customHeight="false" outlineLevel="0" collapsed="false">
      <c r="A70" s="18" t="s">
        <v>507</v>
      </c>
      <c r="B70" s="19" t="s">
        <v>508</v>
      </c>
      <c r="C70" s="44" t="n">
        <f aca="false">IFERROR(((C69+C28)-C38),"N/M")</f>
        <v>214.301</v>
      </c>
      <c r="D70" s="44" t="n">
        <f aca="false">IFERROR(((D69+D28)-D38),"N/M")</f>
        <v>81.504</v>
      </c>
      <c r="E70" s="44" t="n">
        <f aca="false">IFERROR(((E69+E28)-E38),"N/M")</f>
        <v>106.1611</v>
      </c>
      <c r="F70" s="44" t="n">
        <f aca="false">IFERROR(((F69+F28)-F38),"N/M")</f>
        <v>116.6471</v>
      </c>
      <c r="G70" s="44" t="n">
        <f aca="false">IFERROR(((G69+G28)-G38),"N/M")</f>
        <v>82.268</v>
      </c>
      <c r="H70" s="44" t="n">
        <f aca="false">IFERROR(((H69+H28)-H38),"N/M")</f>
        <v>128.8124</v>
      </c>
      <c r="I70" s="44" t="n">
        <f aca="false">IFERROR(((I69+I28)-I38),"N/M")</f>
        <v>77.4756</v>
      </c>
      <c r="J70" s="44" t="n">
        <f aca="false">IFERROR(((J69+J28)-J38),"N/M")</f>
        <v>36.8196</v>
      </c>
    </row>
    <row r="71" customFormat="false" ht="15" hidden="false" customHeight="false" outlineLevel="0" collapsed="false">
      <c r="A71" s="18" t="s">
        <v>509</v>
      </c>
      <c r="C71" s="44" t="n">
        <f aca="false">IFERROR(IF(C49=1,C69,0),"N/M")</f>
        <v>150.591</v>
      </c>
      <c r="D71" s="44" t="n">
        <f aca="false">IFERROR(IF(D49=1,D69,0),"N/M")</f>
        <v>33.654</v>
      </c>
      <c r="E71" s="44" t="n">
        <f aca="false">IFERROR(IF(E49=1,E69,0),"N/M")</f>
        <v>67.5211</v>
      </c>
      <c r="F71" s="44" t="n">
        <f aca="false">IFERROR(IF(F49=1,F69,0),"N/M")</f>
        <v>90.3371</v>
      </c>
      <c r="G71" s="44" t="n">
        <f aca="false">IFERROR(IF(G49=1,G69,0),"N/M")</f>
        <v>75.168</v>
      </c>
      <c r="H71" s="44" t="n">
        <f aca="false">IFERROR(IF(H49=1,H69,0),"N/M")</f>
        <v>137.0424</v>
      </c>
      <c r="I71" s="44" t="n">
        <f aca="false">IFERROR(IF(I49=1,I69,0),"N/M")</f>
        <v>92.9856</v>
      </c>
      <c r="J71" s="44" t="n">
        <f aca="false">IFERROR(IF(J49=1,J69,0),"N/M")</f>
        <v>57.4896</v>
      </c>
    </row>
    <row r="72" customFormat="false" ht="15" hidden="false" customHeight="false" outlineLevel="0" collapsed="false">
      <c r="A72" s="18" t="s">
        <v>510</v>
      </c>
      <c r="C72" s="44" t="n">
        <f aca="false">IFERROR(IF(C49=1,C22,0),"N/M")</f>
        <v>6.33</v>
      </c>
      <c r="D72" s="44" t="n">
        <f aca="false">IFERROR(IF(D49=1,D22,0),"N/M")</f>
        <v>10.74</v>
      </c>
      <c r="E72" s="44" t="n">
        <f aca="false">IFERROR(IF(E49=1,E22,0),"N/M")</f>
        <v>0.05</v>
      </c>
      <c r="F72" s="44" t="n">
        <f aca="false">IFERROR(IF(F49=1,F22,0),"N/M")</f>
        <v>2.27</v>
      </c>
      <c r="G72" s="44" t="n">
        <f aca="false">IFERROR(IF(G49=1,G22,0),"N/M")</f>
        <v>4.9</v>
      </c>
      <c r="H72" s="44" t="n">
        <f aca="false">IFERROR(IF(H49=1,H22,0),"N/M")</f>
        <v>5.54</v>
      </c>
      <c r="I72" s="44" t="n">
        <f aca="false">IFERROR(IF(I49=1,I22,0),"N/M")</f>
        <v>7.6</v>
      </c>
      <c r="J72" s="44" t="n">
        <f aca="false">IFERROR(IF(J49=1,J22,0),"N/M")</f>
        <v>9.6</v>
      </c>
    </row>
    <row r="73" customFormat="false" ht="15" hidden="false" customHeight="false" outlineLevel="0" collapsed="false">
      <c r="A73" s="18" t="s">
        <v>511</v>
      </c>
      <c r="C73" s="44" t="n">
        <f aca="false">IFERROR(IF(C49=1,C61,0),"N/M")</f>
        <v>128.08</v>
      </c>
      <c r="D73" s="44" t="n">
        <f aca="false">IFERROR(IF(D49=1,D61,0),"N/M")</f>
        <v>119.03</v>
      </c>
      <c r="E73" s="44" t="n">
        <f aca="false">IFERROR(IF(E49=1,E61,0),"N/M")</f>
        <v>116.62</v>
      </c>
      <c r="F73" s="44" t="n">
        <f aca="false">IFERROR(IF(F49=1,F61,0),"N/M")</f>
        <v>117.26</v>
      </c>
      <c r="G73" s="44" t="n">
        <f aca="false">IFERROR(IF(G49=1,G61,0),"N/M")</f>
        <v>117.69</v>
      </c>
      <c r="H73" s="44" t="n">
        <f aca="false">IFERROR(IF(H49=1,H61,0),"N/M")</f>
        <v>119.33</v>
      </c>
      <c r="I73" s="44" t="n">
        <f aca="false">IFERROR(IF(I49=1,I61,0),"N/M")</f>
        <v>121.66</v>
      </c>
      <c r="J73" s="44" t="n">
        <f aca="false">IFERROR(IF(J49=1,J61,0),"N/M")</f>
        <v>123.52</v>
      </c>
    </row>
    <row r="74" customFormat="false" ht="15" hidden="false" customHeight="false" outlineLevel="0" collapsed="false">
      <c r="A74" s="18" t="s">
        <v>512</v>
      </c>
      <c r="C74" s="44" t="n">
        <f aca="false">IFERROR(IF(C49=1,C59,0),"N/M")</f>
        <v>20.4</v>
      </c>
      <c r="D74" s="44" t="n">
        <f aca="false">IFERROR(IF(D49=1,D59,0),"N/M")</f>
        <v>24.13</v>
      </c>
      <c r="E74" s="44" t="n">
        <f aca="false">IFERROR(IF(E49=1,E59,0),"N/M")</f>
        <v>10.22</v>
      </c>
      <c r="F74" s="44" t="n">
        <f aca="false">IFERROR(IF(F49=1,F59,0),"N/M")</f>
        <v>10.2</v>
      </c>
      <c r="G74" s="44" t="n">
        <f aca="false">IFERROR(IF(G49=1,G59,0),"N/M")</f>
        <v>12.33</v>
      </c>
      <c r="H74" s="44" t="n">
        <f aca="false">IFERROR(IF(H49=1,H59,0),"N/M")</f>
        <v>11.07</v>
      </c>
      <c r="I74" s="44" t="n">
        <f aca="false">IFERROR(IF(I49=1,I59,0),"N/M")</f>
        <v>11.46</v>
      </c>
      <c r="J74" s="44" t="n">
        <f aca="false">IFERROR(IF(J49=1,J59,0),"N/M")</f>
        <v>13.21</v>
      </c>
    </row>
    <row r="75" customFormat="false" ht="15" hidden="false" customHeight="false" outlineLevel="0" collapsed="false">
      <c r="A75" s="18" t="s">
        <v>513</v>
      </c>
      <c r="C75" s="44" t="n">
        <f aca="false">IFERROR(IF(C49=1,C23,0),"N/M")</f>
        <v>0.83</v>
      </c>
      <c r="D75" s="44" t="n">
        <f aca="false">IFERROR(IF(D49=1,D23,0),"N/M")</f>
        <v>0.17</v>
      </c>
      <c r="E75" s="44" t="n">
        <f aca="false">IFERROR(IF(E49=1,E23,0),"N/M")</f>
        <v>0.26</v>
      </c>
      <c r="F75" s="44" t="n">
        <f aca="false">IFERROR(IF(F49=1,F23,0),"N/M")</f>
        <v>0.36</v>
      </c>
      <c r="G75" s="44" t="n">
        <f aca="false">IFERROR(IF(G49=1,G23,0),"N/M")</f>
        <v>0.65</v>
      </c>
      <c r="H75" s="44" t="n">
        <f aca="false">IFERROR(IF(H49=1,H23,0),"N/M")</f>
        <v>0.65</v>
      </c>
      <c r="I75" s="44" t="n">
        <f aca="false">IFERROR(IF(I49=1,I23,0),"N/M")</f>
        <v>2.09</v>
      </c>
      <c r="J75" s="44" t="n">
        <f aca="false">IFERROR(IF(J49=1,J23,0),"N/M")</f>
        <v>1.39</v>
      </c>
    </row>
    <row r="76" customFormat="false" ht="15" hidden="false" customHeight="false" outlineLevel="0" collapsed="false">
      <c r="A76" s="18" t="s">
        <v>514</v>
      </c>
      <c r="C76" s="44" t="n">
        <f aca="false">IFERROR(IF(C49=1,(C28-C38),0),"N/M")</f>
        <v>63.71</v>
      </c>
      <c r="D76" s="44" t="n">
        <f aca="false">IFERROR(IF(D49=1,(D28-D38),0),"N/M")</f>
        <v>47.85</v>
      </c>
      <c r="E76" s="44" t="n">
        <f aca="false">IFERROR(IF(E49=1,(E28-E38),0),"N/M")</f>
        <v>38.64</v>
      </c>
      <c r="F76" s="44" t="n">
        <f aca="false">IFERROR(IF(F49=1,(F28-F38),0),"N/M")</f>
        <v>26.31</v>
      </c>
      <c r="G76" s="44" t="n">
        <f aca="false">IFERROR(IF(G49=1,(G28-G38),0),"N/M")</f>
        <v>7.1</v>
      </c>
      <c r="H76" s="44" t="n">
        <f aca="false">IFERROR(IF(H49=1,(H28-H38),0),"N/M")</f>
        <v>-8.23</v>
      </c>
      <c r="I76" s="44" t="n">
        <f aca="false">IFERROR(IF(I49=1,(I28-I38),0),"N/M")</f>
        <v>-15.51</v>
      </c>
      <c r="J76" s="44" t="n">
        <f aca="false">IFERROR(IF(J49=1,(J28-J38),0),"N/M")</f>
        <v>-20.67</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115.87</v>
      </c>
      <c r="E79" s="79" t="n">
        <f aca="false">IFERROR(E65,"N/M")</f>
        <v>115.04</v>
      </c>
      <c r="F79" s="79" t="n">
        <f aca="false">IFERROR(F65,"N/M")</f>
        <v>102.28</v>
      </c>
      <c r="G79" s="79" t="n">
        <f aca="false">IFERROR(G65,"N/M")</f>
        <v>88.52</v>
      </c>
      <c r="H79" s="79" t="n">
        <f aca="false">IFERROR(H65,"N/M")</f>
        <v>90.18</v>
      </c>
      <c r="I79" s="79" t="n">
        <f aca="false">IFERROR(I65,"N/M")</f>
        <v>83.19</v>
      </c>
      <c r="J79" s="79" t="n">
        <f aca="false">IFERROR(J65,"N/M")</f>
        <v>79.32</v>
      </c>
      <c r="K79" s="80" t="n">
        <f aca="false">IFERROR(AVERAGE(D79:J79),"N/M")</f>
        <v>96.3428571428571</v>
      </c>
      <c r="L79" s="81" t="n">
        <f aca="false">IFERROR(J79-D79,"N/M")</f>
        <v>-36.55</v>
      </c>
      <c r="M79" s="81" t="n">
        <f aca="false">IFERROR(SLOPE(D79:J79,$D$3:$J$3),"N/M")</f>
        <v>-6.62321428571429</v>
      </c>
    </row>
    <row r="80" customFormat="false" ht="15" hidden="false" customHeight="false" outlineLevel="0" collapsed="false">
      <c r="A80" s="18" t="s">
        <v>119</v>
      </c>
      <c r="B80" s="19" t="s">
        <v>517</v>
      </c>
      <c r="D80" s="47" t="n">
        <f aca="false">IFERROR(IF(D64&lt;=0,"N/M",D63/D64),"N/M")</f>
        <v>5.51911076443058</v>
      </c>
      <c r="E80" s="47" t="n">
        <f aca="false">IFERROR(IF(E64&lt;=0,"N/M",E63/E64),"N/M")</f>
        <v>10.61872909699</v>
      </c>
      <c r="F80" s="47" t="n">
        <f aca="false">IFERROR(IF(F64&lt;=0,"N/M",F63/F64),"N/M")</f>
        <v>8.40622737146995</v>
      </c>
      <c r="G80" s="47" t="n">
        <f aca="false">IFERROR(IF(G64&lt;=0,"N/M",G63/G64),"N/M")</f>
        <v>4.81551724137931</v>
      </c>
      <c r="H80" s="47" t="n">
        <f aca="false">IFERROR(IF(H64&lt;=0,"N/M",H63/H64),"N/M")</f>
        <v>2.85593743568636</v>
      </c>
      <c r="I80" s="47" t="n">
        <f aca="false">IFERROR(IF(I64&lt;=0,"N/M",I63/I64),"N/M")</f>
        <v>3.49146451033243</v>
      </c>
      <c r="J80" s="47" t="n">
        <f aca="false">IFERROR(IF(J64&lt;=0,"N/M",J63/J64),"N/M")</f>
        <v>3.3649373881932</v>
      </c>
      <c r="K80" s="22" t="n">
        <f aca="false">IFERROR(AVERAGE(D80:J80),"N/M")</f>
        <v>5.58170340121169</v>
      </c>
      <c r="L80" s="82" t="n">
        <f aca="false">IFERROR(J80-D80,"N/M")</f>
        <v>-2.15417337623737</v>
      </c>
      <c r="M80" s="83" t="n">
        <f aca="false">IFERROR(SLOPE(D80:J80,$D$3:$J$3),"N/M")</f>
        <v>-0.938119258493242</v>
      </c>
    </row>
    <row r="81" customFormat="false" ht="15" hidden="false" customHeight="false" outlineLevel="0" collapsed="false">
      <c r="A81" s="18" t="s">
        <v>121</v>
      </c>
      <c r="B81" s="19" t="s">
        <v>518</v>
      </c>
      <c r="D81" s="47" t="n">
        <f aca="false">IFERROR(IF(D64&lt;=0,"N/M",D66/D64),"N/M")</f>
        <v>3.96372854914197</v>
      </c>
      <c r="E81" s="47" t="n">
        <f aca="false">IFERROR(IF(E64&lt;=0,"N/M",E66/E64),"N/M")</f>
        <v>7.94230769230769</v>
      </c>
      <c r="F81" s="47" t="n">
        <f aca="false">IFERROR(IF(F64&lt;=0,"N/M",F66/F64),"N/M")</f>
        <v>6.22809558291093</v>
      </c>
      <c r="G81" s="47" t="n">
        <f aca="false">IFERROR(IF(G64&lt;=0,"N/M",G66/G64),"N/M")</f>
        <v>4.225</v>
      </c>
      <c r="H81" s="47" t="n">
        <f aca="false">IFERROR(IF(H64&lt;=0,"N/M",H66/H64),"N/M")</f>
        <v>2.5336488989504</v>
      </c>
      <c r="I81" s="47" t="n">
        <f aca="false">IFERROR(IF(I64&lt;=0,"N/M",I66/I64),"N/M")</f>
        <v>2.87720874513327</v>
      </c>
      <c r="J81" s="47" t="n">
        <f aca="false">IFERROR(IF(J64&lt;=0,"N/M",J66/J64),"N/M")</f>
        <v>2.96988670244484</v>
      </c>
      <c r="K81" s="22" t="n">
        <f aca="false">IFERROR(AVERAGE(D81:J81),"N/M")</f>
        <v>4.39141088155559</v>
      </c>
      <c r="L81" s="82" t="n">
        <f aca="false">IFERROR(J81-D81,"N/M")</f>
        <v>-0.993841846697123</v>
      </c>
      <c r="M81" s="83" t="n">
        <f aca="false">IFERROR(SLOPE(D81:J81,$D$3:$J$3),"N/M")</f>
        <v>-0.600220361371455</v>
      </c>
    </row>
    <row r="82" customFormat="false" ht="15" hidden="false" customHeight="false" outlineLevel="0" collapsed="false">
      <c r="A82" s="18" t="s">
        <v>519</v>
      </c>
      <c r="B82" s="19" t="s">
        <v>520</v>
      </c>
      <c r="D82" s="47" t="n">
        <f aca="false">IFERROR(IF(D64&lt;=0,"N/M",D38/D64),"N/M")</f>
        <v>0.50195007800312</v>
      </c>
      <c r="E82" s="47" t="n">
        <f aca="false">IFERROR(IF(E64&lt;=0,"N/M",E38/E64),"N/M")</f>
        <v>1.92976588628763</v>
      </c>
      <c r="F82" s="47" t="n">
        <f aca="false">IFERROR(IF(F64&lt;=0,"N/M",F38/F64),"N/M")</f>
        <v>1.5691527878349</v>
      </c>
      <c r="G82" s="47" t="n">
        <f aca="false">IFERROR(IF(G64&lt;=0,"N/M",G38/G64),"N/M")</f>
        <v>1.04137931034483</v>
      </c>
      <c r="H82" s="47" t="n">
        <f aca="false">IFERROR(IF(H64&lt;=0,"N/M",H38/H64),"N/M")</f>
        <v>0.665774850792344</v>
      </c>
      <c r="I82" s="47" t="n">
        <f aca="false">IFERROR(IF(I64&lt;=0,"N/M",I38/I64),"N/M")</f>
        <v>0.855944893680743</v>
      </c>
      <c r="J82" s="47" t="n">
        <f aca="false">IFERROR(IF(J64&lt;=0,"N/M",J38/J64),"N/M")</f>
        <v>0.802921884317233</v>
      </c>
      <c r="K82" s="22" t="n">
        <f aca="false">IFERROR(AVERAGE(D82:J82),"N/M")</f>
        <v>1.05241281303726</v>
      </c>
      <c r="L82" s="82" t="n">
        <f aca="false">IFERROR(J82-D82,"N/M")</f>
        <v>0.300971806314113</v>
      </c>
      <c r="M82" s="83" t="n">
        <f aca="false">IFERROR(SLOPE(D82:J82,$D$3:$J$3),"N/M")</f>
        <v>-0.0767180179754994</v>
      </c>
    </row>
    <row r="83" customFormat="false" ht="15" hidden="false" customHeight="false" outlineLevel="0" collapsed="false">
      <c r="A83" s="18" t="s">
        <v>521</v>
      </c>
      <c r="B83" s="19" t="s">
        <v>522</v>
      </c>
      <c r="D83" s="48" t="n">
        <f aca="false">IFERROR(IF((D54/365)&lt;=0,"N/M",D66/(D54/365)),"N/M")</f>
        <v>109.32143699163</v>
      </c>
      <c r="E83" s="48" t="n">
        <f aca="false">IFERROR(IF((E54/365)&lt;=0,"N/M",E66/(E54/365)),"N/M")</f>
        <v>167.429737299594</v>
      </c>
      <c r="F83" s="48" t="n">
        <f aca="false">IFERROR(IF((F54/365)&lt;=0,"N/M",F66/(F54/365)),"N/M")</f>
        <v>138.523805321449</v>
      </c>
      <c r="G83" s="48" t="n">
        <f aca="false">IFERROR(IF((G54/365)&lt;=0,"N/M",G66/(G54/365)),"N/M")</f>
        <v>133.517316017316</v>
      </c>
      <c r="H83" s="48" t="n">
        <f aca="false">IFERROR(IF((H54/365)&lt;=0,"N/M",H66/(H54/365)),"N/M")</f>
        <v>159.655889145497</v>
      </c>
      <c r="I83" s="48" t="n">
        <f aca="false">IFERROR(IF((I54/365)&lt;=0,"N/M",I66/(I54/365)),"N/M")</f>
        <v>105.024409967653</v>
      </c>
      <c r="J83" s="48" t="n">
        <f aca="false">IFERROR(IF((J54/365)&lt;=0,"N/M",J66/(J54/365)),"N/M")</f>
        <v>104.846584191251</v>
      </c>
      <c r="K83" s="28" t="n">
        <f aca="false">IFERROR(AVERAGE(D83:J83),"N/M")</f>
        <v>131.188454133484</v>
      </c>
      <c r="L83" s="84" t="n">
        <f aca="false">IFERROR(J83-D83,"N/M")</f>
        <v>-4.47485280037964</v>
      </c>
      <c r="M83" s="85" t="n">
        <f aca="false">IFERROR(SLOPE(D83:J83,$D$3:$J$3),"N/M")</f>
        <v>-4.18225461574907</v>
      </c>
    </row>
    <row r="84" customFormat="false" ht="15" hidden="false" customHeight="false" outlineLevel="0" collapsed="false">
      <c r="A84" s="18" t="s">
        <v>122</v>
      </c>
      <c r="B84" s="19" t="s">
        <v>523</v>
      </c>
      <c r="D84" s="47" t="n">
        <f aca="false">IFERROR(IF(D64&lt;=0,"N/M",D41/D64),"N/M")</f>
        <v>-0.610374414976599</v>
      </c>
      <c r="E84" s="47" t="n">
        <f aca="false">IFERROR(IF(E64&lt;=0,"N/M",E41/E64),"N/M")</f>
        <v>0.380434782608696</v>
      </c>
      <c r="F84" s="47" t="n">
        <f aca="false">IFERROR(IF(F64&lt;=0,"N/M",F41/F64),"N/M")</f>
        <v>0.662563359884142</v>
      </c>
      <c r="G84" s="47" t="n">
        <f aca="false">IFERROR(IF(G64&lt;=0,"N/M",G41/G64),"N/M")</f>
        <v>-0.187931034482759</v>
      </c>
      <c r="H84" s="47" t="n">
        <f aca="false">IFERROR(IF(H64&lt;=0,"N/M",H41/H64),"N/M")</f>
        <v>0.251286272895658</v>
      </c>
      <c r="I84" s="47" t="n">
        <f aca="false">IFERROR(IF(I64&lt;=0,"N/M",I41/I64),"N/M")</f>
        <v>0.0263551961665169</v>
      </c>
      <c r="J84" s="47" t="n">
        <f aca="false">IFERROR(IF(J64&lt;=0,"N/M",J41/J64),"N/M")</f>
        <v>0.23613595706619</v>
      </c>
      <c r="K84" s="22" t="n">
        <f aca="false">IFERROR(AVERAGE(D84:J84),"N/M")</f>
        <v>0.108352874165978</v>
      </c>
      <c r="L84" s="82" t="n">
        <f aca="false">IFERROR(J84-D84,"N/M")</f>
        <v>0.846510372042789</v>
      </c>
      <c r="M84" s="83" t="n">
        <f aca="false">IFERROR(SLOPE(D84:J84,$D$3:$J$3),"N/M")</f>
        <v>0.0507176734376973</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0.510123498277745</v>
      </c>
      <c r="E87" s="47" t="n">
        <f aca="false">IFERROR(IF(E61&lt;=0,"N/M",E28/E61),"N/M")</f>
        <v>0.529240267535586</v>
      </c>
      <c r="F87" s="47" t="n">
        <f aca="false">IFERROR(IF(F61&lt;=0,"N/M",F28/F61),"N/M")</f>
        <v>0.409176189663995</v>
      </c>
      <c r="G87" s="47" t="n">
        <f aca="false">IFERROR(IF(G61&lt;=0,"N/M",G28/G61),"N/M")</f>
        <v>0.265613051236299</v>
      </c>
      <c r="H87" s="47" t="n">
        <f aca="false">IFERROR(IF(H61&lt;=0,"N/M",H28/H61),"N/M")</f>
        <v>0.202128551076846</v>
      </c>
      <c r="I87" s="47" t="n">
        <f aca="false">IFERROR(IF(I61&lt;=0,"N/M",I28/I61),"N/M")</f>
        <v>0.107430544139405</v>
      </c>
      <c r="J87" s="47" t="n">
        <f aca="false">IFERROR(IF(J61&lt;=0,"N/M",J28/J61),"N/M")</f>
        <v>0.0506800518134715</v>
      </c>
      <c r="K87" s="22" t="n">
        <f aca="false">IFERROR(AVERAGE(D87:J87),"N/M")</f>
        <v>0.296341736249049</v>
      </c>
      <c r="L87" s="82" t="n">
        <f aca="false">IFERROR(J87-D87,"N/M")</f>
        <v>-0.459443446464274</v>
      </c>
      <c r="M87" s="83" t="n">
        <f aca="false">IFERROR(SLOPE(D87:J87,$D$3:$J$3),"N/M")</f>
        <v>-0.0867499080275832</v>
      </c>
    </row>
    <row r="88" customFormat="false" ht="15" hidden="false" customHeight="false" outlineLevel="0" collapsed="false">
      <c r="A88" s="18" t="s">
        <v>526</v>
      </c>
      <c r="B88" s="19" t="s">
        <v>527</v>
      </c>
      <c r="D88" s="47" t="n">
        <f aca="false">IFERROR(IF(D61&lt;=0,"N/M",(D28+D29)/D61),"N/M")</f>
        <v>0.725531378644039</v>
      </c>
      <c r="E88" s="47" t="n">
        <f aca="false">IFERROR(IF(E61&lt;=0,"N/M",(E28+E29)/E61),"N/M")</f>
        <v>0.631795575373006</v>
      </c>
      <c r="F88" s="47" t="n">
        <f aca="false">IFERROR(IF(F61&lt;=0,"N/M",(F28+F29)/F61),"N/M")</f>
        <v>0.526948661095003</v>
      </c>
      <c r="G88" s="47" t="n">
        <f aca="false">IFERROR(IF(G61&lt;=0,"N/M",(G28+G29)/G61),"N/M")</f>
        <v>0.462741099498683</v>
      </c>
      <c r="H88" s="47" t="n">
        <f aca="false">IFERROR(IF(H61&lt;=0,"N/M",(H28+H29)/H61),"N/M")</f>
        <v>0.609318696052962</v>
      </c>
      <c r="I88" s="47" t="n">
        <f aca="false">IFERROR(IF(I61&lt;=0,"N/M",(I28+I29)/I61),"N/M")</f>
        <v>0.381883938845964</v>
      </c>
      <c r="J88" s="47" t="n">
        <f aca="false">IFERROR(IF(J61&lt;=0,"N/M",(J28+J29)/J61),"N/M")</f>
        <v>0.322215025906736</v>
      </c>
      <c r="K88" s="22" t="n">
        <f aca="false">IFERROR(AVERAGE(D88:J88),"N/M")</f>
        <v>0.522919196488056</v>
      </c>
      <c r="L88" s="82" t="n">
        <f aca="false">IFERROR(J88-D88,"N/M")</f>
        <v>-0.403316352737304</v>
      </c>
      <c r="M88" s="83" t="n">
        <f aca="false">IFERROR(SLOPE(D88:J88,$D$3:$J$3),"N/M")</f>
        <v>-0.0581215105824298</v>
      </c>
    </row>
    <row r="89" customFormat="false" ht="15" hidden="false" customHeight="false" outlineLevel="0" collapsed="false">
      <c r="A89" s="18" t="s">
        <v>528</v>
      </c>
      <c r="B89" s="19" t="s">
        <v>529</v>
      </c>
      <c r="D89" s="47" t="n">
        <f aca="false">IFERROR(IF(D35&lt;=0,"N/M",D28/D35),"N/M")</f>
        <v>0.295632698768197</v>
      </c>
      <c r="E89" s="47" t="n">
        <f aca="false">IFERROR(IF(E35&lt;=0,"N/M",E28/E35),"N/M")</f>
        <v>0.324330005254861</v>
      </c>
      <c r="F89" s="47" t="n">
        <f aca="false">IFERROR(IF(F35&lt;=0,"N/M",F28/F35),"N/M")</f>
        <v>0.267969840826585</v>
      </c>
      <c r="G89" s="47" t="n">
        <f aca="false">IFERROR(IF(G35&lt;=0,"N/M",G28/G35),"N/M")</f>
        <v>0.181585826314261</v>
      </c>
      <c r="H89" s="47" t="n">
        <f aca="false">IFERROR(IF(H35&lt;=0,"N/M",H28/H35),"N/M")</f>
        <v>0.125598833576338</v>
      </c>
      <c r="I89" s="47" t="n">
        <f aca="false">IFERROR(IF(I35&lt;=0,"N/M",I28/I35),"N/M")</f>
        <v>0.077742088984059</v>
      </c>
      <c r="J89" s="47" t="n">
        <f aca="false">IFERROR(IF(J35&lt;=0,"N/M",J28/J35),"N/M")</f>
        <v>0.0383296595640461</v>
      </c>
      <c r="K89" s="22" t="n">
        <f aca="false">IFERROR(AVERAGE(D89:J89),"N/M")</f>
        <v>0.187312707612621</v>
      </c>
      <c r="L89" s="82" t="n">
        <f aca="false">IFERROR(J89-D89,"N/M")</f>
        <v>-0.257303039204151</v>
      </c>
      <c r="M89" s="83" t="n">
        <f aca="false">IFERROR(SLOPE(D89:J89,$D$3:$J$3),"N/M")</f>
        <v>-0.0502662841930108</v>
      </c>
    </row>
    <row r="90" customFormat="false" ht="15" hidden="false" customHeight="false" outlineLevel="0" collapsed="false">
      <c r="A90" s="18" t="s">
        <v>530</v>
      </c>
      <c r="B90" s="19" t="s">
        <v>531</v>
      </c>
      <c r="D90" s="47" t="n">
        <f aca="false">IFERROR(IF(D62&lt;=0,"N/M",D28/D62),"N/M")</f>
        <v>0.337802503477051</v>
      </c>
      <c r="E90" s="47" t="n">
        <f aca="false">IFERROR(IF(E62&lt;=0,"N/M",E28/E62),"N/M")</f>
        <v>0.346080520354379</v>
      </c>
      <c r="F90" s="47" t="n">
        <f aca="false">IFERROR(IF(F62&lt;=0,"N/M",F28/F62),"N/M")</f>
        <v>0.29036552892762</v>
      </c>
      <c r="G90" s="47" t="n">
        <f aca="false">IFERROR(IF(G62&lt;=0,"N/M",G28/G62),"N/M")</f>
        <v>0.209869083585096</v>
      </c>
      <c r="H90" s="47" t="n">
        <f aca="false">IFERROR(IF(H62&lt;=0,"N/M",H28/H62),"N/M")</f>
        <v>0.168142209829209</v>
      </c>
      <c r="I90" s="47" t="n">
        <f aca="false">IFERROR(IF(I62&lt;=0,"N/M",I28/I62),"N/M")</f>
        <v>0.0970088324797744</v>
      </c>
      <c r="J90" s="47" t="n">
        <f aca="false">IFERROR(IF(J62&lt;=0,"N/M",J28/J62),"N/M")</f>
        <v>0.0482354754199414</v>
      </c>
      <c r="K90" s="22" t="n">
        <f aca="false">IFERROR(AVERAGE(D90:J90),"N/M")</f>
        <v>0.213929164867582</v>
      </c>
      <c r="L90" s="82" t="n">
        <f aca="false">IFERROR(J90-D90,"N/M")</f>
        <v>-0.28956702805711</v>
      </c>
      <c r="M90" s="83" t="n">
        <f aca="false">IFERROR(SLOPE(D90:J90,$D$3:$J$3),"N/M")</f>
        <v>-0.0531809921078197</v>
      </c>
    </row>
    <row r="91" customFormat="false" ht="15" hidden="false" customHeight="false" outlineLevel="0" collapsed="false">
      <c r="A91" s="18" t="s">
        <v>125</v>
      </c>
      <c r="B91" s="19" t="s">
        <v>532</v>
      </c>
      <c r="D91" s="46" t="n">
        <f aca="false">IFERROR(IF(D35=0,"N/M",D61/D35),"N/M")</f>
        <v>0.579531622766444</v>
      </c>
      <c r="E91" s="46" t="n">
        <f aca="false">IFERROR(IF(E35=0,"N/M",E61/E35),"N/M")</f>
        <v>0.612821860220704</v>
      </c>
      <c r="F91" s="46" t="n">
        <f aca="false">IFERROR(IF(F35=0,"N/M",F61/F35),"N/M")</f>
        <v>0.654900865679978</v>
      </c>
      <c r="G91" s="46" t="n">
        <f aca="false">IFERROR(IF(G35=0,"N/M",G61/G35),"N/M")</f>
        <v>0.68364798141156</v>
      </c>
      <c r="H91" s="46" t="n">
        <f aca="false">IFERROR(IF(H35=0,"N/M",H61/H35),"N/M")</f>
        <v>0.621380962299521</v>
      </c>
      <c r="I91" s="46" t="n">
        <f aca="false">IFERROR(IF(I35=0,"N/M",I61/I35),"N/M")</f>
        <v>0.723649773970973</v>
      </c>
      <c r="J91" s="46" t="n">
        <f aca="false">IFERROR(IF(J35=0,"N/M",J61/J35),"N/M")</f>
        <v>0.756306637276513</v>
      </c>
      <c r="K91" s="25" t="n">
        <f aca="false">IFERROR(AVERAGE(D91:J91),"N/M")</f>
        <v>0.661748529089385</v>
      </c>
      <c r="L91" s="86" t="n">
        <f aca="false">IFERROR(J91-D91,"N/M")</f>
        <v>0.176775014510068</v>
      </c>
      <c r="M91" s="87" t="n">
        <f aca="false">IFERROR(SLOPE(D91:J91,$D$3:$J$3),"N/M")</f>
        <v>0.0256593202732245</v>
      </c>
    </row>
    <row r="92" customFormat="false" ht="15" hidden="false" customHeight="false" outlineLevel="0" collapsed="false">
      <c r="A92" s="18" t="s">
        <v>533</v>
      </c>
      <c r="B92" s="19" t="s">
        <v>534</v>
      </c>
      <c r="D92" s="47" t="n">
        <f aca="false">IFERROR(IF(D61&lt;=0,"N/M",D28/D61),"N/M")</f>
        <v>0.510123498277745</v>
      </c>
      <c r="E92" s="47" t="n">
        <f aca="false">IFERROR(IF(E61&lt;=0,"N/M",E28/E61),"N/M")</f>
        <v>0.529240267535586</v>
      </c>
      <c r="F92" s="47" t="n">
        <f aca="false">IFERROR(IF(F61&lt;=0,"N/M",F28/F61),"N/M")</f>
        <v>0.409176189663995</v>
      </c>
      <c r="G92" s="47" t="n">
        <f aca="false">IFERROR(IF(G61&lt;=0,"N/M",G28/G61),"N/M")</f>
        <v>0.265613051236299</v>
      </c>
      <c r="H92" s="47" t="n">
        <f aca="false">IFERROR(IF(H61&lt;=0,"N/M",H28/H61),"N/M")</f>
        <v>0.202128551076846</v>
      </c>
      <c r="I92" s="47" t="n">
        <f aca="false">IFERROR(IF(I61&lt;=0,"N/M",I28/I61),"N/M")</f>
        <v>0.107430544139405</v>
      </c>
      <c r="J92" s="47" t="n">
        <f aca="false">IFERROR(IF(J61&lt;=0,"N/M",J28/J61),"N/M")</f>
        <v>0.0506800518134715</v>
      </c>
      <c r="K92" s="22" t="n">
        <f aca="false">IFERROR(AVERAGE(D92:J92),"N/M")</f>
        <v>0.296341736249049</v>
      </c>
      <c r="L92" s="82" t="n">
        <f aca="false">IFERROR(J92-D92,"N/M")</f>
        <v>-0.459443446464274</v>
      </c>
      <c r="M92" s="83" t="n">
        <f aca="false">IFERROR(SLOPE(D92:J92,$D$3:$J$3),"N/M")</f>
        <v>-0.0867499080275832</v>
      </c>
    </row>
    <row r="93" customFormat="false" ht="15" hidden="false" customHeight="false" outlineLevel="0" collapsed="false">
      <c r="A93" s="18" t="s">
        <v>126</v>
      </c>
      <c r="B93" s="19" t="s">
        <v>535</v>
      </c>
      <c r="D93" s="47" t="n">
        <f aca="false">IFERROR(IF(D59&lt;=0,"N/M",D28/D59),"N/M")</f>
        <v>2.51636966431828</v>
      </c>
      <c r="E93" s="47" t="n">
        <f aca="false">IFERROR(IF(E59&lt;=0,"N/M",E28/E59),"N/M")</f>
        <v>6.03913894324853</v>
      </c>
      <c r="F93" s="47" t="n">
        <f aca="false">IFERROR(IF(F59&lt;=0,"N/M",F28/F59),"N/M")</f>
        <v>4.70392156862745</v>
      </c>
      <c r="G93" s="47" t="n">
        <f aca="false">IFERROR(IF(G59&lt;=0,"N/M",G28/G59),"N/M")</f>
        <v>2.5352798053528</v>
      </c>
      <c r="H93" s="47" t="n">
        <f aca="false">IFERROR(IF(H59&lt;=0,"N/M",H28/H59),"N/M")</f>
        <v>2.17886178861789</v>
      </c>
      <c r="I93" s="47" t="n">
        <f aca="false">IFERROR(IF(I59&lt;=0,"N/M",I28/I59),"N/M")</f>
        <v>1.14048865619546</v>
      </c>
      <c r="J93" s="47" t="n">
        <f aca="false">IFERROR(IF(J59&lt;=0,"N/M",J28/J59),"N/M")</f>
        <v>0.473883421650265</v>
      </c>
      <c r="K93" s="22" t="n">
        <f aca="false">IFERROR(AVERAGE(D93:J93),"N/M")</f>
        <v>2.79827769257295</v>
      </c>
      <c r="L93" s="82" t="n">
        <f aca="false">IFERROR(J93-D93,"N/M")</f>
        <v>-2.04248624266801</v>
      </c>
      <c r="M93" s="83" t="n">
        <f aca="false">IFERROR(SLOPE(D93:J93,$D$3:$J$3),"N/M")</f>
        <v>-0.658922110075705</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2.7361299052774</v>
      </c>
      <c r="E96" s="47" t="n">
        <f aca="false">IFERROR(IF(E19&lt;=0,"N/M",E58/E19),"N/M")</f>
        <v>1.0368906455863</v>
      </c>
      <c r="F96" s="47" t="n">
        <f aca="false">IFERROR(IF(F19&lt;=0,"N/M",F58/F19),"N/M")</f>
        <v>1.41760299625468</v>
      </c>
      <c r="G96" s="47" t="n">
        <f aca="false">IFERROR(IF(G19&lt;=0,"N/M",G58/G19),"N/M")</f>
        <v>1.9727463312369</v>
      </c>
      <c r="H96" s="47" t="n">
        <f aca="false">IFERROR(IF(H19&lt;=0,"N/M",H58/H19),"N/M")</f>
        <v>3.19305019305019</v>
      </c>
      <c r="I96" s="47" t="n">
        <f aca="false">IFERROR(IF(I19&lt;=0,"N/M",I58/I19),"N/M")</f>
        <v>7.5</v>
      </c>
      <c r="J96" s="47" t="n">
        <f aca="false">IFERROR(IF(J19&lt;=0,"N/M",J58/J19),"N/M")</f>
        <v>30.4571428571429</v>
      </c>
      <c r="K96" s="22" t="n">
        <f aca="false">IFERROR(AVERAGE(D96:J96),"N/M")</f>
        <v>6.90193756122119</v>
      </c>
      <c r="L96" s="82" t="n">
        <f aca="false">IFERROR(J96-D96,"N/M")</f>
        <v>27.7210129518655</v>
      </c>
      <c r="M96" s="83" t="n">
        <f aca="false">IFERROR(SLOPE(D96:J96,$D$3:$J$3),"N/M")</f>
        <v>3.4951680271864</v>
      </c>
    </row>
    <row r="97" customFormat="false" ht="15" hidden="false" customHeight="false" outlineLevel="0" collapsed="false">
      <c r="A97" s="18" t="s">
        <v>538</v>
      </c>
      <c r="B97" s="19" t="s">
        <v>539</v>
      </c>
      <c r="D97" s="47" t="n">
        <f aca="false">IFERROR(IF(D19&lt;=0,"N/M",D59/D19),"N/M")</f>
        <v>3.26522327469553</v>
      </c>
      <c r="E97" s="47" t="n">
        <f aca="false">IFERROR(IF(E19&lt;=0,"N/M",E59/E19),"N/M")</f>
        <v>1.34650856389987</v>
      </c>
      <c r="F97" s="47" t="n">
        <f aca="false">IFERROR(IF(F19&lt;=0,"N/M",F59/F19),"N/M")</f>
        <v>1.91011235955056</v>
      </c>
      <c r="G97" s="47" t="n">
        <f aca="false">IFERROR(IF(G19&lt;=0,"N/M",G59/G19),"N/M")</f>
        <v>2.58490566037736</v>
      </c>
      <c r="H97" s="47" t="n">
        <f aca="false">IFERROR(IF(H19&lt;=0,"N/M",H59/H19),"N/M")</f>
        <v>4.27413127413128</v>
      </c>
      <c r="I97" s="47" t="n">
        <f aca="false">IFERROR(IF(I19&lt;=0,"N/M",I59/I19),"N/M")</f>
        <v>9.71186440677966</v>
      </c>
      <c r="J97" s="47" t="n">
        <f aca="false">IFERROR(IF(J19&lt;=0,"N/M",J59/J19),"N/M")</f>
        <v>37.7428571428572</v>
      </c>
      <c r="K97" s="22" t="n">
        <f aca="false">IFERROR(AVERAGE(D97:J97),"N/M")</f>
        <v>8.69080038318449</v>
      </c>
      <c r="L97" s="82" t="n">
        <f aca="false">IFERROR(J97-D97,"N/M")</f>
        <v>34.4776338681616</v>
      </c>
      <c r="M97" s="83" t="n">
        <f aca="false">IFERROR(SLOPE(D97:J97,$D$3:$J$3),"N/M")</f>
        <v>4.37598686445804</v>
      </c>
    </row>
    <row r="98" customFormat="false" ht="15" hidden="false" customHeight="false" outlineLevel="0" collapsed="false">
      <c r="A98" s="18" t="s">
        <v>540</v>
      </c>
      <c r="B98" s="19" t="s">
        <v>541</v>
      </c>
      <c r="D98" s="47" t="n">
        <f aca="false">IFERROR(IF(D23&lt;=0,"N/M",D22/D23),"N/M")</f>
        <v>63.1764705882353</v>
      </c>
      <c r="E98" s="47" t="n">
        <f aca="false">IFERROR(IF(E23&lt;=0,"N/M",E22/E23),"N/M")</f>
        <v>0.192307692307692</v>
      </c>
      <c r="F98" s="47" t="n">
        <f aca="false">IFERROR(IF(F23&lt;=0,"N/M",F22/F23),"N/M")</f>
        <v>6.30555555555556</v>
      </c>
      <c r="G98" s="47" t="n">
        <f aca="false">IFERROR(IF(G23&lt;=0,"N/M",G22/G23),"N/M")</f>
        <v>7.53846153846154</v>
      </c>
      <c r="H98" s="47" t="n">
        <f aca="false">IFERROR(IF(H23&lt;=0,"N/M",H22/H23),"N/M")</f>
        <v>8.52307692307692</v>
      </c>
      <c r="I98" s="47" t="n">
        <f aca="false">IFERROR(IF(I23&lt;=0,"N/M",I22/I23),"N/M")</f>
        <v>3.63636363636364</v>
      </c>
      <c r="J98" s="47" t="n">
        <f aca="false">IFERROR(IF(J23&lt;=0,"N/M",J22/J23),"N/M")</f>
        <v>6.90647482014389</v>
      </c>
      <c r="K98" s="22" t="n">
        <f aca="false">IFERROR(AVERAGE(D98:J98),"N/M")</f>
        <v>13.7541015363064</v>
      </c>
      <c r="L98" s="82" t="n">
        <f aca="false">IFERROR(J98-D98,"N/M")</f>
        <v>-56.2699957680914</v>
      </c>
      <c r="M98" s="83" t="n">
        <f aca="false">IFERROR(SLOPE(D98:J98,$D$3:$J$3),"N/M")</f>
        <v>-5.70372693030861</v>
      </c>
    </row>
    <row r="99" customFormat="false" ht="15" hidden="false" customHeight="false" outlineLevel="0" collapsed="false">
      <c r="A99" s="18" t="s">
        <v>542</v>
      </c>
      <c r="B99" s="19" t="s">
        <v>543</v>
      </c>
      <c r="D99" s="47" t="n">
        <f aca="false">IFERROR(IF((D19+IF((1-D60)&lt;=0,"N/M",D68/(1-D60)))&lt;=0,"N/M",D59/(D19+IF((1-D60)&lt;=0,"N/M",D68/(1-D60)))),"N/M")</f>
        <v>0.925690196578969</v>
      </c>
      <c r="E99" s="47" t="n">
        <f aca="false">IFERROR(IF((E19+IF((1-E60)&lt;=0,"N/M",E68/(1-E60)))&lt;=0,"N/M",E59/(E19+IF((1-E60)&lt;=0,"N/M",E68/(1-E60)))),"N/M")</f>
        <v>1.34650856389987</v>
      </c>
      <c r="F99" s="47" t="n">
        <f aca="false">IFERROR(IF((F19+IF((1-F60)&lt;=0,"N/M",F68/(1-F60)))&lt;=0,"N/M",F59/(F19+IF((1-F60)&lt;=0,"N/M",F68/(1-F60)))),"N/M")</f>
        <v>0.534591194968553</v>
      </c>
      <c r="G99" s="47" t="n">
        <f aca="false">IFERROR(IF((G19+IF((1-G60)&lt;=0,"N/M",G68/(1-G60)))&lt;=0,"N/M",G59/(G19+IF((1-G60)&lt;=0,"N/M",G68/(1-G60)))),"N/M")</f>
        <v>0.57375523499302</v>
      </c>
      <c r="H99" s="47" t="n">
        <f aca="false">IFERROR(IF((H19+IF((1-H60)&lt;=0,"N/M",H68/(1-H60)))&lt;=0,"N/M",H59/(H19+IF((1-H60)&lt;=0,"N/M",H68/(1-H60)))),"N/M")</f>
        <v>1.11700465177274</v>
      </c>
      <c r="I99" s="47" t="n">
        <f aca="false">IFERROR(IF((I19+IF((1-I60)&lt;=0,"N/M",I68/(1-I60)))&lt;=0,"N/M",I59/(I19+IF((1-I60)&lt;=0,"N/M",I68/(1-I60)))),"N/M")</f>
        <v>0.930412137415412</v>
      </c>
      <c r="J99" s="47" t="n">
        <f aca="false">IFERROR(IF((J19+IF((1-J60)&lt;=0,"N/M",J68/(1-J60)))&lt;=0,"N/M",J59/(J19+IF((1-J60)&lt;=0,"N/M",J68/(1-J60)))),"N/M")</f>
        <v>1.72200669860101</v>
      </c>
      <c r="K99" s="22" t="n">
        <f aca="false">IFERROR(AVERAGE(D99:J99),"N/M")</f>
        <v>1.02142409688994</v>
      </c>
      <c r="L99" s="82" t="n">
        <f aca="false">IFERROR(J99-D99,"N/M")</f>
        <v>0.796316502022046</v>
      </c>
      <c r="M99" s="83" t="n">
        <f aca="false">IFERROR(SLOPE(D99:J99,$D$3:$J$3),"N/M")</f>
        <v>0.0763989324964789</v>
      </c>
    </row>
    <row r="100" customFormat="false" ht="15" hidden="false" customHeight="false" outlineLevel="0" collapsed="false">
      <c r="A100" s="18" t="s">
        <v>544</v>
      </c>
      <c r="B100" s="19" t="s">
        <v>545</v>
      </c>
      <c r="D100" s="47" t="n">
        <f aca="false">IFERROR(IF((D19+IF((1-D60)&lt;=0,"N/M",D68/(1-D60)))&lt;=0,"N/M",(D41+D21)/(D19+IF((1-D60)&lt;=0,"N/M",D68/(1-D60)))),"N/M")</f>
        <v>-0.51981359981952</v>
      </c>
      <c r="E100" s="47" t="n">
        <f aca="false">IFERROR(IF((E19+IF((1-E60)&lt;=0,"N/M",E68/(1-E60)))&lt;=0,"N/M",(E41+E21)/(E19+IF((1-E60)&lt;=0,"N/M",E68/(1-E60)))),"N/M")</f>
        <v>0.628458498023715</v>
      </c>
      <c r="F100" s="47" t="n">
        <f aca="false">IFERROR(IF((F19+IF((1-F60)&lt;=0,"N/M",F68/(1-F60)))&lt;=0,"N/M",(F41+F21)/(F19+IF((1-F60)&lt;=0,"N/M",F68/(1-F60)))),"N/M")</f>
        <v>0.477463312368973</v>
      </c>
      <c r="G100" s="47" t="n">
        <f aca="false">IFERROR(IF((G19+IF((1-G60)&lt;=0,"N/M",G68/(1-G60)))&lt;=0,"N/M",(G41+G21)/(G19+IF((1-G60)&lt;=0,"N/M",G68/(1-G60)))),"N/M")</f>
        <v>-0.214518380642159</v>
      </c>
      <c r="H100" s="47" t="n">
        <f aca="false">IFERROR(IF((H19+IF((1-H60)&lt;=0,"N/M",H68/(1-H60)))&lt;=0,"N/M",(H41+H21)/(H19+IF((1-H60)&lt;=0,"N/M",H68/(1-H60)))),"N/M")</f>
        <v>1.24616146787654</v>
      </c>
      <c r="I100" s="47" t="n">
        <f aca="false">IFERROR(IF((I19+IF((1-I60)&lt;=0,"N/M",I68/(1-I60)))&lt;=0,"N/M",(I41+I21)/(I19+IF((1-I60)&lt;=0,"N/M",I68/(1-I60)))),"N/M")</f>
        <v>0.0763165278508278</v>
      </c>
      <c r="J100" s="47" t="n">
        <f aca="false">IFERROR(IF((J19+IF((1-J60)&lt;=0,"N/M",J68/(1-J60)))&lt;=0,"N/M",(J41+J21)/(J19+IF((1-J60)&lt;=0,"N/M",J68/(1-J60)))),"N/M")</f>
        <v>1.12627841604184</v>
      </c>
      <c r="K100" s="22" t="n">
        <f aca="false">IFERROR(AVERAGE(D100:J100),"N/M")</f>
        <v>0.402906605957175</v>
      </c>
      <c r="L100" s="82" t="n">
        <f aca="false">IFERROR(J100-D100,"N/M")</f>
        <v>1.64609201586137</v>
      </c>
      <c r="M100" s="83" t="n">
        <f aca="false">IFERROR(SLOPE(D100:J100,$D$3:$J$3),"N/M")</f>
        <v>0.164381795098067</v>
      </c>
    </row>
    <row r="101" customFormat="false" ht="15" hidden="false" customHeight="false" outlineLevel="0" collapsed="false">
      <c r="A101" s="18" t="s">
        <v>546</v>
      </c>
      <c r="B101" s="19" t="s">
        <v>547</v>
      </c>
      <c r="D101" s="47" t="str">
        <f aca="false">IFERROR(IF(D67&lt;=0,"N/M",D41/D67),"N/M")</f>
        <v>N/M</v>
      </c>
      <c r="E101" s="47" t="n">
        <f aca="false">IFERROR(IF(E67&lt;=0,"N/M",E41/E67),"N/M")</f>
        <v>1.5016501650165</v>
      </c>
      <c r="F101" s="47" t="n">
        <f aca="false">IFERROR(IF(F67&lt;=0,"N/M",F41/F67),"N/M")</f>
        <v>1.58578856152513</v>
      </c>
      <c r="G101" s="47" t="n">
        <f aca="false">IFERROR(IF(G67&lt;=0,"N/M",G41/G67),"N/M")</f>
        <v>-3.92792792792794</v>
      </c>
      <c r="H101" s="47" t="str">
        <f aca="false">IFERROR(IF(H67&lt;=0,"N/M",H41/H67),"N/M")</f>
        <v>N/M</v>
      </c>
      <c r="I101" s="47" t="n">
        <f aca="false">IFERROR(IF(I67&lt;=0,"N/M",I41/I67),"N/M")</f>
        <v>0.709677419354837</v>
      </c>
      <c r="J101" s="47" t="n">
        <f aca="false">IFERROR(IF(J67&lt;=0,"N/M",J41/J67),"N/M")</f>
        <v>6.23622047244095</v>
      </c>
      <c r="K101" s="22" t="n">
        <f aca="false">IFERROR(AVERAGE(D101:J101),"N/M")</f>
        <v>1.2210817380819</v>
      </c>
      <c r="L101" s="82" t="str">
        <f aca="false">IFERROR(J101-D101,"N/M")</f>
        <v>N/M</v>
      </c>
      <c r="M101" s="83" t="n">
        <f aca="false">IFERROR(SLOPE(D101:J101,$D$3:$J$3),"N/M")</f>
        <v>0.761439760948291</v>
      </c>
    </row>
    <row r="102" customFormat="false" ht="15" hidden="false" customHeight="false" outlineLevel="0" collapsed="false">
      <c r="A102" s="18" t="s">
        <v>129</v>
      </c>
      <c r="B102" s="19" t="s">
        <v>548</v>
      </c>
      <c r="D102" s="47" t="n">
        <f aca="false">IFERROR(IF((D19+D68)&lt;=0,"N/M",((D22+D19)+D18)/(D19+D68)),"N/M")</f>
        <v>0.957844415471534</v>
      </c>
      <c r="E102" s="47" t="n">
        <f aca="false">IFERROR(IF((E19+E68)&lt;=0,"N/M",((E22+E19)+E18)/(E19+E68)),"N/M")</f>
        <v>1.31620553359684</v>
      </c>
      <c r="F102" s="47" t="n">
        <f aca="false">IFERROR(IF((F19+F68)&lt;=0,"N/M",((F22+F19)+F18)/(F19+F68)),"N/M")</f>
        <v>0.536687631027254</v>
      </c>
      <c r="G102" s="47" t="n">
        <f aca="false">IFERROR(IF((G19+G68)&lt;=0,"N/M",((G22+G19)+G18)/(G19+G68)),"N/M")</f>
        <v>0.585853885528153</v>
      </c>
      <c r="H102" s="47" t="n">
        <f aca="false">IFERROR(IF((H19+H68)&lt;=0,"N/M",((H22+H19)+H18)/(H19+H68)),"N/M")</f>
        <v>1.12332990750257</v>
      </c>
      <c r="I102" s="47" t="n">
        <f aca="false">IFERROR(IF((I19+I68)&lt;=0,"N/M",((I22+I19)+I18)/(I19+I68)),"N/M")</f>
        <v>0.931316434995912</v>
      </c>
      <c r="J102" s="47" t="n">
        <f aca="false">IFERROR(IF((J19+J68)&lt;=0,"N/M",((J22+J19)+J18)/(J19+J68)),"N/M")</f>
        <v>1.74581005586592</v>
      </c>
      <c r="K102" s="22" t="n">
        <f aca="false">IFERROR(AVERAGE(D102:J102),"N/M")</f>
        <v>1.02814969485545</v>
      </c>
      <c r="L102" s="82" t="n">
        <f aca="false">IFERROR(J102-D102,"N/M")</f>
        <v>0.787965640394388</v>
      </c>
      <c r="M102" s="83" t="n">
        <f aca="false">IFERROR(SLOPE(D102:J102,$D$3:$J$3),"N/M")</f>
        <v>0.0778843214448795</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str">
        <f aca="false">IFERROR(IF(((D37+C37)/2)&lt;=0,"N/M",D52/((D37+C37)/2)),"N/M")</f>
        <v>N/M</v>
      </c>
      <c r="E105" s="47" t="str">
        <f aca="false">IFERROR(IF(((E37+D37)/2)&lt;=0,"N/M",E52/((E37+D37)/2)),"N/M")</f>
        <v>N/M</v>
      </c>
      <c r="F105" s="47" t="str">
        <f aca="false">IFERROR(IF(((F37+E37)/2)&lt;=0,"N/M",F52/((F37+E37)/2)),"N/M")</f>
        <v>N/M</v>
      </c>
      <c r="G105" s="47" t="str">
        <f aca="false">IFERROR(IF(((G37+F37)/2)&lt;=0,"N/M",G52/((G37+F37)/2)),"N/M")</f>
        <v>N/M</v>
      </c>
      <c r="H105" s="47" t="str">
        <f aca="false">IFERROR(IF(((H37+G37)/2)&lt;=0,"N/M",H52/((H37+G37)/2)),"N/M")</f>
        <v>N/M</v>
      </c>
      <c r="I105" s="47" t="str">
        <f aca="false">IFERROR(IF(((I37+H37)/2)&lt;=0,"N/M",I52/((I37+H37)/2)),"N/M")</f>
        <v>N/M</v>
      </c>
      <c r="J105" s="47" t="str">
        <f aca="false">IFERROR(IF(((J37+I37)/2)&lt;=0,"N/M",J52/((J37+I37)/2)),"N/M")</f>
        <v>N/M</v>
      </c>
      <c r="K105" s="22" t="str">
        <f aca="false">IFERROR(AVERAGE(D105:J105),"N/M")</f>
        <v>N/M</v>
      </c>
      <c r="L105" s="82" t="str">
        <f aca="false">IFERROR(J105-D105,"N/M")</f>
        <v>N/M</v>
      </c>
      <c r="M105" s="83" t="str">
        <f aca="false">IFERROR(SLOPE(D105:J105,$D$3:$J$3),"N/M")</f>
        <v>N/M</v>
      </c>
    </row>
    <row r="106" customFormat="false" ht="15" hidden="false" customHeight="false" outlineLevel="0" collapsed="false">
      <c r="A106" s="18" t="s">
        <v>552</v>
      </c>
      <c r="B106" s="19" t="s">
        <v>553</v>
      </c>
      <c r="D106" s="48" t="str">
        <f aca="false">IFERROR(IF(D105&lt;=0,"N/M",365/D105),"N/M")</f>
        <v>N/M</v>
      </c>
      <c r="E106" s="48" t="str">
        <f aca="false">IFERROR(IF(E105&lt;=0,"N/M",365/E105),"N/M")</f>
        <v>N/M</v>
      </c>
      <c r="F106" s="48" t="str">
        <f aca="false">IFERROR(IF(F105&lt;=0,"N/M",365/F105),"N/M")</f>
        <v>N/M</v>
      </c>
      <c r="G106" s="48" t="str">
        <f aca="false">IFERROR(IF(G105&lt;=0,"N/M",365/G105),"N/M")</f>
        <v>N/M</v>
      </c>
      <c r="H106" s="48" t="str">
        <f aca="false">IFERROR(IF(H105&lt;=0,"N/M",365/H105),"N/M")</f>
        <v>N/M</v>
      </c>
      <c r="I106" s="48" t="str">
        <f aca="false">IFERROR(IF(I105&lt;=0,"N/M",365/I105),"N/M")</f>
        <v>N/M</v>
      </c>
      <c r="J106" s="48" t="str">
        <f aca="false">IFERROR(IF(J105&lt;=0,"N/M",365/J105),"N/M")</f>
        <v>N/M</v>
      </c>
      <c r="K106" s="28" t="str">
        <f aca="false">IFERROR(AVERAGE(D106:J106),"N/M")</f>
        <v>N/M</v>
      </c>
      <c r="L106" s="84" t="str">
        <f aca="false">IFERROR(J106-D106,"N/M")</f>
        <v>N/M</v>
      </c>
      <c r="M106" s="85" t="str">
        <f aca="false">IFERROR(SLOPE(D106:J106,$D$3:$J$3),"N/M")</f>
        <v>N/M</v>
      </c>
    </row>
    <row r="107" customFormat="false" ht="15" hidden="false" customHeight="false" outlineLevel="0" collapsed="false">
      <c r="A107" s="18" t="s">
        <v>554</v>
      </c>
      <c r="B107" s="19" t="s">
        <v>555</v>
      </c>
      <c r="D107" s="47" t="n">
        <f aca="false">IFERROR(IF(((D36+C36)/2)&lt;=0,"N/M",D9/((D36+C36)/2)),"N/M")</f>
        <v>3.6932971881146</v>
      </c>
      <c r="E107" s="47" t="n">
        <f aca="false">IFERROR(IF(((E36+D36)/2)&lt;=0,"N/M",E9/((E36+D36)/2)),"N/M")</f>
        <v>2.64206136802141</v>
      </c>
      <c r="F107" s="47" t="n">
        <f aca="false">IFERROR(IF(((F36+E36)/2)&lt;=0,"N/M",F9/((F36+E36)/2)),"N/M")</f>
        <v>3.43955963302752</v>
      </c>
      <c r="G107" s="47" t="n">
        <f aca="false">IFERROR(IF(((G36+F36)/2)&lt;=0,"N/M",G9/((G36+F36)/2)),"N/M")</f>
        <v>4.02720694645441</v>
      </c>
      <c r="H107" s="47" t="n">
        <f aca="false">IFERROR(IF(((H36+G36)/2)&lt;=0,"N/M",H9/((H36+G36)/2)),"N/M")</f>
        <v>3.52994775847406</v>
      </c>
      <c r="I107" s="47" t="n">
        <f aca="false">IFERROR(IF(((I36+H36)/2)&lt;=0,"N/M",I9/((I36+H36)/2)),"N/M")</f>
        <v>4.33099526066351</v>
      </c>
      <c r="J107" s="47" t="n">
        <f aca="false">IFERROR(IF(((J36+I36)/2)&lt;=0,"N/M",J9/((J36+I36)/2)),"N/M")</f>
        <v>5.09581222800885</v>
      </c>
      <c r="K107" s="22" t="n">
        <f aca="false">IFERROR(AVERAGE(D107:J107),"N/M")</f>
        <v>3.82269719753777</v>
      </c>
      <c r="L107" s="82" t="n">
        <f aca="false">IFERROR(J107-D107,"N/M")</f>
        <v>1.40251503989424</v>
      </c>
      <c r="M107" s="83" t="n">
        <f aca="false">IFERROR(SLOPE(D107:J107,$D$3:$J$3),"N/M")</f>
        <v>0.274135751086195</v>
      </c>
    </row>
    <row r="108" customFormat="false" ht="15" hidden="false" customHeight="false" outlineLevel="0" collapsed="false">
      <c r="A108" s="18" t="s">
        <v>130</v>
      </c>
      <c r="B108" s="19" t="s">
        <v>556</v>
      </c>
      <c r="D108" s="48" t="n">
        <f aca="false">IFERROR(IF(D107&lt;=0,"N/M",365/D107),"N/M")</f>
        <v>98.82768198958</v>
      </c>
      <c r="E108" s="48" t="n">
        <f aca="false">IFERROR(IF(E107&lt;=0,"N/M",365/E107),"N/M")</f>
        <v>138.149705535925</v>
      </c>
      <c r="F108" s="48" t="n">
        <f aca="false">IFERROR(IF(F107&lt;=0,"N/M",365/F107),"N/M")</f>
        <v>106.118235745988</v>
      </c>
      <c r="G108" s="48" t="n">
        <f aca="false">IFERROR(IF(G107&lt;=0,"N/M",365/G107),"N/M")</f>
        <v>90.6335345694983</v>
      </c>
      <c r="H108" s="48" t="n">
        <f aca="false">IFERROR(IF(H107&lt;=0,"N/M",365/H107),"N/M")</f>
        <v>103.400963689554</v>
      </c>
      <c r="I108" s="48" t="n">
        <f aca="false">IFERROR(IF(I107&lt;=0,"N/M",365/I107),"N/M")</f>
        <v>84.2762409174473</v>
      </c>
      <c r="J108" s="48" t="n">
        <f aca="false">IFERROR(IF(J107&lt;=0,"N/M",365/J107),"N/M")</f>
        <v>71.6274430195442</v>
      </c>
      <c r="K108" s="28" t="n">
        <f aca="false">IFERROR(AVERAGE(D108:J108),"N/M")</f>
        <v>99.0048293525053</v>
      </c>
      <c r="L108" s="84" t="n">
        <f aca="false">IFERROR(J108-D108,"N/M")</f>
        <v>-27.2002389700359</v>
      </c>
      <c r="M108" s="85" t="n">
        <f aca="false">IFERROR(SLOPE(D108:J108,$D$3:$J$3),"N/M")</f>
        <v>-6.85946136441059</v>
      </c>
    </row>
    <row r="109" customFormat="false" ht="15" hidden="false" customHeight="false" outlineLevel="0" collapsed="false">
      <c r="A109" s="18" t="s">
        <v>557</v>
      </c>
      <c r="B109" s="19" t="s">
        <v>558</v>
      </c>
      <c r="D109" s="47" t="n">
        <f aca="false">IFERROR(IF(((D29+C29)/2)&lt;=0,"N/M",D52/((D29+C29)/2)),"N/M")</f>
        <v>12.7960199004975</v>
      </c>
      <c r="E109" s="47" t="n">
        <f aca="false">IFERROR(IF(((E29+D29)/2)&lt;=0,"N/M",E52/((E29+D29)/2)),"N/M")</f>
        <v>10.1170212765957</v>
      </c>
      <c r="F109" s="47" t="n">
        <f aca="false">IFERROR(IF(((F29+E29)/2)&lt;=0,"N/M",F52/((F29+E29)/2)),"N/M")</f>
        <v>16.3306169965076</v>
      </c>
      <c r="G109" s="47" t="n">
        <f aca="false">IFERROR(IF(((G29+F29)/2)&lt;=0,"N/M",G52/((G29+F29)/2)),"N/M")</f>
        <v>13.4941907592543</v>
      </c>
      <c r="H109" s="47" t="n">
        <f aca="false">IFERROR(IF(((H29+G29)/2)&lt;=0,"N/M",H52/((H29+G29)/2)),"N/M")</f>
        <v>7.30491711937596</v>
      </c>
      <c r="I109" s="47" t="n">
        <f aca="false">IFERROR(IF(((I29+H29)/2)&lt;=0,"N/M",I52/((I29+H29)/2)),"N/M")</f>
        <v>7.65479385215906</v>
      </c>
      <c r="J109" s="47" t="n">
        <f aca="false">IFERROR(IF(((J29+I29)/2)&lt;=0,"N/M",J52/((J29+I29)/2)),"N/M")</f>
        <v>9.6895263708352</v>
      </c>
      <c r="K109" s="22" t="n">
        <f aca="false">IFERROR(AVERAGE(D109:J109),"N/M")</f>
        <v>11.0552980393179</v>
      </c>
      <c r="L109" s="82" t="n">
        <f aca="false">IFERROR(J109-D109,"N/M")</f>
        <v>-3.10649352966231</v>
      </c>
      <c r="M109" s="83" t="n">
        <f aca="false">IFERROR(SLOPE(D109:J109,$D$3:$J$3),"N/M")</f>
        <v>-0.831058404106854</v>
      </c>
    </row>
    <row r="110" customFormat="false" ht="15" hidden="false" customHeight="false" outlineLevel="0" collapsed="false">
      <c r="A110" s="18" t="s">
        <v>559</v>
      </c>
      <c r="B110" s="19" t="s">
        <v>560</v>
      </c>
      <c r="D110" s="48" t="n">
        <f aca="false">IFERROR(IF(D109&lt;=0,"N/M",365/D109),"N/M")</f>
        <v>28.5244945567652</v>
      </c>
      <c r="E110" s="48" t="n">
        <f aca="false">IFERROR(IF(E109&lt;=0,"N/M",365/E109),"N/M")</f>
        <v>36.0778128286015</v>
      </c>
      <c r="F110" s="48" t="n">
        <f aca="false">IFERROR(IF(F109&lt;=0,"N/M",365/F109),"N/M")</f>
        <v>22.3506558311948</v>
      </c>
      <c r="G110" s="48" t="n">
        <f aca="false">IFERROR(IF(G109&lt;=0,"N/M",365/G109),"N/M")</f>
        <v>27.048676464699</v>
      </c>
      <c r="H110" s="48" t="n">
        <f aca="false">IFERROR(IF(H109&lt;=0,"N/M",365/H109),"N/M")</f>
        <v>49.9663437702605</v>
      </c>
      <c r="I110" s="48" t="n">
        <f aca="false">IFERROR(IF(I109&lt;=0,"N/M",365/I109),"N/M")</f>
        <v>47.6825381648979</v>
      </c>
      <c r="J110" s="48" t="n">
        <f aca="false">IFERROR(IF(J109&lt;=0,"N/M",365/J109),"N/M")</f>
        <v>37.6695398754086</v>
      </c>
      <c r="K110" s="28" t="n">
        <f aca="false">IFERROR(AVERAGE(D110:J110),"N/M")</f>
        <v>35.6171516416896</v>
      </c>
      <c r="L110" s="84" t="n">
        <f aca="false">IFERROR(J110-D110,"N/M")</f>
        <v>9.14504531864345</v>
      </c>
      <c r="M110" s="85" t="n">
        <f aca="false">IFERROR(SLOPE(D110:J110,$D$3:$J$3),"N/M")</f>
        <v>2.79500980598532</v>
      </c>
    </row>
    <row r="111" customFormat="false" ht="15" hidden="false" customHeight="false" outlineLevel="0" collapsed="false">
      <c r="A111" s="18" t="s">
        <v>561</v>
      </c>
      <c r="B111" s="19" t="s">
        <v>562</v>
      </c>
      <c r="D111" s="48" t="n">
        <f aca="false">IFERROR(((IF(ISNUMBER(D106),D106,0)+D108)-D110),"N/M")</f>
        <v>70.3031874328149</v>
      </c>
      <c r="E111" s="48" t="n">
        <f aca="false">IFERROR(((IF(ISNUMBER(E106),E106,0)+E108)-E110),"N/M")</f>
        <v>102.071892707323</v>
      </c>
      <c r="F111" s="48" t="n">
        <f aca="false">IFERROR(((IF(ISNUMBER(F106),F106,0)+F108)-F110),"N/M")</f>
        <v>83.7675799147936</v>
      </c>
      <c r="G111" s="48" t="n">
        <f aca="false">IFERROR(((IF(ISNUMBER(G106),G106,0)+G108)-G110),"N/M")</f>
        <v>63.5848581047993</v>
      </c>
      <c r="H111" s="48" t="n">
        <f aca="false">IFERROR(((IF(ISNUMBER(H106),H106,0)+H108)-H110),"N/M")</f>
        <v>53.4346199192938</v>
      </c>
      <c r="I111" s="48" t="n">
        <f aca="false">IFERROR(((IF(ISNUMBER(I106),I106,0)+I108)-I110),"N/M")</f>
        <v>36.5937027525494</v>
      </c>
      <c r="J111" s="48" t="n">
        <f aca="false">IFERROR(((IF(ISNUMBER(J106),J106,0)+J108)-J110),"N/M")</f>
        <v>33.9579031441355</v>
      </c>
      <c r="K111" s="28" t="n">
        <f aca="false">IFERROR(AVERAGE(D111:J111),"N/M")</f>
        <v>63.3876777108157</v>
      </c>
      <c r="L111" s="84" t="n">
        <f aca="false">IFERROR(J111-D111,"N/M")</f>
        <v>-36.3452842886793</v>
      </c>
      <c r="M111" s="85" t="n">
        <f aca="false">IFERROR(SLOPE(D111:J111,$D$3:$J$3),"N/M")</f>
        <v>-9.65447117039591</v>
      </c>
    </row>
    <row r="112" customFormat="false" ht="15" hidden="false" customHeight="false" outlineLevel="0" collapsed="false">
      <c r="A112" s="18" t="s">
        <v>132</v>
      </c>
      <c r="B112" s="19" t="s">
        <v>563</v>
      </c>
      <c r="D112" s="47" t="n">
        <f aca="false">IFERROR(IF(((D31+C31)/2)&lt;=0,"N/M",D9/((D31+C31)/2)),"N/M")</f>
        <v>6.26867556838686</v>
      </c>
      <c r="E112" s="47" t="n">
        <f aca="false">IFERROR(IF(((E31+D31)/2)&lt;=0,"N/M",E9/((E31+D31)/2)),"N/M")</f>
        <v>4.07272378393937</v>
      </c>
      <c r="F112" s="47" t="n">
        <f aca="false">IFERROR(IF(((F31+E31)/2)&lt;=0,"N/M",F9/((F31+E31)/2)),"N/M")</f>
        <v>4.25881497637223</v>
      </c>
      <c r="G112" s="47" t="n">
        <f aca="false">IFERROR(IF(((G31+F31)/2)&lt;=0,"N/M",G9/((G31+F31)/2)),"N/M")</f>
        <v>4.96972944012858</v>
      </c>
      <c r="H112" s="47" t="n">
        <f aca="false">IFERROR(IF(((H31+G31)/2)&lt;=0,"N/M",H9/((H31+G31)/2)),"N/M")</f>
        <v>5.61015640084959</v>
      </c>
      <c r="I112" s="47" t="n">
        <f aca="false">IFERROR(IF(((I31+H31)/2)&lt;=0,"N/M",I9/((I31+H31)/2)),"N/M")</f>
        <v>7.16699780403639</v>
      </c>
      <c r="J112" s="47" t="n">
        <f aca="false">IFERROR(IF(((J31+I31)/2)&lt;=0,"N/M",J9/((J31+I31)/2)),"N/M")</f>
        <v>7.68208216820822</v>
      </c>
      <c r="K112" s="22" t="n">
        <f aca="false">IFERROR(AVERAGE(D112:J112),"N/M")</f>
        <v>5.71845430598875</v>
      </c>
      <c r="L112" s="82" t="n">
        <f aca="false">IFERROR(J112-D112,"N/M")</f>
        <v>1.41340659982135</v>
      </c>
      <c r="M112" s="83" t="n">
        <f aca="false">IFERROR(SLOPE(D112:J112,$D$3:$J$3),"N/M")</f>
        <v>0.420718188004838</v>
      </c>
    </row>
    <row r="113" customFormat="false" ht="15" hidden="false" customHeight="false" outlineLevel="0" collapsed="false">
      <c r="A113" s="18" t="s">
        <v>133</v>
      </c>
      <c r="B113" s="19" t="s">
        <v>564</v>
      </c>
      <c r="D113" s="47" t="n">
        <f aca="false">IFERROR(IF(((D35+C35)/2)&lt;=0,"N/M",D9/((D35+C35)/2)),"N/M")</f>
        <v>1.60685460558267</v>
      </c>
      <c r="E113" s="47" t="n">
        <f aca="false">IFERROR(IF(((E35+D35)/2)&lt;=0,"N/M",E9/((E35+D35)/2)),"N/M")</f>
        <v>1.07280952260608</v>
      </c>
      <c r="F113" s="47" t="n">
        <f aca="false">IFERROR(IF(((F35+E35)/2)&lt;=0,"N/M",F9/((F35+E35)/2)),"N/M")</f>
        <v>1.26882360904291</v>
      </c>
      <c r="G113" s="47" t="n">
        <f aca="false">IFERROR(IF(((G35+F35)/2)&lt;=0,"N/M",G9/((G35+F35)/2)),"N/M")</f>
        <v>1.58473804100228</v>
      </c>
      <c r="H113" s="47" t="n">
        <f aca="false">IFERROR(IF(((H35+G35)/2)&lt;=0,"N/M",H9/((H35+G35)/2)),"N/M")</f>
        <v>1.59559570553832</v>
      </c>
      <c r="I113" s="47" t="n">
        <f aca="false">IFERROR(IF(((I35+H35)/2)&lt;=0,"N/M",I9/((I35+H35)/2)),"N/M")</f>
        <v>1.90298756108396</v>
      </c>
      <c r="J113" s="47" t="n">
        <f aca="false">IFERROR(IF(((J35+I35)/2)&lt;=0,"N/M",J9/((J35+I35)/2)),"N/M")</f>
        <v>2.15508085928071</v>
      </c>
      <c r="K113" s="22" t="n">
        <f aca="false">IFERROR(AVERAGE(D113:J113),"N/M")</f>
        <v>1.59812712916242</v>
      </c>
      <c r="L113" s="82" t="n">
        <f aca="false">IFERROR(J113-D113,"N/M")</f>
        <v>0.54822625369805</v>
      </c>
      <c r="M113" s="83" t="n">
        <f aca="false">IFERROR(SLOPE(D113:J113,$D$3:$J$3),"N/M")</f>
        <v>0.129707390519476</v>
      </c>
    </row>
    <row r="114" customFormat="false" ht="15" hidden="false" customHeight="false" outlineLevel="0" collapsed="false">
      <c r="A114" s="18" t="s">
        <v>565</v>
      </c>
      <c r="B114" s="19" t="s">
        <v>566</v>
      </c>
      <c r="D114" s="47" t="n">
        <f aca="false">IFERROR(IF(((D62+C62)/2)&lt;=0,"N/M",D9/((D62+C62)/2)),"N/M")</f>
        <v>1.80862638935888</v>
      </c>
      <c r="E114" s="47" t="n">
        <f aca="false">IFERROR(IF(((E62+D62)/2)&lt;=0,"N/M",E9/((E62+D62)/2)),"N/M")</f>
        <v>1.18545617023653</v>
      </c>
      <c r="F114" s="47" t="n">
        <f aca="false">IFERROR(IF(((F62+E62)/2)&lt;=0,"N/M",F9/((F62+E62)/2)),"N/M")</f>
        <v>1.36399091914547</v>
      </c>
      <c r="G114" s="47" t="n">
        <f aca="false">IFERROR(IF(((G62+F62)/2)&lt;=0,"N/M",G9/((G62+F62)/2)),"N/M")</f>
        <v>1.77141220280722</v>
      </c>
      <c r="H114" s="47" t="n">
        <f aca="false">IFERROR(IF(((H62+G62)/2)&lt;=0,"N/M",H9/((H62+G62)/2)),"N/M")</f>
        <v>1.98734610123119</v>
      </c>
      <c r="I114" s="47" t="n">
        <f aca="false">IFERROR(IF(((I62+H62)/2)&lt;=0,"N/M",I9/((I62+H62)/2)),"N/M")</f>
        <v>2.46380041699619</v>
      </c>
      <c r="J114" s="47" t="n">
        <f aca="false">IFERROR(IF(((J62+I62)/2)&lt;=0,"N/M",J9/((J62+I62)/2)),"N/M")</f>
        <v>2.70038939926657</v>
      </c>
      <c r="K114" s="22" t="n">
        <f aca="false">IFERROR(AVERAGE(D114:J114),"N/M")</f>
        <v>1.89728879986315</v>
      </c>
      <c r="L114" s="82" t="n">
        <f aca="false">IFERROR(J114-D114,"N/M")</f>
        <v>0.891763009907691</v>
      </c>
      <c r="M114" s="83" t="n">
        <f aca="false">IFERROR(SLOPE(D114:J114,$D$3:$J$3),"N/M")</f>
        <v>0.20911902519029</v>
      </c>
    </row>
    <row r="115" customFormat="false" ht="15" hidden="false" customHeight="false" outlineLevel="0" collapsed="false">
      <c r="A115" s="18" t="s">
        <v>567</v>
      </c>
      <c r="B115" s="19" t="s">
        <v>568</v>
      </c>
      <c r="D115" s="47" t="n">
        <f aca="false">IFERROR(IF(((D63+C63)/2)&lt;=0,"N/M",D9/((D63+C63)/2)),"N/M")</f>
        <v>2.37480347255452</v>
      </c>
      <c r="E115" s="47" t="n">
        <f aca="false">IFERROR(IF(((E63+D63)/2)&lt;=0,"N/M",E9/((E63+D63)/2)),"N/M")</f>
        <v>1.5809467058955</v>
      </c>
      <c r="F115" s="47" t="n">
        <f aca="false">IFERROR(IF(((F63+E63)/2)&lt;=0,"N/M",F9/((F63+E63)/2)),"N/M")</f>
        <v>1.92784565387305</v>
      </c>
      <c r="G115" s="47" t="n">
        <f aca="false">IFERROR(IF(((G63+F63)/2)&lt;=0,"N/M",G9/((G63+F63)/2)),"N/M")</f>
        <v>2.44308853869453</v>
      </c>
      <c r="H115" s="47" t="n">
        <f aca="false">IFERROR(IF(((H63+G63)/2)&lt;=0,"N/M",H9/((H63+G63)/2)),"N/M")</f>
        <v>2.31985308794762</v>
      </c>
      <c r="I115" s="47" t="n">
        <f aca="false">IFERROR(IF(((I63+H63)/2)&lt;=0,"N/M",I9/((I63+H63)/2)),"N/M")</f>
        <v>2.68408067358528</v>
      </c>
      <c r="J115" s="47" t="n">
        <f aca="false">IFERROR(IF(((J63+I63)/2)&lt;=0,"N/M",J9/((J63+I63)/2)),"N/M")</f>
        <v>3.1131450488145</v>
      </c>
      <c r="K115" s="22" t="n">
        <f aca="false">IFERROR(AVERAGE(D115:J115),"N/M")</f>
        <v>2.34910902590929</v>
      </c>
      <c r="L115" s="82" t="n">
        <f aca="false">IFERROR(J115-D115,"N/M")</f>
        <v>0.738341576259989</v>
      </c>
      <c r="M115" s="83" t="n">
        <f aca="false">IFERROR(SLOPE(D115:J115,$D$3:$J$3),"N/M")</f>
        <v>0.171903574936932</v>
      </c>
    </row>
    <row r="116" customFormat="false" ht="15" hidden="false" customHeight="false" outlineLevel="0" collapsed="false">
      <c r="A116" s="18" t="s">
        <v>569</v>
      </c>
      <c r="B116" s="19" t="s">
        <v>570</v>
      </c>
      <c r="D116" s="47" t="n">
        <f aca="false">IFERROR(IF(D65&lt;=0,"N/M",D9/D65),"N/M")</f>
        <v>2.99827392767757</v>
      </c>
      <c r="E116" s="47" t="n">
        <f aca="false">IFERROR(IF(E65&lt;=0,"N/M",E9/E65),"N/M")</f>
        <v>1.84501043115438</v>
      </c>
      <c r="F116" s="47" t="n">
        <f aca="false">IFERROR(IF(F65&lt;=0,"N/M",F9/F65),"N/M")</f>
        <v>2.29096597575284</v>
      </c>
      <c r="G116" s="47" t="n">
        <f aca="false">IFERROR(IF(G65&lt;=0,"N/M",G9/G65),"N/M")</f>
        <v>3.14369633981021</v>
      </c>
      <c r="H116" s="47" t="n">
        <f aca="false">IFERROR(IF(H65&lt;=0,"N/M",H9/H65),"N/M")</f>
        <v>3.22188955422488</v>
      </c>
      <c r="I116" s="47" t="n">
        <f aca="false">IFERROR(IF(I65&lt;=0,"N/M",I9/I65),"N/M")</f>
        <v>4.11936530833033</v>
      </c>
      <c r="J116" s="47" t="n">
        <f aca="false">IFERROR(IF(J65&lt;=0,"N/M",J9/J65),"N/M")</f>
        <v>4.50252143217348</v>
      </c>
      <c r="K116" s="22" t="n">
        <f aca="false">IFERROR(AVERAGE(D116:J116),"N/M")</f>
        <v>3.16024613844624</v>
      </c>
      <c r="L116" s="82" t="n">
        <f aca="false">IFERROR(J116-D116,"N/M")</f>
        <v>1.5042475044959</v>
      </c>
      <c r="M116" s="83" t="n">
        <f aca="false">IFERROR(SLOPE(D116:J116,$D$3:$J$3),"N/M")</f>
        <v>0.356870565939702</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0.111597248208169</v>
      </c>
      <c r="E119" s="46" t="n">
        <f aca="false">IFERROR(IF(E9&lt;=0,"N/M",E55/E9),"N/M")</f>
        <v>0.103886925795053</v>
      </c>
      <c r="F119" s="46" t="n">
        <f aca="false">IFERROR(IF(F9&lt;=0,"N/M",F55/F9),"N/M")</f>
        <v>0.101997268692386</v>
      </c>
      <c r="G119" s="46" t="n">
        <f aca="false">IFERROR(IF(G9&lt;=0,"N/M",G55/G9),"N/M")</f>
        <v>0.102666379186431</v>
      </c>
      <c r="H119" s="46" t="n">
        <f aca="false">IFERROR(IF(H9&lt;=0,"N/M",H55/H9),"N/M")</f>
        <v>0.0975391498881433</v>
      </c>
      <c r="I119" s="46" t="n">
        <f aca="false">IFERROR(IF(I9&lt;=0,"N/M",I55/I9),"N/M")</f>
        <v>0.0843911406810821</v>
      </c>
      <c r="J119" s="46" t="n">
        <f aca="false">IFERROR(IF(J9&lt;=0,"N/M",J55/J9),"N/M")</f>
        <v>0.092064736517892</v>
      </c>
      <c r="K119" s="25" t="n">
        <f aca="false">IFERROR(AVERAGE(D119:J119),"N/M")</f>
        <v>0.099163264138451</v>
      </c>
      <c r="L119" s="86" t="n">
        <f aca="false">IFERROR(J119-D119,"N/M")</f>
        <v>-0.0195325116902772</v>
      </c>
      <c r="M119" s="87" t="n">
        <f aca="false">IFERROR(SLOPE(D119:J119,$D$3:$J$3),"N/M")</f>
        <v>-0.00364454371796488</v>
      </c>
    </row>
    <row r="120" customFormat="false" ht="15" hidden="false" customHeight="false" outlineLevel="0" collapsed="false">
      <c r="A120" s="18" t="s">
        <v>573</v>
      </c>
      <c r="B120" s="19" t="s">
        <v>574</v>
      </c>
      <c r="D120" s="46" t="n">
        <f aca="false">IFERROR(IF(D57&lt;=0,"N/M",D59/D57),"N/M")</f>
        <v>0.0663915256568992</v>
      </c>
      <c r="E120" s="46" t="n">
        <f aca="false">IFERROR(IF(E57&lt;=0,"N/M",E59/E57),"N/M")</f>
        <v>0.0470317533364013</v>
      </c>
      <c r="F120" s="46" t="n">
        <f aca="false">IFERROR(IF(F57&lt;=0,"N/M",F59/F57),"N/M")</f>
        <v>0.0430688679643626</v>
      </c>
      <c r="G120" s="46" t="n">
        <f aca="false">IFERROR(IF(G57&lt;=0,"N/M",G59/G57),"N/M")</f>
        <v>0.0439901530557637</v>
      </c>
      <c r="H120" s="46" t="n">
        <f aca="false">IFERROR(IF(H57&lt;=0,"N/M",H59/H57),"N/M")</f>
        <v>0.0378435662518802</v>
      </c>
      <c r="I120" s="46" t="n">
        <f aca="false">IFERROR(IF(I57&lt;=0,"N/M",I59/I57),"N/M")</f>
        <v>0.0331846875542943</v>
      </c>
      <c r="J120" s="46" t="n">
        <f aca="false">IFERROR(IF(J57&lt;=0,"N/M",J59/J57),"N/M")</f>
        <v>0.0366964831379521</v>
      </c>
      <c r="K120" s="25" t="n">
        <f aca="false">IFERROR(AVERAGE(D120:J120),"N/M")</f>
        <v>0.0440295767082219</v>
      </c>
      <c r="L120" s="86" t="n">
        <f aca="false">IFERROR(J120-D120,"N/M")</f>
        <v>-0.029695042518947</v>
      </c>
      <c r="M120" s="87" t="n">
        <f aca="false">IFERROR(SLOPE(D120:J120,$D$3:$J$3),"N/M")</f>
        <v>-0.00435730574405491</v>
      </c>
    </row>
    <row r="121" customFormat="false" ht="15" hidden="false" customHeight="false" outlineLevel="0" collapsed="false">
      <c r="A121" s="18" t="s">
        <v>136</v>
      </c>
      <c r="B121" s="19" t="s">
        <v>575</v>
      </c>
      <c r="D121" s="46" t="n">
        <f aca="false">IFERROR(IF(D9&lt;=0,"N/M",D56/D9),"N/M")</f>
        <v>0.0232866066031491</v>
      </c>
      <c r="E121" s="46" t="n">
        <f aca="false">IFERROR(IF(E9&lt;=0,"N/M",E56/E9),"N/M")</f>
        <v>0.0243580683156656</v>
      </c>
      <c r="F121" s="46" t="n">
        <f aca="false">IFERROR(IF(F9&lt;=0,"N/M",F56/F9),"N/M")</f>
        <v>0.0328183680437008</v>
      </c>
      <c r="G121" s="46" t="n">
        <f aca="false">IFERROR(IF(G9&lt;=0,"N/M",G56/G9),"N/M")</f>
        <v>0.0370849504096591</v>
      </c>
      <c r="H121" s="46" t="n">
        <f aca="false">IFERROR(IF(H9&lt;=0,"N/M",H56/H9),"N/M")</f>
        <v>0.0313199105145415</v>
      </c>
      <c r="I121" s="46" t="n">
        <f aca="false">IFERROR(IF(I9&lt;=0,"N/M",I56/I9),"N/M")</f>
        <v>0.0257083661618372</v>
      </c>
      <c r="J121" s="46" t="n">
        <f aca="false">IFERROR(IF(J9&lt;=0,"N/M",J56/J9),"N/M")</f>
        <v>0.0290362322898582</v>
      </c>
      <c r="K121" s="25" t="n">
        <f aca="false">IFERROR(AVERAGE(D121:J121),"N/M")</f>
        <v>0.0290875003340588</v>
      </c>
      <c r="L121" s="86" t="n">
        <f aca="false">IFERROR(J121-D121,"N/M")</f>
        <v>0.00574962568670907</v>
      </c>
      <c r="M121" s="87" t="n">
        <f aca="false">IFERROR(SLOPE(D121:J121,$D$3:$J$3),"N/M")</f>
        <v>0.000658964829403972</v>
      </c>
    </row>
    <row r="122" customFormat="false" ht="15" hidden="false" customHeight="false" outlineLevel="0" collapsed="false">
      <c r="A122" s="18" t="s">
        <v>576</v>
      </c>
      <c r="B122" s="19" t="s">
        <v>577</v>
      </c>
      <c r="D122" s="46" t="n">
        <f aca="false">IFERROR(IF(D9&lt;=0,"N/M",D58/D9),"N/M")</f>
        <v>0.0582021242911833</v>
      </c>
      <c r="E122" s="46" t="n">
        <f aca="false">IFERROR(IF(E9&lt;=0,"N/M",E58/E9),"N/M")</f>
        <v>0.0370789163722026</v>
      </c>
      <c r="F122" s="46" t="n">
        <f aca="false">IFERROR(IF(F9&lt;=0,"N/M",F58/F9),"N/M")</f>
        <v>0.0323062478661659</v>
      </c>
      <c r="G122" s="46" t="n">
        <f aca="false">IFERROR(IF(G9&lt;=0,"N/M",G58/G9),"N/M")</f>
        <v>0.0338148627281874</v>
      </c>
      <c r="H122" s="46" t="n">
        <f aca="false">IFERROR(IF(H9&lt;=0,"N/M",H58/H9),"N/M")</f>
        <v>0.0284632593357426</v>
      </c>
      <c r="I122" s="46" t="n">
        <f aca="false">IFERROR(IF(I9&lt;=0,"N/M",I58/I9),"N/M")</f>
        <v>0.025825089731244</v>
      </c>
      <c r="J122" s="46" t="n">
        <f aca="false">IFERROR(IF(J9&lt;=0,"N/M",J58/J9),"N/M")</f>
        <v>0.0298482387859103</v>
      </c>
      <c r="K122" s="25" t="n">
        <f aca="false">IFERROR(AVERAGE(D122:J122),"N/M")</f>
        <v>0.0350769627300909</v>
      </c>
      <c r="L122" s="86" t="n">
        <f aca="false">IFERROR(J122-D122,"N/M")</f>
        <v>-0.028353885505273</v>
      </c>
      <c r="M122" s="87" t="n">
        <f aca="false">IFERROR(SLOPE(D122:J122,$D$3:$J$3),"N/M")</f>
        <v>-0.00397901065457713</v>
      </c>
    </row>
    <row r="123" customFormat="false" ht="15" hidden="false" customHeight="false" outlineLevel="0" collapsed="false">
      <c r="A123" s="18" t="s">
        <v>578</v>
      </c>
      <c r="B123" s="19" t="s">
        <v>579</v>
      </c>
      <c r="D123" s="46" t="n">
        <f aca="false">IFERROR(IF(D9&lt;=0,"N/M",D20/D9),"N/M")</f>
        <v>0.0369304280245243</v>
      </c>
      <c r="E123" s="46" t="n">
        <f aca="false">IFERROR(IF(E9&lt;=0,"N/M",E20/E9),"N/M")</f>
        <v>0.00131919905771496</v>
      </c>
      <c r="F123" s="46" t="n">
        <f aca="false">IFERROR(IF(F9&lt;=0,"N/M",F20/F9),"N/M")</f>
        <v>0.00951689996585866</v>
      </c>
      <c r="G123" s="46" t="n">
        <f aca="false">IFERROR(IF(G9&lt;=0,"N/M",G20/G9),"N/M")</f>
        <v>0.01667385367256</v>
      </c>
      <c r="H123" s="46" t="n">
        <f aca="false">IFERROR(IF(H9&lt;=0,"N/M",H20/H9),"N/M")</f>
        <v>0.0195491309585269</v>
      </c>
      <c r="I123" s="46" t="n">
        <f aca="false">IFERROR(IF(I9&lt;=0,"N/M",I20/I9),"N/M")</f>
        <v>0.0223817444337448</v>
      </c>
      <c r="J123" s="46" t="n">
        <f aca="false">IFERROR(IF(J9&lt;=0,"N/M",J20/J9),"N/M")</f>
        <v>0.0288682309458476</v>
      </c>
      <c r="K123" s="25" t="n">
        <f aca="false">IFERROR(AVERAGE(D123:J123),"N/M")</f>
        <v>0.0193199267226825</v>
      </c>
      <c r="L123" s="86" t="n">
        <f aca="false">IFERROR(J123-D123,"N/M")</f>
        <v>-0.00806219707867677</v>
      </c>
      <c r="M123" s="87" t="n">
        <f aca="false">IFERROR(SLOPE(D123:J123,$D$3:$J$3),"N/M")</f>
        <v>0.000998954661024915</v>
      </c>
    </row>
    <row r="124" customFormat="false" ht="15" hidden="false" customHeight="false" outlineLevel="0" collapsed="false">
      <c r="A124" s="18" t="s">
        <v>137</v>
      </c>
      <c r="B124" s="19" t="s">
        <v>580</v>
      </c>
      <c r="D124" s="46" t="n">
        <f aca="false">IFERROR(IF(D9&lt;=0,"N/M",D22/D9),"N/M")</f>
        <v>0.0309144814484327</v>
      </c>
      <c r="E124" s="46" t="n">
        <f aca="false">IFERROR(IF(E9&lt;=0,"N/M",E22/E9),"N/M")</f>
        <v>0.000235571260306243</v>
      </c>
      <c r="F124" s="46" t="n">
        <f aca="false">IFERROR(IF(F9&lt;=0,"N/M",F22/F9),"N/M")</f>
        <v>0.00968760669170365</v>
      </c>
      <c r="G124" s="46" t="n">
        <f aca="false">IFERROR(IF(G9&lt;=0,"N/M",G22/G9),"N/M")</f>
        <v>0.0176081644386948</v>
      </c>
      <c r="H124" s="46" t="n">
        <f aca="false">IFERROR(IF(H9&lt;=0,"N/M",H22/H9),"N/M")</f>
        <v>0.0190672861813801</v>
      </c>
      <c r="I124" s="46" t="n">
        <f aca="false">IFERROR(IF(I9&lt;=0,"N/M",I22/I9),"N/M")</f>
        <v>0.022177478187283</v>
      </c>
      <c r="J124" s="46" t="n">
        <f aca="false">IFERROR(IF(J9&lt;=0,"N/M",J22/J9),"N/M")</f>
        <v>0.0268802150417203</v>
      </c>
      <c r="K124" s="25" t="n">
        <f aca="false">IFERROR(AVERAGE(D124:J124),"N/M")</f>
        <v>0.0180815433213601</v>
      </c>
      <c r="L124" s="86" t="n">
        <f aca="false">IFERROR(J124-D124,"N/M")</f>
        <v>-0.00403426640671235</v>
      </c>
      <c r="M124" s="87" t="n">
        <f aca="false">IFERROR(SLOPE(D124:J124,$D$3:$J$3),"N/M")</f>
        <v>0.00147002479012475</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0.888402751791831</v>
      </c>
      <c r="E127" s="46" t="n">
        <f aca="false">IFERROR(IF(E9&lt;=0,"N/M",E52/E9),"N/M")</f>
        <v>0.896113074204947</v>
      </c>
      <c r="F127" s="46" t="n">
        <f aca="false">IFERROR(IF(F9&lt;=0,"N/M",F52/F9),"N/M")</f>
        <v>0.898002731307614</v>
      </c>
      <c r="G127" s="46" t="n">
        <f aca="false">IFERROR(IF(G9&lt;=0,"N/M",G52/G9),"N/M")</f>
        <v>0.897333620813569</v>
      </c>
      <c r="H127" s="46" t="n">
        <f aca="false">IFERROR(IF(H9&lt;=0,"N/M",H52/H9),"N/M")</f>
        <v>0.902460850111857</v>
      </c>
      <c r="I127" s="46" t="n">
        <f aca="false">IFERROR(IF(I9&lt;=0,"N/M",I52/I9),"N/M")</f>
        <v>0.915608859318918</v>
      </c>
      <c r="J127" s="46" t="n">
        <f aca="false">IFERROR(IF(J9&lt;=0,"N/M",J52/J9),"N/M")</f>
        <v>0.907935263482108</v>
      </c>
      <c r="K127" s="25" t="n">
        <f aca="false">IFERROR(AVERAGE(D127:J127),"N/M")</f>
        <v>0.900836735861549</v>
      </c>
      <c r="L127" s="86" t="n">
        <f aca="false">IFERROR(J127-D127,"N/M")</f>
        <v>0.0195325116902771</v>
      </c>
      <c r="M127" s="87" t="n">
        <f aca="false">IFERROR(SLOPE(D127:J127,$D$3:$J$3),"N/M")</f>
        <v>0.00364454371796487</v>
      </c>
    </row>
    <row r="128" customFormat="false" ht="15" hidden="false" customHeight="false" outlineLevel="0" collapsed="false">
      <c r="A128" s="18" t="s">
        <v>584</v>
      </c>
      <c r="B128" s="19" t="s">
        <v>585</v>
      </c>
      <c r="D128" s="46" t="n">
        <f aca="false">IFERROR(IF(D9&lt;=0,"N/M",D53/D9),"N/M")</f>
        <v>0.08831064160502</v>
      </c>
      <c r="E128" s="46" t="n">
        <f aca="false">IFERROR(IF(E9&lt;=0,"N/M",E53/E9),"N/M")</f>
        <v>0.0795288574793875</v>
      </c>
      <c r="F128" s="46" t="n">
        <f aca="false">IFERROR(IF(F9&lt;=0,"N/M",F53/F9),"N/M")</f>
        <v>0.0691789006486856</v>
      </c>
      <c r="G128" s="46" t="n">
        <f aca="false">IFERROR(IF(G9&lt;=0,"N/M",G53/G9),"N/M")</f>
        <v>0.0655814287767716</v>
      </c>
      <c r="H128" s="46" t="n">
        <f aca="false">IFERROR(IF(H9&lt;=0,"N/M",H53/H9),"N/M")</f>
        <v>0.0662192393736018</v>
      </c>
      <c r="I128" s="46" t="n">
        <f aca="false">IFERROR(IF(I9&lt;=0,"N/M",I53/I9),"N/M")</f>
        <v>0.0586827745192448</v>
      </c>
      <c r="J128" s="46" t="n">
        <f aca="false">IFERROR(IF(J9&lt;=0,"N/M",J53/J9),"N/M")</f>
        <v>0.0630285042280338</v>
      </c>
      <c r="K128" s="25" t="n">
        <f aca="false">IFERROR(AVERAGE(D128:J128),"N/M")</f>
        <v>0.0700757638043922</v>
      </c>
      <c r="L128" s="86" t="n">
        <f aca="false">IFERROR(J128-D128,"N/M")</f>
        <v>-0.0252821373769862</v>
      </c>
      <c r="M128" s="87" t="n">
        <f aca="false">IFERROR(SLOPE(D128:J128,$D$3:$J$3),"N/M")</f>
        <v>-0.00430350854736885</v>
      </c>
    </row>
    <row r="129" customFormat="false" ht="15" hidden="false" customHeight="false" outlineLevel="0" collapsed="false">
      <c r="A129" s="18" t="s">
        <v>586</v>
      </c>
      <c r="B129" s="19" t="s">
        <v>587</v>
      </c>
      <c r="D129" s="46" t="n">
        <f aca="false">IFERROR(IF(D9&lt;=0,"N/M",D14/D9),"N/M")</f>
        <v>0.054488932385366</v>
      </c>
      <c r="E129" s="46" t="n">
        <f aca="false">IFERROR(IF(E9&lt;=0,"N/M",E14/E9),"N/M")</f>
        <v>0.0538515901060071</v>
      </c>
      <c r="F129" s="46" t="n">
        <f aca="false">IFERROR(IF(F9&lt;=0,"N/M",F14/F9),"N/M")</f>
        <v>0.0466029361556845</v>
      </c>
      <c r="G129" s="46" t="n">
        <f aca="false">IFERROR(IF(G9&lt;=0,"N/M",G14/G9),"N/M")</f>
        <v>0.0444516314503378</v>
      </c>
      <c r="H129" s="46" t="n">
        <f aca="false">IFERROR(IF(H9&lt;=0,"N/M",H14/H9),"N/M")</f>
        <v>0.0431595250387197</v>
      </c>
      <c r="I129" s="46" t="n">
        <f aca="false">IFERROR(IF(I9&lt;=0,"N/M",I14/I9),"N/M")</f>
        <v>0.0401529078759228</v>
      </c>
      <c r="J129" s="46" t="n">
        <f aca="false">IFERROR(IF(J9&lt;=0,"N/M",J14/J9),"N/M")</f>
        <v>0.0432603460827687</v>
      </c>
      <c r="K129" s="25" t="n">
        <f aca="false">IFERROR(AVERAGE(D129:J129),"N/M")</f>
        <v>0.0465668384421152</v>
      </c>
      <c r="L129" s="86" t="n">
        <f aca="false">IFERROR(J129-D129,"N/M")</f>
        <v>-0.0112285863025973</v>
      </c>
      <c r="M129" s="87" t="n">
        <f aca="false">IFERROR(SLOPE(D129:J129,$D$3:$J$3),"N/M")</f>
        <v>-0.00230451908874733</v>
      </c>
    </row>
    <row r="130" customFormat="false" ht="15" hidden="false" customHeight="false" outlineLevel="0" collapsed="false">
      <c r="A130" s="18" t="s">
        <v>588</v>
      </c>
      <c r="B130" s="19" t="s">
        <v>589</v>
      </c>
      <c r="D130" s="46" t="n">
        <f aca="false">IFERROR(IF(D9&lt;=0,"N/M",D15/D9),"N/M")</f>
        <v>0.0215595406004433</v>
      </c>
      <c r="E130" s="46" t="n">
        <f aca="false">IFERROR(IF(E9&lt;=0,"N/M",E15/E9),"N/M")</f>
        <v>0.0194581861012956</v>
      </c>
      <c r="F130" s="46" t="n">
        <f aca="false">IFERROR(IF(F9&lt;=0,"N/M",F15/F9),"N/M")</f>
        <v>0.0167292591328098</v>
      </c>
      <c r="G130" s="46" t="n">
        <f aca="false">IFERROR(IF(G9&lt;=0,"N/M",G15/G9),"N/M")</f>
        <v>0.0168535288198936</v>
      </c>
      <c r="H130" s="46" t="n">
        <f aca="false">IFERROR(IF(H9&lt;=0,"N/M",H15/H9),"N/M")</f>
        <v>0.0188951987609706</v>
      </c>
      <c r="I130" s="46" t="n">
        <f aca="false">IFERROR(IF(I9&lt;=0,"N/M",I15/I9),"N/M")</f>
        <v>0.0151157022381744</v>
      </c>
      <c r="J130" s="46" t="n">
        <f aca="false">IFERROR(IF(J9&lt;=0,"N/M",J15/J9),"N/M")</f>
        <v>0.0158481267850143</v>
      </c>
      <c r="K130" s="25" t="n">
        <f aca="false">IFERROR(AVERAGE(D130:J130),"N/M")</f>
        <v>0.017779934634086</v>
      </c>
      <c r="L130" s="86" t="n">
        <f aca="false">IFERROR(J130-D130,"N/M")</f>
        <v>-0.005711413815429</v>
      </c>
      <c r="M130" s="87" t="n">
        <f aca="false">IFERROR(SLOPE(D130:J130,$D$3:$J$3),"N/M")</f>
        <v>-0.000844759626584595</v>
      </c>
    </row>
    <row r="131" customFormat="false" ht="15" hidden="false" customHeight="false" outlineLevel="0" collapsed="false">
      <c r="A131" s="18" t="s">
        <v>590</v>
      </c>
      <c r="B131" s="19" t="s">
        <v>591</v>
      </c>
      <c r="D131" s="46" t="n">
        <f aca="false">IFERROR(IF(D9&lt;=0,"N/M",D19/D9),"N/M")</f>
        <v>0.021271696266659</v>
      </c>
      <c r="E131" s="46" t="n">
        <f aca="false">IFERROR(IF(E9&lt;=0,"N/M",E19/E9),"N/M")</f>
        <v>0.0357597173144876</v>
      </c>
      <c r="F131" s="46" t="n">
        <f aca="false">IFERROR(IF(F9&lt;=0,"N/M",F19/F9),"N/M")</f>
        <v>0.0227893479003073</v>
      </c>
      <c r="G131" s="46" t="n">
        <f aca="false">IFERROR(IF(G9&lt;=0,"N/M",G19/G9),"N/M")</f>
        <v>0.0171410090556274</v>
      </c>
      <c r="H131" s="46" t="n">
        <f aca="false">IFERROR(IF(H9&lt;=0,"N/M",H19/H9),"N/M")</f>
        <v>0.00891412837721563</v>
      </c>
      <c r="I131" s="46" t="n">
        <f aca="false">IFERROR(IF(I9&lt;=0,"N/M",I19/I9),"N/M")</f>
        <v>0.0034433452974992</v>
      </c>
      <c r="J131" s="46" t="n">
        <f aca="false">IFERROR(IF(J9&lt;=0,"N/M",J19/J9),"N/M")</f>
        <v>0.000980007840062721</v>
      </c>
      <c r="K131" s="25" t="n">
        <f aca="false">IFERROR(AVERAGE(D131:J131),"N/M")</f>
        <v>0.0157570360074084</v>
      </c>
      <c r="L131" s="86" t="n">
        <f aca="false">IFERROR(J131-D131,"N/M")</f>
        <v>-0.0202916884265963</v>
      </c>
      <c r="M131" s="87" t="n">
        <f aca="false">IFERROR(SLOPE(D131:J131,$D$3:$J$3),"N/M")</f>
        <v>-0.00497796531560205</v>
      </c>
    </row>
    <row r="132" customFormat="false" ht="15" hidden="false" customHeight="false" outlineLevel="0" collapsed="false">
      <c r="A132" s="18" t="s">
        <v>138</v>
      </c>
      <c r="B132" s="19" t="s">
        <v>592</v>
      </c>
      <c r="D132" s="46" t="n">
        <f aca="false">IFERROR(IF(D9&lt;=0,"N/M",D54/D9),"N/M")</f>
        <v>0.976713393396851</v>
      </c>
      <c r="E132" s="46" t="n">
        <f aca="false">IFERROR(IF(E9&lt;=0,"N/M",E54/E9),"N/M")</f>
        <v>0.975641931684334</v>
      </c>
      <c r="F132" s="46" t="n">
        <f aca="false">IFERROR(IF(F9&lt;=0,"N/M",F54/F9),"N/M")</f>
        <v>0.967181631956299</v>
      </c>
      <c r="G132" s="46" t="n">
        <f aca="false">IFERROR(IF(G9&lt;=0,"N/M",G54/G9),"N/M")</f>
        <v>0.962915049590341</v>
      </c>
      <c r="H132" s="46" t="n">
        <f aca="false">IFERROR(IF(H9&lt;=0,"N/M",H54/H9),"N/M")</f>
        <v>0.968680089485459</v>
      </c>
      <c r="I132" s="46" t="n">
        <f aca="false">IFERROR(IF(I9&lt;=0,"N/M",I54/I9),"N/M")</f>
        <v>0.974291633838163</v>
      </c>
      <c r="J132" s="46" t="n">
        <f aca="false">IFERROR(IF(J9&lt;=0,"N/M",J54/J9),"N/M")</f>
        <v>0.970963767710142</v>
      </c>
      <c r="K132" s="25" t="n">
        <f aca="false">IFERROR(AVERAGE(D132:J132),"N/M")</f>
        <v>0.970912499665941</v>
      </c>
      <c r="L132" s="86" t="n">
        <f aca="false">IFERROR(J132-D132,"N/M")</f>
        <v>-0.00574962568670911</v>
      </c>
      <c r="M132" s="87" t="n">
        <f aca="false">IFERROR(SLOPE(D132:J132,$D$3:$J$3),"N/M")</f>
        <v>-0.000658964829403978</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0.0496750768946139</v>
      </c>
      <c r="E135" s="46" t="n">
        <f aca="false">IFERROR(IF(((E35+D35)/2)&lt;=0,"N/M",E22/((E35+D35)/2)),"N/M")</f>
        <v>0.000252723091308853</v>
      </c>
      <c r="F135" s="46" t="n">
        <f aca="false">IFERROR(IF(((F35+E35)/2)&lt;=0,"N/M",F22/((F35+E35)/2)),"N/M")</f>
        <v>0.0122918640855557</v>
      </c>
      <c r="G135" s="46" t="n">
        <f aca="false">IFERROR(IF(((G35+F35)/2)&lt;=0,"N/M",G22/((G35+F35)/2)),"N/M")</f>
        <v>0.0279043280182232</v>
      </c>
      <c r="H135" s="46" t="n">
        <f aca="false">IFERROR(IF(((H35+G35)/2)&lt;=0,"N/M",H22/((H35+G35)/2)),"N/M")</f>
        <v>0.0304236799472803</v>
      </c>
      <c r="I135" s="46" t="n">
        <f aca="false">IFERROR(IF(((I35+H35)/2)&lt;=0,"N/M",I22/((I35+H35)/2)),"N/M")</f>
        <v>0.0422034651266104</v>
      </c>
      <c r="J135" s="46" t="n">
        <f aca="false">IFERROR(IF(((J35+I35)/2)&lt;=0,"N/M",J22/((J35+I35)/2)),"N/M")</f>
        <v>0.057929036929761</v>
      </c>
      <c r="K135" s="25" t="n">
        <f aca="false">IFERROR(AVERAGE(D135:J135),"N/M")</f>
        <v>0.0315257391561934</v>
      </c>
      <c r="L135" s="86" t="n">
        <f aca="false">IFERROR(J135-D135,"N/M")</f>
        <v>0.00825396003514713</v>
      </c>
      <c r="M135" s="87" t="n">
        <f aca="false">IFERROR(SLOPE(D135:J135,$D$3:$J$3),"N/M")</f>
        <v>0.00452839928706318</v>
      </c>
    </row>
    <row r="136" customFormat="false" ht="15" hidden="false" customHeight="false" outlineLevel="0" collapsed="false">
      <c r="A136" s="18" t="s">
        <v>595</v>
      </c>
      <c r="B136" s="19" t="s">
        <v>596</v>
      </c>
      <c r="D136" s="46" t="n">
        <f aca="false">IFERROR(IF(((D35+C35)/2)&lt;=0,"N/M",(D22+(D19*(1-D60)))/((D35+C35)/2)),"N/M")</f>
        <v>0.0782609703490216</v>
      </c>
      <c r="E136" s="46" t="n">
        <f aca="false">IFERROR(IF(((E35+D35)/2)&lt;=0,"N/M",(E22+(E19*(1-E60)))/((E35+D35)/2)),"N/M")</f>
        <v>0.00847344421859825</v>
      </c>
      <c r="F136" s="46" t="n">
        <f aca="false">IFERROR(IF(((F35+E35)/2)&lt;=0,"N/M",(F22+(F19*(1-F60)))/((F35+E35)/2)),"N/M")</f>
        <v>0.0412075267361581</v>
      </c>
      <c r="G136" s="46" t="n">
        <f aca="false">IFERROR(IF(((G35+F35)/2)&lt;=0,"N/M",(G22+(G19*(1-G60)))/((G35+F35)/2)),"N/M")</f>
        <v>0.0550683371298405</v>
      </c>
      <c r="H136" s="46" t="n">
        <f aca="false">IFERROR(IF(((H35+G35)/2)&lt;=0,"N/M",(H22+(H19*(1-H60)))/((H35+G35)/2)),"N/M")</f>
        <v>0.0442964495007056</v>
      </c>
      <c r="I136" s="46" t="n">
        <f aca="false">IFERROR(IF(((I35+H35)/2)&lt;=0,"N/M",(I22+(I19*(1-I60)))/((I35+H35)/2)),"N/M")</f>
        <v>0.0487048491268838</v>
      </c>
      <c r="J136" s="46" t="n">
        <f aca="false">IFERROR(IF(((J35+I35)/2)&lt;=0,"N/M",(J22+(J19*(1-J60)))/((J35+I35)/2)),"N/M")</f>
        <v>0.0598935415819469</v>
      </c>
      <c r="K136" s="25" t="n">
        <f aca="false">IFERROR(AVERAGE(D136:J136),"N/M")</f>
        <v>0.0479864455204507</v>
      </c>
      <c r="L136" s="86" t="n">
        <f aca="false">IFERROR(J136-D136,"N/M")</f>
        <v>-0.0183674287670748</v>
      </c>
      <c r="M136" s="87" t="n">
        <f aca="false">IFERROR(SLOPE(D136:J136,$D$3:$J$3),"N/M")</f>
        <v>0.00101605165285337</v>
      </c>
    </row>
    <row r="137" customFormat="false" ht="15" hidden="false" customHeight="false" outlineLevel="0" collapsed="false">
      <c r="A137" s="18" t="s">
        <v>597</v>
      </c>
      <c r="B137" s="19" t="s">
        <v>598</v>
      </c>
      <c r="D137" s="46" t="n">
        <f aca="false">IFERROR(IF(((D35+C35)/2)&lt;=0,"N/M",D58/((D35+C35)/2)),"N/M")</f>
        <v>0.0935223514719826</v>
      </c>
      <c r="E137" s="46" t="n">
        <f aca="false">IFERROR(IF(((E35+D35)/2)&lt;=0,"N/M",E58/((E35+D35)/2)),"N/M")</f>
        <v>0.0397786145720135</v>
      </c>
      <c r="F137" s="46" t="n">
        <f aca="false">IFERROR(IF(((F35+E35)/2)&lt;=0,"N/M",F58/((F35+E35)/2)),"N/M")</f>
        <v>0.0409909300121836</v>
      </c>
      <c r="G137" s="46" t="n">
        <f aca="false">IFERROR(IF(((G35+F35)/2)&lt;=0,"N/M",G58/((G35+F35)/2)),"N/M")</f>
        <v>0.0535876993166287</v>
      </c>
      <c r="H137" s="46" t="n">
        <f aca="false">IFERROR(IF(((H35+G35)/2)&lt;=0,"N/M",H58/((H35+G35)/2)),"N/M")</f>
        <v>0.0454158543617343</v>
      </c>
      <c r="I137" s="46" t="n">
        <f aca="false">IFERROR(IF(((I35+H35)/2)&lt;=0,"N/M",I58/((I35+H35)/2)),"N/M")</f>
        <v>0.0491448245224345</v>
      </c>
      <c r="J137" s="46" t="n">
        <f aca="false">IFERROR(IF(((J35+I35)/2)&lt;=0,"N/M",J58/((J35+I35)/2)),"N/M")</f>
        <v>0.0643253680907555</v>
      </c>
      <c r="K137" s="25" t="n">
        <f aca="false">IFERROR(AVERAGE(D137:J137),"N/M")</f>
        <v>0.0552522346211046</v>
      </c>
      <c r="L137" s="86" t="n">
        <f aca="false">IFERROR(J137-D137,"N/M")</f>
        <v>-0.0291969833812271</v>
      </c>
      <c r="M137" s="87" t="n">
        <f aca="false">IFERROR(SLOPE(D137:J137,$D$3:$J$3),"N/M")</f>
        <v>-0.00230120021047459</v>
      </c>
    </row>
    <row r="138" customFormat="false" ht="15" hidden="false" customHeight="false" outlineLevel="0" collapsed="false">
      <c r="A138" s="18" t="s">
        <v>141</v>
      </c>
      <c r="B138" s="19" t="s">
        <v>599</v>
      </c>
      <c r="D138" s="46" t="n">
        <f aca="false">IFERROR(IF(((D62+C62)/2)&lt;=0,"N/M",(D58*(1-D60))/((D62+C62)/2)),"N/M")</f>
        <v>0.0880360938871344</v>
      </c>
      <c r="E138" s="46" t="n">
        <f aca="false">IFERROR(IF(((E62+D62)/2)&lt;=0,"N/M",(E58*(1-E60))/((E62+D62)/2)),"N/M")</f>
        <v>0.00941902075695256</v>
      </c>
      <c r="F138" s="46" t="n">
        <f aca="false">IFERROR(IF(((F62+E62)/2)&lt;=0,"N/M",(F58*(1-F60))/((F62+E62)/2)),"N/M")</f>
        <v>0.044065428721113</v>
      </c>
      <c r="G138" s="46" t="n">
        <f aca="false">IFERROR(IF(((G62+F62)/2)&lt;=0,"N/M",(G58*(1-G60))/((G62+F62)/2)),"N/M")</f>
        <v>0.0599000604729622</v>
      </c>
      <c r="H138" s="46" t="n">
        <f aca="false">IFERROR(IF(((H62+G62)/2)&lt;=0,"N/M",(H58*(1-H60))/((H62+G62)/2)),"N/M")</f>
        <v>0.0551721065104719</v>
      </c>
      <c r="I138" s="46" t="n">
        <f aca="false">IFERROR(IF(((I62+H62)/2)&lt;=0,"N/M",(I58*(1-I60))/((I62+H62)/2)),"N/M")</f>
        <v>0.0631301260390339</v>
      </c>
      <c r="J138" s="46" t="n">
        <f aca="false">IFERROR(IF(((J62+I62)/2)&lt;=0,"N/M",(J58*(1-J60))/((J62+I62)/2)),"N/M")</f>
        <v>0.0749730271895976</v>
      </c>
      <c r="K138" s="25" t="n">
        <f aca="false">IFERROR(AVERAGE(D138:J138),"N/M")</f>
        <v>0.0563851233681808</v>
      </c>
      <c r="L138" s="86" t="n">
        <f aca="false">IFERROR(J138-D138,"N/M")</f>
        <v>-0.0130630666975368</v>
      </c>
      <c r="M138" s="87" t="n">
        <f aca="false">IFERROR(SLOPE(D138:J138,$D$3:$J$3),"N/M")</f>
        <v>0.00283356029503255</v>
      </c>
    </row>
    <row r="139" customFormat="false" ht="15" hidden="false" customHeight="false" outlineLevel="0" collapsed="false">
      <c r="A139" s="18" t="s">
        <v>142</v>
      </c>
      <c r="B139" s="19" t="s">
        <v>600</v>
      </c>
      <c r="D139" s="46" t="n">
        <f aca="false">IFERROR(IF(((D61+C61)/2)&lt;=0,"N/M",D22/((D61+C61)/2)),"N/M")</f>
        <v>0.0869248512808061</v>
      </c>
      <c r="E139" s="46" t="n">
        <f aca="false">IFERROR(IF(((E61+D61)/2)&lt;=0,"N/M",E22/((E61+D61)/2)),"N/M")</f>
        <v>0.000424358158285593</v>
      </c>
      <c r="F139" s="46" t="n">
        <f aca="false">IFERROR(IF(((F61+E61)/2)&lt;=0,"N/M",F22/((F61+E61)/2)),"N/M")</f>
        <v>0.0194116641012485</v>
      </c>
      <c r="G139" s="46" t="n">
        <f aca="false">IFERROR(IF(((G61+F61)/2)&lt;=0,"N/M",G22/((G61+F61)/2)),"N/M")</f>
        <v>0.0417110023409236</v>
      </c>
      <c r="H139" s="46" t="n">
        <f aca="false">IFERROR(IF(((H61+G61)/2)&lt;=0,"N/M",H22/((H61+G61)/2)),"N/M")</f>
        <v>0.0467471099485276</v>
      </c>
      <c r="I139" s="46" t="n">
        <f aca="false">IFERROR(IF(((I61+H61)/2)&lt;=0,"N/M",I22/((I61+H61)/2)),"N/M")</f>
        <v>0.063073156562513</v>
      </c>
      <c r="J139" s="46" t="n">
        <f aca="false">IFERROR(IF(((J61+I61)/2)&lt;=0,"N/M",J22/((J61+I61)/2)),"N/M")</f>
        <v>0.0783098131984664</v>
      </c>
      <c r="K139" s="25" t="n">
        <f aca="false">IFERROR(AVERAGE(D139:J139),"N/M")</f>
        <v>0.0480859936558244</v>
      </c>
      <c r="L139" s="86" t="n">
        <f aca="false">IFERROR(J139-D139,"N/M")</f>
        <v>-0.00861503808233968</v>
      </c>
      <c r="M139" s="87" t="n">
        <f aca="false">IFERROR(SLOPE(D139:J139,$D$3:$J$3),"N/M")</f>
        <v>0.00452814030031124</v>
      </c>
    </row>
    <row r="140" customFormat="false" ht="15" hidden="false" customHeight="false" outlineLevel="0" collapsed="false">
      <c r="A140" s="18" t="s">
        <v>601</v>
      </c>
      <c r="B140" s="19" t="s">
        <v>602</v>
      </c>
      <c r="D140" s="46" t="n">
        <f aca="false">IFERROR(IF(((D61+C61)/2)&lt;=0,"N/M",(D22-0)/((D61+C61)/2)),"N/M")</f>
        <v>0.0869248512808061</v>
      </c>
      <c r="E140" s="46" t="n">
        <f aca="false">IFERROR(IF(((E61+D61)/2)&lt;=0,"N/M",(E22-0)/((E61+D61)/2)),"N/M")</f>
        <v>0.000424358158285593</v>
      </c>
      <c r="F140" s="46" t="n">
        <f aca="false">IFERROR(IF(((F61+E61)/2)&lt;=0,"N/M",(F22-0)/((F61+E61)/2)),"N/M")</f>
        <v>0.0194116641012485</v>
      </c>
      <c r="G140" s="46" t="n">
        <f aca="false">IFERROR(IF(((G61+F61)/2)&lt;=0,"N/M",(G22-0)/((G61+F61)/2)),"N/M")</f>
        <v>0.0417110023409236</v>
      </c>
      <c r="H140" s="46" t="n">
        <f aca="false">IFERROR(IF(((H61+G61)/2)&lt;=0,"N/M",(H22-0)/((H61+G61)/2)),"N/M")</f>
        <v>0.0467471099485276</v>
      </c>
      <c r="I140" s="46" t="n">
        <f aca="false">IFERROR(IF(((I61+H61)/2)&lt;=0,"N/M",(I22-0)/((I61+H61)/2)),"N/M")</f>
        <v>0.063073156562513</v>
      </c>
      <c r="J140" s="46" t="n">
        <f aca="false">IFERROR(IF(((J61+I61)/2)&lt;=0,"N/M",(J22-0)/((J61+I61)/2)),"N/M")</f>
        <v>0.0783098131984664</v>
      </c>
      <c r="K140" s="25" t="n">
        <f aca="false">IFERROR(AVERAGE(D140:J140),"N/M")</f>
        <v>0.0480859936558244</v>
      </c>
      <c r="L140" s="86" t="n">
        <f aca="false">IFERROR(J140-D140,"N/M")</f>
        <v>-0.00861503808233968</v>
      </c>
      <c r="M140" s="87" t="n">
        <f aca="false">IFERROR(SLOPE(D140:J140,$D$3:$J$3),"N/M")</f>
        <v>0.00452814030031124</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1.51267605633803</v>
      </c>
      <c r="E143" s="95" t="n">
        <f aca="false">IFERROR(IF(E48&lt;=0,"N/M",E22/E48),"N/M")</f>
        <v>0.00701262272089762</v>
      </c>
      <c r="F143" s="95" t="n">
        <f aca="false">IFERROR(IF(F48&lt;=0,"N/M",F22/F48),"N/M")</f>
        <v>0.318373071528752</v>
      </c>
      <c r="G143" s="95" t="n">
        <f aca="false">IFERROR(IF(G48&lt;=0,"N/M",G22/G48),"N/M")</f>
        <v>0.704022988505747</v>
      </c>
      <c r="H143" s="95" t="n">
        <f aca="false">IFERROR(IF(H48&lt;=0,"N/M",H22/H48),"N/M")</f>
        <v>0.795977011494253</v>
      </c>
      <c r="I143" s="95" t="n">
        <f aca="false">IFERROR(IF(I48&lt;=0,"N/M",I22/I48),"N/M")</f>
        <v>1.09195402298851</v>
      </c>
      <c r="J143" s="95" t="n">
        <f aca="false">IFERROR(IF(J48&lt;=0,"N/M",J22/J48),"N/M")</f>
        <v>1.37931034482759</v>
      </c>
      <c r="K143" s="96" t="n">
        <f aca="false">IFERROR(AVERAGE(D143:J143),"N/M")</f>
        <v>0.829903731200539</v>
      </c>
      <c r="L143" s="97" t="n">
        <f aca="false">IFERROR(J143-D143,"N/M")</f>
        <v>-0.133365711510442</v>
      </c>
      <c r="M143" s="98" t="n">
        <f aca="false">IFERROR(SLOPE(D143:J143,$D$3:$J$3),"N/M")</f>
        <v>0.0802639144989068</v>
      </c>
    </row>
    <row r="144" customFormat="false" ht="15" hidden="false" customHeight="false" outlineLevel="0" collapsed="false">
      <c r="A144" s="18" t="s">
        <v>606</v>
      </c>
      <c r="B144" s="19" t="s">
        <v>607</v>
      </c>
      <c r="D144" s="95" t="n">
        <f aca="false">IFERROR(IF(D48&lt;=0,"N/M",(D22+D18)/D48),"N/M")</f>
        <v>2.06338028169014</v>
      </c>
      <c r="E144" s="95" t="n">
        <f aca="false">IFERROR(IF(E48&lt;=0,"N/M",(E22+E18)/E48),"N/M")</f>
        <v>0.336605890603086</v>
      </c>
      <c r="F144" s="95" t="n">
        <f aca="false">IFERROR(IF(F48&lt;=0,"N/M",(F22+F18)/F48),"N/M")</f>
        <v>0.687237026647966</v>
      </c>
      <c r="G144" s="95" t="n">
        <f aca="false">IFERROR(IF(G48&lt;=0,"N/M",(G22+G18)/G48),"N/M")</f>
        <v>1.1235632183908</v>
      </c>
      <c r="H144" s="95" t="n">
        <f aca="false">IFERROR(IF(H48&lt;=0,"N/M",(H22+H18)/H48),"N/M")</f>
        <v>1.19827586206897</v>
      </c>
      <c r="I144" s="95" t="n">
        <f aca="false">IFERROR(IF(I48&lt;=0,"N/M",(I22+I18)/I48),"N/M")</f>
        <v>1.46695402298851</v>
      </c>
      <c r="J144" s="95" t="n">
        <f aca="false">IFERROR(IF(J48&lt;=0,"N/M",(J22+J18)/J48),"N/M")</f>
        <v>1.74568965517241</v>
      </c>
      <c r="K144" s="96" t="n">
        <f aca="false">IFERROR(AVERAGE(D144:J144),"N/M")</f>
        <v>1.2316722796517</v>
      </c>
      <c r="L144" s="97" t="n">
        <f aca="false">IFERROR(J144-D144,"N/M")</f>
        <v>-0.317690626517727</v>
      </c>
      <c r="M144" s="98" t="n">
        <f aca="false">IFERROR(SLOPE(D144:J144,$D$3:$J$3),"N/M")</f>
        <v>0.0649522578799521</v>
      </c>
    </row>
    <row r="145" customFormat="false" ht="15" hidden="false" customHeight="false" outlineLevel="0" collapsed="false">
      <c r="A145" s="18" t="s">
        <v>608</v>
      </c>
      <c r="B145" s="19" t="s">
        <v>609</v>
      </c>
      <c r="D145" s="95" t="n">
        <f aca="false">IFERROR(IF(D48&lt;=0,"N/M",D61/D48),"N/M")</f>
        <v>16.7647887323944</v>
      </c>
      <c r="E145" s="95" t="n">
        <f aca="false">IFERROR(IF(E48&lt;=0,"N/M",E61/E48),"N/M")</f>
        <v>16.3562412342216</v>
      </c>
      <c r="F145" s="95" t="n">
        <f aca="false">IFERROR(IF(F48&lt;=0,"N/M",F61/F48),"N/M")</f>
        <v>16.4460028050491</v>
      </c>
      <c r="G145" s="95" t="n">
        <f aca="false">IFERROR(IF(G48&lt;=0,"N/M",G61/G48),"N/M")</f>
        <v>16.9094827586207</v>
      </c>
      <c r="H145" s="95" t="n">
        <f aca="false">IFERROR(IF(H48&lt;=0,"N/M",H61/H48),"N/M")</f>
        <v>17.1451149425287</v>
      </c>
      <c r="I145" s="95" t="n">
        <f aca="false">IFERROR(IF(I48&lt;=0,"N/M",I61/I48),"N/M")</f>
        <v>17.4798850574713</v>
      </c>
      <c r="J145" s="95" t="n">
        <f aca="false">IFERROR(IF(J48&lt;=0,"N/M",J61/J48),"N/M")</f>
        <v>17.7471264367816</v>
      </c>
      <c r="K145" s="96" t="n">
        <f aca="false">IFERROR(AVERAGE(D145:J145),"N/M")</f>
        <v>16.9783774238668</v>
      </c>
      <c r="L145" s="97" t="n">
        <f aca="false">IFERROR(J145-D145,"N/M")</f>
        <v>0.982337704387241</v>
      </c>
      <c r="M145" s="98" t="n">
        <f aca="false">IFERROR(SLOPE(D145:J145,$D$3:$J$3),"N/M")</f>
        <v>0.21047903204074</v>
      </c>
    </row>
    <row r="146" customFormat="false" ht="15" hidden="false" customHeight="false" outlineLevel="0" collapsed="false">
      <c r="A146" s="18" t="s">
        <v>145</v>
      </c>
      <c r="B146" s="19" t="s">
        <v>610</v>
      </c>
      <c r="D146" s="47" t="n">
        <f aca="false">IFERROR(IF(D49=0,"N/C",IF(D145&lt;=0,"N/M",D47/D145)),"N/M")</f>
        <v>0.282735444845837</v>
      </c>
      <c r="E146" s="47" t="n">
        <f aca="false">IFERROR(IF(E49=0,"N/C",IF(E145&lt;=0,"N/M",E47/E145)),"N/M")</f>
        <v>0.578983879265992</v>
      </c>
      <c r="F146" s="47" t="n">
        <f aca="false">IFERROR(IF(F49=0,"N/C",IF(F145&lt;=0,"N/M",F47/F145)),"N/M")</f>
        <v>0.770399965887771</v>
      </c>
      <c r="G146" s="47" t="n">
        <f aca="false">IFERROR(IF(G49=0,"N/C",IF(G145&lt;=0,"N/M",G47/G145)),"N/M")</f>
        <v>0.638694876370125</v>
      </c>
      <c r="H146" s="47" t="n">
        <f aca="false">IFERROR(IF(H49=0,"N/C",IF(H145&lt;=0,"N/M",H47/H145)),"N/M")</f>
        <v>1.14843207910835</v>
      </c>
      <c r="I146" s="47" t="n">
        <f aca="false">IFERROR(IF(I49=0,"N/C",IF(I145&lt;=0,"N/M",I47/I145)),"N/M")</f>
        <v>0.764307085319744</v>
      </c>
      <c r="J146" s="47" t="n">
        <f aca="false">IFERROR(IF(J49=0,"N/C",IF(J145&lt;=0,"N/M",J47/J145)),"N/M")</f>
        <v>0.465427461139896</v>
      </c>
      <c r="K146" s="22" t="n">
        <f aca="false">IFERROR(AVERAGE(D146:J146),"N/M")</f>
        <v>0.66414011313396</v>
      </c>
      <c r="L146" s="82" t="n">
        <f aca="false">IFERROR(J146-D146,"N/M")</f>
        <v>0.182692016294059</v>
      </c>
      <c r="M146" s="83" t="n">
        <f aca="false">IFERROR(SLOPE(D146:J146,$D$3:$J$3),"N/M")</f>
        <v>0.0463126633646523</v>
      </c>
    </row>
    <row r="147" customFormat="false" ht="15" hidden="false" customHeight="false" outlineLevel="0" collapsed="false">
      <c r="A147" s="18" t="s">
        <v>611</v>
      </c>
      <c r="B147" s="19" t="s">
        <v>612</v>
      </c>
      <c r="D147" s="95" t="n">
        <f aca="false">IFERROR(IF(D48&lt;=0,"N/M",D23/D48),"N/M")</f>
        <v>0.023943661971831</v>
      </c>
      <c r="E147" s="95" t="n">
        <f aca="false">IFERROR(IF(E48&lt;=0,"N/M",E23/E48),"N/M")</f>
        <v>0.0364656381486676</v>
      </c>
      <c r="F147" s="95" t="n">
        <f aca="false">IFERROR(IF(F48&lt;=0,"N/M",F23/F48),"N/M")</f>
        <v>0.0504908835904628</v>
      </c>
      <c r="G147" s="95" t="n">
        <f aca="false">IFERROR(IF(G48&lt;=0,"N/M",G23/G48),"N/M")</f>
        <v>0.0933908045977012</v>
      </c>
      <c r="H147" s="95" t="n">
        <f aca="false">IFERROR(IF(H48&lt;=0,"N/M",H23/H48),"N/M")</f>
        <v>0.0933908045977012</v>
      </c>
      <c r="I147" s="95" t="n">
        <f aca="false">IFERROR(IF(I48&lt;=0,"N/M",I23/I48),"N/M")</f>
        <v>0.300287356321839</v>
      </c>
      <c r="J147" s="95" t="n">
        <f aca="false">IFERROR(IF(J48&lt;=0,"N/M",J23/J48),"N/M")</f>
        <v>0.199712643678161</v>
      </c>
      <c r="K147" s="96" t="n">
        <f aca="false">IFERROR(AVERAGE(D147:J147),"N/M")</f>
        <v>0.113954541843766</v>
      </c>
      <c r="L147" s="97" t="n">
        <f aca="false">IFERROR(J147-D147,"N/M")</f>
        <v>0.17576898170633</v>
      </c>
      <c r="M147" s="98" t="n">
        <f aca="false">IFERROR(SLOPE(D147:J147,$D$3:$J$3),"N/M")</f>
        <v>0.0392089393740204</v>
      </c>
    </row>
    <row r="148" customFormat="false" ht="15" hidden="false" customHeight="false" outlineLevel="0" collapsed="false">
      <c r="A148" s="18" t="s">
        <v>613</v>
      </c>
      <c r="B148" s="19" t="s">
        <v>614</v>
      </c>
      <c r="D148" s="46" t="n">
        <f aca="false">IFERROR(IF(D143&lt;=0,"N/M",D147/D143),"N/M")</f>
        <v>0.015828677839851</v>
      </c>
      <c r="E148" s="46" t="n">
        <f aca="false">IFERROR(IF(E143&lt;=0,"N/M",E147/E143),"N/M")</f>
        <v>5.2</v>
      </c>
      <c r="F148" s="46" t="n">
        <f aca="false">IFERROR(IF(F143&lt;=0,"N/M",F147/F143),"N/M")</f>
        <v>0.158590308370044</v>
      </c>
      <c r="G148" s="46" t="n">
        <f aca="false">IFERROR(IF(G143&lt;=0,"N/M",G147/G143),"N/M")</f>
        <v>0.13265306122449</v>
      </c>
      <c r="H148" s="46" t="n">
        <f aca="false">IFERROR(IF(H143&lt;=0,"N/M",H147/H143),"N/M")</f>
        <v>0.117328519855596</v>
      </c>
      <c r="I148" s="46" t="n">
        <f aca="false">IFERROR(IF(I143&lt;=0,"N/M",I147/I143),"N/M")</f>
        <v>0.275</v>
      </c>
      <c r="J148" s="46" t="n">
        <f aca="false">IFERROR(IF(J143&lt;=0,"N/M",J147/J143),"N/M")</f>
        <v>0.144791666666667</v>
      </c>
      <c r="K148" s="25" t="n">
        <f aca="false">IFERROR(AVERAGE(D148:J148),"N/M")</f>
        <v>0.863456033422378</v>
      </c>
      <c r="L148" s="86" t="n">
        <f aca="false">IFERROR(J148-D148,"N/M")</f>
        <v>0.128962988826816</v>
      </c>
      <c r="M148" s="87" t="n">
        <f aca="false">IFERROR(SLOPE(D148:J148,$D$3:$J$3),"N/M")</f>
        <v>-0.339441886501214</v>
      </c>
    </row>
    <row r="149" customFormat="false" ht="15" hidden="false" customHeight="false" outlineLevel="0" collapsed="false">
      <c r="A149" s="18" t="s">
        <v>615</v>
      </c>
      <c r="B149" s="19" t="s">
        <v>616</v>
      </c>
      <c r="D149" s="46" t="n">
        <f aca="false">IFERROR((1-D148),"N/M")</f>
        <v>0.984171322160149</v>
      </c>
      <c r="E149" s="46" t="n">
        <f aca="false">IFERROR((1-E148),"N/M")</f>
        <v>-4.2</v>
      </c>
      <c r="F149" s="46" t="n">
        <f aca="false">IFERROR((1-F148),"N/M")</f>
        <v>0.841409691629956</v>
      </c>
      <c r="G149" s="46" t="n">
        <f aca="false">IFERROR((1-G148),"N/M")</f>
        <v>0.86734693877551</v>
      </c>
      <c r="H149" s="46" t="n">
        <f aca="false">IFERROR((1-H148),"N/M")</f>
        <v>0.882671480144404</v>
      </c>
      <c r="I149" s="46" t="n">
        <f aca="false">IFERROR((1-I148),"N/M")</f>
        <v>0.725</v>
      </c>
      <c r="J149" s="46" t="n">
        <f aca="false">IFERROR((1-J148),"N/M")</f>
        <v>0.855208333333333</v>
      </c>
      <c r="K149" s="25" t="n">
        <f aca="false">IFERROR(AVERAGE(D149:J149),"N/M")</f>
        <v>0.136543966577622</v>
      </c>
      <c r="L149" s="86" t="n">
        <f aca="false">IFERROR(J149-D149,"N/M")</f>
        <v>-0.128962988826816</v>
      </c>
      <c r="M149" s="87" t="n">
        <f aca="false">IFERROR(SLOPE(D149:J149,$D$3:$J$3),"N/M")</f>
        <v>0.339441886501214</v>
      </c>
    </row>
    <row r="150" customFormat="false" ht="15" hidden="false" customHeight="false" outlineLevel="0" collapsed="false">
      <c r="A150" s="18" t="s">
        <v>617</v>
      </c>
      <c r="B150" s="19" t="s">
        <v>618</v>
      </c>
      <c r="D150" s="46" t="n">
        <f aca="false">IFERROR(IF(D49=0,"N/C",IF(D47&lt;=0,"N/M",D143/D47)),"N/M")</f>
        <v>0.319129969691567</v>
      </c>
      <c r="E150" s="46" t="n">
        <f aca="false">IFERROR(IF(E49=0,"N/C",IF(E47&lt;=0,"N/M",E143/E47)),"N/M")</f>
        <v>0.000740509263030371</v>
      </c>
      <c r="F150" s="46" t="n">
        <f aca="false">IFERROR(IF(F49=0,"N/C",IF(F47&lt;=0,"N/M",F143/F47)),"N/M")</f>
        <v>0.0251281035145029</v>
      </c>
      <c r="G150" s="46" t="n">
        <f aca="false">IFERROR(IF(G49=0,"N/C",IF(G47&lt;=0,"N/M",G143/G47)),"N/M")</f>
        <v>0.0651873137505322</v>
      </c>
      <c r="H150" s="46" t="n">
        <f aca="false">IFERROR(IF(H49=0,"N/C",IF(H47&lt;=0,"N/M",H143/H47)),"N/M")</f>
        <v>0.0404254449717752</v>
      </c>
      <c r="I150" s="46" t="n">
        <f aca="false">IFERROR(IF(I49=0,"N/C",IF(I47&lt;=0,"N/M",I143/I47)),"N/M")</f>
        <v>0.0817330855530319</v>
      </c>
      <c r="J150" s="46" t="n">
        <f aca="false">IFERROR(IF(J49=0,"N/C",IF(J47&lt;=0,"N/M",J143/J47)),"N/M")</f>
        <v>0.166986724555398</v>
      </c>
      <c r="K150" s="25" t="n">
        <f aca="false">IFERROR(AVERAGE(D150:J150),"N/M")</f>
        <v>0.0999044501856911</v>
      </c>
      <c r="L150" s="86" t="n">
        <f aca="false">IFERROR(J150-D150,"N/M")</f>
        <v>-0.152143245136169</v>
      </c>
      <c r="M150" s="87" t="n">
        <f aca="false">IFERROR(SLOPE(D150:J150,$D$3:$J$3),"N/M")</f>
        <v>-0.00996954433468688</v>
      </c>
    </row>
    <row r="151" customFormat="false" ht="15" hidden="false" customHeight="false" outlineLevel="0" collapsed="false">
      <c r="A151" s="18" t="s">
        <v>146</v>
      </c>
      <c r="B151" s="19" t="s">
        <v>619</v>
      </c>
      <c r="D151" s="46" t="n">
        <f aca="false">IFERROR(IF(D49=0,"N/C",IF(D47&lt;=0,"N/M",D147/D47)),"N/M")</f>
        <v>0.00505140547928924</v>
      </c>
      <c r="E151" s="46" t="n">
        <f aca="false">IFERROR(IF(E49=0,"N/C",IF(E47&lt;=0,"N/M",E147/E47)),"N/M")</f>
        <v>0.00385064816775793</v>
      </c>
      <c r="F151" s="46" t="n">
        <f aca="false">IFERROR(IF(F49=0,"N/C",IF(F47&lt;=0,"N/M",F147/F47)),"N/M")</f>
        <v>0.0039850736851194</v>
      </c>
      <c r="G151" s="46" t="n">
        <f aca="false">IFERROR(IF(G49=0,"N/C",IF(G47&lt;=0,"N/M",G147/G47)),"N/M")</f>
        <v>0.00864729672200936</v>
      </c>
      <c r="H151" s="46" t="n">
        <f aca="false">IFERROR(IF(H49=0,"N/C",IF(H47&lt;=0,"N/M",H147/H47)),"N/M")</f>
        <v>0.00474305762304221</v>
      </c>
      <c r="I151" s="46" t="n">
        <f aca="false">IFERROR(IF(I49=0,"N/C",IF(I47&lt;=0,"N/M",I147/I47)),"N/M")</f>
        <v>0.0224765985270838</v>
      </c>
      <c r="J151" s="46" t="n">
        <f aca="false">IFERROR(IF(J49=0,"N/C",IF(J47&lt;=0,"N/M",J147/J47)),"N/M")</f>
        <v>0.0241782861595836</v>
      </c>
      <c r="K151" s="25" t="n">
        <f aca="false">IFERROR(AVERAGE(D151:J151),"N/M")</f>
        <v>0.0104189094805551</v>
      </c>
      <c r="L151" s="86" t="n">
        <f aca="false">IFERROR(J151-D151,"N/M")</f>
        <v>0.0191268806802944</v>
      </c>
      <c r="M151" s="87" t="n">
        <f aca="false">IFERROR(SLOPE(D151:J151,$D$3:$J$3),"N/M")</f>
        <v>0.0034068045249092</v>
      </c>
    </row>
    <row r="152" customFormat="false" ht="15" hidden="false" customHeight="false" outlineLevel="0" collapsed="false">
      <c r="A152" s="18" t="s">
        <v>143</v>
      </c>
      <c r="B152" s="19" t="s">
        <v>620</v>
      </c>
      <c r="D152" s="47" t="n">
        <f aca="false">IFERROR(IF(D49=0,"N/C",IF(D143&lt;=0,"N/M",D47/D143)),"N/M")</f>
        <v>3.13351955307263</v>
      </c>
      <c r="E152" s="47" t="n">
        <f aca="false">IFERROR(IF(E49=0,"N/C",IF(E143&lt;=0,"N/M",E47/E143)),"N/M")</f>
        <v>1350.422</v>
      </c>
      <c r="F152" s="47" t="n">
        <f aca="false">IFERROR(IF(F49=0,"N/C",IF(F143&lt;=0,"N/M",F47/F143)),"N/M")</f>
        <v>39.7960792951542</v>
      </c>
      <c r="G152" s="47" t="n">
        <f aca="false">IFERROR(IF(G49=0,"N/C",IF(G143&lt;=0,"N/M",G47/G143)),"N/M")</f>
        <v>15.3404081632653</v>
      </c>
      <c r="H152" s="47" t="n">
        <f aca="false">IFERROR(IF(H49=0,"N/C",IF(H143&lt;=0,"N/M",H47/H143)),"N/M")</f>
        <v>24.7368953068592</v>
      </c>
      <c r="I152" s="47" t="n">
        <f aca="false">IFERROR(IF(I49=0,"N/C",IF(I143&lt;=0,"N/M",I47/I143)),"N/M")</f>
        <v>12.2349473684211</v>
      </c>
      <c r="J152" s="47" t="n">
        <f aca="false">IFERROR(IF(J49=0,"N/C",IF(J143&lt;=0,"N/M",J47/J143)),"N/M")</f>
        <v>5.9885</v>
      </c>
      <c r="K152" s="22" t="n">
        <f aca="false">IFERROR(AVERAGE(D152:J152),"N/M")</f>
        <v>207.37890709811</v>
      </c>
      <c r="L152" s="82" t="n">
        <f aca="false">IFERROR(J152-D152,"N/M")</f>
        <v>2.85498044692738</v>
      </c>
      <c r="M152" s="83" t="n">
        <f aca="false">IFERROR(SLOPE(D152:J152,$D$3:$J$3),"N/M")</f>
        <v>-95.8167267110954</v>
      </c>
    </row>
    <row r="153" customFormat="false" ht="15" hidden="false" customHeight="false" outlineLevel="0" collapsed="false">
      <c r="A153" s="18" t="s">
        <v>148</v>
      </c>
      <c r="B153" s="19" t="s">
        <v>621</v>
      </c>
      <c r="D153" s="46" t="n">
        <f aca="false">IFERROR(IF(C47&lt;=0,"N/M",((D147+D47)-C47)/C47),"N/M")</f>
        <v>-0.775391623669409</v>
      </c>
      <c r="E153" s="46" t="n">
        <f aca="false">IFERROR(IF(D47&lt;=0,"N/M",((E147+E47)-D47)/D47),"N/M")</f>
        <v>1.00558346796385</v>
      </c>
      <c r="F153" s="46" t="n">
        <f aca="false">IFERROR(IF(E47&lt;=0,"N/M",((F147+F47)-E47)/E47),"N/M")</f>
        <v>0.343240853599838</v>
      </c>
      <c r="G153" s="46" t="n">
        <f aca="false">IFERROR(IF(F47&lt;=0,"N/M",((G147+G47)-F47)/F47),"N/M")</f>
        <v>-0.140221720236961</v>
      </c>
      <c r="H153" s="46" t="n">
        <f aca="false">IFERROR(IF(G47&lt;=0,"N/M",((H147+H47)-G47)/G47),"N/M")</f>
        <v>0.831795444870157</v>
      </c>
      <c r="I153" s="46" t="n">
        <f aca="false">IFERROR(IF(H47&lt;=0,"N/M",((I147+I47)-H47)/H47),"N/M")</f>
        <v>-0.306232231776443</v>
      </c>
      <c r="J153" s="46" t="n">
        <f aca="false">IFERROR(IF(I47&lt;=0,"N/M",((J147+J47)-I47)/I47),"N/M")</f>
        <v>-0.366787975772593</v>
      </c>
      <c r="K153" s="25" t="n">
        <f aca="false">IFERROR(AVERAGE(D153:J153),"N/M")</f>
        <v>0.0845694592826347</v>
      </c>
      <c r="L153" s="86" t="n">
        <f aca="false">IFERROR(J153-D153,"N/M")</f>
        <v>0.408603647896817</v>
      </c>
      <c r="M153" s="87" t="n">
        <f aca="false">IFERROR(SLOPE(D153:J153,$D$3:$J$3),"N/M")</f>
        <v>-0.032473780875708</v>
      </c>
    </row>
    <row r="154" customFormat="false" ht="15" hidden="false" customHeight="false" outlineLevel="0" collapsed="false">
      <c r="A154" s="18" t="s">
        <v>147</v>
      </c>
      <c r="B154" s="19" t="s">
        <v>622</v>
      </c>
      <c r="D154" s="47" t="n">
        <f aca="false">IFERROR(IF(D49=0,"N/C",IF(D59&lt;=0,"N/M",D70/D59)),"N/M")</f>
        <v>3.37770410277663</v>
      </c>
      <c r="E154" s="47" t="n">
        <f aca="false">IFERROR(IF(E49=0,"N/C",IF(E59&lt;=0,"N/M",E70/E59)),"N/M")</f>
        <v>10.3875831702544</v>
      </c>
      <c r="F154" s="47" t="n">
        <f aca="false">IFERROR(IF(F49=0,"N/C",IF(F59&lt;=0,"N/M",F70/F59)),"N/M")</f>
        <v>11.4359901960784</v>
      </c>
      <c r="G154" s="47" t="n">
        <f aca="false">IFERROR(IF(G49=0,"N/C",IF(G59&lt;=0,"N/M",G70/G59)),"N/M")</f>
        <v>6.67218167072182</v>
      </c>
      <c r="H154" s="47" t="n">
        <f aca="false">IFERROR(IF(H49=0,"N/C",IF(H59&lt;=0,"N/M",H70/H59)),"N/M")</f>
        <v>11.636169828365</v>
      </c>
      <c r="I154" s="47" t="n">
        <f aca="false">IFERROR(IF(I49=0,"N/C",IF(I59&lt;=0,"N/M",I70/I59)),"N/M")</f>
        <v>6.76052356020943</v>
      </c>
      <c r="J154" s="47" t="n">
        <f aca="false">IFERROR(IF(J49=0,"N/C",IF(J59&lt;=0,"N/M",J70/J59)),"N/M")</f>
        <v>2.78725208175624</v>
      </c>
      <c r="K154" s="22" t="n">
        <f aca="false">IFERROR(AVERAGE(D154:J154),"N/M")</f>
        <v>7.57962923002313</v>
      </c>
      <c r="L154" s="82" t="n">
        <f aca="false">IFERROR(J154-D154,"N/M")</f>
        <v>-0.590452021020382</v>
      </c>
      <c r="M154" s="83" t="n">
        <f aca="false">IFERROR(SLOPE(D154:J154,$D$3:$J$3),"N/M")</f>
        <v>-0.315189130388021</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0.0309144814484327</v>
      </c>
      <c r="E157" s="46" t="n">
        <f aca="false">IFERROR(E124,"N/M")</f>
        <v>0.000235571260306243</v>
      </c>
      <c r="F157" s="46" t="n">
        <f aca="false">IFERROR(F124,"N/M")</f>
        <v>0.00968760669170365</v>
      </c>
      <c r="G157" s="46" t="n">
        <f aca="false">IFERROR(G124,"N/M")</f>
        <v>0.0176081644386948</v>
      </c>
      <c r="H157" s="46" t="n">
        <f aca="false">IFERROR(H124,"N/M")</f>
        <v>0.0190672861813801</v>
      </c>
      <c r="I157" s="46" t="n">
        <f aca="false">IFERROR(I124,"N/M")</f>
        <v>0.022177478187283</v>
      </c>
      <c r="J157" s="46" t="n">
        <f aca="false">IFERROR(J124,"N/M")</f>
        <v>0.0268802150417203</v>
      </c>
      <c r="K157" s="25" t="n">
        <f aca="false">IFERROR(AVERAGE(D157:J157),"N/M")</f>
        <v>0.0180815433213601</v>
      </c>
      <c r="L157" s="86" t="n">
        <f aca="false">IFERROR(J157-D157,"N/M")</f>
        <v>-0.00403426640671235</v>
      </c>
      <c r="M157" s="87" t="n">
        <f aca="false">IFERROR(SLOPE(D157:J157,$D$3:$J$3),"N/M")</f>
        <v>0.00147002479012475</v>
      </c>
    </row>
    <row r="158" customFormat="false" ht="15" hidden="false" customHeight="false" outlineLevel="0" collapsed="false">
      <c r="A158" s="18" t="s">
        <v>625</v>
      </c>
      <c r="B158" s="19" t="s">
        <v>626</v>
      </c>
      <c r="D158" s="47" t="n">
        <f aca="false">IFERROR(D113,"N/M")</f>
        <v>1.60685460558267</v>
      </c>
      <c r="E158" s="47" t="n">
        <f aca="false">IFERROR(E113,"N/M")</f>
        <v>1.07280952260608</v>
      </c>
      <c r="F158" s="47" t="n">
        <f aca="false">IFERROR(F113,"N/M")</f>
        <v>1.26882360904291</v>
      </c>
      <c r="G158" s="47" t="n">
        <f aca="false">IFERROR(G113,"N/M")</f>
        <v>1.58473804100228</v>
      </c>
      <c r="H158" s="47" t="n">
        <f aca="false">IFERROR(H113,"N/M")</f>
        <v>1.59559570553832</v>
      </c>
      <c r="I158" s="47" t="n">
        <f aca="false">IFERROR(I113,"N/M")</f>
        <v>1.90298756108396</v>
      </c>
      <c r="J158" s="47" t="n">
        <f aca="false">IFERROR(J113,"N/M")</f>
        <v>2.15508085928071</v>
      </c>
      <c r="K158" s="22" t="n">
        <f aca="false">IFERROR(AVERAGE(D158:J158),"N/M")</f>
        <v>1.59812712916242</v>
      </c>
      <c r="L158" s="82" t="n">
        <f aca="false">IFERROR(J158-D158,"N/M")</f>
        <v>0.54822625369805</v>
      </c>
      <c r="M158" s="83" t="n">
        <f aca="false">IFERROR(SLOPE(D158:J158,$D$3:$J$3),"N/M")</f>
        <v>0.129707390519476</v>
      </c>
    </row>
    <row r="159" customFormat="false" ht="15" hidden="false" customHeight="false" outlineLevel="0" collapsed="false">
      <c r="A159" s="18" t="s">
        <v>627</v>
      </c>
      <c r="B159" s="19" t="s">
        <v>628</v>
      </c>
      <c r="D159" s="46" t="n">
        <f aca="false">IFERROR((D157*D158),"N/M")</f>
        <v>0.0496750768946139</v>
      </c>
      <c r="E159" s="46" t="n">
        <f aca="false">IFERROR((E157*E158),"N/M")</f>
        <v>0.000252723091308853</v>
      </c>
      <c r="F159" s="46" t="n">
        <f aca="false">IFERROR((F157*F158),"N/M")</f>
        <v>0.0122918640855557</v>
      </c>
      <c r="G159" s="46" t="n">
        <f aca="false">IFERROR((G157*G158),"N/M")</f>
        <v>0.0279043280182232</v>
      </c>
      <c r="H159" s="46" t="n">
        <f aca="false">IFERROR((H157*H158),"N/M")</f>
        <v>0.0304236799472803</v>
      </c>
      <c r="I159" s="46" t="n">
        <f aca="false">IFERROR((I157*I158),"N/M")</f>
        <v>0.0422034651266104</v>
      </c>
      <c r="J159" s="46" t="n">
        <f aca="false">IFERROR((J157*J158),"N/M")</f>
        <v>0.057929036929761</v>
      </c>
      <c r="K159" s="25" t="n">
        <f aca="false">IFERROR(AVERAGE(D159:J159),"N/M")</f>
        <v>0.0315257391561934</v>
      </c>
      <c r="L159" s="86" t="n">
        <f aca="false">IFERROR(J159-D159,"N/M")</f>
        <v>0.00825396003514713</v>
      </c>
      <c r="M159" s="87" t="n">
        <f aca="false">IFERROR(SLOPE(D159:J159,$D$3:$J$3),"N/M")</f>
        <v>0.00452839928706318</v>
      </c>
    </row>
    <row r="160" customFormat="false" ht="15" hidden="false" customHeight="false" outlineLevel="0" collapsed="false">
      <c r="A160" s="18" t="s">
        <v>629</v>
      </c>
      <c r="B160" s="19" t="s">
        <v>630</v>
      </c>
      <c r="D160" s="47" t="n">
        <f aca="false">IFERROR(IF(((D61+C61)/2)&lt;=0,"N/M",((D35+C35)/2)/((D61+C61)/2)),"N/M")</f>
        <v>1.74986847962446</v>
      </c>
      <c r="E160" s="47" t="n">
        <f aca="false">IFERROR(IF(((E61+D61)/2)&lt;=0,"N/M",((E35+D35)/2)/((E61+D61)/2)),"N/M")</f>
        <v>1.67914279652026</v>
      </c>
      <c r="F160" s="47" t="n">
        <f aca="false">IFERROR(IF(((F61+E61)/2)&lt;=0,"N/M",((F35+E35)/2)/((F61+E61)/2)),"N/M")</f>
        <v>1.57922866427228</v>
      </c>
      <c r="G160" s="47" t="n">
        <f aca="false">IFERROR(IF(((G61+F61)/2)&lt;=0,"N/M",((G35+F35)/2)/((G61+F61)/2)),"N/M")</f>
        <v>1.49478612470738</v>
      </c>
      <c r="H160" s="47" t="n">
        <f aca="false">IFERROR(IF(((H61+G61)/2)&lt;=0,"N/M",((H35+G35)/2)/((H61+G61)/2)),"N/M")</f>
        <v>1.53653700109695</v>
      </c>
      <c r="I160" s="47" t="n">
        <f aca="false">IFERROR(IF(((I61+H61)/2)&lt;=0,"N/M",((I35+H35)/2)/((I61+H61)/2)),"N/M")</f>
        <v>1.49450184654965</v>
      </c>
      <c r="J160" s="47" t="n">
        <f aca="false">IFERROR(IF(((J61+I61)/2)&lt;=0,"N/M",((J35+I35)/2)/((J61+I61)/2)),"N/M")</f>
        <v>1.35182315033853</v>
      </c>
      <c r="K160" s="22" t="n">
        <f aca="false">IFERROR(AVERAGE(D160:J160),"N/M")</f>
        <v>1.5551268661585</v>
      </c>
      <c r="L160" s="82" t="n">
        <f aca="false">IFERROR(J160-D160,"N/M")</f>
        <v>-0.398045329285932</v>
      </c>
      <c r="M160" s="83" t="n">
        <f aca="false">IFERROR(SLOPE(D160:J160,$D$3:$J$3),"N/M")</f>
        <v>-0.0573610553919409</v>
      </c>
    </row>
    <row r="161" customFormat="false" ht="15" hidden="false" customHeight="false" outlineLevel="0" collapsed="false">
      <c r="A161" s="18" t="s">
        <v>631</v>
      </c>
      <c r="B161" s="19" t="s">
        <v>632</v>
      </c>
      <c r="D161" s="46" t="n">
        <f aca="false">IFERROR(((D157*D158)*D160),"N/M")</f>
        <v>0.0869248512808061</v>
      </c>
      <c r="E161" s="46" t="n">
        <f aca="false">IFERROR(((E157*E158)*E160),"N/M")</f>
        <v>0.000424358158285593</v>
      </c>
      <c r="F161" s="46" t="n">
        <f aca="false">IFERROR(((F157*F158)*F160),"N/M")</f>
        <v>0.0194116641012485</v>
      </c>
      <c r="G161" s="46" t="n">
        <f aca="false">IFERROR(((G157*G158)*G160),"N/M")</f>
        <v>0.0417110023409236</v>
      </c>
      <c r="H161" s="46" t="n">
        <f aca="false">IFERROR(((H157*H158)*H160),"N/M")</f>
        <v>0.0467471099485276</v>
      </c>
      <c r="I161" s="46" t="n">
        <f aca="false">IFERROR(((I157*I158)*I160),"N/M")</f>
        <v>0.063073156562513</v>
      </c>
      <c r="J161" s="46" t="n">
        <f aca="false">IFERROR(((J157*J158)*J160),"N/M")</f>
        <v>0.0783098131984664</v>
      </c>
      <c r="K161" s="25" t="n">
        <f aca="false">IFERROR(AVERAGE(D161:J161),"N/M")</f>
        <v>0.0480859936558244</v>
      </c>
      <c r="L161" s="86" t="n">
        <f aca="false">IFERROR(J161-D161,"N/M")</f>
        <v>-0.0086150380823397</v>
      </c>
      <c r="M161" s="87" t="n">
        <f aca="false">IFERROR(SLOPE(D161:J161,$D$3:$J$3),"N/M")</f>
        <v>0.00452814030031124</v>
      </c>
    </row>
    <row r="162" customFormat="false" ht="15" hidden="false" customHeight="false" outlineLevel="0" collapsed="false">
      <c r="A162" s="18" t="s">
        <v>633</v>
      </c>
      <c r="B162" s="19" t="s">
        <v>634</v>
      </c>
      <c r="D162" s="47" t="n">
        <f aca="false">IFERROR(IF(D20=0,"N/M",D22/D20),"N/M")</f>
        <v>0.837100545596259</v>
      </c>
      <c r="E162" s="47" t="n">
        <f aca="false">IFERROR(IF(E20=0,"N/M",E22/E20),"N/M")</f>
        <v>0.178571428571429</v>
      </c>
      <c r="F162" s="47" t="n">
        <f aca="false">IFERROR(IF(F20=0,"N/M",F22/F20),"N/M")</f>
        <v>1.01793721973094</v>
      </c>
      <c r="G162" s="47" t="n">
        <f aca="false">IFERROR(IF(G20=0,"N/M",G22/G20),"N/M")</f>
        <v>1.05603448275862</v>
      </c>
      <c r="H162" s="47" t="n">
        <f aca="false">IFERROR(IF(H20=0,"N/M",H22/H20),"N/M")</f>
        <v>0.975352112676056</v>
      </c>
      <c r="I162" s="47" t="n">
        <f aca="false">IFERROR(IF(I20=0,"N/M",I22/I20),"N/M")</f>
        <v>0.990873533246415</v>
      </c>
      <c r="J162" s="47" t="n">
        <f aca="false">IFERROR(IF(J20=0,"N/M",J22/J20),"N/M")</f>
        <v>0.931134820562561</v>
      </c>
      <c r="K162" s="22" t="n">
        <f aca="false">IFERROR(AVERAGE(D162:J162),"N/M")</f>
        <v>0.855286306163183</v>
      </c>
      <c r="L162" s="82" t="n">
        <f aca="false">IFERROR(J162-D162,"N/M")</f>
        <v>0.0940342749663018</v>
      </c>
      <c r="M162" s="83" t="n">
        <f aca="false">IFERROR(SLOPE(D162:J162,$D$3:$J$3),"N/M")</f>
        <v>0.0665757831140711</v>
      </c>
    </row>
    <row r="163" customFormat="false" ht="15" hidden="false" customHeight="false" outlineLevel="0" collapsed="false">
      <c r="A163" s="18" t="s">
        <v>635</v>
      </c>
      <c r="B163" s="19" t="s">
        <v>636</v>
      </c>
      <c r="D163" s="47" t="n">
        <f aca="false">IFERROR(IF(D58=0,"N/M",D20/D58),"N/M")</f>
        <v>0.634520276953511</v>
      </c>
      <c r="E163" s="47" t="n">
        <f aca="false">IFERROR(IF(E58=0,"N/M",E20/E58),"N/M")</f>
        <v>0.0355781448538755</v>
      </c>
      <c r="F163" s="47" t="n">
        <f aca="false">IFERROR(IF(F58=0,"N/M",F20/F58),"N/M")</f>
        <v>0.294583883751651</v>
      </c>
      <c r="G163" s="47" t="n">
        <f aca="false">IFERROR(IF(G58=0,"N/M",G20/G58),"N/M")</f>
        <v>0.493092454835282</v>
      </c>
      <c r="H163" s="47" t="n">
        <f aca="false">IFERROR(IF(H58=0,"N/M",H20/H58),"N/M")</f>
        <v>0.686819830713422</v>
      </c>
      <c r="I163" s="47" t="n">
        <f aca="false">IFERROR(IF(I58=0,"N/M",I20/I58),"N/M")</f>
        <v>0.866666666666667</v>
      </c>
      <c r="J163" s="47" t="n">
        <f aca="false">IFERROR(IF(J58=0,"N/M",J20/J58),"N/M")</f>
        <v>0.967166979362101</v>
      </c>
      <c r="K163" s="22" t="n">
        <f aca="false">IFERROR(AVERAGE(D163:J163),"N/M")</f>
        <v>0.568346891019501</v>
      </c>
      <c r="L163" s="82" t="n">
        <f aca="false">IFERROR(J163-D163,"N/M")</f>
        <v>0.33264670240859</v>
      </c>
      <c r="M163" s="83" t="n">
        <f aca="false">IFERROR(SLOPE(D163:J163,$D$3:$J$3),"N/M")</f>
        <v>0.109012610636183</v>
      </c>
    </row>
    <row r="164" customFormat="false" ht="15" hidden="false" customHeight="false" outlineLevel="0" collapsed="false">
      <c r="A164" s="18" t="s">
        <v>637</v>
      </c>
      <c r="B164" s="19" t="s">
        <v>577</v>
      </c>
      <c r="D164" s="46" t="n">
        <f aca="false">IFERROR(IF(D9&lt;=0,"N/M",D58/D9),"N/M")</f>
        <v>0.0582021242911833</v>
      </c>
      <c r="E164" s="46" t="n">
        <f aca="false">IFERROR(IF(E9&lt;=0,"N/M",E58/E9),"N/M")</f>
        <v>0.0370789163722026</v>
      </c>
      <c r="F164" s="46" t="n">
        <f aca="false">IFERROR(IF(F9&lt;=0,"N/M",F58/F9),"N/M")</f>
        <v>0.0323062478661659</v>
      </c>
      <c r="G164" s="46" t="n">
        <f aca="false">IFERROR(IF(G9&lt;=0,"N/M",G58/G9),"N/M")</f>
        <v>0.0338148627281874</v>
      </c>
      <c r="H164" s="46" t="n">
        <f aca="false">IFERROR(IF(H9&lt;=0,"N/M",H58/H9),"N/M")</f>
        <v>0.0284632593357426</v>
      </c>
      <c r="I164" s="46" t="n">
        <f aca="false">IFERROR(IF(I9&lt;=0,"N/M",I58/I9),"N/M")</f>
        <v>0.025825089731244</v>
      </c>
      <c r="J164" s="46" t="n">
        <f aca="false">IFERROR(IF(J9&lt;=0,"N/M",J58/J9),"N/M")</f>
        <v>0.0298482387859103</v>
      </c>
      <c r="K164" s="25" t="n">
        <f aca="false">IFERROR(AVERAGE(D164:J164),"N/M")</f>
        <v>0.0350769627300909</v>
      </c>
      <c r="L164" s="86" t="n">
        <f aca="false">IFERROR(J164-D164,"N/M")</f>
        <v>-0.028353885505273</v>
      </c>
      <c r="M164" s="87" t="n">
        <f aca="false">IFERROR(SLOPE(D164:J164,$D$3:$J$3),"N/M")</f>
        <v>-0.00397901065457713</v>
      </c>
    </row>
    <row r="165" customFormat="false" ht="15" hidden="false" customHeight="false" outlineLevel="0" collapsed="false">
      <c r="A165" s="18" t="s">
        <v>638</v>
      </c>
      <c r="B165" s="19" t="s">
        <v>626</v>
      </c>
      <c r="D165" s="47" t="n">
        <f aca="false">IFERROR(D113,"N/M")</f>
        <v>1.60685460558267</v>
      </c>
      <c r="E165" s="47" t="n">
        <f aca="false">IFERROR(E113,"N/M")</f>
        <v>1.07280952260608</v>
      </c>
      <c r="F165" s="47" t="n">
        <f aca="false">IFERROR(F113,"N/M")</f>
        <v>1.26882360904291</v>
      </c>
      <c r="G165" s="47" t="n">
        <f aca="false">IFERROR(G113,"N/M")</f>
        <v>1.58473804100228</v>
      </c>
      <c r="H165" s="47" t="n">
        <f aca="false">IFERROR(H113,"N/M")</f>
        <v>1.59559570553832</v>
      </c>
      <c r="I165" s="47" t="n">
        <f aca="false">IFERROR(I113,"N/M")</f>
        <v>1.90298756108396</v>
      </c>
      <c r="J165" s="47" t="n">
        <f aca="false">IFERROR(J113,"N/M")</f>
        <v>2.15508085928071</v>
      </c>
      <c r="K165" s="22" t="n">
        <f aca="false">IFERROR(AVERAGE(D165:J165),"N/M")</f>
        <v>1.59812712916242</v>
      </c>
      <c r="L165" s="82" t="n">
        <f aca="false">IFERROR(J165-D165,"N/M")</f>
        <v>0.54822625369805</v>
      </c>
      <c r="M165" s="83" t="n">
        <f aca="false">IFERROR(SLOPE(D165:J165,$D$3:$J$3),"N/M")</f>
        <v>0.129707390519476</v>
      </c>
    </row>
    <row r="166" customFormat="false" ht="15" hidden="false" customHeight="false" outlineLevel="0" collapsed="false">
      <c r="A166" s="18" t="s">
        <v>639</v>
      </c>
      <c r="B166" s="19" t="s">
        <v>640</v>
      </c>
      <c r="D166" s="47" t="n">
        <f aca="false">IFERROR(D160,"N/M")</f>
        <v>1.74986847962446</v>
      </c>
      <c r="E166" s="47" t="n">
        <f aca="false">IFERROR(E160,"N/M")</f>
        <v>1.67914279652026</v>
      </c>
      <c r="F166" s="47" t="n">
        <f aca="false">IFERROR(F160,"N/M")</f>
        <v>1.57922866427228</v>
      </c>
      <c r="G166" s="47" t="n">
        <f aca="false">IFERROR(G160,"N/M")</f>
        <v>1.49478612470738</v>
      </c>
      <c r="H166" s="47" t="n">
        <f aca="false">IFERROR(H160,"N/M")</f>
        <v>1.53653700109695</v>
      </c>
      <c r="I166" s="47" t="n">
        <f aca="false">IFERROR(I160,"N/M")</f>
        <v>1.49450184654965</v>
      </c>
      <c r="J166" s="47" t="n">
        <f aca="false">IFERROR(J160,"N/M")</f>
        <v>1.35182315033853</v>
      </c>
      <c r="K166" s="22" t="n">
        <f aca="false">IFERROR(AVERAGE(D166:J166),"N/M")</f>
        <v>1.5551268661585</v>
      </c>
      <c r="L166" s="82" t="n">
        <f aca="false">IFERROR(J166-D166,"N/M")</f>
        <v>-0.398045329285932</v>
      </c>
      <c r="M166" s="83" t="n">
        <f aca="false">IFERROR(SLOPE(D166:J166,$D$3:$J$3),"N/M")</f>
        <v>-0.0573610553919409</v>
      </c>
    </row>
    <row r="167" customFormat="false" ht="15" hidden="false" customHeight="false" outlineLevel="0" collapsed="false">
      <c r="A167" s="18" t="s">
        <v>641</v>
      </c>
      <c r="B167" s="19" t="s">
        <v>642</v>
      </c>
      <c r="D167" s="46" t="n">
        <f aca="false">IFERROR(((((D162*D163)*D164)*D165)*D166),"N/M")</f>
        <v>0.0869248512808061</v>
      </c>
      <c r="E167" s="46" t="n">
        <f aca="false">IFERROR(((((E162*E163)*E164)*E165)*E166),"N/M")</f>
        <v>0.000424358158285593</v>
      </c>
      <c r="F167" s="46" t="n">
        <f aca="false">IFERROR(((((F162*F163)*F164)*F165)*F166),"N/M")</f>
        <v>0.0194116641012485</v>
      </c>
      <c r="G167" s="46" t="n">
        <f aca="false">IFERROR(((((G162*G163)*G164)*G165)*G166),"N/M")</f>
        <v>0.0417110023409236</v>
      </c>
      <c r="H167" s="46" t="n">
        <f aca="false">IFERROR(((((H162*H163)*H164)*H165)*H166),"N/M")</f>
        <v>0.0467471099485276</v>
      </c>
      <c r="I167" s="46" t="n">
        <f aca="false">IFERROR(((((I162*I163)*I164)*I165)*I166),"N/M")</f>
        <v>0.063073156562513</v>
      </c>
      <c r="J167" s="46" t="n">
        <f aca="false">IFERROR(((((J162*J163)*J164)*J165)*J166),"N/M")</f>
        <v>0.0783098131984664</v>
      </c>
      <c r="K167" s="25" t="n">
        <f aca="false">IFERROR(AVERAGE(D167:J167),"N/M")</f>
        <v>0.0480859936558244</v>
      </c>
      <c r="L167" s="86" t="n">
        <f aca="false">IFERROR(J167-D167,"N/M")</f>
        <v>-0.00861503808233967</v>
      </c>
      <c r="M167" s="87" t="n">
        <f aca="false">IFERROR(SLOPE(D167:J167,$D$3:$J$3),"N/M")</f>
        <v>0.00452814030031124</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n">
        <f aca="false">IFERROR(IF((1-(D135*D149))&lt;=0,"N/M",(D135*D149)/(1-(D135*D149))),"N/M")</f>
        <v>0.0514017555377246</v>
      </c>
      <c r="E170" s="46" t="n">
        <f aca="false">IFERROR(IF((1-(E135*E149))&lt;=0,"N/M",(E135*E149)/(1-(E135*E149))),"N/M")</f>
        <v>-0.00106031152962561</v>
      </c>
      <c r="F170" s="46" t="n">
        <f aca="false">IFERROR(IF((1-(F135*F149))&lt;=0,"N/M",(F135*F149)/(1-(F135*F149))),"N/M")</f>
        <v>0.0104505786118786</v>
      </c>
      <c r="G170" s="46" t="n">
        <f aca="false">IFERROR(IF((1-(G135*G149))&lt;=0,"N/M",(G135*G149)/(1-(G135*G149))),"N/M")</f>
        <v>0.0248030347242486</v>
      </c>
      <c r="H170" s="46" t="n">
        <f aca="false">IFERROR(IF((1-(H135*H149))&lt;=0,"N/M",(H135*H149)/(1-(H135*H149))),"N/M")</f>
        <v>0.0275951581501651</v>
      </c>
      <c r="I170" s="46" t="n">
        <f aca="false">IFERROR(IF((1-(I135*I149))&lt;=0,"N/M",(I135*I149)/(1-(I135*I149))),"N/M")</f>
        <v>0.031563269748525</v>
      </c>
      <c r="J170" s="46" t="n">
        <f aca="false">IFERROR(IF((1-(J135*J149))&lt;=0,"N/M",(J135*J149)/(1-(J135*J149))),"N/M")</f>
        <v>0.0521236746873214</v>
      </c>
      <c r="K170" s="25" t="n">
        <f aca="false">IFERROR(AVERAGE(D170:J170),"N/M")</f>
        <v>0.0281253085614625</v>
      </c>
      <c r="L170" s="86" t="n">
        <f aca="false">IFERROR(J170-D170,"N/M")</f>
        <v>0.000721919149596829</v>
      </c>
      <c r="M170" s="87" t="n">
        <f aca="false">IFERROR(SLOPE(D170:J170,$D$3:$J$3),"N/M")</f>
        <v>0.00301991069797779</v>
      </c>
    </row>
    <row r="171" customFormat="false" ht="15" hidden="false" customHeight="false" outlineLevel="0" collapsed="false">
      <c r="A171" s="18" t="s">
        <v>645</v>
      </c>
      <c r="B171" s="19" t="s">
        <v>646</v>
      </c>
      <c r="D171" s="46" t="n">
        <f aca="false">IFERROR(IF((1-(D139*D149))&lt;=0,"N/M",(D139*D149)/(1-(D139*D149))),"N/M")</f>
        <v>0.0935522414479798</v>
      </c>
      <c r="E171" s="46" t="n">
        <f aca="false">IFERROR(IF((1-(E139*E149))&lt;=0,"N/M",(E139*E149)/(1-(E139*E149))),"N/M")</f>
        <v>-0.00177913330791714</v>
      </c>
      <c r="F171" s="46" t="n">
        <f aca="false">IFERROR(IF((1-(F139*F149))&lt;=0,"N/M",(F139*F149)/(1-(F139*F149))),"N/M")</f>
        <v>0.0166043640789359</v>
      </c>
      <c r="G171" s="46" t="n">
        <f aca="false">IFERROR(IF((1-(G139*G149))&lt;=0,"N/M",(G139*G149)/(1-(G139*G149))),"N/M")</f>
        <v>0.0375358798851844</v>
      </c>
      <c r="H171" s="46" t="n">
        <f aca="false">IFERROR(IF((1-(H139*H149))&lt;=0,"N/M",(H139*H149)/(1-(H139*H149))),"N/M")</f>
        <v>0.0430381975004401</v>
      </c>
      <c r="I171" s="46" t="n">
        <f aca="false">IFERROR(IF((1-(I139*I149))&lt;=0,"N/M",(I139*I149)/(1-(I139*I149))),"N/M")</f>
        <v>0.0479192938209332</v>
      </c>
      <c r="J171" s="46" t="n">
        <f aca="false">IFERROR(IF((1-(J139*J149))&lt;=0,"N/M",(J139*J149)/(1-(J139*J149))),"N/M")</f>
        <v>0.0717782829165938</v>
      </c>
      <c r="K171" s="25" t="n">
        <f aca="false">IFERROR(AVERAGE(D171:J171),"N/M")</f>
        <v>0.0440927323345929</v>
      </c>
      <c r="L171" s="86" t="n">
        <f aca="false">IFERROR(J171-D171,"N/M")</f>
        <v>-0.021773958531386</v>
      </c>
      <c r="M171" s="87" t="n">
        <f aca="false">IFERROR(SLOPE(D171:J171,$D$3:$J$3),"N/M")</f>
        <v>0.00216102900303738</v>
      </c>
    </row>
    <row r="172" customFormat="false" ht="15" hidden="false" customHeight="false" outlineLevel="0" collapsed="false">
      <c r="A172" s="18" t="s">
        <v>647</v>
      </c>
      <c r="B172" s="19" t="s">
        <v>648</v>
      </c>
      <c r="D172" s="46" t="n">
        <f aca="false">IFERROR((IF(C9&lt;=0,"N/M",D9/C9)-1),"N/M")</f>
        <v>-0.224098269123395</v>
      </c>
      <c r="E172" s="46" t="n">
        <f aca="false">IFERROR((IF(D9&lt;=0,"N/M",E9/D9)-1),"N/M")</f>
        <v>-0.389050401542846</v>
      </c>
      <c r="F172" s="46" t="n">
        <f aca="false">IFERROR((IF(E9&lt;=0,"N/M",F9/E9)-1),"N/M")</f>
        <v>0.103981154299176</v>
      </c>
      <c r="G172" s="46" t="n">
        <f aca="false">IFERROR((IF(F9&lt;=0,"N/M",G9/F9)-1),"N/M")</f>
        <v>0.187606691703653</v>
      </c>
      <c r="H172" s="46" t="n">
        <f aca="false">IFERROR((IF(G9&lt;=0,"N/M",H9/G9)-1),"N/M")</f>
        <v>0.0440922811556708</v>
      </c>
      <c r="I172" s="46" t="n">
        <f aca="false">IFERROR((IF(H9&lt;=0,"N/M",I9/H9)-1),"N/M")</f>
        <v>0.179452762003097</v>
      </c>
      <c r="J172" s="46" t="n">
        <f aca="false">IFERROR((IF(I9&lt;=0,"N/M",J9/I9)-1),"N/M")</f>
        <v>0.0421663894481894</v>
      </c>
      <c r="K172" s="25" t="n">
        <f aca="false">IFERROR(AVERAGE(D172:J172),"N/M")</f>
        <v>-0.00797848457949346</v>
      </c>
      <c r="L172" s="86" t="n">
        <f aca="false">IFERROR(J172-D172,"N/M")</f>
        <v>0.266264658571584</v>
      </c>
      <c r="M172" s="87" t="n">
        <f aca="false">IFERROR(SLOPE(D172:J172,$D$3:$J$3),"N/M")</f>
        <v>0.0669968367736834</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0.888402751791831</v>
      </c>
      <c r="E176" s="46" t="n">
        <f aca="false">IFERROR(IF(E9&lt;=0,"N/M",E52/E9),"N/M")</f>
        <v>0.896113074204947</v>
      </c>
      <c r="F176" s="46" t="n">
        <f aca="false">IFERROR(IF(F9&lt;=0,"N/M",F52/F9),"N/M")</f>
        <v>0.898002731307614</v>
      </c>
      <c r="G176" s="46" t="n">
        <f aca="false">IFERROR(IF(G9&lt;=0,"N/M",G52/G9),"N/M")</f>
        <v>0.897333620813569</v>
      </c>
      <c r="H176" s="46" t="n">
        <f aca="false">IFERROR(IF(H9&lt;=0,"N/M",H52/H9),"N/M")</f>
        <v>0.902460850111857</v>
      </c>
      <c r="I176" s="46" t="n">
        <f aca="false">IFERROR(IF(I9&lt;=0,"N/M",I52/I9),"N/M")</f>
        <v>0.915608859318918</v>
      </c>
      <c r="J176" s="46" t="n">
        <f aca="false">IFERROR(IF(J9&lt;=0,"N/M",J52/J9),"N/M")</f>
        <v>0.907935263482108</v>
      </c>
      <c r="K176" s="25" t="n">
        <f aca="false">IFERROR(AVERAGE(D176:J176),"N/M")</f>
        <v>0.900836735861549</v>
      </c>
      <c r="L176" s="86" t="n">
        <f aca="false">IFERROR(J176-D176,"N/M")</f>
        <v>0.0195325116902771</v>
      </c>
      <c r="M176" s="87" t="n">
        <f aca="false">IFERROR(SLOPE(D176:J176,$D$3:$J$3),"N/M")</f>
        <v>0.00364454371796487</v>
      </c>
    </row>
    <row r="177" customFormat="false" ht="15" hidden="false" customHeight="false" outlineLevel="0" collapsed="false">
      <c r="A177" s="18" t="s">
        <v>407</v>
      </c>
      <c r="B177" s="19" t="s">
        <v>587</v>
      </c>
      <c r="D177" s="46" t="n">
        <f aca="false">IFERROR(IF(D9&lt;=0,"N/M",D14/D9),"N/M")</f>
        <v>0.054488932385366</v>
      </c>
      <c r="E177" s="46" t="n">
        <f aca="false">IFERROR(IF(E9&lt;=0,"N/M",E14/E9),"N/M")</f>
        <v>0.0538515901060071</v>
      </c>
      <c r="F177" s="46" t="n">
        <f aca="false">IFERROR(IF(F9&lt;=0,"N/M",F14/F9),"N/M")</f>
        <v>0.0466029361556845</v>
      </c>
      <c r="G177" s="46" t="n">
        <f aca="false">IFERROR(IF(G9&lt;=0,"N/M",G14/G9),"N/M")</f>
        <v>0.0444516314503378</v>
      </c>
      <c r="H177" s="46" t="n">
        <f aca="false">IFERROR(IF(H9&lt;=0,"N/M",H14/H9),"N/M")</f>
        <v>0.0431595250387197</v>
      </c>
      <c r="I177" s="46" t="n">
        <f aca="false">IFERROR(IF(I9&lt;=0,"N/M",I14/I9),"N/M")</f>
        <v>0.0401529078759228</v>
      </c>
      <c r="J177" s="46" t="n">
        <f aca="false">IFERROR(IF(J9&lt;=0,"N/M",J14/J9),"N/M")</f>
        <v>0.0432603460827687</v>
      </c>
      <c r="K177" s="25" t="n">
        <f aca="false">IFERROR(AVERAGE(D177:J177),"N/M")</f>
        <v>0.0465668384421152</v>
      </c>
      <c r="L177" s="86" t="n">
        <f aca="false">IFERROR(J177-D177,"N/M")</f>
        <v>-0.0112285863025973</v>
      </c>
      <c r="M177" s="87" t="n">
        <f aca="false">IFERROR(SLOPE(D177:J177,$D$3:$J$3),"N/M")</f>
        <v>-0.00230451908874733</v>
      </c>
    </row>
    <row r="178" customFormat="false" ht="15" hidden="false" customHeight="false" outlineLevel="0" collapsed="false">
      <c r="A178" s="18" t="s">
        <v>654</v>
      </c>
      <c r="B178" s="19" t="s">
        <v>655</v>
      </c>
      <c r="D178" s="46" t="n">
        <f aca="false">IFERROR(IF(D9&lt;=0,"N/M",D15/D9),"N/M")</f>
        <v>0.0215595406004433</v>
      </c>
      <c r="E178" s="46" t="n">
        <f aca="false">IFERROR(IF(E9&lt;=0,"N/M",E15/E9),"N/M")</f>
        <v>0.0194581861012956</v>
      </c>
      <c r="F178" s="46" t="n">
        <f aca="false">IFERROR(IF(F9&lt;=0,"N/M",F15/F9),"N/M")</f>
        <v>0.0167292591328098</v>
      </c>
      <c r="G178" s="46" t="n">
        <f aca="false">IFERROR(IF(G9&lt;=0,"N/M",G15/G9),"N/M")</f>
        <v>0.0168535288198936</v>
      </c>
      <c r="H178" s="46" t="n">
        <f aca="false">IFERROR(IF(H9&lt;=0,"N/M",H15/H9),"N/M")</f>
        <v>0.0188951987609706</v>
      </c>
      <c r="I178" s="46" t="n">
        <f aca="false">IFERROR(IF(I9&lt;=0,"N/M",I15/I9),"N/M")</f>
        <v>0.0151157022381744</v>
      </c>
      <c r="J178" s="46" t="n">
        <f aca="false">IFERROR(IF(J9&lt;=0,"N/M",J15/J9),"N/M")</f>
        <v>0.0158481267850143</v>
      </c>
      <c r="K178" s="25" t="n">
        <f aca="false">IFERROR(AVERAGE(D178:J178),"N/M")</f>
        <v>0.017779934634086</v>
      </c>
      <c r="L178" s="86" t="n">
        <f aca="false">IFERROR(J178-D178,"N/M")</f>
        <v>-0.005711413815429</v>
      </c>
      <c r="M178" s="87" t="n">
        <f aca="false">IFERROR(SLOPE(D178:J178,$D$3:$J$3),"N/M")</f>
        <v>-0.000844759626584595</v>
      </c>
    </row>
    <row r="179" customFormat="false" ht="15" hidden="false" customHeight="false" outlineLevel="0" collapsed="false">
      <c r="A179" s="18" t="s">
        <v>411</v>
      </c>
      <c r="B179" s="19" t="s">
        <v>656</v>
      </c>
      <c r="D179" s="46" t="n">
        <f aca="false">IFERROR(IF(D9&lt;=0,"N/M",D16/D9),"N/M")</f>
        <v>0.0122621686192107</v>
      </c>
      <c r="E179" s="46" t="n">
        <f aca="false">IFERROR(IF(E9&lt;=0,"N/M",E16/E9),"N/M")</f>
        <v>0.00621908127208481</v>
      </c>
      <c r="F179" s="46" t="n">
        <f aca="false">IFERROR(IF(F9&lt;=0,"N/M",F16/F9),"N/M")</f>
        <v>0.00584670536019119</v>
      </c>
      <c r="G179" s="46" t="n">
        <f aca="false">IFERROR(IF(G9&lt;=0,"N/M",G16/G9),"N/M")</f>
        <v>0.00427626850654018</v>
      </c>
      <c r="H179" s="46" t="n">
        <f aca="false">IFERROR(IF(H9&lt;=0,"N/M",H16/H9),"N/M")</f>
        <v>0.00416451557391155</v>
      </c>
      <c r="I179" s="46" t="n">
        <f aca="false">IFERROR(IF(I9&lt;=0,"N/M",I16/I9),"N/M")</f>
        <v>0.00341416440514751</v>
      </c>
      <c r="J179" s="46" t="n">
        <f aca="false">IFERROR(IF(J9&lt;=0,"N/M",J16/J9),"N/M")</f>
        <v>0.00392003136025088</v>
      </c>
      <c r="K179" s="25" t="n">
        <f aca="false">IFERROR(AVERAGE(D179:J179),"N/M")</f>
        <v>0.00572899072819098</v>
      </c>
      <c r="L179" s="86" t="n">
        <f aca="false">IFERROR(J179-D179,"N/M")</f>
        <v>-0.00834213725895985</v>
      </c>
      <c r="M179" s="87" t="n">
        <f aca="false">IFERROR(SLOPE(D179:J179,$D$3:$J$3),"N/M")</f>
        <v>-0.00115422983203692</v>
      </c>
    </row>
    <row r="180" customFormat="false" ht="15" hidden="false" customHeight="false" outlineLevel="0" collapsed="false">
      <c r="A180" s="18" t="s">
        <v>657</v>
      </c>
      <c r="B180" s="19" t="s">
        <v>658</v>
      </c>
      <c r="D180" s="46" t="n">
        <f aca="false">IFERROR(IF(D9&lt;=0,"N/M",D56/D9),"N/M")</f>
        <v>0.0232866066031491</v>
      </c>
      <c r="E180" s="46" t="n">
        <f aca="false">IFERROR(IF(E9&lt;=0,"N/M",E56/E9),"N/M")</f>
        <v>0.0243580683156656</v>
      </c>
      <c r="F180" s="46" t="n">
        <f aca="false">IFERROR(IF(F9&lt;=0,"N/M",F56/F9),"N/M")</f>
        <v>0.0328183680437008</v>
      </c>
      <c r="G180" s="46" t="n">
        <f aca="false">IFERROR(IF(G9&lt;=0,"N/M",G56/G9),"N/M")</f>
        <v>0.0370849504096591</v>
      </c>
      <c r="H180" s="46" t="n">
        <f aca="false">IFERROR(IF(H9&lt;=0,"N/M",H56/H9),"N/M")</f>
        <v>0.0313199105145415</v>
      </c>
      <c r="I180" s="46" t="n">
        <f aca="false">IFERROR(IF(I9&lt;=0,"N/M",I56/I9),"N/M")</f>
        <v>0.0257083661618372</v>
      </c>
      <c r="J180" s="46" t="n">
        <f aca="false">IFERROR(IF(J9&lt;=0,"N/M",J56/J9),"N/M")</f>
        <v>0.0290362322898582</v>
      </c>
      <c r="K180" s="25" t="n">
        <f aca="false">IFERROR(AVERAGE(D180:J180),"N/M")</f>
        <v>0.0290875003340588</v>
      </c>
      <c r="L180" s="86" t="n">
        <f aca="false">IFERROR(J180-D180,"N/M")</f>
        <v>0.00574962568670907</v>
      </c>
      <c r="M180" s="87" t="n">
        <f aca="false">IFERROR(SLOPE(D180:J180,$D$3:$J$3),"N/M")</f>
        <v>0.000658964829403972</v>
      </c>
    </row>
    <row r="181" customFormat="false" ht="15" hidden="false" customHeight="false" outlineLevel="0" collapsed="false">
      <c r="A181" s="18" t="s">
        <v>659</v>
      </c>
      <c r="B181" s="19" t="s">
        <v>660</v>
      </c>
      <c r="D181" s="46" t="n">
        <f aca="false">IFERROR(IF(D9&lt;=0,"N/M",D17/D9),"N/M")</f>
        <v>0.046170231139</v>
      </c>
      <c r="E181" s="46" t="n">
        <f aca="false">IFERROR(IF(E9&lt;=0,"N/M",E17/E9),"N/M")</f>
        <v>0.0237926972909305</v>
      </c>
      <c r="F181" s="46" t="n">
        <f aca="false">IFERROR(IF(F9&lt;=0,"N/M",F17/F9),"N/M")</f>
        <v>0.0107118470467736</v>
      </c>
      <c r="G181" s="46" t="n">
        <f aca="false">IFERROR(IF(G9&lt;=0,"N/M",G17/G9),"N/M")</f>
        <v>0.00722294092281156</v>
      </c>
      <c r="H181" s="46" t="n">
        <f aca="false">IFERROR(IF(H9&lt;=0,"N/M",H17/H9),"N/M")</f>
        <v>0.00678024436413698</v>
      </c>
      <c r="I181" s="46" t="n">
        <f aca="false">IFERROR(IF(I9&lt;=0,"N/M",I17/I9),"N/M")</f>
        <v>0.00773293647319735</v>
      </c>
      <c r="J181" s="46" t="n">
        <f aca="false">IFERROR(IF(J9&lt;=0,"N/M",J17/J9),"N/M")</f>
        <v>0.00795206361650893</v>
      </c>
      <c r="K181" s="25" t="n">
        <f aca="false">IFERROR(AVERAGE(D181:J181),"N/M")</f>
        <v>0.0157661372647656</v>
      </c>
      <c r="L181" s="86" t="n">
        <f aca="false">IFERROR(J181-D181,"N/M")</f>
        <v>-0.0382181675224911</v>
      </c>
      <c r="M181" s="87" t="n">
        <f aca="false">IFERROR(SLOPE(D181:J181,$D$3:$J$3),"N/M")</f>
        <v>-0.00538234381734201</v>
      </c>
    </row>
    <row r="182" customFormat="false" ht="15" hidden="false" customHeight="false" outlineLevel="0" collapsed="false">
      <c r="A182" s="18" t="s">
        <v>661</v>
      </c>
      <c r="B182" s="19" t="s">
        <v>662</v>
      </c>
      <c r="D182" s="46" t="n">
        <f aca="false">IFERROR(IF(D9&lt;=0,"N/M",D18/D9),"N/M")</f>
        <v>0.0112547134509657</v>
      </c>
      <c r="E182" s="46" t="n">
        <f aca="false">IFERROR(IF(E9&lt;=0,"N/M",E18/E9),"N/M")</f>
        <v>0.0110718492343934</v>
      </c>
      <c r="F182" s="46" t="n">
        <f aca="false">IFERROR(IF(F9&lt;=0,"N/M",F18/F9),"N/M")</f>
        <v>0.0112239672243086</v>
      </c>
      <c r="G182" s="46" t="n">
        <f aca="false">IFERROR(IF(G9&lt;=0,"N/M",G18/G9),"N/M")</f>
        <v>0.0104930286042835</v>
      </c>
      <c r="H182" s="46" t="n">
        <f aca="false">IFERROR(IF(H9&lt;=0,"N/M",H18/H9),"N/M")</f>
        <v>0.00963689554293581</v>
      </c>
      <c r="I182" s="46" t="n">
        <f aca="false">IFERROR(IF(I9&lt;=0,"N/M",I18/I9),"N/M")</f>
        <v>0.0076162129037906</v>
      </c>
      <c r="J182" s="46" t="n">
        <f aca="false">IFERROR(IF(J9&lt;=0,"N/M",J18/J9),"N/M")</f>
        <v>0.00714005712045696</v>
      </c>
      <c r="K182" s="25" t="n">
        <f aca="false">IFERROR(AVERAGE(D182:J182),"N/M")</f>
        <v>0.00977667486873351</v>
      </c>
      <c r="L182" s="86" t="n">
        <f aca="false">IFERROR(J182-D182,"N/M")</f>
        <v>-0.00411465633050875</v>
      </c>
      <c r="M182" s="87" t="n">
        <f aca="false">IFERROR(SLOPE(D182:J182,$D$3:$J$3),"N/M")</f>
        <v>-0.000744368333360882</v>
      </c>
    </row>
    <row r="183" customFormat="false" ht="15" hidden="false" customHeight="false" outlineLevel="0" collapsed="false">
      <c r="A183" s="18" t="s">
        <v>663</v>
      </c>
      <c r="B183" s="19" t="s">
        <v>591</v>
      </c>
      <c r="D183" s="46" t="n">
        <f aca="false">IFERROR(IF(D9&lt;=0,"N/M",D19/D9),"N/M")</f>
        <v>0.021271696266659</v>
      </c>
      <c r="E183" s="46" t="n">
        <f aca="false">IFERROR(IF(E9&lt;=0,"N/M",E19/E9),"N/M")</f>
        <v>0.0357597173144876</v>
      </c>
      <c r="F183" s="46" t="n">
        <f aca="false">IFERROR(IF(F9&lt;=0,"N/M",F19/F9),"N/M")</f>
        <v>0.0227893479003073</v>
      </c>
      <c r="G183" s="46" t="n">
        <f aca="false">IFERROR(IF(G9&lt;=0,"N/M",G19/G9),"N/M")</f>
        <v>0.0171410090556274</v>
      </c>
      <c r="H183" s="46" t="n">
        <f aca="false">IFERROR(IF(H9&lt;=0,"N/M",H19/H9),"N/M")</f>
        <v>0.00891412837721563</v>
      </c>
      <c r="I183" s="46" t="n">
        <f aca="false">IFERROR(IF(I9&lt;=0,"N/M",I19/I9),"N/M")</f>
        <v>0.0034433452974992</v>
      </c>
      <c r="J183" s="46" t="n">
        <f aca="false">IFERROR(IF(J9&lt;=0,"N/M",J19/J9),"N/M")</f>
        <v>0.000980007840062721</v>
      </c>
      <c r="K183" s="25" t="n">
        <f aca="false">IFERROR(AVERAGE(D183:J183),"N/M")</f>
        <v>0.0157570360074084</v>
      </c>
      <c r="L183" s="86" t="n">
        <f aca="false">IFERROR(J183-D183,"N/M")</f>
        <v>-0.0202916884265963</v>
      </c>
      <c r="M183" s="87" t="n">
        <f aca="false">IFERROR(SLOPE(D183:J183,$D$3:$J$3),"N/M")</f>
        <v>-0.00497796531560205</v>
      </c>
    </row>
    <row r="184" customFormat="false" ht="15" hidden="false" customHeight="false" outlineLevel="0" collapsed="false">
      <c r="A184" s="18" t="s">
        <v>664</v>
      </c>
      <c r="B184" s="19" t="s">
        <v>665</v>
      </c>
      <c r="D184" s="46" t="n">
        <f aca="false">IFERROR(IF(D9&lt;=0,"N/M",D20/D9),"N/M")</f>
        <v>0.0369304280245243</v>
      </c>
      <c r="E184" s="46" t="n">
        <f aca="false">IFERROR(IF(E9&lt;=0,"N/M",E20/E9),"N/M")</f>
        <v>0.00131919905771496</v>
      </c>
      <c r="F184" s="46" t="n">
        <f aca="false">IFERROR(IF(F9&lt;=0,"N/M",F20/F9),"N/M")</f>
        <v>0.00951689996585866</v>
      </c>
      <c r="G184" s="46" t="n">
        <f aca="false">IFERROR(IF(G9&lt;=0,"N/M",G20/G9),"N/M")</f>
        <v>0.01667385367256</v>
      </c>
      <c r="H184" s="46" t="n">
        <f aca="false">IFERROR(IF(H9&lt;=0,"N/M",H20/H9),"N/M")</f>
        <v>0.0195491309585269</v>
      </c>
      <c r="I184" s="46" t="n">
        <f aca="false">IFERROR(IF(I9&lt;=0,"N/M",I20/I9),"N/M")</f>
        <v>0.0223817444337448</v>
      </c>
      <c r="J184" s="46" t="n">
        <f aca="false">IFERROR(IF(J9&lt;=0,"N/M",J20/J9),"N/M")</f>
        <v>0.0288682309458476</v>
      </c>
      <c r="K184" s="25" t="n">
        <f aca="false">IFERROR(AVERAGE(D184:J184),"N/M")</f>
        <v>0.0193199267226825</v>
      </c>
      <c r="L184" s="86" t="n">
        <f aca="false">IFERROR(J184-D184,"N/M")</f>
        <v>-0.00806219707867677</v>
      </c>
      <c r="M184" s="87" t="n">
        <f aca="false">IFERROR(SLOPE(D184:J184,$D$3:$J$3),"N/M")</f>
        <v>0.000998954661024915</v>
      </c>
    </row>
    <row r="185" customFormat="false" ht="15" hidden="false" customHeight="false" outlineLevel="0" collapsed="false">
      <c r="A185" s="18" t="s">
        <v>421</v>
      </c>
      <c r="B185" s="19" t="s">
        <v>666</v>
      </c>
      <c r="D185" s="46" t="n">
        <f aca="false">IFERROR(IF(D9&lt;=0,"N/M",D21/D9),"N/M")</f>
        <v>0.00604473100947008</v>
      </c>
      <c r="E185" s="46" t="n">
        <f aca="false">IFERROR(IF(E9&lt;=0,"N/M",E21/E9),"N/M")</f>
        <v>0.00103651354534747</v>
      </c>
      <c r="F185" s="46" t="n">
        <f aca="false">IFERROR(IF(F9&lt;=0,"N/M",F21/F9),"N/M")</f>
        <v>-0.000170706725844998</v>
      </c>
      <c r="G185" s="46" t="n">
        <f aca="false">IFERROR(IF(G9&lt;=0,"N/M",G21/G9),"N/M")</f>
        <v>-0.000898375736668104</v>
      </c>
      <c r="H185" s="46" t="n">
        <f aca="false">IFERROR(IF(H9&lt;=0,"N/M",H21/H9),"N/M")</f>
        <v>0.000481844777146791</v>
      </c>
      <c r="I185" s="46" t="n">
        <f aca="false">IFERROR(IF(I9&lt;=0,"N/M",I21/I9),"N/M")</f>
        <v>0.000175085354110129</v>
      </c>
      <c r="J185" s="46" t="n">
        <f aca="false">IFERROR(IF(J9&lt;=0,"N/M",J21/J9),"N/M")</f>
        <v>0.00201601612812903</v>
      </c>
      <c r="K185" s="25" t="n">
        <f aca="false">IFERROR(AVERAGE(D185:J185),"N/M")</f>
        <v>0.0012407297645272</v>
      </c>
      <c r="L185" s="86" t="n">
        <f aca="false">IFERROR(J185-D185,"N/M")</f>
        <v>-0.00402871488134105</v>
      </c>
      <c r="M185" s="87" t="n">
        <f aca="false">IFERROR(SLOPE(D185:J185,$D$3:$J$3),"N/M")</f>
        <v>-0.000469873197268073</v>
      </c>
    </row>
    <row r="186" customFormat="false" ht="15" hidden="false" customHeight="false" outlineLevel="0" collapsed="false">
      <c r="A186" s="18" t="s">
        <v>667</v>
      </c>
      <c r="B186" s="19" t="s">
        <v>668</v>
      </c>
      <c r="D186" s="46" t="n">
        <f aca="false">IFERROR(IF(D9&lt;=0,"N/M",D22/D9),"N/M")</f>
        <v>0.0309144814484327</v>
      </c>
      <c r="E186" s="46" t="n">
        <f aca="false">IFERROR(IF(E9&lt;=0,"N/M",E22/E9),"N/M")</f>
        <v>0.000235571260306243</v>
      </c>
      <c r="F186" s="46" t="n">
        <f aca="false">IFERROR(IF(F9&lt;=0,"N/M",F22/F9),"N/M")</f>
        <v>0.00968760669170365</v>
      </c>
      <c r="G186" s="46" t="n">
        <f aca="false">IFERROR(IF(G9&lt;=0,"N/M",G22/G9),"N/M")</f>
        <v>0.0176081644386948</v>
      </c>
      <c r="H186" s="46" t="n">
        <f aca="false">IFERROR(IF(H9&lt;=0,"N/M",H22/H9),"N/M")</f>
        <v>0.0190672861813801</v>
      </c>
      <c r="I186" s="46" t="n">
        <f aca="false">IFERROR(IF(I9&lt;=0,"N/M",I22/I9),"N/M")</f>
        <v>0.022177478187283</v>
      </c>
      <c r="J186" s="46" t="n">
        <f aca="false">IFERROR(IF(J9&lt;=0,"N/M",J22/J9),"N/M")</f>
        <v>0.0268802150417203</v>
      </c>
      <c r="K186" s="25" t="n">
        <f aca="false">IFERROR(AVERAGE(D186:J186),"N/M")</f>
        <v>0.0180815433213601</v>
      </c>
      <c r="L186" s="86" t="n">
        <f aca="false">IFERROR(J186-D186,"N/M")</f>
        <v>-0.00403426640671235</v>
      </c>
      <c r="M186" s="87" t="n">
        <f aca="false">IFERROR(SLOPE(D186:J186,$D$3:$J$3),"N/M")</f>
        <v>0.00147002479012475</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0.0805297239398218</v>
      </c>
      <c r="E189" s="46" t="n">
        <f aca="false">IFERROR(IF(E35&lt;=0,"N/M",E26/E35),"N/M")</f>
        <v>0.136836573830793</v>
      </c>
      <c r="F189" s="46" t="n">
        <f aca="false">IFERROR(IF(F35&lt;=0,"N/M",F26/F35),"N/M")</f>
        <v>0.201284557386205</v>
      </c>
      <c r="G189" s="46" t="n">
        <f aca="false">IFERROR(IF(G35&lt;=0,"N/M",G26/G35),"N/M")</f>
        <v>0.377287249491722</v>
      </c>
      <c r="H189" s="46" t="n">
        <f aca="false">IFERROR(IF(H35&lt;=0,"N/M",H26/H35),"N/M")</f>
        <v>0.336336179962508</v>
      </c>
      <c r="I189" s="46" t="n">
        <f aca="false">IFERROR(IF(I35&lt;=0,"N/M",I26/I35),"N/M")</f>
        <v>0.413930525814894</v>
      </c>
      <c r="J189" s="46" t="n">
        <f aca="false">IFERROR(IF(J35&lt;=0,"N/M",J26/J35),"N/M")</f>
        <v>0.426096007837375</v>
      </c>
      <c r="K189" s="25" t="n">
        <f aca="false">IFERROR(AVERAGE(D189:J189),"N/M")</f>
        <v>0.281757259751903</v>
      </c>
      <c r="L189" s="86" t="n">
        <f aca="false">IFERROR(J189-D189,"N/M")</f>
        <v>0.345566283897553</v>
      </c>
      <c r="M189" s="87" t="n">
        <f aca="false">IFERROR(SLOPE(D189:J189,$D$3:$J$3),"N/M")</f>
        <v>0.0616406563656129</v>
      </c>
    </row>
    <row r="190" customFormat="false" ht="15" hidden="false" customHeight="false" outlineLevel="0" collapsed="false">
      <c r="A190" s="18" t="s">
        <v>671</v>
      </c>
      <c r="B190" s="19" t="s">
        <v>672</v>
      </c>
      <c r="D190" s="46" t="n">
        <f aca="false">IFERROR(IF(D35&lt;=0,"N/M",D27/D35),"N/M")</f>
        <v>0.499001898826623</v>
      </c>
      <c r="E190" s="46" t="n">
        <f aca="false">IFERROR(IF(E35&lt;=0,"N/M",E27/E35),"N/M")</f>
        <v>0.475985286389911</v>
      </c>
      <c r="F190" s="46" t="n">
        <f aca="false">IFERROR(IF(F35&lt;=0,"N/M",F27/F35),"N/M")</f>
        <v>0.453616308293773</v>
      </c>
      <c r="G190" s="46" t="n">
        <f aca="false">IFERROR(IF(G35&lt;=0,"N/M",G27/G35),"N/M")</f>
        <v>0.306360731919837</v>
      </c>
      <c r="H190" s="46" t="n">
        <f aca="false">IFERROR(IF(H35&lt;=0,"N/M",H27/H35),"N/M")</f>
        <v>0.285044782337013</v>
      </c>
      <c r="I190" s="46" t="n">
        <f aca="false">IFERROR(IF(I35&lt;=0,"N/M",I27/I35),"N/M")</f>
        <v>0.309719248156079</v>
      </c>
      <c r="J190" s="46" t="n">
        <f aca="false">IFERROR(IF(J35&lt;=0,"N/M",J27/J35),"N/M")</f>
        <v>0.330210629439138</v>
      </c>
      <c r="K190" s="25" t="n">
        <f aca="false">IFERROR(AVERAGE(D190:J190),"N/M")</f>
        <v>0.379991269337482</v>
      </c>
      <c r="L190" s="86" t="n">
        <f aca="false">IFERROR(J190-D190,"N/M")</f>
        <v>-0.168791269387485</v>
      </c>
      <c r="M190" s="87" t="n">
        <f aca="false">IFERROR(SLOPE(D190:J190,$D$3:$J$3),"N/M")</f>
        <v>-0.0359813360923885</v>
      </c>
    </row>
    <row r="191" customFormat="false" ht="15" hidden="false" customHeight="false" outlineLevel="0" collapsed="false">
      <c r="A191" s="18" t="s">
        <v>673</v>
      </c>
      <c r="B191" s="19" t="s">
        <v>674</v>
      </c>
      <c r="D191" s="46" t="n">
        <f aca="false">IFERROR(IF(D35&lt;=0,"N/M",D61/D35),"N/M")</f>
        <v>0.579531622766444</v>
      </c>
      <c r="E191" s="46" t="n">
        <f aca="false">IFERROR(IF(E35&lt;=0,"N/M",E61/E35),"N/M")</f>
        <v>0.612821860220704</v>
      </c>
      <c r="F191" s="46" t="n">
        <f aca="false">IFERROR(IF(F35&lt;=0,"N/M",F61/F35),"N/M")</f>
        <v>0.654900865679978</v>
      </c>
      <c r="G191" s="46" t="n">
        <f aca="false">IFERROR(IF(G35&lt;=0,"N/M",G61/G35),"N/M")</f>
        <v>0.68364798141156</v>
      </c>
      <c r="H191" s="46" t="n">
        <f aca="false">IFERROR(IF(H35&lt;=0,"N/M",H61/H35),"N/M")</f>
        <v>0.621380962299521</v>
      </c>
      <c r="I191" s="46" t="n">
        <f aca="false">IFERROR(IF(I35&lt;=0,"N/M",I61/I35),"N/M")</f>
        <v>0.723649773970973</v>
      </c>
      <c r="J191" s="46" t="n">
        <f aca="false">IFERROR(IF(J35&lt;=0,"N/M",J61/J35),"N/M")</f>
        <v>0.756306637276513</v>
      </c>
      <c r="K191" s="25" t="n">
        <f aca="false">IFERROR(AVERAGE(D191:J191),"N/M")</f>
        <v>0.661748529089385</v>
      </c>
      <c r="L191" s="86" t="n">
        <f aca="false">IFERROR(J191-D191,"N/M")</f>
        <v>0.176775014510068</v>
      </c>
      <c r="M191" s="87" t="n">
        <f aca="false">IFERROR(SLOPE(D191:J191,$D$3:$J$3),"N/M")</f>
        <v>0.0256593202732245</v>
      </c>
    </row>
    <row r="192" customFormat="false" ht="15" hidden="false" customHeight="false" outlineLevel="0" collapsed="false">
      <c r="A192" s="18" t="s">
        <v>675</v>
      </c>
      <c r="B192" s="19" t="s">
        <v>676</v>
      </c>
      <c r="D192" s="46" t="n">
        <f aca="false">IFERROR(IF(D35&lt;=0,"N/M",D28/D35),"N/M")</f>
        <v>0.295632698768197</v>
      </c>
      <c r="E192" s="46" t="n">
        <f aca="false">IFERROR(IF(E35&lt;=0,"N/M",E28/E35),"N/M")</f>
        <v>0.324330005254861</v>
      </c>
      <c r="F192" s="46" t="n">
        <f aca="false">IFERROR(IF(F35&lt;=0,"N/M",F28/F35),"N/M")</f>
        <v>0.267969840826585</v>
      </c>
      <c r="G192" s="46" t="n">
        <f aca="false">IFERROR(IF(G35&lt;=0,"N/M",G28/G35),"N/M")</f>
        <v>0.181585826314261</v>
      </c>
      <c r="H192" s="46" t="n">
        <f aca="false">IFERROR(IF(H35&lt;=0,"N/M",H28/H35),"N/M")</f>
        <v>0.125598833576338</v>
      </c>
      <c r="I192" s="46" t="n">
        <f aca="false">IFERROR(IF(I35&lt;=0,"N/M",I28/I35),"N/M")</f>
        <v>0.077742088984059</v>
      </c>
      <c r="J192" s="46" t="n">
        <f aca="false">IFERROR(IF(J35&lt;=0,"N/M",J28/J35),"N/M")</f>
        <v>0.0383296595640461</v>
      </c>
      <c r="K192" s="25" t="n">
        <f aca="false">IFERROR(AVERAGE(D192:J192),"N/M")</f>
        <v>0.187312707612621</v>
      </c>
      <c r="L192" s="86" t="n">
        <f aca="false">IFERROR(J192-D192,"N/M")</f>
        <v>-0.257303039204151</v>
      </c>
      <c r="M192" s="87" t="n">
        <f aca="false">IFERROR(SLOPE(D192:J192,$D$3:$J$3),"N/M")</f>
        <v>-0.0502662841930108</v>
      </c>
    </row>
    <row r="193" customFormat="false" ht="15" hidden="false" customHeight="false" outlineLevel="0" collapsed="false">
      <c r="A193" s="18" t="s">
        <v>496</v>
      </c>
      <c r="B193" s="19" t="s">
        <v>677</v>
      </c>
      <c r="D193" s="46" t="n">
        <f aca="false">IFERROR(IF(D35&lt;=0,"N/M",D29/D35),"N/M")</f>
        <v>0.124835678465359</v>
      </c>
      <c r="E193" s="46" t="n">
        <f aca="false">IFERROR(IF(E35&lt;=0,"N/M",E29/E35),"N/M")</f>
        <v>0.0628481345244351</v>
      </c>
      <c r="F193" s="46" t="n">
        <f aca="false">IFERROR(IF(F35&lt;=0,"N/M",F29/F35),"N/M")</f>
        <v>0.0771292934934376</v>
      </c>
      <c r="G193" s="46" t="n">
        <f aca="false">IFERROR(IF(G35&lt;=0,"N/M",G29/G35),"N/M")</f>
        <v>0.13476619227418</v>
      </c>
      <c r="H193" s="46" t="n">
        <f aca="false">IFERROR(IF(H35&lt;=0,"N/M",H29/H35),"N/M")</f>
        <v>0.253020204124141</v>
      </c>
      <c r="I193" s="46" t="n">
        <f aca="false">IFERROR(IF(I35&lt;=0,"N/M",I29/I35),"N/M")</f>
        <v>0.198608137044968</v>
      </c>
      <c r="J193" s="46" t="n">
        <f aca="false">IFERROR(IF(J35&lt;=0,"N/M",J29/J35),"N/M")</f>
        <v>0.205363703159442</v>
      </c>
      <c r="K193" s="25" t="n">
        <f aca="false">IFERROR(AVERAGE(D193:J193),"N/M")</f>
        <v>0.150938763297994</v>
      </c>
      <c r="L193" s="86" t="n">
        <f aca="false">IFERROR(J193-D193,"N/M")</f>
        <v>0.080528024694083</v>
      </c>
      <c r="M193" s="87" t="n">
        <f aca="false">IFERROR(SLOPE(D193:J193,$D$3:$J$3),"N/M")</f>
        <v>0.0246069639197863</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0.24879497541263</v>
      </c>
      <c r="E195" s="46" t="n">
        <f aca="false">IFERROR(IF(E35&lt;=0,"N/M",E31/E35),"N/M")</f>
        <v>0.279190751445087</v>
      </c>
      <c r="F195" s="46" t="n">
        <f aca="false">IFERROR(IF(F35&lt;=0,"N/M",F31/F35),"N/M")</f>
        <v>0.317844177604021</v>
      </c>
      <c r="G195" s="46" t="n">
        <f aca="false">IFERROR(IF(G35&lt;=0,"N/M",G31/G35),"N/M")</f>
        <v>0.319953528899216</v>
      </c>
      <c r="H195" s="46" t="n">
        <f aca="false">IFERROR(IF(H35&lt;=0,"N/M",H31/H35),"N/M")</f>
        <v>0.25255155176005</v>
      </c>
      <c r="I195" s="46" t="n">
        <f aca="false">IFERROR(IF(I35&lt;=0,"N/M",I31/I35),"N/M")</f>
        <v>0.280335474660957</v>
      </c>
      <c r="J195" s="46" t="n">
        <f aca="false">IFERROR(IF(J35&lt;=0,"N/M",J31/J35),"N/M")</f>
        <v>0.280737203036983</v>
      </c>
      <c r="K195" s="25" t="n">
        <f aca="false">IFERROR(AVERAGE(D195:J195),"N/M")</f>
        <v>0.282772523259849</v>
      </c>
      <c r="L195" s="86" t="n">
        <f aca="false">IFERROR(J195-D195,"N/M")</f>
        <v>0.031942227624353</v>
      </c>
      <c r="M195" s="87" t="n">
        <f aca="false">IFERROR(SLOPE(D195:J195,$D$3:$J$3),"N/M")</f>
        <v>0.00117226798074383</v>
      </c>
    </row>
    <row r="196" customFormat="false" ht="15" hidden="false" customHeight="false" outlineLevel="0" collapsed="false">
      <c r="A196" s="18" t="s">
        <v>680</v>
      </c>
      <c r="B196" s="19" t="s">
        <v>681</v>
      </c>
      <c r="D196" s="46" t="n">
        <f aca="false">IFERROR(IF(D35&lt;=0,"N/M",D32/D35),"N/M")</f>
        <v>0.0103705146307026</v>
      </c>
      <c r="E196" s="46" t="n">
        <f aca="false">IFERROR(IF(E35&lt;=0,"N/M",E32/E35),"N/M")</f>
        <v>0.00409879138202838</v>
      </c>
      <c r="F196" s="46" t="n">
        <f aca="false">IFERROR(IF(F35&lt;=0,"N/M",F32/F35),"N/M")</f>
        <v>0.000781904495950852</v>
      </c>
      <c r="G196" s="46" t="n">
        <f aca="false">IFERROR(IF(G35&lt;=0,"N/M",G32/G35),"N/M")</f>
        <v>0.000929422015683997</v>
      </c>
      <c r="H196" s="46" t="n">
        <f aca="false">IFERROR(IF(H35&lt;=0,"N/M",H32/H35),"N/M")</f>
        <v>0.000260362424494897</v>
      </c>
      <c r="I196" s="46" t="n">
        <f aca="false">IFERROR(IF(I35&lt;=0,"N/M",I32/I35),"N/M")</f>
        <v>0.000297406614323103</v>
      </c>
      <c r="J196" s="46" t="n">
        <f aca="false">IFERROR(IF(J35&lt;=0,"N/M",J32/J35),"N/M")</f>
        <v>0.000306147440607397</v>
      </c>
      <c r="K196" s="25" t="n">
        <f aca="false">IFERROR(AVERAGE(D196:J196),"N/M")</f>
        <v>0.00243493557197017</v>
      </c>
      <c r="L196" s="86" t="n">
        <f aca="false">IFERROR(J196-D196,"N/M")</f>
        <v>-0.0100643671900952</v>
      </c>
      <c r="M196" s="87" t="n">
        <f aca="false">IFERROR(SLOPE(D196:J196,$D$3:$J$3),"N/M")</f>
        <v>-0.00136847904204114</v>
      </c>
    </row>
    <row r="197" customFormat="false" ht="15" hidden="false" customHeight="false" outlineLevel="0" collapsed="false">
      <c r="A197" s="18" t="s">
        <v>442</v>
      </c>
      <c r="B197" s="19" t="s">
        <v>682</v>
      </c>
      <c r="D197" s="46" t="n">
        <f aca="false">IFERROR(IF(D35&lt;=0,"N/M",D33/D35),"N/M")</f>
        <v>0.0518525731535128</v>
      </c>
      <c r="E197" s="46" t="n">
        <f aca="false">IFERROR(IF(E35&lt;=0,"N/M",E33/E35),"N/M")</f>
        <v>0.0493431424067262</v>
      </c>
      <c r="F197" s="46" t="n">
        <f aca="false">IFERROR(IF(F35&lt;=0,"N/M",F33/F35),"N/M")</f>
        <v>0.0330075397933538</v>
      </c>
      <c r="G197" s="46" t="n">
        <f aca="false">IFERROR(IF(G35&lt;=0,"N/M",G33/G35),"N/M")</f>
        <v>0.0301481266337496</v>
      </c>
      <c r="H197" s="46" t="n">
        <f aca="false">IFERROR(IF(H35&lt;=0,"N/M",H33/H35),"N/M")</f>
        <v>0.0245782128723183</v>
      </c>
      <c r="I197" s="46" t="n">
        <f aca="false">IFERROR(IF(I35&lt;=0,"N/M",I33/I35),"N/M")</f>
        <v>0.0259338567689745</v>
      </c>
      <c r="J197" s="46" t="n">
        <f aca="false">IFERROR(IF(J35&lt;=0,"N/M",J33/J35),"N/M")</f>
        <v>0.0279206465833946</v>
      </c>
      <c r="K197" s="25" t="n">
        <f aca="false">IFERROR(AVERAGE(D197:J197),"N/M")</f>
        <v>0.0346834426017186</v>
      </c>
      <c r="L197" s="86" t="n">
        <f aca="false">IFERROR(J197-D197,"N/M")</f>
        <v>-0.0239319265701183</v>
      </c>
      <c r="M197" s="87" t="n">
        <f aca="false">IFERROR(SLOPE(D197:J197,$D$3:$J$3),"N/M")</f>
        <v>-0.00453727421096049</v>
      </c>
    </row>
    <row r="198" customFormat="false" ht="15" hidden="false" customHeight="false" outlineLevel="0" collapsed="false">
      <c r="A198" s="18" t="s">
        <v>494</v>
      </c>
      <c r="B198" s="19" t="s">
        <v>683</v>
      </c>
      <c r="D198" s="46" t="n">
        <f aca="false">IFERROR(IF(D35&lt;=0,"N/M",D34/D35),"N/M")</f>
        <v>0.688981936803155</v>
      </c>
      <c r="E198" s="46" t="n">
        <f aca="false">IFERROR(IF(E35&lt;=0,"N/M",E34/E35),"N/M")</f>
        <v>0.667367314766159</v>
      </c>
      <c r="F198" s="46" t="n">
        <f aca="false">IFERROR(IF(F35&lt;=0,"N/M",F34/F35),"N/M")</f>
        <v>0.648366378106674</v>
      </c>
      <c r="G198" s="46" t="n">
        <f aca="false">IFERROR(IF(G35&lt;=0,"N/M",G34/G35),"N/M")</f>
        <v>0.648968922451351</v>
      </c>
      <c r="H198" s="46" t="n">
        <f aca="false">IFERROR(IF(H35&lt;=0,"N/M",H34/H35),"N/M")</f>
        <v>0.722609872943137</v>
      </c>
      <c r="I198" s="46" t="n">
        <f aca="false">IFERROR(IF(I35&lt;=0,"N/M",I34/I35),"N/M")</f>
        <v>0.693433261955746</v>
      </c>
      <c r="J198" s="46" t="n">
        <f aca="false">IFERROR(IF(J35&lt;=0,"N/M",J34/J35),"N/M")</f>
        <v>0.691036002939016</v>
      </c>
      <c r="K198" s="25" t="n">
        <f aca="false">IFERROR(AVERAGE(D198:J198),"N/M")</f>
        <v>0.680109098566462</v>
      </c>
      <c r="L198" s="86" t="n">
        <f aca="false">IFERROR(J198-D198,"N/M")</f>
        <v>0.00205406613586046</v>
      </c>
      <c r="M198" s="87" t="n">
        <f aca="false">IFERROR(SLOPE(D198:J198,$D$3:$J$3),"N/M")</f>
        <v>0.00473348527225781</v>
      </c>
    </row>
    <row r="199" customFormat="false" ht="15" hidden="false" customHeight="false" outlineLevel="0" collapsed="false">
      <c r="A199" s="18" t="s">
        <v>684</v>
      </c>
      <c r="B199" s="19" t="s">
        <v>685</v>
      </c>
      <c r="D199" s="46" t="n">
        <f aca="false">IFERROR(IF(D35&lt;=0,"N/M",D36/D35),"N/M")</f>
        <v>0.43215346414139</v>
      </c>
      <c r="E199" s="46" t="n">
        <f aca="false">IFERROR(IF(E35&lt;=0,"N/M",E36/E35),"N/M")</f>
        <v>0.377877036258539</v>
      </c>
      <c r="F199" s="46" t="n">
        <f aca="false">IFERROR(IF(F35&lt;=0,"N/M",F36/F35),"N/M")</f>
        <v>0.359340966210556</v>
      </c>
      <c r="G199" s="46" t="n">
        <f aca="false">IFERROR(IF(G35&lt;=0,"N/M",G36/G35),"N/M")</f>
        <v>0.429044437990125</v>
      </c>
      <c r="H199" s="46" t="n">
        <f aca="false">IFERROR(IF(H35&lt;=0,"N/M",H36/H35),"N/M")</f>
        <v>0.472609872943137</v>
      </c>
      <c r="I199" s="46" t="n">
        <f aca="false">IFERROR(IF(I35&lt;=0,"N/M",I36/I35),"N/M")</f>
        <v>0.401439448013324</v>
      </c>
      <c r="J199" s="46" t="n">
        <f aca="false">IFERROR(IF(J35&lt;=0,"N/M",J36/J35),"N/M")</f>
        <v>0.445015919666912</v>
      </c>
      <c r="K199" s="25" t="n">
        <f aca="false">IFERROR(AVERAGE(D199:J199),"N/M")</f>
        <v>0.416783020746283</v>
      </c>
      <c r="L199" s="86" t="n">
        <f aca="false">IFERROR(J199-D199,"N/M")</f>
        <v>0.012862455525522</v>
      </c>
      <c r="M199" s="87" t="n">
        <f aca="false">IFERROR(SLOPE(D199:J199,$D$3:$J$3),"N/M")</f>
        <v>0.00710646774352559</v>
      </c>
    </row>
    <row r="200" customFormat="false" ht="15" hidden="false" customHeight="false" outlineLevel="0" collapsed="false">
      <c r="A200" s="18" t="s">
        <v>686</v>
      </c>
      <c r="B200" s="19" t="s">
        <v>687</v>
      </c>
      <c r="D200" s="46" t="n">
        <f aca="false">IFERROR(IF(D35&lt;=0,"N/M",D37/D35),"N/M")</f>
        <v>0</v>
      </c>
      <c r="E200" s="46" t="n">
        <f aca="false">IFERROR(IF(E35&lt;=0,"N/M",E37/E35),"N/M")</f>
        <v>0</v>
      </c>
      <c r="F200" s="46" t="n">
        <f aca="false">IFERROR(IF(F35&lt;=0,"N/M",F37/F35),"N/M")</f>
        <v>0</v>
      </c>
      <c r="G200" s="46" t="n">
        <f aca="false">IFERROR(IF(G35&lt;=0,"N/M",G37/G35),"N/M")</f>
        <v>0</v>
      </c>
      <c r="H200" s="46" t="n">
        <f aca="false">IFERROR(IF(H35&lt;=0,"N/M",H37/H35),"N/M")</f>
        <v>0</v>
      </c>
      <c r="I200" s="46" t="n">
        <f aca="false">IFERROR(IF(I35&lt;=0,"N/M",I37/I35),"N/M")</f>
        <v>0</v>
      </c>
      <c r="J200" s="46" t="n">
        <f aca="false">IFERROR(IF(J35&lt;=0,"N/M",J37/J35),"N/M")</f>
        <v>0</v>
      </c>
      <c r="K200" s="25" t="n">
        <f aca="false">IFERROR(AVERAGE(D200:J200),"N/M")</f>
        <v>0</v>
      </c>
      <c r="L200" s="86" t="n">
        <f aca="false">IFERROR(J200-D200,"N/M")</f>
        <v>0</v>
      </c>
      <c r="M200" s="87" t="n">
        <f aca="false">IFERROR(SLOPE(D200:J200,$D$3:$J$3),"N/M")</f>
        <v>0</v>
      </c>
    </row>
    <row r="201" customFormat="false" ht="15" hidden="false" customHeight="false" outlineLevel="0" collapsed="false">
      <c r="A201" s="18" t="s">
        <v>688</v>
      </c>
      <c r="B201" s="19" t="s">
        <v>689</v>
      </c>
      <c r="D201" s="46" t="n">
        <f aca="false">IFERROR(IF(D35&lt;=0,"N/M",D38/D35),"N/M")</f>
        <v>0.0626612785432592</v>
      </c>
      <c r="E201" s="46" t="n">
        <f aca="false">IFERROR(IF(E35&lt;=0,"N/M",E38/E35),"N/M")</f>
        <v>0.12128218602207</v>
      </c>
      <c r="F201" s="46" t="n">
        <f aca="false">IFERROR(IF(F35&lt;=0,"N/M",F38/F35),"N/M")</f>
        <v>0.121027645908964</v>
      </c>
      <c r="G201" s="46" t="n">
        <f aca="false">IFERROR(IF(G35&lt;=0,"N/M",G38/G35),"N/M")</f>
        <v>0.140342724368283</v>
      </c>
      <c r="H201" s="46" t="n">
        <f aca="false">IFERROR(IF(H35&lt;=0,"N/M",H38/H35),"N/M")</f>
        <v>0.168454488648198</v>
      </c>
      <c r="I201" s="46" t="n">
        <f aca="false">IFERROR(IF(I35&lt;=0,"N/M",I38/I35),"N/M")</f>
        <v>0.169997620747085</v>
      </c>
      <c r="J201" s="46" t="n">
        <f aca="false">IFERROR(IF(J35&lt;=0,"N/M",J38/J35),"N/M")</f>
        <v>0.164891011511144</v>
      </c>
      <c r="K201" s="25" t="n">
        <f aca="false">IFERROR(AVERAGE(D201:J201),"N/M")</f>
        <v>0.135522422249858</v>
      </c>
      <c r="L201" s="86" t="n">
        <f aca="false">IFERROR(J201-D201,"N/M")</f>
        <v>0.102229732967885</v>
      </c>
      <c r="M201" s="87" t="n">
        <f aca="false">IFERROR(SLOPE(D201:J201,$D$3:$J$3),"N/M")</f>
        <v>0.0161266753961757</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61.0949598457154</v>
      </c>
      <c r="F205" s="91" t="n">
        <f aca="false">IFERROR((IF($D9&lt;=0,"N/M",F9/$D9)*100),"N/M")</f>
        <v>67.4476842923347</v>
      </c>
      <c r="G205" s="91" t="n">
        <f aca="false">IFERROR((IF($D9&lt;=0,"N/M",G9/$D9)*100),"N/M")</f>
        <v>80.1013212054921</v>
      </c>
      <c r="H205" s="91" t="n">
        <f aca="false">IFERROR((IF($D9&lt;=0,"N/M",H9/$D9)*100),"N/M")</f>
        <v>83.6331711810253</v>
      </c>
      <c r="I205" s="91" t="n">
        <f aca="false">IFERROR((IF($D9&lt;=0,"N/M",I9/$D9)*100),"N/M")</f>
        <v>98.6413747445381</v>
      </c>
      <c r="J205" s="91" t="n">
        <f aca="false">IFERROR((IF($D9&lt;=0,"N/M",J9/$D9)*100),"N/M")</f>
        <v>102.800725367721</v>
      </c>
      <c r="K205" s="92" t="n">
        <f aca="false">IFERROR(AVERAGE(D205:J205),"N/M")</f>
        <v>84.817033805261</v>
      </c>
      <c r="L205" s="85" t="n">
        <f aca="false">IFERROR(J205-D205,"N/M")</f>
        <v>2.80072536772113</v>
      </c>
      <c r="M205" s="85" t="n">
        <f aca="false">IFERROR(SLOPE(D205:J205,$D$3:$J$3),"N/M")</f>
        <v>3.56001759962498</v>
      </c>
    </row>
    <row r="206" customFormat="false" ht="15" hidden="false" customHeight="false" outlineLevel="0" collapsed="false">
      <c r="A206" s="18" t="s">
        <v>657</v>
      </c>
      <c r="B206" s="19" t="s">
        <v>693</v>
      </c>
      <c r="D206" s="91" t="n">
        <f aca="false">IFERROR((IF($D56&lt;=0,"N/M",D56/$D56)*100),"N/M")</f>
        <v>100</v>
      </c>
      <c r="E206" s="91" t="n">
        <f aca="false">IFERROR((IF($D56&lt;=0,"N/M",E56/$D56)*100),"N/M")</f>
        <v>63.9060568603213</v>
      </c>
      <c r="F206" s="91" t="n">
        <f aca="false">IFERROR((IF($D56&lt;=0,"N/M",F56/$D56)*100),"N/M")</f>
        <v>95.0556242274405</v>
      </c>
      <c r="G206" s="91" t="n">
        <f aca="false">IFERROR((IF($D56&lt;=0,"N/M",G56/$D56)*100),"N/M")</f>
        <v>127.564894932014</v>
      </c>
      <c r="H206" s="91" t="n">
        <f aca="false">IFERROR((IF($D56&lt;=0,"N/M",H56/$D56)*100),"N/M")</f>
        <v>112.484548825711</v>
      </c>
      <c r="I206" s="91" t="n">
        <f aca="false">IFERROR((IF($D56&lt;=0,"N/M",I56/$D56)*100),"N/M")</f>
        <v>108.899876390605</v>
      </c>
      <c r="J206" s="91" t="n">
        <f aca="false">IFERROR((IF($D56&lt;=0,"N/M",J56/$D56)*100),"N/M")</f>
        <v>128.182941903584</v>
      </c>
      <c r="K206" s="92" t="n">
        <f aca="false">IFERROR(AVERAGE(D206:J206),"N/M")</f>
        <v>105.156277591382</v>
      </c>
      <c r="L206" s="85" t="n">
        <f aca="false">IFERROR(J206-D206,"N/M")</f>
        <v>28.1829419035835</v>
      </c>
      <c r="M206" s="85" t="n">
        <f aca="false">IFERROR(SLOPE(D206:J206,$D$3:$J$3),"N/M")</f>
        <v>6.85590676319959</v>
      </c>
    </row>
    <row r="207" customFormat="false" ht="15" hidden="false" customHeight="false" outlineLevel="0" collapsed="false">
      <c r="A207" s="18" t="s">
        <v>667</v>
      </c>
      <c r="B207" s="19" t="s">
        <v>694</v>
      </c>
      <c r="D207" s="91" t="n">
        <f aca="false">IFERROR((IF($D22&lt;=0,"N/M",D22/$D22)*100),"N/M")</f>
        <v>100</v>
      </c>
      <c r="E207" s="91" t="n">
        <f aca="false">IFERROR((IF($D22&lt;=0,"N/M",E22/$D22)*100),"N/M")</f>
        <v>0.465549348230913</v>
      </c>
      <c r="F207" s="91" t="n">
        <f aca="false">IFERROR((IF($D22&lt;=0,"N/M",F22/$D22)*100),"N/M")</f>
        <v>21.1359404096834</v>
      </c>
      <c r="G207" s="91" t="n">
        <f aca="false">IFERROR((IF($D22&lt;=0,"N/M",G22/$D22)*100),"N/M")</f>
        <v>45.6238361266294</v>
      </c>
      <c r="H207" s="91" t="n">
        <f aca="false">IFERROR((IF($D22&lt;=0,"N/M",H22/$D22)*100),"N/M")</f>
        <v>51.5828677839851</v>
      </c>
      <c r="I207" s="91" t="n">
        <f aca="false">IFERROR((IF($D22&lt;=0,"N/M",I22/$D22)*100),"N/M")</f>
        <v>70.7635009310987</v>
      </c>
      <c r="J207" s="91" t="n">
        <f aca="false">IFERROR((IF($D22&lt;=0,"N/M",J22/$D22)*100),"N/M")</f>
        <v>89.3854748603352</v>
      </c>
      <c r="K207" s="92" t="n">
        <f aca="false">IFERROR(AVERAGE(D207:J207),"N/M")</f>
        <v>54.1367384942804</v>
      </c>
      <c r="L207" s="85" t="n">
        <f aca="false">IFERROR(J207-D207,"N/M")</f>
        <v>-10.6145251396648</v>
      </c>
      <c r="M207" s="85" t="n">
        <f aca="false">IFERROR(SLOPE(D207:J207,$D$3:$J$3),"N/M")</f>
        <v>4.97140196860867</v>
      </c>
    </row>
    <row r="208" customFormat="false" ht="15" hidden="false" customHeight="false" outlineLevel="0" collapsed="false">
      <c r="A208" s="18" t="s">
        <v>446</v>
      </c>
      <c r="B208" s="19" t="s">
        <v>695</v>
      </c>
      <c r="D208" s="91" t="n">
        <f aca="false">IFERROR((IF($D35&lt;=0,"N/M",D35/$D35)*100),"N/M")</f>
        <v>100</v>
      </c>
      <c r="E208" s="91" t="n">
        <f aca="false">IFERROR((IF($D35&lt;=0,"N/M",E35/$D35)*100),"N/M")</f>
        <v>92.6530016066995</v>
      </c>
      <c r="F208" s="91" t="n">
        <f aca="false">IFERROR((IF($D35&lt;=0,"N/M",F35/$D35)*100),"N/M")</f>
        <v>87.1756171186523</v>
      </c>
      <c r="G208" s="91" t="n">
        <f aca="false">IFERROR((IF($D35&lt;=0,"N/M",G35/$D35)*100),"N/M")</f>
        <v>83.8161546326501</v>
      </c>
      <c r="H208" s="91" t="n">
        <f aca="false">IFERROR((IF($D35&lt;=0,"N/M",H35/$D35)*100),"N/M")</f>
        <v>93.5001704075174</v>
      </c>
      <c r="I208" s="91" t="n">
        <f aca="false">IFERROR((IF($D35&lt;=0,"N/M",I35/$D35)*100),"N/M")</f>
        <v>81.8540337893763</v>
      </c>
      <c r="J208" s="91" t="n">
        <f aca="false">IFERROR((IF($D35&lt;=0,"N/M",J35/$D35)*100),"N/M")</f>
        <v>79.5170164078095</v>
      </c>
      <c r="K208" s="92" t="n">
        <f aca="false">IFERROR(AVERAGE(D208:J208),"N/M")</f>
        <v>88.3594277089579</v>
      </c>
      <c r="L208" s="85" t="n">
        <f aca="false">IFERROR(J208-D208,"N/M")</f>
        <v>-20.4829835921905</v>
      </c>
      <c r="M208" s="85" t="n">
        <f aca="false">IFERROR(SLOPE(D208:J208,$D$3:$J$3),"N/M")</f>
        <v>-2.74008332579831</v>
      </c>
    </row>
    <row r="209" customFormat="false" ht="15" hidden="false" customHeight="false" outlineLevel="0" collapsed="false">
      <c r="A209" s="18" t="s">
        <v>673</v>
      </c>
      <c r="B209" s="19" t="s">
        <v>696</v>
      </c>
      <c r="D209" s="91" t="n">
        <f aca="false">IFERROR((IF($D61&lt;=0,"N/M",D61/$D61)*100),"N/M")</f>
        <v>100</v>
      </c>
      <c r="E209" s="91" t="n">
        <f aca="false">IFERROR((IF($D61&lt;=0,"N/M",E61/$D61)*100),"N/M")</f>
        <v>97.975300344451</v>
      </c>
      <c r="F209" s="91" t="n">
        <f aca="false">IFERROR((IF($D61&lt;=0,"N/M",F61/$D61)*100),"N/M")</f>
        <v>98.5129799210283</v>
      </c>
      <c r="G209" s="91" t="n">
        <f aca="false">IFERROR((IF($D61&lt;=0,"N/M",G61/$D61)*100),"N/M")</f>
        <v>98.8742333865412</v>
      </c>
      <c r="H209" s="91" t="n">
        <f aca="false">IFERROR((IF($D61&lt;=0,"N/M",H61/$D61)*100),"N/M")</f>
        <v>100.252037301521</v>
      </c>
      <c r="I209" s="91" t="n">
        <f aca="false">IFERROR((IF($D61&lt;=0,"N/M",I61/$D61)*100),"N/M")</f>
        <v>102.209527009997</v>
      </c>
      <c r="J209" s="91" t="n">
        <f aca="false">IFERROR((IF($D61&lt;=0,"N/M",J61/$D61)*100),"N/M")</f>
        <v>103.772158279425</v>
      </c>
      <c r="K209" s="92" t="n">
        <f aca="false">IFERROR(AVERAGE(D209:J209),"N/M")</f>
        <v>100.228033748995</v>
      </c>
      <c r="L209" s="85" t="n">
        <f aca="false">IFERROR(J209-D209,"N/M")</f>
        <v>3.77215827942537</v>
      </c>
      <c r="M209" s="85" t="n">
        <f aca="false">IFERROR(SLOPE(D209:J209,$D$3:$J$3),"N/M")</f>
        <v>0.76871376963791</v>
      </c>
    </row>
    <row r="210" customFormat="false" ht="15" hidden="false" customHeight="false" outlineLevel="0" collapsed="false">
      <c r="A210" s="18" t="s">
        <v>675</v>
      </c>
      <c r="B210" s="19" t="s">
        <v>697</v>
      </c>
      <c r="D210" s="91" t="n">
        <f aca="false">IFERROR((IF($D28&lt;=0,"N/M",D28/$D28)*100),"N/M")</f>
        <v>100</v>
      </c>
      <c r="E210" s="91" t="n">
        <f aca="false">IFERROR((IF($D28&lt;=0,"N/M",E28/$D28)*100),"N/M")</f>
        <v>101.646903820817</v>
      </c>
      <c r="F210" s="91" t="n">
        <f aca="false">IFERROR((IF($D28&lt;=0,"N/M",F28/$D28)*100),"N/M")</f>
        <v>79.0184453227931</v>
      </c>
      <c r="G210" s="91" t="n">
        <f aca="false">IFERROR((IF($D28&lt;=0,"N/M",G28/$D28)*100),"N/M")</f>
        <v>51.4822134387352</v>
      </c>
      <c r="H210" s="91" t="n">
        <f aca="false">IFERROR((IF($D28&lt;=0,"N/M",H28/$D28)*100),"N/M")</f>
        <v>39.7233201581028</v>
      </c>
      <c r="I210" s="91" t="n">
        <f aca="false">IFERROR((IF($D28&lt;=0,"N/M",I28/$D28)*100),"N/M")</f>
        <v>21.5250329380764</v>
      </c>
      <c r="J210" s="91" t="n">
        <f aca="false">IFERROR((IF($D28&lt;=0,"N/M",J28/$D28)*100),"N/M")</f>
        <v>10.3096179183136</v>
      </c>
      <c r="K210" s="92" t="n">
        <f aca="false">IFERROR(AVERAGE(D210:J210),"N/M")</f>
        <v>57.6722190852626</v>
      </c>
      <c r="L210" s="85" t="n">
        <f aca="false">IFERROR(J210-D210,"N/M")</f>
        <v>-89.6903820816864</v>
      </c>
      <c r="M210" s="85" t="n">
        <f aca="false">IFERROR(SLOPE(D210:J210,$D$3:$J$3),"N/M")</f>
        <v>-16.7360718991154</v>
      </c>
    </row>
    <row r="211" customFormat="false" ht="15" hidden="false" customHeight="false" outlineLevel="0" collapsed="false">
      <c r="A211" s="18" t="s">
        <v>698</v>
      </c>
      <c r="B211" s="19" t="s">
        <v>699</v>
      </c>
      <c r="D211" s="91" t="n">
        <f aca="false">IFERROR((IF($D36&lt;=0,"N/M",D36/$D36)*100),"N/M")</f>
        <v>100</v>
      </c>
      <c r="E211" s="91" t="n">
        <f aca="false">IFERROR((IF($D36&lt;=0,"N/M",E36/$D36)*100),"N/M")</f>
        <v>81.01622352411</v>
      </c>
      <c r="F211" s="91" t="n">
        <f aca="false">IFERROR((IF($D36&lt;=0,"N/M",F36/$D36)*100),"N/M")</f>
        <v>72.4876070301938</v>
      </c>
      <c r="G211" s="91" t="n">
        <f aca="false">IFERROR((IF($D36&lt;=0,"N/M",G36/$D36)*100),"N/M")</f>
        <v>83.213159080667</v>
      </c>
      <c r="H211" s="91" t="n">
        <f aca="false">IFERROR((IF($D36&lt;=0,"N/M",H36/$D36)*100),"N/M")</f>
        <v>102.253267237494</v>
      </c>
      <c r="I211" s="91" t="n">
        <f aca="false">IFERROR((IF($D36&lt;=0,"N/M",I36/$D36)*100),"N/M")</f>
        <v>76.0365029292474</v>
      </c>
      <c r="J211" s="91" t="n">
        <f aca="false">IFERROR((IF($D36&lt;=0,"N/M",J36/$D36)*100),"N/M")</f>
        <v>81.8837314105453</v>
      </c>
      <c r="K211" s="92" t="n">
        <f aca="false">IFERROR(AVERAGE(D211:J211),"N/M")</f>
        <v>85.2700701731797</v>
      </c>
      <c r="L211" s="85" t="n">
        <f aca="false">IFERROR(J211-D211,"N/M")</f>
        <v>-18.1162685894547</v>
      </c>
      <c r="M211" s="85" t="n">
        <f aca="false">IFERROR(SLOPE(D211:J211,$D$3:$J$3),"N/M")</f>
        <v>-1.23366381252817</v>
      </c>
    </row>
    <row r="212" customFormat="false" ht="15" hidden="false" customHeight="false" outlineLevel="0" collapsed="false">
      <c r="A212" s="18" t="s">
        <v>700</v>
      </c>
      <c r="B212" s="19" t="s">
        <v>701</v>
      </c>
      <c r="D212" s="91" t="str">
        <f aca="false">IFERROR((IF($D41&lt;=0,"N/M",D41/$D41)*100),"N/M")</f>
        <v>N/M</v>
      </c>
      <c r="E212" s="91" t="str">
        <f aca="false">IFERROR((IF($D41&lt;=0,"N/M",E41/$D41)*100),"N/M")</f>
        <v>N/M</v>
      </c>
      <c r="F212" s="91" t="str">
        <f aca="false">IFERROR((IF($D41&lt;=0,"N/M",F41/$D41)*100),"N/M")</f>
        <v>N/M</v>
      </c>
      <c r="G212" s="91" t="str">
        <f aca="false">IFERROR((IF($D41&lt;=0,"N/M",G41/$D41)*100),"N/M")</f>
        <v>N/M</v>
      </c>
      <c r="H212" s="91" t="str">
        <f aca="false">IFERROR((IF($D41&lt;=0,"N/M",H41/$D41)*100),"N/M")</f>
        <v>N/M</v>
      </c>
      <c r="I212" s="91" t="str">
        <f aca="false">IFERROR((IF($D41&lt;=0,"N/M",I41/$D41)*100),"N/M")</f>
        <v>N/M</v>
      </c>
      <c r="J212" s="91" t="str">
        <f aca="false">IFERROR((IF($D41&lt;=0,"N/M",J41/$D41)*100),"N/M")</f>
        <v>N/M</v>
      </c>
      <c r="K212" s="92" t="str">
        <f aca="false">IFERROR(AVERAGE(D212:J212),"N/M")</f>
        <v>N/M</v>
      </c>
      <c r="L212" s="85" t="str">
        <f aca="false">IFERROR(J212-D212,"N/M")</f>
        <v>N/M</v>
      </c>
      <c r="M212" s="85" t="str">
        <f aca="false">IFERROR(SLOPE(D212:J212,$D$3:$J$3),"N/M")</f>
        <v>N/M</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80</v>
      </c>
    </row>
    <row r="2" customFormat="false" ht="15" hidden="false" customHeight="false" outlineLevel="0" collapsed="false">
      <c r="A2" s="6" t="s">
        <v>708</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1731.8</v>
      </c>
      <c r="D9" s="93" t="n">
        <v>1005.84</v>
      </c>
      <c r="E9" s="93" t="n">
        <v>503.63</v>
      </c>
      <c r="F9" s="93" t="n">
        <v>348.87</v>
      </c>
      <c r="G9" s="93" t="n">
        <v>392.11</v>
      </c>
      <c r="H9" s="93" t="n">
        <v>221.09</v>
      </c>
      <c r="I9" s="93" t="n">
        <v>221.82</v>
      </c>
      <c r="J9" s="93" t="n">
        <v>385.68</v>
      </c>
    </row>
    <row r="10" customFormat="false" ht="15" hidden="false" customHeight="false" outlineLevel="0" collapsed="false">
      <c r="A10" s="18" t="s">
        <v>399</v>
      </c>
      <c r="B10" s="74" t="s">
        <v>400</v>
      </c>
      <c r="C10" s="93" t="n">
        <v>0</v>
      </c>
      <c r="D10" s="93" t="n">
        <v>0</v>
      </c>
      <c r="E10" s="93" t="n">
        <v>0</v>
      </c>
      <c r="F10" s="93" t="n">
        <v>0</v>
      </c>
      <c r="G10" s="93" t="n">
        <v>0</v>
      </c>
      <c r="H10" s="93" t="n">
        <v>0</v>
      </c>
      <c r="I10" s="93" t="n">
        <v>0</v>
      </c>
      <c r="J10" s="93" t="n">
        <v>0.41</v>
      </c>
    </row>
    <row r="11" customFormat="false" ht="15" hidden="false" customHeight="false" outlineLevel="0" collapsed="false">
      <c r="A11" s="18" t="s">
        <v>401</v>
      </c>
      <c r="B11" s="74" t="s">
        <v>402</v>
      </c>
      <c r="C11" s="93" t="n">
        <v>0</v>
      </c>
      <c r="D11" s="93" t="n">
        <v>0</v>
      </c>
      <c r="E11" s="93" t="n">
        <v>0</v>
      </c>
      <c r="F11" s="93" t="n">
        <v>0</v>
      </c>
      <c r="G11" s="93" t="n">
        <v>0</v>
      </c>
      <c r="H11" s="93" t="n">
        <v>0</v>
      </c>
      <c r="I11" s="93" t="n">
        <v>0</v>
      </c>
      <c r="J11" s="93" t="n">
        <v>0.04</v>
      </c>
    </row>
    <row r="12" customFormat="false" ht="15" hidden="false" customHeight="false" outlineLevel="0" collapsed="false">
      <c r="A12" s="18" t="s">
        <v>403</v>
      </c>
      <c r="B12" s="74" t="s">
        <v>404</v>
      </c>
      <c r="C12" s="93" t="n">
        <v>2.45</v>
      </c>
      <c r="D12" s="93" t="n">
        <v>2.27</v>
      </c>
      <c r="E12" s="93" t="n">
        <v>0.78</v>
      </c>
      <c r="F12" s="93" t="n">
        <v>0.8</v>
      </c>
      <c r="G12" s="93" t="n">
        <v>3.6</v>
      </c>
      <c r="H12" s="93" t="n">
        <v>1.07</v>
      </c>
      <c r="I12" s="93" t="n">
        <v>1.13</v>
      </c>
      <c r="J12" s="93" t="n">
        <v>1.14</v>
      </c>
    </row>
    <row r="13" customFormat="false" ht="15" hidden="false" customHeight="false" outlineLevel="0" collapsed="false">
      <c r="A13" s="18" t="s">
        <v>405</v>
      </c>
      <c r="B13" s="74" t="s">
        <v>406</v>
      </c>
      <c r="C13" s="93" t="n">
        <v>1169.7</v>
      </c>
      <c r="D13" s="93" t="n">
        <v>832.73</v>
      </c>
      <c r="E13" s="93" t="n">
        <v>384.2</v>
      </c>
      <c r="F13" s="93" t="n">
        <v>309.66</v>
      </c>
      <c r="G13" s="93" t="n">
        <v>318.04</v>
      </c>
      <c r="H13" s="93" t="n">
        <v>157.68</v>
      </c>
      <c r="I13" s="93" t="n">
        <v>154.68</v>
      </c>
      <c r="J13" s="93" t="n">
        <v>255.1</v>
      </c>
    </row>
    <row r="14" customFormat="false" ht="15" hidden="false" customHeight="false" outlineLevel="0" collapsed="false">
      <c r="A14" s="18" t="s">
        <v>407</v>
      </c>
      <c r="B14" s="74" t="s">
        <v>408</v>
      </c>
      <c r="C14" s="93" t="n">
        <v>124.96</v>
      </c>
      <c r="D14" s="93" t="n">
        <v>133.43</v>
      </c>
      <c r="E14" s="93" t="n">
        <v>54.06</v>
      </c>
      <c r="F14" s="93" t="n">
        <v>28.91</v>
      </c>
      <c r="G14" s="93" t="n">
        <v>23.87</v>
      </c>
      <c r="H14" s="93" t="n">
        <v>24.68</v>
      </c>
      <c r="I14" s="93" t="n">
        <v>22.21</v>
      </c>
      <c r="J14" s="93" t="n">
        <v>26.74</v>
      </c>
    </row>
    <row r="15" customFormat="false" ht="15" hidden="false" customHeight="false" outlineLevel="0" collapsed="false">
      <c r="A15" s="18" t="s">
        <v>409</v>
      </c>
      <c r="B15" s="74" t="s">
        <v>410</v>
      </c>
      <c r="C15" s="93" t="n">
        <v>251.19</v>
      </c>
      <c r="D15" s="93" t="n">
        <v>35.1</v>
      </c>
      <c r="E15" s="93" t="n">
        <v>15.05</v>
      </c>
      <c r="F15" s="93" t="n">
        <v>15.53</v>
      </c>
      <c r="G15" s="93" t="n">
        <v>17.51</v>
      </c>
      <c r="H15" s="93" t="n">
        <v>17</v>
      </c>
      <c r="I15" s="93" t="n">
        <v>15.86</v>
      </c>
      <c r="J15" s="93" t="n">
        <v>18.18</v>
      </c>
    </row>
    <row r="16" customFormat="false" ht="15" hidden="false" customHeight="false" outlineLevel="0" collapsed="false">
      <c r="A16" s="18" t="s">
        <v>411</v>
      </c>
      <c r="B16" s="74" t="s">
        <v>412</v>
      </c>
      <c r="C16" s="93" t="n">
        <v>10.89</v>
      </c>
      <c r="D16" s="93" t="n">
        <v>24.78</v>
      </c>
      <c r="E16" s="93" t="n">
        <v>58.99</v>
      </c>
      <c r="F16" s="93" t="n">
        <v>33.13</v>
      </c>
      <c r="G16" s="93" t="n">
        <v>1.5</v>
      </c>
      <c r="H16" s="93" t="n">
        <v>4.06</v>
      </c>
      <c r="I16" s="93" t="n">
        <v>6.45</v>
      </c>
      <c r="J16" s="93" t="n">
        <v>5.83</v>
      </c>
    </row>
    <row r="17" customFormat="false" ht="15" hidden="false" customHeight="false" outlineLevel="0" collapsed="false">
      <c r="A17" s="18" t="s">
        <v>413</v>
      </c>
      <c r="B17" s="74" t="s">
        <v>414</v>
      </c>
      <c r="C17" s="93" t="n">
        <v>5.89</v>
      </c>
      <c r="D17" s="93" t="n">
        <v>28.99</v>
      </c>
      <c r="E17" s="93" t="n">
        <v>-939.31</v>
      </c>
      <c r="F17" s="93" t="n">
        <v>-120.45</v>
      </c>
      <c r="G17" s="93" t="n">
        <v>-780.09</v>
      </c>
      <c r="H17" s="93" t="n">
        <v>47.13</v>
      </c>
      <c r="I17" s="93" t="n">
        <v>28.77</v>
      </c>
      <c r="J17" s="93" t="n">
        <v>92.48</v>
      </c>
    </row>
    <row r="18" customFormat="false" ht="15" hidden="false" customHeight="false" outlineLevel="0" collapsed="false">
      <c r="A18" s="18" t="s">
        <v>415</v>
      </c>
      <c r="B18" s="74" t="s">
        <v>416</v>
      </c>
      <c r="C18" s="93" t="n">
        <v>71.95</v>
      </c>
      <c r="D18" s="93" t="n">
        <v>84.45</v>
      </c>
      <c r="E18" s="93" t="n">
        <v>78.75</v>
      </c>
      <c r="F18" s="93" t="n">
        <v>71.17</v>
      </c>
      <c r="G18" s="93" t="n">
        <v>55.67</v>
      </c>
      <c r="H18" s="93" t="n">
        <v>48.32</v>
      </c>
      <c r="I18" s="93" t="n">
        <v>37.73</v>
      </c>
      <c r="J18" s="93" t="n">
        <v>41.69</v>
      </c>
    </row>
    <row r="19" customFormat="false" ht="15" hidden="false" customHeight="false" outlineLevel="0" collapsed="false">
      <c r="A19" s="18" t="s">
        <v>417</v>
      </c>
      <c r="B19" s="74" t="s">
        <v>418</v>
      </c>
      <c r="C19" s="93" t="n">
        <v>64.02</v>
      </c>
      <c r="D19" s="93" t="n">
        <v>55.01</v>
      </c>
      <c r="E19" s="93" t="n">
        <v>139.19</v>
      </c>
      <c r="F19" s="93" t="n">
        <v>21.34</v>
      </c>
      <c r="G19" s="93" t="n">
        <v>19.37</v>
      </c>
      <c r="H19" s="93" t="n">
        <v>39.18</v>
      </c>
      <c r="I19" s="93" t="n">
        <v>43.25</v>
      </c>
      <c r="J19" s="93" t="n">
        <v>72.02</v>
      </c>
    </row>
    <row r="20" customFormat="false" ht="15" hidden="false" customHeight="false" outlineLevel="0" collapsed="false">
      <c r="A20" s="18" t="s">
        <v>419</v>
      </c>
      <c r="B20" s="74" t="s">
        <v>420</v>
      </c>
      <c r="C20" s="93" t="n">
        <v>42.53</v>
      </c>
      <c r="D20" s="93" t="n">
        <v>-132.94</v>
      </c>
      <c r="E20" s="93" t="n">
        <v>-1166.7</v>
      </c>
      <c r="F20" s="93" t="n">
        <v>-252.12</v>
      </c>
      <c r="G20" s="93" t="n">
        <v>-827.54</v>
      </c>
      <c r="H20" s="93" t="n">
        <v>-23.77</v>
      </c>
      <c r="I20" s="93" t="n">
        <v>-30.72</v>
      </c>
      <c r="J20" s="93" t="n">
        <v>57.09</v>
      </c>
    </row>
    <row r="21" customFormat="false" ht="15" hidden="false" customHeight="false" outlineLevel="0" collapsed="false">
      <c r="A21" s="18" t="s">
        <v>421</v>
      </c>
      <c r="B21" s="74" t="s">
        <v>422</v>
      </c>
      <c r="C21" s="93" t="n">
        <v>18.52</v>
      </c>
      <c r="D21" s="93" t="n">
        <v>-23.51</v>
      </c>
      <c r="E21" s="93" t="n">
        <v>2.31</v>
      </c>
      <c r="F21" s="93" t="n">
        <v>5.17</v>
      </c>
      <c r="G21" s="93" t="n">
        <v>6.38</v>
      </c>
      <c r="H21" s="93" t="n">
        <v>4.53</v>
      </c>
      <c r="I21" s="93" t="n">
        <v>-4.73</v>
      </c>
      <c r="J21" s="93" t="n">
        <v>7.93</v>
      </c>
    </row>
    <row r="22" customFormat="false" ht="15" hidden="false" customHeight="false" outlineLevel="0" collapsed="false">
      <c r="A22" s="18" t="s">
        <v>423</v>
      </c>
      <c r="B22" s="74" t="s">
        <v>424</v>
      </c>
      <c r="C22" s="93" t="n">
        <v>20.65</v>
      </c>
      <c r="D22" s="93" t="n">
        <v>-107.04</v>
      </c>
      <c r="E22" s="93" t="n">
        <v>-1159.58</v>
      </c>
      <c r="F22" s="93" t="n">
        <v>-260.42</v>
      </c>
      <c r="G22" s="93" t="n">
        <v>-833.94</v>
      </c>
      <c r="H22" s="93" t="n">
        <v>-28.29</v>
      </c>
      <c r="I22" s="93" t="n">
        <v>-25.83</v>
      </c>
      <c r="J22" s="93" t="n">
        <v>49.28</v>
      </c>
    </row>
    <row r="23" customFormat="false" ht="15" hidden="false" customHeight="false" outlineLevel="0" collapsed="false">
      <c r="A23" s="18" t="s">
        <v>425</v>
      </c>
      <c r="B23" s="74" t="s">
        <v>426</v>
      </c>
      <c r="C23" s="93" t="n">
        <v>0</v>
      </c>
      <c r="D23" s="93" t="n">
        <v>0</v>
      </c>
      <c r="E23" s="93" t="n">
        <v>0</v>
      </c>
      <c r="F23" s="93" t="n">
        <v>0</v>
      </c>
      <c r="G23" s="93" t="n">
        <v>0</v>
      </c>
      <c r="H23" s="93" t="n">
        <v>0</v>
      </c>
      <c r="I23" s="93" t="n">
        <v>0</v>
      </c>
      <c r="J23" s="93" t="n">
        <v>0</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58.54</v>
      </c>
      <c r="D26" s="93" t="n">
        <v>58.54</v>
      </c>
      <c r="E26" s="93" t="n">
        <v>58.54</v>
      </c>
      <c r="F26" s="93" t="n">
        <v>58.54</v>
      </c>
      <c r="G26" s="93" t="n">
        <v>65.25</v>
      </c>
      <c r="H26" s="93" t="n">
        <v>65.25</v>
      </c>
      <c r="I26" s="93" t="n">
        <v>65.25</v>
      </c>
      <c r="J26" s="93" t="n">
        <v>79.78</v>
      </c>
    </row>
    <row r="27" customFormat="false" ht="15" hidden="false" customHeight="false" outlineLevel="0" collapsed="false">
      <c r="A27" s="18" t="s">
        <v>430</v>
      </c>
      <c r="B27" s="74" t="s">
        <v>431</v>
      </c>
      <c r="C27" s="93" t="n">
        <v>543.94</v>
      </c>
      <c r="D27" s="93" t="n">
        <v>433.16</v>
      </c>
      <c r="E27" s="93" t="n">
        <v>-726.42</v>
      </c>
      <c r="F27" s="93" t="n">
        <v>-989.43</v>
      </c>
      <c r="G27" s="93" t="n">
        <v>-11.73</v>
      </c>
      <c r="H27" s="93" t="n">
        <v>-36.53</v>
      </c>
      <c r="I27" s="93" t="n">
        <v>-70.02</v>
      </c>
      <c r="J27" s="93" t="n">
        <v>51.51</v>
      </c>
    </row>
    <row r="28" customFormat="false" ht="15" hidden="false" customHeight="false" outlineLevel="0" collapsed="false">
      <c r="A28" s="18" t="s">
        <v>432</v>
      </c>
      <c r="B28" s="74" t="s">
        <v>433</v>
      </c>
      <c r="C28" s="93" t="n">
        <v>1413.71</v>
      </c>
      <c r="D28" s="93" t="n">
        <v>1279.25</v>
      </c>
      <c r="E28" s="93" t="n">
        <v>1264.3</v>
      </c>
      <c r="F28" s="93" t="n">
        <v>1766.29</v>
      </c>
      <c r="G28" s="93" t="n">
        <v>483.47</v>
      </c>
      <c r="H28" s="93" t="n">
        <v>507.25</v>
      </c>
      <c r="I28" s="93" t="n">
        <v>607.8</v>
      </c>
      <c r="J28" s="93" t="n">
        <v>485.05</v>
      </c>
    </row>
    <row r="29" customFormat="false" ht="15" hidden="false" customHeight="false" outlineLevel="0" collapsed="false">
      <c r="A29" s="18" t="s">
        <v>434</v>
      </c>
      <c r="B29" s="74" t="s">
        <v>435</v>
      </c>
      <c r="C29" s="93" t="n">
        <v>732.71</v>
      </c>
      <c r="D29" s="93" t="n">
        <v>995.99</v>
      </c>
      <c r="E29" s="93" t="n">
        <v>1134.64</v>
      </c>
      <c r="F29" s="93" t="n">
        <v>730.18</v>
      </c>
      <c r="G29" s="93" t="n">
        <v>256.02</v>
      </c>
      <c r="H29" s="93" t="n">
        <v>231.57</v>
      </c>
      <c r="I29" s="93" t="n">
        <v>255.88</v>
      </c>
      <c r="J29" s="93" t="n">
        <v>290.39</v>
      </c>
    </row>
    <row r="30" customFormat="false" ht="15" hidden="false" customHeight="false" outlineLevel="0" collapsed="false">
      <c r="A30" s="18" t="s">
        <v>436</v>
      </c>
      <c r="B30" s="74" t="s">
        <v>437</v>
      </c>
      <c r="C30" s="93" t="n">
        <v>2748.9</v>
      </c>
      <c r="D30" s="93" t="n">
        <v>2766.94</v>
      </c>
      <c r="E30" s="93" t="n">
        <v>1731.06</v>
      </c>
      <c r="F30" s="93" t="n">
        <v>1565.58</v>
      </c>
      <c r="G30" s="93" t="n">
        <v>793.01</v>
      </c>
      <c r="H30" s="93" t="n">
        <v>767.54</v>
      </c>
      <c r="I30" s="93" t="n">
        <v>858.91</v>
      </c>
      <c r="J30" s="93" t="n">
        <v>906.73</v>
      </c>
    </row>
    <row r="31" customFormat="false" ht="15" hidden="false" customHeight="false" outlineLevel="0" collapsed="false">
      <c r="A31" s="18" t="s">
        <v>438</v>
      </c>
      <c r="B31" s="74" t="s">
        <v>439</v>
      </c>
      <c r="C31" s="93" t="n">
        <v>907.34</v>
      </c>
      <c r="D31" s="93" t="n">
        <v>939.98</v>
      </c>
      <c r="E31" s="93" t="n">
        <v>839.47</v>
      </c>
      <c r="F31" s="93" t="n">
        <v>764</v>
      </c>
      <c r="G31" s="93" t="n">
        <v>605.36</v>
      </c>
      <c r="H31" s="93" t="n">
        <v>557.28</v>
      </c>
      <c r="I31" s="93" t="n">
        <v>601.96</v>
      </c>
      <c r="J31" s="93" t="n">
        <v>555.49</v>
      </c>
    </row>
    <row r="32" customFormat="false" ht="15" hidden="false" customHeight="false" outlineLevel="0" collapsed="false">
      <c r="A32" s="18" t="s">
        <v>440</v>
      </c>
      <c r="B32" s="74" t="s">
        <v>441</v>
      </c>
      <c r="C32" s="93" t="n">
        <v>1027.82</v>
      </c>
      <c r="D32" s="93" t="n">
        <v>1284.46</v>
      </c>
      <c r="E32" s="93" t="n">
        <v>394.4</v>
      </c>
      <c r="F32" s="93" t="n">
        <v>408.37</v>
      </c>
      <c r="G32" s="93" t="n">
        <v>0</v>
      </c>
      <c r="H32" s="93" t="n">
        <v>10.2</v>
      </c>
      <c r="I32" s="93" t="n">
        <v>52.14</v>
      </c>
      <c r="J32" s="93" t="n">
        <v>4.2</v>
      </c>
    </row>
    <row r="33" customFormat="false" ht="15" hidden="false" customHeight="false" outlineLevel="0" collapsed="false">
      <c r="A33" s="18" t="s">
        <v>442</v>
      </c>
      <c r="B33" s="74" t="s">
        <v>443</v>
      </c>
      <c r="C33" s="93" t="n">
        <v>18.27</v>
      </c>
      <c r="D33" s="93" t="n">
        <v>5.86</v>
      </c>
      <c r="E33" s="93" t="n">
        <v>8.83</v>
      </c>
      <c r="F33" s="93" t="n">
        <v>0.58</v>
      </c>
      <c r="G33" s="93" t="n">
        <v>0.56</v>
      </c>
      <c r="H33" s="93" t="n">
        <v>0.58</v>
      </c>
      <c r="I33" s="93" t="n">
        <v>0.73</v>
      </c>
      <c r="J33" s="93" t="n">
        <v>15.92</v>
      </c>
    </row>
    <row r="34" customFormat="false" ht="15" hidden="false" customHeight="false" outlineLevel="0" collapsed="false">
      <c r="A34" s="18" t="s">
        <v>444</v>
      </c>
      <c r="B34" s="74" t="s">
        <v>445</v>
      </c>
      <c r="C34" s="93" t="n">
        <v>795.47</v>
      </c>
      <c r="D34" s="93" t="n">
        <v>536.64</v>
      </c>
      <c r="E34" s="93" t="n">
        <v>488.36</v>
      </c>
      <c r="F34" s="93" t="n">
        <v>392.63</v>
      </c>
      <c r="G34" s="93" t="n">
        <v>187.09</v>
      </c>
      <c r="H34" s="93" t="n">
        <v>199.48</v>
      </c>
      <c r="I34" s="93" t="n">
        <v>204.08</v>
      </c>
      <c r="J34" s="93" t="n">
        <v>331.12</v>
      </c>
    </row>
    <row r="35" customFormat="false" ht="15" hidden="false" customHeight="false" outlineLevel="0" collapsed="false">
      <c r="A35" s="18" t="s">
        <v>446</v>
      </c>
      <c r="B35" s="74" t="s">
        <v>447</v>
      </c>
      <c r="C35" s="93" t="n">
        <v>2748.9</v>
      </c>
      <c r="D35" s="93" t="n">
        <v>2766.94</v>
      </c>
      <c r="E35" s="93" t="n">
        <v>1731.06</v>
      </c>
      <c r="F35" s="93" t="n">
        <v>1565.58</v>
      </c>
      <c r="G35" s="93" t="n">
        <v>793.01</v>
      </c>
      <c r="H35" s="93" t="n">
        <v>767.54</v>
      </c>
      <c r="I35" s="93" t="n">
        <v>858.91</v>
      </c>
      <c r="J35" s="93" t="n">
        <v>906.73</v>
      </c>
    </row>
    <row r="36" customFormat="false" ht="15" hidden="false" customHeight="false" outlineLevel="0" collapsed="false">
      <c r="A36" s="18" t="s">
        <v>448</v>
      </c>
      <c r="B36" s="74" t="s">
        <v>449</v>
      </c>
      <c r="C36" s="93" t="n">
        <v>396.86</v>
      </c>
      <c r="D36" s="93" t="n">
        <v>240.53</v>
      </c>
      <c r="E36" s="93" t="n">
        <v>212.81</v>
      </c>
      <c r="F36" s="93" t="n">
        <v>141.75</v>
      </c>
      <c r="G36" s="93" t="n">
        <v>54.66</v>
      </c>
      <c r="H36" s="93" t="n">
        <v>44.06</v>
      </c>
      <c r="I36" s="93" t="n">
        <v>72.13</v>
      </c>
      <c r="J36" s="93" t="n">
        <v>95.95</v>
      </c>
    </row>
    <row r="37" customFormat="false" ht="15" hidden="false" customHeight="false" outlineLevel="0" collapsed="false">
      <c r="A37" s="18" t="s">
        <v>450</v>
      </c>
      <c r="B37" s="74" t="s">
        <v>451</v>
      </c>
      <c r="C37" s="93" t="n">
        <v>14.55</v>
      </c>
      <c r="D37" s="93" t="n">
        <v>16.27</v>
      </c>
      <c r="E37" s="93" t="n">
        <v>15.07</v>
      </c>
      <c r="F37" s="93" t="n">
        <v>9.39</v>
      </c>
      <c r="G37" s="93" t="n">
        <v>1.87</v>
      </c>
      <c r="H37" s="93" t="n">
        <v>1.87</v>
      </c>
      <c r="I37" s="93" t="n">
        <v>1.87</v>
      </c>
      <c r="J37" s="93" t="n">
        <v>0.04</v>
      </c>
    </row>
    <row r="38" customFormat="false" ht="15" hidden="false" customHeight="false" outlineLevel="0" collapsed="false">
      <c r="A38" s="18" t="s">
        <v>452</v>
      </c>
      <c r="B38" s="74" t="s">
        <v>453</v>
      </c>
      <c r="C38" s="93" t="n">
        <v>60.56</v>
      </c>
      <c r="D38" s="93" t="n">
        <v>50.26</v>
      </c>
      <c r="E38" s="93" t="n">
        <v>64.62</v>
      </c>
      <c r="F38" s="93" t="n">
        <v>86.52</v>
      </c>
      <c r="G38" s="93" t="n">
        <v>82.46</v>
      </c>
      <c r="H38" s="93" t="n">
        <v>119.31</v>
      </c>
      <c r="I38" s="93" t="n">
        <v>86.51</v>
      </c>
      <c r="J38" s="93" t="n">
        <v>65.97</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54.16</v>
      </c>
      <c r="D41" s="93" t="n">
        <v>292.35</v>
      </c>
      <c r="E41" s="93" t="n">
        <v>158.23</v>
      </c>
      <c r="F41" s="93" t="n">
        <v>67.56</v>
      </c>
      <c r="G41" s="93" t="n">
        <v>6.61</v>
      </c>
      <c r="H41" s="93" t="n">
        <v>7.99</v>
      </c>
      <c r="I41" s="93" t="n">
        <v>20.01</v>
      </c>
      <c r="J41" s="93" t="n">
        <v>52.31</v>
      </c>
    </row>
    <row r="42" customFormat="false" ht="15" hidden="false" customHeight="false" outlineLevel="0" collapsed="false">
      <c r="A42" s="18" t="s">
        <v>457</v>
      </c>
      <c r="B42" s="74" t="s">
        <v>458</v>
      </c>
      <c r="C42" s="93" t="n">
        <v>-217.32</v>
      </c>
      <c r="D42" s="93" t="n">
        <v>-242.29</v>
      </c>
      <c r="E42" s="93" t="n">
        <v>-25.83</v>
      </c>
      <c r="F42" s="93" t="n">
        <v>-54.56</v>
      </c>
      <c r="G42" s="93" t="n">
        <v>69.64</v>
      </c>
      <c r="H42" s="93" t="n">
        <v>-7.25</v>
      </c>
      <c r="I42" s="93" t="n">
        <v>-63.84</v>
      </c>
      <c r="J42" s="93" t="n">
        <v>19.93</v>
      </c>
    </row>
    <row r="43" customFormat="false" ht="15" hidden="false" customHeight="false" outlineLevel="0" collapsed="false">
      <c r="A43" s="18" t="s">
        <v>459</v>
      </c>
      <c r="B43" s="74" t="s">
        <v>460</v>
      </c>
      <c r="C43" s="93" t="n">
        <v>167.7</v>
      </c>
      <c r="D43" s="93" t="n">
        <v>-47.44</v>
      </c>
      <c r="E43" s="93" t="n">
        <v>-109.66</v>
      </c>
      <c r="F43" s="93" t="n">
        <v>-35.55</v>
      </c>
      <c r="G43" s="93" t="n">
        <v>-23</v>
      </c>
      <c r="H43" s="93" t="n">
        <v>24.71</v>
      </c>
      <c r="I43" s="93" t="n">
        <v>-3.05</v>
      </c>
      <c r="J43" s="93" t="n">
        <v>-87.91</v>
      </c>
    </row>
    <row r="44" customFormat="false" ht="15" hidden="false" customHeight="false" outlineLevel="0" collapsed="false">
      <c r="A44" s="18" t="s">
        <v>461</v>
      </c>
      <c r="B44" s="74" t="s">
        <v>462</v>
      </c>
      <c r="C44" s="93" t="n">
        <v>4.54</v>
      </c>
      <c r="D44" s="93" t="n">
        <v>2.62</v>
      </c>
      <c r="E44" s="93" t="n">
        <v>22.74</v>
      </c>
      <c r="F44" s="93" t="n">
        <v>-22.55</v>
      </c>
      <c r="G44" s="93" t="n">
        <v>53.25</v>
      </c>
      <c r="H44" s="93" t="n">
        <v>25.45</v>
      </c>
      <c r="I44" s="93" t="n">
        <v>-46.88</v>
      </c>
      <c r="J44" s="93" t="n">
        <v>-15.67</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114.09</v>
      </c>
      <c r="D47" s="93" t="n">
        <v>5.29</v>
      </c>
      <c r="E47" s="93" t="n">
        <v>8.67</v>
      </c>
      <c r="F47" s="93" t="n">
        <v>9.75</v>
      </c>
      <c r="G47" s="93" t="n">
        <v>6.42</v>
      </c>
      <c r="H47" s="93" t="n">
        <v>147.15</v>
      </c>
      <c r="I47" s="93" t="n">
        <v>68.43</v>
      </c>
      <c r="J47" s="93" t="n">
        <v>63.01</v>
      </c>
    </row>
    <row r="48" customFormat="false" ht="15" hidden="false" customHeight="false" outlineLevel="0" collapsed="false">
      <c r="A48" s="99" t="s">
        <v>467</v>
      </c>
      <c r="B48" s="74" t="s">
        <v>468</v>
      </c>
      <c r="C48" s="93" t="n">
        <v>5.8556</v>
      </c>
      <c r="D48" s="93" t="n">
        <v>5.8556</v>
      </c>
      <c r="E48" s="93" t="n">
        <v>5.8556</v>
      </c>
      <c r="F48" s="93" t="n">
        <v>5.8556</v>
      </c>
      <c r="G48" s="93" t="n">
        <v>6.5249</v>
      </c>
      <c r="H48" s="93" t="n">
        <v>6.5249</v>
      </c>
      <c r="I48" s="93" t="n">
        <v>6.5249</v>
      </c>
      <c r="J48" s="93" t="n">
        <v>7.978</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1172.15</v>
      </c>
      <c r="D52" s="44" t="n">
        <f aca="false">IFERROR((((D10+D12)+D13)-D11),"N/M")</f>
        <v>835</v>
      </c>
      <c r="E52" s="44" t="n">
        <f aca="false">IFERROR((((E10+E12)+E13)-E11),"N/M")</f>
        <v>384.98</v>
      </c>
      <c r="F52" s="44" t="n">
        <f aca="false">IFERROR((((F10+F12)+F13)-F11),"N/M")</f>
        <v>310.46</v>
      </c>
      <c r="G52" s="44" t="n">
        <f aca="false">IFERROR((((G10+G12)+G13)-G11),"N/M")</f>
        <v>321.64</v>
      </c>
      <c r="H52" s="44" t="n">
        <f aca="false">IFERROR((((H10+H12)+H13)-H11),"N/M")</f>
        <v>158.75</v>
      </c>
      <c r="I52" s="44" t="n">
        <f aca="false">IFERROR((((I10+I12)+I13)-I11),"N/M")</f>
        <v>155.81</v>
      </c>
      <c r="J52" s="44" t="n">
        <f aca="false">IFERROR((((J10+J12)+J13)-J11),"N/M")</f>
        <v>256.61</v>
      </c>
    </row>
    <row r="53" customFormat="false" ht="15" hidden="false" customHeight="false" outlineLevel="0" collapsed="false">
      <c r="A53" s="18" t="s">
        <v>473</v>
      </c>
      <c r="B53" s="19" t="s">
        <v>474</v>
      </c>
      <c r="C53" s="44" t="n">
        <f aca="false">IFERROR(((C14+C15)+C16),"N/M")</f>
        <v>387.04</v>
      </c>
      <c r="D53" s="44" t="n">
        <f aca="false">IFERROR(((D14+D15)+D16),"N/M")</f>
        <v>193.31</v>
      </c>
      <c r="E53" s="44" t="n">
        <f aca="false">IFERROR(((E14+E15)+E16),"N/M")</f>
        <v>128.1</v>
      </c>
      <c r="F53" s="44" t="n">
        <f aca="false">IFERROR(((F14+F15)+F16),"N/M")</f>
        <v>77.57</v>
      </c>
      <c r="G53" s="44" t="n">
        <f aca="false">IFERROR(((G14+G15)+G16),"N/M")</f>
        <v>42.88</v>
      </c>
      <c r="H53" s="44" t="n">
        <f aca="false">IFERROR(((H14+H15)+H16),"N/M")</f>
        <v>45.74</v>
      </c>
      <c r="I53" s="44" t="n">
        <f aca="false">IFERROR(((I14+I15)+I16),"N/M")</f>
        <v>44.52</v>
      </c>
      <c r="J53" s="44" t="n">
        <f aca="false">IFERROR(((J14+J15)+J16),"N/M")</f>
        <v>50.75</v>
      </c>
    </row>
    <row r="54" customFormat="false" ht="15" hidden="false" customHeight="false" outlineLevel="0" collapsed="false">
      <c r="A54" s="18" t="s">
        <v>475</v>
      </c>
      <c r="B54" s="19" t="s">
        <v>476</v>
      </c>
      <c r="C54" s="44" t="n">
        <f aca="false">IFERROR((C52+C53),"N/M")</f>
        <v>1559.19</v>
      </c>
      <c r="D54" s="44" t="n">
        <f aca="false">IFERROR((D52+D53),"N/M")</f>
        <v>1028.31</v>
      </c>
      <c r="E54" s="44" t="n">
        <f aca="false">IFERROR((E52+E53),"N/M")</f>
        <v>513.08</v>
      </c>
      <c r="F54" s="44" t="n">
        <f aca="false">IFERROR((F52+F53),"N/M")</f>
        <v>388.03</v>
      </c>
      <c r="G54" s="44" t="n">
        <f aca="false">IFERROR((G52+G53),"N/M")</f>
        <v>364.52</v>
      </c>
      <c r="H54" s="44" t="n">
        <f aca="false">IFERROR((H52+H53),"N/M")</f>
        <v>204.49</v>
      </c>
      <c r="I54" s="44" t="n">
        <f aca="false">IFERROR((I52+I53),"N/M")</f>
        <v>200.33</v>
      </c>
      <c r="J54" s="44" t="n">
        <f aca="false">IFERROR((J52+J53),"N/M")</f>
        <v>307.36</v>
      </c>
    </row>
    <row r="55" customFormat="false" ht="15" hidden="false" customHeight="false" outlineLevel="0" collapsed="false">
      <c r="A55" s="18" t="s">
        <v>477</v>
      </c>
      <c r="B55" s="19" t="s">
        <v>478</v>
      </c>
      <c r="C55" s="44" t="n">
        <f aca="false">IFERROR((C9-C52),"N/M")</f>
        <v>559.65</v>
      </c>
      <c r="D55" s="44" t="n">
        <f aca="false">IFERROR((D9-D52),"N/M")</f>
        <v>170.84</v>
      </c>
      <c r="E55" s="44" t="n">
        <f aca="false">IFERROR((E9-E52),"N/M")</f>
        <v>118.65</v>
      </c>
      <c r="F55" s="44" t="n">
        <f aca="false">IFERROR((F9-F52),"N/M")</f>
        <v>38.41</v>
      </c>
      <c r="G55" s="44" t="n">
        <f aca="false">IFERROR((G9-G52),"N/M")</f>
        <v>70.47</v>
      </c>
      <c r="H55" s="44" t="n">
        <f aca="false">IFERROR((H9-H52),"N/M")</f>
        <v>62.34</v>
      </c>
      <c r="I55" s="44" t="n">
        <f aca="false">IFERROR((I9-I52),"N/M")</f>
        <v>66.01</v>
      </c>
      <c r="J55" s="44" t="n">
        <f aca="false">IFERROR((J9-J52),"N/M")</f>
        <v>129.07</v>
      </c>
    </row>
    <row r="56" customFormat="false" ht="15" hidden="false" customHeight="false" outlineLevel="0" collapsed="false">
      <c r="A56" s="18" t="s">
        <v>479</v>
      </c>
      <c r="B56" s="19" t="s">
        <v>480</v>
      </c>
      <c r="C56" s="44" t="n">
        <f aca="false">IFERROR((C9-C54),"N/M")</f>
        <v>172.61</v>
      </c>
      <c r="D56" s="44" t="n">
        <f aca="false">IFERROR((D9-D54),"N/M")</f>
        <v>-22.4699999999999</v>
      </c>
      <c r="E56" s="44" t="n">
        <f aca="false">IFERROR((E9-E54),"N/M")</f>
        <v>-9.44999999999993</v>
      </c>
      <c r="F56" s="44" t="n">
        <f aca="false">IFERROR((F9-F54),"N/M")</f>
        <v>-39.16</v>
      </c>
      <c r="G56" s="44" t="n">
        <f aca="false">IFERROR((G9-G54),"N/M")</f>
        <v>27.59</v>
      </c>
      <c r="H56" s="44" t="n">
        <f aca="false">IFERROR((H9-H54),"N/M")</f>
        <v>16.6</v>
      </c>
      <c r="I56" s="44" t="n">
        <f aca="false">IFERROR((I9-I54),"N/M")</f>
        <v>21.49</v>
      </c>
      <c r="J56" s="44" t="n">
        <f aca="false">IFERROR((J9-J54),"N/M")</f>
        <v>78.3200000000001</v>
      </c>
    </row>
    <row r="57" customFormat="false" ht="15" hidden="false" customHeight="false" outlineLevel="0" collapsed="false">
      <c r="A57" s="18" t="s">
        <v>481</v>
      </c>
      <c r="B57" s="19" t="s">
        <v>482</v>
      </c>
      <c r="C57" s="44" t="n">
        <f aca="false">IFERROR((C9+C17),"N/M")</f>
        <v>1737.69</v>
      </c>
      <c r="D57" s="44" t="n">
        <f aca="false">IFERROR((D9+D17),"N/M")</f>
        <v>1034.83</v>
      </c>
      <c r="E57" s="44" t="n">
        <f aca="false">IFERROR((E9+E17),"N/M")</f>
        <v>-435.68</v>
      </c>
      <c r="F57" s="44" t="n">
        <f aca="false">IFERROR((F9+F17),"N/M")</f>
        <v>228.42</v>
      </c>
      <c r="G57" s="44" t="n">
        <f aca="false">IFERROR((G9+G17),"N/M")</f>
        <v>-387.98</v>
      </c>
      <c r="H57" s="44" t="n">
        <f aca="false">IFERROR((H9+H17),"N/M")</f>
        <v>268.22</v>
      </c>
      <c r="I57" s="44" t="n">
        <f aca="false">IFERROR((I9+I17),"N/M")</f>
        <v>250.59</v>
      </c>
      <c r="J57" s="44" t="n">
        <f aca="false">IFERROR((J9+J17),"N/M")</f>
        <v>478.16</v>
      </c>
    </row>
    <row r="58" customFormat="false" ht="15" hidden="false" customHeight="false" outlineLevel="0" collapsed="false">
      <c r="A58" s="18" t="s">
        <v>483</v>
      </c>
      <c r="B58" s="19" t="s">
        <v>484</v>
      </c>
      <c r="C58" s="44" t="n">
        <f aca="false">IFERROR((C20+C19),"N/M")</f>
        <v>106.55</v>
      </c>
      <c r="D58" s="44" t="n">
        <f aca="false">IFERROR((D20+D19),"N/M")</f>
        <v>-77.93</v>
      </c>
      <c r="E58" s="44" t="n">
        <f aca="false">IFERROR((E20+E19),"N/M")</f>
        <v>-1027.51</v>
      </c>
      <c r="F58" s="44" t="n">
        <f aca="false">IFERROR((F20+F19),"N/M")</f>
        <v>-230.78</v>
      </c>
      <c r="G58" s="44" t="n">
        <f aca="false">IFERROR((G20+G19),"N/M")</f>
        <v>-808.17</v>
      </c>
      <c r="H58" s="44" t="n">
        <f aca="false">IFERROR((H20+H19),"N/M")</f>
        <v>15.41</v>
      </c>
      <c r="I58" s="44" t="n">
        <f aca="false">IFERROR((I20+I19),"N/M")</f>
        <v>12.53</v>
      </c>
      <c r="J58" s="44" t="n">
        <f aca="false">IFERROR((J20+J19),"N/M")</f>
        <v>129.11</v>
      </c>
    </row>
    <row r="59" customFormat="false" ht="15" hidden="false" customHeight="false" outlineLevel="0" collapsed="false">
      <c r="A59" s="18" t="s">
        <v>485</v>
      </c>
      <c r="B59" s="19" t="s">
        <v>486</v>
      </c>
      <c r="C59" s="44" t="n">
        <f aca="false">IFERROR((C58+C18),"N/M")</f>
        <v>178.5</v>
      </c>
      <c r="D59" s="44" t="n">
        <f aca="false">IFERROR((D58+D18),"N/M")</f>
        <v>6.52</v>
      </c>
      <c r="E59" s="44" t="n">
        <f aca="false">IFERROR((E58+E18),"N/M")</f>
        <v>-948.76</v>
      </c>
      <c r="F59" s="44" t="n">
        <f aca="false">IFERROR((F58+F18),"N/M")</f>
        <v>-159.61</v>
      </c>
      <c r="G59" s="44" t="n">
        <f aca="false">IFERROR((G58+G18),"N/M")</f>
        <v>-752.5</v>
      </c>
      <c r="H59" s="44" t="n">
        <f aca="false">IFERROR((H58+H18),"N/M")</f>
        <v>63.73</v>
      </c>
      <c r="I59" s="44" t="n">
        <f aca="false">IFERROR((I58+I18),"N/M")</f>
        <v>50.26</v>
      </c>
      <c r="J59" s="44" t="n">
        <f aca="false">IFERROR((J58+J18),"N/M")</f>
        <v>170.8</v>
      </c>
    </row>
    <row r="60" customFormat="false" ht="15" hidden="false" customHeight="false" outlineLevel="0" collapsed="false">
      <c r="A60" s="18" t="s">
        <v>487</v>
      </c>
      <c r="B60" s="19" t="s">
        <v>488</v>
      </c>
      <c r="C60" s="46" t="n">
        <f aca="false">IFERROR(IF(C20&gt;0,MIN(MAX((C21/C20),0),1),0),"N/M")</f>
        <v>0.435457324241712</v>
      </c>
      <c r="D60" s="46" t="n">
        <f aca="false">IFERROR(IF(D20&gt;0,MIN(MAX((D21/D20),0),1),0),"N/M")</f>
        <v>0</v>
      </c>
      <c r="E60" s="46" t="n">
        <f aca="false">IFERROR(IF(E20&gt;0,MIN(MAX((E21/E20),0),1),0),"N/M")</f>
        <v>0</v>
      </c>
      <c r="F60" s="46" t="n">
        <f aca="false">IFERROR(IF(F20&gt;0,MIN(MAX((F21/F20),0),1),0),"N/M")</f>
        <v>0</v>
      </c>
      <c r="G60" s="46" t="n">
        <f aca="false">IFERROR(IF(G20&gt;0,MIN(MAX((G21/G20),0),1),0),"N/M")</f>
        <v>0</v>
      </c>
      <c r="H60" s="46" t="n">
        <f aca="false">IFERROR(IF(H20&gt;0,MIN(MAX((H21/H20),0),1),0),"N/M")</f>
        <v>0</v>
      </c>
      <c r="I60" s="46" t="n">
        <f aca="false">IFERROR(IF(I20&gt;0,MIN(MAX((I21/I20),0),1),0),"N/M")</f>
        <v>0</v>
      </c>
      <c r="J60" s="46" t="n">
        <f aca="false">IFERROR(IF(J20&gt;0,MIN(MAX((J21/J20),0),1),0),"N/M")</f>
        <v>0.138903485724295</v>
      </c>
    </row>
    <row r="61" customFormat="false" ht="15" hidden="false" customHeight="false" outlineLevel="0" collapsed="false">
      <c r="A61" s="18" t="s">
        <v>489</v>
      </c>
      <c r="B61" s="19" t="s">
        <v>490</v>
      </c>
      <c r="C61" s="44" t="n">
        <f aca="false">IFERROR((C26+C27),"N/M")</f>
        <v>602.48</v>
      </c>
      <c r="D61" s="44" t="n">
        <f aca="false">IFERROR((D26+D27),"N/M")</f>
        <v>491.7</v>
      </c>
      <c r="E61" s="44" t="n">
        <f aca="false">IFERROR((E26+E27),"N/M")</f>
        <v>-667.88</v>
      </c>
      <c r="F61" s="44" t="n">
        <f aca="false">IFERROR((F26+F27),"N/M")</f>
        <v>-930.89</v>
      </c>
      <c r="G61" s="44" t="n">
        <f aca="false">IFERROR((G26+G27),"N/M")</f>
        <v>53.52</v>
      </c>
      <c r="H61" s="44" t="n">
        <f aca="false">IFERROR((H26+H27),"N/M")</f>
        <v>28.72</v>
      </c>
      <c r="I61" s="44" t="n">
        <f aca="false">IFERROR((I26+I27),"N/M")</f>
        <v>-4.77</v>
      </c>
      <c r="J61" s="44" t="n">
        <f aca="false">IFERROR((J26+J27),"N/M")</f>
        <v>131.29</v>
      </c>
    </row>
    <row r="62" customFormat="false" ht="15" hidden="false" customHeight="false" outlineLevel="0" collapsed="false">
      <c r="A62" s="18" t="s">
        <v>491</v>
      </c>
      <c r="B62" s="19" t="s">
        <v>492</v>
      </c>
      <c r="C62" s="44" t="n">
        <f aca="false">IFERROR((C61+C28),"N/M")</f>
        <v>2016.19</v>
      </c>
      <c r="D62" s="44" t="n">
        <f aca="false">IFERROR((D61+D28),"N/M")</f>
        <v>1770.95</v>
      </c>
      <c r="E62" s="44" t="n">
        <f aca="false">IFERROR((E61+E28),"N/M")</f>
        <v>596.42</v>
      </c>
      <c r="F62" s="44" t="n">
        <f aca="false">IFERROR((F61+F28),"N/M")</f>
        <v>835.4</v>
      </c>
      <c r="G62" s="44" t="n">
        <f aca="false">IFERROR((G61+G28),"N/M")</f>
        <v>536.99</v>
      </c>
      <c r="H62" s="44" t="n">
        <f aca="false">IFERROR((H61+H28),"N/M")</f>
        <v>535.97</v>
      </c>
      <c r="I62" s="44" t="n">
        <f aca="false">IFERROR((I61+I28),"N/M")</f>
        <v>603.03</v>
      </c>
      <c r="J62" s="44" t="n">
        <f aca="false">IFERROR((J61+J28),"N/M")</f>
        <v>616.34</v>
      </c>
    </row>
    <row r="63" customFormat="false" ht="15" hidden="false" customHeight="false" outlineLevel="0" collapsed="false">
      <c r="A63" s="18" t="s">
        <v>493</v>
      </c>
      <c r="B63" s="19" t="s">
        <v>494</v>
      </c>
      <c r="C63" s="44" t="n">
        <f aca="false">IFERROR(C34,"N/M")</f>
        <v>795.47</v>
      </c>
      <c r="D63" s="44" t="n">
        <f aca="false">IFERROR(D34,"N/M")</f>
        <v>536.64</v>
      </c>
      <c r="E63" s="44" t="n">
        <f aca="false">IFERROR(E34,"N/M")</f>
        <v>488.36</v>
      </c>
      <c r="F63" s="44" t="n">
        <f aca="false">IFERROR(F34,"N/M")</f>
        <v>392.63</v>
      </c>
      <c r="G63" s="44" t="n">
        <f aca="false">IFERROR(G34,"N/M")</f>
        <v>187.09</v>
      </c>
      <c r="H63" s="44" t="n">
        <f aca="false">IFERROR(H34,"N/M")</f>
        <v>199.48</v>
      </c>
      <c r="I63" s="44" t="n">
        <f aca="false">IFERROR(I34,"N/M")</f>
        <v>204.08</v>
      </c>
      <c r="J63" s="44" t="n">
        <f aca="false">IFERROR(J34,"N/M")</f>
        <v>331.12</v>
      </c>
    </row>
    <row r="64" customFormat="false" ht="15" hidden="false" customHeight="false" outlineLevel="0" collapsed="false">
      <c r="A64" s="18" t="s">
        <v>495</v>
      </c>
      <c r="B64" s="19" t="s">
        <v>496</v>
      </c>
      <c r="C64" s="44" t="n">
        <f aca="false">IFERROR(C29,"N/M")</f>
        <v>732.71</v>
      </c>
      <c r="D64" s="44" t="n">
        <f aca="false">IFERROR(D29,"N/M")</f>
        <v>995.99</v>
      </c>
      <c r="E64" s="44" t="n">
        <f aca="false">IFERROR(E29,"N/M")</f>
        <v>1134.64</v>
      </c>
      <c r="F64" s="44" t="n">
        <f aca="false">IFERROR(F29,"N/M")</f>
        <v>730.18</v>
      </c>
      <c r="G64" s="44" t="n">
        <f aca="false">IFERROR(G29,"N/M")</f>
        <v>256.02</v>
      </c>
      <c r="H64" s="44" t="n">
        <f aca="false">IFERROR(H29,"N/M")</f>
        <v>231.57</v>
      </c>
      <c r="I64" s="44" t="n">
        <f aca="false">IFERROR(I29,"N/M")</f>
        <v>255.88</v>
      </c>
      <c r="J64" s="44" t="n">
        <f aca="false">IFERROR(J29,"N/M")</f>
        <v>290.39</v>
      </c>
    </row>
    <row r="65" customFormat="false" ht="15" hidden="false" customHeight="false" outlineLevel="0" collapsed="false">
      <c r="A65" s="18" t="s">
        <v>497</v>
      </c>
      <c r="B65" s="19" t="s">
        <v>498</v>
      </c>
      <c r="C65" s="44" t="n">
        <f aca="false">IFERROR((C63-C64),"N/M")</f>
        <v>62.76</v>
      </c>
      <c r="D65" s="44" t="n">
        <f aca="false">IFERROR((D63-D64),"N/M")</f>
        <v>-459.35</v>
      </c>
      <c r="E65" s="44" t="n">
        <f aca="false">IFERROR((E63-E64),"N/M")</f>
        <v>-646.28</v>
      </c>
      <c r="F65" s="44" t="n">
        <f aca="false">IFERROR((F63-F64),"N/M")</f>
        <v>-337.55</v>
      </c>
      <c r="G65" s="44" t="n">
        <f aca="false">IFERROR((G63-G64),"N/M")</f>
        <v>-68.93</v>
      </c>
      <c r="H65" s="44" t="n">
        <f aca="false">IFERROR((H63-H64),"N/M")</f>
        <v>-32.09</v>
      </c>
      <c r="I65" s="44" t="n">
        <f aca="false">IFERROR((I63-I64),"N/M")</f>
        <v>-51.8</v>
      </c>
      <c r="J65" s="44" t="n">
        <f aca="false">IFERROR((J63-J64),"N/M")</f>
        <v>40.73</v>
      </c>
    </row>
    <row r="66" customFormat="false" ht="15" hidden="false" customHeight="false" outlineLevel="0" collapsed="false">
      <c r="A66" s="18" t="s">
        <v>499</v>
      </c>
      <c r="B66" s="19" t="s">
        <v>500</v>
      </c>
      <c r="C66" s="44" t="n">
        <f aca="false">IFERROR((C36+C38),"N/M")</f>
        <v>457.42</v>
      </c>
      <c r="D66" s="44" t="n">
        <f aca="false">IFERROR((D36+D38),"N/M")</f>
        <v>290.79</v>
      </c>
      <c r="E66" s="44" t="n">
        <f aca="false">IFERROR((E36+E38),"N/M")</f>
        <v>277.43</v>
      </c>
      <c r="F66" s="44" t="n">
        <f aca="false">IFERROR((F36+F38),"N/M")</f>
        <v>228.27</v>
      </c>
      <c r="G66" s="44" t="n">
        <f aca="false">IFERROR((G36+G38),"N/M")</f>
        <v>137.12</v>
      </c>
      <c r="H66" s="44" t="n">
        <f aca="false">IFERROR((H36+H38),"N/M")</f>
        <v>163.37</v>
      </c>
      <c r="I66" s="44" t="n">
        <f aca="false">IFERROR((I36+I38),"N/M")</f>
        <v>158.64</v>
      </c>
      <c r="J66" s="44" t="n">
        <f aca="false">IFERROR((J36+J38),"N/M")</f>
        <v>161.92</v>
      </c>
    </row>
    <row r="67" customFormat="false" ht="15" hidden="false" customHeight="false" outlineLevel="0" collapsed="false">
      <c r="A67" s="18" t="s">
        <v>501</v>
      </c>
      <c r="B67" s="19" t="s">
        <v>502</v>
      </c>
      <c r="D67" s="44" t="n">
        <f aca="false">IFERROR((((D31+D32)-(C31+C32))+D18),"N/M")</f>
        <v>373.73</v>
      </c>
      <c r="E67" s="44" t="n">
        <f aca="false">IFERROR((((E31+E32)-(D31+D32))+E18),"N/M")</f>
        <v>-911.82</v>
      </c>
      <c r="F67" s="44" t="n">
        <f aca="false">IFERROR((((F31+F32)-(E31+E32))+F18),"N/M")</f>
        <v>9.67</v>
      </c>
      <c r="G67" s="44" t="n">
        <f aca="false">IFERROR((((G31+G32)-(F31+F32))+G18),"N/M")</f>
        <v>-511.34</v>
      </c>
      <c r="H67" s="44" t="n">
        <f aca="false">IFERROR((((H31+H32)-(G31+G32))+H18),"N/M")</f>
        <v>10.44</v>
      </c>
      <c r="I67" s="44" t="n">
        <f aca="false">IFERROR((((I31+I32)-(H31+H32))+I18),"N/M")</f>
        <v>124.35</v>
      </c>
      <c r="J67" s="44" t="n">
        <f aca="false">IFERROR((((J31+J32)-(I31+I32))+J18),"N/M")</f>
        <v>-52.72</v>
      </c>
    </row>
    <row r="68" customFormat="false" ht="15" hidden="false" customHeight="false" outlineLevel="0" collapsed="false">
      <c r="A68" s="18" t="s">
        <v>503</v>
      </c>
      <c r="B68" s="19" t="s">
        <v>504</v>
      </c>
      <c r="D68" s="44" t="n">
        <f aca="false">IFERROR(MAX((C28-D28),0),"N/M")</f>
        <v>134.46</v>
      </c>
      <c r="E68" s="44" t="n">
        <f aca="false">IFERROR(MAX((D28-E28),0),"N/M")</f>
        <v>14.95</v>
      </c>
      <c r="F68" s="44" t="n">
        <f aca="false">IFERROR(MAX((E28-F28),0),"N/M")</f>
        <v>0</v>
      </c>
      <c r="G68" s="44" t="n">
        <f aca="false">IFERROR(MAX((F28-G28),0),"N/M")</f>
        <v>1282.82</v>
      </c>
      <c r="H68" s="44" t="n">
        <f aca="false">IFERROR(MAX((G28-H28),0),"N/M")</f>
        <v>0</v>
      </c>
      <c r="I68" s="44" t="n">
        <f aca="false">IFERROR(MAX((H28-I28),0),"N/M")</f>
        <v>0</v>
      </c>
      <c r="J68" s="44" t="n">
        <f aca="false">IFERROR(MAX((I28-J28),0),"N/M")</f>
        <v>122.75</v>
      </c>
    </row>
    <row r="69" customFormat="false" ht="15" hidden="false" customHeight="false" outlineLevel="0" collapsed="false">
      <c r="A69" s="18" t="s">
        <v>505</v>
      </c>
      <c r="B69" s="19" t="s">
        <v>506</v>
      </c>
      <c r="C69" s="44" t="n">
        <f aca="false">IFERROR((C47*C48),"N/M")</f>
        <v>668.065404</v>
      </c>
      <c r="D69" s="44" t="n">
        <f aca="false">IFERROR((D47*D48),"N/M")</f>
        <v>30.976124</v>
      </c>
      <c r="E69" s="44" t="n">
        <f aca="false">IFERROR((E47*E48),"N/M")</f>
        <v>50.768052</v>
      </c>
      <c r="F69" s="44" t="n">
        <f aca="false">IFERROR((F47*F48),"N/M")</f>
        <v>57.0921</v>
      </c>
      <c r="G69" s="44" t="n">
        <f aca="false">IFERROR((G47*G48),"N/M")</f>
        <v>41.889858</v>
      </c>
      <c r="H69" s="44" t="n">
        <f aca="false">IFERROR((H47*H48),"N/M")</f>
        <v>960.139035</v>
      </c>
      <c r="I69" s="44" t="n">
        <f aca="false">IFERROR((I47*I48),"N/M")</f>
        <v>446.498907</v>
      </c>
      <c r="J69" s="44" t="n">
        <f aca="false">IFERROR((J47*J48),"N/M")</f>
        <v>502.69378</v>
      </c>
    </row>
    <row r="70" customFormat="false" ht="15" hidden="false" customHeight="false" outlineLevel="0" collapsed="false">
      <c r="A70" s="18" t="s">
        <v>507</v>
      </c>
      <c r="B70" s="19" t="s">
        <v>508</v>
      </c>
      <c r="C70" s="44" t="n">
        <f aca="false">IFERROR(((C69+C28)-C38),"N/M")</f>
        <v>2021.215404</v>
      </c>
      <c r="D70" s="44" t="n">
        <f aca="false">IFERROR(((D69+D28)-D38),"N/M")</f>
        <v>1259.966124</v>
      </c>
      <c r="E70" s="44" t="n">
        <f aca="false">IFERROR(((E69+E28)-E38),"N/M")</f>
        <v>1250.448052</v>
      </c>
      <c r="F70" s="44" t="n">
        <f aca="false">IFERROR(((F69+F28)-F38),"N/M")</f>
        <v>1736.8621</v>
      </c>
      <c r="G70" s="44" t="n">
        <f aca="false">IFERROR(((G69+G28)-G38),"N/M")</f>
        <v>442.899858</v>
      </c>
      <c r="H70" s="44" t="n">
        <f aca="false">IFERROR(((H69+H28)-H38),"N/M")</f>
        <v>1348.079035</v>
      </c>
      <c r="I70" s="44" t="n">
        <f aca="false">IFERROR(((I69+I28)-I38),"N/M")</f>
        <v>967.788907</v>
      </c>
      <c r="J70" s="44" t="n">
        <f aca="false">IFERROR(((J69+J28)-J38),"N/M")</f>
        <v>921.77378</v>
      </c>
    </row>
    <row r="71" customFormat="false" ht="15" hidden="false" customHeight="false" outlineLevel="0" collapsed="false">
      <c r="A71" s="18" t="s">
        <v>509</v>
      </c>
      <c r="C71" s="44" t="n">
        <f aca="false">IFERROR(IF(C49=1,C69,0),"N/M")</f>
        <v>668.065404</v>
      </c>
      <c r="D71" s="44" t="n">
        <f aca="false">IFERROR(IF(D49=1,D69,0),"N/M")</f>
        <v>30.976124</v>
      </c>
      <c r="E71" s="44" t="n">
        <f aca="false">IFERROR(IF(E49=1,E69,0),"N/M")</f>
        <v>50.768052</v>
      </c>
      <c r="F71" s="44" t="n">
        <f aca="false">IFERROR(IF(F49=1,F69,0),"N/M")</f>
        <v>57.0921</v>
      </c>
      <c r="G71" s="44" t="n">
        <f aca="false">IFERROR(IF(G49=1,G69,0),"N/M")</f>
        <v>41.889858</v>
      </c>
      <c r="H71" s="44" t="n">
        <f aca="false">IFERROR(IF(H49=1,H69,0),"N/M")</f>
        <v>960.139035</v>
      </c>
      <c r="I71" s="44" t="n">
        <f aca="false">IFERROR(IF(I49=1,I69,0),"N/M")</f>
        <v>446.498907</v>
      </c>
      <c r="J71" s="44" t="n">
        <f aca="false">IFERROR(IF(J49=1,J69,0),"N/M")</f>
        <v>502.69378</v>
      </c>
    </row>
    <row r="72" customFormat="false" ht="15" hidden="false" customHeight="false" outlineLevel="0" collapsed="false">
      <c r="A72" s="18" t="s">
        <v>510</v>
      </c>
      <c r="C72" s="44" t="n">
        <f aca="false">IFERROR(IF(C49=1,C22,0),"N/M")</f>
        <v>20.65</v>
      </c>
      <c r="D72" s="44" t="n">
        <f aca="false">IFERROR(IF(D49=1,D22,0),"N/M")</f>
        <v>-107.04</v>
      </c>
      <c r="E72" s="44" t="n">
        <f aca="false">IFERROR(IF(E49=1,E22,0),"N/M")</f>
        <v>-1159.58</v>
      </c>
      <c r="F72" s="44" t="n">
        <f aca="false">IFERROR(IF(F49=1,F22,0),"N/M")</f>
        <v>-260.42</v>
      </c>
      <c r="G72" s="44" t="n">
        <f aca="false">IFERROR(IF(G49=1,G22,0),"N/M")</f>
        <v>-833.94</v>
      </c>
      <c r="H72" s="44" t="n">
        <f aca="false">IFERROR(IF(H49=1,H22,0),"N/M")</f>
        <v>-28.29</v>
      </c>
      <c r="I72" s="44" t="n">
        <f aca="false">IFERROR(IF(I49=1,I22,0),"N/M")</f>
        <v>-25.83</v>
      </c>
      <c r="J72" s="44" t="n">
        <f aca="false">IFERROR(IF(J49=1,J22,0),"N/M")</f>
        <v>49.28</v>
      </c>
    </row>
    <row r="73" customFormat="false" ht="15" hidden="false" customHeight="false" outlineLevel="0" collapsed="false">
      <c r="A73" s="18" t="s">
        <v>511</v>
      </c>
      <c r="C73" s="44" t="n">
        <f aca="false">IFERROR(IF(C49=1,C61,0),"N/M")</f>
        <v>602.48</v>
      </c>
      <c r="D73" s="44" t="n">
        <f aca="false">IFERROR(IF(D49=1,D61,0),"N/M")</f>
        <v>491.7</v>
      </c>
      <c r="E73" s="44" t="n">
        <f aca="false">IFERROR(IF(E49=1,E61,0),"N/M")</f>
        <v>-667.88</v>
      </c>
      <c r="F73" s="44" t="n">
        <f aca="false">IFERROR(IF(F49=1,F61,0),"N/M")</f>
        <v>-930.89</v>
      </c>
      <c r="G73" s="44" t="n">
        <f aca="false">IFERROR(IF(G49=1,G61,0),"N/M")</f>
        <v>53.52</v>
      </c>
      <c r="H73" s="44" t="n">
        <f aca="false">IFERROR(IF(H49=1,H61,0),"N/M")</f>
        <v>28.72</v>
      </c>
      <c r="I73" s="44" t="n">
        <f aca="false">IFERROR(IF(I49=1,I61,0),"N/M")</f>
        <v>-4.77</v>
      </c>
      <c r="J73" s="44" t="n">
        <f aca="false">IFERROR(IF(J49=1,J61,0),"N/M")</f>
        <v>131.29</v>
      </c>
    </row>
    <row r="74" customFormat="false" ht="15" hidden="false" customHeight="false" outlineLevel="0" collapsed="false">
      <c r="A74" s="18" t="s">
        <v>512</v>
      </c>
      <c r="C74" s="44" t="n">
        <f aca="false">IFERROR(IF(C49=1,C59,0),"N/M")</f>
        <v>178.5</v>
      </c>
      <c r="D74" s="44" t="n">
        <f aca="false">IFERROR(IF(D49=1,D59,0),"N/M")</f>
        <v>6.52</v>
      </c>
      <c r="E74" s="44" t="n">
        <f aca="false">IFERROR(IF(E49=1,E59,0),"N/M")</f>
        <v>-948.76</v>
      </c>
      <c r="F74" s="44" t="n">
        <f aca="false">IFERROR(IF(F49=1,F59,0),"N/M")</f>
        <v>-159.61</v>
      </c>
      <c r="G74" s="44" t="n">
        <f aca="false">IFERROR(IF(G49=1,G59,0),"N/M")</f>
        <v>-752.5</v>
      </c>
      <c r="H74" s="44" t="n">
        <f aca="false">IFERROR(IF(H49=1,H59,0),"N/M")</f>
        <v>63.73</v>
      </c>
      <c r="I74" s="44" t="n">
        <f aca="false">IFERROR(IF(I49=1,I59,0),"N/M")</f>
        <v>50.26</v>
      </c>
      <c r="J74" s="44" t="n">
        <f aca="false">IFERROR(IF(J49=1,J59,0),"N/M")</f>
        <v>170.8</v>
      </c>
    </row>
    <row r="75" customFormat="false" ht="15" hidden="false" customHeight="false" outlineLevel="0" collapsed="false">
      <c r="A75" s="18" t="s">
        <v>513</v>
      </c>
      <c r="C75" s="44" t="n">
        <f aca="false">IFERROR(IF(C49=1,C23,0),"N/M")</f>
        <v>0</v>
      </c>
      <c r="D75" s="44" t="n">
        <f aca="false">IFERROR(IF(D49=1,D23,0),"N/M")</f>
        <v>0</v>
      </c>
      <c r="E75" s="44" t="n">
        <f aca="false">IFERROR(IF(E49=1,E23,0),"N/M")</f>
        <v>0</v>
      </c>
      <c r="F75" s="44" t="n">
        <f aca="false">IFERROR(IF(F49=1,F23,0),"N/M")</f>
        <v>0</v>
      </c>
      <c r="G75" s="44" t="n">
        <f aca="false">IFERROR(IF(G49=1,G23,0),"N/M")</f>
        <v>0</v>
      </c>
      <c r="H75" s="44" t="n">
        <f aca="false">IFERROR(IF(H49=1,H23,0),"N/M")</f>
        <v>0</v>
      </c>
      <c r="I75" s="44" t="n">
        <f aca="false">IFERROR(IF(I49=1,I23,0),"N/M")</f>
        <v>0</v>
      </c>
      <c r="J75" s="44" t="n">
        <f aca="false">IFERROR(IF(J49=1,J23,0),"N/M")</f>
        <v>0</v>
      </c>
    </row>
    <row r="76" customFormat="false" ht="15" hidden="false" customHeight="false" outlineLevel="0" collapsed="false">
      <c r="A76" s="18" t="s">
        <v>514</v>
      </c>
      <c r="C76" s="44" t="n">
        <f aca="false">IFERROR(IF(C49=1,(C28-C38),0),"N/M")</f>
        <v>1353.15</v>
      </c>
      <c r="D76" s="44" t="n">
        <f aca="false">IFERROR(IF(D49=1,(D28-D38),0),"N/M")</f>
        <v>1228.99</v>
      </c>
      <c r="E76" s="44" t="n">
        <f aca="false">IFERROR(IF(E49=1,(E28-E38),0),"N/M")</f>
        <v>1199.68</v>
      </c>
      <c r="F76" s="44" t="n">
        <f aca="false">IFERROR(IF(F49=1,(F28-F38),0),"N/M")</f>
        <v>1679.77</v>
      </c>
      <c r="G76" s="44" t="n">
        <f aca="false">IFERROR(IF(G49=1,(G28-G38),0),"N/M")</f>
        <v>401.01</v>
      </c>
      <c r="H76" s="44" t="n">
        <f aca="false">IFERROR(IF(H49=1,(H28-H38),0),"N/M")</f>
        <v>387.94</v>
      </c>
      <c r="I76" s="44" t="n">
        <f aca="false">IFERROR(IF(I49=1,(I28-I38),0),"N/M")</f>
        <v>521.29</v>
      </c>
      <c r="J76" s="44" t="n">
        <f aca="false">IFERROR(IF(J49=1,(J28-J38),0),"N/M")</f>
        <v>419.08</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-459.35</v>
      </c>
      <c r="E79" s="79" t="n">
        <f aca="false">IFERROR(E65,"N/M")</f>
        <v>-646.28</v>
      </c>
      <c r="F79" s="79" t="n">
        <f aca="false">IFERROR(F65,"N/M")</f>
        <v>-337.55</v>
      </c>
      <c r="G79" s="79" t="n">
        <f aca="false">IFERROR(G65,"N/M")</f>
        <v>-68.93</v>
      </c>
      <c r="H79" s="79" t="n">
        <f aca="false">IFERROR(H65,"N/M")</f>
        <v>-32.09</v>
      </c>
      <c r="I79" s="79" t="n">
        <f aca="false">IFERROR(I65,"N/M")</f>
        <v>-51.8</v>
      </c>
      <c r="J79" s="79" t="n">
        <f aca="false">IFERROR(J65,"N/M")</f>
        <v>40.73</v>
      </c>
      <c r="K79" s="80" t="n">
        <f aca="false">IFERROR(AVERAGE(D79:J79),"N/M")</f>
        <v>-222.181428571429</v>
      </c>
      <c r="L79" s="81" t="n">
        <f aca="false">IFERROR(J79-D79,"N/M")</f>
        <v>500.08</v>
      </c>
      <c r="M79" s="81" t="n">
        <f aca="false">IFERROR(SLOPE(D79:J79,$D$3:$J$3),"N/M")</f>
        <v>106.952142857143</v>
      </c>
    </row>
    <row r="80" customFormat="false" ht="15" hidden="false" customHeight="false" outlineLevel="0" collapsed="false">
      <c r="A80" s="18" t="s">
        <v>119</v>
      </c>
      <c r="B80" s="19" t="s">
        <v>517</v>
      </c>
      <c r="D80" s="47" t="n">
        <f aca="false">IFERROR(IF(D64&lt;=0,"N/M",D63/D64),"N/M")</f>
        <v>0.538800590367373</v>
      </c>
      <c r="E80" s="47" t="n">
        <f aca="false">IFERROR(IF(E64&lt;=0,"N/M",E63/E64),"N/M")</f>
        <v>0.430409645350067</v>
      </c>
      <c r="F80" s="47" t="n">
        <f aca="false">IFERROR(IF(F64&lt;=0,"N/M",F63/F64),"N/M")</f>
        <v>0.537716727382289</v>
      </c>
      <c r="G80" s="47" t="n">
        <f aca="false">IFERROR(IF(G64&lt;=0,"N/M",G63/G64),"N/M")</f>
        <v>0.730763221623311</v>
      </c>
      <c r="H80" s="47" t="n">
        <f aca="false">IFERROR(IF(H64&lt;=0,"N/M",H63/H64),"N/M")</f>
        <v>0.861424191389213</v>
      </c>
      <c r="I80" s="47" t="n">
        <f aca="false">IFERROR(IF(I64&lt;=0,"N/M",I63/I64),"N/M")</f>
        <v>0.79756135688604</v>
      </c>
      <c r="J80" s="47" t="n">
        <f aca="false">IFERROR(IF(J64&lt;=0,"N/M",J63/J64),"N/M")</f>
        <v>1.14025965081442</v>
      </c>
      <c r="K80" s="22" t="n">
        <f aca="false">IFERROR(AVERAGE(D80:J80),"N/M")</f>
        <v>0.719562197687531</v>
      </c>
      <c r="L80" s="82" t="n">
        <f aca="false">IFERROR(J80-D80,"N/M")</f>
        <v>0.601459060447049</v>
      </c>
      <c r="M80" s="83" t="n">
        <f aca="false">IFERROR(SLOPE(D80:J80,$D$3:$J$3),"N/M")</f>
        <v>0.102228145300715</v>
      </c>
    </row>
    <row r="81" customFormat="false" ht="15" hidden="false" customHeight="false" outlineLevel="0" collapsed="false">
      <c r="A81" s="18" t="s">
        <v>121</v>
      </c>
      <c r="B81" s="19" t="s">
        <v>518</v>
      </c>
      <c r="D81" s="47" t="n">
        <f aca="false">IFERROR(IF(D64&lt;=0,"N/M",D66/D64),"N/M")</f>
        <v>0.29196076265826</v>
      </c>
      <c r="E81" s="47" t="n">
        <f aca="false">IFERROR(IF(E64&lt;=0,"N/M",E66/E64),"N/M")</f>
        <v>0.244509271663259</v>
      </c>
      <c r="F81" s="47" t="n">
        <f aca="false">IFERROR(IF(F64&lt;=0,"N/M",F66/F64),"N/M")</f>
        <v>0.312621545372374</v>
      </c>
      <c r="G81" s="47" t="n">
        <f aca="false">IFERROR(IF(G64&lt;=0,"N/M",G66/G64),"N/M")</f>
        <v>0.535583157565815</v>
      </c>
      <c r="H81" s="47" t="n">
        <f aca="false">IFERROR(IF(H64&lt;=0,"N/M",H66/H64),"N/M")</f>
        <v>0.705488621151272</v>
      </c>
      <c r="I81" s="47" t="n">
        <f aca="false">IFERROR(IF(I64&lt;=0,"N/M",I66/I64),"N/M")</f>
        <v>0.619978114741285</v>
      </c>
      <c r="J81" s="47" t="n">
        <f aca="false">IFERROR(IF(J64&lt;=0,"N/M",J66/J64),"N/M")</f>
        <v>0.557594958504081</v>
      </c>
      <c r="K81" s="22" t="n">
        <f aca="false">IFERROR(AVERAGE(D81:J81),"N/M")</f>
        <v>0.466819490236621</v>
      </c>
      <c r="L81" s="82" t="n">
        <f aca="false">IFERROR(J81-D81,"N/M")</f>
        <v>0.265634195845821</v>
      </c>
      <c r="M81" s="83" t="n">
        <f aca="false">IFERROR(SLOPE(D81:J81,$D$3:$J$3),"N/M")</f>
        <v>0.0693109767668719</v>
      </c>
    </row>
    <row r="82" customFormat="false" ht="15" hidden="false" customHeight="false" outlineLevel="0" collapsed="false">
      <c r="A82" s="18" t="s">
        <v>519</v>
      </c>
      <c r="B82" s="19" t="s">
        <v>520</v>
      </c>
      <c r="D82" s="47" t="n">
        <f aca="false">IFERROR(IF(D64&lt;=0,"N/M",D38/D64),"N/M")</f>
        <v>0.0504623540396992</v>
      </c>
      <c r="E82" s="47" t="n">
        <f aca="false">IFERROR(IF(E64&lt;=0,"N/M",E38/E64),"N/M")</f>
        <v>0.0569519847704999</v>
      </c>
      <c r="F82" s="47" t="n">
        <f aca="false">IFERROR(IF(F64&lt;=0,"N/M",F38/F64),"N/M")</f>
        <v>0.118491330904708</v>
      </c>
      <c r="G82" s="47" t="n">
        <f aca="false">IFERROR(IF(G64&lt;=0,"N/M",G38/G64),"N/M")</f>
        <v>0.322084212170924</v>
      </c>
      <c r="H82" s="47" t="n">
        <f aca="false">IFERROR(IF(H64&lt;=0,"N/M",H38/H64),"N/M")</f>
        <v>0.515222179038736</v>
      </c>
      <c r="I82" s="47" t="n">
        <f aca="false">IFERROR(IF(I64&lt;=0,"N/M",I38/I64),"N/M")</f>
        <v>0.338088166327966</v>
      </c>
      <c r="J82" s="47" t="n">
        <f aca="false">IFERROR(IF(J64&lt;=0,"N/M",J38/J64),"N/M")</f>
        <v>0.227177244395468</v>
      </c>
      <c r="K82" s="22" t="n">
        <f aca="false">IFERROR(AVERAGE(D82:J82),"N/M")</f>
        <v>0.232639638806857</v>
      </c>
      <c r="L82" s="82" t="n">
        <f aca="false">IFERROR(J82-D82,"N/M")</f>
        <v>0.176714890355769</v>
      </c>
      <c r="M82" s="83" t="n">
        <f aca="false">IFERROR(SLOPE(D82:J82,$D$3:$J$3),"N/M")</f>
        <v>0.0531838529398667</v>
      </c>
    </row>
    <row r="83" customFormat="false" ht="15" hidden="false" customHeight="false" outlineLevel="0" collapsed="false">
      <c r="A83" s="18" t="s">
        <v>521</v>
      </c>
      <c r="B83" s="19" t="s">
        <v>522</v>
      </c>
      <c r="D83" s="48" t="n">
        <f aca="false">IFERROR(IF((D54/365)&lt;=0,"N/M",D66/(D54/365)),"N/M")</f>
        <v>103.216296642063</v>
      </c>
      <c r="E83" s="48" t="n">
        <f aca="false">IFERROR(IF((E54/365)&lt;=0,"N/M",E66/(E54/365)),"N/M")</f>
        <v>197.36093786544</v>
      </c>
      <c r="F83" s="48" t="n">
        <f aca="false">IFERROR(IF((F54/365)&lt;=0,"N/M",F66/(F54/365)),"N/M")</f>
        <v>214.721928716852</v>
      </c>
      <c r="G83" s="48" t="n">
        <f aca="false">IFERROR(IF((G54/365)&lt;=0,"N/M",G66/(G54/365)),"N/M")</f>
        <v>137.300559640075</v>
      </c>
      <c r="H83" s="48" t="n">
        <f aca="false">IFERROR(IF((H54/365)&lt;=0,"N/M",H66/(H54/365)),"N/M")</f>
        <v>291.603745904445</v>
      </c>
      <c r="I83" s="48" t="n">
        <f aca="false">IFERROR(IF((I54/365)&lt;=0,"N/M",I66/(I54/365)),"N/M")</f>
        <v>289.041082214346</v>
      </c>
      <c r="J83" s="48" t="n">
        <f aca="false">IFERROR(IF((J54/365)&lt;=0,"N/M",J66/(J54/365)),"N/M")</f>
        <v>192.285268089537</v>
      </c>
      <c r="K83" s="28" t="n">
        <f aca="false">IFERROR(AVERAGE(D83:J83),"N/M")</f>
        <v>203.647117010394</v>
      </c>
      <c r="L83" s="84" t="n">
        <f aca="false">IFERROR(J83-D83,"N/M")</f>
        <v>89.0689714474735</v>
      </c>
      <c r="M83" s="85" t="n">
        <f aca="false">IFERROR(SLOPE(D83:J83,$D$3:$J$3),"N/M")</f>
        <v>18.8374650081367</v>
      </c>
    </row>
    <row r="84" customFormat="false" ht="15" hidden="false" customHeight="false" outlineLevel="0" collapsed="false">
      <c r="A84" s="18" t="s">
        <v>122</v>
      </c>
      <c r="B84" s="19" t="s">
        <v>523</v>
      </c>
      <c r="D84" s="47" t="n">
        <f aca="false">IFERROR(IF(D64&lt;=0,"N/M",D41/D64),"N/M")</f>
        <v>0.293527043444211</v>
      </c>
      <c r="E84" s="47" t="n">
        <f aca="false">IFERROR(IF(E64&lt;=0,"N/M",E41/E64),"N/M")</f>
        <v>0.139453923711486</v>
      </c>
      <c r="F84" s="47" t="n">
        <f aca="false">IFERROR(IF(F64&lt;=0,"N/M",F41/F64),"N/M")</f>
        <v>0.0925251307896683</v>
      </c>
      <c r="G84" s="47" t="n">
        <f aca="false">IFERROR(IF(G64&lt;=0,"N/M",G41/G64),"N/M")</f>
        <v>0.0258182954456683</v>
      </c>
      <c r="H84" s="47" t="n">
        <f aca="false">IFERROR(IF(H64&lt;=0,"N/M",H41/H64),"N/M")</f>
        <v>0.034503605821134</v>
      </c>
      <c r="I84" s="47" t="n">
        <f aca="false">IFERROR(IF(I64&lt;=0,"N/M",I41/I64),"N/M")</f>
        <v>0.0782007190870721</v>
      </c>
      <c r="J84" s="47" t="n">
        <f aca="false">IFERROR(IF(J64&lt;=0,"N/M",J41/J64),"N/M")</f>
        <v>0.180137057061194</v>
      </c>
      <c r="K84" s="22" t="n">
        <f aca="false">IFERROR(AVERAGE(D84:J84),"N/M")</f>
        <v>0.120595110765776</v>
      </c>
      <c r="L84" s="82" t="n">
        <f aca="false">IFERROR(J84-D84,"N/M")</f>
        <v>-0.113389986383018</v>
      </c>
      <c r="M84" s="83" t="n">
        <f aca="false">IFERROR(SLOPE(D84:J84,$D$3:$J$3),"N/M")</f>
        <v>-0.0185963533345148</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2.60168802115111</v>
      </c>
      <c r="E87" s="47" t="str">
        <f aca="false">IFERROR(IF(E61&lt;=0,"N/M",E28/E61),"N/M")</f>
        <v>N/M</v>
      </c>
      <c r="F87" s="47" t="str">
        <f aca="false">IFERROR(IF(F61&lt;=0,"N/M",F28/F61),"N/M")</f>
        <v>N/M</v>
      </c>
      <c r="G87" s="47" t="n">
        <f aca="false">IFERROR(IF(G61&lt;=0,"N/M",G28/G61),"N/M")</f>
        <v>9.03344544095665</v>
      </c>
      <c r="H87" s="47" t="n">
        <f aca="false">IFERROR(IF(H61&lt;=0,"N/M",H28/H61),"N/M")</f>
        <v>17.6619080779944</v>
      </c>
      <c r="I87" s="47" t="str">
        <f aca="false">IFERROR(IF(I61&lt;=0,"N/M",I28/I61),"N/M")</f>
        <v>N/M</v>
      </c>
      <c r="J87" s="47" t="n">
        <f aca="false">IFERROR(IF(J61&lt;=0,"N/M",J28/J61),"N/M")</f>
        <v>3.69449310686267</v>
      </c>
      <c r="K87" s="22" t="n">
        <f aca="false">IFERROR(AVERAGE(D87:J87),"N/M")</f>
        <v>8.24788366174122</v>
      </c>
      <c r="L87" s="82" t="n">
        <f aca="false">IFERROR(J87-D87,"N/M")</f>
        <v>1.09280508571156</v>
      </c>
      <c r="M87" s="83" t="n">
        <f aca="false">IFERROR(SLOPE(D87:J87,$D$3:$J$3),"N/M")</f>
        <v>0.676930115914021</v>
      </c>
    </row>
    <row r="88" customFormat="false" ht="15" hidden="false" customHeight="false" outlineLevel="0" collapsed="false">
      <c r="A88" s="18" t="s">
        <v>526</v>
      </c>
      <c r="B88" s="19" t="s">
        <v>527</v>
      </c>
      <c r="D88" s="47" t="n">
        <f aca="false">IFERROR(IF(D61&lt;=0,"N/M",(D28+D29)/D61),"N/M")</f>
        <v>4.62729306487696</v>
      </c>
      <c r="E88" s="47" t="str">
        <f aca="false">IFERROR(IF(E61&lt;=0,"N/M",(E28+E29)/E61),"N/M")</f>
        <v>N/M</v>
      </c>
      <c r="F88" s="47" t="str">
        <f aca="false">IFERROR(IF(F61&lt;=0,"N/M",(F28+F29)/F61),"N/M")</f>
        <v>N/M</v>
      </c>
      <c r="G88" s="47" t="n">
        <f aca="false">IFERROR(IF(G61&lt;=0,"N/M",(G28+G29)/G61),"N/M")</f>
        <v>13.8170777279522</v>
      </c>
      <c r="H88" s="47" t="n">
        <f aca="false">IFERROR(IF(H61&lt;=0,"N/M",(H28+H29)/H61),"N/M")</f>
        <v>25.724930362117</v>
      </c>
      <c r="I88" s="47" t="str">
        <f aca="false">IFERROR(IF(I61&lt;=0,"N/M",(I28+I29)/I61),"N/M")</f>
        <v>N/M</v>
      </c>
      <c r="J88" s="47" t="n">
        <f aca="false">IFERROR(IF(J61&lt;=0,"N/M",(J28+J29)/J61),"N/M")</f>
        <v>5.90631426612842</v>
      </c>
      <c r="K88" s="22" t="n">
        <f aca="false">IFERROR(AVERAGE(D88:J88),"N/M")</f>
        <v>12.5189038552686</v>
      </c>
      <c r="L88" s="82" t="n">
        <f aca="false">IFERROR(J88-D88,"N/M")</f>
        <v>1.27902120125146</v>
      </c>
      <c r="M88" s="83" t="n">
        <f aca="false">IFERROR(SLOPE(D88:J88,$D$3:$J$3),"N/M")</f>
        <v>0.908964805898813</v>
      </c>
    </row>
    <row r="89" customFormat="false" ht="15" hidden="false" customHeight="false" outlineLevel="0" collapsed="false">
      <c r="A89" s="18" t="s">
        <v>528</v>
      </c>
      <c r="B89" s="19" t="s">
        <v>529</v>
      </c>
      <c r="D89" s="47" t="n">
        <f aca="false">IFERROR(IF(D35&lt;=0,"N/M",D28/D35),"N/M")</f>
        <v>0.462333841716842</v>
      </c>
      <c r="E89" s="47" t="n">
        <f aca="false">IFERROR(IF(E35&lt;=0,"N/M",E28/E35),"N/M")</f>
        <v>0.730361743671508</v>
      </c>
      <c r="F89" s="47" t="n">
        <f aca="false">IFERROR(IF(F35&lt;=0,"N/M",F28/F35),"N/M")</f>
        <v>1.12820168883098</v>
      </c>
      <c r="G89" s="47" t="n">
        <f aca="false">IFERROR(IF(G35&lt;=0,"N/M",G28/G35),"N/M")</f>
        <v>0.609664443071336</v>
      </c>
      <c r="H89" s="47" t="n">
        <f aca="false">IFERROR(IF(H35&lt;=0,"N/M",H28/H35),"N/M")</f>
        <v>0.660877608984548</v>
      </c>
      <c r="I89" s="47" t="n">
        <f aca="false">IFERROR(IF(I35&lt;=0,"N/M",I28/I35),"N/M")</f>
        <v>0.707641079973455</v>
      </c>
      <c r="J89" s="47" t="n">
        <f aca="false">IFERROR(IF(J35&lt;=0,"N/M",J28/J35),"N/M")</f>
        <v>0.534944250217816</v>
      </c>
      <c r="K89" s="22" t="n">
        <f aca="false">IFERROR(AVERAGE(D89:J89),"N/M")</f>
        <v>0.690574950923783</v>
      </c>
      <c r="L89" s="82" t="n">
        <f aca="false">IFERROR(J89-D89,"N/M")</f>
        <v>0.0726104085009732</v>
      </c>
      <c r="M89" s="83" t="n">
        <f aca="false">IFERROR(SLOPE(D89:J89,$D$3:$J$3),"N/M")</f>
        <v>-0.0105333636335577</v>
      </c>
    </row>
    <row r="90" customFormat="false" ht="15" hidden="false" customHeight="false" outlineLevel="0" collapsed="false">
      <c r="A90" s="18" t="s">
        <v>530</v>
      </c>
      <c r="B90" s="19" t="s">
        <v>531</v>
      </c>
      <c r="D90" s="47" t="n">
        <f aca="false">IFERROR(IF(D62&lt;=0,"N/M",D28/D62),"N/M")</f>
        <v>0.722352409723595</v>
      </c>
      <c r="E90" s="47" t="n">
        <f aca="false">IFERROR(IF(E62&lt;=0,"N/M",E28/E62),"N/M")</f>
        <v>2.11981489554341</v>
      </c>
      <c r="F90" s="47" t="n">
        <f aca="false">IFERROR(IF(F62&lt;=0,"N/M",F28/F62),"N/M")</f>
        <v>2.11430452477855</v>
      </c>
      <c r="G90" s="47" t="n">
        <f aca="false">IFERROR(IF(G62&lt;=0,"N/M",G28/G62),"N/M")</f>
        <v>0.900333339540774</v>
      </c>
      <c r="H90" s="47" t="n">
        <f aca="false">IFERROR(IF(H62&lt;=0,"N/M",H28/H62),"N/M")</f>
        <v>0.946414911282348</v>
      </c>
      <c r="I90" s="47" t="n">
        <f aca="false">IFERROR(IF(I62&lt;=0,"N/M",I28/I62),"N/M")</f>
        <v>1.00791005422616</v>
      </c>
      <c r="J90" s="47" t="n">
        <f aca="false">IFERROR(IF(J62&lt;=0,"N/M",J28/J62),"N/M")</f>
        <v>0.78698445663108</v>
      </c>
      <c r="K90" s="22" t="n">
        <f aca="false">IFERROR(AVERAGE(D90:J90),"N/M")</f>
        <v>1.22830208453227</v>
      </c>
      <c r="L90" s="82" t="n">
        <f aca="false">IFERROR(J90-D90,"N/M")</f>
        <v>0.0646320469074855</v>
      </c>
      <c r="M90" s="83" t="n">
        <f aca="false">IFERROR(SLOPE(D90:J90,$D$3:$J$3),"N/M")</f>
        <v>-0.114207255550295</v>
      </c>
    </row>
    <row r="91" customFormat="false" ht="15" hidden="false" customHeight="false" outlineLevel="0" collapsed="false">
      <c r="A91" s="18" t="s">
        <v>125</v>
      </c>
      <c r="B91" s="19" t="s">
        <v>532</v>
      </c>
      <c r="D91" s="46" t="n">
        <f aca="false">IFERROR(IF(D35=0,"N/M",D61/D35),"N/M")</f>
        <v>0.177705335135565</v>
      </c>
      <c r="E91" s="46" t="n">
        <f aca="false">IFERROR(IF(E35=0,"N/M",E61/E35),"N/M")</f>
        <v>-0.385821404226312</v>
      </c>
      <c r="F91" s="46" t="n">
        <f aca="false">IFERROR(IF(F35=0,"N/M",F61/F35),"N/M")</f>
        <v>-0.594597529350145</v>
      </c>
      <c r="G91" s="46" t="n">
        <f aca="false">IFERROR(IF(G35=0,"N/M",G61/G35),"N/M")</f>
        <v>0.067489691176656</v>
      </c>
      <c r="H91" s="46" t="n">
        <f aca="false">IFERROR(IF(H35=0,"N/M",H61/H35),"N/M")</f>
        <v>0.0374182453031764</v>
      </c>
      <c r="I91" s="46" t="n">
        <f aca="false">IFERROR(IF(I35=0,"N/M",I61/I35),"N/M")</f>
        <v>-0.00555355043019641</v>
      </c>
      <c r="J91" s="46" t="n">
        <f aca="false">IFERROR(IF(J35=0,"N/M",J61/J35),"N/M")</f>
        <v>0.144795032699922</v>
      </c>
      <c r="K91" s="25" t="n">
        <f aca="false">IFERROR(AVERAGE(D91:J91),"N/M")</f>
        <v>-0.0797948828130478</v>
      </c>
      <c r="L91" s="86" t="n">
        <f aca="false">IFERROR(J91-D91,"N/M")</f>
        <v>-0.0329103024356432</v>
      </c>
      <c r="M91" s="87" t="n">
        <f aca="false">IFERROR(SLOPE(D91:J91,$D$3:$J$3),"N/M")</f>
        <v>0.0462078776763794</v>
      </c>
    </row>
    <row r="92" customFormat="false" ht="15" hidden="false" customHeight="false" outlineLevel="0" collapsed="false">
      <c r="A92" s="18" t="s">
        <v>533</v>
      </c>
      <c r="B92" s="19" t="s">
        <v>534</v>
      </c>
      <c r="D92" s="47" t="n">
        <f aca="false">IFERROR(IF(D61&lt;=0,"N/M",D28/D61),"N/M")</f>
        <v>2.60168802115111</v>
      </c>
      <c r="E92" s="47" t="str">
        <f aca="false">IFERROR(IF(E61&lt;=0,"N/M",E28/E61),"N/M")</f>
        <v>N/M</v>
      </c>
      <c r="F92" s="47" t="str">
        <f aca="false">IFERROR(IF(F61&lt;=0,"N/M",F28/F61),"N/M")</f>
        <v>N/M</v>
      </c>
      <c r="G92" s="47" t="n">
        <f aca="false">IFERROR(IF(G61&lt;=0,"N/M",G28/G61),"N/M")</f>
        <v>9.03344544095665</v>
      </c>
      <c r="H92" s="47" t="n">
        <f aca="false">IFERROR(IF(H61&lt;=0,"N/M",H28/H61),"N/M")</f>
        <v>17.6619080779944</v>
      </c>
      <c r="I92" s="47" t="str">
        <f aca="false">IFERROR(IF(I61&lt;=0,"N/M",I28/I61),"N/M")</f>
        <v>N/M</v>
      </c>
      <c r="J92" s="47" t="n">
        <f aca="false">IFERROR(IF(J61&lt;=0,"N/M",J28/J61),"N/M")</f>
        <v>3.69449310686267</v>
      </c>
      <c r="K92" s="22" t="n">
        <f aca="false">IFERROR(AVERAGE(D92:J92),"N/M")</f>
        <v>8.24788366174122</v>
      </c>
      <c r="L92" s="82" t="n">
        <f aca="false">IFERROR(J92-D92,"N/M")</f>
        <v>1.09280508571156</v>
      </c>
      <c r="M92" s="83" t="n">
        <f aca="false">IFERROR(SLOPE(D92:J92,$D$3:$J$3),"N/M")</f>
        <v>0.676930115914021</v>
      </c>
    </row>
    <row r="93" customFormat="false" ht="15" hidden="false" customHeight="false" outlineLevel="0" collapsed="false">
      <c r="A93" s="18" t="s">
        <v>126</v>
      </c>
      <c r="B93" s="19" t="s">
        <v>535</v>
      </c>
      <c r="D93" s="47" t="n">
        <f aca="false">IFERROR(IF(D59&lt;=0,"N/M",D28/D59),"N/M")</f>
        <v>196.203987730061</v>
      </c>
      <c r="E93" s="47" t="str">
        <f aca="false">IFERROR(IF(E59&lt;=0,"N/M",E28/E59),"N/M")</f>
        <v>N/M</v>
      </c>
      <c r="F93" s="47" t="str">
        <f aca="false">IFERROR(IF(F59&lt;=0,"N/M",F28/F59),"N/M")</f>
        <v>N/M</v>
      </c>
      <c r="G93" s="47" t="str">
        <f aca="false">IFERROR(IF(G59&lt;=0,"N/M",G28/G59),"N/M")</f>
        <v>N/M</v>
      </c>
      <c r="H93" s="47" t="n">
        <f aca="false">IFERROR(IF(H59&lt;=0,"N/M",H28/H59),"N/M")</f>
        <v>7.95935979915268</v>
      </c>
      <c r="I93" s="47" t="n">
        <f aca="false">IFERROR(IF(I59&lt;=0,"N/M",I28/I59),"N/M")</f>
        <v>12.0931157978512</v>
      </c>
      <c r="J93" s="47" t="n">
        <f aca="false">IFERROR(IF(J59&lt;=0,"N/M",J28/J59),"N/M")</f>
        <v>2.83987119437939</v>
      </c>
      <c r="K93" s="22" t="n">
        <f aca="false">IFERROR(AVERAGE(D93:J93),"N/M")</f>
        <v>54.7740836303612</v>
      </c>
      <c r="L93" s="82" t="n">
        <f aca="false">IFERROR(J93-D93,"N/M")</f>
        <v>-193.364116535682</v>
      </c>
      <c r="M93" s="83" t="n">
        <f aca="false">IFERROR(SLOPE(D93:J93,$D$3:$J$3),"N/M")</f>
        <v>-34.3262173061819</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-1.41665151790584</v>
      </c>
      <c r="E96" s="47" t="n">
        <f aca="false">IFERROR(IF(E19&lt;=0,"N/M",E58/E19),"N/M")</f>
        <v>-7.38206767727567</v>
      </c>
      <c r="F96" s="47" t="n">
        <f aca="false">IFERROR(IF(F19&lt;=0,"N/M",F58/F19),"N/M")</f>
        <v>-10.8144329896907</v>
      </c>
      <c r="G96" s="47" t="n">
        <f aca="false">IFERROR(IF(G19&lt;=0,"N/M",G58/G19),"N/M")</f>
        <v>-41.7227671657202</v>
      </c>
      <c r="H96" s="47" t="n">
        <f aca="false">IFERROR(IF(H19&lt;=0,"N/M",H58/H19),"N/M")</f>
        <v>0.393312914752425</v>
      </c>
      <c r="I96" s="47" t="n">
        <f aca="false">IFERROR(IF(I19&lt;=0,"N/M",I58/I19),"N/M")</f>
        <v>0.28971098265896</v>
      </c>
      <c r="J96" s="47" t="n">
        <f aca="false">IFERROR(IF(J19&lt;=0,"N/M",J58/J19),"N/M")</f>
        <v>1.79269647320189</v>
      </c>
      <c r="K96" s="22" t="n">
        <f aca="false">IFERROR(AVERAGE(D96:J96),"N/M")</f>
        <v>-8.40859985428273</v>
      </c>
      <c r="L96" s="82" t="n">
        <f aca="false">IFERROR(J96-D96,"N/M")</f>
        <v>3.20934799110772</v>
      </c>
      <c r="M96" s="83" t="n">
        <f aca="false">IFERROR(SLOPE(D96:J96,$D$3:$J$3),"N/M")</f>
        <v>1.2921195427727</v>
      </c>
    </row>
    <row r="97" customFormat="false" ht="15" hidden="false" customHeight="false" outlineLevel="0" collapsed="false">
      <c r="A97" s="18" t="s">
        <v>538</v>
      </c>
      <c r="B97" s="19" t="s">
        <v>539</v>
      </c>
      <c r="D97" s="47" t="n">
        <f aca="false">IFERROR(IF(D19&lt;=0,"N/M",D59/D19),"N/M")</f>
        <v>0.118523904744592</v>
      </c>
      <c r="E97" s="47" t="n">
        <f aca="false">IFERROR(IF(E19&lt;=0,"N/M",E59/E19),"N/M")</f>
        <v>-6.81629427401394</v>
      </c>
      <c r="F97" s="47" t="n">
        <f aca="false">IFERROR(IF(F19&lt;=0,"N/M",F59/F19),"N/M")</f>
        <v>-7.47938144329897</v>
      </c>
      <c r="G97" s="47" t="n">
        <f aca="false">IFERROR(IF(G19&lt;=0,"N/M",G59/G19),"N/M")</f>
        <v>-38.84873515746</v>
      </c>
      <c r="H97" s="47" t="n">
        <f aca="false">IFERROR(IF(H19&lt;=0,"N/M",H59/H19),"N/M")</f>
        <v>1.62659520163349</v>
      </c>
      <c r="I97" s="47" t="n">
        <f aca="false">IFERROR(IF(I19&lt;=0,"N/M",I59/I19),"N/M")</f>
        <v>1.16208092485549</v>
      </c>
      <c r="J97" s="47" t="n">
        <f aca="false">IFERROR(IF(J19&lt;=0,"N/M",J59/J19),"N/M")</f>
        <v>2.37156345459595</v>
      </c>
      <c r="K97" s="22" t="n">
        <f aca="false">IFERROR(AVERAGE(D97:J97),"N/M")</f>
        <v>-6.83794962699191</v>
      </c>
      <c r="L97" s="82" t="n">
        <f aca="false">IFERROR(J97-D97,"N/M")</f>
        <v>2.25303954985135</v>
      </c>
      <c r="M97" s="83" t="n">
        <f aca="false">IFERROR(SLOPE(D97:J97,$D$3:$J$3),"N/M")</f>
        <v>1.13649448900805</v>
      </c>
    </row>
    <row r="98" customFormat="false" ht="15" hidden="false" customHeight="false" outlineLevel="0" collapsed="false">
      <c r="A98" s="18" t="s">
        <v>540</v>
      </c>
      <c r="B98" s="19" t="s">
        <v>541</v>
      </c>
      <c r="D98" s="47" t="str">
        <f aca="false">IFERROR(IF(D23&lt;=0,"N/M",D22/D23),"N/M")</f>
        <v>N/M</v>
      </c>
      <c r="E98" s="47" t="str">
        <f aca="false">IFERROR(IF(E23&lt;=0,"N/M",E22/E23),"N/M")</f>
        <v>N/M</v>
      </c>
      <c r="F98" s="47" t="str">
        <f aca="false">IFERROR(IF(F23&lt;=0,"N/M",F22/F23),"N/M")</f>
        <v>N/M</v>
      </c>
      <c r="G98" s="47" t="str">
        <f aca="false">IFERROR(IF(G23&lt;=0,"N/M",G22/G23),"N/M")</f>
        <v>N/M</v>
      </c>
      <c r="H98" s="47" t="str">
        <f aca="false">IFERROR(IF(H23&lt;=0,"N/M",H22/H23),"N/M")</f>
        <v>N/M</v>
      </c>
      <c r="I98" s="47" t="str">
        <f aca="false">IFERROR(IF(I23&lt;=0,"N/M",I22/I23),"N/M")</f>
        <v>N/M</v>
      </c>
      <c r="J98" s="47" t="str">
        <f aca="false">IFERROR(IF(J23&lt;=0,"N/M",J22/J23),"N/M")</f>
        <v>N/M</v>
      </c>
      <c r="K98" s="22" t="str">
        <f aca="false">IFERROR(AVERAGE(D98:J98),"N/M")</f>
        <v>N/M</v>
      </c>
      <c r="L98" s="82" t="str">
        <f aca="false">IFERROR(J98-D98,"N/M")</f>
        <v>N/M</v>
      </c>
      <c r="M98" s="83" t="str">
        <f aca="false">IFERROR(SLOPE(D98:J98,$D$3:$J$3),"N/M")</f>
        <v>N/M</v>
      </c>
    </row>
    <row r="99" customFormat="false" ht="15" hidden="false" customHeight="false" outlineLevel="0" collapsed="false">
      <c r="A99" s="18" t="s">
        <v>542</v>
      </c>
      <c r="B99" s="19" t="s">
        <v>543</v>
      </c>
      <c r="D99" s="47" t="n">
        <f aca="false">IFERROR(IF((D19+IF((1-D60)&lt;=0,"N/M",D68/(1-D60)))&lt;=0,"N/M",D59/(D19+IF((1-D60)&lt;=0,"N/M",D68/(1-D60)))),"N/M")</f>
        <v>0.03441178022906</v>
      </c>
      <c r="E99" s="47" t="n">
        <f aca="false">IFERROR(IF((E19+IF((1-E60)&lt;=0,"N/M",E68/(1-E60)))&lt;=0,"N/M",E59/(E19+IF((1-E60)&lt;=0,"N/M",E68/(1-E60)))),"N/M")</f>
        <v>-6.15518359932529</v>
      </c>
      <c r="F99" s="47" t="n">
        <f aca="false">IFERROR(IF((F19+IF((1-F60)&lt;=0,"N/M",F68/(1-F60)))&lt;=0,"N/M",F59/(F19+IF((1-F60)&lt;=0,"N/M",F68/(1-F60)))),"N/M")</f>
        <v>-7.47938144329897</v>
      </c>
      <c r="G99" s="47" t="n">
        <f aca="false">IFERROR(IF((G19+IF((1-G60)&lt;=0,"N/M",G68/(1-G60)))&lt;=0,"N/M",G59/(G19+IF((1-G60)&lt;=0,"N/M",G68/(1-G60)))),"N/M")</f>
        <v>-0.577872660671638</v>
      </c>
      <c r="H99" s="47" t="n">
        <f aca="false">IFERROR(IF((H19+IF((1-H60)&lt;=0,"N/M",H68/(1-H60)))&lt;=0,"N/M",H59/(H19+IF((1-H60)&lt;=0,"N/M",H68/(1-H60)))),"N/M")</f>
        <v>1.62659520163349</v>
      </c>
      <c r="I99" s="47" t="n">
        <f aca="false">IFERROR(IF((I19+IF((1-I60)&lt;=0,"N/M",I68/(1-I60)))&lt;=0,"N/M",I59/(I19+IF((1-I60)&lt;=0,"N/M",I68/(1-I60)))),"N/M")</f>
        <v>1.16208092485549</v>
      </c>
      <c r="J99" s="47" t="n">
        <f aca="false">IFERROR(IF((J19+IF((1-J60)&lt;=0,"N/M",J68/(1-J60)))&lt;=0,"N/M",J59/(J19+IF((1-J60)&lt;=0,"N/M",J68/(1-J60)))),"N/M")</f>
        <v>0.796007645098703</v>
      </c>
      <c r="K99" s="22" t="n">
        <f aca="false">IFERROR(AVERAGE(D99:J99),"N/M")</f>
        <v>-1.51333459306845</v>
      </c>
      <c r="L99" s="82" t="n">
        <f aca="false">IFERROR(J99-D99,"N/M")</f>
        <v>0.761595864869643</v>
      </c>
      <c r="M99" s="83" t="n">
        <f aca="false">IFERROR(SLOPE(D99:J99,$D$3:$J$3),"N/M")</f>
        <v>0.929474760282248</v>
      </c>
    </row>
    <row r="100" customFormat="false" ht="15" hidden="false" customHeight="false" outlineLevel="0" collapsed="false">
      <c r="A100" s="18" t="s">
        <v>544</v>
      </c>
      <c r="B100" s="19" t="s">
        <v>545</v>
      </c>
      <c r="D100" s="47" t="n">
        <f aca="false">IFERROR(IF((D19+IF((1-D60)&lt;=0,"N/M",D68/(1-D60)))&lt;=0,"N/M",(D41+D21)/(D19+IF((1-D60)&lt;=0,"N/M",D68/(1-D60)))),"N/M")</f>
        <v>1.41890536760437</v>
      </c>
      <c r="E100" s="47" t="n">
        <f aca="false">IFERROR(IF((E19+IF((1-E60)&lt;=0,"N/M",E68/(1-E60)))&lt;=0,"N/M",(E41+E21)/(E19+IF((1-E60)&lt;=0,"N/M",E68/(1-E60)))),"N/M")</f>
        <v>1.04152069547165</v>
      </c>
      <c r="F100" s="47" t="n">
        <f aca="false">IFERROR(IF((F19+IF((1-F60)&lt;=0,"N/M",F68/(1-F60)))&lt;=0,"N/M",(F41+F21)/(F19+IF((1-F60)&lt;=0,"N/M",F68/(1-F60)))),"N/M")</f>
        <v>3.40815370196814</v>
      </c>
      <c r="G100" s="47" t="n">
        <f aca="false">IFERROR(IF((G19+IF((1-G60)&lt;=0,"N/M",G68/(1-G60)))&lt;=0,"N/M",(G41+G21)/(G19+IF((1-G60)&lt;=0,"N/M",G68/(1-G60)))),"N/M")</f>
        <v>0.00997550280681007</v>
      </c>
      <c r="H100" s="47" t="n">
        <f aca="false">IFERROR(IF((H19+IF((1-H60)&lt;=0,"N/M",H68/(1-H60)))&lt;=0,"N/M",(H41+H21)/(H19+IF((1-H60)&lt;=0,"N/M",H68/(1-H60)))),"N/M")</f>
        <v>0.31955079122001</v>
      </c>
      <c r="I100" s="47" t="n">
        <f aca="false">IFERROR(IF((I19+IF((1-I60)&lt;=0,"N/M",I68/(1-I60)))&lt;=0,"N/M",(I41+I21)/(I19+IF((1-I60)&lt;=0,"N/M",I68/(1-I60)))),"N/M")</f>
        <v>0.353294797687861</v>
      </c>
      <c r="J100" s="47" t="n">
        <f aca="false">IFERROR(IF((J19+IF((1-J60)&lt;=0,"N/M",J68/(1-J60)))&lt;=0,"N/M",(J41+J21)/(J19+IF((1-J60)&lt;=0,"N/M",J68/(1-J60)))),"N/M")</f>
        <v>0.280746490285397</v>
      </c>
      <c r="K100" s="22" t="n">
        <f aca="false">IFERROR(AVERAGE(D100:J100),"N/M")</f>
        <v>0.976021049577748</v>
      </c>
      <c r="L100" s="82" t="n">
        <f aca="false">IFERROR(J100-D100,"N/M")</f>
        <v>-1.13815887731897</v>
      </c>
      <c r="M100" s="83" t="n">
        <f aca="false">IFERROR(SLOPE(D100:J100,$D$3:$J$3),"N/M")</f>
        <v>-0.281411833509736</v>
      </c>
    </row>
    <row r="101" customFormat="false" ht="15" hidden="false" customHeight="false" outlineLevel="0" collapsed="false">
      <c r="A101" s="18" t="s">
        <v>546</v>
      </c>
      <c r="B101" s="19" t="s">
        <v>547</v>
      </c>
      <c r="D101" s="47" t="n">
        <f aca="false">IFERROR(IF(D67&lt;=0,"N/M",D41/D67),"N/M")</f>
        <v>0.782249217349423</v>
      </c>
      <c r="E101" s="47" t="str">
        <f aca="false">IFERROR(IF(E67&lt;=0,"N/M",E41/E67),"N/M")</f>
        <v>N/M</v>
      </c>
      <c r="F101" s="47" t="n">
        <f aca="false">IFERROR(IF(F67&lt;=0,"N/M",F41/F67),"N/M")</f>
        <v>6.9865563598759</v>
      </c>
      <c r="G101" s="47" t="str">
        <f aca="false">IFERROR(IF(G67&lt;=0,"N/M",G41/G67),"N/M")</f>
        <v>N/M</v>
      </c>
      <c r="H101" s="47" t="n">
        <f aca="false">IFERROR(IF(H67&lt;=0,"N/M",H41/H67),"N/M")</f>
        <v>0.765325670498084</v>
      </c>
      <c r="I101" s="47" t="n">
        <f aca="false">IFERROR(IF(I67&lt;=0,"N/M",I41/I67),"N/M")</f>
        <v>0.160916767189385</v>
      </c>
      <c r="J101" s="47" t="str">
        <f aca="false">IFERROR(IF(J67&lt;=0,"N/M",J41/J67),"N/M")</f>
        <v>N/M</v>
      </c>
      <c r="K101" s="22" t="n">
        <f aca="false">IFERROR(AVERAGE(D101:J101),"N/M")</f>
        <v>2.1737620037282</v>
      </c>
      <c r="L101" s="82" t="str">
        <f aca="false">IFERROR(J101-D101,"N/M")</f>
        <v>N/M</v>
      </c>
      <c r="M101" s="83" t="n">
        <f aca="false">IFERROR(SLOPE(D101:J101,$D$3:$J$3),"N/M")</f>
        <v>-0.411686969716551</v>
      </c>
    </row>
    <row r="102" customFormat="false" ht="15" hidden="false" customHeight="false" outlineLevel="0" collapsed="false">
      <c r="A102" s="18" t="s">
        <v>129</v>
      </c>
      <c r="B102" s="19" t="s">
        <v>548</v>
      </c>
      <c r="D102" s="47" t="n">
        <f aca="false">IFERROR(IF((D19+D68)&lt;=0,"N/M",((D22+D19)+D18)/(D19+D68)),"N/M")</f>
        <v>0.171108882672719</v>
      </c>
      <c r="E102" s="47" t="n">
        <f aca="false">IFERROR(IF((E19+E68)&lt;=0,"N/M",((E22+E19)+E18)/(E19+E68)),"N/M")</f>
        <v>-6.10899182561308</v>
      </c>
      <c r="F102" s="47" t="n">
        <f aca="false">IFERROR(IF((F19+F68)&lt;=0,"N/M",((F22+F19)+F18)/(F19+F68)),"N/M")</f>
        <v>-7.86832239925024</v>
      </c>
      <c r="G102" s="47" t="n">
        <f aca="false">IFERROR(IF((G19+G68)&lt;=0,"N/M",((G22+G19)+G18)/(G19+G68)),"N/M")</f>
        <v>-0.582787458051437</v>
      </c>
      <c r="H102" s="47" t="n">
        <f aca="false">IFERROR(IF((H19+H68)&lt;=0,"N/M",((H22+H19)+H18)/(H19+H68)),"N/M")</f>
        <v>1.51123021949975</v>
      </c>
      <c r="I102" s="47" t="n">
        <f aca="false">IFERROR(IF((I19+I68)&lt;=0,"N/M",((I22+I19)+I18)/(I19+I68)),"N/M")</f>
        <v>1.27514450867052</v>
      </c>
      <c r="J102" s="47" t="n">
        <f aca="false">IFERROR(IF((J19+J68)&lt;=0,"N/M",((J22+J19)+J18)/(J19+J68)),"N/M")</f>
        <v>0.836833187862608</v>
      </c>
      <c r="K102" s="22" t="n">
        <f aca="false">IFERROR(AVERAGE(D102:J102),"N/M")</f>
        <v>-1.53796926917274</v>
      </c>
      <c r="L102" s="82" t="n">
        <f aca="false">IFERROR(J102-D102,"N/M")</f>
        <v>0.665724305189889</v>
      </c>
      <c r="M102" s="83" t="n">
        <f aca="false">IFERROR(SLOPE(D102:J102,$D$3:$J$3),"N/M")</f>
        <v>0.933749935817387</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n">
        <f aca="false">IFERROR(IF(((D37+C37)/2)&lt;=0,"N/M",D52/((D37+C37)/2)),"N/M")</f>
        <v>54.185593770279</v>
      </c>
      <c r="E105" s="47" t="n">
        <f aca="false">IFERROR(IF(((E37+D37)/2)&lt;=0,"N/M",E52/((E37+D37)/2)),"N/M")</f>
        <v>24.5679642629228</v>
      </c>
      <c r="F105" s="47" t="n">
        <f aca="false">IFERROR(IF(((F37+E37)/2)&lt;=0,"N/M",F52/((F37+E37)/2)),"N/M")</f>
        <v>25.3851185609158</v>
      </c>
      <c r="G105" s="47" t="n">
        <f aca="false">IFERROR(IF(((G37+F37)/2)&lt;=0,"N/M",G52/((G37+F37)/2)),"N/M")</f>
        <v>57.1296625222025</v>
      </c>
      <c r="H105" s="47" t="n">
        <f aca="false">IFERROR(IF(((H37+G37)/2)&lt;=0,"N/M",H52/((H37+G37)/2)),"N/M")</f>
        <v>84.8930481283422</v>
      </c>
      <c r="I105" s="47" t="n">
        <f aca="false">IFERROR(IF(((I37+H37)/2)&lt;=0,"N/M",I52/((I37+H37)/2)),"N/M")</f>
        <v>83.3208556149733</v>
      </c>
      <c r="J105" s="47" t="n">
        <f aca="false">IFERROR(IF(((J37+I37)/2)&lt;=0,"N/M",J52/((J37+I37)/2)),"N/M")</f>
        <v>268.701570680628</v>
      </c>
      <c r="K105" s="22" t="n">
        <f aca="false">IFERROR(AVERAGE(D105:J105),"N/M")</f>
        <v>85.454830505752</v>
      </c>
      <c r="L105" s="82" t="n">
        <f aca="false">IFERROR(J105-D105,"N/M")</f>
        <v>214.515976910349</v>
      </c>
      <c r="M105" s="83" t="n">
        <f aca="false">IFERROR(SLOPE(D105:J105,$D$3:$J$3),"N/M")</f>
        <v>29.3057729643777</v>
      </c>
    </row>
    <row r="106" customFormat="false" ht="15" hidden="false" customHeight="false" outlineLevel="0" collapsed="false">
      <c r="A106" s="18" t="s">
        <v>552</v>
      </c>
      <c r="B106" s="19" t="s">
        <v>553</v>
      </c>
      <c r="D106" s="48" t="n">
        <f aca="false">IFERROR(IF(D105&lt;=0,"N/M",365/D105),"N/M")</f>
        <v>6.73610778443114</v>
      </c>
      <c r="E106" s="48" t="n">
        <f aca="false">IFERROR(IF(E105&lt;=0,"N/M",365/E105),"N/M")</f>
        <v>14.8567458049769</v>
      </c>
      <c r="F106" s="48" t="n">
        <f aca="false">IFERROR(IF(F105&lt;=0,"N/M",365/F105),"N/M")</f>
        <v>14.3785028667139</v>
      </c>
      <c r="G106" s="48" t="n">
        <f aca="false">IFERROR(IF(G105&lt;=0,"N/M",365/G105),"N/M")</f>
        <v>6.38897525183435</v>
      </c>
      <c r="H106" s="48" t="n">
        <f aca="false">IFERROR(IF(H105&lt;=0,"N/M",365/H105),"N/M")</f>
        <v>4.29952755905512</v>
      </c>
      <c r="I106" s="48" t="n">
        <f aca="false">IFERROR(IF(I105&lt;=0,"N/M",365/I105),"N/M")</f>
        <v>4.38065592709069</v>
      </c>
      <c r="J106" s="48" t="n">
        <f aca="false">IFERROR(IF(J105&lt;=0,"N/M",365/J105),"N/M")</f>
        <v>1.3583843186158</v>
      </c>
      <c r="K106" s="28" t="n">
        <f aca="false">IFERROR(AVERAGE(D106:J106),"N/M")</f>
        <v>7.48555707324541</v>
      </c>
      <c r="L106" s="84" t="n">
        <f aca="false">IFERROR(J106-D106,"N/M")</f>
        <v>-5.37772346581534</v>
      </c>
      <c r="M106" s="85" t="n">
        <f aca="false">IFERROR(SLOPE(D106:J106,$D$3:$J$3),"N/M")</f>
        <v>-1.68444019503133</v>
      </c>
    </row>
    <row r="107" customFormat="false" ht="15" hidden="false" customHeight="false" outlineLevel="0" collapsed="false">
      <c r="A107" s="18" t="s">
        <v>554</v>
      </c>
      <c r="B107" s="19" t="s">
        <v>555</v>
      </c>
      <c r="D107" s="47" t="n">
        <f aca="false">IFERROR(IF(((D36+C36)/2)&lt;=0,"N/M",D9/((D36+C36)/2)),"N/M")</f>
        <v>3.15612105618224</v>
      </c>
      <c r="E107" s="47" t="n">
        <f aca="false">IFERROR(IF(((E36+D36)/2)&lt;=0,"N/M",E9/((E36+D36)/2)),"N/M")</f>
        <v>2.22186438434729</v>
      </c>
      <c r="F107" s="47" t="n">
        <f aca="false">IFERROR(IF(((F36+E36)/2)&lt;=0,"N/M",F9/((F36+E36)/2)),"N/M")</f>
        <v>1.96790388086643</v>
      </c>
      <c r="G107" s="47" t="n">
        <f aca="false">IFERROR(IF(((G36+F36)/2)&lt;=0,"N/M",G9/((G36+F36)/2)),"N/M")</f>
        <v>3.9927702255486</v>
      </c>
      <c r="H107" s="47" t="n">
        <f aca="false">IFERROR(IF(((H36+G36)/2)&lt;=0,"N/M",H9/((H36+G36)/2)),"N/M")</f>
        <v>4.47913290113452</v>
      </c>
      <c r="I107" s="47" t="n">
        <f aca="false">IFERROR(IF(((I36+H36)/2)&lt;=0,"N/M",I9/((I36+H36)/2)),"N/M")</f>
        <v>3.81822876323264</v>
      </c>
      <c r="J107" s="47" t="n">
        <f aca="false">IFERROR(IF(((J36+I36)/2)&lt;=0,"N/M",J9/((J36+I36)/2)),"N/M")</f>
        <v>4.58924321751547</v>
      </c>
      <c r="K107" s="22" t="n">
        <f aca="false">IFERROR(AVERAGE(D107:J107),"N/M")</f>
        <v>3.46075206126103</v>
      </c>
      <c r="L107" s="82" t="n">
        <f aca="false">IFERROR(J107-D107,"N/M")</f>
        <v>1.43312216133323</v>
      </c>
      <c r="M107" s="83" t="n">
        <f aca="false">IFERROR(SLOPE(D107:J107,$D$3:$J$3),"N/M")</f>
        <v>0.357261580787088</v>
      </c>
    </row>
    <row r="108" customFormat="false" ht="15" hidden="false" customHeight="false" outlineLevel="0" collapsed="false">
      <c r="A108" s="18" t="s">
        <v>130</v>
      </c>
      <c r="B108" s="19" t="s">
        <v>556</v>
      </c>
      <c r="D108" s="48" t="n">
        <f aca="false">IFERROR(IF(D107&lt;=0,"N/M",365/D107),"N/M")</f>
        <v>115.648288992285</v>
      </c>
      <c r="E108" s="48" t="n">
        <f aca="false">IFERROR(IF(E107&lt;=0,"N/M",365/E107),"N/M")</f>
        <v>164.276452951572</v>
      </c>
      <c r="F108" s="48" t="n">
        <f aca="false">IFERROR(IF(F107&lt;=0,"N/M",365/F107),"N/M")</f>
        <v>185.476538538711</v>
      </c>
      <c r="G108" s="48" t="n">
        <f aca="false">IFERROR(IF(G107&lt;=0,"N/M",365/G107),"N/M")</f>
        <v>91.4152278697304</v>
      </c>
      <c r="H108" s="48" t="n">
        <f aca="false">IFERROR(IF(H107&lt;=0,"N/M",365/H107),"N/M")</f>
        <v>81.4889863856348</v>
      </c>
      <c r="I108" s="48" t="n">
        <f aca="false">IFERROR(IF(I107&lt;=0,"N/M",365/I107),"N/M")</f>
        <v>95.594062753584</v>
      </c>
      <c r="J108" s="48" t="n">
        <f aca="false">IFERROR(IF(J107&lt;=0,"N/M",365/J107),"N/M")</f>
        <v>79.5338104127774</v>
      </c>
      <c r="K108" s="28" t="n">
        <f aca="false">IFERROR(AVERAGE(D108:J108),"N/M")</f>
        <v>116.204766843471</v>
      </c>
      <c r="L108" s="84" t="n">
        <f aca="false">IFERROR(J108-D108,"N/M")</f>
        <v>-36.1144785795076</v>
      </c>
      <c r="M108" s="85" t="n">
        <f aca="false">IFERROR(SLOPE(D108:J108,$D$3:$J$3),"N/M")</f>
        <v>-12.4891345816991</v>
      </c>
    </row>
    <row r="109" customFormat="false" ht="15" hidden="false" customHeight="false" outlineLevel="0" collapsed="false">
      <c r="A109" s="18" t="s">
        <v>557</v>
      </c>
      <c r="B109" s="19" t="s">
        <v>558</v>
      </c>
      <c r="D109" s="47" t="n">
        <f aca="false">IFERROR(IF(((D29+C29)/2)&lt;=0,"N/M",D52/((D29+C29)/2)),"N/M")</f>
        <v>0.96604384797825</v>
      </c>
      <c r="E109" s="47" t="n">
        <f aca="false">IFERROR(IF(((E29+D29)/2)&lt;=0,"N/M",E52/((E29+D29)/2)),"N/M")</f>
        <v>0.36137668201424</v>
      </c>
      <c r="F109" s="47" t="n">
        <f aca="false">IFERROR(IF(((F29+E29)/2)&lt;=0,"N/M",F52/((F29+E29)/2)),"N/M")</f>
        <v>0.332965111914287</v>
      </c>
      <c r="G109" s="47" t="n">
        <f aca="false">IFERROR(IF(((G29+F29)/2)&lt;=0,"N/M",G52/((G29+F29)/2)),"N/M")</f>
        <v>0.652281484485906</v>
      </c>
      <c r="H109" s="47" t="n">
        <f aca="false">IFERROR(IF(((H29+G29)/2)&lt;=0,"N/M",H52/((H29+G29)/2)),"N/M")</f>
        <v>0.651161836789106</v>
      </c>
      <c r="I109" s="47" t="n">
        <f aca="false">IFERROR(IF(((I29+H29)/2)&lt;=0,"N/M",I52/((I29+H29)/2)),"N/M")</f>
        <v>0.639286080623654</v>
      </c>
      <c r="J109" s="47" t="n">
        <f aca="false">IFERROR(IF(((J29+I29)/2)&lt;=0,"N/M",J52/((J29+I29)/2)),"N/M")</f>
        <v>0.939498782653267</v>
      </c>
      <c r="K109" s="22" t="n">
        <f aca="false">IFERROR(AVERAGE(D109:J109),"N/M")</f>
        <v>0.648944832351244</v>
      </c>
      <c r="L109" s="82" t="n">
        <f aca="false">IFERROR(J109-D109,"N/M")</f>
        <v>-0.0265450653249829</v>
      </c>
      <c r="M109" s="83" t="n">
        <f aca="false">IFERROR(SLOPE(D109:J109,$D$3:$J$3),"N/M")</f>
        <v>0.0283707259328106</v>
      </c>
    </row>
    <row r="110" customFormat="false" ht="15" hidden="false" customHeight="false" outlineLevel="0" collapsed="false">
      <c r="A110" s="18" t="s">
        <v>559</v>
      </c>
      <c r="B110" s="19" t="s">
        <v>560</v>
      </c>
      <c r="D110" s="48" t="n">
        <f aca="false">IFERROR(IF(D109&lt;=0,"N/M",365/D109),"N/M")</f>
        <v>377.829640718563</v>
      </c>
      <c r="E110" s="48" t="n">
        <f aca="false">IFERROR(IF(E109&lt;=0,"N/M",365/E109),"N/M")</f>
        <v>1010.02642994441</v>
      </c>
      <c r="F110" s="48" t="n">
        <f aca="false">IFERROR(IF(F109&lt;=0,"N/M",365/F109),"N/M")</f>
        <v>1096.21094504928</v>
      </c>
      <c r="G110" s="48" t="n">
        <f aca="false">IFERROR(IF(G109&lt;=0,"N/M",365/G109),"N/M")</f>
        <v>559.574368859595</v>
      </c>
      <c r="H110" s="48" t="n">
        <f aca="false">IFERROR(IF(H109&lt;=0,"N/M",365/H109),"N/M")</f>
        <v>560.536535433071</v>
      </c>
      <c r="I110" s="48" t="n">
        <f aca="false">IFERROR(IF(I109&lt;=0,"N/M",365/I109),"N/M")</f>
        <v>570.949393492074</v>
      </c>
      <c r="J110" s="48" t="n">
        <f aca="false">IFERROR(IF(J109&lt;=0,"N/M",365/J109),"N/M")</f>
        <v>388.505027083902</v>
      </c>
      <c r="K110" s="28" t="n">
        <f aca="false">IFERROR(AVERAGE(D110:J110),"N/M")</f>
        <v>651.947477225843</v>
      </c>
      <c r="L110" s="84" t="n">
        <f aca="false">IFERROR(J110-D110,"N/M")</f>
        <v>10.6753863653388</v>
      </c>
      <c r="M110" s="85" t="n">
        <f aca="false">IFERROR(SLOPE(D110:J110,$D$3:$J$3),"N/M")</f>
        <v>-49.3500829794597</v>
      </c>
    </row>
    <row r="111" customFormat="false" ht="15" hidden="false" customHeight="false" outlineLevel="0" collapsed="false">
      <c r="A111" s="18" t="s">
        <v>561</v>
      </c>
      <c r="B111" s="19" t="s">
        <v>562</v>
      </c>
      <c r="D111" s="48" t="n">
        <f aca="false">IFERROR(((IF(ISNUMBER(D106),D106,0)+D108)-D110),"N/M")</f>
        <v>-255.445243941847</v>
      </c>
      <c r="E111" s="48" t="n">
        <f aca="false">IFERROR(((IF(ISNUMBER(E106),E106,0)+E108)-E110),"N/M")</f>
        <v>-830.893231187864</v>
      </c>
      <c r="F111" s="48" t="n">
        <f aca="false">IFERROR(((IF(ISNUMBER(F106),F106,0)+F108)-F110),"N/M")</f>
        <v>-896.355903643857</v>
      </c>
      <c r="G111" s="48" t="n">
        <f aca="false">IFERROR(((IF(ISNUMBER(G106),G106,0)+G108)-G110),"N/M")</f>
        <v>-461.77016573803</v>
      </c>
      <c r="H111" s="48" t="n">
        <f aca="false">IFERROR(((IF(ISNUMBER(H106),H106,0)+H108)-H110),"N/M")</f>
        <v>-474.748021488381</v>
      </c>
      <c r="I111" s="48" t="n">
        <f aca="false">IFERROR(((IF(ISNUMBER(I106),I106,0)+I108)-I110),"N/M")</f>
        <v>-470.974674811399</v>
      </c>
      <c r="J111" s="48" t="n">
        <f aca="false">IFERROR(((IF(ISNUMBER(J106),J106,0)+J108)-J110),"N/M")</f>
        <v>-307.612832352508</v>
      </c>
      <c r="K111" s="28" t="n">
        <f aca="false">IFERROR(AVERAGE(D111:J111),"N/M")</f>
        <v>-528.257153309127</v>
      </c>
      <c r="L111" s="84" t="n">
        <f aca="false">IFERROR(J111-D111,"N/M")</f>
        <v>-52.1675884106618</v>
      </c>
      <c r="M111" s="85" t="n">
        <f aca="false">IFERROR(SLOPE(D111:J111,$D$3:$J$3),"N/M")</f>
        <v>35.1765082027293</v>
      </c>
    </row>
    <row r="112" customFormat="false" ht="15" hidden="false" customHeight="false" outlineLevel="0" collapsed="false">
      <c r="A112" s="18" t="s">
        <v>132</v>
      </c>
      <c r="B112" s="19" t="s">
        <v>563</v>
      </c>
      <c r="D112" s="47" t="n">
        <f aca="false">IFERROR(IF(((D31+C31)/2)&lt;=0,"N/M",D9/((D31+C31)/2)),"N/M")</f>
        <v>1.08897213260291</v>
      </c>
      <c r="E112" s="47" t="n">
        <f aca="false">IFERROR(IF(((E31+D31)/2)&lt;=0,"N/M",E9/((E31+D31)/2)),"N/M")</f>
        <v>0.566051307988423</v>
      </c>
      <c r="F112" s="47" t="n">
        <f aca="false">IFERROR(IF(((F31+E31)/2)&lt;=0,"N/M",F9/((F31+E31)/2)),"N/M")</f>
        <v>0.435143781922955</v>
      </c>
      <c r="G112" s="47" t="n">
        <f aca="false">IFERROR(IF(((G31+F31)/2)&lt;=0,"N/M",G9/((G31+F31)/2)),"N/M")</f>
        <v>0.572690892095577</v>
      </c>
      <c r="H112" s="47" t="n">
        <f aca="false">IFERROR(IF(((H31+G31)/2)&lt;=0,"N/M",H9/((H31+G31)/2)),"N/M")</f>
        <v>0.380324090002064</v>
      </c>
      <c r="I112" s="47" t="n">
        <f aca="false">IFERROR(IF(((I31+H31)/2)&lt;=0,"N/M",I9/((I31+H31)/2)),"N/M")</f>
        <v>0.382699009696008</v>
      </c>
      <c r="J112" s="47" t="n">
        <f aca="false">IFERROR(IF(((J31+I31)/2)&lt;=0,"N/M",J9/((J31+I31)/2)),"N/M")</f>
        <v>0.666430515357035</v>
      </c>
      <c r="K112" s="22" t="n">
        <f aca="false">IFERROR(AVERAGE(D112:J112),"N/M")</f>
        <v>0.58461596138071</v>
      </c>
      <c r="L112" s="82" t="n">
        <f aca="false">IFERROR(J112-D112,"N/M")</f>
        <v>-0.422541617245871</v>
      </c>
      <c r="M112" s="83" t="n">
        <f aca="false">IFERROR(SLOPE(D112:J112,$D$3:$J$3),"N/M")</f>
        <v>-0.0603267550086905</v>
      </c>
    </row>
    <row r="113" customFormat="false" ht="15" hidden="false" customHeight="false" outlineLevel="0" collapsed="false">
      <c r="A113" s="18" t="s">
        <v>133</v>
      </c>
      <c r="B113" s="19" t="s">
        <v>564</v>
      </c>
      <c r="D113" s="47" t="n">
        <f aca="false">IFERROR(IF(((D35+C35)/2)&lt;=0,"N/M",D9/((D35+C35)/2)),"N/M")</f>
        <v>0.364709636247607</v>
      </c>
      <c r="E113" s="47" t="n">
        <f aca="false">IFERROR(IF(((E35+D35)/2)&lt;=0,"N/M",E9/((E35+D35)/2)),"N/M")</f>
        <v>0.223935082258782</v>
      </c>
      <c r="F113" s="47" t="n">
        <f aca="false">IFERROR(IF(((F35+E35)/2)&lt;=0,"N/M",F9/((F35+E35)/2)),"N/M")</f>
        <v>0.211651863715783</v>
      </c>
      <c r="G113" s="47" t="n">
        <f aca="false">IFERROR(IF(((G35+F35)/2)&lt;=0,"N/M",G9/((G35+F35)/2)),"N/M")</f>
        <v>0.332495261999754</v>
      </c>
      <c r="H113" s="47" t="n">
        <f aca="false">IFERROR(IF(((H35+G35)/2)&lt;=0,"N/M",H9/((H35+G35)/2)),"N/M")</f>
        <v>0.28334881932652</v>
      </c>
      <c r="I113" s="47" t="n">
        <f aca="false">IFERROR(IF(((I35+H35)/2)&lt;=0,"N/M",I9/((I35+H35)/2)),"N/M")</f>
        <v>0.272765839712257</v>
      </c>
      <c r="J113" s="47" t="n">
        <f aca="false">IFERROR(IF(((J35+I35)/2)&lt;=0,"N/M",J9/((J35+I35)/2)),"N/M")</f>
        <v>0.436872748691693</v>
      </c>
      <c r="K113" s="22" t="n">
        <f aca="false">IFERROR(AVERAGE(D113:J113),"N/M")</f>
        <v>0.303682750278914</v>
      </c>
      <c r="L113" s="82" t="n">
        <f aca="false">IFERROR(J113-D113,"N/M")</f>
        <v>0.0721631124440857</v>
      </c>
      <c r="M113" s="83" t="n">
        <f aca="false">IFERROR(SLOPE(D113:J113,$D$3:$J$3),"N/M")</f>
        <v>0.0137802788517837</v>
      </c>
    </row>
    <row r="114" customFormat="false" ht="15" hidden="false" customHeight="false" outlineLevel="0" collapsed="false">
      <c r="A114" s="18" t="s">
        <v>565</v>
      </c>
      <c r="B114" s="19" t="s">
        <v>566</v>
      </c>
      <c r="D114" s="47" t="n">
        <f aca="false">IFERROR(IF(((D62+C62)/2)&lt;=0,"N/M",D9/((D62+C62)/2)),"N/M")</f>
        <v>0.531187122736418</v>
      </c>
      <c r="E114" s="47" t="n">
        <f aca="false">IFERROR(IF(((E62+D62)/2)&lt;=0,"N/M",E9/((E62+D62)/2)),"N/M")</f>
        <v>0.425476372514647</v>
      </c>
      <c r="F114" s="47" t="n">
        <f aca="false">IFERROR(IF(((F62+E62)/2)&lt;=0,"N/M",F9/((F62+E62)/2)),"N/M")</f>
        <v>0.487309857384308</v>
      </c>
      <c r="G114" s="47" t="n">
        <f aca="false">IFERROR(IF(((G62+F62)/2)&lt;=0,"N/M",G9/((G62+F62)/2)),"N/M")</f>
        <v>0.571426489554719</v>
      </c>
      <c r="H114" s="47" t="n">
        <f aca="false">IFERROR(IF(((H62+G62)/2)&lt;=0,"N/M",H9/((H62+G62)/2)),"N/M")</f>
        <v>0.412112287503728</v>
      </c>
      <c r="I114" s="47" t="n">
        <f aca="false">IFERROR(IF(((I62+H62)/2)&lt;=0,"N/M",I9/((I62+H62)/2)),"N/M")</f>
        <v>0.389499561018437</v>
      </c>
      <c r="J114" s="47" t="n">
        <f aca="false">IFERROR(IF(((J62+I62)/2)&lt;=0,"N/M",J9/((J62+I62)/2)),"N/M")</f>
        <v>0.632588959872721</v>
      </c>
      <c r="K114" s="22" t="n">
        <f aca="false">IFERROR(AVERAGE(D114:J114),"N/M")</f>
        <v>0.492800092940711</v>
      </c>
      <c r="L114" s="82" t="n">
        <f aca="false">IFERROR(J114-D114,"N/M")</f>
        <v>0.101401837136303</v>
      </c>
      <c r="M114" s="83" t="n">
        <f aca="false">IFERROR(SLOPE(D114:J114,$D$3:$J$3),"N/M")</f>
        <v>0.00560908280485387</v>
      </c>
    </row>
    <row r="115" customFormat="false" ht="15" hidden="false" customHeight="false" outlineLevel="0" collapsed="false">
      <c r="A115" s="18" t="s">
        <v>567</v>
      </c>
      <c r="B115" s="19" t="s">
        <v>568</v>
      </c>
      <c r="D115" s="47" t="n">
        <f aca="false">IFERROR(IF(((D63+C63)/2)&lt;=0,"N/M",D9/((D63+C63)/2)),"N/M")</f>
        <v>1.51014555854997</v>
      </c>
      <c r="E115" s="47" t="n">
        <f aca="false">IFERROR(IF(((E63+D63)/2)&lt;=0,"N/M",E9/((E63+D63)/2)),"N/M")</f>
        <v>0.982692682926829</v>
      </c>
      <c r="F115" s="47" t="n">
        <f aca="false">IFERROR(IF(((F63+E63)/2)&lt;=0,"N/M",F9/((F63+E63)/2)),"N/M")</f>
        <v>0.791995368846411</v>
      </c>
      <c r="G115" s="47" t="n">
        <f aca="false">IFERROR(IF(((G63+F63)/2)&lt;=0,"N/M",G9/((G63+F63)/2)),"N/M")</f>
        <v>1.35275650313945</v>
      </c>
      <c r="H115" s="47" t="n">
        <f aca="false">IFERROR(IF(((H63+G63)/2)&lt;=0,"N/M",H9/((H63+G63)/2)),"N/M")</f>
        <v>1.14385492924955</v>
      </c>
      <c r="I115" s="47" t="n">
        <f aca="false">IFERROR(IF(((I63+H63)/2)&lt;=0,"N/M",I9/((I63+H63)/2)),"N/M")</f>
        <v>1.09931608682724</v>
      </c>
      <c r="J115" s="47" t="n">
        <f aca="false">IFERROR(IF(((J63+I63)/2)&lt;=0,"N/M",J9/((J63+I63)/2)),"N/M")</f>
        <v>1.44125560538117</v>
      </c>
      <c r="K115" s="22" t="n">
        <f aca="false">IFERROR(AVERAGE(D115:J115),"N/M")</f>
        <v>1.18885953356009</v>
      </c>
      <c r="L115" s="82" t="n">
        <f aca="false">IFERROR(J115-D115,"N/M")</f>
        <v>-0.0688899531688036</v>
      </c>
      <c r="M115" s="83" t="n">
        <f aca="false">IFERROR(SLOPE(D115:J115,$D$3:$J$3),"N/M")</f>
        <v>0.013515589596341</v>
      </c>
    </row>
    <row r="116" customFormat="false" ht="15" hidden="false" customHeight="false" outlineLevel="0" collapsed="false">
      <c r="A116" s="18" t="s">
        <v>569</v>
      </c>
      <c r="B116" s="19" t="s">
        <v>570</v>
      </c>
      <c r="D116" s="47" t="str">
        <f aca="false">IFERROR(IF(D65&lt;=0,"N/M",D9/D65),"N/M")</f>
        <v>N/M</v>
      </c>
      <c r="E116" s="47" t="str">
        <f aca="false">IFERROR(IF(E65&lt;=0,"N/M",E9/E65),"N/M")</f>
        <v>N/M</v>
      </c>
      <c r="F116" s="47" t="str">
        <f aca="false">IFERROR(IF(F65&lt;=0,"N/M",F9/F65),"N/M")</f>
        <v>N/M</v>
      </c>
      <c r="G116" s="47" t="str">
        <f aca="false">IFERROR(IF(G65&lt;=0,"N/M",G9/G65),"N/M")</f>
        <v>N/M</v>
      </c>
      <c r="H116" s="47" t="str">
        <f aca="false">IFERROR(IF(H65&lt;=0,"N/M",H9/H65),"N/M")</f>
        <v>N/M</v>
      </c>
      <c r="I116" s="47" t="str">
        <f aca="false">IFERROR(IF(I65&lt;=0,"N/M",I9/I65),"N/M")</f>
        <v>N/M</v>
      </c>
      <c r="J116" s="47" t="n">
        <f aca="false">IFERROR(IF(J65&lt;=0,"N/M",J9/J65),"N/M")</f>
        <v>9.4691873312055</v>
      </c>
      <c r="K116" s="22" t="n">
        <f aca="false">IFERROR(AVERAGE(D116:J116),"N/M")</f>
        <v>9.4691873312055</v>
      </c>
      <c r="L116" s="82" t="str">
        <f aca="false">IFERROR(J116-D116,"N/M")</f>
        <v>N/M</v>
      </c>
      <c r="M116" s="83" t="str">
        <f aca="false">IFERROR(SLOPE(D116:J116,$D$3:$J$3),"N/M")</f>
        <v>N/M</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0.169848087170922</v>
      </c>
      <c r="E119" s="46" t="n">
        <f aca="false">IFERROR(IF(E9&lt;=0,"N/M",E55/E9),"N/M")</f>
        <v>0.235589619363422</v>
      </c>
      <c r="F119" s="46" t="n">
        <f aca="false">IFERROR(IF(F9&lt;=0,"N/M",F55/F9),"N/M")</f>
        <v>0.110098317424829</v>
      </c>
      <c r="G119" s="46" t="n">
        <f aca="false">IFERROR(IF(G9&lt;=0,"N/M",G55/G9),"N/M")</f>
        <v>0.179719976537196</v>
      </c>
      <c r="H119" s="46" t="n">
        <f aca="false">IFERROR(IF(H9&lt;=0,"N/M",H55/H9),"N/M")</f>
        <v>0.281966619928536</v>
      </c>
      <c r="I119" s="46" t="n">
        <f aca="false">IFERROR(IF(I9&lt;=0,"N/M",I55/I9),"N/M")</f>
        <v>0.297583626363718</v>
      </c>
      <c r="J119" s="46" t="n">
        <f aca="false">IFERROR(IF(J9&lt;=0,"N/M",J55/J9),"N/M")</f>
        <v>0.334655673096868</v>
      </c>
      <c r="K119" s="25" t="n">
        <f aca="false">IFERROR(AVERAGE(D119:J119),"N/M")</f>
        <v>0.229923131412213</v>
      </c>
      <c r="L119" s="86" t="n">
        <f aca="false">IFERROR(J119-D119,"N/M")</f>
        <v>0.164807585925946</v>
      </c>
      <c r="M119" s="87" t="n">
        <f aca="false">IFERROR(SLOPE(D119:J119,$D$3:$J$3),"N/M")</f>
        <v>0.0282242526529335</v>
      </c>
    </row>
    <row r="120" customFormat="false" ht="15" hidden="false" customHeight="false" outlineLevel="0" collapsed="false">
      <c r="A120" s="18" t="s">
        <v>573</v>
      </c>
      <c r="B120" s="19" t="s">
        <v>574</v>
      </c>
      <c r="D120" s="46" t="n">
        <f aca="false">IFERROR(IF(D57&lt;=0,"N/M",D59/D57),"N/M")</f>
        <v>0.00630055178145202</v>
      </c>
      <c r="E120" s="46" t="str">
        <f aca="false">IFERROR(IF(E57&lt;=0,"N/M",E59/E57),"N/M")</f>
        <v>N/M</v>
      </c>
      <c r="F120" s="46" t="n">
        <f aca="false">IFERROR(IF(F57&lt;=0,"N/M",F59/F57),"N/M")</f>
        <v>-0.698756676298048</v>
      </c>
      <c r="G120" s="46" t="str">
        <f aca="false">IFERROR(IF(G57&lt;=0,"N/M",G59/G57),"N/M")</f>
        <v>N/M</v>
      </c>
      <c r="H120" s="46" t="n">
        <f aca="false">IFERROR(IF(H57&lt;=0,"N/M",H59/H57),"N/M")</f>
        <v>0.237603459846395</v>
      </c>
      <c r="I120" s="46" t="n">
        <f aca="false">IFERROR(IF(I57&lt;=0,"N/M",I59/I57),"N/M")</f>
        <v>0.200566662676084</v>
      </c>
      <c r="J120" s="46" t="n">
        <f aca="false">IFERROR(IF(J57&lt;=0,"N/M",J59/J57),"N/M")</f>
        <v>0.357202610005019</v>
      </c>
      <c r="K120" s="25" t="n">
        <f aca="false">IFERROR(AVERAGE(D120:J120),"N/M")</f>
        <v>0.0205833216021806</v>
      </c>
      <c r="L120" s="86" t="n">
        <f aca="false">IFERROR(J120-D120,"N/M")</f>
        <v>0.350902058223567</v>
      </c>
      <c r="M120" s="87" t="n">
        <f aca="false">IFERROR(SLOPE(D120:J120,$D$3:$J$3),"N/M")</f>
        <v>0.101251422110472</v>
      </c>
    </row>
    <row r="121" customFormat="false" ht="15" hidden="false" customHeight="false" outlineLevel="0" collapsed="false">
      <c r="A121" s="18" t="s">
        <v>136</v>
      </c>
      <c r="B121" s="19" t="s">
        <v>575</v>
      </c>
      <c r="D121" s="46" t="n">
        <f aca="false">IFERROR(IF(D9&lt;=0,"N/M",D56/D9),"N/M")</f>
        <v>-0.0223395371033165</v>
      </c>
      <c r="E121" s="46" t="n">
        <f aca="false">IFERROR(IF(E9&lt;=0,"N/M",E56/E9),"N/M")</f>
        <v>-0.0187637749935467</v>
      </c>
      <c r="F121" s="46" t="n">
        <f aca="false">IFERROR(IF(F9&lt;=0,"N/M",F56/F9),"N/M")</f>
        <v>-0.112248115343824</v>
      </c>
      <c r="G121" s="46" t="n">
        <f aca="false">IFERROR(IF(G9&lt;=0,"N/M",G56/G9),"N/M")</f>
        <v>0.0703629083675499</v>
      </c>
      <c r="H121" s="46" t="n">
        <f aca="false">IFERROR(IF(H9&lt;=0,"N/M",H56/H9),"N/M")</f>
        <v>0.0750825455696775</v>
      </c>
      <c r="I121" s="46" t="n">
        <f aca="false">IFERROR(IF(I9&lt;=0,"N/M",I56/I9),"N/M")</f>
        <v>0.0968803534397258</v>
      </c>
      <c r="J121" s="46" t="n">
        <f aca="false">IFERROR(IF(J9&lt;=0,"N/M",J56/J9),"N/M")</f>
        <v>0.203069902509853</v>
      </c>
      <c r="K121" s="25" t="n">
        <f aca="false">IFERROR(AVERAGE(D121:J121),"N/M")</f>
        <v>0.0417206117780169</v>
      </c>
      <c r="L121" s="86" t="n">
        <f aca="false">IFERROR(J121-D121,"N/M")</f>
        <v>0.225409439613169</v>
      </c>
      <c r="M121" s="87" t="n">
        <f aca="false">IFERROR(SLOPE(D121:J121,$D$3:$J$3),"N/M")</f>
        <v>0.039101687022127</v>
      </c>
    </row>
    <row r="122" customFormat="false" ht="15" hidden="false" customHeight="false" outlineLevel="0" collapsed="false">
      <c r="A122" s="18" t="s">
        <v>576</v>
      </c>
      <c r="B122" s="19" t="s">
        <v>577</v>
      </c>
      <c r="D122" s="46" t="n">
        <f aca="false">IFERROR(IF(D9&lt;=0,"N/M",D58/D9),"N/M")</f>
        <v>-0.0774775312176887</v>
      </c>
      <c r="E122" s="46" t="n">
        <f aca="false">IFERROR(IF(E9&lt;=0,"N/M",E58/E9),"N/M")</f>
        <v>-2.04020808927189</v>
      </c>
      <c r="F122" s="46" t="n">
        <f aca="false">IFERROR(IF(F9&lt;=0,"N/M",F58/F9),"N/M")</f>
        <v>-0.661507151661077</v>
      </c>
      <c r="G122" s="46" t="n">
        <f aca="false">IFERROR(IF(G9&lt;=0,"N/M",G58/G9),"N/M")</f>
        <v>-2.06107979903599</v>
      </c>
      <c r="H122" s="46" t="n">
        <f aca="false">IFERROR(IF(H9&lt;=0,"N/M",H58/H9),"N/M")</f>
        <v>0.0697001221222127</v>
      </c>
      <c r="I122" s="46" t="n">
        <f aca="false">IFERROR(IF(I9&lt;=0,"N/M",I58/I9),"N/M")</f>
        <v>0.0564872419078532</v>
      </c>
      <c r="J122" s="46" t="n">
        <f aca="false">IFERROR(IF(J9&lt;=0,"N/M",J58/J9),"N/M")</f>
        <v>0.334759386019498</v>
      </c>
      <c r="K122" s="25" t="n">
        <f aca="false">IFERROR(AVERAGE(D122:J122),"N/M")</f>
        <v>-0.625617974448153</v>
      </c>
      <c r="L122" s="86" t="n">
        <f aca="false">IFERROR(J122-D122,"N/M")</f>
        <v>0.412236917237187</v>
      </c>
      <c r="M122" s="87" t="n">
        <f aca="false">IFERROR(SLOPE(D122:J122,$D$3:$J$3),"N/M")</f>
        <v>0.22004673885194</v>
      </c>
    </row>
    <row r="123" customFormat="false" ht="15" hidden="false" customHeight="false" outlineLevel="0" collapsed="false">
      <c r="A123" s="18" t="s">
        <v>578</v>
      </c>
      <c r="B123" s="19" t="s">
        <v>579</v>
      </c>
      <c r="D123" s="46" t="n">
        <f aca="false">IFERROR(IF(D9&lt;=0,"N/M",D20/D9),"N/M")</f>
        <v>-0.13216813807365</v>
      </c>
      <c r="E123" s="46" t="n">
        <f aca="false">IFERROR(IF(E9&lt;=0,"N/M",E20/E9),"N/M")</f>
        <v>-2.31658161745726</v>
      </c>
      <c r="F123" s="46" t="n">
        <f aca="false">IFERROR(IF(F9&lt;=0,"N/M",F20/F9),"N/M")</f>
        <v>-0.722676068449566</v>
      </c>
      <c r="G123" s="46" t="n">
        <f aca="false">IFERROR(IF(G9&lt;=0,"N/M",G20/G9),"N/M")</f>
        <v>-2.11047920226467</v>
      </c>
      <c r="H123" s="46" t="n">
        <f aca="false">IFERROR(IF(H9&lt;=0,"N/M",H20/H9),"N/M")</f>
        <v>-0.107512777601882</v>
      </c>
      <c r="I123" s="46" t="n">
        <f aca="false">IFERROR(IF(I9&lt;=0,"N/M",I20/I9),"N/M")</f>
        <v>-0.138490668109278</v>
      </c>
      <c r="J123" s="46" t="n">
        <f aca="false">IFERROR(IF(J9&lt;=0,"N/M",J20/J9),"N/M")</f>
        <v>0.148024268823895</v>
      </c>
      <c r="K123" s="25" t="n">
        <f aca="false">IFERROR(AVERAGE(D123:J123),"N/M")</f>
        <v>-0.768554886161773</v>
      </c>
      <c r="L123" s="86" t="n">
        <f aca="false">IFERROR(J123-D123,"N/M")</f>
        <v>0.280192406897545</v>
      </c>
      <c r="M123" s="87" t="n">
        <f aca="false">IFERROR(SLOPE(D123:J123,$D$3:$J$3),"N/M")</f>
        <v>0.207568657508439</v>
      </c>
    </row>
    <row r="124" customFormat="false" ht="15" hidden="false" customHeight="false" outlineLevel="0" collapsed="false">
      <c r="A124" s="18" t="s">
        <v>137</v>
      </c>
      <c r="B124" s="19" t="s">
        <v>580</v>
      </c>
      <c r="D124" s="46" t="n">
        <f aca="false">IFERROR(IF(D9&lt;=0,"N/M",D22/D9),"N/M")</f>
        <v>-0.106418515867335</v>
      </c>
      <c r="E124" s="46" t="n">
        <f aca="false">IFERROR(IF(E9&lt;=0,"N/M",E22/E9),"N/M")</f>
        <v>-2.3024442547108</v>
      </c>
      <c r="F124" s="46" t="n">
        <f aca="false">IFERROR(IF(F9&lt;=0,"N/M",F22/F9),"N/M")</f>
        <v>-0.746467165419784</v>
      </c>
      <c r="G124" s="46" t="n">
        <f aca="false">IFERROR(IF(G9&lt;=0,"N/M",G22/G9),"N/M")</f>
        <v>-2.12680115273775</v>
      </c>
      <c r="H124" s="46" t="n">
        <f aca="false">IFERROR(IF(H9&lt;=0,"N/M",H22/H9),"N/M")</f>
        <v>-0.12795694061242</v>
      </c>
      <c r="I124" s="46" t="n">
        <f aca="false">IFERROR(IF(I9&lt;=0,"N/M",I22/I9),"N/M")</f>
        <v>-0.116445766837977</v>
      </c>
      <c r="J124" s="46" t="n">
        <f aca="false">IFERROR(IF(J9&lt;=0,"N/M",J22/J9),"N/M")</f>
        <v>0.127774320680357</v>
      </c>
      <c r="K124" s="25" t="n">
        <f aca="false">IFERROR(AVERAGE(D124:J124),"N/M")</f>
        <v>-0.771251353643673</v>
      </c>
      <c r="L124" s="86" t="n">
        <f aca="false">IFERROR(J124-D124,"N/M")</f>
        <v>0.234192836547692</v>
      </c>
      <c r="M124" s="87" t="n">
        <f aca="false">IFERROR(SLOPE(D124:J124,$D$3:$J$3),"N/M")</f>
        <v>0.20332448964986</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0.830151912829078</v>
      </c>
      <c r="E127" s="46" t="n">
        <f aca="false">IFERROR(IF(E9&lt;=0,"N/M",E52/E9),"N/M")</f>
        <v>0.764410380636578</v>
      </c>
      <c r="F127" s="46" t="n">
        <f aca="false">IFERROR(IF(F9&lt;=0,"N/M",F52/F9),"N/M")</f>
        <v>0.889901682575171</v>
      </c>
      <c r="G127" s="46" t="n">
        <f aca="false">IFERROR(IF(G9&lt;=0,"N/M",G52/G9),"N/M")</f>
        <v>0.820280023462804</v>
      </c>
      <c r="H127" s="46" t="n">
        <f aca="false">IFERROR(IF(H9&lt;=0,"N/M",H52/H9),"N/M")</f>
        <v>0.718033380071464</v>
      </c>
      <c r="I127" s="46" t="n">
        <f aca="false">IFERROR(IF(I9&lt;=0,"N/M",I52/I9),"N/M")</f>
        <v>0.702416373636282</v>
      </c>
      <c r="J127" s="46" t="n">
        <f aca="false">IFERROR(IF(J9&lt;=0,"N/M",J52/J9),"N/M")</f>
        <v>0.665344326903132</v>
      </c>
      <c r="K127" s="25" t="n">
        <f aca="false">IFERROR(AVERAGE(D127:J127),"N/M")</f>
        <v>0.770076868587787</v>
      </c>
      <c r="L127" s="86" t="n">
        <f aca="false">IFERROR(J127-D127,"N/M")</f>
        <v>-0.164807585925946</v>
      </c>
      <c r="M127" s="87" t="n">
        <f aca="false">IFERROR(SLOPE(D127:J127,$D$3:$J$3),"N/M")</f>
        <v>-0.0282242526529335</v>
      </c>
    </row>
    <row r="128" customFormat="false" ht="15" hidden="false" customHeight="false" outlineLevel="0" collapsed="false">
      <c r="A128" s="18" t="s">
        <v>584</v>
      </c>
      <c r="B128" s="19" t="s">
        <v>585</v>
      </c>
      <c r="D128" s="46" t="n">
        <f aca="false">IFERROR(IF(D9&lt;=0,"N/M",D53/D9),"N/M")</f>
        <v>0.192187624274238</v>
      </c>
      <c r="E128" s="46" t="n">
        <f aca="false">IFERROR(IF(E9&lt;=0,"N/M",E53/E9),"N/M")</f>
        <v>0.254353394356968</v>
      </c>
      <c r="F128" s="46" t="n">
        <f aca="false">IFERROR(IF(F9&lt;=0,"N/M",F53/F9),"N/M")</f>
        <v>0.222346432768653</v>
      </c>
      <c r="G128" s="46" t="n">
        <f aca="false">IFERROR(IF(G9&lt;=0,"N/M",G53/G9),"N/M")</f>
        <v>0.109357068169646</v>
      </c>
      <c r="H128" s="46" t="n">
        <f aca="false">IFERROR(IF(H9&lt;=0,"N/M",H53/H9),"N/M")</f>
        <v>0.206884074358858</v>
      </c>
      <c r="I128" s="46" t="n">
        <f aca="false">IFERROR(IF(I9&lt;=0,"N/M",I53/I9),"N/M")</f>
        <v>0.200703272923992</v>
      </c>
      <c r="J128" s="46" t="n">
        <f aca="false">IFERROR(IF(J9&lt;=0,"N/M",J53/J9),"N/M")</f>
        <v>0.131585770587015</v>
      </c>
      <c r="K128" s="25" t="n">
        <f aca="false">IFERROR(AVERAGE(D128:J128),"N/M")</f>
        <v>0.188202519634196</v>
      </c>
      <c r="L128" s="86" t="n">
        <f aca="false">IFERROR(J128-D128,"N/M")</f>
        <v>-0.0606018536872233</v>
      </c>
      <c r="M128" s="87" t="n">
        <f aca="false">IFERROR(SLOPE(D128:J128,$D$3:$J$3),"N/M")</f>
        <v>-0.0108774343691934</v>
      </c>
    </row>
    <row r="129" customFormat="false" ht="15" hidden="false" customHeight="false" outlineLevel="0" collapsed="false">
      <c r="A129" s="18" t="s">
        <v>586</v>
      </c>
      <c r="B129" s="19" t="s">
        <v>587</v>
      </c>
      <c r="D129" s="46" t="n">
        <f aca="false">IFERROR(IF(D9&lt;=0,"N/M",D14/D9),"N/M")</f>
        <v>0.132655293088364</v>
      </c>
      <c r="E129" s="46" t="n">
        <f aca="false">IFERROR(IF(E9&lt;=0,"N/M",E14/E9),"N/M")</f>
        <v>0.10734070647102</v>
      </c>
      <c r="F129" s="46" t="n">
        <f aca="false">IFERROR(IF(F9&lt;=0,"N/M",F14/F9),"N/M")</f>
        <v>0.0828675437842176</v>
      </c>
      <c r="G129" s="46" t="n">
        <f aca="false">IFERROR(IF(G9&lt;=0,"N/M",G14/G9),"N/M")</f>
        <v>0.0608757746550713</v>
      </c>
      <c r="H129" s="46" t="n">
        <f aca="false">IFERROR(IF(H9&lt;=0,"N/M",H14/H9),"N/M")</f>
        <v>0.111628748473472</v>
      </c>
      <c r="I129" s="46" t="n">
        <f aca="false">IFERROR(IF(I9&lt;=0,"N/M",I14/I9),"N/M")</f>
        <v>0.100126228473537</v>
      </c>
      <c r="J129" s="46" t="n">
        <f aca="false">IFERROR(IF(J9&lt;=0,"N/M",J14/J9),"N/M")</f>
        <v>0.0693320887782618</v>
      </c>
      <c r="K129" s="25" t="n">
        <f aca="false">IFERROR(AVERAGE(D129:J129),"N/M")</f>
        <v>0.0949751976748492</v>
      </c>
      <c r="L129" s="86" t="n">
        <f aca="false">IFERROR(J129-D129,"N/M")</f>
        <v>-0.0633232043101022</v>
      </c>
      <c r="M129" s="87" t="n">
        <f aca="false">IFERROR(SLOPE(D129:J129,$D$3:$J$3),"N/M")</f>
        <v>-0.00627276300842923</v>
      </c>
    </row>
    <row r="130" customFormat="false" ht="15" hidden="false" customHeight="false" outlineLevel="0" collapsed="false">
      <c r="A130" s="18" t="s">
        <v>588</v>
      </c>
      <c r="B130" s="19" t="s">
        <v>589</v>
      </c>
      <c r="D130" s="46" t="n">
        <f aca="false">IFERROR(IF(D9&lt;=0,"N/M",D15/D9),"N/M")</f>
        <v>0.0348962061560487</v>
      </c>
      <c r="E130" s="46" t="n">
        <f aca="false">IFERROR(IF(E9&lt;=0,"N/M",E15/E9),"N/M")</f>
        <v>0.0298830490637968</v>
      </c>
      <c r="F130" s="46" t="n">
        <f aca="false">IFERROR(IF(F9&lt;=0,"N/M",F15/F9),"N/M")</f>
        <v>0.0445151489093359</v>
      </c>
      <c r="G130" s="46" t="n">
        <f aca="false">IFERROR(IF(G9&lt;=0,"N/M",G15/G9),"N/M")</f>
        <v>0.0446558363724465</v>
      </c>
      <c r="H130" s="46" t="n">
        <f aca="false">IFERROR(IF(H9&lt;=0,"N/M",H15/H9),"N/M")</f>
        <v>0.0768917635352119</v>
      </c>
      <c r="I130" s="46" t="n">
        <f aca="false">IFERROR(IF(I9&lt;=0,"N/M",I15/I9),"N/M")</f>
        <v>0.07149941393923</v>
      </c>
      <c r="J130" s="46" t="n">
        <f aca="false">IFERROR(IF(J9&lt;=0,"N/M",J15/J9),"N/M")</f>
        <v>0.0471375233354076</v>
      </c>
      <c r="K130" s="25" t="n">
        <f aca="false">IFERROR(AVERAGE(D130:J130),"N/M")</f>
        <v>0.0499255630444968</v>
      </c>
      <c r="L130" s="86" t="n">
        <f aca="false">IFERROR(J130-D130,"N/M")</f>
        <v>0.0122413171793589</v>
      </c>
      <c r="M130" s="87" t="n">
        <f aca="false">IFERROR(SLOPE(D130:J130,$D$3:$J$3),"N/M")</f>
        <v>0.00544047485410068</v>
      </c>
    </row>
    <row r="131" customFormat="false" ht="15" hidden="false" customHeight="false" outlineLevel="0" collapsed="false">
      <c r="A131" s="18" t="s">
        <v>590</v>
      </c>
      <c r="B131" s="19" t="s">
        <v>591</v>
      </c>
      <c r="D131" s="46" t="n">
        <f aca="false">IFERROR(IF(D9&lt;=0,"N/M",D19/D9),"N/M")</f>
        <v>0.0546906068559612</v>
      </c>
      <c r="E131" s="46" t="n">
        <f aca="false">IFERROR(IF(E9&lt;=0,"N/M",E19/E9),"N/M")</f>
        <v>0.276373528185374</v>
      </c>
      <c r="F131" s="46" t="n">
        <f aca="false">IFERROR(IF(F9&lt;=0,"N/M",F19/F9),"N/M")</f>
        <v>0.0611689167884886</v>
      </c>
      <c r="G131" s="46" t="n">
        <f aca="false">IFERROR(IF(G9&lt;=0,"N/M",G19/G9),"N/M")</f>
        <v>0.0493994032286858</v>
      </c>
      <c r="H131" s="46" t="n">
        <f aca="false">IFERROR(IF(H9&lt;=0,"N/M",H19/H9),"N/M")</f>
        <v>0.177212899724094</v>
      </c>
      <c r="I131" s="46" t="n">
        <f aca="false">IFERROR(IF(I9&lt;=0,"N/M",I19/I9),"N/M")</f>
        <v>0.194977910017131</v>
      </c>
      <c r="J131" s="46" t="n">
        <f aca="false">IFERROR(IF(J9&lt;=0,"N/M",J19/J9),"N/M")</f>
        <v>0.186735117195603</v>
      </c>
      <c r="K131" s="25" t="n">
        <f aca="false">IFERROR(AVERAGE(D131:J131),"N/M")</f>
        <v>0.14293691171362</v>
      </c>
      <c r="L131" s="86" t="n">
        <f aca="false">IFERROR(J131-D131,"N/M")</f>
        <v>0.132044510339641</v>
      </c>
      <c r="M131" s="87" t="n">
        <f aca="false">IFERROR(SLOPE(D131:J131,$D$3:$J$3),"N/M")</f>
        <v>0.0124780813435016</v>
      </c>
    </row>
    <row r="132" customFormat="false" ht="15" hidden="false" customHeight="false" outlineLevel="0" collapsed="false">
      <c r="A132" s="18" t="s">
        <v>138</v>
      </c>
      <c r="B132" s="19" t="s">
        <v>592</v>
      </c>
      <c r="D132" s="46" t="n">
        <f aca="false">IFERROR(IF(D9&lt;=0,"N/M",D54/D9),"N/M")</f>
        <v>1.02233953710332</v>
      </c>
      <c r="E132" s="46" t="n">
        <f aca="false">IFERROR(IF(E9&lt;=0,"N/M",E54/E9),"N/M")</f>
        <v>1.01876377499355</v>
      </c>
      <c r="F132" s="46" t="n">
        <f aca="false">IFERROR(IF(F9&lt;=0,"N/M",F54/F9),"N/M")</f>
        <v>1.11224811534382</v>
      </c>
      <c r="G132" s="46" t="n">
        <f aca="false">IFERROR(IF(G9&lt;=0,"N/M",G54/G9),"N/M")</f>
        <v>0.92963709163245</v>
      </c>
      <c r="H132" s="46" t="n">
        <f aca="false">IFERROR(IF(H9&lt;=0,"N/M",H54/H9),"N/M")</f>
        <v>0.924917454430323</v>
      </c>
      <c r="I132" s="46" t="n">
        <f aca="false">IFERROR(IF(I9&lt;=0,"N/M",I54/I9),"N/M")</f>
        <v>0.903119646560274</v>
      </c>
      <c r="J132" s="46" t="n">
        <f aca="false">IFERROR(IF(J9&lt;=0,"N/M",J54/J9),"N/M")</f>
        <v>0.796930097490147</v>
      </c>
      <c r="K132" s="25" t="n">
        <f aca="false">IFERROR(AVERAGE(D132:J132),"N/M")</f>
        <v>0.958279388221983</v>
      </c>
      <c r="L132" s="86" t="n">
        <f aca="false">IFERROR(J132-D132,"N/M")</f>
        <v>-0.22540943961317</v>
      </c>
      <c r="M132" s="87" t="n">
        <f aca="false">IFERROR(SLOPE(D132:J132,$D$3:$J$3),"N/M")</f>
        <v>-0.039101687022127</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-0.0388118582119858</v>
      </c>
      <c r="E135" s="46" t="n">
        <f aca="false">IFERROR(IF(((E35+D35)/2)&lt;=0,"N/M",E22/((E35+D35)/2)),"N/M")</f>
        <v>-0.515598043574922</v>
      </c>
      <c r="F135" s="46" t="n">
        <f aca="false">IFERROR(IF(((F35+E35)/2)&lt;=0,"N/M",F22/((F35+E35)/2)),"N/M")</f>
        <v>-0.157991166763735</v>
      </c>
      <c r="G135" s="46" t="n">
        <f aca="false">IFERROR(IF(((G35+F35)/2)&lt;=0,"N/M",G22/((G35+F35)/2)),"N/M")</f>
        <v>-0.707151306500918</v>
      </c>
      <c r="H135" s="46" t="n">
        <f aca="false">IFERROR(IF(((H35+G35)/2)&lt;=0,"N/M",H22/((H35+G35)/2)),"N/M")</f>
        <v>-0.0362564480471629</v>
      </c>
      <c r="I135" s="46" t="n">
        <f aca="false">IFERROR(IF(((I35+H35)/2)&lt;=0,"N/M",I22/((I35+H35)/2)),"N/M")</f>
        <v>-0.0317624273724984</v>
      </c>
      <c r="J135" s="46" t="n">
        <f aca="false">IFERROR(IF(((J35+I35)/2)&lt;=0,"N/M",J22/((J35+I35)/2)),"N/M")</f>
        <v>0.0558211186878412</v>
      </c>
      <c r="K135" s="25" t="n">
        <f aca="false">IFERROR(AVERAGE(D135:J135),"N/M")</f>
        <v>-0.204535733111912</v>
      </c>
      <c r="L135" s="86" t="n">
        <f aca="false">IFERROR(J135-D135,"N/M")</f>
        <v>0.0946329768998271</v>
      </c>
      <c r="M135" s="87" t="n">
        <f aca="false">IFERROR(SLOPE(D135:J135,$D$3:$J$3),"N/M")</f>
        <v>0.049046602922175</v>
      </c>
    </row>
    <row r="136" customFormat="false" ht="15" hidden="false" customHeight="false" outlineLevel="0" collapsed="false">
      <c r="A136" s="18" t="s">
        <v>595</v>
      </c>
      <c r="B136" s="19" t="s">
        <v>596</v>
      </c>
      <c r="D136" s="46" t="n">
        <f aca="false">IFERROR(IF(((D35+C35)/2)&lt;=0,"N/M",(D22+(D19*(1-D60)))/((D35+C35)/2)),"N/M")</f>
        <v>-0.0188656668793874</v>
      </c>
      <c r="E136" s="46" t="n">
        <f aca="false">IFERROR(IF(((E35+D35)/2)&lt;=0,"N/M",(E22+(E19*(1-E60)))/((E35+D35)/2)),"N/M")</f>
        <v>-0.453708314806581</v>
      </c>
      <c r="F136" s="46" t="n">
        <f aca="false">IFERROR(IF(((F35+E35)/2)&lt;=0,"N/M",(F22+(F19*(1-F60)))/((F35+E35)/2)),"N/M")</f>
        <v>-0.145044651523976</v>
      </c>
      <c r="G136" s="46" t="n">
        <f aca="false">IFERROR(IF(((G35+F35)/2)&lt;=0,"N/M",(G22+(G19*(1-G60)))/((G35+F35)/2)),"N/M")</f>
        <v>-0.690726238981765</v>
      </c>
      <c r="H136" s="46" t="n">
        <f aca="false">IFERROR(IF(((H35+G35)/2)&lt;=0,"N/M",(H22+(H19*(1-H60)))/((H35+G35)/2)),"N/M")</f>
        <v>0.0139566178590881</v>
      </c>
      <c r="I136" s="46" t="n">
        <f aca="false">IFERROR(IF(((I35+H35)/2)&lt;=0,"N/M",(I22+(I19*(1-I60)))/((I35+H35)/2)),"N/M")</f>
        <v>0.0214208859786652</v>
      </c>
      <c r="J136" s="46" t="n">
        <f aca="false">IFERROR(IF(((J35+I35)/2)&lt;=0,"N/M",(J22+(J19*(1-J60)))/((J35+I35)/2)),"N/M")</f>
        <v>0.126068927933368</v>
      </c>
      <c r="K136" s="25" t="n">
        <f aca="false">IFERROR(AVERAGE(D136:J136),"N/M")</f>
        <v>-0.163842634345798</v>
      </c>
      <c r="L136" s="86" t="n">
        <f aca="false">IFERROR(J136-D136,"N/M")</f>
        <v>0.144934594812756</v>
      </c>
      <c r="M136" s="87" t="n">
        <f aca="false">IFERROR(SLOPE(D136:J136,$D$3:$J$3),"N/M")</f>
        <v>0.0551451234068508</v>
      </c>
    </row>
    <row r="137" customFormat="false" ht="15" hidden="false" customHeight="false" outlineLevel="0" collapsed="false">
      <c r="A137" s="18" t="s">
        <v>597</v>
      </c>
      <c r="B137" s="19" t="s">
        <v>598</v>
      </c>
      <c r="D137" s="46" t="n">
        <f aca="false">IFERROR(IF(((D35+C35)/2)&lt;=0,"N/M",D58/((D35+C35)/2)),"N/M")</f>
        <v>-0.0282568022277659</v>
      </c>
      <c r="E137" s="46" t="n">
        <f aca="false">IFERROR(IF(((E35+D35)/2)&lt;=0,"N/M",E58/((E35+D35)/2)),"N/M")</f>
        <v>-0.456874166296132</v>
      </c>
      <c r="F137" s="46" t="n">
        <f aca="false">IFERROR(IF(((F35+E35)/2)&lt;=0,"N/M",F58/((F35+E35)/2)),"N/M")</f>
        <v>-0.140009221510386</v>
      </c>
      <c r="G137" s="46" t="n">
        <f aca="false">IFERROR(IF(((G35+F35)/2)&lt;=0,"N/M",G58/((G35+F35)/2)),"N/M")</f>
        <v>-0.68529926778287</v>
      </c>
      <c r="H137" s="46" t="n">
        <f aca="false">IFERROR(IF(((H35+G35)/2)&lt;=0,"N/M",H58/((H35+G35)/2)),"N/M")</f>
        <v>0.0197494473102432</v>
      </c>
      <c r="I137" s="46" t="n">
        <f aca="false">IFERROR(IF(((I35+H35)/2)&lt;=0,"N/M",I58/((I35+H35)/2)),"N/M")</f>
        <v>0.015407789972025</v>
      </c>
      <c r="J137" s="46" t="n">
        <f aca="false">IFERROR(IF(((J35+I35)/2)&lt;=0,"N/M",J58/((J35+I35)/2)),"N/M")</f>
        <v>0.146247253120682</v>
      </c>
      <c r="K137" s="25" t="n">
        <f aca="false">IFERROR(AVERAGE(D137:J137),"N/M")</f>
        <v>-0.161290709630601</v>
      </c>
      <c r="L137" s="86" t="n">
        <f aca="false">IFERROR(J137-D137,"N/M")</f>
        <v>0.174504055348447</v>
      </c>
      <c r="M137" s="87" t="n">
        <f aca="false">IFERROR(SLOPE(D137:J137,$D$3:$J$3),"N/M")</f>
        <v>0.0581369552643673</v>
      </c>
    </row>
    <row r="138" customFormat="false" ht="15" hidden="false" customHeight="false" outlineLevel="0" collapsed="false">
      <c r="A138" s="18" t="s">
        <v>141</v>
      </c>
      <c r="B138" s="19" t="s">
        <v>599</v>
      </c>
      <c r="D138" s="46" t="n">
        <f aca="false">IFERROR(IF(((D62+C62)/2)&lt;=0,"N/M",(D58*(1-D60))/((D62+C62)/2)),"N/M")</f>
        <v>-0.0411550668842451</v>
      </c>
      <c r="E138" s="46" t="n">
        <f aca="false">IFERROR(IF(((E62+D62)/2)&lt;=0,"N/M",(E58*(1-E60))/((E62+D62)/2)),"N/M")</f>
        <v>-0.868060336998441</v>
      </c>
      <c r="F138" s="46" t="n">
        <f aca="false">IFERROR(IF(((F62+E62)/2)&lt;=0,"N/M",(F58*(1-F60))/((F62+E62)/2)),"N/M")</f>
        <v>-0.322358955734659</v>
      </c>
      <c r="G138" s="46" t="n">
        <f aca="false">IFERROR(IF(((G62+F62)/2)&lt;=0,"N/M",(G58*(1-G60))/((G62+F62)/2)),"N/M")</f>
        <v>-1.17775559425528</v>
      </c>
      <c r="H138" s="46" t="n">
        <f aca="false">IFERROR(IF(((H62+G62)/2)&lt;=0,"N/M",(H58*(1-H60))/((H62+G62)/2)),"N/M")</f>
        <v>0.0287242767670743</v>
      </c>
      <c r="I138" s="46" t="n">
        <f aca="false">IFERROR(IF(((I62+H62)/2)&lt;=0,"N/M",(I58*(1-I60))/((I62+H62)/2)),"N/M")</f>
        <v>0.0220017559262511</v>
      </c>
      <c r="J138" s="46" t="n">
        <f aca="false">IFERROR(IF(((J62+I62)/2)&lt;=0,"N/M",(J58*(1-J60))/((J62+I62)/2)),"N/M")</f>
        <v>0.182350182402612</v>
      </c>
      <c r="K138" s="25" t="n">
        <f aca="false">IFERROR(AVERAGE(D138:J138),"N/M")</f>
        <v>-0.310893391253812</v>
      </c>
      <c r="L138" s="86" t="n">
        <f aca="false">IFERROR(J138-D138,"N/M")</f>
        <v>0.223505249286857</v>
      </c>
      <c r="M138" s="87" t="n">
        <f aca="false">IFERROR(SLOPE(D138:J138,$D$3:$J$3),"N/M")</f>
        <v>0.100061541650417</v>
      </c>
    </row>
    <row r="139" customFormat="false" ht="15" hidden="false" customHeight="false" outlineLevel="0" collapsed="false">
      <c r="A139" s="18" t="s">
        <v>142</v>
      </c>
      <c r="B139" s="19" t="s">
        <v>600</v>
      </c>
      <c r="D139" s="46" t="n">
        <f aca="false">IFERROR(IF(((D61+C61)/2)&lt;=0,"N/M",D22/((D61+C61)/2)),"N/M")</f>
        <v>-0.19565336599097</v>
      </c>
      <c r="E139" s="46" t="str">
        <f aca="false">IFERROR(IF(((E61+D61)/2)&lt;=0,"N/M",E22/((E61+D61)/2)),"N/M")</f>
        <v>N/M</v>
      </c>
      <c r="F139" s="46" t="str">
        <f aca="false">IFERROR(IF(((F61+E61)/2)&lt;=0,"N/M",F22/((F61+E61)/2)),"N/M")</f>
        <v>N/M</v>
      </c>
      <c r="G139" s="46" t="str">
        <f aca="false">IFERROR(IF(((G61+F61)/2)&lt;=0,"N/M",G22/((G61+F61)/2)),"N/M")</f>
        <v>N/M</v>
      </c>
      <c r="H139" s="46" t="n">
        <f aca="false">IFERROR(IF(((H61+G61)/2)&lt;=0,"N/M",H22/((H61+G61)/2)),"N/M")</f>
        <v>-0.687986381322957</v>
      </c>
      <c r="I139" s="46" t="n">
        <f aca="false">IFERROR(IF(((I61+H61)/2)&lt;=0,"N/M",I22/((I61+H61)/2)),"N/M")</f>
        <v>-2.15699373695198</v>
      </c>
      <c r="J139" s="46" t="n">
        <f aca="false">IFERROR(IF(((J61+I61)/2)&lt;=0,"N/M",J22/((J61+I61)/2)),"N/M")</f>
        <v>0.779007271577616</v>
      </c>
      <c r="K139" s="25" t="n">
        <f aca="false">IFERROR(AVERAGE(D139:J139),"N/M")</f>
        <v>-0.565406553172074</v>
      </c>
      <c r="L139" s="86" t="n">
        <f aca="false">IFERROR(J139-D139,"N/M")</f>
        <v>0.974660637568587</v>
      </c>
      <c r="M139" s="87" t="n">
        <f aca="false">IFERROR(SLOPE(D139:J139,$D$3:$J$3),"N/M")</f>
        <v>-0.0183986642412021</v>
      </c>
    </row>
    <row r="140" customFormat="false" ht="15" hidden="false" customHeight="false" outlineLevel="0" collapsed="false">
      <c r="A140" s="18" t="s">
        <v>601</v>
      </c>
      <c r="B140" s="19" t="s">
        <v>602</v>
      </c>
      <c r="D140" s="46" t="n">
        <f aca="false">IFERROR(IF(((D61+C61)/2)&lt;=0,"N/M",(D22-0)/((D61+C61)/2)),"N/M")</f>
        <v>-0.19565336599097</v>
      </c>
      <c r="E140" s="46" t="str">
        <f aca="false">IFERROR(IF(((E61+D61)/2)&lt;=0,"N/M",(E22-0)/((E61+D61)/2)),"N/M")</f>
        <v>N/M</v>
      </c>
      <c r="F140" s="46" t="str">
        <f aca="false">IFERROR(IF(((F61+E61)/2)&lt;=0,"N/M",(F22-0)/((F61+E61)/2)),"N/M")</f>
        <v>N/M</v>
      </c>
      <c r="G140" s="46" t="str">
        <f aca="false">IFERROR(IF(((G61+F61)/2)&lt;=0,"N/M",(G22-0)/((G61+F61)/2)),"N/M")</f>
        <v>N/M</v>
      </c>
      <c r="H140" s="46" t="n">
        <f aca="false">IFERROR(IF(((H61+G61)/2)&lt;=0,"N/M",(H22-0)/((H61+G61)/2)),"N/M")</f>
        <v>-0.687986381322957</v>
      </c>
      <c r="I140" s="46" t="n">
        <f aca="false">IFERROR(IF(((I61+H61)/2)&lt;=0,"N/M",(I22-0)/((I61+H61)/2)),"N/M")</f>
        <v>-2.15699373695198</v>
      </c>
      <c r="J140" s="46" t="n">
        <f aca="false">IFERROR(IF(((J61+I61)/2)&lt;=0,"N/M",(J22-0)/((J61+I61)/2)),"N/M")</f>
        <v>0.779007271577616</v>
      </c>
      <c r="K140" s="25" t="n">
        <f aca="false">IFERROR(AVERAGE(D140:J140),"N/M")</f>
        <v>-0.565406553172074</v>
      </c>
      <c r="L140" s="86" t="n">
        <f aca="false">IFERROR(J140-D140,"N/M")</f>
        <v>0.974660637568587</v>
      </c>
      <c r="M140" s="87" t="n">
        <f aca="false">IFERROR(SLOPE(D140:J140,$D$3:$J$3),"N/M")</f>
        <v>-0.0183986642412021</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-18.2799371541772</v>
      </c>
      <c r="E143" s="95" t="n">
        <f aca="false">IFERROR(IF(E48&lt;=0,"N/M",E22/E48),"N/M")</f>
        <v>-198.029236969738</v>
      </c>
      <c r="F143" s="95" t="n">
        <f aca="false">IFERROR(IF(F48&lt;=0,"N/M",F22/F48),"N/M")</f>
        <v>-44.4736662340324</v>
      </c>
      <c r="G143" s="95" t="n">
        <f aca="false">IFERROR(IF(G48&lt;=0,"N/M",G22/G48),"N/M")</f>
        <v>-127.808855308127</v>
      </c>
      <c r="H143" s="95" t="n">
        <f aca="false">IFERROR(IF(H48&lt;=0,"N/M",H22/H48),"N/M")</f>
        <v>-4.33569863139665</v>
      </c>
      <c r="I143" s="95" t="n">
        <f aca="false">IFERROR(IF(I48&lt;=0,"N/M",I22/I48),"N/M")</f>
        <v>-3.95868135910129</v>
      </c>
      <c r="J143" s="95" t="n">
        <f aca="false">IFERROR(IF(J48&lt;=0,"N/M",J22/J48),"N/M")</f>
        <v>6.17698671346202</v>
      </c>
      <c r="K143" s="96" t="n">
        <f aca="false">IFERROR(AVERAGE(D143:J143),"N/M")</f>
        <v>-55.8155841347302</v>
      </c>
      <c r="L143" s="97" t="n">
        <f aca="false">IFERROR(J143-D143,"N/M")</f>
        <v>24.4569238676392</v>
      </c>
      <c r="M143" s="98" t="n">
        <f aca="false">IFERROR(SLOPE(D143:J143,$D$3:$J$3),"N/M")</f>
        <v>17.9160660866724</v>
      </c>
    </row>
    <row r="144" customFormat="false" ht="15" hidden="false" customHeight="false" outlineLevel="0" collapsed="false">
      <c r="A144" s="18" t="s">
        <v>606</v>
      </c>
      <c r="B144" s="19" t="s">
        <v>607</v>
      </c>
      <c r="D144" s="95" t="n">
        <f aca="false">IFERROR(IF(D48&lt;=0,"N/M",(D22+D18)/D48),"N/M")</f>
        <v>-3.85784548124872</v>
      </c>
      <c r="E144" s="95" t="n">
        <f aca="false">IFERROR(IF(E48&lt;=0,"N/M",(E22+E18)/E48),"N/M")</f>
        <v>-184.580572443473</v>
      </c>
      <c r="F144" s="95" t="n">
        <f aca="false">IFERROR(IF(F48&lt;=0,"N/M",(F22+F18)/F48),"N/M")</f>
        <v>-32.3194890361363</v>
      </c>
      <c r="G144" s="95" t="n">
        <f aca="false">IFERROR(IF(G48&lt;=0,"N/M",(G22+G18)/G48),"N/M")</f>
        <v>-119.276923784273</v>
      </c>
      <c r="H144" s="95" t="n">
        <f aca="false">IFERROR(IF(H48&lt;=0,"N/M",(H22+H18)/H48),"N/M")</f>
        <v>3.0697788471854</v>
      </c>
      <c r="I144" s="95" t="n">
        <f aca="false">IFERROR(IF(I48&lt;=0,"N/M",(I22+I18)/I48),"N/M")</f>
        <v>1.82378273996536</v>
      </c>
      <c r="J144" s="95" t="n">
        <f aca="false">IFERROR(IF(J48&lt;=0,"N/M",(J22+J18)/J48),"N/M")</f>
        <v>11.4026071697167</v>
      </c>
      <c r="K144" s="96" t="n">
        <f aca="false">IFERROR(AVERAGE(D144:J144),"N/M")</f>
        <v>-46.2483802840376</v>
      </c>
      <c r="L144" s="97" t="n">
        <f aca="false">IFERROR(J144-D144,"N/M")</f>
        <v>15.2604526509654</v>
      </c>
      <c r="M144" s="98" t="n">
        <f aca="false">IFERROR(SLOPE(D144:J144,$D$3:$J$3),"N/M")</f>
        <v>16.2135477215391</v>
      </c>
    </row>
    <row r="145" customFormat="false" ht="15" hidden="false" customHeight="false" outlineLevel="0" collapsed="false">
      <c r="A145" s="18" t="s">
        <v>608</v>
      </c>
      <c r="B145" s="19" t="s">
        <v>609</v>
      </c>
      <c r="D145" s="95" t="n">
        <f aca="false">IFERROR(IF(D48&lt;=0,"N/M",D61/D48),"N/M")</f>
        <v>83.9708996516156</v>
      </c>
      <c r="E145" s="95" t="n">
        <f aca="false">IFERROR(IF(E48&lt;=0,"N/M",E61/E48),"N/M")</f>
        <v>-114.058337318123</v>
      </c>
      <c r="F145" s="95" t="n">
        <f aca="false">IFERROR(IF(F48&lt;=0,"N/M",F61/F48),"N/M")</f>
        <v>-158.974315185464</v>
      </c>
      <c r="G145" s="95" t="n">
        <f aca="false">IFERROR(IF(G48&lt;=0,"N/M",G61/G48),"N/M")</f>
        <v>8.20242455823078</v>
      </c>
      <c r="H145" s="95" t="n">
        <f aca="false">IFERROR(IF(H48&lt;=0,"N/M",H61/H48),"N/M")</f>
        <v>4.40160002452145</v>
      </c>
      <c r="I145" s="95" t="n">
        <f aca="false">IFERROR(IF(I48&lt;=0,"N/M",I61/I48),"N/M")</f>
        <v>-0.731045686523931</v>
      </c>
      <c r="J145" s="95" t="n">
        <f aca="false">IFERROR(IF(J48&lt;=0,"N/M",J61/J48),"N/M")</f>
        <v>16.456505389822</v>
      </c>
      <c r="K145" s="96" t="n">
        <f aca="false">IFERROR(AVERAGE(D145:J145),"N/M")</f>
        <v>-22.9617526522744</v>
      </c>
      <c r="L145" s="97" t="n">
        <f aca="false">IFERROR(J145-D145,"N/M")</f>
        <v>-67.5143942617935</v>
      </c>
      <c r="M145" s="98" t="n">
        <f aca="false">IFERROR(SLOPE(D145:J145,$D$3:$J$3),"N/M")</f>
        <v>6.69597556027865</v>
      </c>
    </row>
    <row r="146" customFormat="false" ht="15" hidden="false" customHeight="false" outlineLevel="0" collapsed="false">
      <c r="A146" s="18" t="s">
        <v>145</v>
      </c>
      <c r="B146" s="19" t="s">
        <v>610</v>
      </c>
      <c r="D146" s="47" t="n">
        <f aca="false">IFERROR(IF(D49=0,"N/C",IF(D145&lt;=0,"N/M",D47/D145)),"N/M")</f>
        <v>0.0629980150498271</v>
      </c>
      <c r="E146" s="47" t="str">
        <f aca="false">IFERROR(IF(E49=0,"N/C",IF(E145&lt;=0,"N/M",E47/E145)),"N/M")</f>
        <v>N/M</v>
      </c>
      <c r="F146" s="47" t="str">
        <f aca="false">IFERROR(IF(F49=0,"N/C",IF(F145&lt;=0,"N/M",F47/F145)),"N/M")</f>
        <v>N/M</v>
      </c>
      <c r="G146" s="47" t="n">
        <f aca="false">IFERROR(IF(G49=0,"N/C",IF(G145&lt;=0,"N/M",G47/G145)),"N/M")</f>
        <v>0.782695403587444</v>
      </c>
      <c r="H146" s="47" t="n">
        <f aca="false">IFERROR(IF(H49=0,"N/C",IF(H145&lt;=0,"N/M",H47/H145)),"N/M")</f>
        <v>33.4310248955432</v>
      </c>
      <c r="I146" s="47" t="str">
        <f aca="false">IFERROR(IF(I49=0,"N/C",IF(I145&lt;=0,"N/M",I47/I145)),"N/M")</f>
        <v>N/M</v>
      </c>
      <c r="J146" s="47" t="n">
        <f aca="false">IFERROR(IF(J49=0,"N/C",IF(J145&lt;=0,"N/M",J47/J145)),"N/M")</f>
        <v>3.82888095056745</v>
      </c>
      <c r="K146" s="22" t="n">
        <f aca="false">IFERROR(AVERAGE(D146:J146),"N/M")</f>
        <v>9.52639981618697</v>
      </c>
      <c r="L146" s="82" t="n">
        <f aca="false">IFERROR(J146-D146,"N/M")</f>
        <v>3.76588293551762</v>
      </c>
      <c r="M146" s="83" t="n">
        <f aca="false">IFERROR(SLOPE(D146:J146,$D$3:$J$3),"N/M")</f>
        <v>1.87745460724848</v>
      </c>
    </row>
    <row r="147" customFormat="false" ht="15" hidden="false" customHeight="false" outlineLevel="0" collapsed="false">
      <c r="A147" s="18" t="s">
        <v>611</v>
      </c>
      <c r="B147" s="19" t="s">
        <v>612</v>
      </c>
      <c r="D147" s="95" t="n">
        <f aca="false">IFERROR(IF(D48&lt;=0,"N/M",D23/D48),"N/M")</f>
        <v>0</v>
      </c>
      <c r="E147" s="95" t="n">
        <f aca="false">IFERROR(IF(E48&lt;=0,"N/M",E23/E48),"N/M")</f>
        <v>0</v>
      </c>
      <c r="F147" s="95" t="n">
        <f aca="false">IFERROR(IF(F48&lt;=0,"N/M",F23/F48),"N/M")</f>
        <v>0</v>
      </c>
      <c r="G147" s="95" t="n">
        <f aca="false">IFERROR(IF(G48&lt;=0,"N/M",G23/G48),"N/M")</f>
        <v>0</v>
      </c>
      <c r="H147" s="95" t="n">
        <f aca="false">IFERROR(IF(H48&lt;=0,"N/M",H23/H48),"N/M")</f>
        <v>0</v>
      </c>
      <c r="I147" s="95" t="n">
        <f aca="false">IFERROR(IF(I48&lt;=0,"N/M",I23/I48),"N/M")</f>
        <v>0</v>
      </c>
      <c r="J147" s="95" t="n">
        <f aca="false">IFERROR(IF(J48&lt;=0,"N/M",J23/J48),"N/M")</f>
        <v>0</v>
      </c>
      <c r="K147" s="96" t="n">
        <f aca="false">IFERROR(AVERAGE(D147:J147),"N/M")</f>
        <v>0</v>
      </c>
      <c r="L147" s="97" t="n">
        <f aca="false">IFERROR(J147-D147,"N/M")</f>
        <v>0</v>
      </c>
      <c r="M147" s="98" t="n">
        <f aca="false">IFERROR(SLOPE(D147:J147,$D$3:$J$3),"N/M")</f>
        <v>0</v>
      </c>
    </row>
    <row r="148" customFormat="false" ht="15" hidden="false" customHeight="false" outlineLevel="0" collapsed="false">
      <c r="A148" s="18" t="s">
        <v>613</v>
      </c>
      <c r="B148" s="19" t="s">
        <v>614</v>
      </c>
      <c r="D148" s="46" t="str">
        <f aca="false">IFERROR(IF(D143&lt;=0,"N/M",D147/D143),"N/M")</f>
        <v>N/M</v>
      </c>
      <c r="E148" s="46" t="str">
        <f aca="false">IFERROR(IF(E143&lt;=0,"N/M",E147/E143),"N/M")</f>
        <v>N/M</v>
      </c>
      <c r="F148" s="46" t="str">
        <f aca="false">IFERROR(IF(F143&lt;=0,"N/M",F147/F143),"N/M")</f>
        <v>N/M</v>
      </c>
      <c r="G148" s="46" t="str">
        <f aca="false">IFERROR(IF(G143&lt;=0,"N/M",G147/G143),"N/M")</f>
        <v>N/M</v>
      </c>
      <c r="H148" s="46" t="str">
        <f aca="false">IFERROR(IF(H143&lt;=0,"N/M",H147/H143),"N/M")</f>
        <v>N/M</v>
      </c>
      <c r="I148" s="46" t="str">
        <f aca="false">IFERROR(IF(I143&lt;=0,"N/M",I147/I143),"N/M")</f>
        <v>N/M</v>
      </c>
      <c r="J148" s="46" t="n">
        <f aca="false">IFERROR(IF(J143&lt;=0,"N/M",J147/J143),"N/M")</f>
        <v>0</v>
      </c>
      <c r="K148" s="25" t="n">
        <f aca="false">IFERROR(AVERAGE(D148:J148),"N/M")</f>
        <v>0</v>
      </c>
      <c r="L148" s="86" t="str">
        <f aca="false">IFERROR(J148-D148,"N/M")</f>
        <v>N/M</v>
      </c>
      <c r="M148" s="87" t="str">
        <f aca="false">IFERROR(SLOPE(D148:J148,$D$3:$J$3),"N/M")</f>
        <v>N/M</v>
      </c>
    </row>
    <row r="149" customFormat="false" ht="15" hidden="false" customHeight="false" outlineLevel="0" collapsed="false">
      <c r="A149" s="18" t="s">
        <v>615</v>
      </c>
      <c r="B149" s="19" t="s">
        <v>616</v>
      </c>
      <c r="D149" s="46" t="str">
        <f aca="false">IFERROR((1-D148),"N/M")</f>
        <v>N/M</v>
      </c>
      <c r="E149" s="46" t="str">
        <f aca="false">IFERROR((1-E148),"N/M")</f>
        <v>N/M</v>
      </c>
      <c r="F149" s="46" t="str">
        <f aca="false">IFERROR((1-F148),"N/M")</f>
        <v>N/M</v>
      </c>
      <c r="G149" s="46" t="str">
        <f aca="false">IFERROR((1-G148),"N/M")</f>
        <v>N/M</v>
      </c>
      <c r="H149" s="46" t="str">
        <f aca="false">IFERROR((1-H148),"N/M")</f>
        <v>N/M</v>
      </c>
      <c r="I149" s="46" t="str">
        <f aca="false">IFERROR((1-I148),"N/M")</f>
        <v>N/M</v>
      </c>
      <c r="J149" s="46" t="n">
        <f aca="false">IFERROR((1-J148),"N/M")</f>
        <v>1</v>
      </c>
      <c r="K149" s="25" t="n">
        <f aca="false">IFERROR(AVERAGE(D149:J149),"N/M")</f>
        <v>1</v>
      </c>
      <c r="L149" s="86" t="str">
        <f aca="false">IFERROR(J149-D149,"N/M")</f>
        <v>N/M</v>
      </c>
      <c r="M149" s="87" t="str">
        <f aca="false">IFERROR(SLOPE(D149:J149,$D$3:$J$3),"N/M")</f>
        <v>N/M</v>
      </c>
    </row>
    <row r="150" customFormat="false" ht="15" hidden="false" customHeight="false" outlineLevel="0" collapsed="false">
      <c r="A150" s="18" t="s">
        <v>617</v>
      </c>
      <c r="B150" s="19" t="s">
        <v>618</v>
      </c>
      <c r="D150" s="46" t="n">
        <f aca="false">IFERROR(IF(D49=0,"N/C",IF(D47&lt;=0,"N/M",D143/D47)),"N/M")</f>
        <v>-3.45556467942858</v>
      </c>
      <c r="E150" s="46" t="n">
        <f aca="false">IFERROR(IF(E49=0,"N/C",IF(E47&lt;=0,"N/M",E143/E47)),"N/M")</f>
        <v>-22.840742441723</v>
      </c>
      <c r="F150" s="46" t="n">
        <f aca="false">IFERROR(IF(F49=0,"N/C",IF(F47&lt;=0,"N/M",F143/F47)),"N/M")</f>
        <v>-4.56140166502896</v>
      </c>
      <c r="G150" s="46" t="n">
        <f aca="false">IFERROR(IF(G49=0,"N/C",IF(G47&lt;=0,"N/M",G143/G47)),"N/M")</f>
        <v>-19.9079213875588</v>
      </c>
      <c r="H150" s="46" t="n">
        <f aca="false">IFERROR(IF(H49=0,"N/C",IF(H47&lt;=0,"N/M",H143/H47)),"N/M")</f>
        <v>-0.0294644827142144</v>
      </c>
      <c r="I150" s="46" t="n">
        <f aca="false">IFERROR(IF(I49=0,"N/C",IF(I47&lt;=0,"N/M",I143/I47)),"N/M")</f>
        <v>-0.0578500856218221</v>
      </c>
      <c r="J150" s="46" t="n">
        <f aca="false">IFERROR(IF(J49=0,"N/C",IF(J47&lt;=0,"N/M",J143/J47)),"N/M")</f>
        <v>0.0980318475394703</v>
      </c>
      <c r="K150" s="25" t="n">
        <f aca="false">IFERROR(AVERAGE(D150:J150),"N/M")</f>
        <v>-7.25070184207655</v>
      </c>
      <c r="L150" s="86" t="n">
        <f aca="false">IFERROR(J150-D150,"N/M")</f>
        <v>3.55359652696805</v>
      </c>
      <c r="M150" s="87" t="n">
        <f aca="false">IFERROR(SLOPE(D150:J150,$D$3:$J$3),"N/M")</f>
        <v>2.1699468384079</v>
      </c>
    </row>
    <row r="151" customFormat="false" ht="15" hidden="false" customHeight="false" outlineLevel="0" collapsed="false">
      <c r="A151" s="18" t="s">
        <v>146</v>
      </c>
      <c r="B151" s="19" t="s">
        <v>619</v>
      </c>
      <c r="D151" s="46" t="n">
        <f aca="false">IFERROR(IF(D49=0,"N/C",IF(D47&lt;=0,"N/M",D147/D47)),"N/M")</f>
        <v>0</v>
      </c>
      <c r="E151" s="46" t="n">
        <f aca="false">IFERROR(IF(E49=0,"N/C",IF(E47&lt;=0,"N/M",E147/E47)),"N/M")</f>
        <v>0</v>
      </c>
      <c r="F151" s="46" t="n">
        <f aca="false">IFERROR(IF(F49=0,"N/C",IF(F47&lt;=0,"N/M",F147/F47)),"N/M")</f>
        <v>0</v>
      </c>
      <c r="G151" s="46" t="n">
        <f aca="false">IFERROR(IF(G49=0,"N/C",IF(G47&lt;=0,"N/M",G147/G47)),"N/M")</f>
        <v>0</v>
      </c>
      <c r="H151" s="46" t="n">
        <f aca="false">IFERROR(IF(H49=0,"N/C",IF(H47&lt;=0,"N/M",H147/H47)),"N/M")</f>
        <v>0</v>
      </c>
      <c r="I151" s="46" t="n">
        <f aca="false">IFERROR(IF(I49=0,"N/C",IF(I47&lt;=0,"N/M",I147/I47)),"N/M")</f>
        <v>0</v>
      </c>
      <c r="J151" s="46" t="n">
        <f aca="false">IFERROR(IF(J49=0,"N/C",IF(J47&lt;=0,"N/M",J147/J47)),"N/M")</f>
        <v>0</v>
      </c>
      <c r="K151" s="25" t="n">
        <f aca="false">IFERROR(AVERAGE(D151:J151),"N/M")</f>
        <v>0</v>
      </c>
      <c r="L151" s="86" t="n">
        <f aca="false">IFERROR(J151-D151,"N/M")</f>
        <v>0</v>
      </c>
      <c r="M151" s="87" t="n">
        <f aca="false">IFERROR(SLOPE(D151:J151,$D$3:$J$3),"N/M")</f>
        <v>0</v>
      </c>
    </row>
    <row r="152" customFormat="false" ht="15" hidden="false" customHeight="false" outlineLevel="0" collapsed="false">
      <c r="A152" s="18" t="s">
        <v>143</v>
      </c>
      <c r="B152" s="19" t="s">
        <v>620</v>
      </c>
      <c r="D152" s="47" t="str">
        <f aca="false">IFERROR(IF(D49=0,"N/C",IF(D143&lt;=0,"N/M",D47/D143)),"N/M")</f>
        <v>N/M</v>
      </c>
      <c r="E152" s="47" t="str">
        <f aca="false">IFERROR(IF(E49=0,"N/C",IF(E143&lt;=0,"N/M",E47/E143)),"N/M")</f>
        <v>N/M</v>
      </c>
      <c r="F152" s="47" t="str">
        <f aca="false">IFERROR(IF(F49=0,"N/C",IF(F143&lt;=0,"N/M",F47/F143)),"N/M")</f>
        <v>N/M</v>
      </c>
      <c r="G152" s="47" t="str">
        <f aca="false">IFERROR(IF(G49=0,"N/C",IF(G143&lt;=0,"N/M",G47/G143)),"N/M")</f>
        <v>N/M</v>
      </c>
      <c r="H152" s="47" t="str">
        <f aca="false">IFERROR(IF(H49=0,"N/C",IF(H143&lt;=0,"N/M",H47/H143)),"N/M")</f>
        <v>N/M</v>
      </c>
      <c r="I152" s="47" t="str">
        <f aca="false">IFERROR(IF(I49=0,"N/C",IF(I143&lt;=0,"N/M",I47/I143)),"N/M")</f>
        <v>N/M</v>
      </c>
      <c r="J152" s="47" t="n">
        <f aca="false">IFERROR(IF(J49=0,"N/C",IF(J143&lt;=0,"N/M",J47/J143)),"N/M")</f>
        <v>10.2007666396104</v>
      </c>
      <c r="K152" s="22" t="n">
        <f aca="false">IFERROR(AVERAGE(D152:J152),"N/M")</f>
        <v>10.2007666396104</v>
      </c>
      <c r="L152" s="82" t="str">
        <f aca="false">IFERROR(J152-D152,"N/M")</f>
        <v>N/M</v>
      </c>
      <c r="M152" s="83" t="str">
        <f aca="false">IFERROR(SLOPE(D152:J152,$D$3:$J$3),"N/M")</f>
        <v>N/M</v>
      </c>
    </row>
    <row r="153" customFormat="false" ht="15" hidden="false" customHeight="false" outlineLevel="0" collapsed="false">
      <c r="A153" s="18" t="s">
        <v>148</v>
      </c>
      <c r="B153" s="19" t="s">
        <v>621</v>
      </c>
      <c r="D153" s="46" t="n">
        <f aca="false">IFERROR(IF(C47&lt;=0,"N/M",((D147+D47)-C47)/C47),"N/M")</f>
        <v>-0.953633096678061</v>
      </c>
      <c r="E153" s="46" t="n">
        <f aca="false">IFERROR(IF(D47&lt;=0,"N/M",((E147+E47)-D47)/D47),"N/M")</f>
        <v>0.638941398865785</v>
      </c>
      <c r="F153" s="46" t="n">
        <f aca="false">IFERROR(IF(E47&lt;=0,"N/M",((F147+F47)-E47)/E47),"N/M")</f>
        <v>0.124567474048443</v>
      </c>
      <c r="G153" s="46" t="n">
        <f aca="false">IFERROR(IF(F47&lt;=0,"N/M",((G147+G47)-F47)/F47),"N/M")</f>
        <v>-0.341538461538462</v>
      </c>
      <c r="H153" s="46" t="n">
        <f aca="false">IFERROR(IF(G47&lt;=0,"N/M",((H147+H47)-G47)/G47),"N/M")</f>
        <v>21.9205607476636</v>
      </c>
      <c r="I153" s="46" t="n">
        <f aca="false">IFERROR(IF(H47&lt;=0,"N/M",((I147+I47)-H47)/H47),"N/M")</f>
        <v>-0.534964322120285</v>
      </c>
      <c r="J153" s="46" t="n">
        <f aca="false">IFERROR(IF(I47&lt;=0,"N/M",((J147+J47)-I47)/I47),"N/M")</f>
        <v>-0.0792050270349263</v>
      </c>
      <c r="K153" s="25" t="n">
        <f aca="false">IFERROR(AVERAGE(D153:J153),"N/M")</f>
        <v>2.96781838760086</v>
      </c>
      <c r="L153" s="86" t="n">
        <f aca="false">IFERROR(J153-D153,"N/M")</f>
        <v>0.874428069643135</v>
      </c>
      <c r="M153" s="87" t="n">
        <f aca="false">IFERROR(SLOPE(D153:J153,$D$3:$J$3),"N/M")</f>
        <v>0.788266644306156</v>
      </c>
    </row>
    <row r="154" customFormat="false" ht="15" hidden="false" customHeight="false" outlineLevel="0" collapsed="false">
      <c r="A154" s="18" t="s">
        <v>147</v>
      </c>
      <c r="B154" s="19" t="s">
        <v>622</v>
      </c>
      <c r="D154" s="47" t="n">
        <f aca="false">IFERROR(IF(D49=0,"N/C",IF(D59&lt;=0,"N/M",D70/D59)),"N/M")</f>
        <v>193.24633803681</v>
      </c>
      <c r="E154" s="47" t="str">
        <f aca="false">IFERROR(IF(E49=0,"N/C",IF(E59&lt;=0,"N/M",E70/E59)),"N/M")</f>
        <v>N/M</v>
      </c>
      <c r="F154" s="47" t="str">
        <f aca="false">IFERROR(IF(F49=0,"N/C",IF(F59&lt;=0,"N/M",F70/F59)),"N/M")</f>
        <v>N/M</v>
      </c>
      <c r="G154" s="47" t="str">
        <f aca="false">IFERROR(IF(G49=0,"N/C",IF(G59&lt;=0,"N/M",G70/G59)),"N/M")</f>
        <v>N/M</v>
      </c>
      <c r="H154" s="47" t="n">
        <f aca="false">IFERROR(IF(H49=0,"N/C",IF(H59&lt;=0,"N/M",H70/H59)),"N/M")</f>
        <v>21.1529740310686</v>
      </c>
      <c r="I154" s="47" t="n">
        <f aca="false">IFERROR(IF(I49=0,"N/C",IF(I59&lt;=0,"N/M",I70/I59)),"N/M")</f>
        <v>19.2556487664146</v>
      </c>
      <c r="J154" s="47" t="n">
        <f aca="false">IFERROR(IF(J49=0,"N/C",IF(J59&lt;=0,"N/M",J70/J59)),"N/M")</f>
        <v>5.39680199063232</v>
      </c>
      <c r="K154" s="22" t="n">
        <f aca="false">IFERROR(AVERAGE(D154:J154),"N/M")</f>
        <v>59.7629407062314</v>
      </c>
      <c r="L154" s="82" t="n">
        <f aca="false">IFERROR(J154-D154,"N/M")</f>
        <v>-187.849536046178</v>
      </c>
      <c r="M154" s="83" t="n">
        <f aca="false">IFERROR(SLOPE(D154:J154,$D$3:$J$3),"N/M")</f>
        <v>-32.9240076478713</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-0.106418515867335</v>
      </c>
      <c r="E157" s="46" t="n">
        <f aca="false">IFERROR(E124,"N/M")</f>
        <v>-2.3024442547108</v>
      </c>
      <c r="F157" s="46" t="n">
        <f aca="false">IFERROR(F124,"N/M")</f>
        <v>-0.746467165419784</v>
      </c>
      <c r="G157" s="46" t="n">
        <f aca="false">IFERROR(G124,"N/M")</f>
        <v>-2.12680115273775</v>
      </c>
      <c r="H157" s="46" t="n">
        <f aca="false">IFERROR(H124,"N/M")</f>
        <v>-0.12795694061242</v>
      </c>
      <c r="I157" s="46" t="n">
        <f aca="false">IFERROR(I124,"N/M")</f>
        <v>-0.116445766837977</v>
      </c>
      <c r="J157" s="46" t="n">
        <f aca="false">IFERROR(J124,"N/M")</f>
        <v>0.127774320680357</v>
      </c>
      <c r="K157" s="25" t="n">
        <f aca="false">IFERROR(AVERAGE(D157:J157),"N/M")</f>
        <v>-0.771251353643673</v>
      </c>
      <c r="L157" s="86" t="n">
        <f aca="false">IFERROR(J157-D157,"N/M")</f>
        <v>0.234192836547692</v>
      </c>
      <c r="M157" s="87" t="n">
        <f aca="false">IFERROR(SLOPE(D157:J157,$D$3:$J$3),"N/M")</f>
        <v>0.20332448964986</v>
      </c>
    </row>
    <row r="158" customFormat="false" ht="15" hidden="false" customHeight="false" outlineLevel="0" collapsed="false">
      <c r="A158" s="18" t="s">
        <v>625</v>
      </c>
      <c r="B158" s="19" t="s">
        <v>626</v>
      </c>
      <c r="D158" s="47" t="n">
        <f aca="false">IFERROR(D113,"N/M")</f>
        <v>0.364709636247607</v>
      </c>
      <c r="E158" s="47" t="n">
        <f aca="false">IFERROR(E113,"N/M")</f>
        <v>0.223935082258782</v>
      </c>
      <c r="F158" s="47" t="n">
        <f aca="false">IFERROR(F113,"N/M")</f>
        <v>0.211651863715783</v>
      </c>
      <c r="G158" s="47" t="n">
        <f aca="false">IFERROR(G113,"N/M")</f>
        <v>0.332495261999754</v>
      </c>
      <c r="H158" s="47" t="n">
        <f aca="false">IFERROR(H113,"N/M")</f>
        <v>0.28334881932652</v>
      </c>
      <c r="I158" s="47" t="n">
        <f aca="false">IFERROR(I113,"N/M")</f>
        <v>0.272765839712257</v>
      </c>
      <c r="J158" s="47" t="n">
        <f aca="false">IFERROR(J113,"N/M")</f>
        <v>0.436872748691693</v>
      </c>
      <c r="K158" s="22" t="n">
        <f aca="false">IFERROR(AVERAGE(D158:J158),"N/M")</f>
        <v>0.303682750278914</v>
      </c>
      <c r="L158" s="82" t="n">
        <f aca="false">IFERROR(J158-D158,"N/M")</f>
        <v>0.0721631124440857</v>
      </c>
      <c r="M158" s="83" t="n">
        <f aca="false">IFERROR(SLOPE(D158:J158,$D$3:$J$3),"N/M")</f>
        <v>0.0137802788517837</v>
      </c>
    </row>
    <row r="159" customFormat="false" ht="15" hidden="false" customHeight="false" outlineLevel="0" collapsed="false">
      <c r="A159" s="18" t="s">
        <v>627</v>
      </c>
      <c r="B159" s="19" t="s">
        <v>628</v>
      </c>
      <c r="D159" s="46" t="n">
        <f aca="false">IFERROR((D157*D158),"N/M")</f>
        <v>-0.0388118582119858</v>
      </c>
      <c r="E159" s="46" t="n">
        <f aca="false">IFERROR((E157*E158),"N/M")</f>
        <v>-0.515598043574922</v>
      </c>
      <c r="F159" s="46" t="n">
        <f aca="false">IFERROR((F157*F158),"N/M")</f>
        <v>-0.157991166763735</v>
      </c>
      <c r="G159" s="46" t="n">
        <f aca="false">IFERROR((G157*G158),"N/M")</f>
        <v>-0.707151306500918</v>
      </c>
      <c r="H159" s="46" t="n">
        <f aca="false">IFERROR((H157*H158),"N/M")</f>
        <v>-0.0362564480471629</v>
      </c>
      <c r="I159" s="46" t="n">
        <f aca="false">IFERROR((I157*I158),"N/M")</f>
        <v>-0.0317624273724984</v>
      </c>
      <c r="J159" s="46" t="n">
        <f aca="false">IFERROR((J157*J158),"N/M")</f>
        <v>0.0558211186878412</v>
      </c>
      <c r="K159" s="25" t="n">
        <f aca="false">IFERROR(AVERAGE(D159:J159),"N/M")</f>
        <v>-0.204535733111912</v>
      </c>
      <c r="L159" s="86" t="n">
        <f aca="false">IFERROR(J159-D159,"N/M")</f>
        <v>0.0946329768998271</v>
      </c>
      <c r="M159" s="87" t="n">
        <f aca="false">IFERROR(SLOPE(D159:J159,$D$3:$J$3),"N/M")</f>
        <v>0.049046602922175</v>
      </c>
    </row>
    <row r="160" customFormat="false" ht="15" hidden="false" customHeight="false" outlineLevel="0" collapsed="false">
      <c r="A160" s="18" t="s">
        <v>629</v>
      </c>
      <c r="B160" s="19" t="s">
        <v>630</v>
      </c>
      <c r="D160" s="47" t="n">
        <f aca="false">IFERROR(IF(((D61+C61)/2)&lt;=0,"N/M",((D35+C35)/2)/((D61+C61)/2)),"N/M")</f>
        <v>5.0410718528944</v>
      </c>
      <c r="E160" s="47" t="str">
        <f aca="false">IFERROR(IF(((E61+D61)/2)&lt;=0,"N/M",((E35+D35)/2)/((E61+D61)/2)),"N/M")</f>
        <v>N/M</v>
      </c>
      <c r="F160" s="47" t="str">
        <f aca="false">IFERROR(IF(((F61+E61)/2)&lt;=0,"N/M",((F35+E35)/2)/((F61+E61)/2)),"N/M")</f>
        <v>N/M</v>
      </c>
      <c r="G160" s="47" t="str">
        <f aca="false">IFERROR(IF(((G61+F61)/2)&lt;=0,"N/M",((G35+F35)/2)/((G61+F61)/2)),"N/M")</f>
        <v>N/M</v>
      </c>
      <c r="H160" s="47" t="n">
        <f aca="false">IFERROR(IF(((H61+G61)/2)&lt;=0,"N/M",((H35+G35)/2)/((H61+G61)/2)),"N/M")</f>
        <v>18.9755593385214</v>
      </c>
      <c r="I160" s="47" t="n">
        <f aca="false">IFERROR(IF(((I61+H61)/2)&lt;=0,"N/M",((I35+H35)/2)/((I61+H61)/2)),"N/M")</f>
        <v>67.9102296450939</v>
      </c>
      <c r="J160" s="47" t="n">
        <f aca="false">IFERROR(IF(((J61+I61)/2)&lt;=0,"N/M",((J35+I35)/2)/((J61+I61)/2)),"N/M")</f>
        <v>13.9554220676573</v>
      </c>
      <c r="K160" s="22" t="n">
        <f aca="false">IFERROR(AVERAGE(D160:J160),"N/M")</f>
        <v>26.4705707260418</v>
      </c>
      <c r="L160" s="82" t="n">
        <f aca="false">IFERROR(J160-D160,"N/M")</f>
        <v>8.91435021476288</v>
      </c>
      <c r="M160" s="83" t="n">
        <f aca="false">IFERROR(SLOPE(D160:J160,$D$3:$J$3),"N/M")</f>
        <v>4.92180034192157</v>
      </c>
    </row>
    <row r="161" customFormat="false" ht="15" hidden="false" customHeight="false" outlineLevel="0" collapsed="false">
      <c r="A161" s="18" t="s">
        <v>631</v>
      </c>
      <c r="B161" s="19" t="s">
        <v>632</v>
      </c>
      <c r="D161" s="46" t="n">
        <f aca="false">IFERROR(((D157*D158)*D160),"N/M")</f>
        <v>-0.19565336599097</v>
      </c>
      <c r="E161" s="46" t="str">
        <f aca="false">IFERROR(((E157*E158)*E160),"N/M")</f>
        <v>N/M</v>
      </c>
      <c r="F161" s="46" t="str">
        <f aca="false">IFERROR(((F157*F158)*F160),"N/M")</f>
        <v>N/M</v>
      </c>
      <c r="G161" s="46" t="str">
        <f aca="false">IFERROR(((G157*G158)*G160),"N/M")</f>
        <v>N/M</v>
      </c>
      <c r="H161" s="46" t="n">
        <f aca="false">IFERROR(((H157*H158)*H160),"N/M")</f>
        <v>-0.687986381322957</v>
      </c>
      <c r="I161" s="46" t="n">
        <f aca="false">IFERROR(((I157*I158)*I160),"N/M")</f>
        <v>-2.15699373695198</v>
      </c>
      <c r="J161" s="46" t="n">
        <f aca="false">IFERROR(((J157*J158)*J160),"N/M")</f>
        <v>0.779007271577616</v>
      </c>
      <c r="K161" s="25" t="n">
        <f aca="false">IFERROR(AVERAGE(D161:J161),"N/M")</f>
        <v>-0.565406553172074</v>
      </c>
      <c r="L161" s="86" t="n">
        <f aca="false">IFERROR(J161-D161,"N/M")</f>
        <v>0.974660637568587</v>
      </c>
      <c r="M161" s="87" t="n">
        <f aca="false">IFERROR(SLOPE(D161:J161,$D$3:$J$3),"N/M")</f>
        <v>-0.0183986642412021</v>
      </c>
    </row>
    <row r="162" customFormat="false" ht="15" hidden="false" customHeight="false" outlineLevel="0" collapsed="false">
      <c r="A162" s="18" t="s">
        <v>633</v>
      </c>
      <c r="B162" s="19" t="s">
        <v>634</v>
      </c>
      <c r="D162" s="47" t="n">
        <f aca="false">IFERROR(IF(D20=0,"N/M",D22/D20),"N/M")</f>
        <v>0.805175267037761</v>
      </c>
      <c r="E162" s="47" t="n">
        <f aca="false">IFERROR(IF(E20=0,"N/M",E22/E20),"N/M")</f>
        <v>0.993897317219508</v>
      </c>
      <c r="F162" s="47" t="n">
        <f aca="false">IFERROR(IF(F20=0,"N/M",F22/F20),"N/M")</f>
        <v>1.03292083135015</v>
      </c>
      <c r="G162" s="47" t="n">
        <f aca="false">IFERROR(IF(G20=0,"N/M",G22/G20),"N/M")</f>
        <v>1.00773376513522</v>
      </c>
      <c r="H162" s="47" t="n">
        <f aca="false">IFERROR(IF(H20=0,"N/M",H22/H20),"N/M")</f>
        <v>1.19015565839293</v>
      </c>
      <c r="I162" s="47" t="n">
        <f aca="false">IFERROR(IF(I20=0,"N/M",I22/I20),"N/M")</f>
        <v>0.8408203125</v>
      </c>
      <c r="J162" s="47" t="n">
        <f aca="false">IFERROR(IF(J20=0,"N/M",J22/J20),"N/M")</f>
        <v>0.863198458574181</v>
      </c>
      <c r="K162" s="22" t="n">
        <f aca="false">IFERROR(AVERAGE(D162:J162),"N/M")</f>
        <v>0.961985944315679</v>
      </c>
      <c r="L162" s="82" t="n">
        <f aca="false">IFERROR(J162-D162,"N/M")</f>
        <v>0.0580231915364197</v>
      </c>
      <c r="M162" s="83" t="n">
        <f aca="false">IFERROR(SLOPE(D162:J162,$D$3:$J$3),"N/M")</f>
        <v>0.000898228293322308</v>
      </c>
    </row>
    <row r="163" customFormat="false" ht="15" hidden="false" customHeight="false" outlineLevel="0" collapsed="false">
      <c r="A163" s="18" t="s">
        <v>635</v>
      </c>
      <c r="B163" s="19" t="s">
        <v>636</v>
      </c>
      <c r="D163" s="47" t="n">
        <f aca="false">IFERROR(IF(D58=0,"N/M",D20/D58),"N/M")</f>
        <v>1.70588990119338</v>
      </c>
      <c r="E163" s="47" t="n">
        <f aca="false">IFERROR(IF(E58=0,"N/M",E20/E58),"N/M")</f>
        <v>1.13546340181604</v>
      </c>
      <c r="F163" s="47" t="n">
        <f aca="false">IFERROR(IF(F58=0,"N/M",F20/F58),"N/M")</f>
        <v>1.09246901811249</v>
      </c>
      <c r="G163" s="47" t="n">
        <f aca="false">IFERROR(IF(G58=0,"N/M",G20/G58),"N/M")</f>
        <v>1.02396772956185</v>
      </c>
      <c r="H163" s="47" t="n">
        <f aca="false">IFERROR(IF(H58=0,"N/M",H20/H58),"N/M")</f>
        <v>-1.5425048669695</v>
      </c>
      <c r="I163" s="47" t="n">
        <f aca="false">IFERROR(IF(I58=0,"N/M",I20/I58),"N/M")</f>
        <v>-2.45171588188348</v>
      </c>
      <c r="J163" s="47" t="n">
        <f aca="false">IFERROR(IF(J58=0,"N/M",J20/J58),"N/M")</f>
        <v>0.442181085895748</v>
      </c>
      <c r="K163" s="22" t="n">
        <f aca="false">IFERROR(AVERAGE(D163:J163),"N/M")</f>
        <v>0.200821483960932</v>
      </c>
      <c r="L163" s="82" t="n">
        <f aca="false">IFERROR(J163-D163,"N/M")</f>
        <v>-1.26370881529763</v>
      </c>
      <c r="M163" s="83" t="n">
        <f aca="false">IFERROR(SLOPE(D163:J163,$D$3:$J$3),"N/M")</f>
        <v>-0.485730674941926</v>
      </c>
    </row>
    <row r="164" customFormat="false" ht="15" hidden="false" customHeight="false" outlineLevel="0" collapsed="false">
      <c r="A164" s="18" t="s">
        <v>637</v>
      </c>
      <c r="B164" s="19" t="s">
        <v>577</v>
      </c>
      <c r="D164" s="46" t="n">
        <f aca="false">IFERROR(IF(D9&lt;=0,"N/M",D58/D9),"N/M")</f>
        <v>-0.0774775312176887</v>
      </c>
      <c r="E164" s="46" t="n">
        <f aca="false">IFERROR(IF(E9&lt;=0,"N/M",E58/E9),"N/M")</f>
        <v>-2.04020808927189</v>
      </c>
      <c r="F164" s="46" t="n">
        <f aca="false">IFERROR(IF(F9&lt;=0,"N/M",F58/F9),"N/M")</f>
        <v>-0.661507151661077</v>
      </c>
      <c r="G164" s="46" t="n">
        <f aca="false">IFERROR(IF(G9&lt;=0,"N/M",G58/G9),"N/M")</f>
        <v>-2.06107979903599</v>
      </c>
      <c r="H164" s="46" t="n">
        <f aca="false">IFERROR(IF(H9&lt;=0,"N/M",H58/H9),"N/M")</f>
        <v>0.0697001221222127</v>
      </c>
      <c r="I164" s="46" t="n">
        <f aca="false">IFERROR(IF(I9&lt;=0,"N/M",I58/I9),"N/M")</f>
        <v>0.0564872419078532</v>
      </c>
      <c r="J164" s="46" t="n">
        <f aca="false">IFERROR(IF(J9&lt;=0,"N/M",J58/J9),"N/M")</f>
        <v>0.334759386019498</v>
      </c>
      <c r="K164" s="25" t="n">
        <f aca="false">IFERROR(AVERAGE(D164:J164),"N/M")</f>
        <v>-0.625617974448153</v>
      </c>
      <c r="L164" s="86" t="n">
        <f aca="false">IFERROR(J164-D164,"N/M")</f>
        <v>0.412236917237187</v>
      </c>
      <c r="M164" s="87" t="n">
        <f aca="false">IFERROR(SLOPE(D164:J164,$D$3:$J$3),"N/M")</f>
        <v>0.22004673885194</v>
      </c>
    </row>
    <row r="165" customFormat="false" ht="15" hidden="false" customHeight="false" outlineLevel="0" collapsed="false">
      <c r="A165" s="18" t="s">
        <v>638</v>
      </c>
      <c r="B165" s="19" t="s">
        <v>626</v>
      </c>
      <c r="D165" s="47" t="n">
        <f aca="false">IFERROR(D113,"N/M")</f>
        <v>0.364709636247607</v>
      </c>
      <c r="E165" s="47" t="n">
        <f aca="false">IFERROR(E113,"N/M")</f>
        <v>0.223935082258782</v>
      </c>
      <c r="F165" s="47" t="n">
        <f aca="false">IFERROR(F113,"N/M")</f>
        <v>0.211651863715783</v>
      </c>
      <c r="G165" s="47" t="n">
        <f aca="false">IFERROR(G113,"N/M")</f>
        <v>0.332495261999754</v>
      </c>
      <c r="H165" s="47" t="n">
        <f aca="false">IFERROR(H113,"N/M")</f>
        <v>0.28334881932652</v>
      </c>
      <c r="I165" s="47" t="n">
        <f aca="false">IFERROR(I113,"N/M")</f>
        <v>0.272765839712257</v>
      </c>
      <c r="J165" s="47" t="n">
        <f aca="false">IFERROR(J113,"N/M")</f>
        <v>0.436872748691693</v>
      </c>
      <c r="K165" s="22" t="n">
        <f aca="false">IFERROR(AVERAGE(D165:J165),"N/M")</f>
        <v>0.303682750278914</v>
      </c>
      <c r="L165" s="82" t="n">
        <f aca="false">IFERROR(J165-D165,"N/M")</f>
        <v>0.0721631124440857</v>
      </c>
      <c r="M165" s="83" t="n">
        <f aca="false">IFERROR(SLOPE(D165:J165,$D$3:$J$3),"N/M")</f>
        <v>0.0137802788517837</v>
      </c>
    </row>
    <row r="166" customFormat="false" ht="15" hidden="false" customHeight="false" outlineLevel="0" collapsed="false">
      <c r="A166" s="18" t="s">
        <v>639</v>
      </c>
      <c r="B166" s="19" t="s">
        <v>640</v>
      </c>
      <c r="D166" s="47" t="n">
        <f aca="false">IFERROR(D160,"N/M")</f>
        <v>5.0410718528944</v>
      </c>
      <c r="E166" s="47" t="str">
        <f aca="false">IFERROR(E160,"N/M")</f>
        <v>N/M</v>
      </c>
      <c r="F166" s="47" t="str">
        <f aca="false">IFERROR(F160,"N/M")</f>
        <v>N/M</v>
      </c>
      <c r="G166" s="47" t="str">
        <f aca="false">IFERROR(G160,"N/M")</f>
        <v>N/M</v>
      </c>
      <c r="H166" s="47" t="n">
        <f aca="false">IFERROR(H160,"N/M")</f>
        <v>18.9755593385214</v>
      </c>
      <c r="I166" s="47" t="n">
        <f aca="false">IFERROR(I160,"N/M")</f>
        <v>67.9102296450939</v>
      </c>
      <c r="J166" s="47" t="n">
        <f aca="false">IFERROR(J160,"N/M")</f>
        <v>13.9554220676573</v>
      </c>
      <c r="K166" s="22" t="n">
        <f aca="false">IFERROR(AVERAGE(D166:J166),"N/M")</f>
        <v>26.4705707260418</v>
      </c>
      <c r="L166" s="82" t="n">
        <f aca="false">IFERROR(J166-D166,"N/M")</f>
        <v>8.91435021476288</v>
      </c>
      <c r="M166" s="83" t="n">
        <f aca="false">IFERROR(SLOPE(D166:J166,$D$3:$J$3),"N/M")</f>
        <v>4.92180034192157</v>
      </c>
    </row>
    <row r="167" customFormat="false" ht="15" hidden="false" customHeight="false" outlineLevel="0" collapsed="false">
      <c r="A167" s="18" t="s">
        <v>641</v>
      </c>
      <c r="B167" s="19" t="s">
        <v>642</v>
      </c>
      <c r="D167" s="46" t="n">
        <f aca="false">IFERROR(((((D162*D163)*D164)*D165)*D166),"N/M")</f>
        <v>-0.19565336599097</v>
      </c>
      <c r="E167" s="46" t="str">
        <f aca="false">IFERROR(((((E162*E163)*E164)*E165)*E166),"N/M")</f>
        <v>N/M</v>
      </c>
      <c r="F167" s="46" t="str">
        <f aca="false">IFERROR(((((F162*F163)*F164)*F165)*F166),"N/M")</f>
        <v>N/M</v>
      </c>
      <c r="G167" s="46" t="str">
        <f aca="false">IFERROR(((((G162*G163)*G164)*G165)*G166),"N/M")</f>
        <v>N/M</v>
      </c>
      <c r="H167" s="46" t="n">
        <f aca="false">IFERROR(((((H162*H163)*H164)*H165)*H166),"N/M")</f>
        <v>-0.687986381322957</v>
      </c>
      <c r="I167" s="46" t="n">
        <f aca="false">IFERROR(((((I162*I163)*I164)*I165)*I166),"N/M")</f>
        <v>-2.15699373695198</v>
      </c>
      <c r="J167" s="46" t="n">
        <f aca="false">IFERROR(((((J162*J163)*J164)*J165)*J166),"N/M")</f>
        <v>0.779007271577616</v>
      </c>
      <c r="K167" s="25" t="n">
        <f aca="false">IFERROR(AVERAGE(D167:J167),"N/M")</f>
        <v>-0.565406553172074</v>
      </c>
      <c r="L167" s="86" t="n">
        <f aca="false">IFERROR(J167-D167,"N/M")</f>
        <v>0.974660637568587</v>
      </c>
      <c r="M167" s="87" t="n">
        <f aca="false">IFERROR(SLOPE(D167:J167,$D$3:$J$3),"N/M")</f>
        <v>-0.0183986642412021</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str">
        <f aca="false">IFERROR(IF((1-(D135*D149))&lt;=0,"N/M",(D135*D149)/(1-(D135*D149))),"N/M")</f>
        <v>N/M</v>
      </c>
      <c r="E170" s="46" t="str">
        <f aca="false">IFERROR(IF((1-(E135*E149))&lt;=0,"N/M",(E135*E149)/(1-(E135*E149))),"N/M")</f>
        <v>N/M</v>
      </c>
      <c r="F170" s="46" t="str">
        <f aca="false">IFERROR(IF((1-(F135*F149))&lt;=0,"N/M",(F135*F149)/(1-(F135*F149))),"N/M")</f>
        <v>N/M</v>
      </c>
      <c r="G170" s="46" t="str">
        <f aca="false">IFERROR(IF((1-(G135*G149))&lt;=0,"N/M",(G135*G149)/(1-(G135*G149))),"N/M")</f>
        <v>N/M</v>
      </c>
      <c r="H170" s="46" t="str">
        <f aca="false">IFERROR(IF((1-(H135*H149))&lt;=0,"N/M",(H135*H149)/(1-(H135*H149))),"N/M")</f>
        <v>N/M</v>
      </c>
      <c r="I170" s="46" t="str">
        <f aca="false">IFERROR(IF((1-(I135*I149))&lt;=0,"N/M",(I135*I149)/(1-(I135*I149))),"N/M")</f>
        <v>N/M</v>
      </c>
      <c r="J170" s="46" t="n">
        <f aca="false">IFERROR(IF((1-(J135*J149))&lt;=0,"N/M",(J135*J149)/(1-(J135*J149))),"N/M")</f>
        <v>0.0591213379081988</v>
      </c>
      <c r="K170" s="25" t="n">
        <f aca="false">IFERROR(AVERAGE(D170:J170),"N/M")</f>
        <v>0.0591213379081988</v>
      </c>
      <c r="L170" s="86" t="str">
        <f aca="false">IFERROR(J170-D170,"N/M")</f>
        <v>N/M</v>
      </c>
      <c r="M170" s="87" t="str">
        <f aca="false">IFERROR(SLOPE(D170:J170,$D$3:$J$3),"N/M")</f>
        <v>N/M</v>
      </c>
    </row>
    <row r="171" customFormat="false" ht="15" hidden="false" customHeight="false" outlineLevel="0" collapsed="false">
      <c r="A171" s="18" t="s">
        <v>645</v>
      </c>
      <c r="B171" s="19" t="s">
        <v>646</v>
      </c>
      <c r="D171" s="46" t="str">
        <f aca="false">IFERROR(IF((1-(D139*D149))&lt;=0,"N/M",(D139*D149)/(1-(D139*D149))),"N/M")</f>
        <v>N/M</v>
      </c>
      <c r="E171" s="46" t="str">
        <f aca="false">IFERROR(IF((1-(E139*E149))&lt;=0,"N/M",(E139*E149)/(1-(E139*E149))),"N/M")</f>
        <v>N/M</v>
      </c>
      <c r="F171" s="46" t="str">
        <f aca="false">IFERROR(IF((1-(F139*F149))&lt;=0,"N/M",(F139*F149)/(1-(F139*F149))),"N/M")</f>
        <v>N/M</v>
      </c>
      <c r="G171" s="46" t="str">
        <f aca="false">IFERROR(IF((1-(G139*G149))&lt;=0,"N/M",(G139*G149)/(1-(G139*G149))),"N/M")</f>
        <v>N/M</v>
      </c>
      <c r="H171" s="46" t="str">
        <f aca="false">IFERROR(IF((1-(H139*H149))&lt;=0,"N/M",(H139*H149)/(1-(H139*H149))),"N/M")</f>
        <v>N/M</v>
      </c>
      <c r="I171" s="46" t="str">
        <f aca="false">IFERROR(IF((1-(I139*I149))&lt;=0,"N/M",(I139*I149)/(1-(I139*I149))),"N/M")</f>
        <v>N/M</v>
      </c>
      <c r="J171" s="46" t="n">
        <f aca="false">IFERROR(IF((1-(J139*J149))&lt;=0,"N/M",(J139*J149)/(1-(J139*J149))),"N/M")</f>
        <v>3.52503576537911</v>
      </c>
      <c r="K171" s="25" t="n">
        <f aca="false">IFERROR(AVERAGE(D171:J171),"N/M")</f>
        <v>3.52503576537911</v>
      </c>
      <c r="L171" s="86" t="str">
        <f aca="false">IFERROR(J171-D171,"N/M")</f>
        <v>N/M</v>
      </c>
      <c r="M171" s="87" t="str">
        <f aca="false">IFERROR(SLOPE(D171:J171,$D$3:$J$3),"N/M")</f>
        <v>N/M</v>
      </c>
    </row>
    <row r="172" customFormat="false" ht="15" hidden="false" customHeight="false" outlineLevel="0" collapsed="false">
      <c r="A172" s="18" t="s">
        <v>647</v>
      </c>
      <c r="B172" s="19" t="s">
        <v>648</v>
      </c>
      <c r="D172" s="46" t="n">
        <f aca="false">IFERROR((IF(C9&lt;=0,"N/M",D9/C9)-1),"N/M")</f>
        <v>-0.419193902298187</v>
      </c>
      <c r="E172" s="46" t="n">
        <f aca="false">IFERROR((IF(D9&lt;=0,"N/M",E9/D9)-1),"N/M")</f>
        <v>-0.499294122325618</v>
      </c>
      <c r="F172" s="46" t="n">
        <f aca="false">IFERROR((IF(E9&lt;=0,"N/M",F9/E9)-1),"N/M")</f>
        <v>-0.30728908126998</v>
      </c>
      <c r="G172" s="46" t="n">
        <f aca="false">IFERROR((IF(F9&lt;=0,"N/M",G9/F9)-1),"N/M")</f>
        <v>0.12394301602316</v>
      </c>
      <c r="H172" s="46" t="n">
        <f aca="false">IFERROR((IF(G9&lt;=0,"N/M",H9/G9)-1),"N/M")</f>
        <v>-0.436153120297876</v>
      </c>
      <c r="I172" s="46" t="n">
        <f aca="false">IFERROR((IF(H9&lt;=0,"N/M",I9/H9)-1),"N/M")</f>
        <v>0.00330182278710023</v>
      </c>
      <c r="J172" s="46" t="n">
        <f aca="false">IFERROR((IF(I9&lt;=0,"N/M",J9/I9)-1),"N/M")</f>
        <v>0.738707059778199</v>
      </c>
      <c r="K172" s="25" t="n">
        <f aca="false">IFERROR(AVERAGE(D172:J172),"N/M")</f>
        <v>-0.1137111896576</v>
      </c>
      <c r="L172" s="86" t="n">
        <f aca="false">IFERROR(J172-D172,"N/M")</f>
        <v>1.15790096207639</v>
      </c>
      <c r="M172" s="87" t="n">
        <f aca="false">IFERROR(SLOPE(D172:J172,$D$3:$J$3),"N/M")</f>
        <v>0.155358240622382</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0.830151912829078</v>
      </c>
      <c r="E176" s="46" t="n">
        <f aca="false">IFERROR(IF(E9&lt;=0,"N/M",E52/E9),"N/M")</f>
        <v>0.764410380636578</v>
      </c>
      <c r="F176" s="46" t="n">
        <f aca="false">IFERROR(IF(F9&lt;=0,"N/M",F52/F9),"N/M")</f>
        <v>0.889901682575171</v>
      </c>
      <c r="G176" s="46" t="n">
        <f aca="false">IFERROR(IF(G9&lt;=0,"N/M",G52/G9),"N/M")</f>
        <v>0.820280023462804</v>
      </c>
      <c r="H176" s="46" t="n">
        <f aca="false">IFERROR(IF(H9&lt;=0,"N/M",H52/H9),"N/M")</f>
        <v>0.718033380071464</v>
      </c>
      <c r="I176" s="46" t="n">
        <f aca="false">IFERROR(IF(I9&lt;=0,"N/M",I52/I9),"N/M")</f>
        <v>0.702416373636282</v>
      </c>
      <c r="J176" s="46" t="n">
        <f aca="false">IFERROR(IF(J9&lt;=0,"N/M",J52/J9),"N/M")</f>
        <v>0.665344326903132</v>
      </c>
      <c r="K176" s="25" t="n">
        <f aca="false">IFERROR(AVERAGE(D176:J176),"N/M")</f>
        <v>0.770076868587787</v>
      </c>
      <c r="L176" s="86" t="n">
        <f aca="false">IFERROR(J176-D176,"N/M")</f>
        <v>-0.164807585925946</v>
      </c>
      <c r="M176" s="87" t="n">
        <f aca="false">IFERROR(SLOPE(D176:J176,$D$3:$J$3),"N/M")</f>
        <v>-0.0282242526529335</v>
      </c>
    </row>
    <row r="177" customFormat="false" ht="15" hidden="false" customHeight="false" outlineLevel="0" collapsed="false">
      <c r="A177" s="18" t="s">
        <v>407</v>
      </c>
      <c r="B177" s="19" t="s">
        <v>587</v>
      </c>
      <c r="D177" s="46" t="n">
        <f aca="false">IFERROR(IF(D9&lt;=0,"N/M",D14/D9),"N/M")</f>
        <v>0.132655293088364</v>
      </c>
      <c r="E177" s="46" t="n">
        <f aca="false">IFERROR(IF(E9&lt;=0,"N/M",E14/E9),"N/M")</f>
        <v>0.10734070647102</v>
      </c>
      <c r="F177" s="46" t="n">
        <f aca="false">IFERROR(IF(F9&lt;=0,"N/M",F14/F9),"N/M")</f>
        <v>0.0828675437842176</v>
      </c>
      <c r="G177" s="46" t="n">
        <f aca="false">IFERROR(IF(G9&lt;=0,"N/M",G14/G9),"N/M")</f>
        <v>0.0608757746550713</v>
      </c>
      <c r="H177" s="46" t="n">
        <f aca="false">IFERROR(IF(H9&lt;=0,"N/M",H14/H9),"N/M")</f>
        <v>0.111628748473472</v>
      </c>
      <c r="I177" s="46" t="n">
        <f aca="false">IFERROR(IF(I9&lt;=0,"N/M",I14/I9),"N/M")</f>
        <v>0.100126228473537</v>
      </c>
      <c r="J177" s="46" t="n">
        <f aca="false">IFERROR(IF(J9&lt;=0,"N/M",J14/J9),"N/M")</f>
        <v>0.0693320887782618</v>
      </c>
      <c r="K177" s="25" t="n">
        <f aca="false">IFERROR(AVERAGE(D177:J177),"N/M")</f>
        <v>0.0949751976748492</v>
      </c>
      <c r="L177" s="86" t="n">
        <f aca="false">IFERROR(J177-D177,"N/M")</f>
        <v>-0.0633232043101022</v>
      </c>
      <c r="M177" s="87" t="n">
        <f aca="false">IFERROR(SLOPE(D177:J177,$D$3:$J$3),"N/M")</f>
        <v>-0.00627276300842923</v>
      </c>
    </row>
    <row r="178" customFormat="false" ht="15" hidden="false" customHeight="false" outlineLevel="0" collapsed="false">
      <c r="A178" s="18" t="s">
        <v>654</v>
      </c>
      <c r="B178" s="19" t="s">
        <v>655</v>
      </c>
      <c r="D178" s="46" t="n">
        <f aca="false">IFERROR(IF(D9&lt;=0,"N/M",D15/D9),"N/M")</f>
        <v>0.0348962061560487</v>
      </c>
      <c r="E178" s="46" t="n">
        <f aca="false">IFERROR(IF(E9&lt;=0,"N/M",E15/E9),"N/M")</f>
        <v>0.0298830490637968</v>
      </c>
      <c r="F178" s="46" t="n">
        <f aca="false">IFERROR(IF(F9&lt;=0,"N/M",F15/F9),"N/M")</f>
        <v>0.0445151489093359</v>
      </c>
      <c r="G178" s="46" t="n">
        <f aca="false">IFERROR(IF(G9&lt;=0,"N/M",G15/G9),"N/M")</f>
        <v>0.0446558363724465</v>
      </c>
      <c r="H178" s="46" t="n">
        <f aca="false">IFERROR(IF(H9&lt;=0,"N/M",H15/H9),"N/M")</f>
        <v>0.0768917635352119</v>
      </c>
      <c r="I178" s="46" t="n">
        <f aca="false">IFERROR(IF(I9&lt;=0,"N/M",I15/I9),"N/M")</f>
        <v>0.07149941393923</v>
      </c>
      <c r="J178" s="46" t="n">
        <f aca="false">IFERROR(IF(J9&lt;=0,"N/M",J15/J9),"N/M")</f>
        <v>0.0471375233354076</v>
      </c>
      <c r="K178" s="25" t="n">
        <f aca="false">IFERROR(AVERAGE(D178:J178),"N/M")</f>
        <v>0.0499255630444968</v>
      </c>
      <c r="L178" s="86" t="n">
        <f aca="false">IFERROR(J178-D178,"N/M")</f>
        <v>0.0122413171793589</v>
      </c>
      <c r="M178" s="87" t="n">
        <f aca="false">IFERROR(SLOPE(D178:J178,$D$3:$J$3),"N/M")</f>
        <v>0.00544047485410068</v>
      </c>
    </row>
    <row r="179" customFormat="false" ht="15" hidden="false" customHeight="false" outlineLevel="0" collapsed="false">
      <c r="A179" s="18" t="s">
        <v>411</v>
      </c>
      <c r="B179" s="19" t="s">
        <v>656</v>
      </c>
      <c r="D179" s="46" t="n">
        <f aca="false">IFERROR(IF(D9&lt;=0,"N/M",D16/D9),"N/M")</f>
        <v>0.0246361250298258</v>
      </c>
      <c r="E179" s="46" t="n">
        <f aca="false">IFERROR(IF(E9&lt;=0,"N/M",E16/E9),"N/M")</f>
        <v>0.117129638822151</v>
      </c>
      <c r="F179" s="46" t="n">
        <f aca="false">IFERROR(IF(F9&lt;=0,"N/M",F16/F9),"N/M")</f>
        <v>0.0949637400750996</v>
      </c>
      <c r="G179" s="46" t="n">
        <f aca="false">IFERROR(IF(G9&lt;=0,"N/M",G16/G9),"N/M")</f>
        <v>0.00382545714212848</v>
      </c>
      <c r="H179" s="46" t="n">
        <f aca="false">IFERROR(IF(H9&lt;=0,"N/M",H16/H9),"N/M")</f>
        <v>0.0183635623501741</v>
      </c>
      <c r="I179" s="46" t="n">
        <f aca="false">IFERROR(IF(I9&lt;=0,"N/M",I16/I9),"N/M")</f>
        <v>0.0290776305112253</v>
      </c>
      <c r="J179" s="46" t="n">
        <f aca="false">IFERROR(IF(J9&lt;=0,"N/M",J16/J9),"N/M")</f>
        <v>0.0151161584733458</v>
      </c>
      <c r="K179" s="25" t="n">
        <f aca="false">IFERROR(AVERAGE(D179:J179),"N/M")</f>
        <v>0.04330175891485</v>
      </c>
      <c r="L179" s="86" t="n">
        <f aca="false">IFERROR(J179-D179,"N/M")</f>
        <v>-0.00951996655648004</v>
      </c>
      <c r="M179" s="87" t="n">
        <f aca="false">IFERROR(SLOPE(D179:J179,$D$3:$J$3),"N/M")</f>
        <v>-0.0100451462148649</v>
      </c>
    </row>
    <row r="180" customFormat="false" ht="15" hidden="false" customHeight="false" outlineLevel="0" collapsed="false">
      <c r="A180" s="18" t="s">
        <v>657</v>
      </c>
      <c r="B180" s="19" t="s">
        <v>658</v>
      </c>
      <c r="D180" s="46" t="n">
        <f aca="false">IFERROR(IF(D9&lt;=0,"N/M",D56/D9),"N/M")</f>
        <v>-0.0223395371033165</v>
      </c>
      <c r="E180" s="46" t="n">
        <f aca="false">IFERROR(IF(E9&lt;=0,"N/M",E56/E9),"N/M")</f>
        <v>-0.0187637749935467</v>
      </c>
      <c r="F180" s="46" t="n">
        <f aca="false">IFERROR(IF(F9&lt;=0,"N/M",F56/F9),"N/M")</f>
        <v>-0.112248115343824</v>
      </c>
      <c r="G180" s="46" t="n">
        <f aca="false">IFERROR(IF(G9&lt;=0,"N/M",G56/G9),"N/M")</f>
        <v>0.0703629083675499</v>
      </c>
      <c r="H180" s="46" t="n">
        <f aca="false">IFERROR(IF(H9&lt;=0,"N/M",H56/H9),"N/M")</f>
        <v>0.0750825455696775</v>
      </c>
      <c r="I180" s="46" t="n">
        <f aca="false">IFERROR(IF(I9&lt;=0,"N/M",I56/I9),"N/M")</f>
        <v>0.0968803534397258</v>
      </c>
      <c r="J180" s="46" t="n">
        <f aca="false">IFERROR(IF(J9&lt;=0,"N/M",J56/J9),"N/M")</f>
        <v>0.203069902509853</v>
      </c>
      <c r="K180" s="25" t="n">
        <f aca="false">IFERROR(AVERAGE(D180:J180),"N/M")</f>
        <v>0.0417206117780169</v>
      </c>
      <c r="L180" s="86" t="n">
        <f aca="false">IFERROR(J180-D180,"N/M")</f>
        <v>0.225409439613169</v>
      </c>
      <c r="M180" s="87" t="n">
        <f aca="false">IFERROR(SLOPE(D180:J180,$D$3:$J$3),"N/M")</f>
        <v>0.039101687022127</v>
      </c>
    </row>
    <row r="181" customFormat="false" ht="15" hidden="false" customHeight="false" outlineLevel="0" collapsed="false">
      <c r="A181" s="18" t="s">
        <v>659</v>
      </c>
      <c r="B181" s="19" t="s">
        <v>660</v>
      </c>
      <c r="D181" s="46" t="n">
        <f aca="false">IFERROR(IF(D9&lt;=0,"N/M",D17/D9),"N/M")</f>
        <v>0.0288216813807365</v>
      </c>
      <c r="E181" s="46" t="n">
        <f aca="false">IFERROR(IF(E9&lt;=0,"N/M",E17/E9),"N/M")</f>
        <v>-1.86507952266545</v>
      </c>
      <c r="F181" s="46" t="n">
        <f aca="false">IFERROR(IF(F9&lt;=0,"N/M",F17/F9),"N/M")</f>
        <v>-0.345257545790696</v>
      </c>
      <c r="G181" s="46" t="n">
        <f aca="false">IFERROR(IF(G9&lt;=0,"N/M",G17/G9),"N/M")</f>
        <v>-1.98946724133534</v>
      </c>
      <c r="H181" s="46" t="n">
        <f aca="false">IFERROR(IF(H9&lt;=0,"N/M",H17/H9),"N/M")</f>
        <v>0.21317110678909</v>
      </c>
      <c r="I181" s="46" t="n">
        <f aca="false">IFERROR(IF(I9&lt;=0,"N/M",I17/I9),"N/M")</f>
        <v>0.129699756559372</v>
      </c>
      <c r="J181" s="46" t="n">
        <f aca="false">IFERROR(IF(J9&lt;=0,"N/M",J17/J9),"N/M")</f>
        <v>0.239784277120929</v>
      </c>
      <c r="K181" s="25" t="n">
        <f aca="false">IFERROR(AVERAGE(D181:J181),"N/M")</f>
        <v>-0.512618212563051</v>
      </c>
      <c r="L181" s="86" t="n">
        <f aca="false">IFERROR(J181-D181,"N/M")</f>
        <v>0.210962595740193</v>
      </c>
      <c r="M181" s="87" t="n">
        <f aca="false">IFERROR(SLOPE(D181:J181,$D$3:$J$3),"N/M")</f>
        <v>0.1850312499375</v>
      </c>
    </row>
    <row r="182" customFormat="false" ht="15" hidden="false" customHeight="false" outlineLevel="0" collapsed="false">
      <c r="A182" s="18" t="s">
        <v>661</v>
      </c>
      <c r="B182" s="19" t="s">
        <v>662</v>
      </c>
      <c r="D182" s="46" t="n">
        <f aca="false">IFERROR(IF(D9&lt;=0,"N/M",D18/D9),"N/M")</f>
        <v>0.0839596754951086</v>
      </c>
      <c r="E182" s="46" t="n">
        <f aca="false">IFERROR(IF(E9&lt;=0,"N/M",E18/E9),"N/M")</f>
        <v>0.15636479161289</v>
      </c>
      <c r="F182" s="46" t="n">
        <f aca="false">IFERROR(IF(F9&lt;=0,"N/M",F18/F9),"N/M")</f>
        <v>0.204001490526557</v>
      </c>
      <c r="G182" s="46" t="n">
        <f aca="false">IFERROR(IF(G9&lt;=0,"N/M",G18/G9),"N/M")</f>
        <v>0.141975466068195</v>
      </c>
      <c r="H182" s="46" t="n">
        <f aca="false">IFERROR(IF(H9&lt;=0,"N/M",H18/H9),"N/M")</f>
        <v>0.218553530236555</v>
      </c>
      <c r="I182" s="46" t="n">
        <f aca="false">IFERROR(IF(I9&lt;=0,"N/M",I18/I9),"N/M")</f>
        <v>0.170092868091245</v>
      </c>
      <c r="J182" s="46" t="n">
        <f aca="false">IFERROR(IF(J9&lt;=0,"N/M",J18/J9),"N/M")</f>
        <v>0.108094793611284</v>
      </c>
      <c r="K182" s="25" t="n">
        <f aca="false">IFERROR(AVERAGE(D182:J182),"N/M")</f>
        <v>0.154720373663119</v>
      </c>
      <c r="L182" s="86" t="n">
        <f aca="false">IFERROR(J182-D182,"N/M")</f>
        <v>0.0241351181161754</v>
      </c>
      <c r="M182" s="87" t="n">
        <f aca="false">IFERROR(SLOPE(D182:J182,$D$3:$J$3),"N/M")</f>
        <v>0.00408619810768692</v>
      </c>
    </row>
    <row r="183" customFormat="false" ht="15" hidden="false" customHeight="false" outlineLevel="0" collapsed="false">
      <c r="A183" s="18" t="s">
        <v>663</v>
      </c>
      <c r="B183" s="19" t="s">
        <v>591</v>
      </c>
      <c r="D183" s="46" t="n">
        <f aca="false">IFERROR(IF(D9&lt;=0,"N/M",D19/D9),"N/M")</f>
        <v>0.0546906068559612</v>
      </c>
      <c r="E183" s="46" t="n">
        <f aca="false">IFERROR(IF(E9&lt;=0,"N/M",E19/E9),"N/M")</f>
        <v>0.276373528185374</v>
      </c>
      <c r="F183" s="46" t="n">
        <f aca="false">IFERROR(IF(F9&lt;=0,"N/M",F19/F9),"N/M")</f>
        <v>0.0611689167884886</v>
      </c>
      <c r="G183" s="46" t="n">
        <f aca="false">IFERROR(IF(G9&lt;=0,"N/M",G19/G9),"N/M")</f>
        <v>0.0493994032286858</v>
      </c>
      <c r="H183" s="46" t="n">
        <f aca="false">IFERROR(IF(H9&lt;=0,"N/M",H19/H9),"N/M")</f>
        <v>0.177212899724094</v>
      </c>
      <c r="I183" s="46" t="n">
        <f aca="false">IFERROR(IF(I9&lt;=0,"N/M",I19/I9),"N/M")</f>
        <v>0.194977910017131</v>
      </c>
      <c r="J183" s="46" t="n">
        <f aca="false">IFERROR(IF(J9&lt;=0,"N/M",J19/J9),"N/M")</f>
        <v>0.186735117195603</v>
      </c>
      <c r="K183" s="25" t="n">
        <f aca="false">IFERROR(AVERAGE(D183:J183),"N/M")</f>
        <v>0.14293691171362</v>
      </c>
      <c r="L183" s="86" t="n">
        <f aca="false">IFERROR(J183-D183,"N/M")</f>
        <v>0.132044510339641</v>
      </c>
      <c r="M183" s="87" t="n">
        <f aca="false">IFERROR(SLOPE(D183:J183,$D$3:$J$3),"N/M")</f>
        <v>0.0124780813435016</v>
      </c>
    </row>
    <row r="184" customFormat="false" ht="15" hidden="false" customHeight="false" outlineLevel="0" collapsed="false">
      <c r="A184" s="18" t="s">
        <v>664</v>
      </c>
      <c r="B184" s="19" t="s">
        <v>665</v>
      </c>
      <c r="D184" s="46" t="n">
        <f aca="false">IFERROR(IF(D9&lt;=0,"N/M",D20/D9),"N/M")</f>
        <v>-0.13216813807365</v>
      </c>
      <c r="E184" s="46" t="n">
        <f aca="false">IFERROR(IF(E9&lt;=0,"N/M",E20/E9),"N/M")</f>
        <v>-2.31658161745726</v>
      </c>
      <c r="F184" s="46" t="n">
        <f aca="false">IFERROR(IF(F9&lt;=0,"N/M",F20/F9),"N/M")</f>
        <v>-0.722676068449566</v>
      </c>
      <c r="G184" s="46" t="n">
        <f aca="false">IFERROR(IF(G9&lt;=0,"N/M",G20/G9),"N/M")</f>
        <v>-2.11047920226467</v>
      </c>
      <c r="H184" s="46" t="n">
        <f aca="false">IFERROR(IF(H9&lt;=0,"N/M",H20/H9),"N/M")</f>
        <v>-0.107512777601882</v>
      </c>
      <c r="I184" s="46" t="n">
        <f aca="false">IFERROR(IF(I9&lt;=0,"N/M",I20/I9),"N/M")</f>
        <v>-0.138490668109278</v>
      </c>
      <c r="J184" s="46" t="n">
        <f aca="false">IFERROR(IF(J9&lt;=0,"N/M",J20/J9),"N/M")</f>
        <v>0.148024268823895</v>
      </c>
      <c r="K184" s="25" t="n">
        <f aca="false">IFERROR(AVERAGE(D184:J184),"N/M")</f>
        <v>-0.768554886161773</v>
      </c>
      <c r="L184" s="86" t="n">
        <f aca="false">IFERROR(J184-D184,"N/M")</f>
        <v>0.280192406897545</v>
      </c>
      <c r="M184" s="87" t="n">
        <f aca="false">IFERROR(SLOPE(D184:J184,$D$3:$J$3),"N/M")</f>
        <v>0.207568657508439</v>
      </c>
    </row>
    <row r="185" customFormat="false" ht="15" hidden="false" customHeight="false" outlineLevel="0" collapsed="false">
      <c r="A185" s="18" t="s">
        <v>421</v>
      </c>
      <c r="B185" s="19" t="s">
        <v>666</v>
      </c>
      <c r="D185" s="46" t="n">
        <f aca="false">IFERROR(IF(D9&lt;=0,"N/M",D21/D9),"N/M")</f>
        <v>-0.0233734987671996</v>
      </c>
      <c r="E185" s="46" t="n">
        <f aca="false">IFERROR(IF(E9&lt;=0,"N/M",E21/E9),"N/M")</f>
        <v>0.00458670055397812</v>
      </c>
      <c r="F185" s="46" t="n">
        <f aca="false">IFERROR(IF(F9&lt;=0,"N/M",F21/F9),"N/M")</f>
        <v>0.0148192736549431</v>
      </c>
      <c r="G185" s="46" t="n">
        <f aca="false">IFERROR(IF(G9&lt;=0,"N/M",G21/G9),"N/M")</f>
        <v>0.0162709443778532</v>
      </c>
      <c r="H185" s="46" t="n">
        <f aca="false">IFERROR(IF(H9&lt;=0,"N/M",H21/H9),"N/M")</f>
        <v>0.0204893934596771</v>
      </c>
      <c r="I185" s="46" t="n">
        <f aca="false">IFERROR(IF(I9&lt;=0,"N/M",I21/I9),"N/M")</f>
        <v>-0.0213235957082319</v>
      </c>
      <c r="J185" s="46" t="n">
        <f aca="false">IFERROR(IF(J9&lt;=0,"N/M",J21/J9),"N/M")</f>
        <v>0.0205610869114292</v>
      </c>
      <c r="K185" s="25" t="n">
        <f aca="false">IFERROR(AVERAGE(D185:J185),"N/M")</f>
        <v>0.00457575778320702</v>
      </c>
      <c r="L185" s="86" t="n">
        <f aca="false">IFERROR(J185-D185,"N/M")</f>
        <v>0.0439345856786287</v>
      </c>
      <c r="M185" s="87" t="n">
        <f aca="false">IFERROR(SLOPE(D185:J185,$D$3:$J$3),"N/M")</f>
        <v>0.00305904586843572</v>
      </c>
    </row>
    <row r="186" customFormat="false" ht="15" hidden="false" customHeight="false" outlineLevel="0" collapsed="false">
      <c r="A186" s="18" t="s">
        <v>667</v>
      </c>
      <c r="B186" s="19" t="s">
        <v>668</v>
      </c>
      <c r="D186" s="46" t="n">
        <f aca="false">IFERROR(IF(D9&lt;=0,"N/M",D22/D9),"N/M")</f>
        <v>-0.106418515867335</v>
      </c>
      <c r="E186" s="46" t="n">
        <f aca="false">IFERROR(IF(E9&lt;=0,"N/M",E22/E9),"N/M")</f>
        <v>-2.3024442547108</v>
      </c>
      <c r="F186" s="46" t="n">
        <f aca="false">IFERROR(IF(F9&lt;=0,"N/M",F22/F9),"N/M")</f>
        <v>-0.746467165419784</v>
      </c>
      <c r="G186" s="46" t="n">
        <f aca="false">IFERROR(IF(G9&lt;=0,"N/M",G22/G9),"N/M")</f>
        <v>-2.12680115273775</v>
      </c>
      <c r="H186" s="46" t="n">
        <f aca="false">IFERROR(IF(H9&lt;=0,"N/M",H22/H9),"N/M")</f>
        <v>-0.12795694061242</v>
      </c>
      <c r="I186" s="46" t="n">
        <f aca="false">IFERROR(IF(I9&lt;=0,"N/M",I22/I9),"N/M")</f>
        <v>-0.116445766837977</v>
      </c>
      <c r="J186" s="46" t="n">
        <f aca="false">IFERROR(IF(J9&lt;=0,"N/M",J22/J9),"N/M")</f>
        <v>0.127774320680357</v>
      </c>
      <c r="K186" s="25" t="n">
        <f aca="false">IFERROR(AVERAGE(D186:J186),"N/M")</f>
        <v>-0.771251353643673</v>
      </c>
      <c r="L186" s="86" t="n">
        <f aca="false">IFERROR(J186-D186,"N/M")</f>
        <v>0.234192836547692</v>
      </c>
      <c r="M186" s="87" t="n">
        <f aca="false">IFERROR(SLOPE(D186:J186,$D$3:$J$3),"N/M")</f>
        <v>0.20332448964986</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0.0211569459402806</v>
      </c>
      <c r="E189" s="46" t="n">
        <f aca="false">IFERROR(IF(E35&lt;=0,"N/M",E26/E35),"N/M")</f>
        <v>0.0338174297829076</v>
      </c>
      <c r="F189" s="46" t="n">
        <f aca="false">IFERROR(IF(F35&lt;=0,"N/M",F26/F35),"N/M")</f>
        <v>0.0373918931003207</v>
      </c>
      <c r="G189" s="46" t="n">
        <f aca="false">IFERROR(IF(G35&lt;=0,"N/M",G26/G35),"N/M")</f>
        <v>0.0822814340298357</v>
      </c>
      <c r="H189" s="46" t="n">
        <f aca="false">IFERROR(IF(H35&lt;=0,"N/M",H26/H35),"N/M")</f>
        <v>0.085011856059619</v>
      </c>
      <c r="I189" s="46" t="n">
        <f aca="false">IFERROR(IF(I35&lt;=0,"N/M",I26/I35),"N/M")</f>
        <v>0.0759683785262717</v>
      </c>
      <c r="J189" s="46" t="n">
        <f aca="false">IFERROR(IF(J35&lt;=0,"N/M",J26/J35),"N/M")</f>
        <v>0.0879865009429488</v>
      </c>
      <c r="K189" s="25" t="n">
        <f aca="false">IFERROR(AVERAGE(D189:J189),"N/M")</f>
        <v>0.060516348340312</v>
      </c>
      <c r="L189" s="86" t="n">
        <f aca="false">IFERROR(J189-D189,"N/M")</f>
        <v>0.0668295550026682</v>
      </c>
      <c r="M189" s="87" t="n">
        <f aca="false">IFERROR(SLOPE(D189:J189,$D$3:$J$3),"N/M")</f>
        <v>0.0118718044805011</v>
      </c>
    </row>
    <row r="190" customFormat="false" ht="15" hidden="false" customHeight="false" outlineLevel="0" collapsed="false">
      <c r="A190" s="18" t="s">
        <v>671</v>
      </c>
      <c r="B190" s="19" t="s">
        <v>672</v>
      </c>
      <c r="D190" s="46" t="n">
        <f aca="false">IFERROR(IF(D35&lt;=0,"N/M",D27/D35),"N/M")</f>
        <v>0.156548389195284</v>
      </c>
      <c r="E190" s="46" t="n">
        <f aca="false">IFERROR(IF(E35&lt;=0,"N/M",E27/E35),"N/M")</f>
        <v>-0.41963883400922</v>
      </c>
      <c r="F190" s="46" t="n">
        <f aca="false">IFERROR(IF(F35&lt;=0,"N/M",F27/F35),"N/M")</f>
        <v>-0.631989422450466</v>
      </c>
      <c r="G190" s="46" t="n">
        <f aca="false">IFERROR(IF(G35&lt;=0,"N/M",G27/G35),"N/M")</f>
        <v>-0.0147917428531797</v>
      </c>
      <c r="H190" s="46" t="n">
        <f aca="false">IFERROR(IF(H35&lt;=0,"N/M",H27/H35),"N/M")</f>
        <v>-0.0475936107564427</v>
      </c>
      <c r="I190" s="46" t="n">
        <f aca="false">IFERROR(IF(I35&lt;=0,"N/M",I27/I35),"N/M")</f>
        <v>-0.0815219289564681</v>
      </c>
      <c r="J190" s="46" t="n">
        <f aca="false">IFERROR(IF(J35&lt;=0,"N/M",J27/J35),"N/M")</f>
        <v>0.0568085317569729</v>
      </c>
      <c r="K190" s="25" t="n">
        <f aca="false">IFERROR(AVERAGE(D190:J190),"N/M")</f>
        <v>-0.14031123115336</v>
      </c>
      <c r="L190" s="86" t="n">
        <f aca="false">IFERROR(J190-D190,"N/M")</f>
        <v>-0.0997398574383115</v>
      </c>
      <c r="M190" s="87" t="n">
        <f aca="false">IFERROR(SLOPE(D190:J190,$D$3:$J$3),"N/M")</f>
        <v>0.0343360731958783</v>
      </c>
    </row>
    <row r="191" customFormat="false" ht="15" hidden="false" customHeight="false" outlineLevel="0" collapsed="false">
      <c r="A191" s="18" t="s">
        <v>673</v>
      </c>
      <c r="B191" s="19" t="s">
        <v>674</v>
      </c>
      <c r="D191" s="46" t="n">
        <f aca="false">IFERROR(IF(D35&lt;=0,"N/M",D61/D35),"N/M")</f>
        <v>0.177705335135565</v>
      </c>
      <c r="E191" s="46" t="n">
        <f aca="false">IFERROR(IF(E35&lt;=0,"N/M",E61/E35),"N/M")</f>
        <v>-0.385821404226312</v>
      </c>
      <c r="F191" s="46" t="n">
        <f aca="false">IFERROR(IF(F35&lt;=0,"N/M",F61/F35),"N/M")</f>
        <v>-0.594597529350145</v>
      </c>
      <c r="G191" s="46" t="n">
        <f aca="false">IFERROR(IF(G35&lt;=0,"N/M",G61/G35),"N/M")</f>
        <v>0.067489691176656</v>
      </c>
      <c r="H191" s="46" t="n">
        <f aca="false">IFERROR(IF(H35&lt;=0,"N/M",H61/H35),"N/M")</f>
        <v>0.0374182453031764</v>
      </c>
      <c r="I191" s="46" t="n">
        <f aca="false">IFERROR(IF(I35&lt;=0,"N/M",I61/I35),"N/M")</f>
        <v>-0.00555355043019641</v>
      </c>
      <c r="J191" s="46" t="n">
        <f aca="false">IFERROR(IF(J35&lt;=0,"N/M",J61/J35),"N/M")</f>
        <v>0.144795032699922</v>
      </c>
      <c r="K191" s="25" t="n">
        <f aca="false">IFERROR(AVERAGE(D191:J191),"N/M")</f>
        <v>-0.0797948828130478</v>
      </c>
      <c r="L191" s="86" t="n">
        <f aca="false">IFERROR(J191-D191,"N/M")</f>
        <v>-0.0329103024356432</v>
      </c>
      <c r="M191" s="87" t="n">
        <f aca="false">IFERROR(SLOPE(D191:J191,$D$3:$J$3),"N/M")</f>
        <v>0.0462078776763794</v>
      </c>
    </row>
    <row r="192" customFormat="false" ht="15" hidden="false" customHeight="false" outlineLevel="0" collapsed="false">
      <c r="A192" s="18" t="s">
        <v>675</v>
      </c>
      <c r="B192" s="19" t="s">
        <v>676</v>
      </c>
      <c r="D192" s="46" t="n">
        <f aca="false">IFERROR(IF(D35&lt;=0,"N/M",D28/D35),"N/M")</f>
        <v>0.462333841716842</v>
      </c>
      <c r="E192" s="46" t="n">
        <f aca="false">IFERROR(IF(E35&lt;=0,"N/M",E28/E35),"N/M")</f>
        <v>0.730361743671508</v>
      </c>
      <c r="F192" s="46" t="n">
        <f aca="false">IFERROR(IF(F35&lt;=0,"N/M",F28/F35),"N/M")</f>
        <v>1.12820168883098</v>
      </c>
      <c r="G192" s="46" t="n">
        <f aca="false">IFERROR(IF(G35&lt;=0,"N/M",G28/G35),"N/M")</f>
        <v>0.609664443071336</v>
      </c>
      <c r="H192" s="46" t="n">
        <f aca="false">IFERROR(IF(H35&lt;=0,"N/M",H28/H35),"N/M")</f>
        <v>0.660877608984548</v>
      </c>
      <c r="I192" s="46" t="n">
        <f aca="false">IFERROR(IF(I35&lt;=0,"N/M",I28/I35),"N/M")</f>
        <v>0.707641079973455</v>
      </c>
      <c r="J192" s="46" t="n">
        <f aca="false">IFERROR(IF(J35&lt;=0,"N/M",J28/J35),"N/M")</f>
        <v>0.534944250217816</v>
      </c>
      <c r="K192" s="25" t="n">
        <f aca="false">IFERROR(AVERAGE(D192:J192),"N/M")</f>
        <v>0.690574950923783</v>
      </c>
      <c r="L192" s="86" t="n">
        <f aca="false">IFERROR(J192-D192,"N/M")</f>
        <v>0.0726104085009732</v>
      </c>
      <c r="M192" s="87" t="n">
        <f aca="false">IFERROR(SLOPE(D192:J192,$D$3:$J$3),"N/M")</f>
        <v>-0.0105333636335577</v>
      </c>
    </row>
    <row r="193" customFormat="false" ht="15" hidden="false" customHeight="false" outlineLevel="0" collapsed="false">
      <c r="A193" s="18" t="s">
        <v>496</v>
      </c>
      <c r="B193" s="19" t="s">
        <v>677</v>
      </c>
      <c r="D193" s="46" t="n">
        <f aca="false">IFERROR(IF(D35&lt;=0,"N/M",D29/D35),"N/M")</f>
        <v>0.359960823147593</v>
      </c>
      <c r="E193" s="46" t="n">
        <f aca="false">IFERROR(IF(E35&lt;=0,"N/M",E29/E35),"N/M")</f>
        <v>0.655459660554805</v>
      </c>
      <c r="F193" s="46" t="n">
        <f aca="false">IFERROR(IF(F35&lt;=0,"N/M",F29/F35),"N/M")</f>
        <v>0.466395840519169</v>
      </c>
      <c r="G193" s="46" t="n">
        <f aca="false">IFERROR(IF(G35&lt;=0,"N/M",G29/G35),"N/M")</f>
        <v>0.322845865752008</v>
      </c>
      <c r="H193" s="46" t="n">
        <f aca="false">IFERROR(IF(H35&lt;=0,"N/M",H29/H35),"N/M")</f>
        <v>0.301704145712276</v>
      </c>
      <c r="I193" s="46" t="n">
        <f aca="false">IFERROR(IF(I35&lt;=0,"N/M",I29/I35),"N/M")</f>
        <v>0.297912470456742</v>
      </c>
      <c r="J193" s="46" t="n">
        <f aca="false">IFERROR(IF(J35&lt;=0,"N/M",J29/J35),"N/M")</f>
        <v>0.320260717082263</v>
      </c>
      <c r="K193" s="25" t="n">
        <f aca="false">IFERROR(AVERAGE(D193:J193),"N/M")</f>
        <v>0.389219931889265</v>
      </c>
      <c r="L193" s="86" t="n">
        <f aca="false">IFERROR(J193-D193,"N/M")</f>
        <v>-0.03970010606533</v>
      </c>
      <c r="M193" s="87" t="n">
        <f aca="false">IFERROR(SLOPE(D193:J193,$D$3:$J$3),"N/M")</f>
        <v>-0.0356745140428218</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0.339718244703535</v>
      </c>
      <c r="E195" s="46" t="n">
        <f aca="false">IFERROR(IF(E35&lt;=0,"N/M",E31/E35),"N/M")</f>
        <v>0.48494564024355</v>
      </c>
      <c r="F195" s="46" t="n">
        <f aca="false">IFERROR(IF(F35&lt;=0,"N/M",F31/F35),"N/M")</f>
        <v>0.487998058227622</v>
      </c>
      <c r="G195" s="46" t="n">
        <f aca="false">IFERROR(IF(G35&lt;=0,"N/M",G31/G35),"N/M")</f>
        <v>0.763369944893507</v>
      </c>
      <c r="H195" s="46" t="n">
        <f aca="false">IFERROR(IF(H35&lt;=0,"N/M",H31/H35),"N/M")</f>
        <v>0.726059879615395</v>
      </c>
      <c r="I195" s="46" t="n">
        <f aca="false">IFERROR(IF(I35&lt;=0,"N/M",I31/I35),"N/M")</f>
        <v>0.700841764562061</v>
      </c>
      <c r="J195" s="46" t="n">
        <f aca="false">IFERROR(IF(J35&lt;=0,"N/M",J31/J35),"N/M")</f>
        <v>0.612630000110287</v>
      </c>
      <c r="K195" s="25" t="n">
        <f aca="false">IFERROR(AVERAGE(D195:J195),"N/M")</f>
        <v>0.587937647479422</v>
      </c>
      <c r="L195" s="86" t="n">
        <f aca="false">IFERROR(J195-D195,"N/M")</f>
        <v>0.272911755406751</v>
      </c>
      <c r="M195" s="87" t="n">
        <f aca="false">IFERROR(SLOPE(D195:J195,$D$3:$J$3),"N/M")</f>
        <v>0.0531639048658946</v>
      </c>
    </row>
    <row r="196" customFormat="false" ht="15" hidden="false" customHeight="false" outlineLevel="0" collapsed="false">
      <c r="A196" s="18" t="s">
        <v>680</v>
      </c>
      <c r="B196" s="19" t="s">
        <v>681</v>
      </c>
      <c r="D196" s="46" t="n">
        <f aca="false">IFERROR(IF(D35&lt;=0,"N/M",D32/D35),"N/M")</f>
        <v>0.464216788220923</v>
      </c>
      <c r="E196" s="46" t="n">
        <f aca="false">IFERROR(IF(E35&lt;=0,"N/M",E32/E35),"N/M")</f>
        <v>0.227837278892702</v>
      </c>
      <c r="F196" s="46" t="n">
        <f aca="false">IFERROR(IF(F35&lt;=0,"N/M",F32/F35),"N/M")</f>
        <v>0.260842627013631</v>
      </c>
      <c r="G196" s="46" t="n">
        <f aca="false">IFERROR(IF(G35&lt;=0,"N/M",G32/G35),"N/M")</f>
        <v>0</v>
      </c>
      <c r="H196" s="46" t="n">
        <f aca="false">IFERROR(IF(H35&lt;=0,"N/M",H32/H35),"N/M")</f>
        <v>0.013289209682883</v>
      </c>
      <c r="I196" s="46" t="n">
        <f aca="false">IFERROR(IF(I35&lt;=0,"N/M",I32/I35),"N/M")</f>
        <v>0.0607048468407633</v>
      </c>
      <c r="J196" s="46" t="n">
        <f aca="false">IFERROR(IF(J35&lt;=0,"N/M",J32/J35),"N/M")</f>
        <v>0.00463202938030064</v>
      </c>
      <c r="K196" s="25" t="n">
        <f aca="false">IFERROR(AVERAGE(D196:J196),"N/M")</f>
        <v>0.147360397147315</v>
      </c>
      <c r="L196" s="86" t="n">
        <f aca="false">IFERROR(J196-D196,"N/M")</f>
        <v>-0.459584758840622</v>
      </c>
      <c r="M196" s="87" t="n">
        <f aca="false">IFERROR(SLOPE(D196:J196,$D$3:$J$3),"N/M")</f>
        <v>-0.0700204484984461</v>
      </c>
    </row>
    <row r="197" customFormat="false" ht="15" hidden="false" customHeight="false" outlineLevel="0" collapsed="false">
      <c r="A197" s="18" t="s">
        <v>442</v>
      </c>
      <c r="B197" s="19" t="s">
        <v>682</v>
      </c>
      <c r="D197" s="46" t="n">
        <f aca="false">IFERROR(IF(D35&lt;=0,"N/M",D33/D35),"N/M")</f>
        <v>0.00211786305449341</v>
      </c>
      <c r="E197" s="46" t="n">
        <f aca="false">IFERROR(IF(E35&lt;=0,"N/M",E33/E35),"N/M")</f>
        <v>0.0051009208230795</v>
      </c>
      <c r="F197" s="46" t="n">
        <f aca="false">IFERROR(IF(F35&lt;=0,"N/M",F33/F35),"N/M")</f>
        <v>0.00037046973006809</v>
      </c>
      <c r="G197" s="46" t="n">
        <f aca="false">IFERROR(IF(G35&lt;=0,"N/M",G33/G35),"N/M")</f>
        <v>0.000706170161788628</v>
      </c>
      <c r="H197" s="46" t="n">
        <f aca="false">IFERROR(IF(H35&lt;=0,"N/M",H33/H35),"N/M")</f>
        <v>0.000755660942752169</v>
      </c>
      <c r="I197" s="46" t="n">
        <f aca="false">IFERROR(IF(I35&lt;=0,"N/M",I33/I35),"N/M")</f>
        <v>0.000849914426424189</v>
      </c>
      <c r="J197" s="46" t="n">
        <f aca="false">IFERROR(IF(J35&lt;=0,"N/M",J33/J35),"N/M")</f>
        <v>0.0175575970796158</v>
      </c>
      <c r="K197" s="25" t="n">
        <f aca="false">IFERROR(AVERAGE(D197:J197),"N/M")</f>
        <v>0.00392265660260311</v>
      </c>
      <c r="L197" s="86" t="n">
        <f aca="false">IFERROR(J197-D197,"N/M")</f>
        <v>0.0154397340251224</v>
      </c>
      <c r="M197" s="87" t="n">
        <f aca="false">IFERROR(SLOPE(D197:J197,$D$3:$J$3),"N/M")</f>
        <v>0.00136437073195502</v>
      </c>
    </row>
    <row r="198" customFormat="false" ht="15" hidden="false" customHeight="false" outlineLevel="0" collapsed="false">
      <c r="A198" s="18" t="s">
        <v>494</v>
      </c>
      <c r="B198" s="19" t="s">
        <v>683</v>
      </c>
      <c r="D198" s="46" t="n">
        <f aca="false">IFERROR(IF(D35&lt;=0,"N/M",D34/D35),"N/M")</f>
        <v>0.193947104021049</v>
      </c>
      <c r="E198" s="46" t="n">
        <f aca="false">IFERROR(IF(E35&lt;=0,"N/M",E34/E35),"N/M")</f>
        <v>0.282116160040669</v>
      </c>
      <c r="F198" s="46" t="n">
        <f aca="false">IFERROR(IF(F35&lt;=0,"N/M",F34/F35),"N/M")</f>
        <v>0.25078884502868</v>
      </c>
      <c r="G198" s="46" t="n">
        <f aca="false">IFERROR(IF(G35&lt;=0,"N/M",G34/G35),"N/M")</f>
        <v>0.235923884944704</v>
      </c>
      <c r="H198" s="46" t="n">
        <f aca="false">IFERROR(IF(H35&lt;=0,"N/M",H34/H35),"N/M")</f>
        <v>0.25989524975897</v>
      </c>
      <c r="I198" s="46" t="n">
        <f aca="false">IFERROR(IF(I35&lt;=0,"N/M",I34/I35),"N/M")</f>
        <v>0.237603474170751</v>
      </c>
      <c r="J198" s="46" t="n">
        <f aca="false">IFERROR(IF(J35&lt;=0,"N/M",J34/J35),"N/M")</f>
        <v>0.365180373429797</v>
      </c>
      <c r="K198" s="25" t="n">
        <f aca="false">IFERROR(AVERAGE(D198:J198),"N/M")</f>
        <v>0.26077929877066</v>
      </c>
      <c r="L198" s="86" t="n">
        <f aca="false">IFERROR(J198-D198,"N/M")</f>
        <v>0.171233269408749</v>
      </c>
      <c r="M198" s="87" t="n">
        <f aca="false">IFERROR(SLOPE(D198:J198,$D$3:$J$3),"N/M")</f>
        <v>0.0154921729005965</v>
      </c>
    </row>
    <row r="199" customFormat="false" ht="15" hidden="false" customHeight="false" outlineLevel="0" collapsed="false">
      <c r="A199" s="18" t="s">
        <v>684</v>
      </c>
      <c r="B199" s="19" t="s">
        <v>685</v>
      </c>
      <c r="D199" s="46" t="n">
        <f aca="false">IFERROR(IF(D35&lt;=0,"N/M",D36/D35),"N/M")</f>
        <v>0.0869299659551707</v>
      </c>
      <c r="E199" s="46" t="n">
        <f aca="false">IFERROR(IF(E35&lt;=0,"N/M",E36/E35),"N/M")</f>
        <v>0.122936235601308</v>
      </c>
      <c r="F199" s="46" t="n">
        <f aca="false">IFERROR(IF(F35&lt;=0,"N/M",F36/F35),"N/M")</f>
        <v>0.0905415245468133</v>
      </c>
      <c r="G199" s="46" t="n">
        <f aca="false">IFERROR(IF(G35&lt;=0,"N/M",G36/G35),"N/M")</f>
        <v>0.0689272518631543</v>
      </c>
      <c r="H199" s="46" t="n">
        <f aca="false">IFERROR(IF(H35&lt;=0,"N/M",H36/H35),"N/M")</f>
        <v>0.0574041743752769</v>
      </c>
      <c r="I199" s="46" t="n">
        <f aca="false">IFERROR(IF(I35&lt;=0,"N/M",I36/I35),"N/M")</f>
        <v>0.0839785309287353</v>
      </c>
      <c r="J199" s="46" t="n">
        <f aca="false">IFERROR(IF(J35&lt;=0,"N/M",J36/J35),"N/M")</f>
        <v>0.105819814057106</v>
      </c>
      <c r="K199" s="25" t="n">
        <f aca="false">IFERROR(AVERAGE(D199:J199),"N/M")</f>
        <v>0.0880767853325092</v>
      </c>
      <c r="L199" s="86" t="n">
        <f aca="false">IFERROR(J199-D199,"N/M")</f>
        <v>0.0188898481019356</v>
      </c>
      <c r="M199" s="87" t="n">
        <f aca="false">IFERROR(SLOPE(D199:J199,$D$3:$J$3),"N/M")</f>
        <v>-0.00194225768610267</v>
      </c>
    </row>
    <row r="200" customFormat="false" ht="15" hidden="false" customHeight="false" outlineLevel="0" collapsed="false">
      <c r="A200" s="18" t="s">
        <v>686</v>
      </c>
      <c r="B200" s="19" t="s">
        <v>687</v>
      </c>
      <c r="D200" s="46" t="n">
        <f aca="false">IFERROR(IF(D35&lt;=0,"N/M",D37/D35),"N/M")</f>
        <v>0.00588014196187847</v>
      </c>
      <c r="E200" s="46" t="n">
        <f aca="false">IFERROR(IF(E35&lt;=0,"N/M",E37/E35),"N/M")</f>
        <v>0.00870564856215267</v>
      </c>
      <c r="F200" s="46" t="n">
        <f aca="false">IFERROR(IF(F35&lt;=0,"N/M",F37/F35),"N/M")</f>
        <v>0.00599777718161959</v>
      </c>
      <c r="G200" s="46" t="n">
        <f aca="false">IFERROR(IF(G35&lt;=0,"N/M",G37/G35),"N/M")</f>
        <v>0.0023581039331156</v>
      </c>
      <c r="H200" s="46" t="n">
        <f aca="false">IFERROR(IF(H35&lt;=0,"N/M",H37/H35),"N/M")</f>
        <v>0.00243635510852855</v>
      </c>
      <c r="I200" s="46" t="n">
        <f aca="false">IFERROR(IF(I35&lt;=0,"N/M",I37/I35),"N/M")</f>
        <v>0.002177178051251</v>
      </c>
      <c r="J200" s="46" t="n">
        <f aca="false">IFERROR(IF(J35&lt;=0,"N/M",J37/J35),"N/M")</f>
        <v>4.41145655266728E-005</v>
      </c>
      <c r="K200" s="25" t="n">
        <f aca="false">IFERROR(AVERAGE(D200:J200),"N/M")</f>
        <v>0.00394275990915322</v>
      </c>
      <c r="L200" s="86" t="n">
        <f aca="false">IFERROR(J200-D200,"N/M")</f>
        <v>-0.00583602739635179</v>
      </c>
      <c r="M200" s="87" t="n">
        <f aca="false">IFERROR(SLOPE(D200:J200,$D$3:$J$3),"N/M")</f>
        <v>-0.00121880161728392</v>
      </c>
    </row>
    <row r="201" customFormat="false" ht="15" hidden="false" customHeight="false" outlineLevel="0" collapsed="false">
      <c r="A201" s="18" t="s">
        <v>688</v>
      </c>
      <c r="B201" s="19" t="s">
        <v>689</v>
      </c>
      <c r="D201" s="46" t="n">
        <f aca="false">IFERROR(IF(D35&lt;=0,"N/M",D38/D35),"N/M")</f>
        <v>0.0181644704980954</v>
      </c>
      <c r="E201" s="46" t="n">
        <f aca="false">IFERROR(IF(E35&lt;=0,"N/M",E38/E35),"N/M")</f>
        <v>0.0373297286055943</v>
      </c>
      <c r="F201" s="46" t="n">
        <f aca="false">IFERROR(IF(F35&lt;=0,"N/M",F38/F35),"N/M")</f>
        <v>0.0552638638715364</v>
      </c>
      <c r="G201" s="46" t="n">
        <f aca="false">IFERROR(IF(G35&lt;=0,"N/M",G38/G35),"N/M")</f>
        <v>0.103983556323375</v>
      </c>
      <c r="H201" s="46" t="n">
        <f aca="false">IFERROR(IF(H35&lt;=0,"N/M",H38/H35),"N/M")</f>
        <v>0.155444667378899</v>
      </c>
      <c r="I201" s="46" t="n">
        <f aca="false">IFERROR(IF(I35&lt;=0,"N/M",I38/I35),"N/M")</f>
        <v>0.100720680862954</v>
      </c>
      <c r="J201" s="46" t="n">
        <f aca="false">IFERROR(IF(J35&lt;=0,"N/M",J38/J35),"N/M")</f>
        <v>0.0727559471948651</v>
      </c>
      <c r="K201" s="25" t="n">
        <f aca="false">IFERROR(AVERAGE(D201:J201),"N/M")</f>
        <v>0.0776661306764742</v>
      </c>
      <c r="L201" s="86" t="n">
        <f aca="false">IFERROR(J201-D201,"N/M")</f>
        <v>0.0545914766967697</v>
      </c>
      <c r="M201" s="87" t="n">
        <f aca="false">IFERROR(SLOPE(D201:J201,$D$3:$J$3),"N/M")</f>
        <v>0.0139548977897283</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50.0705877674382</v>
      </c>
      <c r="F205" s="91" t="n">
        <f aca="false">IFERROR((IF($D9&lt;=0,"N/M",F9/$D9)*100),"N/M")</f>
        <v>34.6844428537342</v>
      </c>
      <c r="G205" s="91" t="n">
        <f aca="false">IFERROR((IF($D9&lt;=0,"N/M",G9/$D9)*100),"N/M")</f>
        <v>38.983337310109</v>
      </c>
      <c r="H205" s="91" t="n">
        <f aca="false">IFERROR((IF($D9&lt;=0,"N/M",H9/$D9)*100),"N/M")</f>
        <v>21.9806331026803</v>
      </c>
      <c r="I205" s="91" t="n">
        <f aca="false">IFERROR((IF($D9&lt;=0,"N/M",I9/$D9)*100),"N/M")</f>
        <v>22.0532092579337</v>
      </c>
      <c r="J205" s="91" t="n">
        <f aca="false">IFERROR((IF($D9&lt;=0,"N/M",J9/$D9)*100),"N/M")</f>
        <v>38.3440706275352</v>
      </c>
      <c r="K205" s="92" t="n">
        <f aca="false">IFERROR(AVERAGE(D205:J205),"N/M")</f>
        <v>43.7308972742044</v>
      </c>
      <c r="L205" s="85" t="n">
        <f aca="false">IFERROR(J205-D205,"N/M")</f>
        <v>-61.6559293724648</v>
      </c>
      <c r="M205" s="85" t="n">
        <f aca="false">IFERROR(SLOPE(D205:J205,$D$3:$J$3),"N/M")</f>
        <v>-9.06094124598062</v>
      </c>
    </row>
    <row r="206" customFormat="false" ht="15" hidden="false" customHeight="false" outlineLevel="0" collapsed="false">
      <c r="A206" s="18" t="s">
        <v>657</v>
      </c>
      <c r="B206" s="19" t="s">
        <v>693</v>
      </c>
      <c r="D206" s="91" t="str">
        <f aca="false">IFERROR((IF($D56&lt;=0,"N/M",D56/$D56)*100),"N/M")</f>
        <v>N/M</v>
      </c>
      <c r="E206" s="91" t="str">
        <f aca="false">IFERROR((IF($D56&lt;=0,"N/M",E56/$D56)*100),"N/M")</f>
        <v>N/M</v>
      </c>
      <c r="F206" s="91" t="str">
        <f aca="false">IFERROR((IF($D56&lt;=0,"N/M",F56/$D56)*100),"N/M")</f>
        <v>N/M</v>
      </c>
      <c r="G206" s="91" t="str">
        <f aca="false">IFERROR((IF($D56&lt;=0,"N/M",G56/$D56)*100),"N/M")</f>
        <v>N/M</v>
      </c>
      <c r="H206" s="91" t="str">
        <f aca="false">IFERROR((IF($D56&lt;=0,"N/M",H56/$D56)*100),"N/M")</f>
        <v>N/M</v>
      </c>
      <c r="I206" s="91" t="str">
        <f aca="false">IFERROR((IF($D56&lt;=0,"N/M",I56/$D56)*100),"N/M")</f>
        <v>N/M</v>
      </c>
      <c r="J206" s="91" t="str">
        <f aca="false">IFERROR((IF($D56&lt;=0,"N/M",J56/$D56)*100),"N/M")</f>
        <v>N/M</v>
      </c>
      <c r="K206" s="92" t="str">
        <f aca="false">IFERROR(AVERAGE(D206:J206),"N/M")</f>
        <v>N/M</v>
      </c>
      <c r="L206" s="85" t="str">
        <f aca="false">IFERROR(J206-D206,"N/M")</f>
        <v>N/M</v>
      </c>
      <c r="M206" s="85" t="str">
        <f aca="false">IFERROR(SLOPE(D206:J206,$D$3:$J$3),"N/M")</f>
        <v>N/M</v>
      </c>
    </row>
    <row r="207" customFormat="false" ht="15" hidden="false" customHeight="false" outlineLevel="0" collapsed="false">
      <c r="A207" s="18" t="s">
        <v>667</v>
      </c>
      <c r="B207" s="19" t="s">
        <v>694</v>
      </c>
      <c r="D207" s="91" t="str">
        <f aca="false">IFERROR((IF($D22&lt;=0,"N/M",D22/$D22)*100),"N/M")</f>
        <v>N/M</v>
      </c>
      <c r="E207" s="91" t="str">
        <f aca="false">IFERROR((IF($D22&lt;=0,"N/M",E22/$D22)*100),"N/M")</f>
        <v>N/M</v>
      </c>
      <c r="F207" s="91" t="str">
        <f aca="false">IFERROR((IF($D22&lt;=0,"N/M",F22/$D22)*100),"N/M")</f>
        <v>N/M</v>
      </c>
      <c r="G207" s="91" t="str">
        <f aca="false">IFERROR((IF($D22&lt;=0,"N/M",G22/$D22)*100),"N/M")</f>
        <v>N/M</v>
      </c>
      <c r="H207" s="91" t="str">
        <f aca="false">IFERROR((IF($D22&lt;=0,"N/M",H22/$D22)*100),"N/M")</f>
        <v>N/M</v>
      </c>
      <c r="I207" s="91" t="str">
        <f aca="false">IFERROR((IF($D22&lt;=0,"N/M",I22/$D22)*100),"N/M")</f>
        <v>N/M</v>
      </c>
      <c r="J207" s="91" t="str">
        <f aca="false">IFERROR((IF($D22&lt;=0,"N/M",J22/$D22)*100),"N/M")</f>
        <v>N/M</v>
      </c>
      <c r="K207" s="92" t="str">
        <f aca="false">IFERROR(AVERAGE(D207:J207),"N/M")</f>
        <v>N/M</v>
      </c>
      <c r="L207" s="85" t="str">
        <f aca="false">IFERROR(J207-D207,"N/M")</f>
        <v>N/M</v>
      </c>
      <c r="M207" s="85" t="str">
        <f aca="false">IFERROR(SLOPE(D207:J207,$D$3:$J$3),"N/M")</f>
        <v>N/M</v>
      </c>
    </row>
    <row r="208" customFormat="false" ht="15" hidden="false" customHeight="false" outlineLevel="0" collapsed="false">
      <c r="A208" s="18" t="s">
        <v>446</v>
      </c>
      <c r="B208" s="19" t="s">
        <v>695</v>
      </c>
      <c r="D208" s="91" t="n">
        <f aca="false">IFERROR((IF($D35&lt;=0,"N/M",D35/$D35)*100),"N/M")</f>
        <v>100</v>
      </c>
      <c r="E208" s="91" t="n">
        <f aca="false">IFERROR((IF($D35&lt;=0,"N/M",E35/$D35)*100),"N/M")</f>
        <v>62.5622528858595</v>
      </c>
      <c r="F208" s="91" t="n">
        <f aca="false">IFERROR((IF($D35&lt;=0,"N/M",F35/$D35)*100),"N/M")</f>
        <v>56.5816389224197</v>
      </c>
      <c r="G208" s="91" t="n">
        <f aca="false">IFERROR((IF($D35&lt;=0,"N/M",G35/$D35)*100),"N/M")</f>
        <v>28.6601805604747</v>
      </c>
      <c r="H208" s="91" t="n">
        <f aca="false">IFERROR((IF($D35&lt;=0,"N/M",H35/$D35)*100),"N/M")</f>
        <v>27.739669092933</v>
      </c>
      <c r="I208" s="91" t="n">
        <f aca="false">IFERROR((IF($D35&lt;=0,"N/M",I35/$D35)*100),"N/M")</f>
        <v>31.0418729715859</v>
      </c>
      <c r="J208" s="91" t="n">
        <f aca="false">IFERROR((IF($D35&lt;=0,"N/M",J35/$D35)*100),"N/M")</f>
        <v>32.7701359624712</v>
      </c>
      <c r="K208" s="92" t="n">
        <f aca="false">IFERROR(AVERAGE(D208:J208),"N/M")</f>
        <v>48.4793929136777</v>
      </c>
      <c r="L208" s="85" t="n">
        <f aca="false">IFERROR(J208-D208,"N/M")</f>
        <v>-67.2298640375288</v>
      </c>
      <c r="M208" s="85" t="n">
        <f aca="false">IFERROR(SLOPE(D208:J208,$D$3:$J$3),"N/M")</f>
        <v>-10.4847257775222</v>
      </c>
    </row>
    <row r="209" customFormat="false" ht="15" hidden="false" customHeight="false" outlineLevel="0" collapsed="false">
      <c r="A209" s="18" t="s">
        <v>673</v>
      </c>
      <c r="B209" s="19" t="s">
        <v>696</v>
      </c>
      <c r="D209" s="91" t="n">
        <f aca="false">IFERROR((IF($D61&lt;=0,"N/M",D61/$D61)*100),"N/M")</f>
        <v>100</v>
      </c>
      <c r="E209" s="91" t="n">
        <f aca="false">IFERROR((IF($D61&lt;=0,"N/M",E61/$D61)*100),"N/M")</f>
        <v>-135.830791132805</v>
      </c>
      <c r="F209" s="91" t="n">
        <f aca="false">IFERROR((IF($D61&lt;=0,"N/M",F61/$D61)*100),"N/M")</f>
        <v>-189.320724018711</v>
      </c>
      <c r="G209" s="91" t="n">
        <f aca="false">IFERROR((IF($D61&lt;=0,"N/M",G61/$D61)*100),"N/M")</f>
        <v>10.8846857840146</v>
      </c>
      <c r="H209" s="91" t="n">
        <f aca="false">IFERROR((IF($D61&lt;=0,"N/M",H61/$D61)*100),"N/M")</f>
        <v>5.84095993491967</v>
      </c>
      <c r="I209" s="91" t="n">
        <f aca="false">IFERROR((IF($D61&lt;=0,"N/M",I61/$D61)*100),"N/M")</f>
        <v>-0.970103721781573</v>
      </c>
      <c r="J209" s="91" t="n">
        <f aca="false">IFERROR((IF($D61&lt;=0,"N/M",J61/$D61)*100),"N/M")</f>
        <v>26.701240593858</v>
      </c>
      <c r="K209" s="92" t="n">
        <f aca="false">IFERROR(AVERAGE(D209:J209),"N/M")</f>
        <v>-26.0992475086435</v>
      </c>
      <c r="L209" s="85" t="n">
        <f aca="false">IFERROR(J209-D209,"N/M")</f>
        <v>-73.298759406142</v>
      </c>
      <c r="M209" s="85" t="n">
        <f aca="false">IFERROR(SLOPE(D209:J209,$D$3:$J$3),"N/M")</f>
        <v>8.74952787704465</v>
      </c>
    </row>
    <row r="210" customFormat="false" ht="15" hidden="false" customHeight="false" outlineLevel="0" collapsed="false">
      <c r="A210" s="18" t="s">
        <v>675</v>
      </c>
      <c r="B210" s="19" t="s">
        <v>697</v>
      </c>
      <c r="D210" s="91" t="n">
        <f aca="false">IFERROR((IF($D28&lt;=0,"N/M",D28/$D28)*100),"N/M")</f>
        <v>100</v>
      </c>
      <c r="E210" s="91" t="n">
        <f aca="false">IFERROR((IF($D28&lt;=0,"N/M",E28/$D28)*100),"N/M")</f>
        <v>98.8313464920852</v>
      </c>
      <c r="F210" s="91" t="n">
        <f aca="false">IFERROR((IF($D28&lt;=0,"N/M",F28/$D28)*100),"N/M")</f>
        <v>138.072307992965</v>
      </c>
      <c r="G210" s="91" t="n">
        <f aca="false">IFERROR((IF($D28&lt;=0,"N/M",G28/$D28)*100),"N/M")</f>
        <v>37.7932382255228</v>
      </c>
      <c r="H210" s="91" t="n">
        <f aca="false">IFERROR((IF($D28&lt;=0,"N/M",H28/$D28)*100),"N/M")</f>
        <v>39.6521399257377</v>
      </c>
      <c r="I210" s="91" t="n">
        <f aca="false">IFERROR((IF($D28&lt;=0,"N/M",I28/$D28)*100),"N/M")</f>
        <v>47.5122141880008</v>
      </c>
      <c r="J210" s="91" t="n">
        <f aca="false">IFERROR((IF($D28&lt;=0,"N/M",J28/$D28)*100),"N/M")</f>
        <v>37.9167480945867</v>
      </c>
      <c r="K210" s="92" t="n">
        <f aca="false">IFERROR(AVERAGE(D210:J210),"N/M")</f>
        <v>71.3968564169854</v>
      </c>
      <c r="L210" s="85" t="n">
        <f aca="false">IFERROR(J210-D210,"N/M")</f>
        <v>-62.0832519054133</v>
      </c>
      <c r="M210" s="85" t="n">
        <f aca="false">IFERROR(SLOPE(D210:J210,$D$3:$J$3),"N/M")</f>
        <v>-13.8324352997013</v>
      </c>
    </row>
    <row r="211" customFormat="false" ht="15" hidden="false" customHeight="false" outlineLevel="0" collapsed="false">
      <c r="A211" s="18" t="s">
        <v>698</v>
      </c>
      <c r="B211" s="19" t="s">
        <v>699</v>
      </c>
      <c r="D211" s="91" t="n">
        <f aca="false">IFERROR((IF($D36&lt;=0,"N/M",D36/$D36)*100),"N/M")</f>
        <v>100</v>
      </c>
      <c r="E211" s="91" t="n">
        <f aca="false">IFERROR((IF($D36&lt;=0,"N/M",E36/$D36)*100),"N/M")</f>
        <v>88.4754500478111</v>
      </c>
      <c r="F211" s="91" t="n">
        <f aca="false">IFERROR((IF($D36&lt;=0,"N/M",F36/$D36)*100),"N/M")</f>
        <v>58.932357710057</v>
      </c>
      <c r="G211" s="91" t="n">
        <f aca="false">IFERROR((IF($D36&lt;=0,"N/M",G36/$D36)*100),"N/M")</f>
        <v>22.7248160312643</v>
      </c>
      <c r="H211" s="91" t="n">
        <f aca="false">IFERROR((IF($D36&lt;=0,"N/M",H36/$D36)*100),"N/M")</f>
        <v>18.3178813453623</v>
      </c>
      <c r="I211" s="91" t="n">
        <f aca="false">IFERROR((IF($D36&lt;=0,"N/M",I36/$D36)*100),"N/M")</f>
        <v>29.9879432918971</v>
      </c>
      <c r="J211" s="91" t="n">
        <f aca="false">IFERROR((IF($D36&lt;=0,"N/M",J36/$D36)*100),"N/M")</f>
        <v>39.8910738785183</v>
      </c>
      <c r="K211" s="92" t="n">
        <f aca="false">IFERROR(AVERAGE(D211:J211),"N/M")</f>
        <v>51.1899317578443</v>
      </c>
      <c r="L211" s="85" t="n">
        <f aca="false">IFERROR(J211-D211,"N/M")</f>
        <v>-60.1089261214817</v>
      </c>
      <c r="M211" s="85" t="n">
        <f aca="false">IFERROR(SLOPE(D211:J211,$D$3:$J$3),"N/M")</f>
        <v>-12.0684381514631</v>
      </c>
    </row>
    <row r="212" customFormat="false" ht="15" hidden="false" customHeight="false" outlineLevel="0" collapsed="false">
      <c r="A212" s="18" t="s">
        <v>700</v>
      </c>
      <c r="B212" s="19" t="s">
        <v>701</v>
      </c>
      <c r="D212" s="91" t="n">
        <f aca="false">IFERROR((IF($D41&lt;=0,"N/M",D41/$D41)*100),"N/M")</f>
        <v>100</v>
      </c>
      <c r="E212" s="91" t="n">
        <f aca="false">IFERROR((IF($D41&lt;=0,"N/M",E41/$D41)*100),"N/M")</f>
        <v>54.1234821275868</v>
      </c>
      <c r="F212" s="91" t="n">
        <f aca="false">IFERROR((IF($D41&lt;=0,"N/M",F41/$D41)*100),"N/M")</f>
        <v>23.1092868137506</v>
      </c>
      <c r="G212" s="91" t="n">
        <f aca="false">IFERROR((IF($D41&lt;=0,"N/M",G41/$D41)*100),"N/M")</f>
        <v>2.2609885411322</v>
      </c>
      <c r="H212" s="91" t="n">
        <f aca="false">IFERROR((IF($D41&lt;=0,"N/M",H41/$D41)*100),"N/M")</f>
        <v>2.73302548315375</v>
      </c>
      <c r="I212" s="91" t="n">
        <f aca="false">IFERROR((IF($D41&lt;=0,"N/M",I41/$D41)*100),"N/M")</f>
        <v>6.84453565931247</v>
      </c>
      <c r="J212" s="91" t="n">
        <f aca="false">IFERROR((IF($D41&lt;=0,"N/M",J41/$D41)*100),"N/M")</f>
        <v>17.8929365486574</v>
      </c>
      <c r="K212" s="92" t="n">
        <f aca="false">IFERROR(AVERAGE(D212:J212),"N/M")</f>
        <v>29.5663221676562</v>
      </c>
      <c r="L212" s="85" t="n">
        <f aca="false">IFERROR(J212-D212,"N/M")</f>
        <v>-82.1070634513426</v>
      </c>
      <c r="M212" s="85" t="n">
        <f aca="false">IFERROR(SLOPE(D212:J212,$D$3:$J$3),"N/M")</f>
        <v>-12.9019765936133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85</v>
      </c>
    </row>
    <row r="2" customFormat="false" ht="15" hidden="false" customHeight="false" outlineLevel="0" collapsed="false">
      <c r="A2" s="6" t="s">
        <v>709</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2753.64</v>
      </c>
      <c r="D9" s="93" t="n">
        <v>2717.84</v>
      </c>
      <c r="E9" s="93" t="n">
        <v>2802.39</v>
      </c>
      <c r="F9" s="93" t="n">
        <v>3258.81</v>
      </c>
      <c r="G9" s="93" t="n">
        <v>3782.57</v>
      </c>
      <c r="H9" s="93" t="n">
        <v>4024.26</v>
      </c>
      <c r="I9" s="93" t="n">
        <v>4491.78</v>
      </c>
      <c r="J9" s="93" t="n">
        <v>4916.77</v>
      </c>
    </row>
    <row r="10" customFormat="false" ht="15" hidden="false" customHeight="false" outlineLevel="0" collapsed="false">
      <c r="A10" s="18" t="s">
        <v>399</v>
      </c>
      <c r="B10" s="74" t="s">
        <v>400</v>
      </c>
      <c r="C10" s="93" t="n">
        <v>0</v>
      </c>
      <c r="D10" s="93" t="n">
        <v>0</v>
      </c>
      <c r="E10" s="93" t="n">
        <v>0</v>
      </c>
      <c r="F10" s="93" t="n">
        <v>0</v>
      </c>
      <c r="G10" s="93" t="n">
        <v>0</v>
      </c>
      <c r="H10" s="93" t="n">
        <v>0</v>
      </c>
      <c r="I10" s="93" t="n">
        <v>0</v>
      </c>
      <c r="J10" s="93" t="n">
        <v>0</v>
      </c>
    </row>
    <row r="11" customFormat="false" ht="15" hidden="false" customHeight="false" outlineLevel="0" collapsed="false">
      <c r="A11" s="18" t="s">
        <v>401</v>
      </c>
      <c r="B11" s="74" t="s">
        <v>402</v>
      </c>
      <c r="C11" s="93" t="n">
        <v>0</v>
      </c>
      <c r="D11" s="93" t="n">
        <v>0</v>
      </c>
      <c r="E11" s="93" t="n">
        <v>0</v>
      </c>
      <c r="F11" s="93" t="n">
        <v>0</v>
      </c>
      <c r="G11" s="93" t="n">
        <v>0</v>
      </c>
      <c r="H11" s="93" t="n">
        <v>0</v>
      </c>
      <c r="I11" s="93" t="n">
        <v>0</v>
      </c>
      <c r="J11" s="93" t="n">
        <v>0</v>
      </c>
    </row>
    <row r="12" customFormat="false" ht="15" hidden="false" customHeight="false" outlineLevel="0" collapsed="false">
      <c r="A12" s="18" t="s">
        <v>403</v>
      </c>
      <c r="B12" s="74" t="s">
        <v>404</v>
      </c>
      <c r="C12" s="93" t="n">
        <v>93.94</v>
      </c>
      <c r="D12" s="93" t="n">
        <v>97.56</v>
      </c>
      <c r="E12" s="93" t="n">
        <v>8.05</v>
      </c>
      <c r="F12" s="93" t="n">
        <v>8.24</v>
      </c>
      <c r="G12" s="93" t="n">
        <v>9.91</v>
      </c>
      <c r="H12" s="93" t="n">
        <v>11.14</v>
      </c>
      <c r="I12" s="93" t="n">
        <v>14.34</v>
      </c>
      <c r="J12" s="93" t="n">
        <v>20.85</v>
      </c>
    </row>
    <row r="13" customFormat="false" ht="15" hidden="false" customHeight="false" outlineLevel="0" collapsed="false">
      <c r="A13" s="18" t="s">
        <v>405</v>
      </c>
      <c r="B13" s="74" t="s">
        <v>406</v>
      </c>
      <c r="C13" s="93" t="n">
        <v>2182.55</v>
      </c>
      <c r="D13" s="93" t="n">
        <v>2136.98</v>
      </c>
      <c r="E13" s="93" t="n">
        <v>2309.57</v>
      </c>
      <c r="F13" s="93" t="n">
        <v>2595.09</v>
      </c>
      <c r="G13" s="93" t="n">
        <v>3056.19</v>
      </c>
      <c r="H13" s="93" t="n">
        <v>3270.03</v>
      </c>
      <c r="I13" s="93" t="n">
        <v>3646.74</v>
      </c>
      <c r="J13" s="93" t="n">
        <v>3968.04</v>
      </c>
    </row>
    <row r="14" customFormat="false" ht="15" hidden="false" customHeight="false" outlineLevel="0" collapsed="false">
      <c r="A14" s="18" t="s">
        <v>407</v>
      </c>
      <c r="B14" s="74" t="s">
        <v>408</v>
      </c>
      <c r="C14" s="93" t="n">
        <v>140.84</v>
      </c>
      <c r="D14" s="93" t="n">
        <v>157.86</v>
      </c>
      <c r="E14" s="93" t="n">
        <v>146.3</v>
      </c>
      <c r="F14" s="93" t="n">
        <v>170.94</v>
      </c>
      <c r="G14" s="93" t="n">
        <v>197.53</v>
      </c>
      <c r="H14" s="93" t="n">
        <v>224.46</v>
      </c>
      <c r="I14" s="93" t="n">
        <v>250.88</v>
      </c>
      <c r="J14" s="93" t="n">
        <v>277.25</v>
      </c>
    </row>
    <row r="15" customFormat="false" ht="15" hidden="false" customHeight="false" outlineLevel="0" collapsed="false">
      <c r="A15" s="18" t="s">
        <v>409</v>
      </c>
      <c r="B15" s="74" t="s">
        <v>410</v>
      </c>
      <c r="C15" s="93" t="n">
        <v>69.84</v>
      </c>
      <c r="D15" s="93" t="n">
        <v>66.95</v>
      </c>
      <c r="E15" s="93" t="n">
        <v>56.55</v>
      </c>
      <c r="F15" s="93" t="n">
        <v>58.79</v>
      </c>
      <c r="G15" s="93" t="n">
        <v>74.78</v>
      </c>
      <c r="H15" s="93" t="n">
        <v>93.22</v>
      </c>
      <c r="I15" s="93" t="n">
        <v>101.66</v>
      </c>
      <c r="J15" s="93" t="n">
        <v>115.95</v>
      </c>
    </row>
    <row r="16" customFormat="false" ht="15" hidden="false" customHeight="false" outlineLevel="0" collapsed="false">
      <c r="A16" s="18" t="s">
        <v>411</v>
      </c>
      <c r="B16" s="74" t="s">
        <v>412</v>
      </c>
      <c r="C16" s="93" t="n">
        <v>16.95</v>
      </c>
      <c r="D16" s="93" t="n">
        <v>17.05</v>
      </c>
      <c r="E16" s="93" t="n">
        <v>18.9</v>
      </c>
      <c r="F16" s="93" t="n">
        <v>13.92</v>
      </c>
      <c r="G16" s="93" t="n">
        <v>18.79</v>
      </c>
      <c r="H16" s="93" t="n">
        <v>14.18</v>
      </c>
      <c r="I16" s="93" t="n">
        <v>15.6</v>
      </c>
      <c r="J16" s="93" t="n">
        <v>15.68</v>
      </c>
    </row>
    <row r="17" customFormat="false" ht="15" hidden="false" customHeight="false" outlineLevel="0" collapsed="false">
      <c r="A17" s="18" t="s">
        <v>413</v>
      </c>
      <c r="B17" s="74" t="s">
        <v>414</v>
      </c>
      <c r="C17" s="93" t="n">
        <v>43.93</v>
      </c>
      <c r="D17" s="93" t="n">
        <v>34.48</v>
      </c>
      <c r="E17" s="93" t="n">
        <v>30.74</v>
      </c>
      <c r="F17" s="93" t="n">
        <v>44.49</v>
      </c>
      <c r="G17" s="93" t="n">
        <v>69.89</v>
      </c>
      <c r="H17" s="93" t="n">
        <v>118.58</v>
      </c>
      <c r="I17" s="93" t="n">
        <v>134.82</v>
      </c>
      <c r="J17" s="93" t="n">
        <v>130.98</v>
      </c>
    </row>
    <row r="18" customFormat="false" ht="15" hidden="false" customHeight="false" outlineLevel="0" collapsed="false">
      <c r="A18" s="18" t="s">
        <v>415</v>
      </c>
      <c r="B18" s="74" t="s">
        <v>416</v>
      </c>
      <c r="C18" s="93" t="n">
        <v>77.44</v>
      </c>
      <c r="D18" s="93" t="n">
        <v>82.49</v>
      </c>
      <c r="E18" s="93" t="n">
        <v>92.81</v>
      </c>
      <c r="F18" s="93" t="n">
        <v>113.02</v>
      </c>
      <c r="G18" s="93" t="n">
        <v>121.41</v>
      </c>
      <c r="H18" s="93" t="n">
        <v>128.45</v>
      </c>
      <c r="I18" s="93" t="n">
        <v>117.83</v>
      </c>
      <c r="J18" s="93" t="n">
        <v>127.3</v>
      </c>
    </row>
    <row r="19" customFormat="false" ht="15" hidden="false" customHeight="false" outlineLevel="0" collapsed="false">
      <c r="A19" s="18" t="s">
        <v>417</v>
      </c>
      <c r="B19" s="74" t="s">
        <v>418</v>
      </c>
      <c r="C19" s="93" t="n">
        <v>37.38</v>
      </c>
      <c r="D19" s="93" t="n">
        <v>34.32</v>
      </c>
      <c r="E19" s="93" t="n">
        <v>26.7</v>
      </c>
      <c r="F19" s="93" t="n">
        <v>12.83</v>
      </c>
      <c r="G19" s="93" t="n">
        <v>9.82</v>
      </c>
      <c r="H19" s="93" t="n">
        <v>13.27</v>
      </c>
      <c r="I19" s="93" t="n">
        <v>20.16</v>
      </c>
      <c r="J19" s="93" t="n">
        <v>22.79</v>
      </c>
    </row>
    <row r="20" customFormat="false" ht="15" hidden="false" customHeight="false" outlineLevel="0" collapsed="false">
      <c r="A20" s="18" t="s">
        <v>419</v>
      </c>
      <c r="B20" s="74" t="s">
        <v>420</v>
      </c>
      <c r="C20" s="93" t="n">
        <v>178.63</v>
      </c>
      <c r="D20" s="93" t="n">
        <v>159.11</v>
      </c>
      <c r="E20" s="93" t="n">
        <v>174.25</v>
      </c>
      <c r="F20" s="93" t="n">
        <v>330.47</v>
      </c>
      <c r="G20" s="93" t="n">
        <v>364.03</v>
      </c>
      <c r="H20" s="93" t="n">
        <v>388.09</v>
      </c>
      <c r="I20" s="93" t="n">
        <v>459.39</v>
      </c>
      <c r="J20" s="93" t="n">
        <v>499.89</v>
      </c>
    </row>
    <row r="21" customFormat="false" ht="15" hidden="false" customHeight="false" outlineLevel="0" collapsed="false">
      <c r="A21" s="18" t="s">
        <v>421</v>
      </c>
      <c r="B21" s="74" t="s">
        <v>422</v>
      </c>
      <c r="C21" s="93" t="n">
        <v>33.34</v>
      </c>
      <c r="D21" s="93" t="n">
        <v>15.92</v>
      </c>
      <c r="E21" s="93" t="n">
        <v>23.83</v>
      </c>
      <c r="F21" s="93" t="n">
        <v>37.65</v>
      </c>
      <c r="G21" s="93" t="n">
        <v>43.44</v>
      </c>
      <c r="H21" s="93" t="n">
        <v>33.63</v>
      </c>
      <c r="I21" s="93" t="n">
        <v>43.39</v>
      </c>
      <c r="J21" s="93" t="n">
        <v>40.02</v>
      </c>
    </row>
    <row r="22" customFormat="false" ht="15" hidden="false" customHeight="false" outlineLevel="0" collapsed="false">
      <c r="A22" s="18" t="s">
        <v>423</v>
      </c>
      <c r="B22" s="74" t="s">
        <v>424</v>
      </c>
      <c r="C22" s="93" t="n">
        <v>144.4</v>
      </c>
      <c r="D22" s="93" t="n">
        <v>142.36</v>
      </c>
      <c r="E22" s="93" t="n">
        <v>147.13</v>
      </c>
      <c r="F22" s="93" t="n">
        <v>289.61</v>
      </c>
      <c r="G22" s="93" t="n">
        <v>317.34</v>
      </c>
      <c r="H22" s="93" t="n">
        <v>350.8</v>
      </c>
      <c r="I22" s="93" t="n">
        <v>412.38</v>
      </c>
      <c r="J22" s="93" t="n">
        <v>456.25</v>
      </c>
    </row>
    <row r="23" customFormat="false" ht="15" hidden="false" customHeight="false" outlineLevel="0" collapsed="false">
      <c r="A23" s="18" t="s">
        <v>425</v>
      </c>
      <c r="B23" s="74" t="s">
        <v>426</v>
      </c>
      <c r="C23" s="93" t="n">
        <v>13.8</v>
      </c>
      <c r="D23" s="93" t="n">
        <v>15.37</v>
      </c>
      <c r="E23" s="93" t="n">
        <v>19.28</v>
      </c>
      <c r="F23" s="93" t="n">
        <v>30.94</v>
      </c>
      <c r="G23" s="93" t="n">
        <v>54.28</v>
      </c>
      <c r="H23" s="93" t="n">
        <v>54.42</v>
      </c>
      <c r="I23" s="93" t="n">
        <v>61.28</v>
      </c>
      <c r="J23" s="93" t="n">
        <v>76.75</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15.33</v>
      </c>
      <c r="D26" s="93" t="n">
        <v>15.37</v>
      </c>
      <c r="E26" s="93" t="n">
        <v>15.42</v>
      </c>
      <c r="F26" s="93" t="n">
        <v>15.47</v>
      </c>
      <c r="G26" s="93" t="n">
        <v>15.51</v>
      </c>
      <c r="H26" s="93" t="n">
        <v>15.55</v>
      </c>
      <c r="I26" s="93" t="n">
        <v>15.32</v>
      </c>
      <c r="J26" s="93" t="n">
        <v>15.35</v>
      </c>
    </row>
    <row r="27" customFormat="false" ht="15" hidden="false" customHeight="false" outlineLevel="0" collapsed="false">
      <c r="A27" s="18" t="s">
        <v>430</v>
      </c>
      <c r="B27" s="74" t="s">
        <v>431</v>
      </c>
      <c r="C27" s="93" t="n">
        <v>876.63</v>
      </c>
      <c r="D27" s="93" t="n">
        <v>1008.52</v>
      </c>
      <c r="E27" s="93" t="n">
        <v>1154.29</v>
      </c>
      <c r="F27" s="93" t="n">
        <v>1414.81</v>
      </c>
      <c r="G27" s="93" t="n">
        <v>1686.28</v>
      </c>
      <c r="H27" s="93" t="n">
        <v>1988.27</v>
      </c>
      <c r="I27" s="93" t="n">
        <v>2139.43</v>
      </c>
      <c r="J27" s="93" t="n">
        <v>2550.64</v>
      </c>
    </row>
    <row r="28" customFormat="false" ht="15" hidden="false" customHeight="false" outlineLevel="0" collapsed="false">
      <c r="A28" s="18" t="s">
        <v>432</v>
      </c>
      <c r="B28" s="74" t="s">
        <v>433</v>
      </c>
      <c r="C28" s="93" t="n">
        <v>470.29</v>
      </c>
      <c r="D28" s="93" t="n">
        <v>422.05</v>
      </c>
      <c r="E28" s="93" t="n">
        <v>297.48</v>
      </c>
      <c r="F28" s="93" t="n">
        <v>96.23</v>
      </c>
      <c r="G28" s="93" t="n">
        <v>91.87</v>
      </c>
      <c r="H28" s="93" t="n">
        <v>193.68</v>
      </c>
      <c r="I28" s="93" t="n">
        <v>241.86</v>
      </c>
      <c r="J28" s="93" t="n">
        <v>312.4</v>
      </c>
    </row>
    <row r="29" customFormat="false" ht="15" hidden="false" customHeight="false" outlineLevel="0" collapsed="false">
      <c r="A29" s="18" t="s">
        <v>434</v>
      </c>
      <c r="B29" s="74" t="s">
        <v>435</v>
      </c>
      <c r="C29" s="93" t="n">
        <v>253.7</v>
      </c>
      <c r="D29" s="93" t="n">
        <v>237.38</v>
      </c>
      <c r="E29" s="93" t="n">
        <v>271.62</v>
      </c>
      <c r="F29" s="93" t="n">
        <v>300.52</v>
      </c>
      <c r="G29" s="93" t="n">
        <v>307.25</v>
      </c>
      <c r="H29" s="93" t="n">
        <v>303.9</v>
      </c>
      <c r="I29" s="93" t="n">
        <v>537.42</v>
      </c>
      <c r="J29" s="93" t="n">
        <v>603.47</v>
      </c>
    </row>
    <row r="30" customFormat="false" ht="15" hidden="false" customHeight="false" outlineLevel="0" collapsed="false">
      <c r="A30" s="18" t="s">
        <v>436</v>
      </c>
      <c r="B30" s="74" t="s">
        <v>437</v>
      </c>
      <c r="C30" s="93" t="n">
        <v>1615.95</v>
      </c>
      <c r="D30" s="93" t="n">
        <v>1683.32</v>
      </c>
      <c r="E30" s="93" t="n">
        <v>1738.81</v>
      </c>
      <c r="F30" s="93" t="n">
        <v>1827.03</v>
      </c>
      <c r="G30" s="93" t="n">
        <v>2100.91</v>
      </c>
      <c r="H30" s="93" t="n">
        <v>2501.4</v>
      </c>
      <c r="I30" s="93" t="n">
        <v>2934.03</v>
      </c>
      <c r="J30" s="93" t="n">
        <v>3481.86</v>
      </c>
    </row>
    <row r="31" customFormat="false" ht="15" hidden="false" customHeight="false" outlineLevel="0" collapsed="false">
      <c r="A31" s="18" t="s">
        <v>438</v>
      </c>
      <c r="B31" s="74" t="s">
        <v>439</v>
      </c>
      <c r="C31" s="93" t="n">
        <v>726.8</v>
      </c>
      <c r="D31" s="93" t="n">
        <v>771.72</v>
      </c>
      <c r="E31" s="93" t="n">
        <v>804.63</v>
      </c>
      <c r="F31" s="93" t="n">
        <v>801.35</v>
      </c>
      <c r="G31" s="93" t="n">
        <v>791.26</v>
      </c>
      <c r="H31" s="93" t="n">
        <v>861.78</v>
      </c>
      <c r="I31" s="93" t="n">
        <v>963.7</v>
      </c>
      <c r="J31" s="93" t="n">
        <v>1192.69</v>
      </c>
    </row>
    <row r="32" customFormat="false" ht="15" hidden="false" customHeight="false" outlineLevel="0" collapsed="false">
      <c r="A32" s="18" t="s">
        <v>440</v>
      </c>
      <c r="B32" s="74" t="s">
        <v>441</v>
      </c>
      <c r="C32" s="93" t="n">
        <v>4.02</v>
      </c>
      <c r="D32" s="93" t="n">
        <v>21.58</v>
      </c>
      <c r="E32" s="93" t="n">
        <v>5.22</v>
      </c>
      <c r="F32" s="93" t="n">
        <v>7.3</v>
      </c>
      <c r="G32" s="93" t="n">
        <v>25.98</v>
      </c>
      <c r="H32" s="93" t="n">
        <v>108.96</v>
      </c>
      <c r="I32" s="93" t="n">
        <v>254.99</v>
      </c>
      <c r="J32" s="93" t="n">
        <v>343.23</v>
      </c>
    </row>
    <row r="33" customFormat="false" ht="15" hidden="false" customHeight="false" outlineLevel="0" collapsed="false">
      <c r="A33" s="18" t="s">
        <v>442</v>
      </c>
      <c r="B33" s="74" t="s">
        <v>443</v>
      </c>
      <c r="C33" s="93" t="n">
        <v>116.81</v>
      </c>
      <c r="D33" s="93" t="n">
        <v>135.35</v>
      </c>
      <c r="E33" s="93" t="n">
        <v>149.98</v>
      </c>
      <c r="F33" s="93" t="n">
        <v>192.71</v>
      </c>
      <c r="G33" s="93" t="n">
        <v>285.9</v>
      </c>
      <c r="H33" s="93" t="n">
        <v>542.67</v>
      </c>
      <c r="I33" s="93" t="n">
        <v>411.18</v>
      </c>
      <c r="J33" s="93" t="n">
        <v>486.58</v>
      </c>
    </row>
    <row r="34" customFormat="false" ht="15" hidden="false" customHeight="false" outlineLevel="0" collapsed="false">
      <c r="A34" s="18" t="s">
        <v>444</v>
      </c>
      <c r="B34" s="74" t="s">
        <v>445</v>
      </c>
      <c r="C34" s="93" t="n">
        <v>768.32</v>
      </c>
      <c r="D34" s="93" t="n">
        <v>754.67</v>
      </c>
      <c r="E34" s="93" t="n">
        <v>778.98</v>
      </c>
      <c r="F34" s="93" t="n">
        <v>825.67</v>
      </c>
      <c r="G34" s="93" t="n">
        <v>997.77</v>
      </c>
      <c r="H34" s="93" t="n">
        <v>987.99</v>
      </c>
      <c r="I34" s="93" t="n">
        <v>1304.16</v>
      </c>
      <c r="J34" s="93" t="n">
        <v>1459.36</v>
      </c>
    </row>
    <row r="35" customFormat="false" ht="15" hidden="false" customHeight="false" outlineLevel="0" collapsed="false">
      <c r="A35" s="18" t="s">
        <v>446</v>
      </c>
      <c r="B35" s="74" t="s">
        <v>447</v>
      </c>
      <c r="C35" s="93" t="n">
        <v>1615.95</v>
      </c>
      <c r="D35" s="93" t="n">
        <v>1683.32</v>
      </c>
      <c r="E35" s="93" t="n">
        <v>1738.81</v>
      </c>
      <c r="F35" s="93" t="n">
        <v>1827.03</v>
      </c>
      <c r="G35" s="93" t="n">
        <v>2100.91</v>
      </c>
      <c r="H35" s="93" t="n">
        <v>2501.4</v>
      </c>
      <c r="I35" s="93" t="n">
        <v>2934.03</v>
      </c>
      <c r="J35" s="93" t="n">
        <v>3481.86</v>
      </c>
    </row>
    <row r="36" customFormat="false" ht="15" hidden="false" customHeight="false" outlineLevel="0" collapsed="false">
      <c r="A36" s="18" t="s">
        <v>448</v>
      </c>
      <c r="B36" s="74" t="s">
        <v>449</v>
      </c>
      <c r="C36" s="93" t="n">
        <v>515.08</v>
      </c>
      <c r="D36" s="93" t="n">
        <v>487.3</v>
      </c>
      <c r="E36" s="93" t="n">
        <v>511.04</v>
      </c>
      <c r="F36" s="93" t="n">
        <v>508.25</v>
      </c>
      <c r="G36" s="93" t="n">
        <v>560.91</v>
      </c>
      <c r="H36" s="93" t="n">
        <v>600.63</v>
      </c>
      <c r="I36" s="93" t="n">
        <v>721.93</v>
      </c>
      <c r="J36" s="93" t="n">
        <v>816.36</v>
      </c>
    </row>
    <row r="37" customFormat="false" ht="15" hidden="false" customHeight="false" outlineLevel="0" collapsed="false">
      <c r="A37" s="18" t="s">
        <v>450</v>
      </c>
      <c r="B37" s="74" t="s">
        <v>451</v>
      </c>
      <c r="C37" s="93" t="n">
        <v>5.32</v>
      </c>
      <c r="D37" s="93" t="n">
        <v>6.58</v>
      </c>
      <c r="E37" s="93" t="n">
        <v>7.12</v>
      </c>
      <c r="F37" s="93" t="n">
        <v>8.46</v>
      </c>
      <c r="G37" s="93" t="n">
        <v>5</v>
      </c>
      <c r="H37" s="93" t="n">
        <v>10.55</v>
      </c>
      <c r="I37" s="93" t="n">
        <v>6.55</v>
      </c>
      <c r="J37" s="93" t="n">
        <v>14.78</v>
      </c>
    </row>
    <row r="38" customFormat="false" ht="15" hidden="false" customHeight="false" outlineLevel="0" collapsed="false">
      <c r="A38" s="18" t="s">
        <v>452</v>
      </c>
      <c r="B38" s="74" t="s">
        <v>453</v>
      </c>
      <c r="C38" s="93" t="n">
        <v>15.53</v>
      </c>
      <c r="D38" s="93" t="n">
        <v>25.92</v>
      </c>
      <c r="E38" s="93" t="n">
        <v>39.51</v>
      </c>
      <c r="F38" s="93" t="n">
        <v>74.45</v>
      </c>
      <c r="G38" s="93" t="n">
        <v>184.58</v>
      </c>
      <c r="H38" s="93" t="n">
        <v>95.6</v>
      </c>
      <c r="I38" s="93" t="n">
        <v>84.9</v>
      </c>
      <c r="J38" s="93" t="n">
        <v>113.25</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179.11</v>
      </c>
      <c r="D41" s="93" t="n">
        <v>242.82</v>
      </c>
      <c r="E41" s="93" t="n">
        <v>304.72</v>
      </c>
      <c r="F41" s="93" t="n">
        <v>368.01</v>
      </c>
      <c r="G41" s="93" t="n">
        <v>360.64</v>
      </c>
      <c r="H41" s="93" t="n">
        <v>299.31</v>
      </c>
      <c r="I41" s="93" t="n">
        <v>359.19</v>
      </c>
      <c r="J41" s="93" t="n">
        <v>444.39</v>
      </c>
    </row>
    <row r="42" customFormat="false" ht="15" hidden="false" customHeight="false" outlineLevel="0" collapsed="false">
      <c r="A42" s="18" t="s">
        <v>457</v>
      </c>
      <c r="B42" s="74" t="s">
        <v>458</v>
      </c>
      <c r="C42" s="93" t="n">
        <v>-157.6</v>
      </c>
      <c r="D42" s="93" t="n">
        <v>-135.32</v>
      </c>
      <c r="E42" s="93" t="n">
        <v>-107.48</v>
      </c>
      <c r="F42" s="93" t="n">
        <v>-76.22</v>
      </c>
      <c r="G42" s="93" t="n">
        <v>-193.13</v>
      </c>
      <c r="H42" s="93" t="n">
        <v>-403.82</v>
      </c>
      <c r="I42" s="93" t="n">
        <v>-99.29</v>
      </c>
      <c r="J42" s="93" t="n">
        <v>-367.07</v>
      </c>
    </row>
    <row r="43" customFormat="false" ht="15" hidden="false" customHeight="false" outlineLevel="0" collapsed="false">
      <c r="A43" s="18" t="s">
        <v>459</v>
      </c>
      <c r="B43" s="74" t="s">
        <v>460</v>
      </c>
      <c r="C43" s="93" t="n">
        <v>-24.14</v>
      </c>
      <c r="D43" s="93" t="n">
        <v>-104.4</v>
      </c>
      <c r="E43" s="93" t="n">
        <v>-176.35</v>
      </c>
      <c r="F43" s="93" t="n">
        <v>-257.95</v>
      </c>
      <c r="G43" s="93" t="n">
        <v>-65.47</v>
      </c>
      <c r="H43" s="93" t="n">
        <v>17.64</v>
      </c>
      <c r="I43" s="93" t="n">
        <v>-291.96</v>
      </c>
      <c r="J43" s="93" t="n">
        <v>-35.09</v>
      </c>
    </row>
    <row r="44" customFormat="false" ht="15" hidden="false" customHeight="false" outlineLevel="0" collapsed="false">
      <c r="A44" s="18" t="s">
        <v>461</v>
      </c>
      <c r="B44" s="74" t="s">
        <v>462</v>
      </c>
      <c r="C44" s="93" t="n">
        <v>-2.63</v>
      </c>
      <c r="D44" s="93" t="n">
        <v>3.09</v>
      </c>
      <c r="E44" s="93" t="n">
        <v>20.89</v>
      </c>
      <c r="F44" s="93" t="n">
        <v>33.84</v>
      </c>
      <c r="G44" s="93" t="n">
        <v>102.05</v>
      </c>
      <c r="H44" s="93" t="n">
        <v>-86.87</v>
      </c>
      <c r="I44" s="93" t="n">
        <v>-32.06</v>
      </c>
      <c r="J44" s="93" t="n">
        <v>42.23</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324.75</v>
      </c>
      <c r="D47" s="93" t="n">
        <v>188.05</v>
      </c>
      <c r="E47" s="93" t="n">
        <v>256.15</v>
      </c>
      <c r="F47" s="93" t="n">
        <v>599.1</v>
      </c>
      <c r="G47" s="93" t="n">
        <v>626.85</v>
      </c>
      <c r="H47" s="93" t="n">
        <v>811.6</v>
      </c>
      <c r="I47" s="93" t="n">
        <v>1102.5</v>
      </c>
      <c r="J47" s="93" t="n">
        <v>923</v>
      </c>
    </row>
    <row r="48" customFormat="false" ht="15" hidden="false" customHeight="false" outlineLevel="0" collapsed="false">
      <c r="A48" s="18" t="s">
        <v>467</v>
      </c>
      <c r="B48" s="74" t="s">
        <v>468</v>
      </c>
      <c r="C48" s="93" t="n">
        <v>7.67</v>
      </c>
      <c r="D48" s="93" t="n">
        <v>7.68</v>
      </c>
      <c r="E48" s="93" t="n">
        <v>7.71</v>
      </c>
      <c r="F48" s="93" t="n">
        <v>7.73</v>
      </c>
      <c r="G48" s="93" t="n">
        <v>7.76</v>
      </c>
      <c r="H48" s="93" t="n">
        <v>7.77</v>
      </c>
      <c r="I48" s="93" t="n">
        <v>7.66</v>
      </c>
      <c r="J48" s="93" t="n">
        <v>7.67</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2276.49</v>
      </c>
      <c r="D52" s="44" t="n">
        <f aca="false">IFERROR((((D10+D12)+D13)-D11),"N/M")</f>
        <v>2234.54</v>
      </c>
      <c r="E52" s="44" t="n">
        <f aca="false">IFERROR((((E10+E12)+E13)-E11),"N/M")</f>
        <v>2317.62</v>
      </c>
      <c r="F52" s="44" t="n">
        <f aca="false">IFERROR((((F10+F12)+F13)-F11),"N/M")</f>
        <v>2603.33</v>
      </c>
      <c r="G52" s="44" t="n">
        <f aca="false">IFERROR((((G10+G12)+G13)-G11),"N/M")</f>
        <v>3066.1</v>
      </c>
      <c r="H52" s="44" t="n">
        <f aca="false">IFERROR((((H10+H12)+H13)-H11),"N/M")</f>
        <v>3281.17</v>
      </c>
      <c r="I52" s="44" t="n">
        <f aca="false">IFERROR((((I10+I12)+I13)-I11),"N/M")</f>
        <v>3661.08</v>
      </c>
      <c r="J52" s="44" t="n">
        <f aca="false">IFERROR((((J10+J12)+J13)-J11),"N/M")</f>
        <v>3988.89</v>
      </c>
    </row>
    <row r="53" customFormat="false" ht="15" hidden="false" customHeight="false" outlineLevel="0" collapsed="false">
      <c r="A53" s="18" t="s">
        <v>473</v>
      </c>
      <c r="B53" s="19" t="s">
        <v>474</v>
      </c>
      <c r="C53" s="44" t="n">
        <f aca="false">IFERROR(((C14+C15)+C16),"N/M")</f>
        <v>227.63</v>
      </c>
      <c r="D53" s="44" t="n">
        <f aca="false">IFERROR(((D14+D15)+D16),"N/M")</f>
        <v>241.86</v>
      </c>
      <c r="E53" s="44" t="n">
        <f aca="false">IFERROR(((E14+E15)+E16),"N/M")</f>
        <v>221.75</v>
      </c>
      <c r="F53" s="44" t="n">
        <f aca="false">IFERROR(((F14+F15)+F16),"N/M")</f>
        <v>243.65</v>
      </c>
      <c r="G53" s="44" t="n">
        <f aca="false">IFERROR(((G14+G15)+G16),"N/M")</f>
        <v>291.1</v>
      </c>
      <c r="H53" s="44" t="n">
        <f aca="false">IFERROR(((H14+H15)+H16),"N/M")</f>
        <v>331.86</v>
      </c>
      <c r="I53" s="44" t="n">
        <f aca="false">IFERROR(((I14+I15)+I16),"N/M")</f>
        <v>368.14</v>
      </c>
      <c r="J53" s="44" t="n">
        <f aca="false">IFERROR(((J14+J15)+J16),"N/M")</f>
        <v>408.88</v>
      </c>
    </row>
    <row r="54" customFormat="false" ht="15" hidden="false" customHeight="false" outlineLevel="0" collapsed="false">
      <c r="A54" s="18" t="s">
        <v>475</v>
      </c>
      <c r="B54" s="19" t="s">
        <v>476</v>
      </c>
      <c r="C54" s="44" t="n">
        <f aca="false">IFERROR((C52+C53),"N/M")</f>
        <v>2504.12</v>
      </c>
      <c r="D54" s="44" t="n">
        <f aca="false">IFERROR((D52+D53),"N/M")</f>
        <v>2476.4</v>
      </c>
      <c r="E54" s="44" t="n">
        <f aca="false">IFERROR((E52+E53),"N/M")</f>
        <v>2539.37</v>
      </c>
      <c r="F54" s="44" t="n">
        <f aca="false">IFERROR((F52+F53),"N/M")</f>
        <v>2846.98</v>
      </c>
      <c r="G54" s="44" t="n">
        <f aca="false">IFERROR((G52+G53),"N/M")</f>
        <v>3357.2</v>
      </c>
      <c r="H54" s="44" t="n">
        <f aca="false">IFERROR((H52+H53),"N/M")</f>
        <v>3613.03</v>
      </c>
      <c r="I54" s="44" t="n">
        <f aca="false">IFERROR((I52+I53),"N/M")</f>
        <v>4029.22</v>
      </c>
      <c r="J54" s="44" t="n">
        <f aca="false">IFERROR((J52+J53),"N/M")</f>
        <v>4397.77</v>
      </c>
    </row>
    <row r="55" customFormat="false" ht="15" hidden="false" customHeight="false" outlineLevel="0" collapsed="false">
      <c r="A55" s="18" t="s">
        <v>477</v>
      </c>
      <c r="B55" s="19" t="s">
        <v>478</v>
      </c>
      <c r="C55" s="44" t="n">
        <f aca="false">IFERROR((C9-C52),"N/M")</f>
        <v>477.15</v>
      </c>
      <c r="D55" s="44" t="n">
        <f aca="false">IFERROR((D9-D52),"N/M")</f>
        <v>483.3</v>
      </c>
      <c r="E55" s="44" t="n">
        <f aca="false">IFERROR((E9-E52),"N/M")</f>
        <v>484.77</v>
      </c>
      <c r="F55" s="44" t="n">
        <f aca="false">IFERROR((F9-F52),"N/M")</f>
        <v>655.48</v>
      </c>
      <c r="G55" s="44" t="n">
        <f aca="false">IFERROR((G9-G52),"N/M")</f>
        <v>716.47</v>
      </c>
      <c r="H55" s="44" t="n">
        <f aca="false">IFERROR((H9-H52),"N/M")</f>
        <v>743.09</v>
      </c>
      <c r="I55" s="44" t="n">
        <f aca="false">IFERROR((I9-I52),"N/M")</f>
        <v>830.7</v>
      </c>
      <c r="J55" s="44" t="n">
        <f aca="false">IFERROR((J9-J52),"N/M")</f>
        <v>927.880000000001</v>
      </c>
    </row>
    <row r="56" customFormat="false" ht="15" hidden="false" customHeight="false" outlineLevel="0" collapsed="false">
      <c r="A56" s="18" t="s">
        <v>479</v>
      </c>
      <c r="B56" s="19" t="s">
        <v>480</v>
      </c>
      <c r="C56" s="44" t="n">
        <f aca="false">IFERROR((C9-C54),"N/M")</f>
        <v>249.52</v>
      </c>
      <c r="D56" s="44" t="n">
        <f aca="false">IFERROR((D9-D54),"N/M")</f>
        <v>241.44</v>
      </c>
      <c r="E56" s="44" t="n">
        <f aca="false">IFERROR((E9-E54),"N/M")</f>
        <v>263.02</v>
      </c>
      <c r="F56" s="44" t="n">
        <f aca="false">IFERROR((F9-F54),"N/M")</f>
        <v>411.83</v>
      </c>
      <c r="G56" s="44" t="n">
        <f aca="false">IFERROR((G9-G54),"N/M")</f>
        <v>425.37</v>
      </c>
      <c r="H56" s="44" t="n">
        <f aca="false">IFERROR((H9-H54),"N/M")</f>
        <v>411.23</v>
      </c>
      <c r="I56" s="44" t="n">
        <f aca="false">IFERROR((I9-I54),"N/M")</f>
        <v>462.56</v>
      </c>
      <c r="J56" s="44" t="n">
        <f aca="false">IFERROR((J9-J54),"N/M")</f>
        <v>519.000000000001</v>
      </c>
    </row>
    <row r="57" customFormat="false" ht="15" hidden="false" customHeight="false" outlineLevel="0" collapsed="false">
      <c r="A57" s="18" t="s">
        <v>481</v>
      </c>
      <c r="B57" s="19" t="s">
        <v>482</v>
      </c>
      <c r="C57" s="44" t="n">
        <f aca="false">IFERROR((C9+C17),"N/M")</f>
        <v>2797.57</v>
      </c>
      <c r="D57" s="44" t="n">
        <f aca="false">IFERROR((D9+D17),"N/M")</f>
        <v>2752.32</v>
      </c>
      <c r="E57" s="44" t="n">
        <f aca="false">IFERROR((E9+E17),"N/M")</f>
        <v>2833.13</v>
      </c>
      <c r="F57" s="44" t="n">
        <f aca="false">IFERROR((F9+F17),"N/M")</f>
        <v>3303.3</v>
      </c>
      <c r="G57" s="44" t="n">
        <f aca="false">IFERROR((G9+G17),"N/M")</f>
        <v>3852.46</v>
      </c>
      <c r="H57" s="44" t="n">
        <f aca="false">IFERROR((H9+H17),"N/M")</f>
        <v>4142.84</v>
      </c>
      <c r="I57" s="44" t="n">
        <f aca="false">IFERROR((I9+I17),"N/M")</f>
        <v>4626.6</v>
      </c>
      <c r="J57" s="44" t="n">
        <f aca="false">IFERROR((J9+J17),"N/M")</f>
        <v>5047.75</v>
      </c>
    </row>
    <row r="58" customFormat="false" ht="15" hidden="false" customHeight="false" outlineLevel="0" collapsed="false">
      <c r="A58" s="18" t="s">
        <v>483</v>
      </c>
      <c r="B58" s="19" t="s">
        <v>484</v>
      </c>
      <c r="C58" s="44" t="n">
        <f aca="false">IFERROR((C20+C19),"N/M")</f>
        <v>216.01</v>
      </c>
      <c r="D58" s="44" t="n">
        <f aca="false">IFERROR((D20+D19),"N/M")</f>
        <v>193.43</v>
      </c>
      <c r="E58" s="44" t="n">
        <f aca="false">IFERROR((E20+E19),"N/M")</f>
        <v>200.95</v>
      </c>
      <c r="F58" s="44" t="n">
        <f aca="false">IFERROR((F20+F19),"N/M")</f>
        <v>343.3</v>
      </c>
      <c r="G58" s="44" t="n">
        <f aca="false">IFERROR((G20+G19),"N/M")</f>
        <v>373.85</v>
      </c>
      <c r="H58" s="44" t="n">
        <f aca="false">IFERROR((H20+H19),"N/M")</f>
        <v>401.36</v>
      </c>
      <c r="I58" s="44" t="n">
        <f aca="false">IFERROR((I20+I19),"N/M")</f>
        <v>479.55</v>
      </c>
      <c r="J58" s="44" t="n">
        <f aca="false">IFERROR((J20+J19),"N/M")</f>
        <v>522.68</v>
      </c>
    </row>
    <row r="59" customFormat="false" ht="15" hidden="false" customHeight="false" outlineLevel="0" collapsed="false">
      <c r="A59" s="18" t="s">
        <v>485</v>
      </c>
      <c r="B59" s="19" t="s">
        <v>486</v>
      </c>
      <c r="C59" s="44" t="n">
        <f aca="false">IFERROR((C58+C18),"N/M")</f>
        <v>293.45</v>
      </c>
      <c r="D59" s="44" t="n">
        <f aca="false">IFERROR((D58+D18),"N/M")</f>
        <v>275.92</v>
      </c>
      <c r="E59" s="44" t="n">
        <f aca="false">IFERROR((E58+E18),"N/M")</f>
        <v>293.76</v>
      </c>
      <c r="F59" s="44" t="n">
        <f aca="false">IFERROR((F58+F18),"N/M")</f>
        <v>456.32</v>
      </c>
      <c r="G59" s="44" t="n">
        <f aca="false">IFERROR((G58+G18),"N/M")</f>
        <v>495.26</v>
      </c>
      <c r="H59" s="44" t="n">
        <f aca="false">IFERROR((H58+H18),"N/M")</f>
        <v>529.81</v>
      </c>
      <c r="I59" s="44" t="n">
        <f aca="false">IFERROR((I58+I18),"N/M")</f>
        <v>597.38</v>
      </c>
      <c r="J59" s="44" t="n">
        <f aca="false">IFERROR((J58+J18),"N/M")</f>
        <v>649.98</v>
      </c>
    </row>
    <row r="60" customFormat="false" ht="15" hidden="false" customHeight="false" outlineLevel="0" collapsed="false">
      <c r="A60" s="18" t="s">
        <v>487</v>
      </c>
      <c r="B60" s="19" t="s">
        <v>488</v>
      </c>
      <c r="C60" s="46" t="n">
        <f aca="false">IFERROR(IF(C20&gt;0,MIN(MAX((C21/C20),0),1),0),"N/M")</f>
        <v>0.186642781167777</v>
      </c>
      <c r="D60" s="46" t="n">
        <f aca="false">IFERROR(IF(D20&gt;0,MIN(MAX((D21/D20),0),1),0),"N/M")</f>
        <v>0.100056564640815</v>
      </c>
      <c r="E60" s="46" t="n">
        <f aca="false">IFERROR(IF(E20&gt;0,MIN(MAX((E21/E20),0),1),0),"N/M")</f>
        <v>0.136757532281205</v>
      </c>
      <c r="F60" s="46" t="n">
        <f aca="false">IFERROR(IF(F20&gt;0,MIN(MAX((F21/F20),0),1),0),"N/M")</f>
        <v>0.113928647078403</v>
      </c>
      <c r="G60" s="46" t="n">
        <f aca="false">IFERROR(IF(G20&gt;0,MIN(MAX((G21/G20),0),1),0),"N/M")</f>
        <v>0.119330824382606</v>
      </c>
      <c r="H60" s="46" t="n">
        <f aca="false">IFERROR(IF(H20&gt;0,MIN(MAX((H21/H20),0),1),0),"N/M")</f>
        <v>0.0866551573088717</v>
      </c>
      <c r="I60" s="46" t="n">
        <f aca="false">IFERROR(IF(I20&gt;0,MIN(MAX((I21/I20),0),1),0),"N/M")</f>
        <v>0.0944513376433967</v>
      </c>
      <c r="J60" s="46" t="n">
        <f aca="false">IFERROR(IF(J20&gt;0,MIN(MAX((J21/J20),0),1),0),"N/M")</f>
        <v>0.0800576126747885</v>
      </c>
    </row>
    <row r="61" customFormat="false" ht="15" hidden="false" customHeight="false" outlineLevel="0" collapsed="false">
      <c r="A61" s="18" t="s">
        <v>489</v>
      </c>
      <c r="B61" s="19" t="s">
        <v>490</v>
      </c>
      <c r="C61" s="44" t="n">
        <f aca="false">IFERROR((C26+C27),"N/M")</f>
        <v>891.96</v>
      </c>
      <c r="D61" s="44" t="n">
        <f aca="false">IFERROR((D26+D27),"N/M")</f>
        <v>1023.89</v>
      </c>
      <c r="E61" s="44" t="n">
        <f aca="false">IFERROR((E26+E27),"N/M")</f>
        <v>1169.71</v>
      </c>
      <c r="F61" s="44" t="n">
        <f aca="false">IFERROR((F26+F27),"N/M")</f>
        <v>1430.28</v>
      </c>
      <c r="G61" s="44" t="n">
        <f aca="false">IFERROR((G26+G27),"N/M")</f>
        <v>1701.79</v>
      </c>
      <c r="H61" s="44" t="n">
        <f aca="false">IFERROR((H26+H27),"N/M")</f>
        <v>2003.82</v>
      </c>
      <c r="I61" s="44" t="n">
        <f aca="false">IFERROR((I26+I27),"N/M")</f>
        <v>2154.75</v>
      </c>
      <c r="J61" s="44" t="n">
        <f aca="false">IFERROR((J26+J27),"N/M")</f>
        <v>2565.99</v>
      </c>
    </row>
    <row r="62" customFormat="false" ht="15" hidden="false" customHeight="false" outlineLevel="0" collapsed="false">
      <c r="A62" s="18" t="s">
        <v>491</v>
      </c>
      <c r="B62" s="19" t="s">
        <v>492</v>
      </c>
      <c r="C62" s="44" t="n">
        <f aca="false">IFERROR((C61+C28),"N/M")</f>
        <v>1362.25</v>
      </c>
      <c r="D62" s="44" t="n">
        <f aca="false">IFERROR((D61+D28),"N/M")</f>
        <v>1445.94</v>
      </c>
      <c r="E62" s="44" t="n">
        <f aca="false">IFERROR((E61+E28),"N/M")</f>
        <v>1467.19</v>
      </c>
      <c r="F62" s="44" t="n">
        <f aca="false">IFERROR((F61+F28),"N/M")</f>
        <v>1526.51</v>
      </c>
      <c r="G62" s="44" t="n">
        <f aca="false">IFERROR((G61+G28),"N/M")</f>
        <v>1793.66</v>
      </c>
      <c r="H62" s="44" t="n">
        <f aca="false">IFERROR((H61+H28),"N/M")</f>
        <v>2197.5</v>
      </c>
      <c r="I62" s="44" t="n">
        <f aca="false">IFERROR((I61+I28),"N/M")</f>
        <v>2396.61</v>
      </c>
      <c r="J62" s="44" t="n">
        <f aca="false">IFERROR((J61+J28),"N/M")</f>
        <v>2878.39</v>
      </c>
    </row>
    <row r="63" customFormat="false" ht="15" hidden="false" customHeight="false" outlineLevel="0" collapsed="false">
      <c r="A63" s="18" t="s">
        <v>493</v>
      </c>
      <c r="B63" s="19" t="s">
        <v>494</v>
      </c>
      <c r="C63" s="44" t="n">
        <f aca="false">IFERROR(C34,"N/M")</f>
        <v>768.32</v>
      </c>
      <c r="D63" s="44" t="n">
        <f aca="false">IFERROR(D34,"N/M")</f>
        <v>754.67</v>
      </c>
      <c r="E63" s="44" t="n">
        <f aca="false">IFERROR(E34,"N/M")</f>
        <v>778.98</v>
      </c>
      <c r="F63" s="44" t="n">
        <f aca="false">IFERROR(F34,"N/M")</f>
        <v>825.67</v>
      </c>
      <c r="G63" s="44" t="n">
        <f aca="false">IFERROR(G34,"N/M")</f>
        <v>997.77</v>
      </c>
      <c r="H63" s="44" t="n">
        <f aca="false">IFERROR(H34,"N/M")</f>
        <v>987.99</v>
      </c>
      <c r="I63" s="44" t="n">
        <f aca="false">IFERROR(I34,"N/M")</f>
        <v>1304.16</v>
      </c>
      <c r="J63" s="44" t="n">
        <f aca="false">IFERROR(J34,"N/M")</f>
        <v>1459.36</v>
      </c>
    </row>
    <row r="64" customFormat="false" ht="15" hidden="false" customHeight="false" outlineLevel="0" collapsed="false">
      <c r="A64" s="18" t="s">
        <v>495</v>
      </c>
      <c r="B64" s="19" t="s">
        <v>496</v>
      </c>
      <c r="C64" s="44" t="n">
        <f aca="false">IFERROR(C29,"N/M")</f>
        <v>253.7</v>
      </c>
      <c r="D64" s="44" t="n">
        <f aca="false">IFERROR(D29,"N/M")</f>
        <v>237.38</v>
      </c>
      <c r="E64" s="44" t="n">
        <f aca="false">IFERROR(E29,"N/M")</f>
        <v>271.62</v>
      </c>
      <c r="F64" s="44" t="n">
        <f aca="false">IFERROR(F29,"N/M")</f>
        <v>300.52</v>
      </c>
      <c r="G64" s="44" t="n">
        <f aca="false">IFERROR(G29,"N/M")</f>
        <v>307.25</v>
      </c>
      <c r="H64" s="44" t="n">
        <f aca="false">IFERROR(H29,"N/M")</f>
        <v>303.9</v>
      </c>
      <c r="I64" s="44" t="n">
        <f aca="false">IFERROR(I29,"N/M")</f>
        <v>537.42</v>
      </c>
      <c r="J64" s="44" t="n">
        <f aca="false">IFERROR(J29,"N/M")</f>
        <v>603.47</v>
      </c>
    </row>
    <row r="65" customFormat="false" ht="15" hidden="false" customHeight="false" outlineLevel="0" collapsed="false">
      <c r="A65" s="18" t="s">
        <v>497</v>
      </c>
      <c r="B65" s="19" t="s">
        <v>498</v>
      </c>
      <c r="C65" s="44" t="n">
        <f aca="false">IFERROR((C63-C64),"N/M")</f>
        <v>514.62</v>
      </c>
      <c r="D65" s="44" t="n">
        <f aca="false">IFERROR((D63-D64),"N/M")</f>
        <v>517.29</v>
      </c>
      <c r="E65" s="44" t="n">
        <f aca="false">IFERROR((E63-E64),"N/M")</f>
        <v>507.36</v>
      </c>
      <c r="F65" s="44" t="n">
        <f aca="false">IFERROR((F63-F64),"N/M")</f>
        <v>525.15</v>
      </c>
      <c r="G65" s="44" t="n">
        <f aca="false">IFERROR((G63-G64),"N/M")</f>
        <v>690.52</v>
      </c>
      <c r="H65" s="44" t="n">
        <f aca="false">IFERROR((H63-H64),"N/M")</f>
        <v>684.09</v>
      </c>
      <c r="I65" s="44" t="n">
        <f aca="false">IFERROR((I63-I64),"N/M")</f>
        <v>766.74</v>
      </c>
      <c r="J65" s="44" t="n">
        <f aca="false">IFERROR((J63-J64),"N/M")</f>
        <v>855.89</v>
      </c>
    </row>
    <row r="66" customFormat="false" ht="15" hidden="false" customHeight="false" outlineLevel="0" collapsed="false">
      <c r="A66" s="18" t="s">
        <v>499</v>
      </c>
      <c r="B66" s="19" t="s">
        <v>500</v>
      </c>
      <c r="C66" s="44" t="n">
        <f aca="false">IFERROR((C36+C38),"N/M")</f>
        <v>530.61</v>
      </c>
      <c r="D66" s="44" t="n">
        <f aca="false">IFERROR((D36+D38),"N/M")</f>
        <v>513.22</v>
      </c>
      <c r="E66" s="44" t="n">
        <f aca="false">IFERROR((E36+E38),"N/M")</f>
        <v>550.55</v>
      </c>
      <c r="F66" s="44" t="n">
        <f aca="false">IFERROR((F36+F38),"N/M")</f>
        <v>582.7</v>
      </c>
      <c r="G66" s="44" t="n">
        <f aca="false">IFERROR((G36+G38),"N/M")</f>
        <v>745.49</v>
      </c>
      <c r="H66" s="44" t="n">
        <f aca="false">IFERROR((H36+H38),"N/M")</f>
        <v>696.23</v>
      </c>
      <c r="I66" s="44" t="n">
        <f aca="false">IFERROR((I36+I38),"N/M")</f>
        <v>806.83</v>
      </c>
      <c r="J66" s="44" t="n">
        <f aca="false">IFERROR((J36+J38),"N/M")</f>
        <v>929.61</v>
      </c>
    </row>
    <row r="67" customFormat="false" ht="15" hidden="false" customHeight="false" outlineLevel="0" collapsed="false">
      <c r="A67" s="18" t="s">
        <v>501</v>
      </c>
      <c r="B67" s="19" t="s">
        <v>502</v>
      </c>
      <c r="D67" s="44" t="n">
        <f aca="false">IFERROR((((D31+D32)-(C31+C32))+D18),"N/M")</f>
        <v>144.97</v>
      </c>
      <c r="E67" s="44" t="n">
        <f aca="false">IFERROR((((E31+E32)-(D31+D32))+E18),"N/M")</f>
        <v>109.36</v>
      </c>
      <c r="F67" s="44" t="n">
        <f aca="false">IFERROR((((F31+F32)-(E31+E32))+F18),"N/M")</f>
        <v>111.82</v>
      </c>
      <c r="G67" s="44" t="n">
        <f aca="false">IFERROR((((G31+G32)-(F31+F32))+G18),"N/M")</f>
        <v>130</v>
      </c>
      <c r="H67" s="44" t="n">
        <f aca="false">IFERROR((((H31+H32)-(G31+G32))+H18),"N/M")</f>
        <v>281.95</v>
      </c>
      <c r="I67" s="44" t="n">
        <f aca="false">IFERROR((((I31+I32)-(H31+H32))+I18),"N/M")</f>
        <v>365.78</v>
      </c>
      <c r="J67" s="44" t="n">
        <f aca="false">IFERROR((((J31+J32)-(I31+I32))+J18),"N/M")</f>
        <v>444.53</v>
      </c>
    </row>
    <row r="68" customFormat="false" ht="15" hidden="false" customHeight="false" outlineLevel="0" collapsed="false">
      <c r="A68" s="18" t="s">
        <v>503</v>
      </c>
      <c r="B68" s="19" t="s">
        <v>504</v>
      </c>
      <c r="D68" s="44" t="n">
        <f aca="false">IFERROR(MAX((C28-D28),0),"N/M")</f>
        <v>48.24</v>
      </c>
      <c r="E68" s="44" t="n">
        <f aca="false">IFERROR(MAX((D28-E28),0),"N/M")</f>
        <v>124.57</v>
      </c>
      <c r="F68" s="44" t="n">
        <f aca="false">IFERROR(MAX((E28-F28),0),"N/M")</f>
        <v>201.25</v>
      </c>
      <c r="G68" s="44" t="n">
        <f aca="false">IFERROR(MAX((F28-G28),0),"N/M")</f>
        <v>4.36</v>
      </c>
      <c r="H68" s="44" t="n">
        <f aca="false">IFERROR(MAX((G28-H28),0),"N/M")</f>
        <v>0</v>
      </c>
      <c r="I68" s="44" t="n">
        <f aca="false">IFERROR(MAX((H28-I28),0),"N/M")</f>
        <v>0</v>
      </c>
      <c r="J68" s="44" t="n">
        <f aca="false">IFERROR(MAX((I28-J28),0),"N/M")</f>
        <v>0</v>
      </c>
    </row>
    <row r="69" customFormat="false" ht="15" hidden="false" customHeight="false" outlineLevel="0" collapsed="false">
      <c r="A69" s="18" t="s">
        <v>505</v>
      </c>
      <c r="B69" s="19" t="s">
        <v>506</v>
      </c>
      <c r="C69" s="44" t="n">
        <f aca="false">IFERROR((C47*C48),"N/M")</f>
        <v>2490.8325</v>
      </c>
      <c r="D69" s="44" t="n">
        <f aca="false">IFERROR((D47*D48),"N/M")</f>
        <v>1444.224</v>
      </c>
      <c r="E69" s="44" t="n">
        <f aca="false">IFERROR((E47*E48),"N/M")</f>
        <v>1974.9165</v>
      </c>
      <c r="F69" s="44" t="n">
        <f aca="false">IFERROR((F47*F48),"N/M")</f>
        <v>4631.043</v>
      </c>
      <c r="G69" s="44" t="n">
        <f aca="false">IFERROR((G47*G48),"N/M")</f>
        <v>4864.356</v>
      </c>
      <c r="H69" s="44" t="n">
        <f aca="false">IFERROR((H47*H48),"N/M")</f>
        <v>6306.132</v>
      </c>
      <c r="I69" s="44" t="n">
        <f aca="false">IFERROR((I47*I48),"N/M")</f>
        <v>8445.15</v>
      </c>
      <c r="J69" s="44" t="n">
        <f aca="false">IFERROR((J47*J48),"N/M")</f>
        <v>7079.41</v>
      </c>
    </row>
    <row r="70" customFormat="false" ht="15" hidden="false" customHeight="false" outlineLevel="0" collapsed="false">
      <c r="A70" s="18" t="s">
        <v>507</v>
      </c>
      <c r="B70" s="19" t="s">
        <v>508</v>
      </c>
      <c r="C70" s="44" t="n">
        <f aca="false">IFERROR(((C69+C28)-C38),"N/M")</f>
        <v>2945.5925</v>
      </c>
      <c r="D70" s="44" t="n">
        <f aca="false">IFERROR(((D69+D28)-D38),"N/M")</f>
        <v>1840.354</v>
      </c>
      <c r="E70" s="44" t="n">
        <f aca="false">IFERROR(((E69+E28)-E38),"N/M")</f>
        <v>2232.8865</v>
      </c>
      <c r="F70" s="44" t="n">
        <f aca="false">IFERROR(((F69+F28)-F38),"N/M")</f>
        <v>4652.823</v>
      </c>
      <c r="G70" s="44" t="n">
        <f aca="false">IFERROR(((G69+G28)-G38),"N/M")</f>
        <v>4771.646</v>
      </c>
      <c r="H70" s="44" t="n">
        <f aca="false">IFERROR(((H69+H28)-H38),"N/M")</f>
        <v>6404.212</v>
      </c>
      <c r="I70" s="44" t="n">
        <f aca="false">IFERROR(((I69+I28)-I38),"N/M")</f>
        <v>8602.11</v>
      </c>
      <c r="J70" s="44" t="n">
        <f aca="false">IFERROR(((J69+J28)-J38),"N/M")</f>
        <v>7278.56</v>
      </c>
    </row>
    <row r="71" customFormat="false" ht="15" hidden="false" customHeight="false" outlineLevel="0" collapsed="false">
      <c r="A71" s="18" t="s">
        <v>509</v>
      </c>
      <c r="C71" s="44" t="n">
        <f aca="false">IFERROR(IF(C49=1,C69,0),"N/M")</f>
        <v>2490.8325</v>
      </c>
      <c r="D71" s="44" t="n">
        <f aca="false">IFERROR(IF(D49=1,D69,0),"N/M")</f>
        <v>1444.224</v>
      </c>
      <c r="E71" s="44" t="n">
        <f aca="false">IFERROR(IF(E49=1,E69,0),"N/M")</f>
        <v>1974.9165</v>
      </c>
      <c r="F71" s="44" t="n">
        <f aca="false">IFERROR(IF(F49=1,F69,0),"N/M")</f>
        <v>4631.043</v>
      </c>
      <c r="G71" s="44" t="n">
        <f aca="false">IFERROR(IF(G49=1,G69,0),"N/M")</f>
        <v>4864.356</v>
      </c>
      <c r="H71" s="44" t="n">
        <f aca="false">IFERROR(IF(H49=1,H69,0),"N/M")</f>
        <v>6306.132</v>
      </c>
      <c r="I71" s="44" t="n">
        <f aca="false">IFERROR(IF(I49=1,I69,0),"N/M")</f>
        <v>8445.15</v>
      </c>
      <c r="J71" s="44" t="n">
        <f aca="false">IFERROR(IF(J49=1,J69,0),"N/M")</f>
        <v>7079.41</v>
      </c>
    </row>
    <row r="72" customFormat="false" ht="15" hidden="false" customHeight="false" outlineLevel="0" collapsed="false">
      <c r="A72" s="18" t="s">
        <v>510</v>
      </c>
      <c r="C72" s="44" t="n">
        <f aca="false">IFERROR(IF(C49=1,C22,0),"N/M")</f>
        <v>144.4</v>
      </c>
      <c r="D72" s="44" t="n">
        <f aca="false">IFERROR(IF(D49=1,D22,0),"N/M")</f>
        <v>142.36</v>
      </c>
      <c r="E72" s="44" t="n">
        <f aca="false">IFERROR(IF(E49=1,E22,0),"N/M")</f>
        <v>147.13</v>
      </c>
      <c r="F72" s="44" t="n">
        <f aca="false">IFERROR(IF(F49=1,F22,0),"N/M")</f>
        <v>289.61</v>
      </c>
      <c r="G72" s="44" t="n">
        <f aca="false">IFERROR(IF(G49=1,G22,0),"N/M")</f>
        <v>317.34</v>
      </c>
      <c r="H72" s="44" t="n">
        <f aca="false">IFERROR(IF(H49=1,H22,0),"N/M")</f>
        <v>350.8</v>
      </c>
      <c r="I72" s="44" t="n">
        <f aca="false">IFERROR(IF(I49=1,I22,0),"N/M")</f>
        <v>412.38</v>
      </c>
      <c r="J72" s="44" t="n">
        <f aca="false">IFERROR(IF(J49=1,J22,0),"N/M")</f>
        <v>456.25</v>
      </c>
    </row>
    <row r="73" customFormat="false" ht="15" hidden="false" customHeight="false" outlineLevel="0" collapsed="false">
      <c r="A73" s="18" t="s">
        <v>511</v>
      </c>
      <c r="C73" s="44" t="n">
        <f aca="false">IFERROR(IF(C49=1,C61,0),"N/M")</f>
        <v>891.96</v>
      </c>
      <c r="D73" s="44" t="n">
        <f aca="false">IFERROR(IF(D49=1,D61,0),"N/M")</f>
        <v>1023.89</v>
      </c>
      <c r="E73" s="44" t="n">
        <f aca="false">IFERROR(IF(E49=1,E61,0),"N/M")</f>
        <v>1169.71</v>
      </c>
      <c r="F73" s="44" t="n">
        <f aca="false">IFERROR(IF(F49=1,F61,0),"N/M")</f>
        <v>1430.28</v>
      </c>
      <c r="G73" s="44" t="n">
        <f aca="false">IFERROR(IF(G49=1,G61,0),"N/M")</f>
        <v>1701.79</v>
      </c>
      <c r="H73" s="44" t="n">
        <f aca="false">IFERROR(IF(H49=1,H61,0),"N/M")</f>
        <v>2003.82</v>
      </c>
      <c r="I73" s="44" t="n">
        <f aca="false">IFERROR(IF(I49=1,I61,0),"N/M")</f>
        <v>2154.75</v>
      </c>
      <c r="J73" s="44" t="n">
        <f aca="false">IFERROR(IF(J49=1,J61,0),"N/M")</f>
        <v>2565.99</v>
      </c>
    </row>
    <row r="74" customFormat="false" ht="15" hidden="false" customHeight="false" outlineLevel="0" collapsed="false">
      <c r="A74" s="18" t="s">
        <v>512</v>
      </c>
      <c r="C74" s="44" t="n">
        <f aca="false">IFERROR(IF(C49=1,C59,0),"N/M")</f>
        <v>293.45</v>
      </c>
      <c r="D74" s="44" t="n">
        <f aca="false">IFERROR(IF(D49=1,D59,0),"N/M")</f>
        <v>275.92</v>
      </c>
      <c r="E74" s="44" t="n">
        <f aca="false">IFERROR(IF(E49=1,E59,0),"N/M")</f>
        <v>293.76</v>
      </c>
      <c r="F74" s="44" t="n">
        <f aca="false">IFERROR(IF(F49=1,F59,0),"N/M")</f>
        <v>456.32</v>
      </c>
      <c r="G74" s="44" t="n">
        <f aca="false">IFERROR(IF(G49=1,G59,0),"N/M")</f>
        <v>495.26</v>
      </c>
      <c r="H74" s="44" t="n">
        <f aca="false">IFERROR(IF(H49=1,H59,0),"N/M")</f>
        <v>529.81</v>
      </c>
      <c r="I74" s="44" t="n">
        <f aca="false">IFERROR(IF(I49=1,I59,0),"N/M")</f>
        <v>597.38</v>
      </c>
      <c r="J74" s="44" t="n">
        <f aca="false">IFERROR(IF(J49=1,J59,0),"N/M")</f>
        <v>649.98</v>
      </c>
    </row>
    <row r="75" customFormat="false" ht="15" hidden="false" customHeight="false" outlineLevel="0" collapsed="false">
      <c r="A75" s="18" t="s">
        <v>513</v>
      </c>
      <c r="C75" s="44" t="n">
        <f aca="false">IFERROR(IF(C49=1,C23,0),"N/M")</f>
        <v>13.8</v>
      </c>
      <c r="D75" s="44" t="n">
        <f aca="false">IFERROR(IF(D49=1,D23,0),"N/M")</f>
        <v>15.37</v>
      </c>
      <c r="E75" s="44" t="n">
        <f aca="false">IFERROR(IF(E49=1,E23,0),"N/M")</f>
        <v>19.28</v>
      </c>
      <c r="F75" s="44" t="n">
        <f aca="false">IFERROR(IF(F49=1,F23,0),"N/M")</f>
        <v>30.94</v>
      </c>
      <c r="G75" s="44" t="n">
        <f aca="false">IFERROR(IF(G49=1,G23,0),"N/M")</f>
        <v>54.28</v>
      </c>
      <c r="H75" s="44" t="n">
        <f aca="false">IFERROR(IF(H49=1,H23,0),"N/M")</f>
        <v>54.42</v>
      </c>
      <c r="I75" s="44" t="n">
        <f aca="false">IFERROR(IF(I49=1,I23,0),"N/M")</f>
        <v>61.28</v>
      </c>
      <c r="J75" s="44" t="n">
        <f aca="false">IFERROR(IF(J49=1,J23,0),"N/M")</f>
        <v>76.75</v>
      </c>
    </row>
    <row r="76" customFormat="false" ht="15" hidden="false" customHeight="false" outlineLevel="0" collapsed="false">
      <c r="A76" s="18" t="s">
        <v>514</v>
      </c>
      <c r="C76" s="44" t="n">
        <f aca="false">IFERROR(IF(C49=1,(C28-C38),0),"N/M")</f>
        <v>454.76</v>
      </c>
      <c r="D76" s="44" t="n">
        <f aca="false">IFERROR(IF(D49=1,(D28-D38),0),"N/M")</f>
        <v>396.13</v>
      </c>
      <c r="E76" s="44" t="n">
        <f aca="false">IFERROR(IF(E49=1,(E28-E38),0),"N/M")</f>
        <v>257.97</v>
      </c>
      <c r="F76" s="44" t="n">
        <f aca="false">IFERROR(IF(F49=1,(F28-F38),0),"N/M")</f>
        <v>21.78</v>
      </c>
      <c r="G76" s="44" t="n">
        <f aca="false">IFERROR(IF(G49=1,(G28-G38),0),"N/M")</f>
        <v>-92.71</v>
      </c>
      <c r="H76" s="44" t="n">
        <f aca="false">IFERROR(IF(H49=1,(H28-H38),0),"N/M")</f>
        <v>98.08</v>
      </c>
      <c r="I76" s="44" t="n">
        <f aca="false">IFERROR(IF(I49=1,(I28-I38),0),"N/M")</f>
        <v>156.96</v>
      </c>
      <c r="J76" s="44" t="n">
        <f aca="false">IFERROR(IF(J49=1,(J28-J38),0),"N/M")</f>
        <v>199.15</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517.29</v>
      </c>
      <c r="E79" s="79" t="n">
        <f aca="false">IFERROR(E65,"N/M")</f>
        <v>507.36</v>
      </c>
      <c r="F79" s="79" t="n">
        <f aca="false">IFERROR(F65,"N/M")</f>
        <v>525.15</v>
      </c>
      <c r="G79" s="79" t="n">
        <f aca="false">IFERROR(G65,"N/M")</f>
        <v>690.52</v>
      </c>
      <c r="H79" s="79" t="n">
        <f aca="false">IFERROR(H65,"N/M")</f>
        <v>684.09</v>
      </c>
      <c r="I79" s="79" t="n">
        <f aca="false">IFERROR(I65,"N/M")</f>
        <v>766.74</v>
      </c>
      <c r="J79" s="79" t="n">
        <f aca="false">IFERROR(J65,"N/M")</f>
        <v>855.89</v>
      </c>
      <c r="K79" s="80" t="n">
        <f aca="false">IFERROR(AVERAGE(D79:J79),"N/M")</f>
        <v>649.577142857143</v>
      </c>
      <c r="L79" s="81" t="n">
        <f aca="false">IFERROR(J79-D79,"N/M")</f>
        <v>338.6</v>
      </c>
      <c r="M79" s="81" t="n">
        <f aca="false">IFERROR(SLOPE(D79:J79,$D$3:$J$3),"N/M")</f>
        <v>60.4821428571429</v>
      </c>
    </row>
    <row r="80" customFormat="false" ht="15" hidden="false" customHeight="false" outlineLevel="0" collapsed="false">
      <c r="A80" s="18" t="s">
        <v>119</v>
      </c>
      <c r="B80" s="19" t="s">
        <v>517</v>
      </c>
      <c r="D80" s="47" t="n">
        <f aca="false">IFERROR(IF(D64&lt;=0,"N/M",D63/D64),"N/M")</f>
        <v>3.17916420928469</v>
      </c>
      <c r="E80" s="47" t="n">
        <f aca="false">IFERROR(IF(E64&lt;=0,"N/M",E63/E64),"N/M")</f>
        <v>2.86790368897725</v>
      </c>
      <c r="F80" s="47" t="n">
        <f aca="false">IFERROR(IF(F64&lt;=0,"N/M",F63/F64),"N/M")</f>
        <v>2.74747105017969</v>
      </c>
      <c r="G80" s="47" t="n">
        <f aca="false">IFERROR(IF(G64&lt;=0,"N/M",G63/G64),"N/M")</f>
        <v>3.24742066720911</v>
      </c>
      <c r="H80" s="47" t="n">
        <f aca="false">IFERROR(IF(H64&lt;=0,"N/M",H63/H64),"N/M")</f>
        <v>3.25103652517275</v>
      </c>
      <c r="I80" s="47" t="n">
        <f aca="false">IFERROR(IF(I64&lt;=0,"N/M",I63/I64),"N/M")</f>
        <v>2.4267053701016</v>
      </c>
      <c r="J80" s="47" t="n">
        <f aca="false">IFERROR(IF(J64&lt;=0,"N/M",J63/J64),"N/M")</f>
        <v>2.41828094188609</v>
      </c>
      <c r="K80" s="22" t="n">
        <f aca="false">IFERROR(AVERAGE(D80:J80),"N/M")</f>
        <v>2.87685463611588</v>
      </c>
      <c r="L80" s="82" t="n">
        <f aca="false">IFERROR(J80-D80,"N/M")</f>
        <v>-0.760883267398599</v>
      </c>
      <c r="M80" s="83" t="n">
        <f aca="false">IFERROR(SLOPE(D80:J80,$D$3:$J$3),"N/M")</f>
        <v>-0.0950528916055012</v>
      </c>
    </row>
    <row r="81" customFormat="false" ht="15" hidden="false" customHeight="false" outlineLevel="0" collapsed="false">
      <c r="A81" s="18" t="s">
        <v>121</v>
      </c>
      <c r="B81" s="19" t="s">
        <v>518</v>
      </c>
      <c r="D81" s="47" t="n">
        <f aca="false">IFERROR(IF(D64&lt;=0,"N/M",D66/D64),"N/M")</f>
        <v>2.16201870418738</v>
      </c>
      <c r="E81" s="47" t="n">
        <f aca="false">IFERROR(IF(E64&lt;=0,"N/M",E66/E64),"N/M")</f>
        <v>2.02691259848318</v>
      </c>
      <c r="F81" s="47" t="n">
        <f aca="false">IFERROR(IF(F64&lt;=0,"N/M",F66/F64),"N/M")</f>
        <v>1.93897244775722</v>
      </c>
      <c r="G81" s="47" t="n">
        <f aca="false">IFERROR(IF(G64&lt;=0,"N/M",G66/G64),"N/M")</f>
        <v>2.42633034987795</v>
      </c>
      <c r="H81" s="47" t="n">
        <f aca="false">IFERROR(IF(H64&lt;=0,"N/M",H66/H64),"N/M")</f>
        <v>2.29098387627509</v>
      </c>
      <c r="I81" s="47" t="n">
        <f aca="false">IFERROR(IF(I64&lt;=0,"N/M",I66/I64),"N/M")</f>
        <v>1.50130251944475</v>
      </c>
      <c r="J81" s="47" t="n">
        <f aca="false">IFERROR(IF(J64&lt;=0,"N/M",J66/J64),"N/M")</f>
        <v>1.54044111554841</v>
      </c>
      <c r="K81" s="22" t="n">
        <f aca="false">IFERROR(AVERAGE(D81:J81),"N/M")</f>
        <v>1.98385165879628</v>
      </c>
      <c r="L81" s="82" t="n">
        <f aca="false">IFERROR(J81-D81,"N/M")</f>
        <v>-0.621577588638967</v>
      </c>
      <c r="M81" s="83" t="n">
        <f aca="false">IFERROR(SLOPE(D81:J81,$D$3:$J$3),"N/M")</f>
        <v>-0.0915693391241383</v>
      </c>
    </row>
    <row r="82" customFormat="false" ht="15" hidden="false" customHeight="false" outlineLevel="0" collapsed="false">
      <c r="A82" s="18" t="s">
        <v>519</v>
      </c>
      <c r="B82" s="19" t="s">
        <v>520</v>
      </c>
      <c r="D82" s="47" t="n">
        <f aca="false">IFERROR(IF(D64&lt;=0,"N/M",D38/D64),"N/M")</f>
        <v>0.109192012806471</v>
      </c>
      <c r="E82" s="47" t="n">
        <f aca="false">IFERROR(IF(E64&lt;=0,"N/M",E38/E64),"N/M")</f>
        <v>0.14546056991385</v>
      </c>
      <c r="F82" s="47" t="n">
        <f aca="false">IFERROR(IF(F64&lt;=0,"N/M",F38/F64),"N/M")</f>
        <v>0.247737255423932</v>
      </c>
      <c r="G82" s="47" t="n">
        <f aca="false">IFERROR(IF(G64&lt;=0,"N/M",G38/G64),"N/M")</f>
        <v>0.600748576078112</v>
      </c>
      <c r="H82" s="47" t="n">
        <f aca="false">IFERROR(IF(H64&lt;=0,"N/M",H38/H64),"N/M")</f>
        <v>0.314577163540638</v>
      </c>
      <c r="I82" s="47" t="n">
        <f aca="false">IFERROR(IF(I64&lt;=0,"N/M",I38/I64),"N/M")</f>
        <v>0.15797700122809</v>
      </c>
      <c r="J82" s="47" t="n">
        <f aca="false">IFERROR(IF(J64&lt;=0,"N/M",J38/J64),"N/M")</f>
        <v>0.187664672643213</v>
      </c>
      <c r="K82" s="22" t="n">
        <f aca="false">IFERROR(AVERAGE(D82:J82),"N/M")</f>
        <v>0.251908178804901</v>
      </c>
      <c r="L82" s="82" t="n">
        <f aca="false">IFERROR(J82-D82,"N/M")</f>
        <v>0.0784726598367428</v>
      </c>
      <c r="M82" s="83" t="n">
        <f aca="false">IFERROR(SLOPE(D82:J82,$D$3:$J$3),"N/M")</f>
        <v>0.0116889553662648</v>
      </c>
    </row>
    <row r="83" customFormat="false" ht="15" hidden="false" customHeight="false" outlineLevel="0" collapsed="false">
      <c r="A83" s="18" t="s">
        <v>521</v>
      </c>
      <c r="B83" s="19" t="s">
        <v>522</v>
      </c>
      <c r="D83" s="48" t="n">
        <f aca="false">IFERROR(IF((D54/365)&lt;=0,"N/M",D66/(D54/365)),"N/M")</f>
        <v>75.6442012598934</v>
      </c>
      <c r="E83" s="48" t="n">
        <f aca="false">IFERROR(IF((E54/365)&lt;=0,"N/M",E66/(E54/365)),"N/M")</f>
        <v>79.13409625222</v>
      </c>
      <c r="F83" s="48" t="n">
        <f aca="false">IFERROR(IF((F54/365)&lt;=0,"N/M",F66/(F54/365)),"N/M")</f>
        <v>74.7056530077486</v>
      </c>
      <c r="G83" s="48" t="n">
        <f aca="false">IFERROR(IF((G54/365)&lt;=0,"N/M",G66/(G54/365)),"N/M")</f>
        <v>81.0508310496843</v>
      </c>
      <c r="H83" s="48" t="n">
        <f aca="false">IFERROR(IF((H54/365)&lt;=0,"N/M",H66/(H54/365)),"N/M")</f>
        <v>70.3354109985248</v>
      </c>
      <c r="I83" s="48" t="n">
        <f aca="false">IFERROR(IF((I54/365)&lt;=0,"N/M",I66/(I54/365)),"N/M")</f>
        <v>73.0893200172738</v>
      </c>
      <c r="J83" s="48" t="n">
        <f aca="false">IFERROR(IF((J54/365)&lt;=0,"N/M",J66/(J54/365)),"N/M")</f>
        <v>77.1544782924073</v>
      </c>
      <c r="K83" s="28" t="n">
        <f aca="false">IFERROR(AVERAGE(D83:J83),"N/M")</f>
        <v>75.8734272682503</v>
      </c>
      <c r="L83" s="84" t="n">
        <f aca="false">IFERROR(J83-D83,"N/M")</f>
        <v>1.5102770325139</v>
      </c>
      <c r="M83" s="85" t="n">
        <f aca="false">IFERROR(SLOPE(D83:J83,$D$3:$J$3),"N/M")</f>
        <v>-0.426034406484804</v>
      </c>
    </row>
    <row r="84" customFormat="false" ht="15" hidden="false" customHeight="false" outlineLevel="0" collapsed="false">
      <c r="A84" s="18" t="s">
        <v>122</v>
      </c>
      <c r="B84" s="19" t="s">
        <v>523</v>
      </c>
      <c r="D84" s="47" t="n">
        <f aca="false">IFERROR(IF(D64&lt;=0,"N/M",D41/D64),"N/M")</f>
        <v>1.02291684219395</v>
      </c>
      <c r="E84" s="47" t="n">
        <f aca="false">IFERROR(IF(E64&lt;=0,"N/M",E41/E64),"N/M")</f>
        <v>1.1218614240483</v>
      </c>
      <c r="F84" s="47" t="n">
        <f aca="false">IFERROR(IF(F64&lt;=0,"N/M",F41/F64),"N/M")</f>
        <v>1.22457739917476</v>
      </c>
      <c r="G84" s="47" t="n">
        <f aca="false">IFERROR(IF(G64&lt;=0,"N/M",G41/G64),"N/M")</f>
        <v>1.17376729048007</v>
      </c>
      <c r="H84" s="47" t="n">
        <f aca="false">IFERROR(IF(H64&lt;=0,"N/M",H41/H64),"N/M")</f>
        <v>0.984896347482725</v>
      </c>
      <c r="I84" s="47" t="n">
        <f aca="false">IFERROR(IF(I64&lt;=0,"N/M",I41/I64),"N/M")</f>
        <v>0.668359941944848</v>
      </c>
      <c r="J84" s="47" t="n">
        <f aca="false">IFERROR(IF(J64&lt;=0,"N/M",J41/J64),"N/M")</f>
        <v>0.736391204202363</v>
      </c>
      <c r="K84" s="22" t="n">
        <f aca="false">IFERROR(AVERAGE(D84:J84),"N/M")</f>
        <v>0.99039577850386</v>
      </c>
      <c r="L84" s="82" t="n">
        <f aca="false">IFERROR(J84-D84,"N/M")</f>
        <v>-0.286525637991588</v>
      </c>
      <c r="M84" s="83" t="n">
        <f aca="false">IFERROR(SLOPE(D84:J84,$D$3:$J$3),"N/M")</f>
        <v>-0.0716521760669183</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0.41220248268857</v>
      </c>
      <c r="E87" s="47" t="n">
        <f aca="false">IFERROR(IF(E61&lt;=0,"N/M",E28/E61),"N/M")</f>
        <v>0.254319446700464</v>
      </c>
      <c r="F87" s="47" t="n">
        <f aca="false">IFERROR(IF(F61&lt;=0,"N/M",F28/F61),"N/M")</f>
        <v>0.0672805324831502</v>
      </c>
      <c r="G87" s="47" t="n">
        <f aca="false">IFERROR(IF(G61&lt;=0,"N/M",G28/G61),"N/M")</f>
        <v>0.0539843341422855</v>
      </c>
      <c r="H87" s="47" t="n">
        <f aca="false">IFERROR(IF(H61&lt;=0,"N/M",H28/H61),"N/M")</f>
        <v>0.0966553882085217</v>
      </c>
      <c r="I87" s="47" t="n">
        <f aca="false">IFERROR(IF(I61&lt;=0,"N/M",I28/I61),"N/M")</f>
        <v>0.112245040027845</v>
      </c>
      <c r="J87" s="47" t="n">
        <f aca="false">IFERROR(IF(J61&lt;=0,"N/M",J28/J61),"N/M")</f>
        <v>0.121746382487851</v>
      </c>
      <c r="K87" s="22" t="n">
        <f aca="false">IFERROR(AVERAGE(D87:J87),"N/M")</f>
        <v>0.159776229534098</v>
      </c>
      <c r="L87" s="82" t="n">
        <f aca="false">IFERROR(J87-D87,"N/M")</f>
        <v>-0.290456100200719</v>
      </c>
      <c r="M87" s="83" t="n">
        <f aca="false">IFERROR(SLOPE(D87:J87,$D$3:$J$3),"N/M")</f>
        <v>-0.0402193663650723</v>
      </c>
    </row>
    <row r="88" customFormat="false" ht="15" hidden="false" customHeight="false" outlineLevel="0" collapsed="false">
      <c r="A88" s="18" t="s">
        <v>526</v>
      </c>
      <c r="B88" s="19" t="s">
        <v>527</v>
      </c>
      <c r="D88" s="47" t="n">
        <f aca="false">IFERROR(IF(D61&lt;=0,"N/M",(D28+D29)/D61),"N/M")</f>
        <v>0.644043793766909</v>
      </c>
      <c r="E88" s="47" t="n">
        <f aca="false">IFERROR(IF(E61&lt;=0,"N/M",(E28+E29)/E61),"N/M")</f>
        <v>0.486530849526806</v>
      </c>
      <c r="F88" s="47" t="n">
        <f aca="false">IFERROR(IF(F61&lt;=0,"N/M",(F28+F29)/F61),"N/M")</f>
        <v>0.277393237687726</v>
      </c>
      <c r="G88" s="47" t="n">
        <f aca="false">IFERROR(IF(G61&lt;=0,"N/M",(G28+G29)/G61),"N/M")</f>
        <v>0.234529524794481</v>
      </c>
      <c r="H88" s="47" t="n">
        <f aca="false">IFERROR(IF(H61&lt;=0,"N/M",(H28+H29)/H61),"N/M")</f>
        <v>0.248315716980567</v>
      </c>
      <c r="I88" s="47" t="n">
        <f aca="false">IFERROR(IF(I61&lt;=0,"N/M",(I28+I29)/I61),"N/M")</f>
        <v>0.361656804733728</v>
      </c>
      <c r="J88" s="47" t="n">
        <f aca="false">IFERROR(IF(J61&lt;=0,"N/M",(J28+J29)/J61),"N/M")</f>
        <v>0.356926566354507</v>
      </c>
      <c r="K88" s="22" t="n">
        <f aca="false">IFERROR(AVERAGE(D88:J88),"N/M")</f>
        <v>0.372770927692103</v>
      </c>
      <c r="L88" s="82" t="n">
        <f aca="false">IFERROR(J88-D88,"N/M")</f>
        <v>-0.287117227412402</v>
      </c>
      <c r="M88" s="83" t="n">
        <f aca="false">IFERROR(SLOPE(D88:J88,$D$3:$J$3),"N/M")</f>
        <v>-0.0407206175903758</v>
      </c>
    </row>
    <row r="89" customFormat="false" ht="15" hidden="false" customHeight="false" outlineLevel="0" collapsed="false">
      <c r="A89" s="18" t="s">
        <v>528</v>
      </c>
      <c r="B89" s="19" t="s">
        <v>529</v>
      </c>
      <c r="D89" s="47" t="n">
        <f aca="false">IFERROR(IF(D35&lt;=0,"N/M",D28/D35),"N/M")</f>
        <v>0.250724758215907</v>
      </c>
      <c r="E89" s="47" t="n">
        <f aca="false">IFERROR(IF(E35&lt;=0,"N/M",E28/E35),"N/M")</f>
        <v>0.17108252195467</v>
      </c>
      <c r="F89" s="47" t="n">
        <f aca="false">IFERROR(IF(F35&lt;=0,"N/M",F28/F35),"N/M")</f>
        <v>0.0526701805662742</v>
      </c>
      <c r="G89" s="47" t="n">
        <f aca="false">IFERROR(IF(G35&lt;=0,"N/M",G28/G35),"N/M")</f>
        <v>0.0437286699573042</v>
      </c>
      <c r="H89" s="47" t="n">
        <f aca="false">IFERROR(IF(H35&lt;=0,"N/M",H28/H35),"N/M")</f>
        <v>0.0774286399616215</v>
      </c>
      <c r="I89" s="47" t="n">
        <f aca="false">IFERROR(IF(I35&lt;=0,"N/M",I28/I35),"N/M")</f>
        <v>0.0824326949622192</v>
      </c>
      <c r="J89" s="47" t="n">
        <f aca="false">IFERROR(IF(J35&lt;=0,"N/M",J28/J35),"N/M")</f>
        <v>0.0897221599949452</v>
      </c>
      <c r="K89" s="22" t="n">
        <f aca="false">IFERROR(AVERAGE(D89:J89),"N/M")</f>
        <v>0.10968423223042</v>
      </c>
      <c r="L89" s="82" t="n">
        <f aca="false">IFERROR(J89-D89,"N/M")</f>
        <v>-0.161002598220961</v>
      </c>
      <c r="M89" s="83" t="n">
        <f aca="false">IFERROR(SLOPE(D89:J89,$D$3:$J$3),"N/M")</f>
        <v>-0.0226981781875871</v>
      </c>
    </row>
    <row r="90" customFormat="false" ht="15" hidden="false" customHeight="false" outlineLevel="0" collapsed="false">
      <c r="A90" s="18" t="s">
        <v>530</v>
      </c>
      <c r="B90" s="19" t="s">
        <v>531</v>
      </c>
      <c r="D90" s="47" t="n">
        <f aca="false">IFERROR(IF(D62&lt;=0,"N/M",D28/D62),"N/M")</f>
        <v>0.291886247008866</v>
      </c>
      <c r="E90" s="47" t="n">
        <f aca="false">IFERROR(IF(E62&lt;=0,"N/M",E28/E62),"N/M")</f>
        <v>0.202754926083193</v>
      </c>
      <c r="F90" s="47" t="n">
        <f aca="false">IFERROR(IF(F62&lt;=0,"N/M",F28/F62),"N/M")</f>
        <v>0.0630392201819837</v>
      </c>
      <c r="G90" s="47" t="n">
        <f aca="false">IFERROR(IF(G62&lt;=0,"N/M",G28/G62),"N/M")</f>
        <v>0.0512192946266294</v>
      </c>
      <c r="H90" s="47" t="n">
        <f aca="false">IFERROR(IF(H62&lt;=0,"N/M",H28/H62),"N/M")</f>
        <v>0.0881365187713311</v>
      </c>
      <c r="I90" s="47" t="n">
        <f aca="false">IFERROR(IF(I62&lt;=0,"N/M",I28/I62),"N/M")</f>
        <v>0.100917546033773</v>
      </c>
      <c r="J90" s="47" t="n">
        <f aca="false">IFERROR(IF(J62&lt;=0,"N/M",J28/J62),"N/M")</f>
        <v>0.1085328951254</v>
      </c>
      <c r="K90" s="22" t="n">
        <f aca="false">IFERROR(AVERAGE(D90:J90),"N/M")</f>
        <v>0.129498092547311</v>
      </c>
      <c r="L90" s="82" t="n">
        <f aca="false">IFERROR(J90-D90,"N/M")</f>
        <v>-0.183353351883466</v>
      </c>
      <c r="M90" s="83" t="n">
        <f aca="false">IFERROR(SLOPE(D90:J90,$D$3:$J$3),"N/M")</f>
        <v>-0.0260227684699961</v>
      </c>
    </row>
    <row r="91" customFormat="false" ht="15" hidden="false" customHeight="false" outlineLevel="0" collapsed="false">
      <c r="A91" s="18" t="s">
        <v>125</v>
      </c>
      <c r="B91" s="19" t="s">
        <v>532</v>
      </c>
      <c r="D91" s="46" t="n">
        <f aca="false">IFERROR(IF(D35=0,"N/M",D61/D35),"N/M")</f>
        <v>0.608256303020222</v>
      </c>
      <c r="E91" s="46" t="n">
        <f aca="false">IFERROR(IF(E35=0,"N/M",E61/E35),"N/M")</f>
        <v>0.672707196300919</v>
      </c>
      <c r="F91" s="46" t="n">
        <f aca="false">IFERROR(IF(F35=0,"N/M",F61/F35),"N/M")</f>
        <v>0.782844288271129</v>
      </c>
      <c r="G91" s="46" t="n">
        <f aca="false">IFERROR(IF(G35=0,"N/M",G61/G35),"N/M")</f>
        <v>0.810025179565046</v>
      </c>
      <c r="H91" s="46" t="n">
        <f aca="false">IFERROR(IF(H35=0,"N/M",H61/H35),"N/M")</f>
        <v>0.801079395538498</v>
      </c>
      <c r="I91" s="46" t="n">
        <f aca="false">IFERROR(IF(I35=0,"N/M",I61/I35),"N/M")</f>
        <v>0.734399443768469</v>
      </c>
      <c r="J91" s="46" t="n">
        <f aca="false">IFERROR(IF(J35=0,"N/M",J61/J35),"N/M")</f>
        <v>0.736959556099326</v>
      </c>
      <c r="K91" s="25" t="n">
        <f aca="false">IFERROR(AVERAGE(D91:J91),"N/M")</f>
        <v>0.735181623223373</v>
      </c>
      <c r="L91" s="86" t="n">
        <f aca="false">IFERROR(J91-D91,"N/M")</f>
        <v>0.128703253079104</v>
      </c>
      <c r="M91" s="87" t="n">
        <f aca="false">IFERROR(SLOPE(D91:J91,$D$3:$J$3),"N/M")</f>
        <v>0.018847477194278</v>
      </c>
    </row>
    <row r="92" customFormat="false" ht="15" hidden="false" customHeight="false" outlineLevel="0" collapsed="false">
      <c r="A92" s="18" t="s">
        <v>533</v>
      </c>
      <c r="B92" s="19" t="s">
        <v>534</v>
      </c>
      <c r="D92" s="47" t="n">
        <f aca="false">IFERROR(IF(D61&lt;=0,"N/M",D28/D61),"N/M")</f>
        <v>0.41220248268857</v>
      </c>
      <c r="E92" s="47" t="n">
        <f aca="false">IFERROR(IF(E61&lt;=0,"N/M",E28/E61),"N/M")</f>
        <v>0.254319446700464</v>
      </c>
      <c r="F92" s="47" t="n">
        <f aca="false">IFERROR(IF(F61&lt;=0,"N/M",F28/F61),"N/M")</f>
        <v>0.0672805324831502</v>
      </c>
      <c r="G92" s="47" t="n">
        <f aca="false">IFERROR(IF(G61&lt;=0,"N/M",G28/G61),"N/M")</f>
        <v>0.0539843341422855</v>
      </c>
      <c r="H92" s="47" t="n">
        <f aca="false">IFERROR(IF(H61&lt;=0,"N/M",H28/H61),"N/M")</f>
        <v>0.0966553882085217</v>
      </c>
      <c r="I92" s="47" t="n">
        <f aca="false">IFERROR(IF(I61&lt;=0,"N/M",I28/I61),"N/M")</f>
        <v>0.112245040027845</v>
      </c>
      <c r="J92" s="47" t="n">
        <f aca="false">IFERROR(IF(J61&lt;=0,"N/M",J28/J61),"N/M")</f>
        <v>0.121746382487851</v>
      </c>
      <c r="K92" s="22" t="n">
        <f aca="false">IFERROR(AVERAGE(D92:J92),"N/M")</f>
        <v>0.159776229534098</v>
      </c>
      <c r="L92" s="82" t="n">
        <f aca="false">IFERROR(J92-D92,"N/M")</f>
        <v>-0.290456100200719</v>
      </c>
      <c r="M92" s="83" t="n">
        <f aca="false">IFERROR(SLOPE(D92:J92,$D$3:$J$3),"N/M")</f>
        <v>-0.0402193663650723</v>
      </c>
    </row>
    <row r="93" customFormat="false" ht="15" hidden="false" customHeight="false" outlineLevel="0" collapsed="false">
      <c r="A93" s="18" t="s">
        <v>126</v>
      </c>
      <c r="B93" s="19" t="s">
        <v>535</v>
      </c>
      <c r="D93" s="47" t="n">
        <f aca="false">IFERROR(IF(D59&lt;=0,"N/M",D28/D59),"N/M")</f>
        <v>1.5296100318933</v>
      </c>
      <c r="E93" s="47" t="n">
        <f aca="false">IFERROR(IF(E59&lt;=0,"N/M",E28/E59),"N/M")</f>
        <v>1.01266339869281</v>
      </c>
      <c r="F93" s="47" t="n">
        <f aca="false">IFERROR(IF(F59&lt;=0,"N/M",F28/F59),"N/M")</f>
        <v>0.210882713884993</v>
      </c>
      <c r="G93" s="47" t="n">
        <f aca="false">IFERROR(IF(G59&lt;=0,"N/M",G28/G59),"N/M")</f>
        <v>0.185498526026733</v>
      </c>
      <c r="H93" s="47" t="n">
        <f aca="false">IFERROR(IF(H59&lt;=0,"N/M",H28/H59),"N/M")</f>
        <v>0.365565013872898</v>
      </c>
      <c r="I93" s="47" t="n">
        <f aca="false">IFERROR(IF(I59&lt;=0,"N/M",I28/I59),"N/M")</f>
        <v>0.404867923264924</v>
      </c>
      <c r="J93" s="47" t="n">
        <f aca="false">IFERROR(IF(J59&lt;=0,"N/M",J28/J59),"N/M")</f>
        <v>0.4806301732361</v>
      </c>
      <c r="K93" s="22" t="n">
        <f aca="false">IFERROR(AVERAGE(D93:J93),"N/M")</f>
        <v>0.598531111553109</v>
      </c>
      <c r="L93" s="82" t="n">
        <f aca="false">IFERROR(J93-D93,"N/M")</f>
        <v>-1.0489798586572</v>
      </c>
      <c r="M93" s="83" t="n">
        <f aca="false">IFERROR(SLOPE(D93:J93,$D$3:$J$3),"N/M")</f>
        <v>-0.150280293815696</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5.63607226107226</v>
      </c>
      <c r="E96" s="47" t="n">
        <f aca="false">IFERROR(IF(E19&lt;=0,"N/M",E58/E19),"N/M")</f>
        <v>7.52621722846442</v>
      </c>
      <c r="F96" s="47" t="n">
        <f aca="false">IFERROR(IF(F19&lt;=0,"N/M",F58/F19),"N/M")</f>
        <v>26.7575993764614</v>
      </c>
      <c r="G96" s="47" t="n">
        <f aca="false">IFERROR(IF(G19&lt;=0,"N/M",G58/G19),"N/M")</f>
        <v>38.0702647657841</v>
      </c>
      <c r="H96" s="47" t="n">
        <f aca="false">IFERROR(IF(H19&lt;=0,"N/M",H58/H19),"N/M")</f>
        <v>30.2456669178598</v>
      </c>
      <c r="I96" s="47" t="n">
        <f aca="false">IFERROR(IF(I19&lt;=0,"N/M",I58/I19),"N/M")</f>
        <v>23.7872023809524</v>
      </c>
      <c r="J96" s="47" t="n">
        <f aca="false">IFERROR(IF(J19&lt;=0,"N/M",J58/J19),"N/M")</f>
        <v>22.9346204475647</v>
      </c>
      <c r="K96" s="22" t="n">
        <f aca="false">IFERROR(AVERAGE(D96:J96),"N/M")</f>
        <v>22.1368061968799</v>
      </c>
      <c r="L96" s="82" t="n">
        <f aca="false">IFERROR(J96-D96,"N/M")</f>
        <v>17.2985481864925</v>
      </c>
      <c r="M96" s="83" t="n">
        <f aca="false">IFERROR(SLOPE(D96:J96,$D$3:$J$3),"N/M")</f>
        <v>3.13948865735185</v>
      </c>
    </row>
    <row r="97" customFormat="false" ht="15" hidden="false" customHeight="false" outlineLevel="0" collapsed="false">
      <c r="A97" s="18" t="s">
        <v>538</v>
      </c>
      <c r="B97" s="19" t="s">
        <v>539</v>
      </c>
      <c r="D97" s="47" t="n">
        <f aca="false">IFERROR(IF(D19&lt;=0,"N/M",D59/D19),"N/M")</f>
        <v>8.03962703962704</v>
      </c>
      <c r="E97" s="47" t="n">
        <f aca="false">IFERROR(IF(E19&lt;=0,"N/M",E59/E19),"N/M")</f>
        <v>11.0022471910112</v>
      </c>
      <c r="F97" s="47" t="n">
        <f aca="false">IFERROR(IF(F19&lt;=0,"N/M",F59/F19),"N/M")</f>
        <v>35.5666406858924</v>
      </c>
      <c r="G97" s="47" t="n">
        <f aca="false">IFERROR(IF(G19&lt;=0,"N/M",G59/G19),"N/M")</f>
        <v>50.4338085539715</v>
      </c>
      <c r="H97" s="47" t="n">
        <f aca="false">IFERROR(IF(H19&lt;=0,"N/M",H59/H19),"N/M")</f>
        <v>39.9253956292389</v>
      </c>
      <c r="I97" s="47" t="n">
        <f aca="false">IFERROR(IF(I19&lt;=0,"N/M",I59/I19),"N/M")</f>
        <v>29.6319444444444</v>
      </c>
      <c r="J97" s="47" t="n">
        <f aca="false">IFERROR(IF(J19&lt;=0,"N/M",J59/J19),"N/M")</f>
        <v>28.5204036858271</v>
      </c>
      <c r="K97" s="22" t="n">
        <f aca="false">IFERROR(AVERAGE(D97:J97),"N/M")</f>
        <v>29.0171524614304</v>
      </c>
      <c r="L97" s="82" t="n">
        <f aca="false">IFERROR(J97-D97,"N/M")</f>
        <v>20.4807766462001</v>
      </c>
      <c r="M97" s="83" t="n">
        <f aca="false">IFERROR(SLOPE(D97:J97,$D$3:$J$3),"N/M")</f>
        <v>3.68073140674332</v>
      </c>
    </row>
    <row r="98" customFormat="false" ht="15" hidden="false" customHeight="false" outlineLevel="0" collapsed="false">
      <c r="A98" s="18" t="s">
        <v>540</v>
      </c>
      <c r="B98" s="19" t="s">
        <v>541</v>
      </c>
      <c r="D98" s="47" t="n">
        <f aca="false">IFERROR(IF(D23&lt;=0,"N/M",D22/D23),"N/M")</f>
        <v>9.26219908913468</v>
      </c>
      <c r="E98" s="47" t="n">
        <f aca="false">IFERROR(IF(E23&lt;=0,"N/M",E22/E23),"N/M")</f>
        <v>7.63122406639004</v>
      </c>
      <c r="F98" s="47" t="n">
        <f aca="false">IFERROR(IF(F23&lt;=0,"N/M",F22/F23),"N/M")</f>
        <v>9.36037491919845</v>
      </c>
      <c r="G98" s="47" t="n">
        <f aca="false">IFERROR(IF(G23&lt;=0,"N/M",G22/G23),"N/M")</f>
        <v>5.84635224760501</v>
      </c>
      <c r="H98" s="47" t="n">
        <f aca="false">IFERROR(IF(H23&lt;=0,"N/M",H22/H23),"N/M")</f>
        <v>6.44615950018376</v>
      </c>
      <c r="I98" s="47" t="n">
        <f aca="false">IFERROR(IF(I23&lt;=0,"N/M",I22/I23),"N/M")</f>
        <v>6.72943864229765</v>
      </c>
      <c r="J98" s="47" t="n">
        <f aca="false">IFERROR(IF(J23&lt;=0,"N/M",J22/J23),"N/M")</f>
        <v>5.94462540716612</v>
      </c>
      <c r="K98" s="22" t="n">
        <f aca="false">IFERROR(AVERAGE(D98:J98),"N/M")</f>
        <v>7.3171962674251</v>
      </c>
      <c r="L98" s="82" t="n">
        <f aca="false">IFERROR(J98-D98,"N/M")</f>
        <v>-3.31757368196856</v>
      </c>
      <c r="M98" s="83" t="n">
        <f aca="false">IFERROR(SLOPE(D98:J98,$D$3:$J$3),"N/M")</f>
        <v>-0.523946689753755</v>
      </c>
    </row>
    <row r="99" customFormat="false" ht="15" hidden="false" customHeight="false" outlineLevel="0" collapsed="false">
      <c r="A99" s="18" t="s">
        <v>542</v>
      </c>
      <c r="B99" s="19" t="s">
        <v>543</v>
      </c>
      <c r="D99" s="47" t="n">
        <f aca="false">IFERROR(IF((D19+IF((1-D60)&lt;=0,"N/M",D68/(1-D60)))&lt;=0,"N/M",D59/(D19+IF((1-D60)&lt;=0,"N/M",D68/(1-D60)))),"N/M")</f>
        <v>3.1381873021247</v>
      </c>
      <c r="E99" s="47" t="n">
        <f aca="false">IFERROR(IF((E19+IF((1-E60)&lt;=0,"N/M",E68/(1-E60)))&lt;=0,"N/M",E59/(E19+IF((1-E60)&lt;=0,"N/M",E68/(1-E60)))),"N/M")</f>
        <v>1.71784688496797</v>
      </c>
      <c r="F99" s="47" t="n">
        <f aca="false">IFERROR(IF((F19+IF((1-F60)&lt;=0,"N/M",F68/(1-F60)))&lt;=0,"N/M",F59/(F19+IF((1-F60)&lt;=0,"N/M",F68/(1-F60)))),"N/M")</f>
        <v>1.90168056278621</v>
      </c>
      <c r="G99" s="47" t="n">
        <f aca="false">IFERROR(IF((G19+IF((1-G60)&lt;=0,"N/M",G68/(1-G60)))&lt;=0,"N/M",G59/(G19+IF((1-G60)&lt;=0,"N/M",G68/(1-G60)))),"N/M")</f>
        <v>33.5297103416282</v>
      </c>
      <c r="H99" s="47" t="n">
        <f aca="false">IFERROR(IF((H19+IF((1-H60)&lt;=0,"N/M",H68/(1-H60)))&lt;=0,"N/M",H59/(H19+IF((1-H60)&lt;=0,"N/M",H68/(1-H60)))),"N/M")</f>
        <v>39.9253956292389</v>
      </c>
      <c r="I99" s="47" t="n">
        <f aca="false">IFERROR(IF((I19+IF((1-I60)&lt;=0,"N/M",I68/(1-I60)))&lt;=0,"N/M",I59/(I19+IF((1-I60)&lt;=0,"N/M",I68/(1-I60)))),"N/M")</f>
        <v>29.6319444444444</v>
      </c>
      <c r="J99" s="47" t="n">
        <f aca="false">IFERROR(IF((J19+IF((1-J60)&lt;=0,"N/M",J68/(1-J60)))&lt;=0,"N/M",J59/(J19+IF((1-J60)&lt;=0,"N/M",J68/(1-J60)))),"N/M")</f>
        <v>28.5204036858271</v>
      </c>
      <c r="K99" s="22" t="n">
        <f aca="false">IFERROR(AVERAGE(D99:J99),"N/M")</f>
        <v>19.7664526930025</v>
      </c>
      <c r="L99" s="82" t="n">
        <f aca="false">IFERROR(J99-D99,"N/M")</f>
        <v>25.3822163837024</v>
      </c>
      <c r="M99" s="83" t="n">
        <f aca="false">IFERROR(SLOPE(D99:J99,$D$3:$J$3),"N/M")</f>
        <v>6.07137711916117</v>
      </c>
    </row>
    <row r="100" customFormat="false" ht="15" hidden="false" customHeight="false" outlineLevel="0" collapsed="false">
      <c r="A100" s="18" t="s">
        <v>544</v>
      </c>
      <c r="B100" s="19" t="s">
        <v>545</v>
      </c>
      <c r="D100" s="47" t="n">
        <f aca="false">IFERROR(IF((D19+IF((1-D60)&lt;=0,"N/M",D68/(1-D60)))&lt;=0,"N/M",(D41+D21)/(D19+IF((1-D60)&lt;=0,"N/M",D68/(1-D60)))),"N/M")</f>
        <v>2.94278987587614</v>
      </c>
      <c r="E100" s="47" t="n">
        <f aca="false">IFERROR(IF((E19+IF((1-E60)&lt;=0,"N/M",E68/(1-E60)))&lt;=0,"N/M",(E41+E21)/(E19+IF((1-E60)&lt;=0,"N/M",E68/(1-E60)))),"N/M")</f>
        <v>1.92129151026766</v>
      </c>
      <c r="F100" s="47" t="n">
        <f aca="false">IFERROR(IF((F19+IF((1-F60)&lt;=0,"N/M",F68/(1-F60)))&lt;=0,"N/M",(F41+F21)/(F19+IF((1-F60)&lt;=0,"N/M",F68/(1-F60)))),"N/M")</f>
        <v>1.69055868053088</v>
      </c>
      <c r="G100" s="47" t="n">
        <f aca="false">IFERROR(IF((G19+IF((1-G60)&lt;=0,"N/M",G68/(1-G60)))&lt;=0,"N/M",(G41+G21)/(G19+IF((1-G60)&lt;=0,"N/M",G68/(1-G60)))),"N/M")</f>
        <v>27.356712342699</v>
      </c>
      <c r="H100" s="47" t="n">
        <f aca="false">IFERROR(IF((H19+IF((1-H60)&lt;=0,"N/M",H68/(1-H60)))&lt;=0,"N/M",(H41+H21)/(H19+IF((1-H60)&lt;=0,"N/M",H68/(1-H60)))),"N/M")</f>
        <v>25.0896759608139</v>
      </c>
      <c r="I100" s="47" t="n">
        <f aca="false">IFERROR(IF((I19+IF((1-I60)&lt;=0,"N/M",I68/(1-I60)))&lt;=0,"N/M",(I41+I21)/(I19+IF((1-I60)&lt;=0,"N/M",I68/(1-I60)))),"N/M")</f>
        <v>19.969246031746</v>
      </c>
      <c r="J100" s="47" t="n">
        <f aca="false">IFERROR(IF((J19+IF((1-J60)&lt;=0,"N/M",J68/(1-J60)))&lt;=0,"N/M",(J41+J21)/(J19+IF((1-J60)&lt;=0,"N/M",J68/(1-J60)))),"N/M")</f>
        <v>21.2553751645459</v>
      </c>
      <c r="K100" s="22" t="n">
        <f aca="false">IFERROR(AVERAGE(D100:J100),"N/M")</f>
        <v>14.3179499380685</v>
      </c>
      <c r="L100" s="82" t="n">
        <f aca="false">IFERROR(J100-D100,"N/M")</f>
        <v>18.3125852886697</v>
      </c>
      <c r="M100" s="83" t="n">
        <f aca="false">IFERROR(SLOPE(D100:J100,$D$3:$J$3),"N/M")</f>
        <v>4.08688507818746</v>
      </c>
    </row>
    <row r="101" customFormat="false" ht="15" hidden="false" customHeight="false" outlineLevel="0" collapsed="false">
      <c r="A101" s="18" t="s">
        <v>546</v>
      </c>
      <c r="B101" s="19" t="s">
        <v>547</v>
      </c>
      <c r="D101" s="47" t="n">
        <f aca="false">IFERROR(IF(D67&lt;=0,"N/M",D41/D67),"N/M")</f>
        <v>1.67496723460026</v>
      </c>
      <c r="E101" s="47" t="n">
        <f aca="false">IFERROR(IF(E67&lt;=0,"N/M",E41/E67),"N/M")</f>
        <v>2.78639356254572</v>
      </c>
      <c r="F101" s="47" t="n">
        <f aca="false">IFERROR(IF(F67&lt;=0,"N/M",F41/F67),"N/M")</f>
        <v>3.2910928277589</v>
      </c>
      <c r="G101" s="47" t="n">
        <f aca="false">IFERROR(IF(G67&lt;=0,"N/M",G41/G67),"N/M")</f>
        <v>2.77415384615385</v>
      </c>
      <c r="H101" s="47" t="n">
        <f aca="false">IFERROR(IF(H67&lt;=0,"N/M",H41/H67),"N/M")</f>
        <v>1.06157120056748</v>
      </c>
      <c r="I101" s="47" t="n">
        <f aca="false">IFERROR(IF(I67&lt;=0,"N/M",I41/I67),"N/M")</f>
        <v>0.981983706052819</v>
      </c>
      <c r="J101" s="47" t="n">
        <f aca="false">IFERROR(IF(J67&lt;=0,"N/M",J41/J67),"N/M")</f>
        <v>0.999685060625829</v>
      </c>
      <c r="K101" s="22" t="n">
        <f aca="false">IFERROR(AVERAGE(D101:J101),"N/M")</f>
        <v>1.93854963404355</v>
      </c>
      <c r="L101" s="82" t="n">
        <f aca="false">IFERROR(J101-D101,"N/M")</f>
        <v>-0.675282173974431</v>
      </c>
      <c r="M101" s="83" t="n">
        <f aca="false">IFERROR(SLOPE(D101:J101,$D$3:$J$3),"N/M")</f>
        <v>-0.280863852217876</v>
      </c>
    </row>
    <row r="102" customFormat="false" ht="15" hidden="false" customHeight="false" outlineLevel="0" collapsed="false">
      <c r="A102" s="18" t="s">
        <v>129</v>
      </c>
      <c r="B102" s="19" t="s">
        <v>548</v>
      </c>
      <c r="D102" s="47" t="n">
        <f aca="false">IFERROR(IF((D19+D68)&lt;=0,"N/M",((D22+D19)+D18)/(D19+D68)),"N/M")</f>
        <v>3.13917151162791</v>
      </c>
      <c r="E102" s="47" t="n">
        <f aca="false">IFERROR(IF((E19+E68)&lt;=0,"N/M",((E22+E19)+E18)/(E19+E68)),"N/M")</f>
        <v>1.76267600978383</v>
      </c>
      <c r="F102" s="47" t="n">
        <f aca="false">IFERROR(IF((F19+F68)&lt;=0,"N/M",((F22+F19)+F18)/(F19+F68)),"N/M")</f>
        <v>1.94067638266069</v>
      </c>
      <c r="G102" s="47" t="n">
        <f aca="false">IFERROR(IF((G19+G68)&lt;=0,"N/M",((G22+G19)+G18)/(G19+G68)),"N/M")</f>
        <v>31.6339915373766</v>
      </c>
      <c r="H102" s="47" t="n">
        <f aca="false">IFERROR(IF((H19+H68)&lt;=0,"N/M",((H22+H19)+H18)/(H19+H68)),"N/M")</f>
        <v>37.1152976639035</v>
      </c>
      <c r="I102" s="47" t="n">
        <f aca="false">IFERROR(IF((I19+I68)&lt;=0,"N/M",((I22+I19)+I18)/(I19+I68)),"N/M")</f>
        <v>27.3000992063492</v>
      </c>
      <c r="J102" s="47" t="n">
        <f aca="false">IFERROR(IF((J19+J68)&lt;=0,"N/M",((J22+J19)+J18)/(J19+J68)),"N/M")</f>
        <v>26.6055287406757</v>
      </c>
      <c r="K102" s="22" t="n">
        <f aca="false">IFERROR(AVERAGE(D102:J102),"N/M")</f>
        <v>18.4996344360539</v>
      </c>
      <c r="L102" s="82" t="n">
        <f aca="false">IFERROR(J102-D102,"N/M")</f>
        <v>23.4663572290478</v>
      </c>
      <c r="M102" s="83" t="n">
        <f aca="false">IFERROR(SLOPE(D102:J102,$D$3:$J$3),"N/M")</f>
        <v>5.59459069148275</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n">
        <f aca="false">IFERROR(IF(((D37+C37)/2)&lt;=0,"N/M",D52/((D37+C37)/2)),"N/M")</f>
        <v>375.552941176471</v>
      </c>
      <c r="E105" s="47" t="n">
        <f aca="false">IFERROR(IF(((E37+D37)/2)&lt;=0,"N/M",E52/((E37+D37)/2)),"N/M")</f>
        <v>338.338686131387</v>
      </c>
      <c r="F105" s="47" t="n">
        <f aca="false">IFERROR(IF(((F37+E37)/2)&lt;=0,"N/M",F52/((F37+E37)/2)),"N/M")</f>
        <v>334.188703465982</v>
      </c>
      <c r="G105" s="47" t="n">
        <f aca="false">IFERROR(IF(((G37+F37)/2)&lt;=0,"N/M",G52/((G37+F37)/2)),"N/M")</f>
        <v>455.586924219911</v>
      </c>
      <c r="H105" s="47" t="n">
        <f aca="false">IFERROR(IF(((H37+G37)/2)&lt;=0,"N/M",H52/((H37+G37)/2)),"N/M")</f>
        <v>422.015434083601</v>
      </c>
      <c r="I105" s="47" t="n">
        <f aca="false">IFERROR(IF(((I37+H37)/2)&lt;=0,"N/M",I52/((I37+H37)/2)),"N/M")</f>
        <v>428.19649122807</v>
      </c>
      <c r="J105" s="47" t="n">
        <f aca="false">IFERROR(IF(((J37+I37)/2)&lt;=0,"N/M",J52/((J37+I37)/2)),"N/M")</f>
        <v>374.016877637131</v>
      </c>
      <c r="K105" s="22" t="n">
        <f aca="false">IFERROR(AVERAGE(D105:J105),"N/M")</f>
        <v>389.699436848936</v>
      </c>
      <c r="L105" s="82" t="n">
        <f aca="false">IFERROR(J105-D105,"N/M")</f>
        <v>-1.53606353933975</v>
      </c>
      <c r="M105" s="83" t="n">
        <f aca="false">IFERROR(SLOPE(D105:J105,$D$3:$J$3),"N/M")</f>
        <v>9.39050536403452</v>
      </c>
    </row>
    <row r="106" customFormat="false" ht="15" hidden="false" customHeight="false" outlineLevel="0" collapsed="false">
      <c r="A106" s="18" t="s">
        <v>552</v>
      </c>
      <c r="B106" s="19" t="s">
        <v>553</v>
      </c>
      <c r="D106" s="48" t="n">
        <f aca="false">IFERROR(IF(D105&lt;=0,"N/M",365/D105),"N/M")</f>
        <v>0.971900256876136</v>
      </c>
      <c r="E106" s="48" t="n">
        <f aca="false">IFERROR(IF(E105&lt;=0,"N/M",365/E105),"N/M")</f>
        <v>1.07880066620067</v>
      </c>
      <c r="F106" s="48" t="n">
        <f aca="false">IFERROR(IF(F105&lt;=0,"N/M",365/F105),"N/M")</f>
        <v>1.09219730114891</v>
      </c>
      <c r="G106" s="48" t="n">
        <f aca="false">IFERROR(IF(G105&lt;=0,"N/M",365/G105),"N/M")</f>
        <v>0.801164345585597</v>
      </c>
      <c r="H106" s="48" t="n">
        <f aca="false">IFERROR(IF(H105&lt;=0,"N/M",365/H105),"N/M")</f>
        <v>0.864897277495528</v>
      </c>
      <c r="I106" s="48" t="n">
        <f aca="false">IFERROR(IF(I105&lt;=0,"N/M",365/I105),"N/M")</f>
        <v>0.852412402897506</v>
      </c>
      <c r="J106" s="48" t="n">
        <f aca="false">IFERROR(IF(J105&lt;=0,"N/M",365/J105),"N/M")</f>
        <v>0.975891789445184</v>
      </c>
      <c r="K106" s="28" t="n">
        <f aca="false">IFERROR(AVERAGE(D106:J106),"N/M")</f>
        <v>0.948180577092791</v>
      </c>
      <c r="L106" s="84" t="n">
        <f aca="false">IFERROR(J106-D106,"N/M")</f>
        <v>0.00399153256904827</v>
      </c>
      <c r="M106" s="85" t="n">
        <f aca="false">IFERROR(SLOPE(D106:J106,$D$3:$J$3),"N/M")</f>
        <v>-0.0238607840197347</v>
      </c>
    </row>
    <row r="107" customFormat="false" ht="15" hidden="false" customHeight="false" outlineLevel="0" collapsed="false">
      <c r="A107" s="18" t="s">
        <v>554</v>
      </c>
      <c r="B107" s="19" t="s">
        <v>555</v>
      </c>
      <c r="D107" s="47" t="n">
        <f aca="false">IFERROR(IF(((D36+C36)/2)&lt;=0,"N/M",D9/((D36+C36)/2)),"N/M")</f>
        <v>5.4227737983599</v>
      </c>
      <c r="E107" s="47" t="n">
        <f aca="false">IFERROR(IF(((E36+D36)/2)&lt;=0,"N/M",E9/((E36+D36)/2)),"N/M")</f>
        <v>5.61409940501232</v>
      </c>
      <c r="F107" s="47" t="n">
        <f aca="false">IFERROR(IF(((F36+E36)/2)&lt;=0,"N/M",F9/((F36+E36)/2)),"N/M")</f>
        <v>6.39427444593786</v>
      </c>
      <c r="G107" s="47" t="n">
        <f aca="false">IFERROR(IF(((G36+F36)/2)&lt;=0,"N/M",G9/((G36+F36)/2)),"N/M")</f>
        <v>7.07577911631561</v>
      </c>
      <c r="H107" s="47" t="n">
        <f aca="false">IFERROR(IF(((H36+G36)/2)&lt;=0,"N/M",H9/((H36+G36)/2)),"N/M")</f>
        <v>6.92918022625136</v>
      </c>
      <c r="I107" s="47" t="n">
        <f aca="false">IFERROR(IF(((I36+H36)/2)&lt;=0,"N/M",I9/((I36+H36)/2)),"N/M")</f>
        <v>6.79255383498669</v>
      </c>
      <c r="J107" s="47" t="n">
        <f aca="false">IFERROR(IF(((J36+I36)/2)&lt;=0,"N/M",J9/((J36+I36)/2)),"N/M")</f>
        <v>6.39251376528483</v>
      </c>
      <c r="K107" s="22" t="n">
        <f aca="false">IFERROR(AVERAGE(D107:J107),"N/M")</f>
        <v>6.37445351316408</v>
      </c>
      <c r="L107" s="82" t="n">
        <f aca="false">IFERROR(J107-D107,"N/M")</f>
        <v>0.969739966924927</v>
      </c>
      <c r="M107" s="83" t="n">
        <f aca="false">IFERROR(SLOPE(D107:J107,$D$3:$J$3),"N/M")</f>
        <v>0.207179805037037</v>
      </c>
    </row>
    <row r="108" customFormat="false" ht="15" hidden="false" customHeight="false" outlineLevel="0" collapsed="false">
      <c r="A108" s="18" t="s">
        <v>130</v>
      </c>
      <c r="B108" s="19" t="s">
        <v>556</v>
      </c>
      <c r="D108" s="48" t="n">
        <f aca="false">IFERROR(IF(D107&lt;=0,"N/M",365/D107),"N/M")</f>
        <v>67.3087267830336</v>
      </c>
      <c r="E108" s="48" t="n">
        <f aca="false">IFERROR(IF(E107&lt;=0,"N/M",365/E107),"N/M")</f>
        <v>65.014880155867</v>
      </c>
      <c r="F108" s="48" t="n">
        <f aca="false">IFERROR(IF(F107&lt;=0,"N/M",365/F107),"N/M")</f>
        <v>57.0823168579942</v>
      </c>
      <c r="G108" s="48" t="n">
        <f aca="false">IFERROR(IF(G107&lt;=0,"N/M",365/G107),"N/M")</f>
        <v>51.5844254038921</v>
      </c>
      <c r="H108" s="48" t="n">
        <f aca="false">IFERROR(IF(H107&lt;=0,"N/M",365/H107),"N/M")</f>
        <v>52.6757838708235</v>
      </c>
      <c r="I108" s="48" t="n">
        <f aca="false">IFERROR(IF(I107&lt;=0,"N/M",365/I107),"N/M")</f>
        <v>53.7353120589165</v>
      </c>
      <c r="J108" s="48" t="n">
        <f aca="false">IFERROR(IF(J107&lt;=0,"N/M",365/J107),"N/M")</f>
        <v>57.0980389564694</v>
      </c>
      <c r="K108" s="28" t="n">
        <f aca="false">IFERROR(AVERAGE(D108:J108),"N/M")</f>
        <v>57.7856405838566</v>
      </c>
      <c r="L108" s="84" t="n">
        <f aca="false">IFERROR(J108-D108,"N/M")</f>
        <v>-10.2106878265642</v>
      </c>
      <c r="M108" s="85" t="n">
        <f aca="false">IFERROR(SLOPE(D108:J108,$D$3:$J$3),"N/M")</f>
        <v>-2.05706188074158</v>
      </c>
    </row>
    <row r="109" customFormat="false" ht="15" hidden="false" customHeight="false" outlineLevel="0" collapsed="false">
      <c r="A109" s="18" t="s">
        <v>557</v>
      </c>
      <c r="B109" s="19" t="s">
        <v>558</v>
      </c>
      <c r="D109" s="47" t="n">
        <f aca="false">IFERROR(IF(((D29+C29)/2)&lt;=0,"N/M",D52/((D29+C29)/2)),"N/M")</f>
        <v>9.10051315467948</v>
      </c>
      <c r="E109" s="47" t="n">
        <f aca="false">IFERROR(IF(((E29+D29)/2)&lt;=0,"N/M",E52/((E29+D29)/2)),"N/M")</f>
        <v>9.10656188605108</v>
      </c>
      <c r="F109" s="47" t="n">
        <f aca="false">IFERROR(IF(((F29+E29)/2)&lt;=0,"N/M",F52/((F29+E29)/2)),"N/M")</f>
        <v>9.10032509525641</v>
      </c>
      <c r="G109" s="47" t="n">
        <f aca="false">IFERROR(IF(((G29+F29)/2)&lt;=0,"N/M",G52/((G29+F29)/2)),"N/M")</f>
        <v>10.0896720798986</v>
      </c>
      <c r="H109" s="47" t="n">
        <f aca="false">IFERROR(IF(((H29+G29)/2)&lt;=0,"N/M",H52/((H29+G29)/2)),"N/M")</f>
        <v>10.7376912378303</v>
      </c>
      <c r="I109" s="47" t="n">
        <f aca="false">IFERROR(IF(((I29+H29)/2)&lt;=0,"N/M",I52/((I29+H29)/2)),"N/M")</f>
        <v>8.70318071601769</v>
      </c>
      <c r="J109" s="47" t="n">
        <f aca="false">IFERROR(IF(((J29+I29)/2)&lt;=0,"N/M",J52/((J29+I29)/2)),"N/M")</f>
        <v>6.99259350156457</v>
      </c>
      <c r="K109" s="22" t="n">
        <f aca="false">IFERROR(AVERAGE(D109:J109),"N/M")</f>
        <v>9.11864823875689</v>
      </c>
      <c r="L109" s="82" t="n">
        <f aca="false">IFERROR(J109-D109,"N/M")</f>
        <v>-2.10791965311491</v>
      </c>
      <c r="M109" s="83" t="n">
        <f aca="false">IFERROR(SLOPE(D109:J109,$D$3:$J$3),"N/M")</f>
        <v>-0.196184112744201</v>
      </c>
    </row>
    <row r="110" customFormat="false" ht="15" hidden="false" customHeight="false" outlineLevel="0" collapsed="false">
      <c r="A110" s="18" t="s">
        <v>559</v>
      </c>
      <c r="B110" s="19" t="s">
        <v>560</v>
      </c>
      <c r="D110" s="48" t="n">
        <f aca="false">IFERROR(IF(D109&lt;=0,"N/M",365/D109),"N/M")</f>
        <v>40.1076284156918</v>
      </c>
      <c r="E110" s="48" t="n">
        <f aca="false">IFERROR(IF(E109&lt;=0,"N/M",365/E109),"N/M")</f>
        <v>40.0809882551928</v>
      </c>
      <c r="F110" s="48" t="n">
        <f aca="false">IFERROR(IF(F109&lt;=0,"N/M",365/F109),"N/M")</f>
        <v>40.1084572451437</v>
      </c>
      <c r="G110" s="48" t="n">
        <f aca="false">IFERROR(IF(G109&lt;=0,"N/M",365/G109),"N/M")</f>
        <v>36.1756058184665</v>
      </c>
      <c r="H110" s="48" t="n">
        <f aca="false">IFERROR(IF(H109&lt;=0,"N/M",365/H109),"N/M")</f>
        <v>33.9924097197036</v>
      </c>
      <c r="I110" s="48" t="n">
        <f aca="false">IFERROR(IF(I109&lt;=0,"N/M",365/I109),"N/M")</f>
        <v>41.9386902225573</v>
      </c>
      <c r="J110" s="48" t="n">
        <f aca="false">IFERROR(IF(J109&lt;=0,"N/M",365/J109),"N/M")</f>
        <v>52.1980864350734</v>
      </c>
      <c r="K110" s="28" t="n">
        <f aca="false">IFERROR(AVERAGE(D110:J110),"N/M")</f>
        <v>40.657409444547</v>
      </c>
      <c r="L110" s="84" t="n">
        <f aca="false">IFERROR(J110-D110,"N/M")</f>
        <v>12.0904580193816</v>
      </c>
      <c r="M110" s="85" t="n">
        <f aca="false">IFERROR(SLOPE(D110:J110,$D$3:$J$3),"N/M")</f>
        <v>1.20966894526549</v>
      </c>
    </row>
    <row r="111" customFormat="false" ht="15" hidden="false" customHeight="false" outlineLevel="0" collapsed="false">
      <c r="A111" s="18" t="s">
        <v>561</v>
      </c>
      <c r="B111" s="19" t="s">
        <v>562</v>
      </c>
      <c r="D111" s="48" t="n">
        <f aca="false">IFERROR(((IF(ISNUMBER(D106),D106,0)+D108)-D110),"N/M")</f>
        <v>28.1729986242179</v>
      </c>
      <c r="E111" s="48" t="n">
        <f aca="false">IFERROR(((IF(ISNUMBER(E106),E106,0)+E108)-E110),"N/M")</f>
        <v>26.0126925668748</v>
      </c>
      <c r="F111" s="48" t="n">
        <f aca="false">IFERROR(((IF(ISNUMBER(F106),F106,0)+F108)-F110),"N/M")</f>
        <v>18.0660569139994</v>
      </c>
      <c r="G111" s="48" t="n">
        <f aca="false">IFERROR(((IF(ISNUMBER(G106),G106,0)+G108)-G110),"N/M")</f>
        <v>16.2099839310112</v>
      </c>
      <c r="H111" s="48" t="n">
        <f aca="false">IFERROR(((IF(ISNUMBER(H106),H106,0)+H108)-H110),"N/M")</f>
        <v>19.5482714286153</v>
      </c>
      <c r="I111" s="48" t="n">
        <f aca="false">IFERROR(((IF(ISNUMBER(I106),I106,0)+I108)-I110),"N/M")</f>
        <v>12.6490342392567</v>
      </c>
      <c r="J111" s="48" t="n">
        <f aca="false">IFERROR(((IF(ISNUMBER(J106),J106,0)+J108)-J110),"N/M")</f>
        <v>5.87584431084115</v>
      </c>
      <c r="K111" s="28" t="n">
        <f aca="false">IFERROR(AVERAGE(D111:J111),"N/M")</f>
        <v>18.0764117164024</v>
      </c>
      <c r="L111" s="84" t="n">
        <f aca="false">IFERROR(J111-D111,"N/M")</f>
        <v>-22.2971543133768</v>
      </c>
      <c r="M111" s="85" t="n">
        <f aca="false">IFERROR(SLOPE(D111:J111,$D$3:$J$3),"N/M")</f>
        <v>-3.2905916100268</v>
      </c>
    </row>
    <row r="112" customFormat="false" ht="15" hidden="false" customHeight="false" outlineLevel="0" collapsed="false">
      <c r="A112" s="18" t="s">
        <v>132</v>
      </c>
      <c r="B112" s="19" t="s">
        <v>563</v>
      </c>
      <c r="D112" s="47" t="n">
        <f aca="false">IFERROR(IF(((D31+C31)/2)&lt;=0,"N/M",D9/((D31+C31)/2)),"N/M")</f>
        <v>3.62736566745856</v>
      </c>
      <c r="E112" s="47" t="n">
        <f aca="false">IFERROR(IF(((E31+D31)/2)&lt;=0,"N/M",E9/((E31+D31)/2)),"N/M")</f>
        <v>3.55554286801789</v>
      </c>
      <c r="F112" s="47" t="n">
        <f aca="false">IFERROR(IF(((F31+E31)/2)&lt;=0,"N/M",F9/((F31+E31)/2)),"N/M")</f>
        <v>4.05834443766423</v>
      </c>
      <c r="G112" s="47" t="n">
        <f aca="false">IFERROR(IF(((G31+F31)/2)&lt;=0,"N/M",G9/((G31+F31)/2)),"N/M")</f>
        <v>4.75015226577756</v>
      </c>
      <c r="H112" s="47" t="n">
        <f aca="false">IFERROR(IF(((H31+G31)/2)&lt;=0,"N/M",H9/((H31+G31)/2)),"N/M")</f>
        <v>4.86892029230993</v>
      </c>
      <c r="I112" s="47" t="n">
        <f aca="false">IFERROR(IF(((I31+H31)/2)&lt;=0,"N/M",I9/((I31+H31)/2)),"N/M")</f>
        <v>4.92120428599601</v>
      </c>
      <c r="J112" s="47" t="n">
        <f aca="false">IFERROR(IF(((J31+I31)/2)&lt;=0,"N/M",J9/((J31+I31)/2)),"N/M")</f>
        <v>4.56018623718344</v>
      </c>
      <c r="K112" s="22" t="n">
        <f aca="false">IFERROR(AVERAGE(D112:J112),"N/M")</f>
        <v>4.33453086491537</v>
      </c>
      <c r="L112" s="82" t="n">
        <f aca="false">IFERROR(J112-D112,"N/M")</f>
        <v>0.932820569724882</v>
      </c>
      <c r="M112" s="83" t="n">
        <f aca="false">IFERROR(SLOPE(D112:J112,$D$3:$J$3),"N/M")</f>
        <v>0.226441442849164</v>
      </c>
    </row>
    <row r="113" customFormat="false" ht="15" hidden="false" customHeight="false" outlineLevel="0" collapsed="false">
      <c r="A113" s="18" t="s">
        <v>133</v>
      </c>
      <c r="B113" s="19" t="s">
        <v>564</v>
      </c>
      <c r="D113" s="47" t="n">
        <f aca="false">IFERROR(IF(((D35+C35)/2)&lt;=0,"N/M",D9/((D35+C35)/2)),"N/M")</f>
        <v>1.64754021344116</v>
      </c>
      <c r="E113" s="47" t="n">
        <f aca="false">IFERROR(IF(((E35+D35)/2)&lt;=0,"N/M",E9/((E35+D35)/2)),"N/M")</f>
        <v>1.63780452525182</v>
      </c>
      <c r="F113" s="47" t="n">
        <f aca="false">IFERROR(IF(((F35+E35)/2)&lt;=0,"N/M",F9/((F35+E35)/2)),"N/M")</f>
        <v>1.82779373163126</v>
      </c>
      <c r="G113" s="47" t="n">
        <f aca="false">IFERROR(IF(((G35+F35)/2)&lt;=0,"N/M",G9/((G35+F35)/2)),"N/M")</f>
        <v>1.9259815577631</v>
      </c>
      <c r="H113" s="47" t="n">
        <f aca="false">IFERROR(IF(((H35+G35)/2)&lt;=0,"N/M",H9/((H35+G35)/2)),"N/M")</f>
        <v>1.74880005910076</v>
      </c>
      <c r="I113" s="47" t="n">
        <f aca="false">IFERROR(IF(((I35+H35)/2)&lt;=0,"N/M",I9/((I35+H35)/2)),"N/M")</f>
        <v>1.65277816106545</v>
      </c>
      <c r="J113" s="47" t="n">
        <f aca="false">IFERROR(IF(((J35+I35)/2)&lt;=0,"N/M",J9/((J35+I35)/2)),"N/M")</f>
        <v>1.53268525489059</v>
      </c>
      <c r="K113" s="22" t="n">
        <f aca="false">IFERROR(AVERAGE(D113:J113),"N/M")</f>
        <v>1.71048335759202</v>
      </c>
      <c r="L113" s="82" t="n">
        <f aca="false">IFERROR(J113-D113,"N/M")</f>
        <v>-0.114854958550563</v>
      </c>
      <c r="M113" s="83" t="n">
        <f aca="false">IFERROR(SLOPE(D113:J113,$D$3:$J$3),"N/M")</f>
        <v>-0.014057545591247</v>
      </c>
    </row>
    <row r="114" customFormat="false" ht="15" hidden="false" customHeight="false" outlineLevel="0" collapsed="false">
      <c r="A114" s="18" t="s">
        <v>565</v>
      </c>
      <c r="B114" s="19" t="s">
        <v>566</v>
      </c>
      <c r="D114" s="47" t="n">
        <f aca="false">IFERROR(IF(((D62+C62)/2)&lt;=0,"N/M",D9/((D62+C62)/2)),"N/M")</f>
        <v>1.93565250214551</v>
      </c>
      <c r="E114" s="47" t="n">
        <f aca="false">IFERROR(IF(((E62+D62)/2)&lt;=0,"N/M",E9/((E62+D62)/2)),"N/M")</f>
        <v>1.92397181038951</v>
      </c>
      <c r="F114" s="47" t="n">
        <f aca="false">IFERROR(IF(((F62+E62)/2)&lt;=0,"N/M",F9/((F62+E62)/2)),"N/M")</f>
        <v>2.17711193506363</v>
      </c>
      <c r="G114" s="47" t="n">
        <f aca="false">IFERROR(IF(((G62+F62)/2)&lt;=0,"N/M",G9/((G62+F62)/2)),"N/M")</f>
        <v>2.27853995427945</v>
      </c>
      <c r="H114" s="47" t="n">
        <f aca="false">IFERROR(IF(((H62+G62)/2)&lt;=0,"N/M",H9/((H62+G62)/2)),"N/M")</f>
        <v>2.01658665651089</v>
      </c>
      <c r="I114" s="47" t="n">
        <f aca="false">IFERROR(IF(((I62+H62)/2)&lt;=0,"N/M",I9/((I62+H62)/2)),"N/M")</f>
        <v>1.95545165440096</v>
      </c>
      <c r="J114" s="47" t="n">
        <f aca="false">IFERROR(IF(((J62+I62)/2)&lt;=0,"N/M",J9/((J62+I62)/2)),"N/M")</f>
        <v>1.86417819905213</v>
      </c>
      <c r="K114" s="22" t="n">
        <f aca="false">IFERROR(AVERAGE(D114:J114),"N/M")</f>
        <v>2.02164181597744</v>
      </c>
      <c r="L114" s="82" t="n">
        <f aca="false">IFERROR(J114-D114,"N/M")</f>
        <v>-0.0714743030933773</v>
      </c>
      <c r="M114" s="83" t="n">
        <f aca="false">IFERROR(SLOPE(D114:J114,$D$3:$J$3),"N/M")</f>
        <v>-0.011142446421785</v>
      </c>
    </row>
    <row r="115" customFormat="false" ht="15" hidden="false" customHeight="false" outlineLevel="0" collapsed="false">
      <c r="A115" s="18" t="s">
        <v>567</v>
      </c>
      <c r="B115" s="19" t="s">
        <v>568</v>
      </c>
      <c r="D115" s="47" t="n">
        <f aca="false">IFERROR(IF(((D63+C63)/2)&lt;=0,"N/M",D9/((D63+C63)/2)),"N/M")</f>
        <v>3.56908449825672</v>
      </c>
      <c r="E115" s="47" t="n">
        <f aca="false">IFERROR(IF(((E63+D63)/2)&lt;=0,"N/M",E9/((E63+D63)/2)),"N/M")</f>
        <v>3.6545365631011</v>
      </c>
      <c r="F115" s="47" t="n">
        <f aca="false">IFERROR(IF(((F63+E63)/2)&lt;=0,"N/M",F9/((F63+E63)/2)),"N/M")</f>
        <v>4.06170816065809</v>
      </c>
      <c r="G115" s="47" t="n">
        <f aca="false">IFERROR(IF(((G63+F63)/2)&lt;=0,"N/M",G9/((G63+F63)/2)),"N/M")</f>
        <v>4.1488285877243</v>
      </c>
      <c r="H115" s="47" t="n">
        <f aca="false">IFERROR(IF(((H63+G63)/2)&lt;=0,"N/M",H9/((H63+G63)/2)),"N/M")</f>
        <v>4.05311820159536</v>
      </c>
      <c r="I115" s="47" t="n">
        <f aca="false">IFERROR(IF(((I63+H63)/2)&lt;=0,"N/M",I9/((I63+H63)/2)),"N/M")</f>
        <v>3.91927229893332</v>
      </c>
      <c r="J115" s="47" t="n">
        <f aca="false">IFERROR(IF(((J63+I63)/2)&lt;=0,"N/M",J9/((J63+I63)/2)),"N/M")</f>
        <v>3.55833864057434</v>
      </c>
      <c r="K115" s="22" t="n">
        <f aca="false">IFERROR(AVERAGE(D115:J115),"N/M")</f>
        <v>3.85212670726332</v>
      </c>
      <c r="L115" s="82" t="n">
        <f aca="false">IFERROR(J115-D115,"N/M")</f>
        <v>-0.0107458576823785</v>
      </c>
      <c r="M115" s="83" t="n">
        <f aca="false">IFERROR(SLOPE(D115:J115,$D$3:$J$3),"N/M")</f>
        <v>0.0174515692698061</v>
      </c>
    </row>
    <row r="116" customFormat="false" ht="15" hidden="false" customHeight="false" outlineLevel="0" collapsed="false">
      <c r="A116" s="18" t="s">
        <v>569</v>
      </c>
      <c r="B116" s="19" t="s">
        <v>570</v>
      </c>
      <c r="D116" s="47" t="n">
        <f aca="false">IFERROR(IF(D65&lt;=0,"N/M",D9/D65),"N/M")</f>
        <v>5.25399679096832</v>
      </c>
      <c r="E116" s="47" t="n">
        <f aca="false">IFERROR(IF(E65&lt;=0,"N/M",E9/E65),"N/M")</f>
        <v>5.52347445600757</v>
      </c>
      <c r="F116" s="47" t="n">
        <f aca="false">IFERROR(IF(F65&lt;=0,"N/M",F9/F65),"N/M")</f>
        <v>6.20548414738646</v>
      </c>
      <c r="G116" s="47" t="n">
        <f aca="false">IFERROR(IF(G65&lt;=0,"N/M",G9/G65),"N/M")</f>
        <v>5.4778572669872</v>
      </c>
      <c r="H116" s="47" t="n">
        <f aca="false">IFERROR(IF(H65&lt;=0,"N/M",H9/H65),"N/M")</f>
        <v>5.88264702012893</v>
      </c>
      <c r="I116" s="47" t="n">
        <f aca="false">IFERROR(IF(I65&lt;=0,"N/M",I9/I65),"N/M")</f>
        <v>5.85828312074497</v>
      </c>
      <c r="J116" s="47" t="n">
        <f aca="false">IFERROR(IF(J65&lt;=0,"N/M",J9/J65),"N/M")</f>
        <v>5.74462839850916</v>
      </c>
      <c r="K116" s="22" t="n">
        <f aca="false">IFERROR(AVERAGE(D116:J116),"N/M")</f>
        <v>5.70662445724751</v>
      </c>
      <c r="L116" s="82" t="n">
        <f aca="false">IFERROR(J116-D116,"N/M")</f>
        <v>0.490631607540839</v>
      </c>
      <c r="M116" s="83" t="n">
        <f aca="false">IFERROR(SLOPE(D116:J116,$D$3:$J$3),"N/M")</f>
        <v>0.064952679458564</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0.177825037529803</v>
      </c>
      <c r="E119" s="46" t="n">
        <f aca="false">IFERROR(IF(E9&lt;=0,"N/M",E55/E9),"N/M")</f>
        <v>0.172984488240395</v>
      </c>
      <c r="F119" s="46" t="n">
        <f aca="false">IFERROR(IF(F9&lt;=0,"N/M",F55/F9),"N/M")</f>
        <v>0.201140907263694</v>
      </c>
      <c r="G119" s="46" t="n">
        <f aca="false">IFERROR(IF(G9&lt;=0,"N/M",G55/G9),"N/M")</f>
        <v>0.189413546874215</v>
      </c>
      <c r="H119" s="46" t="n">
        <f aca="false">IFERROR(IF(H9&lt;=0,"N/M",H55/H9),"N/M")</f>
        <v>0.184652582089626</v>
      </c>
      <c r="I119" s="46" t="n">
        <f aca="false">IFERROR(IF(I9&lt;=0,"N/M",I55/I9),"N/M")</f>
        <v>0.184937819750745</v>
      </c>
      <c r="J119" s="46" t="n">
        <f aca="false">IFERROR(IF(J9&lt;=0,"N/M",J55/J9),"N/M")</f>
        <v>0.188717389668421</v>
      </c>
      <c r="K119" s="25" t="n">
        <f aca="false">IFERROR(AVERAGE(D119:J119),"N/M")</f>
        <v>0.1856673959167</v>
      </c>
      <c r="L119" s="86" t="n">
        <f aca="false">IFERROR(J119-D119,"N/M")</f>
        <v>0.0108923521386175</v>
      </c>
      <c r="M119" s="87" t="n">
        <f aca="false">IFERROR(SLOPE(D119:J119,$D$3:$J$3),"N/M")</f>
        <v>0.00143197836651731</v>
      </c>
    </row>
    <row r="120" customFormat="false" ht="15" hidden="false" customHeight="false" outlineLevel="0" collapsed="false">
      <c r="A120" s="18" t="s">
        <v>573</v>
      </c>
      <c r="B120" s="19" t="s">
        <v>574</v>
      </c>
      <c r="D120" s="46" t="n">
        <f aca="false">IFERROR(IF(D57&lt;=0,"N/M",D59/D57),"N/M")</f>
        <v>0.100249970933612</v>
      </c>
      <c r="E120" s="46" t="n">
        <f aca="false">IFERROR(IF(E57&lt;=0,"N/M",E59/E57),"N/M")</f>
        <v>0.103687441098714</v>
      </c>
      <c r="F120" s="46" t="n">
        <f aca="false">IFERROR(IF(F57&lt;=0,"N/M",F59/F57),"N/M")</f>
        <v>0.138140647231556</v>
      </c>
      <c r="G120" s="46" t="n">
        <f aca="false">IFERROR(IF(G57&lt;=0,"N/M",G59/G57),"N/M")</f>
        <v>0.128556818240812</v>
      </c>
      <c r="H120" s="46" t="n">
        <f aca="false">IFERROR(IF(H57&lt;=0,"N/M",H59/H57),"N/M")</f>
        <v>0.127885701596007</v>
      </c>
      <c r="I120" s="46" t="n">
        <f aca="false">IFERROR(IF(I57&lt;=0,"N/M",I59/I57),"N/M")</f>
        <v>0.129118575195608</v>
      </c>
      <c r="J120" s="46" t="n">
        <f aca="false">IFERROR(IF(J57&lt;=0,"N/M",J59/J57),"N/M")</f>
        <v>0.128766282006835</v>
      </c>
      <c r="K120" s="25" t="n">
        <f aca="false">IFERROR(AVERAGE(D120:J120),"N/M")</f>
        <v>0.122343633757592</v>
      </c>
      <c r="L120" s="86" t="n">
        <f aca="false">IFERROR(J120-D120,"N/M")</f>
        <v>0.0285163110732223</v>
      </c>
      <c r="M120" s="87" t="n">
        <f aca="false">IFERROR(SLOPE(D120:J120,$D$3:$J$3),"N/M")</f>
        <v>0.00450558056349661</v>
      </c>
    </row>
    <row r="121" customFormat="false" ht="15" hidden="false" customHeight="false" outlineLevel="0" collapsed="false">
      <c r="A121" s="18" t="s">
        <v>136</v>
      </c>
      <c r="B121" s="19" t="s">
        <v>575</v>
      </c>
      <c r="D121" s="46" t="n">
        <f aca="false">IFERROR(IF(D9&lt;=0,"N/M",D56/D9),"N/M")</f>
        <v>0.0888352515232685</v>
      </c>
      <c r="E121" s="46" t="n">
        <f aca="false">IFERROR(IF(E9&lt;=0,"N/M",E56/E9),"N/M")</f>
        <v>0.0938556018255844</v>
      </c>
      <c r="F121" s="46" t="n">
        <f aca="false">IFERROR(IF(F9&lt;=0,"N/M",F56/F9),"N/M")</f>
        <v>0.126374351373661</v>
      </c>
      <c r="G121" s="46" t="n">
        <f aca="false">IFERROR(IF(G9&lt;=0,"N/M",G56/G9),"N/M")</f>
        <v>0.112455288335708</v>
      </c>
      <c r="H121" s="46" t="n">
        <f aca="false">IFERROR(IF(H9&lt;=0,"N/M",H56/H9),"N/M")</f>
        <v>0.102187731409004</v>
      </c>
      <c r="I121" s="46" t="n">
        <f aca="false">IFERROR(IF(I9&lt;=0,"N/M",I56/I9),"N/M")</f>
        <v>0.102979219819314</v>
      </c>
      <c r="J121" s="46" t="n">
        <f aca="false">IFERROR(IF(J9&lt;=0,"N/M",J56/J9),"N/M")</f>
        <v>0.105557103545621</v>
      </c>
      <c r="K121" s="25" t="n">
        <f aca="false">IFERROR(AVERAGE(D121:J121),"N/M")</f>
        <v>0.104606363976023</v>
      </c>
      <c r="L121" s="86" t="n">
        <f aca="false">IFERROR(J121-D121,"N/M")</f>
        <v>0.0167218520223521</v>
      </c>
      <c r="M121" s="87" t="n">
        <f aca="false">IFERROR(SLOPE(D121:J121,$D$3:$J$3),"N/M")</f>
        <v>0.00157950614606642</v>
      </c>
    </row>
    <row r="122" customFormat="false" ht="15" hidden="false" customHeight="false" outlineLevel="0" collapsed="false">
      <c r="A122" s="18" t="s">
        <v>576</v>
      </c>
      <c r="B122" s="19" t="s">
        <v>577</v>
      </c>
      <c r="D122" s="46" t="n">
        <f aca="false">IFERROR(IF(D9&lt;=0,"N/M",D58/D9),"N/M")</f>
        <v>0.0711704883289671</v>
      </c>
      <c r="E122" s="46" t="n">
        <f aca="false">IFERROR(IF(E9&lt;=0,"N/M",E58/E9),"N/M")</f>
        <v>0.0717066503948416</v>
      </c>
      <c r="F122" s="46" t="n">
        <f aca="false">IFERROR(IF(F9&lt;=0,"N/M",F58/F9),"N/M")</f>
        <v>0.10534520269669</v>
      </c>
      <c r="G122" s="46" t="n">
        <f aca="false">IFERROR(IF(G9&lt;=0,"N/M",G58/G9),"N/M")</f>
        <v>0.0988349191158392</v>
      </c>
      <c r="H122" s="46" t="n">
        <f aca="false">IFERROR(IF(H9&lt;=0,"N/M",H58/H9),"N/M")</f>
        <v>0.0997351065786008</v>
      </c>
      <c r="I122" s="46" t="n">
        <f aca="false">IFERROR(IF(I9&lt;=0,"N/M",I58/I9),"N/M")</f>
        <v>0.106761684677344</v>
      </c>
      <c r="J122" s="46" t="n">
        <f aca="false">IFERROR(IF(J9&lt;=0,"N/M",J58/J9),"N/M")</f>
        <v>0.10630556239157</v>
      </c>
      <c r="K122" s="25" t="n">
        <f aca="false">IFERROR(AVERAGE(D122:J122),"N/M")</f>
        <v>0.0942656591691218</v>
      </c>
      <c r="L122" s="86" t="n">
        <f aca="false">IFERROR(J122-D122,"N/M")</f>
        <v>0.0351350740626029</v>
      </c>
      <c r="M122" s="87" t="n">
        <f aca="false">IFERROR(SLOPE(D122:J122,$D$3:$J$3),"N/M")</f>
        <v>0.00606804266552588</v>
      </c>
    </row>
    <row r="123" customFormat="false" ht="15" hidden="false" customHeight="false" outlineLevel="0" collapsed="false">
      <c r="A123" s="18" t="s">
        <v>578</v>
      </c>
      <c r="B123" s="19" t="s">
        <v>579</v>
      </c>
      <c r="D123" s="46" t="n">
        <f aca="false">IFERROR(IF(D9&lt;=0,"N/M",D20/D9),"N/M")</f>
        <v>0.0585428134106496</v>
      </c>
      <c r="E123" s="46" t="n">
        <f aca="false">IFERROR(IF(E9&lt;=0,"N/M",E20/E9),"N/M")</f>
        <v>0.0621790685807472</v>
      </c>
      <c r="F123" s="46" t="n">
        <f aca="false">IFERROR(IF(F9&lt;=0,"N/M",F20/F9),"N/M")</f>
        <v>0.101408182741553</v>
      </c>
      <c r="G123" s="46" t="n">
        <f aca="false">IFERROR(IF(G9&lt;=0,"N/M",G20/G9),"N/M")</f>
        <v>0.0962388006038223</v>
      </c>
      <c r="H123" s="46" t="n">
        <f aca="false">IFERROR(IF(H9&lt;=0,"N/M",H20/H9),"N/M")</f>
        <v>0.0964376059200946</v>
      </c>
      <c r="I123" s="46" t="n">
        <f aca="false">IFERROR(IF(I9&lt;=0,"N/M",I20/I9),"N/M")</f>
        <v>0.102273486234856</v>
      </c>
      <c r="J123" s="46" t="n">
        <f aca="false">IFERROR(IF(J9&lt;=0,"N/M",J20/J9),"N/M")</f>
        <v>0.101670405571137</v>
      </c>
      <c r="K123" s="25" t="n">
        <f aca="false">IFERROR(AVERAGE(D123:J123),"N/M")</f>
        <v>0.0883929090089799</v>
      </c>
      <c r="L123" s="86" t="n">
        <f aca="false">IFERROR(J123-D123,"N/M")</f>
        <v>0.0431275921604875</v>
      </c>
      <c r="M123" s="87" t="n">
        <f aca="false">IFERROR(SLOPE(D123:J123,$D$3:$J$3),"N/M")</f>
        <v>0.00730717982029362</v>
      </c>
    </row>
    <row r="124" customFormat="false" ht="15" hidden="false" customHeight="false" outlineLevel="0" collapsed="false">
      <c r="A124" s="18" t="s">
        <v>137</v>
      </c>
      <c r="B124" s="19" t="s">
        <v>580</v>
      </c>
      <c r="D124" s="46" t="n">
        <f aca="false">IFERROR(IF(D9&lt;=0,"N/M",D22/D9),"N/M")</f>
        <v>0.0523798310422983</v>
      </c>
      <c r="E124" s="46" t="n">
        <f aca="false">IFERROR(IF(E9&lt;=0,"N/M",E22/E9),"N/M")</f>
        <v>0.0525016146931726</v>
      </c>
      <c r="F124" s="46" t="n">
        <f aca="false">IFERROR(IF(F9&lt;=0,"N/M",F22/F9),"N/M")</f>
        <v>0.0888698635391447</v>
      </c>
      <c r="G124" s="46" t="n">
        <f aca="false">IFERROR(IF(G9&lt;=0,"N/M",G22/G9),"N/M")</f>
        <v>0.0838953409983159</v>
      </c>
      <c r="H124" s="46" t="n">
        <f aca="false">IFERROR(IF(H9&lt;=0,"N/M",H22/H9),"N/M")</f>
        <v>0.0871713060289345</v>
      </c>
      <c r="I124" s="46" t="n">
        <f aca="false">IFERROR(IF(I9&lt;=0,"N/M",I22/I9),"N/M")</f>
        <v>0.0918077020691129</v>
      </c>
      <c r="J124" s="46" t="n">
        <f aca="false">IFERROR(IF(J9&lt;=0,"N/M",J22/J9),"N/M")</f>
        <v>0.0927946599088426</v>
      </c>
      <c r="K124" s="25" t="n">
        <f aca="false">IFERROR(AVERAGE(D124:J124),"N/M")</f>
        <v>0.0784886168971174</v>
      </c>
      <c r="L124" s="86" t="n">
        <f aca="false">IFERROR(J124-D124,"N/M")</f>
        <v>0.0404148288665443</v>
      </c>
      <c r="M124" s="87" t="n">
        <f aca="false">IFERROR(SLOPE(D124:J124,$D$3:$J$3),"N/M")</f>
        <v>0.0070770751371894</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0.822174962470197</v>
      </c>
      <c r="E127" s="46" t="n">
        <f aca="false">IFERROR(IF(E9&lt;=0,"N/M",E52/E9),"N/M")</f>
        <v>0.827015511759605</v>
      </c>
      <c r="F127" s="46" t="n">
        <f aca="false">IFERROR(IF(F9&lt;=0,"N/M",F52/F9),"N/M")</f>
        <v>0.798859092736306</v>
      </c>
      <c r="G127" s="46" t="n">
        <f aca="false">IFERROR(IF(G9&lt;=0,"N/M",G52/G9),"N/M")</f>
        <v>0.810586453125785</v>
      </c>
      <c r="H127" s="46" t="n">
        <f aca="false">IFERROR(IF(H9&lt;=0,"N/M",H52/H9),"N/M")</f>
        <v>0.815347417910374</v>
      </c>
      <c r="I127" s="46" t="n">
        <f aca="false">IFERROR(IF(I9&lt;=0,"N/M",I52/I9),"N/M")</f>
        <v>0.815062180249255</v>
      </c>
      <c r="J127" s="46" t="n">
        <f aca="false">IFERROR(IF(J9&lt;=0,"N/M",J52/J9),"N/M")</f>
        <v>0.811282610331579</v>
      </c>
      <c r="K127" s="25" t="n">
        <f aca="false">IFERROR(AVERAGE(D127:J127),"N/M")</f>
        <v>0.8143326040833</v>
      </c>
      <c r="L127" s="86" t="n">
        <f aca="false">IFERROR(J127-D127,"N/M")</f>
        <v>-0.0108923521386175</v>
      </c>
      <c r="M127" s="87" t="n">
        <f aca="false">IFERROR(SLOPE(D127:J127,$D$3:$J$3),"N/M")</f>
        <v>-0.0014319783665173</v>
      </c>
    </row>
    <row r="128" customFormat="false" ht="15" hidden="false" customHeight="false" outlineLevel="0" collapsed="false">
      <c r="A128" s="18" t="s">
        <v>584</v>
      </c>
      <c r="B128" s="19" t="s">
        <v>585</v>
      </c>
      <c r="D128" s="46" t="n">
        <f aca="false">IFERROR(IF(D9&lt;=0,"N/M",D53/D9),"N/M")</f>
        <v>0.0889897860065346</v>
      </c>
      <c r="E128" s="46" t="n">
        <f aca="false">IFERROR(IF(E9&lt;=0,"N/M",E53/E9),"N/M")</f>
        <v>0.0791288864148102</v>
      </c>
      <c r="F128" s="46" t="n">
        <f aca="false">IFERROR(IF(F9&lt;=0,"N/M",F53/F9),"N/M")</f>
        <v>0.0747665558900335</v>
      </c>
      <c r="G128" s="46" t="n">
        <f aca="false">IFERROR(IF(G9&lt;=0,"N/M",G53/G9),"N/M")</f>
        <v>0.0769582585385069</v>
      </c>
      <c r="H128" s="46" t="n">
        <f aca="false">IFERROR(IF(H9&lt;=0,"N/M",H53/H9),"N/M")</f>
        <v>0.082464850680622</v>
      </c>
      <c r="I128" s="46" t="n">
        <f aca="false">IFERROR(IF(I9&lt;=0,"N/M",I53/I9),"N/M")</f>
        <v>0.0819585999314303</v>
      </c>
      <c r="J128" s="46" t="n">
        <f aca="false">IFERROR(IF(J9&lt;=0,"N/M",J53/J9),"N/M")</f>
        <v>0.0831602861228001</v>
      </c>
      <c r="K128" s="25" t="n">
        <f aca="false">IFERROR(AVERAGE(D128:J128),"N/M")</f>
        <v>0.0810610319406768</v>
      </c>
      <c r="L128" s="86" t="n">
        <f aca="false">IFERROR(J128-D128,"N/M")</f>
        <v>-0.00582949988373449</v>
      </c>
      <c r="M128" s="87" t="n">
        <f aca="false">IFERROR(SLOPE(D128:J128,$D$3:$J$3),"N/M")</f>
        <v>-0.000147527779549099</v>
      </c>
    </row>
    <row r="129" customFormat="false" ht="15" hidden="false" customHeight="false" outlineLevel="0" collapsed="false">
      <c r="A129" s="18" t="s">
        <v>586</v>
      </c>
      <c r="B129" s="19" t="s">
        <v>587</v>
      </c>
      <c r="D129" s="46" t="n">
        <f aca="false">IFERROR(IF(D9&lt;=0,"N/M",D14/D9),"N/M")</f>
        <v>0.05808288935331</v>
      </c>
      <c r="E129" s="46" t="n">
        <f aca="false">IFERROR(IF(E9&lt;=0,"N/M",E14/E9),"N/M")</f>
        <v>0.0522054389289143</v>
      </c>
      <c r="F129" s="46" t="n">
        <f aca="false">IFERROR(IF(F9&lt;=0,"N/M",F14/F9),"N/M")</f>
        <v>0.0524547304077255</v>
      </c>
      <c r="G129" s="46" t="n">
        <f aca="false">IFERROR(IF(G9&lt;=0,"N/M",G14/G9),"N/M")</f>
        <v>0.0522211089285856</v>
      </c>
      <c r="H129" s="46" t="n">
        <f aca="false">IFERROR(IF(H9&lt;=0,"N/M",H14/H9),"N/M")</f>
        <v>0.0557767142282059</v>
      </c>
      <c r="I129" s="46" t="n">
        <f aca="false">IFERROR(IF(I9&lt;=0,"N/M",I14/I9),"N/M")</f>
        <v>0.0558531361731875</v>
      </c>
      <c r="J129" s="46" t="n">
        <f aca="false">IFERROR(IF(J9&lt;=0,"N/M",J14/J9),"N/M")</f>
        <v>0.0563886453911816</v>
      </c>
      <c r="K129" s="25" t="n">
        <f aca="false">IFERROR(AVERAGE(D129:J129),"N/M")</f>
        <v>0.0547118090587301</v>
      </c>
      <c r="L129" s="86" t="n">
        <f aca="false">IFERROR(J129-D129,"N/M")</f>
        <v>-0.00169424396212838</v>
      </c>
      <c r="M129" s="87" t="n">
        <f aca="false">IFERROR(SLOPE(D129:J129,$D$3:$J$3),"N/M")</f>
        <v>0.000197665943665775</v>
      </c>
    </row>
    <row r="130" customFormat="false" ht="15" hidden="false" customHeight="false" outlineLevel="0" collapsed="false">
      <c r="A130" s="18" t="s">
        <v>588</v>
      </c>
      <c r="B130" s="19" t="s">
        <v>589</v>
      </c>
      <c r="D130" s="46" t="n">
        <f aca="false">IFERROR(IF(D9&lt;=0,"N/M",D15/D9),"N/M")</f>
        <v>0.0246335325111118</v>
      </c>
      <c r="E130" s="46" t="n">
        <f aca="false">IFERROR(IF(E9&lt;=0,"N/M",E15/E9),"N/M")</f>
        <v>0.0201792041792898</v>
      </c>
      <c r="F130" s="46" t="n">
        <f aca="false">IFERROR(IF(F9&lt;=0,"N/M",F15/F9),"N/M")</f>
        <v>0.0180403276042482</v>
      </c>
      <c r="G130" s="46" t="n">
        <f aca="false">IFERROR(IF(G9&lt;=0,"N/M",G15/G9),"N/M")</f>
        <v>0.0197696275283736</v>
      </c>
      <c r="H130" s="46" t="n">
        <f aca="false">IFERROR(IF(H9&lt;=0,"N/M",H15/H9),"N/M")</f>
        <v>0.0231645072634472</v>
      </c>
      <c r="I130" s="46" t="n">
        <f aca="false">IFERROR(IF(I9&lt;=0,"N/M",I15/I9),"N/M")</f>
        <v>0.0226324530586983</v>
      </c>
      <c r="J130" s="46" t="n">
        <f aca="false">IFERROR(IF(J9&lt;=0,"N/M",J15/J9),"N/M")</f>
        <v>0.0235825552140938</v>
      </c>
      <c r="K130" s="25" t="n">
        <f aca="false">IFERROR(AVERAGE(D130:J130),"N/M")</f>
        <v>0.0217146010513232</v>
      </c>
      <c r="L130" s="86" t="n">
        <f aca="false">IFERROR(J130-D130,"N/M")</f>
        <v>-0.00105097729701796</v>
      </c>
      <c r="M130" s="87" t="n">
        <f aca="false">IFERROR(SLOPE(D130:J130,$D$3:$J$3),"N/M")</f>
        <v>0.000245633768820077</v>
      </c>
    </row>
    <row r="131" customFormat="false" ht="15" hidden="false" customHeight="false" outlineLevel="0" collapsed="false">
      <c r="A131" s="18" t="s">
        <v>590</v>
      </c>
      <c r="B131" s="19" t="s">
        <v>591</v>
      </c>
      <c r="D131" s="46" t="n">
        <f aca="false">IFERROR(IF(D9&lt;=0,"N/M",D19/D9),"N/M")</f>
        <v>0.0126276749183175</v>
      </c>
      <c r="E131" s="46" t="n">
        <f aca="false">IFERROR(IF(E9&lt;=0,"N/M",E19/E9),"N/M")</f>
        <v>0.0095275818140944</v>
      </c>
      <c r="F131" s="46" t="n">
        <f aca="false">IFERROR(IF(F9&lt;=0,"N/M",F19/F9),"N/M")</f>
        <v>0.003937019955137</v>
      </c>
      <c r="G131" s="46" t="n">
        <f aca="false">IFERROR(IF(G9&lt;=0,"N/M",G19/G9),"N/M")</f>
        <v>0.00259611851201696</v>
      </c>
      <c r="H131" s="46" t="n">
        <f aca="false">IFERROR(IF(H9&lt;=0,"N/M",H19/H9),"N/M")</f>
        <v>0.00329750065850616</v>
      </c>
      <c r="I131" s="46" t="n">
        <f aca="false">IFERROR(IF(I9&lt;=0,"N/M",I19/I9),"N/M")</f>
        <v>0.00448819844248828</v>
      </c>
      <c r="J131" s="46" t="n">
        <f aca="false">IFERROR(IF(J9&lt;=0,"N/M",J19/J9),"N/M")</f>
        <v>0.00463515682043293</v>
      </c>
      <c r="K131" s="25" t="n">
        <f aca="false">IFERROR(AVERAGE(D131:J131),"N/M")</f>
        <v>0.00587275016014189</v>
      </c>
      <c r="L131" s="86" t="n">
        <f aca="false">IFERROR(J131-D131,"N/M")</f>
        <v>-0.00799251809788456</v>
      </c>
      <c r="M131" s="87" t="n">
        <f aca="false">IFERROR(SLOPE(D131:J131,$D$3:$J$3),"N/M")</f>
        <v>-0.00123913715476774</v>
      </c>
    </row>
    <row r="132" customFormat="false" ht="15" hidden="false" customHeight="false" outlineLevel="0" collapsed="false">
      <c r="A132" s="18" t="s">
        <v>138</v>
      </c>
      <c r="B132" s="19" t="s">
        <v>592</v>
      </c>
      <c r="D132" s="46" t="n">
        <f aca="false">IFERROR(IF(D9&lt;=0,"N/M",D54/D9),"N/M")</f>
        <v>0.911164748476732</v>
      </c>
      <c r="E132" s="46" t="n">
        <f aca="false">IFERROR(IF(E9&lt;=0,"N/M",E54/E9),"N/M")</f>
        <v>0.906144398174416</v>
      </c>
      <c r="F132" s="46" t="n">
        <f aca="false">IFERROR(IF(F9&lt;=0,"N/M",F54/F9),"N/M")</f>
        <v>0.873625648626339</v>
      </c>
      <c r="G132" s="46" t="n">
        <f aca="false">IFERROR(IF(G9&lt;=0,"N/M",G54/G9),"N/M")</f>
        <v>0.887544711664292</v>
      </c>
      <c r="H132" s="46" t="n">
        <f aca="false">IFERROR(IF(H9&lt;=0,"N/M",H54/H9),"N/M")</f>
        <v>0.897812268590996</v>
      </c>
      <c r="I132" s="46" t="n">
        <f aca="false">IFERROR(IF(I9&lt;=0,"N/M",I54/I9),"N/M")</f>
        <v>0.897020780180686</v>
      </c>
      <c r="J132" s="46" t="n">
        <f aca="false">IFERROR(IF(J9&lt;=0,"N/M",J54/J9),"N/M")</f>
        <v>0.89444289645438</v>
      </c>
      <c r="K132" s="25" t="n">
        <f aca="false">IFERROR(AVERAGE(D132:J132),"N/M")</f>
        <v>0.895393636023977</v>
      </c>
      <c r="L132" s="86" t="n">
        <f aca="false">IFERROR(J132-D132,"N/M")</f>
        <v>-0.016721852022352</v>
      </c>
      <c r="M132" s="87" t="n">
        <f aca="false">IFERROR(SLOPE(D132:J132,$D$3:$J$3),"N/M")</f>
        <v>-0.00157950614606641</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0.0862978780154398</v>
      </c>
      <c r="E135" s="46" t="n">
        <f aca="false">IFERROR(IF(((E35+D35)/2)&lt;=0,"N/M",E22/((E35+D35)/2)),"N/M")</f>
        <v>0.0859873821275054</v>
      </c>
      <c r="F135" s="46" t="n">
        <f aca="false">IFERROR(IF(((F35+E35)/2)&lt;=0,"N/M",F22/((F35+E35)/2)),"N/M")</f>
        <v>0.162435779507774</v>
      </c>
      <c r="G135" s="46" t="n">
        <f aca="false">IFERROR(IF(((G35+F35)/2)&lt;=0,"N/M",G22/((G35+F35)/2)),"N/M")</f>
        <v>0.161580879545003</v>
      </c>
      <c r="H135" s="46" t="n">
        <f aca="false">IFERROR(IF(((H35+G35)/2)&lt;=0,"N/M",H22/((H35+G35)/2)),"N/M")</f>
        <v>0.152445185135291</v>
      </c>
      <c r="I135" s="46" t="n">
        <f aca="false">IFERROR(IF(((I35+H35)/2)&lt;=0,"N/M",I22/((I35+H35)/2)),"N/M")</f>
        <v>0.151737764997434</v>
      </c>
      <c r="J135" s="46" t="n">
        <f aca="false">IFERROR(IF(((J35+I35)/2)&lt;=0,"N/M",J22/((J35+I35)/2)),"N/M")</f>
        <v>0.14222500697487</v>
      </c>
      <c r="K135" s="25" t="n">
        <f aca="false">IFERROR(AVERAGE(D135:J135),"N/M")</f>
        <v>0.134672839471902</v>
      </c>
      <c r="L135" s="86" t="n">
        <f aca="false">IFERROR(J135-D135,"N/M")</f>
        <v>0.0559271289594304</v>
      </c>
      <c r="M135" s="87" t="n">
        <f aca="false">IFERROR(SLOPE(D135:J135,$D$3:$J$3),"N/M")</f>
        <v>0.0103318413659166</v>
      </c>
    </row>
    <row r="136" customFormat="false" ht="15" hidden="false" customHeight="false" outlineLevel="0" collapsed="false">
      <c r="A136" s="18" t="s">
        <v>595</v>
      </c>
      <c r="B136" s="19" t="s">
        <v>596</v>
      </c>
      <c r="D136" s="46" t="n">
        <f aca="false">IFERROR(IF(((D35+C35)/2)&lt;=0,"N/M",(D22+(D19*(1-D60)))/((D35+C35)/2)),"N/M")</f>
        <v>0.105020843217759</v>
      </c>
      <c r="E136" s="46" t="n">
        <f aca="false">IFERROR(IF(((E35+D35)/2)&lt;=0,"N/M",(E22+(E19*(1-E60)))/((E35+D35)/2)),"N/M")</f>
        <v>0.099457690904841</v>
      </c>
      <c r="F136" s="46" t="n">
        <f aca="false">IFERROR(IF(((F35+E35)/2)&lt;=0,"N/M",(F22+(F19*(1-F60)))/((F35+E35)/2)),"N/M")</f>
        <v>0.168812002477949</v>
      </c>
      <c r="G136" s="46" t="n">
        <f aca="false">IFERROR(IF(((G35+F35)/2)&lt;=0,"N/M",(G22+(G19*(1-G60)))/((G35+F35)/2)),"N/M")</f>
        <v>0.165984292685002</v>
      </c>
      <c r="H136" s="46" t="n">
        <f aca="false">IFERROR(IF(((H35+G35)/2)&lt;=0,"N/M",(H22+(H19*(1-H60)))/((H35+G35)/2)),"N/M")</f>
        <v>0.157712142842404</v>
      </c>
      <c r="I136" s="46" t="n">
        <f aca="false">IFERROR(IF(((I35+H35)/2)&lt;=0,"N/M",(I22+(I19*(1-I60)))/((I35+H35)/2)),"N/M")</f>
        <v>0.158455121686089</v>
      </c>
      <c r="J136" s="46" t="n">
        <f aca="false">IFERROR(IF(((J35+I35)/2)&lt;=0,"N/M",(J22+(J19*(1-J60)))/((J35+I35)/2)),"N/M")</f>
        <v>0.148760495272563</v>
      </c>
      <c r="K136" s="25" t="n">
        <f aca="false">IFERROR(AVERAGE(D136:J136),"N/M")</f>
        <v>0.143457512726658</v>
      </c>
      <c r="L136" s="86" t="n">
        <f aca="false">IFERROR(J136-D136,"N/M")</f>
        <v>0.0437396520548042</v>
      </c>
      <c r="M136" s="87" t="n">
        <f aca="false">IFERROR(SLOPE(D136:J136,$D$3:$J$3),"N/M")</f>
        <v>0.00850406993183441</v>
      </c>
    </row>
    <row r="137" customFormat="false" ht="15" hidden="false" customHeight="false" outlineLevel="0" collapsed="false">
      <c r="A137" s="18" t="s">
        <v>597</v>
      </c>
      <c r="B137" s="19" t="s">
        <v>598</v>
      </c>
      <c r="D137" s="46" t="n">
        <f aca="false">IFERROR(IF(((D35+C35)/2)&lt;=0,"N/M",D58/((D35+C35)/2)),"N/M")</f>
        <v>0.117256241532218</v>
      </c>
      <c r="E137" s="46" t="n">
        <f aca="false">IFERROR(IF(((E35+D35)/2)&lt;=0,"N/M",E58/((E35+D35)/2)),"N/M")</f>
        <v>0.117441476507321</v>
      </c>
      <c r="F137" s="46" t="n">
        <f aca="false">IFERROR(IF(((F35+E35)/2)&lt;=0,"N/M",F58/((F35+E35)/2)),"N/M")</f>
        <v>0.192549301146434</v>
      </c>
      <c r="G137" s="46" t="n">
        <f aca="false">IFERROR(IF(((G35+F35)/2)&lt;=0,"N/M",G58/((G35+F35)/2)),"N/M")</f>
        <v>0.190354231480114</v>
      </c>
      <c r="H137" s="46" t="n">
        <f aca="false">IFERROR(IF(((H35+G35)/2)&lt;=0,"N/M",H58/((H35+G35)/2)),"N/M")</f>
        <v>0.174416760279077</v>
      </c>
      <c r="I137" s="46" t="n">
        <f aca="false">IFERROR(IF(((I35+H35)/2)&lt;=0,"N/M",I58/((I35+H35)/2)),"N/M")</f>
        <v>0.17645338087327</v>
      </c>
      <c r="J137" s="46" t="n">
        <f aca="false">IFERROR(IF(((J35+I35)/2)&lt;=0,"N/M",J58/((J35+I35)/2)),"N/M")</f>
        <v>0.162932967990411</v>
      </c>
      <c r="K137" s="25" t="n">
        <f aca="false">IFERROR(AVERAGE(D137:J137),"N/M")</f>
        <v>0.161629194258407</v>
      </c>
      <c r="L137" s="86" t="n">
        <f aca="false">IFERROR(J137-D137,"N/M")</f>
        <v>0.0456767264581936</v>
      </c>
      <c r="M137" s="87" t="n">
        <f aca="false">IFERROR(SLOPE(D137:J137,$D$3:$J$3),"N/M")</f>
        <v>0.00846148025854006</v>
      </c>
    </row>
    <row r="138" customFormat="false" ht="15" hidden="false" customHeight="false" outlineLevel="0" collapsed="false">
      <c r="A138" s="18" t="s">
        <v>141</v>
      </c>
      <c r="B138" s="19" t="s">
        <v>599</v>
      </c>
      <c r="D138" s="46" t="n">
        <f aca="false">IFERROR(IF(((D62+C62)/2)&lt;=0,"N/M",(D58*(1-D60))/((D62+C62)/2)),"N/M")</f>
        <v>0.123977408011229</v>
      </c>
      <c r="E138" s="46" t="n">
        <f aca="false">IFERROR(IF(((E62+D62)/2)&lt;=0,"N/M",(E58*(1-E60))/((E62+D62)/2)),"N/M")</f>
        <v>0.119094289570388</v>
      </c>
      <c r="F138" s="46" t="n">
        <f aca="false">IFERROR(IF(((F62+E62)/2)&lt;=0,"N/M",(F58*(1-F60))/((F62+E62)/2)),"N/M")</f>
        <v>0.20321895678123</v>
      </c>
      <c r="G138" s="46" t="n">
        <f aca="false">IFERROR(IF(((G62+F62)/2)&lt;=0,"N/M",(G58*(1-G60))/((G62+F62)/2)),"N/M")</f>
        <v>0.198326092522107</v>
      </c>
      <c r="H138" s="46" t="n">
        <f aca="false">IFERROR(IF(((H62+G62)/2)&lt;=0,"N/M",(H58*(1-H60))/((H62+G62)/2)),"N/M")</f>
        <v>0.183696011216043</v>
      </c>
      <c r="I138" s="46" t="n">
        <f aca="false">IFERROR(IF(((I62+H62)/2)&lt;=0,"N/M",(I58*(1-I60))/((I62+H62)/2)),"N/M")</f>
        <v>0.189048960966589</v>
      </c>
      <c r="J138" s="46" t="n">
        <f aca="false">IFERROR(IF(((J62+I62)/2)&lt;=0,"N/M",(J58*(1-J60))/((J62+I62)/2)),"N/M")</f>
        <v>0.182307293651997</v>
      </c>
      <c r="K138" s="25" t="n">
        <f aca="false">IFERROR(AVERAGE(D138:J138),"N/M")</f>
        <v>0.171381287531369</v>
      </c>
      <c r="L138" s="86" t="n">
        <f aca="false">IFERROR(J138-D138,"N/M")</f>
        <v>0.0583298856407673</v>
      </c>
      <c r="M138" s="87" t="n">
        <f aca="false">IFERROR(SLOPE(D138:J138,$D$3:$J$3),"N/M")</f>
        <v>0.0105491447910542</v>
      </c>
    </row>
    <row r="139" customFormat="false" ht="15" hidden="false" customHeight="false" outlineLevel="0" collapsed="false">
      <c r="A139" s="18" t="s">
        <v>142</v>
      </c>
      <c r="B139" s="19" t="s">
        <v>600</v>
      </c>
      <c r="D139" s="46" t="n">
        <f aca="false">IFERROR(IF(((D61+C61)/2)&lt;=0,"N/M",D22/((D61+C61)/2)),"N/M")</f>
        <v>0.148612887230211</v>
      </c>
      <c r="E139" s="46" t="n">
        <f aca="false">IFERROR(IF(((E61+D61)/2)&lt;=0,"N/M",E22/((E61+D61)/2)),"N/M")</f>
        <v>0.134144784828592</v>
      </c>
      <c r="F139" s="46" t="n">
        <f aca="false">IFERROR(IF(((F61+E61)/2)&lt;=0,"N/M",F22/((F61+E61)/2)),"N/M")</f>
        <v>0.222777779914538</v>
      </c>
      <c r="G139" s="46" t="n">
        <f aca="false">IFERROR(IF(((G61+F61)/2)&lt;=0,"N/M",G22/((G61+F61)/2)),"N/M")</f>
        <v>0.202639149188875</v>
      </c>
      <c r="H139" s="46" t="n">
        <f aca="false">IFERROR(IF(((H61+G61)/2)&lt;=0,"N/M",H22/((H61+G61)/2)),"N/M")</f>
        <v>0.189334549507369</v>
      </c>
      <c r="I139" s="46" t="n">
        <f aca="false">IFERROR(IF(((I61+H61)/2)&lt;=0,"N/M",I22/((I61+H61)/2)),"N/M")</f>
        <v>0.198327790562621</v>
      </c>
      <c r="J139" s="46" t="n">
        <f aca="false">IFERROR(IF(((J61+I61)/2)&lt;=0,"N/M",J22/((J61+I61)/2)),"N/M")</f>
        <v>0.193295966310367</v>
      </c>
      <c r="K139" s="25" t="n">
        <f aca="false">IFERROR(AVERAGE(D139:J139),"N/M")</f>
        <v>0.184161843934653</v>
      </c>
      <c r="L139" s="86" t="n">
        <f aca="false">IFERROR(J139-D139,"N/M")</f>
        <v>0.0446830790801555</v>
      </c>
      <c r="M139" s="87" t="n">
        <f aca="false">IFERROR(SLOPE(D139:J139,$D$3:$J$3),"N/M")</f>
        <v>0.00817757208219124</v>
      </c>
    </row>
    <row r="140" customFormat="false" ht="15" hidden="false" customHeight="false" outlineLevel="0" collapsed="false">
      <c r="A140" s="18" t="s">
        <v>601</v>
      </c>
      <c r="B140" s="19" t="s">
        <v>602</v>
      </c>
      <c r="D140" s="46" t="n">
        <f aca="false">IFERROR(IF(((D61+C61)/2)&lt;=0,"N/M",(D22-0)/((D61+C61)/2)),"N/M")</f>
        <v>0.148612887230211</v>
      </c>
      <c r="E140" s="46" t="n">
        <f aca="false">IFERROR(IF(((E61+D61)/2)&lt;=0,"N/M",(E22-0)/((E61+D61)/2)),"N/M")</f>
        <v>0.134144784828592</v>
      </c>
      <c r="F140" s="46" t="n">
        <f aca="false">IFERROR(IF(((F61+E61)/2)&lt;=0,"N/M",(F22-0)/((F61+E61)/2)),"N/M")</f>
        <v>0.222777779914538</v>
      </c>
      <c r="G140" s="46" t="n">
        <f aca="false">IFERROR(IF(((G61+F61)/2)&lt;=0,"N/M",(G22-0)/((G61+F61)/2)),"N/M")</f>
        <v>0.202639149188875</v>
      </c>
      <c r="H140" s="46" t="n">
        <f aca="false">IFERROR(IF(((H61+G61)/2)&lt;=0,"N/M",(H22-0)/((H61+G61)/2)),"N/M")</f>
        <v>0.189334549507369</v>
      </c>
      <c r="I140" s="46" t="n">
        <f aca="false">IFERROR(IF(((I61+H61)/2)&lt;=0,"N/M",(I22-0)/((I61+H61)/2)),"N/M")</f>
        <v>0.198327790562621</v>
      </c>
      <c r="J140" s="46" t="n">
        <f aca="false">IFERROR(IF(((J61+I61)/2)&lt;=0,"N/M",(J22-0)/((J61+I61)/2)),"N/M")</f>
        <v>0.193295966310367</v>
      </c>
      <c r="K140" s="25" t="n">
        <f aca="false">IFERROR(AVERAGE(D140:J140),"N/M")</f>
        <v>0.184161843934653</v>
      </c>
      <c r="L140" s="86" t="n">
        <f aca="false">IFERROR(J140-D140,"N/M")</f>
        <v>0.0446830790801555</v>
      </c>
      <c r="M140" s="87" t="n">
        <f aca="false">IFERROR(SLOPE(D140:J140,$D$3:$J$3),"N/M")</f>
        <v>0.00817757208219124</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18.5364583333333</v>
      </c>
      <c r="E143" s="95" t="n">
        <f aca="false">IFERROR(IF(E48&lt;=0,"N/M",E22/E48),"N/M")</f>
        <v>19.083009079118</v>
      </c>
      <c r="F143" s="95" t="n">
        <f aca="false">IFERROR(IF(F48&lt;=0,"N/M",F22/F48),"N/M")</f>
        <v>37.4657179818887</v>
      </c>
      <c r="G143" s="95" t="n">
        <f aca="false">IFERROR(IF(G48&lt;=0,"N/M",G22/G48),"N/M")</f>
        <v>40.8943298969072</v>
      </c>
      <c r="H143" s="95" t="n">
        <f aca="false">IFERROR(IF(H48&lt;=0,"N/M",H22/H48),"N/M")</f>
        <v>45.1480051480052</v>
      </c>
      <c r="I143" s="95" t="n">
        <f aca="false">IFERROR(IF(I48&lt;=0,"N/M",I22/I48),"N/M")</f>
        <v>53.8355091383812</v>
      </c>
      <c r="J143" s="95" t="n">
        <f aca="false">IFERROR(IF(J48&lt;=0,"N/M",J22/J48),"N/M")</f>
        <v>59.4850065189048</v>
      </c>
      <c r="K143" s="96" t="n">
        <f aca="false">IFERROR(AVERAGE(D143:J143),"N/M")</f>
        <v>39.2068622995055</v>
      </c>
      <c r="L143" s="97" t="n">
        <f aca="false">IFERROR(J143-D143,"N/M")</f>
        <v>40.9485481855715</v>
      </c>
      <c r="M143" s="98" t="n">
        <f aca="false">IFERROR(SLOPE(D143:J143,$D$3:$J$3),"N/M")</f>
        <v>7.14403328004847</v>
      </c>
    </row>
    <row r="144" customFormat="false" ht="15" hidden="false" customHeight="false" outlineLevel="0" collapsed="false">
      <c r="A144" s="18" t="s">
        <v>606</v>
      </c>
      <c r="B144" s="19" t="s">
        <v>607</v>
      </c>
      <c r="D144" s="95" t="n">
        <f aca="false">IFERROR(IF(D48&lt;=0,"N/M",(D22+D18)/D48),"N/M")</f>
        <v>29.27734375</v>
      </c>
      <c r="E144" s="95" t="n">
        <f aca="false">IFERROR(IF(E48&lt;=0,"N/M",(E22+E18)/E48),"N/M")</f>
        <v>31.1206225680934</v>
      </c>
      <c r="F144" s="95" t="n">
        <f aca="false">IFERROR(IF(F48&lt;=0,"N/M",(F22+F18)/F48),"N/M")</f>
        <v>52.0866752910737</v>
      </c>
      <c r="G144" s="95" t="n">
        <f aca="false">IFERROR(IF(G48&lt;=0,"N/M",(G22+G18)/G48),"N/M")</f>
        <v>56.5399484536083</v>
      </c>
      <c r="H144" s="95" t="n">
        <f aca="false">IFERROR(IF(H48&lt;=0,"N/M",(H22+H18)/H48),"N/M")</f>
        <v>61.6795366795367</v>
      </c>
      <c r="I144" s="95" t="n">
        <f aca="false">IFERROR(IF(I48&lt;=0,"N/M",(I22+I18)/I48),"N/M")</f>
        <v>69.2180156657963</v>
      </c>
      <c r="J144" s="95" t="n">
        <f aca="false">IFERROR(IF(J48&lt;=0,"N/M",(J22+J18)/J48),"N/M")</f>
        <v>76.0821382007823</v>
      </c>
      <c r="K144" s="96" t="n">
        <f aca="false">IFERROR(AVERAGE(D144:J144),"N/M")</f>
        <v>53.7148972298415</v>
      </c>
      <c r="L144" s="97" t="n">
        <f aca="false">IFERROR(J144-D144,"N/M")</f>
        <v>46.8047944507823</v>
      </c>
      <c r="M144" s="98" t="n">
        <f aca="false">IFERROR(SLOPE(D144:J144,$D$3:$J$3),"N/M")</f>
        <v>8.0786439620077</v>
      </c>
    </row>
    <row r="145" customFormat="false" ht="15" hidden="false" customHeight="false" outlineLevel="0" collapsed="false">
      <c r="A145" s="18" t="s">
        <v>608</v>
      </c>
      <c r="B145" s="19" t="s">
        <v>609</v>
      </c>
      <c r="D145" s="95" t="n">
        <f aca="false">IFERROR(IF(D48&lt;=0,"N/M",D61/D48),"N/M")</f>
        <v>133.319010416667</v>
      </c>
      <c r="E145" s="95" t="n">
        <f aca="false">IFERROR(IF(E48&lt;=0,"N/M",E61/E48),"N/M")</f>
        <v>151.713359273671</v>
      </c>
      <c r="F145" s="95" t="n">
        <f aca="false">IFERROR(IF(F48&lt;=0,"N/M",F61/F48),"N/M")</f>
        <v>185.029754204398</v>
      </c>
      <c r="G145" s="95" t="n">
        <f aca="false">IFERROR(IF(G48&lt;=0,"N/M",G61/G48),"N/M")</f>
        <v>219.302835051546</v>
      </c>
      <c r="H145" s="95" t="n">
        <f aca="false">IFERROR(IF(H48&lt;=0,"N/M",H61/H48),"N/M")</f>
        <v>257.891891891892</v>
      </c>
      <c r="I145" s="95" t="n">
        <f aca="false">IFERROR(IF(I48&lt;=0,"N/M",I61/I48),"N/M")</f>
        <v>281.298955613577</v>
      </c>
      <c r="J145" s="95" t="n">
        <f aca="false">IFERROR(IF(J48&lt;=0,"N/M",J61/J48),"N/M")</f>
        <v>334.54889178618</v>
      </c>
      <c r="K145" s="96" t="n">
        <f aca="false">IFERROR(AVERAGE(D145:J145),"N/M")</f>
        <v>223.300671176847</v>
      </c>
      <c r="L145" s="97" t="n">
        <f aca="false">IFERROR(J145-D145,"N/M")</f>
        <v>201.229881369513</v>
      </c>
      <c r="M145" s="98" t="n">
        <f aca="false">IFERROR(SLOPE(D145:J145,$D$3:$J$3),"N/M")</f>
        <v>33.4186776598516</v>
      </c>
    </row>
    <row r="146" customFormat="false" ht="15" hidden="false" customHeight="false" outlineLevel="0" collapsed="false">
      <c r="A146" s="18" t="s">
        <v>145</v>
      </c>
      <c r="B146" s="19" t="s">
        <v>610</v>
      </c>
      <c r="D146" s="47" t="n">
        <f aca="false">IFERROR(IF(D49=0,"N/C",IF(D145&lt;=0,"N/M",D47/D145)),"N/M")</f>
        <v>1.41052652140367</v>
      </c>
      <c r="E146" s="47" t="n">
        <f aca="false">IFERROR(IF(E49=0,"N/C",IF(E145&lt;=0,"N/M",E47/E145)),"N/M")</f>
        <v>1.6883813081875</v>
      </c>
      <c r="F146" s="47" t="n">
        <f aca="false">IFERROR(IF(F49=0,"N/C",IF(F145&lt;=0,"N/M",F47/F145)),"N/M")</f>
        <v>3.23785762228375</v>
      </c>
      <c r="G146" s="47" t="n">
        <f aca="false">IFERROR(IF(G49=0,"N/C",IF(G145&lt;=0,"N/M",G47/G145)),"N/M")</f>
        <v>2.85837618037478</v>
      </c>
      <c r="H146" s="47" t="n">
        <f aca="false">IFERROR(IF(H49=0,"N/C",IF(H145&lt;=0,"N/M",H47/H145)),"N/M")</f>
        <v>3.1470551247118</v>
      </c>
      <c r="I146" s="47" t="n">
        <f aca="false">IFERROR(IF(I49=0,"N/C",IF(I145&lt;=0,"N/M",I47/I145)),"N/M")</f>
        <v>3.91931778628611</v>
      </c>
      <c r="J146" s="47" t="n">
        <f aca="false">IFERROR(IF(J49=0,"N/C",IF(J145&lt;=0,"N/M",J47/J145)),"N/M")</f>
        <v>2.758939044969</v>
      </c>
      <c r="K146" s="22" t="n">
        <f aca="false">IFERROR(AVERAGE(D146:J146),"N/M")</f>
        <v>2.71720765545952</v>
      </c>
      <c r="L146" s="82" t="n">
        <f aca="false">IFERROR(J146-D146,"N/M")</f>
        <v>1.34841252356533</v>
      </c>
      <c r="M146" s="83" t="n">
        <f aca="false">IFERROR(SLOPE(D146:J146,$D$3:$J$3),"N/M")</f>
        <v>0.300582429618617</v>
      </c>
    </row>
    <row r="147" customFormat="false" ht="15" hidden="false" customHeight="false" outlineLevel="0" collapsed="false">
      <c r="A147" s="18" t="s">
        <v>611</v>
      </c>
      <c r="B147" s="19" t="s">
        <v>612</v>
      </c>
      <c r="D147" s="95" t="n">
        <f aca="false">IFERROR(IF(D48&lt;=0,"N/M",D23/D48),"N/M")</f>
        <v>2.00130208333333</v>
      </c>
      <c r="E147" s="95" t="n">
        <f aca="false">IFERROR(IF(E48&lt;=0,"N/M",E23/E48),"N/M")</f>
        <v>2.50064850843061</v>
      </c>
      <c r="F147" s="95" t="n">
        <f aca="false">IFERROR(IF(F48&lt;=0,"N/M",F23/F48),"N/M")</f>
        <v>4.0025873221216</v>
      </c>
      <c r="G147" s="95" t="n">
        <f aca="false">IFERROR(IF(G48&lt;=0,"N/M",G23/G48),"N/M")</f>
        <v>6.99484536082474</v>
      </c>
      <c r="H147" s="95" t="n">
        <f aca="false">IFERROR(IF(H48&lt;=0,"N/M",H23/H48),"N/M")</f>
        <v>7.003861003861</v>
      </c>
      <c r="I147" s="95" t="n">
        <f aca="false">IFERROR(IF(I48&lt;=0,"N/M",I23/I48),"N/M")</f>
        <v>8</v>
      </c>
      <c r="J147" s="95" t="n">
        <f aca="false">IFERROR(IF(J48&lt;=0,"N/M",J23/J48),"N/M")</f>
        <v>10.006518904824</v>
      </c>
      <c r="K147" s="96" t="n">
        <f aca="false">IFERROR(AVERAGE(D147:J147),"N/M")</f>
        <v>5.78710902619933</v>
      </c>
      <c r="L147" s="97" t="n">
        <f aca="false">IFERROR(J147-D147,"N/M")</f>
        <v>8.00521682149066</v>
      </c>
      <c r="M147" s="98" t="n">
        <f aca="false">IFERROR(SLOPE(D147:J147,$D$3:$J$3),"N/M")</f>
        <v>1.35770096890536</v>
      </c>
    </row>
    <row r="148" customFormat="false" ht="15" hidden="false" customHeight="false" outlineLevel="0" collapsed="false">
      <c r="A148" s="18" t="s">
        <v>613</v>
      </c>
      <c r="B148" s="19" t="s">
        <v>614</v>
      </c>
      <c r="D148" s="46" t="n">
        <f aca="false">IFERROR(IF(D143&lt;=0,"N/M",D147/D143),"N/M")</f>
        <v>0.107965720708064</v>
      </c>
      <c r="E148" s="46" t="n">
        <f aca="false">IFERROR(IF(E143&lt;=0,"N/M",E147/E143),"N/M")</f>
        <v>0.131040576361041</v>
      </c>
      <c r="F148" s="46" t="n">
        <f aca="false">IFERROR(IF(F143&lt;=0,"N/M",F147/F143),"N/M")</f>
        <v>0.106833327578468</v>
      </c>
      <c r="G148" s="46" t="n">
        <f aca="false">IFERROR(IF(G143&lt;=0,"N/M",G147/G143),"N/M")</f>
        <v>0.171046826747337</v>
      </c>
      <c r="H148" s="46" t="n">
        <f aca="false">IFERROR(IF(H143&lt;=0,"N/M",H147/H143),"N/M")</f>
        <v>0.155131128848347</v>
      </c>
      <c r="I148" s="46" t="n">
        <f aca="false">IFERROR(IF(I143&lt;=0,"N/M",I147/I143),"N/M")</f>
        <v>0.148600805082691</v>
      </c>
      <c r="J148" s="46" t="n">
        <f aca="false">IFERROR(IF(J143&lt;=0,"N/M",J147/J143),"N/M")</f>
        <v>0.168219178082192</v>
      </c>
      <c r="K148" s="25" t="n">
        <f aca="false">IFERROR(AVERAGE(D148:J148),"N/M")</f>
        <v>0.141262509058306</v>
      </c>
      <c r="L148" s="86" t="n">
        <f aca="false">IFERROR(J148-D148,"N/M")</f>
        <v>0.0602534573741277</v>
      </c>
      <c r="M148" s="87" t="n">
        <f aca="false">IFERROR(SLOPE(D148:J148,$D$3:$J$3),"N/M")</f>
        <v>0.00943495110127004</v>
      </c>
    </row>
    <row r="149" customFormat="false" ht="15" hidden="false" customHeight="false" outlineLevel="0" collapsed="false">
      <c r="A149" s="18" t="s">
        <v>615</v>
      </c>
      <c r="B149" s="19" t="s">
        <v>616</v>
      </c>
      <c r="D149" s="46" t="n">
        <f aca="false">IFERROR((1-D148),"N/M")</f>
        <v>0.892034279291936</v>
      </c>
      <c r="E149" s="46" t="n">
        <f aca="false">IFERROR((1-E148),"N/M")</f>
        <v>0.868959423638959</v>
      </c>
      <c r="F149" s="46" t="n">
        <f aca="false">IFERROR((1-F148),"N/M")</f>
        <v>0.893166672421532</v>
      </c>
      <c r="G149" s="46" t="n">
        <f aca="false">IFERROR((1-G148),"N/M")</f>
        <v>0.828953173252663</v>
      </c>
      <c r="H149" s="46" t="n">
        <f aca="false">IFERROR((1-H148),"N/M")</f>
        <v>0.844868871151653</v>
      </c>
      <c r="I149" s="46" t="n">
        <f aca="false">IFERROR((1-I148),"N/M")</f>
        <v>0.851399194917309</v>
      </c>
      <c r="J149" s="46" t="n">
        <f aca="false">IFERROR((1-J148),"N/M")</f>
        <v>0.831780821917808</v>
      </c>
      <c r="K149" s="25" t="n">
        <f aca="false">IFERROR(AVERAGE(D149:J149),"N/M")</f>
        <v>0.858737490941694</v>
      </c>
      <c r="L149" s="86" t="n">
        <f aca="false">IFERROR(J149-D149,"N/M")</f>
        <v>-0.0602534573741277</v>
      </c>
      <c r="M149" s="87" t="n">
        <f aca="false">IFERROR(SLOPE(D149:J149,$D$3:$J$3),"N/M")</f>
        <v>-0.00943495110127003</v>
      </c>
    </row>
    <row r="150" customFormat="false" ht="15" hidden="false" customHeight="false" outlineLevel="0" collapsed="false">
      <c r="A150" s="18" t="s">
        <v>617</v>
      </c>
      <c r="B150" s="19" t="s">
        <v>618</v>
      </c>
      <c r="D150" s="46" t="n">
        <f aca="false">IFERROR(IF(D49=0,"N/C",IF(D47&lt;=0,"N/M",D143/D47)),"N/M")</f>
        <v>0.0985719666755296</v>
      </c>
      <c r="E150" s="46" t="n">
        <f aca="false">IFERROR(IF(E49=0,"N/C",IF(E47&lt;=0,"N/M",E143/E47)),"N/M")</f>
        <v>0.0744993522510952</v>
      </c>
      <c r="F150" s="46" t="n">
        <f aca="false">IFERROR(IF(F49=0,"N/C",IF(F47&lt;=0,"N/M",F143/F47)),"N/M")</f>
        <v>0.0625366683056063</v>
      </c>
      <c r="G150" s="46" t="n">
        <f aca="false">IFERROR(IF(G49=0,"N/C",IF(G47&lt;=0,"N/M",G143/G47)),"N/M")</f>
        <v>0.0652378238763775</v>
      </c>
      <c r="H150" s="46" t="n">
        <f aca="false">IFERROR(IF(H49=0,"N/C",IF(H47&lt;=0,"N/M",H143/H47)),"N/M")</f>
        <v>0.055628394711687</v>
      </c>
      <c r="I150" s="46" t="n">
        <f aca="false">IFERROR(IF(I49=0,"N/C",IF(I47&lt;=0,"N/M",I143/I47)),"N/M")</f>
        <v>0.0488303937763095</v>
      </c>
      <c r="J150" s="46" t="n">
        <f aca="false">IFERROR(IF(J49=0,"N/C",IF(J47&lt;=0,"N/M",J143/J47)),"N/M")</f>
        <v>0.0644474610172317</v>
      </c>
      <c r="K150" s="25" t="n">
        <f aca="false">IFERROR(AVERAGE(D150:J150),"N/M")</f>
        <v>0.0671074372305481</v>
      </c>
      <c r="L150" s="86" t="n">
        <f aca="false">IFERROR(J150-D150,"N/M")</f>
        <v>-0.0341245056582979</v>
      </c>
      <c r="M150" s="87" t="n">
        <f aca="false">IFERROR(SLOPE(D150:J150,$D$3:$J$3),"N/M")</f>
        <v>-0.00573641812565659</v>
      </c>
    </row>
    <row r="151" customFormat="false" ht="15" hidden="false" customHeight="false" outlineLevel="0" collapsed="false">
      <c r="A151" s="18" t="s">
        <v>146</v>
      </c>
      <c r="B151" s="19" t="s">
        <v>619</v>
      </c>
      <c r="D151" s="46" t="n">
        <f aca="false">IFERROR(IF(D49=0,"N/C",IF(D47&lt;=0,"N/M",D147/D47)),"N/M")</f>
        <v>0.0106423934237348</v>
      </c>
      <c r="E151" s="46" t="n">
        <f aca="false">IFERROR(IF(E49=0,"N/C",IF(E47&lt;=0,"N/M",E147/E47)),"N/M")</f>
        <v>0.00976243805750775</v>
      </c>
      <c r="F151" s="46" t="n">
        <f aca="false">IFERROR(IF(F49=0,"N/C",IF(F47&lt;=0,"N/M",F147/F47)),"N/M")</f>
        <v>0.00668100037075881</v>
      </c>
      <c r="G151" s="46" t="n">
        <f aca="false">IFERROR(IF(G49=0,"N/C",IF(G47&lt;=0,"N/M",G147/G47)),"N/M")</f>
        <v>0.011158722757956</v>
      </c>
      <c r="H151" s="46" t="n">
        <f aca="false">IFERROR(IF(H49=0,"N/C",IF(H47&lt;=0,"N/M",H147/H47)),"N/M")</f>
        <v>0.0086296956676454</v>
      </c>
      <c r="I151" s="46" t="n">
        <f aca="false">IFERROR(IF(I49=0,"N/C",IF(I47&lt;=0,"N/M",I147/I47)),"N/M")</f>
        <v>0.0072562358276644</v>
      </c>
      <c r="J151" s="46" t="n">
        <f aca="false">IFERROR(IF(J49=0,"N/C",IF(J47&lt;=0,"N/M",J147/J47)),"N/M")</f>
        <v>0.0108412989218028</v>
      </c>
      <c r="K151" s="25" t="n">
        <f aca="false">IFERROR(AVERAGE(D151:J151),"N/M")</f>
        <v>0.00928168357529572</v>
      </c>
      <c r="L151" s="86" t="n">
        <f aca="false">IFERROR(J151-D151,"N/M")</f>
        <v>0.000198905498067982</v>
      </c>
      <c r="M151" s="87" t="n">
        <f aca="false">IFERROR(SLOPE(D151:J151,$D$3:$J$3),"N/M")</f>
        <v>-8.81068810212917E-005</v>
      </c>
    </row>
    <row r="152" customFormat="false" ht="15" hidden="false" customHeight="false" outlineLevel="0" collapsed="false">
      <c r="A152" s="18" t="s">
        <v>143</v>
      </c>
      <c r="B152" s="19" t="s">
        <v>620</v>
      </c>
      <c r="D152" s="47" t="n">
        <f aca="false">IFERROR(IF(D49=0,"N/C",IF(D143&lt;=0,"N/M",D47/D143)),"N/M")</f>
        <v>10.1448721550997</v>
      </c>
      <c r="E152" s="47" t="n">
        <f aca="false">IFERROR(IF(E49=0,"N/C",IF(E143&lt;=0,"N/M",E47/E143)),"N/M")</f>
        <v>13.4229354992184</v>
      </c>
      <c r="F152" s="47" t="n">
        <f aca="false">IFERROR(IF(F49=0,"N/C",IF(F143&lt;=0,"N/M",F47/F143)),"N/M")</f>
        <v>15.9906184178723</v>
      </c>
      <c r="G152" s="47" t="n">
        <f aca="false">IFERROR(IF(G49=0,"N/C",IF(G143&lt;=0,"N/M",G47/G143)),"N/M")</f>
        <v>15.3285309132161</v>
      </c>
      <c r="H152" s="47" t="n">
        <f aca="false">IFERROR(IF(H49=0,"N/C",IF(H143&lt;=0,"N/M",H47/H143)),"N/M")</f>
        <v>17.9764310148233</v>
      </c>
      <c r="I152" s="47" t="n">
        <f aca="false">IFERROR(IF(I49=0,"N/C",IF(I143&lt;=0,"N/M",I47/I143)),"N/M")</f>
        <v>20.4790484504583</v>
      </c>
      <c r="J152" s="47" t="n">
        <f aca="false">IFERROR(IF(J49=0,"N/C",IF(J143&lt;=0,"N/M",J47/J143)),"N/M")</f>
        <v>15.5165150684932</v>
      </c>
      <c r="K152" s="22" t="n">
        <f aca="false">IFERROR(AVERAGE(D152:J152),"N/M")</f>
        <v>15.5512787884545</v>
      </c>
      <c r="L152" s="82" t="n">
        <f aca="false">IFERROR(J152-D152,"N/M")</f>
        <v>5.37164291339341</v>
      </c>
      <c r="M152" s="83" t="n">
        <f aca="false">IFERROR(SLOPE(D152:J152,$D$3:$J$3),"N/M")</f>
        <v>1.15046311570039</v>
      </c>
    </row>
    <row r="153" customFormat="false" ht="15" hidden="false" customHeight="false" outlineLevel="0" collapsed="false">
      <c r="A153" s="18" t="s">
        <v>148</v>
      </c>
      <c r="B153" s="19" t="s">
        <v>621</v>
      </c>
      <c r="D153" s="46" t="n">
        <f aca="false">IFERROR(IF(C47&lt;=0,"N/M",((D147+D47)-C47)/C47),"N/M")</f>
        <v>-0.414776590967411</v>
      </c>
      <c r="E153" s="46" t="n">
        <f aca="false">IFERROR(IF(D47&lt;=0,"N/M",((E147+E47)-D47)/D47),"N/M")</f>
        <v>0.375435514535659</v>
      </c>
      <c r="F153" s="46" t="n">
        <f aca="false">IFERROR(IF(E47&lt;=0,"N/M",((F147+F47)-E47)/E47),"N/M")</f>
        <v>1.35448989780254</v>
      </c>
      <c r="G153" s="46" t="n">
        <f aca="false">IFERROR(IF(F47&lt;=0,"N/M",((G147+G47)-F47)/F47),"N/M")</f>
        <v>0.0579950682036802</v>
      </c>
      <c r="H153" s="46" t="n">
        <f aca="false">IFERROR(IF(G47&lt;=0,"N/M",((H147+H47)-G47)/G47),"N/M")</f>
        <v>0.305900711500137</v>
      </c>
      <c r="I153" s="46" t="n">
        <f aca="false">IFERROR(IF(H47&lt;=0,"N/M",((I147+I47)-H47)/H47),"N/M")</f>
        <v>0.36828486939379</v>
      </c>
      <c r="J153" s="46" t="n">
        <f aca="false">IFERROR(IF(I47&lt;=0,"N/M",((J147+J47)-I47)/I47),"N/M")</f>
        <v>-0.153735583759797</v>
      </c>
      <c r="K153" s="25" t="n">
        <f aca="false">IFERROR(AVERAGE(D153:J153),"N/M")</f>
        <v>0.270513412386943</v>
      </c>
      <c r="L153" s="86" t="n">
        <f aca="false">IFERROR(J153-D153,"N/M")</f>
        <v>0.261041007207614</v>
      </c>
      <c r="M153" s="87" t="n">
        <f aca="false">IFERROR(SLOPE(D153:J153,$D$3:$J$3),"N/M")</f>
        <v>-0.00999169482011793</v>
      </c>
    </row>
    <row r="154" customFormat="false" ht="15" hidden="false" customHeight="false" outlineLevel="0" collapsed="false">
      <c r="A154" s="18" t="s">
        <v>147</v>
      </c>
      <c r="B154" s="19" t="s">
        <v>622</v>
      </c>
      <c r="D154" s="47" t="n">
        <f aca="false">IFERROR(IF(D49=0,"N/C",IF(D59&lt;=0,"N/M",D70/D59)),"N/M")</f>
        <v>6.66988257465932</v>
      </c>
      <c r="E154" s="47" t="n">
        <f aca="false">IFERROR(IF(E49=0,"N/C",IF(E59&lt;=0,"N/M",E70/E59)),"N/M")</f>
        <v>7.60105698529412</v>
      </c>
      <c r="F154" s="47" t="n">
        <f aca="false">IFERROR(IF(F49=0,"N/C",IF(F59&lt;=0,"N/M",F70/F59)),"N/M")</f>
        <v>10.1964038394109</v>
      </c>
      <c r="G154" s="47" t="n">
        <f aca="false">IFERROR(IF(G49=0,"N/C",IF(G59&lt;=0,"N/M",G70/G59)),"N/M")</f>
        <v>9.63462827605702</v>
      </c>
      <c r="H154" s="47" t="n">
        <f aca="false">IFERROR(IF(H49=0,"N/C",IF(H59&lt;=0,"N/M",H70/H59)),"N/M")</f>
        <v>12.0877522130575</v>
      </c>
      <c r="I154" s="47" t="n">
        <f aca="false">IFERROR(IF(I49=0,"N/C",IF(I59&lt;=0,"N/M",I70/I59)),"N/M")</f>
        <v>14.3997288158291</v>
      </c>
      <c r="J154" s="47" t="n">
        <f aca="false">IFERROR(IF(J49=0,"N/C",IF(J59&lt;=0,"N/M",J70/J59)),"N/M")</f>
        <v>11.1981291732053</v>
      </c>
      <c r="K154" s="22" t="n">
        <f aca="false">IFERROR(AVERAGE(D154:J154),"N/M")</f>
        <v>10.2553688396448</v>
      </c>
      <c r="L154" s="82" t="n">
        <f aca="false">IFERROR(J154-D154,"N/M")</f>
        <v>4.52824659854601</v>
      </c>
      <c r="M154" s="83" t="n">
        <f aca="false">IFERROR(SLOPE(D154:J154,$D$3:$J$3),"N/M")</f>
        <v>1.03833685108409</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0.0523798310422983</v>
      </c>
      <c r="E157" s="46" t="n">
        <f aca="false">IFERROR(E124,"N/M")</f>
        <v>0.0525016146931726</v>
      </c>
      <c r="F157" s="46" t="n">
        <f aca="false">IFERROR(F124,"N/M")</f>
        <v>0.0888698635391447</v>
      </c>
      <c r="G157" s="46" t="n">
        <f aca="false">IFERROR(G124,"N/M")</f>
        <v>0.0838953409983159</v>
      </c>
      <c r="H157" s="46" t="n">
        <f aca="false">IFERROR(H124,"N/M")</f>
        <v>0.0871713060289345</v>
      </c>
      <c r="I157" s="46" t="n">
        <f aca="false">IFERROR(I124,"N/M")</f>
        <v>0.0918077020691129</v>
      </c>
      <c r="J157" s="46" t="n">
        <f aca="false">IFERROR(J124,"N/M")</f>
        <v>0.0927946599088426</v>
      </c>
      <c r="K157" s="25" t="n">
        <f aca="false">IFERROR(AVERAGE(D157:J157),"N/M")</f>
        <v>0.0784886168971174</v>
      </c>
      <c r="L157" s="86" t="n">
        <f aca="false">IFERROR(J157-D157,"N/M")</f>
        <v>0.0404148288665443</v>
      </c>
      <c r="M157" s="87" t="n">
        <f aca="false">IFERROR(SLOPE(D157:J157,$D$3:$J$3),"N/M")</f>
        <v>0.0070770751371894</v>
      </c>
    </row>
    <row r="158" customFormat="false" ht="15" hidden="false" customHeight="false" outlineLevel="0" collapsed="false">
      <c r="A158" s="18" t="s">
        <v>625</v>
      </c>
      <c r="B158" s="19" t="s">
        <v>626</v>
      </c>
      <c r="D158" s="47" t="n">
        <f aca="false">IFERROR(D113,"N/M")</f>
        <v>1.64754021344116</v>
      </c>
      <c r="E158" s="47" t="n">
        <f aca="false">IFERROR(E113,"N/M")</f>
        <v>1.63780452525182</v>
      </c>
      <c r="F158" s="47" t="n">
        <f aca="false">IFERROR(F113,"N/M")</f>
        <v>1.82779373163126</v>
      </c>
      <c r="G158" s="47" t="n">
        <f aca="false">IFERROR(G113,"N/M")</f>
        <v>1.9259815577631</v>
      </c>
      <c r="H158" s="47" t="n">
        <f aca="false">IFERROR(H113,"N/M")</f>
        <v>1.74880005910076</v>
      </c>
      <c r="I158" s="47" t="n">
        <f aca="false">IFERROR(I113,"N/M")</f>
        <v>1.65277816106545</v>
      </c>
      <c r="J158" s="47" t="n">
        <f aca="false">IFERROR(J113,"N/M")</f>
        <v>1.53268525489059</v>
      </c>
      <c r="K158" s="22" t="n">
        <f aca="false">IFERROR(AVERAGE(D158:J158),"N/M")</f>
        <v>1.71048335759202</v>
      </c>
      <c r="L158" s="82" t="n">
        <f aca="false">IFERROR(J158-D158,"N/M")</f>
        <v>-0.114854958550563</v>
      </c>
      <c r="M158" s="83" t="n">
        <f aca="false">IFERROR(SLOPE(D158:J158,$D$3:$J$3),"N/M")</f>
        <v>-0.014057545591247</v>
      </c>
    </row>
    <row r="159" customFormat="false" ht="15" hidden="false" customHeight="false" outlineLevel="0" collapsed="false">
      <c r="A159" s="18" t="s">
        <v>627</v>
      </c>
      <c r="B159" s="19" t="s">
        <v>628</v>
      </c>
      <c r="D159" s="46" t="n">
        <f aca="false">IFERROR((D157*D158),"N/M")</f>
        <v>0.0862978780154398</v>
      </c>
      <c r="E159" s="46" t="n">
        <f aca="false">IFERROR((E157*E158),"N/M")</f>
        <v>0.0859873821275054</v>
      </c>
      <c r="F159" s="46" t="n">
        <f aca="false">IFERROR((F157*F158),"N/M")</f>
        <v>0.162435779507774</v>
      </c>
      <c r="G159" s="46" t="n">
        <f aca="false">IFERROR((G157*G158),"N/M")</f>
        <v>0.161580879545003</v>
      </c>
      <c r="H159" s="46" t="n">
        <f aca="false">IFERROR((H157*H158),"N/M")</f>
        <v>0.152445185135291</v>
      </c>
      <c r="I159" s="46" t="n">
        <f aca="false">IFERROR((I157*I158),"N/M")</f>
        <v>0.151737764997434</v>
      </c>
      <c r="J159" s="46" t="n">
        <f aca="false">IFERROR((J157*J158),"N/M")</f>
        <v>0.14222500697487</v>
      </c>
      <c r="K159" s="25" t="n">
        <f aca="false">IFERROR(AVERAGE(D159:J159),"N/M")</f>
        <v>0.134672839471902</v>
      </c>
      <c r="L159" s="86" t="n">
        <f aca="false">IFERROR(J159-D159,"N/M")</f>
        <v>0.0559271289594304</v>
      </c>
      <c r="M159" s="87" t="n">
        <f aca="false">IFERROR(SLOPE(D159:J159,$D$3:$J$3),"N/M")</f>
        <v>0.0103318413659166</v>
      </c>
    </row>
    <row r="160" customFormat="false" ht="15" hidden="false" customHeight="false" outlineLevel="0" collapsed="false">
      <c r="A160" s="18" t="s">
        <v>629</v>
      </c>
      <c r="B160" s="19" t="s">
        <v>630</v>
      </c>
      <c r="D160" s="47" t="n">
        <f aca="false">IFERROR(IF(((D61+C61)/2)&lt;=0,"N/M",((D35+C35)/2)/((D61+C61)/2)),"N/M")</f>
        <v>1.72209202181799</v>
      </c>
      <c r="E160" s="47" t="n">
        <f aca="false">IFERROR(IF(((E61+D61)/2)&lt;=0,"N/M",((E35+D35)/2)/((E61+D61)/2)),"N/M")</f>
        <v>1.56005196936543</v>
      </c>
      <c r="F160" s="47" t="n">
        <f aca="false">IFERROR(IF(((F61+E61)/2)&lt;=0,"N/M",((F35+E35)/2)/((F61+E61)/2)),"N/M")</f>
        <v>1.37148219800845</v>
      </c>
      <c r="G160" s="47" t="n">
        <f aca="false">IFERROR(IF(((G61+F61)/2)&lt;=0,"N/M",((G35+F35)/2)/((G61+F61)/2)),"N/M")</f>
        <v>1.25410351620494</v>
      </c>
      <c r="H160" s="47" t="n">
        <f aca="false">IFERROR(IF(((H61+G61)/2)&lt;=0,"N/M",((H35+G35)/2)/((H61+G61)/2)),"N/M")</f>
        <v>1.24198445060327</v>
      </c>
      <c r="I160" s="47" t="n">
        <f aca="false">IFERROR(IF(((I61+H61)/2)&lt;=0,"N/M",((I35+H35)/2)/((I61+H61)/2)),"N/M")</f>
        <v>1.30704304604708</v>
      </c>
      <c r="J160" s="47" t="n">
        <f aca="false">IFERROR(IF(((J61+I61)/2)&lt;=0,"N/M",((J35+I35)/2)/((J61+I61)/2)),"N/M")</f>
        <v>1.35908565182577</v>
      </c>
      <c r="K160" s="22" t="n">
        <f aca="false">IFERROR(AVERAGE(D160:J160),"N/M")</f>
        <v>1.40226326483899</v>
      </c>
      <c r="L160" s="82" t="n">
        <f aca="false">IFERROR(J160-D160,"N/M")</f>
        <v>-0.363006369992219</v>
      </c>
      <c r="M160" s="83" t="n">
        <f aca="false">IFERROR(SLOPE(D160:J160,$D$3:$J$3),"N/M")</f>
        <v>-0.061590525143519</v>
      </c>
    </row>
    <row r="161" customFormat="false" ht="15" hidden="false" customHeight="false" outlineLevel="0" collapsed="false">
      <c r="A161" s="18" t="s">
        <v>631</v>
      </c>
      <c r="B161" s="19" t="s">
        <v>632</v>
      </c>
      <c r="D161" s="46" t="n">
        <f aca="false">IFERROR(((D157*D158)*D160),"N/M")</f>
        <v>0.148612887230211</v>
      </c>
      <c r="E161" s="46" t="n">
        <f aca="false">IFERROR(((E157*E158)*E160),"N/M")</f>
        <v>0.134144784828592</v>
      </c>
      <c r="F161" s="46" t="n">
        <f aca="false">IFERROR(((F157*F158)*F160),"N/M")</f>
        <v>0.222777779914538</v>
      </c>
      <c r="G161" s="46" t="n">
        <f aca="false">IFERROR(((G157*G158)*G160),"N/M")</f>
        <v>0.202639149188875</v>
      </c>
      <c r="H161" s="46" t="n">
        <f aca="false">IFERROR(((H157*H158)*H160),"N/M")</f>
        <v>0.189334549507369</v>
      </c>
      <c r="I161" s="46" t="n">
        <f aca="false">IFERROR(((I157*I158)*I160),"N/M")</f>
        <v>0.198327790562621</v>
      </c>
      <c r="J161" s="46" t="n">
        <f aca="false">IFERROR(((J157*J158)*J160),"N/M")</f>
        <v>0.193295966310367</v>
      </c>
      <c r="K161" s="25" t="n">
        <f aca="false">IFERROR(AVERAGE(D161:J161),"N/M")</f>
        <v>0.184161843934653</v>
      </c>
      <c r="L161" s="86" t="n">
        <f aca="false">IFERROR(J161-D161,"N/M")</f>
        <v>0.0446830790801555</v>
      </c>
      <c r="M161" s="87" t="n">
        <f aca="false">IFERROR(SLOPE(D161:J161,$D$3:$J$3),"N/M")</f>
        <v>0.00817757208219124</v>
      </c>
    </row>
    <row r="162" customFormat="false" ht="15" hidden="false" customHeight="false" outlineLevel="0" collapsed="false">
      <c r="A162" s="18" t="s">
        <v>633</v>
      </c>
      <c r="B162" s="19" t="s">
        <v>634</v>
      </c>
      <c r="D162" s="47" t="n">
        <f aca="false">IFERROR(IF(D20=0,"N/M",D22/D20),"N/M")</f>
        <v>0.894726918484068</v>
      </c>
      <c r="E162" s="47" t="n">
        <f aca="false">IFERROR(IF(E20=0,"N/M",E22/E20),"N/M")</f>
        <v>0.844361549497848</v>
      </c>
      <c r="F162" s="47" t="n">
        <f aca="false">IFERROR(IF(F20=0,"N/M",F22/F20),"N/M")</f>
        <v>0.87635791448543</v>
      </c>
      <c r="G162" s="47" t="n">
        <f aca="false">IFERROR(IF(G20=0,"N/M",G22/G20),"N/M")</f>
        <v>0.871741339999451</v>
      </c>
      <c r="H162" s="47" t="n">
        <f aca="false">IFERROR(IF(H20=0,"N/M",H22/H20),"N/M")</f>
        <v>0.903914040557603</v>
      </c>
      <c r="I162" s="47" t="n">
        <f aca="false">IFERROR(IF(I20=0,"N/M",I22/I20),"N/M")</f>
        <v>0.897668647554366</v>
      </c>
      <c r="J162" s="47" t="n">
        <f aca="false">IFERROR(IF(J20=0,"N/M",J22/J20),"N/M")</f>
        <v>0.912700794174719</v>
      </c>
      <c r="K162" s="22" t="n">
        <f aca="false">IFERROR(AVERAGE(D162:J162),"N/M")</f>
        <v>0.885924457821926</v>
      </c>
      <c r="L162" s="82" t="n">
        <f aca="false">IFERROR(J162-D162,"N/M")</f>
        <v>0.0179738756906509</v>
      </c>
      <c r="M162" s="83" t="n">
        <f aca="false">IFERROR(SLOPE(D162:J162,$D$3:$J$3),"N/M")</f>
        <v>0.00671756961632718</v>
      </c>
    </row>
    <row r="163" customFormat="false" ht="15" hidden="false" customHeight="false" outlineLevel="0" collapsed="false">
      <c r="A163" s="18" t="s">
        <v>635</v>
      </c>
      <c r="B163" s="19" t="s">
        <v>636</v>
      </c>
      <c r="D163" s="47" t="n">
        <f aca="false">IFERROR(IF(D58=0,"N/M",D20/D58),"N/M")</f>
        <v>0.822571472884248</v>
      </c>
      <c r="E163" s="47" t="n">
        <f aca="false">IFERROR(IF(E58=0,"N/M",E20/E58),"N/M")</f>
        <v>0.867131127146056</v>
      </c>
      <c r="F163" s="47" t="n">
        <f aca="false">IFERROR(IF(F58=0,"N/M",F20/F58),"N/M")</f>
        <v>0.962627439557239</v>
      </c>
      <c r="G163" s="47" t="n">
        <f aca="false">IFERROR(IF(G58=0,"N/M",G20/G58),"N/M")</f>
        <v>0.973732780526949</v>
      </c>
      <c r="H163" s="47" t="n">
        <f aca="false">IFERROR(IF(H58=0,"N/M",H20/H58),"N/M")</f>
        <v>0.966937412796492</v>
      </c>
      <c r="I163" s="47" t="n">
        <f aca="false">IFERROR(IF(I58=0,"N/M",I20/I58),"N/M")</f>
        <v>0.957960588051298</v>
      </c>
      <c r="J163" s="47" t="n">
        <f aca="false">IFERROR(IF(J58=0,"N/M",J20/J58),"N/M")</f>
        <v>0.956397795974593</v>
      </c>
      <c r="K163" s="22" t="n">
        <f aca="false">IFERROR(AVERAGE(D163:J163),"N/M")</f>
        <v>0.929622659562411</v>
      </c>
      <c r="L163" s="82" t="n">
        <f aca="false">IFERROR(J163-D163,"N/M")</f>
        <v>0.133826323090345</v>
      </c>
      <c r="M163" s="83" t="n">
        <f aca="false">IFERROR(SLOPE(D163:J163,$D$3:$J$3),"N/M")</f>
        <v>0.020980280868599</v>
      </c>
    </row>
    <row r="164" customFormat="false" ht="15" hidden="false" customHeight="false" outlineLevel="0" collapsed="false">
      <c r="A164" s="18" t="s">
        <v>637</v>
      </c>
      <c r="B164" s="19" t="s">
        <v>577</v>
      </c>
      <c r="D164" s="46" t="n">
        <f aca="false">IFERROR(IF(D9&lt;=0,"N/M",D58/D9),"N/M")</f>
        <v>0.0711704883289671</v>
      </c>
      <c r="E164" s="46" t="n">
        <f aca="false">IFERROR(IF(E9&lt;=0,"N/M",E58/E9),"N/M")</f>
        <v>0.0717066503948416</v>
      </c>
      <c r="F164" s="46" t="n">
        <f aca="false">IFERROR(IF(F9&lt;=0,"N/M",F58/F9),"N/M")</f>
        <v>0.10534520269669</v>
      </c>
      <c r="G164" s="46" t="n">
        <f aca="false">IFERROR(IF(G9&lt;=0,"N/M",G58/G9),"N/M")</f>
        <v>0.0988349191158392</v>
      </c>
      <c r="H164" s="46" t="n">
        <f aca="false">IFERROR(IF(H9&lt;=0,"N/M",H58/H9),"N/M")</f>
        <v>0.0997351065786008</v>
      </c>
      <c r="I164" s="46" t="n">
        <f aca="false">IFERROR(IF(I9&lt;=0,"N/M",I58/I9),"N/M")</f>
        <v>0.106761684677344</v>
      </c>
      <c r="J164" s="46" t="n">
        <f aca="false">IFERROR(IF(J9&lt;=0,"N/M",J58/J9),"N/M")</f>
        <v>0.10630556239157</v>
      </c>
      <c r="K164" s="25" t="n">
        <f aca="false">IFERROR(AVERAGE(D164:J164),"N/M")</f>
        <v>0.0942656591691218</v>
      </c>
      <c r="L164" s="86" t="n">
        <f aca="false">IFERROR(J164-D164,"N/M")</f>
        <v>0.0351350740626029</v>
      </c>
      <c r="M164" s="87" t="n">
        <f aca="false">IFERROR(SLOPE(D164:J164,$D$3:$J$3),"N/M")</f>
        <v>0.00606804266552588</v>
      </c>
    </row>
    <row r="165" customFormat="false" ht="15" hidden="false" customHeight="false" outlineLevel="0" collapsed="false">
      <c r="A165" s="18" t="s">
        <v>638</v>
      </c>
      <c r="B165" s="19" t="s">
        <v>626</v>
      </c>
      <c r="D165" s="47" t="n">
        <f aca="false">IFERROR(D113,"N/M")</f>
        <v>1.64754021344116</v>
      </c>
      <c r="E165" s="47" t="n">
        <f aca="false">IFERROR(E113,"N/M")</f>
        <v>1.63780452525182</v>
      </c>
      <c r="F165" s="47" t="n">
        <f aca="false">IFERROR(F113,"N/M")</f>
        <v>1.82779373163126</v>
      </c>
      <c r="G165" s="47" t="n">
        <f aca="false">IFERROR(G113,"N/M")</f>
        <v>1.9259815577631</v>
      </c>
      <c r="H165" s="47" t="n">
        <f aca="false">IFERROR(H113,"N/M")</f>
        <v>1.74880005910076</v>
      </c>
      <c r="I165" s="47" t="n">
        <f aca="false">IFERROR(I113,"N/M")</f>
        <v>1.65277816106545</v>
      </c>
      <c r="J165" s="47" t="n">
        <f aca="false">IFERROR(J113,"N/M")</f>
        <v>1.53268525489059</v>
      </c>
      <c r="K165" s="22" t="n">
        <f aca="false">IFERROR(AVERAGE(D165:J165),"N/M")</f>
        <v>1.71048335759202</v>
      </c>
      <c r="L165" s="82" t="n">
        <f aca="false">IFERROR(J165-D165,"N/M")</f>
        <v>-0.114854958550563</v>
      </c>
      <c r="M165" s="83" t="n">
        <f aca="false">IFERROR(SLOPE(D165:J165,$D$3:$J$3),"N/M")</f>
        <v>-0.014057545591247</v>
      </c>
    </row>
    <row r="166" customFormat="false" ht="15" hidden="false" customHeight="false" outlineLevel="0" collapsed="false">
      <c r="A166" s="18" t="s">
        <v>639</v>
      </c>
      <c r="B166" s="19" t="s">
        <v>640</v>
      </c>
      <c r="D166" s="47" t="n">
        <f aca="false">IFERROR(D160,"N/M")</f>
        <v>1.72209202181799</v>
      </c>
      <c r="E166" s="47" t="n">
        <f aca="false">IFERROR(E160,"N/M")</f>
        <v>1.56005196936543</v>
      </c>
      <c r="F166" s="47" t="n">
        <f aca="false">IFERROR(F160,"N/M")</f>
        <v>1.37148219800845</v>
      </c>
      <c r="G166" s="47" t="n">
        <f aca="false">IFERROR(G160,"N/M")</f>
        <v>1.25410351620494</v>
      </c>
      <c r="H166" s="47" t="n">
        <f aca="false">IFERROR(H160,"N/M")</f>
        <v>1.24198445060327</v>
      </c>
      <c r="I166" s="47" t="n">
        <f aca="false">IFERROR(I160,"N/M")</f>
        <v>1.30704304604708</v>
      </c>
      <c r="J166" s="47" t="n">
        <f aca="false">IFERROR(J160,"N/M")</f>
        <v>1.35908565182577</v>
      </c>
      <c r="K166" s="22" t="n">
        <f aca="false">IFERROR(AVERAGE(D166:J166),"N/M")</f>
        <v>1.40226326483899</v>
      </c>
      <c r="L166" s="82" t="n">
        <f aca="false">IFERROR(J166-D166,"N/M")</f>
        <v>-0.363006369992219</v>
      </c>
      <c r="M166" s="83" t="n">
        <f aca="false">IFERROR(SLOPE(D166:J166,$D$3:$J$3),"N/M")</f>
        <v>-0.061590525143519</v>
      </c>
    </row>
    <row r="167" customFormat="false" ht="15" hidden="false" customHeight="false" outlineLevel="0" collapsed="false">
      <c r="A167" s="18" t="s">
        <v>641</v>
      </c>
      <c r="B167" s="19" t="s">
        <v>642</v>
      </c>
      <c r="D167" s="46" t="n">
        <f aca="false">IFERROR(((((D162*D163)*D164)*D165)*D166),"N/M")</f>
        <v>0.148612887230211</v>
      </c>
      <c r="E167" s="46" t="n">
        <f aca="false">IFERROR(((((E162*E163)*E164)*E165)*E166),"N/M")</f>
        <v>0.134144784828592</v>
      </c>
      <c r="F167" s="46" t="n">
        <f aca="false">IFERROR(((((F162*F163)*F164)*F165)*F166),"N/M")</f>
        <v>0.222777779914538</v>
      </c>
      <c r="G167" s="46" t="n">
        <f aca="false">IFERROR(((((G162*G163)*G164)*G165)*G166),"N/M")</f>
        <v>0.202639149188875</v>
      </c>
      <c r="H167" s="46" t="n">
        <f aca="false">IFERROR(((((H162*H163)*H164)*H165)*H166),"N/M")</f>
        <v>0.189334549507369</v>
      </c>
      <c r="I167" s="46" t="n">
        <f aca="false">IFERROR(((((I162*I163)*I164)*I165)*I166),"N/M")</f>
        <v>0.198327790562621</v>
      </c>
      <c r="J167" s="46" t="n">
        <f aca="false">IFERROR(((((J162*J163)*J164)*J165)*J166),"N/M")</f>
        <v>0.193295966310367</v>
      </c>
      <c r="K167" s="25" t="n">
        <f aca="false">IFERROR(AVERAGE(D167:J167),"N/M")</f>
        <v>0.184161843934653</v>
      </c>
      <c r="L167" s="86" t="n">
        <f aca="false">IFERROR(J167-D167,"N/M")</f>
        <v>0.0446830790801555</v>
      </c>
      <c r="M167" s="87" t="n">
        <f aca="false">IFERROR(SLOPE(D167:J167,$D$3:$J$3),"N/M")</f>
        <v>0.00817757208219124</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n">
        <f aca="false">IFERROR(IF((1-(D135*D149))&lt;=0,"N/M",(D135*D149)/(1-(D135*D149))),"N/M")</f>
        <v>0.0834009240499263</v>
      </c>
      <c r="E170" s="46" t="n">
        <f aca="false">IFERROR(IF((1-(E135*E149))&lt;=0,"N/M",(E135*E149)/(1-(E135*E149))),"N/M")</f>
        <v>0.0807534036754326</v>
      </c>
      <c r="F170" s="46" t="n">
        <f aca="false">IFERROR(IF((1-(F135*F149))&lt;=0,"N/M",(F135*F149)/(1-(F135*F149))),"N/M")</f>
        <v>0.169703132688207</v>
      </c>
      <c r="G170" s="46" t="n">
        <f aca="false">IFERROR(IF((1-(G135*G149))&lt;=0,"N/M",(G135*G149)/(1-(G135*G149))),"N/M")</f>
        <v>0.154658388744848</v>
      </c>
      <c r="H170" s="46" t="n">
        <f aca="false">IFERROR(IF((1-(H135*H149))&lt;=0,"N/M",(H135*H149)/(1-(H135*H149))),"N/M")</f>
        <v>0.147837039069222</v>
      </c>
      <c r="I170" s="46" t="n">
        <f aca="false">IFERROR(IF((1-(I135*I149))&lt;=0,"N/M",(I135*I149)/(1-(I135*I149))),"N/M")</f>
        <v>0.148355351419644</v>
      </c>
      <c r="J170" s="46" t="n">
        <f aca="false">IFERROR(IF((1-(J135*J149))&lt;=0,"N/M",(J135*J149)/(1-(J135*J149))),"N/M")</f>
        <v>0.134172663778154</v>
      </c>
      <c r="K170" s="25" t="n">
        <f aca="false">IFERROR(AVERAGE(D170:J170),"N/M")</f>
        <v>0.131268700489348</v>
      </c>
      <c r="L170" s="86" t="n">
        <f aca="false">IFERROR(J170-D170,"N/M")</f>
        <v>0.0507717397282274</v>
      </c>
      <c r="M170" s="87" t="n">
        <f aca="false">IFERROR(SLOPE(D170:J170,$D$3:$J$3),"N/M")</f>
        <v>0.00948760789478998</v>
      </c>
    </row>
    <row r="171" customFormat="false" ht="15" hidden="false" customHeight="false" outlineLevel="0" collapsed="false">
      <c r="A171" s="18" t="s">
        <v>645</v>
      </c>
      <c r="B171" s="19" t="s">
        <v>646</v>
      </c>
      <c r="D171" s="46" t="n">
        <f aca="false">IFERROR(IF((1-(D139*D149))&lt;=0,"N/M",(D139*D149)/(1-(D139*D149))),"N/M")</f>
        <v>0.152827838519258</v>
      </c>
      <c r="E171" s="46" t="n">
        <f aca="false">IFERROR(IF((1-(E139*E149))&lt;=0,"N/M",(E139*E149)/(1-(E139*E149))),"N/M")</f>
        <v>0.131946952887146</v>
      </c>
      <c r="F171" s="46" t="n">
        <f aca="false">IFERROR(IF((1-(F139*F149))&lt;=0,"N/M",(F139*F149)/(1-(F139*F149))),"N/M")</f>
        <v>0.248404676733969</v>
      </c>
      <c r="G171" s="46" t="n">
        <f aca="false">IFERROR(IF((1-(G139*G149))&lt;=0,"N/M",(G139*G149)/(1-(G139*G149))),"N/M")</f>
        <v>0.201891824478597</v>
      </c>
      <c r="H171" s="46" t="n">
        <f aca="false">IFERROR(IF((1-(H139*H149))&lt;=0,"N/M",(H139*H149)/(1-(H139*H149))),"N/M")</f>
        <v>0.190423566827827</v>
      </c>
      <c r="I171" s="46" t="n">
        <f aca="false">IFERROR(IF((1-(I139*I149))&lt;=0,"N/M",(I139*I149)/(1-(I139*I149))),"N/M")</f>
        <v>0.203161119903251</v>
      </c>
      <c r="J171" s="46" t="n">
        <f aca="false">IFERROR(IF((1-(J139*J149))&lt;=0,"N/M",(J139*J149)/(1-(J139*J149))),"N/M")</f>
        <v>0.191582486483212</v>
      </c>
      <c r="K171" s="25" t="n">
        <f aca="false">IFERROR(AVERAGE(D171:J171),"N/M")</f>
        <v>0.188605495119037</v>
      </c>
      <c r="L171" s="86" t="n">
        <f aca="false">IFERROR(J171-D171,"N/M")</f>
        <v>0.0387546479639535</v>
      </c>
      <c r="M171" s="87" t="n">
        <f aca="false">IFERROR(SLOPE(D171:J171,$D$3:$J$3),"N/M")</f>
        <v>0.00716825600064031</v>
      </c>
    </row>
    <row r="172" customFormat="false" ht="15" hidden="false" customHeight="false" outlineLevel="0" collapsed="false">
      <c r="A172" s="18" t="s">
        <v>647</v>
      </c>
      <c r="B172" s="19" t="s">
        <v>648</v>
      </c>
      <c r="D172" s="46" t="n">
        <f aca="false">IFERROR((IF(C9&lt;=0,"N/M",D9/C9)-1),"N/M")</f>
        <v>-0.0130009732572158</v>
      </c>
      <c r="E172" s="46" t="n">
        <f aca="false">IFERROR((IF(D9&lt;=0,"N/M",E9/D9)-1),"N/M")</f>
        <v>0.031109263238454</v>
      </c>
      <c r="F172" s="46" t="n">
        <f aca="false">IFERROR((IF(E9&lt;=0,"N/M",F9/E9)-1),"N/M")</f>
        <v>0.162868123280486</v>
      </c>
      <c r="G172" s="46" t="n">
        <f aca="false">IFERROR((IF(F9&lt;=0,"N/M",G9/F9)-1),"N/M")</f>
        <v>0.160721244871594</v>
      </c>
      <c r="H172" s="46" t="n">
        <f aca="false">IFERROR((IF(G9&lt;=0,"N/M",H9/G9)-1),"N/M")</f>
        <v>0.0638957111170448</v>
      </c>
      <c r="I172" s="46" t="n">
        <f aca="false">IFERROR((IF(H9&lt;=0,"N/M",I9/H9)-1),"N/M")</f>
        <v>0.116175396221914</v>
      </c>
      <c r="J172" s="46" t="n">
        <f aca="false">IFERROR((IF(I9&lt;=0,"N/M",J9/I9)-1),"N/M")</f>
        <v>0.0946150523845781</v>
      </c>
      <c r="K172" s="25" t="n">
        <f aca="false">IFERROR(AVERAGE(D172:J172),"N/M")</f>
        <v>0.0880548311224078</v>
      </c>
      <c r="L172" s="86" t="n">
        <f aca="false">IFERROR(J172-D172,"N/M")</f>
        <v>0.107616025641794</v>
      </c>
      <c r="M172" s="87" t="n">
        <f aca="false">IFERROR(SLOPE(D172:J172,$D$3:$J$3),"N/M")</f>
        <v>0.014071711811745</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0.822174962470197</v>
      </c>
      <c r="E176" s="46" t="n">
        <f aca="false">IFERROR(IF(E9&lt;=0,"N/M",E52/E9),"N/M")</f>
        <v>0.827015511759605</v>
      </c>
      <c r="F176" s="46" t="n">
        <f aca="false">IFERROR(IF(F9&lt;=0,"N/M",F52/F9),"N/M")</f>
        <v>0.798859092736306</v>
      </c>
      <c r="G176" s="46" t="n">
        <f aca="false">IFERROR(IF(G9&lt;=0,"N/M",G52/G9),"N/M")</f>
        <v>0.810586453125785</v>
      </c>
      <c r="H176" s="46" t="n">
        <f aca="false">IFERROR(IF(H9&lt;=0,"N/M",H52/H9),"N/M")</f>
        <v>0.815347417910374</v>
      </c>
      <c r="I176" s="46" t="n">
        <f aca="false">IFERROR(IF(I9&lt;=0,"N/M",I52/I9),"N/M")</f>
        <v>0.815062180249255</v>
      </c>
      <c r="J176" s="46" t="n">
        <f aca="false">IFERROR(IF(J9&lt;=0,"N/M",J52/J9),"N/M")</f>
        <v>0.811282610331579</v>
      </c>
      <c r="K176" s="25" t="n">
        <f aca="false">IFERROR(AVERAGE(D176:J176),"N/M")</f>
        <v>0.8143326040833</v>
      </c>
      <c r="L176" s="86" t="n">
        <f aca="false">IFERROR(J176-D176,"N/M")</f>
        <v>-0.0108923521386175</v>
      </c>
      <c r="M176" s="87" t="n">
        <f aca="false">IFERROR(SLOPE(D176:J176,$D$3:$J$3),"N/M")</f>
        <v>-0.0014319783665173</v>
      </c>
    </row>
    <row r="177" customFormat="false" ht="15" hidden="false" customHeight="false" outlineLevel="0" collapsed="false">
      <c r="A177" s="18" t="s">
        <v>407</v>
      </c>
      <c r="B177" s="19" t="s">
        <v>587</v>
      </c>
      <c r="D177" s="46" t="n">
        <f aca="false">IFERROR(IF(D9&lt;=0,"N/M",D14/D9),"N/M")</f>
        <v>0.05808288935331</v>
      </c>
      <c r="E177" s="46" t="n">
        <f aca="false">IFERROR(IF(E9&lt;=0,"N/M",E14/E9),"N/M")</f>
        <v>0.0522054389289143</v>
      </c>
      <c r="F177" s="46" t="n">
        <f aca="false">IFERROR(IF(F9&lt;=0,"N/M",F14/F9),"N/M")</f>
        <v>0.0524547304077255</v>
      </c>
      <c r="G177" s="46" t="n">
        <f aca="false">IFERROR(IF(G9&lt;=0,"N/M",G14/G9),"N/M")</f>
        <v>0.0522211089285856</v>
      </c>
      <c r="H177" s="46" t="n">
        <f aca="false">IFERROR(IF(H9&lt;=0,"N/M",H14/H9),"N/M")</f>
        <v>0.0557767142282059</v>
      </c>
      <c r="I177" s="46" t="n">
        <f aca="false">IFERROR(IF(I9&lt;=0,"N/M",I14/I9),"N/M")</f>
        <v>0.0558531361731875</v>
      </c>
      <c r="J177" s="46" t="n">
        <f aca="false">IFERROR(IF(J9&lt;=0,"N/M",J14/J9),"N/M")</f>
        <v>0.0563886453911816</v>
      </c>
      <c r="K177" s="25" t="n">
        <f aca="false">IFERROR(AVERAGE(D177:J177),"N/M")</f>
        <v>0.0547118090587301</v>
      </c>
      <c r="L177" s="86" t="n">
        <f aca="false">IFERROR(J177-D177,"N/M")</f>
        <v>-0.00169424396212838</v>
      </c>
      <c r="M177" s="87" t="n">
        <f aca="false">IFERROR(SLOPE(D177:J177,$D$3:$J$3),"N/M")</f>
        <v>0.000197665943665775</v>
      </c>
    </row>
    <row r="178" customFormat="false" ht="15" hidden="false" customHeight="false" outlineLevel="0" collapsed="false">
      <c r="A178" s="18" t="s">
        <v>654</v>
      </c>
      <c r="B178" s="19" t="s">
        <v>655</v>
      </c>
      <c r="D178" s="46" t="n">
        <f aca="false">IFERROR(IF(D9&lt;=0,"N/M",D15/D9),"N/M")</f>
        <v>0.0246335325111118</v>
      </c>
      <c r="E178" s="46" t="n">
        <f aca="false">IFERROR(IF(E9&lt;=0,"N/M",E15/E9),"N/M")</f>
        <v>0.0201792041792898</v>
      </c>
      <c r="F178" s="46" t="n">
        <f aca="false">IFERROR(IF(F9&lt;=0,"N/M",F15/F9),"N/M")</f>
        <v>0.0180403276042482</v>
      </c>
      <c r="G178" s="46" t="n">
        <f aca="false">IFERROR(IF(G9&lt;=0,"N/M",G15/G9),"N/M")</f>
        <v>0.0197696275283736</v>
      </c>
      <c r="H178" s="46" t="n">
        <f aca="false">IFERROR(IF(H9&lt;=0,"N/M",H15/H9),"N/M")</f>
        <v>0.0231645072634472</v>
      </c>
      <c r="I178" s="46" t="n">
        <f aca="false">IFERROR(IF(I9&lt;=0,"N/M",I15/I9),"N/M")</f>
        <v>0.0226324530586983</v>
      </c>
      <c r="J178" s="46" t="n">
        <f aca="false">IFERROR(IF(J9&lt;=0,"N/M",J15/J9),"N/M")</f>
        <v>0.0235825552140938</v>
      </c>
      <c r="K178" s="25" t="n">
        <f aca="false">IFERROR(AVERAGE(D178:J178),"N/M")</f>
        <v>0.0217146010513232</v>
      </c>
      <c r="L178" s="86" t="n">
        <f aca="false">IFERROR(J178-D178,"N/M")</f>
        <v>-0.00105097729701796</v>
      </c>
      <c r="M178" s="87" t="n">
        <f aca="false">IFERROR(SLOPE(D178:J178,$D$3:$J$3),"N/M")</f>
        <v>0.000245633768820077</v>
      </c>
    </row>
    <row r="179" customFormat="false" ht="15" hidden="false" customHeight="false" outlineLevel="0" collapsed="false">
      <c r="A179" s="18" t="s">
        <v>411</v>
      </c>
      <c r="B179" s="19" t="s">
        <v>656</v>
      </c>
      <c r="D179" s="46" t="n">
        <f aca="false">IFERROR(IF(D9&lt;=0,"N/M",D16/D9),"N/M")</f>
        <v>0.00627336414211285</v>
      </c>
      <c r="E179" s="46" t="n">
        <f aca="false">IFERROR(IF(E9&lt;=0,"N/M",E16/E9),"N/M")</f>
        <v>0.00674424330660615</v>
      </c>
      <c r="F179" s="46" t="n">
        <f aca="false">IFERROR(IF(F9&lt;=0,"N/M",F16/F9),"N/M")</f>
        <v>0.00427149787805978</v>
      </c>
      <c r="G179" s="46" t="n">
        <f aca="false">IFERROR(IF(G9&lt;=0,"N/M",G16/G9),"N/M")</f>
        <v>0.00496752208154773</v>
      </c>
      <c r="H179" s="46" t="n">
        <f aca="false">IFERROR(IF(H9&lt;=0,"N/M",H16/H9),"N/M")</f>
        <v>0.0035236291889689</v>
      </c>
      <c r="I179" s="46" t="n">
        <f aca="false">IFERROR(IF(I9&lt;=0,"N/M",I16/I9),"N/M")</f>
        <v>0.0034730106995445</v>
      </c>
      <c r="J179" s="46" t="n">
        <f aca="false">IFERROR(IF(J9&lt;=0,"N/M",J16/J9),"N/M")</f>
        <v>0.00318908551752472</v>
      </c>
      <c r="K179" s="25" t="n">
        <f aca="false">IFERROR(AVERAGE(D179:J179),"N/M")</f>
        <v>0.00463462183062352</v>
      </c>
      <c r="L179" s="86" t="n">
        <f aca="false">IFERROR(J179-D179,"N/M")</f>
        <v>-0.00308427862458814</v>
      </c>
      <c r="M179" s="87" t="n">
        <f aca="false">IFERROR(SLOPE(D179:J179,$D$3:$J$3),"N/M")</f>
        <v>-0.00059082749203495</v>
      </c>
    </row>
    <row r="180" customFormat="false" ht="15" hidden="false" customHeight="false" outlineLevel="0" collapsed="false">
      <c r="A180" s="18" t="s">
        <v>657</v>
      </c>
      <c r="B180" s="19" t="s">
        <v>658</v>
      </c>
      <c r="D180" s="46" t="n">
        <f aca="false">IFERROR(IF(D9&lt;=0,"N/M",D56/D9),"N/M")</f>
        <v>0.0888352515232685</v>
      </c>
      <c r="E180" s="46" t="n">
        <f aca="false">IFERROR(IF(E9&lt;=0,"N/M",E56/E9),"N/M")</f>
        <v>0.0938556018255844</v>
      </c>
      <c r="F180" s="46" t="n">
        <f aca="false">IFERROR(IF(F9&lt;=0,"N/M",F56/F9),"N/M")</f>
        <v>0.126374351373661</v>
      </c>
      <c r="G180" s="46" t="n">
        <f aca="false">IFERROR(IF(G9&lt;=0,"N/M",G56/G9),"N/M")</f>
        <v>0.112455288335708</v>
      </c>
      <c r="H180" s="46" t="n">
        <f aca="false">IFERROR(IF(H9&lt;=0,"N/M",H56/H9),"N/M")</f>
        <v>0.102187731409004</v>
      </c>
      <c r="I180" s="46" t="n">
        <f aca="false">IFERROR(IF(I9&lt;=0,"N/M",I56/I9),"N/M")</f>
        <v>0.102979219819314</v>
      </c>
      <c r="J180" s="46" t="n">
        <f aca="false">IFERROR(IF(J9&lt;=0,"N/M",J56/J9),"N/M")</f>
        <v>0.105557103545621</v>
      </c>
      <c r="K180" s="25" t="n">
        <f aca="false">IFERROR(AVERAGE(D180:J180),"N/M")</f>
        <v>0.104606363976023</v>
      </c>
      <c r="L180" s="86" t="n">
        <f aca="false">IFERROR(J180-D180,"N/M")</f>
        <v>0.0167218520223521</v>
      </c>
      <c r="M180" s="87" t="n">
        <f aca="false">IFERROR(SLOPE(D180:J180,$D$3:$J$3),"N/M")</f>
        <v>0.00157950614606642</v>
      </c>
    </row>
    <row r="181" customFormat="false" ht="15" hidden="false" customHeight="false" outlineLevel="0" collapsed="false">
      <c r="A181" s="18" t="s">
        <v>659</v>
      </c>
      <c r="B181" s="19" t="s">
        <v>660</v>
      </c>
      <c r="D181" s="46" t="n">
        <f aca="false">IFERROR(IF(D9&lt;=0,"N/M",D17/D9),"N/M")</f>
        <v>0.012686545197657</v>
      </c>
      <c r="E181" s="46" t="n">
        <f aca="false">IFERROR(IF(E9&lt;=0,"N/M",E17/E9),"N/M")</f>
        <v>0.0109692084256652</v>
      </c>
      <c r="F181" s="46" t="n">
        <f aca="false">IFERROR(IF(F9&lt;=0,"N/M",F17/F9),"N/M")</f>
        <v>0.013652222743885</v>
      </c>
      <c r="G181" s="46" t="n">
        <f aca="false">IFERROR(IF(G9&lt;=0,"N/M",G17/G9),"N/M")</f>
        <v>0.0184768556827765</v>
      </c>
      <c r="H181" s="46" t="n">
        <f aca="false">IFERROR(IF(H9&lt;=0,"N/M",H17/H9),"N/M")</f>
        <v>0.0294662869695298</v>
      </c>
      <c r="I181" s="46" t="n">
        <f aca="false">IFERROR(IF(I9&lt;=0,"N/M",I17/I9),"N/M")</f>
        <v>0.0300148270841404</v>
      </c>
      <c r="J181" s="46" t="n">
        <f aca="false">IFERROR(IF(J9&lt;=0,"N/M",J17/J9),"N/M")</f>
        <v>0.0266394401202415</v>
      </c>
      <c r="K181" s="25" t="n">
        <f aca="false">IFERROR(AVERAGE(D181:J181),"N/M")</f>
        <v>0.0202721980319851</v>
      </c>
      <c r="L181" s="86" t="n">
        <f aca="false">IFERROR(J181-D181,"N/M")</f>
        <v>0.0139528949225846</v>
      </c>
      <c r="M181" s="87" t="n">
        <f aca="false">IFERROR(SLOPE(D181:J181,$D$3:$J$3),"N/M")</f>
        <v>0.00342014236822674</v>
      </c>
    </row>
    <row r="182" customFormat="false" ht="15" hidden="false" customHeight="false" outlineLevel="0" collapsed="false">
      <c r="A182" s="18" t="s">
        <v>661</v>
      </c>
      <c r="B182" s="19" t="s">
        <v>662</v>
      </c>
      <c r="D182" s="46" t="n">
        <f aca="false">IFERROR(IF(D9&lt;=0,"N/M",D18/D9),"N/M")</f>
        <v>0.0303513083919583</v>
      </c>
      <c r="E182" s="46" t="n">
        <f aca="false">IFERROR(IF(E9&lt;=0,"N/M",E18/E9),"N/M")</f>
        <v>0.0331181598564083</v>
      </c>
      <c r="F182" s="46" t="n">
        <f aca="false">IFERROR(IF(F9&lt;=0,"N/M",F18/F9),"N/M")</f>
        <v>0.0346813714208561</v>
      </c>
      <c r="G182" s="46" t="n">
        <f aca="false">IFERROR(IF(G9&lt;=0,"N/M",G18/G9),"N/M")</f>
        <v>0.0320972249026456</v>
      </c>
      <c r="H182" s="46" t="n">
        <f aca="false">IFERROR(IF(H9&lt;=0,"N/M",H18/H9),"N/M")</f>
        <v>0.0319189117999334</v>
      </c>
      <c r="I182" s="46" t="n">
        <f aca="false">IFERROR(IF(I9&lt;=0,"N/M",I18/I9),"N/M")</f>
        <v>0.0262323622261108</v>
      </c>
      <c r="J182" s="46" t="n">
        <f aca="false">IFERROR(IF(J9&lt;=0,"N/M",J18/J9),"N/M")</f>
        <v>0.0258909812742919</v>
      </c>
      <c r="K182" s="25" t="n">
        <f aca="false">IFERROR(AVERAGE(D182:J182),"N/M")</f>
        <v>0.0306129028388863</v>
      </c>
      <c r="L182" s="86" t="n">
        <f aca="false">IFERROR(J182-D182,"N/M")</f>
        <v>-0.00446032711766646</v>
      </c>
      <c r="M182" s="87" t="n">
        <f aca="false">IFERROR(SLOPE(D182:J182,$D$3:$J$3),"N/M")</f>
        <v>-0.00106839415123275</v>
      </c>
    </row>
    <row r="183" customFormat="false" ht="15" hidden="false" customHeight="false" outlineLevel="0" collapsed="false">
      <c r="A183" s="18" t="s">
        <v>663</v>
      </c>
      <c r="B183" s="19" t="s">
        <v>591</v>
      </c>
      <c r="D183" s="46" t="n">
        <f aca="false">IFERROR(IF(D9&lt;=0,"N/M",D19/D9),"N/M")</f>
        <v>0.0126276749183175</v>
      </c>
      <c r="E183" s="46" t="n">
        <f aca="false">IFERROR(IF(E9&lt;=0,"N/M",E19/E9),"N/M")</f>
        <v>0.0095275818140944</v>
      </c>
      <c r="F183" s="46" t="n">
        <f aca="false">IFERROR(IF(F9&lt;=0,"N/M",F19/F9),"N/M")</f>
        <v>0.003937019955137</v>
      </c>
      <c r="G183" s="46" t="n">
        <f aca="false">IFERROR(IF(G9&lt;=0,"N/M",G19/G9),"N/M")</f>
        <v>0.00259611851201696</v>
      </c>
      <c r="H183" s="46" t="n">
        <f aca="false">IFERROR(IF(H9&lt;=0,"N/M",H19/H9),"N/M")</f>
        <v>0.00329750065850616</v>
      </c>
      <c r="I183" s="46" t="n">
        <f aca="false">IFERROR(IF(I9&lt;=0,"N/M",I19/I9),"N/M")</f>
        <v>0.00448819844248828</v>
      </c>
      <c r="J183" s="46" t="n">
        <f aca="false">IFERROR(IF(J9&lt;=0,"N/M",J19/J9),"N/M")</f>
        <v>0.00463515682043293</v>
      </c>
      <c r="K183" s="25" t="n">
        <f aca="false">IFERROR(AVERAGE(D183:J183),"N/M")</f>
        <v>0.00587275016014189</v>
      </c>
      <c r="L183" s="86" t="n">
        <f aca="false">IFERROR(J183-D183,"N/M")</f>
        <v>-0.00799251809788456</v>
      </c>
      <c r="M183" s="87" t="n">
        <f aca="false">IFERROR(SLOPE(D183:J183,$D$3:$J$3),"N/M")</f>
        <v>-0.00123913715476774</v>
      </c>
    </row>
    <row r="184" customFormat="false" ht="15" hidden="false" customHeight="false" outlineLevel="0" collapsed="false">
      <c r="A184" s="18" t="s">
        <v>664</v>
      </c>
      <c r="B184" s="19" t="s">
        <v>665</v>
      </c>
      <c r="D184" s="46" t="n">
        <f aca="false">IFERROR(IF(D9&lt;=0,"N/M",D20/D9),"N/M")</f>
        <v>0.0585428134106496</v>
      </c>
      <c r="E184" s="46" t="n">
        <f aca="false">IFERROR(IF(E9&lt;=0,"N/M",E20/E9),"N/M")</f>
        <v>0.0621790685807472</v>
      </c>
      <c r="F184" s="46" t="n">
        <f aca="false">IFERROR(IF(F9&lt;=0,"N/M",F20/F9),"N/M")</f>
        <v>0.101408182741553</v>
      </c>
      <c r="G184" s="46" t="n">
        <f aca="false">IFERROR(IF(G9&lt;=0,"N/M",G20/G9),"N/M")</f>
        <v>0.0962388006038223</v>
      </c>
      <c r="H184" s="46" t="n">
        <f aca="false">IFERROR(IF(H9&lt;=0,"N/M",H20/H9),"N/M")</f>
        <v>0.0964376059200946</v>
      </c>
      <c r="I184" s="46" t="n">
        <f aca="false">IFERROR(IF(I9&lt;=0,"N/M",I20/I9),"N/M")</f>
        <v>0.102273486234856</v>
      </c>
      <c r="J184" s="46" t="n">
        <f aca="false">IFERROR(IF(J9&lt;=0,"N/M",J20/J9),"N/M")</f>
        <v>0.101670405571137</v>
      </c>
      <c r="K184" s="25" t="n">
        <f aca="false">IFERROR(AVERAGE(D184:J184),"N/M")</f>
        <v>0.0883929090089799</v>
      </c>
      <c r="L184" s="86" t="n">
        <f aca="false">IFERROR(J184-D184,"N/M")</f>
        <v>0.0431275921604875</v>
      </c>
      <c r="M184" s="87" t="n">
        <f aca="false">IFERROR(SLOPE(D184:J184,$D$3:$J$3),"N/M")</f>
        <v>0.00730717982029362</v>
      </c>
    </row>
    <row r="185" customFormat="false" ht="15" hidden="false" customHeight="false" outlineLevel="0" collapsed="false">
      <c r="A185" s="18" t="s">
        <v>421</v>
      </c>
      <c r="B185" s="19" t="s">
        <v>666</v>
      </c>
      <c r="D185" s="46" t="n">
        <f aca="false">IFERROR(IF(D9&lt;=0,"N/M",D21/D9),"N/M")</f>
        <v>0.00585759279427781</v>
      </c>
      <c r="E185" s="46" t="n">
        <f aca="false">IFERROR(IF(E9&lt;=0,"N/M",E21/E9),"N/M")</f>
        <v>0.0085034559786468</v>
      </c>
      <c r="F185" s="46" t="n">
        <f aca="false">IFERROR(IF(F9&lt;=0,"N/M",F21/F9),"N/M")</f>
        <v>0.0115532970624246</v>
      </c>
      <c r="G185" s="46" t="n">
        <f aca="false">IFERROR(IF(G9&lt;=0,"N/M",G21/G9),"N/M")</f>
        <v>0.0114842554136473</v>
      </c>
      <c r="H185" s="46" t="n">
        <f aca="false">IFERROR(IF(H9&lt;=0,"N/M",H21/H9),"N/M")</f>
        <v>0.00835681591149677</v>
      </c>
      <c r="I185" s="46" t="n">
        <f aca="false">IFERROR(IF(I9&lt;=0,"N/M",I21/I9),"N/M")</f>
        <v>0.00965986758033564</v>
      </c>
      <c r="J185" s="46" t="n">
        <f aca="false">IFERROR(IF(J9&lt;=0,"N/M",J21/J9),"N/M")</f>
        <v>0.00813948994970275</v>
      </c>
      <c r="K185" s="25" t="n">
        <f aca="false">IFERROR(AVERAGE(D185:J185),"N/M")</f>
        <v>0.00907925352721882</v>
      </c>
      <c r="L185" s="86" t="n">
        <f aca="false">IFERROR(J185-D185,"N/M")</f>
        <v>0.00228189715542494</v>
      </c>
      <c r="M185" s="87" t="n">
        <f aca="false">IFERROR(SLOPE(D185:J185,$D$3:$J$3),"N/M")</f>
        <v>0.000212929768525881</v>
      </c>
    </row>
    <row r="186" customFormat="false" ht="15" hidden="false" customHeight="false" outlineLevel="0" collapsed="false">
      <c r="A186" s="18" t="s">
        <v>667</v>
      </c>
      <c r="B186" s="19" t="s">
        <v>668</v>
      </c>
      <c r="D186" s="46" t="n">
        <f aca="false">IFERROR(IF(D9&lt;=0,"N/M",D22/D9),"N/M")</f>
        <v>0.0523798310422983</v>
      </c>
      <c r="E186" s="46" t="n">
        <f aca="false">IFERROR(IF(E9&lt;=0,"N/M",E22/E9),"N/M")</f>
        <v>0.0525016146931726</v>
      </c>
      <c r="F186" s="46" t="n">
        <f aca="false">IFERROR(IF(F9&lt;=0,"N/M",F22/F9),"N/M")</f>
        <v>0.0888698635391447</v>
      </c>
      <c r="G186" s="46" t="n">
        <f aca="false">IFERROR(IF(G9&lt;=0,"N/M",G22/G9),"N/M")</f>
        <v>0.0838953409983159</v>
      </c>
      <c r="H186" s="46" t="n">
        <f aca="false">IFERROR(IF(H9&lt;=0,"N/M",H22/H9),"N/M")</f>
        <v>0.0871713060289345</v>
      </c>
      <c r="I186" s="46" t="n">
        <f aca="false">IFERROR(IF(I9&lt;=0,"N/M",I22/I9),"N/M")</f>
        <v>0.0918077020691129</v>
      </c>
      <c r="J186" s="46" t="n">
        <f aca="false">IFERROR(IF(J9&lt;=0,"N/M",J22/J9),"N/M")</f>
        <v>0.0927946599088426</v>
      </c>
      <c r="K186" s="25" t="n">
        <f aca="false">IFERROR(AVERAGE(D186:J186),"N/M")</f>
        <v>0.0784886168971174</v>
      </c>
      <c r="L186" s="86" t="n">
        <f aca="false">IFERROR(J186-D186,"N/M")</f>
        <v>0.0404148288665443</v>
      </c>
      <c r="M186" s="87" t="n">
        <f aca="false">IFERROR(SLOPE(D186:J186,$D$3:$J$3),"N/M")</f>
        <v>0.0070770751371894</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0.00913076539220113</v>
      </c>
      <c r="E189" s="46" t="n">
        <f aca="false">IFERROR(IF(E35&lt;=0,"N/M",E26/E35),"N/M")</f>
        <v>0.00886813395368097</v>
      </c>
      <c r="F189" s="46" t="n">
        <f aca="false">IFERROR(IF(F35&lt;=0,"N/M",F26/F35),"N/M")</f>
        <v>0.00846729391416671</v>
      </c>
      <c r="G189" s="46" t="n">
        <f aca="false">IFERROR(IF(G35&lt;=0,"N/M",G26/G35),"N/M")</f>
        <v>0.00738251519579611</v>
      </c>
      <c r="H189" s="46" t="n">
        <f aca="false">IFERROR(IF(H35&lt;=0,"N/M",H26/H35),"N/M")</f>
        <v>0.00621651874950028</v>
      </c>
      <c r="I189" s="46" t="n">
        <f aca="false">IFERROR(IF(I35&lt;=0,"N/M",I26/I35),"N/M")</f>
        <v>0.00522148716952451</v>
      </c>
      <c r="J189" s="46" t="n">
        <f aca="false">IFERROR(IF(J35&lt;=0,"N/M",J26/J35),"N/M")</f>
        <v>0.00440856323918825</v>
      </c>
      <c r="K189" s="25" t="n">
        <f aca="false">IFERROR(AVERAGE(D189:J189),"N/M")</f>
        <v>0.00709932537343685</v>
      </c>
      <c r="L189" s="86" t="n">
        <f aca="false">IFERROR(J189-D189,"N/M")</f>
        <v>-0.00472220215301288</v>
      </c>
      <c r="M189" s="87" t="n">
        <f aca="false">IFERROR(SLOPE(D189:J189,$D$3:$J$3),"N/M")</f>
        <v>-0.000846809828286356</v>
      </c>
    </row>
    <row r="190" customFormat="false" ht="15" hidden="false" customHeight="false" outlineLevel="0" collapsed="false">
      <c r="A190" s="18" t="s">
        <v>671</v>
      </c>
      <c r="B190" s="19" t="s">
        <v>672</v>
      </c>
      <c r="D190" s="46" t="n">
        <f aca="false">IFERROR(IF(D35&lt;=0,"N/M",D27/D35),"N/M")</f>
        <v>0.599125537628021</v>
      </c>
      <c r="E190" s="46" t="n">
        <f aca="false">IFERROR(IF(E35&lt;=0,"N/M",E27/E35),"N/M")</f>
        <v>0.663839062347237</v>
      </c>
      <c r="F190" s="46" t="n">
        <f aca="false">IFERROR(IF(F35&lt;=0,"N/M",F27/F35),"N/M")</f>
        <v>0.774376994356962</v>
      </c>
      <c r="G190" s="46" t="n">
        <f aca="false">IFERROR(IF(G35&lt;=0,"N/M",G27/G35),"N/M")</f>
        <v>0.80264266436925</v>
      </c>
      <c r="H190" s="46" t="n">
        <f aca="false">IFERROR(IF(H35&lt;=0,"N/M",H27/H35),"N/M")</f>
        <v>0.794862876788998</v>
      </c>
      <c r="I190" s="46" t="n">
        <f aca="false">IFERROR(IF(I35&lt;=0,"N/M",I27/I35),"N/M")</f>
        <v>0.729177956598944</v>
      </c>
      <c r="J190" s="46" t="n">
        <f aca="false">IFERROR(IF(J35&lt;=0,"N/M",J27/J35),"N/M")</f>
        <v>0.732550992860138</v>
      </c>
      <c r="K190" s="25" t="n">
        <f aca="false">IFERROR(AVERAGE(D190:J190),"N/M")</f>
        <v>0.728082297849936</v>
      </c>
      <c r="L190" s="86" t="n">
        <f aca="false">IFERROR(J190-D190,"N/M")</f>
        <v>0.133425455232117</v>
      </c>
      <c r="M190" s="87" t="n">
        <f aca="false">IFERROR(SLOPE(D190:J190,$D$3:$J$3),"N/M")</f>
        <v>0.0196942870225643</v>
      </c>
    </row>
    <row r="191" customFormat="false" ht="15" hidden="false" customHeight="false" outlineLevel="0" collapsed="false">
      <c r="A191" s="18" t="s">
        <v>673</v>
      </c>
      <c r="B191" s="19" t="s">
        <v>674</v>
      </c>
      <c r="D191" s="46" t="n">
        <f aca="false">IFERROR(IF(D35&lt;=0,"N/M",D61/D35),"N/M")</f>
        <v>0.608256303020222</v>
      </c>
      <c r="E191" s="46" t="n">
        <f aca="false">IFERROR(IF(E35&lt;=0,"N/M",E61/E35),"N/M")</f>
        <v>0.672707196300919</v>
      </c>
      <c r="F191" s="46" t="n">
        <f aca="false">IFERROR(IF(F35&lt;=0,"N/M",F61/F35),"N/M")</f>
        <v>0.782844288271129</v>
      </c>
      <c r="G191" s="46" t="n">
        <f aca="false">IFERROR(IF(G35&lt;=0,"N/M",G61/G35),"N/M")</f>
        <v>0.810025179565046</v>
      </c>
      <c r="H191" s="46" t="n">
        <f aca="false">IFERROR(IF(H35&lt;=0,"N/M",H61/H35),"N/M")</f>
        <v>0.801079395538498</v>
      </c>
      <c r="I191" s="46" t="n">
        <f aca="false">IFERROR(IF(I35&lt;=0,"N/M",I61/I35),"N/M")</f>
        <v>0.734399443768469</v>
      </c>
      <c r="J191" s="46" t="n">
        <f aca="false">IFERROR(IF(J35&lt;=0,"N/M",J61/J35),"N/M")</f>
        <v>0.736959556099326</v>
      </c>
      <c r="K191" s="25" t="n">
        <f aca="false">IFERROR(AVERAGE(D191:J191),"N/M")</f>
        <v>0.735181623223373</v>
      </c>
      <c r="L191" s="86" t="n">
        <f aca="false">IFERROR(J191-D191,"N/M")</f>
        <v>0.128703253079104</v>
      </c>
      <c r="M191" s="87" t="n">
        <f aca="false">IFERROR(SLOPE(D191:J191,$D$3:$J$3),"N/M")</f>
        <v>0.018847477194278</v>
      </c>
    </row>
    <row r="192" customFormat="false" ht="15" hidden="false" customHeight="false" outlineLevel="0" collapsed="false">
      <c r="A192" s="18" t="s">
        <v>675</v>
      </c>
      <c r="B192" s="19" t="s">
        <v>676</v>
      </c>
      <c r="D192" s="46" t="n">
        <f aca="false">IFERROR(IF(D35&lt;=0,"N/M",D28/D35),"N/M")</f>
        <v>0.250724758215907</v>
      </c>
      <c r="E192" s="46" t="n">
        <f aca="false">IFERROR(IF(E35&lt;=0,"N/M",E28/E35),"N/M")</f>
        <v>0.17108252195467</v>
      </c>
      <c r="F192" s="46" t="n">
        <f aca="false">IFERROR(IF(F35&lt;=0,"N/M",F28/F35),"N/M")</f>
        <v>0.0526701805662742</v>
      </c>
      <c r="G192" s="46" t="n">
        <f aca="false">IFERROR(IF(G35&lt;=0,"N/M",G28/G35),"N/M")</f>
        <v>0.0437286699573042</v>
      </c>
      <c r="H192" s="46" t="n">
        <f aca="false">IFERROR(IF(H35&lt;=0,"N/M",H28/H35),"N/M")</f>
        <v>0.0774286399616215</v>
      </c>
      <c r="I192" s="46" t="n">
        <f aca="false">IFERROR(IF(I35&lt;=0,"N/M",I28/I35),"N/M")</f>
        <v>0.0824326949622192</v>
      </c>
      <c r="J192" s="46" t="n">
        <f aca="false">IFERROR(IF(J35&lt;=0,"N/M",J28/J35),"N/M")</f>
        <v>0.0897221599949452</v>
      </c>
      <c r="K192" s="25" t="n">
        <f aca="false">IFERROR(AVERAGE(D192:J192),"N/M")</f>
        <v>0.10968423223042</v>
      </c>
      <c r="L192" s="86" t="n">
        <f aca="false">IFERROR(J192-D192,"N/M")</f>
        <v>-0.161002598220961</v>
      </c>
      <c r="M192" s="87" t="n">
        <f aca="false">IFERROR(SLOPE(D192:J192,$D$3:$J$3),"N/M")</f>
        <v>-0.0226981781875871</v>
      </c>
    </row>
    <row r="193" customFormat="false" ht="15" hidden="false" customHeight="false" outlineLevel="0" collapsed="false">
      <c r="A193" s="18" t="s">
        <v>496</v>
      </c>
      <c r="B193" s="19" t="s">
        <v>677</v>
      </c>
      <c r="D193" s="46" t="n">
        <f aca="false">IFERROR(IF(D35&lt;=0,"N/M",D29/D35),"N/M")</f>
        <v>0.141018938763871</v>
      </c>
      <c r="E193" s="46" t="n">
        <f aca="false">IFERROR(IF(E35&lt;=0,"N/M",E29/E35),"N/M")</f>
        <v>0.156210281744411</v>
      </c>
      <c r="F193" s="46" t="n">
        <f aca="false">IFERROR(IF(F35&lt;=0,"N/M",F29/F35),"N/M")</f>
        <v>0.164485531162597</v>
      </c>
      <c r="G193" s="46" t="n">
        <f aca="false">IFERROR(IF(G35&lt;=0,"N/M",G29/G35),"N/M")</f>
        <v>0.14624615047765</v>
      </c>
      <c r="H193" s="46" t="n">
        <f aca="false">IFERROR(IF(H35&lt;=0,"N/M",H29/H35),"N/M")</f>
        <v>0.12149196449988</v>
      </c>
      <c r="I193" s="46" t="n">
        <f aca="false">IFERROR(IF(I35&lt;=0,"N/M",I29/I35),"N/M")</f>
        <v>0.183167861269312</v>
      </c>
      <c r="J193" s="46" t="n">
        <f aca="false">IFERROR(IF(J35&lt;=0,"N/M",J29/J35),"N/M")</f>
        <v>0.173318283905729</v>
      </c>
      <c r="K193" s="25" t="n">
        <f aca="false">IFERROR(AVERAGE(D193:J193),"N/M")</f>
        <v>0.155134144546207</v>
      </c>
      <c r="L193" s="86" t="n">
        <f aca="false">IFERROR(J193-D193,"N/M")</f>
        <v>0.0322993451418571</v>
      </c>
      <c r="M193" s="87" t="n">
        <f aca="false">IFERROR(SLOPE(D193:J193,$D$3:$J$3),"N/M")</f>
        <v>0.00385070099330913</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0.458451156048761</v>
      </c>
      <c r="E195" s="46" t="n">
        <f aca="false">IFERROR(IF(E35&lt;=0,"N/M",E31/E35),"N/M")</f>
        <v>0.462747511228944</v>
      </c>
      <c r="F195" s="46" t="n">
        <f aca="false">IFERROR(IF(F35&lt;=0,"N/M",F31/F35),"N/M")</f>
        <v>0.438608014099385</v>
      </c>
      <c r="G195" s="46" t="n">
        <f aca="false">IFERROR(IF(G35&lt;=0,"N/M",G31/G35),"N/M")</f>
        <v>0.376627271039692</v>
      </c>
      <c r="H195" s="46" t="n">
        <f aca="false">IFERROR(IF(H35&lt;=0,"N/M",H31/H35),"N/M")</f>
        <v>0.34451906932118</v>
      </c>
      <c r="I195" s="46" t="n">
        <f aca="false">IFERROR(IF(I35&lt;=0,"N/M",I31/I35),"N/M")</f>
        <v>0.328456082589476</v>
      </c>
      <c r="J195" s="46" t="n">
        <f aca="false">IFERROR(IF(J35&lt;=0,"N/M",J31/J35),"N/M")</f>
        <v>0.342543927670843</v>
      </c>
      <c r="K195" s="25" t="n">
        <f aca="false">IFERROR(AVERAGE(D195:J195),"N/M")</f>
        <v>0.393136147428326</v>
      </c>
      <c r="L195" s="86" t="n">
        <f aca="false">IFERROR(J195-D195,"N/M")</f>
        <v>-0.115907228377918</v>
      </c>
      <c r="M195" s="87" t="n">
        <f aca="false">IFERROR(SLOPE(D195:J195,$D$3:$J$3),"N/M")</f>
        <v>-0.0253711959711034</v>
      </c>
    </row>
    <row r="196" customFormat="false" ht="15" hidden="false" customHeight="false" outlineLevel="0" collapsed="false">
      <c r="A196" s="18" t="s">
        <v>680</v>
      </c>
      <c r="B196" s="19" t="s">
        <v>681</v>
      </c>
      <c r="D196" s="46" t="n">
        <f aca="false">IFERROR(IF(D35&lt;=0,"N/M",D32/D35),"N/M")</f>
        <v>0.0128199035239883</v>
      </c>
      <c r="E196" s="46" t="n">
        <f aca="false">IFERROR(IF(E35&lt;=0,"N/M",E32/E35),"N/M")</f>
        <v>0.00300205312828889</v>
      </c>
      <c r="F196" s="46" t="n">
        <f aca="false">IFERROR(IF(F35&lt;=0,"N/M",F32/F35),"N/M")</f>
        <v>0.00399555562853374</v>
      </c>
      <c r="G196" s="46" t="n">
        <f aca="false">IFERROR(IF(G35&lt;=0,"N/M",G32/G35),"N/M")</f>
        <v>0.0123660699411208</v>
      </c>
      <c r="H196" s="46" t="n">
        <f aca="false">IFERROR(IF(H35&lt;=0,"N/M",H32/H35),"N/M")</f>
        <v>0.0435596066202926</v>
      </c>
      <c r="I196" s="46" t="n">
        <f aca="false">IFERROR(IF(I35&lt;=0,"N/M",I32/I35),"N/M")</f>
        <v>0.0869077684958913</v>
      </c>
      <c r="J196" s="46" t="n">
        <f aca="false">IFERROR(IF(J35&lt;=0,"N/M",J32/J35),"N/M")</f>
        <v>0.0985766228395168</v>
      </c>
      <c r="K196" s="25" t="n">
        <f aca="false">IFERROR(AVERAGE(D196:J196),"N/M")</f>
        <v>0.0373182257396618</v>
      </c>
      <c r="L196" s="86" t="n">
        <f aca="false">IFERROR(J196-D196,"N/M")</f>
        <v>0.0857567193155285</v>
      </c>
      <c r="M196" s="87" t="n">
        <f aca="false">IFERROR(SLOPE(D196:J196,$D$3:$J$3),"N/M")</f>
        <v>0.0165944871311982</v>
      </c>
    </row>
    <row r="197" customFormat="false" ht="15" hidden="false" customHeight="false" outlineLevel="0" collapsed="false">
      <c r="A197" s="18" t="s">
        <v>442</v>
      </c>
      <c r="B197" s="19" t="s">
        <v>682</v>
      </c>
      <c r="D197" s="46" t="n">
        <f aca="false">IFERROR(IF(D35&lt;=0,"N/M",D33/D35),"N/M")</f>
        <v>0.0804065774778414</v>
      </c>
      <c r="E197" s="46" t="n">
        <f aca="false">IFERROR(IF(E35&lt;=0,"N/M",E33/E35),"N/M")</f>
        <v>0.0862543923717945</v>
      </c>
      <c r="F197" s="46" t="n">
        <f aca="false">IFERROR(IF(F35&lt;=0,"N/M",F33/F35),"N/M")</f>
        <v>0.105477195229416</v>
      </c>
      <c r="G197" s="46" t="n">
        <f aca="false">IFERROR(IF(G35&lt;=0,"N/M",G33/G35),"N/M")</f>
        <v>0.136083887458292</v>
      </c>
      <c r="H197" s="46" t="n">
        <f aca="false">IFERROR(IF(H35&lt;=0,"N/M",H33/H35),"N/M")</f>
        <v>0.216946509954426</v>
      </c>
      <c r="I197" s="46" t="n">
        <f aca="false">IFERROR(IF(I35&lt;=0,"N/M",I33/I35),"N/M")</f>
        <v>0.140141716342369</v>
      </c>
      <c r="J197" s="46" t="n">
        <f aca="false">IFERROR(IF(J35&lt;=0,"N/M",J33/J35),"N/M")</f>
        <v>0.139747146640014</v>
      </c>
      <c r="K197" s="25" t="n">
        <f aca="false">IFERROR(AVERAGE(D197:J197),"N/M")</f>
        <v>0.129293917924879</v>
      </c>
      <c r="L197" s="86" t="n">
        <f aca="false">IFERROR(J197-D197,"N/M")</f>
        <v>0.0593405691621728</v>
      </c>
      <c r="M197" s="87" t="n">
        <f aca="false">IFERROR(SLOPE(D197:J197,$D$3:$J$3),"N/M")</f>
        <v>0.0141880596483099</v>
      </c>
    </row>
    <row r="198" customFormat="false" ht="15" hidden="false" customHeight="false" outlineLevel="0" collapsed="false">
      <c r="A198" s="18" t="s">
        <v>494</v>
      </c>
      <c r="B198" s="19" t="s">
        <v>683</v>
      </c>
      <c r="D198" s="46" t="n">
        <f aca="false">IFERROR(IF(D35&lt;=0,"N/M",D34/D35),"N/M")</f>
        <v>0.448322362949409</v>
      </c>
      <c r="E198" s="46" t="n">
        <f aca="false">IFERROR(IF(E35&lt;=0,"N/M",E34/E35),"N/M")</f>
        <v>0.447996043270973</v>
      </c>
      <c r="F198" s="46" t="n">
        <f aca="false">IFERROR(IF(F35&lt;=0,"N/M",F34/F35),"N/M")</f>
        <v>0.451919235042665</v>
      </c>
      <c r="G198" s="46" t="n">
        <f aca="false">IFERROR(IF(G35&lt;=0,"N/M",G34/G35),"N/M")</f>
        <v>0.474922771560895</v>
      </c>
      <c r="H198" s="46" t="n">
        <f aca="false">IFERROR(IF(H35&lt;=0,"N/M",H34/H35),"N/M")</f>
        <v>0.394974814104102</v>
      </c>
      <c r="I198" s="46" t="n">
        <f aca="false">IFERROR(IF(I35&lt;=0,"N/M",I34/I35),"N/M")</f>
        <v>0.444494432572264</v>
      </c>
      <c r="J198" s="46" t="n">
        <f aca="false">IFERROR(IF(J35&lt;=0,"N/M",J34/J35),"N/M")</f>
        <v>0.419132302849626</v>
      </c>
      <c r="K198" s="25" t="n">
        <f aca="false">IFERROR(AVERAGE(D198:J198),"N/M")</f>
        <v>0.440251708907133</v>
      </c>
      <c r="L198" s="86" t="n">
        <f aca="false">IFERROR(J198-D198,"N/M")</f>
        <v>-0.0291900600997831</v>
      </c>
      <c r="M198" s="87" t="n">
        <f aca="false">IFERROR(SLOPE(D198:J198,$D$3:$J$3),"N/M")</f>
        <v>-0.00541135080840464</v>
      </c>
    </row>
    <row r="199" customFormat="false" ht="15" hidden="false" customHeight="false" outlineLevel="0" collapsed="false">
      <c r="A199" s="18" t="s">
        <v>684</v>
      </c>
      <c r="B199" s="19" t="s">
        <v>685</v>
      </c>
      <c r="D199" s="46" t="n">
        <f aca="false">IFERROR(IF(D35&lt;=0,"N/M",D36/D35),"N/M")</f>
        <v>0.289487441484685</v>
      </c>
      <c r="E199" s="46" t="n">
        <f aca="false">IFERROR(IF(E35&lt;=0,"N/M",E36/E35),"N/M")</f>
        <v>0.293902151471409</v>
      </c>
      <c r="F199" s="46" t="n">
        <f aca="false">IFERROR(IF(F35&lt;=0,"N/M",F36/F35),"N/M")</f>
        <v>0.278183718931818</v>
      </c>
      <c r="G199" s="46" t="n">
        <f aca="false">IFERROR(IF(G35&lt;=0,"N/M",G36/G35),"N/M")</f>
        <v>0.266984306800387</v>
      </c>
      <c r="H199" s="46" t="n">
        <f aca="false">IFERROR(IF(H35&lt;=0,"N/M",H36/H35),"N/M")</f>
        <v>0.240117534180859</v>
      </c>
      <c r="I199" s="46" t="n">
        <f aca="false">IFERROR(IF(I35&lt;=0,"N/M",I36/I35),"N/M")</f>
        <v>0.246054062160237</v>
      </c>
      <c r="J199" s="46" t="n">
        <f aca="false">IFERROR(IF(J35&lt;=0,"N/M",J36/J35),"N/M")</f>
        <v>0.234460891592425</v>
      </c>
      <c r="K199" s="25" t="n">
        <f aca="false">IFERROR(AVERAGE(D199:J199),"N/M")</f>
        <v>0.264170015231688</v>
      </c>
      <c r="L199" s="86" t="n">
        <f aca="false">IFERROR(J199-D199,"N/M")</f>
        <v>-0.0550265498922603</v>
      </c>
      <c r="M199" s="87" t="n">
        <f aca="false">IFERROR(SLOPE(D199:J199,$D$3:$J$3),"N/M")</f>
        <v>-0.010672929037503</v>
      </c>
    </row>
    <row r="200" customFormat="false" ht="15" hidden="false" customHeight="false" outlineLevel="0" collapsed="false">
      <c r="A200" s="18" t="s">
        <v>686</v>
      </c>
      <c r="B200" s="19" t="s">
        <v>687</v>
      </c>
      <c r="D200" s="46" t="n">
        <f aca="false">IFERROR(IF(D35&lt;=0,"N/M",D37/D35),"N/M")</f>
        <v>0.00390894185300478</v>
      </c>
      <c r="E200" s="46" t="n">
        <f aca="false">IFERROR(IF(E35&lt;=0,"N/M",E37/E35),"N/M")</f>
        <v>0.00409475445850898</v>
      </c>
      <c r="F200" s="46" t="n">
        <f aca="false">IFERROR(IF(F35&lt;=0,"N/M",F37/F35),"N/M")</f>
        <v>0.00463046583799938</v>
      </c>
      <c r="G200" s="46" t="n">
        <f aca="false">IFERROR(IF(G35&lt;=0,"N/M",G37/G35),"N/M")</f>
        <v>0.00237992108181693</v>
      </c>
      <c r="H200" s="46" t="n">
        <f aca="false">IFERROR(IF(H35&lt;=0,"N/M",H37/H35),"N/M")</f>
        <v>0.00421763812265132</v>
      </c>
      <c r="I200" s="46" t="n">
        <f aca="false">IFERROR(IF(I35&lt;=0,"N/M",I37/I35),"N/M")</f>
        <v>0.00223242434467269</v>
      </c>
      <c r="J200" s="46" t="n">
        <f aca="false">IFERROR(IF(J35&lt;=0,"N/M",J37/J35),"N/M")</f>
        <v>0.00424485763356367</v>
      </c>
      <c r="K200" s="25" t="n">
        <f aca="false">IFERROR(AVERAGE(D200:J200),"N/M")</f>
        <v>0.00367271476174539</v>
      </c>
      <c r="L200" s="86" t="n">
        <f aca="false">IFERROR(J200-D200,"N/M")</f>
        <v>0.000335915780558894</v>
      </c>
      <c r="M200" s="87" t="n">
        <f aca="false">IFERROR(SLOPE(D200:J200,$D$3:$J$3),"N/M")</f>
        <v>-0.000111776450047999</v>
      </c>
    </row>
    <row r="201" customFormat="false" ht="15" hidden="false" customHeight="false" outlineLevel="0" collapsed="false">
      <c r="A201" s="18" t="s">
        <v>688</v>
      </c>
      <c r="B201" s="19" t="s">
        <v>689</v>
      </c>
      <c r="D201" s="46" t="n">
        <f aca="false">IFERROR(IF(D35&lt;=0,"N/M",D38/D35),"N/M")</f>
        <v>0.0153981417674595</v>
      </c>
      <c r="E201" s="46" t="n">
        <f aca="false">IFERROR(IF(E35&lt;=0,"N/M",E38/E35),"N/M")</f>
        <v>0.0227224366089452</v>
      </c>
      <c r="F201" s="46" t="n">
        <f aca="false">IFERROR(IF(F35&lt;=0,"N/M",F38/F35),"N/M")</f>
        <v>0.0407491940471695</v>
      </c>
      <c r="G201" s="46" t="n">
        <f aca="false">IFERROR(IF(G35&lt;=0,"N/M",G38/G35),"N/M")</f>
        <v>0.0878571666563537</v>
      </c>
      <c r="H201" s="46" t="n">
        <f aca="false">IFERROR(IF(H35&lt;=0,"N/M",H38/H35),"N/M")</f>
        <v>0.0382185975853522</v>
      </c>
      <c r="I201" s="46" t="n">
        <f aca="false">IFERROR(IF(I35&lt;=0,"N/M",I38/I35),"N/M")</f>
        <v>0.0289363094446887</v>
      </c>
      <c r="J201" s="46" t="n">
        <f aca="false">IFERROR(IF(J35&lt;=0,"N/M",J38/J35),"N/M")</f>
        <v>0.0325257190122521</v>
      </c>
      <c r="K201" s="25" t="n">
        <f aca="false">IFERROR(AVERAGE(D201:J201),"N/M")</f>
        <v>0.0380582235888887</v>
      </c>
      <c r="L201" s="86" t="n">
        <f aca="false">IFERROR(J201-D201,"N/M")</f>
        <v>0.0171275772447925</v>
      </c>
      <c r="M201" s="87" t="n">
        <f aca="false">IFERROR(SLOPE(D201:J201,$D$3:$J$3),"N/M")</f>
        <v>0.00218856717657312</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103.110926323845</v>
      </c>
      <c r="F205" s="91" t="n">
        <f aca="false">IFERROR((IF($D9&lt;=0,"N/M",F9/$D9)*100),"N/M")</f>
        <v>119.904409383923</v>
      </c>
      <c r="G205" s="91" t="n">
        <f aca="false">IFERROR((IF($D9&lt;=0,"N/M",G9/$D9)*100),"N/M")</f>
        <v>139.1755953257</v>
      </c>
      <c r="H205" s="91" t="n">
        <f aca="false">IFERROR((IF($D9&lt;=0,"N/M",H9/$D9)*100),"N/M")</f>
        <v>148.068318959173</v>
      </c>
      <c r="I205" s="91" t="n">
        <f aca="false">IFERROR((IF($D9&lt;=0,"N/M",I9/$D9)*100),"N/M")</f>
        <v>165.270214582168</v>
      </c>
      <c r="J205" s="91" t="n">
        <f aca="false">IFERROR((IF($D9&lt;=0,"N/M",J9/$D9)*100),"N/M")</f>
        <v>180.907264592471</v>
      </c>
      <c r="K205" s="92" t="n">
        <f aca="false">IFERROR(AVERAGE(D205:J205),"N/M")</f>
        <v>136.633818452469</v>
      </c>
      <c r="L205" s="85" t="n">
        <f aca="false">IFERROR(J205-D205,"N/M")</f>
        <v>80.9072645924705</v>
      </c>
      <c r="M205" s="85" t="n">
        <f aca="false">IFERROR(SLOPE(D205:J205,$D$3:$J$3),"N/M")</f>
        <v>14.114438566761</v>
      </c>
    </row>
    <row r="206" customFormat="false" ht="15" hidden="false" customHeight="false" outlineLevel="0" collapsed="false">
      <c r="A206" s="18" t="s">
        <v>657</v>
      </c>
      <c r="B206" s="19" t="s">
        <v>693</v>
      </c>
      <c r="D206" s="91" t="n">
        <f aca="false">IFERROR((IF($D56&lt;=0,"N/M",D56/$D56)*100),"N/M")</f>
        <v>100</v>
      </c>
      <c r="E206" s="91" t="n">
        <f aca="false">IFERROR((IF($D56&lt;=0,"N/M",E56/$D56)*100),"N/M")</f>
        <v>108.93803843605</v>
      </c>
      <c r="F206" s="91" t="n">
        <f aca="false">IFERROR((IF($D56&lt;=0,"N/M",F56/$D56)*100),"N/M")</f>
        <v>170.572398939695</v>
      </c>
      <c r="G206" s="91" t="n">
        <f aca="false">IFERROR((IF($D56&lt;=0,"N/M",G56/$D56)*100),"N/M")</f>
        <v>176.18041749503</v>
      </c>
      <c r="H206" s="91" t="n">
        <f aca="false">IFERROR((IF($D56&lt;=0,"N/M",H56/$D56)*100),"N/M")</f>
        <v>170.323889993373</v>
      </c>
      <c r="I206" s="91" t="n">
        <f aca="false">IFERROR((IF($D56&lt;=0,"N/M",I56/$D56)*100),"N/M")</f>
        <v>191.583830351226</v>
      </c>
      <c r="J206" s="91" t="n">
        <f aca="false">IFERROR((IF($D56&lt;=0,"N/M",J56/$D56)*100),"N/M")</f>
        <v>214.960238568589</v>
      </c>
      <c r="K206" s="92" t="n">
        <f aca="false">IFERROR(AVERAGE(D206:J206),"N/M")</f>
        <v>161.794116254852</v>
      </c>
      <c r="L206" s="85" t="n">
        <f aca="false">IFERROR(J206-D206,"N/M")</f>
        <v>114.960238568589</v>
      </c>
      <c r="M206" s="85" t="n">
        <f aca="false">IFERROR(SLOPE(D206:J206,$D$3:$J$3),"N/M")</f>
        <v>18.2115639496356</v>
      </c>
    </row>
    <row r="207" customFormat="false" ht="15" hidden="false" customHeight="false" outlineLevel="0" collapsed="false">
      <c r="A207" s="18" t="s">
        <v>667</v>
      </c>
      <c r="B207" s="19" t="s">
        <v>694</v>
      </c>
      <c r="D207" s="91" t="n">
        <f aca="false">IFERROR((IF($D22&lt;=0,"N/M",D22/$D22)*100),"N/M")</f>
        <v>100</v>
      </c>
      <c r="E207" s="91" t="n">
        <f aca="false">IFERROR((IF($D22&lt;=0,"N/M",E22/$D22)*100),"N/M")</f>
        <v>103.350660297836</v>
      </c>
      <c r="F207" s="91" t="n">
        <f aca="false">IFERROR((IF($D22&lt;=0,"N/M",F22/$D22)*100),"N/M")</f>
        <v>203.434953638663</v>
      </c>
      <c r="G207" s="91" t="n">
        <f aca="false">IFERROR((IF($D22&lt;=0,"N/M",G22/$D22)*100),"N/M")</f>
        <v>222.913739814555</v>
      </c>
      <c r="H207" s="91" t="n">
        <f aca="false">IFERROR((IF($D22&lt;=0,"N/M",H22/$D22)*100),"N/M")</f>
        <v>246.417533014892</v>
      </c>
      <c r="I207" s="91" t="n">
        <f aca="false">IFERROR((IF($D22&lt;=0,"N/M",I22/$D22)*100),"N/M")</f>
        <v>289.674065748806</v>
      </c>
      <c r="J207" s="91" t="n">
        <f aca="false">IFERROR((IF($D22&lt;=0,"N/M",J22/$D22)*100),"N/M")</f>
        <v>320.490306265805</v>
      </c>
      <c r="K207" s="92" t="n">
        <f aca="false">IFERROR(AVERAGE(D207:J207),"N/M")</f>
        <v>212.325894111508</v>
      </c>
      <c r="L207" s="85" t="n">
        <f aca="false">IFERROR(J207-D207,"N/M")</f>
        <v>220.490306265805</v>
      </c>
      <c r="M207" s="85" t="n">
        <f aca="false">IFERROR(SLOPE(D207:J207,$D$3:$J$3),"N/M")</f>
        <v>38.4678681812708</v>
      </c>
    </row>
    <row r="208" customFormat="false" ht="15" hidden="false" customHeight="false" outlineLevel="0" collapsed="false">
      <c r="A208" s="18" t="s">
        <v>446</v>
      </c>
      <c r="B208" s="19" t="s">
        <v>695</v>
      </c>
      <c r="D208" s="91" t="n">
        <f aca="false">IFERROR((IF($D35&lt;=0,"N/M",D35/$D35)*100),"N/M")</f>
        <v>100</v>
      </c>
      <c r="E208" s="91" t="n">
        <f aca="false">IFERROR((IF($D35&lt;=0,"N/M",E35/$D35)*100),"N/M")</f>
        <v>103.296461754153</v>
      </c>
      <c r="F208" s="91" t="n">
        <f aca="false">IFERROR((IF($D35&lt;=0,"N/M",F35/$D35)*100),"N/M")</f>
        <v>108.537295344914</v>
      </c>
      <c r="G208" s="91" t="n">
        <f aca="false">IFERROR((IF($D35&lt;=0,"N/M",G35/$D35)*100),"N/M")</f>
        <v>124.807523227907</v>
      </c>
      <c r="H208" s="91" t="n">
        <f aca="false">IFERROR((IF($D35&lt;=0,"N/M",H35/$D35)*100),"N/M")</f>
        <v>148.599196825321</v>
      </c>
      <c r="I208" s="91" t="n">
        <f aca="false">IFERROR((IF($D35&lt;=0,"N/M",I35/$D35)*100),"N/M")</f>
        <v>174.300192476772</v>
      </c>
      <c r="J208" s="91" t="n">
        <f aca="false">IFERROR((IF($D35&lt;=0,"N/M",J35/$D35)*100),"N/M")</f>
        <v>206.844806691538</v>
      </c>
      <c r="K208" s="92" t="n">
        <f aca="false">IFERROR(AVERAGE(D208:J208),"N/M")</f>
        <v>138.055068045801</v>
      </c>
      <c r="L208" s="85" t="n">
        <f aca="false">IFERROR(J208-D208,"N/M")</f>
        <v>106.844806691538</v>
      </c>
      <c r="M208" s="85" t="n">
        <f aca="false">IFERROR(SLOPE(D208:J208,$D$3:$J$3),"N/M")</f>
        <v>17.9501351071522</v>
      </c>
    </row>
    <row r="209" customFormat="false" ht="15" hidden="false" customHeight="false" outlineLevel="0" collapsed="false">
      <c r="A209" s="18" t="s">
        <v>673</v>
      </c>
      <c r="B209" s="19" t="s">
        <v>696</v>
      </c>
      <c r="D209" s="91" t="n">
        <f aca="false">IFERROR((IF($D61&lt;=0,"N/M",D61/$D61)*100),"N/M")</f>
        <v>100</v>
      </c>
      <c r="E209" s="91" t="n">
        <f aca="false">IFERROR((IF($D61&lt;=0,"N/M",E61/$D61)*100),"N/M")</f>
        <v>114.241764252019</v>
      </c>
      <c r="F209" s="91" t="n">
        <f aca="false">IFERROR((IF($D61&lt;=0,"N/M",F61/$D61)*100),"N/M")</f>
        <v>139.69078709627</v>
      </c>
      <c r="G209" s="91" t="n">
        <f aca="false">IFERROR((IF($D61&lt;=0,"N/M",G61/$D61)*100),"N/M")</f>
        <v>166.208284093018</v>
      </c>
      <c r="H209" s="91" t="n">
        <f aca="false">IFERROR((IF($D61&lt;=0,"N/M",H61/$D61)*100),"N/M")</f>
        <v>195.706570041704</v>
      </c>
      <c r="I209" s="91" t="n">
        <f aca="false">IFERROR((IF($D61&lt;=0,"N/M",I61/$D61)*100),"N/M")</f>
        <v>210.447411343015</v>
      </c>
      <c r="J209" s="91" t="n">
        <f aca="false">IFERROR((IF($D61&lt;=0,"N/M",J61/$D61)*100),"N/M")</f>
        <v>250.611882135776</v>
      </c>
      <c r="K209" s="92" t="n">
        <f aca="false">IFERROR(AVERAGE(D209:J209),"N/M")</f>
        <v>168.129528423115</v>
      </c>
      <c r="L209" s="85" t="n">
        <f aca="false">IFERROR(J209-D209,"N/M")</f>
        <v>150.611882135776</v>
      </c>
      <c r="M209" s="85" t="n">
        <f aca="false">IFERROR(SLOPE(D209:J209,$D$3:$J$3),"N/M")</f>
        <v>25.0093829833841</v>
      </c>
    </row>
    <row r="210" customFormat="false" ht="15" hidden="false" customHeight="false" outlineLevel="0" collapsed="false">
      <c r="A210" s="18" t="s">
        <v>675</v>
      </c>
      <c r="B210" s="19" t="s">
        <v>697</v>
      </c>
      <c r="D210" s="91" t="n">
        <f aca="false">IFERROR((IF($D28&lt;=0,"N/M",D28/$D28)*100),"N/M")</f>
        <v>100</v>
      </c>
      <c r="E210" s="91" t="n">
        <f aca="false">IFERROR((IF($D28&lt;=0,"N/M",E28/$D28)*100),"N/M")</f>
        <v>70.4845397464755</v>
      </c>
      <c r="F210" s="91" t="n">
        <f aca="false">IFERROR((IF($D28&lt;=0,"N/M",F28/$D28)*100),"N/M")</f>
        <v>22.8006160407535</v>
      </c>
      <c r="G210" s="91" t="n">
        <f aca="false">IFERROR((IF($D28&lt;=0,"N/M",G28/$D28)*100),"N/M")</f>
        <v>21.7675630849425</v>
      </c>
      <c r="H210" s="91" t="n">
        <f aca="false">IFERROR((IF($D28&lt;=0,"N/M",H28/$D28)*100),"N/M")</f>
        <v>45.8902973581329</v>
      </c>
      <c r="I210" s="91" t="n">
        <f aca="false">IFERROR((IF($D28&lt;=0,"N/M",I28/$D28)*100),"N/M")</f>
        <v>57.3060063973463</v>
      </c>
      <c r="J210" s="91" t="n">
        <f aca="false">IFERROR((IF($D28&lt;=0,"N/M",J28/$D28)*100),"N/M")</f>
        <v>74.0196659163606</v>
      </c>
      <c r="K210" s="92" t="n">
        <f aca="false">IFERROR(AVERAGE(D210:J210),"N/M")</f>
        <v>56.0383840777159</v>
      </c>
      <c r="L210" s="85" t="n">
        <f aca="false">IFERROR(J210-D210,"N/M")</f>
        <v>-25.9803340836394</v>
      </c>
      <c r="M210" s="85" t="n">
        <f aca="false">IFERROR(SLOPE(D210:J210,$D$3:$J$3),"N/M")</f>
        <v>-2.90029955827847</v>
      </c>
    </row>
    <row r="211" customFormat="false" ht="15" hidden="false" customHeight="false" outlineLevel="0" collapsed="false">
      <c r="A211" s="18" t="s">
        <v>698</v>
      </c>
      <c r="B211" s="19" t="s">
        <v>699</v>
      </c>
      <c r="D211" s="91" t="n">
        <f aca="false">IFERROR((IF($D36&lt;=0,"N/M",D36/$D36)*100),"N/M")</f>
        <v>100</v>
      </c>
      <c r="E211" s="91" t="n">
        <f aca="false">IFERROR((IF($D36&lt;=0,"N/M",E36/$D36)*100),"N/M")</f>
        <v>104.871742253232</v>
      </c>
      <c r="F211" s="91" t="n">
        <f aca="false">IFERROR((IF($D36&lt;=0,"N/M",F36/$D36)*100),"N/M")</f>
        <v>104.29919967166</v>
      </c>
      <c r="G211" s="91" t="n">
        <f aca="false">IFERROR((IF($D36&lt;=0,"N/M",G36/$D36)*100),"N/M")</f>
        <v>115.105684383337</v>
      </c>
      <c r="H211" s="91" t="n">
        <f aca="false">IFERROR((IF($D36&lt;=0,"N/M",H36/$D36)*100),"N/M")</f>
        <v>123.256720705931</v>
      </c>
      <c r="I211" s="91" t="n">
        <f aca="false">IFERROR((IF($D36&lt;=0,"N/M",I36/$D36)*100),"N/M")</f>
        <v>148.148984198646</v>
      </c>
      <c r="J211" s="91" t="n">
        <f aca="false">IFERROR((IF($D36&lt;=0,"N/M",J36/$D36)*100),"N/M")</f>
        <v>167.527190642315</v>
      </c>
      <c r="K211" s="92" t="n">
        <f aca="false">IFERROR(AVERAGE(D211:J211),"N/M")</f>
        <v>123.315645979303</v>
      </c>
      <c r="L211" s="85" t="n">
        <f aca="false">IFERROR(J211-D211,"N/M")</f>
        <v>67.5271906423148</v>
      </c>
      <c r="M211" s="85" t="n">
        <f aca="false">IFERROR(SLOPE(D211:J211,$D$3:$J$3),"N/M")</f>
        <v>11.0033420304301</v>
      </c>
    </row>
    <row r="212" customFormat="false" ht="15" hidden="false" customHeight="false" outlineLevel="0" collapsed="false">
      <c r="A212" s="18" t="s">
        <v>700</v>
      </c>
      <c r="B212" s="19" t="s">
        <v>701</v>
      </c>
      <c r="D212" s="91" t="n">
        <f aca="false">IFERROR((IF($D41&lt;=0,"N/M",D41/$D41)*100),"N/M")</f>
        <v>100</v>
      </c>
      <c r="E212" s="91" t="n">
        <f aca="false">IFERROR((IF($D41&lt;=0,"N/M",E41/$D41)*100),"N/M")</f>
        <v>125.492134091096</v>
      </c>
      <c r="F212" s="91" t="n">
        <f aca="false">IFERROR((IF($D41&lt;=0,"N/M",F41/$D41)*100),"N/M")</f>
        <v>151.556708673091</v>
      </c>
      <c r="G212" s="91" t="n">
        <f aca="false">IFERROR((IF($D41&lt;=0,"N/M",G41/$D41)*100),"N/M")</f>
        <v>148.521538588255</v>
      </c>
      <c r="H212" s="91" t="n">
        <f aca="false">IFERROR((IF($D41&lt;=0,"N/M",H41/$D41)*100),"N/M")</f>
        <v>123.264146281196</v>
      </c>
      <c r="I212" s="91" t="n">
        <f aca="false">IFERROR((IF($D41&lt;=0,"N/M",I41/$D41)*100),"N/M")</f>
        <v>147.924388435878</v>
      </c>
      <c r="J212" s="91" t="n">
        <f aca="false">IFERROR((IF($D41&lt;=0,"N/M",J41/$D41)*100),"N/M")</f>
        <v>183.012107734124</v>
      </c>
      <c r="K212" s="92" t="n">
        <f aca="false">IFERROR(AVERAGE(D212:J212),"N/M")</f>
        <v>139.967289114806</v>
      </c>
      <c r="L212" s="85" t="n">
        <f aca="false">IFERROR(J212-D212,"N/M")</f>
        <v>83.012107734124</v>
      </c>
      <c r="M212" s="85" t="n">
        <f aca="false">IFERROR(SLOPE(D212:J212,$D$3:$J$3),"N/M")</f>
        <v>9.48600962500147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90</v>
      </c>
    </row>
    <row r="2" customFormat="false" ht="15" hidden="false" customHeight="false" outlineLevel="0" collapsed="false">
      <c r="A2" s="6" t="s">
        <v>710</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124.66</v>
      </c>
      <c r="D9" s="93" t="n">
        <v>110</v>
      </c>
      <c r="E9" s="93" t="n">
        <v>108.23</v>
      </c>
      <c r="F9" s="93" t="n">
        <v>163.74</v>
      </c>
      <c r="G9" s="93" t="n">
        <v>186.44</v>
      </c>
      <c r="H9" s="93" t="n">
        <v>250.5</v>
      </c>
      <c r="I9" s="93" t="n">
        <v>220.18</v>
      </c>
      <c r="J9" s="93" t="n">
        <v>234.29</v>
      </c>
    </row>
    <row r="10" customFormat="false" ht="15" hidden="false" customHeight="false" outlineLevel="0" collapsed="false">
      <c r="A10" s="18" t="s">
        <v>399</v>
      </c>
      <c r="B10" s="74" t="s">
        <v>400</v>
      </c>
      <c r="C10" s="93" t="n">
        <v>0</v>
      </c>
      <c r="D10" s="93" t="n">
        <v>0</v>
      </c>
      <c r="E10" s="93" t="n">
        <v>0</v>
      </c>
      <c r="F10" s="93" t="n">
        <v>0</v>
      </c>
      <c r="G10" s="93" t="n">
        <v>11.36</v>
      </c>
      <c r="H10" s="93" t="n">
        <v>55.27</v>
      </c>
      <c r="I10" s="93" t="n">
        <v>21.36</v>
      </c>
      <c r="J10" s="93" t="n">
        <v>0</v>
      </c>
    </row>
    <row r="11" customFormat="false" ht="15" hidden="false" customHeight="false" outlineLevel="0" collapsed="false">
      <c r="A11" s="18" t="s">
        <v>401</v>
      </c>
      <c r="B11" s="74" t="s">
        <v>402</v>
      </c>
      <c r="C11" s="93" t="n">
        <v>0</v>
      </c>
      <c r="D11" s="93" t="n">
        <v>0.25</v>
      </c>
      <c r="E11" s="93" t="n">
        <v>0</v>
      </c>
      <c r="F11" s="93" t="n">
        <v>-0.01</v>
      </c>
      <c r="G11" s="93" t="n">
        <v>0</v>
      </c>
      <c r="H11" s="93" t="n">
        <v>0.02</v>
      </c>
      <c r="I11" s="93" t="n">
        <v>0.05</v>
      </c>
      <c r="J11" s="93" t="n">
        <v>-0.26</v>
      </c>
    </row>
    <row r="12" customFormat="false" ht="15" hidden="false" customHeight="false" outlineLevel="0" collapsed="false">
      <c r="A12" s="18" t="s">
        <v>403</v>
      </c>
      <c r="B12" s="74" t="s">
        <v>404</v>
      </c>
      <c r="C12" s="93" t="n">
        <v>0.17</v>
      </c>
      <c r="D12" s="93" t="n">
        <v>0.17</v>
      </c>
      <c r="E12" s="93" t="n">
        <v>0.13</v>
      </c>
      <c r="F12" s="93" t="n">
        <v>0.15</v>
      </c>
      <c r="G12" s="93" t="n">
        <v>0.16</v>
      </c>
      <c r="H12" s="93" t="n">
        <v>0.23</v>
      </c>
      <c r="I12" s="93" t="n">
        <v>0.2</v>
      </c>
      <c r="J12" s="93" t="n">
        <v>0.18</v>
      </c>
    </row>
    <row r="13" customFormat="false" ht="15" hidden="false" customHeight="false" outlineLevel="0" collapsed="false">
      <c r="A13" s="18" t="s">
        <v>405</v>
      </c>
      <c r="B13" s="74" t="s">
        <v>406</v>
      </c>
      <c r="C13" s="93" t="n">
        <v>94.23</v>
      </c>
      <c r="D13" s="93" t="n">
        <v>83.75</v>
      </c>
      <c r="E13" s="93" t="n">
        <v>86.42</v>
      </c>
      <c r="F13" s="93" t="n">
        <v>122.23</v>
      </c>
      <c r="G13" s="93" t="n">
        <v>135.21</v>
      </c>
      <c r="H13" s="93" t="n">
        <v>152.96</v>
      </c>
      <c r="I13" s="93" t="n">
        <v>164.85</v>
      </c>
      <c r="J13" s="93" t="n">
        <v>200.28</v>
      </c>
    </row>
    <row r="14" customFormat="false" ht="15" hidden="false" customHeight="false" outlineLevel="0" collapsed="false">
      <c r="A14" s="18" t="s">
        <v>407</v>
      </c>
      <c r="B14" s="74" t="s">
        <v>408</v>
      </c>
      <c r="C14" s="93" t="n">
        <v>10.43</v>
      </c>
      <c r="D14" s="93" t="n">
        <v>10.56</v>
      </c>
      <c r="E14" s="93" t="n">
        <v>8.31</v>
      </c>
      <c r="F14" s="93" t="n">
        <v>8.13</v>
      </c>
      <c r="G14" s="93" t="n">
        <v>9.08</v>
      </c>
      <c r="H14" s="93" t="n">
        <v>8.97</v>
      </c>
      <c r="I14" s="93" t="n">
        <v>12.66</v>
      </c>
      <c r="J14" s="93" t="n">
        <v>11.98</v>
      </c>
    </row>
    <row r="15" customFormat="false" ht="15" hidden="false" customHeight="false" outlineLevel="0" collapsed="false">
      <c r="A15" s="18" t="s">
        <v>409</v>
      </c>
      <c r="B15" s="74" t="s">
        <v>410</v>
      </c>
      <c r="C15" s="93" t="n">
        <v>6.45</v>
      </c>
      <c r="D15" s="93" t="n">
        <v>6.33</v>
      </c>
      <c r="E15" s="93" t="n">
        <v>6.07</v>
      </c>
      <c r="F15" s="93" t="n">
        <v>13.85</v>
      </c>
      <c r="G15" s="93" t="n">
        <v>10.23</v>
      </c>
      <c r="H15" s="93" t="n">
        <v>14.08</v>
      </c>
      <c r="I15" s="93" t="n">
        <v>11.5</v>
      </c>
      <c r="J15" s="93" t="n">
        <v>12.55</v>
      </c>
    </row>
    <row r="16" customFormat="false" ht="15" hidden="false" customHeight="false" outlineLevel="0" collapsed="false">
      <c r="A16" s="18" t="s">
        <v>411</v>
      </c>
      <c r="B16" s="74" t="s">
        <v>412</v>
      </c>
      <c r="C16" s="93" t="n">
        <v>0.76</v>
      </c>
      <c r="D16" s="93" t="n">
        <v>0.39</v>
      </c>
      <c r="E16" s="93" t="n">
        <v>0.19</v>
      </c>
      <c r="F16" s="93" t="n">
        <v>2.66</v>
      </c>
      <c r="G16" s="93" t="n">
        <v>0.77</v>
      </c>
      <c r="H16" s="93" t="n">
        <v>0.13</v>
      </c>
      <c r="I16" s="93" t="n">
        <v>0.64</v>
      </c>
      <c r="J16" s="93" t="n">
        <v>1.29</v>
      </c>
    </row>
    <row r="17" customFormat="false" ht="15" hidden="false" customHeight="false" outlineLevel="0" collapsed="false">
      <c r="A17" s="18" t="s">
        <v>413</v>
      </c>
      <c r="B17" s="74" t="s">
        <v>414</v>
      </c>
      <c r="C17" s="93" t="n">
        <v>-0.08</v>
      </c>
      <c r="D17" s="93" t="n">
        <v>0.85</v>
      </c>
      <c r="E17" s="93" t="n">
        <v>0.45</v>
      </c>
      <c r="F17" s="93" t="n">
        <v>3.08</v>
      </c>
      <c r="G17" s="93" t="n">
        <v>0.81</v>
      </c>
      <c r="H17" s="93" t="n">
        <v>11.92</v>
      </c>
      <c r="I17" s="93" t="n">
        <v>2.47</v>
      </c>
      <c r="J17" s="93" t="n">
        <v>3.97</v>
      </c>
    </row>
    <row r="18" customFormat="false" ht="15" hidden="false" customHeight="false" outlineLevel="0" collapsed="false">
      <c r="A18" s="18" t="s">
        <v>415</v>
      </c>
      <c r="B18" s="74" t="s">
        <v>416</v>
      </c>
      <c r="C18" s="93" t="n">
        <v>3.49</v>
      </c>
      <c r="D18" s="93" t="n">
        <v>4.17</v>
      </c>
      <c r="E18" s="93" t="n">
        <v>4.31</v>
      </c>
      <c r="F18" s="93" t="n">
        <v>3.86</v>
      </c>
      <c r="G18" s="93" t="n">
        <v>3.36</v>
      </c>
      <c r="H18" s="93" t="n">
        <v>4.41</v>
      </c>
      <c r="I18" s="93" t="n">
        <v>4.83</v>
      </c>
      <c r="J18" s="93" t="n">
        <v>4</v>
      </c>
    </row>
    <row r="19" customFormat="false" ht="15" hidden="false" customHeight="false" outlineLevel="0" collapsed="false">
      <c r="A19" s="18" t="s">
        <v>417</v>
      </c>
      <c r="B19" s="74" t="s">
        <v>418</v>
      </c>
      <c r="C19" s="93" t="n">
        <v>3.51</v>
      </c>
      <c r="D19" s="93" t="n">
        <v>3.53</v>
      </c>
      <c r="E19" s="93" t="n">
        <v>4.21</v>
      </c>
      <c r="F19" s="93" t="n">
        <v>4.13</v>
      </c>
      <c r="G19" s="93" t="n">
        <v>3.71</v>
      </c>
      <c r="H19" s="93" t="n">
        <v>4.96</v>
      </c>
      <c r="I19" s="93" t="n">
        <v>4.38</v>
      </c>
      <c r="J19" s="93" t="n">
        <v>4.16</v>
      </c>
    </row>
    <row r="20" customFormat="false" ht="15" hidden="false" customHeight="false" outlineLevel="0" collapsed="false">
      <c r="A20" s="18" t="s">
        <v>419</v>
      </c>
      <c r="B20" s="74" t="s">
        <v>420</v>
      </c>
      <c r="C20" s="93" t="n">
        <v>5.54</v>
      </c>
      <c r="D20" s="93" t="n">
        <v>2.2</v>
      </c>
      <c r="E20" s="93" t="n">
        <v>-0.96</v>
      </c>
      <c r="F20" s="93" t="n">
        <v>11.8</v>
      </c>
      <c r="G20" s="93" t="n">
        <v>13.37</v>
      </c>
      <c r="H20" s="93" t="n">
        <v>21.43</v>
      </c>
      <c r="I20" s="93" t="n">
        <v>2.28</v>
      </c>
      <c r="J20" s="93" t="n">
        <v>3.56</v>
      </c>
    </row>
    <row r="21" customFormat="false" ht="15" hidden="false" customHeight="false" outlineLevel="0" collapsed="false">
      <c r="A21" s="18" t="s">
        <v>421</v>
      </c>
      <c r="B21" s="74" t="s">
        <v>422</v>
      </c>
      <c r="C21" s="93" t="n">
        <v>1.66</v>
      </c>
      <c r="D21" s="93" t="n">
        <v>0.73</v>
      </c>
      <c r="E21" s="93" t="n">
        <v>0.13</v>
      </c>
      <c r="F21" s="93" t="n">
        <v>2.96</v>
      </c>
      <c r="G21" s="93" t="n">
        <v>3.68</v>
      </c>
      <c r="H21" s="93" t="n">
        <v>5.16</v>
      </c>
      <c r="I21" s="93" t="n">
        <v>0.74</v>
      </c>
      <c r="J21" s="93" t="n">
        <v>0.4</v>
      </c>
    </row>
    <row r="22" customFormat="false" ht="15" hidden="false" customHeight="false" outlineLevel="0" collapsed="false">
      <c r="A22" s="18" t="s">
        <v>423</v>
      </c>
      <c r="B22" s="74" t="s">
        <v>424</v>
      </c>
      <c r="C22" s="93" t="n">
        <v>3.88</v>
      </c>
      <c r="D22" s="93" t="n">
        <v>1.47</v>
      </c>
      <c r="E22" s="93" t="n">
        <v>-1.09</v>
      </c>
      <c r="F22" s="93" t="n">
        <v>8.85</v>
      </c>
      <c r="G22" s="93" t="n">
        <v>9.68</v>
      </c>
      <c r="H22" s="93" t="n">
        <v>16.28</v>
      </c>
      <c r="I22" s="93" t="n">
        <v>1.53</v>
      </c>
      <c r="J22" s="93" t="n">
        <v>3.16</v>
      </c>
    </row>
    <row r="23" customFormat="false" ht="15" hidden="false" customHeight="false" outlineLevel="0" collapsed="false">
      <c r="A23" s="18" t="s">
        <v>425</v>
      </c>
      <c r="B23" s="74" t="s">
        <v>426</v>
      </c>
      <c r="C23" s="93" t="n">
        <v>0</v>
      </c>
      <c r="D23" s="93" t="n">
        <v>0.52</v>
      </c>
      <c r="E23" s="93" t="n">
        <v>1.05</v>
      </c>
      <c r="F23" s="93" t="n">
        <v>2.1</v>
      </c>
      <c r="G23" s="93" t="n">
        <v>1.05</v>
      </c>
      <c r="H23" s="93" t="n">
        <v>0.7</v>
      </c>
      <c r="I23" s="93" t="n">
        <v>0</v>
      </c>
      <c r="J23" s="93" t="n">
        <v>0</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3.49</v>
      </c>
      <c r="D26" s="93" t="n">
        <v>10.48</v>
      </c>
      <c r="E26" s="93" t="n">
        <v>10.48</v>
      </c>
      <c r="F26" s="93" t="n">
        <v>10.48</v>
      </c>
      <c r="G26" s="93" t="n">
        <v>10.48</v>
      </c>
      <c r="H26" s="93" t="n">
        <v>13.98</v>
      </c>
      <c r="I26" s="93" t="n">
        <v>13.98</v>
      </c>
      <c r="J26" s="93" t="n">
        <v>13.98</v>
      </c>
    </row>
    <row r="27" customFormat="false" ht="15" hidden="false" customHeight="false" outlineLevel="0" collapsed="false">
      <c r="A27" s="18" t="s">
        <v>430</v>
      </c>
      <c r="B27" s="74" t="s">
        <v>431</v>
      </c>
      <c r="C27" s="93" t="n">
        <v>20.5</v>
      </c>
      <c r="D27" s="93" t="n">
        <v>14.77</v>
      </c>
      <c r="E27" s="93" t="n">
        <v>13.68</v>
      </c>
      <c r="F27" s="93" t="n">
        <v>21.64</v>
      </c>
      <c r="G27" s="93" t="n">
        <v>30.33</v>
      </c>
      <c r="H27" s="93" t="n">
        <v>41.97</v>
      </c>
      <c r="I27" s="93" t="n">
        <v>42.8</v>
      </c>
      <c r="J27" s="93" t="n">
        <v>46.13</v>
      </c>
    </row>
    <row r="28" customFormat="false" ht="15" hidden="false" customHeight="false" outlineLevel="0" collapsed="false">
      <c r="A28" s="18" t="s">
        <v>432</v>
      </c>
      <c r="B28" s="74" t="s">
        <v>433</v>
      </c>
      <c r="C28" s="93" t="n">
        <v>38.03</v>
      </c>
      <c r="D28" s="93" t="n">
        <v>45.53</v>
      </c>
      <c r="E28" s="93" t="n">
        <v>47.48</v>
      </c>
      <c r="F28" s="93" t="n">
        <v>44.86</v>
      </c>
      <c r="G28" s="93" t="n">
        <v>45.97</v>
      </c>
      <c r="H28" s="93" t="n">
        <v>46.76</v>
      </c>
      <c r="I28" s="93" t="n">
        <v>41.56</v>
      </c>
      <c r="J28" s="93" t="n">
        <v>40.07</v>
      </c>
    </row>
    <row r="29" customFormat="false" ht="15" hidden="false" customHeight="false" outlineLevel="0" collapsed="false">
      <c r="A29" s="18" t="s">
        <v>434</v>
      </c>
      <c r="B29" s="74" t="s">
        <v>435</v>
      </c>
      <c r="C29" s="93" t="n">
        <v>9.24</v>
      </c>
      <c r="D29" s="93" t="n">
        <v>8.57</v>
      </c>
      <c r="E29" s="93" t="n">
        <v>10.34</v>
      </c>
      <c r="F29" s="93" t="n">
        <v>12.61</v>
      </c>
      <c r="G29" s="93" t="n">
        <v>17.88</v>
      </c>
      <c r="H29" s="93" t="n">
        <v>17.69</v>
      </c>
      <c r="I29" s="93" t="n">
        <v>16.65</v>
      </c>
      <c r="J29" s="93" t="n">
        <v>19.34</v>
      </c>
    </row>
    <row r="30" customFormat="false" ht="15" hidden="false" customHeight="false" outlineLevel="0" collapsed="false">
      <c r="A30" s="18" t="s">
        <v>436</v>
      </c>
      <c r="B30" s="74" t="s">
        <v>437</v>
      </c>
      <c r="C30" s="93" t="n">
        <v>71.26</v>
      </c>
      <c r="D30" s="93" t="n">
        <v>79.35</v>
      </c>
      <c r="E30" s="93" t="n">
        <v>81.98</v>
      </c>
      <c r="F30" s="93" t="n">
        <v>89.59</v>
      </c>
      <c r="G30" s="93" t="n">
        <v>104.66</v>
      </c>
      <c r="H30" s="93" t="n">
        <v>120.4</v>
      </c>
      <c r="I30" s="93" t="n">
        <v>114.99</v>
      </c>
      <c r="J30" s="93" t="n">
        <v>119.52</v>
      </c>
    </row>
    <row r="31" customFormat="false" ht="15" hidden="false" customHeight="false" outlineLevel="0" collapsed="false">
      <c r="A31" s="18" t="s">
        <v>438</v>
      </c>
      <c r="B31" s="74" t="s">
        <v>439</v>
      </c>
      <c r="C31" s="93" t="n">
        <v>20.09</v>
      </c>
      <c r="D31" s="93" t="n">
        <v>26.57</v>
      </c>
      <c r="E31" s="93" t="n">
        <v>24.71</v>
      </c>
      <c r="F31" s="93" t="n">
        <v>20.38</v>
      </c>
      <c r="G31" s="93" t="n">
        <v>20.16</v>
      </c>
      <c r="H31" s="93" t="n">
        <v>33.22</v>
      </c>
      <c r="I31" s="93" t="n">
        <v>28.88</v>
      </c>
      <c r="J31" s="93" t="n">
        <v>24.94</v>
      </c>
    </row>
    <row r="32" customFormat="false" ht="15" hidden="false" customHeight="false" outlineLevel="0" collapsed="false">
      <c r="A32" s="18" t="s">
        <v>440</v>
      </c>
      <c r="B32" s="74" t="s">
        <v>441</v>
      </c>
      <c r="C32" s="93" t="n">
        <v>0</v>
      </c>
      <c r="D32" s="93" t="n">
        <v>0.29</v>
      </c>
      <c r="E32" s="93" t="n">
        <v>0.61</v>
      </c>
      <c r="F32" s="93" t="n">
        <v>0</v>
      </c>
      <c r="G32" s="93" t="n">
        <v>6.92</v>
      </c>
      <c r="H32" s="93" t="n">
        <v>0</v>
      </c>
      <c r="I32" s="93" t="n">
        <v>0</v>
      </c>
      <c r="J32" s="93" t="n">
        <v>0</v>
      </c>
    </row>
    <row r="33" customFormat="false" ht="15" hidden="false" customHeight="false" outlineLevel="0" collapsed="false">
      <c r="A33" s="18" t="s">
        <v>442</v>
      </c>
      <c r="B33" s="74" t="s">
        <v>443</v>
      </c>
      <c r="C33" s="93" t="n">
        <v>0.06</v>
      </c>
      <c r="D33" s="93" t="n">
        <v>0.09</v>
      </c>
      <c r="E33" s="93" t="n">
        <v>0.09</v>
      </c>
      <c r="F33" s="93" t="n">
        <v>0.25</v>
      </c>
      <c r="G33" s="93" t="n">
        <v>3.6</v>
      </c>
      <c r="H33" s="93" t="n">
        <v>2.58</v>
      </c>
      <c r="I33" s="93" t="n">
        <v>3.91</v>
      </c>
      <c r="J33" s="93" t="n">
        <v>2.29</v>
      </c>
    </row>
    <row r="34" customFormat="false" ht="15" hidden="false" customHeight="false" outlineLevel="0" collapsed="false">
      <c r="A34" s="18" t="s">
        <v>444</v>
      </c>
      <c r="B34" s="74" t="s">
        <v>445</v>
      </c>
      <c r="C34" s="93" t="n">
        <v>51.11</v>
      </c>
      <c r="D34" s="93" t="n">
        <v>52.4</v>
      </c>
      <c r="E34" s="93" t="n">
        <v>56.57</v>
      </c>
      <c r="F34" s="93" t="n">
        <v>68.96</v>
      </c>
      <c r="G34" s="93" t="n">
        <v>73.98</v>
      </c>
      <c r="H34" s="93" t="n">
        <v>84.6</v>
      </c>
      <c r="I34" s="93" t="n">
        <v>82.2</v>
      </c>
      <c r="J34" s="93" t="n">
        <v>92.29</v>
      </c>
    </row>
    <row r="35" customFormat="false" ht="15" hidden="false" customHeight="false" outlineLevel="0" collapsed="false">
      <c r="A35" s="18" t="s">
        <v>446</v>
      </c>
      <c r="B35" s="74" t="s">
        <v>447</v>
      </c>
      <c r="C35" s="93" t="n">
        <v>71.26</v>
      </c>
      <c r="D35" s="93" t="n">
        <v>79.35</v>
      </c>
      <c r="E35" s="93" t="n">
        <v>81.98</v>
      </c>
      <c r="F35" s="93" t="n">
        <v>89.59</v>
      </c>
      <c r="G35" s="93" t="n">
        <v>104.66</v>
      </c>
      <c r="H35" s="93" t="n">
        <v>120.4</v>
      </c>
      <c r="I35" s="93" t="n">
        <v>114.99</v>
      </c>
      <c r="J35" s="93" t="n">
        <v>119.52</v>
      </c>
    </row>
    <row r="36" customFormat="false" ht="15" hidden="false" customHeight="false" outlineLevel="0" collapsed="false">
      <c r="A36" s="18" t="s">
        <v>448</v>
      </c>
      <c r="B36" s="74" t="s">
        <v>449</v>
      </c>
      <c r="C36" s="93" t="n">
        <v>29.89</v>
      </c>
      <c r="D36" s="93" t="n">
        <v>26.98</v>
      </c>
      <c r="E36" s="93" t="n">
        <v>36.45</v>
      </c>
      <c r="F36" s="93" t="n">
        <v>44.66</v>
      </c>
      <c r="G36" s="93" t="n">
        <v>55.43</v>
      </c>
      <c r="H36" s="93" t="n">
        <v>64.88</v>
      </c>
      <c r="I36" s="93" t="n">
        <v>61.11</v>
      </c>
      <c r="J36" s="93" t="n">
        <v>74.4</v>
      </c>
    </row>
    <row r="37" customFormat="false" ht="15" hidden="false" customHeight="false" outlineLevel="0" collapsed="false">
      <c r="A37" s="18" t="s">
        <v>450</v>
      </c>
      <c r="B37" s="74" t="s">
        <v>451</v>
      </c>
      <c r="C37" s="93" t="n">
        <v>1.74</v>
      </c>
      <c r="D37" s="93" t="n">
        <v>3.77</v>
      </c>
      <c r="E37" s="93" t="n">
        <v>5.16</v>
      </c>
      <c r="F37" s="93" t="n">
        <v>5.72</v>
      </c>
      <c r="G37" s="93" t="n">
        <v>0.25</v>
      </c>
      <c r="H37" s="93" t="n">
        <v>0.26</v>
      </c>
      <c r="I37" s="93" t="n">
        <v>0.31</v>
      </c>
      <c r="J37" s="93" t="n">
        <v>0.05</v>
      </c>
    </row>
    <row r="38" customFormat="false" ht="15" hidden="false" customHeight="false" outlineLevel="0" collapsed="false">
      <c r="A38" s="18" t="s">
        <v>452</v>
      </c>
      <c r="B38" s="74" t="s">
        <v>453</v>
      </c>
      <c r="C38" s="93" t="n">
        <v>4.48</v>
      </c>
      <c r="D38" s="93" t="n">
        <v>3.21</v>
      </c>
      <c r="E38" s="93" t="n">
        <v>5.45</v>
      </c>
      <c r="F38" s="93" t="n">
        <v>4.29</v>
      </c>
      <c r="G38" s="93" t="n">
        <v>6.73</v>
      </c>
      <c r="H38" s="93" t="n">
        <v>4.54</v>
      </c>
      <c r="I38" s="93" t="n">
        <v>7.69</v>
      </c>
      <c r="J38" s="93" t="n">
        <v>6.39</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5.08</v>
      </c>
      <c r="D41" s="93" t="n">
        <v>4.76</v>
      </c>
      <c r="E41" s="93" t="n">
        <v>6.39</v>
      </c>
      <c r="F41" s="93" t="n">
        <v>5.6</v>
      </c>
      <c r="G41" s="93" t="n">
        <v>10.05</v>
      </c>
      <c r="H41" s="93" t="n">
        <v>0.79</v>
      </c>
      <c r="I41" s="93" t="n">
        <v>12.67</v>
      </c>
      <c r="J41" s="93" t="n">
        <v>0.59</v>
      </c>
    </row>
    <row r="42" customFormat="false" ht="15" hidden="false" customHeight="false" outlineLevel="0" collapsed="false">
      <c r="A42" s="18" t="s">
        <v>457</v>
      </c>
      <c r="B42" s="74" t="s">
        <v>458</v>
      </c>
      <c r="C42" s="93" t="n">
        <v>-9.54</v>
      </c>
      <c r="D42" s="93" t="n">
        <v>-10.15</v>
      </c>
      <c r="E42" s="93" t="n">
        <v>-2.03</v>
      </c>
      <c r="F42" s="93" t="n">
        <v>-0.16</v>
      </c>
      <c r="G42" s="93" t="n">
        <v>-5.18</v>
      </c>
      <c r="H42" s="93" t="n">
        <v>0.96</v>
      </c>
      <c r="I42" s="93" t="n">
        <v>-0.26</v>
      </c>
      <c r="J42" s="93" t="n">
        <v>3.59</v>
      </c>
    </row>
    <row r="43" customFormat="false" ht="15" hidden="false" customHeight="false" outlineLevel="0" collapsed="false">
      <c r="A43" s="18" t="s">
        <v>459</v>
      </c>
      <c r="B43" s="74" t="s">
        <v>460</v>
      </c>
      <c r="C43" s="93" t="n">
        <v>5.1</v>
      </c>
      <c r="D43" s="93" t="n">
        <v>4.12</v>
      </c>
      <c r="E43" s="93" t="n">
        <v>-2.12</v>
      </c>
      <c r="F43" s="93" t="n">
        <v>-6.6</v>
      </c>
      <c r="G43" s="93" t="n">
        <v>-2.43</v>
      </c>
      <c r="H43" s="93" t="n">
        <v>-3.94</v>
      </c>
      <c r="I43" s="93" t="n">
        <v>-9.26</v>
      </c>
      <c r="J43" s="93" t="n">
        <v>-5.48</v>
      </c>
    </row>
    <row r="44" customFormat="false" ht="15" hidden="false" customHeight="false" outlineLevel="0" collapsed="false">
      <c r="A44" s="18" t="s">
        <v>461</v>
      </c>
      <c r="B44" s="74" t="s">
        <v>462</v>
      </c>
      <c r="C44" s="93" t="n">
        <v>0.64</v>
      </c>
      <c r="D44" s="93" t="n">
        <v>-1.26</v>
      </c>
      <c r="E44" s="93" t="n">
        <v>2.23</v>
      </c>
      <c r="F44" s="93" t="n">
        <v>-1.16</v>
      </c>
      <c r="G44" s="93" t="n">
        <v>2.44</v>
      </c>
      <c r="H44" s="93" t="n">
        <v>-2.19</v>
      </c>
      <c r="I44" s="93" t="n">
        <v>3.15</v>
      </c>
      <c r="J44" s="93" t="n">
        <v>-1.3</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6.5</v>
      </c>
      <c r="D47" s="93" t="n">
        <v>4.51</v>
      </c>
      <c r="E47" s="93" t="n">
        <v>8.25</v>
      </c>
      <c r="F47" s="93" t="n">
        <v>30.42</v>
      </c>
      <c r="G47" s="93" t="n">
        <v>49.85</v>
      </c>
      <c r="H47" s="93" t="n">
        <v>26.02</v>
      </c>
      <c r="I47" s="93" t="n">
        <v>8.85</v>
      </c>
      <c r="J47" s="93" t="n">
        <v>5.88</v>
      </c>
    </row>
    <row r="48" customFormat="false" ht="15" hidden="false" customHeight="false" outlineLevel="0" collapsed="false">
      <c r="A48" s="18" t="s">
        <v>467</v>
      </c>
      <c r="B48" s="74" t="s">
        <v>468</v>
      </c>
      <c r="C48" s="93" t="n">
        <v>7.05</v>
      </c>
      <c r="D48" s="93" t="n">
        <v>7</v>
      </c>
      <c r="E48" s="93" t="n">
        <v>7</v>
      </c>
      <c r="F48" s="93" t="n">
        <v>7</v>
      </c>
      <c r="G48" s="93" t="n">
        <v>6.99</v>
      </c>
      <c r="H48" s="93" t="n">
        <v>6.99</v>
      </c>
      <c r="I48" s="93" t="n">
        <v>6.99</v>
      </c>
      <c r="J48" s="93" t="n">
        <v>6.99</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94.4</v>
      </c>
      <c r="D52" s="44" t="n">
        <f aca="false">IFERROR((((D10+D12)+D13)-D11),"N/M")</f>
        <v>83.67</v>
      </c>
      <c r="E52" s="44" t="n">
        <f aca="false">IFERROR((((E10+E12)+E13)-E11),"N/M")</f>
        <v>86.55</v>
      </c>
      <c r="F52" s="44" t="n">
        <f aca="false">IFERROR((((F10+F12)+F13)-F11),"N/M")</f>
        <v>122.39</v>
      </c>
      <c r="G52" s="44" t="n">
        <f aca="false">IFERROR((((G10+G12)+G13)-G11),"N/M")</f>
        <v>146.73</v>
      </c>
      <c r="H52" s="44" t="n">
        <f aca="false">IFERROR((((H10+H12)+H13)-H11),"N/M")</f>
        <v>208.44</v>
      </c>
      <c r="I52" s="44" t="n">
        <f aca="false">IFERROR((((I10+I12)+I13)-I11),"N/M")</f>
        <v>186.36</v>
      </c>
      <c r="J52" s="44" t="n">
        <f aca="false">IFERROR((((J10+J12)+J13)-J11),"N/M")</f>
        <v>200.72</v>
      </c>
    </row>
    <row r="53" customFormat="false" ht="15" hidden="false" customHeight="false" outlineLevel="0" collapsed="false">
      <c r="A53" s="18" t="s">
        <v>473</v>
      </c>
      <c r="B53" s="19" t="s">
        <v>474</v>
      </c>
      <c r="C53" s="44" t="n">
        <f aca="false">IFERROR(((C14+C15)+C16),"N/M")</f>
        <v>17.64</v>
      </c>
      <c r="D53" s="44" t="n">
        <f aca="false">IFERROR(((D14+D15)+D16),"N/M")</f>
        <v>17.28</v>
      </c>
      <c r="E53" s="44" t="n">
        <f aca="false">IFERROR(((E14+E15)+E16),"N/M")</f>
        <v>14.57</v>
      </c>
      <c r="F53" s="44" t="n">
        <f aca="false">IFERROR(((F14+F15)+F16),"N/M")</f>
        <v>24.64</v>
      </c>
      <c r="G53" s="44" t="n">
        <f aca="false">IFERROR(((G14+G15)+G16),"N/M")</f>
        <v>20.08</v>
      </c>
      <c r="H53" s="44" t="n">
        <f aca="false">IFERROR(((H14+H15)+H16),"N/M")</f>
        <v>23.18</v>
      </c>
      <c r="I53" s="44" t="n">
        <f aca="false">IFERROR(((I14+I15)+I16),"N/M")</f>
        <v>24.8</v>
      </c>
      <c r="J53" s="44" t="n">
        <f aca="false">IFERROR(((J14+J15)+J16),"N/M")</f>
        <v>25.82</v>
      </c>
    </row>
    <row r="54" customFormat="false" ht="15" hidden="false" customHeight="false" outlineLevel="0" collapsed="false">
      <c r="A54" s="18" t="s">
        <v>475</v>
      </c>
      <c r="B54" s="19" t="s">
        <v>476</v>
      </c>
      <c r="C54" s="44" t="n">
        <f aca="false">IFERROR((C52+C53),"N/M")</f>
        <v>112.04</v>
      </c>
      <c r="D54" s="44" t="n">
        <f aca="false">IFERROR((D52+D53),"N/M")</f>
        <v>100.95</v>
      </c>
      <c r="E54" s="44" t="n">
        <f aca="false">IFERROR((E52+E53),"N/M")</f>
        <v>101.12</v>
      </c>
      <c r="F54" s="44" t="n">
        <f aca="false">IFERROR((F52+F53),"N/M")</f>
        <v>147.03</v>
      </c>
      <c r="G54" s="44" t="n">
        <f aca="false">IFERROR((G52+G53),"N/M")</f>
        <v>166.81</v>
      </c>
      <c r="H54" s="44" t="n">
        <f aca="false">IFERROR((H52+H53),"N/M")</f>
        <v>231.62</v>
      </c>
      <c r="I54" s="44" t="n">
        <f aca="false">IFERROR((I52+I53),"N/M")</f>
        <v>211.16</v>
      </c>
      <c r="J54" s="44" t="n">
        <f aca="false">IFERROR((J52+J53),"N/M")</f>
        <v>226.54</v>
      </c>
    </row>
    <row r="55" customFormat="false" ht="15" hidden="false" customHeight="false" outlineLevel="0" collapsed="false">
      <c r="A55" s="18" t="s">
        <v>477</v>
      </c>
      <c r="B55" s="19" t="s">
        <v>478</v>
      </c>
      <c r="C55" s="44" t="n">
        <f aca="false">IFERROR((C9-C52),"N/M")</f>
        <v>30.26</v>
      </c>
      <c r="D55" s="44" t="n">
        <f aca="false">IFERROR((D9-D52),"N/M")</f>
        <v>26.33</v>
      </c>
      <c r="E55" s="44" t="n">
        <f aca="false">IFERROR((E9-E52),"N/M")</f>
        <v>21.68</v>
      </c>
      <c r="F55" s="44" t="n">
        <f aca="false">IFERROR((F9-F52),"N/M")</f>
        <v>41.35</v>
      </c>
      <c r="G55" s="44" t="n">
        <f aca="false">IFERROR((G9-G52),"N/M")</f>
        <v>39.71</v>
      </c>
      <c r="H55" s="44" t="n">
        <f aca="false">IFERROR((H9-H52),"N/M")</f>
        <v>42.06</v>
      </c>
      <c r="I55" s="44" t="n">
        <f aca="false">IFERROR((I9-I52),"N/M")</f>
        <v>33.82</v>
      </c>
      <c r="J55" s="44" t="n">
        <f aca="false">IFERROR((J9-J52),"N/M")</f>
        <v>33.57</v>
      </c>
    </row>
    <row r="56" customFormat="false" ht="15" hidden="false" customHeight="false" outlineLevel="0" collapsed="false">
      <c r="A56" s="18" t="s">
        <v>479</v>
      </c>
      <c r="B56" s="19" t="s">
        <v>480</v>
      </c>
      <c r="C56" s="44" t="n">
        <f aca="false">IFERROR((C9-C54),"N/M")</f>
        <v>12.62</v>
      </c>
      <c r="D56" s="44" t="n">
        <f aca="false">IFERROR((D9-D54),"N/M")</f>
        <v>9.05</v>
      </c>
      <c r="E56" s="44" t="n">
        <f aca="false">IFERROR((E9-E54),"N/M")</f>
        <v>7.11</v>
      </c>
      <c r="F56" s="44" t="n">
        <f aca="false">IFERROR((F9-F54),"N/M")</f>
        <v>16.71</v>
      </c>
      <c r="G56" s="44" t="n">
        <f aca="false">IFERROR((G9-G54),"N/M")</f>
        <v>19.63</v>
      </c>
      <c r="H56" s="44" t="n">
        <f aca="false">IFERROR((H9-H54),"N/M")</f>
        <v>18.88</v>
      </c>
      <c r="I56" s="44" t="n">
        <f aca="false">IFERROR((I9-I54),"N/M")</f>
        <v>9.02000000000001</v>
      </c>
      <c r="J56" s="44" t="n">
        <f aca="false">IFERROR((J9-J54),"N/M")</f>
        <v>7.75</v>
      </c>
    </row>
    <row r="57" customFormat="false" ht="15" hidden="false" customHeight="false" outlineLevel="0" collapsed="false">
      <c r="A57" s="18" t="s">
        <v>481</v>
      </c>
      <c r="B57" s="19" t="s">
        <v>482</v>
      </c>
      <c r="C57" s="44" t="n">
        <f aca="false">IFERROR((C9+C17),"N/M")</f>
        <v>124.58</v>
      </c>
      <c r="D57" s="44" t="n">
        <f aca="false">IFERROR((D9+D17),"N/M")</f>
        <v>110.85</v>
      </c>
      <c r="E57" s="44" t="n">
        <f aca="false">IFERROR((E9+E17),"N/M")</f>
        <v>108.68</v>
      </c>
      <c r="F57" s="44" t="n">
        <f aca="false">IFERROR((F9+F17),"N/M")</f>
        <v>166.82</v>
      </c>
      <c r="G57" s="44" t="n">
        <f aca="false">IFERROR((G9+G17),"N/M")</f>
        <v>187.25</v>
      </c>
      <c r="H57" s="44" t="n">
        <f aca="false">IFERROR((H9+H17),"N/M")</f>
        <v>262.42</v>
      </c>
      <c r="I57" s="44" t="n">
        <f aca="false">IFERROR((I9+I17),"N/M")</f>
        <v>222.65</v>
      </c>
      <c r="J57" s="44" t="n">
        <f aca="false">IFERROR((J9+J17),"N/M")</f>
        <v>238.26</v>
      </c>
    </row>
    <row r="58" customFormat="false" ht="15" hidden="false" customHeight="false" outlineLevel="0" collapsed="false">
      <c r="A58" s="18" t="s">
        <v>483</v>
      </c>
      <c r="B58" s="19" t="s">
        <v>484</v>
      </c>
      <c r="C58" s="44" t="n">
        <f aca="false">IFERROR((C20+C19),"N/M")</f>
        <v>9.05</v>
      </c>
      <c r="D58" s="44" t="n">
        <f aca="false">IFERROR((D20+D19),"N/M")</f>
        <v>5.73</v>
      </c>
      <c r="E58" s="44" t="n">
        <f aca="false">IFERROR((E20+E19),"N/M")</f>
        <v>3.25</v>
      </c>
      <c r="F58" s="44" t="n">
        <f aca="false">IFERROR((F20+F19),"N/M")</f>
        <v>15.93</v>
      </c>
      <c r="G58" s="44" t="n">
        <f aca="false">IFERROR((G20+G19),"N/M")</f>
        <v>17.08</v>
      </c>
      <c r="H58" s="44" t="n">
        <f aca="false">IFERROR((H20+H19),"N/M")</f>
        <v>26.39</v>
      </c>
      <c r="I58" s="44" t="n">
        <f aca="false">IFERROR((I20+I19),"N/M")</f>
        <v>6.66</v>
      </c>
      <c r="J58" s="44" t="n">
        <f aca="false">IFERROR((J20+J19),"N/M")</f>
        <v>7.72</v>
      </c>
    </row>
    <row r="59" customFormat="false" ht="15" hidden="false" customHeight="false" outlineLevel="0" collapsed="false">
      <c r="A59" s="18" t="s">
        <v>485</v>
      </c>
      <c r="B59" s="19" t="s">
        <v>486</v>
      </c>
      <c r="C59" s="44" t="n">
        <f aca="false">IFERROR((C58+C18),"N/M")</f>
        <v>12.54</v>
      </c>
      <c r="D59" s="44" t="n">
        <f aca="false">IFERROR((D58+D18),"N/M")</f>
        <v>9.9</v>
      </c>
      <c r="E59" s="44" t="n">
        <f aca="false">IFERROR((E58+E18),"N/M")</f>
        <v>7.56</v>
      </c>
      <c r="F59" s="44" t="n">
        <f aca="false">IFERROR((F58+F18),"N/M")</f>
        <v>19.79</v>
      </c>
      <c r="G59" s="44" t="n">
        <f aca="false">IFERROR((G58+G18),"N/M")</f>
        <v>20.44</v>
      </c>
      <c r="H59" s="44" t="n">
        <f aca="false">IFERROR((H58+H18),"N/M")</f>
        <v>30.8</v>
      </c>
      <c r="I59" s="44" t="n">
        <f aca="false">IFERROR((I58+I18),"N/M")</f>
        <v>11.49</v>
      </c>
      <c r="J59" s="44" t="n">
        <f aca="false">IFERROR((J58+J18),"N/M")</f>
        <v>11.72</v>
      </c>
    </row>
    <row r="60" customFormat="false" ht="15" hidden="false" customHeight="false" outlineLevel="0" collapsed="false">
      <c r="A60" s="18" t="s">
        <v>487</v>
      </c>
      <c r="B60" s="19" t="s">
        <v>488</v>
      </c>
      <c r="C60" s="46" t="n">
        <f aca="false">IFERROR(IF(C20&gt;0,MIN(MAX((C21/C20),0),1),0),"N/M")</f>
        <v>0.299638989169675</v>
      </c>
      <c r="D60" s="46" t="n">
        <f aca="false">IFERROR(IF(D20&gt;0,MIN(MAX((D21/D20),0),1),0),"N/M")</f>
        <v>0.331818181818182</v>
      </c>
      <c r="E60" s="46" t="n">
        <f aca="false">IFERROR(IF(E20&gt;0,MIN(MAX((E21/E20),0),1),0),"N/M")</f>
        <v>0</v>
      </c>
      <c r="F60" s="46" t="n">
        <f aca="false">IFERROR(IF(F20&gt;0,MIN(MAX((F21/F20),0),1),0),"N/M")</f>
        <v>0.250847457627119</v>
      </c>
      <c r="G60" s="46" t="n">
        <f aca="false">IFERROR(IF(G20&gt;0,MIN(MAX((G21/G20),0),1),0),"N/M")</f>
        <v>0.275243081525804</v>
      </c>
      <c r="H60" s="46" t="n">
        <f aca="false">IFERROR(IF(H20&gt;0,MIN(MAX((H21/H20),0),1),0),"N/M")</f>
        <v>0.240783947736818</v>
      </c>
      <c r="I60" s="46" t="n">
        <f aca="false">IFERROR(IF(I20&gt;0,MIN(MAX((I21/I20),0),1),0),"N/M")</f>
        <v>0.324561403508772</v>
      </c>
      <c r="J60" s="46" t="n">
        <f aca="false">IFERROR(IF(J20&gt;0,MIN(MAX((J21/J20),0),1),0),"N/M")</f>
        <v>0.112359550561798</v>
      </c>
    </row>
    <row r="61" customFormat="false" ht="15" hidden="false" customHeight="false" outlineLevel="0" collapsed="false">
      <c r="A61" s="18" t="s">
        <v>489</v>
      </c>
      <c r="B61" s="19" t="s">
        <v>490</v>
      </c>
      <c r="C61" s="44" t="n">
        <f aca="false">IFERROR((C26+C27),"N/M")</f>
        <v>23.99</v>
      </c>
      <c r="D61" s="44" t="n">
        <f aca="false">IFERROR((D26+D27),"N/M")</f>
        <v>25.25</v>
      </c>
      <c r="E61" s="44" t="n">
        <f aca="false">IFERROR((E26+E27),"N/M")</f>
        <v>24.16</v>
      </c>
      <c r="F61" s="44" t="n">
        <f aca="false">IFERROR((F26+F27),"N/M")</f>
        <v>32.12</v>
      </c>
      <c r="G61" s="44" t="n">
        <f aca="false">IFERROR((G26+G27),"N/M")</f>
        <v>40.81</v>
      </c>
      <c r="H61" s="44" t="n">
        <f aca="false">IFERROR((H26+H27),"N/M")</f>
        <v>55.95</v>
      </c>
      <c r="I61" s="44" t="n">
        <f aca="false">IFERROR((I26+I27),"N/M")</f>
        <v>56.78</v>
      </c>
      <c r="J61" s="44" t="n">
        <f aca="false">IFERROR((J26+J27),"N/M")</f>
        <v>60.11</v>
      </c>
    </row>
    <row r="62" customFormat="false" ht="15" hidden="false" customHeight="false" outlineLevel="0" collapsed="false">
      <c r="A62" s="18" t="s">
        <v>491</v>
      </c>
      <c r="B62" s="19" t="s">
        <v>492</v>
      </c>
      <c r="C62" s="44" t="n">
        <f aca="false">IFERROR((C61+C28),"N/M")</f>
        <v>62.02</v>
      </c>
      <c r="D62" s="44" t="n">
        <f aca="false">IFERROR((D61+D28),"N/M")</f>
        <v>70.78</v>
      </c>
      <c r="E62" s="44" t="n">
        <f aca="false">IFERROR((E61+E28),"N/M")</f>
        <v>71.64</v>
      </c>
      <c r="F62" s="44" t="n">
        <f aca="false">IFERROR((F61+F28),"N/M")</f>
        <v>76.98</v>
      </c>
      <c r="G62" s="44" t="n">
        <f aca="false">IFERROR((G61+G28),"N/M")</f>
        <v>86.78</v>
      </c>
      <c r="H62" s="44" t="n">
        <f aca="false">IFERROR((H61+H28),"N/M")</f>
        <v>102.71</v>
      </c>
      <c r="I62" s="44" t="n">
        <f aca="false">IFERROR((I61+I28),"N/M")</f>
        <v>98.34</v>
      </c>
      <c r="J62" s="44" t="n">
        <f aca="false">IFERROR((J61+J28),"N/M")</f>
        <v>100.18</v>
      </c>
    </row>
    <row r="63" customFormat="false" ht="15" hidden="false" customHeight="false" outlineLevel="0" collapsed="false">
      <c r="A63" s="18" t="s">
        <v>493</v>
      </c>
      <c r="B63" s="19" t="s">
        <v>494</v>
      </c>
      <c r="C63" s="44" t="n">
        <f aca="false">IFERROR(C34,"N/M")</f>
        <v>51.11</v>
      </c>
      <c r="D63" s="44" t="n">
        <f aca="false">IFERROR(D34,"N/M")</f>
        <v>52.4</v>
      </c>
      <c r="E63" s="44" t="n">
        <f aca="false">IFERROR(E34,"N/M")</f>
        <v>56.57</v>
      </c>
      <c r="F63" s="44" t="n">
        <f aca="false">IFERROR(F34,"N/M")</f>
        <v>68.96</v>
      </c>
      <c r="G63" s="44" t="n">
        <f aca="false">IFERROR(G34,"N/M")</f>
        <v>73.98</v>
      </c>
      <c r="H63" s="44" t="n">
        <f aca="false">IFERROR(H34,"N/M")</f>
        <v>84.6</v>
      </c>
      <c r="I63" s="44" t="n">
        <f aca="false">IFERROR(I34,"N/M")</f>
        <v>82.2</v>
      </c>
      <c r="J63" s="44" t="n">
        <f aca="false">IFERROR(J34,"N/M")</f>
        <v>92.29</v>
      </c>
    </row>
    <row r="64" customFormat="false" ht="15" hidden="false" customHeight="false" outlineLevel="0" collapsed="false">
      <c r="A64" s="18" t="s">
        <v>495</v>
      </c>
      <c r="B64" s="19" t="s">
        <v>496</v>
      </c>
      <c r="C64" s="44" t="n">
        <f aca="false">IFERROR(C29,"N/M")</f>
        <v>9.24</v>
      </c>
      <c r="D64" s="44" t="n">
        <f aca="false">IFERROR(D29,"N/M")</f>
        <v>8.57</v>
      </c>
      <c r="E64" s="44" t="n">
        <f aca="false">IFERROR(E29,"N/M")</f>
        <v>10.34</v>
      </c>
      <c r="F64" s="44" t="n">
        <f aca="false">IFERROR(F29,"N/M")</f>
        <v>12.61</v>
      </c>
      <c r="G64" s="44" t="n">
        <f aca="false">IFERROR(G29,"N/M")</f>
        <v>17.88</v>
      </c>
      <c r="H64" s="44" t="n">
        <f aca="false">IFERROR(H29,"N/M")</f>
        <v>17.69</v>
      </c>
      <c r="I64" s="44" t="n">
        <f aca="false">IFERROR(I29,"N/M")</f>
        <v>16.65</v>
      </c>
      <c r="J64" s="44" t="n">
        <f aca="false">IFERROR(J29,"N/M")</f>
        <v>19.34</v>
      </c>
    </row>
    <row r="65" customFormat="false" ht="15" hidden="false" customHeight="false" outlineLevel="0" collapsed="false">
      <c r="A65" s="18" t="s">
        <v>497</v>
      </c>
      <c r="B65" s="19" t="s">
        <v>498</v>
      </c>
      <c r="C65" s="44" t="n">
        <f aca="false">IFERROR((C63-C64),"N/M")</f>
        <v>41.87</v>
      </c>
      <c r="D65" s="44" t="n">
        <f aca="false">IFERROR((D63-D64),"N/M")</f>
        <v>43.83</v>
      </c>
      <c r="E65" s="44" t="n">
        <f aca="false">IFERROR((E63-E64),"N/M")</f>
        <v>46.23</v>
      </c>
      <c r="F65" s="44" t="n">
        <f aca="false">IFERROR((F63-F64),"N/M")</f>
        <v>56.35</v>
      </c>
      <c r="G65" s="44" t="n">
        <f aca="false">IFERROR((G63-G64),"N/M")</f>
        <v>56.1</v>
      </c>
      <c r="H65" s="44" t="n">
        <f aca="false">IFERROR((H63-H64),"N/M")</f>
        <v>66.91</v>
      </c>
      <c r="I65" s="44" t="n">
        <f aca="false">IFERROR((I63-I64),"N/M")</f>
        <v>65.55</v>
      </c>
      <c r="J65" s="44" t="n">
        <f aca="false">IFERROR((J63-J64),"N/M")</f>
        <v>72.95</v>
      </c>
    </row>
    <row r="66" customFormat="false" ht="15" hidden="false" customHeight="false" outlineLevel="0" collapsed="false">
      <c r="A66" s="18" t="s">
        <v>499</v>
      </c>
      <c r="B66" s="19" t="s">
        <v>500</v>
      </c>
      <c r="C66" s="44" t="n">
        <f aca="false">IFERROR((C36+C38),"N/M")</f>
        <v>34.37</v>
      </c>
      <c r="D66" s="44" t="n">
        <f aca="false">IFERROR((D36+D38),"N/M")</f>
        <v>30.19</v>
      </c>
      <c r="E66" s="44" t="n">
        <f aca="false">IFERROR((E36+E38),"N/M")</f>
        <v>41.9</v>
      </c>
      <c r="F66" s="44" t="n">
        <f aca="false">IFERROR((F36+F38),"N/M")</f>
        <v>48.95</v>
      </c>
      <c r="G66" s="44" t="n">
        <f aca="false">IFERROR((G36+G38),"N/M")</f>
        <v>62.16</v>
      </c>
      <c r="H66" s="44" t="n">
        <f aca="false">IFERROR((H36+H38),"N/M")</f>
        <v>69.42</v>
      </c>
      <c r="I66" s="44" t="n">
        <f aca="false">IFERROR((I36+I38),"N/M")</f>
        <v>68.8</v>
      </c>
      <c r="J66" s="44" t="n">
        <f aca="false">IFERROR((J36+J38),"N/M")</f>
        <v>80.79</v>
      </c>
    </row>
    <row r="67" customFormat="false" ht="15" hidden="false" customHeight="false" outlineLevel="0" collapsed="false">
      <c r="A67" s="18" t="s">
        <v>501</v>
      </c>
      <c r="B67" s="19" t="s">
        <v>502</v>
      </c>
      <c r="D67" s="44" t="n">
        <f aca="false">IFERROR((((D31+D32)-(C31+C32))+D18),"N/M")</f>
        <v>10.94</v>
      </c>
      <c r="E67" s="44" t="n">
        <f aca="false">IFERROR((((E31+E32)-(D31+D32))+E18),"N/M")</f>
        <v>2.77</v>
      </c>
      <c r="F67" s="44" t="n">
        <f aca="false">IFERROR((((F31+F32)-(E31+E32))+F18),"N/M")</f>
        <v>-1.08</v>
      </c>
      <c r="G67" s="44" t="n">
        <f aca="false">IFERROR((((G31+G32)-(F31+F32))+G18),"N/M")</f>
        <v>10.06</v>
      </c>
      <c r="H67" s="44" t="n">
        <f aca="false">IFERROR((((H31+H32)-(G31+G32))+H18),"N/M")</f>
        <v>10.55</v>
      </c>
      <c r="I67" s="44" t="n">
        <f aca="false">IFERROR((((I31+I32)-(H31+H32))+I18),"N/M")</f>
        <v>0.49</v>
      </c>
      <c r="J67" s="44" t="n">
        <f aca="false">IFERROR((((J31+J32)-(I31+I32))+J18),"N/M")</f>
        <v>0.0600000000000023</v>
      </c>
    </row>
    <row r="68" customFormat="false" ht="15" hidden="false" customHeight="false" outlineLevel="0" collapsed="false">
      <c r="A68" s="18" t="s">
        <v>503</v>
      </c>
      <c r="B68" s="19" t="s">
        <v>504</v>
      </c>
      <c r="D68" s="44" t="n">
        <f aca="false">IFERROR(MAX((C28-D28),0),"N/M")</f>
        <v>0</v>
      </c>
      <c r="E68" s="44" t="n">
        <f aca="false">IFERROR(MAX((D28-E28),0),"N/M")</f>
        <v>0</v>
      </c>
      <c r="F68" s="44" t="n">
        <f aca="false">IFERROR(MAX((E28-F28),0),"N/M")</f>
        <v>2.62</v>
      </c>
      <c r="G68" s="44" t="n">
        <f aca="false">IFERROR(MAX((F28-G28),0),"N/M")</f>
        <v>0</v>
      </c>
      <c r="H68" s="44" t="n">
        <f aca="false">IFERROR(MAX((G28-H28),0),"N/M")</f>
        <v>0</v>
      </c>
      <c r="I68" s="44" t="n">
        <f aca="false">IFERROR(MAX((H28-I28),0),"N/M")</f>
        <v>5.2</v>
      </c>
      <c r="J68" s="44" t="n">
        <f aca="false">IFERROR(MAX((I28-J28),0),"N/M")</f>
        <v>1.49</v>
      </c>
    </row>
    <row r="69" customFormat="false" ht="15" hidden="false" customHeight="false" outlineLevel="0" collapsed="false">
      <c r="A69" s="18" t="s">
        <v>505</v>
      </c>
      <c r="B69" s="19" t="s">
        <v>506</v>
      </c>
      <c r="C69" s="44" t="n">
        <f aca="false">IFERROR((C47*C48),"N/M")</f>
        <v>45.825</v>
      </c>
      <c r="D69" s="44" t="n">
        <f aca="false">IFERROR((D47*D48),"N/M")</f>
        <v>31.57</v>
      </c>
      <c r="E69" s="44" t="n">
        <f aca="false">IFERROR((E47*E48),"N/M")</f>
        <v>57.75</v>
      </c>
      <c r="F69" s="44" t="n">
        <f aca="false">IFERROR((F47*F48),"N/M")</f>
        <v>212.94</v>
      </c>
      <c r="G69" s="44" t="n">
        <f aca="false">IFERROR((G47*G48),"N/M")</f>
        <v>348.4515</v>
      </c>
      <c r="H69" s="44" t="n">
        <f aca="false">IFERROR((H47*H48),"N/M")</f>
        <v>181.8798</v>
      </c>
      <c r="I69" s="44" t="n">
        <f aca="false">IFERROR((I47*I48),"N/M")</f>
        <v>61.8615</v>
      </c>
      <c r="J69" s="44" t="n">
        <f aca="false">IFERROR((J47*J48),"N/M")</f>
        <v>41.1012</v>
      </c>
    </row>
    <row r="70" customFormat="false" ht="15" hidden="false" customHeight="false" outlineLevel="0" collapsed="false">
      <c r="A70" s="18" t="s">
        <v>507</v>
      </c>
      <c r="B70" s="19" t="s">
        <v>508</v>
      </c>
      <c r="C70" s="44" t="n">
        <f aca="false">IFERROR(((C69+C28)-C38),"N/M")</f>
        <v>79.375</v>
      </c>
      <c r="D70" s="44" t="n">
        <f aca="false">IFERROR(((D69+D28)-D38),"N/M")</f>
        <v>73.89</v>
      </c>
      <c r="E70" s="44" t="n">
        <f aca="false">IFERROR(((E69+E28)-E38),"N/M")</f>
        <v>99.78</v>
      </c>
      <c r="F70" s="44" t="n">
        <f aca="false">IFERROR(((F69+F28)-F38),"N/M")</f>
        <v>253.51</v>
      </c>
      <c r="G70" s="44" t="n">
        <f aca="false">IFERROR(((G69+G28)-G38),"N/M")</f>
        <v>387.6915</v>
      </c>
      <c r="H70" s="44" t="n">
        <f aca="false">IFERROR(((H69+H28)-H38),"N/M")</f>
        <v>224.0998</v>
      </c>
      <c r="I70" s="44" t="n">
        <f aca="false">IFERROR(((I69+I28)-I38),"N/M")</f>
        <v>95.7315</v>
      </c>
      <c r="J70" s="44" t="n">
        <f aca="false">IFERROR(((J69+J28)-J38),"N/M")</f>
        <v>74.7812</v>
      </c>
    </row>
    <row r="71" customFormat="false" ht="15" hidden="false" customHeight="false" outlineLevel="0" collapsed="false">
      <c r="A71" s="18" t="s">
        <v>509</v>
      </c>
      <c r="C71" s="44" t="n">
        <f aca="false">IFERROR(IF(C49=1,C69,0),"N/M")</f>
        <v>45.825</v>
      </c>
      <c r="D71" s="44" t="n">
        <f aca="false">IFERROR(IF(D49=1,D69,0),"N/M")</f>
        <v>31.57</v>
      </c>
      <c r="E71" s="44" t="n">
        <f aca="false">IFERROR(IF(E49=1,E69,0),"N/M")</f>
        <v>57.75</v>
      </c>
      <c r="F71" s="44" t="n">
        <f aca="false">IFERROR(IF(F49=1,F69,0),"N/M")</f>
        <v>212.94</v>
      </c>
      <c r="G71" s="44" t="n">
        <f aca="false">IFERROR(IF(G49=1,G69,0),"N/M")</f>
        <v>348.4515</v>
      </c>
      <c r="H71" s="44" t="n">
        <f aca="false">IFERROR(IF(H49=1,H69,0),"N/M")</f>
        <v>181.8798</v>
      </c>
      <c r="I71" s="44" t="n">
        <f aca="false">IFERROR(IF(I49=1,I69,0),"N/M")</f>
        <v>61.8615</v>
      </c>
      <c r="J71" s="44" t="n">
        <f aca="false">IFERROR(IF(J49=1,J69,0),"N/M")</f>
        <v>41.1012</v>
      </c>
    </row>
    <row r="72" customFormat="false" ht="15" hidden="false" customHeight="false" outlineLevel="0" collapsed="false">
      <c r="A72" s="18" t="s">
        <v>510</v>
      </c>
      <c r="C72" s="44" t="n">
        <f aca="false">IFERROR(IF(C49=1,C22,0),"N/M")</f>
        <v>3.88</v>
      </c>
      <c r="D72" s="44" t="n">
        <f aca="false">IFERROR(IF(D49=1,D22,0),"N/M")</f>
        <v>1.47</v>
      </c>
      <c r="E72" s="44" t="n">
        <f aca="false">IFERROR(IF(E49=1,E22,0),"N/M")</f>
        <v>-1.09</v>
      </c>
      <c r="F72" s="44" t="n">
        <f aca="false">IFERROR(IF(F49=1,F22,0),"N/M")</f>
        <v>8.85</v>
      </c>
      <c r="G72" s="44" t="n">
        <f aca="false">IFERROR(IF(G49=1,G22,0),"N/M")</f>
        <v>9.68</v>
      </c>
      <c r="H72" s="44" t="n">
        <f aca="false">IFERROR(IF(H49=1,H22,0),"N/M")</f>
        <v>16.28</v>
      </c>
      <c r="I72" s="44" t="n">
        <f aca="false">IFERROR(IF(I49=1,I22,0),"N/M")</f>
        <v>1.53</v>
      </c>
      <c r="J72" s="44" t="n">
        <f aca="false">IFERROR(IF(J49=1,J22,0),"N/M")</f>
        <v>3.16</v>
      </c>
    </row>
    <row r="73" customFormat="false" ht="15" hidden="false" customHeight="false" outlineLevel="0" collapsed="false">
      <c r="A73" s="18" t="s">
        <v>511</v>
      </c>
      <c r="C73" s="44" t="n">
        <f aca="false">IFERROR(IF(C49=1,C61,0),"N/M")</f>
        <v>23.99</v>
      </c>
      <c r="D73" s="44" t="n">
        <f aca="false">IFERROR(IF(D49=1,D61,0),"N/M")</f>
        <v>25.25</v>
      </c>
      <c r="E73" s="44" t="n">
        <f aca="false">IFERROR(IF(E49=1,E61,0),"N/M")</f>
        <v>24.16</v>
      </c>
      <c r="F73" s="44" t="n">
        <f aca="false">IFERROR(IF(F49=1,F61,0),"N/M")</f>
        <v>32.12</v>
      </c>
      <c r="G73" s="44" t="n">
        <f aca="false">IFERROR(IF(G49=1,G61,0),"N/M")</f>
        <v>40.81</v>
      </c>
      <c r="H73" s="44" t="n">
        <f aca="false">IFERROR(IF(H49=1,H61,0),"N/M")</f>
        <v>55.95</v>
      </c>
      <c r="I73" s="44" t="n">
        <f aca="false">IFERROR(IF(I49=1,I61,0),"N/M")</f>
        <v>56.78</v>
      </c>
      <c r="J73" s="44" t="n">
        <f aca="false">IFERROR(IF(J49=1,J61,0),"N/M")</f>
        <v>60.11</v>
      </c>
    </row>
    <row r="74" customFormat="false" ht="15" hidden="false" customHeight="false" outlineLevel="0" collapsed="false">
      <c r="A74" s="18" t="s">
        <v>512</v>
      </c>
      <c r="C74" s="44" t="n">
        <f aca="false">IFERROR(IF(C49=1,C59,0),"N/M")</f>
        <v>12.54</v>
      </c>
      <c r="D74" s="44" t="n">
        <f aca="false">IFERROR(IF(D49=1,D59,0),"N/M")</f>
        <v>9.9</v>
      </c>
      <c r="E74" s="44" t="n">
        <f aca="false">IFERROR(IF(E49=1,E59,0),"N/M")</f>
        <v>7.56</v>
      </c>
      <c r="F74" s="44" t="n">
        <f aca="false">IFERROR(IF(F49=1,F59,0),"N/M")</f>
        <v>19.79</v>
      </c>
      <c r="G74" s="44" t="n">
        <f aca="false">IFERROR(IF(G49=1,G59,0),"N/M")</f>
        <v>20.44</v>
      </c>
      <c r="H74" s="44" t="n">
        <f aca="false">IFERROR(IF(H49=1,H59,0),"N/M")</f>
        <v>30.8</v>
      </c>
      <c r="I74" s="44" t="n">
        <f aca="false">IFERROR(IF(I49=1,I59,0),"N/M")</f>
        <v>11.49</v>
      </c>
      <c r="J74" s="44" t="n">
        <f aca="false">IFERROR(IF(J49=1,J59,0),"N/M")</f>
        <v>11.72</v>
      </c>
    </row>
    <row r="75" customFormat="false" ht="15" hidden="false" customHeight="false" outlineLevel="0" collapsed="false">
      <c r="A75" s="18" t="s">
        <v>513</v>
      </c>
      <c r="C75" s="44" t="n">
        <f aca="false">IFERROR(IF(C49=1,C23,0),"N/M")</f>
        <v>0</v>
      </c>
      <c r="D75" s="44" t="n">
        <f aca="false">IFERROR(IF(D49=1,D23,0),"N/M")</f>
        <v>0.52</v>
      </c>
      <c r="E75" s="44" t="n">
        <f aca="false">IFERROR(IF(E49=1,E23,0),"N/M")</f>
        <v>1.05</v>
      </c>
      <c r="F75" s="44" t="n">
        <f aca="false">IFERROR(IF(F49=1,F23,0),"N/M")</f>
        <v>2.1</v>
      </c>
      <c r="G75" s="44" t="n">
        <f aca="false">IFERROR(IF(G49=1,G23,0),"N/M")</f>
        <v>1.05</v>
      </c>
      <c r="H75" s="44" t="n">
        <f aca="false">IFERROR(IF(H49=1,H23,0),"N/M")</f>
        <v>0.7</v>
      </c>
      <c r="I75" s="44" t="n">
        <f aca="false">IFERROR(IF(I49=1,I23,0),"N/M")</f>
        <v>0</v>
      </c>
      <c r="J75" s="44" t="n">
        <f aca="false">IFERROR(IF(J49=1,J23,0),"N/M")</f>
        <v>0</v>
      </c>
    </row>
    <row r="76" customFormat="false" ht="15" hidden="false" customHeight="false" outlineLevel="0" collapsed="false">
      <c r="A76" s="18" t="s">
        <v>514</v>
      </c>
      <c r="C76" s="44" t="n">
        <f aca="false">IFERROR(IF(C49=1,(C28-C38),0),"N/M")</f>
        <v>33.55</v>
      </c>
      <c r="D76" s="44" t="n">
        <f aca="false">IFERROR(IF(D49=1,(D28-D38),0),"N/M")</f>
        <v>42.32</v>
      </c>
      <c r="E76" s="44" t="n">
        <f aca="false">IFERROR(IF(E49=1,(E28-E38),0),"N/M")</f>
        <v>42.03</v>
      </c>
      <c r="F76" s="44" t="n">
        <f aca="false">IFERROR(IF(F49=1,(F28-F38),0),"N/M")</f>
        <v>40.57</v>
      </c>
      <c r="G76" s="44" t="n">
        <f aca="false">IFERROR(IF(G49=1,(G28-G38),0),"N/M")</f>
        <v>39.24</v>
      </c>
      <c r="H76" s="44" t="n">
        <f aca="false">IFERROR(IF(H49=1,(H28-H38),0),"N/M")</f>
        <v>42.22</v>
      </c>
      <c r="I76" s="44" t="n">
        <f aca="false">IFERROR(IF(I49=1,(I28-I38),0),"N/M")</f>
        <v>33.87</v>
      </c>
      <c r="J76" s="44" t="n">
        <f aca="false">IFERROR(IF(J49=1,(J28-J38),0),"N/M")</f>
        <v>33.68</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43.83</v>
      </c>
      <c r="E79" s="79" t="n">
        <f aca="false">IFERROR(E65,"N/M")</f>
        <v>46.23</v>
      </c>
      <c r="F79" s="79" t="n">
        <f aca="false">IFERROR(F65,"N/M")</f>
        <v>56.35</v>
      </c>
      <c r="G79" s="79" t="n">
        <f aca="false">IFERROR(G65,"N/M")</f>
        <v>56.1</v>
      </c>
      <c r="H79" s="79" t="n">
        <f aca="false">IFERROR(H65,"N/M")</f>
        <v>66.91</v>
      </c>
      <c r="I79" s="79" t="n">
        <f aca="false">IFERROR(I65,"N/M")</f>
        <v>65.55</v>
      </c>
      <c r="J79" s="79" t="n">
        <f aca="false">IFERROR(J65,"N/M")</f>
        <v>72.95</v>
      </c>
      <c r="K79" s="80" t="n">
        <f aca="false">IFERROR(AVERAGE(D79:J79),"N/M")</f>
        <v>58.2742857142857</v>
      </c>
      <c r="L79" s="81" t="n">
        <f aca="false">IFERROR(J79-D79,"N/M")</f>
        <v>29.12</v>
      </c>
      <c r="M79" s="81" t="n">
        <f aca="false">IFERROR(SLOPE(D79:J79,$D$3:$J$3),"N/M")</f>
        <v>4.87714285714286</v>
      </c>
    </row>
    <row r="80" customFormat="false" ht="15" hidden="false" customHeight="false" outlineLevel="0" collapsed="false">
      <c r="A80" s="18" t="s">
        <v>119</v>
      </c>
      <c r="B80" s="19" t="s">
        <v>517</v>
      </c>
      <c r="D80" s="47" t="n">
        <f aca="false">IFERROR(IF(D64&lt;=0,"N/M",D63/D64),"N/M")</f>
        <v>6.11435239206534</v>
      </c>
      <c r="E80" s="47" t="n">
        <f aca="false">IFERROR(IF(E64&lt;=0,"N/M",E63/E64),"N/M")</f>
        <v>5.47098646034816</v>
      </c>
      <c r="F80" s="47" t="n">
        <f aca="false">IFERROR(IF(F64&lt;=0,"N/M",F63/F64),"N/M")</f>
        <v>5.46867565424267</v>
      </c>
      <c r="G80" s="47" t="n">
        <f aca="false">IFERROR(IF(G64&lt;=0,"N/M",G63/G64),"N/M")</f>
        <v>4.13758389261745</v>
      </c>
      <c r="H80" s="47" t="n">
        <f aca="false">IFERROR(IF(H64&lt;=0,"N/M",H63/H64),"N/M")</f>
        <v>4.7823629169022</v>
      </c>
      <c r="I80" s="47" t="n">
        <f aca="false">IFERROR(IF(I64&lt;=0,"N/M",I63/I64),"N/M")</f>
        <v>4.93693693693694</v>
      </c>
      <c r="J80" s="47" t="n">
        <f aca="false">IFERROR(IF(J64&lt;=0,"N/M",J63/J64),"N/M")</f>
        <v>4.77197518097208</v>
      </c>
      <c r="K80" s="22" t="n">
        <f aca="false">IFERROR(AVERAGE(D80:J80),"N/M")</f>
        <v>5.09755334772641</v>
      </c>
      <c r="L80" s="82" t="n">
        <f aca="false">IFERROR(J80-D80,"N/M")</f>
        <v>-1.34237721109327</v>
      </c>
      <c r="M80" s="83" t="n">
        <f aca="false">IFERROR(SLOPE(D80:J80,$D$3:$J$3),"N/M")</f>
        <v>-0.206483693480097</v>
      </c>
    </row>
    <row r="81" customFormat="false" ht="15" hidden="false" customHeight="false" outlineLevel="0" collapsed="false">
      <c r="A81" s="18" t="s">
        <v>121</v>
      </c>
      <c r="B81" s="19" t="s">
        <v>518</v>
      </c>
      <c r="D81" s="47" t="n">
        <f aca="false">IFERROR(IF(D64&lt;=0,"N/M",D66/D64),"N/M")</f>
        <v>3.52275379229872</v>
      </c>
      <c r="E81" s="47" t="n">
        <f aca="false">IFERROR(IF(E64&lt;=0,"N/M",E66/E64),"N/M")</f>
        <v>4.05222437137331</v>
      </c>
      <c r="F81" s="47" t="n">
        <f aca="false">IFERROR(IF(F64&lt;=0,"N/M",F66/F64),"N/M")</f>
        <v>3.88183980967486</v>
      </c>
      <c r="G81" s="47" t="n">
        <f aca="false">IFERROR(IF(G64&lt;=0,"N/M",G66/G64),"N/M")</f>
        <v>3.47651006711409</v>
      </c>
      <c r="H81" s="47" t="n">
        <f aca="false">IFERROR(IF(H64&lt;=0,"N/M",H66/H64),"N/M")</f>
        <v>3.92425098925947</v>
      </c>
      <c r="I81" s="47" t="n">
        <f aca="false">IFERROR(IF(I64&lt;=0,"N/M",I66/I64),"N/M")</f>
        <v>4.13213213213213</v>
      </c>
      <c r="J81" s="47" t="n">
        <f aca="false">IFERROR(IF(J64&lt;=0,"N/M",J66/J64),"N/M")</f>
        <v>4.17735263702172</v>
      </c>
      <c r="K81" s="22" t="n">
        <f aca="false">IFERROR(AVERAGE(D81:J81),"N/M")</f>
        <v>3.8810091141249</v>
      </c>
      <c r="L81" s="82" t="n">
        <f aca="false">IFERROR(J81-D81,"N/M")</f>
        <v>0.654598844723001</v>
      </c>
      <c r="M81" s="83" t="n">
        <f aca="false">IFERROR(SLOPE(D81:J81,$D$3:$J$3),"N/M")</f>
        <v>0.0773579726882592</v>
      </c>
    </row>
    <row r="82" customFormat="false" ht="15" hidden="false" customHeight="false" outlineLevel="0" collapsed="false">
      <c r="A82" s="18" t="s">
        <v>519</v>
      </c>
      <c r="B82" s="19" t="s">
        <v>520</v>
      </c>
      <c r="D82" s="47" t="n">
        <f aca="false">IFERROR(IF(D64&lt;=0,"N/M",D38/D64),"N/M")</f>
        <v>0.374562427071179</v>
      </c>
      <c r="E82" s="47" t="n">
        <f aca="false">IFERROR(IF(E64&lt;=0,"N/M",E38/E64),"N/M")</f>
        <v>0.527079303675048</v>
      </c>
      <c r="F82" s="47" t="n">
        <f aca="false">IFERROR(IF(F64&lt;=0,"N/M",F38/F64),"N/M")</f>
        <v>0.34020618556701</v>
      </c>
      <c r="G82" s="47" t="n">
        <f aca="false">IFERROR(IF(G64&lt;=0,"N/M",G38/G64),"N/M")</f>
        <v>0.376398210290828</v>
      </c>
      <c r="H82" s="47" t="n">
        <f aca="false">IFERROR(IF(H64&lt;=0,"N/M",H38/H64),"N/M")</f>
        <v>0.25664217071792</v>
      </c>
      <c r="I82" s="47" t="n">
        <f aca="false">IFERROR(IF(I64&lt;=0,"N/M",I38/I64),"N/M")</f>
        <v>0.461861861861862</v>
      </c>
      <c r="J82" s="47" t="n">
        <f aca="false">IFERROR(IF(J64&lt;=0,"N/M",J38/J64),"N/M")</f>
        <v>0.330403309203723</v>
      </c>
      <c r="K82" s="22" t="n">
        <f aca="false">IFERROR(AVERAGE(D82:J82),"N/M")</f>
        <v>0.381021924055367</v>
      </c>
      <c r="L82" s="82" t="n">
        <f aca="false">IFERROR(J82-D82,"N/M")</f>
        <v>-0.0441591178674557</v>
      </c>
      <c r="M82" s="83" t="n">
        <f aca="false">IFERROR(SLOPE(D82:J82,$D$3:$J$3),"N/M")</f>
        <v>-0.0123741518599225</v>
      </c>
    </row>
    <row r="83" customFormat="false" ht="15" hidden="false" customHeight="false" outlineLevel="0" collapsed="false">
      <c r="A83" s="18" t="s">
        <v>521</v>
      </c>
      <c r="B83" s="19" t="s">
        <v>522</v>
      </c>
      <c r="D83" s="48" t="n">
        <f aca="false">IFERROR(IF((D54/365)&lt;=0,"N/M",D66/(D54/365)),"N/M")</f>
        <v>109.15651312531</v>
      </c>
      <c r="E83" s="48" t="n">
        <f aca="false">IFERROR(IF((E54/365)&lt;=0,"N/M",E66/(E54/365)),"N/M")</f>
        <v>151.241099683544</v>
      </c>
      <c r="F83" s="48" t="n">
        <f aca="false">IFERROR(IF((F54/365)&lt;=0,"N/M",F66/(F54/365)),"N/M")</f>
        <v>121.517717472625</v>
      </c>
      <c r="G83" s="48" t="n">
        <f aca="false">IFERROR(IF((G54/365)&lt;=0,"N/M",G66/(G54/365)),"N/M")</f>
        <v>136.013428451532</v>
      </c>
      <c r="H83" s="48" t="n">
        <f aca="false">IFERROR(IF((H54/365)&lt;=0,"N/M",H66/(H54/365)),"N/M")</f>
        <v>109.395993437527</v>
      </c>
      <c r="I83" s="48" t="n">
        <f aca="false">IFERROR(IF((I54/365)&lt;=0,"N/M",I66/(I54/365)),"N/M")</f>
        <v>118.924038643683</v>
      </c>
      <c r="J83" s="48" t="n">
        <f aca="false">IFERROR(IF((J54/365)&lt;=0,"N/M",J66/(J54/365)),"N/M")</f>
        <v>130.16840293105</v>
      </c>
      <c r="K83" s="28" t="n">
        <f aca="false">IFERROR(AVERAGE(D83:J83),"N/M")</f>
        <v>125.202456249324</v>
      </c>
      <c r="L83" s="84" t="n">
        <f aca="false">IFERROR(J83-D83,"N/M")</f>
        <v>21.0118898057402</v>
      </c>
      <c r="M83" s="85" t="n">
        <f aca="false">IFERROR(SLOPE(D83:J83,$D$3:$J$3),"N/M")</f>
        <v>-0.4900063106286</v>
      </c>
    </row>
    <row r="84" customFormat="false" ht="15" hidden="false" customHeight="false" outlineLevel="0" collapsed="false">
      <c r="A84" s="18" t="s">
        <v>122</v>
      </c>
      <c r="B84" s="19" t="s">
        <v>523</v>
      </c>
      <c r="D84" s="47" t="n">
        <f aca="false">IFERROR(IF(D64&lt;=0,"N/M",D41/D64),"N/M")</f>
        <v>0.555425904317386</v>
      </c>
      <c r="E84" s="47" t="n">
        <f aca="false">IFERROR(IF(E64&lt;=0,"N/M",E41/E64),"N/M")</f>
        <v>0.617988394584139</v>
      </c>
      <c r="F84" s="47" t="n">
        <f aca="false">IFERROR(IF(F64&lt;=0,"N/M",F41/F64),"N/M")</f>
        <v>0.444091990483743</v>
      </c>
      <c r="G84" s="47" t="n">
        <f aca="false">IFERROR(IF(G64&lt;=0,"N/M",G41/G64),"N/M")</f>
        <v>0.562080536912752</v>
      </c>
      <c r="H84" s="47" t="n">
        <f aca="false">IFERROR(IF(H64&lt;=0,"N/M",H41/H64),"N/M")</f>
        <v>0.0446579988694178</v>
      </c>
      <c r="I84" s="47" t="n">
        <f aca="false">IFERROR(IF(I64&lt;=0,"N/M",I41/I64),"N/M")</f>
        <v>0.760960960960961</v>
      </c>
      <c r="J84" s="47" t="n">
        <f aca="false">IFERROR(IF(J64&lt;=0,"N/M",J41/J64),"N/M")</f>
        <v>0.030506721820062</v>
      </c>
      <c r="K84" s="22" t="n">
        <f aca="false">IFERROR(AVERAGE(D84:J84),"N/M")</f>
        <v>0.430816072564066</v>
      </c>
      <c r="L84" s="82" t="n">
        <f aca="false">IFERROR(J84-D84,"N/M")</f>
        <v>-0.524919182497324</v>
      </c>
      <c r="M84" s="83" t="n">
        <f aca="false">IFERROR(SLOPE(D84:J84,$D$3:$J$3),"N/M")</f>
        <v>-0.0602945145125948</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1.80316831683168</v>
      </c>
      <c r="E87" s="47" t="n">
        <f aca="false">IFERROR(IF(E61&lt;=0,"N/M",E28/E61),"N/M")</f>
        <v>1.96523178807947</v>
      </c>
      <c r="F87" s="47" t="n">
        <f aca="false">IFERROR(IF(F61&lt;=0,"N/M",F28/F61),"N/M")</f>
        <v>1.39663760896638</v>
      </c>
      <c r="G87" s="47" t="n">
        <f aca="false">IFERROR(IF(G61&lt;=0,"N/M",G28/G61),"N/M")</f>
        <v>1.12643959813771</v>
      </c>
      <c r="H87" s="47" t="n">
        <f aca="false">IFERROR(IF(H61&lt;=0,"N/M",H28/H61),"N/M")</f>
        <v>0.835746201966041</v>
      </c>
      <c r="I87" s="47" t="n">
        <f aca="false">IFERROR(IF(I61&lt;=0,"N/M",I28/I61),"N/M")</f>
        <v>0.731947868967947</v>
      </c>
      <c r="J87" s="47" t="n">
        <f aca="false">IFERROR(IF(J61&lt;=0,"N/M",J28/J61),"N/M")</f>
        <v>0.666611212776576</v>
      </c>
      <c r="K87" s="22" t="n">
        <f aca="false">IFERROR(AVERAGE(D87:J87),"N/M")</f>
        <v>1.21796894224654</v>
      </c>
      <c r="L87" s="82" t="n">
        <f aca="false">IFERROR(J87-D87,"N/M")</f>
        <v>-1.13655710405511</v>
      </c>
      <c r="M87" s="83" t="n">
        <f aca="false">IFERROR(SLOPE(D87:J87,$D$3:$J$3),"N/M")</f>
        <v>-0.229897519906739</v>
      </c>
    </row>
    <row r="88" customFormat="false" ht="15" hidden="false" customHeight="false" outlineLevel="0" collapsed="false">
      <c r="A88" s="18" t="s">
        <v>526</v>
      </c>
      <c r="B88" s="19" t="s">
        <v>527</v>
      </c>
      <c r="D88" s="47" t="n">
        <f aca="false">IFERROR(IF(D61&lt;=0,"N/M",(D28+D29)/D61),"N/M")</f>
        <v>2.14257425742574</v>
      </c>
      <c r="E88" s="47" t="n">
        <f aca="false">IFERROR(IF(E61&lt;=0,"N/M",(E28+E29)/E61),"N/M")</f>
        <v>2.3932119205298</v>
      </c>
      <c r="F88" s="47" t="n">
        <f aca="false">IFERROR(IF(F61&lt;=0,"N/M",(F28+F29)/F61),"N/M")</f>
        <v>1.78922789539228</v>
      </c>
      <c r="G88" s="47" t="n">
        <f aca="false">IFERROR(IF(G61&lt;=0,"N/M",(G28+G29)/G61),"N/M")</f>
        <v>1.56456750796373</v>
      </c>
      <c r="H88" s="47" t="n">
        <f aca="false">IFERROR(IF(H61&lt;=0,"N/M",(H28+H29)/H61),"N/M")</f>
        <v>1.15192135835567</v>
      </c>
      <c r="I88" s="47" t="n">
        <f aca="false">IFERROR(IF(I61&lt;=0,"N/M",(I28+I29)/I61),"N/M")</f>
        <v>1.02518492426911</v>
      </c>
      <c r="J88" s="47" t="n">
        <f aca="false">IFERROR(IF(J61&lt;=0,"N/M",(J28+J29)/J61),"N/M")</f>
        <v>0.988354683081018</v>
      </c>
      <c r="K88" s="22" t="n">
        <f aca="false">IFERROR(AVERAGE(D88:J88),"N/M")</f>
        <v>1.57929179243105</v>
      </c>
      <c r="L88" s="82" t="n">
        <f aca="false">IFERROR(J88-D88,"N/M")</f>
        <v>-1.15421957434472</v>
      </c>
      <c r="M88" s="83" t="n">
        <f aca="false">IFERROR(SLOPE(D88:J88,$D$3:$J$3),"N/M")</f>
        <v>-0.244143544735434</v>
      </c>
    </row>
    <row r="89" customFormat="false" ht="15" hidden="false" customHeight="false" outlineLevel="0" collapsed="false">
      <c r="A89" s="18" t="s">
        <v>528</v>
      </c>
      <c r="B89" s="19" t="s">
        <v>529</v>
      </c>
      <c r="D89" s="47" t="n">
        <f aca="false">IFERROR(IF(D35&lt;=0,"N/M",D28/D35),"N/M")</f>
        <v>0.573787019533712</v>
      </c>
      <c r="E89" s="47" t="n">
        <f aca="false">IFERROR(IF(E35&lt;=0,"N/M",E28/E35),"N/M")</f>
        <v>0.579165650158575</v>
      </c>
      <c r="F89" s="47" t="n">
        <f aca="false">IFERROR(IF(F35&lt;=0,"N/M",F28/F35),"N/M")</f>
        <v>0.500725527402612</v>
      </c>
      <c r="G89" s="47" t="n">
        <f aca="false">IFERROR(IF(G35&lt;=0,"N/M",G28/G35),"N/M")</f>
        <v>0.439231798203707</v>
      </c>
      <c r="H89" s="47" t="n">
        <f aca="false">IFERROR(IF(H35&lt;=0,"N/M",H28/H35),"N/M")</f>
        <v>0.388372093023256</v>
      </c>
      <c r="I89" s="47" t="n">
        <f aca="false">IFERROR(IF(I35&lt;=0,"N/M",I28/I35),"N/M")</f>
        <v>0.361422732411514</v>
      </c>
      <c r="J89" s="47" t="n">
        <f aca="false">IFERROR(IF(J35&lt;=0,"N/M",J28/J35),"N/M")</f>
        <v>0.335257697456493</v>
      </c>
      <c r="K89" s="22" t="n">
        <f aca="false">IFERROR(AVERAGE(D89:J89),"N/M")</f>
        <v>0.453994645455695</v>
      </c>
      <c r="L89" s="82" t="n">
        <f aca="false">IFERROR(J89-D89,"N/M")</f>
        <v>-0.238529322077219</v>
      </c>
      <c r="M89" s="83" t="n">
        <f aca="false">IFERROR(SLOPE(D89:J89,$D$3:$J$3),"N/M")</f>
        <v>-0.0451224012894691</v>
      </c>
    </row>
    <row r="90" customFormat="false" ht="15" hidden="false" customHeight="false" outlineLevel="0" collapsed="false">
      <c r="A90" s="18" t="s">
        <v>530</v>
      </c>
      <c r="B90" s="19" t="s">
        <v>531</v>
      </c>
      <c r="D90" s="47" t="n">
        <f aca="false">IFERROR(IF(D62&lt;=0,"N/M",D28/D62),"N/M")</f>
        <v>0.643260808137892</v>
      </c>
      <c r="E90" s="47" t="n">
        <f aca="false">IFERROR(IF(E62&lt;=0,"N/M",E28/E62),"N/M")</f>
        <v>0.662758235622557</v>
      </c>
      <c r="F90" s="47" t="n">
        <f aca="false">IFERROR(IF(F62&lt;=0,"N/M",F28/F62),"N/M")</f>
        <v>0.582748765913224</v>
      </c>
      <c r="G90" s="47" t="n">
        <f aca="false">IFERROR(IF(G62&lt;=0,"N/M",G28/G62),"N/M")</f>
        <v>0.52973035261581</v>
      </c>
      <c r="H90" s="47" t="n">
        <f aca="false">IFERROR(IF(H62&lt;=0,"N/M",H28/H62),"N/M")</f>
        <v>0.45526238925129</v>
      </c>
      <c r="I90" s="47" t="n">
        <f aca="false">IFERROR(IF(I62&lt;=0,"N/M",I28/I62),"N/M")</f>
        <v>0.422615415904007</v>
      </c>
      <c r="J90" s="47" t="n">
        <f aca="false">IFERROR(IF(J62&lt;=0,"N/M",J28/J62),"N/M")</f>
        <v>0.399980035935316</v>
      </c>
      <c r="K90" s="22" t="n">
        <f aca="false">IFERROR(AVERAGE(D90:J90),"N/M")</f>
        <v>0.528050857625728</v>
      </c>
      <c r="L90" s="82" t="n">
        <f aca="false">IFERROR(J90-D90,"N/M")</f>
        <v>-0.243280772202576</v>
      </c>
      <c r="M90" s="83" t="n">
        <f aca="false">IFERROR(SLOPE(D90:J90,$D$3:$J$3),"N/M")</f>
        <v>-0.047771940453813</v>
      </c>
    </row>
    <row r="91" customFormat="false" ht="15" hidden="false" customHeight="false" outlineLevel="0" collapsed="false">
      <c r="A91" s="18" t="s">
        <v>125</v>
      </c>
      <c r="B91" s="19" t="s">
        <v>532</v>
      </c>
      <c r="D91" s="46" t="n">
        <f aca="false">IFERROR(IF(D35=0,"N/M",D61/D35),"N/M")</f>
        <v>0.318210459987398</v>
      </c>
      <c r="E91" s="46" t="n">
        <f aca="false">IFERROR(IF(E35=0,"N/M",E61/E35),"N/M")</f>
        <v>0.294706025859966</v>
      </c>
      <c r="F91" s="46" t="n">
        <f aca="false">IFERROR(IF(F35=0,"N/M",F61/F35),"N/M")</f>
        <v>0.35852215649068</v>
      </c>
      <c r="G91" s="46" t="n">
        <f aca="false">IFERROR(IF(G35=0,"N/M",G61/G35),"N/M")</f>
        <v>0.389929294859545</v>
      </c>
      <c r="H91" s="46" t="n">
        <f aca="false">IFERROR(IF(H35=0,"N/M",H61/H35),"N/M")</f>
        <v>0.464700996677741</v>
      </c>
      <c r="I91" s="46" t="n">
        <f aca="false">IFERROR(IF(I35=0,"N/M",I61/I35),"N/M")</f>
        <v>0.493782068005914</v>
      </c>
      <c r="J91" s="46" t="n">
        <f aca="false">IFERROR(IF(J35=0,"N/M",J61/J35),"N/M")</f>
        <v>0.502928380187416</v>
      </c>
      <c r="K91" s="25" t="n">
        <f aca="false">IFERROR(AVERAGE(D91:J91),"N/M")</f>
        <v>0.40325419743838</v>
      </c>
      <c r="L91" s="86" t="n">
        <f aca="false">IFERROR(J91-D91,"N/M")</f>
        <v>0.184717920200019</v>
      </c>
      <c r="M91" s="87" t="n">
        <f aca="false">IFERROR(SLOPE(D91:J91,$D$3:$J$3),"N/M")</f>
        <v>0.0378030244671076</v>
      </c>
    </row>
    <row r="92" customFormat="false" ht="15" hidden="false" customHeight="false" outlineLevel="0" collapsed="false">
      <c r="A92" s="18" t="s">
        <v>533</v>
      </c>
      <c r="B92" s="19" t="s">
        <v>534</v>
      </c>
      <c r="D92" s="47" t="n">
        <f aca="false">IFERROR(IF(D61&lt;=0,"N/M",D28/D61),"N/M")</f>
        <v>1.80316831683168</v>
      </c>
      <c r="E92" s="47" t="n">
        <f aca="false">IFERROR(IF(E61&lt;=0,"N/M",E28/E61),"N/M")</f>
        <v>1.96523178807947</v>
      </c>
      <c r="F92" s="47" t="n">
        <f aca="false">IFERROR(IF(F61&lt;=0,"N/M",F28/F61),"N/M")</f>
        <v>1.39663760896638</v>
      </c>
      <c r="G92" s="47" t="n">
        <f aca="false">IFERROR(IF(G61&lt;=0,"N/M",G28/G61),"N/M")</f>
        <v>1.12643959813771</v>
      </c>
      <c r="H92" s="47" t="n">
        <f aca="false">IFERROR(IF(H61&lt;=0,"N/M",H28/H61),"N/M")</f>
        <v>0.835746201966041</v>
      </c>
      <c r="I92" s="47" t="n">
        <f aca="false">IFERROR(IF(I61&lt;=0,"N/M",I28/I61),"N/M")</f>
        <v>0.731947868967947</v>
      </c>
      <c r="J92" s="47" t="n">
        <f aca="false">IFERROR(IF(J61&lt;=0,"N/M",J28/J61),"N/M")</f>
        <v>0.666611212776576</v>
      </c>
      <c r="K92" s="22" t="n">
        <f aca="false">IFERROR(AVERAGE(D92:J92),"N/M")</f>
        <v>1.21796894224654</v>
      </c>
      <c r="L92" s="82" t="n">
        <f aca="false">IFERROR(J92-D92,"N/M")</f>
        <v>-1.13655710405511</v>
      </c>
      <c r="M92" s="83" t="n">
        <f aca="false">IFERROR(SLOPE(D92:J92,$D$3:$J$3),"N/M")</f>
        <v>-0.229897519906739</v>
      </c>
    </row>
    <row r="93" customFormat="false" ht="15" hidden="false" customHeight="false" outlineLevel="0" collapsed="false">
      <c r="A93" s="18" t="s">
        <v>126</v>
      </c>
      <c r="B93" s="19" t="s">
        <v>535</v>
      </c>
      <c r="D93" s="47" t="n">
        <f aca="false">IFERROR(IF(D59&lt;=0,"N/M",D28/D59),"N/M")</f>
        <v>4.5989898989899</v>
      </c>
      <c r="E93" s="47" t="n">
        <f aca="false">IFERROR(IF(E59&lt;=0,"N/M",E28/E59),"N/M")</f>
        <v>6.28042328042328</v>
      </c>
      <c r="F93" s="47" t="n">
        <f aca="false">IFERROR(IF(F59&lt;=0,"N/M",F28/F59),"N/M")</f>
        <v>2.26680141485599</v>
      </c>
      <c r="G93" s="47" t="n">
        <f aca="false">IFERROR(IF(G59&lt;=0,"N/M",G28/G59),"N/M")</f>
        <v>2.24902152641879</v>
      </c>
      <c r="H93" s="47" t="n">
        <f aca="false">IFERROR(IF(H59&lt;=0,"N/M",H28/H59),"N/M")</f>
        <v>1.51818181818182</v>
      </c>
      <c r="I93" s="47" t="n">
        <f aca="false">IFERROR(IF(I59&lt;=0,"N/M",I28/I59),"N/M")</f>
        <v>3.61705831157528</v>
      </c>
      <c r="J93" s="47" t="n">
        <f aca="false">IFERROR(IF(J59&lt;=0,"N/M",J28/J59),"N/M")</f>
        <v>3.41894197952218</v>
      </c>
      <c r="K93" s="22" t="n">
        <f aca="false">IFERROR(AVERAGE(D93:J93),"N/M")</f>
        <v>3.42134546142389</v>
      </c>
      <c r="L93" s="82" t="n">
        <f aca="false">IFERROR(J93-D93,"N/M")</f>
        <v>-1.18004791946772</v>
      </c>
      <c r="M93" s="83" t="n">
        <f aca="false">IFERROR(SLOPE(D93:J93,$D$3:$J$3),"N/M")</f>
        <v>-0.343410474741904</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1.62322946175637</v>
      </c>
      <c r="E96" s="47" t="n">
        <f aca="false">IFERROR(IF(E19&lt;=0,"N/M",E58/E19),"N/M")</f>
        <v>0.771971496437055</v>
      </c>
      <c r="F96" s="47" t="n">
        <f aca="false">IFERROR(IF(F19&lt;=0,"N/M",F58/F19),"N/M")</f>
        <v>3.85714285714286</v>
      </c>
      <c r="G96" s="47" t="n">
        <f aca="false">IFERROR(IF(G19&lt;=0,"N/M",G58/G19),"N/M")</f>
        <v>4.60377358490566</v>
      </c>
      <c r="H96" s="47" t="n">
        <f aca="false">IFERROR(IF(H19&lt;=0,"N/M",H58/H19),"N/M")</f>
        <v>5.32056451612903</v>
      </c>
      <c r="I96" s="47" t="n">
        <f aca="false">IFERROR(IF(I19&lt;=0,"N/M",I58/I19),"N/M")</f>
        <v>1.52054794520548</v>
      </c>
      <c r="J96" s="47" t="n">
        <f aca="false">IFERROR(IF(J19&lt;=0,"N/M",J58/J19),"N/M")</f>
        <v>1.85576923076923</v>
      </c>
      <c r="K96" s="22" t="n">
        <f aca="false">IFERROR(AVERAGE(D96:J96),"N/M")</f>
        <v>2.79328558462081</v>
      </c>
      <c r="L96" s="82" t="n">
        <f aca="false">IFERROR(J96-D96,"N/M")</f>
        <v>0.232539769012857</v>
      </c>
      <c r="M96" s="83" t="n">
        <f aca="false">IFERROR(SLOPE(D96:J96,$D$3:$J$3),"N/M")</f>
        <v>0.130649780841486</v>
      </c>
    </row>
    <row r="97" customFormat="false" ht="15" hidden="false" customHeight="false" outlineLevel="0" collapsed="false">
      <c r="A97" s="18" t="s">
        <v>538</v>
      </c>
      <c r="B97" s="19" t="s">
        <v>539</v>
      </c>
      <c r="D97" s="47" t="n">
        <f aca="false">IFERROR(IF(D19&lt;=0,"N/M",D59/D19),"N/M")</f>
        <v>2.80453257790368</v>
      </c>
      <c r="E97" s="47" t="n">
        <f aca="false">IFERROR(IF(E19&lt;=0,"N/M",E59/E19),"N/M")</f>
        <v>1.79572446555819</v>
      </c>
      <c r="F97" s="47" t="n">
        <f aca="false">IFERROR(IF(F19&lt;=0,"N/M",F59/F19),"N/M")</f>
        <v>4.79176755447942</v>
      </c>
      <c r="G97" s="47" t="n">
        <f aca="false">IFERROR(IF(G19&lt;=0,"N/M",G59/G19),"N/M")</f>
        <v>5.50943396226415</v>
      </c>
      <c r="H97" s="47" t="n">
        <f aca="false">IFERROR(IF(H19&lt;=0,"N/M",H59/H19),"N/M")</f>
        <v>6.20967741935484</v>
      </c>
      <c r="I97" s="47" t="n">
        <f aca="false">IFERROR(IF(I19&lt;=0,"N/M",I59/I19),"N/M")</f>
        <v>2.62328767123288</v>
      </c>
      <c r="J97" s="47" t="n">
        <f aca="false">IFERROR(IF(J19&lt;=0,"N/M",J59/J19),"N/M")</f>
        <v>2.81730769230769</v>
      </c>
      <c r="K97" s="22" t="n">
        <f aca="false">IFERROR(AVERAGE(D97:J97),"N/M")</f>
        <v>3.79310447758584</v>
      </c>
      <c r="L97" s="82" t="n">
        <f aca="false">IFERROR(J97-D97,"N/M")</f>
        <v>0.0127751144040094</v>
      </c>
      <c r="M97" s="83" t="n">
        <f aca="false">IFERROR(SLOPE(D97:J97,$D$3:$J$3),"N/M")</f>
        <v>0.111120057837029</v>
      </c>
    </row>
    <row r="98" customFormat="false" ht="15" hidden="false" customHeight="false" outlineLevel="0" collapsed="false">
      <c r="A98" s="18" t="s">
        <v>540</v>
      </c>
      <c r="B98" s="19" t="s">
        <v>541</v>
      </c>
      <c r="D98" s="47" t="n">
        <f aca="false">IFERROR(IF(D23&lt;=0,"N/M",D22/D23),"N/M")</f>
        <v>2.82692307692308</v>
      </c>
      <c r="E98" s="47" t="n">
        <f aca="false">IFERROR(IF(E23&lt;=0,"N/M",E22/E23),"N/M")</f>
        <v>-1.03809523809524</v>
      </c>
      <c r="F98" s="47" t="n">
        <f aca="false">IFERROR(IF(F23&lt;=0,"N/M",F22/F23),"N/M")</f>
        <v>4.21428571428571</v>
      </c>
      <c r="G98" s="47" t="n">
        <f aca="false">IFERROR(IF(G23&lt;=0,"N/M",G22/G23),"N/M")</f>
        <v>9.21904761904762</v>
      </c>
      <c r="H98" s="47" t="n">
        <f aca="false">IFERROR(IF(H23&lt;=0,"N/M",H22/H23),"N/M")</f>
        <v>23.2571428571429</v>
      </c>
      <c r="I98" s="47" t="str">
        <f aca="false">IFERROR(IF(I23&lt;=0,"N/M",I22/I23),"N/M")</f>
        <v>N/M</v>
      </c>
      <c r="J98" s="47" t="str">
        <f aca="false">IFERROR(IF(J23&lt;=0,"N/M",J22/J23),"N/M")</f>
        <v>N/M</v>
      </c>
      <c r="K98" s="22" t="n">
        <f aca="false">IFERROR(AVERAGE(D98:J98),"N/M")</f>
        <v>7.69586080586081</v>
      </c>
      <c r="L98" s="82" t="str">
        <f aca="false">IFERROR(J98-D98,"N/M")</f>
        <v>N/M</v>
      </c>
      <c r="M98" s="83" t="n">
        <f aca="false">IFERROR(SLOPE(D98:J98,$D$3:$J$3),"N/M")</f>
        <v>5.11175824175824</v>
      </c>
    </row>
    <row r="99" customFormat="false" ht="15" hidden="false" customHeight="false" outlineLevel="0" collapsed="false">
      <c r="A99" s="18" t="s">
        <v>542</v>
      </c>
      <c r="B99" s="19" t="s">
        <v>543</v>
      </c>
      <c r="D99" s="47" t="n">
        <f aca="false">IFERROR(IF((D19+IF((1-D60)&lt;=0,"N/M",D68/(1-D60)))&lt;=0,"N/M",D59/(D19+IF((1-D60)&lt;=0,"N/M",D68/(1-D60)))),"N/M")</f>
        <v>2.80453257790368</v>
      </c>
      <c r="E99" s="47" t="n">
        <f aca="false">IFERROR(IF((E19+IF((1-E60)&lt;=0,"N/M",E68/(1-E60)))&lt;=0,"N/M",E59/(E19+IF((1-E60)&lt;=0,"N/M",E68/(1-E60)))),"N/M")</f>
        <v>1.79572446555819</v>
      </c>
      <c r="F99" s="47" t="n">
        <f aca="false">IFERROR(IF((F19+IF((1-F60)&lt;=0,"N/M",F68/(1-F60)))&lt;=0,"N/M",F59/(F19+IF((1-F60)&lt;=0,"N/M",F68/(1-F60)))),"N/M")</f>
        <v>2.59463227398658</v>
      </c>
      <c r="G99" s="47" t="n">
        <f aca="false">IFERROR(IF((G19+IF((1-G60)&lt;=0,"N/M",G68/(1-G60)))&lt;=0,"N/M",G59/(G19+IF((1-G60)&lt;=0,"N/M",G68/(1-G60)))),"N/M")</f>
        <v>5.50943396226415</v>
      </c>
      <c r="H99" s="47" t="n">
        <f aca="false">IFERROR(IF((H19+IF((1-H60)&lt;=0,"N/M",H68/(1-H60)))&lt;=0,"N/M",H59/(H19+IF((1-H60)&lt;=0,"N/M",H68/(1-H60)))),"N/M")</f>
        <v>6.20967741935484</v>
      </c>
      <c r="I99" s="47" t="n">
        <f aca="false">IFERROR(IF((I19+IF((1-I60)&lt;=0,"N/M",I68/(1-I60)))&lt;=0,"N/M",I59/(I19+IF((1-I60)&lt;=0,"N/M",I68/(1-I60)))),"N/M")</f>
        <v>0.951261208954262</v>
      </c>
      <c r="J99" s="47" t="n">
        <f aca="false">IFERROR(IF((J19+IF((1-J60)&lt;=0,"N/M",J68/(1-J60)))&lt;=0,"N/M",J59/(J19+IF((1-J60)&lt;=0,"N/M",J68/(1-J60)))),"N/M")</f>
        <v>2.00732791327913</v>
      </c>
      <c r="K99" s="22" t="n">
        <f aca="false">IFERROR(AVERAGE(D99:J99),"N/M")</f>
        <v>3.12465568875726</v>
      </c>
      <c r="L99" s="82" t="n">
        <f aca="false">IFERROR(J99-D99,"N/M")</f>
        <v>-0.797204664624551</v>
      </c>
      <c r="M99" s="83" t="n">
        <f aca="false">IFERROR(SLOPE(D99:J99,$D$3:$J$3),"N/M")</f>
        <v>-0.0166248343469022</v>
      </c>
    </row>
    <row r="100" customFormat="false" ht="15" hidden="false" customHeight="false" outlineLevel="0" collapsed="false">
      <c r="A100" s="18" t="s">
        <v>544</v>
      </c>
      <c r="B100" s="19" t="s">
        <v>545</v>
      </c>
      <c r="D100" s="47" t="n">
        <f aca="false">IFERROR(IF((D19+IF((1-D60)&lt;=0,"N/M",D68/(1-D60)))&lt;=0,"N/M",(D41+D21)/(D19+IF((1-D60)&lt;=0,"N/M",D68/(1-D60)))),"N/M")</f>
        <v>1.55524079320113</v>
      </c>
      <c r="E100" s="47" t="n">
        <f aca="false">IFERROR(IF((E19+IF((1-E60)&lt;=0,"N/M",E68/(1-E60)))&lt;=0,"N/M",(E41+E21)/(E19+IF((1-E60)&lt;=0,"N/M",E68/(1-E60)))),"N/M")</f>
        <v>1.54869358669834</v>
      </c>
      <c r="F100" s="47" t="n">
        <f aca="false">IFERROR(IF((F19+IF((1-F60)&lt;=0,"N/M",F68/(1-F60)))&lt;=0,"N/M",(F41+F21)/(F19+IF((1-F60)&lt;=0,"N/M",F68/(1-F60)))),"N/M")</f>
        <v>1.12228662280572</v>
      </c>
      <c r="G100" s="47" t="n">
        <f aca="false">IFERROR(IF((G19+IF((1-G60)&lt;=0,"N/M",G68/(1-G60)))&lt;=0,"N/M",(G41+G21)/(G19+IF((1-G60)&lt;=0,"N/M",G68/(1-G60)))),"N/M")</f>
        <v>3.70080862533693</v>
      </c>
      <c r="H100" s="47" t="n">
        <f aca="false">IFERROR(IF((H19+IF((1-H60)&lt;=0,"N/M",H68/(1-H60)))&lt;=0,"N/M",(H41+H21)/(H19+IF((1-H60)&lt;=0,"N/M",H68/(1-H60)))),"N/M")</f>
        <v>1.19959677419355</v>
      </c>
      <c r="I100" s="47" t="n">
        <f aca="false">IFERROR(IF((I19+IF((1-I60)&lt;=0,"N/M",I68/(1-I60)))&lt;=0,"N/M",(I41+I21)/(I19+IF((1-I60)&lt;=0,"N/M",I68/(1-I60)))),"N/M")</f>
        <v>1.11021869556803</v>
      </c>
      <c r="J100" s="47" t="n">
        <f aca="false">IFERROR(IF((J19+IF((1-J60)&lt;=0,"N/M",J68/(1-J60)))&lt;=0,"N/M",(J41+J21)/(J19+IF((1-J60)&lt;=0,"N/M",J68/(1-J60)))),"N/M")</f>
        <v>0.169560975609756</v>
      </c>
      <c r="K100" s="22" t="n">
        <f aca="false">IFERROR(AVERAGE(D100:J100),"N/M")</f>
        <v>1.48662943905906</v>
      </c>
      <c r="L100" s="82" t="n">
        <f aca="false">IFERROR(J100-D100,"N/M")</f>
        <v>-1.38567981759138</v>
      </c>
      <c r="M100" s="83" t="n">
        <f aca="false">IFERROR(SLOPE(D100:J100,$D$3:$J$3),"N/M")</f>
        <v>-0.17702425298739</v>
      </c>
    </row>
    <row r="101" customFormat="false" ht="15" hidden="false" customHeight="false" outlineLevel="0" collapsed="false">
      <c r="A101" s="18" t="s">
        <v>546</v>
      </c>
      <c r="B101" s="19" t="s">
        <v>547</v>
      </c>
      <c r="D101" s="47" t="n">
        <f aca="false">IFERROR(IF(D67&lt;=0,"N/M",D41/D67),"N/M")</f>
        <v>0.43510054844607</v>
      </c>
      <c r="E101" s="47" t="n">
        <f aca="false">IFERROR(IF(E67&lt;=0,"N/M",E41/E67),"N/M")</f>
        <v>2.30685920577617</v>
      </c>
      <c r="F101" s="47" t="str">
        <f aca="false">IFERROR(IF(F67&lt;=0,"N/M",F41/F67),"N/M")</f>
        <v>N/M</v>
      </c>
      <c r="G101" s="47" t="n">
        <f aca="false">IFERROR(IF(G67&lt;=0,"N/M",G41/G67),"N/M")</f>
        <v>0.999005964214712</v>
      </c>
      <c r="H101" s="47" t="n">
        <f aca="false">IFERROR(IF(H67&lt;=0,"N/M",H41/H67),"N/M")</f>
        <v>0.0748815165876777</v>
      </c>
      <c r="I101" s="47" t="n">
        <f aca="false">IFERROR(IF(I67&lt;=0,"N/M",I41/I67),"N/M")</f>
        <v>25.8571428571428</v>
      </c>
      <c r="J101" s="47" t="n">
        <f aca="false">IFERROR(IF(J67&lt;=0,"N/M",J41/J67),"N/M")</f>
        <v>9.83333333333296</v>
      </c>
      <c r="K101" s="22" t="n">
        <f aca="false">IFERROR(AVERAGE(D101:J101),"N/M")</f>
        <v>6.58438723758341</v>
      </c>
      <c r="L101" s="82" t="n">
        <f aca="false">IFERROR(J101-D101,"N/M")</f>
        <v>9.39823278488689</v>
      </c>
      <c r="M101" s="83" t="n">
        <f aca="false">IFERROR(SLOPE(D101:J101,$D$3:$J$3),"N/M")</f>
        <v>2.56344446967944</v>
      </c>
    </row>
    <row r="102" customFormat="false" ht="15" hidden="false" customHeight="false" outlineLevel="0" collapsed="false">
      <c r="A102" s="18" t="s">
        <v>129</v>
      </c>
      <c r="B102" s="19" t="s">
        <v>548</v>
      </c>
      <c r="D102" s="47" t="n">
        <f aca="false">IFERROR(IF((D19+D68)&lt;=0,"N/M",((D22+D19)+D18)/(D19+D68)),"N/M")</f>
        <v>2.59773371104816</v>
      </c>
      <c r="E102" s="47" t="n">
        <f aca="false">IFERROR(IF((E19+E68)&lt;=0,"N/M",((E22+E19)+E18)/(E19+E68)),"N/M")</f>
        <v>1.76484560570071</v>
      </c>
      <c r="F102" s="47" t="n">
        <f aca="false">IFERROR(IF((F19+F68)&lt;=0,"N/M",((F22+F19)+F18)/(F19+F68)),"N/M")</f>
        <v>2.49481481481482</v>
      </c>
      <c r="G102" s="47" t="n">
        <f aca="false">IFERROR(IF((G19+G68)&lt;=0,"N/M",((G22+G19)+G18)/(G19+G68)),"N/M")</f>
        <v>4.51482479784367</v>
      </c>
      <c r="H102" s="47" t="n">
        <f aca="false">IFERROR(IF((H19+H68)&lt;=0,"N/M",((H22+H19)+H18)/(H19+H68)),"N/M")</f>
        <v>5.17137096774194</v>
      </c>
      <c r="I102" s="47" t="n">
        <f aca="false">IFERROR(IF((I19+I68)&lt;=0,"N/M",((I22+I19)+I18)/(I19+I68)),"N/M")</f>
        <v>1.12108559498956</v>
      </c>
      <c r="J102" s="47" t="n">
        <f aca="false">IFERROR(IF((J19+J68)&lt;=0,"N/M",((J22+J19)+J18)/(J19+J68)),"N/M")</f>
        <v>2.00353982300885</v>
      </c>
      <c r="K102" s="22" t="n">
        <f aca="false">IFERROR(AVERAGE(D102:J102),"N/M")</f>
        <v>2.8097450450211</v>
      </c>
      <c r="L102" s="82" t="n">
        <f aca="false">IFERROR(J102-D102,"N/M")</f>
        <v>-0.59419388803931</v>
      </c>
      <c r="M102" s="83" t="n">
        <f aca="false">IFERROR(SLOPE(D102:J102,$D$3:$J$3),"N/M")</f>
        <v>-0.0140551975933254</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n">
        <f aca="false">IFERROR(IF(((D37+C37)/2)&lt;=0,"N/M",D52/((D37+C37)/2)),"N/M")</f>
        <v>30.3702359346642</v>
      </c>
      <c r="E105" s="47" t="n">
        <f aca="false">IFERROR(IF(((E37+D37)/2)&lt;=0,"N/M",E52/((E37+D37)/2)),"N/M")</f>
        <v>19.3840985442329</v>
      </c>
      <c r="F105" s="47" t="n">
        <f aca="false">IFERROR(IF(((F37+E37)/2)&lt;=0,"N/M",F52/((F37+E37)/2)),"N/M")</f>
        <v>22.4981617647059</v>
      </c>
      <c r="G105" s="47" t="n">
        <f aca="false">IFERROR(IF(((G37+F37)/2)&lt;=0,"N/M",G52/((G37+F37)/2)),"N/M")</f>
        <v>49.1557788944724</v>
      </c>
      <c r="H105" s="47" t="n">
        <f aca="false">IFERROR(IF(((H37+G37)/2)&lt;=0,"N/M",H52/((H37+G37)/2)),"N/M")</f>
        <v>817.411764705882</v>
      </c>
      <c r="I105" s="47" t="n">
        <f aca="false">IFERROR(IF(((I37+H37)/2)&lt;=0,"N/M",I52/((I37+H37)/2)),"N/M")</f>
        <v>653.894736842105</v>
      </c>
      <c r="J105" s="47" t="n">
        <f aca="false">IFERROR(IF(((J37+I37)/2)&lt;=0,"N/M",J52/((J37+I37)/2)),"N/M")</f>
        <v>1115.11111111111</v>
      </c>
      <c r="K105" s="22" t="n">
        <f aca="false">IFERROR(AVERAGE(D105:J105),"N/M")</f>
        <v>386.832269685311</v>
      </c>
      <c r="L105" s="82" t="n">
        <f aca="false">IFERROR(J105-D105,"N/M")</f>
        <v>1084.74087517645</v>
      </c>
      <c r="M105" s="83" t="n">
        <f aca="false">IFERROR(SLOPE(D105:J105,$D$3:$J$3),"N/M")</f>
        <v>189.934196609509</v>
      </c>
    </row>
    <row r="106" customFormat="false" ht="15" hidden="false" customHeight="false" outlineLevel="0" collapsed="false">
      <c r="A106" s="18" t="s">
        <v>552</v>
      </c>
      <c r="B106" s="19" t="s">
        <v>553</v>
      </c>
      <c r="D106" s="48" t="n">
        <f aca="false">IFERROR(IF(D105&lt;=0,"N/M",365/D105),"N/M")</f>
        <v>12.0183458826342</v>
      </c>
      <c r="E106" s="48" t="n">
        <f aca="false">IFERROR(IF(E105&lt;=0,"N/M",365/E105),"N/M")</f>
        <v>18.8298671288273</v>
      </c>
      <c r="F106" s="48" t="n">
        <f aca="false">IFERROR(IF(F105&lt;=0,"N/M",365/F105),"N/M")</f>
        <v>16.2235476754637</v>
      </c>
      <c r="G106" s="48" t="n">
        <f aca="false">IFERROR(IF(G105&lt;=0,"N/M",365/G105),"N/M")</f>
        <v>7.42537313432836</v>
      </c>
      <c r="H106" s="48" t="n">
        <f aca="false">IFERROR(IF(H105&lt;=0,"N/M",365/H105),"N/M")</f>
        <v>0.446531375935521</v>
      </c>
      <c r="I106" s="48" t="n">
        <f aca="false">IFERROR(IF(I105&lt;=0,"N/M",365/I105),"N/M")</f>
        <v>0.558193818415969</v>
      </c>
      <c r="J106" s="48" t="n">
        <f aca="false">IFERROR(IF(J105&lt;=0,"N/M",365/J105),"N/M")</f>
        <v>0.327321642088481</v>
      </c>
      <c r="K106" s="28" t="n">
        <f aca="false">IFERROR(AVERAGE(D106:J106),"N/M")</f>
        <v>7.97559723681335</v>
      </c>
      <c r="L106" s="84" t="n">
        <f aca="false">IFERROR(J106-D106,"N/M")</f>
        <v>-11.6910242405457</v>
      </c>
      <c r="M106" s="85" t="n">
        <f aca="false">IFERROR(SLOPE(D106:J106,$D$3:$J$3),"N/M")</f>
        <v>-3.12119413007099</v>
      </c>
    </row>
    <row r="107" customFormat="false" ht="15" hidden="false" customHeight="false" outlineLevel="0" collapsed="false">
      <c r="A107" s="18" t="s">
        <v>554</v>
      </c>
      <c r="B107" s="19" t="s">
        <v>555</v>
      </c>
      <c r="D107" s="47" t="n">
        <f aca="false">IFERROR(IF(((D36+C36)/2)&lt;=0,"N/M",D9/((D36+C36)/2)),"N/M")</f>
        <v>3.86847195357834</v>
      </c>
      <c r="E107" s="47" t="n">
        <f aca="false">IFERROR(IF(((E36+D36)/2)&lt;=0,"N/M",E9/((E36+D36)/2)),"N/M")</f>
        <v>3.41258079772978</v>
      </c>
      <c r="F107" s="47" t="n">
        <f aca="false">IFERROR(IF(((F36+E36)/2)&lt;=0,"N/M",F9/((F36+E36)/2)),"N/M")</f>
        <v>4.03747996547898</v>
      </c>
      <c r="G107" s="47" t="n">
        <f aca="false">IFERROR(IF(((G36+F36)/2)&lt;=0,"N/M",G9/((G36+F36)/2)),"N/M")</f>
        <v>3.72544709761215</v>
      </c>
      <c r="H107" s="47" t="n">
        <f aca="false">IFERROR(IF(((H36+G36)/2)&lt;=0,"N/M",H9/((H36+G36)/2)),"N/M")</f>
        <v>4.16424237386751</v>
      </c>
      <c r="I107" s="47" t="n">
        <f aca="false">IFERROR(IF(((I36+H36)/2)&lt;=0,"N/M",I9/((I36+H36)/2)),"N/M")</f>
        <v>3.49519803158981</v>
      </c>
      <c r="J107" s="47" t="n">
        <f aca="false">IFERROR(IF(((J36+I36)/2)&lt;=0,"N/M",J9/((J36+I36)/2)),"N/M")</f>
        <v>3.45789978599365</v>
      </c>
      <c r="K107" s="22" t="n">
        <f aca="false">IFERROR(AVERAGE(D107:J107),"N/M")</f>
        <v>3.73733142940717</v>
      </c>
      <c r="L107" s="82" t="n">
        <f aca="false">IFERROR(J107-D107,"N/M")</f>
        <v>-0.410572167584683</v>
      </c>
      <c r="M107" s="83" t="n">
        <f aca="false">IFERROR(SLOPE(D107:J107,$D$3:$J$3),"N/M")</f>
        <v>-0.0335614152373379</v>
      </c>
    </row>
    <row r="108" customFormat="false" ht="15" hidden="false" customHeight="false" outlineLevel="0" collapsed="false">
      <c r="A108" s="18" t="s">
        <v>130</v>
      </c>
      <c r="B108" s="19" t="s">
        <v>556</v>
      </c>
      <c r="D108" s="48" t="n">
        <f aca="false">IFERROR(IF(D107&lt;=0,"N/M",365/D107),"N/M")</f>
        <v>94.3525</v>
      </c>
      <c r="E108" s="48" t="n">
        <f aca="false">IFERROR(IF(E107&lt;=0,"N/M",365/E107),"N/M")</f>
        <v>106.957174535711</v>
      </c>
      <c r="F108" s="48" t="n">
        <f aca="false">IFERROR(IF(F107&lt;=0,"N/M",365/F107),"N/M")</f>
        <v>90.4029253694882</v>
      </c>
      <c r="G108" s="48" t="n">
        <f aca="false">IFERROR(IF(G107&lt;=0,"N/M",365/G107),"N/M")</f>
        <v>97.9748176357005</v>
      </c>
      <c r="H108" s="48" t="n">
        <f aca="false">IFERROR(IF(H107&lt;=0,"N/M",365/H107),"N/M")</f>
        <v>87.650998003992</v>
      </c>
      <c r="I108" s="48" t="n">
        <f aca="false">IFERROR(IF(I107&lt;=0,"N/M",365/I107),"N/M")</f>
        <v>104.42898991734</v>
      </c>
      <c r="J108" s="48" t="n">
        <f aca="false">IFERROR(IF(J107&lt;=0,"N/M",365/J107),"N/M")</f>
        <v>105.555401425584</v>
      </c>
      <c r="K108" s="28" t="n">
        <f aca="false">IFERROR(AVERAGE(D108:J108),"N/M")</f>
        <v>98.1889724125451</v>
      </c>
      <c r="L108" s="84" t="n">
        <f aca="false">IFERROR(J108-D108,"N/M")</f>
        <v>11.2029014255837</v>
      </c>
      <c r="M108" s="85" t="n">
        <f aca="false">IFERROR(SLOPE(D108:J108,$D$3:$J$3),"N/M")</f>
        <v>0.921443131232628</v>
      </c>
    </row>
    <row r="109" customFormat="false" ht="15" hidden="false" customHeight="false" outlineLevel="0" collapsed="false">
      <c r="A109" s="18" t="s">
        <v>557</v>
      </c>
      <c r="B109" s="19" t="s">
        <v>558</v>
      </c>
      <c r="D109" s="47" t="n">
        <f aca="false">IFERROR(IF(((D29+C29)/2)&lt;=0,"N/M",D52/((D29+C29)/2)),"N/M")</f>
        <v>9.39584503088153</v>
      </c>
      <c r="E109" s="47" t="n">
        <f aca="false">IFERROR(IF(((E29+D29)/2)&lt;=0,"N/M",E52/((E29+D29)/2)),"N/M")</f>
        <v>9.15388683236383</v>
      </c>
      <c r="F109" s="47" t="n">
        <f aca="false">IFERROR(IF(((F29+E29)/2)&lt;=0,"N/M",F52/((F29+E29)/2)),"N/M")</f>
        <v>10.6657952069717</v>
      </c>
      <c r="G109" s="47" t="n">
        <f aca="false">IFERROR(IF(((G29+F29)/2)&lt;=0,"N/M",G52/((G29+F29)/2)),"N/M")</f>
        <v>9.62479501475894</v>
      </c>
      <c r="H109" s="47" t="n">
        <f aca="false">IFERROR(IF(((H29+G29)/2)&lt;=0,"N/M",H52/((H29+G29)/2)),"N/M")</f>
        <v>11.7199887545685</v>
      </c>
      <c r="I109" s="47" t="n">
        <f aca="false">IFERROR(IF(((I29+H29)/2)&lt;=0,"N/M",I52/((I29+H29)/2)),"N/M")</f>
        <v>10.853814793244</v>
      </c>
      <c r="J109" s="47" t="n">
        <f aca="false">IFERROR(IF(((J29+I29)/2)&lt;=0,"N/M",J52/((J29+I29)/2)),"N/M")</f>
        <v>11.1542095026396</v>
      </c>
      <c r="K109" s="22" t="n">
        <f aca="false">IFERROR(AVERAGE(D109:J109),"N/M")</f>
        <v>10.3669050193469</v>
      </c>
      <c r="L109" s="82" t="n">
        <f aca="false">IFERROR(J109-D109,"N/M")</f>
        <v>1.7583644717581</v>
      </c>
      <c r="M109" s="83" t="n">
        <f aca="false">IFERROR(SLOPE(D109:J109,$D$3:$J$3),"N/M")</f>
        <v>0.347469388736838</v>
      </c>
    </row>
    <row r="110" customFormat="false" ht="15" hidden="false" customHeight="false" outlineLevel="0" collapsed="false">
      <c r="A110" s="18" t="s">
        <v>559</v>
      </c>
      <c r="B110" s="19" t="s">
        <v>560</v>
      </c>
      <c r="D110" s="48" t="n">
        <f aca="false">IFERROR(IF(D109&lt;=0,"N/M",365/D109),"N/M")</f>
        <v>38.8469582885144</v>
      </c>
      <c r="E110" s="48" t="n">
        <f aca="false">IFERROR(IF(E109&lt;=0,"N/M",365/E109),"N/M")</f>
        <v>39.8737723859041</v>
      </c>
      <c r="F110" s="48" t="n">
        <f aca="false">IFERROR(IF(F109&lt;=0,"N/M",365/F109),"N/M")</f>
        <v>34.2215458779312</v>
      </c>
      <c r="G110" s="48" t="n">
        <f aca="false">IFERROR(IF(G109&lt;=0,"N/M",365/G109),"N/M")</f>
        <v>37.9228855721393</v>
      </c>
      <c r="H110" s="48" t="n">
        <f aca="false">IFERROR(IF(H109&lt;=0,"N/M",365/H109),"N/M")</f>
        <v>31.1433745922088</v>
      </c>
      <c r="I110" s="48" t="n">
        <f aca="false">IFERROR(IF(I109&lt;=0,"N/M",365/I109),"N/M")</f>
        <v>33.6287293410603</v>
      </c>
      <c r="J110" s="48" t="n">
        <f aca="false">IFERROR(IF(J109&lt;=0,"N/M",365/J109),"N/M")</f>
        <v>32.7230719410124</v>
      </c>
      <c r="K110" s="28" t="n">
        <f aca="false">IFERROR(AVERAGE(D110:J110),"N/M")</f>
        <v>35.4800482855386</v>
      </c>
      <c r="L110" s="84" t="n">
        <f aca="false">IFERROR(J110-D110,"N/M")</f>
        <v>-6.12388634750206</v>
      </c>
      <c r="M110" s="85" t="n">
        <f aca="false">IFERROR(SLOPE(D110:J110,$D$3:$J$3),"N/M")</f>
        <v>-1.21213987206843</v>
      </c>
    </row>
    <row r="111" customFormat="false" ht="15" hidden="false" customHeight="false" outlineLevel="0" collapsed="false">
      <c r="A111" s="18" t="s">
        <v>561</v>
      </c>
      <c r="B111" s="19" t="s">
        <v>562</v>
      </c>
      <c r="D111" s="48" t="n">
        <f aca="false">IFERROR(((IF(ISNUMBER(D106),D106,0)+D108)-D110),"N/M")</f>
        <v>67.5238875941198</v>
      </c>
      <c r="E111" s="48" t="n">
        <f aca="false">IFERROR(((IF(ISNUMBER(E106),E106,0)+E108)-E110),"N/M")</f>
        <v>85.9132692786342</v>
      </c>
      <c r="F111" s="48" t="n">
        <f aca="false">IFERROR(((IF(ISNUMBER(F106),F106,0)+F108)-F110),"N/M")</f>
        <v>72.4049271670207</v>
      </c>
      <c r="G111" s="48" t="n">
        <f aca="false">IFERROR(((IF(ISNUMBER(G106),G106,0)+G108)-G110),"N/M")</f>
        <v>67.4773051978896</v>
      </c>
      <c r="H111" s="48" t="n">
        <f aca="false">IFERROR(((IF(ISNUMBER(H106),H106,0)+H108)-H110),"N/M")</f>
        <v>56.9541547877188</v>
      </c>
      <c r="I111" s="48" t="n">
        <f aca="false">IFERROR(((IF(ISNUMBER(I106),I106,0)+I108)-I110),"N/M")</f>
        <v>71.358454394696</v>
      </c>
      <c r="J111" s="48" t="n">
        <f aca="false">IFERROR(((IF(ISNUMBER(J106),J106,0)+J108)-J110),"N/M")</f>
        <v>73.1596511266598</v>
      </c>
      <c r="K111" s="28" t="n">
        <f aca="false">IFERROR(AVERAGE(D111:J111),"N/M")</f>
        <v>70.6845213638198</v>
      </c>
      <c r="L111" s="84" t="n">
        <f aca="false">IFERROR(J111-D111,"N/M")</f>
        <v>5.63576353254004</v>
      </c>
      <c r="M111" s="85" t="n">
        <f aca="false">IFERROR(SLOPE(D111:J111,$D$3:$J$3),"N/M")</f>
        <v>-0.987611126769932</v>
      </c>
    </row>
    <row r="112" customFormat="false" ht="15" hidden="false" customHeight="false" outlineLevel="0" collapsed="false">
      <c r="A112" s="18" t="s">
        <v>132</v>
      </c>
      <c r="B112" s="19" t="s">
        <v>563</v>
      </c>
      <c r="D112" s="47" t="n">
        <f aca="false">IFERROR(IF(((D31+C31)/2)&lt;=0,"N/M",D9/((D31+C31)/2)),"N/M")</f>
        <v>4.71495927989713</v>
      </c>
      <c r="E112" s="47" t="n">
        <f aca="false">IFERROR(IF(((E31+D31)/2)&lt;=0,"N/M",E9/((E31+D31)/2)),"N/M")</f>
        <v>4.22113884555382</v>
      </c>
      <c r="F112" s="47" t="n">
        <f aca="false">IFERROR(IF(((F31+E31)/2)&lt;=0,"N/M",F9/((F31+E31)/2)),"N/M")</f>
        <v>7.26280771789754</v>
      </c>
      <c r="G112" s="47" t="n">
        <f aca="false">IFERROR(IF(((G31+F31)/2)&lt;=0,"N/M",G9/((G31+F31)/2)),"N/M")</f>
        <v>9.19782930439073</v>
      </c>
      <c r="H112" s="47" t="n">
        <f aca="false">IFERROR(IF(((H31+G31)/2)&lt;=0,"N/M",H9/((H31+G31)/2)),"N/M")</f>
        <v>9.38553765455227</v>
      </c>
      <c r="I112" s="47" t="n">
        <f aca="false">IFERROR(IF(((I31+H31)/2)&lt;=0,"N/M",I9/((I31+H31)/2)),"N/M")</f>
        <v>7.09114331723028</v>
      </c>
      <c r="J112" s="47" t="n">
        <f aca="false">IFERROR(IF(((J31+I31)/2)&lt;=0,"N/M",J9/((J31+I31)/2)),"N/M")</f>
        <v>8.70642883686362</v>
      </c>
      <c r="K112" s="22" t="n">
        <f aca="false">IFERROR(AVERAGE(D112:J112),"N/M")</f>
        <v>7.22569213662648</v>
      </c>
      <c r="L112" s="82" t="n">
        <f aca="false">IFERROR(J112-D112,"N/M")</f>
        <v>3.99146955696649</v>
      </c>
      <c r="M112" s="83" t="n">
        <f aca="false">IFERROR(SLOPE(D112:J112,$D$3:$J$3),"N/M")</f>
        <v>0.70846955538954</v>
      </c>
    </row>
    <row r="113" customFormat="false" ht="15" hidden="false" customHeight="false" outlineLevel="0" collapsed="false">
      <c r="A113" s="18" t="s">
        <v>133</v>
      </c>
      <c r="B113" s="19" t="s">
        <v>564</v>
      </c>
      <c r="D113" s="47" t="n">
        <f aca="false">IFERROR(IF(((D35+C35)/2)&lt;=0,"N/M",D9/((D35+C35)/2)),"N/M")</f>
        <v>1.46072637939048</v>
      </c>
      <c r="E113" s="47" t="n">
        <f aca="false">IFERROR(IF(((E35+D35)/2)&lt;=0,"N/M",E9/((E35+D35)/2)),"N/M")</f>
        <v>1.34172193640364</v>
      </c>
      <c r="F113" s="47" t="n">
        <f aca="false">IFERROR(IF(((F35+E35)/2)&lt;=0,"N/M",F9/((F35+E35)/2)),"N/M")</f>
        <v>1.90872530162616</v>
      </c>
      <c r="G113" s="47" t="n">
        <f aca="false">IFERROR(IF(((G35+F35)/2)&lt;=0,"N/M",G9/((G35+F35)/2)),"N/M")</f>
        <v>1.91958815958816</v>
      </c>
      <c r="H113" s="47" t="n">
        <f aca="false">IFERROR(IF(((H35+G35)/2)&lt;=0,"N/M",H9/((H35+G35)/2)),"N/M")</f>
        <v>2.22607304718742</v>
      </c>
      <c r="I113" s="47" t="n">
        <f aca="false">IFERROR(IF(((I35+H35)/2)&lt;=0,"N/M",I9/((I35+H35)/2)),"N/M")</f>
        <v>1.87076766217766</v>
      </c>
      <c r="J113" s="47" t="n">
        <f aca="false">IFERROR(IF(((J35+I35)/2)&lt;=0,"N/M",J9/((J35+I35)/2)),"N/M")</f>
        <v>1.99812374738817</v>
      </c>
      <c r="K113" s="22" t="n">
        <f aca="false">IFERROR(AVERAGE(D113:J113),"N/M")</f>
        <v>1.81796089053738</v>
      </c>
      <c r="L113" s="82" t="n">
        <f aca="false">IFERROR(J113-D113,"N/M")</f>
        <v>0.537397367997692</v>
      </c>
      <c r="M113" s="83" t="n">
        <f aca="false">IFERROR(SLOPE(D113:J113,$D$3:$J$3),"N/M")</f>
        <v>0.106701117896513</v>
      </c>
    </row>
    <row r="114" customFormat="false" ht="15" hidden="false" customHeight="false" outlineLevel="0" collapsed="false">
      <c r="A114" s="18" t="s">
        <v>565</v>
      </c>
      <c r="B114" s="19" t="s">
        <v>566</v>
      </c>
      <c r="D114" s="47" t="n">
        <f aca="false">IFERROR(IF(((D62+C62)/2)&lt;=0,"N/M",D9/((D62+C62)/2)),"N/M")</f>
        <v>1.6566265060241</v>
      </c>
      <c r="E114" s="47" t="n">
        <f aca="false">IFERROR(IF(((E62+D62)/2)&lt;=0,"N/M",E9/((E62+D62)/2)),"N/M")</f>
        <v>1.51987080466227</v>
      </c>
      <c r="F114" s="47" t="n">
        <f aca="false">IFERROR(IF(((F62+E62)/2)&lt;=0,"N/M",F9/((F62+E62)/2)),"N/M")</f>
        <v>2.20347194186516</v>
      </c>
      <c r="G114" s="47" t="n">
        <f aca="false">IFERROR(IF(((G62+F62)/2)&lt;=0,"N/M",G9/((G62+F62)/2)),"N/M")</f>
        <v>2.27699071812408</v>
      </c>
      <c r="H114" s="47" t="n">
        <f aca="false">IFERROR(IF(((H62+G62)/2)&lt;=0,"N/M",H9/((H62+G62)/2)),"N/M")</f>
        <v>2.64393899414217</v>
      </c>
      <c r="I114" s="47" t="n">
        <f aca="false">IFERROR(IF(((I62+H62)/2)&lt;=0,"N/M",I9/((I62+H62)/2)),"N/M")</f>
        <v>2.19030092016911</v>
      </c>
      <c r="J114" s="47" t="n">
        <f aca="false">IFERROR(IF(((J62+I62)/2)&lt;=0,"N/M",J9/((J62+I62)/2)),"N/M")</f>
        <v>2.36036671368124</v>
      </c>
      <c r="K114" s="22" t="n">
        <f aca="false">IFERROR(AVERAGE(D114:J114),"N/M")</f>
        <v>2.1216523712383</v>
      </c>
      <c r="L114" s="82" t="n">
        <f aca="false">IFERROR(J114-D114,"N/M")</f>
        <v>0.703740207657145</v>
      </c>
      <c r="M114" s="83" t="n">
        <f aca="false">IFERROR(SLOPE(D114:J114,$D$3:$J$3),"N/M")</f>
        <v>0.139019568080791</v>
      </c>
    </row>
    <row r="115" customFormat="false" ht="15" hidden="false" customHeight="false" outlineLevel="0" collapsed="false">
      <c r="A115" s="18" t="s">
        <v>567</v>
      </c>
      <c r="B115" s="19" t="s">
        <v>568</v>
      </c>
      <c r="D115" s="47" t="n">
        <f aca="false">IFERROR(IF(((D63+C63)/2)&lt;=0,"N/M",D9/((D63+C63)/2)),"N/M")</f>
        <v>2.12539851222104</v>
      </c>
      <c r="E115" s="47" t="n">
        <f aca="false">IFERROR(IF(((E63+D63)/2)&lt;=0,"N/M",E9/((E63+D63)/2)),"N/M")</f>
        <v>1.98641828026062</v>
      </c>
      <c r="F115" s="47" t="n">
        <f aca="false">IFERROR(IF(((F63+E63)/2)&lt;=0,"N/M",F9/((F63+E63)/2)),"N/M")</f>
        <v>2.60877877798136</v>
      </c>
      <c r="G115" s="47" t="n">
        <f aca="false">IFERROR(IF(((G63+F63)/2)&lt;=0,"N/M",G9/((G63+F63)/2)),"N/M")</f>
        <v>2.60864698474885</v>
      </c>
      <c r="H115" s="47" t="n">
        <f aca="false">IFERROR(IF(((H63+G63)/2)&lt;=0,"N/M",H9/((H63+G63)/2)),"N/M")</f>
        <v>3.159288687098</v>
      </c>
      <c r="I115" s="47" t="n">
        <f aca="false">IFERROR(IF(((I63+H63)/2)&lt;=0,"N/M",I9/((I63+H63)/2)),"N/M")</f>
        <v>2.6400479616307</v>
      </c>
      <c r="J115" s="47" t="n">
        <f aca="false">IFERROR(IF(((J63+I63)/2)&lt;=0,"N/M",J9/((J63+I63)/2)),"N/M")</f>
        <v>2.68542609891684</v>
      </c>
      <c r="K115" s="22" t="n">
        <f aca="false">IFERROR(AVERAGE(D115:J115),"N/M")</f>
        <v>2.5448579004082</v>
      </c>
      <c r="L115" s="82" t="n">
        <f aca="false">IFERROR(J115-D115,"N/M")</f>
        <v>0.560027586695802</v>
      </c>
      <c r="M115" s="83" t="n">
        <f aca="false">IFERROR(SLOPE(D115:J115,$D$3:$J$3),"N/M")</f>
        <v>0.126351858283721</v>
      </c>
    </row>
    <row r="116" customFormat="false" ht="15" hidden="false" customHeight="false" outlineLevel="0" collapsed="false">
      <c r="A116" s="18" t="s">
        <v>569</v>
      </c>
      <c r="B116" s="19" t="s">
        <v>570</v>
      </c>
      <c r="D116" s="47" t="n">
        <f aca="false">IFERROR(IF(D65&lt;=0,"N/M",D9/D65),"N/M")</f>
        <v>2.50969655487109</v>
      </c>
      <c r="E116" s="47" t="n">
        <f aca="false">IFERROR(IF(E65&lt;=0,"N/M",E9/E65),"N/M")</f>
        <v>2.34112048453385</v>
      </c>
      <c r="F116" s="47" t="n">
        <f aca="false">IFERROR(IF(F65&lt;=0,"N/M",F9/F65),"N/M")</f>
        <v>2.90576752440107</v>
      </c>
      <c r="G116" s="47" t="n">
        <f aca="false">IFERROR(IF(G65&lt;=0,"N/M",G9/G65),"N/M")</f>
        <v>3.32335115864528</v>
      </c>
      <c r="H116" s="47" t="n">
        <f aca="false">IFERROR(IF(H65&lt;=0,"N/M",H9/H65),"N/M")</f>
        <v>3.74383500224182</v>
      </c>
      <c r="I116" s="47" t="n">
        <f aca="false">IFERROR(IF(I65&lt;=0,"N/M",I9/I65),"N/M")</f>
        <v>3.35896262395118</v>
      </c>
      <c r="J116" s="47" t="n">
        <f aca="false">IFERROR(IF(J65&lt;=0,"N/M",J9/J65),"N/M")</f>
        <v>3.21165181631254</v>
      </c>
      <c r="K116" s="22" t="n">
        <f aca="false">IFERROR(AVERAGE(D116:J116),"N/M")</f>
        <v>3.05634073785098</v>
      </c>
      <c r="L116" s="82" t="n">
        <f aca="false">IFERROR(J116-D116,"N/M")</f>
        <v>0.70195526144145</v>
      </c>
      <c r="M116" s="83" t="n">
        <f aca="false">IFERROR(SLOPE(D116:J116,$D$3:$J$3),"N/M")</f>
        <v>0.177843483607134</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0.239363636363636</v>
      </c>
      <c r="E119" s="46" t="n">
        <f aca="false">IFERROR(IF(E9&lt;=0,"N/M",E55/E9),"N/M")</f>
        <v>0.20031414580061</v>
      </c>
      <c r="F119" s="46" t="n">
        <f aca="false">IFERROR(IF(F9&lt;=0,"N/M",F55/F9),"N/M")</f>
        <v>0.252534505924026</v>
      </c>
      <c r="G119" s="46" t="n">
        <f aca="false">IFERROR(IF(G9&lt;=0,"N/M",G55/G9),"N/M")</f>
        <v>0.212990774511907</v>
      </c>
      <c r="H119" s="46" t="n">
        <f aca="false">IFERROR(IF(H9&lt;=0,"N/M",H55/H9),"N/M")</f>
        <v>0.167904191616766</v>
      </c>
      <c r="I119" s="46" t="n">
        <f aca="false">IFERROR(IF(I9&lt;=0,"N/M",I55/I9),"N/M")</f>
        <v>0.153601598691979</v>
      </c>
      <c r="J119" s="46" t="n">
        <f aca="false">IFERROR(IF(J9&lt;=0,"N/M",J55/J9),"N/M")</f>
        <v>0.143283964317726</v>
      </c>
      <c r="K119" s="25" t="n">
        <f aca="false">IFERROR(AVERAGE(D119:J119),"N/M")</f>
        <v>0.195713259603807</v>
      </c>
      <c r="L119" s="86" t="n">
        <f aca="false">IFERROR(J119-D119,"N/M")</f>
        <v>-0.0960796720459105</v>
      </c>
      <c r="M119" s="87" t="n">
        <f aca="false">IFERROR(SLOPE(D119:J119,$D$3:$J$3),"N/M")</f>
        <v>-0.0166533723093661</v>
      </c>
    </row>
    <row r="120" customFormat="false" ht="15" hidden="false" customHeight="false" outlineLevel="0" collapsed="false">
      <c r="A120" s="18" t="s">
        <v>573</v>
      </c>
      <c r="B120" s="19" t="s">
        <v>574</v>
      </c>
      <c r="D120" s="46" t="n">
        <f aca="false">IFERROR(IF(D57&lt;=0,"N/M",D59/D57),"N/M")</f>
        <v>0.0893098782138024</v>
      </c>
      <c r="E120" s="46" t="n">
        <f aca="false">IFERROR(IF(E57&lt;=0,"N/M",E59/E57),"N/M")</f>
        <v>0.069562016930438</v>
      </c>
      <c r="F120" s="46" t="n">
        <f aca="false">IFERROR(IF(F57&lt;=0,"N/M",F59/F57),"N/M")</f>
        <v>0.11863085960916</v>
      </c>
      <c r="G120" s="46" t="n">
        <f aca="false">IFERROR(IF(G57&lt;=0,"N/M",G59/G57),"N/M")</f>
        <v>0.109158878504673</v>
      </c>
      <c r="H120" s="46" t="n">
        <f aca="false">IFERROR(IF(H57&lt;=0,"N/M",H59/H57),"N/M")</f>
        <v>0.117369102964713</v>
      </c>
      <c r="I120" s="46" t="n">
        <f aca="false">IFERROR(IF(I57&lt;=0,"N/M",I59/I57),"N/M")</f>
        <v>0.0516056591062205</v>
      </c>
      <c r="J120" s="46" t="n">
        <f aca="false">IFERROR(IF(J57&lt;=0,"N/M",J59/J57),"N/M")</f>
        <v>0.0491899605473013</v>
      </c>
      <c r="K120" s="25" t="n">
        <f aca="false">IFERROR(AVERAGE(D120:J120),"N/M")</f>
        <v>0.0864037651251868</v>
      </c>
      <c r="L120" s="86" t="n">
        <f aca="false">IFERROR(J120-D120,"N/M")</f>
        <v>-0.0401199176665012</v>
      </c>
      <c r="M120" s="87" t="n">
        <f aca="false">IFERROR(SLOPE(D120:J120,$D$3:$J$3),"N/M")</f>
        <v>-0.00562622233187089</v>
      </c>
    </row>
    <row r="121" customFormat="false" ht="15" hidden="false" customHeight="false" outlineLevel="0" collapsed="false">
      <c r="A121" s="18" t="s">
        <v>136</v>
      </c>
      <c r="B121" s="19" t="s">
        <v>575</v>
      </c>
      <c r="D121" s="46" t="n">
        <f aca="false">IFERROR(IF(D9&lt;=0,"N/M",D56/D9),"N/M")</f>
        <v>0.0822727272727273</v>
      </c>
      <c r="E121" s="46" t="n">
        <f aca="false">IFERROR(IF(E9&lt;=0,"N/M",E56/E9),"N/M")</f>
        <v>0.0656934306569343</v>
      </c>
      <c r="F121" s="46" t="n">
        <f aca="false">IFERROR(IF(F9&lt;=0,"N/M",F56/F9),"N/M")</f>
        <v>0.102052033711982</v>
      </c>
      <c r="G121" s="46" t="n">
        <f aca="false">IFERROR(IF(G9&lt;=0,"N/M",G56/G9),"N/M")</f>
        <v>0.10528856468569</v>
      </c>
      <c r="H121" s="46" t="n">
        <f aca="false">IFERROR(IF(H9&lt;=0,"N/M",H56/H9),"N/M")</f>
        <v>0.0753692614770459</v>
      </c>
      <c r="I121" s="46" t="n">
        <f aca="false">IFERROR(IF(I9&lt;=0,"N/M",I56/I9),"N/M")</f>
        <v>0.0409664819692979</v>
      </c>
      <c r="J121" s="46" t="n">
        <f aca="false">IFERROR(IF(J9&lt;=0,"N/M",J56/J9),"N/M")</f>
        <v>0.0330786631951855</v>
      </c>
      <c r="K121" s="25" t="n">
        <f aca="false">IFERROR(AVERAGE(D121:J121),"N/M")</f>
        <v>0.0721030232812661</v>
      </c>
      <c r="L121" s="86" t="n">
        <f aca="false">IFERROR(J121-D121,"N/M")</f>
        <v>-0.0491940640775418</v>
      </c>
      <c r="M121" s="87" t="n">
        <f aca="false">IFERROR(SLOPE(D121:J121,$D$3:$J$3),"N/M")</f>
        <v>-0.00798995935152981</v>
      </c>
    </row>
    <row r="122" customFormat="false" ht="15" hidden="false" customHeight="false" outlineLevel="0" collapsed="false">
      <c r="A122" s="18" t="s">
        <v>576</v>
      </c>
      <c r="B122" s="19" t="s">
        <v>577</v>
      </c>
      <c r="D122" s="46" t="n">
        <f aca="false">IFERROR(IF(D9&lt;=0,"N/M",D58/D9),"N/M")</f>
        <v>0.0520909090909091</v>
      </c>
      <c r="E122" s="46" t="n">
        <f aca="false">IFERROR(IF(E9&lt;=0,"N/M",E58/E9),"N/M")</f>
        <v>0.0300286427053497</v>
      </c>
      <c r="F122" s="46" t="n">
        <f aca="false">IFERROR(IF(F9&lt;=0,"N/M",F58/F9),"N/M")</f>
        <v>0.0972883840234518</v>
      </c>
      <c r="G122" s="46" t="n">
        <f aca="false">IFERROR(IF(G9&lt;=0,"N/M",G58/G9),"N/M")</f>
        <v>0.091611242222699</v>
      </c>
      <c r="H122" s="46" t="n">
        <f aca="false">IFERROR(IF(H9&lt;=0,"N/M",H58/H9),"N/M")</f>
        <v>0.105349301397206</v>
      </c>
      <c r="I122" s="46" t="n">
        <f aca="false">IFERROR(IF(I9&lt;=0,"N/M",I58/I9),"N/M")</f>
        <v>0.030247978926333</v>
      </c>
      <c r="J122" s="46" t="n">
        <f aca="false">IFERROR(IF(J9&lt;=0,"N/M",J58/J9),"N/M")</f>
        <v>0.0329506167570106</v>
      </c>
      <c r="K122" s="25" t="n">
        <f aca="false">IFERROR(AVERAGE(D122:J122),"N/M")</f>
        <v>0.062795296446137</v>
      </c>
      <c r="L122" s="86" t="n">
        <f aca="false">IFERROR(J122-D122,"N/M")</f>
        <v>-0.0191402923338986</v>
      </c>
      <c r="M122" s="87" t="n">
        <f aca="false">IFERROR(SLOPE(D122:J122,$D$3:$J$3),"N/M")</f>
        <v>-0.00174718882807055</v>
      </c>
    </row>
    <row r="123" customFormat="false" ht="15" hidden="false" customHeight="false" outlineLevel="0" collapsed="false">
      <c r="A123" s="18" t="s">
        <v>578</v>
      </c>
      <c r="B123" s="19" t="s">
        <v>579</v>
      </c>
      <c r="D123" s="46" t="n">
        <f aca="false">IFERROR(IF(D9&lt;=0,"N/M",D20/D9),"N/M")</f>
        <v>0.02</v>
      </c>
      <c r="E123" s="46" t="n">
        <f aca="false">IFERROR(IF(E9&lt;=0,"N/M",E20/E9),"N/M")</f>
        <v>-0.00886999907604176</v>
      </c>
      <c r="F123" s="46" t="n">
        <f aca="false">IFERROR(IF(F9&lt;=0,"N/M",F20/F9),"N/M")</f>
        <v>0.0720654696470014</v>
      </c>
      <c r="G123" s="46" t="n">
        <f aca="false">IFERROR(IF(G9&lt;=0,"N/M",G20/G9),"N/M")</f>
        <v>0.0717120789530144</v>
      </c>
      <c r="H123" s="46" t="n">
        <f aca="false">IFERROR(IF(H9&lt;=0,"N/M",H20/H9),"N/M")</f>
        <v>0.0855489021956088</v>
      </c>
      <c r="I123" s="46" t="n">
        <f aca="false">IFERROR(IF(I9&lt;=0,"N/M",I20/I9),"N/M")</f>
        <v>0.0103551639567626</v>
      </c>
      <c r="J123" s="46" t="n">
        <f aca="false">IFERROR(IF(J9&lt;=0,"N/M",J20/J9),"N/M")</f>
        <v>0.0151948439967562</v>
      </c>
      <c r="K123" s="25" t="n">
        <f aca="false">IFERROR(AVERAGE(D123:J123),"N/M")</f>
        <v>0.0380009228104431</v>
      </c>
      <c r="L123" s="86" t="n">
        <f aca="false">IFERROR(J123-D123,"N/M")</f>
        <v>-0.00480515600324384</v>
      </c>
      <c r="M123" s="87" t="n">
        <f aca="false">IFERROR(SLOPE(D123:J123,$D$3:$J$3),"N/M")</f>
        <v>0.00133993895016017</v>
      </c>
    </row>
    <row r="124" customFormat="false" ht="15" hidden="false" customHeight="false" outlineLevel="0" collapsed="false">
      <c r="A124" s="18" t="s">
        <v>137</v>
      </c>
      <c r="B124" s="19" t="s">
        <v>580</v>
      </c>
      <c r="D124" s="46" t="n">
        <f aca="false">IFERROR(IF(D9&lt;=0,"N/M",D22/D9),"N/M")</f>
        <v>0.0133636363636364</v>
      </c>
      <c r="E124" s="46" t="n">
        <f aca="false">IFERROR(IF(E9&lt;=0,"N/M",E22/E9),"N/M")</f>
        <v>-0.0100711447842558</v>
      </c>
      <c r="F124" s="46" t="n">
        <f aca="false">IFERROR(IF(F9&lt;=0,"N/M",F22/F9),"N/M")</f>
        <v>0.054049102235251</v>
      </c>
      <c r="G124" s="46" t="n">
        <f aca="false">IFERROR(IF(G9&lt;=0,"N/M",G22/G9),"N/M")</f>
        <v>0.0519201888006865</v>
      </c>
      <c r="H124" s="46" t="n">
        <f aca="false">IFERROR(IF(H9&lt;=0,"N/M",H22/H9),"N/M")</f>
        <v>0.0649900199600799</v>
      </c>
      <c r="I124" s="46" t="n">
        <f aca="false">IFERROR(IF(I9&lt;=0,"N/M",I22/I9),"N/M")</f>
        <v>0.00694886002361704</v>
      </c>
      <c r="J124" s="46" t="n">
        <f aca="false">IFERROR(IF(J9&lt;=0,"N/M",J22/J9),"N/M")</f>
        <v>0.013487558154424</v>
      </c>
      <c r="K124" s="25" t="n">
        <f aca="false">IFERROR(AVERAGE(D124:J124),"N/M")</f>
        <v>0.027812602964777</v>
      </c>
      <c r="L124" s="86" t="n">
        <f aca="false">IFERROR(J124-D124,"N/M")</f>
        <v>0.000123921790787641</v>
      </c>
      <c r="M124" s="87" t="n">
        <f aca="false">IFERROR(SLOPE(D124:J124,$D$3:$J$3),"N/M")</f>
        <v>0.00161973902546205</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0.760636363636364</v>
      </c>
      <c r="E127" s="46" t="n">
        <f aca="false">IFERROR(IF(E9&lt;=0,"N/M",E52/E9),"N/M")</f>
        <v>0.79968585419939</v>
      </c>
      <c r="F127" s="46" t="n">
        <f aca="false">IFERROR(IF(F9&lt;=0,"N/M",F52/F9),"N/M")</f>
        <v>0.747465494075974</v>
      </c>
      <c r="G127" s="46" t="n">
        <f aca="false">IFERROR(IF(G9&lt;=0,"N/M",G52/G9),"N/M")</f>
        <v>0.787009225488093</v>
      </c>
      <c r="H127" s="46" t="n">
        <f aca="false">IFERROR(IF(H9&lt;=0,"N/M",H52/H9),"N/M")</f>
        <v>0.832095808383234</v>
      </c>
      <c r="I127" s="46" t="n">
        <f aca="false">IFERROR(IF(I9&lt;=0,"N/M",I52/I9),"N/M")</f>
        <v>0.846398401308021</v>
      </c>
      <c r="J127" s="46" t="n">
        <f aca="false">IFERROR(IF(J9&lt;=0,"N/M",J52/J9),"N/M")</f>
        <v>0.856716035682274</v>
      </c>
      <c r="K127" s="25" t="n">
        <f aca="false">IFERROR(AVERAGE(D127:J127),"N/M")</f>
        <v>0.804286740396193</v>
      </c>
      <c r="L127" s="86" t="n">
        <f aca="false">IFERROR(J127-D127,"N/M")</f>
        <v>0.0960796720459105</v>
      </c>
      <c r="M127" s="87" t="n">
        <f aca="false">IFERROR(SLOPE(D127:J127,$D$3:$J$3),"N/M")</f>
        <v>0.0166533723093661</v>
      </c>
    </row>
    <row r="128" customFormat="false" ht="15" hidden="false" customHeight="false" outlineLevel="0" collapsed="false">
      <c r="A128" s="18" t="s">
        <v>584</v>
      </c>
      <c r="B128" s="19" t="s">
        <v>585</v>
      </c>
      <c r="D128" s="46" t="n">
        <f aca="false">IFERROR(IF(D9&lt;=0,"N/M",D53/D9),"N/M")</f>
        <v>0.157090909090909</v>
      </c>
      <c r="E128" s="46" t="n">
        <f aca="false">IFERROR(IF(E9&lt;=0,"N/M",E53/E9),"N/M")</f>
        <v>0.134620715143676</v>
      </c>
      <c r="F128" s="46" t="n">
        <f aca="false">IFERROR(IF(F9&lt;=0,"N/M",F53/F9),"N/M")</f>
        <v>0.150482472212043</v>
      </c>
      <c r="G128" s="46" t="n">
        <f aca="false">IFERROR(IF(G9&lt;=0,"N/M",G53/G9),"N/M")</f>
        <v>0.107702209826218</v>
      </c>
      <c r="H128" s="46" t="n">
        <f aca="false">IFERROR(IF(H9&lt;=0,"N/M",H53/H9),"N/M")</f>
        <v>0.0925349301397206</v>
      </c>
      <c r="I128" s="46" t="n">
        <f aca="false">IFERROR(IF(I9&lt;=0,"N/M",I53/I9),"N/M")</f>
        <v>0.112635116722681</v>
      </c>
      <c r="J128" s="46" t="n">
        <f aca="false">IFERROR(IF(J9&lt;=0,"N/M",J53/J9),"N/M")</f>
        <v>0.11020530112254</v>
      </c>
      <c r="K128" s="25" t="n">
        <f aca="false">IFERROR(AVERAGE(D128:J128),"N/M")</f>
        <v>0.123610236322541</v>
      </c>
      <c r="L128" s="86" t="n">
        <f aca="false">IFERROR(J128-D128,"N/M")</f>
        <v>-0.0468856079683687</v>
      </c>
      <c r="M128" s="87" t="n">
        <f aca="false">IFERROR(SLOPE(D128:J128,$D$3:$J$3),"N/M")</f>
        <v>-0.00866341295783632</v>
      </c>
    </row>
    <row r="129" customFormat="false" ht="15" hidden="false" customHeight="false" outlineLevel="0" collapsed="false">
      <c r="A129" s="18" t="s">
        <v>586</v>
      </c>
      <c r="B129" s="19" t="s">
        <v>587</v>
      </c>
      <c r="D129" s="46" t="n">
        <f aca="false">IFERROR(IF(D9&lt;=0,"N/M",D14/D9),"N/M")</f>
        <v>0.096</v>
      </c>
      <c r="E129" s="46" t="n">
        <f aca="false">IFERROR(IF(E9&lt;=0,"N/M",E14/E9),"N/M")</f>
        <v>0.0767809295019865</v>
      </c>
      <c r="F129" s="46" t="n">
        <f aca="false">IFERROR(IF(F9&lt;=0,"N/M",F14/F9),"N/M")</f>
        <v>0.0496518871381458</v>
      </c>
      <c r="G129" s="46" t="n">
        <f aca="false">IFERROR(IF(G9&lt;=0,"N/M",G14/G9),"N/M")</f>
        <v>0.0487019952799828</v>
      </c>
      <c r="H129" s="46" t="n">
        <f aca="false">IFERROR(IF(H9&lt;=0,"N/M",H14/H9),"N/M")</f>
        <v>0.0358083832335329</v>
      </c>
      <c r="I129" s="46" t="n">
        <f aca="false">IFERROR(IF(I9&lt;=0,"N/M",I14/I9),"N/M")</f>
        <v>0.0574984103914979</v>
      </c>
      <c r="J129" s="46" t="n">
        <f aca="false">IFERROR(IF(J9&lt;=0,"N/M",J14/J9),"N/M")</f>
        <v>0.051133210977848</v>
      </c>
      <c r="K129" s="25" t="n">
        <f aca="false">IFERROR(AVERAGE(D129:J129),"N/M")</f>
        <v>0.0593678309318563</v>
      </c>
      <c r="L129" s="86" t="n">
        <f aca="false">IFERROR(J129-D129,"N/M")</f>
        <v>-0.044866789022152</v>
      </c>
      <c r="M129" s="87" t="n">
        <f aca="false">IFERROR(SLOPE(D129:J129,$D$3:$J$3),"N/M")</f>
        <v>-0.00667888961400165</v>
      </c>
    </row>
    <row r="130" customFormat="false" ht="15" hidden="false" customHeight="false" outlineLevel="0" collapsed="false">
      <c r="A130" s="18" t="s">
        <v>588</v>
      </c>
      <c r="B130" s="19" t="s">
        <v>589</v>
      </c>
      <c r="D130" s="46" t="n">
        <f aca="false">IFERROR(IF(D9&lt;=0,"N/M",D15/D9),"N/M")</f>
        <v>0.0575454545454545</v>
      </c>
      <c r="E130" s="46" t="n">
        <f aca="false">IFERROR(IF(E9&lt;=0,"N/M",E15/E9),"N/M")</f>
        <v>0.0560842649912224</v>
      </c>
      <c r="F130" s="46" t="n">
        <f aca="false">IFERROR(IF(F9&lt;=0,"N/M",F15/F9),"N/M")</f>
        <v>0.0845853181873702</v>
      </c>
      <c r="G130" s="46" t="n">
        <f aca="false">IFERROR(IF(G9&lt;=0,"N/M",G15/G9),"N/M")</f>
        <v>0.0548701995279983</v>
      </c>
      <c r="H130" s="46" t="n">
        <f aca="false">IFERROR(IF(H9&lt;=0,"N/M",H15/H9),"N/M")</f>
        <v>0.0562075848303393</v>
      </c>
      <c r="I130" s="46" t="n">
        <f aca="false">IFERROR(IF(I9&lt;=0,"N/M",I15/I9),"N/M")</f>
        <v>0.052229993641566</v>
      </c>
      <c r="J130" s="46" t="n">
        <f aca="false">IFERROR(IF(J9&lt;=0,"N/M",J15/J9),"N/M")</f>
        <v>0.0535660933031713</v>
      </c>
      <c r="K130" s="25" t="n">
        <f aca="false">IFERROR(AVERAGE(D130:J130),"N/M")</f>
        <v>0.0592984155753031</v>
      </c>
      <c r="L130" s="86" t="n">
        <f aca="false">IFERROR(J130-D130,"N/M")</f>
        <v>-0.00397936124228326</v>
      </c>
      <c r="M130" s="87" t="n">
        <f aca="false">IFERROR(SLOPE(D130:J130,$D$3:$J$3),"N/M")</f>
        <v>-0.00171515570654262</v>
      </c>
    </row>
    <row r="131" customFormat="false" ht="15" hidden="false" customHeight="false" outlineLevel="0" collapsed="false">
      <c r="A131" s="18" t="s">
        <v>590</v>
      </c>
      <c r="B131" s="19" t="s">
        <v>591</v>
      </c>
      <c r="D131" s="46" t="n">
        <f aca="false">IFERROR(IF(D9&lt;=0,"N/M",D19/D9),"N/M")</f>
        <v>0.0320909090909091</v>
      </c>
      <c r="E131" s="46" t="n">
        <f aca="false">IFERROR(IF(E9&lt;=0,"N/M",E19/E9),"N/M")</f>
        <v>0.0388986417813915</v>
      </c>
      <c r="F131" s="46" t="n">
        <f aca="false">IFERROR(IF(F9&lt;=0,"N/M",F19/F9),"N/M")</f>
        <v>0.0252229143764505</v>
      </c>
      <c r="G131" s="46" t="n">
        <f aca="false">IFERROR(IF(G9&lt;=0,"N/M",G19/G9),"N/M")</f>
        <v>0.0198991632696846</v>
      </c>
      <c r="H131" s="46" t="n">
        <f aca="false">IFERROR(IF(H9&lt;=0,"N/M",H19/H9),"N/M")</f>
        <v>0.0198003992015968</v>
      </c>
      <c r="I131" s="46" t="n">
        <f aca="false">IFERROR(IF(I9&lt;=0,"N/M",I19/I9),"N/M")</f>
        <v>0.0198928149695704</v>
      </c>
      <c r="J131" s="46" t="n">
        <f aca="false">IFERROR(IF(J9&lt;=0,"N/M",J19/J9),"N/M")</f>
        <v>0.0177557727602544</v>
      </c>
      <c r="K131" s="25" t="n">
        <f aca="false">IFERROR(AVERAGE(D131:J131),"N/M")</f>
        <v>0.0247943736356939</v>
      </c>
      <c r="L131" s="86" t="n">
        <f aca="false">IFERROR(J131-D131,"N/M")</f>
        <v>-0.0143351363306547</v>
      </c>
      <c r="M131" s="87" t="n">
        <f aca="false">IFERROR(SLOPE(D131:J131,$D$3:$J$3),"N/M")</f>
        <v>-0.00308712777823072</v>
      </c>
    </row>
    <row r="132" customFormat="false" ht="15" hidden="false" customHeight="false" outlineLevel="0" collapsed="false">
      <c r="A132" s="18" t="s">
        <v>138</v>
      </c>
      <c r="B132" s="19" t="s">
        <v>592</v>
      </c>
      <c r="D132" s="46" t="n">
        <f aca="false">IFERROR(IF(D9&lt;=0,"N/M",D54/D9),"N/M")</f>
        <v>0.917727272727273</v>
      </c>
      <c r="E132" s="46" t="n">
        <f aca="false">IFERROR(IF(E9&lt;=0,"N/M",E54/E9),"N/M")</f>
        <v>0.934306569343066</v>
      </c>
      <c r="F132" s="46" t="n">
        <f aca="false">IFERROR(IF(F9&lt;=0,"N/M",F54/F9),"N/M")</f>
        <v>0.897947966288018</v>
      </c>
      <c r="G132" s="46" t="n">
        <f aca="false">IFERROR(IF(G9&lt;=0,"N/M",G54/G9),"N/M")</f>
        <v>0.89471143531431</v>
      </c>
      <c r="H132" s="46" t="n">
        <f aca="false">IFERROR(IF(H9&lt;=0,"N/M",H54/H9),"N/M")</f>
        <v>0.924630738522954</v>
      </c>
      <c r="I132" s="46" t="n">
        <f aca="false">IFERROR(IF(I9&lt;=0,"N/M",I54/I9),"N/M")</f>
        <v>0.959033518030702</v>
      </c>
      <c r="J132" s="46" t="n">
        <f aca="false">IFERROR(IF(J9&lt;=0,"N/M",J54/J9),"N/M")</f>
        <v>0.966921336804815</v>
      </c>
      <c r="K132" s="25" t="n">
        <f aca="false">IFERROR(AVERAGE(D132:J132),"N/M")</f>
        <v>0.927896976718734</v>
      </c>
      <c r="L132" s="86" t="n">
        <f aca="false">IFERROR(J132-D132,"N/M")</f>
        <v>0.0491940640775418</v>
      </c>
      <c r="M132" s="87" t="n">
        <f aca="false">IFERROR(SLOPE(D132:J132,$D$3:$J$3),"N/M")</f>
        <v>0.00798995935152981</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0.0195206161609455</v>
      </c>
      <c r="E135" s="46" t="n">
        <f aca="false">IFERROR(IF(((E35+D35)/2)&lt;=0,"N/M",E22/((E35+D35)/2)),"N/M")</f>
        <v>-0.0135126758817331</v>
      </c>
      <c r="F135" s="46" t="n">
        <f aca="false">IFERROR(IF(((F35+E35)/2)&lt;=0,"N/M",F22/((F35+E35)/2)),"N/M")</f>
        <v>0.103164888966603</v>
      </c>
      <c r="G135" s="46" t="n">
        <f aca="false">IFERROR(IF(((G35+F35)/2)&lt;=0,"N/M",G22/((G35+F35)/2)),"N/M")</f>
        <v>0.0996653796653797</v>
      </c>
      <c r="H135" s="46" t="n">
        <f aca="false">IFERROR(IF(((H35+G35)/2)&lt;=0,"N/M",H22/((H35+G35)/2)),"N/M")</f>
        <v>0.144672531769306</v>
      </c>
      <c r="I135" s="46" t="n">
        <f aca="false">IFERROR(IF(((I35+H35)/2)&lt;=0,"N/M",I22/((I35+H35)/2)),"N/M")</f>
        <v>0.0129997026211819</v>
      </c>
      <c r="J135" s="46" t="n">
        <f aca="false">IFERROR(IF(((J35+I35)/2)&lt;=0,"N/M",J22/((J35+I35)/2)),"N/M")</f>
        <v>0.0269498102426336</v>
      </c>
      <c r="K135" s="25" t="n">
        <f aca="false">IFERROR(AVERAGE(D135:J135),"N/M")</f>
        <v>0.056208607649188</v>
      </c>
      <c r="L135" s="86" t="n">
        <f aca="false">IFERROR(J135-D135,"N/M")</f>
        <v>0.00742919408168809</v>
      </c>
      <c r="M135" s="87" t="n">
        <f aca="false">IFERROR(SLOPE(D135:J135,$D$3:$J$3),"N/M")</f>
        <v>0.00417214221619992</v>
      </c>
    </row>
    <row r="136" customFormat="false" ht="15" hidden="false" customHeight="false" outlineLevel="0" collapsed="false">
      <c r="A136" s="18" t="s">
        <v>595</v>
      </c>
      <c r="B136" s="19" t="s">
        <v>596</v>
      </c>
      <c r="D136" s="46" t="n">
        <f aca="false">IFERROR(IF(((D35+C35)/2)&lt;=0,"N/M",(D22+(D19*(1-D60)))/((D35+C35)/2)),"N/M")</f>
        <v>0.0508423320919171</v>
      </c>
      <c r="E136" s="46" t="n">
        <f aca="false">IFERROR(IF(((E35+D35)/2)&lt;=0,"N/M",(E22+(E19*(1-E60)))/((E35+D35)/2)),"N/M")</f>
        <v>0.0386784850926672</v>
      </c>
      <c r="F136" s="46" t="n">
        <f aca="false">IFERROR(IF(((F35+E35)/2)&lt;=0,"N/M",(F22+(F19*(1-F60)))/((F35+E35)/2)),"N/M")</f>
        <v>0.139231800431311</v>
      </c>
      <c r="G136" s="46" t="n">
        <f aca="false">IFERROR(IF(((G35+F35)/2)&lt;=0,"N/M",(G22+(G19*(1-G60)))/((G35+F35)/2)),"N/M")</f>
        <v>0.127349788082772</v>
      </c>
      <c r="H136" s="46" t="n">
        <f aca="false">IFERROR(IF(((H35+G35)/2)&lt;=0,"N/M",(H22+(H19*(1-H60)))/((H35+G35)/2)),"N/M")</f>
        <v>0.17813660018862</v>
      </c>
      <c r="I136" s="46" t="n">
        <f aca="false">IFERROR(IF(((I35+H35)/2)&lt;=0,"N/M",(I22+(I19*(1-I60)))/((I35+H35)/2)),"N/M")</f>
        <v>0.0381360385116749</v>
      </c>
      <c r="J136" s="46" t="n">
        <f aca="false">IFERROR(IF(((J35+I35)/2)&lt;=0,"N/M",(J22+(J19*(1-J60)))/((J35+I35)/2)),"N/M")</f>
        <v>0.0584417233351492</v>
      </c>
      <c r="K136" s="25" t="n">
        <f aca="false">IFERROR(AVERAGE(D136:J136),"N/M")</f>
        <v>0.0901166811048731</v>
      </c>
      <c r="L136" s="86" t="n">
        <f aca="false">IFERROR(J136-D136,"N/M")</f>
        <v>0.00759939124323212</v>
      </c>
      <c r="M136" s="87" t="n">
        <f aca="false">IFERROR(SLOPE(D136:J136,$D$3:$J$3),"N/M")</f>
        <v>0.00216493144017931</v>
      </c>
    </row>
    <row r="137" customFormat="false" ht="15" hidden="false" customHeight="false" outlineLevel="0" collapsed="false">
      <c r="A137" s="18" t="s">
        <v>597</v>
      </c>
      <c r="B137" s="19" t="s">
        <v>598</v>
      </c>
      <c r="D137" s="46" t="n">
        <f aca="false">IFERROR(IF(((D35+C35)/2)&lt;=0,"N/M",D58/((D35+C35)/2)),"N/M")</f>
        <v>0.0760905650355222</v>
      </c>
      <c r="E137" s="46" t="n">
        <f aca="false">IFERROR(IF(((E35+D35)/2)&lt;=0,"N/M",E58/((E35+D35)/2)),"N/M")</f>
        <v>0.040290088638195</v>
      </c>
      <c r="F137" s="46" t="n">
        <f aca="false">IFERROR(IF(((F35+E35)/2)&lt;=0,"N/M",F58/((F35+E35)/2)),"N/M")</f>
        <v>0.185696800139885</v>
      </c>
      <c r="G137" s="46" t="n">
        <f aca="false">IFERROR(IF(((G35+F35)/2)&lt;=0,"N/M",G58/((G35+F35)/2)),"N/M")</f>
        <v>0.175855855855856</v>
      </c>
      <c r="H137" s="46" t="n">
        <f aca="false">IFERROR(IF(((H35+G35)/2)&lt;=0,"N/M",H58/((H35+G35)/2)),"N/M")</f>
        <v>0.234515240380343</v>
      </c>
      <c r="I137" s="46" t="n">
        <f aca="false">IFERROR(IF(((I35+H35)/2)&lt;=0,"N/M",I58/((I35+H35)/2)),"N/M")</f>
        <v>0.0565869408216152</v>
      </c>
      <c r="J137" s="46" t="n">
        <f aca="false">IFERROR(IF(((J35+I35)/2)&lt;=0,"N/M",J58/((J35+I35)/2)),"N/M")</f>
        <v>0.0658394098332694</v>
      </c>
      <c r="K137" s="25" t="n">
        <f aca="false">IFERROR(AVERAGE(D137:J137),"N/M")</f>
        <v>0.119267842957812</v>
      </c>
      <c r="L137" s="86" t="n">
        <f aca="false">IFERROR(J137-D137,"N/M")</f>
        <v>-0.0102511552022528</v>
      </c>
      <c r="M137" s="87" t="n">
        <f aca="false">IFERROR(SLOPE(D137:J137,$D$3:$J$3),"N/M")</f>
        <v>0.00180923853573358</v>
      </c>
    </row>
    <row r="138" customFormat="false" ht="15" hidden="false" customHeight="false" outlineLevel="0" collapsed="false">
      <c r="A138" s="18" t="s">
        <v>141</v>
      </c>
      <c r="B138" s="19" t="s">
        <v>599</v>
      </c>
      <c r="D138" s="46" t="n">
        <f aca="false">IFERROR(IF(((D62+C62)/2)&lt;=0,"N/M",(D58*(1-D60))/((D62+C62)/2)),"N/M")</f>
        <v>0.0576608707557503</v>
      </c>
      <c r="E138" s="46" t="n">
        <f aca="false">IFERROR(IF(((E62+D62)/2)&lt;=0,"N/M",(E58*(1-E60))/((E62+D62)/2)),"N/M")</f>
        <v>0.0456396573514956</v>
      </c>
      <c r="F138" s="46" t="n">
        <f aca="false">IFERROR(IF(((F62+E62)/2)&lt;=0,"N/M",(F58*(1-F60))/((F62+E62)/2)),"N/M")</f>
        <v>0.160597496972144</v>
      </c>
      <c r="G138" s="46" t="n">
        <f aca="false">IFERROR(IF(((G62+F62)/2)&lt;=0,"N/M",(G58*(1-G60))/((G62+F62)/2)),"N/M")</f>
        <v>0.151182806149722</v>
      </c>
      <c r="H138" s="46" t="n">
        <f aca="false">IFERROR(IF(((H62+G62)/2)&lt;=0,"N/M",(H58*(1-H60))/((H62+G62)/2)),"N/M")</f>
        <v>0.211469857187455</v>
      </c>
      <c r="I138" s="46" t="n">
        <f aca="false">IFERROR(IF(((I62+H62)/2)&lt;=0,"N/M",(I58*(1-I60))/((I62+H62)/2)),"N/M")</f>
        <v>0.0447492768229951</v>
      </c>
      <c r="J138" s="46" t="n">
        <f aca="false">IFERROR(IF(((J62+I62)/2)&lt;=0,"N/M",(J58*(1-J60))/((J62+I62)/2)),"N/M")</f>
        <v>0.0690367143830639</v>
      </c>
      <c r="K138" s="25" t="n">
        <f aca="false">IFERROR(AVERAGE(D138:J138),"N/M")</f>
        <v>0.105762382803232</v>
      </c>
      <c r="L138" s="86" t="n">
        <f aca="false">IFERROR(J138-D138,"N/M")</f>
        <v>0.0113758436273136</v>
      </c>
      <c r="M138" s="87" t="n">
        <f aca="false">IFERROR(SLOPE(D138:J138,$D$3:$J$3),"N/M")</f>
        <v>0.00297211178715181</v>
      </c>
    </row>
    <row r="139" customFormat="false" ht="15" hidden="false" customHeight="false" outlineLevel="0" collapsed="false">
      <c r="A139" s="18" t="s">
        <v>142</v>
      </c>
      <c r="B139" s="19" t="s">
        <v>600</v>
      </c>
      <c r="D139" s="46" t="n">
        <f aca="false">IFERROR(IF(((D61+C61)/2)&lt;=0,"N/M",D22/((D61+C61)/2)),"N/M")</f>
        <v>0.0597075548334687</v>
      </c>
      <c r="E139" s="46" t="n">
        <f aca="false">IFERROR(IF(((E61+D61)/2)&lt;=0,"N/M",E22/((E61+D61)/2)),"N/M")</f>
        <v>-0.044120623355596</v>
      </c>
      <c r="F139" s="46" t="n">
        <f aca="false">IFERROR(IF(((F61+E61)/2)&lt;=0,"N/M",F22/((F61+E61)/2)),"N/M")</f>
        <v>0.314498933901919</v>
      </c>
      <c r="G139" s="46" t="n">
        <f aca="false">IFERROR(IF(((G61+F61)/2)&lt;=0,"N/M",G22/((G61+F61)/2)),"N/M")</f>
        <v>0.265460030165912</v>
      </c>
      <c r="H139" s="46" t="n">
        <f aca="false">IFERROR(IF(((H61+G61)/2)&lt;=0,"N/M",H22/((H61+G61)/2)),"N/M")</f>
        <v>0.336502687060769</v>
      </c>
      <c r="I139" s="46" t="n">
        <f aca="false">IFERROR(IF(((I61+H61)/2)&lt;=0,"N/M",I22/((I61+H61)/2)),"N/M")</f>
        <v>0.0271445045684379</v>
      </c>
      <c r="J139" s="46" t="n">
        <f aca="false">IFERROR(IF(((J61+I61)/2)&lt;=0,"N/M",J22/((J61+I61)/2)),"N/M")</f>
        <v>0.054067927110959</v>
      </c>
      <c r="K139" s="25" t="n">
        <f aca="false">IFERROR(AVERAGE(D139:J139),"N/M")</f>
        <v>0.14475157346941</v>
      </c>
      <c r="L139" s="86" t="n">
        <f aca="false">IFERROR(J139-D139,"N/M")</f>
        <v>-0.0056396277225097</v>
      </c>
      <c r="M139" s="87" t="n">
        <f aca="false">IFERROR(SLOPE(D139:J139,$D$3:$J$3),"N/M")</f>
        <v>0.00527196877997817</v>
      </c>
    </row>
    <row r="140" customFormat="false" ht="15" hidden="false" customHeight="false" outlineLevel="0" collapsed="false">
      <c r="A140" s="18" t="s">
        <v>601</v>
      </c>
      <c r="B140" s="19" t="s">
        <v>602</v>
      </c>
      <c r="D140" s="46" t="n">
        <f aca="false">IFERROR(IF(((D61+C61)/2)&lt;=0,"N/M",(D22-0)/((D61+C61)/2)),"N/M")</f>
        <v>0.0597075548334687</v>
      </c>
      <c r="E140" s="46" t="n">
        <f aca="false">IFERROR(IF(((E61+D61)/2)&lt;=0,"N/M",(E22-0)/((E61+D61)/2)),"N/M")</f>
        <v>-0.044120623355596</v>
      </c>
      <c r="F140" s="46" t="n">
        <f aca="false">IFERROR(IF(((F61+E61)/2)&lt;=0,"N/M",(F22-0)/((F61+E61)/2)),"N/M")</f>
        <v>0.314498933901919</v>
      </c>
      <c r="G140" s="46" t="n">
        <f aca="false">IFERROR(IF(((G61+F61)/2)&lt;=0,"N/M",(G22-0)/((G61+F61)/2)),"N/M")</f>
        <v>0.265460030165912</v>
      </c>
      <c r="H140" s="46" t="n">
        <f aca="false">IFERROR(IF(((H61+G61)/2)&lt;=0,"N/M",(H22-0)/((H61+G61)/2)),"N/M")</f>
        <v>0.336502687060769</v>
      </c>
      <c r="I140" s="46" t="n">
        <f aca="false">IFERROR(IF(((I61+H61)/2)&lt;=0,"N/M",(I22-0)/((I61+H61)/2)),"N/M")</f>
        <v>0.0271445045684379</v>
      </c>
      <c r="J140" s="46" t="n">
        <f aca="false">IFERROR(IF(((J61+I61)/2)&lt;=0,"N/M",(J22-0)/((J61+I61)/2)),"N/M")</f>
        <v>0.054067927110959</v>
      </c>
      <c r="K140" s="25" t="n">
        <f aca="false">IFERROR(AVERAGE(D140:J140),"N/M")</f>
        <v>0.14475157346941</v>
      </c>
      <c r="L140" s="86" t="n">
        <f aca="false">IFERROR(J140-D140,"N/M")</f>
        <v>-0.0056396277225097</v>
      </c>
      <c r="M140" s="87" t="n">
        <f aca="false">IFERROR(SLOPE(D140:J140,$D$3:$J$3),"N/M")</f>
        <v>0.00527196877997817</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0.21</v>
      </c>
      <c r="E143" s="95" t="n">
        <f aca="false">IFERROR(IF(E48&lt;=0,"N/M",E22/E48),"N/M")</f>
        <v>-0.155714285714286</v>
      </c>
      <c r="F143" s="95" t="n">
        <f aca="false">IFERROR(IF(F48&lt;=0,"N/M",F22/F48),"N/M")</f>
        <v>1.26428571428571</v>
      </c>
      <c r="G143" s="95" t="n">
        <f aca="false">IFERROR(IF(G48&lt;=0,"N/M",G22/G48),"N/M")</f>
        <v>1.38483547925608</v>
      </c>
      <c r="H143" s="95" t="n">
        <f aca="false">IFERROR(IF(H48&lt;=0,"N/M",H22/H48),"N/M")</f>
        <v>2.32904148783977</v>
      </c>
      <c r="I143" s="95" t="n">
        <f aca="false">IFERROR(IF(I48&lt;=0,"N/M",I22/I48),"N/M")</f>
        <v>0.218884120171674</v>
      </c>
      <c r="J143" s="95" t="n">
        <f aca="false">IFERROR(IF(J48&lt;=0,"N/M",J22/J48),"N/M")</f>
        <v>0.452074391988555</v>
      </c>
      <c r="K143" s="96" t="n">
        <f aca="false">IFERROR(AVERAGE(D143:J143),"N/M")</f>
        <v>0.81477241540393</v>
      </c>
      <c r="L143" s="97" t="n">
        <f aca="false">IFERROR(J143-D143,"N/M")</f>
        <v>0.242074391988555</v>
      </c>
      <c r="M143" s="98" t="n">
        <f aca="false">IFERROR(SLOPE(D143:J143,$D$3:$J$3),"N/M")</f>
        <v>0.0907205629032729</v>
      </c>
    </row>
    <row r="144" customFormat="false" ht="15" hidden="false" customHeight="false" outlineLevel="0" collapsed="false">
      <c r="A144" s="18" t="s">
        <v>606</v>
      </c>
      <c r="B144" s="19" t="s">
        <v>607</v>
      </c>
      <c r="D144" s="95" t="n">
        <f aca="false">IFERROR(IF(D48&lt;=0,"N/M",(D22+D18)/D48),"N/M")</f>
        <v>0.805714285714286</v>
      </c>
      <c r="E144" s="95" t="n">
        <f aca="false">IFERROR(IF(E48&lt;=0,"N/M",(E22+E18)/E48),"N/M")</f>
        <v>0.46</v>
      </c>
      <c r="F144" s="95" t="n">
        <f aca="false">IFERROR(IF(F48&lt;=0,"N/M",(F22+F18)/F48),"N/M")</f>
        <v>1.81571428571429</v>
      </c>
      <c r="G144" s="95" t="n">
        <f aca="false">IFERROR(IF(G48&lt;=0,"N/M",(G22+G18)/G48),"N/M")</f>
        <v>1.86552217453505</v>
      </c>
      <c r="H144" s="95" t="n">
        <f aca="false">IFERROR(IF(H48&lt;=0,"N/M",(H22+H18)/H48),"N/M")</f>
        <v>2.95994277539342</v>
      </c>
      <c r="I144" s="95" t="n">
        <f aca="false">IFERROR(IF(I48&lt;=0,"N/M",(I22+I18)/I48),"N/M")</f>
        <v>0.909871244635193</v>
      </c>
      <c r="J144" s="95" t="n">
        <f aca="false">IFERROR(IF(J48&lt;=0,"N/M",(J22+J18)/J48),"N/M")</f>
        <v>1.02432045779685</v>
      </c>
      <c r="K144" s="96" t="n">
        <f aca="false">IFERROR(AVERAGE(D144:J144),"N/M")</f>
        <v>1.40586931768416</v>
      </c>
      <c r="L144" s="97" t="n">
        <f aca="false">IFERROR(J144-D144,"N/M")</f>
        <v>0.218606172082567</v>
      </c>
      <c r="M144" s="98" t="n">
        <f aca="false">IFERROR(SLOPE(D144:J144,$D$3:$J$3),"N/M")</f>
        <v>0.0964210533999007</v>
      </c>
    </row>
    <row r="145" customFormat="false" ht="15" hidden="false" customHeight="false" outlineLevel="0" collapsed="false">
      <c r="A145" s="18" t="s">
        <v>608</v>
      </c>
      <c r="B145" s="19" t="s">
        <v>609</v>
      </c>
      <c r="D145" s="95" t="n">
        <f aca="false">IFERROR(IF(D48&lt;=0,"N/M",D61/D48),"N/M")</f>
        <v>3.60714285714286</v>
      </c>
      <c r="E145" s="95" t="n">
        <f aca="false">IFERROR(IF(E48&lt;=0,"N/M",E61/E48),"N/M")</f>
        <v>3.45142857142857</v>
      </c>
      <c r="F145" s="95" t="n">
        <f aca="false">IFERROR(IF(F48&lt;=0,"N/M",F61/F48),"N/M")</f>
        <v>4.58857142857143</v>
      </c>
      <c r="G145" s="95" t="n">
        <f aca="false">IFERROR(IF(G48&lt;=0,"N/M",G61/G48),"N/M")</f>
        <v>5.83834048640916</v>
      </c>
      <c r="H145" s="95" t="n">
        <f aca="false">IFERROR(IF(H48&lt;=0,"N/M",H61/H48),"N/M")</f>
        <v>8.00429184549356</v>
      </c>
      <c r="I145" s="95" t="n">
        <f aca="false">IFERROR(IF(I48&lt;=0,"N/M",I61/I48),"N/M")</f>
        <v>8.12303290414879</v>
      </c>
      <c r="J145" s="95" t="n">
        <f aca="false">IFERROR(IF(J48&lt;=0,"N/M",J61/J48),"N/M")</f>
        <v>8.59942775393419</v>
      </c>
      <c r="K145" s="96" t="n">
        <f aca="false">IFERROR(AVERAGE(D145:J145),"N/M")</f>
        <v>6.03031940673265</v>
      </c>
      <c r="L145" s="97" t="n">
        <f aca="false">IFERROR(J145-D145,"N/M")</f>
        <v>4.99228489679133</v>
      </c>
      <c r="M145" s="98" t="n">
        <f aca="false">IFERROR(SLOPE(D145:J145,$D$3:$J$3),"N/M")</f>
        <v>0.990563706169163</v>
      </c>
    </row>
    <row r="146" customFormat="false" ht="15" hidden="false" customHeight="false" outlineLevel="0" collapsed="false">
      <c r="A146" s="18" t="s">
        <v>145</v>
      </c>
      <c r="B146" s="19" t="s">
        <v>610</v>
      </c>
      <c r="D146" s="47" t="n">
        <f aca="false">IFERROR(IF(D49=0,"N/C",IF(D145&lt;=0,"N/M",D47/D145)),"N/M")</f>
        <v>1.25029702970297</v>
      </c>
      <c r="E146" s="47" t="n">
        <f aca="false">IFERROR(IF(E49=0,"N/C",IF(E145&lt;=0,"N/M",E47/E145)),"N/M")</f>
        <v>2.39031456953642</v>
      </c>
      <c r="F146" s="47" t="n">
        <f aca="false">IFERROR(IF(F49=0,"N/C",IF(F145&lt;=0,"N/M",F47/F145)),"N/M")</f>
        <v>6.62951432129514</v>
      </c>
      <c r="G146" s="47" t="n">
        <f aca="false">IFERROR(IF(G49=0,"N/C",IF(G145&lt;=0,"N/M",G47/G145)),"N/M")</f>
        <v>8.53838519970596</v>
      </c>
      <c r="H146" s="47" t="n">
        <f aca="false">IFERROR(IF(H49=0,"N/C",IF(H145&lt;=0,"N/M",H47/H145)),"N/M")</f>
        <v>3.25075603217158</v>
      </c>
      <c r="I146" s="47" t="n">
        <f aca="false">IFERROR(IF(I49=0,"N/C",IF(I145&lt;=0,"N/M",I47/I145)),"N/M")</f>
        <v>1.0894945403311</v>
      </c>
      <c r="J146" s="47" t="n">
        <f aca="false">IFERROR(IF(J49=0,"N/C",IF(J145&lt;=0,"N/M",J47/J145)),"N/M")</f>
        <v>0.683766428214939</v>
      </c>
      <c r="K146" s="22" t="n">
        <f aca="false">IFERROR(AVERAGE(D146:J146),"N/M")</f>
        <v>3.40464687442259</v>
      </c>
      <c r="L146" s="82" t="n">
        <f aca="false">IFERROR(J146-D146,"N/M")</f>
        <v>-0.566530601488031</v>
      </c>
      <c r="M146" s="83" t="n">
        <f aca="false">IFERROR(SLOPE(D146:J146,$D$3:$J$3),"N/M")</f>
        <v>-0.274285362571368</v>
      </c>
    </row>
    <row r="147" customFormat="false" ht="15" hidden="false" customHeight="false" outlineLevel="0" collapsed="false">
      <c r="A147" s="18" t="s">
        <v>611</v>
      </c>
      <c r="B147" s="19" t="s">
        <v>612</v>
      </c>
      <c r="D147" s="95" t="n">
        <f aca="false">IFERROR(IF(D48&lt;=0,"N/M",D23/D48),"N/M")</f>
        <v>0.0742857142857143</v>
      </c>
      <c r="E147" s="95" t="n">
        <f aca="false">IFERROR(IF(E48&lt;=0,"N/M",E23/E48),"N/M")</f>
        <v>0.15</v>
      </c>
      <c r="F147" s="95" t="n">
        <f aca="false">IFERROR(IF(F48&lt;=0,"N/M",F23/F48),"N/M")</f>
        <v>0.3</v>
      </c>
      <c r="G147" s="95" t="n">
        <f aca="false">IFERROR(IF(G48&lt;=0,"N/M",G23/G48),"N/M")</f>
        <v>0.150214592274678</v>
      </c>
      <c r="H147" s="95" t="n">
        <f aca="false">IFERROR(IF(H48&lt;=0,"N/M",H23/H48),"N/M")</f>
        <v>0.100143061516452</v>
      </c>
      <c r="I147" s="95" t="n">
        <f aca="false">IFERROR(IF(I48&lt;=0,"N/M",I23/I48),"N/M")</f>
        <v>0</v>
      </c>
      <c r="J147" s="95" t="n">
        <f aca="false">IFERROR(IF(J48&lt;=0,"N/M",J23/J48),"N/M")</f>
        <v>0</v>
      </c>
      <c r="K147" s="96" t="n">
        <f aca="false">IFERROR(AVERAGE(D147:J147),"N/M")</f>
        <v>0.110663338296692</v>
      </c>
      <c r="L147" s="97" t="n">
        <f aca="false">IFERROR(J147-D147,"N/M")</f>
        <v>-0.0742857142857143</v>
      </c>
      <c r="M147" s="98" t="n">
        <f aca="false">IFERROR(SLOPE(D147:J147,$D$3:$J$3),"N/M")</f>
        <v>-0.025811217190739</v>
      </c>
    </row>
    <row r="148" customFormat="false" ht="15" hidden="false" customHeight="false" outlineLevel="0" collapsed="false">
      <c r="A148" s="18" t="s">
        <v>613</v>
      </c>
      <c r="B148" s="19" t="s">
        <v>614</v>
      </c>
      <c r="D148" s="46" t="n">
        <f aca="false">IFERROR(IF(D143&lt;=0,"N/M",D147/D143),"N/M")</f>
        <v>0.353741496598639</v>
      </c>
      <c r="E148" s="46" t="str">
        <f aca="false">IFERROR(IF(E143&lt;=0,"N/M",E147/E143),"N/M")</f>
        <v>N/M</v>
      </c>
      <c r="F148" s="46" t="n">
        <f aca="false">IFERROR(IF(F143&lt;=0,"N/M",F147/F143),"N/M")</f>
        <v>0.23728813559322</v>
      </c>
      <c r="G148" s="46" t="n">
        <f aca="false">IFERROR(IF(G143&lt;=0,"N/M",G147/G143),"N/M")</f>
        <v>0.108471074380165</v>
      </c>
      <c r="H148" s="46" t="n">
        <f aca="false">IFERROR(IF(H143&lt;=0,"N/M",H147/H143),"N/M")</f>
        <v>0.042997542997543</v>
      </c>
      <c r="I148" s="46" t="n">
        <f aca="false">IFERROR(IF(I143&lt;=0,"N/M",I147/I143),"N/M")</f>
        <v>0</v>
      </c>
      <c r="J148" s="46" t="n">
        <f aca="false">IFERROR(IF(J143&lt;=0,"N/M",J147/J143),"N/M")</f>
        <v>0</v>
      </c>
      <c r="K148" s="25" t="n">
        <f aca="false">IFERROR(AVERAGE(D148:J148),"N/M")</f>
        <v>0.123749708261595</v>
      </c>
      <c r="L148" s="86" t="n">
        <f aca="false">IFERROR(J148-D148,"N/M")</f>
        <v>-0.353741496598639</v>
      </c>
      <c r="M148" s="87" t="n">
        <f aca="false">IFERROR(SLOPE(D148:J148,$D$3:$J$3),"N/M")</f>
        <v>-0.0644149070963479</v>
      </c>
    </row>
    <row r="149" customFormat="false" ht="15" hidden="false" customHeight="false" outlineLevel="0" collapsed="false">
      <c r="A149" s="18" t="s">
        <v>615</v>
      </c>
      <c r="B149" s="19" t="s">
        <v>616</v>
      </c>
      <c r="D149" s="46" t="n">
        <f aca="false">IFERROR((1-D148),"N/M")</f>
        <v>0.646258503401361</v>
      </c>
      <c r="E149" s="46" t="str">
        <f aca="false">IFERROR((1-E148),"N/M")</f>
        <v>N/M</v>
      </c>
      <c r="F149" s="46" t="n">
        <f aca="false">IFERROR((1-F148),"N/M")</f>
        <v>0.76271186440678</v>
      </c>
      <c r="G149" s="46" t="n">
        <f aca="false">IFERROR((1-G148),"N/M")</f>
        <v>0.891528925619835</v>
      </c>
      <c r="H149" s="46" t="n">
        <f aca="false">IFERROR((1-H148),"N/M")</f>
        <v>0.957002457002457</v>
      </c>
      <c r="I149" s="46" t="n">
        <f aca="false">IFERROR((1-I148),"N/M")</f>
        <v>1</v>
      </c>
      <c r="J149" s="46" t="n">
        <f aca="false">IFERROR((1-J148),"N/M")</f>
        <v>1</v>
      </c>
      <c r="K149" s="25" t="n">
        <f aca="false">IFERROR(AVERAGE(D149:J149),"N/M")</f>
        <v>0.876250291738405</v>
      </c>
      <c r="L149" s="86" t="n">
        <f aca="false">IFERROR(J149-D149,"N/M")</f>
        <v>0.353741496598639</v>
      </c>
      <c r="M149" s="87" t="n">
        <f aca="false">IFERROR(SLOPE(D149:J149,$D$3:$J$3),"N/M")</f>
        <v>0.0644149070963479</v>
      </c>
    </row>
    <row r="150" customFormat="false" ht="15" hidden="false" customHeight="false" outlineLevel="0" collapsed="false">
      <c r="A150" s="18" t="s">
        <v>617</v>
      </c>
      <c r="B150" s="19" t="s">
        <v>618</v>
      </c>
      <c r="D150" s="46" t="n">
        <f aca="false">IFERROR(IF(D49=0,"N/C",IF(D47&lt;=0,"N/M",D143/D47)),"N/M")</f>
        <v>0.0465631929046563</v>
      </c>
      <c r="E150" s="46" t="n">
        <f aca="false">IFERROR(IF(E49=0,"N/C",IF(E47&lt;=0,"N/M",E143/E47)),"N/M")</f>
        <v>-0.0188744588744589</v>
      </c>
      <c r="F150" s="46" t="n">
        <f aca="false">IFERROR(IF(F49=0,"N/C",IF(F47&lt;=0,"N/M",F143/F47)),"N/M")</f>
        <v>0.0415610030994646</v>
      </c>
      <c r="G150" s="46" t="n">
        <f aca="false">IFERROR(IF(G49=0,"N/C",IF(G47&lt;=0,"N/M",G143/G47)),"N/M")</f>
        <v>0.0277800497343246</v>
      </c>
      <c r="H150" s="46" t="n">
        <f aca="false">IFERROR(IF(H49=0,"N/C",IF(H47&lt;=0,"N/M",H143/H47)),"N/M")</f>
        <v>0.0895096651744724</v>
      </c>
      <c r="I150" s="46" t="n">
        <f aca="false">IFERROR(IF(I49=0,"N/C",IF(I47&lt;=0,"N/M",I143/I47)),"N/M")</f>
        <v>0.0247326689459518</v>
      </c>
      <c r="J150" s="46" t="n">
        <f aca="false">IFERROR(IF(J49=0,"N/C",IF(J47&lt;=0,"N/M",J143/J47)),"N/M")</f>
        <v>0.0768833999980536</v>
      </c>
      <c r="K150" s="25" t="n">
        <f aca="false">IFERROR(AVERAGE(D150:J150),"N/M")</f>
        <v>0.0411650744260664</v>
      </c>
      <c r="L150" s="86" t="n">
        <f aca="false">IFERROR(J150-D150,"N/M")</f>
        <v>0.0303202070933973</v>
      </c>
      <c r="M150" s="87" t="n">
        <f aca="false">IFERROR(SLOPE(D150:J150,$D$3:$J$3),"N/M")</f>
        <v>0.00807584067842932</v>
      </c>
    </row>
    <row r="151" customFormat="false" ht="15" hidden="false" customHeight="false" outlineLevel="0" collapsed="false">
      <c r="A151" s="18" t="s">
        <v>146</v>
      </c>
      <c r="B151" s="19" t="s">
        <v>619</v>
      </c>
      <c r="D151" s="46" t="n">
        <f aca="false">IFERROR(IF(D49=0,"N/C",IF(D47&lt;=0,"N/M",D147/D47)),"N/M")</f>
        <v>0.0164713335445043</v>
      </c>
      <c r="E151" s="46" t="n">
        <f aca="false">IFERROR(IF(E49=0,"N/C",IF(E47&lt;=0,"N/M",E147/E47)),"N/M")</f>
        <v>0.0181818181818182</v>
      </c>
      <c r="F151" s="46" t="n">
        <f aca="false">IFERROR(IF(F49=0,"N/C",IF(F47&lt;=0,"N/M",F147/F47)),"N/M")</f>
        <v>0.00986193293885601</v>
      </c>
      <c r="G151" s="46" t="n">
        <f aca="false">IFERROR(IF(G49=0,"N/C",IF(G47&lt;=0,"N/M",G147/G47)),"N/M")</f>
        <v>0.00301333184101661</v>
      </c>
      <c r="H151" s="46" t="n">
        <f aca="false">IFERROR(IF(H49=0,"N/C",IF(H47&lt;=0,"N/M",H147/H47)),"N/M")</f>
        <v>0.00384869567703505</v>
      </c>
      <c r="I151" s="46" t="n">
        <f aca="false">IFERROR(IF(I49=0,"N/C",IF(I47&lt;=0,"N/M",I147/I47)),"N/M")</f>
        <v>0</v>
      </c>
      <c r="J151" s="46" t="n">
        <f aca="false">IFERROR(IF(J49=0,"N/C",IF(J47&lt;=0,"N/M",J147/J47)),"N/M")</f>
        <v>0</v>
      </c>
      <c r="K151" s="25" t="n">
        <f aca="false">IFERROR(AVERAGE(D151:J151),"N/M")</f>
        <v>0.00733958745474716</v>
      </c>
      <c r="L151" s="86" t="n">
        <f aca="false">IFERROR(J151-D151,"N/M")</f>
        <v>-0.0164713335445043</v>
      </c>
      <c r="M151" s="87" t="n">
        <f aca="false">IFERROR(SLOPE(D151:J151,$D$3:$J$3),"N/M")</f>
        <v>-0.00327824550924893</v>
      </c>
    </row>
    <row r="152" customFormat="false" ht="15" hidden="false" customHeight="false" outlineLevel="0" collapsed="false">
      <c r="A152" s="18" t="s">
        <v>143</v>
      </c>
      <c r="B152" s="19" t="s">
        <v>620</v>
      </c>
      <c r="D152" s="47" t="n">
        <f aca="false">IFERROR(IF(D49=0,"N/C",IF(D143&lt;=0,"N/M",D47/D143)),"N/M")</f>
        <v>21.4761904761905</v>
      </c>
      <c r="E152" s="47" t="str">
        <f aca="false">IFERROR(IF(E49=0,"N/C",IF(E143&lt;=0,"N/M",E47/E143)),"N/M")</f>
        <v>N/M</v>
      </c>
      <c r="F152" s="47" t="n">
        <f aca="false">IFERROR(IF(F49=0,"N/C",IF(F143&lt;=0,"N/M",F47/F143)),"N/M")</f>
        <v>24.0610169491525</v>
      </c>
      <c r="G152" s="47" t="n">
        <f aca="false">IFERROR(IF(G49=0,"N/C",IF(G143&lt;=0,"N/M",G47/G143)),"N/M")</f>
        <v>35.997055785124</v>
      </c>
      <c r="H152" s="47" t="n">
        <f aca="false">IFERROR(IF(H49=0,"N/C",IF(H143&lt;=0,"N/M",H47/H143)),"N/M")</f>
        <v>11.1719778869779</v>
      </c>
      <c r="I152" s="47" t="n">
        <f aca="false">IFERROR(IF(I49=0,"N/C",IF(I143&lt;=0,"N/M",I47/I143)),"N/M")</f>
        <v>40.4323529411765</v>
      </c>
      <c r="J152" s="47" t="n">
        <f aca="false">IFERROR(IF(J49=0,"N/C",IF(J143&lt;=0,"N/M",J47/J143)),"N/M")</f>
        <v>13.0067088607595</v>
      </c>
      <c r="K152" s="22" t="n">
        <f aca="false">IFERROR(AVERAGE(D152:J152),"N/M")</f>
        <v>24.3575504832301</v>
      </c>
      <c r="L152" s="82" t="n">
        <f aca="false">IFERROR(J152-D152,"N/M")</f>
        <v>-8.46948161543098</v>
      </c>
      <c r="M152" s="83" t="n">
        <f aca="false">IFERROR(SLOPE(D152:J152,$D$3:$J$3),"N/M")</f>
        <v>-0.263480528253212</v>
      </c>
    </row>
    <row r="153" customFormat="false" ht="15" hidden="false" customHeight="false" outlineLevel="0" collapsed="false">
      <c r="A153" s="18" t="s">
        <v>148</v>
      </c>
      <c r="B153" s="19" t="s">
        <v>621</v>
      </c>
      <c r="D153" s="46" t="n">
        <f aca="false">IFERROR(IF(C47&lt;=0,"N/M",((D147+D47)-C47)/C47),"N/M")</f>
        <v>-0.294725274725275</v>
      </c>
      <c r="E153" s="46" t="n">
        <f aca="false">IFERROR(IF(D47&lt;=0,"N/M",((E147+E47)-D47)/D47),"N/M")</f>
        <v>0.862527716186253</v>
      </c>
      <c r="F153" s="46" t="n">
        <f aca="false">IFERROR(IF(E47&lt;=0,"N/M",((F147+F47)-E47)/E47),"N/M")</f>
        <v>2.72363636363636</v>
      </c>
      <c r="G153" s="46" t="n">
        <f aca="false">IFERROR(IF(F47&lt;=0,"N/M",((G147+G47)-F47)/F47),"N/M")</f>
        <v>0.643662544124743</v>
      </c>
      <c r="H153" s="46" t="n">
        <f aca="false">IFERROR(IF(G47&lt;=0,"N/M",((H147+H47)-G47)/G47),"N/M")</f>
        <v>-0.47602521441291</v>
      </c>
      <c r="I153" s="46" t="n">
        <f aca="false">IFERROR(IF(H47&lt;=0,"N/M",((I147+I47)-H47)/H47),"N/M")</f>
        <v>-0.659877017678709</v>
      </c>
      <c r="J153" s="46" t="n">
        <f aca="false">IFERROR(IF(I47&lt;=0,"N/M",((J147+J47)-I47)/I47),"N/M")</f>
        <v>-0.335593220338983</v>
      </c>
      <c r="K153" s="25" t="n">
        <f aca="false">IFERROR(AVERAGE(D153:J153),"N/M")</f>
        <v>0.351943699541641</v>
      </c>
      <c r="L153" s="86" t="n">
        <f aca="false">IFERROR(J153-D153,"N/M")</f>
        <v>-0.0408679456137083</v>
      </c>
      <c r="M153" s="87" t="n">
        <f aca="false">IFERROR(SLOPE(D153:J153,$D$3:$J$3),"N/M")</f>
        <v>-0.227395531522154</v>
      </c>
    </row>
    <row r="154" customFormat="false" ht="15" hidden="false" customHeight="false" outlineLevel="0" collapsed="false">
      <c r="A154" s="18" t="s">
        <v>147</v>
      </c>
      <c r="B154" s="19" t="s">
        <v>622</v>
      </c>
      <c r="D154" s="47" t="n">
        <f aca="false">IFERROR(IF(D49=0,"N/C",IF(D59&lt;=0,"N/M",D70/D59)),"N/M")</f>
        <v>7.46363636363636</v>
      </c>
      <c r="E154" s="47" t="n">
        <f aca="false">IFERROR(IF(E49=0,"N/C",IF(E59&lt;=0,"N/M",E70/E59)),"N/M")</f>
        <v>13.1984126984127</v>
      </c>
      <c r="F154" s="47" t="n">
        <f aca="false">IFERROR(IF(F49=0,"N/C",IF(F59&lt;=0,"N/M",F70/F59)),"N/M")</f>
        <v>12.8100050530571</v>
      </c>
      <c r="G154" s="47" t="n">
        <f aca="false">IFERROR(IF(G49=0,"N/C",IF(G59&lt;=0,"N/M",G70/G59)),"N/M")</f>
        <v>18.967294520548</v>
      </c>
      <c r="H154" s="47" t="n">
        <f aca="false">IFERROR(IF(H49=0,"N/C",IF(H59&lt;=0,"N/M",H70/H59)),"N/M")</f>
        <v>7.27596753246753</v>
      </c>
      <c r="I154" s="47" t="n">
        <f aca="false">IFERROR(IF(I49=0,"N/C",IF(I59&lt;=0,"N/M",I70/I59)),"N/M")</f>
        <v>8.33172323759791</v>
      </c>
      <c r="J154" s="47" t="n">
        <f aca="false">IFERROR(IF(J49=0,"N/C",IF(J59&lt;=0,"N/M",J70/J59)),"N/M")</f>
        <v>6.38064846416382</v>
      </c>
      <c r="K154" s="22" t="n">
        <f aca="false">IFERROR(AVERAGE(D154:J154),"N/M")</f>
        <v>10.6325268385548</v>
      </c>
      <c r="L154" s="82" t="n">
        <f aca="false">IFERROR(J154-D154,"N/M")</f>
        <v>-1.08298789947254</v>
      </c>
      <c r="M154" s="83" t="n">
        <f aca="false">IFERROR(SLOPE(D154:J154,$D$3:$J$3),"N/M")</f>
        <v>-0.661299290737027</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0.0133636363636364</v>
      </c>
      <c r="E157" s="46" t="n">
        <f aca="false">IFERROR(E124,"N/M")</f>
        <v>-0.0100711447842558</v>
      </c>
      <c r="F157" s="46" t="n">
        <f aca="false">IFERROR(F124,"N/M")</f>
        <v>0.054049102235251</v>
      </c>
      <c r="G157" s="46" t="n">
        <f aca="false">IFERROR(G124,"N/M")</f>
        <v>0.0519201888006865</v>
      </c>
      <c r="H157" s="46" t="n">
        <f aca="false">IFERROR(H124,"N/M")</f>
        <v>0.0649900199600799</v>
      </c>
      <c r="I157" s="46" t="n">
        <f aca="false">IFERROR(I124,"N/M")</f>
        <v>0.00694886002361704</v>
      </c>
      <c r="J157" s="46" t="n">
        <f aca="false">IFERROR(J124,"N/M")</f>
        <v>0.013487558154424</v>
      </c>
      <c r="K157" s="25" t="n">
        <f aca="false">IFERROR(AVERAGE(D157:J157),"N/M")</f>
        <v>0.027812602964777</v>
      </c>
      <c r="L157" s="86" t="n">
        <f aca="false">IFERROR(J157-D157,"N/M")</f>
        <v>0.000123921790787641</v>
      </c>
      <c r="M157" s="87" t="n">
        <f aca="false">IFERROR(SLOPE(D157:J157,$D$3:$J$3),"N/M")</f>
        <v>0.00161973902546205</v>
      </c>
    </row>
    <row r="158" customFormat="false" ht="15" hidden="false" customHeight="false" outlineLevel="0" collapsed="false">
      <c r="A158" s="18" t="s">
        <v>625</v>
      </c>
      <c r="B158" s="19" t="s">
        <v>626</v>
      </c>
      <c r="D158" s="47" t="n">
        <f aca="false">IFERROR(D113,"N/M")</f>
        <v>1.46072637939048</v>
      </c>
      <c r="E158" s="47" t="n">
        <f aca="false">IFERROR(E113,"N/M")</f>
        <v>1.34172193640364</v>
      </c>
      <c r="F158" s="47" t="n">
        <f aca="false">IFERROR(F113,"N/M")</f>
        <v>1.90872530162616</v>
      </c>
      <c r="G158" s="47" t="n">
        <f aca="false">IFERROR(G113,"N/M")</f>
        <v>1.91958815958816</v>
      </c>
      <c r="H158" s="47" t="n">
        <f aca="false">IFERROR(H113,"N/M")</f>
        <v>2.22607304718742</v>
      </c>
      <c r="I158" s="47" t="n">
        <f aca="false">IFERROR(I113,"N/M")</f>
        <v>1.87076766217766</v>
      </c>
      <c r="J158" s="47" t="n">
        <f aca="false">IFERROR(J113,"N/M")</f>
        <v>1.99812374738817</v>
      </c>
      <c r="K158" s="22" t="n">
        <f aca="false">IFERROR(AVERAGE(D158:J158),"N/M")</f>
        <v>1.81796089053738</v>
      </c>
      <c r="L158" s="82" t="n">
        <f aca="false">IFERROR(J158-D158,"N/M")</f>
        <v>0.537397367997692</v>
      </c>
      <c r="M158" s="83" t="n">
        <f aca="false">IFERROR(SLOPE(D158:J158,$D$3:$J$3),"N/M")</f>
        <v>0.106701117896513</v>
      </c>
    </row>
    <row r="159" customFormat="false" ht="15" hidden="false" customHeight="false" outlineLevel="0" collapsed="false">
      <c r="A159" s="18" t="s">
        <v>627</v>
      </c>
      <c r="B159" s="19" t="s">
        <v>628</v>
      </c>
      <c r="D159" s="46" t="n">
        <f aca="false">IFERROR((D157*D158),"N/M")</f>
        <v>0.0195206161609455</v>
      </c>
      <c r="E159" s="46" t="n">
        <f aca="false">IFERROR((E157*E158),"N/M")</f>
        <v>-0.0135126758817331</v>
      </c>
      <c r="F159" s="46" t="n">
        <f aca="false">IFERROR((F157*F158),"N/M")</f>
        <v>0.103164888966603</v>
      </c>
      <c r="G159" s="46" t="n">
        <f aca="false">IFERROR((G157*G158),"N/M")</f>
        <v>0.0996653796653797</v>
      </c>
      <c r="H159" s="46" t="n">
        <f aca="false">IFERROR((H157*H158),"N/M")</f>
        <v>0.144672531769306</v>
      </c>
      <c r="I159" s="46" t="n">
        <f aca="false">IFERROR((I157*I158),"N/M")</f>
        <v>0.0129997026211819</v>
      </c>
      <c r="J159" s="46" t="n">
        <f aca="false">IFERROR((J157*J158),"N/M")</f>
        <v>0.0269498102426336</v>
      </c>
      <c r="K159" s="25" t="n">
        <f aca="false">IFERROR(AVERAGE(D159:J159),"N/M")</f>
        <v>0.056208607649188</v>
      </c>
      <c r="L159" s="86" t="n">
        <f aca="false">IFERROR(J159-D159,"N/M")</f>
        <v>0.00742919408168809</v>
      </c>
      <c r="M159" s="87" t="n">
        <f aca="false">IFERROR(SLOPE(D159:J159,$D$3:$J$3),"N/M")</f>
        <v>0.00417214221619992</v>
      </c>
    </row>
    <row r="160" customFormat="false" ht="15" hidden="false" customHeight="false" outlineLevel="0" collapsed="false">
      <c r="A160" s="18" t="s">
        <v>629</v>
      </c>
      <c r="B160" s="19" t="s">
        <v>630</v>
      </c>
      <c r="D160" s="47" t="n">
        <f aca="false">IFERROR(IF(((D61+C61)/2)&lt;=0,"N/M",((D35+C35)/2)/((D61+C61)/2)),"N/M")</f>
        <v>3.05869212022746</v>
      </c>
      <c r="E160" s="47" t="n">
        <f aca="false">IFERROR(IF(((E61+D61)/2)&lt;=0,"N/M",((E35+D35)/2)/((E61+D61)/2)),"N/M")</f>
        <v>3.26512851649464</v>
      </c>
      <c r="F160" s="47" t="n">
        <f aca="false">IFERROR(IF(((F61+E61)/2)&lt;=0,"N/M",((F35+E35)/2)/((F61+E61)/2)),"N/M")</f>
        <v>3.04850746268657</v>
      </c>
      <c r="G160" s="47" t="n">
        <f aca="false">IFERROR(IF(((G61+F61)/2)&lt;=0,"N/M",((G35+F35)/2)/((G61+F61)/2)),"N/M")</f>
        <v>2.6635129576306</v>
      </c>
      <c r="H160" s="47" t="n">
        <f aca="false">IFERROR(IF(((H61+G61)/2)&lt;=0,"N/M",((H35+G35)/2)/((H61+G61)/2)),"N/M")</f>
        <v>2.32596114096734</v>
      </c>
      <c r="I160" s="47" t="n">
        <f aca="false">IFERROR(IF(((I61+H61)/2)&lt;=0,"N/M",((I35+H35)/2)/((I61+H61)/2)),"N/M")</f>
        <v>2.08808657855052</v>
      </c>
      <c r="J160" s="47" t="n">
        <f aca="false">IFERROR(IF(((J61+I61)/2)&lt;=0,"N/M",((J35+I35)/2)/((J61+I61)/2)),"N/M")</f>
        <v>2.00624518778339</v>
      </c>
      <c r="K160" s="22" t="n">
        <f aca="false">IFERROR(AVERAGE(D160:J160),"N/M")</f>
        <v>2.63659056633436</v>
      </c>
      <c r="L160" s="82" t="n">
        <f aca="false">IFERROR(J160-D160,"N/M")</f>
        <v>-1.05244693244407</v>
      </c>
      <c r="M160" s="83" t="n">
        <f aca="false">IFERROR(SLOPE(D160:J160,$D$3:$J$3),"N/M")</f>
        <v>-0.222641821247846</v>
      </c>
    </row>
    <row r="161" customFormat="false" ht="15" hidden="false" customHeight="false" outlineLevel="0" collapsed="false">
      <c r="A161" s="18" t="s">
        <v>631</v>
      </c>
      <c r="B161" s="19" t="s">
        <v>632</v>
      </c>
      <c r="D161" s="46" t="n">
        <f aca="false">IFERROR(((D157*D158)*D160),"N/M")</f>
        <v>0.0597075548334687</v>
      </c>
      <c r="E161" s="46" t="n">
        <f aca="false">IFERROR(((E157*E158)*E160),"N/M")</f>
        <v>-0.044120623355596</v>
      </c>
      <c r="F161" s="46" t="n">
        <f aca="false">IFERROR(((F157*F158)*F160),"N/M")</f>
        <v>0.314498933901919</v>
      </c>
      <c r="G161" s="46" t="n">
        <f aca="false">IFERROR(((G157*G158)*G160),"N/M")</f>
        <v>0.265460030165913</v>
      </c>
      <c r="H161" s="46" t="n">
        <f aca="false">IFERROR(((H157*H158)*H160),"N/M")</f>
        <v>0.336502687060769</v>
      </c>
      <c r="I161" s="46" t="n">
        <f aca="false">IFERROR(((I157*I158)*I160),"N/M")</f>
        <v>0.0271445045684379</v>
      </c>
      <c r="J161" s="46" t="n">
        <f aca="false">IFERROR(((J157*J158)*J160),"N/M")</f>
        <v>0.054067927110959</v>
      </c>
      <c r="K161" s="25" t="n">
        <f aca="false">IFERROR(AVERAGE(D161:J161),"N/M")</f>
        <v>0.14475157346941</v>
      </c>
      <c r="L161" s="86" t="n">
        <f aca="false">IFERROR(J161-D161,"N/M")</f>
        <v>-0.00563962772250971</v>
      </c>
      <c r="M161" s="87" t="n">
        <f aca="false">IFERROR(SLOPE(D161:J161,$D$3:$J$3),"N/M")</f>
        <v>0.00527196877997817</v>
      </c>
    </row>
    <row r="162" customFormat="false" ht="15" hidden="false" customHeight="false" outlineLevel="0" collapsed="false">
      <c r="A162" s="18" t="s">
        <v>633</v>
      </c>
      <c r="B162" s="19" t="s">
        <v>634</v>
      </c>
      <c r="D162" s="47" t="n">
        <f aca="false">IFERROR(IF(D20=0,"N/M",D22/D20),"N/M")</f>
        <v>0.668181818181818</v>
      </c>
      <c r="E162" s="47" t="n">
        <f aca="false">IFERROR(IF(E20=0,"N/M",E22/E20),"N/M")</f>
        <v>1.13541666666667</v>
      </c>
      <c r="F162" s="47" t="n">
        <f aca="false">IFERROR(IF(F20=0,"N/M",F22/F20),"N/M")</f>
        <v>0.75</v>
      </c>
      <c r="G162" s="47" t="n">
        <f aca="false">IFERROR(IF(G20=0,"N/M",G22/G20),"N/M")</f>
        <v>0.724008975317876</v>
      </c>
      <c r="H162" s="47" t="n">
        <f aca="false">IFERROR(IF(H20=0,"N/M",H22/H20),"N/M")</f>
        <v>0.759682687820812</v>
      </c>
      <c r="I162" s="47" t="n">
        <f aca="false">IFERROR(IF(I20=0,"N/M",I22/I20),"N/M")</f>
        <v>0.671052631578948</v>
      </c>
      <c r="J162" s="47" t="n">
        <f aca="false">IFERROR(IF(J20=0,"N/M",J22/J20),"N/M")</f>
        <v>0.887640449438202</v>
      </c>
      <c r="K162" s="22" t="n">
        <f aca="false">IFERROR(AVERAGE(D162:J162),"N/M")</f>
        <v>0.799426175572046</v>
      </c>
      <c r="L162" s="82" t="n">
        <f aca="false">IFERROR(J162-D162,"N/M")</f>
        <v>0.219458631256384</v>
      </c>
      <c r="M162" s="83" t="n">
        <f aca="false">IFERROR(SLOPE(D162:J162,$D$3:$J$3),"N/M")</f>
        <v>-0.00930962459233835</v>
      </c>
    </row>
    <row r="163" customFormat="false" ht="15" hidden="false" customHeight="false" outlineLevel="0" collapsed="false">
      <c r="A163" s="18" t="s">
        <v>635</v>
      </c>
      <c r="B163" s="19" t="s">
        <v>636</v>
      </c>
      <c r="D163" s="47" t="n">
        <f aca="false">IFERROR(IF(D58=0,"N/M",D20/D58),"N/M")</f>
        <v>0.383944153577661</v>
      </c>
      <c r="E163" s="47" t="n">
        <f aca="false">IFERROR(IF(E58=0,"N/M",E20/E58),"N/M")</f>
        <v>-0.295384615384615</v>
      </c>
      <c r="F163" s="47" t="n">
        <f aca="false">IFERROR(IF(F58=0,"N/M",F20/F58),"N/M")</f>
        <v>0.740740740740741</v>
      </c>
      <c r="G163" s="47" t="n">
        <f aca="false">IFERROR(IF(G58=0,"N/M",G20/G58),"N/M")</f>
        <v>0.782786885245902</v>
      </c>
      <c r="H163" s="47" t="n">
        <f aca="false">IFERROR(IF(H58=0,"N/M",H20/H58),"N/M")</f>
        <v>0.812050018946571</v>
      </c>
      <c r="I163" s="47" t="n">
        <f aca="false">IFERROR(IF(I58=0,"N/M",I20/I58),"N/M")</f>
        <v>0.342342342342342</v>
      </c>
      <c r="J163" s="47" t="n">
        <f aca="false">IFERROR(IF(J58=0,"N/M",J20/J58),"N/M")</f>
        <v>0.461139896373057</v>
      </c>
      <c r="K163" s="22" t="n">
        <f aca="false">IFERROR(AVERAGE(D163:J163),"N/M")</f>
        <v>0.461088488834523</v>
      </c>
      <c r="L163" s="82" t="n">
        <f aca="false">IFERROR(J163-D163,"N/M")</f>
        <v>0.0771957427953955</v>
      </c>
      <c r="M163" s="83" t="n">
        <f aca="false">IFERROR(SLOPE(D163:J163,$D$3:$J$3),"N/M")</f>
        <v>0.0563696579302119</v>
      </c>
    </row>
    <row r="164" customFormat="false" ht="15" hidden="false" customHeight="false" outlineLevel="0" collapsed="false">
      <c r="A164" s="18" t="s">
        <v>637</v>
      </c>
      <c r="B164" s="19" t="s">
        <v>577</v>
      </c>
      <c r="D164" s="46" t="n">
        <f aca="false">IFERROR(IF(D9&lt;=0,"N/M",D58/D9),"N/M")</f>
        <v>0.0520909090909091</v>
      </c>
      <c r="E164" s="46" t="n">
        <f aca="false">IFERROR(IF(E9&lt;=0,"N/M",E58/E9),"N/M")</f>
        <v>0.0300286427053497</v>
      </c>
      <c r="F164" s="46" t="n">
        <f aca="false">IFERROR(IF(F9&lt;=0,"N/M",F58/F9),"N/M")</f>
        <v>0.0972883840234518</v>
      </c>
      <c r="G164" s="46" t="n">
        <f aca="false">IFERROR(IF(G9&lt;=0,"N/M",G58/G9),"N/M")</f>
        <v>0.091611242222699</v>
      </c>
      <c r="H164" s="46" t="n">
        <f aca="false">IFERROR(IF(H9&lt;=0,"N/M",H58/H9),"N/M")</f>
        <v>0.105349301397206</v>
      </c>
      <c r="I164" s="46" t="n">
        <f aca="false">IFERROR(IF(I9&lt;=0,"N/M",I58/I9),"N/M")</f>
        <v>0.030247978926333</v>
      </c>
      <c r="J164" s="46" t="n">
        <f aca="false">IFERROR(IF(J9&lt;=0,"N/M",J58/J9),"N/M")</f>
        <v>0.0329506167570106</v>
      </c>
      <c r="K164" s="25" t="n">
        <f aca="false">IFERROR(AVERAGE(D164:J164),"N/M")</f>
        <v>0.062795296446137</v>
      </c>
      <c r="L164" s="86" t="n">
        <f aca="false">IFERROR(J164-D164,"N/M")</f>
        <v>-0.0191402923338986</v>
      </c>
      <c r="M164" s="87" t="n">
        <f aca="false">IFERROR(SLOPE(D164:J164,$D$3:$J$3),"N/M")</f>
        <v>-0.00174718882807055</v>
      </c>
    </row>
    <row r="165" customFormat="false" ht="15" hidden="false" customHeight="false" outlineLevel="0" collapsed="false">
      <c r="A165" s="18" t="s">
        <v>638</v>
      </c>
      <c r="B165" s="19" t="s">
        <v>626</v>
      </c>
      <c r="D165" s="47" t="n">
        <f aca="false">IFERROR(D113,"N/M")</f>
        <v>1.46072637939048</v>
      </c>
      <c r="E165" s="47" t="n">
        <f aca="false">IFERROR(E113,"N/M")</f>
        <v>1.34172193640364</v>
      </c>
      <c r="F165" s="47" t="n">
        <f aca="false">IFERROR(F113,"N/M")</f>
        <v>1.90872530162616</v>
      </c>
      <c r="G165" s="47" t="n">
        <f aca="false">IFERROR(G113,"N/M")</f>
        <v>1.91958815958816</v>
      </c>
      <c r="H165" s="47" t="n">
        <f aca="false">IFERROR(H113,"N/M")</f>
        <v>2.22607304718742</v>
      </c>
      <c r="I165" s="47" t="n">
        <f aca="false">IFERROR(I113,"N/M")</f>
        <v>1.87076766217766</v>
      </c>
      <c r="J165" s="47" t="n">
        <f aca="false">IFERROR(J113,"N/M")</f>
        <v>1.99812374738817</v>
      </c>
      <c r="K165" s="22" t="n">
        <f aca="false">IFERROR(AVERAGE(D165:J165),"N/M")</f>
        <v>1.81796089053738</v>
      </c>
      <c r="L165" s="82" t="n">
        <f aca="false">IFERROR(J165-D165,"N/M")</f>
        <v>0.537397367997692</v>
      </c>
      <c r="M165" s="83" t="n">
        <f aca="false">IFERROR(SLOPE(D165:J165,$D$3:$J$3),"N/M")</f>
        <v>0.106701117896513</v>
      </c>
    </row>
    <row r="166" customFormat="false" ht="15" hidden="false" customHeight="false" outlineLevel="0" collapsed="false">
      <c r="A166" s="18" t="s">
        <v>639</v>
      </c>
      <c r="B166" s="19" t="s">
        <v>640</v>
      </c>
      <c r="D166" s="47" t="n">
        <f aca="false">IFERROR(D160,"N/M")</f>
        <v>3.05869212022746</v>
      </c>
      <c r="E166" s="47" t="n">
        <f aca="false">IFERROR(E160,"N/M")</f>
        <v>3.26512851649464</v>
      </c>
      <c r="F166" s="47" t="n">
        <f aca="false">IFERROR(F160,"N/M")</f>
        <v>3.04850746268657</v>
      </c>
      <c r="G166" s="47" t="n">
        <f aca="false">IFERROR(G160,"N/M")</f>
        <v>2.6635129576306</v>
      </c>
      <c r="H166" s="47" t="n">
        <f aca="false">IFERROR(H160,"N/M")</f>
        <v>2.32596114096734</v>
      </c>
      <c r="I166" s="47" t="n">
        <f aca="false">IFERROR(I160,"N/M")</f>
        <v>2.08808657855052</v>
      </c>
      <c r="J166" s="47" t="n">
        <f aca="false">IFERROR(J160,"N/M")</f>
        <v>2.00624518778339</v>
      </c>
      <c r="K166" s="22" t="n">
        <f aca="false">IFERROR(AVERAGE(D166:J166),"N/M")</f>
        <v>2.63659056633436</v>
      </c>
      <c r="L166" s="82" t="n">
        <f aca="false">IFERROR(J166-D166,"N/M")</f>
        <v>-1.05244693244407</v>
      </c>
      <c r="M166" s="83" t="n">
        <f aca="false">IFERROR(SLOPE(D166:J166,$D$3:$J$3),"N/M")</f>
        <v>-0.222641821247846</v>
      </c>
    </row>
    <row r="167" customFormat="false" ht="15" hidden="false" customHeight="false" outlineLevel="0" collapsed="false">
      <c r="A167" s="18" t="s">
        <v>641</v>
      </c>
      <c r="B167" s="19" t="s">
        <v>642</v>
      </c>
      <c r="D167" s="46" t="n">
        <f aca="false">IFERROR(((((D162*D163)*D164)*D165)*D166),"N/M")</f>
        <v>0.0597075548334687</v>
      </c>
      <c r="E167" s="46" t="n">
        <f aca="false">IFERROR(((((E162*E163)*E164)*E165)*E166),"N/M")</f>
        <v>-0.044120623355596</v>
      </c>
      <c r="F167" s="46" t="n">
        <f aca="false">IFERROR(((((F162*F163)*F164)*F165)*F166),"N/M")</f>
        <v>0.314498933901919</v>
      </c>
      <c r="G167" s="46" t="n">
        <f aca="false">IFERROR(((((G162*G163)*G164)*G165)*G166),"N/M")</f>
        <v>0.265460030165913</v>
      </c>
      <c r="H167" s="46" t="n">
        <f aca="false">IFERROR(((((H162*H163)*H164)*H165)*H166),"N/M")</f>
        <v>0.336502687060769</v>
      </c>
      <c r="I167" s="46" t="n">
        <f aca="false">IFERROR(((((I162*I163)*I164)*I165)*I166),"N/M")</f>
        <v>0.0271445045684379</v>
      </c>
      <c r="J167" s="46" t="n">
        <f aca="false">IFERROR(((((J162*J163)*J164)*J165)*J166),"N/M")</f>
        <v>0.054067927110959</v>
      </c>
      <c r="K167" s="25" t="n">
        <f aca="false">IFERROR(AVERAGE(D167:J167),"N/M")</f>
        <v>0.14475157346941</v>
      </c>
      <c r="L167" s="86" t="n">
        <f aca="false">IFERROR(J167-D167,"N/M")</f>
        <v>-0.00563962772250971</v>
      </c>
      <c r="M167" s="87" t="n">
        <f aca="false">IFERROR(SLOPE(D167:J167,$D$3:$J$3),"N/M")</f>
        <v>0.00527196877997817</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n">
        <f aca="false">IFERROR(IF((1-(D135*D149))&lt;=0,"N/M",(D135*D149)/(1-(D135*D149))),"N/M")</f>
        <v>0.0127765449532647</v>
      </c>
      <c r="E170" s="46" t="str">
        <f aca="false">IFERROR(IF((1-(E135*E149))&lt;=0,"N/M",(E135*E149)/(1-(E135*E149))),"N/M")</f>
        <v>N/M</v>
      </c>
      <c r="F170" s="46" t="n">
        <f aca="false">IFERROR(IF((1-(F135*F149))&lt;=0,"N/M",(F135*F149)/(1-(F135*F149))),"N/M")</f>
        <v>0.0854052002277472</v>
      </c>
      <c r="G170" s="46" t="n">
        <f aca="false">IFERROR(IF((1-(G135*G149))&lt;=0,"N/M",(G135*G149)/(1-(G135*G149))),"N/M")</f>
        <v>0.0975196338776202</v>
      </c>
      <c r="H170" s="46" t="n">
        <f aca="false">IFERROR(IF((1-(H135*H149))&lt;=0,"N/M",(H135*H149)/(1-(H135*H149))),"N/M")</f>
        <v>0.160701392470346</v>
      </c>
      <c r="I170" s="46" t="n">
        <f aca="false">IFERROR(IF((1-(I135*I149))&lt;=0,"N/M",(I135*I149)/(1-(I135*I149))),"N/M")</f>
        <v>0.0131709206731804</v>
      </c>
      <c r="J170" s="46" t="n">
        <f aca="false">IFERROR(IF((1-(J135*J149))&lt;=0,"N/M",(J135*J149)/(1-(J135*J149))),"N/M")</f>
        <v>0.0276962180638941</v>
      </c>
      <c r="K170" s="25" t="n">
        <f aca="false">IFERROR(AVERAGE(D170:J170),"N/M")</f>
        <v>0.0662116517110087</v>
      </c>
      <c r="L170" s="86" t="n">
        <f aca="false">IFERROR(J170-D170,"N/M")</f>
        <v>0.0149196731106294</v>
      </c>
      <c r="M170" s="87" t="n">
        <f aca="false">IFERROR(SLOPE(D170:J170,$D$3:$J$3),"N/M")</f>
        <v>0.000598874978521279</v>
      </c>
    </row>
    <row r="171" customFormat="false" ht="15" hidden="false" customHeight="false" outlineLevel="0" collapsed="false">
      <c r="A171" s="18" t="s">
        <v>645</v>
      </c>
      <c r="B171" s="19" t="s">
        <v>646</v>
      </c>
      <c r="D171" s="46" t="n">
        <f aca="false">IFERROR(IF((1-(D139*D149))&lt;=0,"N/M",(D139*D149)/(1-(D139*D149))),"N/M")</f>
        <v>0.040135192226447</v>
      </c>
      <c r="E171" s="46" t="str">
        <f aca="false">IFERROR(IF((1-(E139*E149))&lt;=0,"N/M",(E139*E149)/(1-(E139*E149))),"N/M")</f>
        <v>N/M</v>
      </c>
      <c r="F171" s="46" t="n">
        <f aca="false">IFERROR(IF((1-(F139*F149))&lt;=0,"N/M",(F139*F149)/(1-(F139*F149))),"N/M")</f>
        <v>0.315568022440393</v>
      </c>
      <c r="G171" s="46" t="n">
        <f aca="false">IFERROR(IF((1-(G139*G149))&lt;=0,"N/M",(G139*G149)/(1-(G139*G149))),"N/M")</f>
        <v>0.310041314891324</v>
      </c>
      <c r="H171" s="46" t="n">
        <f aca="false">IFERROR(IF((1-(H139*H149))&lt;=0,"N/M",(H139*H149)/(1-(H139*H149))),"N/M")</f>
        <v>0.475</v>
      </c>
      <c r="I171" s="46" t="n">
        <f aca="false">IFERROR(IF((1-(I139*I149))&lt;=0,"N/M",(I139*I149)/(1-(I139*I149))),"N/M")</f>
        <v>0.0279018874806237</v>
      </c>
      <c r="J171" s="46" t="n">
        <f aca="false">IFERROR(IF((1-(J139*J149))&lt;=0,"N/M",(J139*J149)/(1-(J139*J149))),"N/M")</f>
        <v>0.0571583612191372</v>
      </c>
      <c r="K171" s="25" t="n">
        <f aca="false">IFERROR(AVERAGE(D171:J171),"N/M")</f>
        <v>0.204300796376321</v>
      </c>
      <c r="L171" s="86" t="n">
        <f aca="false">IFERROR(J171-D171,"N/M")</f>
        <v>0.0170231689926902</v>
      </c>
      <c r="M171" s="87" t="n">
        <f aca="false">IFERROR(SLOPE(D171:J171,$D$3:$J$3),"N/M")</f>
        <v>-0.00609841428230212</v>
      </c>
    </row>
    <row r="172" customFormat="false" ht="15" hidden="false" customHeight="false" outlineLevel="0" collapsed="false">
      <c r="A172" s="18" t="s">
        <v>647</v>
      </c>
      <c r="B172" s="19" t="s">
        <v>648</v>
      </c>
      <c r="D172" s="46" t="n">
        <f aca="false">IFERROR((IF(C9&lt;=0,"N/M",D9/C9)-1),"N/M")</f>
        <v>-0.11759987165089</v>
      </c>
      <c r="E172" s="46" t="n">
        <f aca="false">IFERROR((IF(D9&lt;=0,"N/M",E9/D9)-1),"N/M")</f>
        <v>-0.016090909090909</v>
      </c>
      <c r="F172" s="46" t="n">
        <f aca="false">IFERROR((IF(E9&lt;=0,"N/M",F9/E9)-1),"N/M")</f>
        <v>0.512889217407373</v>
      </c>
      <c r="G172" s="46" t="n">
        <f aca="false">IFERROR((IF(F9&lt;=0,"N/M",G9/F9)-1),"N/M")</f>
        <v>0.138634420422621</v>
      </c>
      <c r="H172" s="46" t="n">
        <f aca="false">IFERROR((IF(G9&lt;=0,"N/M",H9/G9)-1),"N/M")</f>
        <v>0.3435957948938</v>
      </c>
      <c r="I172" s="46" t="n">
        <f aca="false">IFERROR((IF(H9&lt;=0,"N/M",I9/H9)-1),"N/M")</f>
        <v>-0.121037924151697</v>
      </c>
      <c r="J172" s="46" t="n">
        <f aca="false">IFERROR((IF(I9&lt;=0,"N/M",J9/I9)-1),"N/M")</f>
        <v>0.0640839313289126</v>
      </c>
      <c r="K172" s="25" t="n">
        <f aca="false">IFERROR(AVERAGE(D172:J172),"N/M")</f>
        <v>0.114924951308459</v>
      </c>
      <c r="L172" s="86" t="n">
        <f aca="false">IFERROR(J172-D172,"N/M")</f>
        <v>0.181683802979803</v>
      </c>
      <c r="M172" s="87" t="n">
        <f aca="false">IFERROR(SLOPE(D172:J172,$D$3:$J$3),"N/M")</f>
        <v>0.00592371272515215</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0.760636363636364</v>
      </c>
      <c r="E176" s="46" t="n">
        <f aca="false">IFERROR(IF(E9&lt;=0,"N/M",E52/E9),"N/M")</f>
        <v>0.79968585419939</v>
      </c>
      <c r="F176" s="46" t="n">
        <f aca="false">IFERROR(IF(F9&lt;=0,"N/M",F52/F9),"N/M")</f>
        <v>0.747465494075974</v>
      </c>
      <c r="G176" s="46" t="n">
        <f aca="false">IFERROR(IF(G9&lt;=0,"N/M",G52/G9),"N/M")</f>
        <v>0.787009225488093</v>
      </c>
      <c r="H176" s="46" t="n">
        <f aca="false">IFERROR(IF(H9&lt;=0,"N/M",H52/H9),"N/M")</f>
        <v>0.832095808383234</v>
      </c>
      <c r="I176" s="46" t="n">
        <f aca="false">IFERROR(IF(I9&lt;=0,"N/M",I52/I9),"N/M")</f>
        <v>0.846398401308021</v>
      </c>
      <c r="J176" s="46" t="n">
        <f aca="false">IFERROR(IF(J9&lt;=0,"N/M",J52/J9),"N/M")</f>
        <v>0.856716035682274</v>
      </c>
      <c r="K176" s="25" t="n">
        <f aca="false">IFERROR(AVERAGE(D176:J176),"N/M")</f>
        <v>0.804286740396193</v>
      </c>
      <c r="L176" s="86" t="n">
        <f aca="false">IFERROR(J176-D176,"N/M")</f>
        <v>0.0960796720459105</v>
      </c>
      <c r="M176" s="87" t="n">
        <f aca="false">IFERROR(SLOPE(D176:J176,$D$3:$J$3),"N/M")</f>
        <v>0.0166533723093661</v>
      </c>
    </row>
    <row r="177" customFormat="false" ht="15" hidden="false" customHeight="false" outlineLevel="0" collapsed="false">
      <c r="A177" s="18" t="s">
        <v>407</v>
      </c>
      <c r="B177" s="19" t="s">
        <v>587</v>
      </c>
      <c r="D177" s="46" t="n">
        <f aca="false">IFERROR(IF(D9&lt;=0,"N/M",D14/D9),"N/M")</f>
        <v>0.096</v>
      </c>
      <c r="E177" s="46" t="n">
        <f aca="false">IFERROR(IF(E9&lt;=0,"N/M",E14/E9),"N/M")</f>
        <v>0.0767809295019865</v>
      </c>
      <c r="F177" s="46" t="n">
        <f aca="false">IFERROR(IF(F9&lt;=0,"N/M",F14/F9),"N/M")</f>
        <v>0.0496518871381458</v>
      </c>
      <c r="G177" s="46" t="n">
        <f aca="false">IFERROR(IF(G9&lt;=0,"N/M",G14/G9),"N/M")</f>
        <v>0.0487019952799828</v>
      </c>
      <c r="H177" s="46" t="n">
        <f aca="false">IFERROR(IF(H9&lt;=0,"N/M",H14/H9),"N/M")</f>
        <v>0.0358083832335329</v>
      </c>
      <c r="I177" s="46" t="n">
        <f aca="false">IFERROR(IF(I9&lt;=0,"N/M",I14/I9),"N/M")</f>
        <v>0.0574984103914979</v>
      </c>
      <c r="J177" s="46" t="n">
        <f aca="false">IFERROR(IF(J9&lt;=0,"N/M",J14/J9),"N/M")</f>
        <v>0.051133210977848</v>
      </c>
      <c r="K177" s="25" t="n">
        <f aca="false">IFERROR(AVERAGE(D177:J177),"N/M")</f>
        <v>0.0593678309318563</v>
      </c>
      <c r="L177" s="86" t="n">
        <f aca="false">IFERROR(J177-D177,"N/M")</f>
        <v>-0.044866789022152</v>
      </c>
      <c r="M177" s="87" t="n">
        <f aca="false">IFERROR(SLOPE(D177:J177,$D$3:$J$3),"N/M")</f>
        <v>-0.00667888961400165</v>
      </c>
    </row>
    <row r="178" customFormat="false" ht="15" hidden="false" customHeight="false" outlineLevel="0" collapsed="false">
      <c r="A178" s="18" t="s">
        <v>654</v>
      </c>
      <c r="B178" s="19" t="s">
        <v>655</v>
      </c>
      <c r="D178" s="46" t="n">
        <f aca="false">IFERROR(IF(D9&lt;=0,"N/M",D15/D9),"N/M")</f>
        <v>0.0575454545454545</v>
      </c>
      <c r="E178" s="46" t="n">
        <f aca="false">IFERROR(IF(E9&lt;=0,"N/M",E15/E9),"N/M")</f>
        <v>0.0560842649912224</v>
      </c>
      <c r="F178" s="46" t="n">
        <f aca="false">IFERROR(IF(F9&lt;=0,"N/M",F15/F9),"N/M")</f>
        <v>0.0845853181873702</v>
      </c>
      <c r="G178" s="46" t="n">
        <f aca="false">IFERROR(IF(G9&lt;=0,"N/M",G15/G9),"N/M")</f>
        <v>0.0548701995279983</v>
      </c>
      <c r="H178" s="46" t="n">
        <f aca="false">IFERROR(IF(H9&lt;=0,"N/M",H15/H9),"N/M")</f>
        <v>0.0562075848303393</v>
      </c>
      <c r="I178" s="46" t="n">
        <f aca="false">IFERROR(IF(I9&lt;=0,"N/M",I15/I9),"N/M")</f>
        <v>0.052229993641566</v>
      </c>
      <c r="J178" s="46" t="n">
        <f aca="false">IFERROR(IF(J9&lt;=0,"N/M",J15/J9),"N/M")</f>
        <v>0.0535660933031713</v>
      </c>
      <c r="K178" s="25" t="n">
        <f aca="false">IFERROR(AVERAGE(D178:J178),"N/M")</f>
        <v>0.0592984155753031</v>
      </c>
      <c r="L178" s="86" t="n">
        <f aca="false">IFERROR(J178-D178,"N/M")</f>
        <v>-0.00397936124228326</v>
      </c>
      <c r="M178" s="87" t="n">
        <f aca="false">IFERROR(SLOPE(D178:J178,$D$3:$J$3),"N/M")</f>
        <v>-0.00171515570654262</v>
      </c>
    </row>
    <row r="179" customFormat="false" ht="15" hidden="false" customHeight="false" outlineLevel="0" collapsed="false">
      <c r="A179" s="18" t="s">
        <v>411</v>
      </c>
      <c r="B179" s="19" t="s">
        <v>656</v>
      </c>
      <c r="D179" s="46" t="n">
        <f aca="false">IFERROR(IF(D9&lt;=0,"N/M",D16/D9),"N/M")</f>
        <v>0.00354545454545455</v>
      </c>
      <c r="E179" s="46" t="n">
        <f aca="false">IFERROR(IF(E9&lt;=0,"N/M",E16/E9),"N/M")</f>
        <v>0.0017555206504666</v>
      </c>
      <c r="F179" s="46" t="n">
        <f aca="false">IFERROR(IF(F9&lt;=0,"N/M",F16/F9),"N/M")</f>
        <v>0.0162452668865274</v>
      </c>
      <c r="G179" s="46" t="n">
        <f aca="false">IFERROR(IF(G9&lt;=0,"N/M",G16/G9),"N/M")</f>
        <v>0.00413001501823643</v>
      </c>
      <c r="H179" s="46" t="n">
        <f aca="false">IFERROR(IF(H9&lt;=0,"N/M",H16/H9),"N/M")</f>
        <v>0.000518962075848303</v>
      </c>
      <c r="I179" s="46" t="n">
        <f aca="false">IFERROR(IF(I9&lt;=0,"N/M",I16/I9),"N/M")</f>
        <v>0.00290671268961759</v>
      </c>
      <c r="J179" s="46" t="n">
        <f aca="false">IFERROR(IF(J9&lt;=0,"N/M",J16/J9),"N/M")</f>
        <v>0.00550599684152119</v>
      </c>
      <c r="K179" s="25" t="n">
        <f aca="false">IFERROR(AVERAGE(D179:J179),"N/M")</f>
        <v>0.00494398981538173</v>
      </c>
      <c r="L179" s="86" t="n">
        <f aca="false">IFERROR(J179-D179,"N/M")</f>
        <v>0.00196054229606665</v>
      </c>
      <c r="M179" s="87" t="n">
        <f aca="false">IFERROR(SLOPE(D179:J179,$D$3:$J$3),"N/M")</f>
        <v>-0.000269367637292043</v>
      </c>
    </row>
    <row r="180" customFormat="false" ht="15" hidden="false" customHeight="false" outlineLevel="0" collapsed="false">
      <c r="A180" s="18" t="s">
        <v>657</v>
      </c>
      <c r="B180" s="19" t="s">
        <v>658</v>
      </c>
      <c r="D180" s="46" t="n">
        <f aca="false">IFERROR(IF(D9&lt;=0,"N/M",D56/D9),"N/M")</f>
        <v>0.0822727272727273</v>
      </c>
      <c r="E180" s="46" t="n">
        <f aca="false">IFERROR(IF(E9&lt;=0,"N/M",E56/E9),"N/M")</f>
        <v>0.0656934306569343</v>
      </c>
      <c r="F180" s="46" t="n">
        <f aca="false">IFERROR(IF(F9&lt;=0,"N/M",F56/F9),"N/M")</f>
        <v>0.102052033711982</v>
      </c>
      <c r="G180" s="46" t="n">
        <f aca="false">IFERROR(IF(G9&lt;=0,"N/M",G56/G9),"N/M")</f>
        <v>0.10528856468569</v>
      </c>
      <c r="H180" s="46" t="n">
        <f aca="false">IFERROR(IF(H9&lt;=0,"N/M",H56/H9),"N/M")</f>
        <v>0.0753692614770459</v>
      </c>
      <c r="I180" s="46" t="n">
        <f aca="false">IFERROR(IF(I9&lt;=0,"N/M",I56/I9),"N/M")</f>
        <v>0.0409664819692979</v>
      </c>
      <c r="J180" s="46" t="n">
        <f aca="false">IFERROR(IF(J9&lt;=0,"N/M",J56/J9),"N/M")</f>
        <v>0.0330786631951855</v>
      </c>
      <c r="K180" s="25" t="n">
        <f aca="false">IFERROR(AVERAGE(D180:J180),"N/M")</f>
        <v>0.0721030232812661</v>
      </c>
      <c r="L180" s="86" t="n">
        <f aca="false">IFERROR(J180-D180,"N/M")</f>
        <v>-0.0491940640775418</v>
      </c>
      <c r="M180" s="87" t="n">
        <f aca="false">IFERROR(SLOPE(D180:J180,$D$3:$J$3),"N/M")</f>
        <v>-0.00798995935152981</v>
      </c>
    </row>
    <row r="181" customFormat="false" ht="15" hidden="false" customHeight="false" outlineLevel="0" collapsed="false">
      <c r="A181" s="18" t="s">
        <v>659</v>
      </c>
      <c r="B181" s="19" t="s">
        <v>660</v>
      </c>
      <c r="D181" s="46" t="n">
        <f aca="false">IFERROR(IF(D9&lt;=0,"N/M",D17/D9),"N/M")</f>
        <v>0.00772727272727273</v>
      </c>
      <c r="E181" s="46" t="n">
        <f aca="false">IFERROR(IF(E9&lt;=0,"N/M",E17/E9),"N/M")</f>
        <v>0.00415781206689458</v>
      </c>
      <c r="F181" s="46" t="n">
        <f aca="false">IFERROR(IF(F9&lt;=0,"N/M",F17/F9),"N/M")</f>
        <v>0.0188103090265054</v>
      </c>
      <c r="G181" s="46" t="n">
        <f aca="false">IFERROR(IF(G9&lt;=0,"N/M",G17/G9),"N/M")</f>
        <v>0.00434456125295001</v>
      </c>
      <c r="H181" s="46" t="n">
        <f aca="false">IFERROR(IF(H9&lt;=0,"N/M",H17/H9),"N/M")</f>
        <v>0.0475848303393214</v>
      </c>
      <c r="I181" s="46" t="n">
        <f aca="false">IFERROR(IF(I9&lt;=0,"N/M",I17/I9),"N/M")</f>
        <v>0.0112180942864929</v>
      </c>
      <c r="J181" s="46" t="n">
        <f aca="false">IFERROR(IF(J9&lt;=0,"N/M",J17/J9),"N/M")</f>
        <v>0.0169448119851466</v>
      </c>
      <c r="K181" s="25" t="n">
        <f aca="false">IFERROR(AVERAGE(D181:J181),"N/M")</f>
        <v>0.0158268130977977</v>
      </c>
      <c r="L181" s="86" t="n">
        <f aca="false">IFERROR(J181-D181,"N/M")</f>
        <v>0.00921753925787389</v>
      </c>
      <c r="M181" s="87" t="n">
        <f aca="false">IFERROR(SLOPE(D181:J181,$D$3:$J$3),"N/M")</f>
        <v>0.00251956084020122</v>
      </c>
    </row>
    <row r="182" customFormat="false" ht="15" hidden="false" customHeight="false" outlineLevel="0" collapsed="false">
      <c r="A182" s="18" t="s">
        <v>661</v>
      </c>
      <c r="B182" s="19" t="s">
        <v>662</v>
      </c>
      <c r="D182" s="46" t="n">
        <f aca="false">IFERROR(IF(D9&lt;=0,"N/M",D18/D9),"N/M")</f>
        <v>0.0379090909090909</v>
      </c>
      <c r="E182" s="46" t="n">
        <f aca="false">IFERROR(IF(E9&lt;=0,"N/M",E18/E9),"N/M")</f>
        <v>0.0398226000184792</v>
      </c>
      <c r="F182" s="46" t="n">
        <f aca="false">IFERROR(IF(F9&lt;=0,"N/M",F18/F9),"N/M")</f>
        <v>0.023573958715036</v>
      </c>
      <c r="G182" s="46" t="n">
        <f aca="false">IFERROR(IF(G9&lt;=0,"N/M",G18/G9),"N/M")</f>
        <v>0.0180218837159408</v>
      </c>
      <c r="H182" s="46" t="n">
        <f aca="false">IFERROR(IF(H9&lt;=0,"N/M",H18/H9),"N/M")</f>
        <v>0.0176047904191617</v>
      </c>
      <c r="I182" s="46" t="n">
        <f aca="false">IFERROR(IF(I9&lt;=0,"N/M",I18/I9),"N/M")</f>
        <v>0.0219365973294577</v>
      </c>
      <c r="J182" s="46" t="n">
        <f aca="false">IFERROR(IF(J9&lt;=0,"N/M",J18/J9),"N/M")</f>
        <v>0.0170728584233215</v>
      </c>
      <c r="K182" s="25" t="n">
        <f aca="false">IFERROR(AVERAGE(D182:J182),"N/M")</f>
        <v>0.0251345399329268</v>
      </c>
      <c r="L182" s="86" t="n">
        <f aca="false">IFERROR(J182-D182,"N/M")</f>
        <v>-0.0208362324857694</v>
      </c>
      <c r="M182" s="87" t="n">
        <f aca="false">IFERROR(SLOPE(D182:J182,$D$3:$J$3),"N/M")</f>
        <v>-0.00372320968325805</v>
      </c>
    </row>
    <row r="183" customFormat="false" ht="15" hidden="false" customHeight="false" outlineLevel="0" collapsed="false">
      <c r="A183" s="18" t="s">
        <v>663</v>
      </c>
      <c r="B183" s="19" t="s">
        <v>591</v>
      </c>
      <c r="D183" s="46" t="n">
        <f aca="false">IFERROR(IF(D9&lt;=0,"N/M",D19/D9),"N/M")</f>
        <v>0.0320909090909091</v>
      </c>
      <c r="E183" s="46" t="n">
        <f aca="false">IFERROR(IF(E9&lt;=0,"N/M",E19/E9),"N/M")</f>
        <v>0.0388986417813915</v>
      </c>
      <c r="F183" s="46" t="n">
        <f aca="false">IFERROR(IF(F9&lt;=0,"N/M",F19/F9),"N/M")</f>
        <v>0.0252229143764505</v>
      </c>
      <c r="G183" s="46" t="n">
        <f aca="false">IFERROR(IF(G9&lt;=0,"N/M",G19/G9),"N/M")</f>
        <v>0.0198991632696846</v>
      </c>
      <c r="H183" s="46" t="n">
        <f aca="false">IFERROR(IF(H9&lt;=0,"N/M",H19/H9),"N/M")</f>
        <v>0.0198003992015968</v>
      </c>
      <c r="I183" s="46" t="n">
        <f aca="false">IFERROR(IF(I9&lt;=0,"N/M",I19/I9),"N/M")</f>
        <v>0.0198928149695704</v>
      </c>
      <c r="J183" s="46" t="n">
        <f aca="false">IFERROR(IF(J9&lt;=0,"N/M",J19/J9),"N/M")</f>
        <v>0.0177557727602544</v>
      </c>
      <c r="K183" s="25" t="n">
        <f aca="false">IFERROR(AVERAGE(D183:J183),"N/M")</f>
        <v>0.0247943736356939</v>
      </c>
      <c r="L183" s="86" t="n">
        <f aca="false">IFERROR(J183-D183,"N/M")</f>
        <v>-0.0143351363306547</v>
      </c>
      <c r="M183" s="87" t="n">
        <f aca="false">IFERROR(SLOPE(D183:J183,$D$3:$J$3),"N/M")</f>
        <v>-0.00308712777823072</v>
      </c>
    </row>
    <row r="184" customFormat="false" ht="15" hidden="false" customHeight="false" outlineLevel="0" collapsed="false">
      <c r="A184" s="18" t="s">
        <v>664</v>
      </c>
      <c r="B184" s="19" t="s">
        <v>665</v>
      </c>
      <c r="D184" s="46" t="n">
        <f aca="false">IFERROR(IF(D9&lt;=0,"N/M",D20/D9),"N/M")</f>
        <v>0.02</v>
      </c>
      <c r="E184" s="46" t="n">
        <f aca="false">IFERROR(IF(E9&lt;=0,"N/M",E20/E9),"N/M")</f>
        <v>-0.00886999907604176</v>
      </c>
      <c r="F184" s="46" t="n">
        <f aca="false">IFERROR(IF(F9&lt;=0,"N/M",F20/F9),"N/M")</f>
        <v>0.0720654696470014</v>
      </c>
      <c r="G184" s="46" t="n">
        <f aca="false">IFERROR(IF(G9&lt;=0,"N/M",G20/G9),"N/M")</f>
        <v>0.0717120789530144</v>
      </c>
      <c r="H184" s="46" t="n">
        <f aca="false">IFERROR(IF(H9&lt;=0,"N/M",H20/H9),"N/M")</f>
        <v>0.0855489021956088</v>
      </c>
      <c r="I184" s="46" t="n">
        <f aca="false">IFERROR(IF(I9&lt;=0,"N/M",I20/I9),"N/M")</f>
        <v>0.0103551639567626</v>
      </c>
      <c r="J184" s="46" t="n">
        <f aca="false">IFERROR(IF(J9&lt;=0,"N/M",J20/J9),"N/M")</f>
        <v>0.0151948439967562</v>
      </c>
      <c r="K184" s="25" t="n">
        <f aca="false">IFERROR(AVERAGE(D184:J184),"N/M")</f>
        <v>0.0380009228104431</v>
      </c>
      <c r="L184" s="86" t="n">
        <f aca="false">IFERROR(J184-D184,"N/M")</f>
        <v>-0.00480515600324384</v>
      </c>
      <c r="M184" s="87" t="n">
        <f aca="false">IFERROR(SLOPE(D184:J184,$D$3:$J$3),"N/M")</f>
        <v>0.00133993895016017</v>
      </c>
    </row>
    <row r="185" customFormat="false" ht="15" hidden="false" customHeight="false" outlineLevel="0" collapsed="false">
      <c r="A185" s="18" t="s">
        <v>421</v>
      </c>
      <c r="B185" s="19" t="s">
        <v>666</v>
      </c>
      <c r="D185" s="46" t="n">
        <f aca="false">IFERROR(IF(D9&lt;=0,"N/M",D21/D9),"N/M")</f>
        <v>0.00663636363636364</v>
      </c>
      <c r="E185" s="46" t="n">
        <f aca="false">IFERROR(IF(E9&lt;=0,"N/M",E21/E9),"N/M")</f>
        <v>0.00120114570821399</v>
      </c>
      <c r="F185" s="46" t="n">
        <f aca="false">IFERROR(IF(F9&lt;=0,"N/M",F21/F9),"N/M")</f>
        <v>0.0180774398436546</v>
      </c>
      <c r="G185" s="46" t="n">
        <f aca="false">IFERROR(IF(G9&lt;=0,"N/M",G21/G9),"N/M")</f>
        <v>0.0197382535936494</v>
      </c>
      <c r="H185" s="46" t="n">
        <f aca="false">IFERROR(IF(H9&lt;=0,"N/M",H21/H9),"N/M")</f>
        <v>0.0205988023952096</v>
      </c>
      <c r="I185" s="46" t="n">
        <f aca="false">IFERROR(IF(I9&lt;=0,"N/M",I21/I9),"N/M")</f>
        <v>0.00336088654737033</v>
      </c>
      <c r="J185" s="46" t="n">
        <f aca="false">IFERROR(IF(J9&lt;=0,"N/M",J21/J9),"N/M")</f>
        <v>0.00170728584233215</v>
      </c>
      <c r="K185" s="25" t="n">
        <f aca="false">IFERROR(AVERAGE(D185:J185),"N/M")</f>
        <v>0.0101885967952562</v>
      </c>
      <c r="L185" s="86" t="n">
        <f aca="false">IFERROR(J185-D185,"N/M")</f>
        <v>-0.00492907779403148</v>
      </c>
      <c r="M185" s="87" t="n">
        <f aca="false">IFERROR(SLOPE(D185:J185,$D$3:$J$3),"N/M")</f>
        <v>-0.000283799612579527</v>
      </c>
    </row>
    <row r="186" customFormat="false" ht="15" hidden="false" customHeight="false" outlineLevel="0" collapsed="false">
      <c r="A186" s="18" t="s">
        <v>667</v>
      </c>
      <c r="B186" s="19" t="s">
        <v>668</v>
      </c>
      <c r="D186" s="46" t="n">
        <f aca="false">IFERROR(IF(D9&lt;=0,"N/M",D22/D9),"N/M")</f>
        <v>0.0133636363636364</v>
      </c>
      <c r="E186" s="46" t="n">
        <f aca="false">IFERROR(IF(E9&lt;=0,"N/M",E22/E9),"N/M")</f>
        <v>-0.0100711447842558</v>
      </c>
      <c r="F186" s="46" t="n">
        <f aca="false">IFERROR(IF(F9&lt;=0,"N/M",F22/F9),"N/M")</f>
        <v>0.054049102235251</v>
      </c>
      <c r="G186" s="46" t="n">
        <f aca="false">IFERROR(IF(G9&lt;=0,"N/M",G22/G9),"N/M")</f>
        <v>0.0519201888006865</v>
      </c>
      <c r="H186" s="46" t="n">
        <f aca="false">IFERROR(IF(H9&lt;=0,"N/M",H22/H9),"N/M")</f>
        <v>0.0649900199600799</v>
      </c>
      <c r="I186" s="46" t="n">
        <f aca="false">IFERROR(IF(I9&lt;=0,"N/M",I22/I9),"N/M")</f>
        <v>0.00694886002361704</v>
      </c>
      <c r="J186" s="46" t="n">
        <f aca="false">IFERROR(IF(J9&lt;=0,"N/M",J22/J9),"N/M")</f>
        <v>0.013487558154424</v>
      </c>
      <c r="K186" s="25" t="n">
        <f aca="false">IFERROR(AVERAGE(D186:J186),"N/M")</f>
        <v>0.027812602964777</v>
      </c>
      <c r="L186" s="86" t="n">
        <f aca="false">IFERROR(J186-D186,"N/M")</f>
        <v>0.000123921790787641</v>
      </c>
      <c r="M186" s="87" t="n">
        <f aca="false">IFERROR(SLOPE(D186:J186,$D$3:$J$3),"N/M")</f>
        <v>0.00161973902546205</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0.132073093887839</v>
      </c>
      <c r="E189" s="46" t="n">
        <f aca="false">IFERROR(IF(E35&lt;=0,"N/M",E26/E35),"N/M")</f>
        <v>0.127836057575018</v>
      </c>
      <c r="F189" s="46" t="n">
        <f aca="false">IFERROR(IF(F35&lt;=0,"N/M",F26/F35),"N/M")</f>
        <v>0.116977341221118</v>
      </c>
      <c r="G189" s="46" t="n">
        <f aca="false">IFERROR(IF(G35&lt;=0,"N/M",G26/G35),"N/M")</f>
        <v>0.100133766481942</v>
      </c>
      <c r="H189" s="46" t="n">
        <f aca="false">IFERROR(IF(H35&lt;=0,"N/M",H26/H35),"N/M")</f>
        <v>0.116112956810631</v>
      </c>
      <c r="I189" s="46" t="n">
        <f aca="false">IFERROR(IF(I35&lt;=0,"N/M",I26/I35),"N/M")</f>
        <v>0.121575789199061</v>
      </c>
      <c r="J189" s="46" t="n">
        <f aca="false">IFERROR(IF(J35&lt;=0,"N/M",J26/J35),"N/M")</f>
        <v>0.116967871485944</v>
      </c>
      <c r="K189" s="25" t="n">
        <f aca="false">IFERROR(AVERAGE(D189:J189),"N/M")</f>
        <v>0.118810982380222</v>
      </c>
      <c r="L189" s="86" t="n">
        <f aca="false">IFERROR(J189-D189,"N/M")</f>
        <v>-0.0151052224018949</v>
      </c>
      <c r="M189" s="87" t="n">
        <f aca="false">IFERROR(SLOPE(D189:J189,$D$3:$J$3),"N/M")</f>
        <v>-0.00209644958457453</v>
      </c>
    </row>
    <row r="190" customFormat="false" ht="15" hidden="false" customHeight="false" outlineLevel="0" collapsed="false">
      <c r="A190" s="18" t="s">
        <v>671</v>
      </c>
      <c r="B190" s="19" t="s">
        <v>672</v>
      </c>
      <c r="D190" s="46" t="n">
        <f aca="false">IFERROR(IF(D35&lt;=0,"N/M",D27/D35),"N/M")</f>
        <v>0.186137366099559</v>
      </c>
      <c r="E190" s="46" t="n">
        <f aca="false">IFERROR(IF(E35&lt;=0,"N/M",E27/E35),"N/M")</f>
        <v>0.166869968284948</v>
      </c>
      <c r="F190" s="46" t="n">
        <f aca="false">IFERROR(IF(F35&lt;=0,"N/M",F27/F35),"N/M")</f>
        <v>0.241544815269561</v>
      </c>
      <c r="G190" s="46" t="n">
        <f aca="false">IFERROR(IF(G35&lt;=0,"N/M",G27/G35),"N/M")</f>
        <v>0.289795528377604</v>
      </c>
      <c r="H190" s="46" t="n">
        <f aca="false">IFERROR(IF(H35&lt;=0,"N/M",H27/H35),"N/M")</f>
        <v>0.34858803986711</v>
      </c>
      <c r="I190" s="46" t="n">
        <f aca="false">IFERROR(IF(I35&lt;=0,"N/M",I27/I35),"N/M")</f>
        <v>0.372206278806853</v>
      </c>
      <c r="J190" s="46" t="n">
        <f aca="false">IFERROR(IF(J35&lt;=0,"N/M",J27/J35),"N/M")</f>
        <v>0.385960508701473</v>
      </c>
      <c r="K190" s="25" t="n">
        <f aca="false">IFERROR(AVERAGE(D190:J190),"N/M")</f>
        <v>0.284443215058158</v>
      </c>
      <c r="L190" s="86" t="n">
        <f aca="false">IFERROR(J190-D190,"N/M")</f>
        <v>0.199823142601914</v>
      </c>
      <c r="M190" s="87" t="n">
        <f aca="false">IFERROR(SLOPE(D190:J190,$D$3:$J$3),"N/M")</f>
        <v>0.0398994740516821</v>
      </c>
    </row>
    <row r="191" customFormat="false" ht="15" hidden="false" customHeight="false" outlineLevel="0" collapsed="false">
      <c r="A191" s="18" t="s">
        <v>673</v>
      </c>
      <c r="B191" s="19" t="s">
        <v>674</v>
      </c>
      <c r="D191" s="46" t="n">
        <f aca="false">IFERROR(IF(D35&lt;=0,"N/M",D61/D35),"N/M")</f>
        <v>0.318210459987398</v>
      </c>
      <c r="E191" s="46" t="n">
        <f aca="false">IFERROR(IF(E35&lt;=0,"N/M",E61/E35),"N/M")</f>
        <v>0.294706025859966</v>
      </c>
      <c r="F191" s="46" t="n">
        <f aca="false">IFERROR(IF(F35&lt;=0,"N/M",F61/F35),"N/M")</f>
        <v>0.35852215649068</v>
      </c>
      <c r="G191" s="46" t="n">
        <f aca="false">IFERROR(IF(G35&lt;=0,"N/M",G61/G35),"N/M")</f>
        <v>0.389929294859545</v>
      </c>
      <c r="H191" s="46" t="n">
        <f aca="false">IFERROR(IF(H35&lt;=0,"N/M",H61/H35),"N/M")</f>
        <v>0.464700996677741</v>
      </c>
      <c r="I191" s="46" t="n">
        <f aca="false">IFERROR(IF(I35&lt;=0,"N/M",I61/I35),"N/M")</f>
        <v>0.493782068005914</v>
      </c>
      <c r="J191" s="46" t="n">
        <f aca="false">IFERROR(IF(J35&lt;=0,"N/M",J61/J35),"N/M")</f>
        <v>0.502928380187416</v>
      </c>
      <c r="K191" s="25" t="n">
        <f aca="false">IFERROR(AVERAGE(D191:J191),"N/M")</f>
        <v>0.40325419743838</v>
      </c>
      <c r="L191" s="86" t="n">
        <f aca="false">IFERROR(J191-D191,"N/M")</f>
        <v>0.184717920200019</v>
      </c>
      <c r="M191" s="87" t="n">
        <f aca="false">IFERROR(SLOPE(D191:J191,$D$3:$J$3),"N/M")</f>
        <v>0.0378030244671076</v>
      </c>
    </row>
    <row r="192" customFormat="false" ht="15" hidden="false" customHeight="false" outlineLevel="0" collapsed="false">
      <c r="A192" s="18" t="s">
        <v>675</v>
      </c>
      <c r="B192" s="19" t="s">
        <v>676</v>
      </c>
      <c r="D192" s="46" t="n">
        <f aca="false">IFERROR(IF(D35&lt;=0,"N/M",D28/D35),"N/M")</f>
        <v>0.573787019533712</v>
      </c>
      <c r="E192" s="46" t="n">
        <f aca="false">IFERROR(IF(E35&lt;=0,"N/M",E28/E35),"N/M")</f>
        <v>0.579165650158575</v>
      </c>
      <c r="F192" s="46" t="n">
        <f aca="false">IFERROR(IF(F35&lt;=0,"N/M",F28/F35),"N/M")</f>
        <v>0.500725527402612</v>
      </c>
      <c r="G192" s="46" t="n">
        <f aca="false">IFERROR(IF(G35&lt;=0,"N/M",G28/G35),"N/M")</f>
        <v>0.439231798203707</v>
      </c>
      <c r="H192" s="46" t="n">
        <f aca="false">IFERROR(IF(H35&lt;=0,"N/M",H28/H35),"N/M")</f>
        <v>0.388372093023256</v>
      </c>
      <c r="I192" s="46" t="n">
        <f aca="false">IFERROR(IF(I35&lt;=0,"N/M",I28/I35),"N/M")</f>
        <v>0.361422732411514</v>
      </c>
      <c r="J192" s="46" t="n">
        <f aca="false">IFERROR(IF(J35&lt;=0,"N/M",J28/J35),"N/M")</f>
        <v>0.335257697456493</v>
      </c>
      <c r="K192" s="25" t="n">
        <f aca="false">IFERROR(AVERAGE(D192:J192),"N/M")</f>
        <v>0.453994645455695</v>
      </c>
      <c r="L192" s="86" t="n">
        <f aca="false">IFERROR(J192-D192,"N/M")</f>
        <v>-0.238529322077219</v>
      </c>
      <c r="M192" s="87" t="n">
        <f aca="false">IFERROR(SLOPE(D192:J192,$D$3:$J$3),"N/M")</f>
        <v>-0.0451224012894691</v>
      </c>
    </row>
    <row r="193" customFormat="false" ht="15" hidden="false" customHeight="false" outlineLevel="0" collapsed="false">
      <c r="A193" s="18" t="s">
        <v>496</v>
      </c>
      <c r="B193" s="19" t="s">
        <v>677</v>
      </c>
      <c r="D193" s="46" t="n">
        <f aca="false">IFERROR(IF(D35&lt;=0,"N/M",D29/D35),"N/M")</f>
        <v>0.108002520478891</v>
      </c>
      <c r="E193" s="46" t="n">
        <f aca="false">IFERROR(IF(E35&lt;=0,"N/M",E29/E35),"N/M")</f>
        <v>0.126128323981459</v>
      </c>
      <c r="F193" s="46" t="n">
        <f aca="false">IFERROR(IF(F35&lt;=0,"N/M",F29/F35),"N/M")</f>
        <v>0.140752316106708</v>
      </c>
      <c r="G193" s="46" t="n">
        <f aca="false">IFERROR(IF(G35&lt;=0,"N/M",G29/G35),"N/M")</f>
        <v>0.170838906936748</v>
      </c>
      <c r="H193" s="46" t="n">
        <f aca="false">IFERROR(IF(H35&lt;=0,"N/M",H29/H35),"N/M")</f>
        <v>0.146926910299003</v>
      </c>
      <c r="I193" s="46" t="n">
        <f aca="false">IFERROR(IF(I35&lt;=0,"N/M",I29/I35),"N/M")</f>
        <v>0.144795199582572</v>
      </c>
      <c r="J193" s="46" t="n">
        <f aca="false">IFERROR(IF(J35&lt;=0,"N/M",J29/J35),"N/M")</f>
        <v>0.161813922356091</v>
      </c>
      <c r="K193" s="25" t="n">
        <f aca="false">IFERROR(AVERAGE(D193:J193),"N/M")</f>
        <v>0.142751157105925</v>
      </c>
      <c r="L193" s="86" t="n">
        <f aca="false">IFERROR(J193-D193,"N/M")</f>
        <v>0.0538114018772</v>
      </c>
      <c r="M193" s="87" t="n">
        <f aca="false">IFERROR(SLOPE(D193:J193,$D$3:$J$3),"N/M")</f>
        <v>0.00731937682236151</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0.334845620667927</v>
      </c>
      <c r="E195" s="46" t="n">
        <f aca="false">IFERROR(IF(E35&lt;=0,"N/M",E31/E35),"N/M")</f>
        <v>0.301414979263235</v>
      </c>
      <c r="F195" s="46" t="n">
        <f aca="false">IFERROR(IF(F35&lt;=0,"N/M",F31/F35),"N/M")</f>
        <v>0.227480745618931</v>
      </c>
      <c r="G195" s="46" t="n">
        <f aca="false">IFERROR(IF(G35&lt;=0,"N/M",G31/G35),"N/M")</f>
        <v>0.192623733995796</v>
      </c>
      <c r="H195" s="46" t="n">
        <f aca="false">IFERROR(IF(H35&lt;=0,"N/M",H31/H35),"N/M")</f>
        <v>0.275913621262458</v>
      </c>
      <c r="I195" s="46" t="n">
        <f aca="false">IFERROR(IF(I35&lt;=0,"N/M",I31/I35),"N/M")</f>
        <v>0.251152274110792</v>
      </c>
      <c r="J195" s="46" t="n">
        <f aca="false">IFERROR(IF(J35&lt;=0,"N/M",J31/J35),"N/M")</f>
        <v>0.208668005354752</v>
      </c>
      <c r="K195" s="25" t="n">
        <f aca="false">IFERROR(AVERAGE(D195:J195),"N/M")</f>
        <v>0.256014140039127</v>
      </c>
      <c r="L195" s="86" t="n">
        <f aca="false">IFERROR(J195-D195,"N/M")</f>
        <v>-0.126177615313175</v>
      </c>
      <c r="M195" s="87" t="n">
        <f aca="false">IFERROR(SLOPE(D195:J195,$D$3:$J$3),"N/M")</f>
        <v>-0.0153794778786029</v>
      </c>
    </row>
    <row r="196" customFormat="false" ht="15" hidden="false" customHeight="false" outlineLevel="0" collapsed="false">
      <c r="A196" s="18" t="s">
        <v>680</v>
      </c>
      <c r="B196" s="19" t="s">
        <v>681</v>
      </c>
      <c r="D196" s="46" t="n">
        <f aca="false">IFERROR(IF(D35&lt;=0,"N/M",D32/D35),"N/M")</f>
        <v>0.00365469439193447</v>
      </c>
      <c r="E196" s="46" t="n">
        <f aca="false">IFERROR(IF(E35&lt;=0,"N/M",E32/E35),"N/M")</f>
        <v>0.00744083922908026</v>
      </c>
      <c r="F196" s="46" t="n">
        <f aca="false">IFERROR(IF(F35&lt;=0,"N/M",F32/F35),"N/M")</f>
        <v>0</v>
      </c>
      <c r="G196" s="46" t="n">
        <f aca="false">IFERROR(IF(G35&lt;=0,"N/M",G32/G35),"N/M")</f>
        <v>0.0661188610739538</v>
      </c>
      <c r="H196" s="46" t="n">
        <f aca="false">IFERROR(IF(H35&lt;=0,"N/M",H32/H35),"N/M")</f>
        <v>0</v>
      </c>
      <c r="I196" s="46" t="n">
        <f aca="false">IFERROR(IF(I35&lt;=0,"N/M",I32/I35),"N/M")</f>
        <v>0</v>
      </c>
      <c r="J196" s="46" t="n">
        <f aca="false">IFERROR(IF(J35&lt;=0,"N/M",J32/J35),"N/M")</f>
        <v>0</v>
      </c>
      <c r="K196" s="25" t="n">
        <f aca="false">IFERROR(AVERAGE(D196:J196),"N/M")</f>
        <v>0.0110306278135669</v>
      </c>
      <c r="L196" s="86" t="n">
        <f aca="false">IFERROR(J196-D196,"N/M")</f>
        <v>-0.00365469439193447</v>
      </c>
      <c r="M196" s="87" t="n">
        <f aca="false">IFERROR(SLOPE(D196:J196,$D$3:$J$3),"N/M")</f>
        <v>-0.000923062915498712</v>
      </c>
    </row>
    <row r="197" customFormat="false" ht="15" hidden="false" customHeight="false" outlineLevel="0" collapsed="false">
      <c r="A197" s="18" t="s">
        <v>442</v>
      </c>
      <c r="B197" s="19" t="s">
        <v>682</v>
      </c>
      <c r="D197" s="46" t="n">
        <f aca="false">IFERROR(IF(D35&lt;=0,"N/M",D33/D35),"N/M")</f>
        <v>0.00113421550094518</v>
      </c>
      <c r="E197" s="46" t="n">
        <f aca="false">IFERROR(IF(E35&lt;=0,"N/M",E33/E35),"N/M")</f>
        <v>0.00109782873871676</v>
      </c>
      <c r="F197" s="46" t="n">
        <f aca="false">IFERROR(IF(F35&lt;=0,"N/M",F33/F35),"N/M")</f>
        <v>0.00279049001004576</v>
      </c>
      <c r="G197" s="46" t="n">
        <f aca="false">IFERROR(IF(G35&lt;=0,"N/M",G33/G35),"N/M")</f>
        <v>0.0343970953563921</v>
      </c>
      <c r="H197" s="46" t="n">
        <f aca="false">IFERROR(IF(H35&lt;=0,"N/M",H33/H35),"N/M")</f>
        <v>0.0214285714285714</v>
      </c>
      <c r="I197" s="46" t="n">
        <f aca="false">IFERROR(IF(I35&lt;=0,"N/M",I33/I35),"N/M")</f>
        <v>0.0340029567788503</v>
      </c>
      <c r="J197" s="46" t="n">
        <f aca="false">IFERROR(IF(J35&lt;=0,"N/M",J33/J35),"N/M")</f>
        <v>0.0191599732262383</v>
      </c>
      <c r="K197" s="25" t="n">
        <f aca="false">IFERROR(AVERAGE(D197:J197),"N/M")</f>
        <v>0.0162873044342514</v>
      </c>
      <c r="L197" s="86" t="n">
        <f aca="false">IFERROR(J197-D197,"N/M")</f>
        <v>0.0180257577252931</v>
      </c>
      <c r="M197" s="87" t="n">
        <f aca="false">IFERROR(SLOPE(D197:J197,$D$3:$J$3),"N/M")</f>
        <v>0.00494734323838115</v>
      </c>
    </row>
    <row r="198" customFormat="false" ht="15" hidden="false" customHeight="false" outlineLevel="0" collapsed="false">
      <c r="A198" s="18" t="s">
        <v>494</v>
      </c>
      <c r="B198" s="19" t="s">
        <v>683</v>
      </c>
      <c r="D198" s="46" t="n">
        <f aca="false">IFERROR(IF(D35&lt;=0,"N/M",D34/D35),"N/M")</f>
        <v>0.660365469439194</v>
      </c>
      <c r="E198" s="46" t="n">
        <f aca="false">IFERROR(IF(E35&lt;=0,"N/M",E34/E35),"N/M")</f>
        <v>0.690046352768968</v>
      </c>
      <c r="F198" s="46" t="n">
        <f aca="false">IFERROR(IF(F35&lt;=0,"N/M",F34/F35),"N/M")</f>
        <v>0.769728764371023</v>
      </c>
      <c r="G198" s="46" t="n">
        <f aca="false">IFERROR(IF(G35&lt;=0,"N/M",G34/G35),"N/M")</f>
        <v>0.706860309573858</v>
      </c>
      <c r="H198" s="46" t="n">
        <f aca="false">IFERROR(IF(H35&lt;=0,"N/M",H34/H35),"N/M")</f>
        <v>0.70265780730897</v>
      </c>
      <c r="I198" s="46" t="n">
        <f aca="false">IFERROR(IF(I35&lt;=0,"N/M",I34/I35),"N/M")</f>
        <v>0.714844769110357</v>
      </c>
      <c r="J198" s="46" t="n">
        <f aca="false">IFERROR(IF(J35&lt;=0,"N/M",J34/J35),"N/M")</f>
        <v>0.772172021419009</v>
      </c>
      <c r="K198" s="25" t="n">
        <f aca="false">IFERROR(AVERAGE(D198:J198),"N/M")</f>
        <v>0.716667927713054</v>
      </c>
      <c r="L198" s="86" t="n">
        <f aca="false">IFERROR(J198-D198,"N/M")</f>
        <v>0.111806551979816</v>
      </c>
      <c r="M198" s="87" t="n">
        <f aca="false">IFERROR(SLOPE(D198:J198,$D$3:$J$3),"N/M")</f>
        <v>0.0113551975557205</v>
      </c>
    </row>
    <row r="199" customFormat="false" ht="15" hidden="false" customHeight="false" outlineLevel="0" collapsed="false">
      <c r="A199" s="18" t="s">
        <v>684</v>
      </c>
      <c r="B199" s="19" t="s">
        <v>685</v>
      </c>
      <c r="D199" s="46" t="n">
        <f aca="false">IFERROR(IF(D35&lt;=0,"N/M",D36/D35),"N/M")</f>
        <v>0.340012602394455</v>
      </c>
      <c r="E199" s="46" t="n">
        <f aca="false">IFERROR(IF(E35&lt;=0,"N/M",E36/E35),"N/M")</f>
        <v>0.444620639180288</v>
      </c>
      <c r="F199" s="46" t="n">
        <f aca="false">IFERROR(IF(F35&lt;=0,"N/M",F36/F35),"N/M")</f>
        <v>0.498493135394575</v>
      </c>
      <c r="G199" s="46" t="n">
        <f aca="false">IFERROR(IF(G35&lt;=0,"N/M",G36/G35),"N/M")</f>
        <v>0.529619721001338</v>
      </c>
      <c r="H199" s="46" t="n">
        <f aca="false">IFERROR(IF(H35&lt;=0,"N/M",H36/H35),"N/M")</f>
        <v>0.538870431893688</v>
      </c>
      <c r="I199" s="46" t="n">
        <f aca="false">IFERROR(IF(I35&lt;=0,"N/M",I36/I35),"N/M")</f>
        <v>0.531437516305766</v>
      </c>
      <c r="J199" s="46" t="n">
        <f aca="false">IFERROR(IF(J35&lt;=0,"N/M",J36/J35),"N/M")</f>
        <v>0.622489959839358</v>
      </c>
      <c r="K199" s="25" t="n">
        <f aca="false">IFERROR(AVERAGE(D199:J199),"N/M")</f>
        <v>0.500792000858495</v>
      </c>
      <c r="L199" s="86" t="n">
        <f aca="false">IFERROR(J199-D199,"N/M")</f>
        <v>0.282477357444903</v>
      </c>
      <c r="M199" s="87" t="n">
        <f aca="false">IFERROR(SLOPE(D199:J199,$D$3:$J$3),"N/M")</f>
        <v>0.0379086829673134</v>
      </c>
    </row>
    <row r="200" customFormat="false" ht="15" hidden="false" customHeight="false" outlineLevel="0" collapsed="false">
      <c r="A200" s="18" t="s">
        <v>686</v>
      </c>
      <c r="B200" s="19" t="s">
        <v>687</v>
      </c>
      <c r="D200" s="46" t="n">
        <f aca="false">IFERROR(IF(D35&lt;=0,"N/M",D37/D35),"N/M")</f>
        <v>0.0475110270951481</v>
      </c>
      <c r="E200" s="46" t="n">
        <f aca="false">IFERROR(IF(E35&lt;=0,"N/M",E37/E35),"N/M")</f>
        <v>0.0629421810197609</v>
      </c>
      <c r="F200" s="46" t="n">
        <f aca="false">IFERROR(IF(F35&lt;=0,"N/M",F37/F35),"N/M")</f>
        <v>0.0638464114298471</v>
      </c>
      <c r="G200" s="46" t="n">
        <f aca="false">IFERROR(IF(G35&lt;=0,"N/M",G37/G35),"N/M")</f>
        <v>0.00238868717752723</v>
      </c>
      <c r="H200" s="46" t="n">
        <f aca="false">IFERROR(IF(H35&lt;=0,"N/M",H37/H35),"N/M")</f>
        <v>0.00215946843853821</v>
      </c>
      <c r="I200" s="46" t="n">
        <f aca="false">IFERROR(IF(I35&lt;=0,"N/M",I37/I35),"N/M")</f>
        <v>0.00269588659883468</v>
      </c>
      <c r="J200" s="46" t="n">
        <f aca="false">IFERROR(IF(J35&lt;=0,"N/M",J37/J35),"N/M")</f>
        <v>0.000418340026773762</v>
      </c>
      <c r="K200" s="25" t="n">
        <f aca="false">IFERROR(AVERAGE(D200:J200),"N/M")</f>
        <v>0.0259945716837757</v>
      </c>
      <c r="L200" s="86" t="n">
        <f aca="false">IFERROR(J200-D200,"N/M")</f>
        <v>-0.0470926870683743</v>
      </c>
      <c r="M200" s="87" t="n">
        <f aca="false">IFERROR(SLOPE(D200:J200,$D$3:$J$3),"N/M")</f>
        <v>-0.0115520568942244</v>
      </c>
    </row>
    <row r="201" customFormat="false" ht="15" hidden="false" customHeight="false" outlineLevel="0" collapsed="false">
      <c r="A201" s="18" t="s">
        <v>688</v>
      </c>
      <c r="B201" s="19" t="s">
        <v>689</v>
      </c>
      <c r="D201" s="46" t="n">
        <f aca="false">IFERROR(IF(D35&lt;=0,"N/M",D38/D35),"N/M")</f>
        <v>0.0404536862003781</v>
      </c>
      <c r="E201" s="46" t="n">
        <f aca="false">IFERROR(IF(E35&lt;=0,"N/M",E38/E35),"N/M")</f>
        <v>0.0664796291778483</v>
      </c>
      <c r="F201" s="46" t="n">
        <f aca="false">IFERROR(IF(F35&lt;=0,"N/M",F38/F35),"N/M")</f>
        <v>0.0478848085723853</v>
      </c>
      <c r="G201" s="46" t="n">
        <f aca="false">IFERROR(IF(G35&lt;=0,"N/M",G38/G35),"N/M")</f>
        <v>0.0643034588190331</v>
      </c>
      <c r="H201" s="46" t="n">
        <f aca="false">IFERROR(IF(H35&lt;=0,"N/M",H38/H35),"N/M")</f>
        <v>0.0377076411960133</v>
      </c>
      <c r="I201" s="46" t="n">
        <f aca="false">IFERROR(IF(I35&lt;=0,"N/M",I38/I35),"N/M")</f>
        <v>0.0668753804678668</v>
      </c>
      <c r="J201" s="46" t="n">
        <f aca="false">IFERROR(IF(J35&lt;=0,"N/M",J38/J35),"N/M")</f>
        <v>0.0534638554216867</v>
      </c>
      <c r="K201" s="25" t="n">
        <f aca="false">IFERROR(AVERAGE(D201:J201),"N/M")</f>
        <v>0.0538812085507445</v>
      </c>
      <c r="L201" s="86" t="n">
        <f aca="false">IFERROR(J201-D201,"N/M")</f>
        <v>0.0130101692213087</v>
      </c>
      <c r="M201" s="87" t="n">
        <f aca="false">IFERROR(SLOPE(D201:J201,$D$3:$J$3),"N/M")</f>
        <v>0.00105874438812825</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98.3909090909091</v>
      </c>
      <c r="F205" s="91" t="n">
        <f aca="false">IFERROR((IF($D9&lt;=0,"N/M",F9/$D9)*100),"N/M")</f>
        <v>148.854545454545</v>
      </c>
      <c r="G205" s="91" t="n">
        <f aca="false">IFERROR((IF($D9&lt;=0,"N/M",G9/$D9)*100),"N/M")</f>
        <v>169.490909090909</v>
      </c>
      <c r="H205" s="91" t="n">
        <f aca="false">IFERROR((IF($D9&lt;=0,"N/M",H9/$D9)*100),"N/M")</f>
        <v>227.727272727273</v>
      </c>
      <c r="I205" s="91" t="n">
        <f aca="false">IFERROR((IF($D9&lt;=0,"N/M",I9/$D9)*100),"N/M")</f>
        <v>200.163636363636</v>
      </c>
      <c r="J205" s="91" t="n">
        <f aca="false">IFERROR((IF($D9&lt;=0,"N/M",J9/$D9)*100),"N/M")</f>
        <v>212.990909090909</v>
      </c>
      <c r="K205" s="92" t="n">
        <f aca="false">IFERROR(AVERAGE(D205:J205),"N/M")</f>
        <v>165.374025974026</v>
      </c>
      <c r="L205" s="85" t="n">
        <f aca="false">IFERROR(J205-D205,"N/M")</f>
        <v>112.990909090909</v>
      </c>
      <c r="M205" s="85" t="n">
        <f aca="false">IFERROR(SLOPE(D205:J205,$D$3:$J$3),"N/M")</f>
        <v>22.1925324675325</v>
      </c>
    </row>
    <row r="206" customFormat="false" ht="15" hidden="false" customHeight="false" outlineLevel="0" collapsed="false">
      <c r="A206" s="18" t="s">
        <v>657</v>
      </c>
      <c r="B206" s="19" t="s">
        <v>693</v>
      </c>
      <c r="D206" s="91" t="n">
        <f aca="false">IFERROR((IF($D56&lt;=0,"N/M",D56/$D56)*100),"N/M")</f>
        <v>100</v>
      </c>
      <c r="E206" s="91" t="n">
        <f aca="false">IFERROR((IF($D56&lt;=0,"N/M",E56/$D56)*100),"N/M")</f>
        <v>78.5635359116022</v>
      </c>
      <c r="F206" s="91" t="n">
        <f aca="false">IFERROR((IF($D56&lt;=0,"N/M",F56/$D56)*100),"N/M")</f>
        <v>184.6408839779</v>
      </c>
      <c r="G206" s="91" t="n">
        <f aca="false">IFERROR((IF($D56&lt;=0,"N/M",G56/$D56)*100),"N/M")</f>
        <v>216.906077348066</v>
      </c>
      <c r="H206" s="91" t="n">
        <f aca="false">IFERROR((IF($D56&lt;=0,"N/M",H56/$D56)*100),"N/M")</f>
        <v>208.618784530387</v>
      </c>
      <c r="I206" s="91" t="n">
        <f aca="false">IFERROR((IF($D56&lt;=0,"N/M",I56/$D56)*100),"N/M")</f>
        <v>99.668508287293</v>
      </c>
      <c r="J206" s="91" t="n">
        <f aca="false">IFERROR((IF($D56&lt;=0,"N/M",J56/$D56)*100),"N/M")</f>
        <v>85.6353591160221</v>
      </c>
      <c r="K206" s="92" t="n">
        <f aca="false">IFERROR(AVERAGE(D206:J206),"N/M")</f>
        <v>139.147592738753</v>
      </c>
      <c r="L206" s="85" t="n">
        <f aca="false">IFERROR(J206-D206,"N/M")</f>
        <v>-14.3646408839779</v>
      </c>
      <c r="M206" s="85" t="n">
        <f aca="false">IFERROR(SLOPE(D206:J206,$D$3:$J$3),"N/M")</f>
        <v>0.824782951854794</v>
      </c>
    </row>
    <row r="207" customFormat="false" ht="15" hidden="false" customHeight="false" outlineLevel="0" collapsed="false">
      <c r="A207" s="18" t="s">
        <v>667</v>
      </c>
      <c r="B207" s="19" t="s">
        <v>694</v>
      </c>
      <c r="D207" s="91" t="n">
        <f aca="false">IFERROR((IF($D22&lt;=0,"N/M",D22/$D22)*100),"N/M")</f>
        <v>100</v>
      </c>
      <c r="E207" s="91" t="n">
        <f aca="false">IFERROR((IF($D22&lt;=0,"N/M",E22/$D22)*100),"N/M")</f>
        <v>-74.1496598639456</v>
      </c>
      <c r="F207" s="91" t="n">
        <f aca="false">IFERROR((IF($D22&lt;=0,"N/M",F22/$D22)*100),"N/M")</f>
        <v>602.040816326531</v>
      </c>
      <c r="G207" s="91" t="n">
        <f aca="false">IFERROR((IF($D22&lt;=0,"N/M",G22/$D22)*100),"N/M")</f>
        <v>658.503401360544</v>
      </c>
      <c r="H207" s="91" t="n">
        <f aca="false">IFERROR((IF($D22&lt;=0,"N/M",H22/$D22)*100),"N/M")</f>
        <v>1107.48299319728</v>
      </c>
      <c r="I207" s="91" t="n">
        <f aca="false">IFERROR((IF($D22&lt;=0,"N/M",I22/$D22)*100),"N/M")</f>
        <v>104.081632653061</v>
      </c>
      <c r="J207" s="91" t="n">
        <f aca="false">IFERROR((IF($D22&lt;=0,"N/M",J22/$D22)*100),"N/M")</f>
        <v>214.965986394558</v>
      </c>
      <c r="K207" s="92" t="n">
        <f aca="false">IFERROR(AVERAGE(D207:J207),"N/M")</f>
        <v>387.560738581147</v>
      </c>
      <c r="L207" s="85" t="n">
        <f aca="false">IFERROR(J207-D207,"N/M")</f>
        <v>114.965986394558</v>
      </c>
      <c r="M207" s="85" t="n">
        <f aca="false">IFERROR(SLOPE(D207:J207,$D$3:$J$3),"N/M")</f>
        <v>43.1000971817298</v>
      </c>
    </row>
    <row r="208" customFormat="false" ht="15" hidden="false" customHeight="false" outlineLevel="0" collapsed="false">
      <c r="A208" s="18" t="s">
        <v>446</v>
      </c>
      <c r="B208" s="19" t="s">
        <v>695</v>
      </c>
      <c r="D208" s="91" t="n">
        <f aca="false">IFERROR((IF($D35&lt;=0,"N/M",D35/$D35)*100),"N/M")</f>
        <v>100</v>
      </c>
      <c r="E208" s="91" t="n">
        <f aca="false">IFERROR((IF($D35&lt;=0,"N/M",E35/$D35)*100),"N/M")</f>
        <v>103.314429741651</v>
      </c>
      <c r="F208" s="91" t="n">
        <f aca="false">IFERROR((IF($D35&lt;=0,"N/M",F35/$D35)*100),"N/M")</f>
        <v>112.904851921865</v>
      </c>
      <c r="G208" s="91" t="n">
        <f aca="false">IFERROR((IF($D35&lt;=0,"N/M",G35/$D35)*100),"N/M")</f>
        <v>131.896660365469</v>
      </c>
      <c r="H208" s="91" t="n">
        <f aca="false">IFERROR((IF($D35&lt;=0,"N/M",H35/$D35)*100),"N/M")</f>
        <v>151.732829237555</v>
      </c>
      <c r="I208" s="91" t="n">
        <f aca="false">IFERROR((IF($D35&lt;=0,"N/M",I35/$D35)*100),"N/M")</f>
        <v>144.914933837429</v>
      </c>
      <c r="J208" s="91" t="n">
        <f aca="false">IFERROR((IF($D35&lt;=0,"N/M",J35/$D35)*100),"N/M")</f>
        <v>150.62381852552</v>
      </c>
      <c r="K208" s="92" t="n">
        <f aca="false">IFERROR(AVERAGE(D208:J208),"N/M")</f>
        <v>127.912503375641</v>
      </c>
      <c r="L208" s="85" t="n">
        <f aca="false">IFERROR(J208-D208,"N/M")</f>
        <v>50.6238185255199</v>
      </c>
      <c r="M208" s="85" t="n">
        <f aca="false">IFERROR(SLOPE(D208:J208,$D$3:$J$3),"N/M")</f>
        <v>9.78215861013593</v>
      </c>
    </row>
    <row r="209" customFormat="false" ht="15" hidden="false" customHeight="false" outlineLevel="0" collapsed="false">
      <c r="A209" s="18" t="s">
        <v>673</v>
      </c>
      <c r="B209" s="19" t="s">
        <v>696</v>
      </c>
      <c r="D209" s="91" t="n">
        <f aca="false">IFERROR((IF($D61&lt;=0,"N/M",D61/$D61)*100),"N/M")</f>
        <v>100</v>
      </c>
      <c r="E209" s="91" t="n">
        <f aca="false">IFERROR((IF($D61&lt;=0,"N/M",E61/$D61)*100),"N/M")</f>
        <v>95.6831683168317</v>
      </c>
      <c r="F209" s="91" t="n">
        <f aca="false">IFERROR((IF($D61&lt;=0,"N/M",F61/$D61)*100),"N/M")</f>
        <v>127.207920792079</v>
      </c>
      <c r="G209" s="91" t="n">
        <f aca="false">IFERROR((IF($D61&lt;=0,"N/M",G61/$D61)*100),"N/M")</f>
        <v>161.623762376238</v>
      </c>
      <c r="H209" s="91" t="n">
        <f aca="false">IFERROR((IF($D61&lt;=0,"N/M",H61/$D61)*100),"N/M")</f>
        <v>221.584158415842</v>
      </c>
      <c r="I209" s="91" t="n">
        <f aca="false">IFERROR((IF($D61&lt;=0,"N/M",I61/$D61)*100),"N/M")</f>
        <v>224.871287128713</v>
      </c>
      <c r="J209" s="91" t="n">
        <f aca="false">IFERROR((IF($D61&lt;=0,"N/M",J61/$D61)*100),"N/M")</f>
        <v>238.059405940594</v>
      </c>
      <c r="K209" s="92" t="n">
        <f aca="false">IFERROR(AVERAGE(D209:J209),"N/M")</f>
        <v>167.004243281471</v>
      </c>
      <c r="L209" s="85" t="n">
        <f aca="false">IFERROR(J209-D209,"N/M")</f>
        <v>138.059405940594</v>
      </c>
      <c r="M209" s="85" t="n">
        <f aca="false">IFERROR(SLOPE(D209:J209,$D$3:$J$3),"N/M")</f>
        <v>27.3903818953324</v>
      </c>
    </row>
    <row r="210" customFormat="false" ht="15" hidden="false" customHeight="false" outlineLevel="0" collapsed="false">
      <c r="A210" s="18" t="s">
        <v>675</v>
      </c>
      <c r="B210" s="19" t="s">
        <v>697</v>
      </c>
      <c r="D210" s="91" t="n">
        <f aca="false">IFERROR((IF($D28&lt;=0,"N/M",D28/$D28)*100),"N/M")</f>
        <v>100</v>
      </c>
      <c r="E210" s="91" t="n">
        <f aca="false">IFERROR((IF($D28&lt;=0,"N/M",E28/$D28)*100),"N/M")</f>
        <v>104.282890401933</v>
      </c>
      <c r="F210" s="91" t="n">
        <f aca="false">IFERROR((IF($D28&lt;=0,"N/M",F28/$D28)*100),"N/M")</f>
        <v>98.5284427849769</v>
      </c>
      <c r="G210" s="91" t="n">
        <f aca="false">IFERROR((IF($D28&lt;=0,"N/M",G28/$D28)*100),"N/M")</f>
        <v>100.966395783</v>
      </c>
      <c r="H210" s="91" t="n">
        <f aca="false">IFERROR((IF($D28&lt;=0,"N/M",H28/$D28)*100),"N/M")</f>
        <v>102.701515484296</v>
      </c>
      <c r="I210" s="91" t="n">
        <f aca="false">IFERROR((IF($D28&lt;=0,"N/M",I28/$D28)*100),"N/M")</f>
        <v>91.2804744124753</v>
      </c>
      <c r="J210" s="91" t="n">
        <f aca="false">IFERROR((IF($D28&lt;=0,"N/M",J28/$D28)*100),"N/M")</f>
        <v>88.0079068745882</v>
      </c>
      <c r="K210" s="92" t="n">
        <f aca="false">IFERROR(AVERAGE(D210:J210),"N/M")</f>
        <v>97.9668036773242</v>
      </c>
      <c r="L210" s="85" t="n">
        <f aca="false">IFERROR(J210-D210,"N/M")</f>
        <v>-11.9920931254118</v>
      </c>
      <c r="M210" s="85" t="n">
        <f aca="false">IFERROR(SLOPE(D210:J210,$D$3:$J$3),"N/M")</f>
        <v>-2.06457280913683</v>
      </c>
    </row>
    <row r="211" customFormat="false" ht="15" hidden="false" customHeight="false" outlineLevel="0" collapsed="false">
      <c r="A211" s="18" t="s">
        <v>698</v>
      </c>
      <c r="B211" s="19" t="s">
        <v>699</v>
      </c>
      <c r="D211" s="91" t="n">
        <f aca="false">IFERROR((IF($D36&lt;=0,"N/M",D36/$D36)*100),"N/M")</f>
        <v>100</v>
      </c>
      <c r="E211" s="91" t="n">
        <f aca="false">IFERROR((IF($D36&lt;=0,"N/M",E36/$D36)*100),"N/M")</f>
        <v>135.100074128984</v>
      </c>
      <c r="F211" s="91" t="n">
        <f aca="false">IFERROR((IF($D36&lt;=0,"N/M",F36/$D36)*100),"N/M")</f>
        <v>165.530022238695</v>
      </c>
      <c r="G211" s="91" t="n">
        <f aca="false">IFERROR((IF($D36&lt;=0,"N/M",G36/$D36)*100),"N/M")</f>
        <v>205.448480355819</v>
      </c>
      <c r="H211" s="91" t="n">
        <f aca="false">IFERROR((IF($D36&lt;=0,"N/M",H36/$D36)*100),"N/M")</f>
        <v>240.474425500371</v>
      </c>
      <c r="I211" s="91" t="n">
        <f aca="false">IFERROR((IF($D36&lt;=0,"N/M",I36/$D36)*100),"N/M")</f>
        <v>226.501111934767</v>
      </c>
      <c r="J211" s="91" t="n">
        <f aca="false">IFERROR((IF($D36&lt;=0,"N/M",J36/$D36)*100),"N/M")</f>
        <v>275.759822090437</v>
      </c>
      <c r="K211" s="92" t="n">
        <f aca="false">IFERROR(AVERAGE(D211:J211),"N/M")</f>
        <v>192.687705178439</v>
      </c>
      <c r="L211" s="85" t="n">
        <f aca="false">IFERROR(J211-D211,"N/M")</f>
        <v>175.759822090437</v>
      </c>
      <c r="M211" s="85" t="n">
        <f aca="false">IFERROR(SLOPE(D211:J211,$D$3:$J$3),"N/M")</f>
        <v>28.0366408980197</v>
      </c>
    </row>
    <row r="212" customFormat="false" ht="15" hidden="false" customHeight="false" outlineLevel="0" collapsed="false">
      <c r="A212" s="18" t="s">
        <v>700</v>
      </c>
      <c r="B212" s="19" t="s">
        <v>701</v>
      </c>
      <c r="D212" s="91" t="n">
        <f aca="false">IFERROR((IF($D41&lt;=0,"N/M",D41/$D41)*100),"N/M")</f>
        <v>100</v>
      </c>
      <c r="E212" s="91" t="n">
        <f aca="false">IFERROR((IF($D41&lt;=0,"N/M",E41/$D41)*100),"N/M")</f>
        <v>134.243697478992</v>
      </c>
      <c r="F212" s="91" t="n">
        <f aca="false">IFERROR((IF($D41&lt;=0,"N/M",F41/$D41)*100),"N/M")</f>
        <v>117.647058823529</v>
      </c>
      <c r="G212" s="91" t="n">
        <f aca="false">IFERROR((IF($D41&lt;=0,"N/M",G41/$D41)*100),"N/M")</f>
        <v>211.134453781513</v>
      </c>
      <c r="H212" s="91" t="n">
        <f aca="false">IFERROR((IF($D41&lt;=0,"N/M",H41/$D41)*100),"N/M")</f>
        <v>16.5966386554622</v>
      </c>
      <c r="I212" s="91" t="n">
        <f aca="false">IFERROR((IF($D41&lt;=0,"N/M",I41/$D41)*100),"N/M")</f>
        <v>266.176470588235</v>
      </c>
      <c r="J212" s="91" t="n">
        <f aca="false">IFERROR((IF($D41&lt;=0,"N/M",J41/$D41)*100),"N/M")</f>
        <v>12.3949579831933</v>
      </c>
      <c r="K212" s="92" t="n">
        <f aca="false">IFERROR(AVERAGE(D212:J212),"N/M")</f>
        <v>122.599039615846</v>
      </c>
      <c r="L212" s="85" t="n">
        <f aca="false">IFERROR(J212-D212,"N/M")</f>
        <v>-87.6050420168067</v>
      </c>
      <c r="M212" s="85" t="n">
        <f aca="false">IFERROR(SLOPE(D212:J212,$D$3:$J$3),"N/M")</f>
        <v>-3.57142857142857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2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10" min="3" style="0" width="11"/>
    <col collapsed="false" customWidth="true" hidden="false" outlineLevel="0" max="13" min="11" style="0" width="12"/>
  </cols>
  <sheetData>
    <row r="1" customFormat="false" ht="16.15" hidden="false" customHeight="false" outlineLevel="0" collapsed="false">
      <c r="A1" s="5" t="s">
        <v>95</v>
      </c>
    </row>
    <row r="2" customFormat="false" ht="15" hidden="false" customHeight="false" outlineLevel="0" collapsed="false">
      <c r="A2" s="6" t="s">
        <v>711</v>
      </c>
    </row>
    <row r="3" customFormat="false" ht="15" hidden="false" customHeight="false" outlineLevel="0" collapsed="false">
      <c r="A3" s="74" t="s">
        <v>389</v>
      </c>
      <c r="C3" s="74" t="n">
        <v>2019</v>
      </c>
      <c r="D3" s="74" t="n">
        <v>2020</v>
      </c>
      <c r="E3" s="74" t="n">
        <v>2021</v>
      </c>
      <c r="F3" s="74" t="n">
        <v>2022</v>
      </c>
      <c r="G3" s="74" t="n">
        <v>2023</v>
      </c>
      <c r="H3" s="74" t="n">
        <v>2024</v>
      </c>
      <c r="I3" s="74" t="n">
        <v>2025</v>
      </c>
      <c r="J3" s="74" t="n">
        <v>2026</v>
      </c>
    </row>
    <row r="5" customFormat="false" ht="30" hidden="false" customHeight="true" outlineLevel="0" collapsed="false">
      <c r="A5" s="75" t="s">
        <v>390</v>
      </c>
      <c r="B5" s="75" t="s">
        <v>391</v>
      </c>
      <c r="C5" s="7" t="s">
        <v>392</v>
      </c>
      <c r="D5" s="7" t="s">
        <v>162</v>
      </c>
      <c r="E5" s="7" t="s">
        <v>163</v>
      </c>
      <c r="F5" s="7" t="s">
        <v>164</v>
      </c>
      <c r="G5" s="7" t="s">
        <v>165</v>
      </c>
      <c r="H5" s="7" t="s">
        <v>166</v>
      </c>
      <c r="I5" s="7" t="s">
        <v>167</v>
      </c>
      <c r="J5" s="7" t="s">
        <v>168</v>
      </c>
      <c r="K5" s="7" t="s">
        <v>393</v>
      </c>
      <c r="L5" s="7" t="s">
        <v>394</v>
      </c>
      <c r="M5" s="7" t="s">
        <v>395</v>
      </c>
    </row>
    <row r="8" customFormat="false" ht="15" hidden="false" customHeight="false" outlineLevel="0" collapsed="false">
      <c r="A8" s="16" t="s">
        <v>396</v>
      </c>
      <c r="B8" s="17"/>
      <c r="C8" s="17"/>
      <c r="D8" s="17"/>
      <c r="E8" s="17"/>
      <c r="F8" s="17"/>
      <c r="G8" s="17"/>
      <c r="H8" s="17"/>
      <c r="I8" s="17"/>
      <c r="J8" s="17"/>
      <c r="K8" s="17"/>
      <c r="L8" s="17"/>
      <c r="M8" s="17"/>
    </row>
    <row r="9" customFormat="false" ht="15" hidden="false" customHeight="false" outlineLevel="0" collapsed="false">
      <c r="A9" s="18" t="s">
        <v>397</v>
      </c>
      <c r="B9" s="74" t="s">
        <v>398</v>
      </c>
      <c r="C9" s="93" t="n">
        <v>3851.34</v>
      </c>
      <c r="D9" s="93" t="n">
        <v>3471.14</v>
      </c>
      <c r="E9" s="93" t="n">
        <v>3263.72</v>
      </c>
      <c r="F9" s="93" t="n">
        <v>4140.76</v>
      </c>
      <c r="G9" s="93" t="n">
        <v>5128.29</v>
      </c>
      <c r="H9" s="93" t="n">
        <v>5505.97</v>
      </c>
      <c r="I9" s="93" t="n">
        <v>6104.83</v>
      </c>
      <c r="J9" s="93" t="n">
        <v>6999.3</v>
      </c>
    </row>
    <row r="10" customFormat="false" ht="15" hidden="false" customHeight="false" outlineLevel="0" collapsed="false">
      <c r="A10" s="18" t="s">
        <v>399</v>
      </c>
      <c r="B10" s="74" t="s">
        <v>400</v>
      </c>
      <c r="C10" s="93" t="n">
        <v>0</v>
      </c>
      <c r="D10" s="93" t="n">
        <v>0</v>
      </c>
      <c r="E10" s="93" t="n">
        <v>0</v>
      </c>
      <c r="F10" s="93" t="n">
        <v>9.81</v>
      </c>
      <c r="G10" s="93" t="n">
        <v>6.58</v>
      </c>
      <c r="H10" s="93" t="n">
        <v>0.41</v>
      </c>
      <c r="I10" s="93" t="n">
        <v>0</v>
      </c>
      <c r="J10" s="93" t="n">
        <v>0</v>
      </c>
    </row>
    <row r="11" customFormat="false" ht="15" hidden="false" customHeight="false" outlineLevel="0" collapsed="false">
      <c r="A11" s="18" t="s">
        <v>401</v>
      </c>
      <c r="B11" s="74" t="s">
        <v>402</v>
      </c>
      <c r="C11" s="93" t="n">
        <v>0</v>
      </c>
      <c r="D11" s="93" t="n">
        <v>0</v>
      </c>
      <c r="E11" s="93" t="n">
        <v>0</v>
      </c>
      <c r="F11" s="93" t="n">
        <v>0.45</v>
      </c>
      <c r="G11" s="93" t="n">
        <v>-0.45</v>
      </c>
      <c r="H11" s="93" t="n">
        <v>0</v>
      </c>
      <c r="I11" s="93" t="n">
        <v>0</v>
      </c>
      <c r="J11" s="93" t="n">
        <v>0</v>
      </c>
    </row>
    <row r="12" customFormat="false" ht="15" hidden="false" customHeight="false" outlineLevel="0" collapsed="false">
      <c r="A12" s="18" t="s">
        <v>403</v>
      </c>
      <c r="B12" s="74" t="s">
        <v>404</v>
      </c>
      <c r="C12" s="93" t="n">
        <v>28.97</v>
      </c>
      <c r="D12" s="93" t="n">
        <v>25.02</v>
      </c>
      <c r="E12" s="93" t="n">
        <v>23.92</v>
      </c>
      <c r="F12" s="93" t="n">
        <v>22.26</v>
      </c>
      <c r="G12" s="93" t="n">
        <v>23.55</v>
      </c>
      <c r="H12" s="93" t="n">
        <v>35.05</v>
      </c>
      <c r="I12" s="93" t="n">
        <v>62.32</v>
      </c>
      <c r="J12" s="93" t="n">
        <v>73.23</v>
      </c>
    </row>
    <row r="13" customFormat="false" ht="15" hidden="false" customHeight="false" outlineLevel="0" collapsed="false">
      <c r="A13" s="18" t="s">
        <v>405</v>
      </c>
      <c r="B13" s="74" t="s">
        <v>406</v>
      </c>
      <c r="C13" s="93" t="n">
        <v>3349.7</v>
      </c>
      <c r="D13" s="93" t="n">
        <v>2916.38</v>
      </c>
      <c r="E13" s="93" t="n">
        <v>2749.28</v>
      </c>
      <c r="F13" s="93" t="n">
        <v>3530.09</v>
      </c>
      <c r="G13" s="93" t="n">
        <v>4364.71</v>
      </c>
      <c r="H13" s="93" t="n">
        <v>4661.27</v>
      </c>
      <c r="I13" s="93" t="n">
        <v>5207.69</v>
      </c>
      <c r="J13" s="93" t="n">
        <v>5963.51</v>
      </c>
    </row>
    <row r="14" customFormat="false" ht="15" hidden="false" customHeight="false" outlineLevel="0" collapsed="false">
      <c r="A14" s="18" t="s">
        <v>407</v>
      </c>
      <c r="B14" s="74" t="s">
        <v>408</v>
      </c>
      <c r="C14" s="93" t="n">
        <v>263.77</v>
      </c>
      <c r="D14" s="93" t="n">
        <v>306.66</v>
      </c>
      <c r="E14" s="93" t="n">
        <v>296.46</v>
      </c>
      <c r="F14" s="93" t="n">
        <v>314.7</v>
      </c>
      <c r="G14" s="93" t="n">
        <v>354.56</v>
      </c>
      <c r="H14" s="93" t="n">
        <v>404.7</v>
      </c>
      <c r="I14" s="93" t="n">
        <v>403.6</v>
      </c>
      <c r="J14" s="93" t="n">
        <v>427.4</v>
      </c>
    </row>
    <row r="15" customFormat="false" ht="15" hidden="false" customHeight="false" outlineLevel="0" collapsed="false">
      <c r="A15" s="18" t="s">
        <v>409</v>
      </c>
      <c r="B15" s="74" t="s">
        <v>410</v>
      </c>
      <c r="C15" s="93" t="n">
        <v>36.34</v>
      </c>
      <c r="D15" s="93" t="n">
        <v>40.94</v>
      </c>
      <c r="E15" s="93" t="n">
        <v>30.3</v>
      </c>
      <c r="F15" s="93" t="n">
        <v>45.18</v>
      </c>
      <c r="G15" s="93" t="n">
        <v>80.38</v>
      </c>
      <c r="H15" s="93" t="n">
        <v>110.3</v>
      </c>
      <c r="I15" s="93" t="n">
        <v>102.42</v>
      </c>
      <c r="J15" s="93" t="n">
        <v>101</v>
      </c>
    </row>
    <row r="16" customFormat="false" ht="15" hidden="false" customHeight="false" outlineLevel="0" collapsed="false">
      <c r="A16" s="18" t="s">
        <v>411</v>
      </c>
      <c r="B16" s="74" t="s">
        <v>412</v>
      </c>
      <c r="C16" s="93" t="n">
        <v>20.72</v>
      </c>
      <c r="D16" s="93" t="n">
        <v>23.66</v>
      </c>
      <c r="E16" s="93" t="n">
        <v>29.08</v>
      </c>
      <c r="F16" s="93" t="n">
        <v>34.81</v>
      </c>
      <c r="G16" s="93" t="n">
        <v>38.04</v>
      </c>
      <c r="H16" s="93" t="n">
        <v>63</v>
      </c>
      <c r="I16" s="93" t="n">
        <v>44.41</v>
      </c>
      <c r="J16" s="93" t="n">
        <v>55.36</v>
      </c>
    </row>
    <row r="17" customFormat="false" ht="15" hidden="false" customHeight="false" outlineLevel="0" collapsed="false">
      <c r="A17" s="18" t="s">
        <v>413</v>
      </c>
      <c r="B17" s="74" t="s">
        <v>414</v>
      </c>
      <c r="C17" s="93" t="n">
        <v>7.03</v>
      </c>
      <c r="D17" s="93" t="n">
        <v>13.77</v>
      </c>
      <c r="E17" s="93" t="n">
        <v>14.26</v>
      </c>
      <c r="F17" s="93" t="n">
        <v>13.49</v>
      </c>
      <c r="G17" s="93" t="n">
        <v>15.59</v>
      </c>
      <c r="H17" s="93" t="n">
        <v>19.52</v>
      </c>
      <c r="I17" s="93" t="n">
        <v>15.47</v>
      </c>
      <c r="J17" s="93" t="n">
        <v>7.25</v>
      </c>
    </row>
    <row r="18" customFormat="false" ht="15" hidden="false" customHeight="false" outlineLevel="0" collapsed="false">
      <c r="A18" s="18" t="s">
        <v>415</v>
      </c>
      <c r="B18" s="74" t="s">
        <v>416</v>
      </c>
      <c r="C18" s="93" t="n">
        <v>21.95</v>
      </c>
      <c r="D18" s="93" t="n">
        <v>73.43</v>
      </c>
      <c r="E18" s="93" t="n">
        <v>89.65</v>
      </c>
      <c r="F18" s="93" t="n">
        <v>141.72</v>
      </c>
      <c r="G18" s="93" t="n">
        <v>189.5</v>
      </c>
      <c r="H18" s="93" t="n">
        <v>208.99</v>
      </c>
      <c r="I18" s="93" t="n">
        <v>226.32</v>
      </c>
      <c r="J18" s="93" t="n">
        <v>277.87</v>
      </c>
    </row>
    <row r="19" customFormat="false" ht="15" hidden="false" customHeight="false" outlineLevel="0" collapsed="false">
      <c r="A19" s="18" t="s">
        <v>417</v>
      </c>
      <c r="B19" s="74" t="s">
        <v>418</v>
      </c>
      <c r="C19" s="93" t="n">
        <v>3.48</v>
      </c>
      <c r="D19" s="93" t="n">
        <v>17.63</v>
      </c>
      <c r="E19" s="93" t="n">
        <v>20.09</v>
      </c>
      <c r="F19" s="93" t="n">
        <v>29.82</v>
      </c>
      <c r="G19" s="93" t="n">
        <v>51.57</v>
      </c>
      <c r="H19" s="93" t="n">
        <v>68.16</v>
      </c>
      <c r="I19" s="93" t="n">
        <v>81.21</v>
      </c>
      <c r="J19" s="93" t="n">
        <v>75.02</v>
      </c>
    </row>
    <row r="20" customFormat="false" ht="15" hidden="false" customHeight="false" outlineLevel="0" collapsed="false">
      <c r="A20" s="18" t="s">
        <v>419</v>
      </c>
      <c r="B20" s="74" t="s">
        <v>420</v>
      </c>
      <c r="C20" s="93" t="n">
        <v>133.44</v>
      </c>
      <c r="D20" s="93" t="n">
        <v>81.19</v>
      </c>
      <c r="E20" s="93" t="n">
        <v>39.2</v>
      </c>
      <c r="F20" s="93" t="n">
        <v>26.31</v>
      </c>
      <c r="G20" s="93" t="n">
        <v>34.54</v>
      </c>
      <c r="H20" s="93" t="n">
        <v>-26.39</v>
      </c>
      <c r="I20" s="93" t="n">
        <v>-7.67</v>
      </c>
      <c r="J20" s="93" t="n">
        <v>33.16</v>
      </c>
    </row>
    <row r="21" customFormat="false" ht="15" hidden="false" customHeight="false" outlineLevel="0" collapsed="false">
      <c r="A21" s="18" t="s">
        <v>421</v>
      </c>
      <c r="B21" s="74" t="s">
        <v>422</v>
      </c>
      <c r="C21" s="93" t="n">
        <v>46.79</v>
      </c>
      <c r="D21" s="93" t="n">
        <v>25.74</v>
      </c>
      <c r="E21" s="93" t="n">
        <v>10.02</v>
      </c>
      <c r="F21" s="93" t="n">
        <v>11.25</v>
      </c>
      <c r="G21" s="93" t="n">
        <v>7.12</v>
      </c>
      <c r="H21" s="93" t="n">
        <v>25.68</v>
      </c>
      <c r="I21" s="93" t="n">
        <v>22.33</v>
      </c>
      <c r="J21" s="93" t="n">
        <v>22.59</v>
      </c>
    </row>
    <row r="22" customFormat="false" ht="15" hidden="false" customHeight="false" outlineLevel="0" collapsed="false">
      <c r="A22" s="18" t="s">
        <v>423</v>
      </c>
      <c r="B22" s="74" t="s">
        <v>424</v>
      </c>
      <c r="C22" s="93" t="n">
        <v>85.64</v>
      </c>
      <c r="D22" s="93" t="n">
        <v>55.12</v>
      </c>
      <c r="E22" s="93" t="n">
        <v>30</v>
      </c>
      <c r="F22" s="93" t="n">
        <v>17.56</v>
      </c>
      <c r="G22" s="93" t="n">
        <v>26.28</v>
      </c>
      <c r="H22" s="93" t="n">
        <v>-54.74</v>
      </c>
      <c r="I22" s="93" t="n">
        <v>-35.85</v>
      </c>
      <c r="J22" s="93" t="n">
        <v>2.29</v>
      </c>
    </row>
    <row r="23" customFormat="false" ht="15" hidden="false" customHeight="false" outlineLevel="0" collapsed="false">
      <c r="A23" s="18" t="s">
        <v>425</v>
      </c>
      <c r="B23" s="74" t="s">
        <v>426</v>
      </c>
      <c r="C23" s="93" t="n">
        <v>12.86</v>
      </c>
      <c r="D23" s="93" t="n">
        <v>10.73</v>
      </c>
      <c r="E23" s="93" t="n">
        <v>17.92</v>
      </c>
      <c r="F23" s="93" t="n">
        <v>14.37</v>
      </c>
      <c r="G23" s="93" t="n">
        <v>18</v>
      </c>
      <c r="H23" s="93" t="n">
        <v>18.01</v>
      </c>
      <c r="I23" s="93" t="n">
        <v>18.03</v>
      </c>
      <c r="J23" s="93" t="n">
        <v>24.8</v>
      </c>
    </row>
    <row r="25" customFormat="false" ht="15" hidden="false" customHeight="false" outlineLevel="0" collapsed="false">
      <c r="A25" s="16" t="s">
        <v>427</v>
      </c>
      <c r="B25" s="17"/>
      <c r="C25" s="17"/>
      <c r="D25" s="17"/>
      <c r="E25" s="17"/>
      <c r="F25" s="17"/>
      <c r="G25" s="17"/>
      <c r="H25" s="17"/>
      <c r="I25" s="17"/>
      <c r="J25" s="17"/>
      <c r="K25" s="17"/>
      <c r="L25" s="17"/>
      <c r="M25" s="17"/>
    </row>
    <row r="26" customFormat="false" ht="15" hidden="false" customHeight="false" outlineLevel="0" collapsed="false">
      <c r="A26" s="18" t="s">
        <v>428</v>
      </c>
      <c r="B26" s="74" t="s">
        <v>429</v>
      </c>
      <c r="C26" s="93" t="n">
        <v>71.45</v>
      </c>
      <c r="D26" s="93" t="n">
        <v>71.54</v>
      </c>
      <c r="E26" s="93" t="n">
        <v>71.67</v>
      </c>
      <c r="F26" s="93" t="n">
        <v>71.87</v>
      </c>
      <c r="G26" s="93" t="n">
        <v>71.98</v>
      </c>
      <c r="H26" s="93" t="n">
        <v>72.04</v>
      </c>
      <c r="I26" s="93" t="n">
        <v>72.13</v>
      </c>
      <c r="J26" s="93" t="n">
        <v>99.22</v>
      </c>
    </row>
    <row r="27" customFormat="false" ht="15" hidden="false" customHeight="false" outlineLevel="0" collapsed="false">
      <c r="A27" s="18" t="s">
        <v>430</v>
      </c>
      <c r="B27" s="74" t="s">
        <v>431</v>
      </c>
      <c r="C27" s="93" t="n">
        <v>426.77</v>
      </c>
      <c r="D27" s="93" t="n">
        <v>473.11</v>
      </c>
      <c r="E27" s="93" t="n">
        <v>496.39</v>
      </c>
      <c r="F27" s="93" t="n">
        <v>474.61</v>
      </c>
      <c r="G27" s="93" t="n">
        <v>489.69</v>
      </c>
      <c r="H27" s="93" t="n">
        <v>420.43</v>
      </c>
      <c r="I27" s="93" t="n">
        <v>365.75</v>
      </c>
      <c r="J27" s="93" t="n">
        <v>1075.56</v>
      </c>
    </row>
    <row r="28" customFormat="false" ht="15" hidden="false" customHeight="false" outlineLevel="0" collapsed="false">
      <c r="A28" s="18" t="s">
        <v>432</v>
      </c>
      <c r="B28" s="74" t="s">
        <v>433</v>
      </c>
      <c r="C28" s="93" t="n">
        <v>37.7</v>
      </c>
      <c r="D28" s="93" t="n">
        <v>201.3</v>
      </c>
      <c r="E28" s="93" t="n">
        <v>269.48</v>
      </c>
      <c r="F28" s="93" t="n">
        <v>402.42</v>
      </c>
      <c r="G28" s="93" t="n">
        <v>834.05</v>
      </c>
      <c r="H28" s="93" t="n">
        <v>739.29</v>
      </c>
      <c r="I28" s="93" t="n">
        <v>868.78</v>
      </c>
      <c r="J28" s="93" t="n">
        <v>649.75</v>
      </c>
    </row>
    <row r="29" customFormat="false" ht="15" hidden="false" customHeight="false" outlineLevel="0" collapsed="false">
      <c r="A29" s="18" t="s">
        <v>434</v>
      </c>
      <c r="B29" s="74" t="s">
        <v>435</v>
      </c>
      <c r="C29" s="93" t="n">
        <v>669.19</v>
      </c>
      <c r="D29" s="93" t="n">
        <v>675.89</v>
      </c>
      <c r="E29" s="93" t="n">
        <v>849.39</v>
      </c>
      <c r="F29" s="93" t="n">
        <v>1026.54</v>
      </c>
      <c r="G29" s="93" t="n">
        <v>1157.22</v>
      </c>
      <c r="H29" s="93" t="n">
        <v>1245.44</v>
      </c>
      <c r="I29" s="93" t="n">
        <v>1272.14</v>
      </c>
      <c r="J29" s="93" t="n">
        <v>1280.48</v>
      </c>
    </row>
    <row r="30" customFormat="false" ht="15" hidden="false" customHeight="false" outlineLevel="0" collapsed="false">
      <c r="A30" s="18" t="s">
        <v>436</v>
      </c>
      <c r="B30" s="74" t="s">
        <v>437</v>
      </c>
      <c r="C30" s="93" t="n">
        <v>1205.11</v>
      </c>
      <c r="D30" s="93" t="n">
        <v>1421.84</v>
      </c>
      <c r="E30" s="93" t="n">
        <v>1686.93</v>
      </c>
      <c r="F30" s="93" t="n">
        <v>1975.44</v>
      </c>
      <c r="G30" s="93" t="n">
        <v>2552.94</v>
      </c>
      <c r="H30" s="93" t="n">
        <v>2477.2</v>
      </c>
      <c r="I30" s="93" t="n">
        <v>2578.8</v>
      </c>
      <c r="J30" s="93" t="n">
        <v>3105.01</v>
      </c>
    </row>
    <row r="31" customFormat="false" ht="15" hidden="false" customHeight="false" outlineLevel="0" collapsed="false">
      <c r="A31" s="18" t="s">
        <v>438</v>
      </c>
      <c r="B31" s="74" t="s">
        <v>439</v>
      </c>
      <c r="C31" s="93" t="n">
        <v>71.31</v>
      </c>
      <c r="D31" s="93" t="n">
        <v>230.96</v>
      </c>
      <c r="E31" s="93" t="n">
        <v>360.72</v>
      </c>
      <c r="F31" s="93" t="n">
        <v>500.55</v>
      </c>
      <c r="G31" s="93" t="n">
        <v>829.68</v>
      </c>
      <c r="H31" s="93" t="n">
        <v>836.19</v>
      </c>
      <c r="I31" s="93" t="n">
        <v>929.56</v>
      </c>
      <c r="J31" s="93" t="n">
        <v>1147.46</v>
      </c>
    </row>
    <row r="32" customFormat="false" ht="15" hidden="false" customHeight="false" outlineLevel="0" collapsed="false">
      <c r="A32" s="18" t="s">
        <v>440</v>
      </c>
      <c r="B32" s="74" t="s">
        <v>441</v>
      </c>
      <c r="C32" s="93" t="n">
        <v>2.59</v>
      </c>
      <c r="D32" s="93" t="n">
        <v>15.04</v>
      </c>
      <c r="E32" s="93" t="n">
        <v>3.06</v>
      </c>
      <c r="F32" s="93" t="n">
        <v>13.82</v>
      </c>
      <c r="G32" s="93" t="n">
        <v>3.78</v>
      </c>
      <c r="H32" s="93" t="n">
        <v>16.24</v>
      </c>
      <c r="I32" s="93" t="n">
        <v>45.76</v>
      </c>
      <c r="J32" s="93" t="n">
        <v>24.32</v>
      </c>
    </row>
    <row r="33" customFormat="false" ht="15" hidden="false" customHeight="false" outlineLevel="0" collapsed="false">
      <c r="A33" s="18" t="s">
        <v>442</v>
      </c>
      <c r="B33" s="74" t="s">
        <v>443</v>
      </c>
      <c r="C33" s="93" t="n">
        <v>81.27</v>
      </c>
      <c r="D33" s="93" t="n">
        <v>3.14</v>
      </c>
      <c r="E33" s="93" t="n">
        <v>55.07</v>
      </c>
      <c r="F33" s="93" t="n">
        <v>117.75</v>
      </c>
      <c r="G33" s="93" t="n">
        <v>99.87</v>
      </c>
      <c r="H33" s="93" t="n">
        <v>5.86</v>
      </c>
      <c r="I33" s="93" t="n">
        <v>22.63</v>
      </c>
      <c r="J33" s="93" t="n">
        <v>124.88</v>
      </c>
    </row>
    <row r="34" customFormat="false" ht="15" hidden="false" customHeight="false" outlineLevel="0" collapsed="false">
      <c r="A34" s="18" t="s">
        <v>444</v>
      </c>
      <c r="B34" s="74" t="s">
        <v>445</v>
      </c>
      <c r="C34" s="93" t="n">
        <v>1049.94</v>
      </c>
      <c r="D34" s="93" t="n">
        <v>1172.7</v>
      </c>
      <c r="E34" s="93" t="n">
        <v>1268.08</v>
      </c>
      <c r="F34" s="93" t="n">
        <v>1343.32</v>
      </c>
      <c r="G34" s="93" t="n">
        <v>1619.61</v>
      </c>
      <c r="H34" s="93" t="n">
        <v>1618.91</v>
      </c>
      <c r="I34" s="93" t="n">
        <v>1580.85</v>
      </c>
      <c r="J34" s="93" t="n">
        <v>1808.35</v>
      </c>
    </row>
    <row r="35" customFormat="false" ht="15" hidden="false" customHeight="false" outlineLevel="0" collapsed="false">
      <c r="A35" s="18" t="s">
        <v>446</v>
      </c>
      <c r="B35" s="74" t="s">
        <v>447</v>
      </c>
      <c r="C35" s="93" t="n">
        <v>1205.11</v>
      </c>
      <c r="D35" s="93" t="n">
        <v>1421.84</v>
      </c>
      <c r="E35" s="93" t="n">
        <v>1686.93</v>
      </c>
      <c r="F35" s="93" t="n">
        <v>1975.44</v>
      </c>
      <c r="G35" s="93" t="n">
        <v>2552.94</v>
      </c>
      <c r="H35" s="93" t="n">
        <v>2477.2</v>
      </c>
      <c r="I35" s="93" t="n">
        <v>2578.8</v>
      </c>
      <c r="J35" s="93" t="n">
        <v>3105.01</v>
      </c>
    </row>
    <row r="36" customFormat="false" ht="15" hidden="false" customHeight="false" outlineLevel="0" collapsed="false">
      <c r="A36" s="18" t="s">
        <v>448</v>
      </c>
      <c r="B36" s="74" t="s">
        <v>449</v>
      </c>
      <c r="C36" s="93" t="n">
        <v>518.27</v>
      </c>
      <c r="D36" s="93" t="n">
        <v>535.63</v>
      </c>
      <c r="E36" s="93" t="n">
        <v>485.6</v>
      </c>
      <c r="F36" s="93" t="n">
        <v>488.9</v>
      </c>
      <c r="G36" s="93" t="n">
        <v>652.49</v>
      </c>
      <c r="H36" s="93" t="n">
        <v>701.9</v>
      </c>
      <c r="I36" s="93" t="n">
        <v>625.1</v>
      </c>
      <c r="J36" s="93" t="n">
        <v>689.59</v>
      </c>
    </row>
    <row r="37" customFormat="false" ht="15" hidden="false" customHeight="false" outlineLevel="0" collapsed="false">
      <c r="A37" s="18" t="s">
        <v>450</v>
      </c>
      <c r="B37" s="74" t="s">
        <v>451</v>
      </c>
      <c r="C37" s="93" t="n">
        <v>0</v>
      </c>
      <c r="D37" s="93" t="n">
        <v>0</v>
      </c>
      <c r="E37" s="93" t="n">
        <v>0</v>
      </c>
      <c r="F37" s="93" t="n">
        <v>1.43</v>
      </c>
      <c r="G37" s="93" t="n">
        <v>0.41</v>
      </c>
      <c r="H37" s="93" t="n">
        <v>0</v>
      </c>
      <c r="I37" s="93" t="n">
        <v>0</v>
      </c>
      <c r="J37" s="93" t="n">
        <v>0</v>
      </c>
    </row>
    <row r="38" customFormat="false" ht="15" hidden="false" customHeight="false" outlineLevel="0" collapsed="false">
      <c r="A38" s="18" t="s">
        <v>452</v>
      </c>
      <c r="B38" s="74" t="s">
        <v>453</v>
      </c>
      <c r="C38" s="93" t="n">
        <v>69.95</v>
      </c>
      <c r="D38" s="93" t="n">
        <v>99.53</v>
      </c>
      <c r="E38" s="93" t="n">
        <v>197.77</v>
      </c>
      <c r="F38" s="93" t="n">
        <v>134.33</v>
      </c>
      <c r="G38" s="93" t="n">
        <v>126.23</v>
      </c>
      <c r="H38" s="93" t="n">
        <v>71.07</v>
      </c>
      <c r="I38" s="93" t="n">
        <v>75.97</v>
      </c>
      <c r="J38" s="93" t="n">
        <v>199.55</v>
      </c>
    </row>
    <row r="40" customFormat="false" ht="15" hidden="false" customHeight="false" outlineLevel="0" collapsed="false">
      <c r="A40" s="16" t="s">
        <v>454</v>
      </c>
      <c r="B40" s="17"/>
      <c r="C40" s="17"/>
      <c r="D40" s="17"/>
      <c r="E40" s="17"/>
      <c r="F40" s="17"/>
      <c r="G40" s="17"/>
      <c r="H40" s="17"/>
      <c r="I40" s="17"/>
      <c r="J40" s="17"/>
      <c r="K40" s="17"/>
      <c r="L40" s="17"/>
      <c r="M40" s="17"/>
    </row>
    <row r="41" customFormat="false" ht="15" hidden="false" customHeight="false" outlineLevel="0" collapsed="false">
      <c r="A41" s="18" t="s">
        <v>455</v>
      </c>
      <c r="B41" s="74" t="s">
        <v>456</v>
      </c>
      <c r="C41" s="93" t="n">
        <v>94.95</v>
      </c>
      <c r="D41" s="93" t="n">
        <v>85.38</v>
      </c>
      <c r="E41" s="93" t="n">
        <v>293.69</v>
      </c>
      <c r="F41" s="93" t="n">
        <v>190.98</v>
      </c>
      <c r="G41" s="93" t="n">
        <v>119.4</v>
      </c>
      <c r="H41" s="93" t="n">
        <v>226.86</v>
      </c>
      <c r="I41" s="93" t="n">
        <v>343.17</v>
      </c>
      <c r="J41" s="93" t="n">
        <v>253.61</v>
      </c>
    </row>
    <row r="42" customFormat="false" ht="15" hidden="false" customHeight="false" outlineLevel="0" collapsed="false">
      <c r="A42" s="18" t="s">
        <v>457</v>
      </c>
      <c r="B42" s="74" t="s">
        <v>458</v>
      </c>
      <c r="C42" s="93" t="n">
        <v>-94.69</v>
      </c>
      <c r="D42" s="93" t="n">
        <v>35.51</v>
      </c>
      <c r="E42" s="93" t="n">
        <v>-107.97</v>
      </c>
      <c r="F42" s="93" t="n">
        <v>-139.85</v>
      </c>
      <c r="G42" s="93" t="n">
        <v>-310.02</v>
      </c>
      <c r="H42" s="93" t="n">
        <v>-52.55</v>
      </c>
      <c r="I42" s="93" t="n">
        <v>-154.75</v>
      </c>
      <c r="J42" s="93" t="n">
        <v>-316.16</v>
      </c>
    </row>
    <row r="43" customFormat="false" ht="15" hidden="false" customHeight="false" outlineLevel="0" collapsed="false">
      <c r="A43" s="18" t="s">
        <v>459</v>
      </c>
      <c r="B43" s="74" t="s">
        <v>460</v>
      </c>
      <c r="C43" s="93" t="n">
        <v>-11.34</v>
      </c>
      <c r="D43" s="93" t="n">
        <v>-76.31</v>
      </c>
      <c r="E43" s="93" t="n">
        <v>-87.49</v>
      </c>
      <c r="F43" s="93" t="n">
        <v>-117.46</v>
      </c>
      <c r="G43" s="93" t="n">
        <v>182.94</v>
      </c>
      <c r="H43" s="93" t="n">
        <v>-276.12</v>
      </c>
      <c r="I43" s="93" t="n">
        <v>-147.72</v>
      </c>
      <c r="J43" s="93" t="n">
        <v>104.58</v>
      </c>
    </row>
    <row r="44" customFormat="false" ht="15" hidden="false" customHeight="false" outlineLevel="0" collapsed="false">
      <c r="A44" s="18" t="s">
        <v>461</v>
      </c>
      <c r="B44" s="74" t="s">
        <v>462</v>
      </c>
      <c r="C44" s="93" t="n">
        <v>-11.08</v>
      </c>
      <c r="D44" s="93" t="n">
        <v>44.58</v>
      </c>
      <c r="E44" s="93" t="n">
        <v>98.23</v>
      </c>
      <c r="F44" s="93" t="n">
        <v>-66.33</v>
      </c>
      <c r="G44" s="93" t="n">
        <v>-7.68</v>
      </c>
      <c r="H44" s="93" t="n">
        <v>-101.81</v>
      </c>
      <c r="I44" s="93" t="n">
        <v>40.7</v>
      </c>
      <c r="J44" s="93" t="n">
        <v>42.03</v>
      </c>
    </row>
    <row r="46" customFormat="false" ht="15" hidden="false" customHeight="false" outlineLevel="0" collapsed="false">
      <c r="A46" s="16" t="s">
        <v>463</v>
      </c>
      <c r="B46" s="17"/>
      <c r="C46" s="17"/>
      <c r="D46" s="17"/>
      <c r="E46" s="17"/>
      <c r="F46" s="17"/>
      <c r="G46" s="17"/>
      <c r="H46" s="17"/>
      <c r="I46" s="17"/>
      <c r="J46" s="17"/>
      <c r="K46" s="17"/>
      <c r="L46" s="17"/>
      <c r="M46" s="17"/>
    </row>
    <row r="47" customFormat="false" ht="15" hidden="false" customHeight="false" outlineLevel="0" collapsed="false">
      <c r="A47" s="18" t="s">
        <v>464</v>
      </c>
      <c r="B47" s="74" t="s">
        <v>465</v>
      </c>
      <c r="C47" s="93" t="n">
        <v>480.39</v>
      </c>
      <c r="D47" s="93" t="n">
        <v>206.84</v>
      </c>
      <c r="E47" s="93" t="n">
        <v>529.08</v>
      </c>
      <c r="F47" s="93" t="n">
        <v>460.5</v>
      </c>
      <c r="G47" s="93" t="n">
        <v>323.33</v>
      </c>
      <c r="H47" s="93" t="n">
        <v>373.12</v>
      </c>
      <c r="I47" s="93" t="n">
        <v>238.74</v>
      </c>
      <c r="J47" s="93" t="n">
        <v>332.8</v>
      </c>
    </row>
    <row r="48" customFormat="false" ht="15" hidden="false" customHeight="false" outlineLevel="0" collapsed="false">
      <c r="A48" s="18" t="s">
        <v>467</v>
      </c>
      <c r="B48" s="74" t="s">
        <v>468</v>
      </c>
      <c r="C48" s="93" t="n">
        <v>9.82</v>
      </c>
      <c r="D48" s="93" t="n">
        <v>9.84</v>
      </c>
      <c r="E48" s="93" t="n">
        <v>9.85</v>
      </c>
      <c r="F48" s="93" t="n">
        <v>9.88</v>
      </c>
      <c r="G48" s="93" t="n">
        <v>9.9</v>
      </c>
      <c r="H48" s="93" t="n">
        <v>9.9</v>
      </c>
      <c r="I48" s="93" t="n">
        <v>9.92</v>
      </c>
      <c r="J48" s="93" t="n">
        <v>9.92</v>
      </c>
    </row>
    <row r="49" customFormat="false" ht="15" hidden="false" customHeight="false" outlineLevel="0" collapsed="false">
      <c r="A49" s="18" t="s">
        <v>469</v>
      </c>
      <c r="C49" s="94" t="n">
        <v>1</v>
      </c>
      <c r="D49" s="94" t="n">
        <v>1</v>
      </c>
      <c r="E49" s="94" t="n">
        <v>1</v>
      </c>
      <c r="F49" s="94" t="n">
        <v>1</v>
      </c>
      <c r="G49" s="94" t="n">
        <v>1</v>
      </c>
      <c r="H49" s="94" t="n">
        <v>1</v>
      </c>
      <c r="I49" s="94" t="n">
        <v>1</v>
      </c>
      <c r="J49" s="94" t="n">
        <v>1</v>
      </c>
    </row>
    <row r="51" customFormat="false" ht="15" hidden="false" customHeight="false" outlineLevel="0" collapsed="false">
      <c r="A51" s="16" t="s">
        <v>470</v>
      </c>
      <c r="B51" s="17"/>
      <c r="C51" s="17"/>
      <c r="D51" s="17"/>
      <c r="E51" s="17"/>
      <c r="F51" s="17"/>
      <c r="G51" s="17"/>
      <c r="H51" s="17"/>
      <c r="I51" s="17"/>
      <c r="J51" s="17"/>
      <c r="K51" s="17"/>
      <c r="L51" s="17"/>
      <c r="M51" s="17"/>
    </row>
    <row r="52" customFormat="false" ht="15" hidden="false" customHeight="false" outlineLevel="0" collapsed="false">
      <c r="A52" s="18" t="s">
        <v>471</v>
      </c>
      <c r="B52" s="19" t="s">
        <v>472</v>
      </c>
      <c r="C52" s="44" t="n">
        <f aca="false">IFERROR((((C10+C12)+C13)-C11),"N/M")</f>
        <v>3378.67</v>
      </c>
      <c r="D52" s="44" t="n">
        <f aca="false">IFERROR((((D10+D12)+D13)-D11),"N/M")</f>
        <v>2941.4</v>
      </c>
      <c r="E52" s="44" t="n">
        <f aca="false">IFERROR((((E10+E12)+E13)-E11),"N/M")</f>
        <v>2773.2</v>
      </c>
      <c r="F52" s="44" t="n">
        <f aca="false">IFERROR((((F10+F12)+F13)-F11),"N/M")</f>
        <v>3561.71</v>
      </c>
      <c r="G52" s="44" t="n">
        <f aca="false">IFERROR((((G10+G12)+G13)-G11),"N/M")</f>
        <v>4395.29</v>
      </c>
      <c r="H52" s="44" t="n">
        <f aca="false">IFERROR((((H10+H12)+H13)-H11),"N/M")</f>
        <v>4696.73</v>
      </c>
      <c r="I52" s="44" t="n">
        <f aca="false">IFERROR((((I10+I12)+I13)-I11),"N/M")</f>
        <v>5270.01</v>
      </c>
      <c r="J52" s="44" t="n">
        <f aca="false">IFERROR((((J10+J12)+J13)-J11),"N/M")</f>
        <v>6036.74</v>
      </c>
    </row>
    <row r="53" customFormat="false" ht="15" hidden="false" customHeight="false" outlineLevel="0" collapsed="false">
      <c r="A53" s="18" t="s">
        <v>473</v>
      </c>
      <c r="B53" s="19" t="s">
        <v>474</v>
      </c>
      <c r="C53" s="44" t="n">
        <f aca="false">IFERROR(((C14+C15)+C16),"N/M")</f>
        <v>320.83</v>
      </c>
      <c r="D53" s="44" t="n">
        <f aca="false">IFERROR(((D14+D15)+D16),"N/M")</f>
        <v>371.26</v>
      </c>
      <c r="E53" s="44" t="n">
        <f aca="false">IFERROR(((E14+E15)+E16),"N/M")</f>
        <v>355.84</v>
      </c>
      <c r="F53" s="44" t="n">
        <f aca="false">IFERROR(((F14+F15)+F16),"N/M")</f>
        <v>394.69</v>
      </c>
      <c r="G53" s="44" t="n">
        <f aca="false">IFERROR(((G14+G15)+G16),"N/M")</f>
        <v>472.98</v>
      </c>
      <c r="H53" s="44" t="n">
        <f aca="false">IFERROR(((H14+H15)+H16),"N/M")</f>
        <v>578</v>
      </c>
      <c r="I53" s="44" t="n">
        <f aca="false">IFERROR(((I14+I15)+I16),"N/M")</f>
        <v>550.43</v>
      </c>
      <c r="J53" s="44" t="n">
        <f aca="false">IFERROR(((J14+J15)+J16),"N/M")</f>
        <v>583.76</v>
      </c>
    </row>
    <row r="54" customFormat="false" ht="15" hidden="false" customHeight="false" outlineLevel="0" collapsed="false">
      <c r="A54" s="18" t="s">
        <v>475</v>
      </c>
      <c r="B54" s="19" t="s">
        <v>476</v>
      </c>
      <c r="C54" s="44" t="n">
        <f aca="false">IFERROR((C52+C53),"N/M")</f>
        <v>3699.5</v>
      </c>
      <c r="D54" s="44" t="n">
        <f aca="false">IFERROR((D52+D53),"N/M")</f>
        <v>3312.66</v>
      </c>
      <c r="E54" s="44" t="n">
        <f aca="false">IFERROR((E52+E53),"N/M")</f>
        <v>3129.04</v>
      </c>
      <c r="F54" s="44" t="n">
        <f aca="false">IFERROR((F52+F53),"N/M")</f>
        <v>3956.4</v>
      </c>
      <c r="G54" s="44" t="n">
        <f aca="false">IFERROR((G52+G53),"N/M")</f>
        <v>4868.27</v>
      </c>
      <c r="H54" s="44" t="n">
        <f aca="false">IFERROR((H52+H53),"N/M")</f>
        <v>5274.73</v>
      </c>
      <c r="I54" s="44" t="n">
        <f aca="false">IFERROR((I52+I53),"N/M")</f>
        <v>5820.44</v>
      </c>
      <c r="J54" s="44" t="n">
        <f aca="false">IFERROR((J52+J53),"N/M")</f>
        <v>6620.5</v>
      </c>
    </row>
    <row r="55" customFormat="false" ht="15" hidden="false" customHeight="false" outlineLevel="0" collapsed="false">
      <c r="A55" s="18" t="s">
        <v>477</v>
      </c>
      <c r="B55" s="19" t="s">
        <v>478</v>
      </c>
      <c r="C55" s="44" t="n">
        <f aca="false">IFERROR((C9-C52),"N/M")</f>
        <v>472.670000000001</v>
      </c>
      <c r="D55" s="44" t="n">
        <f aca="false">IFERROR((D9-D52),"N/M")</f>
        <v>529.74</v>
      </c>
      <c r="E55" s="44" t="n">
        <f aca="false">IFERROR((E9-E52),"N/M")</f>
        <v>490.52</v>
      </c>
      <c r="F55" s="44" t="n">
        <f aca="false">IFERROR((F9-F52),"N/M")</f>
        <v>579.05</v>
      </c>
      <c r="G55" s="44" t="n">
        <f aca="false">IFERROR((G9-G52),"N/M")</f>
        <v>733</v>
      </c>
      <c r="H55" s="44" t="n">
        <f aca="false">IFERROR((H9-H52),"N/M")</f>
        <v>809.24</v>
      </c>
      <c r="I55" s="44" t="n">
        <f aca="false">IFERROR((I9-I52),"N/M")</f>
        <v>834.820000000001</v>
      </c>
      <c r="J55" s="44" t="n">
        <f aca="false">IFERROR((J9-J52),"N/M")</f>
        <v>962.56</v>
      </c>
    </row>
    <row r="56" customFormat="false" ht="15" hidden="false" customHeight="false" outlineLevel="0" collapsed="false">
      <c r="A56" s="18" t="s">
        <v>479</v>
      </c>
      <c r="B56" s="19" t="s">
        <v>480</v>
      </c>
      <c r="C56" s="44" t="n">
        <f aca="false">IFERROR((C9-C54),"N/M")</f>
        <v>151.840000000001</v>
      </c>
      <c r="D56" s="44" t="n">
        <f aca="false">IFERROR((D9-D54),"N/M")</f>
        <v>158.48</v>
      </c>
      <c r="E56" s="44" t="n">
        <f aca="false">IFERROR((E9-E54),"N/M")</f>
        <v>134.679999999999</v>
      </c>
      <c r="F56" s="44" t="n">
        <f aca="false">IFERROR((F9-F54),"N/M")</f>
        <v>184.36</v>
      </c>
      <c r="G56" s="44" t="n">
        <f aca="false">IFERROR((G9-G54),"N/M")</f>
        <v>260.02</v>
      </c>
      <c r="H56" s="44" t="n">
        <f aca="false">IFERROR((H9-H54),"N/M")</f>
        <v>231.24</v>
      </c>
      <c r="I56" s="44" t="n">
        <f aca="false">IFERROR((I9-I54),"N/M")</f>
        <v>284.39</v>
      </c>
      <c r="J56" s="44" t="n">
        <f aca="false">IFERROR((J9-J54),"N/M")</f>
        <v>378.8</v>
      </c>
    </row>
    <row r="57" customFormat="false" ht="15" hidden="false" customHeight="false" outlineLevel="0" collapsed="false">
      <c r="A57" s="18" t="s">
        <v>481</v>
      </c>
      <c r="B57" s="19" t="s">
        <v>482</v>
      </c>
      <c r="C57" s="44" t="n">
        <f aca="false">IFERROR((C9+C17),"N/M")</f>
        <v>3858.37</v>
      </c>
      <c r="D57" s="44" t="n">
        <f aca="false">IFERROR((D9+D17),"N/M")</f>
        <v>3484.91</v>
      </c>
      <c r="E57" s="44" t="n">
        <f aca="false">IFERROR((E9+E17),"N/M")</f>
        <v>3277.98</v>
      </c>
      <c r="F57" s="44" t="n">
        <f aca="false">IFERROR((F9+F17),"N/M")</f>
        <v>4154.25</v>
      </c>
      <c r="G57" s="44" t="n">
        <f aca="false">IFERROR((G9+G17),"N/M")</f>
        <v>5143.88</v>
      </c>
      <c r="H57" s="44" t="n">
        <f aca="false">IFERROR((H9+H17),"N/M")</f>
        <v>5525.49</v>
      </c>
      <c r="I57" s="44" t="n">
        <f aca="false">IFERROR((I9+I17),"N/M")</f>
        <v>6120.3</v>
      </c>
      <c r="J57" s="44" t="n">
        <f aca="false">IFERROR((J9+J17),"N/M")</f>
        <v>7006.55</v>
      </c>
    </row>
    <row r="58" customFormat="false" ht="15" hidden="false" customHeight="false" outlineLevel="0" collapsed="false">
      <c r="A58" s="18" t="s">
        <v>483</v>
      </c>
      <c r="B58" s="19" t="s">
        <v>484</v>
      </c>
      <c r="C58" s="44" t="n">
        <f aca="false">IFERROR((C20+C19),"N/M")</f>
        <v>136.92</v>
      </c>
      <c r="D58" s="44" t="n">
        <f aca="false">IFERROR((D20+D19),"N/M")</f>
        <v>98.82</v>
      </c>
      <c r="E58" s="44" t="n">
        <f aca="false">IFERROR((E20+E19),"N/M")</f>
        <v>59.29</v>
      </c>
      <c r="F58" s="44" t="n">
        <f aca="false">IFERROR((F20+F19),"N/M")</f>
        <v>56.13</v>
      </c>
      <c r="G58" s="44" t="n">
        <f aca="false">IFERROR((G20+G19),"N/M")</f>
        <v>86.11</v>
      </c>
      <c r="H58" s="44" t="n">
        <f aca="false">IFERROR((H20+H19),"N/M")</f>
        <v>41.77</v>
      </c>
      <c r="I58" s="44" t="n">
        <f aca="false">IFERROR((I20+I19),"N/M")</f>
        <v>73.54</v>
      </c>
      <c r="J58" s="44" t="n">
        <f aca="false">IFERROR((J20+J19),"N/M")</f>
        <v>108.18</v>
      </c>
    </row>
    <row r="59" customFormat="false" ht="15" hidden="false" customHeight="false" outlineLevel="0" collapsed="false">
      <c r="A59" s="18" t="s">
        <v>485</v>
      </c>
      <c r="B59" s="19" t="s">
        <v>486</v>
      </c>
      <c r="C59" s="44" t="n">
        <f aca="false">IFERROR((C58+C18),"N/M")</f>
        <v>158.87</v>
      </c>
      <c r="D59" s="44" t="n">
        <f aca="false">IFERROR((D58+D18),"N/M")</f>
        <v>172.25</v>
      </c>
      <c r="E59" s="44" t="n">
        <f aca="false">IFERROR((E58+E18),"N/M")</f>
        <v>148.94</v>
      </c>
      <c r="F59" s="44" t="n">
        <f aca="false">IFERROR((F58+F18),"N/M")</f>
        <v>197.85</v>
      </c>
      <c r="G59" s="44" t="n">
        <f aca="false">IFERROR((G58+G18),"N/M")</f>
        <v>275.61</v>
      </c>
      <c r="H59" s="44" t="n">
        <f aca="false">IFERROR((H58+H18),"N/M")</f>
        <v>250.76</v>
      </c>
      <c r="I59" s="44" t="n">
        <f aca="false">IFERROR((I58+I18),"N/M")</f>
        <v>299.86</v>
      </c>
      <c r="J59" s="44" t="n">
        <f aca="false">IFERROR((J58+J18),"N/M")</f>
        <v>386.05</v>
      </c>
    </row>
    <row r="60" customFormat="false" ht="15" hidden="false" customHeight="false" outlineLevel="0" collapsed="false">
      <c r="A60" s="18" t="s">
        <v>487</v>
      </c>
      <c r="B60" s="19" t="s">
        <v>488</v>
      </c>
      <c r="C60" s="46" t="n">
        <f aca="false">IFERROR(IF(C20&gt;0,MIN(MAX((C21/C20),0),1),0),"N/M")</f>
        <v>0.35064448441247</v>
      </c>
      <c r="D60" s="46" t="n">
        <f aca="false">IFERROR(IF(D20&gt;0,MIN(MAX((D21/D20),0),1),0),"N/M")</f>
        <v>0.317034117502155</v>
      </c>
      <c r="E60" s="46" t="n">
        <f aca="false">IFERROR(IF(E20&gt;0,MIN(MAX((E21/E20),0),1),0),"N/M")</f>
        <v>0.255612244897959</v>
      </c>
      <c r="F60" s="46" t="n">
        <f aca="false">IFERROR(IF(F20&gt;0,MIN(MAX((F21/F20),0),1),0),"N/M")</f>
        <v>0.427594070695553</v>
      </c>
      <c r="G60" s="46" t="n">
        <f aca="false">IFERROR(IF(G20&gt;0,MIN(MAX((G21/G20),0),1),0),"N/M")</f>
        <v>0.206137811233353</v>
      </c>
      <c r="H60" s="46" t="n">
        <f aca="false">IFERROR(IF(H20&gt;0,MIN(MAX((H21/H20),0),1),0),"N/M")</f>
        <v>0</v>
      </c>
      <c r="I60" s="46" t="n">
        <f aca="false">IFERROR(IF(I20&gt;0,MIN(MAX((I21/I20),0),1),0),"N/M")</f>
        <v>0</v>
      </c>
      <c r="J60" s="46" t="n">
        <f aca="false">IFERROR(IF(J20&gt;0,MIN(MAX((J21/J20),0),1),0),"N/M")</f>
        <v>0.68124246079614</v>
      </c>
    </row>
    <row r="61" customFormat="false" ht="15" hidden="false" customHeight="false" outlineLevel="0" collapsed="false">
      <c r="A61" s="18" t="s">
        <v>489</v>
      </c>
      <c r="B61" s="19" t="s">
        <v>490</v>
      </c>
      <c r="C61" s="44" t="n">
        <f aca="false">IFERROR((C26+C27),"N/M")</f>
        <v>498.22</v>
      </c>
      <c r="D61" s="44" t="n">
        <f aca="false">IFERROR((D26+D27),"N/M")</f>
        <v>544.65</v>
      </c>
      <c r="E61" s="44" t="n">
        <f aca="false">IFERROR((E26+E27),"N/M")</f>
        <v>568.06</v>
      </c>
      <c r="F61" s="44" t="n">
        <f aca="false">IFERROR((F26+F27),"N/M")</f>
        <v>546.48</v>
      </c>
      <c r="G61" s="44" t="n">
        <f aca="false">IFERROR((G26+G27),"N/M")</f>
        <v>561.67</v>
      </c>
      <c r="H61" s="44" t="n">
        <f aca="false">IFERROR((H26+H27),"N/M")</f>
        <v>492.47</v>
      </c>
      <c r="I61" s="44" t="n">
        <f aca="false">IFERROR((I26+I27),"N/M")</f>
        <v>437.88</v>
      </c>
      <c r="J61" s="44" t="n">
        <f aca="false">IFERROR((J26+J27),"N/M")</f>
        <v>1174.78</v>
      </c>
    </row>
    <row r="62" customFormat="false" ht="15" hidden="false" customHeight="false" outlineLevel="0" collapsed="false">
      <c r="A62" s="18" t="s">
        <v>491</v>
      </c>
      <c r="B62" s="19" t="s">
        <v>492</v>
      </c>
      <c r="C62" s="44" t="n">
        <f aca="false">IFERROR((C61+C28),"N/M")</f>
        <v>535.92</v>
      </c>
      <c r="D62" s="44" t="n">
        <f aca="false">IFERROR((D61+D28),"N/M")</f>
        <v>745.95</v>
      </c>
      <c r="E62" s="44" t="n">
        <f aca="false">IFERROR((E61+E28),"N/M")</f>
        <v>837.54</v>
      </c>
      <c r="F62" s="44" t="n">
        <f aca="false">IFERROR((F61+F28),"N/M")</f>
        <v>948.9</v>
      </c>
      <c r="G62" s="44" t="n">
        <f aca="false">IFERROR((G61+G28),"N/M")</f>
        <v>1395.72</v>
      </c>
      <c r="H62" s="44" t="n">
        <f aca="false">IFERROR((H61+H28),"N/M")</f>
        <v>1231.76</v>
      </c>
      <c r="I62" s="44" t="n">
        <f aca="false">IFERROR((I61+I28),"N/M")</f>
        <v>1306.66</v>
      </c>
      <c r="J62" s="44" t="n">
        <f aca="false">IFERROR((J61+J28),"N/M")</f>
        <v>1824.53</v>
      </c>
    </row>
    <row r="63" customFormat="false" ht="15" hidden="false" customHeight="false" outlineLevel="0" collapsed="false">
      <c r="A63" s="18" t="s">
        <v>493</v>
      </c>
      <c r="B63" s="19" t="s">
        <v>494</v>
      </c>
      <c r="C63" s="44" t="n">
        <f aca="false">IFERROR(C34,"N/M")</f>
        <v>1049.94</v>
      </c>
      <c r="D63" s="44" t="n">
        <f aca="false">IFERROR(D34,"N/M")</f>
        <v>1172.7</v>
      </c>
      <c r="E63" s="44" t="n">
        <f aca="false">IFERROR(E34,"N/M")</f>
        <v>1268.08</v>
      </c>
      <c r="F63" s="44" t="n">
        <f aca="false">IFERROR(F34,"N/M")</f>
        <v>1343.32</v>
      </c>
      <c r="G63" s="44" t="n">
        <f aca="false">IFERROR(G34,"N/M")</f>
        <v>1619.61</v>
      </c>
      <c r="H63" s="44" t="n">
        <f aca="false">IFERROR(H34,"N/M")</f>
        <v>1618.91</v>
      </c>
      <c r="I63" s="44" t="n">
        <f aca="false">IFERROR(I34,"N/M")</f>
        <v>1580.85</v>
      </c>
      <c r="J63" s="44" t="n">
        <f aca="false">IFERROR(J34,"N/M")</f>
        <v>1808.35</v>
      </c>
    </row>
    <row r="64" customFormat="false" ht="15" hidden="false" customHeight="false" outlineLevel="0" collapsed="false">
      <c r="A64" s="18" t="s">
        <v>495</v>
      </c>
      <c r="B64" s="19" t="s">
        <v>496</v>
      </c>
      <c r="C64" s="44" t="n">
        <f aca="false">IFERROR(C29,"N/M")</f>
        <v>669.19</v>
      </c>
      <c r="D64" s="44" t="n">
        <f aca="false">IFERROR(D29,"N/M")</f>
        <v>675.89</v>
      </c>
      <c r="E64" s="44" t="n">
        <f aca="false">IFERROR(E29,"N/M")</f>
        <v>849.39</v>
      </c>
      <c r="F64" s="44" t="n">
        <f aca="false">IFERROR(F29,"N/M")</f>
        <v>1026.54</v>
      </c>
      <c r="G64" s="44" t="n">
        <f aca="false">IFERROR(G29,"N/M")</f>
        <v>1157.22</v>
      </c>
      <c r="H64" s="44" t="n">
        <f aca="false">IFERROR(H29,"N/M")</f>
        <v>1245.44</v>
      </c>
      <c r="I64" s="44" t="n">
        <f aca="false">IFERROR(I29,"N/M")</f>
        <v>1272.14</v>
      </c>
      <c r="J64" s="44" t="n">
        <f aca="false">IFERROR(J29,"N/M")</f>
        <v>1280.48</v>
      </c>
    </row>
    <row r="65" customFormat="false" ht="15" hidden="false" customHeight="false" outlineLevel="0" collapsed="false">
      <c r="A65" s="18" t="s">
        <v>497</v>
      </c>
      <c r="B65" s="19" t="s">
        <v>498</v>
      </c>
      <c r="C65" s="44" t="n">
        <f aca="false">IFERROR((C63-C64),"N/M")</f>
        <v>380.75</v>
      </c>
      <c r="D65" s="44" t="n">
        <f aca="false">IFERROR((D63-D64),"N/M")</f>
        <v>496.81</v>
      </c>
      <c r="E65" s="44" t="n">
        <f aca="false">IFERROR((E63-E64),"N/M")</f>
        <v>418.69</v>
      </c>
      <c r="F65" s="44" t="n">
        <f aca="false">IFERROR((F63-F64),"N/M")</f>
        <v>316.78</v>
      </c>
      <c r="G65" s="44" t="n">
        <f aca="false">IFERROR((G63-G64),"N/M")</f>
        <v>462.39</v>
      </c>
      <c r="H65" s="44" t="n">
        <f aca="false">IFERROR((H63-H64),"N/M")</f>
        <v>373.47</v>
      </c>
      <c r="I65" s="44" t="n">
        <f aca="false">IFERROR((I63-I64),"N/M")</f>
        <v>308.71</v>
      </c>
      <c r="J65" s="44" t="n">
        <f aca="false">IFERROR((J63-J64),"N/M")</f>
        <v>527.87</v>
      </c>
    </row>
    <row r="66" customFormat="false" ht="15" hidden="false" customHeight="false" outlineLevel="0" collapsed="false">
      <c r="A66" s="18" t="s">
        <v>499</v>
      </c>
      <c r="B66" s="19" t="s">
        <v>500</v>
      </c>
      <c r="C66" s="44" t="n">
        <f aca="false">IFERROR((C36+C38),"N/M")</f>
        <v>588.22</v>
      </c>
      <c r="D66" s="44" t="n">
        <f aca="false">IFERROR((D36+D38),"N/M")</f>
        <v>635.16</v>
      </c>
      <c r="E66" s="44" t="n">
        <f aca="false">IFERROR((E36+E38),"N/M")</f>
        <v>683.37</v>
      </c>
      <c r="F66" s="44" t="n">
        <f aca="false">IFERROR((F36+F38),"N/M")</f>
        <v>623.23</v>
      </c>
      <c r="G66" s="44" t="n">
        <f aca="false">IFERROR((G36+G38),"N/M")</f>
        <v>778.72</v>
      </c>
      <c r="H66" s="44" t="n">
        <f aca="false">IFERROR((H36+H38),"N/M")</f>
        <v>772.97</v>
      </c>
      <c r="I66" s="44" t="n">
        <f aca="false">IFERROR((I36+I38),"N/M")</f>
        <v>701.07</v>
      </c>
      <c r="J66" s="44" t="n">
        <f aca="false">IFERROR((J36+J38),"N/M")</f>
        <v>889.14</v>
      </c>
    </row>
    <row r="67" customFormat="false" ht="15" hidden="false" customHeight="false" outlineLevel="0" collapsed="false">
      <c r="A67" s="18" t="s">
        <v>501</v>
      </c>
      <c r="B67" s="19" t="s">
        <v>502</v>
      </c>
      <c r="D67" s="44" t="n">
        <f aca="false">IFERROR((((D31+D32)-(C31+C32))+D18),"N/M")</f>
        <v>245.53</v>
      </c>
      <c r="E67" s="44" t="n">
        <f aca="false">IFERROR((((E31+E32)-(D31+D32))+E18),"N/M")</f>
        <v>207.43</v>
      </c>
      <c r="F67" s="44" t="n">
        <f aca="false">IFERROR((((F31+F32)-(E31+E32))+F18),"N/M")</f>
        <v>292.31</v>
      </c>
      <c r="G67" s="44" t="n">
        <f aca="false">IFERROR((((G31+G32)-(F31+F32))+G18),"N/M")</f>
        <v>508.59</v>
      </c>
      <c r="H67" s="44" t="n">
        <f aca="false">IFERROR((((H31+H32)-(G31+G32))+H18),"N/M")</f>
        <v>227.96</v>
      </c>
      <c r="I67" s="44" t="n">
        <f aca="false">IFERROR((((I31+I32)-(H31+H32))+I18),"N/M")</f>
        <v>349.21</v>
      </c>
      <c r="J67" s="44" t="n">
        <f aca="false">IFERROR((((J31+J32)-(I31+I32))+J18),"N/M")</f>
        <v>474.33</v>
      </c>
    </row>
    <row r="68" customFormat="false" ht="15" hidden="false" customHeight="false" outlineLevel="0" collapsed="false">
      <c r="A68" s="18" t="s">
        <v>503</v>
      </c>
      <c r="B68" s="19" t="s">
        <v>504</v>
      </c>
      <c r="D68" s="44" t="n">
        <f aca="false">IFERROR(MAX((C28-D28),0),"N/M")</f>
        <v>0</v>
      </c>
      <c r="E68" s="44" t="n">
        <f aca="false">IFERROR(MAX((D28-E28),0),"N/M")</f>
        <v>0</v>
      </c>
      <c r="F68" s="44" t="n">
        <f aca="false">IFERROR(MAX((E28-F28),0),"N/M")</f>
        <v>0</v>
      </c>
      <c r="G68" s="44" t="n">
        <f aca="false">IFERROR(MAX((F28-G28),0),"N/M")</f>
        <v>0</v>
      </c>
      <c r="H68" s="44" t="n">
        <f aca="false">IFERROR(MAX((G28-H28),0),"N/M")</f>
        <v>94.76</v>
      </c>
      <c r="I68" s="44" t="n">
        <f aca="false">IFERROR(MAX((H28-I28),0),"N/M")</f>
        <v>0</v>
      </c>
      <c r="J68" s="44" t="n">
        <f aca="false">IFERROR(MAX((I28-J28),0),"N/M")</f>
        <v>219.03</v>
      </c>
    </row>
    <row r="69" customFormat="false" ht="15" hidden="false" customHeight="false" outlineLevel="0" collapsed="false">
      <c r="A69" s="18" t="s">
        <v>505</v>
      </c>
      <c r="B69" s="19" t="s">
        <v>506</v>
      </c>
      <c r="C69" s="44" t="n">
        <f aca="false">IFERROR((C47*C48),"N/M")</f>
        <v>4717.4298</v>
      </c>
      <c r="D69" s="44" t="n">
        <f aca="false">IFERROR((D47*D48),"N/M")</f>
        <v>2035.3056</v>
      </c>
      <c r="E69" s="44" t="n">
        <f aca="false">IFERROR((E47*E48),"N/M")</f>
        <v>5211.438</v>
      </c>
      <c r="F69" s="44" t="n">
        <f aca="false">IFERROR((F47*F48),"N/M")</f>
        <v>4549.74</v>
      </c>
      <c r="G69" s="44" t="n">
        <f aca="false">IFERROR((G47*G48),"N/M")</f>
        <v>3200.967</v>
      </c>
      <c r="H69" s="44" t="n">
        <f aca="false">IFERROR((H47*H48),"N/M")</f>
        <v>3693.888</v>
      </c>
      <c r="I69" s="44" t="n">
        <f aca="false">IFERROR((I47*I48),"N/M")</f>
        <v>2368.3008</v>
      </c>
      <c r="J69" s="44" t="n">
        <f aca="false">IFERROR((J47*J48),"N/M")</f>
        <v>3301.376</v>
      </c>
    </row>
    <row r="70" customFormat="false" ht="15" hidden="false" customHeight="false" outlineLevel="0" collapsed="false">
      <c r="A70" s="18" t="s">
        <v>507</v>
      </c>
      <c r="B70" s="19" t="s">
        <v>508</v>
      </c>
      <c r="C70" s="44" t="n">
        <f aca="false">IFERROR(((C69+C28)-C38),"N/M")</f>
        <v>4685.1798</v>
      </c>
      <c r="D70" s="44" t="n">
        <f aca="false">IFERROR(((D69+D28)-D38),"N/M")</f>
        <v>2137.0756</v>
      </c>
      <c r="E70" s="44" t="n">
        <f aca="false">IFERROR(((E69+E28)-E38),"N/M")</f>
        <v>5283.148</v>
      </c>
      <c r="F70" s="44" t="n">
        <f aca="false">IFERROR(((F69+F28)-F38),"N/M")</f>
        <v>4817.83</v>
      </c>
      <c r="G70" s="44" t="n">
        <f aca="false">IFERROR(((G69+G28)-G38),"N/M")</f>
        <v>3908.787</v>
      </c>
      <c r="H70" s="44" t="n">
        <f aca="false">IFERROR(((H69+H28)-H38),"N/M")</f>
        <v>4362.108</v>
      </c>
      <c r="I70" s="44" t="n">
        <f aca="false">IFERROR(((I69+I28)-I38),"N/M")</f>
        <v>3161.1108</v>
      </c>
      <c r="J70" s="44" t="n">
        <f aca="false">IFERROR(((J69+J28)-J38),"N/M")</f>
        <v>3751.576</v>
      </c>
    </row>
    <row r="71" customFormat="false" ht="15" hidden="false" customHeight="false" outlineLevel="0" collapsed="false">
      <c r="A71" s="18" t="s">
        <v>509</v>
      </c>
      <c r="C71" s="44" t="n">
        <f aca="false">IFERROR(IF(C49=1,C69,0),"N/M")</f>
        <v>4717.4298</v>
      </c>
      <c r="D71" s="44" t="n">
        <f aca="false">IFERROR(IF(D49=1,D69,0),"N/M")</f>
        <v>2035.3056</v>
      </c>
      <c r="E71" s="44" t="n">
        <f aca="false">IFERROR(IF(E49=1,E69,0),"N/M")</f>
        <v>5211.438</v>
      </c>
      <c r="F71" s="44" t="n">
        <f aca="false">IFERROR(IF(F49=1,F69,0),"N/M")</f>
        <v>4549.74</v>
      </c>
      <c r="G71" s="44" t="n">
        <f aca="false">IFERROR(IF(G49=1,G69,0),"N/M")</f>
        <v>3200.967</v>
      </c>
      <c r="H71" s="44" t="n">
        <f aca="false">IFERROR(IF(H49=1,H69,0),"N/M")</f>
        <v>3693.888</v>
      </c>
      <c r="I71" s="44" t="n">
        <f aca="false">IFERROR(IF(I49=1,I69,0),"N/M")</f>
        <v>2368.3008</v>
      </c>
      <c r="J71" s="44" t="n">
        <f aca="false">IFERROR(IF(J49=1,J69,0),"N/M")</f>
        <v>3301.376</v>
      </c>
    </row>
    <row r="72" customFormat="false" ht="15" hidden="false" customHeight="false" outlineLevel="0" collapsed="false">
      <c r="A72" s="18" t="s">
        <v>510</v>
      </c>
      <c r="C72" s="44" t="n">
        <f aca="false">IFERROR(IF(C49=1,C22,0),"N/M")</f>
        <v>85.64</v>
      </c>
      <c r="D72" s="44" t="n">
        <f aca="false">IFERROR(IF(D49=1,D22,0),"N/M")</f>
        <v>55.12</v>
      </c>
      <c r="E72" s="44" t="n">
        <f aca="false">IFERROR(IF(E49=1,E22,0),"N/M")</f>
        <v>30</v>
      </c>
      <c r="F72" s="44" t="n">
        <f aca="false">IFERROR(IF(F49=1,F22,0),"N/M")</f>
        <v>17.56</v>
      </c>
      <c r="G72" s="44" t="n">
        <f aca="false">IFERROR(IF(G49=1,G22,0),"N/M")</f>
        <v>26.28</v>
      </c>
      <c r="H72" s="44" t="n">
        <f aca="false">IFERROR(IF(H49=1,H22,0),"N/M")</f>
        <v>-54.74</v>
      </c>
      <c r="I72" s="44" t="n">
        <f aca="false">IFERROR(IF(I49=1,I22,0),"N/M")</f>
        <v>-35.85</v>
      </c>
      <c r="J72" s="44" t="n">
        <f aca="false">IFERROR(IF(J49=1,J22,0),"N/M")</f>
        <v>2.29</v>
      </c>
    </row>
    <row r="73" customFormat="false" ht="15" hidden="false" customHeight="false" outlineLevel="0" collapsed="false">
      <c r="A73" s="18" t="s">
        <v>511</v>
      </c>
      <c r="C73" s="44" t="n">
        <f aca="false">IFERROR(IF(C49=1,C61,0),"N/M")</f>
        <v>498.22</v>
      </c>
      <c r="D73" s="44" t="n">
        <f aca="false">IFERROR(IF(D49=1,D61,0),"N/M")</f>
        <v>544.65</v>
      </c>
      <c r="E73" s="44" t="n">
        <f aca="false">IFERROR(IF(E49=1,E61,0),"N/M")</f>
        <v>568.06</v>
      </c>
      <c r="F73" s="44" t="n">
        <f aca="false">IFERROR(IF(F49=1,F61,0),"N/M")</f>
        <v>546.48</v>
      </c>
      <c r="G73" s="44" t="n">
        <f aca="false">IFERROR(IF(G49=1,G61,0),"N/M")</f>
        <v>561.67</v>
      </c>
      <c r="H73" s="44" t="n">
        <f aca="false">IFERROR(IF(H49=1,H61,0),"N/M")</f>
        <v>492.47</v>
      </c>
      <c r="I73" s="44" t="n">
        <f aca="false">IFERROR(IF(I49=1,I61,0),"N/M")</f>
        <v>437.88</v>
      </c>
      <c r="J73" s="44" t="n">
        <f aca="false">IFERROR(IF(J49=1,J61,0),"N/M")</f>
        <v>1174.78</v>
      </c>
    </row>
    <row r="74" customFormat="false" ht="15" hidden="false" customHeight="false" outlineLevel="0" collapsed="false">
      <c r="A74" s="18" t="s">
        <v>512</v>
      </c>
      <c r="C74" s="44" t="n">
        <f aca="false">IFERROR(IF(C49=1,C59,0),"N/M")</f>
        <v>158.87</v>
      </c>
      <c r="D74" s="44" t="n">
        <f aca="false">IFERROR(IF(D49=1,D59,0),"N/M")</f>
        <v>172.25</v>
      </c>
      <c r="E74" s="44" t="n">
        <f aca="false">IFERROR(IF(E49=1,E59,0),"N/M")</f>
        <v>148.94</v>
      </c>
      <c r="F74" s="44" t="n">
        <f aca="false">IFERROR(IF(F49=1,F59,0),"N/M")</f>
        <v>197.85</v>
      </c>
      <c r="G74" s="44" t="n">
        <f aca="false">IFERROR(IF(G49=1,G59,0),"N/M")</f>
        <v>275.61</v>
      </c>
      <c r="H74" s="44" t="n">
        <f aca="false">IFERROR(IF(H49=1,H59,0),"N/M")</f>
        <v>250.76</v>
      </c>
      <c r="I74" s="44" t="n">
        <f aca="false">IFERROR(IF(I49=1,I59,0),"N/M")</f>
        <v>299.86</v>
      </c>
      <c r="J74" s="44" t="n">
        <f aca="false">IFERROR(IF(J49=1,J59,0),"N/M")</f>
        <v>386.05</v>
      </c>
    </row>
    <row r="75" customFormat="false" ht="15" hidden="false" customHeight="false" outlineLevel="0" collapsed="false">
      <c r="A75" s="18" t="s">
        <v>513</v>
      </c>
      <c r="C75" s="44" t="n">
        <f aca="false">IFERROR(IF(C49=1,C23,0),"N/M")</f>
        <v>12.86</v>
      </c>
      <c r="D75" s="44" t="n">
        <f aca="false">IFERROR(IF(D49=1,D23,0),"N/M")</f>
        <v>10.73</v>
      </c>
      <c r="E75" s="44" t="n">
        <f aca="false">IFERROR(IF(E49=1,E23,0),"N/M")</f>
        <v>17.92</v>
      </c>
      <c r="F75" s="44" t="n">
        <f aca="false">IFERROR(IF(F49=1,F23,0),"N/M")</f>
        <v>14.37</v>
      </c>
      <c r="G75" s="44" t="n">
        <f aca="false">IFERROR(IF(G49=1,G23,0),"N/M")</f>
        <v>18</v>
      </c>
      <c r="H75" s="44" t="n">
        <f aca="false">IFERROR(IF(H49=1,H23,0),"N/M")</f>
        <v>18.01</v>
      </c>
      <c r="I75" s="44" t="n">
        <f aca="false">IFERROR(IF(I49=1,I23,0),"N/M")</f>
        <v>18.03</v>
      </c>
      <c r="J75" s="44" t="n">
        <f aca="false">IFERROR(IF(J49=1,J23,0),"N/M")</f>
        <v>24.8</v>
      </c>
    </row>
    <row r="76" customFormat="false" ht="15" hidden="false" customHeight="false" outlineLevel="0" collapsed="false">
      <c r="A76" s="18" t="s">
        <v>514</v>
      </c>
      <c r="C76" s="44" t="n">
        <f aca="false">IFERROR(IF(C49=1,(C28-C38),0),"N/M")</f>
        <v>-32.25</v>
      </c>
      <c r="D76" s="44" t="n">
        <f aca="false">IFERROR(IF(D49=1,(D28-D38),0),"N/M")</f>
        <v>101.77</v>
      </c>
      <c r="E76" s="44" t="n">
        <f aca="false">IFERROR(IF(E49=1,(E28-E38),0),"N/M")</f>
        <v>71.71</v>
      </c>
      <c r="F76" s="44" t="n">
        <f aca="false">IFERROR(IF(F49=1,(F28-F38),0),"N/M")</f>
        <v>268.09</v>
      </c>
      <c r="G76" s="44" t="n">
        <f aca="false">IFERROR(IF(G49=1,(G28-G38),0),"N/M")</f>
        <v>707.82</v>
      </c>
      <c r="H76" s="44" t="n">
        <f aca="false">IFERROR(IF(H49=1,(H28-H38),0),"N/M")</f>
        <v>668.22</v>
      </c>
      <c r="I76" s="44" t="n">
        <f aca="false">IFERROR(IF(I49=1,(I28-I38),0),"N/M")</f>
        <v>792.81</v>
      </c>
      <c r="J76" s="44" t="n">
        <f aca="false">IFERROR(IF(J49=1,(J28-J38),0),"N/M")</f>
        <v>450.2</v>
      </c>
    </row>
    <row r="78" customFormat="false" ht="15" hidden="false" customHeight="false" outlineLevel="0" collapsed="false">
      <c r="A78" s="16" t="s">
        <v>515</v>
      </c>
      <c r="B78" s="17"/>
      <c r="C78" s="17"/>
      <c r="D78" s="17"/>
      <c r="E78" s="17"/>
      <c r="F78" s="17"/>
      <c r="G78" s="17"/>
      <c r="H78" s="17"/>
      <c r="I78" s="17"/>
      <c r="J78" s="17"/>
      <c r="K78" s="17"/>
      <c r="L78" s="17"/>
      <c r="M78" s="17"/>
    </row>
    <row r="79" customFormat="false" ht="15" hidden="false" customHeight="false" outlineLevel="0" collapsed="false">
      <c r="A79" s="18" t="s">
        <v>516</v>
      </c>
      <c r="B79" s="19" t="s">
        <v>498</v>
      </c>
      <c r="D79" s="79" t="n">
        <f aca="false">IFERROR(D65,"N/M")</f>
        <v>496.81</v>
      </c>
      <c r="E79" s="79" t="n">
        <f aca="false">IFERROR(E65,"N/M")</f>
        <v>418.69</v>
      </c>
      <c r="F79" s="79" t="n">
        <f aca="false">IFERROR(F65,"N/M")</f>
        <v>316.78</v>
      </c>
      <c r="G79" s="79" t="n">
        <f aca="false">IFERROR(G65,"N/M")</f>
        <v>462.39</v>
      </c>
      <c r="H79" s="79" t="n">
        <f aca="false">IFERROR(H65,"N/M")</f>
        <v>373.47</v>
      </c>
      <c r="I79" s="79" t="n">
        <f aca="false">IFERROR(I65,"N/M")</f>
        <v>308.71</v>
      </c>
      <c r="J79" s="79" t="n">
        <f aca="false">IFERROR(J65,"N/M")</f>
        <v>527.87</v>
      </c>
      <c r="K79" s="80" t="n">
        <f aca="false">IFERROR(AVERAGE(D79:J79),"N/M")</f>
        <v>414.96</v>
      </c>
      <c r="L79" s="81" t="n">
        <f aca="false">IFERROR(J79-D79,"N/M")</f>
        <v>31.0599999999998</v>
      </c>
      <c r="M79" s="81" t="n">
        <f aca="false">IFERROR(SLOPE(D79:J79,$D$3:$J$3),"N/M")</f>
        <v>-2.50321428571431</v>
      </c>
    </row>
    <row r="80" customFormat="false" ht="15" hidden="false" customHeight="false" outlineLevel="0" collapsed="false">
      <c r="A80" s="18" t="s">
        <v>119</v>
      </c>
      <c r="B80" s="19" t="s">
        <v>517</v>
      </c>
      <c r="D80" s="47" t="n">
        <f aca="false">IFERROR(IF(D64&lt;=0,"N/M",D63/D64),"N/M")</f>
        <v>1.73504564352188</v>
      </c>
      <c r="E80" s="47" t="n">
        <f aca="false">IFERROR(IF(E64&lt;=0,"N/M",E63/E64),"N/M")</f>
        <v>1.49293022051119</v>
      </c>
      <c r="F80" s="47" t="n">
        <f aca="false">IFERROR(IF(F64&lt;=0,"N/M",F63/F64),"N/M")</f>
        <v>1.30859002084673</v>
      </c>
      <c r="G80" s="47" t="n">
        <f aca="false">IFERROR(IF(G64&lt;=0,"N/M",G63/G64),"N/M")</f>
        <v>1.39956965831907</v>
      </c>
      <c r="H80" s="47" t="n">
        <f aca="false">IFERROR(IF(H64&lt;=0,"N/M",H63/H64),"N/M")</f>
        <v>1.29986992548818</v>
      </c>
      <c r="I80" s="47" t="n">
        <f aca="false">IFERROR(IF(I64&lt;=0,"N/M",I63/I64),"N/M")</f>
        <v>1.24266983193674</v>
      </c>
      <c r="J80" s="47" t="n">
        <f aca="false">IFERROR(IF(J64&lt;=0,"N/M",J63/J64),"N/M")</f>
        <v>1.41224384605773</v>
      </c>
      <c r="K80" s="22" t="n">
        <f aca="false">IFERROR(AVERAGE(D80:J80),"N/M")</f>
        <v>1.41298844952593</v>
      </c>
      <c r="L80" s="82" t="n">
        <f aca="false">IFERROR(J80-D80,"N/M")</f>
        <v>-0.322801797464147</v>
      </c>
      <c r="M80" s="83" t="n">
        <f aca="false">IFERROR(SLOPE(D80:J80,$D$3:$J$3),"N/M")</f>
        <v>-0.052773080889282</v>
      </c>
    </row>
    <row r="81" customFormat="false" ht="15" hidden="false" customHeight="false" outlineLevel="0" collapsed="false">
      <c r="A81" s="18" t="s">
        <v>121</v>
      </c>
      <c r="B81" s="19" t="s">
        <v>518</v>
      </c>
      <c r="D81" s="47" t="n">
        <f aca="false">IFERROR(IF(D64&lt;=0,"N/M",D66/D64),"N/M")</f>
        <v>0.93973871487964</v>
      </c>
      <c r="E81" s="47" t="n">
        <f aca="false">IFERROR(IF(E64&lt;=0,"N/M",E66/E64),"N/M")</f>
        <v>0.80454208314202</v>
      </c>
      <c r="F81" s="47" t="n">
        <f aca="false">IFERROR(IF(F64&lt;=0,"N/M",F66/F64),"N/M")</f>
        <v>0.607117111851462</v>
      </c>
      <c r="G81" s="47" t="n">
        <f aca="false">IFERROR(IF(G64&lt;=0,"N/M",G66/G64),"N/M")</f>
        <v>0.672923039698588</v>
      </c>
      <c r="H81" s="47" t="n">
        <f aca="false">IFERROR(IF(H64&lt;=0,"N/M",H66/H64),"N/M")</f>
        <v>0.620640095066804</v>
      </c>
      <c r="I81" s="47" t="n">
        <f aca="false">IFERROR(IF(I64&lt;=0,"N/M",I66/I64),"N/M")</f>
        <v>0.551095005266716</v>
      </c>
      <c r="J81" s="47" t="n">
        <f aca="false">IFERROR(IF(J64&lt;=0,"N/M",J66/J64),"N/M")</f>
        <v>0.694380232412845</v>
      </c>
      <c r="K81" s="22" t="n">
        <f aca="false">IFERROR(AVERAGE(D81:J81),"N/M")</f>
        <v>0.698633754616868</v>
      </c>
      <c r="L81" s="82" t="n">
        <f aca="false">IFERROR(J81-D81,"N/M")</f>
        <v>-0.245358482466795</v>
      </c>
      <c r="M81" s="83" t="n">
        <f aca="false">IFERROR(SLOPE(D81:J81,$D$3:$J$3),"N/M")</f>
        <v>-0.0439088078548447</v>
      </c>
    </row>
    <row r="82" customFormat="false" ht="15" hidden="false" customHeight="false" outlineLevel="0" collapsed="false">
      <c r="A82" s="18" t="s">
        <v>519</v>
      </c>
      <c r="B82" s="19" t="s">
        <v>520</v>
      </c>
      <c r="D82" s="47" t="n">
        <f aca="false">IFERROR(IF(D64&lt;=0,"N/M",D38/D64),"N/M")</f>
        <v>0.147257689860776</v>
      </c>
      <c r="E82" s="47" t="n">
        <f aca="false">IFERROR(IF(E64&lt;=0,"N/M",E38/E64),"N/M")</f>
        <v>0.232837683514051</v>
      </c>
      <c r="F82" s="47" t="n">
        <f aca="false">IFERROR(IF(F64&lt;=0,"N/M",F38/F64),"N/M")</f>
        <v>0.130857053792351</v>
      </c>
      <c r="G82" s="47" t="n">
        <f aca="false">IFERROR(IF(G64&lt;=0,"N/M",G38/G64),"N/M")</f>
        <v>0.109080382295501</v>
      </c>
      <c r="H82" s="47" t="n">
        <f aca="false">IFERROR(IF(H64&lt;=0,"N/M",H38/H64),"N/M")</f>
        <v>0.0570641700924974</v>
      </c>
      <c r="I82" s="47" t="n">
        <f aca="false">IFERROR(IF(I64&lt;=0,"N/M",I38/I64),"N/M")</f>
        <v>0.0597182700017294</v>
      </c>
      <c r="J82" s="47" t="n">
        <f aca="false">IFERROR(IF(J64&lt;=0,"N/M",J38/J64),"N/M")</f>
        <v>0.155839997500937</v>
      </c>
      <c r="K82" s="22" t="n">
        <f aca="false">IFERROR(AVERAGE(D82:J82),"N/M")</f>
        <v>0.127522178151121</v>
      </c>
      <c r="L82" s="82" t="n">
        <f aca="false">IFERROR(J82-D82,"N/M")</f>
        <v>0.00858230764016099</v>
      </c>
      <c r="M82" s="83" t="n">
        <f aca="false">IFERROR(SLOPE(D82:J82,$D$3:$J$3),"N/M")</f>
        <v>-0.0140815995644291</v>
      </c>
    </row>
    <row r="83" customFormat="false" ht="15" hidden="false" customHeight="false" outlineLevel="0" collapsed="false">
      <c r="A83" s="18" t="s">
        <v>521</v>
      </c>
      <c r="B83" s="19" t="s">
        <v>522</v>
      </c>
      <c r="D83" s="48" t="n">
        <f aca="false">IFERROR(IF((D54/365)&lt;=0,"N/M",D66/(D54/365)),"N/M")</f>
        <v>69.9840611472352</v>
      </c>
      <c r="E83" s="48" t="n">
        <f aca="false">IFERROR(IF((E54/365)&lt;=0,"N/M",E66/(E54/365)),"N/M")</f>
        <v>79.7145610155191</v>
      </c>
      <c r="F83" s="48" t="n">
        <f aca="false">IFERROR(IF((F54/365)&lt;=0,"N/M",F66/(F54/365)),"N/M")</f>
        <v>57.496448791831</v>
      </c>
      <c r="G83" s="48" t="n">
        <f aca="false">IFERROR(IF((G54/365)&lt;=0,"N/M",G66/(G54/365)),"N/M")</f>
        <v>58.3847650191957</v>
      </c>
      <c r="H83" s="48" t="n">
        <f aca="false">IFERROR(IF((H54/365)&lt;=0,"N/M",H66/(H54/365)),"N/M")</f>
        <v>53.4878657296203</v>
      </c>
      <c r="I83" s="48" t="n">
        <f aca="false">IFERROR(IF((I54/365)&lt;=0,"N/M",I66/(I54/365)),"N/M")</f>
        <v>43.9641247053487</v>
      </c>
      <c r="J83" s="48" t="n">
        <f aca="false">IFERROR(IF((J54/365)&lt;=0,"N/M",J66/(J54/365)),"N/M")</f>
        <v>49.0198776527453</v>
      </c>
      <c r="K83" s="28" t="n">
        <f aca="false">IFERROR(AVERAGE(D83:J83),"N/M")</f>
        <v>58.8645291516422</v>
      </c>
      <c r="L83" s="84" t="n">
        <f aca="false">IFERROR(J83-D83,"N/M")</f>
        <v>-20.9641834944899</v>
      </c>
      <c r="M83" s="85" t="n">
        <f aca="false">IFERROR(SLOPE(D83:J83,$D$3:$J$3),"N/M")</f>
        <v>-4.94292879164361</v>
      </c>
    </row>
    <row r="84" customFormat="false" ht="15" hidden="false" customHeight="false" outlineLevel="0" collapsed="false">
      <c r="A84" s="18" t="s">
        <v>122</v>
      </c>
      <c r="B84" s="19" t="s">
        <v>523</v>
      </c>
      <c r="D84" s="47" t="n">
        <f aca="false">IFERROR(IF(D64&lt;=0,"N/M",D41/D64),"N/M")</f>
        <v>0.126322330556747</v>
      </c>
      <c r="E84" s="47" t="n">
        <f aca="false">IFERROR(IF(E64&lt;=0,"N/M",E41/E64),"N/M")</f>
        <v>0.345765784857368</v>
      </c>
      <c r="F84" s="47" t="n">
        <f aca="false">IFERROR(IF(F64&lt;=0,"N/M",F41/F64),"N/M")</f>
        <v>0.186042433806768</v>
      </c>
      <c r="G84" s="47" t="n">
        <f aca="false">IFERROR(IF(G64&lt;=0,"N/M",G41/G64),"N/M")</f>
        <v>0.10317830663141</v>
      </c>
      <c r="H84" s="47" t="n">
        <f aca="false">IFERROR(IF(H64&lt;=0,"N/M",H41/H64),"N/M")</f>
        <v>0.182152492291881</v>
      </c>
      <c r="I84" s="47" t="n">
        <f aca="false">IFERROR(IF(I64&lt;=0,"N/M",I41/I64),"N/M")</f>
        <v>0.269758045498137</v>
      </c>
      <c r="J84" s="47" t="n">
        <f aca="false">IFERROR(IF(J64&lt;=0,"N/M",J41/J64),"N/M")</f>
        <v>0.198058540547295</v>
      </c>
      <c r="K84" s="22" t="n">
        <f aca="false">IFERROR(AVERAGE(D84:J84),"N/M")</f>
        <v>0.201611133455658</v>
      </c>
      <c r="L84" s="82" t="n">
        <f aca="false">IFERROR(J84-D84,"N/M")</f>
        <v>0.0717362099905474</v>
      </c>
      <c r="M84" s="83" t="n">
        <f aca="false">IFERROR(SLOPE(D84:J84,$D$3:$J$3),"N/M")</f>
        <v>0.00211797177636757</v>
      </c>
    </row>
    <row r="86" customFormat="false" ht="15" hidden="false" customHeight="false" outlineLevel="0" collapsed="false">
      <c r="A86" s="16" t="s">
        <v>524</v>
      </c>
      <c r="B86" s="17"/>
      <c r="C86" s="17"/>
      <c r="D86" s="17"/>
      <c r="E86" s="17"/>
      <c r="F86" s="17"/>
      <c r="G86" s="17"/>
      <c r="H86" s="17"/>
      <c r="I86" s="17"/>
      <c r="J86" s="17"/>
      <c r="K86" s="17"/>
      <c r="L86" s="17"/>
      <c r="M86" s="17"/>
    </row>
    <row r="87" customFormat="false" ht="15" hidden="false" customHeight="false" outlineLevel="0" collapsed="false">
      <c r="A87" s="18" t="s">
        <v>123</v>
      </c>
      <c r="B87" s="19" t="s">
        <v>525</v>
      </c>
      <c r="D87" s="47" t="n">
        <f aca="false">IFERROR(IF(D61&lt;=0,"N/M",D28/D61),"N/M")</f>
        <v>0.369595152850454</v>
      </c>
      <c r="E87" s="47" t="n">
        <f aca="false">IFERROR(IF(E61&lt;=0,"N/M",E28/E61),"N/M")</f>
        <v>0.474386508467416</v>
      </c>
      <c r="F87" s="47" t="n">
        <f aca="false">IFERROR(IF(F61&lt;=0,"N/M",F28/F61),"N/M")</f>
        <v>0.736385595081247</v>
      </c>
      <c r="G87" s="47" t="n">
        <f aca="false">IFERROR(IF(G61&lt;=0,"N/M",G28/G61),"N/M")</f>
        <v>1.48494667687432</v>
      </c>
      <c r="H87" s="47" t="n">
        <f aca="false">IFERROR(IF(H61&lt;=0,"N/M",H28/H61),"N/M")</f>
        <v>1.50118788961764</v>
      </c>
      <c r="I87" s="47" t="n">
        <f aca="false">IFERROR(IF(I61&lt;=0,"N/M",I28/I61),"N/M")</f>
        <v>1.98405955969672</v>
      </c>
      <c r="J87" s="47" t="n">
        <f aca="false">IFERROR(IF(J61&lt;=0,"N/M",J28/J61),"N/M")</f>
        <v>0.553082279235261</v>
      </c>
      <c r="K87" s="22" t="n">
        <f aca="false">IFERROR(AVERAGE(D87:J87),"N/M")</f>
        <v>1.01480623740329</v>
      </c>
      <c r="L87" s="82" t="n">
        <f aca="false">IFERROR(J87-D87,"N/M")</f>
        <v>0.183487126384807</v>
      </c>
      <c r="M87" s="83" t="n">
        <f aca="false">IFERROR(SLOPE(D87:J87,$D$3:$J$3),"N/M")</f>
        <v>0.154807492005337</v>
      </c>
    </row>
    <row r="88" customFormat="false" ht="15" hidden="false" customHeight="false" outlineLevel="0" collapsed="false">
      <c r="A88" s="18" t="s">
        <v>526</v>
      </c>
      <c r="B88" s="19" t="s">
        <v>527</v>
      </c>
      <c r="D88" s="47" t="n">
        <f aca="false">IFERROR(IF(D61&lt;=0,"N/M",(D28+D29)/D61),"N/M")</f>
        <v>1.61055723859359</v>
      </c>
      <c r="E88" s="47" t="n">
        <f aca="false">IFERROR(IF(E61&lt;=0,"N/M",(E28+E29)/E61),"N/M")</f>
        <v>1.96963348942013</v>
      </c>
      <c r="F88" s="47" t="n">
        <f aca="false">IFERROR(IF(F61&lt;=0,"N/M",(F28+F29)/F61),"N/M")</f>
        <v>2.61484409310496</v>
      </c>
      <c r="G88" s="47" t="n">
        <f aca="false">IFERROR(IF(G61&lt;=0,"N/M",(G28+G29)/G61),"N/M")</f>
        <v>3.54526679366888</v>
      </c>
      <c r="H88" s="47" t="n">
        <f aca="false">IFERROR(IF(H61&lt;=0,"N/M",(H28+H29)/H61),"N/M")</f>
        <v>4.03015412106321</v>
      </c>
      <c r="I88" s="47" t="n">
        <f aca="false">IFERROR(IF(I61&lt;=0,"N/M",(I28+I29)/I61),"N/M")</f>
        <v>4.88928473554399</v>
      </c>
      <c r="J88" s="47" t="n">
        <f aca="false">IFERROR(IF(J61&lt;=0,"N/M",(J28+J29)/J61),"N/M")</f>
        <v>1.64305657229439</v>
      </c>
      <c r="K88" s="22" t="n">
        <f aca="false">IFERROR(AVERAGE(D88:J88),"N/M")</f>
        <v>2.90039957766988</v>
      </c>
      <c r="L88" s="82" t="n">
        <f aca="false">IFERROR(J88-D88,"N/M")</f>
        <v>0.0324993337007946</v>
      </c>
      <c r="M88" s="83" t="n">
        <f aca="false">IFERROR(SLOPE(D88:J88,$D$3:$J$3),"N/M")</f>
        <v>0.262575375761012</v>
      </c>
    </row>
    <row r="89" customFormat="false" ht="15" hidden="false" customHeight="false" outlineLevel="0" collapsed="false">
      <c r="A89" s="18" t="s">
        <v>528</v>
      </c>
      <c r="B89" s="19" t="s">
        <v>529</v>
      </c>
      <c r="D89" s="47" t="n">
        <f aca="false">IFERROR(IF(D35&lt;=0,"N/M",D28/D35),"N/M")</f>
        <v>0.141577111348675</v>
      </c>
      <c r="E89" s="47" t="n">
        <f aca="false">IFERROR(IF(E35&lt;=0,"N/M",E28/E35),"N/M")</f>
        <v>0.159745810436711</v>
      </c>
      <c r="F89" s="47" t="n">
        <f aca="false">IFERROR(IF(F35&lt;=0,"N/M",F28/F35),"N/M")</f>
        <v>0.203711578180051</v>
      </c>
      <c r="G89" s="47" t="n">
        <f aca="false">IFERROR(IF(G35&lt;=0,"N/M",G28/G35),"N/M")</f>
        <v>0.326701763457034</v>
      </c>
      <c r="H89" s="47" t="n">
        <f aca="false">IFERROR(IF(H35&lt;=0,"N/M",H28/H35),"N/M")</f>
        <v>0.298437752300985</v>
      </c>
      <c r="I89" s="47" t="n">
        <f aca="false">IFERROR(IF(I35&lt;=0,"N/M",I28/I35),"N/M")</f>
        <v>0.33689312858694</v>
      </c>
      <c r="J89" s="47" t="n">
        <f aca="false">IFERROR(IF(J35&lt;=0,"N/M",J28/J35),"N/M")</f>
        <v>0.209258585318566</v>
      </c>
      <c r="K89" s="22" t="n">
        <f aca="false">IFERROR(AVERAGE(D89:J89),"N/M")</f>
        <v>0.239475104232709</v>
      </c>
      <c r="L89" s="82" t="n">
        <f aca="false">IFERROR(J89-D89,"N/M")</f>
        <v>0.0676814739698908</v>
      </c>
      <c r="M89" s="83" t="n">
        <f aca="false">IFERROR(SLOPE(D89:J89,$D$3:$J$3),"N/M")</f>
        <v>0.0232880440118237</v>
      </c>
    </row>
    <row r="90" customFormat="false" ht="15" hidden="false" customHeight="false" outlineLevel="0" collapsed="false">
      <c r="A90" s="18" t="s">
        <v>530</v>
      </c>
      <c r="B90" s="19" t="s">
        <v>531</v>
      </c>
      <c r="D90" s="47" t="n">
        <f aca="false">IFERROR(IF(D62&lt;=0,"N/M",D28/D62),"N/M")</f>
        <v>0.269857229036799</v>
      </c>
      <c r="E90" s="47" t="n">
        <f aca="false">IFERROR(IF(E62&lt;=0,"N/M",E28/E62),"N/M")</f>
        <v>0.321751796929102</v>
      </c>
      <c r="F90" s="47" t="n">
        <f aca="false">IFERROR(IF(F62&lt;=0,"N/M",F28/F62),"N/M")</f>
        <v>0.424091052797977</v>
      </c>
      <c r="G90" s="47" t="n">
        <f aca="false">IFERROR(IF(G62&lt;=0,"N/M",G28/G62),"N/M")</f>
        <v>0.597576877883816</v>
      </c>
      <c r="H90" s="47" t="n">
        <f aca="false">IFERROR(IF(H62&lt;=0,"N/M",H28/H62),"N/M")</f>
        <v>0.600189972072482</v>
      </c>
      <c r="I90" s="47" t="n">
        <f aca="false">IFERROR(IF(I62&lt;=0,"N/M",I28/I62),"N/M")</f>
        <v>0.664886045336966</v>
      </c>
      <c r="J90" s="47" t="n">
        <f aca="false">IFERROR(IF(J62&lt;=0,"N/M",J28/J62),"N/M")</f>
        <v>0.356119110126992</v>
      </c>
      <c r="K90" s="22" t="n">
        <f aca="false">IFERROR(AVERAGE(D90:J90),"N/M")</f>
        <v>0.462067440597733</v>
      </c>
      <c r="L90" s="82" t="n">
        <f aca="false">IFERROR(J90-D90,"N/M")</f>
        <v>0.0862618810901929</v>
      </c>
      <c r="M90" s="83" t="n">
        <f aca="false">IFERROR(SLOPE(D90:J90,$D$3:$J$3),"N/M")</f>
        <v>0.0400411806914576</v>
      </c>
    </row>
    <row r="91" customFormat="false" ht="15" hidden="false" customHeight="false" outlineLevel="0" collapsed="false">
      <c r="A91" s="18" t="s">
        <v>125</v>
      </c>
      <c r="B91" s="19" t="s">
        <v>532</v>
      </c>
      <c r="D91" s="46" t="n">
        <f aca="false">IFERROR(IF(D35=0,"N/M",D61/D35),"N/M")</f>
        <v>0.383059978619254</v>
      </c>
      <c r="E91" s="46" t="n">
        <f aca="false">IFERROR(IF(E35=0,"N/M",E61/E35),"N/M")</f>
        <v>0.336741892076138</v>
      </c>
      <c r="F91" s="46" t="n">
        <f aca="false">IFERROR(IF(F35=0,"N/M",F61/F35),"N/M")</f>
        <v>0.276637103632608</v>
      </c>
      <c r="G91" s="46" t="n">
        <f aca="false">IFERROR(IF(G35=0,"N/M",G61/G35),"N/M")</f>
        <v>0.220009087561792</v>
      </c>
      <c r="H91" s="46" t="n">
        <f aca="false">IFERROR(IF(H35=0,"N/M",H61/H35),"N/M")</f>
        <v>0.198801065719361</v>
      </c>
      <c r="I91" s="46" t="n">
        <f aca="false">IFERROR(IF(I35=0,"N/M",I61/I35),"N/M")</f>
        <v>0.169799906933457</v>
      </c>
      <c r="J91" s="46" t="n">
        <f aca="false">IFERROR(IF(J35=0,"N/M",J61/J35),"N/M")</f>
        <v>0.378349828180908</v>
      </c>
      <c r="K91" s="25" t="n">
        <f aca="false">IFERROR(AVERAGE(D91:J91),"N/M")</f>
        <v>0.280485551817645</v>
      </c>
      <c r="L91" s="86" t="n">
        <f aca="false">IFERROR(J91-D91,"N/M")</f>
        <v>-0.00471015043834633</v>
      </c>
      <c r="M91" s="87" t="n">
        <f aca="false">IFERROR(SLOPE(D91:J91,$D$3:$J$3),"N/M")</f>
        <v>-0.0152089449826303</v>
      </c>
    </row>
    <row r="92" customFormat="false" ht="15" hidden="false" customHeight="false" outlineLevel="0" collapsed="false">
      <c r="A92" s="18" t="s">
        <v>533</v>
      </c>
      <c r="B92" s="19" t="s">
        <v>534</v>
      </c>
      <c r="D92" s="47" t="n">
        <f aca="false">IFERROR(IF(D61&lt;=0,"N/M",D28/D61),"N/M")</f>
        <v>0.369595152850454</v>
      </c>
      <c r="E92" s="47" t="n">
        <f aca="false">IFERROR(IF(E61&lt;=0,"N/M",E28/E61),"N/M")</f>
        <v>0.474386508467416</v>
      </c>
      <c r="F92" s="47" t="n">
        <f aca="false">IFERROR(IF(F61&lt;=0,"N/M",F28/F61),"N/M")</f>
        <v>0.736385595081247</v>
      </c>
      <c r="G92" s="47" t="n">
        <f aca="false">IFERROR(IF(G61&lt;=0,"N/M",G28/G61),"N/M")</f>
        <v>1.48494667687432</v>
      </c>
      <c r="H92" s="47" t="n">
        <f aca="false">IFERROR(IF(H61&lt;=0,"N/M",H28/H61),"N/M")</f>
        <v>1.50118788961764</v>
      </c>
      <c r="I92" s="47" t="n">
        <f aca="false">IFERROR(IF(I61&lt;=0,"N/M",I28/I61),"N/M")</f>
        <v>1.98405955969672</v>
      </c>
      <c r="J92" s="47" t="n">
        <f aca="false">IFERROR(IF(J61&lt;=0,"N/M",J28/J61),"N/M")</f>
        <v>0.553082279235261</v>
      </c>
      <c r="K92" s="22" t="n">
        <f aca="false">IFERROR(AVERAGE(D92:J92),"N/M")</f>
        <v>1.01480623740329</v>
      </c>
      <c r="L92" s="82" t="n">
        <f aca="false">IFERROR(J92-D92,"N/M")</f>
        <v>0.183487126384807</v>
      </c>
      <c r="M92" s="83" t="n">
        <f aca="false">IFERROR(SLOPE(D92:J92,$D$3:$J$3),"N/M")</f>
        <v>0.154807492005337</v>
      </c>
    </row>
    <row r="93" customFormat="false" ht="15" hidden="false" customHeight="false" outlineLevel="0" collapsed="false">
      <c r="A93" s="18" t="s">
        <v>126</v>
      </c>
      <c r="B93" s="19" t="s">
        <v>535</v>
      </c>
      <c r="D93" s="47" t="n">
        <f aca="false">IFERROR(IF(D59&lt;=0,"N/M",D28/D59),"N/M")</f>
        <v>1.16865021770682</v>
      </c>
      <c r="E93" s="47" t="n">
        <f aca="false">IFERROR(IF(E59&lt;=0,"N/M",E28/E59),"N/M")</f>
        <v>1.80931918893514</v>
      </c>
      <c r="F93" s="47" t="n">
        <f aca="false">IFERROR(IF(F59&lt;=0,"N/M",F28/F59),"N/M")</f>
        <v>2.03396512509477</v>
      </c>
      <c r="G93" s="47" t="n">
        <f aca="false">IFERROR(IF(G59&lt;=0,"N/M",G28/G59),"N/M")</f>
        <v>3.0261964369943</v>
      </c>
      <c r="H93" s="47" t="n">
        <f aca="false">IFERROR(IF(H59&lt;=0,"N/M",H28/H59),"N/M")</f>
        <v>2.94819747966183</v>
      </c>
      <c r="I93" s="47" t="n">
        <f aca="false">IFERROR(IF(I59&lt;=0,"N/M",I28/I59),"N/M")</f>
        <v>2.89728539985327</v>
      </c>
      <c r="J93" s="47" t="n">
        <f aca="false">IFERROR(IF(J59&lt;=0,"N/M",J28/J59),"N/M")</f>
        <v>1.68307214091439</v>
      </c>
      <c r="K93" s="22" t="n">
        <f aca="false">IFERROR(AVERAGE(D93:J93),"N/M")</f>
        <v>2.22381228416579</v>
      </c>
      <c r="L93" s="82" t="n">
        <f aca="false">IFERROR(J93-D93,"N/M")</f>
        <v>0.514421923207568</v>
      </c>
      <c r="M93" s="83" t="n">
        <f aca="false">IFERROR(SLOPE(D93:J93,$D$3:$J$3),"N/M")</f>
        <v>0.165479662358072</v>
      </c>
    </row>
    <row r="95" customFormat="false" ht="15" hidden="false" customHeight="false" outlineLevel="0" collapsed="false">
      <c r="A95" s="16" t="s">
        <v>536</v>
      </c>
      <c r="B95" s="17"/>
      <c r="C95" s="17"/>
      <c r="D95" s="17"/>
      <c r="E95" s="17"/>
      <c r="F95" s="17"/>
      <c r="G95" s="17"/>
      <c r="H95" s="17"/>
      <c r="I95" s="17"/>
      <c r="J95" s="17"/>
      <c r="K95" s="17"/>
      <c r="L95" s="17"/>
      <c r="M95" s="17"/>
    </row>
    <row r="96" customFormat="false" ht="15" hidden="false" customHeight="false" outlineLevel="0" collapsed="false">
      <c r="A96" s="18" t="s">
        <v>127</v>
      </c>
      <c r="B96" s="19" t="s">
        <v>537</v>
      </c>
      <c r="D96" s="47" t="n">
        <f aca="false">IFERROR(IF(D19&lt;=0,"N/M",D58/D19),"N/M")</f>
        <v>5.60521837776517</v>
      </c>
      <c r="E96" s="47" t="n">
        <f aca="false">IFERROR(IF(E19&lt;=0,"N/M",E58/E19),"N/M")</f>
        <v>2.95121951219512</v>
      </c>
      <c r="F96" s="47" t="n">
        <f aca="false">IFERROR(IF(F19&lt;=0,"N/M",F58/F19),"N/M")</f>
        <v>1.88229376257545</v>
      </c>
      <c r="G96" s="47" t="n">
        <f aca="false">IFERROR(IF(G19&lt;=0,"N/M",G58/G19),"N/M")</f>
        <v>1.66976924568548</v>
      </c>
      <c r="H96" s="47" t="n">
        <f aca="false">IFERROR(IF(H19&lt;=0,"N/M",H58/H19),"N/M")</f>
        <v>0.612822769953052</v>
      </c>
      <c r="I96" s="47" t="n">
        <f aca="false">IFERROR(IF(I19&lt;=0,"N/M",I58/I19),"N/M")</f>
        <v>0.905553503263145</v>
      </c>
      <c r="J96" s="47" t="n">
        <f aca="false">IFERROR(IF(J19&lt;=0,"N/M",J58/J19),"N/M")</f>
        <v>1.44201546254332</v>
      </c>
      <c r="K96" s="22" t="n">
        <f aca="false">IFERROR(AVERAGE(D96:J96),"N/M")</f>
        <v>2.15269894771153</v>
      </c>
      <c r="L96" s="82" t="n">
        <f aca="false">IFERROR(J96-D96,"N/M")</f>
        <v>-4.16320291522185</v>
      </c>
      <c r="M96" s="83" t="n">
        <f aca="false">IFERROR(SLOPE(D96:J96,$D$3:$J$3),"N/M")</f>
        <v>-0.637514705576854</v>
      </c>
    </row>
    <row r="97" customFormat="false" ht="15" hidden="false" customHeight="false" outlineLevel="0" collapsed="false">
      <c r="A97" s="18" t="s">
        <v>538</v>
      </c>
      <c r="B97" s="19" t="s">
        <v>539</v>
      </c>
      <c r="D97" s="47" t="n">
        <f aca="false">IFERROR(IF(D19&lt;=0,"N/M",D59/D19),"N/M")</f>
        <v>9.77027793533749</v>
      </c>
      <c r="E97" s="47" t="n">
        <f aca="false">IFERROR(IF(E19&lt;=0,"N/M",E59/E19),"N/M")</f>
        <v>7.41363862618218</v>
      </c>
      <c r="F97" s="47" t="n">
        <f aca="false">IFERROR(IF(F19&lt;=0,"N/M",F59/F19),"N/M")</f>
        <v>6.63480885311871</v>
      </c>
      <c r="G97" s="47" t="n">
        <f aca="false">IFERROR(IF(G19&lt;=0,"N/M",G59/G19),"N/M")</f>
        <v>5.34438627108784</v>
      </c>
      <c r="H97" s="47" t="n">
        <f aca="false">IFERROR(IF(H19&lt;=0,"N/M",H59/H19),"N/M")</f>
        <v>3.67899061032864</v>
      </c>
      <c r="I97" s="47" t="n">
        <f aca="false">IFERROR(IF(I19&lt;=0,"N/M",I59/I19),"N/M")</f>
        <v>3.69240241349588</v>
      </c>
      <c r="J97" s="47" t="n">
        <f aca="false">IFERROR(IF(J19&lt;=0,"N/M",J59/J19),"N/M")</f>
        <v>5.14596107704612</v>
      </c>
      <c r="K97" s="22" t="n">
        <f aca="false">IFERROR(AVERAGE(D97:J97),"N/M")</f>
        <v>5.95435225522812</v>
      </c>
      <c r="L97" s="82" t="n">
        <f aca="false">IFERROR(J97-D97,"N/M")</f>
        <v>-4.62431685829137</v>
      </c>
      <c r="M97" s="83" t="n">
        <f aca="false">IFERROR(SLOPE(D97:J97,$D$3:$J$3),"N/M")</f>
        <v>-0.866830044394171</v>
      </c>
    </row>
    <row r="98" customFormat="false" ht="15" hidden="false" customHeight="false" outlineLevel="0" collapsed="false">
      <c r="A98" s="18" t="s">
        <v>540</v>
      </c>
      <c r="B98" s="19" t="s">
        <v>541</v>
      </c>
      <c r="D98" s="47" t="n">
        <f aca="false">IFERROR(IF(D23&lt;=0,"N/M",D22/D23),"N/M")</f>
        <v>5.13699906803355</v>
      </c>
      <c r="E98" s="47" t="n">
        <f aca="false">IFERROR(IF(E23&lt;=0,"N/M",E22/E23),"N/M")</f>
        <v>1.67410714285714</v>
      </c>
      <c r="F98" s="47" t="n">
        <f aca="false">IFERROR(IF(F23&lt;=0,"N/M",F22/F23),"N/M")</f>
        <v>1.22199025748086</v>
      </c>
      <c r="G98" s="47" t="n">
        <f aca="false">IFERROR(IF(G23&lt;=0,"N/M",G22/G23),"N/M")</f>
        <v>1.46</v>
      </c>
      <c r="H98" s="47" t="n">
        <f aca="false">IFERROR(IF(H23&lt;=0,"N/M",H22/H23),"N/M")</f>
        <v>-3.03942254303165</v>
      </c>
      <c r="I98" s="47" t="n">
        <f aca="false">IFERROR(IF(I23&lt;=0,"N/M",I22/I23),"N/M")</f>
        <v>-1.98835274542429</v>
      </c>
      <c r="J98" s="47" t="n">
        <f aca="false">IFERROR(IF(J23&lt;=0,"N/M",J22/J23),"N/M")</f>
        <v>0.0923387096774194</v>
      </c>
      <c r="K98" s="22" t="n">
        <f aca="false">IFERROR(AVERAGE(D98:J98),"N/M")</f>
        <v>0.651094269941862</v>
      </c>
      <c r="L98" s="82" t="n">
        <f aca="false">IFERROR(J98-D98,"N/M")</f>
        <v>-5.04466035835613</v>
      </c>
      <c r="M98" s="83" t="n">
        <f aca="false">IFERROR(SLOPE(D98:J98,$D$3:$J$3),"N/M")</f>
        <v>-0.954296916147992</v>
      </c>
    </row>
    <row r="99" customFormat="false" ht="15" hidden="false" customHeight="false" outlineLevel="0" collapsed="false">
      <c r="A99" s="18" t="s">
        <v>542</v>
      </c>
      <c r="B99" s="19" t="s">
        <v>543</v>
      </c>
      <c r="D99" s="47" t="n">
        <f aca="false">IFERROR(IF((D19+IF((1-D60)&lt;=0,"N/M",D68/(1-D60)))&lt;=0,"N/M",D59/(D19+IF((1-D60)&lt;=0,"N/M",D68/(1-D60)))),"N/M")</f>
        <v>9.77027793533749</v>
      </c>
      <c r="E99" s="47" t="n">
        <f aca="false">IFERROR(IF((E19+IF((1-E60)&lt;=0,"N/M",E68/(1-E60)))&lt;=0,"N/M",E59/(E19+IF((1-E60)&lt;=0,"N/M",E68/(1-E60)))),"N/M")</f>
        <v>7.41363862618218</v>
      </c>
      <c r="F99" s="47" t="n">
        <f aca="false">IFERROR(IF((F19+IF((1-F60)&lt;=0,"N/M",F68/(1-F60)))&lt;=0,"N/M",F59/(F19+IF((1-F60)&lt;=0,"N/M",F68/(1-F60)))),"N/M")</f>
        <v>6.63480885311871</v>
      </c>
      <c r="G99" s="47" t="n">
        <f aca="false">IFERROR(IF((G19+IF((1-G60)&lt;=0,"N/M",G68/(1-G60)))&lt;=0,"N/M",G59/(G19+IF((1-G60)&lt;=0,"N/M",G68/(1-G60)))),"N/M")</f>
        <v>5.34438627108784</v>
      </c>
      <c r="H99" s="47" t="n">
        <f aca="false">IFERROR(IF((H19+IF((1-H60)&lt;=0,"N/M",H68/(1-H60)))&lt;=0,"N/M",H59/(H19+IF((1-H60)&lt;=0,"N/M",H68/(1-H60)))),"N/M")</f>
        <v>1.53916032408544</v>
      </c>
      <c r="I99" s="47" t="n">
        <f aca="false">IFERROR(IF((I19+IF((1-I60)&lt;=0,"N/M",I68/(1-I60)))&lt;=0,"N/M",I59/(I19+IF((1-I60)&lt;=0,"N/M",I68/(1-I60)))),"N/M")</f>
        <v>3.69240241349588</v>
      </c>
      <c r="J99" s="47" t="n">
        <f aca="false">IFERROR(IF((J19+IF((1-J60)&lt;=0,"N/M",J68/(1-J60)))&lt;=0,"N/M",J59/(J19+IF((1-J60)&lt;=0,"N/M",J68/(1-J60)))),"N/M")</f>
        <v>0.506523141110717</v>
      </c>
      <c r="K99" s="22" t="n">
        <f aca="false">IFERROR(AVERAGE(D99:J99),"N/M")</f>
        <v>4.98588536634547</v>
      </c>
      <c r="L99" s="82" t="n">
        <f aca="false">IFERROR(J99-D99,"N/M")</f>
        <v>-9.26375479422678</v>
      </c>
      <c r="M99" s="83" t="n">
        <f aca="false">IFERROR(SLOPE(D99:J99,$D$3:$J$3),"N/M")</f>
        <v>-1.44033519061022</v>
      </c>
    </row>
    <row r="100" customFormat="false" ht="15" hidden="false" customHeight="false" outlineLevel="0" collapsed="false">
      <c r="A100" s="18" t="s">
        <v>544</v>
      </c>
      <c r="B100" s="19" t="s">
        <v>545</v>
      </c>
      <c r="D100" s="47" t="n">
        <f aca="false">IFERROR(IF((D19+IF((1-D60)&lt;=0,"N/M",D68/(1-D60)))&lt;=0,"N/M",(D41+D21)/(D19+IF((1-D60)&lt;=0,"N/M",D68/(1-D60)))),"N/M")</f>
        <v>6.30289279636982</v>
      </c>
      <c r="E100" s="47" t="n">
        <f aca="false">IFERROR(IF((E19+IF((1-E60)&lt;=0,"N/M",E68/(1-E60)))&lt;=0,"N/M",(E41+E21)/(E19+IF((1-E60)&lt;=0,"N/M",E68/(1-E60)))),"N/M")</f>
        <v>15.1174713787954</v>
      </c>
      <c r="F100" s="47" t="n">
        <f aca="false">IFERROR(IF((F19+IF((1-F60)&lt;=0,"N/M",F68/(1-F60)))&lt;=0,"N/M",(F41+F21)/(F19+IF((1-F60)&lt;=0,"N/M",F68/(1-F60)))),"N/M")</f>
        <v>6.78169014084507</v>
      </c>
      <c r="G100" s="47" t="n">
        <f aca="false">IFERROR(IF((G19+IF((1-G60)&lt;=0,"N/M",G68/(1-G60)))&lt;=0,"N/M",(G41+G21)/(G19+IF((1-G60)&lt;=0,"N/M",G68/(1-G60)))),"N/M")</f>
        <v>2.45336435912352</v>
      </c>
      <c r="H100" s="47" t="n">
        <f aca="false">IFERROR(IF((H19+IF((1-H60)&lt;=0,"N/M",H68/(1-H60)))&lt;=0,"N/M",(H41+H21)/(H19+IF((1-H60)&lt;=0,"N/M",H68/(1-H60)))),"N/M")</f>
        <v>1.55008593174564</v>
      </c>
      <c r="I100" s="47" t="n">
        <f aca="false">IFERROR(IF((I19+IF((1-I60)&lt;=0,"N/M",I68/(1-I60)))&lt;=0,"N/M",(I41+I21)/(I19+IF((1-I60)&lt;=0,"N/M",I68/(1-I60)))),"N/M")</f>
        <v>4.50067725649551</v>
      </c>
      <c r="J100" s="47" t="n">
        <f aca="false">IFERROR(IF((J19+IF((1-J60)&lt;=0,"N/M",J68/(1-J60)))&lt;=0,"N/M",(J41+J21)/(J19+IF((1-J60)&lt;=0,"N/M",J68/(1-J60)))),"N/M")</f>
        <v>0.362392673422562</v>
      </c>
      <c r="K100" s="22" t="n">
        <f aca="false">IFERROR(AVERAGE(D100:J100),"N/M")</f>
        <v>5.29551064811394</v>
      </c>
      <c r="L100" s="82" t="n">
        <f aca="false">IFERROR(J100-D100,"N/M")</f>
        <v>-5.94050012294726</v>
      </c>
      <c r="M100" s="83" t="n">
        <f aca="false">IFERROR(SLOPE(D100:J100,$D$3:$J$3),"N/M")</f>
        <v>-1.58166760080504</v>
      </c>
    </row>
    <row r="101" customFormat="false" ht="15" hidden="false" customHeight="false" outlineLevel="0" collapsed="false">
      <c r="A101" s="18" t="s">
        <v>546</v>
      </c>
      <c r="B101" s="19" t="s">
        <v>547</v>
      </c>
      <c r="D101" s="47" t="n">
        <f aca="false">IFERROR(IF(D67&lt;=0,"N/M",D41/D67),"N/M")</f>
        <v>0.347737547346556</v>
      </c>
      <c r="E101" s="47" t="n">
        <f aca="false">IFERROR(IF(E67&lt;=0,"N/M",E41/E67),"N/M")</f>
        <v>1.41585113050186</v>
      </c>
      <c r="F101" s="47" t="n">
        <f aca="false">IFERROR(IF(F67&lt;=0,"N/M",F41/F67),"N/M")</f>
        <v>0.653347473572577</v>
      </c>
      <c r="G101" s="47" t="n">
        <f aca="false">IFERROR(IF(G67&lt;=0,"N/M",G41/G67),"N/M")</f>
        <v>0.234766707957294</v>
      </c>
      <c r="H101" s="47" t="n">
        <f aca="false">IFERROR(IF(H67&lt;=0,"N/M",H41/H67),"N/M")</f>
        <v>0.99517459203369</v>
      </c>
      <c r="I101" s="47" t="n">
        <f aca="false">IFERROR(IF(I67&lt;=0,"N/M",I41/I67),"N/M")</f>
        <v>0.982703817187366</v>
      </c>
      <c r="J101" s="47" t="n">
        <f aca="false">IFERROR(IF(J67&lt;=0,"N/M",J41/J67),"N/M")</f>
        <v>0.534669955516202</v>
      </c>
      <c r="K101" s="22" t="n">
        <f aca="false">IFERROR(AVERAGE(D101:J101),"N/M")</f>
        <v>0.737750174873649</v>
      </c>
      <c r="L101" s="82" t="n">
        <f aca="false">IFERROR(J101-D101,"N/M")</f>
        <v>0.186932408169645</v>
      </c>
      <c r="M101" s="83" t="n">
        <f aca="false">IFERROR(SLOPE(D101:J101,$D$3:$J$3),"N/M")</f>
        <v>0.0012974898693239</v>
      </c>
    </row>
    <row r="102" customFormat="false" ht="15" hidden="false" customHeight="false" outlineLevel="0" collapsed="false">
      <c r="A102" s="18" t="s">
        <v>129</v>
      </c>
      <c r="B102" s="19" t="s">
        <v>548</v>
      </c>
      <c r="D102" s="47" t="n">
        <f aca="false">IFERROR(IF((D19+D68)&lt;=0,"N/M",((D22+D19)+D18)/(D19+D68)),"N/M")</f>
        <v>8.29154849688032</v>
      </c>
      <c r="E102" s="47" t="n">
        <f aca="false">IFERROR(IF((E19+E68)&lt;=0,"N/M",((E22+E19)+E18)/(E19+E68)),"N/M")</f>
        <v>6.9556993529119</v>
      </c>
      <c r="F102" s="47" t="n">
        <f aca="false">IFERROR(IF((F19+F68)&lt;=0,"N/M",((F22+F19)+F18)/(F19+F68)),"N/M")</f>
        <v>6.34138162307176</v>
      </c>
      <c r="G102" s="47" t="n">
        <f aca="false">IFERROR(IF((G19+G68)&lt;=0,"N/M",((G22+G19)+G18)/(G19+G68)),"N/M")</f>
        <v>5.18421562924181</v>
      </c>
      <c r="H102" s="47" t="n">
        <f aca="false">IFERROR(IF((H19+H68)&lt;=0,"N/M",((H22+H19)+H18)/(H19+H68)),"N/M")</f>
        <v>1.36514853916032</v>
      </c>
      <c r="I102" s="47" t="n">
        <f aca="false">IFERROR(IF((I19+I68)&lt;=0,"N/M",((I22+I19)+I18)/(I19+I68)),"N/M")</f>
        <v>3.3454008127078</v>
      </c>
      <c r="J102" s="47" t="n">
        <f aca="false">IFERROR(IF((J19+J68)&lt;=0,"N/M",((J22+J19)+J18)/(J19+J68)),"N/M")</f>
        <v>1.20788981465737</v>
      </c>
      <c r="K102" s="22" t="n">
        <f aca="false">IFERROR(AVERAGE(D102:J102),"N/M")</f>
        <v>4.67018346694733</v>
      </c>
      <c r="L102" s="82" t="n">
        <f aca="false">IFERROR(J102-D102,"N/M")</f>
        <v>-7.08365868222295</v>
      </c>
      <c r="M102" s="83" t="n">
        <f aca="false">IFERROR(SLOPE(D102:J102,$D$3:$J$3),"N/M")</f>
        <v>-1.1945645075353</v>
      </c>
    </row>
    <row r="104" customFormat="false" ht="15" hidden="false" customHeight="false" outlineLevel="0" collapsed="false">
      <c r="A104" s="16" t="s">
        <v>549</v>
      </c>
      <c r="B104" s="17"/>
      <c r="C104" s="17"/>
      <c r="D104" s="17"/>
      <c r="E104" s="17"/>
      <c r="F104" s="17"/>
      <c r="G104" s="17"/>
      <c r="H104" s="17"/>
      <c r="I104" s="17"/>
      <c r="J104" s="17"/>
      <c r="K104" s="17"/>
      <c r="L104" s="17"/>
      <c r="M104" s="17"/>
    </row>
    <row r="105" customFormat="false" ht="15" hidden="false" customHeight="false" outlineLevel="0" collapsed="false">
      <c r="A105" s="18" t="s">
        <v>550</v>
      </c>
      <c r="B105" s="19" t="s">
        <v>551</v>
      </c>
      <c r="D105" s="47" t="str">
        <f aca="false">IFERROR(IF(((D37+C37)/2)&lt;=0,"N/M",D52/((D37+C37)/2)),"N/M")</f>
        <v>N/M</v>
      </c>
      <c r="E105" s="47" t="str">
        <f aca="false">IFERROR(IF(((E37+D37)/2)&lt;=0,"N/M",E52/((E37+D37)/2)),"N/M")</f>
        <v>N/M</v>
      </c>
      <c r="F105" s="47" t="n">
        <f aca="false">IFERROR(IF(((F37+E37)/2)&lt;=0,"N/M",F52/((F37+E37)/2)),"N/M")</f>
        <v>4981.41258741259</v>
      </c>
      <c r="G105" s="47" t="n">
        <f aca="false">IFERROR(IF(((G37+F37)/2)&lt;=0,"N/M",G52/((G37+F37)/2)),"N/M")</f>
        <v>4777.48913043478</v>
      </c>
      <c r="H105" s="47" t="n">
        <f aca="false">IFERROR(IF(((H37+G37)/2)&lt;=0,"N/M",H52/((H37+G37)/2)),"N/M")</f>
        <v>22910.8780487805</v>
      </c>
      <c r="I105" s="47" t="str">
        <f aca="false">IFERROR(IF(((I37+H37)/2)&lt;=0,"N/M",I52/((I37+H37)/2)),"N/M")</f>
        <v>N/M</v>
      </c>
      <c r="J105" s="47" t="str">
        <f aca="false">IFERROR(IF(((J37+I37)/2)&lt;=0,"N/M",J52/((J37+I37)/2)),"N/M")</f>
        <v>N/M</v>
      </c>
      <c r="K105" s="22" t="n">
        <f aca="false">IFERROR(AVERAGE(D105:J105),"N/M")</f>
        <v>10889.926588876</v>
      </c>
      <c r="L105" s="82" t="str">
        <f aca="false">IFERROR(J105-D105,"N/M")</f>
        <v>N/M</v>
      </c>
      <c r="M105" s="83" t="n">
        <f aca="false">IFERROR(SLOPE(D105:J105,$D$3:$J$3),"N/M")</f>
        <v>8964.73273068395</v>
      </c>
    </row>
    <row r="106" customFormat="false" ht="15" hidden="false" customHeight="false" outlineLevel="0" collapsed="false">
      <c r="A106" s="18" t="s">
        <v>552</v>
      </c>
      <c r="B106" s="19" t="s">
        <v>553</v>
      </c>
      <c r="D106" s="48" t="str">
        <f aca="false">IFERROR(IF(D105&lt;=0,"N/M",365/D105),"N/M")</f>
        <v>N/M</v>
      </c>
      <c r="E106" s="48" t="str">
        <f aca="false">IFERROR(IF(E105&lt;=0,"N/M",365/E105),"N/M")</f>
        <v>N/M</v>
      </c>
      <c r="F106" s="48" t="n">
        <f aca="false">IFERROR(IF(F105&lt;=0,"N/M",365/F105),"N/M")</f>
        <v>0.0732723888244691</v>
      </c>
      <c r="G106" s="48" t="n">
        <f aca="false">IFERROR(IF(G105&lt;=0,"N/M",365/G105),"N/M")</f>
        <v>0.0763999645074614</v>
      </c>
      <c r="H106" s="48" t="n">
        <f aca="false">IFERROR(IF(H105&lt;=0,"N/M",365/H105),"N/M")</f>
        <v>0.0159312968810215</v>
      </c>
      <c r="I106" s="48" t="str">
        <f aca="false">IFERROR(IF(I105&lt;=0,"N/M",365/I105),"N/M")</f>
        <v>N/M</v>
      </c>
      <c r="J106" s="48" t="str">
        <f aca="false">IFERROR(IF(J105&lt;=0,"N/M",365/J105),"N/M")</f>
        <v>N/M</v>
      </c>
      <c r="K106" s="28" t="n">
        <f aca="false">IFERROR(AVERAGE(D106:J106),"N/M")</f>
        <v>0.0552012167376507</v>
      </c>
      <c r="L106" s="84" t="str">
        <f aca="false">IFERROR(J106-D106,"N/M")</f>
        <v>N/M</v>
      </c>
      <c r="M106" s="85" t="n">
        <f aca="false">IFERROR(SLOPE(D106:J106,$D$3:$J$3),"N/M")</f>
        <v>-0.0286705459717238</v>
      </c>
    </row>
    <row r="107" customFormat="false" ht="15" hidden="false" customHeight="false" outlineLevel="0" collapsed="false">
      <c r="A107" s="18" t="s">
        <v>554</v>
      </c>
      <c r="B107" s="19" t="s">
        <v>555</v>
      </c>
      <c r="D107" s="47" t="n">
        <f aca="false">IFERROR(IF(((D36+C36)/2)&lt;=0,"N/M",D9/((D36+C36)/2)),"N/M")</f>
        <v>6.5872283897903</v>
      </c>
      <c r="E107" s="47" t="n">
        <f aca="false">IFERROR(IF(((E36+D36)/2)&lt;=0,"N/M",E9/((E36+D36)/2)),"N/M")</f>
        <v>6.39174328995427</v>
      </c>
      <c r="F107" s="47" t="n">
        <f aca="false">IFERROR(IF(((F36+E36)/2)&lt;=0,"N/M",F9/((F36+E36)/2)),"N/M")</f>
        <v>8.49822473063109</v>
      </c>
      <c r="G107" s="47" t="n">
        <f aca="false">IFERROR(IF(((G36+F36)/2)&lt;=0,"N/M",G9/((G36+F36)/2)),"N/M")</f>
        <v>8.9860433331289</v>
      </c>
      <c r="H107" s="47" t="n">
        <f aca="false">IFERROR(IF(((H36+G36)/2)&lt;=0,"N/M",H9/((H36+G36)/2)),"N/M")</f>
        <v>8.13055323798906</v>
      </c>
      <c r="I107" s="47" t="n">
        <f aca="false">IFERROR(IF(((I36+H36)/2)&lt;=0,"N/M",I9/((I36+H36)/2)),"N/M")</f>
        <v>9.20094951017332</v>
      </c>
      <c r="J107" s="47" t="n">
        <f aca="false">IFERROR(IF(((J36+I36)/2)&lt;=0,"N/M",J9/((J36+I36)/2)),"N/M")</f>
        <v>10.6478333295302</v>
      </c>
      <c r="K107" s="22" t="n">
        <f aca="false">IFERROR(AVERAGE(D107:J107),"N/M")</f>
        <v>8.34893940302816</v>
      </c>
      <c r="L107" s="82" t="n">
        <f aca="false">IFERROR(J107-D107,"N/M")</f>
        <v>4.06060493973985</v>
      </c>
      <c r="M107" s="83" t="n">
        <f aca="false">IFERROR(SLOPE(D107:J107,$D$3:$J$3),"N/M")</f>
        <v>0.622591277393415</v>
      </c>
    </row>
    <row r="108" customFormat="false" ht="15" hidden="false" customHeight="false" outlineLevel="0" collapsed="false">
      <c r="A108" s="18" t="s">
        <v>130</v>
      </c>
      <c r="B108" s="19" t="s">
        <v>556</v>
      </c>
      <c r="D108" s="48" t="n">
        <f aca="false">IFERROR(IF(D107&lt;=0,"N/M",365/D107),"N/M")</f>
        <v>55.4102542680503</v>
      </c>
      <c r="E108" s="48" t="n">
        <f aca="false">IFERROR(IF(E107&lt;=0,"N/M",365/E107),"N/M")</f>
        <v>57.1049216844582</v>
      </c>
      <c r="F108" s="48" t="n">
        <f aca="false">IFERROR(IF(F107&lt;=0,"N/M",365/F107),"N/M")</f>
        <v>42.9501468329485</v>
      </c>
      <c r="G108" s="48" t="n">
        <f aca="false">IFERROR(IF(G107&lt;=0,"N/M",365/G107),"N/M")</f>
        <v>40.6185443880904</v>
      </c>
      <c r="H108" s="48" t="n">
        <f aca="false">IFERROR(IF(H107&lt;=0,"N/M",365/H107),"N/M")</f>
        <v>44.8923940740687</v>
      </c>
      <c r="I108" s="48" t="n">
        <f aca="false">IFERROR(IF(I107&lt;=0,"N/M",365/I107),"N/M")</f>
        <v>39.6698188155936</v>
      </c>
      <c r="J108" s="48" t="n">
        <f aca="false">IFERROR(IF(J107&lt;=0,"N/M",365/J107),"N/M")</f>
        <v>34.279274356007</v>
      </c>
      <c r="K108" s="28" t="n">
        <f aca="false">IFERROR(AVERAGE(D108:J108),"N/M")</f>
        <v>44.9893363456024</v>
      </c>
      <c r="L108" s="84" t="n">
        <f aca="false">IFERROR(J108-D108,"N/M")</f>
        <v>-21.1309799120432</v>
      </c>
      <c r="M108" s="85" t="n">
        <f aca="false">IFERROR(SLOPE(D108:J108,$D$3:$J$3),"N/M")</f>
        <v>-3.44003207974068</v>
      </c>
    </row>
    <row r="109" customFormat="false" ht="15" hidden="false" customHeight="false" outlineLevel="0" collapsed="false">
      <c r="A109" s="18" t="s">
        <v>557</v>
      </c>
      <c r="B109" s="19" t="s">
        <v>558</v>
      </c>
      <c r="D109" s="47" t="n">
        <f aca="false">IFERROR(IF(((D29+C29)/2)&lt;=0,"N/M",D52/((D29+C29)/2)),"N/M")</f>
        <v>4.37356885835787</v>
      </c>
      <c r="E109" s="47" t="n">
        <f aca="false">IFERROR(IF(((E29+D29)/2)&lt;=0,"N/M",E52/((E29+D29)/2)),"N/M")</f>
        <v>3.63631595510333</v>
      </c>
      <c r="F109" s="47" t="n">
        <f aca="false">IFERROR(IF(((F29+E29)/2)&lt;=0,"N/M",F52/((F29+E29)/2)),"N/M")</f>
        <v>3.79727388548613</v>
      </c>
      <c r="G109" s="47" t="n">
        <f aca="false">IFERROR(IF(((G29+F29)/2)&lt;=0,"N/M",G52/((G29+F29)/2)),"N/M")</f>
        <v>4.0254331977873</v>
      </c>
      <c r="H109" s="47" t="n">
        <f aca="false">IFERROR(IF(((H29+G29)/2)&lt;=0,"N/M",H52/((H29+G29)/2)),"N/M")</f>
        <v>3.90960851722674</v>
      </c>
      <c r="I109" s="47" t="n">
        <f aca="false">IFERROR(IF(((I29+H29)/2)&lt;=0,"N/M",I52/((I29+H29)/2)),"N/M")</f>
        <v>4.18656805344815</v>
      </c>
      <c r="J109" s="47" t="n">
        <f aca="false">IFERROR(IF(((J29+I29)/2)&lt;=0,"N/M",J52/((J29+I29)/2)),"N/M")</f>
        <v>4.7298383621534</v>
      </c>
      <c r="K109" s="22" t="n">
        <f aca="false">IFERROR(AVERAGE(D109:J109),"N/M")</f>
        <v>4.09408668993756</v>
      </c>
      <c r="L109" s="82" t="n">
        <f aca="false">IFERROR(J109-D109,"N/M")</f>
        <v>0.356269503795528</v>
      </c>
      <c r="M109" s="83" t="n">
        <f aca="false">IFERROR(SLOPE(D109:J109,$D$3:$J$3),"N/M")</f>
        <v>0.0814874049934588</v>
      </c>
    </row>
    <row r="110" customFormat="false" ht="15" hidden="false" customHeight="false" outlineLevel="0" collapsed="false">
      <c r="A110" s="18" t="s">
        <v>559</v>
      </c>
      <c r="B110" s="19" t="s">
        <v>560</v>
      </c>
      <c r="D110" s="48" t="n">
        <f aca="false">IFERROR(IF(D109&lt;=0,"N/M",365/D109),"N/M")</f>
        <v>83.4558713537771</v>
      </c>
      <c r="E110" s="48" t="n">
        <f aca="false">IFERROR(IF(E109&lt;=0,"N/M",365/E109),"N/M")</f>
        <v>100.376316169047</v>
      </c>
      <c r="F110" s="48" t="n">
        <f aca="false">IFERROR(IF(F109&lt;=0,"N/M",365/F109),"N/M")</f>
        <v>96.1215890681723</v>
      </c>
      <c r="G110" s="48" t="n">
        <f aca="false">IFERROR(IF(G109&lt;=0,"N/M",365/G109),"N/M")</f>
        <v>90.6734709200076</v>
      </c>
      <c r="H110" s="48" t="n">
        <f aca="false">IFERROR(IF(H109&lt;=0,"N/M",365/H109),"N/M")</f>
        <v>93.3597311320855</v>
      </c>
      <c r="I110" s="48" t="n">
        <f aca="false">IFERROR(IF(I109&lt;=0,"N/M",365/I109),"N/M")</f>
        <v>87.1835821943412</v>
      </c>
      <c r="J110" s="48" t="n">
        <f aca="false">IFERROR(IF(J109&lt;=0,"N/M",365/J109),"N/M")</f>
        <v>77.1696561389094</v>
      </c>
      <c r="K110" s="28" t="n">
        <f aca="false">IFERROR(AVERAGE(D110:J110),"N/M")</f>
        <v>89.7628881394771</v>
      </c>
      <c r="L110" s="84" t="n">
        <f aca="false">IFERROR(J110-D110,"N/M")</f>
        <v>-6.2862152148677</v>
      </c>
      <c r="M110" s="85" t="n">
        <f aca="false">IFERROR(SLOPE(D110:J110,$D$3:$J$3),"N/M")</f>
        <v>-1.71449898321788</v>
      </c>
    </row>
    <row r="111" customFormat="false" ht="15" hidden="false" customHeight="false" outlineLevel="0" collapsed="false">
      <c r="A111" s="18" t="s">
        <v>561</v>
      </c>
      <c r="B111" s="19" t="s">
        <v>562</v>
      </c>
      <c r="D111" s="48" t="n">
        <f aca="false">IFERROR(((IF(ISNUMBER(D106),D106,0)+D108)-D110),"N/M")</f>
        <v>-28.0456170857268</v>
      </c>
      <c r="E111" s="48" t="n">
        <f aca="false">IFERROR(((IF(ISNUMBER(E106),E106,0)+E108)-E110),"N/M")</f>
        <v>-43.2713944845884</v>
      </c>
      <c r="F111" s="48" t="n">
        <f aca="false">IFERROR(((IF(ISNUMBER(F106),F106,0)+F108)-F110),"N/M")</f>
        <v>-53.0981698463993</v>
      </c>
      <c r="G111" s="48" t="n">
        <f aca="false">IFERROR(((IF(ISNUMBER(G106),G106,0)+G108)-G110),"N/M")</f>
        <v>-49.9785265674097</v>
      </c>
      <c r="H111" s="48" t="n">
        <f aca="false">IFERROR(((IF(ISNUMBER(H106),H106,0)+H108)-H110),"N/M")</f>
        <v>-48.4514057611358</v>
      </c>
      <c r="I111" s="48" t="n">
        <f aca="false">IFERROR(((IF(ISNUMBER(I106),I106,0)+I108)-I110),"N/M")</f>
        <v>-47.5137633787477</v>
      </c>
      <c r="J111" s="48" t="n">
        <f aca="false">IFERROR(((IF(ISNUMBER(J106),J106,0)+J108)-J110),"N/M")</f>
        <v>-42.8903817829024</v>
      </c>
      <c r="K111" s="28" t="n">
        <f aca="false">IFERROR(AVERAGE(D111:J111),"N/M")</f>
        <v>-44.7498941295586</v>
      </c>
      <c r="L111" s="84" t="n">
        <f aca="false">IFERROR(J111-D111,"N/M")</f>
        <v>-14.8447646971755</v>
      </c>
      <c r="M111" s="85" t="n">
        <f aca="false">IFERROR(SLOPE(D111:J111,$D$3:$J$3),"N/M")</f>
        <v>-1.72758099266363</v>
      </c>
    </row>
    <row r="112" customFormat="false" ht="15" hidden="false" customHeight="false" outlineLevel="0" collapsed="false">
      <c r="A112" s="18" t="s">
        <v>132</v>
      </c>
      <c r="B112" s="19" t="s">
        <v>563</v>
      </c>
      <c r="D112" s="47" t="n">
        <f aca="false">IFERROR(IF(((D31+C31)/2)&lt;=0,"N/M",D9/((D31+C31)/2)),"N/M")</f>
        <v>22.9671485757766</v>
      </c>
      <c r="E112" s="47" t="n">
        <f aca="false">IFERROR(IF(((E31+D31)/2)&lt;=0,"N/M",E9/((E31+D31)/2)),"N/M")</f>
        <v>11.0320443482964</v>
      </c>
      <c r="F112" s="47" t="n">
        <f aca="false">IFERROR(IF(((F31+E31)/2)&lt;=0,"N/M",F9/((F31+E31)/2)),"N/M")</f>
        <v>9.61547482206509</v>
      </c>
      <c r="G112" s="47" t="n">
        <f aca="false">IFERROR(IF(((G31+F31)/2)&lt;=0,"N/M",G9/((G31+F31)/2)),"N/M")</f>
        <v>7.71038091157168</v>
      </c>
      <c r="H112" s="47" t="n">
        <f aca="false">IFERROR(IF(((H31+G31)/2)&lt;=0,"N/M",H9/((H31+G31)/2)),"N/M")</f>
        <v>6.61032373474521</v>
      </c>
      <c r="I112" s="47" t="n">
        <f aca="false">IFERROR(IF(((I31+H31)/2)&lt;=0,"N/M",I9/((I31+H31)/2)),"N/M")</f>
        <v>6.91471612629194</v>
      </c>
      <c r="J112" s="47" t="n">
        <f aca="false">IFERROR(IF(((J31+I31)/2)&lt;=0,"N/M",J9/((J31+I31)/2)),"N/M")</f>
        <v>6.73975214489991</v>
      </c>
      <c r="K112" s="22" t="n">
        <f aca="false">IFERROR(AVERAGE(D112:J112),"N/M")</f>
        <v>10.2271200948067</v>
      </c>
      <c r="L112" s="82" t="n">
        <f aca="false">IFERROR(J112-D112,"N/M")</f>
        <v>-16.2273964308767</v>
      </c>
      <c r="M112" s="83" t="n">
        <f aca="false">IFERROR(SLOPE(D112:J112,$D$3:$J$3),"N/M")</f>
        <v>-2.14007131514139</v>
      </c>
    </row>
    <row r="113" customFormat="false" ht="15" hidden="false" customHeight="false" outlineLevel="0" collapsed="false">
      <c r="A113" s="18" t="s">
        <v>133</v>
      </c>
      <c r="B113" s="19" t="s">
        <v>564</v>
      </c>
      <c r="D113" s="47" t="n">
        <f aca="false">IFERROR(IF(((D35+C35)/2)&lt;=0,"N/M",D9/((D35+C35)/2)),"N/M")</f>
        <v>2.64271493557167</v>
      </c>
      <c r="E113" s="47" t="n">
        <f aca="false">IFERROR(IF(((E35+D35)/2)&lt;=0,"N/M",E9/((E35+D35)/2)),"N/M")</f>
        <v>2.09968572779588</v>
      </c>
      <c r="F113" s="47" t="n">
        <f aca="false">IFERROR(IF(((F35+E35)/2)&lt;=0,"N/M",F9/((F35+E35)/2)),"N/M")</f>
        <v>2.26124613296854</v>
      </c>
      <c r="G113" s="47" t="n">
        <f aca="false">IFERROR(IF(((G35+F35)/2)&lt;=0,"N/M",G9/((G35+F35)/2)),"N/M")</f>
        <v>2.26495567951453</v>
      </c>
      <c r="H113" s="47" t="n">
        <f aca="false">IFERROR(IF(((H35+G35)/2)&lt;=0,"N/M",H9/((H35+G35)/2)),"N/M")</f>
        <v>2.18919155331661</v>
      </c>
      <c r="I113" s="47" t="n">
        <f aca="false">IFERROR(IF(((I35+H35)/2)&lt;=0,"N/M",I9/((I35+H35)/2)),"N/M")</f>
        <v>2.41488528481013</v>
      </c>
      <c r="J113" s="47" t="n">
        <f aca="false">IFERROR(IF(((J35+I35)/2)&lt;=0,"N/M",J9/((J35+I35)/2)),"N/M")</f>
        <v>2.46289020920826</v>
      </c>
      <c r="K113" s="22" t="n">
        <f aca="false">IFERROR(AVERAGE(D113:J113),"N/M")</f>
        <v>2.33365278902652</v>
      </c>
      <c r="L113" s="82" t="n">
        <f aca="false">IFERROR(J113-D113,"N/M")</f>
        <v>-0.179824726363411</v>
      </c>
      <c r="M113" s="83" t="n">
        <f aca="false">IFERROR(SLOPE(D113:J113,$D$3:$J$3),"N/M")</f>
        <v>0.000673941260225908</v>
      </c>
    </row>
    <row r="114" customFormat="false" ht="15" hidden="false" customHeight="false" outlineLevel="0" collapsed="false">
      <c r="A114" s="18" t="s">
        <v>565</v>
      </c>
      <c r="B114" s="19" t="s">
        <v>566</v>
      </c>
      <c r="D114" s="47" t="n">
        <f aca="false">IFERROR(IF(((D62+C62)/2)&lt;=0,"N/M",D9/((D62+C62)/2)),"N/M")</f>
        <v>5.41574418622793</v>
      </c>
      <c r="E114" s="47" t="n">
        <f aca="false">IFERROR(IF(((E62+D62)/2)&lt;=0,"N/M",E9/((E62+D62)/2)),"N/M")</f>
        <v>4.122185804773</v>
      </c>
      <c r="F114" s="47" t="n">
        <f aca="false">IFERROR(IF(((F62+E62)/2)&lt;=0,"N/M",F9/((F62+E62)/2)),"N/M")</f>
        <v>4.63576722420009</v>
      </c>
      <c r="G114" s="47" t="n">
        <f aca="false">IFERROR(IF(((G62+F62)/2)&lt;=0,"N/M",G9/((G62+F62)/2)),"N/M")</f>
        <v>4.37451697929729</v>
      </c>
      <c r="H114" s="47" t="n">
        <f aca="false">IFERROR(IF(((H62+G62)/2)&lt;=0,"N/M",H9/((H62+G62)/2)),"N/M")</f>
        <v>4.19106520316044</v>
      </c>
      <c r="I114" s="47" t="n">
        <f aca="false">IFERROR(IF(((I62+H62)/2)&lt;=0,"N/M",I9/((I62+H62)/2)),"N/M")</f>
        <v>4.80994476879319</v>
      </c>
      <c r="J114" s="47" t="n">
        <f aca="false">IFERROR(IF(((J62+I62)/2)&lt;=0,"N/M",J9/((J62+I62)/2)),"N/M")</f>
        <v>4.47069644448277</v>
      </c>
      <c r="K114" s="22" t="n">
        <f aca="false">IFERROR(AVERAGE(D114:J114),"N/M")</f>
        <v>4.57427437299067</v>
      </c>
      <c r="L114" s="82" t="n">
        <f aca="false">IFERROR(J114-D114,"N/M")</f>
        <v>-0.945047741745164</v>
      </c>
      <c r="M114" s="83" t="n">
        <f aca="false">IFERROR(SLOPE(D114:J114,$D$3:$J$3),"N/M")</f>
        <v>-0.0680116899369558</v>
      </c>
    </row>
    <row r="115" customFormat="false" ht="15" hidden="false" customHeight="false" outlineLevel="0" collapsed="false">
      <c r="A115" s="18" t="s">
        <v>567</v>
      </c>
      <c r="B115" s="19" t="s">
        <v>568</v>
      </c>
      <c r="D115" s="47" t="n">
        <f aca="false">IFERROR(IF(((D63+C63)/2)&lt;=0,"N/M",D9/((D63+C63)/2)),"N/M")</f>
        <v>3.12343879350682</v>
      </c>
      <c r="E115" s="47" t="n">
        <f aca="false">IFERROR(IF(((E63+D63)/2)&lt;=0,"N/M",E9/((E63+D63)/2)),"N/M")</f>
        <v>2.67432542056228</v>
      </c>
      <c r="F115" s="47" t="n">
        <f aca="false">IFERROR(IF(((F63+E63)/2)&lt;=0,"N/M",F9/((F63+E63)/2)),"N/M")</f>
        <v>3.17129509075592</v>
      </c>
      <c r="G115" s="47" t="n">
        <f aca="false">IFERROR(IF(((G63+F63)/2)&lt;=0,"N/M",G9/((G63+F63)/2)),"N/M")</f>
        <v>3.46163426068115</v>
      </c>
      <c r="H115" s="47" t="n">
        <f aca="false">IFERROR(IF(((H63+G63)/2)&lt;=0,"N/M",H9/((H63+G63)/2)),"N/M")</f>
        <v>3.40030013709966</v>
      </c>
      <c r="I115" s="47" t="n">
        <f aca="false">IFERROR(IF(((I63+H63)/2)&lt;=0,"N/M",I9/((I63+H63)/2)),"N/M")</f>
        <v>3.81580493537015</v>
      </c>
      <c r="J115" s="47" t="n">
        <f aca="false">IFERROR(IF(((J63+I63)/2)&lt;=0,"N/M",J9/((J63+I63)/2)),"N/M")</f>
        <v>4.13035524607577</v>
      </c>
      <c r="K115" s="22" t="n">
        <f aca="false">IFERROR(AVERAGE(D115:J115),"N/M")</f>
        <v>3.39673626915025</v>
      </c>
      <c r="L115" s="82" t="n">
        <f aca="false">IFERROR(J115-D115,"N/M")</f>
        <v>1.00691645256895</v>
      </c>
      <c r="M115" s="83" t="n">
        <f aca="false">IFERROR(SLOPE(D115:J115,$D$3:$J$3),"N/M")</f>
        <v>0.197596908345227</v>
      </c>
    </row>
    <row r="116" customFormat="false" ht="15" hidden="false" customHeight="false" outlineLevel="0" collapsed="false">
      <c r="A116" s="18" t="s">
        <v>569</v>
      </c>
      <c r="B116" s="19" t="s">
        <v>570</v>
      </c>
      <c r="D116" s="47" t="n">
        <f aca="false">IFERROR(IF(D65&lt;=0,"N/M",D9/D65),"N/M")</f>
        <v>6.98685614218715</v>
      </c>
      <c r="E116" s="47" t="n">
        <f aca="false">IFERROR(IF(E65&lt;=0,"N/M",E9/E65),"N/M")</f>
        <v>7.79507511524039</v>
      </c>
      <c r="F116" s="47" t="n">
        <f aca="false">IFERROR(IF(F65&lt;=0,"N/M",F9/F65),"N/M")</f>
        <v>13.0714060231075</v>
      </c>
      <c r="G116" s="47" t="n">
        <f aca="false">IFERROR(IF(G65&lt;=0,"N/M",G9/G65),"N/M")</f>
        <v>11.0908324141958</v>
      </c>
      <c r="H116" s="47" t="n">
        <f aca="false">IFERROR(IF(H65&lt;=0,"N/M",H9/H65),"N/M")</f>
        <v>14.7427370337644</v>
      </c>
      <c r="I116" s="47" t="n">
        <f aca="false">IFERROR(IF(I65&lt;=0,"N/M",I9/I65),"N/M")</f>
        <v>19.775290725924</v>
      </c>
      <c r="J116" s="47" t="n">
        <f aca="false">IFERROR(IF(J65&lt;=0,"N/M",J9/J65),"N/M")</f>
        <v>13.259514653229</v>
      </c>
      <c r="K116" s="22" t="n">
        <f aca="false">IFERROR(AVERAGE(D116:J116),"N/M")</f>
        <v>12.3888160153783</v>
      </c>
      <c r="L116" s="82" t="n">
        <f aca="false">IFERROR(J116-D116,"N/M")</f>
        <v>6.27265851104187</v>
      </c>
      <c r="M116" s="83" t="n">
        <f aca="false">IFERROR(SLOPE(D116:J116,$D$3:$J$3),"N/M")</f>
        <v>1.58749063446963</v>
      </c>
    </row>
    <row r="118" customFormat="false" ht="15" hidden="false" customHeight="false" outlineLevel="0" collapsed="false">
      <c r="A118" s="16" t="s">
        <v>571</v>
      </c>
      <c r="B118" s="17"/>
      <c r="C118" s="17"/>
      <c r="D118" s="17"/>
      <c r="E118" s="17"/>
      <c r="F118" s="17"/>
      <c r="G118" s="17"/>
      <c r="H118" s="17"/>
      <c r="I118" s="17"/>
      <c r="J118" s="17"/>
      <c r="K118" s="17"/>
      <c r="L118" s="17"/>
      <c r="M118" s="17"/>
    </row>
    <row r="119" customFormat="false" ht="15" hidden="false" customHeight="false" outlineLevel="0" collapsed="false">
      <c r="A119" s="18" t="s">
        <v>134</v>
      </c>
      <c r="B119" s="19" t="s">
        <v>572</v>
      </c>
      <c r="D119" s="46" t="n">
        <f aca="false">IFERROR(IF(D9&lt;=0,"N/M",D55/D9),"N/M")</f>
        <v>0.152612686322073</v>
      </c>
      <c r="E119" s="46" t="n">
        <f aca="false">IFERROR(IF(E9&lt;=0,"N/M",E55/E9),"N/M")</f>
        <v>0.15029475567757</v>
      </c>
      <c r="F119" s="46" t="n">
        <f aca="false">IFERROR(IF(F9&lt;=0,"N/M",F55/F9),"N/M")</f>
        <v>0.13984147837595</v>
      </c>
      <c r="G119" s="46" t="n">
        <f aca="false">IFERROR(IF(G9&lt;=0,"N/M",G55/G9),"N/M")</f>
        <v>0.1429326344649</v>
      </c>
      <c r="H119" s="46" t="n">
        <f aca="false">IFERROR(IF(H9&lt;=0,"N/M",H55/H9),"N/M")</f>
        <v>0.146975010761047</v>
      </c>
      <c r="I119" s="46" t="n">
        <f aca="false">IFERROR(IF(I9&lt;=0,"N/M",I55/I9),"N/M")</f>
        <v>0.136747460617249</v>
      </c>
      <c r="J119" s="46" t="n">
        <f aca="false">IFERROR(IF(J9&lt;=0,"N/M",J55/J9),"N/M")</f>
        <v>0.137522323660938</v>
      </c>
      <c r="K119" s="25" t="n">
        <f aca="false">IFERROR(AVERAGE(D119:J119),"N/M")</f>
        <v>0.143846621411389</v>
      </c>
      <c r="L119" s="86" t="n">
        <f aca="false">IFERROR(J119-D119,"N/M")</f>
        <v>-0.0150903626611352</v>
      </c>
      <c r="M119" s="87" t="n">
        <f aca="false">IFERROR(SLOPE(D119:J119,$D$3:$J$3),"N/M")</f>
        <v>-0.00232971948996256</v>
      </c>
    </row>
    <row r="120" customFormat="false" ht="15" hidden="false" customHeight="false" outlineLevel="0" collapsed="false">
      <c r="A120" s="18" t="s">
        <v>573</v>
      </c>
      <c r="B120" s="19" t="s">
        <v>574</v>
      </c>
      <c r="D120" s="46" t="n">
        <f aca="false">IFERROR(IF(D57&lt;=0,"N/M",D59/D57),"N/M")</f>
        <v>0.0494273883687097</v>
      </c>
      <c r="E120" s="46" t="n">
        <f aca="false">IFERROR(IF(E57&lt;=0,"N/M",E59/E57),"N/M")</f>
        <v>0.0454365188317195</v>
      </c>
      <c r="F120" s="46" t="n">
        <f aca="false">IFERROR(IF(F57&lt;=0,"N/M",F59/F57),"N/M")</f>
        <v>0.0476259252572667</v>
      </c>
      <c r="G120" s="46" t="n">
        <f aca="false">IFERROR(IF(G57&lt;=0,"N/M",G59/G57),"N/M")</f>
        <v>0.0535801768314969</v>
      </c>
      <c r="H120" s="46" t="n">
        <f aca="false">IFERROR(IF(H57&lt;=0,"N/M",H59/H57),"N/M")</f>
        <v>0.04538240047489</v>
      </c>
      <c r="I120" s="46" t="n">
        <f aca="false">IFERROR(IF(I57&lt;=0,"N/M",I59/I57),"N/M")</f>
        <v>0.0489943303432838</v>
      </c>
      <c r="J120" s="46" t="n">
        <f aca="false">IFERROR(IF(J57&lt;=0,"N/M",J59/J57),"N/M")</f>
        <v>0.0550984435992036</v>
      </c>
      <c r="K120" s="25" t="n">
        <f aca="false">IFERROR(AVERAGE(D120:J120),"N/M")</f>
        <v>0.0493635976723672</v>
      </c>
      <c r="L120" s="86" t="n">
        <f aca="false">IFERROR(J120-D120,"N/M")</f>
        <v>0.00567105523049393</v>
      </c>
      <c r="M120" s="87" t="n">
        <f aca="false">IFERROR(SLOPE(D120:J120,$D$3:$J$3),"N/M")</f>
        <v>0.000781616569008347</v>
      </c>
    </row>
    <row r="121" customFormat="false" ht="15" hidden="false" customHeight="false" outlineLevel="0" collapsed="false">
      <c r="A121" s="18" t="s">
        <v>136</v>
      </c>
      <c r="B121" s="19" t="s">
        <v>575</v>
      </c>
      <c r="D121" s="46" t="n">
        <f aca="false">IFERROR(IF(D9&lt;=0,"N/M",D56/D9),"N/M")</f>
        <v>0.0456564702086345</v>
      </c>
      <c r="E121" s="46" t="n">
        <f aca="false">IFERROR(IF(E9&lt;=0,"N/M",E56/E9),"N/M")</f>
        <v>0.041265794859853</v>
      </c>
      <c r="F121" s="46" t="n">
        <f aca="false">IFERROR(IF(F9&lt;=0,"N/M",F56/F9),"N/M")</f>
        <v>0.0445232276200503</v>
      </c>
      <c r="G121" s="46" t="n">
        <f aca="false">IFERROR(IF(G9&lt;=0,"N/M",G56/G9),"N/M")</f>
        <v>0.0507030608643426</v>
      </c>
      <c r="H121" s="46" t="n">
        <f aca="false">IFERROR(IF(H9&lt;=0,"N/M",H56/H9),"N/M")</f>
        <v>0.0419980493900257</v>
      </c>
      <c r="I121" s="46" t="n">
        <f aca="false">IFERROR(IF(I9&lt;=0,"N/M",I56/I9),"N/M")</f>
        <v>0.0465844257743459</v>
      </c>
      <c r="J121" s="46" t="n">
        <f aca="false">IFERROR(IF(J9&lt;=0,"N/M",J56/J9),"N/M")</f>
        <v>0.0541196976840541</v>
      </c>
      <c r="K121" s="25" t="n">
        <f aca="false">IFERROR(AVERAGE(D121:J121),"N/M")</f>
        <v>0.046407246628758</v>
      </c>
      <c r="L121" s="86" t="n">
        <f aca="false">IFERROR(J121-D121,"N/M")</f>
        <v>0.00846322747541964</v>
      </c>
      <c r="M121" s="87" t="n">
        <f aca="false">IFERROR(SLOPE(D121:J121,$D$3:$J$3),"N/M")</f>
        <v>0.00119649164375786</v>
      </c>
    </row>
    <row r="122" customFormat="false" ht="15" hidden="false" customHeight="false" outlineLevel="0" collapsed="false">
      <c r="A122" s="18" t="s">
        <v>576</v>
      </c>
      <c r="B122" s="19" t="s">
        <v>577</v>
      </c>
      <c r="D122" s="46" t="n">
        <f aca="false">IFERROR(IF(D9&lt;=0,"N/M",D58/D9),"N/M")</f>
        <v>0.0284690332282766</v>
      </c>
      <c r="E122" s="46" t="n">
        <f aca="false">IFERROR(IF(E9&lt;=0,"N/M",E58/E9),"N/M")</f>
        <v>0.018166386822399</v>
      </c>
      <c r="F122" s="46" t="n">
        <f aca="false">IFERROR(IF(F9&lt;=0,"N/M",F58/F9),"N/M")</f>
        <v>0.0135554825684174</v>
      </c>
      <c r="G122" s="46" t="n">
        <f aca="false">IFERROR(IF(G9&lt;=0,"N/M",G58/G9),"N/M")</f>
        <v>0.0167911721061016</v>
      </c>
      <c r="H122" s="46" t="n">
        <f aca="false">IFERROR(IF(H9&lt;=0,"N/M",H58/H9),"N/M")</f>
        <v>0.00758631085894039</v>
      </c>
      <c r="I122" s="46" t="n">
        <f aca="false">IFERROR(IF(I9&lt;=0,"N/M",I58/I9),"N/M")</f>
        <v>0.0120461994846703</v>
      </c>
      <c r="J122" s="46" t="n">
        <f aca="false">IFERROR(IF(J9&lt;=0,"N/M",J58/J9),"N/M")</f>
        <v>0.0154558312974155</v>
      </c>
      <c r="K122" s="25" t="n">
        <f aca="false">IFERROR(AVERAGE(D122:J122),"N/M")</f>
        <v>0.0160100594808887</v>
      </c>
      <c r="L122" s="86" t="n">
        <f aca="false">IFERROR(J122-D122,"N/M")</f>
        <v>-0.0130132019308611</v>
      </c>
      <c r="M122" s="87" t="n">
        <f aca="false">IFERROR(SLOPE(D122:J122,$D$3:$J$3),"N/M")</f>
        <v>-0.00204461257776849</v>
      </c>
    </row>
    <row r="123" customFormat="false" ht="15" hidden="false" customHeight="false" outlineLevel="0" collapsed="false">
      <c r="A123" s="18" t="s">
        <v>578</v>
      </c>
      <c r="B123" s="19" t="s">
        <v>579</v>
      </c>
      <c r="D123" s="46" t="n">
        <f aca="false">IFERROR(IF(D9&lt;=0,"N/M",D20/D9),"N/M")</f>
        <v>0.0233900101983786</v>
      </c>
      <c r="E123" s="46" t="n">
        <f aca="false">IFERROR(IF(E9&lt;=0,"N/M",E20/E9),"N/M")</f>
        <v>0.0120108342627431</v>
      </c>
      <c r="F123" s="46" t="n">
        <f aca="false">IFERROR(IF(F9&lt;=0,"N/M",F20/F9),"N/M")</f>
        <v>0.00635390604623306</v>
      </c>
      <c r="G123" s="46" t="n">
        <f aca="false">IFERROR(IF(G9&lt;=0,"N/M",G20/G9),"N/M")</f>
        <v>0.00673518853262978</v>
      </c>
      <c r="H123" s="46" t="n">
        <f aca="false">IFERROR(IF(H9&lt;=0,"N/M",H20/H9),"N/M")</f>
        <v>-0.00479297925706097</v>
      </c>
      <c r="I123" s="46" t="n">
        <f aca="false">IFERROR(IF(I9&lt;=0,"N/M",I20/I9),"N/M")</f>
        <v>-0.00125638224160214</v>
      </c>
      <c r="J123" s="46" t="n">
        <f aca="false">IFERROR(IF(J9&lt;=0,"N/M",J20/J9),"N/M")</f>
        <v>0.00473761661880474</v>
      </c>
      <c r="K123" s="25" t="n">
        <f aca="false">IFERROR(AVERAGE(D123:J123),"N/M")</f>
        <v>0.00673974202287518</v>
      </c>
      <c r="L123" s="86" t="n">
        <f aca="false">IFERROR(J123-D123,"N/M")</f>
        <v>-0.0186523935795739</v>
      </c>
      <c r="M123" s="87" t="n">
        <f aca="false">IFERROR(SLOPE(D123:J123,$D$3:$J$3),"N/M")</f>
        <v>-0.0033442321089538</v>
      </c>
    </row>
    <row r="124" customFormat="false" ht="15" hidden="false" customHeight="false" outlineLevel="0" collapsed="false">
      <c r="A124" s="18" t="s">
        <v>137</v>
      </c>
      <c r="B124" s="19" t="s">
        <v>580</v>
      </c>
      <c r="D124" s="46" t="n">
        <f aca="false">IFERROR(IF(D9&lt;=0,"N/M",D22/D9),"N/M")</f>
        <v>0.0158795093254666</v>
      </c>
      <c r="E124" s="46" t="n">
        <f aca="false">IFERROR(IF(E9&lt;=0,"N/M",E22/E9),"N/M")</f>
        <v>0.00919196499699729</v>
      </c>
      <c r="F124" s="46" t="n">
        <f aca="false">IFERROR(IF(F9&lt;=0,"N/M",F22/F9),"N/M")</f>
        <v>0.00424076739535737</v>
      </c>
      <c r="G124" s="46" t="n">
        <f aca="false">IFERROR(IF(G9&lt;=0,"N/M",G22/G9),"N/M")</f>
        <v>0.00512451518927362</v>
      </c>
      <c r="H124" s="46" t="n">
        <f aca="false">IFERROR(IF(H9&lt;=0,"N/M",H22/H9),"N/M")</f>
        <v>-0.00994193575337316</v>
      </c>
      <c r="I124" s="46" t="n">
        <f aca="false">IFERROR(IF(I9&lt;=0,"N/M",I22/I9),"N/M")</f>
        <v>-0.00587239939523296</v>
      </c>
      <c r="J124" s="46" t="n">
        <f aca="false">IFERROR(IF(J9&lt;=0,"N/M",J22/J9),"N/M")</f>
        <v>0.000327175574700327</v>
      </c>
      <c r="K124" s="25" t="n">
        <f aca="false">IFERROR(AVERAGE(D124:J124),"N/M")</f>
        <v>0.00270708533331272</v>
      </c>
      <c r="L124" s="86" t="n">
        <f aca="false">IFERROR(J124-D124,"N/M")</f>
        <v>-0.0155523337507662</v>
      </c>
      <c r="M124" s="87" t="n">
        <f aca="false">IFERROR(SLOPE(D124:J124,$D$3:$J$3),"N/M")</f>
        <v>-0.00324887261376749</v>
      </c>
    </row>
    <row r="126" customFormat="false" ht="15" hidden="false" customHeight="false" outlineLevel="0" collapsed="false">
      <c r="A126" s="16" t="s">
        <v>581</v>
      </c>
      <c r="B126" s="17"/>
      <c r="C126" s="17"/>
      <c r="D126" s="17"/>
      <c r="E126" s="17"/>
      <c r="F126" s="17"/>
      <c r="G126" s="17"/>
      <c r="H126" s="17"/>
      <c r="I126" s="17"/>
      <c r="J126" s="17"/>
      <c r="K126" s="17"/>
      <c r="L126" s="17"/>
      <c r="M126" s="17"/>
    </row>
    <row r="127" customFormat="false" ht="15" hidden="false" customHeight="false" outlineLevel="0" collapsed="false">
      <c r="A127" s="18" t="s">
        <v>582</v>
      </c>
      <c r="B127" s="19" t="s">
        <v>583</v>
      </c>
      <c r="D127" s="46" t="n">
        <f aca="false">IFERROR(IF(D9&lt;=0,"N/M",D52/D9),"N/M")</f>
        <v>0.847387313677927</v>
      </c>
      <c r="E127" s="46" t="n">
        <f aca="false">IFERROR(IF(E9&lt;=0,"N/M",E52/E9),"N/M")</f>
        <v>0.84970524432243</v>
      </c>
      <c r="F127" s="46" t="n">
        <f aca="false">IFERROR(IF(F9&lt;=0,"N/M",F52/F9),"N/M")</f>
        <v>0.86015852162405</v>
      </c>
      <c r="G127" s="46" t="n">
        <f aca="false">IFERROR(IF(G9&lt;=0,"N/M",G52/G9),"N/M")</f>
        <v>0.8570673655351</v>
      </c>
      <c r="H127" s="46" t="n">
        <f aca="false">IFERROR(IF(H9&lt;=0,"N/M",H52/H9),"N/M")</f>
        <v>0.853024989238953</v>
      </c>
      <c r="I127" s="46" t="n">
        <f aca="false">IFERROR(IF(I9&lt;=0,"N/M",I52/I9),"N/M")</f>
        <v>0.863252539382751</v>
      </c>
      <c r="J127" s="46" t="n">
        <f aca="false">IFERROR(IF(J9&lt;=0,"N/M",J52/J9),"N/M")</f>
        <v>0.862477676339063</v>
      </c>
      <c r="K127" s="25" t="n">
        <f aca="false">IFERROR(AVERAGE(D127:J127),"N/M")</f>
        <v>0.856153378588611</v>
      </c>
      <c r="L127" s="86" t="n">
        <f aca="false">IFERROR(J127-D127,"N/M")</f>
        <v>0.0150903626611353</v>
      </c>
      <c r="M127" s="87" t="n">
        <f aca="false">IFERROR(SLOPE(D127:J127,$D$3:$J$3),"N/M")</f>
        <v>0.00232971948996257</v>
      </c>
    </row>
    <row r="128" customFormat="false" ht="15" hidden="false" customHeight="false" outlineLevel="0" collapsed="false">
      <c r="A128" s="18" t="s">
        <v>584</v>
      </c>
      <c r="B128" s="19" t="s">
        <v>585</v>
      </c>
      <c r="D128" s="46" t="n">
        <f aca="false">IFERROR(IF(D9&lt;=0,"N/M",D53/D9),"N/M")</f>
        <v>0.106956216113438</v>
      </c>
      <c r="E128" s="46" t="n">
        <f aca="false">IFERROR(IF(E9&lt;=0,"N/M",E53/E9),"N/M")</f>
        <v>0.109028960817717</v>
      </c>
      <c r="F128" s="46" t="n">
        <f aca="false">IFERROR(IF(F9&lt;=0,"N/M",F53/F9),"N/M")</f>
        <v>0.0953182507558999</v>
      </c>
      <c r="G128" s="46" t="n">
        <f aca="false">IFERROR(IF(G9&lt;=0,"N/M",G53/G9),"N/M")</f>
        <v>0.0922295736005569</v>
      </c>
      <c r="H128" s="46" t="n">
        <f aca="false">IFERROR(IF(H9&lt;=0,"N/M",H53/H9),"N/M")</f>
        <v>0.104976961371021</v>
      </c>
      <c r="I128" s="46" t="n">
        <f aca="false">IFERROR(IF(I9&lt;=0,"N/M",I53/I9),"N/M")</f>
        <v>0.0901630348429031</v>
      </c>
      <c r="J128" s="46" t="n">
        <f aca="false">IFERROR(IF(J9&lt;=0,"N/M",J53/J9),"N/M")</f>
        <v>0.0834026259768834</v>
      </c>
      <c r="K128" s="25" t="n">
        <f aca="false">IFERROR(AVERAGE(D128:J128),"N/M")</f>
        <v>0.0974393747826314</v>
      </c>
      <c r="L128" s="86" t="n">
        <f aca="false">IFERROR(J128-D128,"N/M")</f>
        <v>-0.0235535901365549</v>
      </c>
      <c r="M128" s="87" t="n">
        <f aca="false">IFERROR(SLOPE(D128:J128,$D$3:$J$3),"N/M")</f>
        <v>-0.00352621113372042</v>
      </c>
    </row>
    <row r="129" customFormat="false" ht="15" hidden="false" customHeight="false" outlineLevel="0" collapsed="false">
      <c r="A129" s="18" t="s">
        <v>586</v>
      </c>
      <c r="B129" s="19" t="s">
        <v>587</v>
      </c>
      <c r="D129" s="46" t="n">
        <f aca="false">IFERROR(IF(D9&lt;=0,"N/M",D14/D9),"N/M")</f>
        <v>0.0883456155614582</v>
      </c>
      <c r="E129" s="46" t="n">
        <f aca="false">IFERROR(IF(E9&lt;=0,"N/M",E14/E9),"N/M")</f>
        <v>0.0908349981003272</v>
      </c>
      <c r="F129" s="46" t="n">
        <f aca="false">IFERROR(IF(F9&lt;=0,"N/M",F14/F9),"N/M")</f>
        <v>0.0760005409634946</v>
      </c>
      <c r="G129" s="46" t="n">
        <f aca="false">IFERROR(IF(G9&lt;=0,"N/M",G14/G9),"N/M")</f>
        <v>0.0691380557651771</v>
      </c>
      <c r="H129" s="46" t="n">
        <f aca="false">IFERROR(IF(H9&lt;=0,"N/M",H14/H9),"N/M")</f>
        <v>0.0735020350637581</v>
      </c>
      <c r="I129" s="46" t="n">
        <f aca="false">IFERROR(IF(I9&lt;=0,"N/M",I14/I9),"N/M")</f>
        <v>0.0661115870548402</v>
      </c>
      <c r="J129" s="46" t="n">
        <f aca="false">IFERROR(IF(J9&lt;=0,"N/M",J14/J9),"N/M")</f>
        <v>0.0610632491820611</v>
      </c>
      <c r="K129" s="25" t="n">
        <f aca="false">IFERROR(AVERAGE(D129:J129),"N/M")</f>
        <v>0.0749994402415881</v>
      </c>
      <c r="L129" s="86" t="n">
        <f aca="false">IFERROR(J129-D129,"N/M")</f>
        <v>-0.0272823663793971</v>
      </c>
      <c r="M129" s="87" t="n">
        <f aca="false">IFERROR(SLOPE(D129:J129,$D$3:$J$3),"N/M")</f>
        <v>-0.00477830096888936</v>
      </c>
    </row>
    <row r="130" customFormat="false" ht="15" hidden="false" customHeight="false" outlineLevel="0" collapsed="false">
      <c r="A130" s="18" t="s">
        <v>588</v>
      </c>
      <c r="B130" s="19" t="s">
        <v>589</v>
      </c>
      <c r="D130" s="46" t="n">
        <f aca="false">IFERROR(IF(D9&lt;=0,"N/M",D15/D9),"N/M")</f>
        <v>0.0117943960773694</v>
      </c>
      <c r="E130" s="46" t="n">
        <f aca="false">IFERROR(IF(E9&lt;=0,"N/M",E15/E9),"N/M")</f>
        <v>0.00928388464696727</v>
      </c>
      <c r="F130" s="46" t="n">
        <f aca="false">IFERROR(IF(F9&lt;=0,"N/M",F15/F9),"N/M")</f>
        <v>0.0109110404853215</v>
      </c>
      <c r="G130" s="46" t="n">
        <f aca="false">IFERROR(IF(G9&lt;=0,"N/M",G15/G9),"N/M")</f>
        <v>0.0156738405979381</v>
      </c>
      <c r="H130" s="46" t="n">
        <f aca="false">IFERROR(IF(H9&lt;=0,"N/M",H15/H9),"N/M")</f>
        <v>0.0200328007599024</v>
      </c>
      <c r="I130" s="46" t="n">
        <f aca="false">IFERROR(IF(I9&lt;=0,"N/M",I15/I9),"N/M")</f>
        <v>0.0167768799458789</v>
      </c>
      <c r="J130" s="46" t="n">
        <f aca="false">IFERROR(IF(J9&lt;=0,"N/M",J15/J9),"N/M")</f>
        <v>0.0144300144300144</v>
      </c>
      <c r="K130" s="25" t="n">
        <f aca="false">IFERROR(AVERAGE(D130:J130),"N/M")</f>
        <v>0.0141289795633417</v>
      </c>
      <c r="L130" s="86" t="n">
        <f aca="false">IFERROR(J130-D130,"N/M")</f>
        <v>0.00263561835264504</v>
      </c>
      <c r="M130" s="87" t="n">
        <f aca="false">IFERROR(SLOPE(D130:J130,$D$3:$J$3),"N/M")</f>
        <v>0.0011433787832264</v>
      </c>
    </row>
    <row r="131" customFormat="false" ht="15" hidden="false" customHeight="false" outlineLevel="0" collapsed="false">
      <c r="A131" s="18" t="s">
        <v>590</v>
      </c>
      <c r="B131" s="19" t="s">
        <v>591</v>
      </c>
      <c r="D131" s="46" t="n">
        <f aca="false">IFERROR(IF(D9&lt;=0,"N/M",D19/D9),"N/M")</f>
        <v>0.00507902302989796</v>
      </c>
      <c r="E131" s="46" t="n">
        <f aca="false">IFERROR(IF(E9&lt;=0,"N/M",E19/E9),"N/M")</f>
        <v>0.00615555255965585</v>
      </c>
      <c r="F131" s="46" t="n">
        <f aca="false">IFERROR(IF(F9&lt;=0,"N/M",F19/F9),"N/M")</f>
        <v>0.00720157652218433</v>
      </c>
      <c r="G131" s="46" t="n">
        <f aca="false">IFERROR(IF(G9&lt;=0,"N/M",G19/G9),"N/M")</f>
        <v>0.0100559835734719</v>
      </c>
      <c r="H131" s="46" t="n">
        <f aca="false">IFERROR(IF(H9&lt;=0,"N/M",H19/H9),"N/M")</f>
        <v>0.0123792901160014</v>
      </c>
      <c r="I131" s="46" t="n">
        <f aca="false">IFERROR(IF(I9&lt;=0,"N/M",I19/I9),"N/M")</f>
        <v>0.0133025817262725</v>
      </c>
      <c r="J131" s="46" t="n">
        <f aca="false">IFERROR(IF(J9&lt;=0,"N/M",J19/J9),"N/M")</f>
        <v>0.0107182146786107</v>
      </c>
      <c r="K131" s="25" t="n">
        <f aca="false">IFERROR(AVERAGE(D131:J131),"N/M")</f>
        <v>0.00927031745801351</v>
      </c>
      <c r="L131" s="86" t="n">
        <f aca="false">IFERROR(J131-D131,"N/M")</f>
        <v>0.00563919164871276</v>
      </c>
      <c r="M131" s="87" t="n">
        <f aca="false">IFERROR(SLOPE(D131:J131,$D$3:$J$3),"N/M")</f>
        <v>0.00129961953118531</v>
      </c>
    </row>
    <row r="132" customFormat="false" ht="15" hidden="false" customHeight="false" outlineLevel="0" collapsed="false">
      <c r="A132" s="18" t="s">
        <v>138</v>
      </c>
      <c r="B132" s="19" t="s">
        <v>592</v>
      </c>
      <c r="D132" s="46" t="n">
        <f aca="false">IFERROR(IF(D9&lt;=0,"N/M",D54/D9),"N/M")</f>
        <v>0.954343529791366</v>
      </c>
      <c r="E132" s="46" t="n">
        <f aca="false">IFERROR(IF(E9&lt;=0,"N/M",E54/E9),"N/M")</f>
        <v>0.958734205140147</v>
      </c>
      <c r="F132" s="46" t="n">
        <f aca="false">IFERROR(IF(F9&lt;=0,"N/M",F54/F9),"N/M")</f>
        <v>0.95547677237995</v>
      </c>
      <c r="G132" s="46" t="n">
        <f aca="false">IFERROR(IF(G9&lt;=0,"N/M",G54/G9),"N/M")</f>
        <v>0.949296939135657</v>
      </c>
      <c r="H132" s="46" t="n">
        <f aca="false">IFERROR(IF(H9&lt;=0,"N/M",H54/H9),"N/M")</f>
        <v>0.958001950609974</v>
      </c>
      <c r="I132" s="46" t="n">
        <f aca="false">IFERROR(IF(I9&lt;=0,"N/M",I54/I9),"N/M")</f>
        <v>0.953415574225654</v>
      </c>
      <c r="J132" s="46" t="n">
        <f aca="false">IFERROR(IF(J9&lt;=0,"N/M",J54/J9),"N/M")</f>
        <v>0.945880302315946</v>
      </c>
      <c r="K132" s="25" t="n">
        <f aca="false">IFERROR(AVERAGE(D132:J132),"N/M")</f>
        <v>0.953592753371242</v>
      </c>
      <c r="L132" s="86" t="n">
        <f aca="false">IFERROR(J132-D132,"N/M")</f>
        <v>-0.00846322747541961</v>
      </c>
      <c r="M132" s="87" t="n">
        <f aca="false">IFERROR(SLOPE(D132:J132,$D$3:$J$3),"N/M")</f>
        <v>-0.00119649164375787</v>
      </c>
    </row>
    <row r="134" customFormat="false" ht="15" hidden="false" customHeight="false" outlineLevel="0" collapsed="false">
      <c r="A134" s="16" t="s">
        <v>593</v>
      </c>
      <c r="B134" s="17"/>
      <c r="C134" s="17"/>
      <c r="D134" s="17"/>
      <c r="E134" s="17"/>
      <c r="F134" s="17"/>
      <c r="G134" s="17"/>
      <c r="H134" s="17"/>
      <c r="I134" s="17"/>
      <c r="J134" s="17"/>
      <c r="K134" s="17"/>
      <c r="L134" s="17"/>
      <c r="M134" s="17"/>
    </row>
    <row r="135" customFormat="false" ht="15" hidden="false" customHeight="false" outlineLevel="0" collapsed="false">
      <c r="A135" s="18" t="s">
        <v>139</v>
      </c>
      <c r="B135" s="19" t="s">
        <v>594</v>
      </c>
      <c r="D135" s="46" t="n">
        <f aca="false">IFERROR(IF(((D35+C35)/2)&lt;=0,"N/M",D22/((D35+C35)/2)),"N/M")</f>
        <v>0.0419650164639601</v>
      </c>
      <c r="E135" s="46" t="n">
        <f aca="false">IFERROR(IF(((E35+D35)/2)&lt;=0,"N/M",E22/((E35+D35)/2)),"N/M")</f>
        <v>0.0193002377145945</v>
      </c>
      <c r="F135" s="46" t="n">
        <f aca="false">IFERROR(IF(((F35+E35)/2)&lt;=0,"N/M",F22/((F35+E35)/2)),"N/M")</f>
        <v>0.00958941887357094</v>
      </c>
      <c r="G135" s="46" t="n">
        <f aca="false">IFERROR(IF(((G35+F35)/2)&lt;=0,"N/M",G22/((G35+F35)/2)),"N/M")</f>
        <v>0.0116067997827037</v>
      </c>
      <c r="H135" s="46" t="n">
        <f aca="false">IFERROR(IF(((H35+G35)/2)&lt;=0,"N/M",H22/((H35+G35)/2)),"N/M")</f>
        <v>-0.0217648017749009</v>
      </c>
      <c r="I135" s="46" t="n">
        <f aca="false">IFERROR(IF(((I35+H35)/2)&lt;=0,"N/M",I22/((I35+H35)/2)),"N/M")</f>
        <v>-0.014181170886076</v>
      </c>
      <c r="J135" s="46" t="n">
        <f aca="false">IFERROR(IF(((J35+I35)/2)&lt;=0,"N/M",J22/((J35+I35)/2)),"N/M")</f>
        <v>0.000805797519621521</v>
      </c>
      <c r="K135" s="25" t="n">
        <f aca="false">IFERROR(AVERAGE(D135:J135),"N/M")</f>
        <v>0.006760185384782</v>
      </c>
      <c r="L135" s="86" t="n">
        <f aca="false">IFERROR(J135-D135,"N/M")</f>
        <v>-0.0411592189443386</v>
      </c>
      <c r="M135" s="87" t="n">
        <f aca="false">IFERROR(SLOPE(D135:J135,$D$3:$J$3),"N/M")</f>
        <v>-0.00792123909581531</v>
      </c>
    </row>
    <row r="136" customFormat="false" ht="15" hidden="false" customHeight="false" outlineLevel="0" collapsed="false">
      <c r="A136" s="18" t="s">
        <v>595</v>
      </c>
      <c r="B136" s="19" t="s">
        <v>596</v>
      </c>
      <c r="D136" s="46" t="n">
        <f aca="false">IFERROR(IF(((D35+C35)/2)&lt;=0,"N/M",(D22+(D19*(1-D60)))/((D35+C35)/2)),"N/M")</f>
        <v>0.0511320645679872</v>
      </c>
      <c r="E136" s="46" t="n">
        <f aca="false">IFERROR(IF(((E35+D35)/2)&lt;=0,"N/M",(E22+(E19*(1-E60)))/((E35+D35)/2)),"N/M")</f>
        <v>0.0289212453800056</v>
      </c>
      <c r="F136" s="46" t="n">
        <f aca="false">IFERROR(IF(((F35+E35)/2)&lt;=0,"N/M",(F22+(F19*(1-F60)))/((F35+E35)/2)),"N/M")</f>
        <v>0.0189107844438758</v>
      </c>
      <c r="G136" s="46" t="n">
        <f aca="false">IFERROR(IF(((G35+F35)/2)&lt;=0,"N/M",(G22+(G19*(1-G60)))/((G35+F35)/2)),"N/M")</f>
        <v>0.0296880884884643</v>
      </c>
      <c r="H136" s="46" t="n">
        <f aca="false">IFERROR(IF(((H35+G35)/2)&lt;=0,"N/M",(H22+(H19*(1-H60)))/((H35+G35)/2)),"N/M")</f>
        <v>0.00533583558310504</v>
      </c>
      <c r="I136" s="46" t="n">
        <f aca="false">IFERROR(IF(((I35+H35)/2)&lt;=0,"N/M",(I22+(I19*(1-I60)))/((I35+H35)/2)),"N/M")</f>
        <v>0.0179430379746835</v>
      </c>
      <c r="J136" s="46" t="n">
        <f aca="false">IFERROR(IF(((J35+I35)/2)&lt;=0,"N/M",(J22+(J19*(1-J60)))/((J35+I35)/2)),"N/M")</f>
        <v>0.00922029082290702</v>
      </c>
      <c r="K136" s="25" t="n">
        <f aca="false">IFERROR(AVERAGE(D136:J136),"N/M")</f>
        <v>0.0230216210372898</v>
      </c>
      <c r="L136" s="86" t="n">
        <f aca="false">IFERROR(J136-D136,"N/M")</f>
        <v>-0.0419117737450802</v>
      </c>
      <c r="M136" s="87" t="n">
        <f aca="false">IFERROR(SLOPE(D136:J136,$D$3:$J$3),"N/M")</f>
        <v>-0.00575952446095198</v>
      </c>
    </row>
    <row r="137" customFormat="false" ht="15" hidden="false" customHeight="false" outlineLevel="0" collapsed="false">
      <c r="A137" s="18" t="s">
        <v>597</v>
      </c>
      <c r="B137" s="19" t="s">
        <v>598</v>
      </c>
      <c r="D137" s="46" t="n">
        <f aca="false">IFERROR(IF(((D35+C35)/2)&lt;=0,"N/M",D58/((D35+C35)/2)),"N/M")</f>
        <v>0.0752355393136527</v>
      </c>
      <c r="E137" s="46" t="n">
        <f aca="false">IFERROR(IF(((E35+D35)/2)&lt;=0,"N/M",E58/((E35+D35)/2)),"N/M")</f>
        <v>0.0381437031366103</v>
      </c>
      <c r="F137" s="46" t="n">
        <f aca="false">IFERROR(IF(((F35+E35)/2)&lt;=0,"N/M",F58/((F35+E35)/2)),"N/M")</f>
        <v>0.0306522825383563</v>
      </c>
      <c r="G137" s="46" t="n">
        <f aca="false">IFERROR(IF(((G35+F35)/2)&lt;=0,"N/M",G58/((G35+F35)/2)),"N/M")</f>
        <v>0.0380312606274208</v>
      </c>
      <c r="H137" s="46" t="n">
        <f aca="false">IFERROR(IF(((H35+G35)/2)&lt;=0,"N/M",H58/((H35+G35)/2)),"N/M")</f>
        <v>0.0166078876532264</v>
      </c>
      <c r="I137" s="46" t="n">
        <f aca="false">IFERROR(IF(((I35+H35)/2)&lt;=0,"N/M",I58/((I35+H35)/2)),"N/M")</f>
        <v>0.0290901898734177</v>
      </c>
      <c r="J137" s="46" t="n">
        <f aca="false">IFERROR(IF(((J35+I35)/2)&lt;=0,"N/M",J58/((J35+I35)/2)),"N/M")</f>
        <v>0.0380660155775791</v>
      </c>
      <c r="K137" s="25" t="n">
        <f aca="false">IFERROR(AVERAGE(D137:J137),"N/M")</f>
        <v>0.0379752683886091</v>
      </c>
      <c r="L137" s="86" t="n">
        <f aca="false">IFERROR(J137-D137,"N/M")</f>
        <v>-0.0371695237360736</v>
      </c>
      <c r="M137" s="87" t="n">
        <f aca="false">IFERROR(SLOPE(D137:J137,$D$3:$J$3),"N/M")</f>
        <v>-0.00513071402213343</v>
      </c>
    </row>
    <row r="138" customFormat="false" ht="15" hidden="false" customHeight="false" outlineLevel="0" collapsed="false">
      <c r="A138" s="18" t="s">
        <v>141</v>
      </c>
      <c r="B138" s="19" t="s">
        <v>599</v>
      </c>
      <c r="D138" s="46" t="n">
        <f aca="false">IFERROR(IF(((D62+C62)/2)&lt;=0,"N/M",(D58*(1-D60))/((D62+C62)/2)),"N/M")</f>
        <v>0.105300363544567</v>
      </c>
      <c r="E138" s="46" t="n">
        <f aca="false">IFERROR(IF(((E62+D62)/2)&lt;=0,"N/M",(E58*(1-E60))/((E62+D62)/2)),"N/M")</f>
        <v>0.0557436422080342</v>
      </c>
      <c r="F138" s="46" t="n">
        <f aca="false">IFERROR(IF(((F62+E62)/2)&lt;=0,"N/M",(F58*(1-F60))/((F62+E62)/2)),"N/M")</f>
        <v>0.0359700239715396</v>
      </c>
      <c r="G138" s="46" t="n">
        <f aca="false">IFERROR(IF(((G62+F62)/2)&lt;=0,"N/M",(G58*(1-G60))/((G62+F62)/2)),"N/M")</f>
        <v>0.0583117716940878</v>
      </c>
      <c r="H138" s="46" t="n">
        <f aca="false">IFERROR(IF(((H62+G62)/2)&lt;=0,"N/M",(H58*(1-H60))/((H62+G62)/2)),"N/M")</f>
        <v>0.0317947234612633</v>
      </c>
      <c r="I138" s="46" t="n">
        <f aca="false">IFERROR(IF(((I62+H62)/2)&lt;=0,"N/M",(I58*(1-I60))/((I62+H62)/2)),"N/M")</f>
        <v>0.0579415541951292</v>
      </c>
      <c r="J138" s="46" t="n">
        <f aca="false">IFERROR(IF(((J62+I62)/2)&lt;=0,"N/M",(J58*(1-J60))/((J62+I62)/2)),"N/M")</f>
        <v>0.0220256136427835</v>
      </c>
      <c r="K138" s="25" t="n">
        <f aca="false">IFERROR(AVERAGE(D138:J138),"N/M")</f>
        <v>0.0524410989596292</v>
      </c>
      <c r="L138" s="86" t="n">
        <f aca="false">IFERROR(J138-D138,"N/M")</f>
        <v>-0.0832747499017835</v>
      </c>
      <c r="M138" s="87" t="n">
        <f aca="false">IFERROR(SLOPE(D138:J138,$D$3:$J$3),"N/M")</f>
        <v>-0.00891441879433702</v>
      </c>
    </row>
    <row r="139" customFormat="false" ht="15" hidden="false" customHeight="false" outlineLevel="0" collapsed="false">
      <c r="A139" s="18" t="s">
        <v>142</v>
      </c>
      <c r="B139" s="19" t="s">
        <v>600</v>
      </c>
      <c r="D139" s="46" t="n">
        <f aca="false">IFERROR(IF(((D61+C61)/2)&lt;=0,"N/M",D22/((D61+C61)/2)),"N/M")</f>
        <v>0.105708285788257</v>
      </c>
      <c r="E139" s="46" t="n">
        <f aca="false">IFERROR(IF(((E61+D61)/2)&lt;=0,"N/M",E22/((E61+D61)/2)),"N/M")</f>
        <v>0.0539224056582578</v>
      </c>
      <c r="F139" s="46" t="n">
        <f aca="false">IFERROR(IF(((F61+E61)/2)&lt;=0,"N/M",F22/((F61+E61)/2)),"N/M")</f>
        <v>0.0315107578014248</v>
      </c>
      <c r="G139" s="46" t="n">
        <f aca="false">IFERROR(IF(((G61+F61)/2)&lt;=0,"N/M",G22/((G61+F61)/2)),"N/M")</f>
        <v>0.047430402021387</v>
      </c>
      <c r="H139" s="46" t="n">
        <f aca="false">IFERROR(IF(((H61+G61)/2)&lt;=0,"N/M",H22/((H61+G61)/2)),"N/M")</f>
        <v>-0.103857172671562</v>
      </c>
      <c r="I139" s="46" t="n">
        <f aca="false">IFERROR(IF(((I61+H61)/2)&lt;=0,"N/M",I22/((I61+H61)/2)),"N/M")</f>
        <v>-0.077067770194013</v>
      </c>
      <c r="J139" s="46" t="n">
        <f aca="false">IFERROR(IF(((J61+I61)/2)&lt;=0,"N/M",J22/((J61+I61)/2)),"N/M")</f>
        <v>0.00284002827626406</v>
      </c>
      <c r="K139" s="25" t="n">
        <f aca="false">IFERROR(AVERAGE(D139:J139),"N/M")</f>
        <v>0.00864099095428805</v>
      </c>
      <c r="L139" s="86" t="n">
        <f aca="false">IFERROR(J139-D139,"N/M")</f>
        <v>-0.102868257511993</v>
      </c>
      <c r="M139" s="87" t="n">
        <f aca="false">IFERROR(SLOPE(D139:J139,$D$3:$J$3),"N/M")</f>
        <v>-0.025212609096911</v>
      </c>
    </row>
    <row r="140" customFormat="false" ht="15" hidden="false" customHeight="false" outlineLevel="0" collapsed="false">
      <c r="A140" s="18" t="s">
        <v>601</v>
      </c>
      <c r="B140" s="19" t="s">
        <v>602</v>
      </c>
      <c r="D140" s="46" t="n">
        <f aca="false">IFERROR(IF(((D61+C61)/2)&lt;=0,"N/M",(D22-0)/((D61+C61)/2)),"N/M")</f>
        <v>0.105708285788257</v>
      </c>
      <c r="E140" s="46" t="n">
        <f aca="false">IFERROR(IF(((E61+D61)/2)&lt;=0,"N/M",(E22-0)/((E61+D61)/2)),"N/M")</f>
        <v>0.0539224056582578</v>
      </c>
      <c r="F140" s="46" t="n">
        <f aca="false">IFERROR(IF(((F61+E61)/2)&lt;=0,"N/M",(F22-0)/((F61+E61)/2)),"N/M")</f>
        <v>0.0315107578014248</v>
      </c>
      <c r="G140" s="46" t="n">
        <f aca="false">IFERROR(IF(((G61+F61)/2)&lt;=0,"N/M",(G22-0)/((G61+F61)/2)),"N/M")</f>
        <v>0.047430402021387</v>
      </c>
      <c r="H140" s="46" t="n">
        <f aca="false">IFERROR(IF(((H61+G61)/2)&lt;=0,"N/M",(H22-0)/((H61+G61)/2)),"N/M")</f>
        <v>-0.103857172671562</v>
      </c>
      <c r="I140" s="46" t="n">
        <f aca="false">IFERROR(IF(((I61+H61)/2)&lt;=0,"N/M",(I22-0)/((I61+H61)/2)),"N/M")</f>
        <v>-0.077067770194013</v>
      </c>
      <c r="J140" s="46" t="n">
        <f aca="false">IFERROR(IF(((J61+I61)/2)&lt;=0,"N/M",(J22-0)/((J61+I61)/2)),"N/M")</f>
        <v>0.00284002827626406</v>
      </c>
      <c r="K140" s="25" t="n">
        <f aca="false">IFERROR(AVERAGE(D140:J140),"N/M")</f>
        <v>0.00864099095428805</v>
      </c>
      <c r="L140" s="86" t="n">
        <f aca="false">IFERROR(J140-D140,"N/M")</f>
        <v>-0.102868257511993</v>
      </c>
      <c r="M140" s="87" t="n">
        <f aca="false">IFERROR(SLOPE(D140:J140,$D$3:$J$3),"N/M")</f>
        <v>-0.025212609096911</v>
      </c>
    </row>
    <row r="142" customFormat="false" ht="15" hidden="false" customHeight="false" outlineLevel="0" collapsed="false">
      <c r="A142" s="16" t="s">
        <v>603</v>
      </c>
      <c r="B142" s="17"/>
      <c r="C142" s="17"/>
      <c r="D142" s="17"/>
      <c r="E142" s="17"/>
      <c r="F142" s="17"/>
      <c r="G142" s="17"/>
      <c r="H142" s="17"/>
      <c r="I142" s="17"/>
      <c r="J142" s="17"/>
      <c r="K142" s="17"/>
      <c r="L142" s="17"/>
      <c r="M142" s="17"/>
    </row>
    <row r="143" customFormat="false" ht="15" hidden="false" customHeight="false" outlineLevel="0" collapsed="false">
      <c r="A143" s="18" t="s">
        <v>604</v>
      </c>
      <c r="B143" s="19" t="s">
        <v>605</v>
      </c>
      <c r="D143" s="95" t="n">
        <f aca="false">IFERROR(IF(D48&lt;=0,"N/M",D22/D48),"N/M")</f>
        <v>5.60162601626016</v>
      </c>
      <c r="E143" s="95" t="n">
        <f aca="false">IFERROR(IF(E48&lt;=0,"N/M",E22/E48),"N/M")</f>
        <v>3.04568527918782</v>
      </c>
      <c r="F143" s="95" t="n">
        <f aca="false">IFERROR(IF(F48&lt;=0,"N/M",F22/F48),"N/M")</f>
        <v>1.77732793522267</v>
      </c>
      <c r="G143" s="95" t="n">
        <f aca="false">IFERROR(IF(G48&lt;=0,"N/M",G22/G48),"N/M")</f>
        <v>2.65454545454545</v>
      </c>
      <c r="H143" s="95" t="n">
        <f aca="false">IFERROR(IF(H48&lt;=0,"N/M",H22/H48),"N/M")</f>
        <v>-5.52929292929293</v>
      </c>
      <c r="I143" s="95" t="n">
        <f aca="false">IFERROR(IF(I48&lt;=0,"N/M",I22/I48),"N/M")</f>
        <v>-3.61391129032258</v>
      </c>
      <c r="J143" s="95" t="n">
        <f aca="false">IFERROR(IF(J48&lt;=0,"N/M",J22/J48),"N/M")</f>
        <v>0.230846774193548</v>
      </c>
      <c r="K143" s="96" t="n">
        <f aca="false">IFERROR(AVERAGE(D143:J143),"N/M")</f>
        <v>0.595261034256306</v>
      </c>
      <c r="L143" s="97" t="n">
        <f aca="false">IFERROR(J143-D143,"N/M")</f>
        <v>-5.37077924206661</v>
      </c>
      <c r="M143" s="98" t="n">
        <f aca="false">IFERROR(SLOPE(D143:J143,$D$3:$J$3),"N/M")</f>
        <v>-1.31207684749058</v>
      </c>
    </row>
    <row r="144" customFormat="false" ht="15" hidden="false" customHeight="false" outlineLevel="0" collapsed="false">
      <c r="A144" s="18" t="s">
        <v>606</v>
      </c>
      <c r="B144" s="19" t="s">
        <v>607</v>
      </c>
      <c r="D144" s="95" t="n">
        <f aca="false">IFERROR(IF(D48&lt;=0,"N/M",(D22+D18)/D48),"N/M")</f>
        <v>13.0640243902439</v>
      </c>
      <c r="E144" s="95" t="n">
        <f aca="false">IFERROR(IF(E48&lt;=0,"N/M",(E22+E18)/E48),"N/M")</f>
        <v>12.1472081218274</v>
      </c>
      <c r="F144" s="95" t="n">
        <f aca="false">IFERROR(IF(F48&lt;=0,"N/M",(F22+F18)/F48),"N/M")</f>
        <v>16.1214574898785</v>
      </c>
      <c r="G144" s="95" t="n">
        <f aca="false">IFERROR(IF(G48&lt;=0,"N/M",(G22+G18)/G48),"N/M")</f>
        <v>21.7959595959596</v>
      </c>
      <c r="H144" s="95" t="n">
        <f aca="false">IFERROR(IF(H48&lt;=0,"N/M",(H22+H18)/H48),"N/M")</f>
        <v>15.5808080808081</v>
      </c>
      <c r="I144" s="95" t="n">
        <f aca="false">IFERROR(IF(I48&lt;=0,"N/M",(I22+I18)/I48),"N/M")</f>
        <v>19.2006048387097</v>
      </c>
      <c r="J144" s="95" t="n">
        <f aca="false">IFERROR(IF(J48&lt;=0,"N/M",(J22+J18)/J48),"N/M")</f>
        <v>28.241935483871</v>
      </c>
      <c r="K144" s="96" t="n">
        <f aca="false">IFERROR(AVERAGE(D144:J144),"N/M")</f>
        <v>18.0217140001855</v>
      </c>
      <c r="L144" s="97" t="n">
        <f aca="false">IFERROR(J144-D144,"N/M")</f>
        <v>15.1779110936271</v>
      </c>
      <c r="M144" s="98" t="n">
        <f aca="false">IFERROR(SLOPE(D144:J144,$D$3:$J$3),"N/M")</f>
        <v>2.11070990377055</v>
      </c>
    </row>
    <row r="145" customFormat="false" ht="15" hidden="false" customHeight="false" outlineLevel="0" collapsed="false">
      <c r="A145" s="18" t="s">
        <v>608</v>
      </c>
      <c r="B145" s="19" t="s">
        <v>609</v>
      </c>
      <c r="D145" s="95" t="n">
        <f aca="false">IFERROR(IF(D48&lt;=0,"N/M",D61/D48),"N/M")</f>
        <v>55.3506097560976</v>
      </c>
      <c r="E145" s="95" t="n">
        <f aca="false">IFERROR(IF(E48&lt;=0,"N/M",E61/E48),"N/M")</f>
        <v>57.6710659898477</v>
      </c>
      <c r="F145" s="95" t="n">
        <f aca="false">IFERROR(IF(F48&lt;=0,"N/M",F61/F48),"N/M")</f>
        <v>55.3117408906883</v>
      </c>
      <c r="G145" s="95" t="n">
        <f aca="false">IFERROR(IF(G48&lt;=0,"N/M",G61/G48),"N/M")</f>
        <v>56.7343434343434</v>
      </c>
      <c r="H145" s="95" t="n">
        <f aca="false">IFERROR(IF(H48&lt;=0,"N/M",H61/H48),"N/M")</f>
        <v>49.7444444444445</v>
      </c>
      <c r="I145" s="95" t="n">
        <f aca="false">IFERROR(IF(I48&lt;=0,"N/M",I61/I48),"N/M")</f>
        <v>44.1411290322581</v>
      </c>
      <c r="J145" s="95" t="n">
        <f aca="false">IFERROR(IF(J48&lt;=0,"N/M",J61/J48),"N/M")</f>
        <v>118.425403225806</v>
      </c>
      <c r="K145" s="96" t="n">
        <f aca="false">IFERROR(AVERAGE(D145:J145),"N/M")</f>
        <v>62.4826766819266</v>
      </c>
      <c r="L145" s="97" t="n">
        <f aca="false">IFERROR(J145-D145,"N/M")</f>
        <v>63.0747934697089</v>
      </c>
      <c r="M145" s="98" t="n">
        <f aca="false">IFERROR(SLOPE(D145:J145,$D$3:$J$3),"N/M")</f>
        <v>5.5927575017037</v>
      </c>
    </row>
    <row r="146" customFormat="false" ht="15" hidden="false" customHeight="false" outlineLevel="0" collapsed="false">
      <c r="A146" s="18" t="s">
        <v>145</v>
      </c>
      <c r="B146" s="19" t="s">
        <v>610</v>
      </c>
      <c r="D146" s="47" t="n">
        <f aca="false">IFERROR(IF(D49=0,"N/C",IF(D145&lt;=0,"N/M",D47/D145)),"N/M")</f>
        <v>3.73690553566511</v>
      </c>
      <c r="E146" s="47" t="n">
        <f aca="false">IFERROR(IF(E49=0,"N/C",IF(E145&lt;=0,"N/M",E47/E145)),"N/M")</f>
        <v>9.17409780656973</v>
      </c>
      <c r="F146" s="47" t="n">
        <f aca="false">IFERROR(IF(F49=0,"N/C",IF(F145&lt;=0,"N/M",F47/F145)),"N/M")</f>
        <v>8.32553798858147</v>
      </c>
      <c r="G146" s="47" t="n">
        <f aca="false">IFERROR(IF(G49=0,"N/C",IF(G145&lt;=0,"N/M",G47/G145)),"N/M")</f>
        <v>5.69901721651504</v>
      </c>
      <c r="H146" s="47" t="n">
        <f aca="false">IFERROR(IF(H49=0,"N/C",IF(H145&lt;=0,"N/M",H47/H145)),"N/M")</f>
        <v>7.5007371007371</v>
      </c>
      <c r="I146" s="47" t="n">
        <f aca="false">IFERROR(IF(I49=0,"N/C",IF(I145&lt;=0,"N/M",I47/I145)),"N/M")</f>
        <v>5.40856124965744</v>
      </c>
      <c r="J146" s="47" t="n">
        <f aca="false">IFERROR(IF(J49=0,"N/C",IF(J145&lt;=0,"N/M",J47/J145)),"N/M")</f>
        <v>2.81020786870733</v>
      </c>
      <c r="K146" s="22" t="n">
        <f aca="false">IFERROR(AVERAGE(D146:J146),"N/M")</f>
        <v>6.09358068091903</v>
      </c>
      <c r="L146" s="82" t="n">
        <f aca="false">IFERROR(J146-D146,"N/M")</f>
        <v>-0.926697666957774</v>
      </c>
      <c r="M146" s="83" t="n">
        <f aca="false">IFERROR(SLOPE(D146:J146,$D$3:$J$3),"N/M")</f>
        <v>-0.397713107233652</v>
      </c>
    </row>
    <row r="147" customFormat="false" ht="15" hidden="false" customHeight="false" outlineLevel="0" collapsed="false">
      <c r="A147" s="18" t="s">
        <v>611</v>
      </c>
      <c r="B147" s="19" t="s">
        <v>612</v>
      </c>
      <c r="D147" s="95" t="n">
        <f aca="false">IFERROR(IF(D48&lt;=0,"N/M",D23/D48),"N/M")</f>
        <v>1.09044715447154</v>
      </c>
      <c r="E147" s="95" t="n">
        <f aca="false">IFERROR(IF(E48&lt;=0,"N/M",E23/E48),"N/M")</f>
        <v>1.81928934010152</v>
      </c>
      <c r="F147" s="95" t="n">
        <f aca="false">IFERROR(IF(F48&lt;=0,"N/M",F23/F48),"N/M")</f>
        <v>1.45445344129555</v>
      </c>
      <c r="G147" s="95" t="n">
        <f aca="false">IFERROR(IF(G48&lt;=0,"N/M",G23/G48),"N/M")</f>
        <v>1.81818181818182</v>
      </c>
      <c r="H147" s="95" t="n">
        <f aca="false">IFERROR(IF(H48&lt;=0,"N/M",H23/H48),"N/M")</f>
        <v>1.81919191919192</v>
      </c>
      <c r="I147" s="95" t="n">
        <f aca="false">IFERROR(IF(I48&lt;=0,"N/M",I23/I48),"N/M")</f>
        <v>1.81754032258065</v>
      </c>
      <c r="J147" s="95" t="n">
        <f aca="false">IFERROR(IF(J48&lt;=0,"N/M",J23/J48),"N/M")</f>
        <v>2.5</v>
      </c>
      <c r="K147" s="96" t="n">
        <f aca="false">IFERROR(AVERAGE(D147:J147),"N/M")</f>
        <v>1.75987199940329</v>
      </c>
      <c r="L147" s="97" t="n">
        <f aca="false">IFERROR(J147-D147,"N/M")</f>
        <v>1.40955284552846</v>
      </c>
      <c r="M147" s="98" t="n">
        <f aca="false">IFERROR(SLOPE(D147:J147,$D$3:$J$3),"N/M")</f>
        <v>0.163924963551428</v>
      </c>
    </row>
    <row r="148" customFormat="false" ht="15" hidden="false" customHeight="false" outlineLevel="0" collapsed="false">
      <c r="A148" s="18" t="s">
        <v>613</v>
      </c>
      <c r="B148" s="19" t="s">
        <v>614</v>
      </c>
      <c r="D148" s="46" t="n">
        <f aca="false">IFERROR(IF(D143&lt;=0,"N/M",D147/D143),"N/M")</f>
        <v>0.19466618287373</v>
      </c>
      <c r="E148" s="46" t="n">
        <f aca="false">IFERROR(IF(E143&lt;=0,"N/M",E147/E143),"N/M")</f>
        <v>0.597333333333333</v>
      </c>
      <c r="F148" s="46" t="n">
        <f aca="false">IFERROR(IF(F143&lt;=0,"N/M",F147/F143),"N/M")</f>
        <v>0.818337129840547</v>
      </c>
      <c r="G148" s="46" t="n">
        <f aca="false">IFERROR(IF(G143&lt;=0,"N/M",G147/G143),"N/M")</f>
        <v>0.684931506849315</v>
      </c>
      <c r="H148" s="46" t="str">
        <f aca="false">IFERROR(IF(H143&lt;=0,"N/M",H147/H143),"N/M")</f>
        <v>N/M</v>
      </c>
      <c r="I148" s="46" t="str">
        <f aca="false">IFERROR(IF(I143&lt;=0,"N/M",I147/I143),"N/M")</f>
        <v>N/M</v>
      </c>
      <c r="J148" s="46" t="n">
        <f aca="false">IFERROR(IF(J143&lt;=0,"N/M",J147/J143),"N/M")</f>
        <v>10.8296943231441</v>
      </c>
      <c r="K148" s="25" t="n">
        <f aca="false">IFERROR(AVERAGE(D148:J148),"N/M")</f>
        <v>2.62499249520821</v>
      </c>
      <c r="L148" s="86" t="n">
        <f aca="false">IFERROR(J148-D148,"N/M")</f>
        <v>10.6350281402704</v>
      </c>
      <c r="M148" s="87" t="n">
        <f aca="false">IFERROR(SLOPE(D148:J148,$D$3:$J$3),"N/M")</f>
        <v>1.78146500518531</v>
      </c>
    </row>
    <row r="149" customFormat="false" ht="15" hidden="false" customHeight="false" outlineLevel="0" collapsed="false">
      <c r="A149" s="18" t="s">
        <v>615</v>
      </c>
      <c r="B149" s="19" t="s">
        <v>616</v>
      </c>
      <c r="D149" s="46" t="n">
        <f aca="false">IFERROR((1-D148),"N/M")</f>
        <v>0.80533381712627</v>
      </c>
      <c r="E149" s="46" t="n">
        <f aca="false">IFERROR((1-E148),"N/M")</f>
        <v>0.402666666666667</v>
      </c>
      <c r="F149" s="46" t="n">
        <f aca="false">IFERROR((1-F148),"N/M")</f>
        <v>0.181662870159453</v>
      </c>
      <c r="G149" s="46" t="n">
        <f aca="false">IFERROR((1-G148),"N/M")</f>
        <v>0.315068493150685</v>
      </c>
      <c r="H149" s="46" t="str">
        <f aca="false">IFERROR((1-H148),"N/M")</f>
        <v>N/M</v>
      </c>
      <c r="I149" s="46" t="str">
        <f aca="false">IFERROR((1-I148),"N/M")</f>
        <v>N/M</v>
      </c>
      <c r="J149" s="46" t="n">
        <f aca="false">IFERROR((1-J148),"N/M")</f>
        <v>-9.8296943231441</v>
      </c>
      <c r="K149" s="25" t="n">
        <f aca="false">IFERROR(AVERAGE(D149:J149),"N/M")</f>
        <v>-1.62499249520821</v>
      </c>
      <c r="L149" s="86" t="n">
        <f aca="false">IFERROR(J149-D149,"N/M")</f>
        <v>-10.6350281402704</v>
      </c>
      <c r="M149" s="87" t="n">
        <f aca="false">IFERROR(SLOPE(D149:J149,$D$3:$J$3),"N/M")</f>
        <v>-1.78146500518531</v>
      </c>
    </row>
    <row r="150" customFormat="false" ht="15" hidden="false" customHeight="false" outlineLevel="0" collapsed="false">
      <c r="A150" s="18" t="s">
        <v>617</v>
      </c>
      <c r="B150" s="19" t="s">
        <v>618</v>
      </c>
      <c r="D150" s="46" t="n">
        <f aca="false">IFERROR(IF(D49=0,"N/C",IF(D47&lt;=0,"N/M",D143/D47)),"N/M")</f>
        <v>0.0270819281389488</v>
      </c>
      <c r="E150" s="46" t="n">
        <f aca="false">IFERROR(IF(E49=0,"N/C",IF(E47&lt;=0,"N/M",E143/E47)),"N/M")</f>
        <v>0.00575656853252404</v>
      </c>
      <c r="F150" s="46" t="n">
        <f aca="false">IFERROR(IF(F49=0,"N/C",IF(F47&lt;=0,"N/M",F143/F47)),"N/M")</f>
        <v>0.00385956120569527</v>
      </c>
      <c r="G150" s="46" t="n">
        <f aca="false">IFERROR(IF(G49=0,"N/C",IF(G47&lt;=0,"N/M",G143/G47)),"N/M")</f>
        <v>0.0082100190348729</v>
      </c>
      <c r="H150" s="46" t="n">
        <f aca="false">IFERROR(IF(H49=0,"N/C",IF(H47&lt;=0,"N/M",H143/H47)),"N/M")</f>
        <v>-0.0148190741029506</v>
      </c>
      <c r="I150" s="46" t="n">
        <f aca="false">IFERROR(IF(I49=0,"N/C",IF(I47&lt;=0,"N/M",I143/I47)),"N/M")</f>
        <v>-0.0151374352447122</v>
      </c>
      <c r="J150" s="46" t="n">
        <f aca="false">IFERROR(IF(J49=0,"N/C",IF(J47&lt;=0,"N/M",J143/J47)),"N/M")</f>
        <v>0.000693650162841191</v>
      </c>
      <c r="K150" s="25" t="n">
        <f aca="false">IFERROR(AVERAGE(D150:J150),"N/M")</f>
        <v>0.00223503110388849</v>
      </c>
      <c r="L150" s="86" t="n">
        <f aca="false">IFERROR(J150-D150,"N/M")</f>
        <v>-0.0263882779761076</v>
      </c>
      <c r="M150" s="87" t="n">
        <f aca="false">IFERROR(SLOPE(D150:J150,$D$3:$J$3),"N/M")</f>
        <v>-0.00498683845683718</v>
      </c>
    </row>
    <row r="151" customFormat="false" ht="15" hidden="false" customHeight="false" outlineLevel="0" collapsed="false">
      <c r="A151" s="18" t="s">
        <v>146</v>
      </c>
      <c r="B151" s="19" t="s">
        <v>619</v>
      </c>
      <c r="D151" s="46" t="n">
        <f aca="false">IFERROR(IF(D49=0,"N/C",IF(D47&lt;=0,"N/M",D147/D47)),"N/M")</f>
        <v>0.00527193557566982</v>
      </c>
      <c r="E151" s="46" t="n">
        <f aca="false">IFERROR(IF(E49=0,"N/C",IF(E47&lt;=0,"N/M",E147/E47)),"N/M")</f>
        <v>0.00343859027009436</v>
      </c>
      <c r="F151" s="46" t="n">
        <f aca="false">IFERROR(IF(F49=0,"N/C",IF(F47&lt;=0,"N/M",F147/F47)),"N/M")</f>
        <v>0.00315842223951259</v>
      </c>
      <c r="G151" s="46" t="n">
        <f aca="false">IFERROR(IF(G49=0,"N/C",IF(G47&lt;=0,"N/M",G147/G47)),"N/M")</f>
        <v>0.00562330070881705</v>
      </c>
      <c r="H151" s="46" t="n">
        <f aca="false">IFERROR(IF(H49=0,"N/C",IF(H47&lt;=0,"N/M",H147/H47)),"N/M")</f>
        <v>0.00487562156730253</v>
      </c>
      <c r="I151" s="46" t="n">
        <f aca="false">IFERROR(IF(I49=0,"N/C",IF(I47&lt;=0,"N/M",I147/I47)),"N/M")</f>
        <v>0.00761305320675482</v>
      </c>
      <c r="J151" s="46" t="n">
        <f aca="false">IFERROR(IF(J49=0,"N/C",IF(J47&lt;=0,"N/M",J147/J47)),"N/M")</f>
        <v>0.00751201923076923</v>
      </c>
      <c r="K151" s="25" t="n">
        <f aca="false">IFERROR(AVERAGE(D151:J151),"N/M")</f>
        <v>0.00535613468556006</v>
      </c>
      <c r="L151" s="86" t="n">
        <f aca="false">IFERROR(J151-D151,"N/M")</f>
        <v>0.00224008365509941</v>
      </c>
      <c r="M151" s="87" t="n">
        <f aca="false">IFERROR(SLOPE(D151:J151,$D$3:$J$3),"N/M")</f>
        <v>0.000599513434514611</v>
      </c>
    </row>
    <row r="152" customFormat="false" ht="15" hidden="false" customHeight="false" outlineLevel="0" collapsed="false">
      <c r="A152" s="18" t="s">
        <v>143</v>
      </c>
      <c r="B152" s="19" t="s">
        <v>620</v>
      </c>
      <c r="D152" s="47" t="n">
        <f aca="false">IFERROR(IF(D49=0,"N/C",IF(D143&lt;=0,"N/M",D47/D143)),"N/M")</f>
        <v>36.924992743106</v>
      </c>
      <c r="E152" s="47" t="n">
        <f aca="false">IFERROR(IF(E49=0,"N/C",IF(E143&lt;=0,"N/M",E47/E143)),"N/M")</f>
        <v>173.7146</v>
      </c>
      <c r="F152" s="47" t="n">
        <f aca="false">IFERROR(IF(F49=0,"N/C",IF(F143&lt;=0,"N/M",F47/F143)),"N/M")</f>
        <v>259.096810933941</v>
      </c>
      <c r="G152" s="47" t="n">
        <f aca="false">IFERROR(IF(G49=0,"N/C",IF(G143&lt;=0,"N/M",G47/G143)),"N/M")</f>
        <v>121.802397260274</v>
      </c>
      <c r="H152" s="47" t="str">
        <f aca="false">IFERROR(IF(H49=0,"N/C",IF(H143&lt;=0,"N/M",H47/H143)),"N/M")</f>
        <v>N/M</v>
      </c>
      <c r="I152" s="47" t="str">
        <f aca="false">IFERROR(IF(I49=0,"N/C",IF(I143&lt;=0,"N/M",I47/I143)),"N/M")</f>
        <v>N/M</v>
      </c>
      <c r="J152" s="47" t="n">
        <f aca="false">IFERROR(IF(J49=0,"N/C",IF(J143&lt;=0,"N/M",J47/J143)),"N/M")</f>
        <v>1441.64890829694</v>
      </c>
      <c r="K152" s="22" t="n">
        <f aca="false">IFERROR(AVERAGE(D152:J152),"N/M")</f>
        <v>406.637541846853</v>
      </c>
      <c r="L152" s="82" t="n">
        <f aca="false">IFERROR(J152-D152,"N/M")</f>
        <v>1404.72391555384</v>
      </c>
      <c r="M152" s="83" t="n">
        <f aca="false">IFERROR(SLOPE(D152:J152,$D$3:$J$3),"N/M")</f>
        <v>227.71501704095</v>
      </c>
    </row>
    <row r="153" customFormat="false" ht="15" hidden="false" customHeight="false" outlineLevel="0" collapsed="false">
      <c r="A153" s="18" t="s">
        <v>148</v>
      </c>
      <c r="B153" s="19" t="s">
        <v>621</v>
      </c>
      <c r="D153" s="46" t="n">
        <f aca="false">IFERROR(IF(C47&lt;=0,"N/M",((D147+D47)-C47)/C47),"N/M")</f>
        <v>-0.56716324828895</v>
      </c>
      <c r="E153" s="46" t="n">
        <f aca="false">IFERROR(IF(D47&lt;=0,"N/M",((E147+E47)-D47)/D47),"N/M")</f>
        <v>1.56671480052263</v>
      </c>
      <c r="F153" s="46" t="n">
        <f aca="false">IFERROR(IF(E47&lt;=0,"N/M",((F147+F47)-E47)/E47),"N/M")</f>
        <v>-0.12687220563753</v>
      </c>
      <c r="G153" s="46" t="n">
        <f aca="false">IFERROR(IF(F47&lt;=0,"N/M",((G147+G47)-F47)/F47),"N/M")</f>
        <v>-0.293923600829138</v>
      </c>
      <c r="H153" s="46" t="n">
        <f aca="false">IFERROR(IF(G47&lt;=0,"N/M",((H147+H47)-G47)/G47),"N/M")</f>
        <v>0.159617703025367</v>
      </c>
      <c r="I153" s="46" t="n">
        <f aca="false">IFERROR(IF(H47&lt;=0,"N/M",((I147+I47)-H47)/H47),"N/M")</f>
        <v>-0.355281034727217</v>
      </c>
      <c r="J153" s="46" t="n">
        <f aca="false">IFERROR(IF(I47&lt;=0,"N/M",((J147+J47)-I47)/I47),"N/M")</f>
        <v>0.404456731171986</v>
      </c>
      <c r="K153" s="25" t="n">
        <f aca="false">IFERROR(AVERAGE(D153:J153),"N/M")</f>
        <v>0.112507020748164</v>
      </c>
      <c r="L153" s="86" t="n">
        <f aca="false">IFERROR(J153-D153,"N/M")</f>
        <v>0.971619979460936</v>
      </c>
      <c r="M153" s="87" t="n">
        <f aca="false">IFERROR(SLOPE(D153:J153,$D$3:$J$3),"N/M")</f>
        <v>-0.0229514936947856</v>
      </c>
    </row>
    <row r="154" customFormat="false" ht="15" hidden="false" customHeight="false" outlineLevel="0" collapsed="false">
      <c r="A154" s="18" t="s">
        <v>147</v>
      </c>
      <c r="B154" s="19" t="s">
        <v>622</v>
      </c>
      <c r="D154" s="47" t="n">
        <f aca="false">IFERROR(IF(D49=0,"N/C",IF(D59&lt;=0,"N/M",D70/D59)),"N/M")</f>
        <v>12.4068249637155</v>
      </c>
      <c r="E154" s="47" t="n">
        <f aca="false">IFERROR(IF(E49=0,"N/C",IF(E59&lt;=0,"N/M",E70/E59)),"N/M")</f>
        <v>35.4716530146368</v>
      </c>
      <c r="F154" s="47" t="n">
        <f aca="false">IFERROR(IF(F49=0,"N/C",IF(F59&lt;=0,"N/M",F70/F59)),"N/M")</f>
        <v>24.3509224159717</v>
      </c>
      <c r="G154" s="47" t="n">
        <f aca="false">IFERROR(IF(G49=0,"N/C",IF(G59&lt;=0,"N/M",G70/G59)),"N/M")</f>
        <v>14.1823119625558</v>
      </c>
      <c r="H154" s="47" t="n">
        <f aca="false">IFERROR(IF(H49=0,"N/C",IF(H59&lt;=0,"N/M",H70/H59)),"N/M")</f>
        <v>17.3955495294305</v>
      </c>
      <c r="I154" s="47" t="n">
        <f aca="false">IFERROR(IF(I49=0,"N/C",IF(I59&lt;=0,"N/M",I70/I59)),"N/M")</f>
        <v>10.5419555792703</v>
      </c>
      <c r="J154" s="47" t="n">
        <f aca="false">IFERROR(IF(J49=0,"N/C",IF(J59&lt;=0,"N/M",J70/J59)),"N/M")</f>
        <v>9.71785001942754</v>
      </c>
      <c r="K154" s="22" t="n">
        <f aca="false">IFERROR(AVERAGE(D154:J154),"N/M")</f>
        <v>17.7238667835726</v>
      </c>
      <c r="L154" s="82" t="n">
        <f aca="false">IFERROR(J154-D154,"N/M")</f>
        <v>-2.68897494428799</v>
      </c>
      <c r="M154" s="83" t="n">
        <f aca="false">IFERROR(SLOPE(D154:J154,$D$3:$J$3),"N/M")</f>
        <v>-2.31720330679064</v>
      </c>
    </row>
    <row r="156" customFormat="false" ht="15" hidden="false" customHeight="false" outlineLevel="0" collapsed="false">
      <c r="A156" s="16" t="s">
        <v>623</v>
      </c>
      <c r="B156" s="17"/>
      <c r="C156" s="17"/>
      <c r="D156" s="17"/>
      <c r="E156" s="17"/>
      <c r="F156" s="17"/>
      <c r="G156" s="17"/>
      <c r="H156" s="17"/>
      <c r="I156" s="17"/>
      <c r="J156" s="17"/>
      <c r="K156" s="17"/>
      <c r="L156" s="17"/>
      <c r="M156" s="17"/>
    </row>
    <row r="157" customFormat="false" ht="15" hidden="false" customHeight="false" outlineLevel="0" collapsed="false">
      <c r="A157" s="18" t="s">
        <v>624</v>
      </c>
      <c r="B157" s="19" t="s">
        <v>580</v>
      </c>
      <c r="D157" s="46" t="n">
        <f aca="false">IFERROR(D124,"N/M")</f>
        <v>0.0158795093254666</v>
      </c>
      <c r="E157" s="46" t="n">
        <f aca="false">IFERROR(E124,"N/M")</f>
        <v>0.00919196499699729</v>
      </c>
      <c r="F157" s="46" t="n">
        <f aca="false">IFERROR(F124,"N/M")</f>
        <v>0.00424076739535737</v>
      </c>
      <c r="G157" s="46" t="n">
        <f aca="false">IFERROR(G124,"N/M")</f>
        <v>0.00512451518927362</v>
      </c>
      <c r="H157" s="46" t="n">
        <f aca="false">IFERROR(H124,"N/M")</f>
        <v>-0.00994193575337316</v>
      </c>
      <c r="I157" s="46" t="n">
        <f aca="false">IFERROR(I124,"N/M")</f>
        <v>-0.00587239939523296</v>
      </c>
      <c r="J157" s="46" t="n">
        <f aca="false">IFERROR(J124,"N/M")</f>
        <v>0.000327175574700327</v>
      </c>
      <c r="K157" s="25" t="n">
        <f aca="false">IFERROR(AVERAGE(D157:J157),"N/M")</f>
        <v>0.00270708533331272</v>
      </c>
      <c r="L157" s="86" t="n">
        <f aca="false">IFERROR(J157-D157,"N/M")</f>
        <v>-0.0155523337507662</v>
      </c>
      <c r="M157" s="87" t="n">
        <f aca="false">IFERROR(SLOPE(D157:J157,$D$3:$J$3),"N/M")</f>
        <v>-0.00324887261376749</v>
      </c>
    </row>
    <row r="158" customFormat="false" ht="15" hidden="false" customHeight="false" outlineLevel="0" collapsed="false">
      <c r="A158" s="18" t="s">
        <v>625</v>
      </c>
      <c r="B158" s="19" t="s">
        <v>626</v>
      </c>
      <c r="D158" s="47" t="n">
        <f aca="false">IFERROR(D113,"N/M")</f>
        <v>2.64271493557167</v>
      </c>
      <c r="E158" s="47" t="n">
        <f aca="false">IFERROR(E113,"N/M")</f>
        <v>2.09968572779588</v>
      </c>
      <c r="F158" s="47" t="n">
        <f aca="false">IFERROR(F113,"N/M")</f>
        <v>2.26124613296854</v>
      </c>
      <c r="G158" s="47" t="n">
        <f aca="false">IFERROR(G113,"N/M")</f>
        <v>2.26495567951453</v>
      </c>
      <c r="H158" s="47" t="n">
        <f aca="false">IFERROR(H113,"N/M")</f>
        <v>2.18919155331661</v>
      </c>
      <c r="I158" s="47" t="n">
        <f aca="false">IFERROR(I113,"N/M")</f>
        <v>2.41488528481013</v>
      </c>
      <c r="J158" s="47" t="n">
        <f aca="false">IFERROR(J113,"N/M")</f>
        <v>2.46289020920826</v>
      </c>
      <c r="K158" s="22" t="n">
        <f aca="false">IFERROR(AVERAGE(D158:J158),"N/M")</f>
        <v>2.33365278902652</v>
      </c>
      <c r="L158" s="82" t="n">
        <f aca="false">IFERROR(J158-D158,"N/M")</f>
        <v>-0.179824726363411</v>
      </c>
      <c r="M158" s="83" t="n">
        <f aca="false">IFERROR(SLOPE(D158:J158,$D$3:$J$3),"N/M")</f>
        <v>0.000673941260225908</v>
      </c>
    </row>
    <row r="159" customFormat="false" ht="15" hidden="false" customHeight="false" outlineLevel="0" collapsed="false">
      <c r="A159" s="18" t="s">
        <v>627</v>
      </c>
      <c r="B159" s="19" t="s">
        <v>628</v>
      </c>
      <c r="D159" s="46" t="n">
        <f aca="false">IFERROR((D157*D158),"N/M")</f>
        <v>0.0419650164639601</v>
      </c>
      <c r="E159" s="46" t="n">
        <f aca="false">IFERROR((E157*E158),"N/M")</f>
        <v>0.0193002377145945</v>
      </c>
      <c r="F159" s="46" t="n">
        <f aca="false">IFERROR((F157*F158),"N/M")</f>
        <v>0.00958941887357094</v>
      </c>
      <c r="G159" s="46" t="n">
        <f aca="false">IFERROR((G157*G158),"N/M")</f>
        <v>0.0116067997827037</v>
      </c>
      <c r="H159" s="46" t="n">
        <f aca="false">IFERROR((H157*H158),"N/M")</f>
        <v>-0.0217648017749009</v>
      </c>
      <c r="I159" s="46" t="n">
        <f aca="false">IFERROR((I157*I158),"N/M")</f>
        <v>-0.014181170886076</v>
      </c>
      <c r="J159" s="46" t="n">
        <f aca="false">IFERROR((J157*J158),"N/M")</f>
        <v>0.000805797519621521</v>
      </c>
      <c r="K159" s="25" t="n">
        <f aca="false">IFERROR(AVERAGE(D159:J159),"N/M")</f>
        <v>0.006760185384782</v>
      </c>
      <c r="L159" s="86" t="n">
        <f aca="false">IFERROR(J159-D159,"N/M")</f>
        <v>-0.0411592189443386</v>
      </c>
      <c r="M159" s="87" t="n">
        <f aca="false">IFERROR(SLOPE(D159:J159,$D$3:$J$3),"N/M")</f>
        <v>-0.0079212390958153</v>
      </c>
    </row>
    <row r="160" customFormat="false" ht="15" hidden="false" customHeight="false" outlineLevel="0" collapsed="false">
      <c r="A160" s="18" t="s">
        <v>629</v>
      </c>
      <c r="B160" s="19" t="s">
        <v>630</v>
      </c>
      <c r="D160" s="47" t="n">
        <f aca="false">IFERROR(IF(((D61+C61)/2)&lt;=0,"N/M",((D35+C35)/2)/((D61+C61)/2)),"N/M")</f>
        <v>2.51896209498787</v>
      </c>
      <c r="E160" s="47" t="n">
        <f aca="false">IFERROR(IF(((E61+D61)/2)&lt;=0,"N/M",((E35+D35)/2)/((E61+D61)/2)),"N/M")</f>
        <v>2.7938726173037</v>
      </c>
      <c r="F160" s="47" t="n">
        <f aca="false">IFERROR(IF(((F61+E61)/2)&lt;=0,"N/M",((F35+E35)/2)/((F61+E61)/2)),"N/M")</f>
        <v>3.28599242736914</v>
      </c>
      <c r="G160" s="47" t="n">
        <f aca="false">IFERROR(IF(((G61+F61)/2)&lt;=0,"N/M",((G35+F35)/2)/((G61+F61)/2)),"N/M")</f>
        <v>4.08643234219194</v>
      </c>
      <c r="H160" s="47" t="n">
        <f aca="false">IFERROR(IF(((H61+G61)/2)&lt;=0,"N/M",((H35+G35)/2)/((H61+G61)/2)),"N/M")</f>
        <v>4.77179501773958</v>
      </c>
      <c r="I160" s="47" t="n">
        <f aca="false">IFERROR(IF(((I61+H61)/2)&lt;=0,"N/M",((I35+H35)/2)/((I61+H61)/2)),"N/M")</f>
        <v>5.43451389262106</v>
      </c>
      <c r="J160" s="47" t="n">
        <f aca="false">IFERROR(IF(((J61+I61)/2)&lt;=0,"N/M",((J35+I35)/2)/((J61+I61)/2)),"N/M")</f>
        <v>3.524493693649</v>
      </c>
      <c r="K160" s="22" t="n">
        <f aca="false">IFERROR(AVERAGE(D160:J160),"N/M")</f>
        <v>3.77372315512318</v>
      </c>
      <c r="L160" s="82" t="n">
        <f aca="false">IFERROR(J160-D160,"N/M")</f>
        <v>1.00553159866113</v>
      </c>
      <c r="M160" s="83" t="n">
        <f aca="false">IFERROR(SLOPE(D160:J160,$D$3:$J$3),"N/M")</f>
        <v>0.349417140606734</v>
      </c>
    </row>
    <row r="161" customFormat="false" ht="15" hidden="false" customHeight="false" outlineLevel="0" collapsed="false">
      <c r="A161" s="18" t="s">
        <v>631</v>
      </c>
      <c r="B161" s="19" t="s">
        <v>632</v>
      </c>
      <c r="D161" s="46" t="n">
        <f aca="false">IFERROR(((D157*D158)*D160),"N/M")</f>
        <v>0.105708285788257</v>
      </c>
      <c r="E161" s="46" t="n">
        <f aca="false">IFERROR(((E157*E158)*E160),"N/M")</f>
        <v>0.0539224056582578</v>
      </c>
      <c r="F161" s="46" t="n">
        <f aca="false">IFERROR(((F157*F158)*F160),"N/M")</f>
        <v>0.0315107578014248</v>
      </c>
      <c r="G161" s="46" t="n">
        <f aca="false">IFERROR(((G157*G158)*G160),"N/M")</f>
        <v>0.047430402021387</v>
      </c>
      <c r="H161" s="46" t="n">
        <f aca="false">IFERROR(((H157*H158)*H160),"N/M")</f>
        <v>-0.103857172671562</v>
      </c>
      <c r="I161" s="46" t="n">
        <f aca="false">IFERROR(((I157*I158)*I160),"N/M")</f>
        <v>-0.077067770194013</v>
      </c>
      <c r="J161" s="46" t="n">
        <f aca="false">IFERROR(((J157*J158)*J160),"N/M")</f>
        <v>0.00284002827626406</v>
      </c>
      <c r="K161" s="25" t="n">
        <f aca="false">IFERROR(AVERAGE(D161:J161),"N/M")</f>
        <v>0.00864099095428805</v>
      </c>
      <c r="L161" s="86" t="n">
        <f aca="false">IFERROR(J161-D161,"N/M")</f>
        <v>-0.102868257511993</v>
      </c>
      <c r="M161" s="87" t="n">
        <f aca="false">IFERROR(SLOPE(D161:J161,$D$3:$J$3),"N/M")</f>
        <v>-0.025212609096911</v>
      </c>
    </row>
    <row r="162" customFormat="false" ht="15" hidden="false" customHeight="false" outlineLevel="0" collapsed="false">
      <c r="A162" s="18" t="s">
        <v>633</v>
      </c>
      <c r="B162" s="19" t="s">
        <v>634</v>
      </c>
      <c r="D162" s="47" t="n">
        <f aca="false">IFERROR(IF(D20=0,"N/M",D22/D20),"N/M")</f>
        <v>0.678901342529868</v>
      </c>
      <c r="E162" s="47" t="n">
        <f aca="false">IFERROR(IF(E20=0,"N/M",E22/E20),"N/M")</f>
        <v>0.76530612244898</v>
      </c>
      <c r="F162" s="47" t="n">
        <f aca="false">IFERROR(IF(F20=0,"N/M",F22/F20),"N/M")</f>
        <v>0.667426833903459</v>
      </c>
      <c r="G162" s="47" t="n">
        <f aca="false">IFERROR(IF(G20=0,"N/M",G22/G20),"N/M")</f>
        <v>0.760856977417487</v>
      </c>
      <c r="H162" s="47" t="n">
        <f aca="false">IFERROR(IF(H20=0,"N/M",H22/H20),"N/M")</f>
        <v>2.07427055702918</v>
      </c>
      <c r="I162" s="47" t="n">
        <f aca="false">IFERROR(IF(I20=0,"N/M",I22/I20),"N/M")</f>
        <v>4.67405475880052</v>
      </c>
      <c r="J162" s="47" t="n">
        <f aca="false">IFERROR(IF(J20=0,"N/M",J22/J20),"N/M")</f>
        <v>0.069059107358263</v>
      </c>
      <c r="K162" s="22" t="n">
        <f aca="false">IFERROR(AVERAGE(D162:J162),"N/M")</f>
        <v>1.38426795706968</v>
      </c>
      <c r="L162" s="82" t="n">
        <f aca="false">IFERROR(J162-D162,"N/M")</f>
        <v>-0.609842235171605</v>
      </c>
      <c r="M162" s="83" t="n">
        <f aca="false">IFERROR(SLOPE(D162:J162,$D$3:$J$3),"N/M")</f>
        <v>0.264100510368357</v>
      </c>
    </row>
    <row r="163" customFormat="false" ht="15" hidden="false" customHeight="false" outlineLevel="0" collapsed="false">
      <c r="A163" s="18" t="s">
        <v>635</v>
      </c>
      <c r="B163" s="19" t="s">
        <v>636</v>
      </c>
      <c r="D163" s="47" t="n">
        <f aca="false">IFERROR(IF(D58=0,"N/M",D20/D58),"N/M")</f>
        <v>0.821594818862579</v>
      </c>
      <c r="E163" s="47" t="n">
        <f aca="false">IFERROR(IF(E58=0,"N/M",E20/E58),"N/M")</f>
        <v>0.661157024793388</v>
      </c>
      <c r="F163" s="47" t="n">
        <f aca="false">IFERROR(IF(F58=0,"N/M",F20/F58),"N/M")</f>
        <v>0.468733297701764</v>
      </c>
      <c r="G163" s="47" t="n">
        <f aca="false">IFERROR(IF(G58=0,"N/M",G20/G58),"N/M")</f>
        <v>0.401114853094879</v>
      </c>
      <c r="H163" s="47" t="n">
        <f aca="false">IFERROR(IF(H58=0,"N/M",H20/H58),"N/M")</f>
        <v>-0.631793152980608</v>
      </c>
      <c r="I163" s="47" t="n">
        <f aca="false">IFERROR(IF(I58=0,"N/M",I20/I58),"N/M")</f>
        <v>-0.104296981234702</v>
      </c>
      <c r="J163" s="47" t="n">
        <f aca="false">IFERROR(IF(J58=0,"N/M",J20/J58),"N/M")</f>
        <v>0.306526160103531</v>
      </c>
      <c r="K163" s="22" t="n">
        <f aca="false">IFERROR(AVERAGE(D163:J163),"N/M")</f>
        <v>0.274719431477261</v>
      </c>
      <c r="L163" s="82" t="n">
        <f aca="false">IFERROR(J163-D163,"N/M")</f>
        <v>-0.515068658759047</v>
      </c>
      <c r="M163" s="83" t="n">
        <f aca="false">IFERROR(SLOPE(D163:J163,$D$3:$J$3),"N/M")</f>
        <v>-0.149165729964846</v>
      </c>
    </row>
    <row r="164" customFormat="false" ht="15" hidden="false" customHeight="false" outlineLevel="0" collapsed="false">
      <c r="A164" s="18" t="s">
        <v>637</v>
      </c>
      <c r="B164" s="19" t="s">
        <v>577</v>
      </c>
      <c r="D164" s="46" t="n">
        <f aca="false">IFERROR(IF(D9&lt;=0,"N/M",D58/D9),"N/M")</f>
        <v>0.0284690332282766</v>
      </c>
      <c r="E164" s="46" t="n">
        <f aca="false">IFERROR(IF(E9&lt;=0,"N/M",E58/E9),"N/M")</f>
        <v>0.018166386822399</v>
      </c>
      <c r="F164" s="46" t="n">
        <f aca="false">IFERROR(IF(F9&lt;=0,"N/M",F58/F9),"N/M")</f>
        <v>0.0135554825684174</v>
      </c>
      <c r="G164" s="46" t="n">
        <f aca="false">IFERROR(IF(G9&lt;=0,"N/M",G58/G9),"N/M")</f>
        <v>0.0167911721061016</v>
      </c>
      <c r="H164" s="46" t="n">
        <f aca="false">IFERROR(IF(H9&lt;=0,"N/M",H58/H9),"N/M")</f>
        <v>0.00758631085894039</v>
      </c>
      <c r="I164" s="46" t="n">
        <f aca="false">IFERROR(IF(I9&lt;=0,"N/M",I58/I9),"N/M")</f>
        <v>0.0120461994846703</v>
      </c>
      <c r="J164" s="46" t="n">
        <f aca="false">IFERROR(IF(J9&lt;=0,"N/M",J58/J9),"N/M")</f>
        <v>0.0154558312974155</v>
      </c>
      <c r="K164" s="25" t="n">
        <f aca="false">IFERROR(AVERAGE(D164:J164),"N/M")</f>
        <v>0.0160100594808887</v>
      </c>
      <c r="L164" s="86" t="n">
        <f aca="false">IFERROR(J164-D164,"N/M")</f>
        <v>-0.0130132019308611</v>
      </c>
      <c r="M164" s="87" t="n">
        <f aca="false">IFERROR(SLOPE(D164:J164,$D$3:$J$3),"N/M")</f>
        <v>-0.00204461257776849</v>
      </c>
    </row>
    <row r="165" customFormat="false" ht="15" hidden="false" customHeight="false" outlineLevel="0" collapsed="false">
      <c r="A165" s="18" t="s">
        <v>638</v>
      </c>
      <c r="B165" s="19" t="s">
        <v>626</v>
      </c>
      <c r="D165" s="47" t="n">
        <f aca="false">IFERROR(D113,"N/M")</f>
        <v>2.64271493557167</v>
      </c>
      <c r="E165" s="47" t="n">
        <f aca="false">IFERROR(E113,"N/M")</f>
        <v>2.09968572779588</v>
      </c>
      <c r="F165" s="47" t="n">
        <f aca="false">IFERROR(F113,"N/M")</f>
        <v>2.26124613296854</v>
      </c>
      <c r="G165" s="47" t="n">
        <f aca="false">IFERROR(G113,"N/M")</f>
        <v>2.26495567951453</v>
      </c>
      <c r="H165" s="47" t="n">
        <f aca="false">IFERROR(H113,"N/M")</f>
        <v>2.18919155331661</v>
      </c>
      <c r="I165" s="47" t="n">
        <f aca="false">IFERROR(I113,"N/M")</f>
        <v>2.41488528481013</v>
      </c>
      <c r="J165" s="47" t="n">
        <f aca="false">IFERROR(J113,"N/M")</f>
        <v>2.46289020920826</v>
      </c>
      <c r="K165" s="22" t="n">
        <f aca="false">IFERROR(AVERAGE(D165:J165),"N/M")</f>
        <v>2.33365278902652</v>
      </c>
      <c r="L165" s="82" t="n">
        <f aca="false">IFERROR(J165-D165,"N/M")</f>
        <v>-0.179824726363411</v>
      </c>
      <c r="M165" s="83" t="n">
        <f aca="false">IFERROR(SLOPE(D165:J165,$D$3:$J$3),"N/M")</f>
        <v>0.000673941260225908</v>
      </c>
    </row>
    <row r="166" customFormat="false" ht="15" hidden="false" customHeight="false" outlineLevel="0" collapsed="false">
      <c r="A166" s="18" t="s">
        <v>639</v>
      </c>
      <c r="B166" s="19" t="s">
        <v>640</v>
      </c>
      <c r="D166" s="47" t="n">
        <f aca="false">IFERROR(D160,"N/M")</f>
        <v>2.51896209498787</v>
      </c>
      <c r="E166" s="47" t="n">
        <f aca="false">IFERROR(E160,"N/M")</f>
        <v>2.7938726173037</v>
      </c>
      <c r="F166" s="47" t="n">
        <f aca="false">IFERROR(F160,"N/M")</f>
        <v>3.28599242736914</v>
      </c>
      <c r="G166" s="47" t="n">
        <f aca="false">IFERROR(G160,"N/M")</f>
        <v>4.08643234219194</v>
      </c>
      <c r="H166" s="47" t="n">
        <f aca="false">IFERROR(H160,"N/M")</f>
        <v>4.77179501773958</v>
      </c>
      <c r="I166" s="47" t="n">
        <f aca="false">IFERROR(I160,"N/M")</f>
        <v>5.43451389262106</v>
      </c>
      <c r="J166" s="47" t="n">
        <f aca="false">IFERROR(J160,"N/M")</f>
        <v>3.524493693649</v>
      </c>
      <c r="K166" s="22" t="n">
        <f aca="false">IFERROR(AVERAGE(D166:J166),"N/M")</f>
        <v>3.77372315512318</v>
      </c>
      <c r="L166" s="82" t="n">
        <f aca="false">IFERROR(J166-D166,"N/M")</f>
        <v>1.00553159866113</v>
      </c>
      <c r="M166" s="83" t="n">
        <f aca="false">IFERROR(SLOPE(D166:J166,$D$3:$J$3),"N/M")</f>
        <v>0.349417140606734</v>
      </c>
    </row>
    <row r="167" customFormat="false" ht="15" hidden="false" customHeight="false" outlineLevel="0" collapsed="false">
      <c r="A167" s="18" t="s">
        <v>641</v>
      </c>
      <c r="B167" s="19" t="s">
        <v>642</v>
      </c>
      <c r="D167" s="46" t="n">
        <f aca="false">IFERROR(((((D162*D163)*D164)*D165)*D166),"N/M")</f>
        <v>0.105708285788257</v>
      </c>
      <c r="E167" s="46" t="n">
        <f aca="false">IFERROR(((((E162*E163)*E164)*E165)*E166),"N/M")</f>
        <v>0.0539224056582578</v>
      </c>
      <c r="F167" s="46" t="n">
        <f aca="false">IFERROR(((((F162*F163)*F164)*F165)*F166),"N/M")</f>
        <v>0.0315107578014248</v>
      </c>
      <c r="G167" s="46" t="n">
        <f aca="false">IFERROR(((((G162*G163)*G164)*G165)*G166),"N/M")</f>
        <v>0.047430402021387</v>
      </c>
      <c r="H167" s="46" t="n">
        <f aca="false">IFERROR(((((H162*H163)*H164)*H165)*H166),"N/M")</f>
        <v>-0.103857172671562</v>
      </c>
      <c r="I167" s="46" t="n">
        <f aca="false">IFERROR(((((I162*I163)*I164)*I165)*I166),"N/M")</f>
        <v>-0.077067770194013</v>
      </c>
      <c r="J167" s="46" t="n">
        <f aca="false">IFERROR(((((J162*J163)*J164)*J165)*J166),"N/M")</f>
        <v>0.00284002827626406</v>
      </c>
      <c r="K167" s="25" t="n">
        <f aca="false">IFERROR(AVERAGE(D167:J167),"N/M")</f>
        <v>0.00864099095428805</v>
      </c>
      <c r="L167" s="86" t="n">
        <f aca="false">IFERROR(J167-D167,"N/M")</f>
        <v>-0.102868257511993</v>
      </c>
      <c r="M167" s="87" t="n">
        <f aca="false">IFERROR(SLOPE(D167:J167,$D$3:$J$3),"N/M")</f>
        <v>-0.025212609096911</v>
      </c>
    </row>
    <row r="169" customFormat="false" ht="15" hidden="false" customHeight="false" outlineLevel="0" collapsed="false">
      <c r="A169" s="16" t="s">
        <v>643</v>
      </c>
      <c r="B169" s="17"/>
      <c r="C169" s="17"/>
      <c r="D169" s="17"/>
      <c r="E169" s="17"/>
      <c r="F169" s="17"/>
      <c r="G169" s="17"/>
      <c r="H169" s="17"/>
      <c r="I169" s="17"/>
      <c r="J169" s="17"/>
      <c r="K169" s="17"/>
      <c r="L169" s="17"/>
      <c r="M169" s="17"/>
    </row>
    <row r="170" customFormat="false" ht="15" hidden="false" customHeight="false" outlineLevel="0" collapsed="false">
      <c r="A170" s="18" t="s">
        <v>149</v>
      </c>
      <c r="B170" s="19" t="s">
        <v>644</v>
      </c>
      <c r="D170" s="46" t="n">
        <f aca="false">IFERROR(IF((1-(D135*D149))&lt;=0,"N/M",(D135*D149)/(1-(D135*D149))),"N/M")</f>
        <v>0.0349779565592533</v>
      </c>
      <c r="E170" s="46" t="n">
        <f aca="false">IFERROR(IF((1-(E135*E149))&lt;=0,"N/M",(E135*E149)/(1-(E135*E149))),"N/M")</f>
        <v>0.00783243262519411</v>
      </c>
      <c r="F170" s="46" t="n">
        <f aca="false">IFERROR(IF((1-(F135*F149))&lt;=0,"N/M",(F135*F149)/(1-(F135*F149))),"N/M")</f>
        <v>0.00174508135963173</v>
      </c>
      <c r="G170" s="46" t="n">
        <f aca="false">IFERROR(IF((1-(G135*G149))&lt;=0,"N/M",(G135*G149)/(1-(G135*G149))),"N/M")</f>
        <v>0.0036703591898613</v>
      </c>
      <c r="H170" s="46" t="str">
        <f aca="false">IFERROR(IF((1-(H135*H149))&lt;=0,"N/M",(H135*H149)/(1-(H135*H149))),"N/M")</f>
        <v>N/M</v>
      </c>
      <c r="I170" s="46" t="str">
        <f aca="false">IFERROR(IF((1-(I135*I149))&lt;=0,"N/M",(I135*I149)/(1-(I135*I149))),"N/M")</f>
        <v>N/M</v>
      </c>
      <c r="J170" s="46" t="n">
        <f aca="false">IFERROR(IF((1-(J135*J149))&lt;=0,"N/M",(J135*J149)/(1-(J135*J149))),"N/M")</f>
        <v>-0.00785849815756446</v>
      </c>
      <c r="K170" s="25" t="n">
        <f aca="false">IFERROR(AVERAGE(D170:J170),"N/M")</f>
        <v>0.0080734663152752</v>
      </c>
      <c r="L170" s="86" t="n">
        <f aca="false">IFERROR(J170-D170,"N/M")</f>
        <v>-0.0428364547168178</v>
      </c>
      <c r="M170" s="87" t="n">
        <f aca="false">IFERROR(SLOPE(D170:J170,$D$3:$J$3),"N/M")</f>
        <v>-0.0057405147082381</v>
      </c>
    </row>
    <row r="171" customFormat="false" ht="15" hidden="false" customHeight="false" outlineLevel="0" collapsed="false">
      <c r="A171" s="18" t="s">
        <v>645</v>
      </c>
      <c r="B171" s="19" t="s">
        <v>646</v>
      </c>
      <c r="D171" s="46" t="n">
        <f aca="false">IFERROR(IF((1-(D139*D149))&lt;=0,"N/M",(D139*D149)/(1-(D139*D149))),"N/M")</f>
        <v>0.0930520181534237</v>
      </c>
      <c r="E171" s="46" t="n">
        <f aca="false">IFERROR(IF((1-(E139*E149))&lt;=0,"N/M",(E139*E149)/(1-(E139*E149))),"N/M")</f>
        <v>0.0221946626245923</v>
      </c>
      <c r="F171" s="46" t="n">
        <f aca="false">IFERROR(IF((1-(F139*F149))&lt;=0,"N/M",(F139*F149)/(1-(F139*F149))),"N/M")</f>
        <v>0.00575729136586775</v>
      </c>
      <c r="G171" s="46" t="n">
        <f aca="false">IFERROR(IF((1-(G139*G149))&lt;=0,"N/M",(G139*G149)/(1-(G139*G149))),"N/M")</f>
        <v>0.0151705310601966</v>
      </c>
      <c r="H171" s="46" t="str">
        <f aca="false">IFERROR(IF((1-(H139*H149))&lt;=0,"N/M",(H139*H149)/(1-(H139*H149))),"N/M")</f>
        <v>N/M</v>
      </c>
      <c r="I171" s="46" t="str">
        <f aca="false">IFERROR(IF((1-(I139*I149))&lt;=0,"N/M",(I139*I149)/(1-(I139*I149))),"N/M")</f>
        <v>N/M</v>
      </c>
      <c r="J171" s="46" t="n">
        <f aca="false">IFERROR(IF((1-(J139*J149))&lt;=0,"N/M",(J139*J149)/(1-(J139*J149))),"N/M")</f>
        <v>-0.0271584382993099</v>
      </c>
      <c r="K171" s="25" t="n">
        <f aca="false">IFERROR(AVERAGE(D171:J171),"N/M")</f>
        <v>0.0218032129809541</v>
      </c>
      <c r="L171" s="86" t="n">
        <f aca="false">IFERROR(J171-D171,"N/M")</f>
        <v>-0.120210456452734</v>
      </c>
      <c r="M171" s="87" t="n">
        <f aca="false">IFERROR(SLOPE(D171:J171,$D$3:$J$3),"N/M")</f>
        <v>-0.0162909597655845</v>
      </c>
    </row>
    <row r="172" customFormat="false" ht="15" hidden="false" customHeight="false" outlineLevel="0" collapsed="false">
      <c r="A172" s="18" t="s">
        <v>647</v>
      </c>
      <c r="B172" s="19" t="s">
        <v>648</v>
      </c>
      <c r="D172" s="46" t="n">
        <f aca="false">IFERROR((IF(C9&lt;=0,"N/M",D9/C9)-1),"N/M")</f>
        <v>-0.0987188874521596</v>
      </c>
      <c r="E172" s="46" t="n">
        <f aca="false">IFERROR((IF(D9&lt;=0,"N/M",E9/D9)-1),"N/M")</f>
        <v>-0.0597555846206146</v>
      </c>
      <c r="F172" s="46" t="n">
        <f aca="false">IFERROR((IF(E9&lt;=0,"N/M",F9/E9)-1),"N/M")</f>
        <v>0.268724032698884</v>
      </c>
      <c r="G172" s="46" t="n">
        <f aca="false">IFERROR((IF(F9&lt;=0,"N/M",G9/F9)-1),"N/M")</f>
        <v>0.23849003564563</v>
      </c>
      <c r="H172" s="46" t="n">
        <f aca="false">IFERROR((IF(G9&lt;=0,"N/M",H9/G9)-1),"N/M")</f>
        <v>0.073646381152392</v>
      </c>
      <c r="I172" s="46" t="n">
        <f aca="false">IFERROR((IF(H9&lt;=0,"N/M",I9/H9)-1),"N/M")</f>
        <v>0.10876557627448</v>
      </c>
      <c r="J172" s="46" t="n">
        <f aca="false">IFERROR((IF(I9&lt;=0,"N/M",J9/I9)-1),"N/M")</f>
        <v>0.146518412470126</v>
      </c>
      <c r="K172" s="25" t="n">
        <f aca="false">IFERROR(AVERAGE(D172:J172),"N/M")</f>
        <v>0.0968099951669625</v>
      </c>
      <c r="L172" s="86" t="n">
        <f aca="false">IFERROR(J172-D172,"N/M")</f>
        <v>0.245237299922286</v>
      </c>
      <c r="M172" s="87" t="n">
        <f aca="false">IFERROR(SLOPE(D172:J172,$D$3:$J$3),"N/M")</f>
        <v>0.0313455917860913</v>
      </c>
    </row>
    <row r="174" customFormat="false" ht="15" hidden="false" customHeight="false" outlineLevel="0" collapsed="false">
      <c r="A174" s="16" t="s">
        <v>649</v>
      </c>
      <c r="B174" s="17"/>
      <c r="C174" s="17"/>
      <c r="D174" s="17"/>
      <c r="E174" s="17"/>
      <c r="F174" s="17"/>
      <c r="G174" s="17"/>
      <c r="H174" s="17"/>
      <c r="I174" s="17"/>
      <c r="J174" s="17"/>
      <c r="K174" s="17"/>
      <c r="L174" s="17"/>
      <c r="M174" s="17"/>
    </row>
    <row r="175" customFormat="false" ht="15" hidden="false" customHeight="false" outlineLevel="0" collapsed="false">
      <c r="A175" s="18" t="s">
        <v>650</v>
      </c>
      <c r="B175" s="19" t="s">
        <v>651</v>
      </c>
      <c r="D175" s="46" t="n">
        <f aca="false">IFERROR(IF(D9&lt;=0,"N/M",D9/D9),"N/M")</f>
        <v>1</v>
      </c>
      <c r="E175" s="46" t="n">
        <f aca="false">IFERROR(IF(E9&lt;=0,"N/M",E9/E9),"N/M")</f>
        <v>1</v>
      </c>
      <c r="F175" s="46" t="n">
        <f aca="false">IFERROR(IF(F9&lt;=0,"N/M",F9/F9),"N/M")</f>
        <v>1</v>
      </c>
      <c r="G175" s="46" t="n">
        <f aca="false">IFERROR(IF(G9&lt;=0,"N/M",G9/G9),"N/M")</f>
        <v>1</v>
      </c>
      <c r="H175" s="46" t="n">
        <f aca="false">IFERROR(IF(H9&lt;=0,"N/M",H9/H9),"N/M")</f>
        <v>1</v>
      </c>
      <c r="I175" s="46" t="n">
        <f aca="false">IFERROR(IF(I9&lt;=0,"N/M",I9/I9),"N/M")</f>
        <v>1</v>
      </c>
      <c r="J175" s="46" t="n">
        <f aca="false">IFERROR(IF(J9&lt;=0,"N/M",J9/J9),"N/M")</f>
        <v>1</v>
      </c>
      <c r="K175" s="25" t="n">
        <f aca="false">IFERROR(AVERAGE(D175:J175),"N/M")</f>
        <v>1</v>
      </c>
      <c r="L175" s="86" t="n">
        <f aca="false">IFERROR(J175-D175,"N/M")</f>
        <v>0</v>
      </c>
      <c r="M175" s="87" t="n">
        <f aca="false">IFERROR(SLOPE(D175:J175,$D$3:$J$3),"N/M")</f>
        <v>0</v>
      </c>
    </row>
    <row r="176" customFormat="false" ht="15" hidden="false" customHeight="false" outlineLevel="0" collapsed="false">
      <c r="A176" s="18" t="s">
        <v>652</v>
      </c>
      <c r="B176" s="19" t="s">
        <v>653</v>
      </c>
      <c r="D176" s="46" t="n">
        <f aca="false">IFERROR(IF(D9&lt;=0,"N/M",D52/D9),"N/M")</f>
        <v>0.847387313677927</v>
      </c>
      <c r="E176" s="46" t="n">
        <f aca="false">IFERROR(IF(E9&lt;=0,"N/M",E52/E9),"N/M")</f>
        <v>0.84970524432243</v>
      </c>
      <c r="F176" s="46" t="n">
        <f aca="false">IFERROR(IF(F9&lt;=0,"N/M",F52/F9),"N/M")</f>
        <v>0.86015852162405</v>
      </c>
      <c r="G176" s="46" t="n">
        <f aca="false">IFERROR(IF(G9&lt;=0,"N/M",G52/G9),"N/M")</f>
        <v>0.8570673655351</v>
      </c>
      <c r="H176" s="46" t="n">
        <f aca="false">IFERROR(IF(H9&lt;=0,"N/M",H52/H9),"N/M")</f>
        <v>0.853024989238953</v>
      </c>
      <c r="I176" s="46" t="n">
        <f aca="false">IFERROR(IF(I9&lt;=0,"N/M",I52/I9),"N/M")</f>
        <v>0.863252539382751</v>
      </c>
      <c r="J176" s="46" t="n">
        <f aca="false">IFERROR(IF(J9&lt;=0,"N/M",J52/J9),"N/M")</f>
        <v>0.862477676339063</v>
      </c>
      <c r="K176" s="25" t="n">
        <f aca="false">IFERROR(AVERAGE(D176:J176),"N/M")</f>
        <v>0.856153378588611</v>
      </c>
      <c r="L176" s="86" t="n">
        <f aca="false">IFERROR(J176-D176,"N/M")</f>
        <v>0.0150903626611353</v>
      </c>
      <c r="M176" s="87" t="n">
        <f aca="false">IFERROR(SLOPE(D176:J176,$D$3:$J$3),"N/M")</f>
        <v>0.00232971948996257</v>
      </c>
    </row>
    <row r="177" customFormat="false" ht="15" hidden="false" customHeight="false" outlineLevel="0" collapsed="false">
      <c r="A177" s="18" t="s">
        <v>407</v>
      </c>
      <c r="B177" s="19" t="s">
        <v>587</v>
      </c>
      <c r="D177" s="46" t="n">
        <f aca="false">IFERROR(IF(D9&lt;=0,"N/M",D14/D9),"N/M")</f>
        <v>0.0883456155614582</v>
      </c>
      <c r="E177" s="46" t="n">
        <f aca="false">IFERROR(IF(E9&lt;=0,"N/M",E14/E9),"N/M")</f>
        <v>0.0908349981003272</v>
      </c>
      <c r="F177" s="46" t="n">
        <f aca="false">IFERROR(IF(F9&lt;=0,"N/M",F14/F9),"N/M")</f>
        <v>0.0760005409634946</v>
      </c>
      <c r="G177" s="46" t="n">
        <f aca="false">IFERROR(IF(G9&lt;=0,"N/M",G14/G9),"N/M")</f>
        <v>0.0691380557651771</v>
      </c>
      <c r="H177" s="46" t="n">
        <f aca="false">IFERROR(IF(H9&lt;=0,"N/M",H14/H9),"N/M")</f>
        <v>0.0735020350637581</v>
      </c>
      <c r="I177" s="46" t="n">
        <f aca="false">IFERROR(IF(I9&lt;=0,"N/M",I14/I9),"N/M")</f>
        <v>0.0661115870548402</v>
      </c>
      <c r="J177" s="46" t="n">
        <f aca="false">IFERROR(IF(J9&lt;=0,"N/M",J14/J9),"N/M")</f>
        <v>0.0610632491820611</v>
      </c>
      <c r="K177" s="25" t="n">
        <f aca="false">IFERROR(AVERAGE(D177:J177),"N/M")</f>
        <v>0.0749994402415881</v>
      </c>
      <c r="L177" s="86" t="n">
        <f aca="false">IFERROR(J177-D177,"N/M")</f>
        <v>-0.0272823663793971</v>
      </c>
      <c r="M177" s="87" t="n">
        <f aca="false">IFERROR(SLOPE(D177:J177,$D$3:$J$3),"N/M")</f>
        <v>-0.00477830096888936</v>
      </c>
    </row>
    <row r="178" customFormat="false" ht="15" hidden="false" customHeight="false" outlineLevel="0" collapsed="false">
      <c r="A178" s="18" t="s">
        <v>654</v>
      </c>
      <c r="B178" s="19" t="s">
        <v>655</v>
      </c>
      <c r="D178" s="46" t="n">
        <f aca="false">IFERROR(IF(D9&lt;=0,"N/M",D15/D9),"N/M")</f>
        <v>0.0117943960773694</v>
      </c>
      <c r="E178" s="46" t="n">
        <f aca="false">IFERROR(IF(E9&lt;=0,"N/M",E15/E9),"N/M")</f>
        <v>0.00928388464696727</v>
      </c>
      <c r="F178" s="46" t="n">
        <f aca="false">IFERROR(IF(F9&lt;=0,"N/M",F15/F9),"N/M")</f>
        <v>0.0109110404853215</v>
      </c>
      <c r="G178" s="46" t="n">
        <f aca="false">IFERROR(IF(G9&lt;=0,"N/M",G15/G9),"N/M")</f>
        <v>0.0156738405979381</v>
      </c>
      <c r="H178" s="46" t="n">
        <f aca="false">IFERROR(IF(H9&lt;=0,"N/M",H15/H9),"N/M")</f>
        <v>0.0200328007599024</v>
      </c>
      <c r="I178" s="46" t="n">
        <f aca="false">IFERROR(IF(I9&lt;=0,"N/M",I15/I9),"N/M")</f>
        <v>0.0167768799458789</v>
      </c>
      <c r="J178" s="46" t="n">
        <f aca="false">IFERROR(IF(J9&lt;=0,"N/M",J15/J9),"N/M")</f>
        <v>0.0144300144300144</v>
      </c>
      <c r="K178" s="25" t="n">
        <f aca="false">IFERROR(AVERAGE(D178:J178),"N/M")</f>
        <v>0.0141289795633417</v>
      </c>
      <c r="L178" s="86" t="n">
        <f aca="false">IFERROR(J178-D178,"N/M")</f>
        <v>0.00263561835264504</v>
      </c>
      <c r="M178" s="87" t="n">
        <f aca="false">IFERROR(SLOPE(D178:J178,$D$3:$J$3),"N/M")</f>
        <v>0.0011433787832264</v>
      </c>
    </row>
    <row r="179" customFormat="false" ht="15" hidden="false" customHeight="false" outlineLevel="0" collapsed="false">
      <c r="A179" s="18" t="s">
        <v>411</v>
      </c>
      <c r="B179" s="19" t="s">
        <v>656</v>
      </c>
      <c r="D179" s="46" t="n">
        <f aca="false">IFERROR(IF(D9&lt;=0,"N/M",D16/D9),"N/M")</f>
        <v>0.00681620447461065</v>
      </c>
      <c r="E179" s="46" t="n">
        <f aca="false">IFERROR(IF(E9&lt;=0,"N/M",E16/E9),"N/M")</f>
        <v>0.00891007807042271</v>
      </c>
      <c r="F179" s="46" t="n">
        <f aca="false">IFERROR(IF(F9&lt;=0,"N/M",F16/F9),"N/M")</f>
        <v>0.00840666930708372</v>
      </c>
      <c r="G179" s="46" t="n">
        <f aca="false">IFERROR(IF(G9&lt;=0,"N/M",G16/G9),"N/M")</f>
        <v>0.00741767723744172</v>
      </c>
      <c r="H179" s="46" t="n">
        <f aca="false">IFERROR(IF(H9&lt;=0,"N/M",H16/H9),"N/M")</f>
        <v>0.0114421255473604</v>
      </c>
      <c r="I179" s="46" t="n">
        <f aca="false">IFERROR(IF(I9&lt;=0,"N/M",I16/I9),"N/M")</f>
        <v>0.00727456784218398</v>
      </c>
      <c r="J179" s="46" t="n">
        <f aca="false">IFERROR(IF(J9&lt;=0,"N/M",J16/J9),"N/M")</f>
        <v>0.00790936236480791</v>
      </c>
      <c r="K179" s="25" t="n">
        <f aca="false">IFERROR(AVERAGE(D179:J179),"N/M")</f>
        <v>0.00831095497770159</v>
      </c>
      <c r="L179" s="86" t="n">
        <f aca="false">IFERROR(J179-D179,"N/M")</f>
        <v>0.00109315789019726</v>
      </c>
      <c r="M179" s="87" t="n">
        <f aca="false">IFERROR(SLOPE(D179:J179,$D$3:$J$3),"N/M")</f>
        <v>0.000108711051942536</v>
      </c>
    </row>
    <row r="180" customFormat="false" ht="15" hidden="false" customHeight="false" outlineLevel="0" collapsed="false">
      <c r="A180" s="18" t="s">
        <v>657</v>
      </c>
      <c r="B180" s="19" t="s">
        <v>658</v>
      </c>
      <c r="D180" s="46" t="n">
        <f aca="false">IFERROR(IF(D9&lt;=0,"N/M",D56/D9),"N/M")</f>
        <v>0.0456564702086345</v>
      </c>
      <c r="E180" s="46" t="n">
        <f aca="false">IFERROR(IF(E9&lt;=0,"N/M",E56/E9),"N/M")</f>
        <v>0.041265794859853</v>
      </c>
      <c r="F180" s="46" t="n">
        <f aca="false">IFERROR(IF(F9&lt;=0,"N/M",F56/F9),"N/M")</f>
        <v>0.0445232276200503</v>
      </c>
      <c r="G180" s="46" t="n">
        <f aca="false">IFERROR(IF(G9&lt;=0,"N/M",G56/G9),"N/M")</f>
        <v>0.0507030608643426</v>
      </c>
      <c r="H180" s="46" t="n">
        <f aca="false">IFERROR(IF(H9&lt;=0,"N/M",H56/H9),"N/M")</f>
        <v>0.0419980493900257</v>
      </c>
      <c r="I180" s="46" t="n">
        <f aca="false">IFERROR(IF(I9&lt;=0,"N/M",I56/I9),"N/M")</f>
        <v>0.0465844257743459</v>
      </c>
      <c r="J180" s="46" t="n">
        <f aca="false">IFERROR(IF(J9&lt;=0,"N/M",J56/J9),"N/M")</f>
        <v>0.0541196976840541</v>
      </c>
      <c r="K180" s="25" t="n">
        <f aca="false">IFERROR(AVERAGE(D180:J180),"N/M")</f>
        <v>0.046407246628758</v>
      </c>
      <c r="L180" s="86" t="n">
        <f aca="false">IFERROR(J180-D180,"N/M")</f>
        <v>0.00846322747541964</v>
      </c>
      <c r="M180" s="87" t="n">
        <f aca="false">IFERROR(SLOPE(D180:J180,$D$3:$J$3),"N/M")</f>
        <v>0.00119649164375786</v>
      </c>
    </row>
    <row r="181" customFormat="false" ht="15" hidden="false" customHeight="false" outlineLevel="0" collapsed="false">
      <c r="A181" s="18" t="s">
        <v>659</v>
      </c>
      <c r="B181" s="19" t="s">
        <v>660</v>
      </c>
      <c r="D181" s="46" t="n">
        <f aca="false">IFERROR(IF(D9&lt;=0,"N/M",D17/D9),"N/M")</f>
        <v>0.00396699643344838</v>
      </c>
      <c r="E181" s="46" t="n">
        <f aca="false">IFERROR(IF(E9&lt;=0,"N/M",E17/E9),"N/M")</f>
        <v>0.00436924736190605</v>
      </c>
      <c r="F181" s="46" t="n">
        <f aca="false">IFERROR(IF(F9&lt;=0,"N/M",F17/F9),"N/M")</f>
        <v>0.00325785604575006</v>
      </c>
      <c r="G181" s="46" t="n">
        <f aca="false">IFERROR(IF(G9&lt;=0,"N/M",G17/G9),"N/M")</f>
        <v>0.00303999968800516</v>
      </c>
      <c r="H181" s="46" t="n">
        <f aca="false">IFERROR(IF(H9&lt;=0,"N/M",H17/H9),"N/M")</f>
        <v>0.00354524270927738</v>
      </c>
      <c r="I181" s="46" t="n">
        <f aca="false">IFERROR(IF(I9&lt;=0,"N/M",I17/I9),"N/M")</f>
        <v>0.00253405909746873</v>
      </c>
      <c r="J181" s="46" t="n">
        <f aca="false">IFERROR(IF(J9&lt;=0,"N/M",J17/J9),"N/M")</f>
        <v>0.00103581786750104</v>
      </c>
      <c r="K181" s="25" t="n">
        <f aca="false">IFERROR(AVERAGE(D181:J181),"N/M")</f>
        <v>0.00310703131476526</v>
      </c>
      <c r="L181" s="86" t="n">
        <f aca="false">IFERROR(J181-D181,"N/M")</f>
        <v>-0.00293117856594734</v>
      </c>
      <c r="M181" s="87" t="n">
        <f aca="false">IFERROR(SLOPE(D181:J181,$D$3:$J$3),"N/M")</f>
        <v>-0.000434875912971048</v>
      </c>
    </row>
    <row r="182" customFormat="false" ht="15" hidden="false" customHeight="false" outlineLevel="0" collapsed="false">
      <c r="A182" s="18" t="s">
        <v>661</v>
      </c>
      <c r="B182" s="19" t="s">
        <v>662</v>
      </c>
      <c r="D182" s="46" t="n">
        <f aca="false">IFERROR(IF(D9&lt;=0,"N/M",D18/D9),"N/M")</f>
        <v>0.0211544334138064</v>
      </c>
      <c r="E182" s="46" t="n">
        <f aca="false">IFERROR(IF(E9&lt;=0,"N/M",E18/E9),"N/M")</f>
        <v>0.0274686553993602</v>
      </c>
      <c r="F182" s="46" t="n">
        <f aca="false">IFERROR(IF(F9&lt;=0,"N/M",F18/F9),"N/M")</f>
        <v>0.0342256010973831</v>
      </c>
      <c r="G182" s="46" t="n">
        <f aca="false">IFERROR(IF(G9&lt;=0,"N/M",G18/G9),"N/M")</f>
        <v>0.0369518884462462</v>
      </c>
      <c r="H182" s="46" t="n">
        <f aca="false">IFERROR(IF(H9&lt;=0,"N/M",H18/H9),"N/M")</f>
        <v>0.0379569812403627</v>
      </c>
      <c r="I182" s="46" t="n">
        <f aca="false">IFERROR(IF(I9&lt;=0,"N/M",I18/I9),"N/M")</f>
        <v>0.0370722853871443</v>
      </c>
      <c r="J182" s="46" t="n">
        <f aca="false">IFERROR(IF(J9&lt;=0,"N/M",J18/J9),"N/M")</f>
        <v>0.0396996842541397</v>
      </c>
      <c r="K182" s="25" t="n">
        <f aca="false">IFERROR(AVERAGE(D182:J182),"N/M")</f>
        <v>0.0335042184626347</v>
      </c>
      <c r="L182" s="86" t="n">
        <f aca="false">IFERROR(J182-D182,"N/M")</f>
        <v>0.0185452508403333</v>
      </c>
      <c r="M182" s="87" t="n">
        <f aca="false">IFERROR(SLOPE(D182:J182,$D$3:$J$3),"N/M")</f>
        <v>0.00280622830855527</v>
      </c>
    </row>
    <row r="183" customFormat="false" ht="15" hidden="false" customHeight="false" outlineLevel="0" collapsed="false">
      <c r="A183" s="18" t="s">
        <v>663</v>
      </c>
      <c r="B183" s="19" t="s">
        <v>591</v>
      </c>
      <c r="D183" s="46" t="n">
        <f aca="false">IFERROR(IF(D9&lt;=0,"N/M",D19/D9),"N/M")</f>
        <v>0.00507902302989796</v>
      </c>
      <c r="E183" s="46" t="n">
        <f aca="false">IFERROR(IF(E9&lt;=0,"N/M",E19/E9),"N/M")</f>
        <v>0.00615555255965585</v>
      </c>
      <c r="F183" s="46" t="n">
        <f aca="false">IFERROR(IF(F9&lt;=0,"N/M",F19/F9),"N/M")</f>
        <v>0.00720157652218433</v>
      </c>
      <c r="G183" s="46" t="n">
        <f aca="false">IFERROR(IF(G9&lt;=0,"N/M",G19/G9),"N/M")</f>
        <v>0.0100559835734719</v>
      </c>
      <c r="H183" s="46" t="n">
        <f aca="false">IFERROR(IF(H9&lt;=0,"N/M",H19/H9),"N/M")</f>
        <v>0.0123792901160014</v>
      </c>
      <c r="I183" s="46" t="n">
        <f aca="false">IFERROR(IF(I9&lt;=0,"N/M",I19/I9),"N/M")</f>
        <v>0.0133025817262725</v>
      </c>
      <c r="J183" s="46" t="n">
        <f aca="false">IFERROR(IF(J9&lt;=0,"N/M",J19/J9),"N/M")</f>
        <v>0.0107182146786107</v>
      </c>
      <c r="K183" s="25" t="n">
        <f aca="false">IFERROR(AVERAGE(D183:J183),"N/M")</f>
        <v>0.00927031745801351</v>
      </c>
      <c r="L183" s="86" t="n">
        <f aca="false">IFERROR(J183-D183,"N/M")</f>
        <v>0.00563919164871276</v>
      </c>
      <c r="M183" s="87" t="n">
        <f aca="false">IFERROR(SLOPE(D183:J183,$D$3:$J$3),"N/M")</f>
        <v>0.00129961953118531</v>
      </c>
    </row>
    <row r="184" customFormat="false" ht="15" hidden="false" customHeight="false" outlineLevel="0" collapsed="false">
      <c r="A184" s="18" t="s">
        <v>664</v>
      </c>
      <c r="B184" s="19" t="s">
        <v>665</v>
      </c>
      <c r="D184" s="46" t="n">
        <f aca="false">IFERROR(IF(D9&lt;=0,"N/M",D20/D9),"N/M")</f>
        <v>0.0233900101983786</v>
      </c>
      <c r="E184" s="46" t="n">
        <f aca="false">IFERROR(IF(E9&lt;=0,"N/M",E20/E9),"N/M")</f>
        <v>0.0120108342627431</v>
      </c>
      <c r="F184" s="46" t="n">
        <f aca="false">IFERROR(IF(F9&lt;=0,"N/M",F20/F9),"N/M")</f>
        <v>0.00635390604623306</v>
      </c>
      <c r="G184" s="46" t="n">
        <f aca="false">IFERROR(IF(G9&lt;=0,"N/M",G20/G9),"N/M")</f>
        <v>0.00673518853262978</v>
      </c>
      <c r="H184" s="46" t="n">
        <f aca="false">IFERROR(IF(H9&lt;=0,"N/M",H20/H9),"N/M")</f>
        <v>-0.00479297925706097</v>
      </c>
      <c r="I184" s="46" t="n">
        <f aca="false">IFERROR(IF(I9&lt;=0,"N/M",I20/I9),"N/M")</f>
        <v>-0.00125638224160214</v>
      </c>
      <c r="J184" s="46" t="n">
        <f aca="false">IFERROR(IF(J9&lt;=0,"N/M",J20/J9),"N/M")</f>
        <v>0.00473761661880474</v>
      </c>
      <c r="K184" s="25" t="n">
        <f aca="false">IFERROR(AVERAGE(D184:J184),"N/M")</f>
        <v>0.00673974202287518</v>
      </c>
      <c r="L184" s="86" t="n">
        <f aca="false">IFERROR(J184-D184,"N/M")</f>
        <v>-0.0186523935795739</v>
      </c>
      <c r="M184" s="87" t="n">
        <f aca="false">IFERROR(SLOPE(D184:J184,$D$3:$J$3),"N/M")</f>
        <v>-0.0033442321089538</v>
      </c>
    </row>
    <row r="185" customFormat="false" ht="15" hidden="false" customHeight="false" outlineLevel="0" collapsed="false">
      <c r="A185" s="18" t="s">
        <v>421</v>
      </c>
      <c r="B185" s="19" t="s">
        <v>666</v>
      </c>
      <c r="D185" s="46" t="n">
        <f aca="false">IFERROR(IF(D9&lt;=0,"N/M",D21/D9),"N/M")</f>
        <v>0.00741543124160938</v>
      </c>
      <c r="E185" s="46" t="n">
        <f aca="false">IFERROR(IF(E9&lt;=0,"N/M",E21/E9),"N/M")</f>
        <v>0.0030701163089971</v>
      </c>
      <c r="F185" s="46" t="n">
        <f aca="false">IFERROR(IF(F9&lt;=0,"N/M",F21/F9),"N/M")</f>
        <v>0.00271689255112588</v>
      </c>
      <c r="G185" s="46" t="n">
        <f aca="false">IFERROR(IF(G9&lt;=0,"N/M",G21/G9),"N/M")</f>
        <v>0.00138837702236028</v>
      </c>
      <c r="H185" s="46" t="n">
        <f aca="false">IFERROR(IF(H9&lt;=0,"N/M",H21/H9),"N/M")</f>
        <v>0.00466402831835262</v>
      </c>
      <c r="I185" s="46" t="n">
        <f aca="false">IFERROR(IF(I9&lt;=0,"N/M",I21/I9),"N/M")</f>
        <v>0.00365775951173088</v>
      </c>
      <c r="J185" s="46" t="n">
        <f aca="false">IFERROR(IF(J9&lt;=0,"N/M",J21/J9),"N/M")</f>
        <v>0.00322746560370323</v>
      </c>
      <c r="K185" s="25" t="n">
        <f aca="false">IFERROR(AVERAGE(D185:J185),"N/M")</f>
        <v>0.00373429579398277</v>
      </c>
      <c r="L185" s="86" t="n">
        <f aca="false">IFERROR(J185-D185,"N/M")</f>
        <v>-0.00418796563790616</v>
      </c>
      <c r="M185" s="87" t="n">
        <f aca="false">IFERROR(SLOPE(D185:J185,$D$3:$J$3),"N/M")</f>
        <v>-0.000337195526465149</v>
      </c>
    </row>
    <row r="186" customFormat="false" ht="15" hidden="false" customHeight="false" outlineLevel="0" collapsed="false">
      <c r="A186" s="18" t="s">
        <v>667</v>
      </c>
      <c r="B186" s="19" t="s">
        <v>668</v>
      </c>
      <c r="D186" s="46" t="n">
        <f aca="false">IFERROR(IF(D9&lt;=0,"N/M",D22/D9),"N/M")</f>
        <v>0.0158795093254666</v>
      </c>
      <c r="E186" s="46" t="n">
        <f aca="false">IFERROR(IF(E9&lt;=0,"N/M",E22/E9),"N/M")</f>
        <v>0.00919196499699729</v>
      </c>
      <c r="F186" s="46" t="n">
        <f aca="false">IFERROR(IF(F9&lt;=0,"N/M",F22/F9),"N/M")</f>
        <v>0.00424076739535737</v>
      </c>
      <c r="G186" s="46" t="n">
        <f aca="false">IFERROR(IF(G9&lt;=0,"N/M",G22/G9),"N/M")</f>
        <v>0.00512451518927362</v>
      </c>
      <c r="H186" s="46" t="n">
        <f aca="false">IFERROR(IF(H9&lt;=0,"N/M",H22/H9),"N/M")</f>
        <v>-0.00994193575337316</v>
      </c>
      <c r="I186" s="46" t="n">
        <f aca="false">IFERROR(IF(I9&lt;=0,"N/M",I22/I9),"N/M")</f>
        <v>-0.00587239939523296</v>
      </c>
      <c r="J186" s="46" t="n">
        <f aca="false">IFERROR(IF(J9&lt;=0,"N/M",J22/J9),"N/M")</f>
        <v>0.000327175574700327</v>
      </c>
      <c r="K186" s="25" t="n">
        <f aca="false">IFERROR(AVERAGE(D186:J186),"N/M")</f>
        <v>0.00270708533331272</v>
      </c>
      <c r="L186" s="86" t="n">
        <f aca="false">IFERROR(J186-D186,"N/M")</f>
        <v>-0.0155523337507662</v>
      </c>
      <c r="M186" s="87" t="n">
        <f aca="false">IFERROR(SLOPE(D186:J186,$D$3:$J$3),"N/M")</f>
        <v>-0.00324887261376749</v>
      </c>
    </row>
    <row r="188" customFormat="false" ht="15" hidden="false" customHeight="false" outlineLevel="0" collapsed="false">
      <c r="A188" s="16" t="s">
        <v>669</v>
      </c>
      <c r="B188" s="17"/>
      <c r="C188" s="17"/>
      <c r="D188" s="17"/>
      <c r="E188" s="17"/>
      <c r="F188" s="17"/>
      <c r="G188" s="17"/>
      <c r="H188" s="17"/>
      <c r="I188" s="17"/>
      <c r="J188" s="17"/>
      <c r="K188" s="17"/>
      <c r="L188" s="17"/>
      <c r="M188" s="17"/>
    </row>
    <row r="189" customFormat="false" ht="15" hidden="false" customHeight="false" outlineLevel="0" collapsed="false">
      <c r="A189" s="18" t="s">
        <v>428</v>
      </c>
      <c r="B189" s="19" t="s">
        <v>670</v>
      </c>
      <c r="D189" s="46" t="n">
        <f aca="false">IFERROR(IF(D35&lt;=0,"N/M",D26/D35),"N/M")</f>
        <v>0.0503150846790075</v>
      </c>
      <c r="E189" s="46" t="n">
        <f aca="false">IFERROR(IF(E35&lt;=0,"N/M",E26/E35),"N/M")</f>
        <v>0.0424854617559709</v>
      </c>
      <c r="F189" s="46" t="n">
        <f aca="false">IFERROR(IF(F35&lt;=0,"N/M",F26/F35),"N/M")</f>
        <v>0.0363817681124205</v>
      </c>
      <c r="G189" s="46" t="n">
        <f aca="false">IFERROR(IF(G35&lt;=0,"N/M",G26/G35),"N/M")</f>
        <v>0.0281949438686377</v>
      </c>
      <c r="H189" s="46" t="n">
        <f aca="false">IFERROR(IF(H35&lt;=0,"N/M",H26/H35),"N/M")</f>
        <v>0.0290812207330857</v>
      </c>
      <c r="I189" s="46" t="n">
        <f aca="false">IFERROR(IF(I35&lt;=0,"N/M",I26/I35),"N/M")</f>
        <v>0.0279703738172794</v>
      </c>
      <c r="J189" s="46" t="n">
        <f aca="false">IFERROR(IF(J35&lt;=0,"N/M",J26/J35),"N/M")</f>
        <v>0.0319548085191352</v>
      </c>
      <c r="K189" s="25" t="n">
        <f aca="false">IFERROR(AVERAGE(D189:J189),"N/M")</f>
        <v>0.0351976659265053</v>
      </c>
      <c r="L189" s="86" t="n">
        <f aca="false">IFERROR(J189-D189,"N/M")</f>
        <v>-0.0183602761598723</v>
      </c>
      <c r="M189" s="87" t="n">
        <f aca="false">IFERROR(SLOPE(D189:J189,$D$3:$J$3),"N/M")</f>
        <v>-0.00326469827629767</v>
      </c>
    </row>
    <row r="190" customFormat="false" ht="15" hidden="false" customHeight="false" outlineLevel="0" collapsed="false">
      <c r="A190" s="18" t="s">
        <v>671</v>
      </c>
      <c r="B190" s="19" t="s">
        <v>672</v>
      </c>
      <c r="D190" s="46" t="n">
        <f aca="false">IFERROR(IF(D35&lt;=0,"N/M",D27/D35),"N/M")</f>
        <v>0.332744893940247</v>
      </c>
      <c r="E190" s="46" t="n">
        <f aca="false">IFERROR(IF(E35&lt;=0,"N/M",E27/E35),"N/M")</f>
        <v>0.294256430320167</v>
      </c>
      <c r="F190" s="46" t="n">
        <f aca="false">IFERROR(IF(F35&lt;=0,"N/M",F27/F35),"N/M")</f>
        <v>0.240255335520188</v>
      </c>
      <c r="G190" s="46" t="n">
        <f aca="false">IFERROR(IF(G35&lt;=0,"N/M",G27/G35),"N/M")</f>
        <v>0.191814143693154</v>
      </c>
      <c r="H190" s="46" t="n">
        <f aca="false">IFERROR(IF(H35&lt;=0,"N/M",H27/H35),"N/M")</f>
        <v>0.169719844986275</v>
      </c>
      <c r="I190" s="46" t="n">
        <f aca="false">IFERROR(IF(I35&lt;=0,"N/M",I27/I35),"N/M")</f>
        <v>0.141829533116178</v>
      </c>
      <c r="J190" s="46" t="n">
        <f aca="false">IFERROR(IF(J35&lt;=0,"N/M",J27/J35),"N/M")</f>
        <v>0.346395019661772</v>
      </c>
      <c r="K190" s="25" t="n">
        <f aca="false">IFERROR(AVERAGE(D190:J190),"N/M")</f>
        <v>0.24528788589114</v>
      </c>
      <c r="L190" s="86" t="n">
        <f aca="false">IFERROR(J190-D190,"N/M")</f>
        <v>0.0136501257215259</v>
      </c>
      <c r="M190" s="87" t="n">
        <f aca="false">IFERROR(SLOPE(D190:J190,$D$3:$J$3),"N/M")</f>
        <v>-0.0119442467063326</v>
      </c>
    </row>
    <row r="191" customFormat="false" ht="15" hidden="false" customHeight="false" outlineLevel="0" collapsed="false">
      <c r="A191" s="18" t="s">
        <v>673</v>
      </c>
      <c r="B191" s="19" t="s">
        <v>674</v>
      </c>
      <c r="D191" s="46" t="n">
        <f aca="false">IFERROR(IF(D35&lt;=0,"N/M",D61/D35),"N/M")</f>
        <v>0.383059978619254</v>
      </c>
      <c r="E191" s="46" t="n">
        <f aca="false">IFERROR(IF(E35&lt;=0,"N/M",E61/E35),"N/M")</f>
        <v>0.336741892076138</v>
      </c>
      <c r="F191" s="46" t="n">
        <f aca="false">IFERROR(IF(F35&lt;=0,"N/M",F61/F35),"N/M")</f>
        <v>0.276637103632608</v>
      </c>
      <c r="G191" s="46" t="n">
        <f aca="false">IFERROR(IF(G35&lt;=0,"N/M",G61/G35),"N/M")</f>
        <v>0.220009087561792</v>
      </c>
      <c r="H191" s="46" t="n">
        <f aca="false">IFERROR(IF(H35&lt;=0,"N/M",H61/H35),"N/M")</f>
        <v>0.198801065719361</v>
      </c>
      <c r="I191" s="46" t="n">
        <f aca="false">IFERROR(IF(I35&lt;=0,"N/M",I61/I35),"N/M")</f>
        <v>0.169799906933457</v>
      </c>
      <c r="J191" s="46" t="n">
        <f aca="false">IFERROR(IF(J35&lt;=0,"N/M",J61/J35),"N/M")</f>
        <v>0.378349828180908</v>
      </c>
      <c r="K191" s="25" t="n">
        <f aca="false">IFERROR(AVERAGE(D191:J191),"N/M")</f>
        <v>0.280485551817645</v>
      </c>
      <c r="L191" s="86" t="n">
        <f aca="false">IFERROR(J191-D191,"N/M")</f>
        <v>-0.00471015043834633</v>
      </c>
      <c r="M191" s="87" t="n">
        <f aca="false">IFERROR(SLOPE(D191:J191,$D$3:$J$3),"N/M")</f>
        <v>-0.0152089449826303</v>
      </c>
    </row>
    <row r="192" customFormat="false" ht="15" hidden="false" customHeight="false" outlineLevel="0" collapsed="false">
      <c r="A192" s="18" t="s">
        <v>675</v>
      </c>
      <c r="B192" s="19" t="s">
        <v>676</v>
      </c>
      <c r="D192" s="46" t="n">
        <f aca="false">IFERROR(IF(D35&lt;=0,"N/M",D28/D35),"N/M")</f>
        <v>0.141577111348675</v>
      </c>
      <c r="E192" s="46" t="n">
        <f aca="false">IFERROR(IF(E35&lt;=0,"N/M",E28/E35),"N/M")</f>
        <v>0.159745810436711</v>
      </c>
      <c r="F192" s="46" t="n">
        <f aca="false">IFERROR(IF(F35&lt;=0,"N/M",F28/F35),"N/M")</f>
        <v>0.203711578180051</v>
      </c>
      <c r="G192" s="46" t="n">
        <f aca="false">IFERROR(IF(G35&lt;=0,"N/M",G28/G35),"N/M")</f>
        <v>0.326701763457034</v>
      </c>
      <c r="H192" s="46" t="n">
        <f aca="false">IFERROR(IF(H35&lt;=0,"N/M",H28/H35),"N/M")</f>
        <v>0.298437752300985</v>
      </c>
      <c r="I192" s="46" t="n">
        <f aca="false">IFERROR(IF(I35&lt;=0,"N/M",I28/I35),"N/M")</f>
        <v>0.33689312858694</v>
      </c>
      <c r="J192" s="46" t="n">
        <f aca="false">IFERROR(IF(J35&lt;=0,"N/M",J28/J35),"N/M")</f>
        <v>0.209258585318566</v>
      </c>
      <c r="K192" s="25" t="n">
        <f aca="false">IFERROR(AVERAGE(D192:J192),"N/M")</f>
        <v>0.239475104232709</v>
      </c>
      <c r="L192" s="86" t="n">
        <f aca="false">IFERROR(J192-D192,"N/M")</f>
        <v>0.0676814739698908</v>
      </c>
      <c r="M192" s="87" t="n">
        <f aca="false">IFERROR(SLOPE(D192:J192,$D$3:$J$3),"N/M")</f>
        <v>0.0232880440118237</v>
      </c>
    </row>
    <row r="193" customFormat="false" ht="15" hidden="false" customHeight="false" outlineLevel="0" collapsed="false">
      <c r="A193" s="18" t="s">
        <v>496</v>
      </c>
      <c r="B193" s="19" t="s">
        <v>677</v>
      </c>
      <c r="D193" s="46" t="n">
        <f aca="false">IFERROR(IF(D35&lt;=0,"N/M",D29/D35),"N/M")</f>
        <v>0.475362910032071</v>
      </c>
      <c r="E193" s="46" t="n">
        <f aca="false">IFERROR(IF(E35&lt;=0,"N/M",E29/E35),"N/M")</f>
        <v>0.503512297487151</v>
      </c>
      <c r="F193" s="46" t="n">
        <f aca="false">IFERROR(IF(F35&lt;=0,"N/M",F29/F35),"N/M")</f>
        <v>0.519651318187341</v>
      </c>
      <c r="G193" s="46" t="n">
        <f aca="false">IFERROR(IF(G35&lt;=0,"N/M",G29/G35),"N/M")</f>
        <v>0.453289148981175</v>
      </c>
      <c r="H193" s="46" t="n">
        <f aca="false">IFERROR(IF(H35&lt;=0,"N/M",H29/H35),"N/M")</f>
        <v>0.502761181979655</v>
      </c>
      <c r="I193" s="46" t="n">
        <f aca="false">IFERROR(IF(I35&lt;=0,"N/M",I29/I35),"N/M")</f>
        <v>0.493306964479603</v>
      </c>
      <c r="J193" s="46" t="n">
        <f aca="false">IFERROR(IF(J35&lt;=0,"N/M",J29/J35),"N/M")</f>
        <v>0.412391586500527</v>
      </c>
      <c r="K193" s="25" t="n">
        <f aca="false">IFERROR(AVERAGE(D193:J193),"N/M")</f>
        <v>0.480039343949646</v>
      </c>
      <c r="L193" s="86" t="n">
        <f aca="false">IFERROR(J193-D193,"N/M")</f>
        <v>-0.0629713235315446</v>
      </c>
      <c r="M193" s="87" t="n">
        <f aca="false">IFERROR(SLOPE(D193:J193,$D$3:$J$3),"N/M")</f>
        <v>-0.00807909902919345</v>
      </c>
    </row>
    <row r="194" customFormat="false" ht="15" hidden="false" customHeight="false" outlineLevel="0" collapsed="false">
      <c r="A194" s="18" t="s">
        <v>436</v>
      </c>
      <c r="B194" s="19" t="s">
        <v>678</v>
      </c>
      <c r="D194" s="46" t="n">
        <f aca="false">IFERROR(IF(D35&lt;=0,"N/M",D30/D35),"N/M")</f>
        <v>1</v>
      </c>
      <c r="E194" s="46" t="n">
        <f aca="false">IFERROR(IF(E35&lt;=0,"N/M",E30/E35),"N/M")</f>
        <v>1</v>
      </c>
      <c r="F194" s="46" t="n">
        <f aca="false">IFERROR(IF(F35&lt;=0,"N/M",F30/F35),"N/M")</f>
        <v>1</v>
      </c>
      <c r="G194" s="46" t="n">
        <f aca="false">IFERROR(IF(G35&lt;=0,"N/M",G30/G35),"N/M")</f>
        <v>1</v>
      </c>
      <c r="H194" s="46" t="n">
        <f aca="false">IFERROR(IF(H35&lt;=0,"N/M",H30/H35),"N/M")</f>
        <v>1</v>
      </c>
      <c r="I194" s="46" t="n">
        <f aca="false">IFERROR(IF(I35&lt;=0,"N/M",I30/I35),"N/M")</f>
        <v>1</v>
      </c>
      <c r="J194" s="46" t="n">
        <f aca="false">IFERROR(IF(J35&lt;=0,"N/M",J30/J35),"N/M")</f>
        <v>1</v>
      </c>
      <c r="K194" s="25" t="n">
        <f aca="false">IFERROR(AVERAGE(D194:J194),"N/M")</f>
        <v>1</v>
      </c>
      <c r="L194" s="86" t="n">
        <f aca="false">IFERROR(J194-D194,"N/M")</f>
        <v>0</v>
      </c>
      <c r="M194" s="87" t="n">
        <f aca="false">IFERROR(SLOPE(D194:J194,$D$3:$J$3),"N/M")</f>
        <v>0</v>
      </c>
    </row>
    <row r="195" customFormat="false" ht="15" hidden="false" customHeight="false" outlineLevel="0" collapsed="false">
      <c r="A195" s="18" t="s">
        <v>269</v>
      </c>
      <c r="B195" s="19" t="s">
        <v>679</v>
      </c>
      <c r="D195" s="46" t="n">
        <f aca="false">IFERROR(IF(D35&lt;=0,"N/M",D31/D35),"N/M")</f>
        <v>0.162437405052608</v>
      </c>
      <c r="E195" s="46" t="n">
        <f aca="false">IFERROR(IF(E35&lt;=0,"N/M",E31/E35),"N/M")</f>
        <v>0.213832227774715</v>
      </c>
      <c r="F195" s="46" t="n">
        <f aca="false">IFERROR(IF(F35&lt;=0,"N/M",F31/F35),"N/M")</f>
        <v>0.253386587291945</v>
      </c>
      <c r="G195" s="46" t="n">
        <f aca="false">IFERROR(IF(G35&lt;=0,"N/M",G31/G35),"N/M")</f>
        <v>0.324990011516134</v>
      </c>
      <c r="H195" s="46" t="n">
        <f aca="false">IFERROR(IF(H35&lt;=0,"N/M",H31/H35),"N/M")</f>
        <v>0.337554497012756</v>
      </c>
      <c r="I195" s="46" t="n">
        <f aca="false">IFERROR(IF(I35&lt;=0,"N/M",I31/I35),"N/M")</f>
        <v>0.360462230494804</v>
      </c>
      <c r="J195" s="46" t="n">
        <f aca="false">IFERROR(IF(J35&lt;=0,"N/M",J31/J35),"N/M")</f>
        <v>0.369551144762819</v>
      </c>
      <c r="K195" s="25" t="n">
        <f aca="false">IFERROR(AVERAGE(D195:J195),"N/M")</f>
        <v>0.288887729129397</v>
      </c>
      <c r="L195" s="86" t="n">
        <f aca="false">IFERROR(J195-D195,"N/M")</f>
        <v>0.207113739710211</v>
      </c>
      <c r="M195" s="87" t="n">
        <f aca="false">IFERROR(SLOPE(D195:J195,$D$3:$J$3),"N/M")</f>
        <v>0.0356703262247008</v>
      </c>
    </row>
    <row r="196" customFormat="false" ht="15" hidden="false" customHeight="false" outlineLevel="0" collapsed="false">
      <c r="A196" s="18" t="s">
        <v>680</v>
      </c>
      <c r="B196" s="19" t="s">
        <v>681</v>
      </c>
      <c r="D196" s="46" t="n">
        <f aca="false">IFERROR(IF(D35&lt;=0,"N/M",D32/D35),"N/M")</f>
        <v>0.0105778427952512</v>
      </c>
      <c r="E196" s="46" t="n">
        <f aca="false">IFERROR(IF(E35&lt;=0,"N/M",E32/E35),"N/M")</f>
        <v>0.00181394604399708</v>
      </c>
      <c r="F196" s="46" t="n">
        <f aca="false">IFERROR(IF(F35&lt;=0,"N/M",F32/F35),"N/M")</f>
        <v>0.00699590977200016</v>
      </c>
      <c r="G196" s="46" t="n">
        <f aca="false">IFERROR(IF(G35&lt;=0,"N/M",G32/G35),"N/M")</f>
        <v>0.0014806458436156</v>
      </c>
      <c r="H196" s="46" t="n">
        <f aca="false">IFERROR(IF(H35&lt;=0,"N/M",H32/H35),"N/M")</f>
        <v>0.00655578879379945</v>
      </c>
      <c r="I196" s="46" t="n">
        <f aca="false">IFERROR(IF(I35&lt;=0,"N/M",I32/I35),"N/M")</f>
        <v>0.0177446874515278</v>
      </c>
      <c r="J196" s="46" t="n">
        <f aca="false">IFERROR(IF(J35&lt;=0,"N/M",J32/J35),"N/M")</f>
        <v>0.00783250295490192</v>
      </c>
      <c r="K196" s="25" t="n">
        <f aca="false">IFERROR(AVERAGE(D196:J196),"N/M")</f>
        <v>0.00757161766501333</v>
      </c>
      <c r="L196" s="86" t="n">
        <f aca="false">IFERROR(J196-D196,"N/M")</f>
        <v>-0.00274533984034931</v>
      </c>
      <c r="M196" s="87" t="n">
        <f aca="false">IFERROR(SLOPE(D196:J196,$D$3:$J$3),"N/M")</f>
        <v>0.00082804793985046</v>
      </c>
    </row>
    <row r="197" customFormat="false" ht="15" hidden="false" customHeight="false" outlineLevel="0" collapsed="false">
      <c r="A197" s="18" t="s">
        <v>442</v>
      </c>
      <c r="B197" s="19" t="s">
        <v>682</v>
      </c>
      <c r="D197" s="46" t="n">
        <f aca="false">IFERROR(IF(D35&lt;=0,"N/M",D33/D35),"N/M")</f>
        <v>0.00220840600911495</v>
      </c>
      <c r="E197" s="46" t="n">
        <f aca="false">IFERROR(IF(E35&lt;=0,"N/M",E33/E35),"N/M")</f>
        <v>0.0326451008636991</v>
      </c>
      <c r="F197" s="46" t="n">
        <f aca="false">IFERROR(IF(F35&lt;=0,"N/M",F33/F35),"N/M")</f>
        <v>0.0596069736362532</v>
      </c>
      <c r="G197" s="46" t="n">
        <f aca="false">IFERROR(IF(G35&lt;=0,"N/M",G33/G35),"N/M")</f>
        <v>0.0391196032809232</v>
      </c>
      <c r="H197" s="46" t="n">
        <f aca="false">IFERROR(IF(H35&lt;=0,"N/M",H33/H35),"N/M")</f>
        <v>0.00236557403520103</v>
      </c>
      <c r="I197" s="46" t="n">
        <f aca="false">IFERROR(IF(I35&lt;=0,"N/M",I33/I35),"N/M")</f>
        <v>0.00877539941057856</v>
      </c>
      <c r="J197" s="46" t="n">
        <f aca="false">IFERROR(IF(J35&lt;=0,"N/M",J33/J35),"N/M")</f>
        <v>0.0402188720809273</v>
      </c>
      <c r="K197" s="25" t="n">
        <f aca="false">IFERROR(AVERAGE(D197:J197),"N/M")</f>
        <v>0.0264199899023853</v>
      </c>
      <c r="L197" s="86" t="n">
        <f aca="false">IFERROR(J197-D197,"N/M")</f>
        <v>0.0380104660718123</v>
      </c>
      <c r="M197" s="87" t="n">
        <f aca="false">IFERROR(SLOPE(D197:J197,$D$3:$J$3),"N/M")</f>
        <v>0.000323235561005131</v>
      </c>
    </row>
    <row r="198" customFormat="false" ht="15" hidden="false" customHeight="false" outlineLevel="0" collapsed="false">
      <c r="A198" s="18" t="s">
        <v>494</v>
      </c>
      <c r="B198" s="19" t="s">
        <v>683</v>
      </c>
      <c r="D198" s="46" t="n">
        <f aca="false">IFERROR(IF(D35&lt;=0,"N/M",D34/D35),"N/M")</f>
        <v>0.824776346143026</v>
      </c>
      <c r="E198" s="46" t="n">
        <f aca="false">IFERROR(IF(E35&lt;=0,"N/M",E34/E35),"N/M")</f>
        <v>0.751708725317589</v>
      </c>
      <c r="F198" s="46" t="n">
        <f aca="false">IFERROR(IF(F35&lt;=0,"N/M",F34/F35),"N/M")</f>
        <v>0.680010529299802</v>
      </c>
      <c r="G198" s="46" t="n">
        <f aca="false">IFERROR(IF(G35&lt;=0,"N/M",G34/G35),"N/M")</f>
        <v>0.634409739359327</v>
      </c>
      <c r="H198" s="46" t="n">
        <f aca="false">IFERROR(IF(H35&lt;=0,"N/M",H34/H35),"N/M")</f>
        <v>0.653524140158243</v>
      </c>
      <c r="I198" s="46" t="n">
        <f aca="false">IFERROR(IF(I35&lt;=0,"N/M",I34/I35),"N/M")</f>
        <v>0.61301768264309</v>
      </c>
      <c r="J198" s="46" t="n">
        <f aca="false">IFERROR(IF(J35&lt;=0,"N/M",J34/J35),"N/M")</f>
        <v>0.582397480201352</v>
      </c>
      <c r="K198" s="25" t="n">
        <f aca="false">IFERROR(AVERAGE(D198:J198),"N/M")</f>
        <v>0.677120663303204</v>
      </c>
      <c r="L198" s="86" t="n">
        <f aca="false">IFERROR(J198-D198,"N/M")</f>
        <v>-0.242378865941674</v>
      </c>
      <c r="M198" s="87" t="n">
        <f aca="false">IFERROR(SLOPE(D198:J198,$D$3:$J$3),"N/M")</f>
        <v>-0.0368216097255564</v>
      </c>
    </row>
    <row r="199" customFormat="false" ht="15" hidden="false" customHeight="false" outlineLevel="0" collapsed="false">
      <c r="A199" s="18" t="s">
        <v>684</v>
      </c>
      <c r="B199" s="19" t="s">
        <v>685</v>
      </c>
      <c r="D199" s="46" t="n">
        <f aca="false">IFERROR(IF(D35&lt;=0,"N/M",D36/D35),"N/M")</f>
        <v>0.376716086198166</v>
      </c>
      <c r="E199" s="46" t="n">
        <f aca="false">IFERROR(IF(E35&lt;=0,"N/M",E36/E35),"N/M")</f>
        <v>0.287860195740191</v>
      </c>
      <c r="F199" s="46" t="n">
        <f aca="false">IFERROR(IF(F35&lt;=0,"N/M",F36/F35),"N/M")</f>
        <v>0.247489166970396</v>
      </c>
      <c r="G199" s="46" t="n">
        <f aca="false">IFERROR(IF(G35&lt;=0,"N/M",G36/G35),"N/M")</f>
        <v>0.255583758333529</v>
      </c>
      <c r="H199" s="46" t="n">
        <f aca="false">IFERROR(IF(H35&lt;=0,"N/M",H36/H35),"N/M")</f>
        <v>0.283344098175359</v>
      </c>
      <c r="I199" s="46" t="n">
        <f aca="false">IFERROR(IF(I35&lt;=0,"N/M",I36/I35),"N/M")</f>
        <v>0.242399565689468</v>
      </c>
      <c r="J199" s="46" t="n">
        <f aca="false">IFERROR(IF(J35&lt;=0,"N/M",J36/J35),"N/M")</f>
        <v>0.222089461869688</v>
      </c>
      <c r="K199" s="25" t="n">
        <f aca="false">IFERROR(AVERAGE(D199:J199),"N/M")</f>
        <v>0.2736403332824</v>
      </c>
      <c r="L199" s="86" t="n">
        <f aca="false">IFERROR(J199-D199,"N/M")</f>
        <v>-0.154626624328478</v>
      </c>
      <c r="M199" s="87" t="n">
        <f aca="false">IFERROR(SLOPE(D199:J199,$D$3:$J$3),"N/M")</f>
        <v>-0.0185337929243541</v>
      </c>
    </row>
    <row r="200" customFormat="false" ht="15" hidden="false" customHeight="false" outlineLevel="0" collapsed="false">
      <c r="A200" s="18" t="s">
        <v>686</v>
      </c>
      <c r="B200" s="19" t="s">
        <v>687</v>
      </c>
      <c r="D200" s="46" t="n">
        <f aca="false">IFERROR(IF(D35&lt;=0,"N/M",D37/D35),"N/M")</f>
        <v>0</v>
      </c>
      <c r="E200" s="46" t="n">
        <f aca="false">IFERROR(IF(E35&lt;=0,"N/M",E37/E35),"N/M")</f>
        <v>0</v>
      </c>
      <c r="F200" s="46" t="n">
        <f aca="false">IFERROR(IF(F35&lt;=0,"N/M",F37/F35),"N/M")</f>
        <v>0.00072388936135747</v>
      </c>
      <c r="G200" s="46" t="n">
        <f aca="false">IFERROR(IF(G35&lt;=0,"N/M",G37/G35),"N/M")</f>
        <v>0.00016059915234984</v>
      </c>
      <c r="H200" s="46" t="n">
        <f aca="false">IFERROR(IF(H35&lt;=0,"N/M",H37/H35),"N/M")</f>
        <v>0</v>
      </c>
      <c r="I200" s="46" t="n">
        <f aca="false">IFERROR(IF(I35&lt;=0,"N/M",I37/I35),"N/M")</f>
        <v>0</v>
      </c>
      <c r="J200" s="46" t="n">
        <f aca="false">IFERROR(IF(J35&lt;=0,"N/M",J37/J35),"N/M")</f>
        <v>0</v>
      </c>
      <c r="K200" s="25" t="n">
        <f aca="false">IFERROR(AVERAGE(D200:J200),"N/M")</f>
        <v>0.000126355501958187</v>
      </c>
      <c r="L200" s="86" t="n">
        <f aca="false">IFERROR(J200-D200,"N/M")</f>
        <v>0</v>
      </c>
      <c r="M200" s="87" t="n">
        <f aca="false">IFERROR(SLOPE(D200:J200,$D$3:$J$3),"N/M")</f>
        <v>-2.58531914770525E-005</v>
      </c>
    </row>
    <row r="201" customFormat="false" ht="15" hidden="false" customHeight="false" outlineLevel="0" collapsed="false">
      <c r="A201" s="18" t="s">
        <v>688</v>
      </c>
      <c r="B201" s="19" t="s">
        <v>689</v>
      </c>
      <c r="D201" s="46" t="n">
        <f aca="false">IFERROR(IF(D35&lt;=0,"N/M",D38/D35),"N/M")</f>
        <v>0.0700008439768188</v>
      </c>
      <c r="E201" s="46" t="n">
        <f aca="false">IFERROR(IF(E35&lt;=0,"N/M",E38/E35),"N/M")</f>
        <v>0.117236636967746</v>
      </c>
      <c r="F201" s="46" t="n">
        <f aca="false">IFERROR(IF(F35&lt;=0,"N/M",F38/F35),"N/M")</f>
        <v>0.0680000404973069</v>
      </c>
      <c r="G201" s="46" t="n">
        <f aca="false">IFERROR(IF(G35&lt;=0,"N/M",G38/G35),"N/M")</f>
        <v>0.049444953661269</v>
      </c>
      <c r="H201" s="46" t="n">
        <f aca="false">IFERROR(IF(H35&lt;=0,"N/M",H38/H35),"N/M")</f>
        <v>0.0286896496043921</v>
      </c>
      <c r="I201" s="46" t="n">
        <f aca="false">IFERROR(IF(I35&lt;=0,"N/M",I38/I35),"N/M")</f>
        <v>0.0294594384985264</v>
      </c>
      <c r="J201" s="46" t="n">
        <f aca="false">IFERROR(IF(J35&lt;=0,"N/M",J38/J35),"N/M")</f>
        <v>0.0642671038096496</v>
      </c>
      <c r="K201" s="25" t="n">
        <f aca="false">IFERROR(AVERAGE(D201:J201),"N/M")</f>
        <v>0.0610140952879584</v>
      </c>
      <c r="L201" s="86" t="n">
        <f aca="false">IFERROR(J201-D201,"N/M")</f>
        <v>-0.00573374016716921</v>
      </c>
      <c r="M201" s="87" t="n">
        <f aca="false">IFERROR(SLOPE(D201:J201,$D$3:$J$3),"N/M")</f>
        <v>-0.00828807172617364</v>
      </c>
    </row>
    <row r="202" customFormat="false" ht="15" hidden="false" customHeight="false" outlineLevel="0" collapsed="false">
      <c r="A202" s="18" t="s">
        <v>446</v>
      </c>
      <c r="B202" s="19" t="s">
        <v>690</v>
      </c>
      <c r="D202" s="46" t="n">
        <f aca="false">IFERROR(IF(D35&lt;=0,"N/M",D35/D35),"N/M")</f>
        <v>1</v>
      </c>
      <c r="E202" s="46" t="n">
        <f aca="false">IFERROR(IF(E35&lt;=0,"N/M",E35/E35),"N/M")</f>
        <v>1</v>
      </c>
      <c r="F202" s="46" t="n">
        <f aca="false">IFERROR(IF(F35&lt;=0,"N/M",F35/F35),"N/M")</f>
        <v>1</v>
      </c>
      <c r="G202" s="46" t="n">
        <f aca="false">IFERROR(IF(G35&lt;=0,"N/M",G35/G35),"N/M")</f>
        <v>1</v>
      </c>
      <c r="H202" s="46" t="n">
        <f aca="false">IFERROR(IF(H35&lt;=0,"N/M",H35/H35),"N/M")</f>
        <v>1</v>
      </c>
      <c r="I202" s="46" t="n">
        <f aca="false">IFERROR(IF(I35&lt;=0,"N/M",I35/I35),"N/M")</f>
        <v>1</v>
      </c>
      <c r="J202" s="46" t="n">
        <f aca="false">IFERROR(IF(J35&lt;=0,"N/M",J35/J35),"N/M")</f>
        <v>1</v>
      </c>
      <c r="K202" s="25" t="n">
        <f aca="false">IFERROR(AVERAGE(D202:J202),"N/M")</f>
        <v>1</v>
      </c>
      <c r="L202" s="86" t="n">
        <f aca="false">IFERROR(J202-D202,"N/M")</f>
        <v>0</v>
      </c>
      <c r="M202" s="87" t="n">
        <f aca="false">IFERROR(SLOPE(D202:J202,$D$3:$J$3),"N/M")</f>
        <v>0</v>
      </c>
    </row>
    <row r="204" customFormat="false" ht="15" hidden="false" customHeight="false" outlineLevel="0" collapsed="false">
      <c r="A204" s="16" t="s">
        <v>691</v>
      </c>
      <c r="B204" s="17"/>
      <c r="C204" s="17"/>
      <c r="D204" s="17"/>
      <c r="E204" s="17"/>
      <c r="F204" s="17"/>
      <c r="G204" s="17"/>
      <c r="H204" s="17"/>
      <c r="I204" s="17"/>
      <c r="J204" s="17"/>
      <c r="K204" s="17"/>
      <c r="L204" s="17"/>
      <c r="M204" s="17"/>
    </row>
    <row r="205" customFormat="false" ht="15" hidden="false" customHeight="false" outlineLevel="0" collapsed="false">
      <c r="A205" s="18" t="s">
        <v>650</v>
      </c>
      <c r="B205" s="19" t="s">
        <v>692</v>
      </c>
      <c r="D205" s="91" t="n">
        <f aca="false">IFERROR((IF($D9&lt;=0,"N/M",D9/$D9)*100),"N/M")</f>
        <v>100</v>
      </c>
      <c r="E205" s="91" t="n">
        <f aca="false">IFERROR((IF($D9&lt;=0,"N/M",E9/$D9)*100),"N/M")</f>
        <v>94.0244415379385</v>
      </c>
      <c r="F205" s="91" t="n">
        <f aca="false">IFERROR((IF($D9&lt;=0,"N/M",F9/$D9)*100),"N/M")</f>
        <v>119.291068640274</v>
      </c>
      <c r="G205" s="91" t="n">
        <f aca="false">IFERROR((IF($D9&lt;=0,"N/M",G9/$D9)*100),"N/M")</f>
        <v>147.740799852498</v>
      </c>
      <c r="H205" s="91" t="n">
        <f aca="false">IFERROR((IF($D9&lt;=0,"N/M",H9/$D9)*100),"N/M")</f>
        <v>158.621375110194</v>
      </c>
      <c r="I205" s="91" t="n">
        <f aca="false">IFERROR((IF($D9&lt;=0,"N/M",I9/$D9)*100),"N/M")</f>
        <v>175.873920383505</v>
      </c>
      <c r="J205" s="91" t="n">
        <f aca="false">IFERROR((IF($D9&lt;=0,"N/M",J9/$D9)*100),"N/M")</f>
        <v>201.642687992994</v>
      </c>
      <c r="K205" s="92" t="n">
        <f aca="false">IFERROR(AVERAGE(D205:J205),"N/M")</f>
        <v>142.456327645343</v>
      </c>
      <c r="L205" s="85" t="n">
        <f aca="false">IFERROR(J205-D205,"N/M")</f>
        <v>101.642687992994</v>
      </c>
      <c r="M205" s="85" t="n">
        <f aca="false">IFERROR(SLOPE(D205:J205,$D$3:$J$3),"N/M")</f>
        <v>18.1413331478584</v>
      </c>
    </row>
    <row r="206" customFormat="false" ht="15" hidden="false" customHeight="false" outlineLevel="0" collapsed="false">
      <c r="A206" s="18" t="s">
        <v>657</v>
      </c>
      <c r="B206" s="19" t="s">
        <v>693</v>
      </c>
      <c r="D206" s="91" t="n">
        <f aca="false">IFERROR((IF($D56&lt;=0,"N/M",D56/$D56)*100),"N/M")</f>
        <v>100</v>
      </c>
      <c r="E206" s="91" t="n">
        <f aca="false">IFERROR((IF($D56&lt;=0,"N/M",E56/$D56)*100),"N/M")</f>
        <v>84.9823321554769</v>
      </c>
      <c r="F206" s="91" t="n">
        <f aca="false">IFERROR((IF($D56&lt;=0,"N/M",F56/$D56)*100),"N/M")</f>
        <v>116.330136294801</v>
      </c>
      <c r="G206" s="91" t="n">
        <f aca="false">IFERROR((IF($D56&lt;=0,"N/M",G56/$D56)*100),"N/M")</f>
        <v>164.07117617365</v>
      </c>
      <c r="H206" s="91" t="n">
        <f aca="false">IFERROR((IF($D56&lt;=0,"N/M",H56/$D56)*100),"N/M")</f>
        <v>145.911155981828</v>
      </c>
      <c r="I206" s="91" t="n">
        <f aca="false">IFERROR((IF($D56&lt;=0,"N/M",I56/$D56)*100),"N/M")</f>
        <v>179.448510853105</v>
      </c>
      <c r="J206" s="91" t="n">
        <f aca="false">IFERROR((IF($D56&lt;=0,"N/M",J56/$D56)*100),"N/M")</f>
        <v>239.020696617871</v>
      </c>
      <c r="K206" s="92" t="n">
        <f aca="false">IFERROR(AVERAGE(D206:J206),"N/M")</f>
        <v>147.109144010962</v>
      </c>
      <c r="L206" s="85" t="n">
        <f aca="false">IFERROR(J206-D206,"N/M")</f>
        <v>139.020696617871</v>
      </c>
      <c r="M206" s="85" t="n">
        <f aca="false">IFERROR(SLOPE(D206:J206,$D$3:$J$3),"N/M")</f>
        <v>22.6991238191391</v>
      </c>
    </row>
    <row r="207" customFormat="false" ht="15" hidden="false" customHeight="false" outlineLevel="0" collapsed="false">
      <c r="A207" s="18" t="s">
        <v>667</v>
      </c>
      <c r="B207" s="19" t="s">
        <v>694</v>
      </c>
      <c r="D207" s="91" t="n">
        <f aca="false">IFERROR((IF($D22&lt;=0,"N/M",D22/$D22)*100),"N/M")</f>
        <v>100</v>
      </c>
      <c r="E207" s="91" t="n">
        <f aca="false">IFERROR((IF($D22&lt;=0,"N/M",E22/$D22)*100),"N/M")</f>
        <v>54.4267053701016</v>
      </c>
      <c r="F207" s="91" t="n">
        <f aca="false">IFERROR((IF($D22&lt;=0,"N/M",F22/$D22)*100),"N/M")</f>
        <v>31.8577648766328</v>
      </c>
      <c r="G207" s="91" t="n">
        <f aca="false">IFERROR((IF($D22&lt;=0,"N/M",G22/$D22)*100),"N/M")</f>
        <v>47.677793904209</v>
      </c>
      <c r="H207" s="91" t="n">
        <f aca="false">IFERROR((IF($D22&lt;=0,"N/M",H22/$D22)*100),"N/M")</f>
        <v>-99.3105950653121</v>
      </c>
      <c r="I207" s="91" t="n">
        <f aca="false">IFERROR((IF($D22&lt;=0,"N/M",I22/$D22)*100),"N/M")</f>
        <v>-65.0399129172714</v>
      </c>
      <c r="J207" s="91" t="n">
        <f aca="false">IFERROR((IF($D22&lt;=0,"N/M",J22/$D22)*100),"N/M")</f>
        <v>4.15457184325109</v>
      </c>
      <c r="K207" s="92" t="n">
        <f aca="false">IFERROR(AVERAGE(D207:J207),"N/M")</f>
        <v>10.5380468588016</v>
      </c>
      <c r="L207" s="85" t="n">
        <f aca="false">IFERROR(J207-D207,"N/M")</f>
        <v>-95.8454281567489</v>
      </c>
      <c r="M207" s="85" t="n">
        <f aca="false">IFERROR(SLOPE(D207:J207,$D$3:$J$3),"N/M")</f>
        <v>-23.4870671781049</v>
      </c>
    </row>
    <row r="208" customFormat="false" ht="15" hidden="false" customHeight="false" outlineLevel="0" collapsed="false">
      <c r="A208" s="18" t="s">
        <v>446</v>
      </c>
      <c r="B208" s="19" t="s">
        <v>695</v>
      </c>
      <c r="D208" s="91" t="n">
        <f aca="false">IFERROR((IF($D35&lt;=0,"N/M",D35/$D35)*100),"N/M")</f>
        <v>100</v>
      </c>
      <c r="E208" s="91" t="n">
        <f aca="false">IFERROR((IF($D35&lt;=0,"N/M",E35/$D35)*100),"N/M")</f>
        <v>118.644151240646</v>
      </c>
      <c r="F208" s="91" t="n">
        <f aca="false">IFERROR((IF($D35&lt;=0,"N/M",F35/$D35)*100),"N/M")</f>
        <v>138.935463905925</v>
      </c>
      <c r="G208" s="91" t="n">
        <f aca="false">IFERROR((IF($D35&lt;=0,"N/M",G35/$D35)*100),"N/M")</f>
        <v>179.551848309233</v>
      </c>
      <c r="H208" s="91" t="n">
        <f aca="false">IFERROR((IF($D35&lt;=0,"N/M",H35/$D35)*100),"N/M")</f>
        <v>174.224947954763</v>
      </c>
      <c r="I208" s="91" t="n">
        <f aca="false">IFERROR((IF($D35&lt;=0,"N/M",I35/$D35)*100),"N/M")</f>
        <v>181.370618353683</v>
      </c>
      <c r="J208" s="91" t="n">
        <f aca="false">IFERROR((IF($D35&lt;=0,"N/M",J35/$D35)*100),"N/M")</f>
        <v>218.379705170765</v>
      </c>
      <c r="K208" s="92" t="n">
        <f aca="false">IFERROR(AVERAGE(D208:J208),"N/M")</f>
        <v>158.729533562145</v>
      </c>
      <c r="L208" s="85" t="n">
        <f aca="false">IFERROR(J208-D208,"N/M")</f>
        <v>118.379705170765</v>
      </c>
      <c r="M208" s="85" t="n">
        <f aca="false">IFERROR(SLOPE(D208:J208,$D$3:$J$3),"N/M")</f>
        <v>18.4243404924002</v>
      </c>
    </row>
    <row r="209" customFormat="false" ht="15" hidden="false" customHeight="false" outlineLevel="0" collapsed="false">
      <c r="A209" s="18" t="s">
        <v>673</v>
      </c>
      <c r="B209" s="19" t="s">
        <v>696</v>
      </c>
      <c r="D209" s="91" t="n">
        <f aca="false">IFERROR((IF($D61&lt;=0,"N/M",D61/$D61)*100),"N/M")</f>
        <v>100</v>
      </c>
      <c r="E209" s="91" t="n">
        <f aca="false">IFERROR((IF($D61&lt;=0,"N/M",E61/$D61)*100),"N/M")</f>
        <v>104.298173138713</v>
      </c>
      <c r="F209" s="91" t="n">
        <f aca="false">IFERROR((IF($D61&lt;=0,"N/M",F61/$D61)*100),"N/M")</f>
        <v>100.3359955935</v>
      </c>
      <c r="G209" s="91" t="n">
        <f aca="false">IFERROR((IF($D61&lt;=0,"N/M",G61/$D61)*100),"N/M")</f>
        <v>103.124942623703</v>
      </c>
      <c r="H209" s="91" t="n">
        <f aca="false">IFERROR((IF($D61&lt;=0,"N/M",H61/$D61)*100),"N/M")</f>
        <v>90.4195354815019</v>
      </c>
      <c r="I209" s="91" t="n">
        <f aca="false">IFERROR((IF($D61&lt;=0,"N/M",I61/$D61)*100),"N/M")</f>
        <v>80.3965849628202</v>
      </c>
      <c r="J209" s="91" t="n">
        <f aca="false">IFERROR((IF($D61&lt;=0,"N/M",J61/$D61)*100),"N/M")</f>
        <v>215.694482695309</v>
      </c>
      <c r="K209" s="92" t="n">
        <f aca="false">IFERROR(AVERAGE(D209:J209),"N/M")</f>
        <v>113.467102070793</v>
      </c>
      <c r="L209" s="85" t="n">
        <f aca="false">IFERROR(J209-D209,"N/M")</f>
        <v>115.694482695309</v>
      </c>
      <c r="M209" s="85" t="n">
        <f aca="false">IFERROR(SLOPE(D209:J209,$D$3:$J$3),"N/M")</f>
        <v>10.334421843648</v>
      </c>
    </row>
    <row r="210" customFormat="false" ht="15" hidden="false" customHeight="false" outlineLevel="0" collapsed="false">
      <c r="A210" s="18" t="s">
        <v>675</v>
      </c>
      <c r="B210" s="19" t="s">
        <v>697</v>
      </c>
      <c r="D210" s="91" t="n">
        <f aca="false">IFERROR((IF($D28&lt;=0,"N/M",D28/$D28)*100),"N/M")</f>
        <v>100</v>
      </c>
      <c r="E210" s="91" t="n">
        <f aca="false">IFERROR((IF($D28&lt;=0,"N/M",E28/$D28)*100),"N/M")</f>
        <v>133.869846000994</v>
      </c>
      <c r="F210" s="91" t="n">
        <f aca="false">IFERROR((IF($D28&lt;=0,"N/M",F28/$D28)*100),"N/M")</f>
        <v>199.910581222057</v>
      </c>
      <c r="G210" s="91" t="n">
        <f aca="false">IFERROR((IF($D28&lt;=0,"N/M",G28/$D28)*100),"N/M")</f>
        <v>414.331843020368</v>
      </c>
      <c r="H210" s="91" t="n">
        <f aca="false">IFERROR((IF($D28&lt;=0,"N/M",H28/$D28)*100),"N/M")</f>
        <v>367.25782414307</v>
      </c>
      <c r="I210" s="91" t="n">
        <f aca="false">IFERROR((IF($D28&lt;=0,"N/M",I28/$D28)*100),"N/M")</f>
        <v>431.584699453552</v>
      </c>
      <c r="J210" s="91" t="n">
        <f aca="false">IFERROR((IF($D28&lt;=0,"N/M",J28/$D28)*100),"N/M")</f>
        <v>322.77694982613</v>
      </c>
      <c r="K210" s="92" t="n">
        <f aca="false">IFERROR(AVERAGE(D210:J210),"N/M")</f>
        <v>281.390249095167</v>
      </c>
      <c r="L210" s="85" t="n">
        <f aca="false">IFERROR(J210-D210,"N/M")</f>
        <v>222.77694982613</v>
      </c>
      <c r="M210" s="85" t="n">
        <f aca="false">IFERROR(SLOPE(D210:J210,$D$3:$J$3),"N/M")</f>
        <v>51.1109928323043</v>
      </c>
    </row>
    <row r="211" customFormat="false" ht="15" hidden="false" customHeight="false" outlineLevel="0" collapsed="false">
      <c r="A211" s="18" t="s">
        <v>698</v>
      </c>
      <c r="B211" s="19" t="s">
        <v>699</v>
      </c>
      <c r="D211" s="91" t="n">
        <f aca="false">IFERROR((IF($D36&lt;=0,"N/M",D36/$D36)*100),"N/M")</f>
        <v>100</v>
      </c>
      <c r="E211" s="91" t="n">
        <f aca="false">IFERROR((IF($D36&lt;=0,"N/M",E36/$D36)*100),"N/M")</f>
        <v>90.6595971099453</v>
      </c>
      <c r="F211" s="91" t="n">
        <f aca="false">IFERROR((IF($D36&lt;=0,"N/M",F36/$D36)*100),"N/M")</f>
        <v>91.2756940425294</v>
      </c>
      <c r="G211" s="91" t="n">
        <f aca="false">IFERROR((IF($D36&lt;=0,"N/M",G36/$D36)*100),"N/M")</f>
        <v>121.817299255083</v>
      </c>
      <c r="H211" s="91" t="n">
        <f aca="false">IFERROR((IF($D36&lt;=0,"N/M",H36/$D36)*100),"N/M")</f>
        <v>131.041950600228</v>
      </c>
      <c r="I211" s="91" t="n">
        <f aca="false">IFERROR((IF($D36&lt;=0,"N/M",I36/$D36)*100),"N/M")</f>
        <v>116.703694714635</v>
      </c>
      <c r="J211" s="91" t="n">
        <f aca="false">IFERROR((IF($D36&lt;=0,"N/M",J36/$D36)*100),"N/M")</f>
        <v>128.743722345649</v>
      </c>
      <c r="K211" s="92" t="n">
        <f aca="false">IFERROR(AVERAGE(D211:J211),"N/M")</f>
        <v>111.463136866867</v>
      </c>
      <c r="L211" s="85" t="n">
        <f aca="false">IFERROR(J211-D211,"N/M")</f>
        <v>28.743722345649</v>
      </c>
      <c r="M211" s="85" t="n">
        <f aca="false">IFERROR(SLOPE(D211:J211,$D$3:$J$3),"N/M")</f>
        <v>6.36020067157233</v>
      </c>
    </row>
    <row r="212" customFormat="false" ht="15" hidden="false" customHeight="false" outlineLevel="0" collapsed="false">
      <c r="A212" s="18" t="s">
        <v>700</v>
      </c>
      <c r="B212" s="19" t="s">
        <v>701</v>
      </c>
      <c r="D212" s="91" t="n">
        <f aca="false">IFERROR((IF($D41&lt;=0,"N/M",D41/$D41)*100),"N/M")</f>
        <v>100</v>
      </c>
      <c r="E212" s="91" t="n">
        <f aca="false">IFERROR((IF($D41&lt;=0,"N/M",E41/$D41)*100),"N/M")</f>
        <v>343.979854766924</v>
      </c>
      <c r="F212" s="91" t="n">
        <f aca="false">IFERROR((IF($D41&lt;=0,"N/M",F41/$D41)*100),"N/M")</f>
        <v>223.682361208714</v>
      </c>
      <c r="G212" s="91" t="n">
        <f aca="false">IFERROR((IF($D41&lt;=0,"N/M",G41/$D41)*100),"N/M")</f>
        <v>139.845397048489</v>
      </c>
      <c r="H212" s="91" t="n">
        <f aca="false">IFERROR((IF($D41&lt;=0,"N/M",H41/$D41)*100),"N/M")</f>
        <v>265.706254392129</v>
      </c>
      <c r="I212" s="91" t="n">
        <f aca="false">IFERROR((IF($D41&lt;=0,"N/M",I41/$D41)*100),"N/M")</f>
        <v>401.932536893886</v>
      </c>
      <c r="J212" s="91" t="n">
        <f aca="false">IFERROR((IF($D41&lt;=0,"N/M",J41/$D41)*100),"N/M")</f>
        <v>297.036776762708</v>
      </c>
      <c r="K212" s="92" t="n">
        <f aca="false">IFERROR(AVERAGE(D212:J212),"N/M")</f>
        <v>253.16902586755</v>
      </c>
      <c r="L212" s="85" t="n">
        <f aca="false">IFERROR(J212-D212,"N/M")</f>
        <v>197.036776762708</v>
      </c>
      <c r="M212" s="85" t="n">
        <f aca="false">IFERROR(SLOPE(D212:J212,$D$3:$J$3),"N/M")</f>
        <v>26.751413847338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2026-10-22T12:58:11Z</dcterms:created>
  <dc:creator>openpyxl</dc:creator>
  <dc:description/>
  <dc:language>en-US</dc:language>
  <cp:lastModifiedBy/>
  <dcterms:modified xsi:type="dcterms:W3CDTF">2026-10-22T12:58:14Z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