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9.xml.rels" ContentType="application/vnd.openxmlformats-package.relationships+xml"/>
  <Override PartName="/xl/worksheets/_rels/sheet18.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_rels/sheet15.xml.rels" ContentType="application/vnd.openxmlformats-package.relationships+xml"/>
  <Override PartName="/xl/worksheets/_rels/sheet3.xml.rels" ContentType="application/vnd.openxmlformats-package.relationships+xml"/>
  <Override PartName="/xl/worksheets/_rels/sheet12.xml.rels" ContentType="application/vnd.openxmlformats-package.relationships+xml"/>
  <Override PartName="/xl/worksheets/_rels/sheet13.xml.rels" ContentType="application/vnd.openxmlformats-package.relationships+xml"/>
  <Override PartName="/xl/worksheets/_rels/sheet14.xml.rels" ContentType="application/vnd.openxmlformats-package.relationships+xml"/>
  <Override PartName="/xl/worksheets/_rels/sheet10.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1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_rels/workbook.xml.rels" ContentType="application/vnd.openxmlformats-package.relationships+xml"/>
  <Override PartName="/xl/comments1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etup" sheetId="2" state="visible" r:id="rId4"/>
    <sheet name="Sources" sheetId="3" state="visible" r:id="rId5"/>
    <sheet name="Firm_Profiles" sheetId="4" state="visible" r:id="rId6"/>
    <sheet name="Scorecard" sheetId="5" state="visible" r:id="rId7"/>
    <sheet name="Industry_Compare" sheetId="6" state="visible" r:id="rId8"/>
    <sheet name="Statistics" sheetId="7" state="visible" r:id="rId9"/>
    <sheet name="Panel" sheetId="8" state="visible" r:id="rId10"/>
    <sheet name="Industry" sheetId="9" state="visible" r:id="rId11"/>
    <sheet name="Tiger" sheetId="10" state="visible" r:id="rId12"/>
    <sheet name="Allcargo" sheetId="11" state="visible" r:id="rId13"/>
    <sheet name="BlueDart" sheetId="12" state="visible" r:id="rId14"/>
    <sheet name="CONCOR" sheetId="13" state="visible" r:id="rId15"/>
    <sheet name="JetFreight" sheetId="14" state="visible" r:id="rId16"/>
    <sheet name="Patel" sheetId="15" state="visible" r:id="rId17"/>
    <sheet name="Sical" sheetId="16" state="visible" r:id="rId18"/>
    <sheet name="TCI" sheetId="17" state="visible" r:id="rId19"/>
    <sheet name="Shreeji" sheetId="18" state="visible" r:id="rId20"/>
    <sheet name="MahindraLog" sheetId="19" state="visible" r:id="rId21"/>
  </sheets>
  <definedNames>
    <definedName function="false" hidden="false" localSheetId="10" name="_xlnm.Print_Titles" vbProcedure="false">Allcargo!$5:$5</definedName>
    <definedName function="false" hidden="false" localSheetId="11" name="_xlnm.Print_Titles" vbProcedure="false">BlueDart!$5:$5</definedName>
    <definedName function="false" hidden="false" localSheetId="12" name="_xlnm.Print_Titles" vbProcedure="false">CONCOR!$5:$5</definedName>
    <definedName function="false" hidden="false" localSheetId="8" name="_xlnm.Print_Titles" vbProcedure="false">Industry!$5:$5</definedName>
    <definedName function="false" hidden="false" localSheetId="13" name="_xlnm.Print_Titles" vbProcedure="false">JetFreight!$5:$5</definedName>
    <definedName function="false" hidden="false" localSheetId="18" name="_xlnm.Print_Titles" vbProcedure="false">MahindraLog!$5:$5</definedName>
    <definedName function="false" hidden="false" localSheetId="14" name="_xlnm.Print_Titles" vbProcedure="false">Patel!$5:$5</definedName>
    <definedName function="false" hidden="false" localSheetId="17" name="_xlnm.Print_Titles" vbProcedure="false">Shreeji!$5:$5</definedName>
    <definedName function="false" hidden="false" localSheetId="15" name="_xlnm.Print_Titles" vbProcedure="false">Sical!$5:$5</definedName>
    <definedName function="false" hidden="false" localSheetId="16" name="_xlnm.Print_Titles" vbProcedure="false">TCI!$5:$5</definedName>
    <definedName function="false" hidden="false" localSheetId="9" name="_xlnm.Print_Titles" vbProcedure="false">Tiger!$5:$5</definedName>
  </definedNames>
  <calcPr iterateCount="100" refMode="A1" iterate="false" iterateDelta="0.0001"/>
  <extLst>
    <ext xmlns:loext="http://schemas.libreoffice.org/" uri="{7626C862-2A13-11E5-B345-FEFF819CDC9F}">
      <loext:extCalcPr stringRefSyntax="ExcelA1"/>
    </ext>
  </extLst>
</workbook>
</file>

<file path=xl/comments11.xml><?xml version="1.0" encoding="utf-8"?>
<comments xmlns="http://schemas.openxmlformats.org/spreadsheetml/2006/main" xmlns:xdr="http://schemas.openxmlformats.org/drawingml/2006/spreadsheetDrawing">
  <authors>
    <author>Unknown Author</author>
  </authors>
  <commentList>
    <comment ref="A81" authorId="0">
      <text>
        <r>
          <rPr>
            <sz val="10"/>
            <rFont val="Arial"/>
            <family val="2"/>
          </rPr>
          <t xml:space="preserve">Shares FY2025: the data export shows 98.28 crore adjusted shares, but the FY2025 balance sheet shows Rs 300 crore of equity capital at face value Rs 2, i.e. 149.78 crore shares, with no later bonus or split. 149.78 crore is used (highlighted cell).</t>
        </r>
      </text>
    </comment>
    <comment ref="A84" authorId="0">
      <text>
        <r>
          <rPr>
            <sz val="10"/>
            <rFont val="Arial"/>
            <family val="2"/>
          </rPr>
          <t xml:space="preserve">Allcargo demerged its international business w.e.f. 1-Nov-2025. The FY2020-FY2025 share prices are adjusted for that demerger, while FY2020-FY2025 earnings and book values still include the demerged business. P/E, P/B, earnings yield, dividend yield and EV/EBITDA are therefore shown as N/C (not comparable) for those years and the firm-years are left out of the industry valuation aggregates. FY2025-FY2026 financials are on the post-restructuring perimeter.</t>
        </r>
      </text>
    </comment>
  </commentList>
</comments>
</file>

<file path=xl/comments16.xml><?xml version="1.0" encoding="utf-8"?>
<comments xmlns="http://schemas.openxmlformats.org/spreadsheetml/2006/main" xmlns:xdr="http://schemas.openxmlformats.org/drawingml/2006/spreadsheetDrawing">
  <authors>
    <author>Unknown Author</author>
  </authors>
  <commentList>
    <comment ref="A81" authorId="0">
      <text>
        <r>
          <rPr>
            <sz val="10"/>
            <rFont val="Arial"/>
            <family val="2"/>
          </rPr>
          <t xml:space="preserve">The split/bonus-adjusted share count in the data export (17.79-20.88 crore) does not agree with the reported share capital (face value Rs 10) or with the unadjusted price series. Actual shares outstanding at each year end (share capital / face value) are used for all years (highlighted cells).</t>
        </r>
      </text>
    </comment>
  </commentList>
</comments>
</file>

<file path=xl/sharedStrings.xml><?xml version="1.0" encoding="utf-8"?>
<sst xmlns="http://schemas.openxmlformats.org/spreadsheetml/2006/main" count="7220" uniqueCount="845">
  <si>
    <t xml:space="preserve">DECISION MAKING USING FINANCIAL STATEMENTS - Group project: Excel workings</t>
  </si>
  <si>
    <t xml:space="preserve">Industry: Indian listed logistics &amp; freight-transport services  |  10 companies  |  7 financial years, FY2020-FY2026</t>
  </si>
  <si>
    <t xml:space="preserve">1. Purpose</t>
  </si>
  <si>
    <t xml:space="preserve">Ratio analysis (liquidity, leverage, activity, profitability and valuation), DuPont analysis, industry comparison and statistical analysis of 10 listed Indian logistics companies over FY2020-FY2026. The 10 firms are treated as the whole industry, so every industry benchmark in this workbook is computed from these 10 firms only.</t>
  </si>
  <si>
    <t xml:space="preserve">2. Sheet map (click a sheet name to open it)</t>
  </si>
  <si>
    <t xml:space="preserve">Setup</t>
  </si>
  <si>
    <t xml:space="preserve">Settings used by the formulas (days in the year) and the textbook benchmark norms.</t>
  </si>
  <si>
    <t xml:space="preserve">Sources</t>
  </si>
  <si>
    <t xml:space="preserve">Links to the annual reports / financial statements of every company.</t>
  </si>
  <si>
    <t xml:space="preserve">Firm_Profiles</t>
  </si>
  <si>
    <t xml:space="preserve">The 10 firms, their segments and business models, and the evidence that they form one industry.</t>
  </si>
  <si>
    <t xml:space="preserve">Scorecard</t>
  </si>
  <si>
    <t xml:space="preserve">Key ratios as 7-year averages (FY2020-FY2026) for every firm vs the industry aggregate and the 10-firm median, with a composite ranking.</t>
  </si>
  <si>
    <t xml:space="preserve">Industry_Compare</t>
  </si>
  <si>
    <t xml:space="preserve">Every ratio for every firm and year, with industry aggregate, mean, median, standard deviation, minimum, maximum, assessment against the median and rank.</t>
  </si>
  <si>
    <t xml:space="preserve">Statistics</t>
  </si>
  <si>
    <t xml:space="preserve">Descriptive statistics, correlation matrix (with caution notes), paired t-tests FY2020 vs FY2026, growth and stability.</t>
  </si>
  <si>
    <t xml:space="preserve">Panel</t>
  </si>
  <si>
    <t xml:space="preserve">70 firm-year observations of the key variables (linked to the company sheets); the data used by Statistics.</t>
  </si>
  <si>
    <t xml:space="preserve">Industry</t>
  </si>
  <si>
    <t xml:space="preserve">The 10 firms added together line by line, with the same ratio formulas (size-weighted industry ratios).</t>
  </si>
  <si>
    <t xml:space="preserve">Tiger ... MahindraLog</t>
  </si>
  <si>
    <t xml:space="preserve">One sheet per company: P&amp;L, balance sheet, cash flow statement, market data, working figures, all ratios and the DuPont analysis.</t>
  </si>
  <si>
    <t xml:space="preserve">3. Conventions</t>
  </si>
  <si>
    <t xml:space="preserve">Blue figures on a light-blue background are inputs taken from the annual reports; black cells are formulas; green cells are links to another sheet; a yellow background marks an adjusted input, explained in the cell comment on the row label.</t>
  </si>
  <si>
    <t xml:space="preserve">Liquidity and capital-structure (leverage) ratios are shown in ratio form, e.g. 1.65:1. Coverage, turnover and valuation ratios are shown as plain numbers, days as whole numbers, and margins / returns as percentages.</t>
  </si>
  <si>
    <t xml:space="preserve">N/M = not meaningful. It is used only where a ratio cannot be interpreted: the denominator is nil or negative (negative net worth, no inventory held, no dividend declared, loss-making EPS for P/E, a net cash inflow from investing for the capital expenditure ratio). N/C = not comparable (Allcargo valuation ratios, see section 6). n.a. = not applicable (per-share data for the industry aggregate).</t>
  </si>
  <si>
    <t xml:space="preserve">All amounts are in Rs crore; per-share data in Rs. FY2026 = April 2025 - March 2026. Percentages are stored as fractions.</t>
  </si>
  <si>
    <t xml:space="preserve">4. Data and sources</t>
  </si>
  <si>
    <t xml:space="preserve">Consolidated statement of profit and loss, balance sheet and cash flow statement for FY2020-FY2026, and the year-end share price, for each company, taken from the companies' annual reports. The links are on the Sources sheet and in row 3 of each company sheet. The figures were collected with the Screener.in Excel export (ALL_10_Companies.xlsx), which condenses each statement into a standard set of line items. No FY2019 figures are used anywhere in the workbook.</t>
  </si>
  <si>
    <t xml:space="preserve">5. Basis of calculation</t>
  </si>
  <si>
    <t xml:space="preserve">- Closing balances: every ratio that uses a balance-sheet figure uses the closing (31 March) balance of the same year. No opening or average balances are used, so the analysis needs no FY2019 data.</t>
  </si>
  <si>
    <t xml:space="preserve">- EBIT = operating profit = Operating EBITDA - depreciation, i.e. before other income and exceptional items. This EBIT is used for the operating profit margin, interest coverage, earning power, ROCE and the five-step DuPont, so that treasury income and one-off gains or losses do not distort operating performance. PBT = EBIT + other income - finance costs, which agrees with the reported PBT for every firm-year.</t>
  </si>
  <si>
    <t xml:space="preserve">- Current assets and current liabilities: the condensed statements show "other assets" (all assets other than fixed assets, CWIP and investments) and "other liabilities" (all liabilities other than borrowings and equity), which are used as proxies. Trade payables are not shown separately, so creditor days and the cash conversion cycle are indicative only.</t>
  </si>
  <si>
    <t xml:space="preserve">- Debt = total borrowings including lease liabilities (long-term and short-term borrowings are not separated in the data).</t>
  </si>
  <si>
    <t xml:space="preserve">- Capital gearing ratio = (Borrowings + Preference share capital) / Equity shareholders' funds. No preference share capital is reported for any of the 10 companies in FY2020-FY2026 (the input row is nil), so the ratio is numerically equal to the debt-equity ratio; the formula is kept in its textbook form so that any preference capital would be picked up automatically.</t>
  </si>
  <si>
    <t xml:space="preserve">- Cash flow statement: the reported net cash flows from operating, investing and financing activities are shown with the bridge from PBT to operating profit before working-capital changes. Working-capital changes and taxes paid, and the net borrowing / lease / equity flows in financing, are derived as balancing figures. Net capital expenditure = net cash used in investing activities; principal repaid = the net financing outflow after finance costs and dividends. Both come from the same year's cash flow statement, so no prior-year balances are needed.</t>
  </si>
  <si>
    <t xml:space="preserve">- Effective tax rate t = tax / PBT, kept between 0% and the maximum corporate tax rate of 34.94% (30% + 12% surcharge + 4% cess; Setup sheet), and 0% in loss years. The cap stops one-off tax charges in low-profit years from distorting the (1 - t) adjustment used for ROCE (post-tax), ROA including post-tax interest and the grossing-up of principal repayments.</t>
  </si>
  <si>
    <t xml:space="preserve">- DuPont analysis: ROA and ROE are calculated directly from their formulas (PAT / total assets and PAT / total shareholders' funds). The margin, turnover, multiplier, tax-burden and interest-burden rows show the drivers, and a reconciliation row confirms that their product equals the directly calculated ROE.</t>
  </si>
  <si>
    <t xml:space="preserve">- The "7-Yr Average" column is the arithmetic mean of the seven yearly values of a ratio (years shown as N/M or N/C are skipped).</t>
  </si>
  <si>
    <t xml:space="preserve">6. Company-specific adjustments (yellow cells, with comments on the company sheets)</t>
  </si>
  <si>
    <t xml:space="preserve">- Sical Logistics: the split/bonus-adjusted share count in the export does not agree with the reported share capital or with the (unadjusted) price series, so the actual shares outstanding at each year end are used. Sical went through the IBC process (resolution plan of Pristine Malwa Logistics Park approved on 8-Dec-2022); its net worth is negative in FY2021, FY2022 and FY2025, so debt-equity, capital gearing, ROE and the equity multiplier are N/M in those years.</t>
  </si>
  <si>
    <t xml:space="preserve">- Allcargo Logistics: FY2025 shares = 149.78 crore as per the balance sheet. The FY2020-FY2025 share prices are adjusted for the November 2025 demerger of the international business, while earnings and book values of those years still include it, so P/E, P/B, earnings yield, dividend yield and EV/EBITDA are N/C for FY2020-FY2025 and those firm-years are left out of the industry valuation aggregates. FY2025-FY2026 financials are on the post-restructuring perimeter and are not comparable with FY2020-FY2024.</t>
  </si>
  <si>
    <t xml:space="preserve">7. Industry benchmarks</t>
  </si>
  <si>
    <t xml:space="preserve">Industry (aggregate) = summed numerator / summed denominator across the 10 firms (size-weighted; dominated by CONCOR, Allcargo, Blue Dart, Mahindra Logistics and TCI). The median of the 10 firms is the typical-firm benchmark used for every better / weaker assessment, because the mean is pulled by outliers (Sical's negative net worth, Allcargo's restructuring).</t>
  </si>
  <si>
    <t xml:space="preserve">8. Statistical analysis</t>
  </si>
  <si>
    <t xml:space="preserve">Descriptive statistics use all 70 firm-years. The correlation matrix and the paired t-tests use the 9 firms other than Sical. The 63 firm-years behind the correlations are repeated observations of the same 9 companies, not independent companies, so the correlations are read as descriptive associations only and no causal claims are made from them. The paired t-tests (FY2020 vs FY2026, n = 9) are the direct test of change over the period; the small sample and the Allcargo demerger are acknowledged in the interpretation.</t>
  </si>
  <si>
    <t xml:space="preserve">9. Review of N/M results (live counts)</t>
  </si>
  <si>
    <t xml:space="preserve">Sheet</t>
  </si>
  <si>
    <t xml:space="preserve">N/M cells</t>
  </si>
  <si>
    <t xml:space="preserve">N/C cells</t>
  </si>
  <si>
    <t xml:space="preserve">Where N/M remains and why</t>
  </si>
  <si>
    <t xml:space="preserve">Tiger</t>
  </si>
  <si>
    <t xml:space="preserve">Inventory turnover - no inventory held (all years); inventory days shown as 0; dividend coverage - no dividend declared (FY20-21, FY23-26); capital expenditure ratio - net cash inflow from investing (FY20, FY23, FY25-26); debt/EBITDA and EV/EBITDA - negative operating EBITDA (FY20-21); P/E - loss year (FY20-21).</t>
  </si>
  <si>
    <t xml:space="preserve">Allcargo</t>
  </si>
  <si>
    <t xml:space="preserve">Inventory turnover - no inventory held (FY25-26); inventory days shown as 0; dividend coverage - no dividend declared (FY26); capital expenditure ratio - net cash inflow from investing (FY21, FY25-26); N/C: P/E, P/B, EV/EBITDA, earnings and dividend yield (FY20-25) - demerger-adjusted prices.</t>
  </si>
  <si>
    <t xml:space="preserve">BlueDart</t>
  </si>
  <si>
    <t xml:space="preserve">Dividend coverage - no dividend declared (FY20); capital expenditure ratio - net cash inflow from investing (FY22); P/E - loss year (FY20); working capital turnover - negative net working capital (FY20).</t>
  </si>
  <si>
    <t xml:space="preserve">CONCOR</t>
  </si>
  <si>
    <t xml:space="preserve">Capital expenditure ratio - net cash inflow from investing (FY21).</t>
  </si>
  <si>
    <t xml:space="preserve">JetFreight</t>
  </si>
  <si>
    <t xml:space="preserve">Inventory turnover - no inventory held (all years); inventory days shown as 0; dividend coverage - no dividend declared (FY20-21, FY23-26); capital expenditure ratio - net cash inflow from investing (FY26); debt/EBITDA and EV/EBITDA - negative operating EBITDA (FY20); P/E - loss year (FY20).</t>
  </si>
  <si>
    <t xml:space="preserve">Patel</t>
  </si>
  <si>
    <t xml:space="preserve">Inventory turnover - no inventory held (all years); inventory days shown as 0; capital expenditure ratio - net cash inflow from investing (FY20-21, FY23-25).</t>
  </si>
  <si>
    <t xml:space="preserve">Sical</t>
  </si>
  <si>
    <t xml:space="preserve">Debt-equity, gearing, ROE, P/B and equity multiplier - negative net worth (FY21-22, FY25); dividend coverage - no dividend declared (all years); capital expenditure ratio - net cash inflow from investing (FY23, FY26); debt/EBITDA and EV/EBITDA - negative operating EBITDA (FY20-22); P/E - loss year (FY20-25); working capital turnover - negative net working capital (FY20-25).</t>
  </si>
  <si>
    <t xml:space="preserve">TCI</t>
  </si>
  <si>
    <t xml:space="preserve">None.</t>
  </si>
  <si>
    <t xml:space="preserve">Shreeji</t>
  </si>
  <si>
    <t xml:space="preserve">Dividend coverage - no dividend declared (FY25-26); capital expenditure ratio - net cash inflow from investing (FY24, FY26); P/E - loss year (FY21); payout and retention - dividend paid in a loss year (FY21).</t>
  </si>
  <si>
    <t xml:space="preserve">MahindraLog</t>
  </si>
  <si>
    <t xml:space="preserve">Inventory turnover - no inventory held (FY20-21, FY24-26); inventory days shown as 0; capital expenditure ratio - net cash inflow from investing (FY20); P/E - loss year (FY24-25); payout and retention - dividend paid in a loss year (FY24-25).</t>
  </si>
  <si>
    <t xml:space="preserve">P/E - loss year (FY21); payout and retention - dividend paid in a loss year (FY21).</t>
  </si>
  <si>
    <t xml:space="preserve">Counts cover the ratio and DuPont sections (FY2020-FY2026 columns). All earlier N/M cells were reviewed: N/M now appears only where the ratio is genuinely not meaningful; where a value can be calculated it is shown (e.g. inventory days of 0 when no inventory is held, and a 0% payout ratio when no dividend is paid).</t>
  </si>
  <si>
    <t xml:space="preserve">10. Use of AI tools</t>
  </si>
  <si>
    <t xml:space="preserve">The workbook was prepared with the help of Claude (Anthropic), an AI assistant, which helped set up the formulas and layout from the group's data and the course formula list. All inputs come from the annual reports listed on the Sources sheet, every ratio is a live formula, and the results were cross-checked against an independent calculation. The interpretation and conclusions are the group's own.</t>
  </si>
  <si>
    <t xml:space="preserve">Setup - model settings and benchmark norms</t>
  </si>
  <si>
    <t xml:space="preserve">Settings referenced by the formulas, and the textbook norms quoted in the "Norm / unit" column of the company sheets.</t>
  </si>
  <si>
    <t xml:space="preserve">1. GENERAL SETTINGS</t>
  </si>
  <si>
    <t xml:space="preserve">Indian listed logistics &amp; freight-transport services</t>
  </si>
  <si>
    <t xml:space="preserve">Currency &amp; scale</t>
  </si>
  <si>
    <t xml:space="preserve">Rs crore (per-share data in Rs)</t>
  </si>
  <si>
    <t xml:space="preserve">Financial statements</t>
  </si>
  <si>
    <t xml:space="preserve">Consolidated where published (standalone otherwise)</t>
  </si>
  <si>
    <t xml:space="preserve">Days in a financial year</t>
  </si>
  <si>
    <t xml:space="preserve">Analysis period</t>
  </si>
  <si>
    <t xml:space="preserve">FY2020-FY2026 (7 years; FY = April to March)</t>
  </si>
  <si>
    <t xml:space="preserve">Balance-sheet basis for ratios</t>
  </si>
  <si>
    <t xml:space="preserve">Closing balance of the same year (no averages, no FY2019 figures)</t>
  </si>
  <si>
    <t xml:space="preserve">Maximum corporate tax rate (cap on t)</t>
  </si>
  <si>
    <t xml:space="preserve">2. TEXTBOOK BENCHMARK NORMS (reference only)</t>
  </si>
  <si>
    <t xml:space="preserve">Ratio</t>
  </si>
  <si>
    <t xml:space="preserve">Norm</t>
  </si>
  <si>
    <t xml:space="preserve">Shown as</t>
  </si>
  <si>
    <t xml:space="preserve">Rationale</t>
  </si>
  <si>
    <t xml:space="preserve">Current ratio</t>
  </si>
  <si>
    <t xml:space="preserve">2 : 1</t>
  </si>
  <si>
    <t xml:space="preserve">ratio</t>
  </si>
  <si>
    <t xml:space="preserve">Current assets twice current liabilities give creditors a 100% margin of safety.</t>
  </si>
  <si>
    <t xml:space="preserve">Quick (acid-test) ratio</t>
  </si>
  <si>
    <t xml:space="preserve">1 : 1</t>
  </si>
  <si>
    <t xml:space="preserve">Stricter test that leaves out inventory and prepaid expenses.</t>
  </si>
  <si>
    <t xml:space="preserve">Cash ratio</t>
  </si>
  <si>
    <t xml:space="preserve">0.5 : 1</t>
  </si>
  <si>
    <t xml:space="preserve">Ability to meet current obligations from cash and near-cash assets alone.</t>
  </si>
  <si>
    <t xml:space="preserve">Debt to capital employed</t>
  </si>
  <si>
    <t xml:space="preserve">max 0.5 : 1</t>
  </si>
  <si>
    <t xml:space="preserve">Debt should not exceed half of permanent capital.</t>
  </si>
  <si>
    <t xml:space="preserve">Debt to total assets</t>
  </si>
  <si>
    <t xml:space="preserve">Total debt should not exceed half of the asset base.</t>
  </si>
  <si>
    <t xml:space="preserve">Proprietary ratio</t>
  </si>
  <si>
    <t xml:space="preserve">min 0.5 : 1</t>
  </si>
  <si>
    <t xml:space="preserve">Owners' funds should finance at least half of total assets.</t>
  </si>
  <si>
    <t xml:space="preserve">Interest coverage</t>
  </si>
  <si>
    <t xml:space="preserve">above 3</t>
  </si>
  <si>
    <t xml:space="preserve">number</t>
  </si>
  <si>
    <t xml:space="preserve">Adequate cushion for finance costs out of operating profit.</t>
  </si>
  <si>
    <t xml:space="preserve">Debt-service coverage ratio</t>
  </si>
  <si>
    <t xml:space="preserve">above 1.25</t>
  </si>
  <si>
    <t xml:space="preserve">Below 1 means earnings do not cover interest plus principal.</t>
  </si>
  <si>
    <t xml:space="preserve">Capital expenditure ratio</t>
  </si>
  <si>
    <t xml:space="preserve">above 1</t>
  </si>
  <si>
    <t xml:space="preserve">Operating cash flow fully funds net capital expenditure.</t>
  </si>
  <si>
    <t xml:space="preserve">Liquidity and capital-structure ratios are shown in ratio form (e.g. 1.65:1). Coverage, turnover and valuation ratios are shown as plain numbers; margins and returns as percentages.</t>
  </si>
  <si>
    <t xml:space="preserve">Sources - annual reports and financial statements</t>
  </si>
  <si>
    <t xml:space="preserve">Primary sources for every company sheet. Figures are the consolidated statements in these reports, compiled into one data sheet per company through the Screener.in Excel export (ALL_10_Companies.xlsx); the export was used only to collect the numbers.</t>
  </si>
  <si>
    <t xml:space="preserve">#</t>
  </si>
  <si>
    <t xml:space="preserve">Company</t>
  </si>
  <si>
    <t xml:space="preserve">BSE code</t>
  </si>
  <si>
    <t xml:space="preserve">Document</t>
  </si>
  <si>
    <t xml:space="preserve">Period</t>
  </si>
  <si>
    <t xml:space="preserve">Link</t>
  </si>
  <si>
    <t xml:space="preserve">Tiger Logistics (India) Ltd</t>
  </si>
  <si>
    <t xml:space="preserve">536264</t>
  </si>
  <si>
    <t xml:space="preserve">Annual reports - company investor page</t>
  </si>
  <si>
    <t xml:space="preserve">FY2020-FY2026</t>
  </si>
  <si>
    <t xml:space="preserve">https://www.tigerlogistics.in/Annual_Report.php</t>
  </si>
  <si>
    <t xml:space="preserve">Annual reports - BSE corporate filings</t>
  </si>
  <si>
    <t xml:space="preserve">https://www.bseindia.com/stock-share-price/tiger-logistics-india-ltd/tigerlogs/536264/financials-annual-reports/</t>
  </si>
  <si>
    <t xml:space="preserve">Allcargo Logistics Ltd</t>
  </si>
  <si>
    <t xml:space="preserve">532749</t>
  </si>
  <si>
    <t xml:space="preserve">https://www.allcargologistics.com/investor/logistics-annual-reports</t>
  </si>
  <si>
    <t xml:space="preserve">https://www.bseindia.com/stock-share-price/allcargo-logistics-ltd/allcargo/532749/financials-annual-reports/</t>
  </si>
  <si>
    <t xml:space="preserve">Annual Report 2022-23</t>
  </si>
  <si>
    <t xml:space="preserve">FY2023</t>
  </si>
  <si>
    <t xml:space="preserve">https://www.allcargologistics.com/cms/annual-reports/February2025/8QxMvclnT0owjBnY34Zk.pdf</t>
  </si>
  <si>
    <t xml:space="preserve">Annual Report 2023-24</t>
  </si>
  <si>
    <t xml:space="preserve">FY2024</t>
  </si>
  <si>
    <t xml:space="preserve">https://www.allcargologistics.com/cms/annual-reports/February2025/Bsl5vDz8atYU5wg09BlM.pdf</t>
  </si>
  <si>
    <t xml:space="preserve">Blue Dart Express Ltd</t>
  </si>
  <si>
    <t xml:space="preserve">526612</t>
  </si>
  <si>
    <t xml:space="preserve">https://www.bluedart.com/financials</t>
  </si>
  <si>
    <t xml:space="preserve">https://www.bseindia.com/stock-share-price/blue-dart-express-ltd/bluedart/526612/financials-annual-reports/</t>
  </si>
  <si>
    <t xml:space="preserve">Annual Report 2019-20</t>
  </si>
  <si>
    <t xml:space="preserve">FY2020</t>
  </si>
  <si>
    <t xml:space="preserve">https://api.bluedart.com/documents/20182/0/Blue+Dart+Annual+Report-2019-2020.pdf/995ddbb8-b493-399f-2cc7-b5444cacf917</t>
  </si>
  <si>
    <t xml:space="preserve">Annual Report 2024-25</t>
  </si>
  <si>
    <t xml:space="preserve">FY2025</t>
  </si>
  <si>
    <t xml:space="preserve">https://www.bluedart.com/documents/d/guest/annual-report-2024-25</t>
  </si>
  <si>
    <t xml:space="preserve">Container Corporation of India Ltd</t>
  </si>
  <si>
    <t xml:space="preserve">531344</t>
  </si>
  <si>
    <t xml:space="preserve">https://www.concorindia.co.in/annual_report.aspx</t>
  </si>
  <si>
    <t xml:space="preserve">https://www.bseindia.com/stock-share-price/container-corporation-of-india-ltd/concor/531344/financials-annual-reports/</t>
  </si>
  <si>
    <t xml:space="preserve">Annual Report 2023-24 - ten-year financial performance</t>
  </si>
  <si>
    <t xml:space="preserve">FY2015-FY2024</t>
  </si>
  <si>
    <t xml:space="preserve">https://www.concorindia.co.in/assets/pdf/Concor10yearsperformance202324.pdf</t>
  </si>
  <si>
    <t xml:space="preserve">Jet Freight Logistics Ltd</t>
  </si>
  <si>
    <t xml:space="preserve">543420</t>
  </si>
  <si>
    <t xml:space="preserve">https://www.jfll.com/financials/</t>
  </si>
  <si>
    <t xml:space="preserve">https://www.bseindia.com/stock-share-price/jet-freight-logistics-ltd/jetfreight/543420/financials-annual-reports/</t>
  </si>
  <si>
    <t xml:space="preserve">17th Annual Report 2022-23</t>
  </si>
  <si>
    <t xml:space="preserve">https://www.jfll.com/wp-content/uploads/2023/07/Annual-Report-2022-2023.pdf</t>
  </si>
  <si>
    <t xml:space="preserve">18th Annual Report 2023-24</t>
  </si>
  <si>
    <t xml:space="preserve">https://www.jfll.com/wp-content/uploads/2024/08/Jet-Freight_Annual-Report-2023-24.pdf</t>
  </si>
  <si>
    <t xml:space="preserve">Patel Integrated Logistics Ltd</t>
  </si>
  <si>
    <t xml:space="preserve">526381</t>
  </si>
  <si>
    <t xml:space="preserve">https://www.patel-india.com/investor-information</t>
  </si>
  <si>
    <t xml:space="preserve">https://www.bseindia.com/stock-share-price/patel-integrated-logistics-ltd/patintlog/526381/financials-annual-reports/</t>
  </si>
  <si>
    <t xml:space="preserve">62nd Annual Report 2023-24</t>
  </si>
  <si>
    <t xml:space="preserve">https://www.patel-india.com/Content/uploads/Pdf/a9e6fcac-f851-4790-8da3-1731db23de95_ANNUAL%20REPORT%202023-24.pdf</t>
  </si>
  <si>
    <t xml:space="preserve">Sical Logistics Ltd</t>
  </si>
  <si>
    <t xml:space="preserve">520086</t>
  </si>
  <si>
    <t xml:space="preserve">https://sical.in/investors/annual-reports/</t>
  </si>
  <si>
    <t xml:space="preserve">https://www.bseindia.com/stock-share-price/sical-logistics-ltd/sicallog/520086/financials-annual-reports/</t>
  </si>
  <si>
    <t xml:space="preserve">Annual Report 2020-21</t>
  </si>
  <si>
    <t xml:space="preserve">FY2021</t>
  </si>
  <si>
    <t xml:space="preserve">https://www.sical.in/downloads/annualreport20-21.pdf</t>
  </si>
  <si>
    <t xml:space="preserve">Annual Report 2021-22</t>
  </si>
  <si>
    <t xml:space="preserve">FY2022</t>
  </si>
  <si>
    <t xml:space="preserve">https://www.sical.in/downloads/annualreport21-22.pdf</t>
  </si>
  <si>
    <t xml:space="preserve">https://www.sical.in/downloads/annualreport23-24.pdf</t>
  </si>
  <si>
    <t xml:space="preserve">https://www.sical.in/downloads/annualreport24-25.pdf</t>
  </si>
  <si>
    <t xml:space="preserve">Transport Corporation of India Ltd</t>
  </si>
  <si>
    <t xml:space="preserve">532349</t>
  </si>
  <si>
    <t xml:space="preserve">https://tcil.com/disclosures/</t>
  </si>
  <si>
    <t xml:space="preserve">https://www.bseindia.com/stock-share-price/transport-corporation-of-india-ltd/tci/532349/financials-annual-reports/</t>
  </si>
  <si>
    <t xml:space="preserve">https://tcil.com/wp-content/uploads/2024/07/TCI_AR_2023-24_Final_file_040724_1727-1.pdf</t>
  </si>
  <si>
    <t xml:space="preserve">Annual Report 2025-26 (with notice of 31st AGM)</t>
  </si>
  <si>
    <t xml:space="preserve">FY2026</t>
  </si>
  <si>
    <t xml:space="preserve">https://tcil.com/wp-content/uploads/2026/07/Notice-of-31st-AGM-and-Annual-Report.pdf</t>
  </si>
  <si>
    <t xml:space="preserve">Annual report microsite</t>
  </si>
  <si>
    <t xml:space="preserve">Latest</t>
  </si>
  <si>
    <t xml:space="preserve">https://annualreport.tcil.com/</t>
  </si>
  <si>
    <t xml:space="preserve">Shreeji Translogistics Ltd</t>
  </si>
  <si>
    <t xml:space="preserve">540738</t>
  </si>
  <si>
    <t xml:space="preserve">https://www.shreejitranslogistics.com/aboutus</t>
  </si>
  <si>
    <t xml:space="preserve">https://www.bseindia.com/stock-share-price/shreeji-translogistics-ltd/shreeji/540738/financials-annual-reports/</t>
  </si>
  <si>
    <t xml:space="preserve">https://www.shreejitranslogistics.com/uploads/Annual_Report_2020_2021.pdf</t>
  </si>
  <si>
    <t xml:space="preserve">https://www.shreejitranslogistics.com/uploads/Annual_Report_2021_-_22.pdf</t>
  </si>
  <si>
    <t xml:space="preserve">https://www.shreejitranslogistics.com/uploads/ANNUAL_REPORT_2022-23.pdf</t>
  </si>
  <si>
    <t xml:space="preserve">https://www.shreejitranslogistics.com/uploads/ANNUAL_REPORT_2023-24.pdf</t>
  </si>
  <si>
    <t xml:space="preserve">https://www.shreejitranslogistics.com/uploads/ANNUAL_REPORT_2024-25.pdf</t>
  </si>
  <si>
    <t xml:space="preserve">Mahindra Logistics Ltd</t>
  </si>
  <si>
    <t xml:space="preserve">540768</t>
  </si>
  <si>
    <t xml:space="preserve">https://mahindralogistics.com/investor-relations/</t>
  </si>
  <si>
    <t xml:space="preserve">https://www.bseindia.com/stock-share-price/mahindra-logistics-ltd/mahlog/540768/financials-annual-reports/</t>
  </si>
  <si>
    <t xml:space="preserve">Integrated Annual Report 2023-24</t>
  </si>
  <si>
    <t xml:space="preserve">https://mahindralogistics.com/tabs/cms/files/MLL_Integrated_Annual_Report_FY24.pdf</t>
  </si>
  <si>
    <t xml:space="preserve">Audited financial results FY2024-25</t>
  </si>
  <si>
    <t xml:space="preserve">https://mahindralogistics.com/tabs/cms/files/Annual-Financial-Results-FY-2025.pdf</t>
  </si>
  <si>
    <t xml:space="preserve">Notes</t>
  </si>
  <si>
    <t xml:space="preserve">- Where a single-year PDF is not listed, that year's report is available from the company's annual-report page and from the BSE annual-report page given for the company.</t>
  </si>
  <si>
    <t xml:space="preserve">- Share prices are the closing prices on the last trading day of March (BSE/NSE), adjusted for splits and bonus issues.</t>
  </si>
  <si>
    <t xml:space="preserve">- Company-specific adjustments to the data are explained in cell comments on the company sheets (yellow cells) and in the ReadMe.</t>
  </si>
  <si>
    <t xml:space="preserve">Firm selection - the 10 listed Indian logistics companies and evidence that they form one industry</t>
  </si>
  <si>
    <t xml:space="preserve">Columns H-Q are linked to the company sheets. A cost structure dominated by direct operating (freight / handling) costs, negligible inventory and receivable-led working capital show a common operating model; asset intensity separates the asset-light forwarders / 3PLs from the asset-heavy network operators.</t>
  </si>
  <si>
    <t xml:space="preserve">NSE symbol</t>
  </si>
  <si>
    <t xml:space="preserve">Segment / value proposition</t>
  </si>
  <si>
    <t xml:space="preserve">Business model</t>
  </si>
  <si>
    <t xml:space="preserve">Asset group (vs median net block / TA)</t>
  </si>
  <si>
    <t xml:space="preserve">Sales FY2026 (Rs cr)</t>
  </si>
  <si>
    <t xml:space="preserve">Total assets FY2026 (Rs cr)</t>
  </si>
  <si>
    <t xml:space="preserve">Market cap FY2026 (Rs cr)</t>
  </si>
  <si>
    <t xml:space="preserve">Sales CAGR FY20-26</t>
  </si>
  <si>
    <t xml:space="preserve">Direct operating cost % sales (7-yr avg)</t>
  </si>
  <si>
    <t xml:space="preserve">Employee cost % sales (7-yr avg)</t>
  </si>
  <si>
    <t xml:space="preserve">Inventory % total assets (FY20-26)</t>
  </si>
  <si>
    <t xml:space="preserve">Receivables % total assets (FY20-26)</t>
  </si>
  <si>
    <t xml:space="preserve">Net block % total assets (FY20-26)</t>
  </si>
  <si>
    <t xml:space="preserve">Operating EBITDA margin (7-yr avg)</t>
  </si>
  <si>
    <t xml:space="preserve">TIGERLOGS</t>
  </si>
  <si>
    <t xml:space="preserve">International freight forwarding (sea &amp; air), customs brokerage, project cargo</t>
  </si>
  <si>
    <t xml:space="preserve">Asset-light forwarder</t>
  </si>
  <si>
    <t xml:space="preserve">ALLCARGO</t>
  </si>
  <si>
    <t xml:space="preserve">LCL consolidation/NVOCC (international business demerged to Allcargo Global w.e.f. 1-Nov-2025); domestic express &amp; contract logistics</t>
  </si>
  <si>
    <t xml:space="preserve">Asset-light network operator</t>
  </si>
  <si>
    <t xml:space="preserve">BLUEDART</t>
  </si>
  <si>
    <t xml:space="preserve">Express air &amp; ground courier and integrated transport (DHL Group); dedicated freighter fleet</t>
  </si>
  <si>
    <t xml:space="preserve">Asset-heavy express network</t>
  </si>
  <si>
    <t xml:space="preserve">Rail-based EXIM &amp; domestic container logistics, ICDs/CFSs (Navratna CPSE, Ministry of Railways)</t>
  </si>
  <si>
    <t xml:space="preserve">Asset-heavy multimodal</t>
  </si>
  <si>
    <t xml:space="preserve">JETFREIGHT</t>
  </si>
  <si>
    <t xml:space="preserve">International air &amp; ocean freight forwarding (incl. perishables), customs clearance</t>
  </si>
  <si>
    <t xml:space="preserve">PATINTLOG</t>
  </si>
  <si>
    <t xml:space="preserve">Surface transport (Patel Roadways), domestic &amp; international air-freight consolidation</t>
  </si>
  <si>
    <t xml:space="preserve">Asset-light carrier/consolidator</t>
  </si>
  <si>
    <t xml:space="preserve">SICALLOG</t>
  </si>
  <si>
    <t xml:space="preserve">Bulk/mining logistics (coal), port &amp; rail-road handling; IBC resolution plan of Pristine Malwa Logistics Park approved by NCLT Chennai (8-Dec-2022)</t>
  </si>
  <si>
    <t xml:space="preserve">Asset-heavy bulk logistics</t>
  </si>
  <si>
    <t xml:space="preserve">Integrated multimodal: road freight, supply-chain solutions/warehousing, coastal seaways, rail (JV with CONCOR)</t>
  </si>
  <si>
    <t xml:space="preserve">Hybrid multimodal</t>
  </si>
  <si>
    <t xml:space="preserve">— (BSE only)</t>
  </si>
  <si>
    <t xml:space="preserve">Road freight transport (full &amp; part truck-load) and allied logistics</t>
  </si>
  <si>
    <t xml:space="preserve">Asset-light road carrier</t>
  </si>
  <si>
    <t xml:space="preserve">MAHLOG</t>
  </si>
  <si>
    <t xml:space="preserve">Integrated 3PL: contract logistics &amp; warehousing, B2B express, freight forwarding, last-mile, enterprise mobility</t>
  </si>
  <si>
    <t xml:space="preserve">Asset-light 3PL (leased)</t>
  </si>
  <si>
    <t xml:space="preserve">Median</t>
  </si>
  <si>
    <t xml:space="preserve">Mean</t>
  </si>
  <si>
    <t xml:space="preserve">Minimum</t>
  </si>
  <si>
    <t xml:space="preserve">Maximum</t>
  </si>
  <si>
    <t xml:space="preserve">Coeff. of variation (SD / mean)</t>
  </si>
  <si>
    <t xml:space="preserve">Reading: direct operating (freight / handling) costs are the largest cost for every firm and inventory is negligible for all ten (about 2% of total assets at most), which supports treating the 10 firms as one industry; the wide spread of net block / total assets reflects different value propositions (asset-light vs asset-heavy). Allcargo's CAGR is negative because FY2026 is after the demerger of its international business.</t>
  </si>
  <si>
    <t xml:space="preserve">Scorecard - key ratios, 7-year average FY2020-FY2026</t>
  </si>
  <si>
    <t xml:space="preserve">Each figure is the average of the seven yearly ratios (FY2020-FY2026) from the company sheets. Green = better than the 10-firm median, red = weaker (direction shown in column B). Valuation ratios have no normative direction and are not coloured.</t>
  </si>
  <si>
    <t xml:space="preserve">A. Key ratios - 7-year average (FY2020-FY2026)</t>
  </si>
  <si>
    <t xml:space="preserve">Category / direction</t>
  </si>
  <si>
    <t xml:space="preserve">Blue Dart</t>
  </si>
  <si>
    <t xml:space="preserve">Jet Freight</t>
  </si>
  <si>
    <t xml:space="preserve">Mahindra Log.</t>
  </si>
  <si>
    <t xml:space="preserve">Industry (agg.)</t>
  </si>
  <si>
    <t xml:space="preserve">Median (10 firms)</t>
  </si>
  <si>
    <t xml:space="preserve">Liquidity (↑)</t>
  </si>
  <si>
    <t xml:space="preserve">Cash flow from operations ratio</t>
  </si>
  <si>
    <t xml:space="preserve">Debt-equity ratio</t>
  </si>
  <si>
    <t xml:space="preserve">Leverage (↓)</t>
  </si>
  <si>
    <t xml:space="preserve">Leverage (↑)</t>
  </si>
  <si>
    <t xml:space="preserve">Debt to EBITDA</t>
  </si>
  <si>
    <t xml:space="preserve">Interest coverage ratio</t>
  </si>
  <si>
    <t xml:space="preserve">Coverage (↑)</t>
  </si>
  <si>
    <t xml:space="preserve">Debt-service coverage ratio (DSCR)</t>
  </si>
  <si>
    <t xml:space="preserve">Average collection period (days)</t>
  </si>
  <si>
    <t xml:space="preserve">Activity (↓)</t>
  </si>
  <si>
    <t xml:space="preserve">Fixed assets turnover (times)</t>
  </si>
  <si>
    <t xml:space="preserve">Activity (↑)</t>
  </si>
  <si>
    <t xml:space="preserve">Total assets turnover (times)</t>
  </si>
  <si>
    <t xml:space="preserve">Gross profit margin</t>
  </si>
  <si>
    <t xml:space="preserve">Profitability (↑)</t>
  </si>
  <si>
    <t xml:space="preserve">Operating EBITDA margin</t>
  </si>
  <si>
    <t xml:space="preserve">Operating profit (EBIT) margin</t>
  </si>
  <si>
    <t xml:space="preserve">Net profit margin</t>
  </si>
  <si>
    <t xml:space="preserve">Operating ratio</t>
  </si>
  <si>
    <t xml:space="preserve">Expenses (↓)</t>
  </si>
  <si>
    <t xml:space="preserve">Return on assets (ROA)</t>
  </si>
  <si>
    <t xml:space="preserve">Returns (↑)</t>
  </si>
  <si>
    <t xml:space="preserve">Return on capital employed (post-tax)</t>
  </si>
  <si>
    <t xml:space="preserve">Return on total shareholders' equity (ROE)</t>
  </si>
  <si>
    <t xml:space="preserve">Price-earnings (P/E) ratio</t>
  </si>
  <si>
    <t xml:space="preserve">Valuation (-)</t>
  </si>
  <si>
    <t xml:space="preserve">Price-to-book (P/B) ratio</t>
  </si>
  <si>
    <t xml:space="preserve">Dividend yield</t>
  </si>
  <si>
    <t xml:space="preserve">EV / EBITDA</t>
  </si>
  <si>
    <t xml:space="preserve">B. Composite ranking on the 7-year averages (rank 1 = best among the 10 firms; ties share the better rank)</t>
  </si>
  <si>
    <t xml:space="preserve">Direction</t>
  </si>
  <si>
    <t xml:space="preserve">higher is better</t>
  </si>
  <si>
    <t xml:space="preserve">lower is better</t>
  </si>
  <si>
    <t xml:space="preserve">Composite score (average rank)</t>
  </si>
  <si>
    <t xml:space="preserve">Overall position (1 = strongest)</t>
  </si>
  <si>
    <t xml:space="preserve">Note: a 7-year average uses only the years in which the ratio is meaningful (N/M years are skipped). For Allcargo, valuation averages cover FY2026 only (earlier years N/C). Sical's leverage averages exclude its negative net-worth years.</t>
  </si>
  <si>
    <t xml:space="preserve">Industry comparison - every ratio, every firm, FY2020-FY2026</t>
  </si>
  <si>
    <t xml:space="preserve">Industry (aggregate) = ratio on the summed financials of the 10 firms (size-weighted). Mean / median / SD / min / max = simple statistics of the 10 firm ratios (N/M and N/C values are ignored). Assessment and rank compare each firm's 7-year average with the 10-firm median (the typical-firm benchmark).</t>
  </si>
  <si>
    <t xml:space="preserve">Firm / statistic</t>
  </si>
  <si>
    <t xml:space="preserve">7-Yr Average</t>
  </si>
  <si>
    <t xml:space="preserve">7-yr avg vs median</t>
  </si>
  <si>
    <t xml:space="preserve">Assessment</t>
  </si>
  <si>
    <t xml:space="preserve">Rank (1 = best)</t>
  </si>
  <si>
    <t xml:space="preserve">1.1 Net working capital   [Current assets - Current liabilities]   - Liquidity; no normative direction</t>
  </si>
  <si>
    <t xml:space="preserve">-</t>
  </si>
  <si>
    <t xml:space="preserve">Industry (aggregate)</t>
  </si>
  <si>
    <t xml:space="preserve">Mean (10 firms)</t>
  </si>
  <si>
    <t xml:space="preserve">Standard deviation</t>
  </si>
  <si>
    <t xml:space="preserve">1.2 Current ratio   [Current assets / Current liabilities]   - Liquidity; higher is better</t>
  </si>
  <si>
    <t xml:space="preserve">1.3 Quick (acid-test) ratio   [Quick assets / Current liabilities]   - Liquidity; higher is better</t>
  </si>
  <si>
    <t xml:space="preserve">1.4 Cash ratio   [Cash &amp; bank / Current liabilities]   - Liquidity; higher is better</t>
  </si>
  <si>
    <t xml:space="preserve">1.5 Defensive-interval ratio (days)   [Quick assets / (Total operating expenses / 365)]   - Liquidity; higher is better</t>
  </si>
  <si>
    <t xml:space="preserve">1.6 Cash flow from operations ratio   [Net cash from operating activities / Current liabilities]   - Liquidity; higher is better</t>
  </si>
  <si>
    <t xml:space="preserve">2.1 Debt-equity ratio   [Borrowings / Total shareholders' funds]   - Leverage; lower is better</t>
  </si>
  <si>
    <t xml:space="preserve">2.2 Total liabilities to equity   [(Borrowings + Other liabilities) / Total shareholders' funds]   - Leverage; lower is better</t>
  </si>
  <si>
    <t xml:space="preserve">2.3 Debt to total assets   [Borrowings / Total assets]   - Leverage; lower is better</t>
  </si>
  <si>
    <t xml:space="preserve">2.4 Debt to capital employed   [Borrowings / (Borrowings + Shareholders' funds)]   - Leverage; lower is better</t>
  </si>
  <si>
    <t xml:space="preserve">2.5 Proprietary ratio   [Total shareholders' funds / Total assets]   - Leverage; higher is better</t>
  </si>
  <si>
    <t xml:space="preserve">2.6 Capital gearing ratio   [(Borrowings + Preference capital) / Equity shareholders' funds]   - Leverage; lower is better</t>
  </si>
  <si>
    <t xml:space="preserve">2.7 Debt to EBITDA   [Borrowings / Operating EBITDA]   - Leverage; lower is better</t>
  </si>
  <si>
    <t xml:space="preserve">2.8 Interest coverage ratio   [EBIT / Finance costs]   - Coverage; higher is better</t>
  </si>
  <si>
    <t xml:space="preserve">2.9 Dividend coverage ratio   [PAT / Equity dividend (no preference dividend)]   - Coverage; higher is better</t>
  </si>
  <si>
    <t xml:space="preserve">2.10 Fixed-charges coverage ratio   [Operating EBITDA / [Finance costs + Principal repaid / (1 - t)]]   - Coverage; higher is better</t>
  </si>
  <si>
    <t xml:space="preserve">2.11 Total cash-flow coverage ratio   [(Net cash from operations + Tax) / [Finance costs + Principal repaid / (1 - t)]]   - Coverage; higher is better</t>
  </si>
  <si>
    <t xml:space="preserve">2.12 Capital expenditure ratio   [Net cash from operations / Net capital expenditure]   - Coverage; higher is better</t>
  </si>
  <si>
    <t xml:space="preserve">2.13 Debt-service coverage ratio (DSCR)   [(PAT + Finance costs + Depreciation) / (Finance costs + Principal repaid)]   - Coverage; higher is better</t>
  </si>
  <si>
    <t xml:space="preserve">3.1 Inventory turnover (times)   [Direct operating cost / Inventories]   - Activity; higher is better</t>
  </si>
  <si>
    <t xml:space="preserve">3.2 Inventory holding period (days)   [Inventories / Direct operating cost x 365]   - Activity; lower is better</t>
  </si>
  <si>
    <t xml:space="preserve">3.3 Debtors turnover (times)   [Sales / Trade receivables]   - Activity; higher is better</t>
  </si>
  <si>
    <t xml:space="preserve">3.4 Average collection period (days)   [Trade receivables / Sales x 365]   - Activity; lower is better</t>
  </si>
  <si>
    <t xml:space="preserve">3.5 Creditors turnover (times, proxy)   [Direct operating cost / Other liabilities]   - Activity; no normative direction</t>
  </si>
  <si>
    <t xml:space="preserve">3.6 Average payment period (days, proxy)   [Other liabilities / Direct operating cost x 365]   - Activity; no normative direction</t>
  </si>
  <si>
    <t xml:space="preserve">3.7 Cash conversion cycle (days)   [Inventory days + Collection period - Payment period]   - Activity; lower is better</t>
  </si>
  <si>
    <t xml:space="preserve">3.8 Fixed assets turnover (times)   [Sales / Net block]   - Activity; higher is better</t>
  </si>
  <si>
    <t xml:space="preserve">3.9 Total assets turnover (times)   [Sales / Total assets]   - Activity; higher is better</t>
  </si>
  <si>
    <t xml:space="preserve">3.10 Capital employed turnover (times)   [Sales / Capital employed]   - Activity; higher is better</t>
  </si>
  <si>
    <t xml:space="preserve">3.11 Current assets turnover (times)   [Sales / Current assets]   - Activity; higher is better</t>
  </si>
  <si>
    <t xml:space="preserve">3.12 Working capital turnover (times)   [Sales / Net working capital]   - Activity; higher is better</t>
  </si>
  <si>
    <t xml:space="preserve">4.1 Gross profit margin   [Gross profit / Sales]   - Profitability; higher is better</t>
  </si>
  <si>
    <t xml:space="preserve">4.2 Operating EBITDA margin   [Operating EBITDA / Sales]   - Profitability; higher is better</t>
  </si>
  <si>
    <t xml:space="preserve">4.3 Operating profit (EBIT) margin   [EBIT / Sales (EBIT excludes other income)]   - Profitability; higher is better</t>
  </si>
  <si>
    <t xml:space="preserve">4.4 Pre-tax profit margin   [PBT / Sales]   - Profitability; higher is better</t>
  </si>
  <si>
    <t xml:space="preserve">4.5 Net profit margin   [PAT / Sales]   - Profitability; higher is better</t>
  </si>
  <si>
    <t xml:space="preserve">4.6 Direct operating cost (COGS) ratio   [Direct operating cost / Sales]   - Expenses; lower is better</t>
  </si>
  <si>
    <t xml:space="preserve">4.7 Indirect operating expenses ratio   [Indirect operating expenses / Sales]   - Expenses; lower is better</t>
  </si>
  <si>
    <t xml:space="preserve">4.8 Employee cost ratio   [Employee benefits expense / Sales]   - Expenses; lower is better</t>
  </si>
  <si>
    <t xml:space="preserve">4.9 Selling &amp; administrative expenses ratio   [Selling &amp; admin expenses / Sales]   - Expenses; lower is better</t>
  </si>
  <si>
    <t xml:space="preserve">4.10 Financial expenses ratio   [Finance costs / Sales]   - Expenses; lower is better</t>
  </si>
  <si>
    <t xml:space="preserve">4.11 Operating ratio   [Total operating expenses / Sales]   - Expenses; lower is better</t>
  </si>
  <si>
    <t xml:space="preserve">4.12 Return on assets (ROA)   [PAT / Total assets]   - Returns; higher is better</t>
  </si>
  <si>
    <t xml:space="preserve">4.13 ROA including post-tax interest   [[PAT + Finance costs x (1 - t)] / Total assets]   - Returns; higher is better</t>
  </si>
  <si>
    <t xml:space="preserve">4.14 Earning power   [EBIT / Total assets]   - Returns; higher is better</t>
  </si>
  <si>
    <t xml:space="preserve">4.15 Return on capital employed (pre-tax)   [EBIT / Capital employed]   - Returns; higher is better</t>
  </si>
  <si>
    <t xml:space="preserve">4.16 Return on capital employed (post-tax)   [EBIT x (1 - t) / Capital employed]   - Returns; higher is better</t>
  </si>
  <si>
    <t xml:space="preserve">4.17 Return on total shareholders' equity (ROE)   [PAT / Total shareholders' funds]   - Returns; higher is better</t>
  </si>
  <si>
    <t xml:space="preserve">4.18 Return on ordinary shareholders' equity   [(PAT - Preference dividend) / Equity shareholders' funds]   - Returns; higher is better</t>
  </si>
  <si>
    <t xml:space="preserve">5.1 Earnings per share (Rs)   [(PAT - Preference dividend) / Shares outstanding]   - Valuation; no normative direction</t>
  </si>
  <si>
    <t xml:space="preserve">5.2 Cash earnings per share (Rs)   [(PAT + Depreciation) / Shares outstanding]   - Valuation; no normative direction</t>
  </si>
  <si>
    <t xml:space="preserve">5.3 Book value per share (Rs)   [Equity shareholders' funds / Shares outstanding]   - Valuation; no normative direction</t>
  </si>
  <si>
    <t xml:space="preserve">5.4 Dividend per share (Rs)   [Equity dividend / Shares outstanding]   - Valuation; no normative direction</t>
  </si>
  <si>
    <t xml:space="preserve">5.5 Dividend payout ratio   [DPS / EPS (0% when no dividend is paid)]   - Valuation; no normative direction</t>
  </si>
  <si>
    <t xml:space="preserve">5.6 Retention ratio   [1 - Dividend payout ratio]   - Valuation; no normative direction</t>
  </si>
  <si>
    <t xml:space="preserve">5.7 Earnings yield   [EPS / Share price]   - Valuation; no normative direction</t>
  </si>
  <si>
    <t xml:space="preserve">5.8 Dividend yield   [DPS / Share price]   - Valuation; no normative direction</t>
  </si>
  <si>
    <t xml:space="preserve">5.9 Price-earnings (P/E) ratio   [Share price / EPS]   - Valuation; no normative direction</t>
  </si>
  <si>
    <t xml:space="preserve">5.10 Price-to-book (P/B) ratio   [Share price / Book value per share]   - Valuation; no normative direction</t>
  </si>
  <si>
    <t xml:space="preserve">5.11 EV / EBITDA   [Enterprise value / Operating EBITDA]   - Valuation; no normative direction</t>
  </si>
  <si>
    <t xml:space="preserve">Statistical analysis of the ratio panel (10 firms x 7 years, FY2020-FY2026)</t>
  </si>
  <si>
    <t xml:space="preserve">Section A uses all 70 firm-years. Sections B and C use the 9 firms other than Sical Logistics (63 firm-years), which is left out as an outlier: its net worth was negative or close to zero in most years while it went through the IBC process.</t>
  </si>
  <si>
    <t xml:space="preserve">A. DESCRIPTIVE STATISTICS - pooled panel of 70 firm-years</t>
  </si>
  <si>
    <t xml:space="preserve">Variable</t>
  </si>
  <si>
    <t xml:space="preserve">N</t>
  </si>
  <si>
    <t xml:space="preserve">Std. dev.</t>
  </si>
  <si>
    <t xml:space="preserve">Coeff. of variation</t>
  </si>
  <si>
    <t xml:space="preserve">Lower quartile</t>
  </si>
  <si>
    <t xml:space="preserve">Upper quartile</t>
  </si>
  <si>
    <t xml:space="preserve">Skewness</t>
  </si>
  <si>
    <t xml:space="preserve">Kurtosis</t>
  </si>
  <si>
    <t xml:space="preserve">Median ex-Sical</t>
  </si>
  <si>
    <t xml:space="preserve">Sales (Rs cr)</t>
  </si>
  <si>
    <t xml:space="preserve">Total assets (Rs cr)</t>
  </si>
  <si>
    <t xml:space="preserve">Asset intensity (Net block / Total assets)</t>
  </si>
  <si>
    <t xml:space="preserve">Quick ratio</t>
  </si>
  <si>
    <t xml:space="preserve">Debt-equity</t>
  </si>
  <si>
    <t xml:space="preserve">Collection period (days)</t>
  </si>
  <si>
    <t xml:space="preserve">Total assets turnover</t>
  </si>
  <si>
    <t xml:space="preserve">ROA</t>
  </si>
  <si>
    <t xml:space="preserve">ROCE (post-tax)</t>
  </si>
  <si>
    <t xml:space="preserve">ROE</t>
  </si>
  <si>
    <t xml:space="preserve">P/E</t>
  </si>
  <si>
    <t xml:space="preserve">P/B</t>
  </si>
  <si>
    <t xml:space="preserve">N counts only meaningful values: P/E, P/B and EV/EBITDA exclude loss-making and N/C firm-years, and debt-equity / ROE exclude Sical's negative net-worth years. The coefficient of variation is SD / |mean|.</t>
  </si>
  <si>
    <t xml:space="preserve">B. CORRELATION MATRIX (Pearson r) - 63 firm-years of the 9 firms other than Sical</t>
  </si>
  <si>
    <t xml:space="preserve">Collection period</t>
  </si>
  <si>
    <t xml:space="preserve">Asset intensity</t>
  </si>
  <si>
    <t xml:space="preserve">Op. EBITDA margin</t>
  </si>
  <si>
    <t xml:space="preserve">EBIT margin</t>
  </si>
  <si>
    <t xml:space="preserve">How to read this matrix (important caution):</t>
  </si>
  <si>
    <t xml:space="preserve">- Green: r of +0.5 or more (strong positive); red: r of -0.5 or less (strong negative).</t>
  </si>
  <si>
    <t xml:space="preserve">- The 63 observations are repeated observations of the same 9 companies over seven years, not 63 independent companies. Ratios of the same firm move together from year to year, so the usual significance cut-off (|r| of about 0.25 for n = 63 at 5%) overstates the evidence; the effective sample is much closer to 9.</t>
  </si>
  <si>
    <t xml:space="preserve">- The correlations therefore describe association only. They are not used to draw causal conclusions (e.g. that higher asset turnover causes higher ROCE); some pairs are also linked by construction (EBITDA margin, EBIT margin and net margin share the same sales denominator).</t>
  </si>
  <si>
    <t xml:space="preserve">- The paired t-tests in section C are the more direct test of whether the typical firm's ratios changed between FY2020 and FY2026.</t>
  </si>
  <si>
    <t xml:space="preserve">C. PAIRED t-TESTS - did the typical firm's ratios change between FY2020 and FY2026? (H0: mean difference = 0; n = 9 firms)</t>
  </si>
  <si>
    <t xml:space="preserve">Mean FY2020</t>
  </si>
  <si>
    <t xml:space="preserve">Mean FY2026</t>
  </si>
  <si>
    <t xml:space="preserve">Mean difference</t>
  </si>
  <si>
    <t xml:space="preserve">SD of differences</t>
  </si>
  <si>
    <t xml:space="preserve">n</t>
  </si>
  <si>
    <t xml:space="preserve">t-statistic</t>
  </si>
  <si>
    <t xml:space="preserve">df</t>
  </si>
  <si>
    <t xml:space="preserve">p-value (two-tailed)</t>
  </si>
  <si>
    <t xml:space="preserve">Result at 5%</t>
  </si>
  <si>
    <t xml:space="preserve">Return on assets</t>
  </si>
  <si>
    <t xml:space="preserve">Interpretation notes:</t>
  </si>
  <si>
    <t xml:space="preserve">- With only 9 firms the tests have low power: a "no significant change" result does not prove the ratios were stable.</t>
  </si>
  <si>
    <t xml:space="preserve">- Allcargo demerged its international business on 1-Nov-2025, so its FY2026 figures are on a much smaller post-demerger perimeter than FY2020; its differences reflect restructuring as well as performance.</t>
  </si>
  <si>
    <t xml:space="preserve">- The t-statistic = mean difference / (SD of differences / sqrt(n)); the p-value comes from Excel's paired TTEST.</t>
  </si>
  <si>
    <t xml:space="preserve">Paired-test data (linked to the company sheets): FY2020, FY2026 and difference (FY2026 - FY2020)</t>
  </si>
  <si>
    <t xml:space="preserve">Firm</t>
  </si>
  <si>
    <t xml:space="preserve">Operating EBITDA margin FY20</t>
  </si>
  <si>
    <t xml:space="preserve">Operating EBITDA margin FY26</t>
  </si>
  <si>
    <t xml:space="preserve">Operating EBITDA margin diff</t>
  </si>
  <si>
    <t xml:space="preserve">Operating profit (EBIT) margin FY20</t>
  </si>
  <si>
    <t xml:space="preserve">Operating profit (EBIT) margin FY26</t>
  </si>
  <si>
    <t xml:space="preserve">Operating profit (EBIT) margin diff</t>
  </si>
  <si>
    <t xml:space="preserve">Net profit margin FY20</t>
  </si>
  <si>
    <t xml:space="preserve">Net profit margin FY26</t>
  </si>
  <si>
    <t xml:space="preserve">Net profit margin diff</t>
  </si>
  <si>
    <t xml:space="preserve">Return on assets FY20</t>
  </si>
  <si>
    <t xml:space="preserve">Return on assets FY26</t>
  </si>
  <si>
    <t xml:space="preserve">Return on assets diff</t>
  </si>
  <si>
    <t xml:space="preserve">ROCE (post-tax) FY20</t>
  </si>
  <si>
    <t xml:space="preserve">ROCE (post-tax) FY26</t>
  </si>
  <si>
    <t xml:space="preserve">ROCE (post-tax) diff</t>
  </si>
  <si>
    <t xml:space="preserve">Total assets turnover FY20</t>
  </si>
  <si>
    <t xml:space="preserve">Total assets turnover FY26</t>
  </si>
  <si>
    <t xml:space="preserve">Total assets turnover diff</t>
  </si>
  <si>
    <t xml:space="preserve">Average collection period (days) FY20</t>
  </si>
  <si>
    <t xml:space="preserve">Average collection period (days) FY26</t>
  </si>
  <si>
    <t xml:space="preserve">Average collection period (days) diff</t>
  </si>
  <si>
    <t xml:space="preserve">Debt-equity FY20</t>
  </si>
  <si>
    <t xml:space="preserve">Debt-equity FY26</t>
  </si>
  <si>
    <t xml:space="preserve">Debt-equity diff</t>
  </si>
  <si>
    <t xml:space="preserve">Interest coverage FY20</t>
  </si>
  <si>
    <t xml:space="preserve">Interest coverage FY26</t>
  </si>
  <si>
    <t xml:space="preserve">Interest coverage diff</t>
  </si>
  <si>
    <t xml:space="preserve">Current ratio FY20</t>
  </si>
  <si>
    <t xml:space="preserve">Current ratio FY26</t>
  </si>
  <si>
    <t xml:space="preserve">Current ratio diff</t>
  </si>
  <si>
    <t xml:space="preserve">D. GROWTH AND STABILITY BY FIRM, FY2020-FY2026</t>
  </si>
  <si>
    <t xml:space="preserve">Sales FY2020 (Rs cr)</t>
  </si>
  <si>
    <t xml:space="preserve">ROCE 7-yr mean</t>
  </si>
  <si>
    <t xml:space="preserve">ROCE std. dev.</t>
  </si>
  <si>
    <t xml:space="preserve">ROCE coeff. of variation</t>
  </si>
  <si>
    <t xml:space="preserve">Op. EBITDA margin 7-yr mean</t>
  </si>
  <si>
    <t xml:space="preserve">Op. EBITDA margin std. dev.</t>
  </si>
  <si>
    <t xml:space="preserve">Debt-equity 7-yr mean</t>
  </si>
  <si>
    <t xml:space="preserve">Loss-making years (of 7)</t>
  </si>
  <si>
    <t xml:space="preserve">CAGR = (Sales FY2026 / Sales FY2020)^(1/6) - 1. Allcargo's negative CAGR reflects the 2025 restructuring (FY2025-FY2026 are on the post-demerger perimeter). Sical's debt-equity mean covers only its positive net-worth years.</t>
  </si>
  <si>
    <t xml:space="preserve">FY</t>
  </si>
  <si>
    <t xml:space="preserve">Industry aggregate - the 10 logistics companies taken together (FY2020-FY2026)</t>
  </si>
  <si>
    <t xml:space="preserve">Every input line is the SUM of the same line on the 10 company sheets (3-D sum, green). Ratios use the same formulas on the summed figures, i.e. size-weighted industry ratios. Per-share data: n.a.</t>
  </si>
  <si>
    <t xml:space="preserve">Source: the 10 company sheets; see the Sources sheet for the annual reports behind each company.</t>
  </si>
  <si>
    <t xml:space="preserve">Particulars</t>
  </si>
  <si>
    <t xml:space="preserve">Formula / basis</t>
  </si>
  <si>
    <t xml:space="preserve">Norm / unit</t>
  </si>
  <si>
    <t xml:space="preserve">Change FY26 vs FY20</t>
  </si>
  <si>
    <t xml:space="preserve">1. STATEMENT OF PROFIT &amp; LOSS (Rs crore)</t>
  </si>
  <si>
    <t xml:space="preserve">Revenue from operations (net sales)</t>
  </si>
  <si>
    <t xml:space="preserve">P&amp;L: revenue from operations</t>
  </si>
  <si>
    <t xml:space="preserve">Rs crore</t>
  </si>
  <si>
    <t xml:space="preserve">Direct operating costs</t>
  </si>
  <si>
    <t xml:space="preserve">Cost of materials / purchases</t>
  </si>
  <si>
    <t xml:space="preserve">P&amp;L: materials consumed and purchases</t>
  </si>
  <si>
    <t xml:space="preserve">Change in inventories (increase = +)</t>
  </si>
  <si>
    <t xml:space="preserve">P&amp;L: changes in inventories (deducted from cost)</t>
  </si>
  <si>
    <t xml:space="preserve">Power &amp; fuel</t>
  </si>
  <si>
    <t xml:space="preserve">P&amp;L: power and fuel</t>
  </si>
  <si>
    <t xml:space="preserve">Freight, handling, vehicle hire &amp; other direct costs</t>
  </si>
  <si>
    <t xml:space="preserve">P&amp;L: operating / freight &amp; handling expenses</t>
  </si>
  <si>
    <t xml:space="preserve">Direct operating cost (COGS-equivalent)</t>
  </si>
  <si>
    <t xml:space="preserve">Materials + Power &amp; fuel + Other direct costs - Change in inventories</t>
  </si>
  <si>
    <t xml:space="preserve">Gross profit</t>
  </si>
  <si>
    <t xml:space="preserve">Sales - Direct operating cost</t>
  </si>
  <si>
    <t xml:space="preserve">Indirect operating expenses</t>
  </si>
  <si>
    <t xml:space="preserve">Employee benefits expense</t>
  </si>
  <si>
    <t xml:space="preserve">P&amp;L: employee benefits expense</t>
  </si>
  <si>
    <t xml:space="preserve">Selling &amp; administrative expenses</t>
  </si>
  <si>
    <t xml:space="preserve">P&amp;L: selling, general &amp; administrative expenses</t>
  </si>
  <si>
    <t xml:space="preserve">Other expenses</t>
  </si>
  <si>
    <t xml:space="preserve">P&amp;L: other expenses</t>
  </si>
  <si>
    <t xml:space="preserve">Employee + Selling &amp; admin + Other expenses</t>
  </si>
  <si>
    <t xml:space="preserve">Total operating expenses (before depreciation)</t>
  </si>
  <si>
    <t xml:space="preserve">Direct operating cost + Indirect operating expenses</t>
  </si>
  <si>
    <t xml:space="preserve">Operating EBITDA</t>
  </si>
  <si>
    <t xml:space="preserve">Sales - Total operating expenses (excludes other income)</t>
  </si>
  <si>
    <t xml:space="preserve">Depreciation &amp; amortisation</t>
  </si>
  <si>
    <t xml:space="preserve">P&amp;L: depreciation and amortisation expense</t>
  </si>
  <si>
    <t xml:space="preserve">Operating profit (EBIT)</t>
  </si>
  <si>
    <t xml:space="preserve">Operating EBITDA - Depreciation (excludes other income &amp; exceptional items)</t>
  </si>
  <si>
    <t xml:space="preserve">Other income (incl. exceptional items)</t>
  </si>
  <si>
    <t xml:space="preserve">P&amp;L: other income and exceptional items (net)</t>
  </si>
  <si>
    <t xml:space="preserve">Finance costs</t>
  </si>
  <si>
    <t xml:space="preserve">P&amp;L: finance costs</t>
  </si>
  <si>
    <t xml:space="preserve">Profit before tax</t>
  </si>
  <si>
    <t xml:space="preserve">EBIT + Other income - Finance costs</t>
  </si>
  <si>
    <t xml:space="preserve">Tax expense</t>
  </si>
  <si>
    <t xml:space="preserve">P&amp;L: current + deferred tax</t>
  </si>
  <si>
    <t xml:space="preserve">Profit after tax (before associates / minority interest)</t>
  </si>
  <si>
    <t xml:space="preserve">PBT - Tax</t>
  </si>
  <si>
    <t xml:space="preserve">Share of associates / JVs less minority interest</t>
  </si>
  <si>
    <t xml:space="preserve">Net profit - (PBT - Tax)</t>
  </si>
  <si>
    <t xml:space="preserve">Net profit (PAT) attributable to shareholders</t>
  </si>
  <si>
    <t xml:space="preserve">P&amp;L: profit attributable to owners of the company</t>
  </si>
  <si>
    <t xml:space="preserve">Equity dividend for the year</t>
  </si>
  <si>
    <t xml:space="preserve">Dividend declared on equity shares for the year</t>
  </si>
  <si>
    <t xml:space="preserve">Preference dividend</t>
  </si>
  <si>
    <t xml:space="preserve">Nil - no preference capital reported</t>
  </si>
  <si>
    <t xml:space="preserve">2. BALANCE SHEET AS AT 31 MARCH (closing balances, Rs crore)</t>
  </si>
  <si>
    <t xml:space="preserve">Shareholders' funds &amp; liabilities</t>
  </si>
  <si>
    <t xml:space="preserve">Equity share capital</t>
  </si>
  <si>
    <t xml:space="preserve">Balance sheet: equity share capital</t>
  </si>
  <si>
    <t xml:space="preserve">Preference share capital</t>
  </si>
  <si>
    <t xml:space="preserve">Reserves &amp; surplus (other equity)</t>
  </si>
  <si>
    <t xml:space="preserve">Balance sheet: other equity</t>
  </si>
  <si>
    <t xml:space="preserve">Equity shareholders' funds (net worth)</t>
  </si>
  <si>
    <t xml:space="preserve">Equity share capital + Reserves &amp; surplus</t>
  </si>
  <si>
    <t xml:space="preserve">Total shareholders' funds</t>
  </si>
  <si>
    <t xml:space="preserve">Net worth + Preference share capital</t>
  </si>
  <si>
    <t xml:space="preserve">Borrowings (incl. lease liabilities)</t>
  </si>
  <si>
    <t xml:space="preserve">Balance sheet: non-current + current borrowings and lease liabilities</t>
  </si>
  <si>
    <t xml:space="preserve">Other liabilities (trade payables, provisions, other)</t>
  </si>
  <si>
    <t xml:space="preserve">Balance sheet: all other liabilities</t>
  </si>
  <si>
    <t xml:space="preserve">Total equity &amp; liabilities</t>
  </si>
  <si>
    <t xml:space="preserve">Shareholders' funds + Borrowings + Other liabilities</t>
  </si>
  <si>
    <t xml:space="preserve">Assets</t>
  </si>
  <si>
    <t xml:space="preserve">Net block (PPE, right-of-use &amp; intangible assets)</t>
  </si>
  <si>
    <t xml:space="preserve">Balance sheet: fixed assets net of depreciation</t>
  </si>
  <si>
    <t xml:space="preserve">Capital work-in-progress</t>
  </si>
  <si>
    <t xml:space="preserve">Balance sheet: capital work-in-progress</t>
  </si>
  <si>
    <t xml:space="preserve">Investments</t>
  </si>
  <si>
    <t xml:space="preserve">Balance sheet: non-current + current investments</t>
  </si>
  <si>
    <t xml:space="preserve">Other assets (receivables, inventory, cash, advances)</t>
  </si>
  <si>
    <t xml:space="preserve">Balance sheet: all other assets</t>
  </si>
  <si>
    <t xml:space="preserve">Total assets</t>
  </si>
  <si>
    <t xml:space="preserve">Net block + CWIP + Investments + Other assets</t>
  </si>
  <si>
    <t xml:space="preserve">   of which: Trade receivables</t>
  </si>
  <si>
    <t xml:space="preserve">Included in other assets</t>
  </si>
  <si>
    <t xml:space="preserve">   of which: Inventories</t>
  </si>
  <si>
    <t xml:space="preserve">   of which: Cash &amp; bank balances</t>
  </si>
  <si>
    <t xml:space="preserve">Balance sheet check (should be zero)</t>
  </si>
  <si>
    <t xml:space="preserve">Total assets - Total equity &amp; liabilities</t>
  </si>
  <si>
    <t xml:space="preserve">3. CASH FLOW STATEMENT (Rs crore)</t>
  </si>
  <si>
    <t xml:space="preserve">A. Cash flow from operating activities</t>
  </si>
  <si>
    <t xml:space="preserve">From the P&amp;L</t>
  </si>
  <si>
    <t xml:space="preserve">Add: Depreciation &amp; amortisation</t>
  </si>
  <si>
    <t xml:space="preserve">Non-cash charge</t>
  </si>
  <si>
    <t xml:space="preserve">Add: Finance costs</t>
  </si>
  <si>
    <t xml:space="preserve">Shown under financing activities</t>
  </si>
  <si>
    <t xml:space="preserve">Less: Other income (incl. exceptional items)</t>
  </si>
  <si>
    <t xml:space="preserve">Non-operating / investing items</t>
  </si>
  <si>
    <t xml:space="preserve">Operating profit before working-capital changes</t>
  </si>
  <si>
    <t xml:space="preserve">Sum of the four lines above (= Operating EBITDA)</t>
  </si>
  <si>
    <t xml:space="preserve">Working-capital changes, income tax paid &amp; other items</t>
  </si>
  <si>
    <t xml:space="preserve">Net cash from operations - Operating profit before WC changes</t>
  </si>
  <si>
    <t xml:space="preserve">Net cash from operating activities (A)</t>
  </si>
  <si>
    <t xml:space="preserve">Cash flow statement: net cash from operating activities</t>
  </si>
  <si>
    <t xml:space="preserve">B. Cash flow from investing activities</t>
  </si>
  <si>
    <t xml:space="preserve">Net cash from / (used in) investing activities (B)</t>
  </si>
  <si>
    <t xml:space="preserve">Cash flow statement: net cash from investing activities</t>
  </si>
  <si>
    <t xml:space="preserve">C. Cash flow from financing activities</t>
  </si>
  <si>
    <t xml:space="preserve">Finance costs paid</t>
  </si>
  <si>
    <t xml:space="preserve">Taken as the finance cost charged in the P&amp;L</t>
  </si>
  <si>
    <t xml:space="preserve">Dividend paid</t>
  </si>
  <si>
    <t xml:space="preserve">Taken as the equity dividend for the year</t>
  </si>
  <si>
    <t xml:space="preserve">Borrowings raised / (repaid), lease payments &amp; equity issued (net)</t>
  </si>
  <si>
    <t xml:space="preserve">Net cash from financing - Finance costs paid - Dividend paid</t>
  </si>
  <si>
    <t xml:space="preserve">Net cash from / (used in) financing activities (C)</t>
  </si>
  <si>
    <t xml:space="preserve">Cash flow statement: net cash from financing activities</t>
  </si>
  <si>
    <t xml:space="preserve">Net increase / (decrease) in cash &amp; cash equivalents (A+B+C)</t>
  </si>
  <si>
    <t xml:space="preserve">CFO + CFI + CFF</t>
  </si>
  <si>
    <t xml:space="preserve">Free cash flow (A + B)</t>
  </si>
  <si>
    <t xml:space="preserve">CFO + CFI</t>
  </si>
  <si>
    <t xml:space="preserve">Cash &amp; bank balances at year end</t>
  </si>
  <si>
    <t xml:space="preserve">From the balance sheet</t>
  </si>
  <si>
    <t xml:space="preserve">Debt-service figures used in the coverage ratios</t>
  </si>
  <si>
    <t xml:space="preserve">Net capital expenditure (net cash used in investing)</t>
  </si>
  <si>
    <t xml:space="preserve">-(Net cash from investing activities)</t>
  </si>
  <si>
    <t xml:space="preserve">Principal repaid (net)</t>
  </si>
  <si>
    <t xml:space="preserve">Sum of principal repaid by the 10 firms</t>
  </si>
  <si>
    <t xml:space="preserve">Effective tax rate 't'</t>
  </si>
  <si>
    <t xml:space="preserve">Tax / PBT, capped at 34.94% (0% in loss years)</t>
  </si>
  <si>
    <t xml:space="preserve">%</t>
  </si>
  <si>
    <t xml:space="preserve">4. MARKET DATA - valuation-comparable firm-years only (Rs crore)</t>
  </si>
  <si>
    <t xml:space="preserve">Market capitalisation - comparable firm-years</t>
  </si>
  <si>
    <t xml:space="preserve">Sum over the 10 firms of market capitalisation x comparability flag</t>
  </si>
  <si>
    <t xml:space="preserve">Enterprise value - comparable firm-years</t>
  </si>
  <si>
    <t xml:space="preserve">Sum over the 10 firms of enterprise value x comparability flag</t>
  </si>
  <si>
    <t xml:space="preserve">Net profit (PAT) - comparable firm-years</t>
  </si>
  <si>
    <t xml:space="preserve">Sum over the 10 firms of net profit (pat) x comparability flag</t>
  </si>
  <si>
    <t xml:space="preserve">Equity shareholders' funds - comparable firm-years</t>
  </si>
  <si>
    <t xml:space="preserve">Sum over the 10 firms of equity shareholders' funds x comparability flag</t>
  </si>
  <si>
    <t xml:space="preserve">Operating EBITDA - comparable firm-years</t>
  </si>
  <si>
    <t xml:space="preserve">Sum over the 10 firms of operating ebitda x comparability flag</t>
  </si>
  <si>
    <t xml:space="preserve">Equity dividend - comparable firm-years</t>
  </si>
  <si>
    <t xml:space="preserve">Sum over the 10 firms of equity dividend x comparability flag</t>
  </si>
  <si>
    <t xml:space="preserve">5. WORKING FIGURES FOR THE RATIOS (closing balances)</t>
  </si>
  <si>
    <t xml:space="preserve">Current assets (proxy)</t>
  </si>
  <si>
    <t xml:space="preserve">Other assets</t>
  </si>
  <si>
    <t xml:space="preserve">Current liabilities (proxy)</t>
  </si>
  <si>
    <t xml:space="preserve">Other liabilities</t>
  </si>
  <si>
    <t xml:space="preserve">Quick (liquid) assets</t>
  </si>
  <si>
    <t xml:space="preserve">Trade receivables + Cash &amp; bank</t>
  </si>
  <si>
    <t xml:space="preserve">Capital employed</t>
  </si>
  <si>
    <t xml:space="preserve">Total shareholders' funds + Borrowings</t>
  </si>
  <si>
    <t xml:space="preserve">6. RATIO ANALYSIS</t>
  </si>
  <si>
    <t xml:space="preserve">6.1 Liquidity ratios</t>
  </si>
  <si>
    <t xml:space="preserve">1.1 Net working capital</t>
  </si>
  <si>
    <t xml:space="preserve">Current assets - Current liabilities</t>
  </si>
  <si>
    <t xml:space="preserve">1.2 Current ratio</t>
  </si>
  <si>
    <t xml:space="preserve">Current assets / Current liabilities</t>
  </si>
  <si>
    <t xml:space="preserve">Norm 2 : 1</t>
  </si>
  <si>
    <t xml:space="preserve">1.3 Quick (acid-test) ratio</t>
  </si>
  <si>
    <t xml:space="preserve">Quick assets / Current liabilities</t>
  </si>
  <si>
    <t xml:space="preserve">Norm 1 : 1</t>
  </si>
  <si>
    <t xml:space="preserve">1.4 Cash ratio</t>
  </si>
  <si>
    <t xml:space="preserve">Cash &amp; bank / Current liabilities</t>
  </si>
  <si>
    <t xml:space="preserve">Norm 0.5 : 1</t>
  </si>
  <si>
    <t xml:space="preserve">1.5 Defensive-interval ratio (days)</t>
  </si>
  <si>
    <t xml:space="preserve">Quick assets / (Total operating expenses / 365)</t>
  </si>
  <si>
    <t xml:space="preserve">days</t>
  </si>
  <si>
    <t xml:space="preserve">1.6 Cash flow from operations ratio</t>
  </si>
  <si>
    <t xml:space="preserve">Net cash from operating activities / Current liabilities</t>
  </si>
  <si>
    <t xml:space="preserve">6.2 Leverage ratios - capital structure</t>
  </si>
  <si>
    <t xml:space="preserve">2.1 Debt-equity ratio</t>
  </si>
  <si>
    <t xml:space="preserve">Borrowings / Total shareholders' funds</t>
  </si>
  <si>
    <t xml:space="preserve">2.2 Total liabilities to equity</t>
  </si>
  <si>
    <t xml:space="preserve">(Borrowings + Other liabilities) / Total shareholders' funds</t>
  </si>
  <si>
    <t xml:space="preserve">2.3 Debt to total assets</t>
  </si>
  <si>
    <t xml:space="preserve">Borrowings / Total assets</t>
  </si>
  <si>
    <t xml:space="preserve">Norm max 0.5 : 1</t>
  </si>
  <si>
    <t xml:space="preserve">2.4 Debt to capital employed</t>
  </si>
  <si>
    <t xml:space="preserve">Borrowings / (Borrowings + Shareholders' funds)</t>
  </si>
  <si>
    <t xml:space="preserve">2.5 Proprietary ratio</t>
  </si>
  <si>
    <t xml:space="preserve">Total shareholders' funds / Total assets</t>
  </si>
  <si>
    <t xml:space="preserve">Norm min 0.5 : 1</t>
  </si>
  <si>
    <t xml:space="preserve">2.6 Capital gearing ratio</t>
  </si>
  <si>
    <t xml:space="preserve">(Borrowings + Preference capital) / Equity shareholders' funds</t>
  </si>
  <si>
    <t xml:space="preserve">2.7 Debt to EBITDA</t>
  </si>
  <si>
    <t xml:space="preserve">Borrowings / Operating EBITDA</t>
  </si>
  <si>
    <t xml:space="preserve">6.3 Leverage ratios - coverage</t>
  </si>
  <si>
    <t xml:space="preserve">2.8 Interest coverage ratio</t>
  </si>
  <si>
    <t xml:space="preserve">EBIT / Finance costs</t>
  </si>
  <si>
    <t xml:space="preserve">Norm above 3</t>
  </si>
  <si>
    <t xml:space="preserve">2.9 Dividend coverage ratio</t>
  </si>
  <si>
    <t xml:space="preserve">PAT / Equity dividend (no preference dividend)</t>
  </si>
  <si>
    <t xml:space="preserve">2.10 Fixed-charges coverage ratio</t>
  </si>
  <si>
    <t xml:space="preserve">Operating EBITDA / [Finance costs + Principal repaid / (1 - t)]</t>
  </si>
  <si>
    <t xml:space="preserve">2.11 Total cash-flow coverage ratio</t>
  </si>
  <si>
    <t xml:space="preserve">(Net cash from operations + Tax) / [Finance costs + Principal repaid / (1 - t)]</t>
  </si>
  <si>
    <t xml:space="preserve">2.12 Capital expenditure ratio</t>
  </si>
  <si>
    <t xml:space="preserve">Net cash from operations / Net capital expenditure</t>
  </si>
  <si>
    <t xml:space="preserve">Norm above 1</t>
  </si>
  <si>
    <t xml:space="preserve">2.13 Debt-service coverage ratio (DSCR)</t>
  </si>
  <si>
    <t xml:space="preserve">(PAT + Finance costs + Depreciation) / (Finance costs + Principal repaid)</t>
  </si>
  <si>
    <t xml:space="preserve">Norm above 1.25</t>
  </si>
  <si>
    <t xml:space="preserve">6.4 Activity (turnover) ratios</t>
  </si>
  <si>
    <t xml:space="preserve">3.1 Inventory turnover (times)</t>
  </si>
  <si>
    <t xml:space="preserve">Direct operating cost / Inventories</t>
  </si>
  <si>
    <t xml:space="preserve">times</t>
  </si>
  <si>
    <t xml:space="preserve">3.2 Inventory holding period (days)</t>
  </si>
  <si>
    <t xml:space="preserve">Inventories / Direct operating cost x 365</t>
  </si>
  <si>
    <t xml:space="preserve">3.3 Debtors turnover (times)</t>
  </si>
  <si>
    <t xml:space="preserve">Sales / Trade receivables</t>
  </si>
  <si>
    <t xml:space="preserve">3.4 Average collection period (days)</t>
  </si>
  <si>
    <t xml:space="preserve">Trade receivables / Sales x 365</t>
  </si>
  <si>
    <t xml:space="preserve">3.5 Creditors turnover (times, proxy)</t>
  </si>
  <si>
    <t xml:space="preserve">Direct operating cost / Other liabilities</t>
  </si>
  <si>
    <t xml:space="preserve">3.6 Average payment period (days, proxy)</t>
  </si>
  <si>
    <t xml:space="preserve">Other liabilities / Direct operating cost x 365</t>
  </si>
  <si>
    <t xml:space="preserve">3.7 Cash conversion cycle (days)</t>
  </si>
  <si>
    <t xml:space="preserve">Inventory days + Collection period - Payment period</t>
  </si>
  <si>
    <t xml:space="preserve">3.8 Fixed assets turnover (times)</t>
  </si>
  <si>
    <t xml:space="preserve">Sales / Net block</t>
  </si>
  <si>
    <t xml:space="preserve">3.9 Total assets turnover (times)</t>
  </si>
  <si>
    <t xml:space="preserve">Sales / Total assets</t>
  </si>
  <si>
    <t xml:space="preserve">3.10 Capital employed turnover (times)</t>
  </si>
  <si>
    <t xml:space="preserve">Sales / Capital employed</t>
  </si>
  <si>
    <t xml:space="preserve">3.11 Current assets turnover (times)</t>
  </si>
  <si>
    <t xml:space="preserve">Sales / Current assets</t>
  </si>
  <si>
    <t xml:space="preserve">3.12 Working capital turnover (times)</t>
  </si>
  <si>
    <t xml:space="preserve">Sales / Net working capital</t>
  </si>
  <si>
    <t xml:space="preserve">6.5 Profitability ratios - margins</t>
  </si>
  <si>
    <t xml:space="preserve">4.1 Gross profit margin</t>
  </si>
  <si>
    <t xml:space="preserve">Gross profit / Sales</t>
  </si>
  <si>
    <t xml:space="preserve">4.2 Operating EBITDA margin</t>
  </si>
  <si>
    <t xml:space="preserve">Operating EBITDA / Sales</t>
  </si>
  <si>
    <t xml:space="preserve">4.3 Operating profit (EBIT) margin</t>
  </si>
  <si>
    <t xml:space="preserve">EBIT / Sales (EBIT excludes other income)</t>
  </si>
  <si>
    <t xml:space="preserve">4.4 Pre-tax profit margin</t>
  </si>
  <si>
    <t xml:space="preserve">PBT / Sales</t>
  </si>
  <si>
    <t xml:space="preserve">4.5 Net profit margin</t>
  </si>
  <si>
    <t xml:space="preserve">PAT / Sales</t>
  </si>
  <si>
    <t xml:space="preserve">6.6 Profitability ratios - expenses (% of sales)</t>
  </si>
  <si>
    <t xml:space="preserve">4.6 Direct operating cost (COGS) ratio</t>
  </si>
  <si>
    <t xml:space="preserve">Direct operating cost / Sales</t>
  </si>
  <si>
    <t xml:space="preserve">4.7 Indirect operating expenses ratio</t>
  </si>
  <si>
    <t xml:space="preserve">Indirect operating expenses / Sales</t>
  </si>
  <si>
    <t xml:space="preserve">4.8 Employee cost ratio</t>
  </si>
  <si>
    <t xml:space="preserve">Employee benefits expense / Sales</t>
  </si>
  <si>
    <t xml:space="preserve">4.9 Selling &amp; administrative expenses ratio</t>
  </si>
  <si>
    <t xml:space="preserve">Selling &amp; admin expenses / Sales</t>
  </si>
  <si>
    <t xml:space="preserve">4.10 Financial expenses ratio</t>
  </si>
  <si>
    <t xml:space="preserve">Finance costs / Sales</t>
  </si>
  <si>
    <t xml:space="preserve">4.11 Operating ratio</t>
  </si>
  <si>
    <t xml:space="preserve">Total operating expenses / Sales</t>
  </si>
  <si>
    <t xml:space="preserve">6.7 Profitability ratios - returns on investment</t>
  </si>
  <si>
    <t xml:space="preserve">4.12 Return on assets (ROA)</t>
  </si>
  <si>
    <t xml:space="preserve">PAT / Total assets</t>
  </si>
  <si>
    <t xml:space="preserve">4.13 ROA including post-tax interest</t>
  </si>
  <si>
    <t xml:space="preserve">[PAT + Finance costs x (1 - t)] / Total assets</t>
  </si>
  <si>
    <t xml:space="preserve">4.14 Earning power</t>
  </si>
  <si>
    <t xml:space="preserve">EBIT / Total assets</t>
  </si>
  <si>
    <t xml:space="preserve">4.15 Return on capital employed (pre-tax)</t>
  </si>
  <si>
    <t xml:space="preserve">EBIT / Capital employed</t>
  </si>
  <si>
    <t xml:space="preserve">4.16 Return on capital employed (post-tax)</t>
  </si>
  <si>
    <t xml:space="preserve">EBIT x (1 - t) / Capital employed</t>
  </si>
  <si>
    <t xml:space="preserve">4.17 Return on total shareholders' equity (ROE)</t>
  </si>
  <si>
    <t xml:space="preserve">PAT / Total shareholders' funds</t>
  </si>
  <si>
    <t xml:space="preserve">4.18 Return on ordinary shareholders' equity</t>
  </si>
  <si>
    <t xml:space="preserve">(PAT - Preference dividend) / Equity shareholders' funds</t>
  </si>
  <si>
    <t xml:space="preserve">6.8 Valuation &amp; shareholder ratios</t>
  </si>
  <si>
    <t xml:space="preserve">5.1 Earnings per share (Rs)</t>
  </si>
  <si>
    <t xml:space="preserve">(PAT - Preference dividend) / Shares outstanding</t>
  </si>
  <si>
    <t xml:space="preserve">Rs</t>
  </si>
  <si>
    <t xml:space="preserve">n.a.</t>
  </si>
  <si>
    <t xml:space="preserve">5.2 Cash earnings per share (Rs)</t>
  </si>
  <si>
    <t xml:space="preserve">(PAT + Depreciation) / Shares outstanding</t>
  </si>
  <si>
    <t xml:space="preserve">5.3 Book value per share (Rs)</t>
  </si>
  <si>
    <t xml:space="preserve">Equity shareholders' funds / Shares outstanding</t>
  </si>
  <si>
    <t xml:space="preserve">5.4 Dividend per share (Rs)</t>
  </si>
  <si>
    <t xml:space="preserve">Equity dividend / Shares outstanding</t>
  </si>
  <si>
    <t xml:space="preserve">5.5 Dividend payout ratio</t>
  </si>
  <si>
    <t xml:space="preserve">Total equity dividend / Total PAT</t>
  </si>
  <si>
    <t xml:space="preserve">5.6 Retention ratio</t>
  </si>
  <si>
    <t xml:space="preserve">1 - Dividend payout ratio</t>
  </si>
  <si>
    <t xml:space="preserve">5.7 Earnings yield</t>
  </si>
  <si>
    <t xml:space="preserve">PAT / Market capitalisation (comparable firm-years)</t>
  </si>
  <si>
    <t xml:space="preserve">5.8 Dividend yield</t>
  </si>
  <si>
    <t xml:space="preserve">Equity dividend / Market capitalisation (comparable firm-years)</t>
  </si>
  <si>
    <t xml:space="preserve">5.9 Price-earnings (P/E) ratio</t>
  </si>
  <si>
    <t xml:space="preserve">Market capitalisation / PAT (comparable firm-years)</t>
  </si>
  <si>
    <t xml:space="preserve">5.10 Price-to-book (P/B) ratio</t>
  </si>
  <si>
    <t xml:space="preserve">Market capitalisation / Equity shareholders' funds (comparable firm-years)</t>
  </si>
  <si>
    <t xml:space="preserve">5.11 EV / EBITDA</t>
  </si>
  <si>
    <t xml:space="preserve">Enterprise value / Operating EBITDA (comparable firm-years)</t>
  </si>
  <si>
    <t xml:space="preserve">7. DU PONT ANALYSIS</t>
  </si>
  <si>
    <t xml:space="preserve">7.1 Three-step DuPont</t>
  </si>
  <si>
    <t xml:space="preserve">x Total assets turnover</t>
  </si>
  <si>
    <t xml:space="preserve">x Equity multiplier</t>
  </si>
  <si>
    <t xml:space="preserve">Total assets / Total shareholders' funds</t>
  </si>
  <si>
    <t xml:space="preserve">Return on equity (ROE)</t>
  </si>
  <si>
    <t xml:space="preserve">Reconciliation: margin x turnover x multiplier - ROE (should be zero)</t>
  </si>
  <si>
    <t xml:space="preserve">Check</t>
  </si>
  <si>
    <t xml:space="preserve">7.2 Five-step DuPont</t>
  </si>
  <si>
    <t xml:space="preserve">Tax burden</t>
  </si>
  <si>
    <t xml:space="preserve">PAT / PBT</t>
  </si>
  <si>
    <t xml:space="preserve">x Interest burden</t>
  </si>
  <si>
    <t xml:space="preserve">PBT / EBIT</t>
  </si>
  <si>
    <t xml:space="preserve">x Operating profit margin</t>
  </si>
  <si>
    <t xml:space="preserve">EBIT / Sales</t>
  </si>
  <si>
    <t xml:space="preserve">Reconciliation: product of the five drivers - ROE (should be zero)</t>
  </si>
  <si>
    <t xml:space="preserve">Tiger Logistics (India) Ltd - Financial Statements &amp; Ratio Analysis, FY2020-FY2026</t>
  </si>
  <si>
    <t xml:space="preserve">NSE: TIGERLOGS | BSE: 536264 | International freight forwarding (sea &amp; air), customs brokerage, project cargo | Consolidated figures, Rs crore unless stated</t>
  </si>
  <si>
    <t xml:space="preserve">Source: annual reports FY2020-FY2026 (consolidated) - https://www.tigerlogistics.in/Annual_Report.php   (full list of documents on the Sources sheet)</t>
  </si>
  <si>
    <t xml:space="preserve">Net outflow on borrowings / leases in financing activities, if any</t>
  </si>
  <si>
    <t xml:space="preserve">4. MARKET DATA</t>
  </si>
  <si>
    <t xml:space="preserve">Share price at year end (Rs)</t>
  </si>
  <si>
    <t xml:space="preserve">Closing price on the last trading day of March (split/bonus adjusted)</t>
  </si>
  <si>
    <t xml:space="preserve">Equity shares outstanding (crore)</t>
  </si>
  <si>
    <t xml:space="preserve">Split/bonus-adjusted number of equity shares</t>
  </si>
  <si>
    <t xml:space="preserve">crore</t>
  </si>
  <si>
    <t xml:space="preserve">Market capitalisation</t>
  </si>
  <si>
    <t xml:space="preserve">Share price x Shares outstanding</t>
  </si>
  <si>
    <t xml:space="preserve">Enterprise value</t>
  </si>
  <si>
    <t xml:space="preserve">Market capitalisation + Borrowings - Cash &amp; bank</t>
  </si>
  <si>
    <t xml:space="preserve">Price comparable with earnings &amp; book value? (1 = yes, 0 = no)</t>
  </si>
  <si>
    <t xml:space="preserve">See note - used for valuation ratios</t>
  </si>
  <si>
    <t xml:space="preserve">1 / 0</t>
  </si>
  <si>
    <t xml:space="preserve">DPS / EPS (0% when no dividend is paid)</t>
  </si>
  <si>
    <t xml:space="preserve">EPS / Share price</t>
  </si>
  <si>
    <t xml:space="preserve">DPS / Share price</t>
  </si>
  <si>
    <t xml:space="preserve">Share price / EPS</t>
  </si>
  <si>
    <t xml:space="preserve">Share price / Book value per share</t>
  </si>
  <si>
    <t xml:space="preserve">Enterprise value / Operating EBITDA</t>
  </si>
  <si>
    <t xml:space="preserve">Allcargo Logistics Ltd - Financial Statements &amp; Ratio Analysis, FY2020-FY2026</t>
  </si>
  <si>
    <t xml:space="preserve">NSE: ALLCARGO | BSE: 532749 | LCL consolidation/NVOCC (international business demerged to Allcargo Global w.e.f. 1-Nov-2025); domestic express &amp; contract logistics | Consolidated figures, Rs crore unless stated</t>
  </si>
  <si>
    <t xml:space="preserve">Source: annual reports FY2020-FY2026 (consolidated) - https://www.allcargologistics.com/investor/logistics-annual-reports   (full list of documents on the Sources sheet)</t>
  </si>
  <si>
    <t xml:space="preserve">Blue Dart Express Ltd - Financial Statements &amp; Ratio Analysis, FY2020-FY2026</t>
  </si>
  <si>
    <t xml:space="preserve">NSE: BLUEDART | BSE: 526612 | Express air &amp; ground courier and integrated transport (DHL Group); dedicated freighter fleet | Consolidated figures, Rs crore unless stated</t>
  </si>
  <si>
    <t xml:space="preserve">Source: annual reports FY2020-FY2026 (consolidated) - https://www.bluedart.com/financials   (full list of documents on the Sources sheet)</t>
  </si>
  <si>
    <t xml:space="preserve">Container Corporation of India Ltd - Financial Statements &amp; Ratio Analysis, FY2020-FY2026</t>
  </si>
  <si>
    <t xml:space="preserve">NSE: CONCOR | BSE: 531344 | Rail-based EXIM &amp; domestic container logistics, ICDs/CFSs (Navratna CPSE, Ministry of Railways) | Consolidated figures, Rs crore unless stated</t>
  </si>
  <si>
    <t xml:space="preserve">Source: annual reports FY2020-FY2026 (consolidated) - https://www.concorindia.co.in/annual_report.aspx   (full list of documents on the Sources sheet)</t>
  </si>
  <si>
    <t xml:space="preserve">Jet Freight Logistics Ltd - Financial Statements &amp; Ratio Analysis, FY2020-FY2026</t>
  </si>
  <si>
    <t xml:space="preserve">NSE: JETFREIGHT | BSE: 543420 | International air &amp; ocean freight forwarding (incl. perishables), customs clearance | Consolidated figures, Rs crore unless stated</t>
  </si>
  <si>
    <t xml:space="preserve">Source: annual reports FY2020-FY2026 (consolidated) - https://www.jfll.com/financials/   (full list of documents on the Sources sheet)</t>
  </si>
  <si>
    <t xml:space="preserve">Patel Integrated Logistics Ltd - Financial Statements &amp; Ratio Analysis, FY2020-FY2026</t>
  </si>
  <si>
    <t xml:space="preserve">NSE: PATINTLOG | BSE: 526381 | Surface transport (Patel Roadways), domestic &amp; international air-freight consolidation | Consolidated figures, Rs crore unless stated</t>
  </si>
  <si>
    <t xml:space="preserve">Source: annual reports FY2020-FY2026 (consolidated) - https://www.patel-india.com/investor-information   (full list of documents on the Sources sheet)</t>
  </si>
  <si>
    <t xml:space="preserve">Sical Logistics Ltd - Financial Statements &amp; Ratio Analysis, FY2020-FY2026</t>
  </si>
  <si>
    <t xml:space="preserve">NSE: SICALLOG | BSE: 520086 | Bulk/mining logistics (coal), port &amp; rail-road handling; IBC resolution plan of Pristine Malwa Logistics Park approved by NCLT Chennai (8-Dec-2022) | Consolidated figures, Rs crore unless stated</t>
  </si>
  <si>
    <t xml:space="preserve">Source: annual reports FY2020-FY2026 (consolidated) - https://sical.in/investors/annual-reports/   (full list of documents on the Sources sheet)</t>
  </si>
  <si>
    <t xml:space="preserve">Transport Corporation of India Ltd - Financial Statements &amp; Ratio Analysis, FY2020-FY2026</t>
  </si>
  <si>
    <t xml:space="preserve">NSE: TCI | BSE: 532349 | Integrated multimodal: road freight, supply-chain solutions/warehousing, coastal seaways, rail (JV with CONCOR) | Consolidated figures, Rs crore unless stated</t>
  </si>
  <si>
    <t xml:space="preserve">Source: annual reports FY2020-FY2026 (consolidated) - https://tcil.com/disclosures/   (full list of documents on the Sources sheet)</t>
  </si>
  <si>
    <t xml:space="preserve">Shreeji Translogistics Ltd - Financial Statements &amp; Ratio Analysis, FY2020-FY2026</t>
  </si>
  <si>
    <t xml:space="preserve">BSE: 540738 | Road freight transport (full &amp; part truck-load) and allied logistics | Consolidated figures, Rs crore unless stated</t>
  </si>
  <si>
    <t xml:space="preserve">Source: annual reports FY2020-FY2026 (consolidated) - https://www.shreejitranslogistics.com/aboutus   (full list of documents on the Sources sheet)</t>
  </si>
  <si>
    <t xml:space="preserve">Mahindra Logistics Ltd - Financial Statements &amp; Ratio Analysis, FY2020-FY2026</t>
  </si>
  <si>
    <t xml:space="preserve">NSE: MAHLOG | BSE: 540768 | Integrated 3PL: contract logistics &amp; warehousing, B2B express, freight forwarding, last-mile, enterprise mobility | Consolidated figures, Rs crore unless stated</t>
  </si>
  <si>
    <t xml:space="preserve">Source: annual reports FY2020-FY2026 (consolidated) - https://mahindralogistics.com/investor-relations/   (full list of documents on the Sources sheet)</t>
  </si>
</sst>
</file>

<file path=xl/styles.xml><?xml version="1.0" encoding="utf-8"?>
<styleSheet xmlns="http://schemas.openxmlformats.org/spreadsheetml/2006/main">
  <numFmts count="13">
    <numFmt numFmtId="164" formatCode="General"/>
    <numFmt numFmtId="165" formatCode="General"/>
    <numFmt numFmtId="166" formatCode="0"/>
    <numFmt numFmtId="167" formatCode="0.00%"/>
    <numFmt numFmtId="168" formatCode="#,##0.00;\(#,##0.00\);\-"/>
    <numFmt numFmtId="169" formatCode="0.0%;\-0.0%;0.0%"/>
    <numFmt numFmtId="170" formatCode="0.00"/>
    <numFmt numFmtId="171" formatCode="0.00&quot;:1&quot;;\-0.00&quot;:1&quot;;0.00&quot;:1&quot;"/>
    <numFmt numFmtId="172" formatCode="0.00;\-0.00;0.00"/>
    <numFmt numFmtId="173" formatCode="#,##0;\-#,##0;0"/>
    <numFmt numFmtId="174" formatCode="0.0"/>
    <numFmt numFmtId="175" formatCode="#,##0.00;\-#,##0.00;0.00"/>
    <numFmt numFmtId="176" formatCode="0.000"/>
  </numFmts>
  <fonts count="23">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i val="true"/>
      <sz val="9"/>
      <color rgb="FFE2E8F0"/>
      <name val="Arial"/>
      <family val="0"/>
      <charset val="1"/>
    </font>
    <font>
      <b val="true"/>
      <sz val="10"/>
      <color rgb="FFFFFFFF"/>
      <name val="Arial"/>
      <family val="0"/>
      <charset val="1"/>
    </font>
    <font>
      <sz val="9"/>
      <color rgb="FF1A202C"/>
      <name val="Arial"/>
      <family val="0"/>
      <charset val="1"/>
    </font>
    <font>
      <b val="true"/>
      <u val="single"/>
      <sz val="9"/>
      <color rgb="FF0563C1"/>
      <name val="Arial"/>
      <family val="0"/>
      <charset val="1"/>
    </font>
    <font>
      <b val="true"/>
      <sz val="9"/>
      <color rgb="FFFFFFFF"/>
      <name val="Arial"/>
      <family val="0"/>
      <charset val="1"/>
    </font>
    <font>
      <u val="single"/>
      <sz val="9"/>
      <color rgb="FF0563C1"/>
      <name val="Arial"/>
      <family val="0"/>
      <charset val="1"/>
    </font>
    <font>
      <sz val="9"/>
      <color rgb="FF008000"/>
      <name val="Arial"/>
      <family val="0"/>
      <charset val="1"/>
    </font>
    <font>
      <b val="true"/>
      <sz val="9"/>
      <color rgb="FF1A202C"/>
      <name val="Arial"/>
      <family val="0"/>
      <charset val="1"/>
    </font>
    <font>
      <sz val="9"/>
      <color rgb="FF2D3748"/>
      <name val="Arial"/>
      <family val="0"/>
      <charset val="1"/>
    </font>
    <font>
      <sz val="9"/>
      <color rgb="FF0000FF"/>
      <name val="Arial"/>
      <family val="0"/>
      <charset val="1"/>
    </font>
    <font>
      <i val="true"/>
      <sz val="8"/>
      <color rgb="FF744210"/>
      <name val="Arial"/>
      <family val="0"/>
      <charset val="1"/>
    </font>
    <font>
      <i val="true"/>
      <sz val="8"/>
      <color rgb="FF4A5568"/>
      <name val="Arial"/>
      <family val="0"/>
      <charset val="1"/>
    </font>
    <font>
      <sz val="9"/>
      <color rgb="FF000000"/>
      <name val="Arial"/>
      <family val="0"/>
      <charset val="1"/>
    </font>
    <font>
      <b val="true"/>
      <sz val="9"/>
      <color rgb="FF000000"/>
      <name val="Arial"/>
      <family val="0"/>
      <charset val="1"/>
    </font>
    <font>
      <b val="true"/>
      <sz val="9"/>
      <color rgb="FF008000"/>
      <name val="Arial"/>
      <family val="0"/>
      <charset val="1"/>
    </font>
    <font>
      <sz val="9"/>
      <color rgb="FF4A5568"/>
      <name val="Arial"/>
      <family val="0"/>
      <charset val="1"/>
    </font>
    <font>
      <b val="true"/>
      <sz val="9"/>
      <color rgb="FF22543D"/>
      <name val="Arial"/>
      <family val="0"/>
      <charset val="1"/>
    </font>
    <font>
      <sz val="10"/>
      <name val="Arial"/>
      <family val="2"/>
    </font>
  </fonts>
  <fills count="13">
    <fill>
      <patternFill patternType="none"/>
    </fill>
    <fill>
      <patternFill patternType="gray125"/>
    </fill>
    <fill>
      <patternFill patternType="solid">
        <fgColor rgb="FF0F2537"/>
        <bgColor rgb="FF1A202C"/>
      </patternFill>
    </fill>
    <fill>
      <patternFill patternType="solid">
        <fgColor rgb="FF1B365D"/>
        <bgColor rgb="FF2D3748"/>
      </patternFill>
    </fill>
    <fill>
      <patternFill patternType="solid">
        <fgColor rgb="FF2B6CB0"/>
        <bgColor rgb="FF0563C1"/>
      </patternFill>
    </fill>
    <fill>
      <patternFill patternType="solid">
        <fgColor rgb="FFEBF8FF"/>
        <bgColor rgb="FFEDF2F7"/>
      </patternFill>
    </fill>
    <fill>
      <patternFill patternType="solid">
        <fgColor rgb="FFFFFAF0"/>
        <bgColor rgb="FFFFF8E1"/>
      </patternFill>
    </fill>
    <fill>
      <patternFill patternType="solid">
        <fgColor rgb="FFF7FAFC"/>
        <bgColor rgb="FFFFFFFF"/>
      </patternFill>
    </fill>
    <fill>
      <patternFill patternType="solid">
        <fgColor rgb="FFEDF2F7"/>
        <bgColor rgb="FFEBF8FF"/>
      </patternFill>
    </fill>
    <fill>
      <patternFill patternType="solid">
        <fgColor rgb="FF2C5282"/>
        <bgColor rgb="FF4A5568"/>
      </patternFill>
    </fill>
    <fill>
      <patternFill patternType="solid">
        <fgColor rgb="FFFFF8E1"/>
        <bgColor rgb="FFFFFAF0"/>
      </patternFill>
    </fill>
    <fill>
      <patternFill patternType="solid">
        <fgColor rgb="FFC6F6D5"/>
        <bgColor rgb="FFC6EFCE"/>
      </patternFill>
    </fill>
    <fill>
      <patternFill patternType="solid">
        <fgColor rgb="FFFFF2CC"/>
        <bgColor rgb="FFFFF8E1"/>
      </patternFill>
    </fill>
  </fills>
  <borders count="4">
    <border diagonalUp="false" diagonalDown="false">
      <left/>
      <right/>
      <top/>
      <bottom/>
      <diagonal/>
    </border>
    <border diagonalUp="false" diagonalDown="false">
      <left style="thin">
        <color rgb="FFCBD5E0"/>
      </left>
      <right style="thin">
        <color rgb="FFCBD5E0"/>
      </right>
      <top style="thin">
        <color rgb="FFCBD5E0"/>
      </top>
      <bottom style="thin">
        <color rgb="FFCBD5E0"/>
      </bottom>
      <diagonal/>
    </border>
    <border diagonalUp="false" diagonalDown="false">
      <left style="thin">
        <color rgb="FFCBD5E0"/>
      </left>
      <right/>
      <top style="thin">
        <color rgb="FFCBD5E0"/>
      </top>
      <bottom style="thin">
        <color rgb="FFCBD5E0"/>
      </bottom>
      <diagonal/>
    </border>
    <border diagonalUp="false" diagonalDown="false">
      <left style="thin">
        <color rgb="FFCBD5E0"/>
      </left>
      <right style="thin">
        <color rgb="FFCBD5E0"/>
      </right>
      <top style="thin">
        <color rgb="FF4A5568"/>
      </top>
      <bottom style="double">
        <color rgb="FF4A556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2" borderId="0" xfId="0" applyFont="true" applyBorder="true" applyAlignment="true" applyProtection="false">
      <alignment horizontal="left" vertical="center" textRotation="0" wrapText="false" indent="0" shrinkToFit="false"/>
      <protection locked="true" hidden="false"/>
    </xf>
    <xf numFmtId="164" fontId="6" fillId="3" borderId="0" xfId="0" applyFont="true" applyBorder="true" applyAlignment="true" applyProtection="false">
      <alignment horizontal="left" vertical="center" textRotation="0" wrapText="false" indent="0" shrinkToFit="false"/>
      <protection locked="true" hidden="false"/>
    </xf>
    <xf numFmtId="164" fontId="7" fillId="0" borderId="0" xfId="0" applyFont="true" applyBorder="true" applyAlignment="true" applyProtection="false">
      <alignment horizontal="left" vertical="top" textRotation="0" wrapText="true" indent="0" shrinkToFit="false"/>
      <protection locked="true" hidden="false"/>
    </xf>
    <xf numFmtId="164" fontId="8" fillId="0" borderId="0" xfId="0" applyFont="true" applyBorder="false" applyAlignment="true" applyProtection="false">
      <alignment horizontal="left" vertical="center" textRotation="0" wrapText="false" indent="0" shrinkToFit="false"/>
      <protection locked="true" hidden="false"/>
    </xf>
    <xf numFmtId="164" fontId="7" fillId="0" borderId="0" xfId="0" applyFont="true" applyBorder="true" applyAlignment="true" applyProtection="false">
      <alignment horizontal="left" vertical="center"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5" fontId="11"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5" fillId="2" borderId="0" xfId="0" applyFont="true" applyBorder="true" applyAlignment="true" applyProtection="false">
      <alignment horizontal="left" vertical="center" textRotation="0" wrapText="true" indent="0" shrinkToFit="false"/>
      <protection locked="true" hidden="false"/>
    </xf>
    <xf numFmtId="164" fontId="12" fillId="0" borderId="1" xfId="0" applyFont="true" applyBorder="true" applyAlignment="true" applyProtection="false">
      <alignment horizontal="left" vertical="center" textRotation="0" wrapText="false" indent="0" shrinkToFit="false"/>
      <protection locked="true" hidden="false"/>
    </xf>
    <xf numFmtId="164" fontId="13" fillId="0" borderId="2" xfId="0" applyFont="true" applyBorder="true" applyAlignment="true" applyProtection="false">
      <alignment horizontal="left" vertical="center" textRotation="0" wrapText="false" indent="0" shrinkToFit="false"/>
      <protection locked="true" hidden="false"/>
    </xf>
    <xf numFmtId="166" fontId="14" fillId="5" borderId="2" xfId="0" applyFont="true" applyBorder="true" applyAlignment="true" applyProtection="false">
      <alignment horizontal="left" vertical="center" textRotation="0" wrapText="false" indent="0" shrinkToFit="false"/>
      <protection locked="true" hidden="false"/>
    </xf>
    <xf numFmtId="167" fontId="14" fillId="5" borderId="2" xfId="0" applyFont="true" applyBorder="true" applyAlignment="true" applyProtection="false">
      <alignment horizontal="left" vertical="center" textRotation="0" wrapText="false" indent="0" shrinkToFit="false"/>
      <protection locked="true" hidden="false"/>
    </xf>
    <xf numFmtId="164" fontId="13" fillId="0" borderId="1" xfId="0" applyFont="true" applyBorder="true" applyAlignment="true" applyProtection="false">
      <alignment horizontal="left" vertical="center" textRotation="0" wrapText="false" indent="0" shrinkToFit="false"/>
      <protection locked="true" hidden="false"/>
    </xf>
    <xf numFmtId="164" fontId="15" fillId="6" borderId="1"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true" applyAlignment="true" applyProtection="false">
      <alignment horizontal="left" vertical="center" textRotation="0" wrapText="true" indent="0" shrinkToFit="false"/>
      <protection locked="true" hidden="false"/>
    </xf>
    <xf numFmtId="166" fontId="13" fillId="0"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left" vertical="center" textRotation="0" wrapText="fals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13" fillId="0" borderId="0" xfId="0" applyFont="true" applyBorder="true" applyAlignment="true" applyProtection="false">
      <alignment horizontal="left" vertical="center" textRotation="0" wrapText="true" indent="0" shrinkToFit="false"/>
      <protection locked="true" hidden="false"/>
    </xf>
    <xf numFmtId="164" fontId="13" fillId="0" borderId="1" xfId="0" applyFont="true" applyBorder="true" applyAlignment="true" applyProtection="false">
      <alignment horizontal="left" vertical="center"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8" fontId="11" fillId="0" borderId="1" xfId="0" applyFont="true" applyBorder="true" applyAlignment="true" applyProtection="false">
      <alignment horizontal="right" vertical="center" textRotation="0" wrapText="false" indent="0" shrinkToFit="false"/>
      <protection locked="true" hidden="false"/>
    </xf>
    <xf numFmtId="169" fontId="11" fillId="0" borderId="1" xfId="0" applyFont="true" applyBorder="true" applyAlignment="true" applyProtection="false">
      <alignment horizontal="right" vertical="center" textRotation="0" wrapText="false" indent="0" shrinkToFit="false"/>
      <protection locked="true" hidden="false"/>
    </xf>
    <xf numFmtId="164" fontId="12" fillId="7" borderId="1" xfId="0" applyFont="true" applyBorder="true" applyAlignment="true" applyProtection="false">
      <alignment horizontal="left" vertical="center" textRotation="0" wrapText="false" indent="0" shrinkToFit="false"/>
      <protection locked="true" hidden="false"/>
    </xf>
    <xf numFmtId="168" fontId="18" fillId="7" borderId="1" xfId="0" applyFont="true" applyBorder="true" applyAlignment="true" applyProtection="false">
      <alignment horizontal="right" vertical="center" textRotation="0" wrapText="false" indent="0" shrinkToFit="false"/>
      <protection locked="true" hidden="false"/>
    </xf>
    <xf numFmtId="169" fontId="18" fillId="7" borderId="1" xfId="0" applyFont="true" applyBorder="true" applyAlignment="true" applyProtection="false">
      <alignment horizontal="right" vertical="center" textRotation="0" wrapText="false" indent="0" shrinkToFit="false"/>
      <protection locked="true" hidden="false"/>
    </xf>
    <xf numFmtId="170" fontId="18" fillId="7" borderId="1" xfId="0" applyFont="true" applyBorder="true" applyAlignment="true" applyProtection="false">
      <alignment horizontal="right" vertical="center" textRotation="0" wrapText="false" indent="0" shrinkToFit="false"/>
      <protection locked="true" hidden="false"/>
    </xf>
    <xf numFmtId="164" fontId="16" fillId="0" borderId="1" xfId="0" applyFont="true" applyBorder="true" applyAlignment="true" applyProtection="false">
      <alignment horizontal="center" vertical="center" textRotation="0" wrapText="true" indent="0" shrinkToFit="false"/>
      <protection locked="true" hidden="false"/>
    </xf>
    <xf numFmtId="171" fontId="11" fillId="0" borderId="1" xfId="0" applyFont="true" applyBorder="true" applyAlignment="true" applyProtection="false">
      <alignment horizontal="right" vertical="center" textRotation="0" wrapText="false" indent="0" shrinkToFit="false"/>
      <protection locked="true" hidden="false"/>
    </xf>
    <xf numFmtId="171" fontId="19" fillId="8" borderId="1" xfId="0" applyFont="true" applyBorder="true" applyAlignment="true" applyProtection="false">
      <alignment horizontal="right" vertical="center" textRotation="0" wrapText="false" indent="0" shrinkToFit="false"/>
      <protection locked="true" hidden="false"/>
    </xf>
    <xf numFmtId="171" fontId="18" fillId="7" borderId="1" xfId="0" applyFont="true" applyBorder="true" applyAlignment="true" applyProtection="false">
      <alignment horizontal="right" vertical="center" textRotation="0" wrapText="false" indent="0" shrinkToFit="false"/>
      <protection locked="true" hidden="false"/>
    </xf>
    <xf numFmtId="172" fontId="11" fillId="0" borderId="1" xfId="0" applyFont="true" applyBorder="true" applyAlignment="true" applyProtection="false">
      <alignment horizontal="right" vertical="center" textRotation="0" wrapText="false" indent="0" shrinkToFit="false"/>
      <protection locked="true" hidden="false"/>
    </xf>
    <xf numFmtId="172" fontId="19" fillId="8" borderId="1" xfId="0" applyFont="true" applyBorder="true" applyAlignment="true" applyProtection="false">
      <alignment horizontal="right" vertical="center" textRotation="0" wrapText="false" indent="0" shrinkToFit="false"/>
      <protection locked="true" hidden="false"/>
    </xf>
    <xf numFmtId="172" fontId="18" fillId="7" borderId="1" xfId="0" applyFont="true" applyBorder="true" applyAlignment="true" applyProtection="false">
      <alignment horizontal="right" vertical="center" textRotation="0" wrapText="false" indent="0" shrinkToFit="false"/>
      <protection locked="true" hidden="false"/>
    </xf>
    <xf numFmtId="173" fontId="11" fillId="0" borderId="1" xfId="0" applyFont="true" applyBorder="true" applyAlignment="true" applyProtection="false">
      <alignment horizontal="right" vertical="center" textRotation="0" wrapText="false" indent="0" shrinkToFit="false"/>
      <protection locked="true" hidden="false"/>
    </xf>
    <xf numFmtId="173" fontId="19" fillId="8" borderId="1" xfId="0" applyFont="true" applyBorder="true" applyAlignment="true" applyProtection="false">
      <alignment horizontal="right" vertical="center" textRotation="0" wrapText="false" indent="0" shrinkToFit="false"/>
      <protection locked="true" hidden="false"/>
    </xf>
    <xf numFmtId="173" fontId="18" fillId="7" borderId="1" xfId="0" applyFont="true" applyBorder="true" applyAlignment="true" applyProtection="false">
      <alignment horizontal="right" vertical="center" textRotation="0" wrapText="false" indent="0" shrinkToFit="false"/>
      <protection locked="true" hidden="false"/>
    </xf>
    <xf numFmtId="169" fontId="19" fillId="8" borderId="1" xfId="0" applyFont="true" applyBorder="true" applyAlignment="true" applyProtection="false">
      <alignment horizontal="right" vertical="center" textRotation="0" wrapText="false" indent="0" shrinkToFit="false"/>
      <protection locked="true" hidden="false"/>
    </xf>
    <xf numFmtId="166" fontId="17" fillId="0" borderId="1" xfId="0" applyFont="true" applyBorder="true" applyAlignment="true" applyProtection="false">
      <alignment horizontal="center" vertical="center" textRotation="0" wrapText="true" indent="0" shrinkToFit="false"/>
      <protection locked="true" hidden="false"/>
    </xf>
    <xf numFmtId="164" fontId="16" fillId="7" borderId="1" xfId="0" applyFont="true" applyBorder="true" applyAlignment="true" applyProtection="false">
      <alignment horizontal="center" vertical="center" textRotation="0" wrapText="true" indent="0" shrinkToFit="false"/>
      <protection locked="true" hidden="false"/>
    </xf>
    <xf numFmtId="174" fontId="18" fillId="7" borderId="1" xfId="0" applyFont="true" applyBorder="true" applyAlignment="true" applyProtection="false">
      <alignment horizontal="center" vertical="center" textRotation="0" wrapText="true" indent="0" shrinkToFit="false"/>
      <protection locked="true" hidden="false"/>
    </xf>
    <xf numFmtId="164" fontId="12" fillId="8" borderId="1" xfId="0" applyFont="true" applyBorder="true" applyAlignment="true" applyProtection="false">
      <alignment horizontal="left" vertical="center" textRotation="0" wrapText="false" indent="0" shrinkToFit="false"/>
      <protection locked="true" hidden="false"/>
    </xf>
    <xf numFmtId="164" fontId="17" fillId="8" borderId="1" xfId="0" applyFont="true" applyBorder="true" applyAlignment="true" applyProtection="false">
      <alignment horizontal="right" vertical="center" textRotation="0" wrapText="false" indent="0" shrinkToFit="false"/>
      <protection locked="true" hidden="false"/>
    </xf>
    <xf numFmtId="166" fontId="18" fillId="8" borderId="1" xfId="0" applyFont="true" applyBorder="true" applyAlignment="true" applyProtection="false">
      <alignment horizontal="center" vertical="center" textRotation="0" wrapText="true" indent="0" shrinkToFit="false"/>
      <protection locked="true" hidden="false"/>
    </xf>
    <xf numFmtId="164" fontId="9" fillId="9" borderId="0" xfId="0" applyFont="true" applyBorder="true" applyAlignment="true" applyProtection="false">
      <alignment horizontal="left" vertical="center" textRotation="0" wrapText="false" indent="0" shrinkToFit="false"/>
      <protection locked="true" hidden="false"/>
    </xf>
    <xf numFmtId="168" fontId="11" fillId="7" borderId="1" xfId="0" applyFont="true" applyBorder="true" applyAlignment="true" applyProtection="false">
      <alignment horizontal="right" vertical="center" textRotation="0" wrapText="false" indent="0" shrinkToFit="false"/>
      <protection locked="true" hidden="false"/>
    </xf>
    <xf numFmtId="168" fontId="19" fillId="8" borderId="1" xfId="0" applyFont="true" applyBorder="true" applyAlignment="true" applyProtection="false">
      <alignment horizontal="right" vertical="center" textRotation="0" wrapText="false" indent="0" shrinkToFit="false"/>
      <protection locked="true" hidden="false"/>
    </xf>
    <xf numFmtId="164" fontId="13" fillId="7" borderId="1" xfId="0" applyFont="true" applyBorder="true" applyAlignment="true" applyProtection="false">
      <alignment horizontal="left" vertical="center" textRotation="0" wrapText="false" indent="0" shrinkToFit="false"/>
      <protection locked="true" hidden="false"/>
    </xf>
    <xf numFmtId="168" fontId="17" fillId="7" borderId="1" xfId="0" applyFont="true" applyBorder="true" applyAlignment="true" applyProtection="false">
      <alignment horizontal="right" vertical="center" textRotation="0" wrapText="false" indent="0" shrinkToFit="false"/>
      <protection locked="true" hidden="false"/>
    </xf>
    <xf numFmtId="164" fontId="17" fillId="7" borderId="1" xfId="0" applyFont="true" applyBorder="true" applyAlignment="true" applyProtection="false">
      <alignment horizontal="right" vertical="center" textRotation="0" wrapText="false" indent="0" shrinkToFit="false"/>
      <protection locked="true" hidden="false"/>
    </xf>
    <xf numFmtId="171" fontId="11" fillId="7" borderId="1" xfId="0" applyFont="true" applyBorder="true" applyAlignment="true" applyProtection="false">
      <alignment horizontal="right" vertical="center" textRotation="0" wrapText="false" indent="0" shrinkToFit="false"/>
      <protection locked="true" hidden="false"/>
    </xf>
    <xf numFmtId="171" fontId="17" fillId="7" borderId="1" xfId="0" applyFont="true" applyBorder="true" applyAlignment="true" applyProtection="false">
      <alignment horizontal="right" vertical="center" textRotation="0" wrapText="false" indent="0" shrinkToFit="false"/>
      <protection locked="true" hidden="false"/>
    </xf>
    <xf numFmtId="173" fontId="11" fillId="7" borderId="1" xfId="0" applyFont="true" applyBorder="true" applyAlignment="true" applyProtection="false">
      <alignment horizontal="right" vertical="center" textRotation="0" wrapText="false" indent="0" shrinkToFit="false"/>
      <protection locked="true" hidden="false"/>
    </xf>
    <xf numFmtId="173" fontId="17" fillId="7" borderId="1" xfId="0" applyFont="true" applyBorder="true" applyAlignment="true" applyProtection="false">
      <alignment horizontal="right" vertical="center" textRotation="0" wrapText="false" indent="0" shrinkToFit="false"/>
      <protection locked="true" hidden="false"/>
    </xf>
    <xf numFmtId="172" fontId="11" fillId="7" borderId="1" xfId="0" applyFont="true" applyBorder="true" applyAlignment="true" applyProtection="false">
      <alignment horizontal="right" vertical="center" textRotation="0" wrapText="false" indent="0" shrinkToFit="false"/>
      <protection locked="true" hidden="false"/>
    </xf>
    <xf numFmtId="172" fontId="17" fillId="7" borderId="1" xfId="0" applyFont="true" applyBorder="true" applyAlignment="true" applyProtection="false">
      <alignment horizontal="right" vertical="center" textRotation="0" wrapText="false" indent="0" shrinkToFit="false"/>
      <protection locked="true" hidden="false"/>
    </xf>
    <xf numFmtId="169" fontId="11" fillId="7" borderId="1" xfId="0" applyFont="true" applyBorder="true" applyAlignment="true" applyProtection="false">
      <alignment horizontal="right" vertical="center" textRotation="0" wrapText="false" indent="0" shrinkToFit="false"/>
      <protection locked="true" hidden="false"/>
    </xf>
    <xf numFmtId="169" fontId="17" fillId="7" borderId="1" xfId="0" applyFont="true" applyBorder="true" applyAlignment="true" applyProtection="false">
      <alignment horizontal="right" vertical="center" textRotation="0" wrapText="false" indent="0" shrinkToFit="false"/>
      <protection locked="true" hidden="false"/>
    </xf>
    <xf numFmtId="175" fontId="11" fillId="0" borderId="1" xfId="0" applyFont="true" applyBorder="true" applyAlignment="true" applyProtection="false">
      <alignment horizontal="right" vertical="center" textRotation="0" wrapText="false" indent="0" shrinkToFit="false"/>
      <protection locked="true" hidden="false"/>
    </xf>
    <xf numFmtId="175" fontId="11" fillId="7" borderId="1" xfId="0" applyFont="true" applyBorder="true" applyAlignment="true" applyProtection="false">
      <alignment horizontal="right" vertical="center" textRotation="0" wrapText="false" indent="0" shrinkToFit="false"/>
      <protection locked="true" hidden="false"/>
    </xf>
    <xf numFmtId="175" fontId="19" fillId="8" borderId="1" xfId="0" applyFont="true" applyBorder="true" applyAlignment="true" applyProtection="false">
      <alignment horizontal="right" vertical="center" textRotation="0" wrapText="false" indent="0" shrinkToFit="false"/>
      <protection locked="true" hidden="false"/>
    </xf>
    <xf numFmtId="175" fontId="17" fillId="7" borderId="1" xfId="0" applyFont="true" applyBorder="true" applyAlignment="true" applyProtection="false">
      <alignment horizontal="right" vertical="center" textRotation="0" wrapText="false" indent="0" shrinkToFit="false"/>
      <protection locked="true" hidden="false"/>
    </xf>
    <xf numFmtId="175" fontId="18" fillId="7" borderId="1" xfId="0" applyFont="true" applyBorder="true" applyAlignment="true" applyProtection="false">
      <alignment horizontal="right" vertical="center" textRotation="0" wrapText="false" indent="0" shrinkToFit="false"/>
      <protection locked="true" hidden="false"/>
    </xf>
    <xf numFmtId="166" fontId="17" fillId="0" borderId="1" xfId="0" applyFont="true" applyBorder="true" applyAlignment="true" applyProtection="false">
      <alignment horizontal="right" vertical="center" textRotation="0" wrapText="false" indent="0" shrinkToFit="false"/>
      <protection locked="true" hidden="false"/>
    </xf>
    <xf numFmtId="168" fontId="17" fillId="0" borderId="1" xfId="0" applyFont="true" applyBorder="true" applyAlignment="true" applyProtection="false">
      <alignment horizontal="right" vertical="center" textRotation="0" wrapText="false" indent="0" shrinkToFit="false"/>
      <protection locked="true" hidden="false"/>
    </xf>
    <xf numFmtId="170" fontId="17" fillId="0" borderId="1" xfId="0" applyFont="true" applyBorder="true" applyAlignment="true" applyProtection="false">
      <alignment horizontal="right" vertical="center" textRotation="0" wrapText="false" indent="0" shrinkToFit="false"/>
      <protection locked="true" hidden="false"/>
    </xf>
    <xf numFmtId="169" fontId="17" fillId="0" borderId="1" xfId="0" applyFont="true" applyBorder="true" applyAlignment="true" applyProtection="false">
      <alignment horizontal="right" vertical="center" textRotation="0" wrapText="false" indent="0" shrinkToFit="false"/>
      <protection locked="true" hidden="false"/>
    </xf>
    <xf numFmtId="171" fontId="17" fillId="0" borderId="1" xfId="0" applyFont="true" applyBorder="true" applyAlignment="true" applyProtection="false">
      <alignment horizontal="right" vertical="center" textRotation="0" wrapText="false" indent="0" shrinkToFit="false"/>
      <protection locked="true" hidden="false"/>
    </xf>
    <xf numFmtId="172" fontId="17" fillId="0" borderId="1" xfId="0" applyFont="true" applyBorder="true" applyAlignment="true" applyProtection="false">
      <alignment horizontal="right" vertical="center" textRotation="0" wrapText="false" indent="0" shrinkToFit="false"/>
      <protection locked="true" hidden="false"/>
    </xf>
    <xf numFmtId="173" fontId="17" fillId="0" borderId="1" xfId="0" applyFont="true" applyBorder="true" applyAlignment="true" applyProtection="false">
      <alignment horizontal="right" vertical="center" textRotation="0" wrapText="false" indent="0" shrinkToFit="false"/>
      <protection locked="true" hidden="false"/>
    </xf>
    <xf numFmtId="164" fontId="12" fillId="10" borderId="0" xfId="0" applyFont="true" applyBorder="true" applyAlignment="true" applyProtection="false">
      <alignment horizontal="left" vertical="center" textRotation="0" wrapText="true" indent="0" shrinkToFit="false"/>
      <protection locked="true" hidden="false"/>
    </xf>
    <xf numFmtId="164" fontId="13" fillId="10" borderId="0" xfId="0" applyFont="true" applyBorder="true" applyAlignment="true" applyProtection="false">
      <alignment horizontal="left" vertical="center" textRotation="0" wrapText="true" indent="0" shrinkToFit="false"/>
      <protection locked="true" hidden="false"/>
    </xf>
    <xf numFmtId="176" fontId="17" fillId="0" borderId="1" xfId="0" applyFont="true" applyBorder="true" applyAlignment="true" applyProtection="false">
      <alignment horizontal="right" vertical="center" textRotation="0" wrapText="false" indent="0" shrinkToFit="false"/>
      <protection locked="true" hidden="false"/>
    </xf>
    <xf numFmtId="168" fontId="11" fillId="8" borderId="1" xfId="0" applyFont="true" applyBorder="true" applyAlignment="true" applyProtection="false">
      <alignment horizontal="right" vertical="center" textRotation="0" wrapText="false" indent="0" shrinkToFit="false"/>
      <protection locked="true" hidden="false"/>
    </xf>
    <xf numFmtId="169" fontId="17" fillId="8" borderId="1" xfId="0" applyFont="true" applyBorder="true" applyAlignment="true" applyProtection="false">
      <alignment horizontal="right" vertical="center" textRotation="0" wrapText="false" indent="0" shrinkToFit="false"/>
      <protection locked="true" hidden="false"/>
    </xf>
    <xf numFmtId="169" fontId="11" fillId="8" borderId="1" xfId="0" applyFont="true" applyBorder="true" applyAlignment="true" applyProtection="false">
      <alignment horizontal="right" vertical="center" textRotation="0" wrapText="false" indent="0" shrinkToFit="false"/>
      <protection locked="true" hidden="false"/>
    </xf>
    <xf numFmtId="170" fontId="17" fillId="8" borderId="1" xfId="0" applyFont="true" applyBorder="true" applyAlignment="true" applyProtection="false">
      <alignment horizontal="right" vertical="center" textRotation="0" wrapText="false" indent="0" shrinkToFit="false"/>
      <protection locked="true" hidden="false"/>
    </xf>
    <xf numFmtId="171" fontId="11" fillId="8" borderId="1" xfId="0" applyFont="true" applyBorder="true" applyAlignment="true" applyProtection="false">
      <alignment horizontal="right" vertical="center" textRotation="0" wrapText="false" indent="0" shrinkToFit="false"/>
      <protection locked="true" hidden="false"/>
    </xf>
    <xf numFmtId="166" fontId="17" fillId="8" borderId="1" xfId="0" applyFont="true" applyBorder="true" applyAlignment="true" applyProtection="false">
      <alignment horizontal="right" vertical="center" textRotation="0" wrapText="false" indent="0" shrinkToFit="false"/>
      <protection locked="true" hidden="false"/>
    </xf>
    <xf numFmtId="164" fontId="20" fillId="8" borderId="0" xfId="0" applyFont="true" applyBorder="true" applyAlignment="true" applyProtection="false">
      <alignment horizontal="left" vertical="center" textRotation="0" wrapText="false" indent="0" shrinkToFit="false"/>
      <protection locked="true" hidden="false"/>
    </xf>
    <xf numFmtId="164" fontId="6" fillId="3" borderId="0" xfId="0" applyFont="true" applyBorder="false" applyAlignment="true" applyProtection="false">
      <alignment horizontal="left" vertical="center"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16" fillId="0" borderId="1" xfId="0" applyFont="true" applyBorder="true" applyAlignment="true" applyProtection="false">
      <alignment horizontal="left" vertical="center" textRotation="0" wrapText="false" indent="0" shrinkToFit="false"/>
      <protection locked="true" hidden="false"/>
    </xf>
    <xf numFmtId="164" fontId="9" fillId="9" borderId="0" xfId="0" applyFont="true" applyBorder="false" applyAlignment="true" applyProtection="false">
      <alignment horizontal="left" vertical="center"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8" fontId="18" fillId="8" borderId="3" xfId="0" applyFont="true" applyBorder="true" applyAlignment="true" applyProtection="false">
      <alignment horizontal="right" vertical="center" textRotation="0" wrapText="false" indent="0" shrinkToFit="false"/>
      <protection locked="true" hidden="false"/>
    </xf>
    <xf numFmtId="168" fontId="18" fillId="7" borderId="3" xfId="0" applyFont="true" applyBorder="true" applyAlignment="true" applyProtection="false">
      <alignment horizontal="right" vertical="center" textRotation="0" wrapText="false" indent="0" shrinkToFit="false"/>
      <protection locked="true" hidden="false"/>
    </xf>
    <xf numFmtId="168" fontId="21" fillId="11" borderId="1" xfId="0" applyFont="true" applyBorder="true" applyAlignment="true" applyProtection="false">
      <alignment horizontal="right" vertical="center" textRotation="0" wrapText="false" indent="0" shrinkToFit="false"/>
      <protection locked="true" hidden="false"/>
    </xf>
    <xf numFmtId="175" fontId="17" fillId="0" borderId="1" xfId="0" applyFont="true" applyBorder="true" applyAlignment="true" applyProtection="false">
      <alignment horizontal="right" vertical="center" textRotation="0" wrapText="false" indent="0" shrinkToFit="false"/>
      <protection locked="true" hidden="false"/>
    </xf>
    <xf numFmtId="169" fontId="21" fillId="11" borderId="1" xfId="0" applyFont="true" applyBorder="true" applyAlignment="true" applyProtection="false">
      <alignment horizontal="right" vertical="center" textRotation="0" wrapText="false" indent="0" shrinkToFit="false"/>
      <protection locked="true" hidden="false"/>
    </xf>
    <xf numFmtId="164" fontId="10" fillId="8" borderId="0" xfId="0" applyFont="true" applyBorder="true" applyAlignment="true" applyProtection="false">
      <alignment horizontal="left" vertical="center" textRotation="0" wrapText="false" indent="0" shrinkToFit="false"/>
      <protection locked="true" hidden="false"/>
    </xf>
    <xf numFmtId="168" fontId="14" fillId="5" borderId="1" xfId="0" applyFont="true" applyBorder="true" applyAlignment="true" applyProtection="false">
      <alignment horizontal="right" vertical="center" textRotation="0" wrapText="false" indent="0" shrinkToFit="false"/>
      <protection locked="true" hidden="false"/>
    </xf>
    <xf numFmtId="175" fontId="14" fillId="5" borderId="1" xfId="0" applyFont="true" applyBorder="true" applyAlignment="true" applyProtection="false">
      <alignment horizontal="right" vertical="center" textRotation="0" wrapText="false" indent="0" shrinkToFit="false"/>
      <protection locked="true" hidden="false"/>
    </xf>
    <xf numFmtId="166" fontId="14" fillId="5" borderId="1" xfId="0" applyFont="true" applyBorder="true" applyAlignment="true" applyProtection="false">
      <alignment horizontal="right" vertical="center" textRotation="0" wrapText="false" indent="0" shrinkToFit="false"/>
      <protection locked="true" hidden="false"/>
    </xf>
    <xf numFmtId="166" fontId="17" fillId="7" borderId="1" xfId="0" applyFont="true" applyBorder="true" applyAlignment="true" applyProtection="false">
      <alignment horizontal="right" vertical="center" textRotation="0" wrapText="false" indent="0" shrinkToFit="false"/>
      <protection locked="true" hidden="false"/>
    </xf>
    <xf numFmtId="175" fontId="14" fillId="12" borderId="1" xfId="0" applyFont="true" applyBorder="true" applyAlignment="true" applyProtection="false">
      <alignment horizontal="right" vertical="center" textRotation="0" wrapText="false" indent="0" shrinkToFit="false"/>
      <protection locked="true" hidden="false"/>
    </xf>
    <xf numFmtId="166" fontId="14" fillId="12" borderId="1"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name val="Arial"/>
        <charset val="1"/>
        <family val="0"/>
        <color rgb="FF006100"/>
        <sz val="9"/>
      </font>
      <fill>
        <patternFill>
          <bgColor rgb="FFC6EFCE"/>
        </patternFill>
      </fill>
    </dxf>
    <dxf>
      <font>
        <name val="Arial"/>
        <charset val="1"/>
        <family val="0"/>
        <color rgb="FF9C0006"/>
        <sz val="9"/>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22543D"/>
      <rgbColor rgb="FFE2E8F0"/>
      <rgbColor rgb="FF718096"/>
      <rgbColor rgb="FF9999FF"/>
      <rgbColor rgb="FF993366"/>
      <rgbColor rgb="FFFFF8E1"/>
      <rgbColor rgb="FFEBF8FF"/>
      <rgbColor rgb="FF660066"/>
      <rgbColor rgb="FFFF8080"/>
      <rgbColor rgb="FF0563C1"/>
      <rgbColor rgb="FFCBD5E0"/>
      <rgbColor rgb="FF000080"/>
      <rgbColor rgb="FFFF00FF"/>
      <rgbColor rgb="FFFFFF00"/>
      <rgbColor rgb="FF00FFFF"/>
      <rgbColor rgb="FF800080"/>
      <rgbColor rgb="FF800000"/>
      <rgbColor rgb="FF006100"/>
      <rgbColor rgb="FF0000FF"/>
      <rgbColor rgb="FF00CCFF"/>
      <rgbColor rgb="FFC6EFCE"/>
      <rgbColor rgb="FFC6F6D5"/>
      <rgbColor rgb="FFFFF2CC"/>
      <rgbColor rgb="FFEDF2F7"/>
      <rgbColor rgb="FFFFFAF0"/>
      <rgbColor rgb="FFF7FAFC"/>
      <rgbColor rgb="FFFFC7CE"/>
      <rgbColor rgb="FF2B6CB0"/>
      <rgbColor rgb="FF33CCCC"/>
      <rgbColor rgb="FF99CC00"/>
      <rgbColor rgb="FFFFCC00"/>
      <rgbColor rgb="FFFF9900"/>
      <rgbColor rgb="FFFF6600"/>
      <rgbColor rgb="FF4A5568"/>
      <rgbColor rgb="FF969696"/>
      <rgbColor rgb="FF1B365D"/>
      <rgbColor rgb="FF38A169"/>
      <rgbColor rgb="FF0F2537"/>
      <rgbColor rgb="FF1A202C"/>
      <rgbColor rgb="FF744210"/>
      <rgbColor rgb="FF993366"/>
      <rgbColor rgb="FF2C5282"/>
      <rgbColor rgb="FF2D374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s://www.tigerlogistics.in/Annual_Report.php" TargetMode="External"/><Relationship Id="rId2" Type="http://schemas.openxmlformats.org/officeDocument/2006/relationships/hyperlink" Target="https://www.bseindia.com/stock-share-price/tiger-logistics-india-ltd/tigerlogs/536264/financials-annual-reports/" TargetMode="External"/><Relationship Id="rId3" Type="http://schemas.openxmlformats.org/officeDocument/2006/relationships/hyperlink" Target="https://www.allcargologistics.com/investor/logistics-annual-reports" TargetMode="External"/><Relationship Id="rId4" Type="http://schemas.openxmlformats.org/officeDocument/2006/relationships/hyperlink" Target="https://www.bseindia.com/stock-share-price/allcargo-logistics-ltd/allcargo/532749/financials-annual-reports/" TargetMode="External"/><Relationship Id="rId5" Type="http://schemas.openxmlformats.org/officeDocument/2006/relationships/hyperlink" Target="https://www.allcargologistics.com/cms/annual-reports/February2025/8QxMvclnT0owjBnY34Zk.pdf" TargetMode="External"/><Relationship Id="rId6" Type="http://schemas.openxmlformats.org/officeDocument/2006/relationships/hyperlink" Target="https://www.allcargologistics.com/cms/annual-reports/February2025/Bsl5vDz8atYU5wg09BlM.pdf" TargetMode="External"/><Relationship Id="rId7" Type="http://schemas.openxmlformats.org/officeDocument/2006/relationships/hyperlink" Target="https://www.bluedart.com/financials" TargetMode="External"/><Relationship Id="rId8" Type="http://schemas.openxmlformats.org/officeDocument/2006/relationships/hyperlink" Target="https://www.bseindia.com/stock-share-price/blue-dart-express-ltd/bluedart/526612/financials-annual-reports/" TargetMode="External"/><Relationship Id="rId9" Type="http://schemas.openxmlformats.org/officeDocument/2006/relationships/hyperlink" Target="https://api.bluedart.com/documents/20182/0/Blue+Dart+Annual+Report-2019-2020.pdf/995ddbb8-b493-399f-2cc7-b5444cacf917" TargetMode="External"/><Relationship Id="rId10" Type="http://schemas.openxmlformats.org/officeDocument/2006/relationships/hyperlink" Target="https://www.bluedart.com/documents/d/guest/annual-report-2024-25" TargetMode="External"/><Relationship Id="rId11" Type="http://schemas.openxmlformats.org/officeDocument/2006/relationships/hyperlink" Target="https://www.concorindia.co.in/annual_report.aspx" TargetMode="External"/><Relationship Id="rId12" Type="http://schemas.openxmlformats.org/officeDocument/2006/relationships/hyperlink" Target="https://www.bseindia.com/stock-share-price/container-corporation-of-india-ltd/concor/531344/financials-annual-reports/" TargetMode="External"/><Relationship Id="rId13" Type="http://schemas.openxmlformats.org/officeDocument/2006/relationships/hyperlink" Target="https://www.concorindia.co.in/assets/pdf/Concor10yearsperformance202324.pdf" TargetMode="External"/><Relationship Id="rId14" Type="http://schemas.openxmlformats.org/officeDocument/2006/relationships/hyperlink" Target="https://www.jfll.com/financials/" TargetMode="External"/><Relationship Id="rId15" Type="http://schemas.openxmlformats.org/officeDocument/2006/relationships/hyperlink" Target="https://www.bseindia.com/stock-share-price/jet-freight-logistics-ltd/jetfreight/543420/financials-annual-reports/" TargetMode="External"/><Relationship Id="rId16" Type="http://schemas.openxmlformats.org/officeDocument/2006/relationships/hyperlink" Target="https://www.jfll.com/wp-content/uploads/2023/07/Annual-Report-2022-2023.pdf" TargetMode="External"/><Relationship Id="rId17" Type="http://schemas.openxmlformats.org/officeDocument/2006/relationships/hyperlink" Target="https://www.jfll.com/wp-content/uploads/2024/08/Jet-Freight_Annual-Report-2023-24.pdf" TargetMode="External"/><Relationship Id="rId18" Type="http://schemas.openxmlformats.org/officeDocument/2006/relationships/hyperlink" Target="https://www.patel-india.com/investor-information" TargetMode="External"/><Relationship Id="rId19" Type="http://schemas.openxmlformats.org/officeDocument/2006/relationships/hyperlink" Target="https://www.bseindia.com/stock-share-price/patel-integrated-logistics-ltd/patintlog/526381/financials-annual-reports/" TargetMode="External"/><Relationship Id="rId20" Type="http://schemas.openxmlformats.org/officeDocument/2006/relationships/hyperlink" Target="https://www.patel-india.com/Content/uploads/Pdf/a9e6fcac-f851-4790-8da3-1731db23de95_ANNUAL%20REPORT%202023-24.pdf" TargetMode="External"/><Relationship Id="rId21" Type="http://schemas.openxmlformats.org/officeDocument/2006/relationships/hyperlink" Target="https://sical.in/investors/annual-reports/" TargetMode="External"/><Relationship Id="rId22" Type="http://schemas.openxmlformats.org/officeDocument/2006/relationships/hyperlink" Target="https://www.bseindia.com/stock-share-price/sical-logistics-ltd/sicallog/520086/financials-annual-reports/" TargetMode="External"/><Relationship Id="rId23" Type="http://schemas.openxmlformats.org/officeDocument/2006/relationships/hyperlink" Target="https://www.sical.in/downloads/annualreport20-21.pdf" TargetMode="External"/><Relationship Id="rId24" Type="http://schemas.openxmlformats.org/officeDocument/2006/relationships/hyperlink" Target="https://www.sical.in/downloads/annualreport21-22.pdf" TargetMode="External"/><Relationship Id="rId25" Type="http://schemas.openxmlformats.org/officeDocument/2006/relationships/hyperlink" Target="https://www.sical.in/downloads/annualreport23-24.pdf" TargetMode="External"/><Relationship Id="rId26" Type="http://schemas.openxmlformats.org/officeDocument/2006/relationships/hyperlink" Target="https://www.sical.in/downloads/annualreport24-25.pdf" TargetMode="External"/><Relationship Id="rId27" Type="http://schemas.openxmlformats.org/officeDocument/2006/relationships/hyperlink" Target="https://tcil.com/disclosures/" TargetMode="External"/><Relationship Id="rId28" Type="http://schemas.openxmlformats.org/officeDocument/2006/relationships/hyperlink" Target="https://www.bseindia.com/stock-share-price/transport-corporation-of-india-ltd/tci/532349/financials-annual-reports/" TargetMode="External"/><Relationship Id="rId29" Type="http://schemas.openxmlformats.org/officeDocument/2006/relationships/hyperlink" Target="https://tcil.com/wp-content/uploads/2024/07/TCI_AR_2023-24_Final_file_040724_1727-1.pdf" TargetMode="External"/><Relationship Id="rId30" Type="http://schemas.openxmlformats.org/officeDocument/2006/relationships/hyperlink" Target="https://tcil.com/wp-content/uploads/2026/07/Notice-of-31st-AGM-and-Annual-Report.pdf" TargetMode="External"/><Relationship Id="rId31" Type="http://schemas.openxmlformats.org/officeDocument/2006/relationships/hyperlink" Target="https://annualreport.tcil.com/" TargetMode="External"/><Relationship Id="rId32" Type="http://schemas.openxmlformats.org/officeDocument/2006/relationships/hyperlink" Target="https://www.shreejitranslogistics.com/aboutus" TargetMode="External"/><Relationship Id="rId33" Type="http://schemas.openxmlformats.org/officeDocument/2006/relationships/hyperlink" Target="https://www.bseindia.com/stock-share-price/shreeji-translogistics-ltd/shreeji/540738/financials-annual-reports/" TargetMode="External"/><Relationship Id="rId34" Type="http://schemas.openxmlformats.org/officeDocument/2006/relationships/hyperlink" Target="https://www.shreejitranslogistics.com/uploads/Annual_Report_2020_2021.pdf" TargetMode="External"/><Relationship Id="rId35" Type="http://schemas.openxmlformats.org/officeDocument/2006/relationships/hyperlink" Target="https://www.shreejitranslogistics.com/uploads/Annual_Report_2021_-_22.pdf" TargetMode="External"/><Relationship Id="rId36" Type="http://schemas.openxmlformats.org/officeDocument/2006/relationships/hyperlink" Target="https://www.shreejitranslogistics.com/uploads/ANNUAL_REPORT_2022-23.pdf" TargetMode="External"/><Relationship Id="rId37" Type="http://schemas.openxmlformats.org/officeDocument/2006/relationships/hyperlink" Target="https://www.shreejitranslogistics.com/uploads/ANNUAL_REPORT_2023-24.pdf" TargetMode="External"/><Relationship Id="rId38" Type="http://schemas.openxmlformats.org/officeDocument/2006/relationships/hyperlink" Target="https://www.shreejitranslogistics.com/uploads/ANNUAL_REPORT_2024-25.pdf" TargetMode="External"/><Relationship Id="rId39" Type="http://schemas.openxmlformats.org/officeDocument/2006/relationships/hyperlink" Target="https://mahindralogistics.com/investor-relations/" TargetMode="External"/><Relationship Id="rId40" Type="http://schemas.openxmlformats.org/officeDocument/2006/relationships/hyperlink" Target="https://www.bseindia.com/stock-share-price/mahindra-logistics-ltd/mahlog/540768/financials-annual-reports/" TargetMode="External"/><Relationship Id="rId41" Type="http://schemas.openxmlformats.org/officeDocument/2006/relationships/hyperlink" Target="https://mahindralogistics.com/tabs/cms/files/MLL_Integrated_Annual_Report_FY24.pdf" TargetMode="External"/><Relationship Id="rId42" Type="http://schemas.openxmlformats.org/officeDocument/2006/relationships/hyperlink" Target="https://mahindralogistics.com/tabs/cms/files/Annual-Financial-Results-FY-2025.pdf" TargetMode="External"/>
</Relationships>
</file>

<file path=xl/worksheets/_rels/sheet10.xml.rels><?xml version="1.0" encoding="UTF-8"?>
<Relationships xmlns="http://schemas.openxmlformats.org/package/2006/relationships"><Relationship Id="rId1" Type="http://schemas.openxmlformats.org/officeDocument/2006/relationships/hyperlink" Target="https://www.tigerlogistics.in/Annual_Report.php" TargetMode="Externa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hyperlink" Target="https://www.allcargologistics.com/investor/logistics-annual-reports" TargetMode="External"/><Relationship Id="rId3" Type="http://schemas.openxmlformats.org/officeDocument/2006/relationships/vmlDrawing" Target="../drawings/vmlDrawing1.vml"/>
</Relationships>
</file>

<file path=xl/worksheets/_rels/sheet12.xml.rels><?xml version="1.0" encoding="UTF-8"?>
<Relationships xmlns="http://schemas.openxmlformats.org/package/2006/relationships"><Relationship Id="rId1" Type="http://schemas.openxmlformats.org/officeDocument/2006/relationships/hyperlink" Target="https://www.bluedart.com/financials" TargetMode="External"/>
</Relationships>
</file>

<file path=xl/worksheets/_rels/sheet13.xml.rels><?xml version="1.0" encoding="UTF-8"?>
<Relationships xmlns="http://schemas.openxmlformats.org/package/2006/relationships"><Relationship Id="rId1" Type="http://schemas.openxmlformats.org/officeDocument/2006/relationships/hyperlink" Target="https://www.concorindia.co.in/annual_report.aspx" TargetMode="External"/>
</Relationships>
</file>

<file path=xl/worksheets/_rels/sheet14.xml.rels><?xml version="1.0" encoding="UTF-8"?>
<Relationships xmlns="http://schemas.openxmlformats.org/package/2006/relationships"><Relationship Id="rId1" Type="http://schemas.openxmlformats.org/officeDocument/2006/relationships/hyperlink" Target="https://www.jfll.com/financials/" TargetMode="External"/>
</Relationships>
</file>

<file path=xl/worksheets/_rels/sheet15.xml.rels><?xml version="1.0" encoding="UTF-8"?>
<Relationships xmlns="http://schemas.openxmlformats.org/package/2006/relationships"><Relationship Id="rId1" Type="http://schemas.openxmlformats.org/officeDocument/2006/relationships/hyperlink" Target="https://www.patel-india.com/investor-information" TargetMode="External"/>
</Relationships>
</file>

<file path=xl/worksheets/_rels/sheet16.xml.rels><?xml version="1.0" encoding="UTF-8"?>
<Relationships xmlns="http://schemas.openxmlformats.org/package/2006/relationships"><Relationship Id="rId1" Type="http://schemas.openxmlformats.org/officeDocument/2006/relationships/comments" Target="../comments16.xml"/><Relationship Id="rId2" Type="http://schemas.openxmlformats.org/officeDocument/2006/relationships/hyperlink" Target="https://sical.in/investors/annual-reports/" TargetMode="External"/><Relationship Id="rId3" Type="http://schemas.openxmlformats.org/officeDocument/2006/relationships/vmlDrawing" Target="../drawings/vmlDrawing2.vml"/>
</Relationships>
</file>

<file path=xl/worksheets/_rels/sheet17.xml.rels><?xml version="1.0" encoding="UTF-8"?>
<Relationships xmlns="http://schemas.openxmlformats.org/package/2006/relationships"><Relationship Id="rId1" Type="http://schemas.openxmlformats.org/officeDocument/2006/relationships/hyperlink" Target="https://tcil.com/disclosures/" TargetMode="External"/>
</Relationships>
</file>

<file path=xl/worksheets/_rels/sheet18.xml.rels><?xml version="1.0" encoding="UTF-8"?>
<Relationships xmlns="http://schemas.openxmlformats.org/package/2006/relationships"><Relationship Id="rId1" Type="http://schemas.openxmlformats.org/officeDocument/2006/relationships/hyperlink" Target="https://www.shreejitranslogistics.com/aboutus" TargetMode="External"/>
</Relationships>
</file>

<file path=xl/worksheets/_rels/sheet19.xml.rels><?xml version="1.0" encoding="UTF-8"?>
<Relationships xmlns="http://schemas.openxmlformats.org/package/2006/relationships"><Relationship Id="rId1" Type="http://schemas.openxmlformats.org/officeDocument/2006/relationships/hyperlink" Target="https://mahindralogistics.com/investor-relations/"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65D"/>
    <pageSetUpPr fitToPage="false"/>
  </sheetPr>
  <dimension ref="B1:E6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4" min="3" style="0" width="14"/>
    <col collapsed="false" customWidth="true" hidden="false" outlineLevel="0" max="5" min="5" style="0" width="110"/>
  </cols>
  <sheetData>
    <row r="1" customFormat="false" ht="25.5" hidden="false" customHeight="true" outlineLevel="0" collapsed="false">
      <c r="B1" s="1" t="s">
        <v>0</v>
      </c>
      <c r="C1" s="1"/>
      <c r="D1" s="1"/>
      <c r="E1" s="1"/>
    </row>
    <row r="2" customFormat="false" ht="18" hidden="false" customHeight="true" outlineLevel="0" collapsed="false">
      <c r="B2" s="2" t="s">
        <v>1</v>
      </c>
      <c r="C2" s="2"/>
      <c r="D2" s="2"/>
      <c r="E2" s="2"/>
    </row>
    <row r="4" customFormat="false" ht="19.5" hidden="false" customHeight="true" outlineLevel="0" collapsed="false">
      <c r="B4" s="3" t="s">
        <v>2</v>
      </c>
      <c r="C4" s="3"/>
      <c r="D4" s="3"/>
      <c r="E4" s="3"/>
    </row>
    <row r="5" customFormat="false" ht="27.75" hidden="false" customHeight="true" outlineLevel="0" collapsed="false">
      <c r="B5" s="4" t="s">
        <v>3</v>
      </c>
      <c r="C5" s="4"/>
      <c r="D5" s="4"/>
      <c r="E5" s="4"/>
    </row>
    <row r="7" customFormat="false" ht="19.5" hidden="false" customHeight="true" outlineLevel="0" collapsed="false">
      <c r="B7" s="3" t="s">
        <v>4</v>
      </c>
      <c r="C7" s="3"/>
      <c r="D7" s="3"/>
      <c r="E7" s="3"/>
    </row>
    <row r="8" customFormat="false" ht="15" hidden="false" customHeight="true" outlineLevel="0" collapsed="false">
      <c r="B8" s="5" t="s">
        <v>5</v>
      </c>
      <c r="C8" s="6" t="s">
        <v>6</v>
      </c>
      <c r="D8" s="6"/>
      <c r="E8" s="6"/>
    </row>
    <row r="9" customFormat="false" ht="15" hidden="false" customHeight="true" outlineLevel="0" collapsed="false">
      <c r="B9" s="5" t="s">
        <v>7</v>
      </c>
      <c r="C9" s="6" t="s">
        <v>8</v>
      </c>
      <c r="D9" s="6"/>
      <c r="E9" s="6"/>
    </row>
    <row r="10" customFormat="false" ht="15" hidden="false" customHeight="true" outlineLevel="0" collapsed="false">
      <c r="B10" s="5" t="s">
        <v>9</v>
      </c>
      <c r="C10" s="6" t="s">
        <v>10</v>
      </c>
      <c r="D10" s="6"/>
      <c r="E10" s="6"/>
    </row>
    <row r="11" customFormat="false" ht="27" hidden="false" customHeight="true" outlineLevel="0" collapsed="false">
      <c r="B11" s="5" t="s">
        <v>11</v>
      </c>
      <c r="C11" s="6" t="s">
        <v>12</v>
      </c>
      <c r="D11" s="6"/>
      <c r="E11" s="6"/>
    </row>
    <row r="12" customFormat="false" ht="27" hidden="false" customHeight="true" outlineLevel="0" collapsed="false">
      <c r="B12" s="5" t="s">
        <v>13</v>
      </c>
      <c r="C12" s="6" t="s">
        <v>14</v>
      </c>
      <c r="D12" s="6"/>
      <c r="E12" s="6"/>
    </row>
    <row r="13" customFormat="false" ht="15" hidden="false" customHeight="true" outlineLevel="0" collapsed="false">
      <c r="B13" s="5" t="s">
        <v>15</v>
      </c>
      <c r="C13" s="6" t="s">
        <v>16</v>
      </c>
      <c r="D13" s="6"/>
      <c r="E13" s="6"/>
    </row>
    <row r="14" customFormat="false" ht="15" hidden="false" customHeight="true" outlineLevel="0" collapsed="false">
      <c r="B14" s="5" t="s">
        <v>17</v>
      </c>
      <c r="C14" s="6" t="s">
        <v>18</v>
      </c>
      <c r="D14" s="6"/>
      <c r="E14" s="6"/>
    </row>
    <row r="15" customFormat="false" ht="15" hidden="false" customHeight="true" outlineLevel="0" collapsed="false">
      <c r="B15" s="5" t="s">
        <v>19</v>
      </c>
      <c r="C15" s="6" t="s">
        <v>20</v>
      </c>
      <c r="D15" s="6"/>
      <c r="E15" s="6"/>
    </row>
    <row r="16" customFormat="false" ht="15" hidden="false" customHeight="true" outlineLevel="0" collapsed="false">
      <c r="B16" s="5" t="s">
        <v>21</v>
      </c>
      <c r="C16" s="6" t="s">
        <v>22</v>
      </c>
      <c r="D16" s="6"/>
      <c r="E16" s="6"/>
    </row>
    <row r="18" customFormat="false" ht="19.5" hidden="false" customHeight="true" outlineLevel="0" collapsed="false">
      <c r="B18" s="3" t="s">
        <v>23</v>
      </c>
      <c r="C18" s="3"/>
      <c r="D18" s="3"/>
      <c r="E18" s="3"/>
    </row>
    <row r="19" customFormat="false" ht="27.75" hidden="false" customHeight="true" outlineLevel="0" collapsed="false">
      <c r="B19" s="4" t="s">
        <v>24</v>
      </c>
      <c r="C19" s="4"/>
      <c r="D19" s="4"/>
      <c r="E19" s="4"/>
    </row>
    <row r="20" customFormat="false" ht="27.75" hidden="false" customHeight="true" outlineLevel="0" collapsed="false">
      <c r="B20" s="4" t="s">
        <v>25</v>
      </c>
      <c r="C20" s="4"/>
      <c r="D20" s="4"/>
      <c r="E20" s="4"/>
    </row>
    <row r="21" customFormat="false" ht="40.5" hidden="false" customHeight="true" outlineLevel="0" collapsed="false">
      <c r="B21" s="4" t="s">
        <v>26</v>
      </c>
      <c r="C21" s="4"/>
      <c r="D21" s="4"/>
      <c r="E21" s="4"/>
    </row>
    <row r="22" customFormat="false" ht="15" hidden="false" customHeight="true" outlineLevel="0" collapsed="false">
      <c r="B22" s="4" t="s">
        <v>27</v>
      </c>
      <c r="C22" s="4"/>
      <c r="D22" s="4"/>
      <c r="E22" s="4"/>
    </row>
    <row r="24" customFormat="false" ht="19.5" hidden="false" customHeight="true" outlineLevel="0" collapsed="false">
      <c r="B24" s="3" t="s">
        <v>28</v>
      </c>
      <c r="C24" s="3"/>
      <c r="D24" s="3"/>
      <c r="E24" s="3"/>
    </row>
    <row r="25" customFormat="false" ht="40.5" hidden="false" customHeight="true" outlineLevel="0" collapsed="false">
      <c r="B25" s="4" t="s">
        <v>29</v>
      </c>
      <c r="C25" s="4"/>
      <c r="D25" s="4"/>
      <c r="E25" s="4"/>
    </row>
    <row r="27" customFormat="false" ht="19.5" hidden="false" customHeight="true" outlineLevel="0" collapsed="false">
      <c r="B27" s="3" t="s">
        <v>30</v>
      </c>
      <c r="C27" s="3"/>
      <c r="D27" s="3"/>
      <c r="E27" s="3"/>
    </row>
    <row r="28" customFormat="false" ht="27.75" hidden="false" customHeight="true" outlineLevel="0" collapsed="false">
      <c r="B28" s="4" t="s">
        <v>31</v>
      </c>
      <c r="C28" s="4"/>
      <c r="D28" s="4"/>
      <c r="E28" s="4"/>
    </row>
    <row r="29" customFormat="false" ht="40.5" hidden="false" customHeight="true" outlineLevel="0" collapsed="false">
      <c r="B29" s="4" t="s">
        <v>32</v>
      </c>
      <c r="C29" s="4"/>
      <c r="D29" s="4"/>
      <c r="E29" s="4"/>
    </row>
    <row r="30" customFormat="false" ht="27.75" hidden="false" customHeight="true" outlineLevel="0" collapsed="false">
      <c r="B30" s="4" t="s">
        <v>33</v>
      </c>
      <c r="C30" s="4"/>
      <c r="D30" s="4"/>
      <c r="E30" s="4"/>
    </row>
    <row r="31" customFormat="false" ht="15" hidden="false" customHeight="true" outlineLevel="0" collapsed="false">
      <c r="B31" s="4" t="s">
        <v>34</v>
      </c>
      <c r="C31" s="4"/>
      <c r="D31" s="4"/>
      <c r="E31" s="4"/>
    </row>
    <row r="32" customFormat="false" ht="27.75" hidden="false" customHeight="true" outlineLevel="0" collapsed="false">
      <c r="B32" s="4" t="s">
        <v>35</v>
      </c>
      <c r="C32" s="4"/>
      <c r="D32" s="4"/>
      <c r="E32" s="4"/>
    </row>
    <row r="33" customFormat="false" ht="54" hidden="false" customHeight="true" outlineLevel="0" collapsed="false">
      <c r="B33" s="4" t="s">
        <v>36</v>
      </c>
      <c r="C33" s="4"/>
      <c r="D33" s="4"/>
      <c r="E33" s="4"/>
    </row>
    <row r="34" customFormat="false" ht="27.75" hidden="false" customHeight="true" outlineLevel="0" collapsed="false">
      <c r="B34" s="4" t="s">
        <v>37</v>
      </c>
      <c r="C34" s="4"/>
      <c r="D34" s="4"/>
      <c r="E34" s="4"/>
    </row>
    <row r="35" customFormat="false" ht="27.75" hidden="false" customHeight="true" outlineLevel="0" collapsed="false">
      <c r="B35" s="4" t="s">
        <v>38</v>
      </c>
      <c r="C35" s="4"/>
      <c r="D35" s="4"/>
      <c r="E35" s="4"/>
    </row>
    <row r="36" customFormat="false" ht="15" hidden="false" customHeight="true" outlineLevel="0" collapsed="false">
      <c r="B36" s="4" t="s">
        <v>39</v>
      </c>
      <c r="C36" s="4"/>
      <c r="D36" s="4"/>
      <c r="E36" s="4"/>
    </row>
    <row r="38" customFormat="false" ht="19.5" hidden="false" customHeight="true" outlineLevel="0" collapsed="false">
      <c r="B38" s="3" t="s">
        <v>40</v>
      </c>
      <c r="C38" s="3"/>
      <c r="D38" s="3"/>
      <c r="E38" s="3"/>
    </row>
    <row r="39" customFormat="false" ht="40.5" hidden="false" customHeight="true" outlineLevel="0" collapsed="false">
      <c r="B39" s="4" t="s">
        <v>41</v>
      </c>
      <c r="C39" s="4"/>
      <c r="D39" s="4"/>
      <c r="E39" s="4"/>
    </row>
    <row r="40" customFormat="false" ht="40.5" hidden="false" customHeight="true" outlineLevel="0" collapsed="false">
      <c r="B40" s="4" t="s">
        <v>42</v>
      </c>
      <c r="C40" s="4"/>
      <c r="D40" s="4"/>
      <c r="E40" s="4"/>
    </row>
    <row r="42" customFormat="false" ht="19.5" hidden="false" customHeight="true" outlineLevel="0" collapsed="false">
      <c r="B42" s="3" t="s">
        <v>43</v>
      </c>
      <c r="C42" s="3"/>
      <c r="D42" s="3"/>
      <c r="E42" s="3"/>
    </row>
    <row r="43" customFormat="false" ht="27.75" hidden="false" customHeight="true" outlineLevel="0" collapsed="false">
      <c r="B43" s="4" t="s">
        <v>44</v>
      </c>
      <c r="C43" s="4"/>
      <c r="D43" s="4"/>
      <c r="E43" s="4"/>
    </row>
    <row r="45" customFormat="false" ht="19.5" hidden="false" customHeight="true" outlineLevel="0" collapsed="false">
      <c r="B45" s="3" t="s">
        <v>45</v>
      </c>
      <c r="C45" s="3"/>
      <c r="D45" s="3"/>
      <c r="E45" s="3"/>
    </row>
    <row r="46" customFormat="false" ht="40.5" hidden="false" customHeight="true" outlineLevel="0" collapsed="false">
      <c r="B46" s="4" t="s">
        <v>46</v>
      </c>
      <c r="C46" s="4"/>
      <c r="D46" s="4"/>
      <c r="E46" s="4"/>
    </row>
    <row r="48" customFormat="false" ht="19.5" hidden="false" customHeight="true" outlineLevel="0" collapsed="false">
      <c r="B48" s="3" t="s">
        <v>47</v>
      </c>
      <c r="C48" s="3"/>
      <c r="D48" s="3"/>
      <c r="E48" s="3"/>
    </row>
    <row r="49" customFormat="false" ht="19.5" hidden="false" customHeight="true" outlineLevel="0" collapsed="false">
      <c r="B49" s="7" t="s">
        <v>48</v>
      </c>
      <c r="C49" s="7" t="s">
        <v>49</v>
      </c>
      <c r="D49" s="7" t="s">
        <v>50</v>
      </c>
      <c r="E49" s="7" t="s">
        <v>51</v>
      </c>
    </row>
    <row r="50" customFormat="false" ht="39.75" hidden="false" customHeight="true" outlineLevel="0" collapsed="false">
      <c r="B50" s="8" t="s">
        <v>52</v>
      </c>
      <c r="C50" s="9" t="n">
        <f aca="false">COUNTIF(Tiger!$D$94:$J$177,"N/M")</f>
        <v>23</v>
      </c>
      <c r="D50" s="9" t="n">
        <f aca="false">COUNTIF(Tiger!$D$94:$J$177,"N/C")</f>
        <v>0</v>
      </c>
      <c r="E50" s="10" t="s">
        <v>53</v>
      </c>
    </row>
    <row r="51" customFormat="false" ht="39.75" hidden="false" customHeight="true" outlineLevel="0" collapsed="false">
      <c r="B51" s="8" t="s">
        <v>54</v>
      </c>
      <c r="C51" s="9" t="n">
        <f aca="false">COUNTIF(Allcargo!$D$94:$J$177,"N/M")</f>
        <v>6</v>
      </c>
      <c r="D51" s="9" t="n">
        <f aca="false">COUNTIF(Allcargo!$D$94:$J$177,"N/C")</f>
        <v>30</v>
      </c>
      <c r="E51" s="10" t="s">
        <v>55</v>
      </c>
    </row>
    <row r="52" customFormat="false" ht="27.75" hidden="false" customHeight="true" outlineLevel="0" collapsed="false">
      <c r="B52" s="8" t="s">
        <v>56</v>
      </c>
      <c r="C52" s="9" t="n">
        <f aca="false">COUNTIF(BlueDart!$D$94:$J$177,"N/M")</f>
        <v>4</v>
      </c>
      <c r="D52" s="9" t="n">
        <f aca="false">COUNTIF(BlueDart!$D$94:$J$177,"N/C")</f>
        <v>0</v>
      </c>
      <c r="E52" s="10" t="s">
        <v>57</v>
      </c>
    </row>
    <row r="53" customFormat="false" ht="15.75" hidden="false" customHeight="true" outlineLevel="0" collapsed="false">
      <c r="B53" s="8" t="s">
        <v>58</v>
      </c>
      <c r="C53" s="9" t="n">
        <f aca="false">COUNTIF(CONCOR!$D$94:$J$177,"N/M")</f>
        <v>1</v>
      </c>
      <c r="D53" s="9" t="n">
        <f aca="false">COUNTIF(CONCOR!$D$94:$J$177,"N/C")</f>
        <v>0</v>
      </c>
      <c r="E53" s="10" t="s">
        <v>59</v>
      </c>
    </row>
    <row r="54" customFormat="false" ht="39.75" hidden="false" customHeight="true" outlineLevel="0" collapsed="false">
      <c r="B54" s="8" t="s">
        <v>60</v>
      </c>
      <c r="C54" s="9" t="n">
        <f aca="false">COUNTIF(JetFreight!$D$94:$J$177,"N/M")</f>
        <v>17</v>
      </c>
      <c r="D54" s="9" t="n">
        <f aca="false">COUNTIF(JetFreight!$D$94:$J$177,"N/C")</f>
        <v>0</v>
      </c>
      <c r="E54" s="10" t="s">
        <v>61</v>
      </c>
    </row>
    <row r="55" customFormat="false" ht="27.75" hidden="false" customHeight="true" outlineLevel="0" collapsed="false">
      <c r="B55" s="8" t="s">
        <v>62</v>
      </c>
      <c r="C55" s="9" t="n">
        <f aca="false">COUNTIF(Patel!$D$94:$J$177,"N/M")</f>
        <v>12</v>
      </c>
      <c r="D55" s="9" t="n">
        <f aca="false">COUNTIF(Patel!$D$94:$J$177,"N/C")</f>
        <v>0</v>
      </c>
      <c r="E55" s="10" t="s">
        <v>63</v>
      </c>
    </row>
    <row r="56" customFormat="false" ht="51.75" hidden="false" customHeight="true" outlineLevel="0" collapsed="false">
      <c r="B56" s="8" t="s">
        <v>64</v>
      </c>
      <c r="C56" s="9" t="n">
        <f aca="false">COUNTIF(Sical!$D$94:$J$177,"N/M")</f>
        <v>57</v>
      </c>
      <c r="D56" s="9" t="n">
        <f aca="false">COUNTIF(Sical!$D$94:$J$177,"N/C")</f>
        <v>0</v>
      </c>
      <c r="E56" s="10" t="s">
        <v>65</v>
      </c>
    </row>
    <row r="57" customFormat="false" ht="15.75" hidden="false" customHeight="true" outlineLevel="0" collapsed="false">
      <c r="B57" s="8" t="s">
        <v>66</v>
      </c>
      <c r="C57" s="9" t="n">
        <f aca="false">COUNTIF(TCI!$D$94:$J$177,"N/M")</f>
        <v>0</v>
      </c>
      <c r="D57" s="9" t="n">
        <f aca="false">COUNTIF(TCI!$D$94:$J$177,"N/C")</f>
        <v>0</v>
      </c>
      <c r="E57" s="10" t="s">
        <v>67</v>
      </c>
    </row>
    <row r="58" customFormat="false" ht="27.75" hidden="false" customHeight="true" outlineLevel="0" collapsed="false">
      <c r="B58" s="8" t="s">
        <v>68</v>
      </c>
      <c r="C58" s="9" t="n">
        <f aca="false">COUNTIF(Shreeji!$D$94:$J$177,"N/M")</f>
        <v>7</v>
      </c>
      <c r="D58" s="9" t="n">
        <f aca="false">COUNTIF(Shreeji!$D$94:$J$177,"N/C")</f>
        <v>0</v>
      </c>
      <c r="E58" s="10" t="s">
        <v>69</v>
      </c>
    </row>
    <row r="59" customFormat="false" ht="27.75" hidden="false" customHeight="true" outlineLevel="0" collapsed="false">
      <c r="B59" s="8" t="s">
        <v>70</v>
      </c>
      <c r="C59" s="9" t="n">
        <f aca="false">COUNTIF(MahindraLog!$D$94:$J$177,"N/M")</f>
        <v>12</v>
      </c>
      <c r="D59" s="9" t="n">
        <f aca="false">COUNTIF(MahindraLog!$D$94:$J$177,"N/C")</f>
        <v>0</v>
      </c>
      <c r="E59" s="10" t="s">
        <v>71</v>
      </c>
    </row>
    <row r="60" customFormat="false" ht="15.75" hidden="false" customHeight="true" outlineLevel="0" collapsed="false">
      <c r="B60" s="8" t="s">
        <v>19</v>
      </c>
      <c r="C60" s="9" t="n">
        <f aca="false">COUNTIF(Industry!$D$95:$J$178,"N/M")</f>
        <v>3</v>
      </c>
      <c r="D60" s="9" t="n">
        <f aca="false">COUNTIF(Industry!$D$95:$J$178,"N/C")</f>
        <v>0</v>
      </c>
      <c r="E60" s="10" t="s">
        <v>72</v>
      </c>
    </row>
    <row r="62" customFormat="false" ht="27.75" hidden="false" customHeight="true" outlineLevel="0" collapsed="false">
      <c r="B62" s="4" t="s">
        <v>73</v>
      </c>
      <c r="C62" s="4"/>
      <c r="D62" s="4"/>
      <c r="E62" s="4"/>
    </row>
    <row r="64" customFormat="false" ht="19.5" hidden="false" customHeight="true" outlineLevel="0" collapsed="false">
      <c r="B64" s="3" t="s">
        <v>74</v>
      </c>
      <c r="C64" s="3"/>
      <c r="D64" s="3"/>
      <c r="E64" s="3"/>
    </row>
    <row r="65" customFormat="false" ht="40.5" hidden="false" customHeight="true" outlineLevel="0" collapsed="false">
      <c r="B65" s="4" t="s">
        <v>75</v>
      </c>
      <c r="C65" s="4"/>
      <c r="D65" s="4"/>
      <c r="E65" s="4"/>
    </row>
  </sheetData>
  <mergeCells count="42">
    <mergeCell ref="B1:E1"/>
    <mergeCell ref="B2:E2"/>
    <mergeCell ref="B4:E4"/>
    <mergeCell ref="B5:E5"/>
    <mergeCell ref="B7:E7"/>
    <mergeCell ref="C8:E8"/>
    <mergeCell ref="C9:E9"/>
    <mergeCell ref="C10:E10"/>
    <mergeCell ref="C11:E11"/>
    <mergeCell ref="C12:E12"/>
    <mergeCell ref="C13:E13"/>
    <mergeCell ref="C14:E14"/>
    <mergeCell ref="C15:E15"/>
    <mergeCell ref="C16:E16"/>
    <mergeCell ref="B18:E18"/>
    <mergeCell ref="B19:E19"/>
    <mergeCell ref="B20:E20"/>
    <mergeCell ref="B21:E21"/>
    <mergeCell ref="B22:E22"/>
    <mergeCell ref="B24:E24"/>
    <mergeCell ref="B25:E25"/>
    <mergeCell ref="B27:E27"/>
    <mergeCell ref="B28:E28"/>
    <mergeCell ref="B29:E29"/>
    <mergeCell ref="B30:E30"/>
    <mergeCell ref="B31:E31"/>
    <mergeCell ref="B32:E32"/>
    <mergeCell ref="B33:E33"/>
    <mergeCell ref="B34:E34"/>
    <mergeCell ref="B35:E35"/>
    <mergeCell ref="B36:E36"/>
    <mergeCell ref="B38:E38"/>
    <mergeCell ref="B39:E39"/>
    <mergeCell ref="B40:E40"/>
    <mergeCell ref="B42:E42"/>
    <mergeCell ref="B43:E43"/>
    <mergeCell ref="B45:E45"/>
    <mergeCell ref="B46:E46"/>
    <mergeCell ref="B48:E48"/>
    <mergeCell ref="B62:E62"/>
    <mergeCell ref="B64:E64"/>
    <mergeCell ref="B65:E65"/>
  </mergeCells>
  <hyperlinks>
    <hyperlink ref="B8" location="'Setup'!A1" display="Setup"/>
    <hyperlink ref="B9" location="'Sources'!A1" display="Sources"/>
    <hyperlink ref="B10" location="'Firm_Profiles'!A1" display="Firm_Profiles"/>
    <hyperlink ref="B11" location="'Scorecard'!A1" display="Scorecard"/>
    <hyperlink ref="B12" location="'Industry_Compare'!A1" display="Industry_Compare"/>
    <hyperlink ref="B13" location="'Statistics'!A1" display="Statistics"/>
    <hyperlink ref="B14" location="'Panel'!A1" display="Panel"/>
    <hyperlink ref="B15" location="'Industry'!A1" display="Industry"/>
    <hyperlink ref="B16" location="'Tiger'!A1" display="Tiger ... MahindraLog"/>
    <hyperlink ref="B50" location="'Tiger'!A1" display="Tiger"/>
    <hyperlink ref="B51" location="'Allcargo'!A1" display="Allcargo"/>
    <hyperlink ref="B52" location="'BlueDart'!A1" display="BlueDart"/>
    <hyperlink ref="B53" location="'CONCOR'!A1" display="CONCOR"/>
    <hyperlink ref="B54" location="'JetFreight'!A1" display="JetFreight"/>
    <hyperlink ref="B55" location="'Patel'!A1" display="Patel"/>
    <hyperlink ref="B56" location="'Sical'!A1" display="Sical"/>
    <hyperlink ref="B57" location="'TCI'!A1" display="TCI"/>
    <hyperlink ref="B58" location="'Shreeji'!A1" display="Shreeji"/>
    <hyperlink ref="B59" location="'MahindraLog'!A1" display="MahindraLog"/>
    <hyperlink ref="B60" location="'Industry'!A1" display="Industry"/>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65D"/>
    <pageSetUpPr fitToPage="false"/>
  </sheetPr>
  <dimension ref="A1:F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8"/>
    <col collapsed="false" customWidth="true" hidden="false" outlineLevel="0" max="3" min="3" style="0" width="26"/>
    <col collapsed="false" customWidth="true" hidden="false" outlineLevel="0" max="4" min="4" style="0" width="18"/>
    <col collapsed="false" customWidth="true" hidden="false" outlineLevel="0" max="5" min="5" style="0" width="70"/>
    <col collapsed="false" customWidth="true" hidden="false" outlineLevel="0" max="6" min="6" style="0" width="4"/>
  </cols>
  <sheetData>
    <row r="1" customFormat="false" ht="24" hidden="false" customHeight="true" outlineLevel="0" collapsed="false">
      <c r="A1" s="1" t="s">
        <v>76</v>
      </c>
      <c r="B1" s="1"/>
      <c r="C1" s="1"/>
      <c r="D1" s="1"/>
      <c r="E1" s="1"/>
      <c r="F1" s="1"/>
    </row>
    <row r="2" customFormat="false" ht="30" hidden="false" customHeight="true" outlineLevel="0" collapsed="false">
      <c r="A2" s="11" t="s">
        <v>77</v>
      </c>
      <c r="B2" s="11"/>
      <c r="C2" s="11"/>
      <c r="D2" s="11"/>
      <c r="E2" s="11"/>
      <c r="F2" s="11"/>
    </row>
    <row r="4" customFormat="false" ht="19.5" hidden="false" customHeight="true" outlineLevel="0" collapsed="false">
      <c r="B4" s="3" t="s">
        <v>78</v>
      </c>
      <c r="C4" s="3"/>
      <c r="D4" s="3"/>
      <c r="E4" s="3"/>
    </row>
    <row r="5" customFormat="false" ht="15" hidden="false" customHeight="false" outlineLevel="0" collapsed="false">
      <c r="B5" s="12" t="s">
        <v>19</v>
      </c>
      <c r="C5" s="13" t="s">
        <v>79</v>
      </c>
      <c r="D5" s="13"/>
      <c r="E5" s="13"/>
    </row>
    <row r="6" customFormat="false" ht="15" hidden="false" customHeight="false" outlineLevel="0" collapsed="false">
      <c r="B6" s="12" t="s">
        <v>80</v>
      </c>
      <c r="C6" s="13" t="s">
        <v>81</v>
      </c>
      <c r="D6" s="13"/>
      <c r="E6" s="13"/>
    </row>
    <row r="7" customFormat="false" ht="15" hidden="false" customHeight="false" outlineLevel="0" collapsed="false">
      <c r="B7" s="12" t="s">
        <v>82</v>
      </c>
      <c r="C7" s="13" t="s">
        <v>83</v>
      </c>
      <c r="D7" s="13"/>
      <c r="E7" s="13"/>
    </row>
    <row r="8" customFormat="false" ht="15" hidden="false" customHeight="false" outlineLevel="0" collapsed="false">
      <c r="B8" s="12" t="s">
        <v>84</v>
      </c>
      <c r="C8" s="14" t="n">
        <v>365</v>
      </c>
      <c r="D8" s="14"/>
      <c r="E8" s="14"/>
    </row>
    <row r="9" customFormat="false" ht="15" hidden="false" customHeight="false" outlineLevel="0" collapsed="false">
      <c r="B9" s="12" t="s">
        <v>85</v>
      </c>
      <c r="C9" s="13" t="s">
        <v>86</v>
      </c>
      <c r="D9" s="13"/>
      <c r="E9" s="13"/>
    </row>
    <row r="10" customFormat="false" ht="15" hidden="false" customHeight="false" outlineLevel="0" collapsed="false">
      <c r="B10" s="12" t="s">
        <v>87</v>
      </c>
      <c r="C10" s="13" t="s">
        <v>88</v>
      </c>
      <c r="D10" s="13"/>
      <c r="E10" s="13"/>
    </row>
    <row r="11" customFormat="false" ht="15" hidden="false" customHeight="false" outlineLevel="0" collapsed="false">
      <c r="B11" s="12" t="s">
        <v>89</v>
      </c>
      <c r="C11" s="15" t="n">
        <v>0.34944</v>
      </c>
      <c r="D11" s="15"/>
      <c r="E11" s="15"/>
    </row>
    <row r="13" customFormat="false" ht="19.5" hidden="false" customHeight="true" outlineLevel="0" collapsed="false">
      <c r="B13" s="3" t="s">
        <v>90</v>
      </c>
      <c r="C13" s="3"/>
      <c r="D13" s="3"/>
      <c r="E13" s="3"/>
    </row>
    <row r="14" customFormat="false" ht="19.5" hidden="false" customHeight="true" outlineLevel="0" collapsed="false">
      <c r="B14" s="7" t="s">
        <v>91</v>
      </c>
      <c r="C14" s="7" t="s">
        <v>92</v>
      </c>
      <c r="D14" s="7" t="s">
        <v>93</v>
      </c>
      <c r="E14" s="7" t="s">
        <v>94</v>
      </c>
    </row>
    <row r="15" customFormat="false" ht="15" hidden="false" customHeight="false" outlineLevel="0" collapsed="false">
      <c r="B15" s="16" t="s">
        <v>95</v>
      </c>
      <c r="C15" s="17" t="s">
        <v>96</v>
      </c>
      <c r="D15" s="16" t="s">
        <v>97</v>
      </c>
      <c r="E15" s="16" t="s">
        <v>98</v>
      </c>
    </row>
    <row r="16" customFormat="false" ht="15" hidden="false" customHeight="false" outlineLevel="0" collapsed="false">
      <c r="B16" s="16" t="s">
        <v>99</v>
      </c>
      <c r="C16" s="17" t="s">
        <v>100</v>
      </c>
      <c r="D16" s="16" t="s">
        <v>97</v>
      </c>
      <c r="E16" s="16" t="s">
        <v>101</v>
      </c>
    </row>
    <row r="17" customFormat="false" ht="15" hidden="false" customHeight="false" outlineLevel="0" collapsed="false">
      <c r="B17" s="16" t="s">
        <v>102</v>
      </c>
      <c r="C17" s="17" t="s">
        <v>103</v>
      </c>
      <c r="D17" s="16" t="s">
        <v>97</v>
      </c>
      <c r="E17" s="16" t="s">
        <v>104</v>
      </c>
    </row>
    <row r="18" customFormat="false" ht="15" hidden="false" customHeight="false" outlineLevel="0" collapsed="false">
      <c r="B18" s="16" t="s">
        <v>105</v>
      </c>
      <c r="C18" s="17" t="s">
        <v>106</v>
      </c>
      <c r="D18" s="16" t="s">
        <v>97</v>
      </c>
      <c r="E18" s="16" t="s">
        <v>107</v>
      </c>
    </row>
    <row r="19" customFormat="false" ht="15" hidden="false" customHeight="false" outlineLevel="0" collapsed="false">
      <c r="B19" s="16" t="s">
        <v>108</v>
      </c>
      <c r="C19" s="17" t="s">
        <v>106</v>
      </c>
      <c r="D19" s="16" t="s">
        <v>97</v>
      </c>
      <c r="E19" s="16" t="s">
        <v>109</v>
      </c>
    </row>
    <row r="20" customFormat="false" ht="15" hidden="false" customHeight="false" outlineLevel="0" collapsed="false">
      <c r="B20" s="16" t="s">
        <v>110</v>
      </c>
      <c r="C20" s="17" t="s">
        <v>111</v>
      </c>
      <c r="D20" s="16" t="s">
        <v>97</v>
      </c>
      <c r="E20" s="16" t="s">
        <v>112</v>
      </c>
    </row>
    <row r="21" customFormat="false" ht="15" hidden="false" customHeight="false" outlineLevel="0" collapsed="false">
      <c r="B21" s="16" t="s">
        <v>113</v>
      </c>
      <c r="C21" s="17" t="s">
        <v>114</v>
      </c>
      <c r="D21" s="16" t="s">
        <v>115</v>
      </c>
      <c r="E21" s="16" t="s">
        <v>116</v>
      </c>
    </row>
    <row r="22" customFormat="false" ht="15" hidden="false" customHeight="false" outlineLevel="0" collapsed="false">
      <c r="B22" s="16" t="s">
        <v>117</v>
      </c>
      <c r="C22" s="17" t="s">
        <v>118</v>
      </c>
      <c r="D22" s="16" t="s">
        <v>115</v>
      </c>
      <c r="E22" s="16" t="s">
        <v>119</v>
      </c>
    </row>
    <row r="23" customFormat="false" ht="15" hidden="false" customHeight="false" outlineLevel="0" collapsed="false">
      <c r="B23" s="16" t="s">
        <v>120</v>
      </c>
      <c r="C23" s="17" t="s">
        <v>121</v>
      </c>
      <c r="D23" s="16" t="s">
        <v>115</v>
      </c>
      <c r="E23" s="16" t="s">
        <v>122</v>
      </c>
    </row>
    <row r="25" customFormat="false" ht="25.5" hidden="false" customHeight="true" outlineLevel="0" collapsed="false">
      <c r="B25" s="18" t="s">
        <v>123</v>
      </c>
      <c r="C25" s="18"/>
      <c r="D25" s="18"/>
      <c r="E25" s="18"/>
    </row>
  </sheetData>
  <mergeCells count="12">
    <mergeCell ref="A1:F1"/>
    <mergeCell ref="A2:F2"/>
    <mergeCell ref="B4:E4"/>
    <mergeCell ref="C5:E5"/>
    <mergeCell ref="C6:E6"/>
    <mergeCell ref="C7:E7"/>
    <mergeCell ref="C8:E8"/>
    <mergeCell ref="C9:E9"/>
    <mergeCell ref="C10:E10"/>
    <mergeCell ref="C11:E11"/>
    <mergeCell ref="B13:E13"/>
    <mergeCell ref="B25:E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65D"/>
    <pageSetUpPr fitToPage="false"/>
  </sheetPr>
  <dimension ref="A1:F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2"/>
    <col collapsed="false" customWidth="true" hidden="false" outlineLevel="0" max="3" min="3" style="0" width="10"/>
    <col collapsed="false" customWidth="true" hidden="false" outlineLevel="0" max="4" min="4" style="0" width="44"/>
    <col collapsed="false" customWidth="true" hidden="false" outlineLevel="0" max="5" min="5" style="0" width="13"/>
    <col collapsed="false" customWidth="true" hidden="false" outlineLevel="0" max="6" min="6" style="0" width="110"/>
  </cols>
  <sheetData>
    <row r="1" customFormat="false" ht="24" hidden="false" customHeight="true" outlineLevel="0" collapsed="false">
      <c r="A1" s="1" t="s">
        <v>124</v>
      </c>
      <c r="B1" s="1"/>
      <c r="C1" s="1"/>
      <c r="D1" s="1"/>
      <c r="E1" s="1"/>
      <c r="F1" s="1"/>
    </row>
    <row r="2" customFormat="false" ht="30" hidden="false" customHeight="true" outlineLevel="0" collapsed="false">
      <c r="A2" s="11" t="s">
        <v>125</v>
      </c>
      <c r="B2" s="11"/>
      <c r="C2" s="11"/>
      <c r="D2" s="11"/>
      <c r="E2" s="11"/>
      <c r="F2" s="11"/>
    </row>
    <row r="4" customFormat="false" ht="21.75" hidden="false" customHeight="true" outlineLevel="0" collapsed="false">
      <c r="A4" s="7" t="s">
        <v>126</v>
      </c>
      <c r="B4" s="7" t="s">
        <v>127</v>
      </c>
      <c r="C4" s="7" t="s">
        <v>128</v>
      </c>
      <c r="D4" s="7" t="s">
        <v>129</v>
      </c>
      <c r="E4" s="7" t="s">
        <v>130</v>
      </c>
      <c r="F4" s="7" t="s">
        <v>131</v>
      </c>
    </row>
    <row r="5" customFormat="false" ht="15" hidden="false" customHeight="false" outlineLevel="0" collapsed="false">
      <c r="A5" s="19" t="n">
        <v>1</v>
      </c>
      <c r="B5" s="16" t="s">
        <v>132</v>
      </c>
      <c r="C5" s="20" t="s">
        <v>133</v>
      </c>
      <c r="D5" s="16" t="s">
        <v>134</v>
      </c>
      <c r="E5" s="20" t="s">
        <v>135</v>
      </c>
      <c r="F5" s="21" t="s">
        <v>136</v>
      </c>
    </row>
    <row r="6" customFormat="false" ht="15" hidden="false" customHeight="false" outlineLevel="0" collapsed="false">
      <c r="A6" s="19" t="n">
        <v>2</v>
      </c>
      <c r="B6" s="16" t="s">
        <v>132</v>
      </c>
      <c r="C6" s="20" t="s">
        <v>133</v>
      </c>
      <c r="D6" s="16" t="s">
        <v>137</v>
      </c>
      <c r="E6" s="20" t="s">
        <v>135</v>
      </c>
      <c r="F6" s="21" t="s">
        <v>138</v>
      </c>
    </row>
    <row r="7" customFormat="false" ht="15" hidden="false" customHeight="false" outlineLevel="0" collapsed="false">
      <c r="A7" s="19" t="n">
        <v>3</v>
      </c>
      <c r="B7" s="16" t="s">
        <v>139</v>
      </c>
      <c r="C7" s="20" t="s">
        <v>140</v>
      </c>
      <c r="D7" s="16" t="s">
        <v>134</v>
      </c>
      <c r="E7" s="20" t="s">
        <v>135</v>
      </c>
      <c r="F7" s="21" t="s">
        <v>141</v>
      </c>
    </row>
    <row r="8" customFormat="false" ht="15" hidden="false" customHeight="false" outlineLevel="0" collapsed="false">
      <c r="A8" s="19" t="n">
        <v>4</v>
      </c>
      <c r="B8" s="16" t="s">
        <v>139</v>
      </c>
      <c r="C8" s="20" t="s">
        <v>140</v>
      </c>
      <c r="D8" s="16" t="s">
        <v>137</v>
      </c>
      <c r="E8" s="20" t="s">
        <v>135</v>
      </c>
      <c r="F8" s="21" t="s">
        <v>142</v>
      </c>
    </row>
    <row r="9" customFormat="false" ht="15" hidden="false" customHeight="false" outlineLevel="0" collapsed="false">
      <c r="A9" s="19" t="n">
        <v>5</v>
      </c>
      <c r="B9" s="16" t="s">
        <v>139</v>
      </c>
      <c r="C9" s="20" t="s">
        <v>140</v>
      </c>
      <c r="D9" s="16" t="s">
        <v>143</v>
      </c>
      <c r="E9" s="20" t="s">
        <v>144</v>
      </c>
      <c r="F9" s="21" t="s">
        <v>145</v>
      </c>
    </row>
    <row r="10" customFormat="false" ht="15" hidden="false" customHeight="false" outlineLevel="0" collapsed="false">
      <c r="A10" s="19" t="n">
        <v>6</v>
      </c>
      <c r="B10" s="16" t="s">
        <v>139</v>
      </c>
      <c r="C10" s="20" t="s">
        <v>140</v>
      </c>
      <c r="D10" s="16" t="s">
        <v>146</v>
      </c>
      <c r="E10" s="20" t="s">
        <v>147</v>
      </c>
      <c r="F10" s="21" t="s">
        <v>148</v>
      </c>
    </row>
    <row r="11" customFormat="false" ht="15" hidden="false" customHeight="false" outlineLevel="0" collapsed="false">
      <c r="A11" s="19" t="n">
        <v>7</v>
      </c>
      <c r="B11" s="16" t="s">
        <v>149</v>
      </c>
      <c r="C11" s="20" t="s">
        <v>150</v>
      </c>
      <c r="D11" s="16" t="s">
        <v>134</v>
      </c>
      <c r="E11" s="20" t="s">
        <v>135</v>
      </c>
      <c r="F11" s="21" t="s">
        <v>151</v>
      </c>
    </row>
    <row r="12" customFormat="false" ht="15" hidden="false" customHeight="false" outlineLevel="0" collapsed="false">
      <c r="A12" s="19" t="n">
        <v>8</v>
      </c>
      <c r="B12" s="16" t="s">
        <v>149</v>
      </c>
      <c r="C12" s="20" t="s">
        <v>150</v>
      </c>
      <c r="D12" s="16" t="s">
        <v>137</v>
      </c>
      <c r="E12" s="20" t="s">
        <v>135</v>
      </c>
      <c r="F12" s="21" t="s">
        <v>152</v>
      </c>
    </row>
    <row r="13" customFormat="false" ht="15" hidden="false" customHeight="false" outlineLevel="0" collapsed="false">
      <c r="A13" s="19" t="n">
        <v>9</v>
      </c>
      <c r="B13" s="16" t="s">
        <v>149</v>
      </c>
      <c r="C13" s="20" t="s">
        <v>150</v>
      </c>
      <c r="D13" s="16" t="s">
        <v>153</v>
      </c>
      <c r="E13" s="20" t="s">
        <v>154</v>
      </c>
      <c r="F13" s="21" t="s">
        <v>155</v>
      </c>
    </row>
    <row r="14" customFormat="false" ht="15" hidden="false" customHeight="false" outlineLevel="0" collapsed="false">
      <c r="A14" s="19" t="n">
        <v>10</v>
      </c>
      <c r="B14" s="16" t="s">
        <v>149</v>
      </c>
      <c r="C14" s="20" t="s">
        <v>150</v>
      </c>
      <c r="D14" s="16" t="s">
        <v>156</v>
      </c>
      <c r="E14" s="20" t="s">
        <v>157</v>
      </c>
      <c r="F14" s="21" t="s">
        <v>158</v>
      </c>
    </row>
    <row r="15" customFormat="false" ht="15" hidden="false" customHeight="false" outlineLevel="0" collapsed="false">
      <c r="A15" s="19" t="n">
        <v>11</v>
      </c>
      <c r="B15" s="16" t="s">
        <v>159</v>
      </c>
      <c r="C15" s="20" t="s">
        <v>160</v>
      </c>
      <c r="D15" s="16" t="s">
        <v>134</v>
      </c>
      <c r="E15" s="20" t="s">
        <v>135</v>
      </c>
      <c r="F15" s="21" t="s">
        <v>161</v>
      </c>
    </row>
    <row r="16" customFormat="false" ht="15" hidden="false" customHeight="false" outlineLevel="0" collapsed="false">
      <c r="A16" s="19" t="n">
        <v>12</v>
      </c>
      <c r="B16" s="16" t="s">
        <v>159</v>
      </c>
      <c r="C16" s="20" t="s">
        <v>160</v>
      </c>
      <c r="D16" s="16" t="s">
        <v>137</v>
      </c>
      <c r="E16" s="20" t="s">
        <v>135</v>
      </c>
      <c r="F16" s="21" t="s">
        <v>162</v>
      </c>
    </row>
    <row r="17" customFormat="false" ht="15" hidden="false" customHeight="false" outlineLevel="0" collapsed="false">
      <c r="A17" s="19" t="n">
        <v>13</v>
      </c>
      <c r="B17" s="16" t="s">
        <v>159</v>
      </c>
      <c r="C17" s="20" t="s">
        <v>160</v>
      </c>
      <c r="D17" s="16" t="s">
        <v>163</v>
      </c>
      <c r="E17" s="20" t="s">
        <v>164</v>
      </c>
      <c r="F17" s="21" t="s">
        <v>165</v>
      </c>
    </row>
    <row r="18" customFormat="false" ht="15" hidden="false" customHeight="false" outlineLevel="0" collapsed="false">
      <c r="A18" s="19" t="n">
        <v>14</v>
      </c>
      <c r="B18" s="16" t="s">
        <v>166</v>
      </c>
      <c r="C18" s="20" t="s">
        <v>167</v>
      </c>
      <c r="D18" s="16" t="s">
        <v>134</v>
      </c>
      <c r="E18" s="20" t="s">
        <v>135</v>
      </c>
      <c r="F18" s="21" t="s">
        <v>168</v>
      </c>
    </row>
    <row r="19" customFormat="false" ht="15" hidden="false" customHeight="false" outlineLevel="0" collapsed="false">
      <c r="A19" s="19" t="n">
        <v>15</v>
      </c>
      <c r="B19" s="16" t="s">
        <v>166</v>
      </c>
      <c r="C19" s="20" t="s">
        <v>167</v>
      </c>
      <c r="D19" s="16" t="s">
        <v>137</v>
      </c>
      <c r="E19" s="20" t="s">
        <v>135</v>
      </c>
      <c r="F19" s="21" t="s">
        <v>169</v>
      </c>
    </row>
    <row r="20" customFormat="false" ht="15" hidden="false" customHeight="false" outlineLevel="0" collapsed="false">
      <c r="A20" s="19" t="n">
        <v>16</v>
      </c>
      <c r="B20" s="16" t="s">
        <v>166</v>
      </c>
      <c r="C20" s="20" t="s">
        <v>167</v>
      </c>
      <c r="D20" s="16" t="s">
        <v>170</v>
      </c>
      <c r="E20" s="20" t="s">
        <v>144</v>
      </c>
      <c r="F20" s="21" t="s">
        <v>171</v>
      </c>
    </row>
    <row r="21" customFormat="false" ht="15" hidden="false" customHeight="false" outlineLevel="0" collapsed="false">
      <c r="A21" s="19" t="n">
        <v>17</v>
      </c>
      <c r="B21" s="16" t="s">
        <v>166</v>
      </c>
      <c r="C21" s="20" t="s">
        <v>167</v>
      </c>
      <c r="D21" s="16" t="s">
        <v>172</v>
      </c>
      <c r="E21" s="20" t="s">
        <v>147</v>
      </c>
      <c r="F21" s="21" t="s">
        <v>173</v>
      </c>
    </row>
    <row r="22" customFormat="false" ht="15" hidden="false" customHeight="false" outlineLevel="0" collapsed="false">
      <c r="A22" s="19" t="n">
        <v>18</v>
      </c>
      <c r="B22" s="16" t="s">
        <v>174</v>
      </c>
      <c r="C22" s="20" t="s">
        <v>175</v>
      </c>
      <c r="D22" s="16" t="s">
        <v>134</v>
      </c>
      <c r="E22" s="20" t="s">
        <v>135</v>
      </c>
      <c r="F22" s="21" t="s">
        <v>176</v>
      </c>
    </row>
    <row r="23" customFormat="false" ht="15" hidden="false" customHeight="false" outlineLevel="0" collapsed="false">
      <c r="A23" s="19" t="n">
        <v>19</v>
      </c>
      <c r="B23" s="16" t="s">
        <v>174</v>
      </c>
      <c r="C23" s="20" t="s">
        <v>175</v>
      </c>
      <c r="D23" s="16" t="s">
        <v>137</v>
      </c>
      <c r="E23" s="20" t="s">
        <v>135</v>
      </c>
      <c r="F23" s="21" t="s">
        <v>177</v>
      </c>
    </row>
    <row r="24" customFormat="false" ht="15" hidden="false" customHeight="false" outlineLevel="0" collapsed="false">
      <c r="A24" s="19" t="n">
        <v>20</v>
      </c>
      <c r="B24" s="16" t="s">
        <v>174</v>
      </c>
      <c r="C24" s="20" t="s">
        <v>175</v>
      </c>
      <c r="D24" s="16" t="s">
        <v>178</v>
      </c>
      <c r="E24" s="20" t="s">
        <v>147</v>
      </c>
      <c r="F24" s="21" t="s">
        <v>179</v>
      </c>
    </row>
    <row r="25" customFormat="false" ht="15" hidden="false" customHeight="false" outlineLevel="0" collapsed="false">
      <c r="A25" s="19" t="n">
        <v>21</v>
      </c>
      <c r="B25" s="16" t="s">
        <v>180</v>
      </c>
      <c r="C25" s="20" t="s">
        <v>181</v>
      </c>
      <c r="D25" s="16" t="s">
        <v>134</v>
      </c>
      <c r="E25" s="20" t="s">
        <v>135</v>
      </c>
      <c r="F25" s="21" t="s">
        <v>182</v>
      </c>
    </row>
    <row r="26" customFormat="false" ht="15" hidden="false" customHeight="false" outlineLevel="0" collapsed="false">
      <c r="A26" s="19" t="n">
        <v>22</v>
      </c>
      <c r="B26" s="16" t="s">
        <v>180</v>
      </c>
      <c r="C26" s="20" t="s">
        <v>181</v>
      </c>
      <c r="D26" s="16" t="s">
        <v>137</v>
      </c>
      <c r="E26" s="20" t="s">
        <v>135</v>
      </c>
      <c r="F26" s="21" t="s">
        <v>183</v>
      </c>
    </row>
    <row r="27" customFormat="false" ht="15" hidden="false" customHeight="false" outlineLevel="0" collapsed="false">
      <c r="A27" s="19" t="n">
        <v>23</v>
      </c>
      <c r="B27" s="16" t="s">
        <v>180</v>
      </c>
      <c r="C27" s="20" t="s">
        <v>181</v>
      </c>
      <c r="D27" s="16" t="s">
        <v>184</v>
      </c>
      <c r="E27" s="20" t="s">
        <v>185</v>
      </c>
      <c r="F27" s="21" t="s">
        <v>186</v>
      </c>
    </row>
    <row r="28" customFormat="false" ht="15" hidden="false" customHeight="false" outlineLevel="0" collapsed="false">
      <c r="A28" s="19" t="n">
        <v>24</v>
      </c>
      <c r="B28" s="16" t="s">
        <v>180</v>
      </c>
      <c r="C28" s="20" t="s">
        <v>181</v>
      </c>
      <c r="D28" s="16" t="s">
        <v>187</v>
      </c>
      <c r="E28" s="20" t="s">
        <v>188</v>
      </c>
      <c r="F28" s="21" t="s">
        <v>189</v>
      </c>
    </row>
    <row r="29" customFormat="false" ht="15" hidden="false" customHeight="false" outlineLevel="0" collapsed="false">
      <c r="A29" s="19" t="n">
        <v>25</v>
      </c>
      <c r="B29" s="16" t="s">
        <v>180</v>
      </c>
      <c r="C29" s="20" t="s">
        <v>181</v>
      </c>
      <c r="D29" s="16" t="s">
        <v>146</v>
      </c>
      <c r="E29" s="20" t="s">
        <v>147</v>
      </c>
      <c r="F29" s="21" t="s">
        <v>190</v>
      </c>
    </row>
    <row r="30" customFormat="false" ht="15" hidden="false" customHeight="false" outlineLevel="0" collapsed="false">
      <c r="A30" s="19" t="n">
        <v>26</v>
      </c>
      <c r="B30" s="16" t="s">
        <v>180</v>
      </c>
      <c r="C30" s="20" t="s">
        <v>181</v>
      </c>
      <c r="D30" s="16" t="s">
        <v>156</v>
      </c>
      <c r="E30" s="20" t="s">
        <v>157</v>
      </c>
      <c r="F30" s="21" t="s">
        <v>191</v>
      </c>
    </row>
    <row r="31" customFormat="false" ht="15" hidden="false" customHeight="false" outlineLevel="0" collapsed="false">
      <c r="A31" s="19" t="n">
        <v>27</v>
      </c>
      <c r="B31" s="16" t="s">
        <v>192</v>
      </c>
      <c r="C31" s="20" t="s">
        <v>193</v>
      </c>
      <c r="D31" s="16" t="s">
        <v>134</v>
      </c>
      <c r="E31" s="20" t="s">
        <v>135</v>
      </c>
      <c r="F31" s="21" t="s">
        <v>194</v>
      </c>
    </row>
    <row r="32" customFormat="false" ht="15" hidden="false" customHeight="false" outlineLevel="0" collapsed="false">
      <c r="A32" s="19" t="n">
        <v>28</v>
      </c>
      <c r="B32" s="16" t="s">
        <v>192</v>
      </c>
      <c r="C32" s="20" t="s">
        <v>193</v>
      </c>
      <c r="D32" s="16" t="s">
        <v>137</v>
      </c>
      <c r="E32" s="20" t="s">
        <v>135</v>
      </c>
      <c r="F32" s="21" t="s">
        <v>195</v>
      </c>
    </row>
    <row r="33" customFormat="false" ht="15" hidden="false" customHeight="false" outlineLevel="0" collapsed="false">
      <c r="A33" s="19" t="n">
        <v>29</v>
      </c>
      <c r="B33" s="16" t="s">
        <v>192</v>
      </c>
      <c r="C33" s="20" t="s">
        <v>193</v>
      </c>
      <c r="D33" s="16" t="s">
        <v>146</v>
      </c>
      <c r="E33" s="20" t="s">
        <v>147</v>
      </c>
      <c r="F33" s="21" t="s">
        <v>196</v>
      </c>
    </row>
    <row r="34" customFormat="false" ht="15" hidden="false" customHeight="false" outlineLevel="0" collapsed="false">
      <c r="A34" s="19" t="n">
        <v>30</v>
      </c>
      <c r="B34" s="16" t="s">
        <v>192</v>
      </c>
      <c r="C34" s="20" t="s">
        <v>193</v>
      </c>
      <c r="D34" s="16" t="s">
        <v>197</v>
      </c>
      <c r="E34" s="20" t="s">
        <v>198</v>
      </c>
      <c r="F34" s="21" t="s">
        <v>199</v>
      </c>
    </row>
    <row r="35" customFormat="false" ht="15" hidden="false" customHeight="false" outlineLevel="0" collapsed="false">
      <c r="A35" s="19" t="n">
        <v>31</v>
      </c>
      <c r="B35" s="16" t="s">
        <v>192</v>
      </c>
      <c r="C35" s="20" t="s">
        <v>193</v>
      </c>
      <c r="D35" s="16" t="s">
        <v>200</v>
      </c>
      <c r="E35" s="20" t="s">
        <v>201</v>
      </c>
      <c r="F35" s="21" t="s">
        <v>202</v>
      </c>
    </row>
    <row r="36" customFormat="false" ht="15" hidden="false" customHeight="false" outlineLevel="0" collapsed="false">
      <c r="A36" s="19" t="n">
        <v>32</v>
      </c>
      <c r="B36" s="16" t="s">
        <v>203</v>
      </c>
      <c r="C36" s="20" t="s">
        <v>204</v>
      </c>
      <c r="D36" s="16" t="s">
        <v>134</v>
      </c>
      <c r="E36" s="20" t="s">
        <v>135</v>
      </c>
      <c r="F36" s="21" t="s">
        <v>205</v>
      </c>
    </row>
    <row r="37" customFormat="false" ht="15" hidden="false" customHeight="false" outlineLevel="0" collapsed="false">
      <c r="A37" s="19" t="n">
        <v>33</v>
      </c>
      <c r="B37" s="16" t="s">
        <v>203</v>
      </c>
      <c r="C37" s="20" t="s">
        <v>204</v>
      </c>
      <c r="D37" s="16" t="s">
        <v>137</v>
      </c>
      <c r="E37" s="20" t="s">
        <v>135</v>
      </c>
      <c r="F37" s="21" t="s">
        <v>206</v>
      </c>
    </row>
    <row r="38" customFormat="false" ht="15" hidden="false" customHeight="false" outlineLevel="0" collapsed="false">
      <c r="A38" s="19" t="n">
        <v>34</v>
      </c>
      <c r="B38" s="16" t="s">
        <v>203</v>
      </c>
      <c r="C38" s="20" t="s">
        <v>204</v>
      </c>
      <c r="D38" s="16" t="s">
        <v>184</v>
      </c>
      <c r="E38" s="20" t="s">
        <v>185</v>
      </c>
      <c r="F38" s="21" t="s">
        <v>207</v>
      </c>
    </row>
    <row r="39" customFormat="false" ht="15" hidden="false" customHeight="false" outlineLevel="0" collapsed="false">
      <c r="A39" s="19" t="n">
        <v>35</v>
      </c>
      <c r="B39" s="16" t="s">
        <v>203</v>
      </c>
      <c r="C39" s="20" t="s">
        <v>204</v>
      </c>
      <c r="D39" s="16" t="s">
        <v>187</v>
      </c>
      <c r="E39" s="20" t="s">
        <v>188</v>
      </c>
      <c r="F39" s="21" t="s">
        <v>208</v>
      </c>
    </row>
    <row r="40" customFormat="false" ht="15" hidden="false" customHeight="false" outlineLevel="0" collapsed="false">
      <c r="A40" s="19" t="n">
        <v>36</v>
      </c>
      <c r="B40" s="16" t="s">
        <v>203</v>
      </c>
      <c r="C40" s="20" t="s">
        <v>204</v>
      </c>
      <c r="D40" s="16" t="s">
        <v>143</v>
      </c>
      <c r="E40" s="20" t="s">
        <v>144</v>
      </c>
      <c r="F40" s="21" t="s">
        <v>209</v>
      </c>
    </row>
    <row r="41" customFormat="false" ht="15" hidden="false" customHeight="false" outlineLevel="0" collapsed="false">
      <c r="A41" s="19" t="n">
        <v>37</v>
      </c>
      <c r="B41" s="16" t="s">
        <v>203</v>
      </c>
      <c r="C41" s="20" t="s">
        <v>204</v>
      </c>
      <c r="D41" s="16" t="s">
        <v>146</v>
      </c>
      <c r="E41" s="20" t="s">
        <v>147</v>
      </c>
      <c r="F41" s="21" t="s">
        <v>210</v>
      </c>
    </row>
    <row r="42" customFormat="false" ht="15" hidden="false" customHeight="false" outlineLevel="0" collapsed="false">
      <c r="A42" s="19" t="n">
        <v>38</v>
      </c>
      <c r="B42" s="16" t="s">
        <v>203</v>
      </c>
      <c r="C42" s="20" t="s">
        <v>204</v>
      </c>
      <c r="D42" s="16" t="s">
        <v>156</v>
      </c>
      <c r="E42" s="20" t="s">
        <v>157</v>
      </c>
      <c r="F42" s="21" t="s">
        <v>211</v>
      </c>
    </row>
    <row r="43" customFormat="false" ht="15" hidden="false" customHeight="false" outlineLevel="0" collapsed="false">
      <c r="A43" s="19" t="n">
        <v>39</v>
      </c>
      <c r="B43" s="16" t="s">
        <v>212</v>
      </c>
      <c r="C43" s="20" t="s">
        <v>213</v>
      </c>
      <c r="D43" s="16" t="s">
        <v>134</v>
      </c>
      <c r="E43" s="20" t="s">
        <v>135</v>
      </c>
      <c r="F43" s="21" t="s">
        <v>214</v>
      </c>
    </row>
    <row r="44" customFormat="false" ht="15" hidden="false" customHeight="false" outlineLevel="0" collapsed="false">
      <c r="A44" s="19" t="n">
        <v>40</v>
      </c>
      <c r="B44" s="16" t="s">
        <v>212</v>
      </c>
      <c r="C44" s="20" t="s">
        <v>213</v>
      </c>
      <c r="D44" s="16" t="s">
        <v>137</v>
      </c>
      <c r="E44" s="20" t="s">
        <v>135</v>
      </c>
      <c r="F44" s="21" t="s">
        <v>215</v>
      </c>
    </row>
    <row r="45" customFormat="false" ht="15" hidden="false" customHeight="false" outlineLevel="0" collapsed="false">
      <c r="A45" s="19" t="n">
        <v>41</v>
      </c>
      <c r="B45" s="16" t="s">
        <v>212</v>
      </c>
      <c r="C45" s="20" t="s">
        <v>213</v>
      </c>
      <c r="D45" s="16" t="s">
        <v>216</v>
      </c>
      <c r="E45" s="20" t="s">
        <v>147</v>
      </c>
      <c r="F45" s="21" t="s">
        <v>217</v>
      </c>
    </row>
    <row r="46" customFormat="false" ht="15" hidden="false" customHeight="false" outlineLevel="0" collapsed="false">
      <c r="A46" s="19" t="n">
        <v>42</v>
      </c>
      <c r="B46" s="16" t="s">
        <v>212</v>
      </c>
      <c r="C46" s="20" t="s">
        <v>213</v>
      </c>
      <c r="D46" s="16" t="s">
        <v>218</v>
      </c>
      <c r="E46" s="20" t="s">
        <v>157</v>
      </c>
      <c r="F46" s="21" t="s">
        <v>219</v>
      </c>
    </row>
    <row r="48" customFormat="false" ht="15" hidden="false" customHeight="true" outlineLevel="0" collapsed="false">
      <c r="B48" s="22" t="s">
        <v>220</v>
      </c>
      <c r="C48" s="22"/>
      <c r="D48" s="22"/>
      <c r="E48" s="22"/>
      <c r="F48" s="22"/>
    </row>
    <row r="49" customFormat="false" ht="15" hidden="false" customHeight="true" outlineLevel="0" collapsed="false">
      <c r="B49" s="23" t="s">
        <v>221</v>
      </c>
      <c r="C49" s="23"/>
      <c r="D49" s="23"/>
      <c r="E49" s="23"/>
      <c r="F49" s="23"/>
    </row>
    <row r="50" customFormat="false" ht="15" hidden="false" customHeight="true" outlineLevel="0" collapsed="false">
      <c r="B50" s="23" t="s">
        <v>222</v>
      </c>
      <c r="C50" s="23"/>
      <c r="D50" s="23"/>
      <c r="E50" s="23"/>
      <c r="F50" s="23"/>
    </row>
    <row r="51" customFormat="false" ht="15" hidden="false" customHeight="true" outlineLevel="0" collapsed="false">
      <c r="B51" s="23" t="s">
        <v>223</v>
      </c>
      <c r="C51" s="23"/>
      <c r="D51" s="23"/>
      <c r="E51" s="23"/>
      <c r="F51" s="23"/>
    </row>
  </sheetData>
  <mergeCells count="6">
    <mergeCell ref="A1:F1"/>
    <mergeCell ref="A2:F2"/>
    <mergeCell ref="B48:F48"/>
    <mergeCell ref="B49:F49"/>
    <mergeCell ref="B50:F50"/>
    <mergeCell ref="B51:F51"/>
  </mergeCells>
  <hyperlinks>
    <hyperlink ref="F5" r:id="rId1" display="https://www.tigerlogistics.in/Annual_Report.php"/>
    <hyperlink ref="F6" r:id="rId2" display="https://www.bseindia.com/stock-share-price/tiger-logistics-india-ltd/tigerlogs/536264/financials-annual-reports/"/>
    <hyperlink ref="F7" r:id="rId3" display="https://www.allcargologistics.com/investor/logistics-annual-reports"/>
    <hyperlink ref="F8" r:id="rId4" display="https://www.bseindia.com/stock-share-price/allcargo-logistics-ltd/allcargo/532749/financials-annual-reports/"/>
    <hyperlink ref="F9" r:id="rId5" display="https://www.allcargologistics.com/cms/annual-reports/February2025/8QxMvclnT0owjBnY34Zk.pdf"/>
    <hyperlink ref="F10" r:id="rId6" display="https://www.allcargologistics.com/cms/annual-reports/February2025/Bsl5vDz8atYU5wg09BlM.pdf"/>
    <hyperlink ref="F11" r:id="rId7" display="https://www.bluedart.com/financials"/>
    <hyperlink ref="F12" r:id="rId8" display="https://www.bseindia.com/stock-share-price/blue-dart-express-ltd/bluedart/526612/financials-annual-reports/"/>
    <hyperlink ref="F13" r:id="rId9" display="https://api.bluedart.com/documents/20182/0/Blue+Dart+Annual+Report-2019-2020.pdf/995ddbb8-b493-399f-2cc7-b5444cacf917"/>
    <hyperlink ref="F14" r:id="rId10" display="https://www.bluedart.com/documents/d/guest/annual-report-2024-25"/>
    <hyperlink ref="F15" r:id="rId11" display="https://www.concorindia.co.in/annual_report.aspx"/>
    <hyperlink ref="F16" r:id="rId12" display="https://www.bseindia.com/stock-share-price/container-corporation-of-india-ltd/concor/531344/financials-annual-reports/"/>
    <hyperlink ref="F17" r:id="rId13" display="https://www.concorindia.co.in/assets/pdf/Concor10yearsperformance202324.pdf"/>
    <hyperlink ref="F18" r:id="rId14" display="https://www.jfll.com/financials/"/>
    <hyperlink ref="F19" r:id="rId15" display="https://www.bseindia.com/stock-share-price/jet-freight-logistics-ltd/jetfreight/543420/financials-annual-reports/"/>
    <hyperlink ref="F20" r:id="rId16" display="https://www.jfll.com/wp-content/uploads/2023/07/Annual-Report-2022-2023.pdf"/>
    <hyperlink ref="F21" r:id="rId17" display="https://www.jfll.com/wp-content/uploads/2024/08/Jet-Freight_Annual-Report-2023-24.pdf"/>
    <hyperlink ref="F22" r:id="rId18" display="https://www.patel-india.com/investor-information"/>
    <hyperlink ref="F23" r:id="rId19" display="https://www.bseindia.com/stock-share-price/patel-integrated-logistics-ltd/patintlog/526381/financials-annual-reports/"/>
    <hyperlink ref="F24" r:id="rId20" display="https://www.patel-india.com/Content/uploads/Pdf/a9e6fcac-f851-4790-8da3-1731db23de95_ANNUAL%20REPORT%202023-24.pdf"/>
    <hyperlink ref="F25" r:id="rId21" display="https://sical.in/investors/annual-reports/"/>
    <hyperlink ref="F26" r:id="rId22" display="https://www.bseindia.com/stock-share-price/sical-logistics-ltd/sicallog/520086/financials-annual-reports/"/>
    <hyperlink ref="F27" r:id="rId23" display="https://www.sical.in/downloads/annualreport20-21.pdf"/>
    <hyperlink ref="F28" r:id="rId24" display="https://www.sical.in/downloads/annualreport21-22.pdf"/>
    <hyperlink ref="F29" r:id="rId25" display="https://www.sical.in/downloads/annualreport23-24.pdf"/>
    <hyperlink ref="F30" r:id="rId26" display="https://www.sical.in/downloads/annualreport24-25.pdf"/>
    <hyperlink ref="F31" r:id="rId27" display="https://tcil.com/disclosures/"/>
    <hyperlink ref="F32" r:id="rId28" display="https://www.bseindia.com/stock-share-price/transport-corporation-of-india-ltd/tci/532349/financials-annual-reports/"/>
    <hyperlink ref="F33" r:id="rId29" display="https://tcil.com/wp-content/uploads/2024/07/TCI_AR_2023-24_Final_file_040724_1727-1.pdf"/>
    <hyperlink ref="F34" r:id="rId30" display="https://tcil.com/wp-content/uploads/2026/07/Notice-of-31st-AGM-and-Annual-Report.pdf"/>
    <hyperlink ref="F35" r:id="rId31" display="https://annualreport.tcil.com/"/>
    <hyperlink ref="F36" r:id="rId32" display="https://www.shreejitranslogistics.com/aboutus"/>
    <hyperlink ref="F37" r:id="rId33" display="https://www.bseindia.com/stock-share-price/shreeji-translogistics-ltd/shreeji/540738/financials-annual-reports/"/>
    <hyperlink ref="F38" r:id="rId34" display="https://www.shreejitranslogistics.com/uploads/Annual_Report_2020_2021.pdf"/>
    <hyperlink ref="F39" r:id="rId35" display="https://www.shreejitranslogistics.com/uploads/Annual_Report_2021_-_22.pdf"/>
    <hyperlink ref="F40" r:id="rId36" display="https://www.shreejitranslogistics.com/uploads/ANNUAL_REPORT_2022-23.pdf"/>
    <hyperlink ref="F41" r:id="rId37" display="https://www.shreejitranslogistics.com/uploads/ANNUAL_REPORT_2023-24.pdf"/>
    <hyperlink ref="F42" r:id="rId38" display="https://www.shreejitranslogistics.com/uploads/ANNUAL_REPORT_2024-25.pdf"/>
    <hyperlink ref="F43" r:id="rId39" display="https://mahindralogistics.com/investor-relations/"/>
    <hyperlink ref="F44" r:id="rId40" display="https://www.bseindia.com/stock-share-price/mahindra-logistics-ltd/mahlog/540768/financials-annual-reports/"/>
    <hyperlink ref="F45" r:id="rId41" display="https://mahindralogistics.com/tabs/cms/files/MLL_Integrated_Annual_Report_FY24.pdf"/>
    <hyperlink ref="F46" r:id="rId42" display="https://mahindralogistics.com/tabs/cms/files/Annual-Financial-Results-FY-2025.pdf"/>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B6CB0"/>
    <pageSetUpPr fitToPage="false"/>
  </sheetPr>
  <dimension ref="A1:Q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2"/>
    <col collapsed="false" customWidth="true" hidden="false" outlineLevel="0" max="3" min="3" style="0" width="13"/>
    <col collapsed="false" customWidth="true" hidden="false" outlineLevel="0" max="4" min="4" style="0" width="10"/>
    <col collapsed="false" customWidth="true" hidden="false" outlineLevel="0" max="5" min="5" style="0" width="48"/>
    <col collapsed="false" customWidth="true" hidden="false" outlineLevel="0" max="6" min="6" style="0" width="24"/>
    <col collapsed="false" customWidth="true" hidden="false" outlineLevel="0" max="7" min="7" style="0" width="14"/>
    <col collapsed="false" customWidth="true" hidden="false" outlineLevel="0" max="17" min="8" style="0" width="12"/>
  </cols>
  <sheetData>
    <row r="1" customFormat="false" ht="24" hidden="false" customHeight="true" outlineLevel="0" collapsed="false">
      <c r="A1" s="1" t="s">
        <v>224</v>
      </c>
      <c r="B1" s="1"/>
      <c r="C1" s="1"/>
      <c r="D1" s="1"/>
      <c r="E1" s="1"/>
      <c r="F1" s="1"/>
      <c r="G1" s="1"/>
      <c r="H1" s="1"/>
      <c r="I1" s="1"/>
      <c r="J1" s="1"/>
      <c r="K1" s="1"/>
      <c r="L1" s="1"/>
      <c r="M1" s="1"/>
      <c r="N1" s="1"/>
      <c r="O1" s="1"/>
      <c r="P1" s="1"/>
      <c r="Q1" s="1"/>
    </row>
    <row r="2" customFormat="false" ht="30" hidden="false" customHeight="true" outlineLevel="0" collapsed="false">
      <c r="A2" s="11" t="s">
        <v>225</v>
      </c>
      <c r="B2" s="11"/>
      <c r="C2" s="11"/>
      <c r="D2" s="11"/>
      <c r="E2" s="11"/>
      <c r="F2" s="11"/>
      <c r="G2" s="11"/>
      <c r="H2" s="11"/>
      <c r="I2" s="11"/>
      <c r="J2" s="11"/>
      <c r="K2" s="11"/>
      <c r="L2" s="11"/>
      <c r="M2" s="11"/>
      <c r="N2" s="11"/>
      <c r="O2" s="11"/>
      <c r="P2" s="11"/>
      <c r="Q2" s="11"/>
    </row>
    <row r="4" customFormat="false" ht="54" hidden="false" customHeight="true" outlineLevel="0" collapsed="false">
      <c r="A4" s="7" t="s">
        <v>126</v>
      </c>
      <c r="B4" s="7" t="s">
        <v>127</v>
      </c>
      <c r="C4" s="7" t="s">
        <v>226</v>
      </c>
      <c r="D4" s="7" t="s">
        <v>128</v>
      </c>
      <c r="E4" s="7" t="s">
        <v>227</v>
      </c>
      <c r="F4" s="7" t="s">
        <v>228</v>
      </c>
      <c r="G4" s="7" t="s">
        <v>229</v>
      </c>
      <c r="H4" s="7" t="s">
        <v>230</v>
      </c>
      <c r="I4" s="7" t="s">
        <v>231</v>
      </c>
      <c r="J4" s="7" t="s">
        <v>232</v>
      </c>
      <c r="K4" s="7" t="s">
        <v>233</v>
      </c>
      <c r="L4" s="7" t="s">
        <v>234</v>
      </c>
      <c r="M4" s="7" t="s">
        <v>235</v>
      </c>
      <c r="N4" s="7" t="s">
        <v>236</v>
      </c>
      <c r="O4" s="7" t="s">
        <v>237</v>
      </c>
      <c r="P4" s="7" t="s">
        <v>238</v>
      </c>
      <c r="Q4" s="7" t="s">
        <v>239</v>
      </c>
    </row>
    <row r="5" customFormat="false" ht="30" hidden="false" customHeight="true" outlineLevel="0" collapsed="false">
      <c r="A5" s="19" t="n">
        <v>1</v>
      </c>
      <c r="B5" s="21" t="s">
        <v>132</v>
      </c>
      <c r="C5" s="20" t="s">
        <v>240</v>
      </c>
      <c r="D5" s="20" t="s">
        <v>133</v>
      </c>
      <c r="E5" s="24" t="s">
        <v>241</v>
      </c>
      <c r="F5" s="24" t="s">
        <v>242</v>
      </c>
      <c r="G5" s="25" t="str">
        <f aca="false">IF(P5&gt;=MEDIAN($P$5:$P$14),"Asset-heavy","Asset-light")</f>
        <v>Asset-light</v>
      </c>
      <c r="H5" s="26" t="n">
        <f aca="false">Tiger!J7</f>
        <v>572.82</v>
      </c>
      <c r="I5" s="26" t="n">
        <f aca="false">Tiger!J49</f>
        <v>262.62</v>
      </c>
      <c r="J5" s="26" t="n">
        <f aca="false">Tiger!J82</f>
        <v>252.623</v>
      </c>
      <c r="K5" s="27" t="n">
        <f aca="false">(Tiger!J7/Tiger!D7)^(1/6)-1</f>
        <v>0.112909742792013</v>
      </c>
      <c r="L5" s="27" t="n">
        <f aca="false">Tiger!K135</f>
        <v>0.900084686790394</v>
      </c>
      <c r="M5" s="27" t="n">
        <f aca="false">Tiger!K137</f>
        <v>0.0425907906921654</v>
      </c>
      <c r="N5" s="27" t="n">
        <f aca="false">SUM(Tiger!D51:J51)/SUM(Tiger!D49:J49)</f>
        <v>0</v>
      </c>
      <c r="O5" s="27" t="n">
        <f aca="false">SUM(Tiger!D50:J50)/SUM(Tiger!D49:J49)</f>
        <v>0.542986206027472</v>
      </c>
      <c r="P5" s="27" t="n">
        <f aca="false">SUM(Tiger!D45:J45)/SUM(Tiger!D49:J49)</f>
        <v>0.0594992293599325</v>
      </c>
      <c r="Q5" s="27" t="n">
        <f aca="false">Tiger!K130</f>
        <v>0.0296294891022505</v>
      </c>
    </row>
    <row r="6" customFormat="false" ht="30" hidden="false" customHeight="true" outlineLevel="0" collapsed="false">
      <c r="A6" s="19" t="n">
        <v>2</v>
      </c>
      <c r="B6" s="21" t="s">
        <v>139</v>
      </c>
      <c r="C6" s="20" t="s">
        <v>243</v>
      </c>
      <c r="D6" s="20" t="s">
        <v>140</v>
      </c>
      <c r="E6" s="24" t="s">
        <v>244</v>
      </c>
      <c r="F6" s="24" t="s">
        <v>245</v>
      </c>
      <c r="G6" s="25" t="str">
        <f aca="false">IF(P6&gt;=MEDIAN($P$5:$P$14),"Asset-heavy","Asset-light")</f>
        <v>Asset-heavy</v>
      </c>
      <c r="H6" s="26" t="n">
        <f aca="false">Allcargo!J7</f>
        <v>2058</v>
      </c>
      <c r="I6" s="26" t="n">
        <f aca="false">Allcargo!J49</f>
        <v>1736</v>
      </c>
      <c r="J6" s="26" t="n">
        <f aca="false">Allcargo!J82</f>
        <v>1075.4204</v>
      </c>
      <c r="K6" s="27" t="n">
        <f aca="false">(Allcargo!J7/Allcargo!D7)^(1/6)-1</f>
        <v>-0.191096509123018</v>
      </c>
      <c r="L6" s="27" t="n">
        <f aca="false">Allcargo!K135</f>
        <v>0.763690757005963</v>
      </c>
      <c r="M6" s="27" t="n">
        <f aca="false">Allcargo!K137</f>
        <v>0.119427940591755</v>
      </c>
      <c r="N6" s="27" t="n">
        <f aca="false">SUM(Allcargo!D51:J51)/SUM(Allcargo!D49:J49)</f>
        <v>0.000786738885005914</v>
      </c>
      <c r="O6" s="27" t="n">
        <f aca="false">SUM(Allcargo!D50:J50)/SUM(Allcargo!D49:J49)</f>
        <v>0.286153944395471</v>
      </c>
      <c r="P6" s="27" t="n">
        <f aca="false">SUM(Allcargo!D45:J45)/SUM(Allcargo!D49:J49)</f>
        <v>0.37746853668064</v>
      </c>
      <c r="Q6" s="27" t="n">
        <f aca="false">Allcargo!K130</f>
        <v>0.0736079812006185</v>
      </c>
    </row>
    <row r="7" customFormat="false" ht="30" hidden="false" customHeight="true" outlineLevel="0" collapsed="false">
      <c r="A7" s="19" t="n">
        <v>3</v>
      </c>
      <c r="B7" s="21" t="s">
        <v>149</v>
      </c>
      <c r="C7" s="20" t="s">
        <v>246</v>
      </c>
      <c r="D7" s="20" t="s">
        <v>150</v>
      </c>
      <c r="E7" s="24" t="s">
        <v>247</v>
      </c>
      <c r="F7" s="24" t="s">
        <v>248</v>
      </c>
      <c r="G7" s="25" t="str">
        <f aca="false">IF(P7&gt;=MEDIAN($P$5:$P$14),"Asset-heavy","Asset-light")</f>
        <v>Asset-heavy</v>
      </c>
      <c r="H7" s="26" t="n">
        <f aca="false">BlueDart!J7</f>
        <v>6140.88</v>
      </c>
      <c r="I7" s="26" t="n">
        <f aca="false">BlueDart!J49</f>
        <v>4126.85</v>
      </c>
      <c r="J7" s="26" t="n">
        <f aca="false">BlueDart!J82</f>
        <v>11250.39</v>
      </c>
      <c r="K7" s="27" t="n">
        <f aca="false">(BlueDart!J7/BlueDart!D7)^(1/6)-1</f>
        <v>0.116207277972064</v>
      </c>
      <c r="L7" s="27" t="n">
        <f aca="false">BlueDart!K135</f>
        <v>0.574134449053109</v>
      </c>
      <c r="M7" s="27" t="n">
        <f aca="false">BlueDart!K137</f>
        <v>0.18587755588412</v>
      </c>
      <c r="N7" s="27" t="n">
        <f aca="false">SUM(BlueDart!D51:J51)/SUM(BlueDart!D49:J49)</f>
        <v>0.0128022423297533</v>
      </c>
      <c r="O7" s="27" t="n">
        <f aca="false">SUM(BlueDart!D50:J50)/SUM(BlueDart!D49:J49)</f>
        <v>0.203042136062517</v>
      </c>
      <c r="P7" s="27" t="n">
        <f aca="false">SUM(BlueDart!D45:J45)/SUM(BlueDart!D49:J49)</f>
        <v>0.516343534935485</v>
      </c>
      <c r="Q7" s="27" t="n">
        <f aca="false">BlueDart!K130</f>
        <v>0.176589920097321</v>
      </c>
    </row>
    <row r="8" customFormat="false" ht="30" hidden="false" customHeight="true" outlineLevel="0" collapsed="false">
      <c r="A8" s="19" t="n">
        <v>4</v>
      </c>
      <c r="B8" s="21" t="s">
        <v>159</v>
      </c>
      <c r="C8" s="20" t="s">
        <v>58</v>
      </c>
      <c r="D8" s="20" t="s">
        <v>160</v>
      </c>
      <c r="E8" s="24" t="s">
        <v>249</v>
      </c>
      <c r="F8" s="24" t="s">
        <v>250</v>
      </c>
      <c r="G8" s="25" t="str">
        <f aca="false">IF(P8&gt;=MEDIAN($P$5:$P$14),"Asset-heavy","Asset-light")</f>
        <v>Asset-heavy</v>
      </c>
      <c r="H8" s="26" t="n">
        <f aca="false">CONCOR!J7</f>
        <v>9078.97</v>
      </c>
      <c r="I8" s="26" t="n">
        <f aca="false">CONCOR!J49</f>
        <v>15175.78</v>
      </c>
      <c r="J8" s="26" t="n">
        <f aca="false">CONCOR!J82</f>
        <v>32390.848</v>
      </c>
      <c r="K8" s="27" t="n">
        <f aca="false">(CONCOR!J7/CONCOR!D7)^(1/6)-1</f>
        <v>0.0564547671940603</v>
      </c>
      <c r="L8" s="27" t="n">
        <f aca="false">CONCOR!K135</f>
        <v>0.65386661205075</v>
      </c>
      <c r="M8" s="27" t="n">
        <f aca="false">CONCOR!K137</f>
        <v>0.0555414601712696</v>
      </c>
      <c r="N8" s="27" t="n">
        <f aca="false">SUM(CONCOR!D51:J51)/SUM(CONCOR!D49:J49)</f>
        <v>0.00288254073089719</v>
      </c>
      <c r="O8" s="27" t="n">
        <f aca="false">SUM(CONCOR!D50:J50)/SUM(CONCOR!D49:J49)</f>
        <v>0.0205809317371242</v>
      </c>
      <c r="P8" s="27" t="n">
        <f aca="false">SUM(CONCOR!D45:J45)/SUM(CONCOR!D49:J49)</f>
        <v>0.446382294275201</v>
      </c>
      <c r="Q8" s="27" t="n">
        <f aca="false">CONCOR!K130</f>
        <v>0.219710191657969</v>
      </c>
    </row>
    <row r="9" customFormat="false" ht="30" hidden="false" customHeight="true" outlineLevel="0" collapsed="false">
      <c r="A9" s="19" t="n">
        <v>5</v>
      </c>
      <c r="B9" s="21" t="s">
        <v>166</v>
      </c>
      <c r="C9" s="20" t="s">
        <v>251</v>
      </c>
      <c r="D9" s="20" t="s">
        <v>167</v>
      </c>
      <c r="E9" s="24" t="s">
        <v>252</v>
      </c>
      <c r="F9" s="24" t="s">
        <v>242</v>
      </c>
      <c r="G9" s="25" t="str">
        <f aca="false">IF(P9&gt;=MEDIAN($P$5:$P$14),"Asset-heavy","Asset-light")</f>
        <v>Asset-light</v>
      </c>
      <c r="H9" s="26" t="n">
        <f aca="false">JetFreight!J7</f>
        <v>444.08</v>
      </c>
      <c r="I9" s="26" t="n">
        <f aca="false">JetFreight!J49</f>
        <v>194.09</v>
      </c>
      <c r="J9" s="26" t="n">
        <f aca="false">JetFreight!J82</f>
        <v>79.1584</v>
      </c>
      <c r="K9" s="27" t="n">
        <f aca="false">(JetFreight!J7/JetFreight!D7)^(1/6)-1</f>
        <v>0.0676848816292732</v>
      </c>
      <c r="L9" s="27" t="n">
        <f aca="false">JetFreight!K135</f>
        <v>0.924891000474347</v>
      </c>
      <c r="M9" s="27" t="n">
        <f aca="false">JetFreight!K137</f>
        <v>0.0403928709010634</v>
      </c>
      <c r="N9" s="27" t="n">
        <f aca="false">SUM(JetFreight!D51:J51)/SUM(JetFreight!D49:J49)</f>
        <v>0</v>
      </c>
      <c r="O9" s="27" t="n">
        <f aca="false">SUM(JetFreight!D50:J50)/SUM(JetFreight!D49:J49)</f>
        <v>0.423690730542766</v>
      </c>
      <c r="P9" s="27" t="n">
        <f aca="false">SUM(JetFreight!D45:J45)/SUM(JetFreight!D49:J49)</f>
        <v>0.183062000341047</v>
      </c>
      <c r="Q9" s="27" t="n">
        <f aca="false">JetFreight!K130</f>
        <v>0.0204533994732436</v>
      </c>
    </row>
    <row r="10" customFormat="false" ht="30" hidden="false" customHeight="true" outlineLevel="0" collapsed="false">
      <c r="A10" s="19" t="n">
        <v>6</v>
      </c>
      <c r="B10" s="21" t="s">
        <v>174</v>
      </c>
      <c r="C10" s="20" t="s">
        <v>253</v>
      </c>
      <c r="D10" s="20" t="s">
        <v>175</v>
      </c>
      <c r="E10" s="24" t="s">
        <v>254</v>
      </c>
      <c r="F10" s="24" t="s">
        <v>255</v>
      </c>
      <c r="G10" s="25" t="str">
        <f aca="false">IF(P10&gt;=MEDIAN($P$5:$P$14),"Asset-heavy","Asset-light")</f>
        <v>Asset-light</v>
      </c>
      <c r="H10" s="26" t="n">
        <f aca="false">Patel!J7</f>
        <v>357.14</v>
      </c>
      <c r="I10" s="26" t="n">
        <f aca="false">Patel!J49</f>
        <v>163.32</v>
      </c>
      <c r="J10" s="26" t="n">
        <f aca="false">Patel!J82</f>
        <v>57.4896</v>
      </c>
      <c r="K10" s="27" t="n">
        <f aca="false">(Patel!J7/Patel!D7)^(1/6)-1</f>
        <v>0.00461431717758476</v>
      </c>
      <c r="L10" s="27" t="n">
        <f aca="false">Patel!K135</f>
        <v>0.900836735861549</v>
      </c>
      <c r="M10" s="27" t="n">
        <f aca="false">Patel!K137</f>
        <v>0.0465668384421152</v>
      </c>
      <c r="N10" s="27" t="n">
        <f aca="false">SUM(Patel!D51:J51)/SUM(Patel!D49:J49)</f>
        <v>0</v>
      </c>
      <c r="O10" s="27" t="n">
        <f aca="false">SUM(Patel!D50:J50)/SUM(Patel!D49:J49)</f>
        <v>0.417043853365555</v>
      </c>
      <c r="P10" s="27" t="n">
        <f aca="false">SUM(Patel!D45:J45)/SUM(Patel!D49:J49)</f>
        <v>0.281571510662248</v>
      </c>
      <c r="Q10" s="27" t="n">
        <f aca="false">Patel!K130</f>
        <v>0.0290875003340588</v>
      </c>
    </row>
    <row r="11" customFormat="false" ht="30" hidden="false" customHeight="true" outlineLevel="0" collapsed="false">
      <c r="A11" s="19" t="n">
        <v>7</v>
      </c>
      <c r="B11" s="21" t="s">
        <v>180</v>
      </c>
      <c r="C11" s="20" t="s">
        <v>256</v>
      </c>
      <c r="D11" s="20" t="s">
        <v>181</v>
      </c>
      <c r="E11" s="24" t="s">
        <v>257</v>
      </c>
      <c r="F11" s="24" t="s">
        <v>258</v>
      </c>
      <c r="G11" s="25" t="str">
        <f aca="false">IF(P11&gt;=MEDIAN($P$5:$P$14),"Asset-heavy","Asset-light")</f>
        <v>Asset-heavy</v>
      </c>
      <c r="H11" s="26" t="n">
        <f aca="false">Sical!J7</f>
        <v>385.68</v>
      </c>
      <c r="I11" s="26" t="n">
        <f aca="false">Sical!J49</f>
        <v>906.73</v>
      </c>
      <c r="J11" s="26" t="n">
        <f aca="false">Sical!J82</f>
        <v>502.69378</v>
      </c>
      <c r="K11" s="27" t="n">
        <f aca="false">(Sical!J7/Sical!D7)^(1/6)-1</f>
        <v>-0.147653132647043</v>
      </c>
      <c r="L11" s="27" t="n">
        <f aca="false">Sical!K135</f>
        <v>0.770076868587787</v>
      </c>
      <c r="M11" s="27" t="n">
        <f aca="false">Sical!K137</f>
        <v>0.0949751976748492</v>
      </c>
      <c r="N11" s="27" t="n">
        <f aca="false">SUM(Sical!D51:J51)/SUM(Sical!D49:J49)</f>
        <v>0.00493941811141274</v>
      </c>
      <c r="O11" s="27" t="n">
        <f aca="false">SUM(Sical!D50:J50)/SUM(Sical!D49:J49)</f>
        <v>0.0917903207426806</v>
      </c>
      <c r="P11" s="27" t="n">
        <f aca="false">SUM(Sical!D45:J45)/SUM(Sical!D49:J49)</f>
        <v>0.51796156881372</v>
      </c>
      <c r="Q11" s="27" t="n">
        <f aca="false">Sical!K130</f>
        <v>0.0417206117780169</v>
      </c>
    </row>
    <row r="12" customFormat="false" ht="30" hidden="false" customHeight="true" outlineLevel="0" collapsed="false">
      <c r="A12" s="19" t="n">
        <v>8</v>
      </c>
      <c r="B12" s="21" t="s">
        <v>192</v>
      </c>
      <c r="C12" s="20" t="s">
        <v>66</v>
      </c>
      <c r="D12" s="20" t="s">
        <v>193</v>
      </c>
      <c r="E12" s="24" t="s">
        <v>259</v>
      </c>
      <c r="F12" s="24" t="s">
        <v>260</v>
      </c>
      <c r="G12" s="25" t="str">
        <f aca="false">IF(P12&gt;=MEDIAN($P$5:$P$14),"Asset-heavy","Asset-light")</f>
        <v>Asset-heavy</v>
      </c>
      <c r="H12" s="26" t="n">
        <f aca="false">TCI!J7</f>
        <v>4916.77</v>
      </c>
      <c r="I12" s="26" t="n">
        <f aca="false">TCI!J49</f>
        <v>3481.86</v>
      </c>
      <c r="J12" s="26" t="n">
        <f aca="false">TCI!J82</f>
        <v>7079.41</v>
      </c>
      <c r="K12" s="27" t="n">
        <f aca="false">(TCI!J7/TCI!D7)^(1/6)-1</f>
        <v>0.103848150926249</v>
      </c>
      <c r="L12" s="27" t="n">
        <f aca="false">TCI!K135</f>
        <v>0.8143326040833</v>
      </c>
      <c r="M12" s="27" t="n">
        <f aca="false">TCI!K137</f>
        <v>0.0547118090587301</v>
      </c>
      <c r="N12" s="27" t="n">
        <f aca="false">SUM(TCI!D51:J51)/SUM(TCI!D49:J49)</f>
        <v>0.00362935350296545</v>
      </c>
      <c r="O12" s="27" t="n">
        <f aca="false">SUM(TCI!D50:J50)/SUM(TCI!D49:J49)</f>
        <v>0.258580371984145</v>
      </c>
      <c r="P12" s="27" t="n">
        <f aca="false">SUM(TCI!D45:J45)/SUM(TCI!D49:J49)</f>
        <v>0.380340141239882</v>
      </c>
      <c r="Q12" s="27" t="n">
        <f aca="false">TCI!K130</f>
        <v>0.104606363976023</v>
      </c>
    </row>
    <row r="13" customFormat="false" ht="30" hidden="false" customHeight="true" outlineLevel="0" collapsed="false">
      <c r="A13" s="19" t="n">
        <v>9</v>
      </c>
      <c r="B13" s="21" t="s">
        <v>203</v>
      </c>
      <c r="C13" s="20" t="s">
        <v>261</v>
      </c>
      <c r="D13" s="20" t="s">
        <v>204</v>
      </c>
      <c r="E13" s="24" t="s">
        <v>262</v>
      </c>
      <c r="F13" s="24" t="s">
        <v>263</v>
      </c>
      <c r="G13" s="25" t="str">
        <f aca="false">IF(P13&gt;=MEDIAN($P$5:$P$14),"Asset-heavy","Asset-light")</f>
        <v>Asset-light</v>
      </c>
      <c r="H13" s="26" t="n">
        <f aca="false">Shreeji!J7</f>
        <v>234.29</v>
      </c>
      <c r="I13" s="26" t="n">
        <f aca="false">Shreeji!J49</f>
        <v>119.52</v>
      </c>
      <c r="J13" s="26" t="n">
        <f aca="false">Shreeji!J82</f>
        <v>41.1012</v>
      </c>
      <c r="K13" s="27" t="n">
        <f aca="false">(Shreeji!J7/Shreeji!D7)^(1/6)-1</f>
        <v>0.134297159525222</v>
      </c>
      <c r="L13" s="27" t="n">
        <f aca="false">Shreeji!K135</f>
        <v>0.804286740396193</v>
      </c>
      <c r="M13" s="27" t="n">
        <f aca="false">Shreeji!K137</f>
        <v>0.0593678309318563</v>
      </c>
      <c r="N13" s="27" t="n">
        <f aca="false">SUM(Shreeji!D51:J51)/SUM(Shreeji!D49:J49)</f>
        <v>0.0218440794381342</v>
      </c>
      <c r="O13" s="27" t="n">
        <f aca="false">SUM(Shreeji!D50:J50)/SUM(Shreeji!D49:J49)</f>
        <v>0.51219580852651</v>
      </c>
      <c r="P13" s="27" t="n">
        <f aca="false">SUM(Shreeji!D45:J45)/SUM(Shreeji!D49:J49)</f>
        <v>0.251741755689735</v>
      </c>
      <c r="Q13" s="27" t="n">
        <f aca="false">Shreeji!K130</f>
        <v>0.0721030232812661</v>
      </c>
    </row>
    <row r="14" customFormat="false" ht="30" hidden="false" customHeight="true" outlineLevel="0" collapsed="false">
      <c r="A14" s="19" t="n">
        <v>10</v>
      </c>
      <c r="B14" s="21" t="s">
        <v>212</v>
      </c>
      <c r="C14" s="20" t="s">
        <v>264</v>
      </c>
      <c r="D14" s="20" t="s">
        <v>213</v>
      </c>
      <c r="E14" s="24" t="s">
        <v>265</v>
      </c>
      <c r="F14" s="24" t="s">
        <v>266</v>
      </c>
      <c r="G14" s="25" t="str">
        <f aca="false">IF(P14&gt;=MEDIAN($P$5:$P$14),"Asset-heavy","Asset-light")</f>
        <v>Asset-light</v>
      </c>
      <c r="H14" s="26" t="n">
        <f aca="false">MahindraLog!J7</f>
        <v>6999.3</v>
      </c>
      <c r="I14" s="26" t="n">
        <f aca="false">MahindraLog!J49</f>
        <v>3105.01</v>
      </c>
      <c r="J14" s="26" t="n">
        <f aca="false">MahindraLog!J82</f>
        <v>3301.376</v>
      </c>
      <c r="K14" s="27" t="n">
        <f aca="false">(MahindraLog!J7/MahindraLog!D7)^(1/6)-1</f>
        <v>0.123993361855835</v>
      </c>
      <c r="L14" s="27" t="n">
        <f aca="false">MahindraLog!K135</f>
        <v>0.856153378588611</v>
      </c>
      <c r="M14" s="27" t="n">
        <f aca="false">MahindraLog!K137</f>
        <v>0.0749994402415881</v>
      </c>
      <c r="N14" s="27" t="n">
        <f aca="false">SUM(MahindraLog!D51:J51)/SUM(MahindraLog!D49:J49)</f>
        <v>0.000116469259711258</v>
      </c>
      <c r="O14" s="27" t="n">
        <f aca="false">SUM(MahindraLog!D50:J50)/SUM(MahindraLog!D49:J49)</f>
        <v>0.264537768955372</v>
      </c>
      <c r="P14" s="27" t="n">
        <f aca="false">SUM(MahindraLog!D45:J45)/SUM(MahindraLog!D49:J49)</f>
        <v>0.3060558951169</v>
      </c>
      <c r="Q14" s="27" t="n">
        <f aca="false">MahindraLog!K130</f>
        <v>0.046407246628758</v>
      </c>
    </row>
    <row r="15" customFormat="false" ht="15" hidden="false" customHeight="false" outlineLevel="0" collapsed="false">
      <c r="B15" s="28" t="s">
        <v>267</v>
      </c>
      <c r="H15" s="29" t="n">
        <f aca="false">MEDIAN(H5:H14)</f>
        <v>1315.41</v>
      </c>
      <c r="I15" s="29" t="n">
        <f aca="false">MEDIAN(I5:I14)</f>
        <v>1321.365</v>
      </c>
      <c r="J15" s="29" t="n">
        <f aca="false">MEDIAN(J5:J14)</f>
        <v>789.05709</v>
      </c>
      <c r="K15" s="30" t="n">
        <f aca="false">MEDIAN(K5:K14)</f>
        <v>0.085766516277761</v>
      </c>
      <c r="L15" s="30" t="n">
        <f aca="false">MEDIAN(L5:L14)</f>
        <v>0.809309672239746</v>
      </c>
      <c r="M15" s="30" t="n">
        <f aca="false">MEDIAN(M5:M14)</f>
        <v>0.057454645551563</v>
      </c>
      <c r="N15" s="30" t="n">
        <f aca="false">MEDIAN(N5:N14)</f>
        <v>0.00183463980795155</v>
      </c>
      <c r="O15" s="30" t="n">
        <f aca="false">MEDIAN(O5:O14)</f>
        <v>0.275345856675421</v>
      </c>
      <c r="P15" s="30" t="n">
        <f aca="false">MEDIAN(P5:P14)</f>
        <v>0.34176221589877</v>
      </c>
      <c r="Q15" s="30" t="n">
        <f aca="false">MEDIAN(Q5:Q14)</f>
        <v>0.0592551349550121</v>
      </c>
    </row>
    <row r="16" customFormat="false" ht="15" hidden="false" customHeight="false" outlineLevel="0" collapsed="false">
      <c r="B16" s="28" t="s">
        <v>268</v>
      </c>
      <c r="H16" s="29" t="n">
        <f aca="false">AVERAGE(H5:H14)</f>
        <v>3118.793</v>
      </c>
      <c r="I16" s="29" t="n">
        <f aca="false">AVERAGE(I5:I14)</f>
        <v>2927.178</v>
      </c>
      <c r="J16" s="29" t="n">
        <f aca="false">AVERAGE(J5:J14)</f>
        <v>5603.051038</v>
      </c>
      <c r="K16" s="30" t="n">
        <f aca="false">AVERAGE(K5:K14)</f>
        <v>0.038126001730224</v>
      </c>
      <c r="L16" s="30" t="n">
        <f aca="false">AVERAGE(L5:L14)</f>
        <v>0.7962353832892</v>
      </c>
      <c r="M16" s="30" t="n">
        <f aca="false">AVERAGE(M5:M14)</f>
        <v>0.0774451734589512</v>
      </c>
      <c r="N16" s="30" t="n">
        <f aca="false">AVERAGE(N5:N14)</f>
        <v>0.00470008422578801</v>
      </c>
      <c r="O16" s="30" t="n">
        <f aca="false">AVERAGE(O5:O14)</f>
        <v>0.302060207233961</v>
      </c>
      <c r="P16" s="30" t="n">
        <f aca="false">AVERAGE(P5:P14)</f>
        <v>0.332042646711479</v>
      </c>
      <c r="Q16" s="30" t="n">
        <f aca="false">AVERAGE(Q5:Q14)</f>
        <v>0.0813915727529525</v>
      </c>
    </row>
    <row r="17" customFormat="false" ht="15" hidden="false" customHeight="false" outlineLevel="0" collapsed="false">
      <c r="B17" s="28" t="s">
        <v>269</v>
      </c>
      <c r="H17" s="29" t="n">
        <f aca="false">MIN(H5:H14)</f>
        <v>234.29</v>
      </c>
      <c r="I17" s="29" t="n">
        <f aca="false">MIN(I5:I14)</f>
        <v>119.52</v>
      </c>
      <c r="J17" s="29" t="n">
        <f aca="false">MIN(J5:J14)</f>
        <v>41.1012</v>
      </c>
      <c r="K17" s="30" t="n">
        <f aca="false">MIN(K5:K14)</f>
        <v>-0.191096509123018</v>
      </c>
      <c r="L17" s="30" t="n">
        <f aca="false">MIN(L5:L14)</f>
        <v>0.574134449053109</v>
      </c>
      <c r="M17" s="30" t="n">
        <f aca="false">MIN(M5:M14)</f>
        <v>0.0403928709010634</v>
      </c>
      <c r="N17" s="30" t="n">
        <f aca="false">MIN(N5:N14)</f>
        <v>0</v>
      </c>
      <c r="O17" s="30" t="n">
        <f aca="false">MIN(O5:O14)</f>
        <v>0.0205809317371242</v>
      </c>
      <c r="P17" s="30" t="n">
        <f aca="false">MIN(P5:P14)</f>
        <v>0.0594992293599325</v>
      </c>
      <c r="Q17" s="30" t="n">
        <f aca="false">MIN(Q5:Q14)</f>
        <v>0.0204533994732436</v>
      </c>
    </row>
    <row r="18" customFormat="false" ht="15" hidden="false" customHeight="false" outlineLevel="0" collapsed="false">
      <c r="B18" s="28" t="s">
        <v>270</v>
      </c>
      <c r="H18" s="29" t="n">
        <f aca="false">MAX(H5:H14)</f>
        <v>9078.97</v>
      </c>
      <c r="I18" s="29" t="n">
        <f aca="false">MAX(I5:I14)</f>
        <v>15175.78</v>
      </c>
      <c r="J18" s="29" t="n">
        <f aca="false">MAX(J5:J14)</f>
        <v>32390.848</v>
      </c>
      <c r="K18" s="30" t="n">
        <f aca="false">MAX(K5:K14)</f>
        <v>0.134297159525222</v>
      </c>
      <c r="L18" s="30" t="n">
        <f aca="false">MAX(L5:L14)</f>
        <v>0.924891000474347</v>
      </c>
      <c r="M18" s="30" t="n">
        <f aca="false">MAX(M5:M14)</f>
        <v>0.18587755588412</v>
      </c>
      <c r="N18" s="30" t="n">
        <f aca="false">MAX(N5:N14)</f>
        <v>0.0218440794381342</v>
      </c>
      <c r="O18" s="30" t="n">
        <f aca="false">MAX(O5:O14)</f>
        <v>0.542986206027472</v>
      </c>
      <c r="P18" s="30" t="n">
        <f aca="false">MAX(P5:P14)</f>
        <v>0.51796156881372</v>
      </c>
      <c r="Q18" s="30" t="n">
        <f aca="false">MAX(Q5:Q14)</f>
        <v>0.219710191657969</v>
      </c>
    </row>
    <row r="19" customFormat="false" ht="15" hidden="false" customHeight="false" outlineLevel="0" collapsed="false">
      <c r="B19" s="28" t="s">
        <v>271</v>
      </c>
      <c r="H19" s="31" t="n">
        <f aca="false">IF(ABS(AVERAGE(H5:H14))&gt;0,STDEV(H5:H14)/ABS(AVERAGE(H5:H14)),"N/M")</f>
        <v>1.07479060228286</v>
      </c>
      <c r="I19" s="31" t="n">
        <f aca="false">IF(ABS(AVERAGE(I5:I14))&gt;0,STDEV(I5:I14)/ABS(AVERAGE(I5:I14)),"N/M")</f>
        <v>1.55888355347722</v>
      </c>
      <c r="J19" s="31" t="n">
        <f aca="false">IF(ABS(AVERAGE(J5:J14))&gt;0,STDEV(J5:J14)/ABS(AVERAGE(J5:J14)),"N/M")</f>
        <v>1.80867343112516</v>
      </c>
      <c r="K19" s="31" t="n">
        <f aca="false">IF(ABS(AVERAGE(K5:K14))&gt;0,STDEV(K5:K14)/ABS(AVERAGE(K5:K14)),"N/M")</f>
        <v>3.05403209869752</v>
      </c>
      <c r="L19" s="31" t="n">
        <f aca="false">IF(ABS(AVERAGE(L5:L14))&gt;0,STDEV(L5:L14)/ABS(AVERAGE(L5:L14)),"N/M")</f>
        <v>0.141101055727846</v>
      </c>
      <c r="M19" s="31" t="n">
        <f aca="false">IF(ABS(AVERAGE(M5:M14))&gt;0,STDEV(M5:M14)/ABS(AVERAGE(M5:M14)),"N/M")</f>
        <v>0.588547463152672</v>
      </c>
      <c r="N19" s="31" t="n">
        <f aca="false">IF(ABS(AVERAGE(N5:N14))&gt;0,STDEV(N5:N14)/ABS(AVERAGE(N5:N14)),"N/M")</f>
        <v>1.5320596777092</v>
      </c>
      <c r="O19" s="31" t="n">
        <f aca="false">IF(ABS(AVERAGE(O5:O14))&gt;0,STDEV(O5:O14)/ABS(AVERAGE(O5:O14)),"N/M")</f>
        <v>0.570236663908951</v>
      </c>
      <c r="P19" s="31" t="n">
        <f aca="false">IF(ABS(AVERAGE(P5:P14))&gt;0,STDEV(P5:P14)/ABS(AVERAGE(P5:P14)),"N/M")</f>
        <v>0.440051261068441</v>
      </c>
      <c r="Q19" s="31" t="n">
        <f aca="false">IF(ABS(AVERAGE(Q5:Q14))&gt;0,STDEV(Q5:Q14)/ABS(AVERAGE(Q5:Q14)),"N/M")</f>
        <v>0.827304169842387</v>
      </c>
    </row>
    <row r="21" customFormat="false" ht="30" hidden="false" customHeight="true" outlineLevel="0" collapsed="false">
      <c r="B21" s="18" t="s">
        <v>272</v>
      </c>
      <c r="C21" s="18"/>
      <c r="D21" s="18"/>
      <c r="E21" s="18"/>
      <c r="F21" s="18"/>
      <c r="G21" s="18"/>
      <c r="H21" s="18"/>
      <c r="I21" s="18"/>
      <c r="J21" s="18"/>
      <c r="K21" s="18"/>
      <c r="L21" s="18"/>
      <c r="M21" s="18"/>
      <c r="N21" s="18"/>
      <c r="O21" s="18"/>
      <c r="P21" s="18"/>
      <c r="Q21" s="18"/>
    </row>
  </sheetData>
  <mergeCells count="3">
    <mergeCell ref="A1:Q1"/>
    <mergeCell ref="A2:Q2"/>
    <mergeCell ref="B21:Q21"/>
  </mergeCells>
  <hyperlinks>
    <hyperlink ref="B5" location="'Tiger'!A1" display="Tiger Logistics (India) Ltd"/>
    <hyperlink ref="B6" location="'Allcargo'!A1" display="Allcargo Logistics Ltd"/>
    <hyperlink ref="B7" location="'BlueDart'!A1" display="Blue Dart Express Ltd"/>
    <hyperlink ref="B8" location="'CONCOR'!A1" display="Container Corporation of India Ltd"/>
    <hyperlink ref="B9" location="'JetFreight'!A1" display="Jet Freight Logistics Ltd"/>
    <hyperlink ref="B10" location="'Patel'!A1" display="Patel Integrated Logistics Ltd"/>
    <hyperlink ref="B11" location="'Sical'!A1" display="Sical Logistics Ltd"/>
    <hyperlink ref="B12" location="'TCI'!A1" display="Transport Corporation of India Ltd"/>
    <hyperlink ref="B13" location="'Shreeji'!A1" display="Shreeji Translogistics Ltd"/>
    <hyperlink ref="B14" location="'MahindraLog'!A1" display="Mahindra Logistics Ltd"/>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B6CB0"/>
    <pageSetUpPr fitToPage="false"/>
  </sheetPr>
  <dimension ref="A1:O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7"/>
    <col collapsed="false" customWidth="true" hidden="false" outlineLevel="0" max="12" min="3" style="0" width="11"/>
    <col collapsed="false" customWidth="true" hidden="false" outlineLevel="0" max="13" min="13" style="0" width="13"/>
    <col collapsed="false" customWidth="true" hidden="false" outlineLevel="0" max="14" min="14" style="0" width="12"/>
  </cols>
  <sheetData>
    <row r="1" customFormat="false" ht="24" hidden="false" customHeight="true" outlineLevel="0" collapsed="false">
      <c r="A1" s="1" t="s">
        <v>273</v>
      </c>
      <c r="B1" s="1"/>
      <c r="C1" s="1"/>
      <c r="D1" s="1"/>
      <c r="E1" s="1"/>
      <c r="F1" s="1"/>
      <c r="G1" s="1"/>
      <c r="H1" s="1"/>
      <c r="I1" s="1"/>
      <c r="J1" s="1"/>
      <c r="K1" s="1"/>
      <c r="L1" s="1"/>
      <c r="M1" s="1"/>
      <c r="N1" s="1"/>
      <c r="O1" s="1"/>
    </row>
    <row r="2" customFormat="false" ht="30" hidden="false" customHeight="true" outlineLevel="0" collapsed="false">
      <c r="A2" s="11" t="s">
        <v>274</v>
      </c>
      <c r="B2" s="11"/>
      <c r="C2" s="11"/>
      <c r="D2" s="11"/>
      <c r="E2" s="11"/>
      <c r="F2" s="11"/>
      <c r="G2" s="11"/>
      <c r="H2" s="11"/>
      <c r="I2" s="11"/>
      <c r="J2" s="11"/>
      <c r="K2" s="11"/>
      <c r="L2" s="11"/>
      <c r="M2" s="11"/>
      <c r="N2" s="11"/>
      <c r="O2" s="11"/>
    </row>
    <row r="4" customFormat="false" ht="19.5" hidden="false" customHeight="true" outlineLevel="0" collapsed="false">
      <c r="A4" s="3" t="s">
        <v>275</v>
      </c>
      <c r="B4" s="3"/>
      <c r="C4" s="3"/>
      <c r="D4" s="3"/>
      <c r="E4" s="3"/>
      <c r="F4" s="3"/>
      <c r="G4" s="3"/>
      <c r="H4" s="3"/>
      <c r="I4" s="3"/>
      <c r="J4" s="3"/>
      <c r="K4" s="3"/>
      <c r="L4" s="3"/>
      <c r="M4" s="3"/>
      <c r="N4" s="3"/>
    </row>
    <row r="5" customFormat="false" ht="30" hidden="false" customHeight="true" outlineLevel="0" collapsed="false">
      <c r="A5" s="7" t="s">
        <v>91</v>
      </c>
      <c r="B5" s="7" t="s">
        <v>276</v>
      </c>
      <c r="C5" s="7" t="s">
        <v>52</v>
      </c>
      <c r="D5" s="7" t="s">
        <v>54</v>
      </c>
      <c r="E5" s="7" t="s">
        <v>277</v>
      </c>
      <c r="F5" s="7" t="s">
        <v>58</v>
      </c>
      <c r="G5" s="7" t="s">
        <v>278</v>
      </c>
      <c r="H5" s="7" t="s">
        <v>62</v>
      </c>
      <c r="I5" s="7" t="s">
        <v>64</v>
      </c>
      <c r="J5" s="7" t="s">
        <v>66</v>
      </c>
      <c r="K5" s="7" t="s">
        <v>68</v>
      </c>
      <c r="L5" s="7" t="s">
        <v>279</v>
      </c>
      <c r="M5" s="7" t="s">
        <v>280</v>
      </c>
      <c r="N5" s="7" t="s">
        <v>281</v>
      </c>
    </row>
    <row r="6" customFormat="false" ht="15" hidden="false" customHeight="false" outlineLevel="0" collapsed="false">
      <c r="A6" s="16" t="s">
        <v>95</v>
      </c>
      <c r="B6" s="32" t="s">
        <v>282</v>
      </c>
      <c r="C6" s="33" t="n">
        <f aca="false">Tiger!K95</f>
        <v>4.88323167431985</v>
      </c>
      <c r="D6" s="33" t="n">
        <f aca="false">Allcargo!K95</f>
        <v>1.65598830293376</v>
      </c>
      <c r="E6" s="33" t="n">
        <f aca="false">BlueDart!K95</f>
        <v>1.2083102109605</v>
      </c>
      <c r="F6" s="33" t="n">
        <f aca="false">CONCOR!K95</f>
        <v>3.90969873265632</v>
      </c>
      <c r="G6" s="33" t="n">
        <f aca="false">JetFreight!K95</f>
        <v>2.73992955998531</v>
      </c>
      <c r="H6" s="33" t="n">
        <f aca="false">Patel!K95</f>
        <v>5.58170340121169</v>
      </c>
      <c r="I6" s="33" t="n">
        <f aca="false">Sical!K95</f>
        <v>0.719562197687531</v>
      </c>
      <c r="J6" s="33" t="n">
        <f aca="false">TCI!K95</f>
        <v>2.87685463611588</v>
      </c>
      <c r="K6" s="33" t="n">
        <f aca="false">Shreeji!K95</f>
        <v>5.09755334772641</v>
      </c>
      <c r="L6" s="33" t="n">
        <f aca="false">MahindraLog!K95</f>
        <v>1.41298844952593</v>
      </c>
      <c r="M6" s="34" t="n">
        <f aca="false">Industry!K96</f>
        <v>1.9742086624198</v>
      </c>
      <c r="N6" s="35" t="n">
        <f aca="false">IF(COUNT(C6:L6)=0,"N/M",MEDIAN(C6:L6))</f>
        <v>2.8083920980506</v>
      </c>
    </row>
    <row r="7" customFormat="false" ht="15" hidden="false" customHeight="false" outlineLevel="0" collapsed="false">
      <c r="A7" s="16" t="s">
        <v>99</v>
      </c>
      <c r="B7" s="32" t="s">
        <v>282</v>
      </c>
      <c r="C7" s="33" t="n">
        <f aca="false">Tiger!K96</f>
        <v>4.16905973552597</v>
      </c>
      <c r="D7" s="33" t="n">
        <f aca="false">Allcargo!K96</f>
        <v>1.06366741156185</v>
      </c>
      <c r="E7" s="33" t="n">
        <f aca="false">BlueDart!K96</f>
        <v>0.820470158005804</v>
      </c>
      <c r="F7" s="33" t="n">
        <f aca="false">CONCOR!K96</f>
        <v>2.39525445912704</v>
      </c>
      <c r="G7" s="33" t="n">
        <f aca="false">JetFreight!K96</f>
        <v>1.62069698252974</v>
      </c>
      <c r="H7" s="33" t="n">
        <f aca="false">Patel!K96</f>
        <v>4.39141088155559</v>
      </c>
      <c r="I7" s="33" t="n">
        <f aca="false">Sical!K96</f>
        <v>0.466819490236621</v>
      </c>
      <c r="J7" s="33" t="n">
        <f aca="false">TCI!K96</f>
        <v>1.98385165879628</v>
      </c>
      <c r="K7" s="33" t="n">
        <f aca="false">Shreeji!K96</f>
        <v>3.8810091141249</v>
      </c>
      <c r="L7" s="33" t="n">
        <f aca="false">MahindraLog!K96</f>
        <v>0.698633754616868</v>
      </c>
      <c r="M7" s="34" t="n">
        <f aca="false">Industry!K97</f>
        <v>1.24489073048075</v>
      </c>
      <c r="N7" s="35" t="n">
        <f aca="false">IF(COUNT(C7:L7)=0,"N/M",MEDIAN(C7:L7))</f>
        <v>1.80227432066301</v>
      </c>
    </row>
    <row r="8" customFormat="false" ht="15" hidden="false" customHeight="false" outlineLevel="0" collapsed="false">
      <c r="A8" s="16" t="s">
        <v>283</v>
      </c>
      <c r="B8" s="32" t="s">
        <v>282</v>
      </c>
      <c r="C8" s="33" t="n">
        <f aca="false">Tiger!K99</f>
        <v>0.122950184600283</v>
      </c>
      <c r="D8" s="33" t="n">
        <f aca="false">Allcargo!K99</f>
        <v>0.331501849844532</v>
      </c>
      <c r="E8" s="33" t="n">
        <f aca="false">BlueDart!K99</f>
        <v>0.727769844537111</v>
      </c>
      <c r="F8" s="33" t="n">
        <f aca="false">CONCOR!K99</f>
        <v>1.25136673931234</v>
      </c>
      <c r="G8" s="33" t="n">
        <f aca="false">JetFreight!K99</f>
        <v>-0.114148685885126</v>
      </c>
      <c r="H8" s="33" t="n">
        <f aca="false">Patel!K99</f>
        <v>0.108352874165978</v>
      </c>
      <c r="I8" s="33" t="n">
        <f aca="false">Sical!K99</f>
        <v>0.120595110765776</v>
      </c>
      <c r="J8" s="33" t="n">
        <f aca="false">TCI!K99</f>
        <v>0.99039577850386</v>
      </c>
      <c r="K8" s="33" t="n">
        <f aca="false">Shreeji!K99</f>
        <v>0.430816072564066</v>
      </c>
      <c r="L8" s="33" t="n">
        <f aca="false">MahindraLog!K99</f>
        <v>0.201611133455658</v>
      </c>
      <c r="M8" s="34" t="n">
        <f aca="false">Industry!K100</f>
        <v>0.557632142843733</v>
      </c>
      <c r="N8" s="35" t="n">
        <f aca="false">IF(COUNT(C8:L8)=0,"N/M",MEDIAN(C8:L8))</f>
        <v>0.266556491650095</v>
      </c>
    </row>
    <row r="9" customFormat="false" ht="15" hidden="false" customHeight="false" outlineLevel="0" collapsed="false">
      <c r="A9" s="16" t="s">
        <v>284</v>
      </c>
      <c r="B9" s="32" t="s">
        <v>285</v>
      </c>
      <c r="C9" s="33" t="n">
        <f aca="false">Tiger!K101</f>
        <v>0.246617868662109</v>
      </c>
      <c r="D9" s="33" t="n">
        <f aca="false">Allcargo!K101</f>
        <v>0.876121631518016</v>
      </c>
      <c r="E9" s="33" t="n">
        <f aca="false">BlueDart!K101</f>
        <v>1.12807548770916</v>
      </c>
      <c r="F9" s="33" t="n">
        <f aca="false">CONCOR!K101</f>
        <v>0.0627363663295786</v>
      </c>
      <c r="G9" s="33" t="n">
        <f aca="false">JetFreight!K101</f>
        <v>1.35508447694488</v>
      </c>
      <c r="H9" s="33" t="n">
        <f aca="false">Patel!K101</f>
        <v>0.296341736249049</v>
      </c>
      <c r="I9" s="33" t="n">
        <f aca="false">Sical!K101</f>
        <v>8.24788366174122</v>
      </c>
      <c r="J9" s="33" t="n">
        <f aca="false">TCI!K101</f>
        <v>0.159776229534098</v>
      </c>
      <c r="K9" s="33" t="n">
        <f aca="false">Shreeji!K101</f>
        <v>1.21796894224654</v>
      </c>
      <c r="L9" s="33" t="n">
        <f aca="false">MahindraLog!K101</f>
        <v>1.01480623740329</v>
      </c>
      <c r="M9" s="34" t="n">
        <f aca="false">Industry!K102</f>
        <v>0.309637219356156</v>
      </c>
      <c r="N9" s="35" t="n">
        <f aca="false">IF(COUNT(C9:L9)=0,"N/M",MEDIAN(C9:L9))</f>
        <v>0.945463934460655</v>
      </c>
    </row>
    <row r="10" customFormat="false" ht="15" hidden="false" customHeight="false" outlineLevel="0" collapsed="false">
      <c r="A10" s="16" t="s">
        <v>110</v>
      </c>
      <c r="B10" s="32" t="s">
        <v>286</v>
      </c>
      <c r="C10" s="33" t="n">
        <f aca="false">Tiger!K105</f>
        <v>0.645801933659141</v>
      </c>
      <c r="D10" s="33" t="n">
        <f aca="false">Allcargo!K105</f>
        <v>0.348698928473768</v>
      </c>
      <c r="E10" s="33" t="n">
        <f aca="false">BlueDart!K105</f>
        <v>0.330809716731822</v>
      </c>
      <c r="F10" s="33" t="n">
        <f aca="false">CONCOR!K105</f>
        <v>0.84060614882963</v>
      </c>
      <c r="G10" s="33" t="n">
        <f aca="false">JetFreight!K105</f>
        <v>0.306492044917403</v>
      </c>
      <c r="H10" s="33" t="n">
        <f aca="false">Patel!K105</f>
        <v>0.661748529089385</v>
      </c>
      <c r="I10" s="33" t="n">
        <f aca="false">Sical!K105</f>
        <v>-0.0797948828130478</v>
      </c>
      <c r="J10" s="33" t="n">
        <f aca="false">TCI!K105</f>
        <v>0.735181623223373</v>
      </c>
      <c r="K10" s="33" t="n">
        <f aca="false">Shreeji!K105</f>
        <v>0.40325419743838</v>
      </c>
      <c r="L10" s="33" t="n">
        <f aca="false">MahindraLog!K105</f>
        <v>0.280485551817645</v>
      </c>
      <c r="M10" s="34" t="n">
        <f aca="false">Industry!K106</f>
        <v>0.587000638561734</v>
      </c>
      <c r="N10" s="35" t="n">
        <f aca="false">IF(COUNT(C10:L10)=0,"N/M",MEDIAN(C10:L10))</f>
        <v>0.375976562956074</v>
      </c>
    </row>
    <row r="11" customFormat="false" ht="15" hidden="false" customHeight="false" outlineLevel="0" collapsed="false">
      <c r="A11" s="16" t="s">
        <v>287</v>
      </c>
      <c r="B11" s="32" t="s">
        <v>285</v>
      </c>
      <c r="C11" s="33" t="n">
        <f aca="false">Tiger!K107</f>
        <v>0.751130978800076</v>
      </c>
      <c r="D11" s="33" t="n">
        <f aca="false">Allcargo!K107</f>
        <v>2.84349771520977</v>
      </c>
      <c r="E11" s="33" t="n">
        <f aca="false">BlueDart!K107</f>
        <v>1.31478035255873</v>
      </c>
      <c r="F11" s="33" t="n">
        <f aca="false">CONCOR!K107</f>
        <v>0.426979792840348</v>
      </c>
      <c r="G11" s="33" t="n">
        <f aca="false">JetFreight!K107</f>
        <v>5.65555380657583</v>
      </c>
      <c r="H11" s="33" t="n">
        <f aca="false">Patel!K107</f>
        <v>4.77853767397027</v>
      </c>
      <c r="I11" s="33" t="n">
        <f aca="false">Sical!K107</f>
        <v>20.6391777647004</v>
      </c>
      <c r="J11" s="33" t="n">
        <f aca="false">TCI!K107</f>
        <v>0.703498265308947</v>
      </c>
      <c r="K11" s="33" t="n">
        <f aca="false">Shreeji!K107</f>
        <v>4.14140823957703</v>
      </c>
      <c r="L11" s="33" t="n">
        <f aca="false">MahindraLog!K107</f>
        <v>2.37553681918148</v>
      </c>
      <c r="M11" s="34" t="n">
        <f aca="false">Industry!K108</f>
        <v>1.3775514040695</v>
      </c>
      <c r="N11" s="35" t="n">
        <f aca="false">IF(COUNT(C11:L11)=0,"N/M",MEDIAN(C11:L11))</f>
        <v>2.60951726719563</v>
      </c>
    </row>
    <row r="12" customFormat="false" ht="15" hidden="false" customHeight="false" outlineLevel="0" collapsed="false">
      <c r="A12" s="16" t="s">
        <v>288</v>
      </c>
      <c r="B12" s="32" t="s">
        <v>289</v>
      </c>
      <c r="C12" s="36" t="n">
        <f aca="false">Tiger!K109</f>
        <v>10.7309576183387</v>
      </c>
      <c r="D12" s="36" t="n">
        <f aca="false">Allcargo!K109</f>
        <v>4.0494231426136</v>
      </c>
      <c r="E12" s="36" t="n">
        <f aca="false">BlueDart!K109</f>
        <v>4.77773502011059</v>
      </c>
      <c r="F12" s="36" t="n">
        <f aca="false">CONCOR!K109</f>
        <v>18.4393279122054</v>
      </c>
      <c r="G12" s="36" t="n">
        <f aca="false">JetFreight!K109</f>
        <v>1.18582645270145</v>
      </c>
      <c r="H12" s="36" t="n">
        <f aca="false">Patel!K109</f>
        <v>4.78080368865686</v>
      </c>
      <c r="I12" s="36" t="n">
        <f aca="false">Sical!K109</f>
        <v>-1.41050852662585</v>
      </c>
      <c r="J12" s="36" t="n">
        <f aca="false">TCI!K109</f>
        <v>17.2637436173754</v>
      </c>
      <c r="K12" s="36" t="n">
        <f aca="false">Shreeji!K109</f>
        <v>2.04567804388069</v>
      </c>
      <c r="L12" s="36" t="n">
        <f aca="false">MahindraLog!K109</f>
        <v>1.74997479874172</v>
      </c>
      <c r="M12" s="37" t="n">
        <f aca="false">Industry!K110</f>
        <v>6.14437348428691</v>
      </c>
      <c r="N12" s="38" t="n">
        <f aca="false">IF(COUNT(C12:L12)=0,"N/M",MEDIAN(C12:L12))</f>
        <v>4.4135790813621</v>
      </c>
    </row>
    <row r="13" customFormat="false" ht="15" hidden="false" customHeight="false" outlineLevel="0" collapsed="false">
      <c r="A13" s="16" t="s">
        <v>290</v>
      </c>
      <c r="B13" s="32" t="s">
        <v>289</v>
      </c>
      <c r="C13" s="36" t="n">
        <f aca="false">Tiger!K114</f>
        <v>10.7589135638965</v>
      </c>
      <c r="D13" s="36" t="n">
        <f aca="false">Allcargo!K114</f>
        <v>4.59209937823635</v>
      </c>
      <c r="E13" s="36" t="n">
        <f aca="false">BlueDart!K114</f>
        <v>2.36675392009829</v>
      </c>
      <c r="F13" s="36" t="n">
        <f aca="false">CONCOR!K114</f>
        <v>10.6040676820679</v>
      </c>
      <c r="G13" s="36" t="n">
        <f aca="false">JetFreight!K114</f>
        <v>1.34247537018817</v>
      </c>
      <c r="H13" s="36" t="n">
        <f aca="false">Patel!K114</f>
        <v>3.31198674945979</v>
      </c>
      <c r="I13" s="36" t="n">
        <f aca="false">Sical!K114</f>
        <v>-5.60774609936231</v>
      </c>
      <c r="J13" s="36" t="n">
        <f aca="false">TCI!K114</f>
        <v>16.0903054385451</v>
      </c>
      <c r="K13" s="36" t="n">
        <f aca="false">Shreeji!K114</f>
        <v>3.00235970700522</v>
      </c>
      <c r="L13" s="36" t="n">
        <f aca="false">MahindraLog!K114</f>
        <v>2.7067417193541</v>
      </c>
      <c r="M13" s="37" t="n">
        <f aca="false">Industry!K115</f>
        <v>3.01508268840822</v>
      </c>
      <c r="N13" s="38" t="n">
        <f aca="false">IF(COUNT(C13:L13)=0,"N/M",MEDIAN(C13:L13))</f>
        <v>3.1571732282325</v>
      </c>
    </row>
    <row r="14" customFormat="false" ht="15" hidden="false" customHeight="false" outlineLevel="0" collapsed="false">
      <c r="A14" s="16" t="s">
        <v>291</v>
      </c>
      <c r="B14" s="32" t="s">
        <v>292</v>
      </c>
      <c r="C14" s="39" t="n">
        <f aca="false">Tiger!K119</f>
        <v>76.2813339302486</v>
      </c>
      <c r="D14" s="39" t="n">
        <f aca="false">Allcargo!K119</f>
        <v>63.0692573522778</v>
      </c>
      <c r="E14" s="39" t="n">
        <f aca="false">BlueDart!K119</f>
        <v>51.7621835759329</v>
      </c>
      <c r="F14" s="39" t="n">
        <f aca="false">CONCOR!K119</f>
        <v>12.3803794353657</v>
      </c>
      <c r="G14" s="39" t="n">
        <f aca="false">JetFreight!K119</f>
        <v>55.3618999435089</v>
      </c>
      <c r="H14" s="39" t="n">
        <f aca="false">Patel!K119</f>
        <v>96.3134713359353</v>
      </c>
      <c r="I14" s="39" t="n">
        <f aca="false">Sical!K119</f>
        <v>103.276097811188</v>
      </c>
      <c r="J14" s="39" t="n">
        <f aca="false">TCI!K119</f>
        <v>59.542758908511</v>
      </c>
      <c r="K14" s="39" t="n">
        <f aca="false">Shreeji!K119</f>
        <v>104.609794525969</v>
      </c>
      <c r="L14" s="39" t="n">
        <f aca="false">MahindraLog!K119</f>
        <v>45.7187120290248</v>
      </c>
      <c r="M14" s="40" t="n">
        <f aca="false">Industry!K120</f>
        <v>46.1398428689704</v>
      </c>
      <c r="N14" s="41" t="n">
        <f aca="false">IF(COUNT(C14:L14)=0,"N/M",MEDIAN(C14:L14))</f>
        <v>61.3060081303944</v>
      </c>
    </row>
    <row r="15" customFormat="false" ht="15" hidden="false" customHeight="false" outlineLevel="0" collapsed="false">
      <c r="A15" s="16" t="s">
        <v>293</v>
      </c>
      <c r="B15" s="32" t="s">
        <v>294</v>
      </c>
      <c r="C15" s="36" t="n">
        <f aca="false">Tiger!K123</f>
        <v>47.4309624553891</v>
      </c>
      <c r="D15" s="36" t="n">
        <f aca="false">Allcargo!K123</f>
        <v>4.39486248234434</v>
      </c>
      <c r="E15" s="36" t="n">
        <f aca="false">BlueDart!K123</f>
        <v>2.81631515803031</v>
      </c>
      <c r="F15" s="36" t="n">
        <f aca="false">CONCOR!K123</f>
        <v>1.31459738239308</v>
      </c>
      <c r="G15" s="36" t="n">
        <f aca="false">JetFreight!K123</f>
        <v>15.7714940095759</v>
      </c>
      <c r="H15" s="36" t="n">
        <f aca="false">Patel!K123</f>
        <v>5.85920195005816</v>
      </c>
      <c r="I15" s="36" t="n">
        <f aca="false">Sical!K123</f>
        <v>0.604843214374574</v>
      </c>
      <c r="J15" s="36" t="n">
        <f aca="false">TCI!K123</f>
        <v>4.18640226766244</v>
      </c>
      <c r="K15" s="36" t="n">
        <f aca="false">Shreeji!K123</f>
        <v>7.19444631892815</v>
      </c>
      <c r="L15" s="36" t="n">
        <f aca="false">MahindraLog!K123</f>
        <v>8.25461355540086</v>
      </c>
      <c r="M15" s="37" t="n">
        <f aca="false">Industry!K124</f>
        <v>2.72082540469219</v>
      </c>
      <c r="N15" s="38" t="n">
        <f aca="false">IF(COUNT(C15:L15)=0,"N/M",MEDIAN(C15:L15))</f>
        <v>5.12703221620125</v>
      </c>
    </row>
    <row r="16" customFormat="false" ht="15" hidden="false" customHeight="false" outlineLevel="0" collapsed="false">
      <c r="A16" s="16" t="s">
        <v>295</v>
      </c>
      <c r="B16" s="32" t="s">
        <v>294</v>
      </c>
      <c r="C16" s="36" t="n">
        <f aca="false">Tiger!K124</f>
        <v>2.88064665356151</v>
      </c>
      <c r="D16" s="36" t="n">
        <f aca="false">Allcargo!K124</f>
        <v>1.63210277218258</v>
      </c>
      <c r="E16" s="36" t="n">
        <f aca="false">BlueDart!K124</f>
        <v>1.43899305609338</v>
      </c>
      <c r="F16" s="36" t="n">
        <f aca="false">CONCOR!K124</f>
        <v>0.58508733469028</v>
      </c>
      <c r="G16" s="36" t="n">
        <f aca="false">JetFreight!K124</f>
        <v>2.96595252356574</v>
      </c>
      <c r="H16" s="36" t="n">
        <f aca="false">Patel!K124</f>
        <v>1.63858180251765</v>
      </c>
      <c r="I16" s="36" t="n">
        <f aca="false">Sical!K124</f>
        <v>0.334773394149464</v>
      </c>
      <c r="J16" s="36" t="n">
        <f aca="false">TCI!K124</f>
        <v>1.62316994585839</v>
      </c>
      <c r="K16" s="36" t="n">
        <f aca="false">Shreeji!K124</f>
        <v>1.75301540066882</v>
      </c>
      <c r="L16" s="36" t="n">
        <f aca="false">MahindraLog!K124</f>
        <v>2.18929688905435</v>
      </c>
      <c r="M16" s="37" t="n">
        <f aca="false">Industry!K125</f>
        <v>1.14285559576351</v>
      </c>
      <c r="N16" s="38" t="n">
        <f aca="false">IF(COUNT(C16:L16)=0,"N/M",MEDIAN(C16:L16))</f>
        <v>1.63534228735011</v>
      </c>
    </row>
    <row r="17" customFormat="false" ht="15" hidden="false" customHeight="false" outlineLevel="0" collapsed="false">
      <c r="A17" s="16" t="s">
        <v>296</v>
      </c>
      <c r="B17" s="32" t="s">
        <v>297</v>
      </c>
      <c r="C17" s="27" t="n">
        <f aca="false">Tiger!K129</f>
        <v>0.0999153132096057</v>
      </c>
      <c r="D17" s="27" t="n">
        <f aca="false">Allcargo!K129</f>
        <v>0.236309242994037</v>
      </c>
      <c r="E17" s="27" t="n">
        <f aca="false">BlueDart!K129</f>
        <v>0.425865550946891</v>
      </c>
      <c r="F17" s="27" t="n">
        <f aca="false">CONCOR!K129</f>
        <v>0.34613338794925</v>
      </c>
      <c r="G17" s="27" t="n">
        <f aca="false">JetFreight!K129</f>
        <v>0.0751089995256532</v>
      </c>
      <c r="H17" s="27" t="n">
        <f aca="false">Patel!K129</f>
        <v>0.099163264138451</v>
      </c>
      <c r="I17" s="27" t="n">
        <f aca="false">Sical!K129</f>
        <v>0.229923131412213</v>
      </c>
      <c r="J17" s="27" t="n">
        <f aca="false">TCI!K129</f>
        <v>0.1856673959167</v>
      </c>
      <c r="K17" s="27" t="n">
        <f aca="false">Shreeji!K129</f>
        <v>0.195713259603807</v>
      </c>
      <c r="L17" s="27" t="n">
        <f aca="false">MahindraLog!K129</f>
        <v>0.143846621411389</v>
      </c>
      <c r="M17" s="42" t="n">
        <f aca="false">Industry!K130</f>
        <v>0.258885425885224</v>
      </c>
      <c r="N17" s="30" t="n">
        <f aca="false">IF(COUNT(C17:L17)=0,"N/M",MEDIAN(C17:L17))</f>
        <v>0.190690327760254</v>
      </c>
    </row>
    <row r="18" customFormat="false" ht="15" hidden="false" customHeight="false" outlineLevel="0" collapsed="false">
      <c r="A18" s="16" t="s">
        <v>298</v>
      </c>
      <c r="B18" s="32" t="s">
        <v>297</v>
      </c>
      <c r="C18" s="27" t="n">
        <f aca="false">Tiger!K130</f>
        <v>0.0296294891022505</v>
      </c>
      <c r="D18" s="27" t="n">
        <f aca="false">Allcargo!K130</f>
        <v>0.0736079812006185</v>
      </c>
      <c r="E18" s="27" t="n">
        <f aca="false">BlueDart!K130</f>
        <v>0.176589920097321</v>
      </c>
      <c r="F18" s="27" t="n">
        <f aca="false">CONCOR!K130</f>
        <v>0.219710191657969</v>
      </c>
      <c r="G18" s="27" t="n">
        <f aca="false">JetFreight!K130</f>
        <v>0.0204533994732436</v>
      </c>
      <c r="H18" s="27" t="n">
        <f aca="false">Patel!K130</f>
        <v>0.0290875003340588</v>
      </c>
      <c r="I18" s="27" t="n">
        <f aca="false">Sical!K130</f>
        <v>0.0417206117780169</v>
      </c>
      <c r="J18" s="27" t="n">
        <f aca="false">TCI!K130</f>
        <v>0.104606363976023</v>
      </c>
      <c r="K18" s="27" t="n">
        <f aca="false">Shreeji!K130</f>
        <v>0.0721030232812661</v>
      </c>
      <c r="L18" s="27" t="n">
        <f aca="false">MahindraLog!K130</f>
        <v>0.046407246628758</v>
      </c>
      <c r="M18" s="42" t="n">
        <f aca="false">Industry!K131</f>
        <v>0.117406437069754</v>
      </c>
      <c r="N18" s="30" t="n">
        <f aca="false">IF(COUNT(C18:L18)=0,"N/M",MEDIAN(C18:L18))</f>
        <v>0.0592551349550121</v>
      </c>
    </row>
    <row r="19" customFormat="false" ht="15" hidden="false" customHeight="false" outlineLevel="0" collapsed="false">
      <c r="A19" s="16" t="s">
        <v>299</v>
      </c>
      <c r="B19" s="32" t="s">
        <v>297</v>
      </c>
      <c r="C19" s="27" t="n">
        <f aca="false">Tiger!K131</f>
        <v>0.0270351791997943</v>
      </c>
      <c r="D19" s="27" t="n">
        <f aca="false">Allcargo!K131</f>
        <v>0.029132579896013</v>
      </c>
      <c r="E19" s="27" t="n">
        <f aca="false">BlueDart!K131</f>
        <v>0.0822586168620365</v>
      </c>
      <c r="F19" s="27" t="n">
        <f aca="false">CONCOR!K131</f>
        <v>0.145758484977505</v>
      </c>
      <c r="G19" s="27" t="n">
        <f aca="false">JetFreight!K131</f>
        <v>0.0150289094684858</v>
      </c>
      <c r="H19" s="27" t="n">
        <f aca="false">Patel!K131</f>
        <v>0.0193108254653253</v>
      </c>
      <c r="I19" s="27" t="n">
        <f aca="false">Sical!K131</f>
        <v>-0.112999761885102</v>
      </c>
      <c r="J19" s="27" t="n">
        <f aca="false">TCI!K131</f>
        <v>0.0739934611371368</v>
      </c>
      <c r="K19" s="27" t="n">
        <f aca="false">Shreeji!K131</f>
        <v>0.0469684833483393</v>
      </c>
      <c r="L19" s="27" t="n">
        <f aca="false">MahindraLog!K131</f>
        <v>0.0129030281661234</v>
      </c>
      <c r="M19" s="42" t="n">
        <f aca="false">Industry!K132</f>
        <v>0.0672617612242654</v>
      </c>
      <c r="N19" s="30" t="n">
        <f aca="false">IF(COUNT(C19:L19)=0,"N/M",MEDIAN(C19:L19))</f>
        <v>0.0280838795479036</v>
      </c>
    </row>
    <row r="20" customFormat="false" ht="15" hidden="false" customHeight="false" outlineLevel="0" collapsed="false">
      <c r="A20" s="16" t="s">
        <v>300</v>
      </c>
      <c r="B20" s="32" t="s">
        <v>297</v>
      </c>
      <c r="C20" s="27" t="n">
        <f aca="false">Tiger!K133</f>
        <v>0.0193125923266549</v>
      </c>
      <c r="D20" s="27" t="n">
        <f aca="false">Allcargo!K133</f>
        <v>0.0255492079796168</v>
      </c>
      <c r="E20" s="27" t="n">
        <f aca="false">BlueDart!K133</f>
        <v>0.0453759828423274</v>
      </c>
      <c r="F20" s="27" t="n">
        <f aca="false">CONCOR!K133</f>
        <v>0.121369609664637</v>
      </c>
      <c r="G20" s="27" t="n">
        <f aca="false">JetFreight!K133</f>
        <v>0.00135626431437763</v>
      </c>
      <c r="H20" s="27" t="n">
        <f aca="false">Patel!K133</f>
        <v>0.0180815433213601</v>
      </c>
      <c r="I20" s="27" t="n">
        <f aca="false">Sical!K133</f>
        <v>-0.771251353643673</v>
      </c>
      <c r="J20" s="27" t="n">
        <f aca="false">TCI!K133</f>
        <v>0.0784886168971174</v>
      </c>
      <c r="K20" s="27" t="n">
        <f aca="false">Shreeji!K133</f>
        <v>0.027812602964777</v>
      </c>
      <c r="L20" s="27" t="n">
        <f aca="false">MahindraLog!K133</f>
        <v>0.00270708533331272</v>
      </c>
      <c r="M20" s="42" t="n">
        <f aca="false">Industry!K134</f>
        <v>0.0440645584251122</v>
      </c>
      <c r="N20" s="30" t="n">
        <f aca="false">IF(COUNT(C20:L20)=0,"N/M",MEDIAN(C20:L20))</f>
        <v>0.0224309001531358</v>
      </c>
    </row>
    <row r="21" customFormat="false" ht="15" hidden="false" customHeight="false" outlineLevel="0" collapsed="false">
      <c r="A21" s="16" t="s">
        <v>301</v>
      </c>
      <c r="B21" s="32" t="s">
        <v>302</v>
      </c>
      <c r="C21" s="27" t="n">
        <f aca="false">Tiger!K140</f>
        <v>0.97037051089775</v>
      </c>
      <c r="D21" s="27" t="n">
        <f aca="false">Allcargo!K140</f>
        <v>0.926392018799382</v>
      </c>
      <c r="E21" s="27" t="n">
        <f aca="false">BlueDart!K140</f>
        <v>0.823410079902679</v>
      </c>
      <c r="F21" s="27" t="n">
        <f aca="false">CONCOR!K140</f>
        <v>0.780289808342031</v>
      </c>
      <c r="G21" s="27" t="n">
        <f aca="false">JetFreight!K140</f>
        <v>0.979546600526756</v>
      </c>
      <c r="H21" s="27" t="n">
        <f aca="false">Patel!K140</f>
        <v>0.970912499665941</v>
      </c>
      <c r="I21" s="27" t="n">
        <f aca="false">Sical!K140</f>
        <v>0.958279388221983</v>
      </c>
      <c r="J21" s="27" t="n">
        <f aca="false">TCI!K140</f>
        <v>0.895393636023977</v>
      </c>
      <c r="K21" s="27" t="n">
        <f aca="false">Shreeji!K140</f>
        <v>0.927896976718734</v>
      </c>
      <c r="L21" s="27" t="n">
        <f aca="false">MahindraLog!K140</f>
        <v>0.953592753371242</v>
      </c>
      <c r="M21" s="42" t="n">
        <f aca="false">Industry!K141</f>
        <v>0.882593562930246</v>
      </c>
      <c r="N21" s="30" t="n">
        <f aca="false">IF(COUNT(C21:L21)=0,"N/M",MEDIAN(C21:L21))</f>
        <v>0.940744865044988</v>
      </c>
    </row>
    <row r="22" customFormat="false" ht="15" hidden="false" customHeight="false" outlineLevel="0" collapsed="false">
      <c r="A22" s="16" t="s">
        <v>303</v>
      </c>
      <c r="B22" s="32" t="s">
        <v>304</v>
      </c>
      <c r="C22" s="27" t="n">
        <f aca="false">Tiger!K142</f>
        <v>0.0737541767247731</v>
      </c>
      <c r="D22" s="27" t="n">
        <f aca="false">Allcargo!K142</f>
        <v>0.0445728255998203</v>
      </c>
      <c r="E22" s="27" t="n">
        <f aca="false">BlueDart!K142</f>
        <v>0.0693145042491683</v>
      </c>
      <c r="F22" s="27" t="n">
        <f aca="false">CONCOR!K142</f>
        <v>0.0720000998407862</v>
      </c>
      <c r="G22" s="27" t="n">
        <f aca="false">JetFreight!K142</f>
        <v>0.00157152681157305</v>
      </c>
      <c r="H22" s="27" t="n">
        <f aca="false">Patel!K142</f>
        <v>0.0323613356695124</v>
      </c>
      <c r="I22" s="27" t="n">
        <f aca="false">Sical!K142</f>
        <v>-0.277012657543137</v>
      </c>
      <c r="J22" s="27" t="n">
        <f aca="false">TCI!K142</f>
        <v>0.127225384252902</v>
      </c>
      <c r="K22" s="27" t="n">
        <f aca="false">Shreeji!K142</f>
        <v>0.0530662070350198</v>
      </c>
      <c r="L22" s="27" t="n">
        <f aca="false">MahindraLog!K142</f>
        <v>0.00578168565796872</v>
      </c>
      <c r="M22" s="42" t="n">
        <f aca="false">Industry!K143</f>
        <v>0.0518676762728919</v>
      </c>
      <c r="N22" s="30" t="n">
        <f aca="false">IF(COUNT(C22:L22)=0,"N/M",MEDIAN(C22:L22))</f>
        <v>0.04881951631742</v>
      </c>
    </row>
    <row r="23" customFormat="false" ht="15" hidden="false" customHeight="false" outlineLevel="0" collapsed="false">
      <c r="A23" s="16" t="s">
        <v>305</v>
      </c>
      <c r="B23" s="32" t="s">
        <v>304</v>
      </c>
      <c r="C23" s="27" t="n">
        <f aca="false">Tiger!K146</f>
        <v>0.0947121090363094</v>
      </c>
      <c r="D23" s="27" t="n">
        <f aca="false">Allcargo!K146</f>
        <v>0.0670701522478528</v>
      </c>
      <c r="E23" s="27" t="n">
        <f aca="false">BlueDart!K146</f>
        <v>0.138332113655419</v>
      </c>
      <c r="F23" s="27" t="n">
        <f aca="false">CONCOR!K146</f>
        <v>0.0722517146118656</v>
      </c>
      <c r="G23" s="27" t="n">
        <f aca="false">JetFreight!K146</f>
        <v>0.0366164757463595</v>
      </c>
      <c r="H23" s="27" t="n">
        <f aca="false">Patel!K146</f>
        <v>0.0363685048149608</v>
      </c>
      <c r="I23" s="27" t="n">
        <f aca="false">Sical!K146</f>
        <v>-0.0610790754385789</v>
      </c>
      <c r="J23" s="27" t="n">
        <f aca="false">TCI!K146</f>
        <v>0.127819581714764</v>
      </c>
      <c r="K23" s="27" t="n">
        <f aca="false">Shreeji!K146</f>
        <v>0.0735789897651031</v>
      </c>
      <c r="L23" s="27" t="n">
        <f aca="false">MahindraLog!K146</f>
        <v>0.0408182706498748</v>
      </c>
      <c r="M23" s="42" t="n">
        <f aca="false">Industry!K147</f>
        <v>0.0752709202064833</v>
      </c>
      <c r="N23" s="30" t="n">
        <f aca="false">IF(COUNT(C23:L23)=0,"N/M",MEDIAN(C23:L23))</f>
        <v>0.0696609334298592</v>
      </c>
    </row>
    <row r="24" customFormat="false" ht="15" hidden="false" customHeight="false" outlineLevel="0" collapsed="false">
      <c r="A24" s="16" t="s">
        <v>306</v>
      </c>
      <c r="B24" s="32" t="s">
        <v>304</v>
      </c>
      <c r="C24" s="27" t="n">
        <f aca="false">Tiger!K147</f>
        <v>0.0866157440944075</v>
      </c>
      <c r="D24" s="27" t="n">
        <f aca="false">Allcargo!K147</f>
        <v>0.126444324675921</v>
      </c>
      <c r="E24" s="27" t="n">
        <f aca="false">BlueDart!K147</f>
        <v>0.194348739177286</v>
      </c>
      <c r="F24" s="27" t="n">
        <f aca="false">CONCOR!K147</f>
        <v>0.0855983258857257</v>
      </c>
      <c r="G24" s="27" t="n">
        <f aca="false">JetFreight!K147</f>
        <v>-0.0156037362142016</v>
      </c>
      <c r="H24" s="27" t="n">
        <f aca="false">Patel!K147</f>
        <v>0.0483238359603213</v>
      </c>
      <c r="I24" s="27" t="n">
        <f aca="false">Sical!K147</f>
        <v>-4.10230196556578</v>
      </c>
      <c r="J24" s="27" t="n">
        <f aca="false">TCI!K147</f>
        <v>0.171147832727735</v>
      </c>
      <c r="K24" s="27" t="n">
        <f aca="false">Shreeji!K147</f>
        <v>0.128045491155726</v>
      </c>
      <c r="L24" s="27" t="n">
        <f aca="false">MahindraLog!K147</f>
        <v>0.00597992424726727</v>
      </c>
      <c r="M24" s="42" t="n">
        <f aca="false">Industry!K148</f>
        <v>0.0865826515708978</v>
      </c>
      <c r="N24" s="30" t="n">
        <f aca="false">IF(COUNT(C24:L24)=0,"N/M",MEDIAN(C24:L24))</f>
        <v>0.0861070349900666</v>
      </c>
    </row>
    <row r="25" customFormat="false" ht="15" hidden="false" customHeight="false" outlineLevel="0" collapsed="false">
      <c r="A25" s="16" t="s">
        <v>307</v>
      </c>
      <c r="B25" s="32" t="s">
        <v>308</v>
      </c>
      <c r="C25" s="36" t="n">
        <f aca="false">Tiger!K158</f>
        <v>18.2054926055799</v>
      </c>
      <c r="D25" s="36" t="n">
        <f aca="false">Allcargo!K158</f>
        <v>134.42755</v>
      </c>
      <c r="E25" s="36" t="n">
        <f aca="false">BlueDart!K158</f>
        <v>60.6393548496341</v>
      </c>
      <c r="F25" s="36" t="n">
        <f aca="false">CONCOR!K158</f>
        <v>41.7858419180379</v>
      </c>
      <c r="G25" s="36" t="n">
        <f aca="false">JetFreight!K158</f>
        <v>203.638136107299</v>
      </c>
      <c r="H25" s="36" t="n">
        <f aca="false">Patel!K158</f>
        <v>207.37890709811</v>
      </c>
      <c r="I25" s="36" t="n">
        <f aca="false">Sical!K158</f>
        <v>10.2007666396104</v>
      </c>
      <c r="J25" s="36" t="n">
        <f aca="false">TCI!K158</f>
        <v>15.5512787884545</v>
      </c>
      <c r="K25" s="36" t="n">
        <f aca="false">Shreeji!K158</f>
        <v>24.3575504832301</v>
      </c>
      <c r="L25" s="36" t="n">
        <f aca="false">MahindraLog!K158</f>
        <v>406.637541846853</v>
      </c>
      <c r="M25" s="37" t="n">
        <f aca="false">Industry!K159</f>
        <v>44.8909730048032</v>
      </c>
      <c r="N25" s="38" t="n">
        <f aca="false">IF(COUNT(C25:L25)=0,"N/M",MEDIAN(C25:L25))</f>
        <v>51.212598383836</v>
      </c>
    </row>
    <row r="26" customFormat="false" ht="15" hidden="false" customHeight="false" outlineLevel="0" collapsed="false">
      <c r="A26" s="16" t="s">
        <v>309</v>
      </c>
      <c r="B26" s="32" t="s">
        <v>308</v>
      </c>
      <c r="C26" s="36" t="n">
        <f aca="false">Tiger!K159</f>
        <v>2.59948387522685</v>
      </c>
      <c r="D26" s="36" t="n">
        <f aca="false">Allcargo!K159</f>
        <v>1.87355470383275</v>
      </c>
      <c r="E26" s="36" t="n">
        <f aca="false">BlueDart!K159</f>
        <v>12.9213712578713</v>
      </c>
      <c r="F26" s="36" t="n">
        <f aca="false">CONCOR!K159</f>
        <v>3.28520635560234</v>
      </c>
      <c r="G26" s="36" t="n">
        <f aca="false">JetFreight!K159</f>
        <v>1.75915223688119</v>
      </c>
      <c r="H26" s="36" t="n">
        <f aca="false">Patel!K159</f>
        <v>0.66414011313396</v>
      </c>
      <c r="I26" s="36" t="n">
        <f aca="false">Sical!K159</f>
        <v>9.52639981618697</v>
      </c>
      <c r="J26" s="36" t="n">
        <f aca="false">TCI!K159</f>
        <v>2.71720765545952</v>
      </c>
      <c r="K26" s="36" t="n">
        <f aca="false">Shreeji!K159</f>
        <v>3.40464687442259</v>
      </c>
      <c r="L26" s="36" t="n">
        <f aca="false">MahindraLog!K159</f>
        <v>6.09358068091903</v>
      </c>
      <c r="M26" s="37" t="n">
        <f aca="false">Industry!K160</f>
        <v>4.00551460873968</v>
      </c>
      <c r="N26" s="38" t="n">
        <f aca="false">IF(COUNT(C26:L26)=0,"N/M",MEDIAN(C26:L26))</f>
        <v>3.00120700553093</v>
      </c>
    </row>
    <row r="27" customFormat="false" ht="15" hidden="false" customHeight="false" outlineLevel="0" collapsed="false">
      <c r="A27" s="16" t="s">
        <v>310</v>
      </c>
      <c r="B27" s="32" t="s">
        <v>308</v>
      </c>
      <c r="C27" s="27" t="n">
        <f aca="false">Tiger!K157</f>
        <v>0.000678326719007892</v>
      </c>
      <c r="D27" s="27" t="n">
        <f aca="false">Allcargo!K157</f>
        <v>0</v>
      </c>
      <c r="E27" s="27" t="n">
        <f aca="false">BlueDart!K157</f>
        <v>0.00424589335883977</v>
      </c>
      <c r="F27" s="27" t="n">
        <f aca="false">CONCOR!K157</f>
        <v>0.0144932634602423</v>
      </c>
      <c r="G27" s="27" t="n">
        <f aca="false">JetFreight!K157</f>
        <v>0.000127048874855164</v>
      </c>
      <c r="H27" s="27" t="n">
        <f aca="false">Patel!K157</f>
        <v>0.0104189094805551</v>
      </c>
      <c r="I27" s="27" t="n">
        <f aca="false">Sical!K157</f>
        <v>0</v>
      </c>
      <c r="J27" s="27" t="n">
        <f aca="false">TCI!K157</f>
        <v>0.00928168357529572</v>
      </c>
      <c r="K27" s="27" t="n">
        <f aca="false">Shreeji!K157</f>
        <v>0.00733958745474716</v>
      </c>
      <c r="L27" s="27" t="n">
        <f aca="false">MahindraLog!K157</f>
        <v>0.00535613468556006</v>
      </c>
      <c r="M27" s="42" t="n">
        <f aca="false">Industry!K158</f>
        <v>0.0110259591484377</v>
      </c>
      <c r="N27" s="30" t="n">
        <f aca="false">IF(COUNT(C27:L27)=0,"N/M",MEDIAN(C27:L27))</f>
        <v>0.00480101402219991</v>
      </c>
    </row>
    <row r="28" customFormat="false" ht="15" hidden="false" customHeight="false" outlineLevel="0" collapsed="false">
      <c r="A28" s="16" t="s">
        <v>311</v>
      </c>
      <c r="B28" s="32" t="s">
        <v>308</v>
      </c>
      <c r="C28" s="36" t="n">
        <f aca="false">Tiger!K160</f>
        <v>14.5041261916627</v>
      </c>
      <c r="D28" s="36" t="n">
        <f aca="false">Allcargo!K160</f>
        <v>6.96774638297872</v>
      </c>
      <c r="E28" s="36" t="n">
        <f aca="false">BlueDart!K160</f>
        <v>16.4898951317678</v>
      </c>
      <c r="F28" s="36" t="n">
        <f aca="false">CONCOR!K160</f>
        <v>20.7932135157369</v>
      </c>
      <c r="G28" s="36" t="n">
        <f aca="false">JetFreight!K160</f>
        <v>11.5265340421911</v>
      </c>
      <c r="H28" s="36" t="n">
        <f aca="false">Patel!K160</f>
        <v>11.464135748293</v>
      </c>
      <c r="I28" s="36" t="n">
        <f aca="false">Sical!K160</f>
        <v>38.516551224889</v>
      </c>
      <c r="J28" s="36" t="n">
        <f aca="false">TCI!K160</f>
        <v>12.4030908846868</v>
      </c>
      <c r="K28" s="36" t="n">
        <f aca="false">Shreeji!K160</f>
        <v>12.7502326347465</v>
      </c>
      <c r="L28" s="36" t="n">
        <f aca="false">MahindraLog!K160</f>
        <v>19.1086925196655</v>
      </c>
      <c r="M28" s="37" t="n">
        <f aca="false">Industry!K161</f>
        <v>18.590863674474</v>
      </c>
      <c r="N28" s="38" t="n">
        <f aca="false">IF(COUNT(C28:L28)=0,"N/M",MEDIAN(C28:L28))</f>
        <v>13.6271794132046</v>
      </c>
    </row>
    <row r="31" customFormat="false" ht="19.5" hidden="false" customHeight="true" outlineLevel="0" collapsed="false">
      <c r="A31" s="3" t="s">
        <v>312</v>
      </c>
      <c r="B31" s="3"/>
      <c r="C31" s="3"/>
      <c r="D31" s="3"/>
      <c r="E31" s="3"/>
      <c r="F31" s="3"/>
      <c r="G31" s="3"/>
      <c r="H31" s="3"/>
      <c r="I31" s="3"/>
      <c r="J31" s="3"/>
      <c r="K31" s="3"/>
      <c r="L31" s="3"/>
      <c r="M31" s="3"/>
      <c r="N31" s="3"/>
    </row>
    <row r="32" customFormat="false" ht="24" hidden="false" customHeight="true" outlineLevel="0" collapsed="false">
      <c r="A32" s="7" t="s">
        <v>91</v>
      </c>
      <c r="B32" s="7" t="s">
        <v>313</v>
      </c>
      <c r="C32" s="7" t="s">
        <v>52</v>
      </c>
      <c r="D32" s="7" t="s">
        <v>54</v>
      </c>
      <c r="E32" s="7" t="s">
        <v>277</v>
      </c>
      <c r="F32" s="7" t="s">
        <v>58</v>
      </c>
      <c r="G32" s="7" t="s">
        <v>278</v>
      </c>
      <c r="H32" s="7" t="s">
        <v>62</v>
      </c>
      <c r="I32" s="7" t="s">
        <v>64</v>
      </c>
      <c r="J32" s="7" t="s">
        <v>66</v>
      </c>
      <c r="K32" s="7" t="s">
        <v>68</v>
      </c>
      <c r="L32" s="7" t="s">
        <v>279</v>
      </c>
    </row>
    <row r="33" customFormat="false" ht="15" hidden="false" customHeight="false" outlineLevel="0" collapsed="false">
      <c r="A33" s="16" t="s">
        <v>95</v>
      </c>
      <c r="B33" s="32" t="s">
        <v>314</v>
      </c>
      <c r="C33" s="43" t="n">
        <f aca="false">IF(ISNUMBER(C6),RANK(C6,$C$6:$L$6,0),"-")</f>
        <v>3</v>
      </c>
      <c r="D33" s="43" t="n">
        <f aca="false">IF(ISNUMBER(D6),RANK(D6,$C$6:$L$6,0),"-")</f>
        <v>7</v>
      </c>
      <c r="E33" s="43" t="n">
        <f aca="false">IF(ISNUMBER(E6),RANK(E6,$C$6:$L$6,0),"-")</f>
        <v>9</v>
      </c>
      <c r="F33" s="43" t="n">
        <f aca="false">IF(ISNUMBER(F6),RANK(F6,$C$6:$L$6,0),"-")</f>
        <v>4</v>
      </c>
      <c r="G33" s="43" t="n">
        <f aca="false">IF(ISNUMBER(G6),RANK(G6,$C$6:$L$6,0),"-")</f>
        <v>6</v>
      </c>
      <c r="H33" s="43" t="n">
        <f aca="false">IF(ISNUMBER(H6),RANK(H6,$C$6:$L$6,0),"-")</f>
        <v>1</v>
      </c>
      <c r="I33" s="43" t="n">
        <f aca="false">IF(ISNUMBER(I6),RANK(I6,$C$6:$L$6,0),"-")</f>
        <v>10</v>
      </c>
      <c r="J33" s="43" t="n">
        <f aca="false">IF(ISNUMBER(J6),RANK(J6,$C$6:$L$6,0),"-")</f>
        <v>5</v>
      </c>
      <c r="K33" s="43" t="n">
        <f aca="false">IF(ISNUMBER(K6),RANK(K6,$C$6:$L$6,0),"-")</f>
        <v>2</v>
      </c>
      <c r="L33" s="43" t="n">
        <f aca="false">IF(ISNUMBER(L6),RANK(L6,$C$6:$L$6,0),"-")</f>
        <v>8</v>
      </c>
    </row>
    <row r="34" customFormat="false" ht="15" hidden="false" customHeight="false" outlineLevel="0" collapsed="false">
      <c r="A34" s="16" t="s">
        <v>283</v>
      </c>
      <c r="B34" s="32" t="s">
        <v>314</v>
      </c>
      <c r="C34" s="43" t="n">
        <f aca="false">IF(ISNUMBER(C8),RANK(C8,$C$8:$L$8,0),"-")</f>
        <v>7</v>
      </c>
      <c r="D34" s="43" t="n">
        <f aca="false">IF(ISNUMBER(D8),RANK(D8,$C$8:$L$8,0),"-")</f>
        <v>5</v>
      </c>
      <c r="E34" s="43" t="n">
        <f aca="false">IF(ISNUMBER(E8),RANK(E8,$C$8:$L$8,0),"-")</f>
        <v>3</v>
      </c>
      <c r="F34" s="43" t="n">
        <f aca="false">IF(ISNUMBER(F8),RANK(F8,$C$8:$L$8,0),"-")</f>
        <v>1</v>
      </c>
      <c r="G34" s="43" t="n">
        <f aca="false">IF(ISNUMBER(G8),RANK(G8,$C$8:$L$8,0),"-")</f>
        <v>10</v>
      </c>
      <c r="H34" s="43" t="n">
        <f aca="false">IF(ISNUMBER(H8),RANK(H8,$C$8:$L$8,0),"-")</f>
        <v>9</v>
      </c>
      <c r="I34" s="43" t="n">
        <f aca="false">IF(ISNUMBER(I8),RANK(I8,$C$8:$L$8,0),"-")</f>
        <v>8</v>
      </c>
      <c r="J34" s="43" t="n">
        <f aca="false">IF(ISNUMBER(J8),RANK(J8,$C$8:$L$8,0),"-")</f>
        <v>2</v>
      </c>
      <c r="K34" s="43" t="n">
        <f aca="false">IF(ISNUMBER(K8),RANK(K8,$C$8:$L$8,0),"-")</f>
        <v>4</v>
      </c>
      <c r="L34" s="43" t="n">
        <f aca="false">IF(ISNUMBER(L8),RANK(L8,$C$8:$L$8,0),"-")</f>
        <v>6</v>
      </c>
    </row>
    <row r="35" customFormat="false" ht="15" hidden="false" customHeight="false" outlineLevel="0" collapsed="false">
      <c r="A35" s="16" t="s">
        <v>284</v>
      </c>
      <c r="B35" s="32" t="s">
        <v>315</v>
      </c>
      <c r="C35" s="43" t="n">
        <f aca="false">IF(ISNUMBER(C9),RANK(C9,$C$9:$L$9,1),"-")</f>
        <v>3</v>
      </c>
      <c r="D35" s="43" t="n">
        <f aca="false">IF(ISNUMBER(D9),RANK(D9,$C$9:$L$9,1),"-")</f>
        <v>5</v>
      </c>
      <c r="E35" s="43" t="n">
        <f aca="false">IF(ISNUMBER(E9),RANK(E9,$C$9:$L$9,1),"-")</f>
        <v>7</v>
      </c>
      <c r="F35" s="43" t="n">
        <f aca="false">IF(ISNUMBER(F9),RANK(F9,$C$9:$L$9,1),"-")</f>
        <v>1</v>
      </c>
      <c r="G35" s="43" t="n">
        <f aca="false">IF(ISNUMBER(G9),RANK(G9,$C$9:$L$9,1),"-")</f>
        <v>9</v>
      </c>
      <c r="H35" s="43" t="n">
        <f aca="false">IF(ISNUMBER(H9),RANK(H9,$C$9:$L$9,1),"-")</f>
        <v>4</v>
      </c>
      <c r="I35" s="43" t="n">
        <f aca="false">IF(ISNUMBER(I9),RANK(I9,$C$9:$L$9,1),"-")</f>
        <v>10</v>
      </c>
      <c r="J35" s="43" t="n">
        <f aca="false">IF(ISNUMBER(J9),RANK(J9,$C$9:$L$9,1),"-")</f>
        <v>2</v>
      </c>
      <c r="K35" s="43" t="n">
        <f aca="false">IF(ISNUMBER(K9),RANK(K9,$C$9:$L$9,1),"-")</f>
        <v>8</v>
      </c>
      <c r="L35" s="43" t="n">
        <f aca="false">IF(ISNUMBER(L9),RANK(L9,$C$9:$L$9,1),"-")</f>
        <v>6</v>
      </c>
    </row>
    <row r="36" customFormat="false" ht="15" hidden="false" customHeight="false" outlineLevel="0" collapsed="false">
      <c r="A36" s="16" t="s">
        <v>288</v>
      </c>
      <c r="B36" s="32" t="s">
        <v>314</v>
      </c>
      <c r="C36" s="43" t="n">
        <f aca="false">IF(ISNUMBER(C12),RANK(C12,$C$12:$L$12,0),"-")</f>
        <v>3</v>
      </c>
      <c r="D36" s="43" t="n">
        <f aca="false">IF(ISNUMBER(D12),RANK(D12,$C$12:$L$12,0),"-")</f>
        <v>6</v>
      </c>
      <c r="E36" s="43" t="n">
        <f aca="false">IF(ISNUMBER(E12),RANK(E12,$C$12:$L$12,0),"-")</f>
        <v>5</v>
      </c>
      <c r="F36" s="43" t="n">
        <f aca="false">IF(ISNUMBER(F12),RANK(F12,$C$12:$L$12,0),"-")</f>
        <v>1</v>
      </c>
      <c r="G36" s="43" t="n">
        <f aca="false">IF(ISNUMBER(G12),RANK(G12,$C$12:$L$12,0),"-")</f>
        <v>9</v>
      </c>
      <c r="H36" s="43" t="n">
        <f aca="false">IF(ISNUMBER(H12),RANK(H12,$C$12:$L$12,0),"-")</f>
        <v>4</v>
      </c>
      <c r="I36" s="43" t="n">
        <f aca="false">IF(ISNUMBER(I12),RANK(I12,$C$12:$L$12,0),"-")</f>
        <v>10</v>
      </c>
      <c r="J36" s="43" t="n">
        <f aca="false">IF(ISNUMBER(J12),RANK(J12,$C$12:$L$12,0),"-")</f>
        <v>2</v>
      </c>
      <c r="K36" s="43" t="n">
        <f aca="false">IF(ISNUMBER(K12),RANK(K12,$C$12:$L$12,0),"-")</f>
        <v>7</v>
      </c>
      <c r="L36" s="43" t="n">
        <f aca="false">IF(ISNUMBER(L12),RANK(L12,$C$12:$L$12,0),"-")</f>
        <v>8</v>
      </c>
    </row>
    <row r="37" customFormat="false" ht="15" hidden="false" customHeight="false" outlineLevel="0" collapsed="false">
      <c r="A37" s="16" t="s">
        <v>291</v>
      </c>
      <c r="B37" s="32" t="s">
        <v>315</v>
      </c>
      <c r="C37" s="43" t="n">
        <f aca="false">IF(ISNUMBER(C14),RANK(C14,$C$14:$L$14,1),"-")</f>
        <v>7</v>
      </c>
      <c r="D37" s="43" t="n">
        <f aca="false">IF(ISNUMBER(D14),RANK(D14,$C$14:$L$14,1),"-")</f>
        <v>6</v>
      </c>
      <c r="E37" s="43" t="n">
        <f aca="false">IF(ISNUMBER(E14),RANK(E14,$C$14:$L$14,1),"-")</f>
        <v>3</v>
      </c>
      <c r="F37" s="43" t="n">
        <f aca="false">IF(ISNUMBER(F14),RANK(F14,$C$14:$L$14,1),"-")</f>
        <v>1</v>
      </c>
      <c r="G37" s="43" t="n">
        <f aca="false">IF(ISNUMBER(G14),RANK(G14,$C$14:$L$14,1),"-")</f>
        <v>4</v>
      </c>
      <c r="H37" s="43" t="n">
        <f aca="false">IF(ISNUMBER(H14),RANK(H14,$C$14:$L$14,1),"-")</f>
        <v>8</v>
      </c>
      <c r="I37" s="43" t="n">
        <f aca="false">IF(ISNUMBER(I14),RANK(I14,$C$14:$L$14,1),"-")</f>
        <v>9</v>
      </c>
      <c r="J37" s="43" t="n">
        <f aca="false">IF(ISNUMBER(J14),RANK(J14,$C$14:$L$14,1),"-")</f>
        <v>5</v>
      </c>
      <c r="K37" s="43" t="n">
        <f aca="false">IF(ISNUMBER(K14),RANK(K14,$C$14:$L$14,1),"-")</f>
        <v>10</v>
      </c>
      <c r="L37" s="43" t="n">
        <f aca="false">IF(ISNUMBER(L14),RANK(L14,$C$14:$L$14,1),"-")</f>
        <v>2</v>
      </c>
    </row>
    <row r="38" customFormat="false" ht="15" hidden="false" customHeight="false" outlineLevel="0" collapsed="false">
      <c r="A38" s="16" t="s">
        <v>295</v>
      </c>
      <c r="B38" s="32" t="s">
        <v>314</v>
      </c>
      <c r="C38" s="43" t="n">
        <f aca="false">IF(ISNUMBER(C16),RANK(C16,$C$16:$L$16,0),"-")</f>
        <v>2</v>
      </c>
      <c r="D38" s="43" t="n">
        <f aca="false">IF(ISNUMBER(D16),RANK(D16,$C$16:$L$16,0),"-")</f>
        <v>6</v>
      </c>
      <c r="E38" s="43" t="n">
        <f aca="false">IF(ISNUMBER(E16),RANK(E16,$C$16:$L$16,0),"-")</f>
        <v>8</v>
      </c>
      <c r="F38" s="43" t="n">
        <f aca="false">IF(ISNUMBER(F16),RANK(F16,$C$16:$L$16,0),"-")</f>
        <v>9</v>
      </c>
      <c r="G38" s="43" t="n">
        <f aca="false">IF(ISNUMBER(G16),RANK(G16,$C$16:$L$16,0),"-")</f>
        <v>1</v>
      </c>
      <c r="H38" s="43" t="n">
        <f aca="false">IF(ISNUMBER(H16),RANK(H16,$C$16:$L$16,0),"-")</f>
        <v>5</v>
      </c>
      <c r="I38" s="43" t="n">
        <f aca="false">IF(ISNUMBER(I16),RANK(I16,$C$16:$L$16,0),"-")</f>
        <v>10</v>
      </c>
      <c r="J38" s="43" t="n">
        <f aca="false">IF(ISNUMBER(J16),RANK(J16,$C$16:$L$16,0),"-")</f>
        <v>7</v>
      </c>
      <c r="K38" s="43" t="n">
        <f aca="false">IF(ISNUMBER(K16),RANK(K16,$C$16:$L$16,0),"-")</f>
        <v>4</v>
      </c>
      <c r="L38" s="43" t="n">
        <f aca="false">IF(ISNUMBER(L16),RANK(L16,$C$16:$L$16,0),"-")</f>
        <v>3</v>
      </c>
    </row>
    <row r="39" customFormat="false" ht="15" hidden="false" customHeight="false" outlineLevel="0" collapsed="false">
      <c r="A39" s="16" t="s">
        <v>298</v>
      </c>
      <c r="B39" s="32" t="s">
        <v>314</v>
      </c>
      <c r="C39" s="43" t="n">
        <f aca="false">IF(ISNUMBER(C18),RANK(C18,$C$18:$L$18,0),"-")</f>
        <v>8</v>
      </c>
      <c r="D39" s="43" t="n">
        <f aca="false">IF(ISNUMBER(D18),RANK(D18,$C$18:$L$18,0),"-")</f>
        <v>4</v>
      </c>
      <c r="E39" s="43" t="n">
        <f aca="false">IF(ISNUMBER(E18),RANK(E18,$C$18:$L$18,0),"-")</f>
        <v>2</v>
      </c>
      <c r="F39" s="43" t="n">
        <f aca="false">IF(ISNUMBER(F18),RANK(F18,$C$18:$L$18,0),"-")</f>
        <v>1</v>
      </c>
      <c r="G39" s="43" t="n">
        <f aca="false">IF(ISNUMBER(G18),RANK(G18,$C$18:$L$18,0),"-")</f>
        <v>10</v>
      </c>
      <c r="H39" s="43" t="n">
        <f aca="false">IF(ISNUMBER(H18),RANK(H18,$C$18:$L$18,0),"-")</f>
        <v>9</v>
      </c>
      <c r="I39" s="43" t="n">
        <f aca="false">IF(ISNUMBER(I18),RANK(I18,$C$18:$L$18,0),"-")</f>
        <v>7</v>
      </c>
      <c r="J39" s="43" t="n">
        <f aca="false">IF(ISNUMBER(J18),RANK(J18,$C$18:$L$18,0),"-")</f>
        <v>3</v>
      </c>
      <c r="K39" s="43" t="n">
        <f aca="false">IF(ISNUMBER(K18),RANK(K18,$C$18:$L$18,0),"-")</f>
        <v>5</v>
      </c>
      <c r="L39" s="43" t="n">
        <f aca="false">IF(ISNUMBER(L18),RANK(L18,$C$18:$L$18,0),"-")</f>
        <v>6</v>
      </c>
    </row>
    <row r="40" customFormat="false" ht="15" hidden="false" customHeight="false" outlineLevel="0" collapsed="false">
      <c r="A40" s="16" t="s">
        <v>299</v>
      </c>
      <c r="B40" s="32" t="s">
        <v>314</v>
      </c>
      <c r="C40" s="43" t="n">
        <f aca="false">IF(ISNUMBER(C19),RANK(C19,$C$19:$L$19,0),"-")</f>
        <v>6</v>
      </c>
      <c r="D40" s="43" t="n">
        <f aca="false">IF(ISNUMBER(D19),RANK(D19,$C$19:$L$19,0),"-")</f>
        <v>5</v>
      </c>
      <c r="E40" s="43" t="n">
        <f aca="false">IF(ISNUMBER(E19),RANK(E19,$C$19:$L$19,0),"-")</f>
        <v>2</v>
      </c>
      <c r="F40" s="43" t="n">
        <f aca="false">IF(ISNUMBER(F19),RANK(F19,$C$19:$L$19,0),"-")</f>
        <v>1</v>
      </c>
      <c r="G40" s="43" t="n">
        <f aca="false">IF(ISNUMBER(G19),RANK(G19,$C$19:$L$19,0),"-")</f>
        <v>8</v>
      </c>
      <c r="H40" s="43" t="n">
        <f aca="false">IF(ISNUMBER(H19),RANK(H19,$C$19:$L$19,0),"-")</f>
        <v>7</v>
      </c>
      <c r="I40" s="43" t="n">
        <f aca="false">IF(ISNUMBER(I19),RANK(I19,$C$19:$L$19,0),"-")</f>
        <v>10</v>
      </c>
      <c r="J40" s="43" t="n">
        <f aca="false">IF(ISNUMBER(J19),RANK(J19,$C$19:$L$19,0),"-")</f>
        <v>3</v>
      </c>
      <c r="K40" s="43" t="n">
        <f aca="false">IF(ISNUMBER(K19),RANK(K19,$C$19:$L$19,0),"-")</f>
        <v>4</v>
      </c>
      <c r="L40" s="43" t="n">
        <f aca="false">IF(ISNUMBER(L19),RANK(L19,$C$19:$L$19,0),"-")</f>
        <v>9</v>
      </c>
    </row>
    <row r="41" customFormat="false" ht="15" hidden="false" customHeight="false" outlineLevel="0" collapsed="false">
      <c r="A41" s="16" t="s">
        <v>305</v>
      </c>
      <c r="B41" s="32" t="s">
        <v>314</v>
      </c>
      <c r="C41" s="43" t="n">
        <f aca="false">IF(ISNUMBER(C23),RANK(C23,$C$23:$L$23,0),"-")</f>
        <v>3</v>
      </c>
      <c r="D41" s="43" t="n">
        <f aca="false">IF(ISNUMBER(D23),RANK(D23,$C$23:$L$23,0),"-")</f>
        <v>6</v>
      </c>
      <c r="E41" s="43" t="n">
        <f aca="false">IF(ISNUMBER(E23),RANK(E23,$C$23:$L$23,0),"-")</f>
        <v>1</v>
      </c>
      <c r="F41" s="43" t="n">
        <f aca="false">IF(ISNUMBER(F23),RANK(F23,$C$23:$L$23,0),"-")</f>
        <v>5</v>
      </c>
      <c r="G41" s="43" t="n">
        <f aca="false">IF(ISNUMBER(G23),RANK(G23,$C$23:$L$23,0),"-")</f>
        <v>8</v>
      </c>
      <c r="H41" s="43" t="n">
        <f aca="false">IF(ISNUMBER(H23),RANK(H23,$C$23:$L$23,0),"-")</f>
        <v>9</v>
      </c>
      <c r="I41" s="43" t="n">
        <f aca="false">IF(ISNUMBER(I23),RANK(I23,$C$23:$L$23,0),"-")</f>
        <v>10</v>
      </c>
      <c r="J41" s="43" t="n">
        <f aca="false">IF(ISNUMBER(J23),RANK(J23,$C$23:$L$23,0),"-")</f>
        <v>2</v>
      </c>
      <c r="K41" s="43" t="n">
        <f aca="false">IF(ISNUMBER(K23),RANK(K23,$C$23:$L$23,0),"-")</f>
        <v>4</v>
      </c>
      <c r="L41" s="43" t="n">
        <f aca="false">IF(ISNUMBER(L23),RANK(L23,$C$23:$L$23,0),"-")</f>
        <v>7</v>
      </c>
    </row>
    <row r="42" customFormat="false" ht="15" hidden="false" customHeight="false" outlineLevel="0" collapsed="false">
      <c r="A42" s="16" t="s">
        <v>306</v>
      </c>
      <c r="B42" s="32" t="s">
        <v>314</v>
      </c>
      <c r="C42" s="43" t="n">
        <f aca="false">IF(ISNUMBER(C24),RANK(C24,$C$24:$L$24,0),"-")</f>
        <v>5</v>
      </c>
      <c r="D42" s="43" t="n">
        <f aca="false">IF(ISNUMBER(D24),RANK(D24,$C$24:$L$24,0),"-")</f>
        <v>4</v>
      </c>
      <c r="E42" s="43" t="n">
        <f aca="false">IF(ISNUMBER(E24),RANK(E24,$C$24:$L$24,0),"-")</f>
        <v>1</v>
      </c>
      <c r="F42" s="43" t="n">
        <f aca="false">IF(ISNUMBER(F24),RANK(F24,$C$24:$L$24,0),"-")</f>
        <v>6</v>
      </c>
      <c r="G42" s="43" t="n">
        <f aca="false">IF(ISNUMBER(G24),RANK(G24,$C$24:$L$24,0),"-")</f>
        <v>9</v>
      </c>
      <c r="H42" s="43" t="n">
        <f aca="false">IF(ISNUMBER(H24),RANK(H24,$C$24:$L$24,0),"-")</f>
        <v>7</v>
      </c>
      <c r="I42" s="43" t="n">
        <f aca="false">IF(ISNUMBER(I24),RANK(I24,$C$24:$L$24,0),"-")</f>
        <v>10</v>
      </c>
      <c r="J42" s="43" t="n">
        <f aca="false">IF(ISNUMBER(J24),RANK(J24,$C$24:$L$24,0),"-")</f>
        <v>2</v>
      </c>
      <c r="K42" s="43" t="n">
        <f aca="false">IF(ISNUMBER(K24),RANK(K24,$C$24:$L$24,0),"-")</f>
        <v>3</v>
      </c>
      <c r="L42" s="43" t="n">
        <f aca="false">IF(ISNUMBER(L24),RANK(L24,$C$24:$L$24,0),"-")</f>
        <v>8</v>
      </c>
    </row>
    <row r="43" customFormat="false" ht="15" hidden="false" customHeight="false" outlineLevel="0" collapsed="false">
      <c r="A43" s="28" t="s">
        <v>316</v>
      </c>
      <c r="B43" s="44" t="s">
        <v>315</v>
      </c>
      <c r="C43" s="45" t="n">
        <f aca="false">AVERAGE(C33:C42)</f>
        <v>4.7</v>
      </c>
      <c r="D43" s="45" t="n">
        <f aca="false">AVERAGE(D33:D42)</f>
        <v>5.4</v>
      </c>
      <c r="E43" s="45" t="n">
        <f aca="false">AVERAGE(E33:E42)</f>
        <v>4.1</v>
      </c>
      <c r="F43" s="45" t="n">
        <f aca="false">AVERAGE(F33:F42)</f>
        <v>3</v>
      </c>
      <c r="G43" s="45" t="n">
        <f aca="false">AVERAGE(G33:G42)</f>
        <v>7.4</v>
      </c>
      <c r="H43" s="45" t="n">
        <f aca="false">AVERAGE(H33:H42)</f>
        <v>6.3</v>
      </c>
      <c r="I43" s="45" t="n">
        <f aca="false">AVERAGE(I33:I42)</f>
        <v>9.4</v>
      </c>
      <c r="J43" s="45" t="n">
        <f aca="false">AVERAGE(J33:J42)</f>
        <v>3.3</v>
      </c>
      <c r="K43" s="45" t="n">
        <f aca="false">AVERAGE(K33:K42)</f>
        <v>5.1</v>
      </c>
      <c r="L43" s="45" t="n">
        <f aca="false">AVERAGE(L33:L42)</f>
        <v>6.3</v>
      </c>
    </row>
    <row r="44" customFormat="false" ht="15" hidden="false" customHeight="false" outlineLevel="0" collapsed="false">
      <c r="A44" s="46" t="s">
        <v>317</v>
      </c>
      <c r="B44" s="47"/>
      <c r="C44" s="48" t="n">
        <f aca="false">RANK(C43,$C$43:$L$43,1)</f>
        <v>4</v>
      </c>
      <c r="D44" s="48" t="n">
        <f aca="false">RANK(D43,$C$43:$L$43,1)</f>
        <v>6</v>
      </c>
      <c r="E44" s="48" t="n">
        <f aca="false">RANK(E43,$C$43:$L$43,1)</f>
        <v>3</v>
      </c>
      <c r="F44" s="48" t="n">
        <f aca="false">RANK(F43,$C$43:$L$43,1)</f>
        <v>1</v>
      </c>
      <c r="G44" s="48" t="n">
        <f aca="false">RANK(G43,$C$43:$L$43,1)</f>
        <v>9</v>
      </c>
      <c r="H44" s="48" t="n">
        <f aca="false">RANK(H43,$C$43:$L$43,1)</f>
        <v>7</v>
      </c>
      <c r="I44" s="48" t="n">
        <f aca="false">RANK(I43,$C$43:$L$43,1)</f>
        <v>10</v>
      </c>
      <c r="J44" s="48" t="n">
        <f aca="false">RANK(J43,$C$43:$L$43,1)</f>
        <v>2</v>
      </c>
      <c r="K44" s="48" t="n">
        <f aca="false">RANK(K43,$C$43:$L$43,1)</f>
        <v>5</v>
      </c>
      <c r="L44" s="48" t="n">
        <f aca="false">RANK(L43,$C$43:$L$43,1)</f>
        <v>7</v>
      </c>
    </row>
    <row r="46" customFormat="false" ht="27.75" hidden="false" customHeight="true" outlineLevel="0" collapsed="false">
      <c r="A46" s="18" t="s">
        <v>318</v>
      </c>
      <c r="B46" s="18"/>
      <c r="C46" s="18"/>
      <c r="D46" s="18"/>
      <c r="E46" s="18"/>
      <c r="F46" s="18"/>
      <c r="G46" s="18"/>
      <c r="H46" s="18"/>
      <c r="I46" s="18"/>
      <c r="J46" s="18"/>
      <c r="K46" s="18"/>
      <c r="L46" s="18"/>
      <c r="M46" s="18"/>
      <c r="N46" s="18"/>
    </row>
  </sheetData>
  <mergeCells count="5">
    <mergeCell ref="A1:O1"/>
    <mergeCell ref="A2:O2"/>
    <mergeCell ref="A4:N4"/>
    <mergeCell ref="A31:N31"/>
    <mergeCell ref="A46:N46"/>
  </mergeCells>
  <conditionalFormatting sqref="C6:L6">
    <cfRule type="expression" priority="2" aboveAverage="0" equalAverage="0" bottom="0" percent="0" rank="0" text="" dxfId="0">
      <formula>AND(ISNUMBER(C6),C6&gt;$N6)</formula>
    </cfRule>
    <cfRule type="expression" priority="3" aboveAverage="0" equalAverage="0" bottom="0" percent="0" rank="0" text="" dxfId="1">
      <formula>AND(ISNUMBER(C6),C6&lt;$N6)</formula>
    </cfRule>
  </conditionalFormatting>
  <conditionalFormatting sqref="C7:L7">
    <cfRule type="expression" priority="4" aboveAverage="0" equalAverage="0" bottom="0" percent="0" rank="0" text="" dxfId="0">
      <formula>AND(ISNUMBER(C7),C7&gt;$N7)</formula>
    </cfRule>
    <cfRule type="expression" priority="5" aboveAverage="0" equalAverage="0" bottom="0" percent="0" rank="0" text="" dxfId="1">
      <formula>AND(ISNUMBER(C7),C7&lt;$N7)</formula>
    </cfRule>
  </conditionalFormatting>
  <conditionalFormatting sqref="C8:L8">
    <cfRule type="expression" priority="6" aboveAverage="0" equalAverage="0" bottom="0" percent="0" rank="0" text="" dxfId="0">
      <formula>AND(ISNUMBER(C8),C8&gt;$N8)</formula>
    </cfRule>
    <cfRule type="expression" priority="7" aboveAverage="0" equalAverage="0" bottom="0" percent="0" rank="0" text="" dxfId="1">
      <formula>AND(ISNUMBER(C8),C8&lt;$N8)</formula>
    </cfRule>
  </conditionalFormatting>
  <conditionalFormatting sqref="C9:L9">
    <cfRule type="expression" priority="8" aboveAverage="0" equalAverage="0" bottom="0" percent="0" rank="0" text="" dxfId="0">
      <formula>AND(ISNUMBER(C9),C9&lt;$N9)</formula>
    </cfRule>
    <cfRule type="expression" priority="9" aboveAverage="0" equalAverage="0" bottom="0" percent="0" rank="0" text="" dxfId="1">
      <formula>AND(ISNUMBER(C9),C9&gt;$N9)</formula>
    </cfRule>
  </conditionalFormatting>
  <conditionalFormatting sqref="C10:L10">
    <cfRule type="expression" priority="10" aboveAverage="0" equalAverage="0" bottom="0" percent="0" rank="0" text="" dxfId="0">
      <formula>AND(ISNUMBER(C10),C10&gt;$N10)</formula>
    </cfRule>
    <cfRule type="expression" priority="11" aboveAverage="0" equalAverage="0" bottom="0" percent="0" rank="0" text="" dxfId="1">
      <formula>AND(ISNUMBER(C10),C10&lt;$N10)</formula>
    </cfRule>
  </conditionalFormatting>
  <conditionalFormatting sqref="C11:L11">
    <cfRule type="expression" priority="12" aboveAverage="0" equalAverage="0" bottom="0" percent="0" rank="0" text="" dxfId="0">
      <formula>AND(ISNUMBER(C11),C11&lt;$N11)</formula>
    </cfRule>
    <cfRule type="expression" priority="13" aboveAverage="0" equalAverage="0" bottom="0" percent="0" rank="0" text="" dxfId="1">
      <formula>AND(ISNUMBER(C11),C11&gt;$N11)</formula>
    </cfRule>
  </conditionalFormatting>
  <conditionalFormatting sqref="C12:L12">
    <cfRule type="expression" priority="14" aboveAverage="0" equalAverage="0" bottom="0" percent="0" rank="0" text="" dxfId="0">
      <formula>AND(ISNUMBER(C12),C12&gt;$N12)</formula>
    </cfRule>
    <cfRule type="expression" priority="15" aboveAverage="0" equalAverage="0" bottom="0" percent="0" rank="0" text="" dxfId="1">
      <formula>AND(ISNUMBER(C12),C12&lt;$N12)</formula>
    </cfRule>
  </conditionalFormatting>
  <conditionalFormatting sqref="C13:L13">
    <cfRule type="expression" priority="16" aboveAverage="0" equalAverage="0" bottom="0" percent="0" rank="0" text="" dxfId="0">
      <formula>AND(ISNUMBER(C13),C13&gt;$N13)</formula>
    </cfRule>
    <cfRule type="expression" priority="17" aboveAverage="0" equalAverage="0" bottom="0" percent="0" rank="0" text="" dxfId="1">
      <formula>AND(ISNUMBER(C13),C13&lt;$N13)</formula>
    </cfRule>
  </conditionalFormatting>
  <conditionalFormatting sqref="C14:L14">
    <cfRule type="expression" priority="18" aboveAverage="0" equalAverage="0" bottom="0" percent="0" rank="0" text="" dxfId="0">
      <formula>AND(ISNUMBER(C14),C14&lt;$N14)</formula>
    </cfRule>
    <cfRule type="expression" priority="19" aboveAverage="0" equalAverage="0" bottom="0" percent="0" rank="0" text="" dxfId="1">
      <formula>AND(ISNUMBER(C14),C14&gt;$N14)</formula>
    </cfRule>
  </conditionalFormatting>
  <conditionalFormatting sqref="C15:L15">
    <cfRule type="expression" priority="20" aboveAverage="0" equalAverage="0" bottom="0" percent="0" rank="0" text="" dxfId="0">
      <formula>AND(ISNUMBER(C15),C15&gt;$N15)</formula>
    </cfRule>
    <cfRule type="expression" priority="21" aboveAverage="0" equalAverage="0" bottom="0" percent="0" rank="0" text="" dxfId="1">
      <formula>AND(ISNUMBER(C15),C15&lt;$N15)</formula>
    </cfRule>
  </conditionalFormatting>
  <conditionalFormatting sqref="C16:L16">
    <cfRule type="expression" priority="22" aboveAverage="0" equalAverage="0" bottom="0" percent="0" rank="0" text="" dxfId="0">
      <formula>AND(ISNUMBER(C16),C16&gt;$N16)</formula>
    </cfRule>
    <cfRule type="expression" priority="23" aboveAverage="0" equalAverage="0" bottom="0" percent="0" rank="0" text="" dxfId="1">
      <formula>AND(ISNUMBER(C16),C16&lt;$N16)</formula>
    </cfRule>
  </conditionalFormatting>
  <conditionalFormatting sqref="C17:L17">
    <cfRule type="expression" priority="24" aboveAverage="0" equalAverage="0" bottom="0" percent="0" rank="0" text="" dxfId="0">
      <formula>AND(ISNUMBER(C17),C17&gt;$N17)</formula>
    </cfRule>
    <cfRule type="expression" priority="25" aboveAverage="0" equalAverage="0" bottom="0" percent="0" rank="0" text="" dxfId="1">
      <formula>AND(ISNUMBER(C17),C17&lt;$N17)</formula>
    </cfRule>
  </conditionalFormatting>
  <conditionalFormatting sqref="C18:L18">
    <cfRule type="expression" priority="26" aboveAverage="0" equalAverage="0" bottom="0" percent="0" rank="0" text="" dxfId="0">
      <formula>AND(ISNUMBER(C18),C18&gt;$N18)</formula>
    </cfRule>
    <cfRule type="expression" priority="27" aboveAverage="0" equalAverage="0" bottom="0" percent="0" rank="0" text="" dxfId="1">
      <formula>AND(ISNUMBER(C18),C18&lt;$N18)</formula>
    </cfRule>
  </conditionalFormatting>
  <conditionalFormatting sqref="C19:L19">
    <cfRule type="expression" priority="28" aboveAverage="0" equalAverage="0" bottom="0" percent="0" rank="0" text="" dxfId="0">
      <formula>AND(ISNUMBER(C19),C19&gt;$N19)</formula>
    </cfRule>
    <cfRule type="expression" priority="29" aboveAverage="0" equalAverage="0" bottom="0" percent="0" rank="0" text="" dxfId="1">
      <formula>AND(ISNUMBER(C19),C19&lt;$N19)</formula>
    </cfRule>
  </conditionalFormatting>
  <conditionalFormatting sqref="C20:L20">
    <cfRule type="expression" priority="30" aboveAverage="0" equalAverage="0" bottom="0" percent="0" rank="0" text="" dxfId="0">
      <formula>AND(ISNUMBER(C20),C20&gt;$N20)</formula>
    </cfRule>
    <cfRule type="expression" priority="31" aboveAverage="0" equalAverage="0" bottom="0" percent="0" rank="0" text="" dxfId="1">
      <formula>AND(ISNUMBER(C20),C20&lt;$N20)</formula>
    </cfRule>
  </conditionalFormatting>
  <conditionalFormatting sqref="C21:L21">
    <cfRule type="expression" priority="32" aboveAverage="0" equalAverage="0" bottom="0" percent="0" rank="0" text="" dxfId="0">
      <formula>AND(ISNUMBER(C21),C21&lt;$N21)</formula>
    </cfRule>
    <cfRule type="expression" priority="33" aboveAverage="0" equalAverage="0" bottom="0" percent="0" rank="0" text="" dxfId="1">
      <formula>AND(ISNUMBER(C21),C21&gt;$N21)</formula>
    </cfRule>
  </conditionalFormatting>
  <conditionalFormatting sqref="C22:L22">
    <cfRule type="expression" priority="34" aboveAverage="0" equalAverage="0" bottom="0" percent="0" rank="0" text="" dxfId="0">
      <formula>AND(ISNUMBER(C22),C22&gt;$N22)</formula>
    </cfRule>
    <cfRule type="expression" priority="35" aboveAverage="0" equalAverage="0" bottom="0" percent="0" rank="0" text="" dxfId="1">
      <formula>AND(ISNUMBER(C22),C22&lt;$N22)</formula>
    </cfRule>
  </conditionalFormatting>
  <conditionalFormatting sqref="C23:L23">
    <cfRule type="expression" priority="36" aboveAverage="0" equalAverage="0" bottom="0" percent="0" rank="0" text="" dxfId="0">
      <formula>AND(ISNUMBER(C23),C23&gt;$N23)</formula>
    </cfRule>
    <cfRule type="expression" priority="37" aboveAverage="0" equalAverage="0" bottom="0" percent="0" rank="0" text="" dxfId="1">
      <formula>AND(ISNUMBER(C23),C23&lt;$N23)</formula>
    </cfRule>
  </conditionalFormatting>
  <conditionalFormatting sqref="C24:L24">
    <cfRule type="expression" priority="38" aboveAverage="0" equalAverage="0" bottom="0" percent="0" rank="0" text="" dxfId="0">
      <formula>AND(ISNUMBER(C24),C24&gt;$N24)</formula>
    </cfRule>
    <cfRule type="expression" priority="39" aboveAverage="0" equalAverage="0" bottom="0" percent="0" rank="0" text="" dxfId="1">
      <formula>AND(ISNUMBER(C24),C24&lt;$N24)</formula>
    </cfRule>
  </conditionalFormatting>
  <conditionalFormatting sqref="C33:L42">
    <cfRule type="expression" priority="40" aboveAverage="0" equalAverage="0" bottom="0" percent="0" rank="0" text="" dxfId="0">
      <formula>AND(ISNUMBER(C33),C33&lt;=3)</formula>
    </cfRule>
    <cfRule type="expression" priority="41" aboveAverage="0" equalAverage="0" bottom="0" percent="0" rank="0" text="" dxfId="1">
      <formula>AND(ISNUMBER(C33),C33&gt;=8)</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B6CB0"/>
    <pageSetUpPr fitToPage="false"/>
  </sheetPr>
  <dimension ref="A1:L108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8" min="2" style="0" width="11.5"/>
    <col collapsed="false" customWidth="true" hidden="false" outlineLevel="0" max="9" min="9" style="0" width="12"/>
    <col collapsed="false" customWidth="true" hidden="false" outlineLevel="0" max="10" min="10" style="0" width="14"/>
    <col collapsed="false" customWidth="true" hidden="false" outlineLevel="0" max="12" min="11" style="0" width="12"/>
  </cols>
  <sheetData>
    <row r="1" customFormat="false" ht="24" hidden="false" customHeight="true" outlineLevel="0" collapsed="false">
      <c r="A1" s="1" t="s">
        <v>319</v>
      </c>
      <c r="B1" s="1"/>
      <c r="C1" s="1"/>
      <c r="D1" s="1"/>
      <c r="E1" s="1"/>
      <c r="F1" s="1"/>
      <c r="G1" s="1"/>
      <c r="H1" s="1"/>
      <c r="I1" s="1"/>
      <c r="J1" s="1"/>
      <c r="K1" s="1"/>
      <c r="L1" s="1"/>
    </row>
    <row r="2" customFormat="false" ht="30" hidden="false" customHeight="true" outlineLevel="0" collapsed="false">
      <c r="A2" s="11" t="s">
        <v>320</v>
      </c>
      <c r="B2" s="11"/>
      <c r="C2" s="11"/>
      <c r="D2" s="11"/>
      <c r="E2" s="11"/>
      <c r="F2" s="11"/>
      <c r="G2" s="11"/>
      <c r="H2" s="11"/>
      <c r="I2" s="11"/>
      <c r="J2" s="11"/>
      <c r="K2" s="11"/>
      <c r="L2" s="11"/>
    </row>
    <row r="4" customFormat="false" ht="30" hidden="false" customHeight="true" outlineLevel="0" collapsed="false">
      <c r="A4" s="7" t="s">
        <v>321</v>
      </c>
      <c r="B4" s="7" t="s">
        <v>154</v>
      </c>
      <c r="C4" s="7" t="s">
        <v>185</v>
      </c>
      <c r="D4" s="7" t="s">
        <v>188</v>
      </c>
      <c r="E4" s="7" t="s">
        <v>144</v>
      </c>
      <c r="F4" s="7" t="s">
        <v>147</v>
      </c>
      <c r="G4" s="7" t="s">
        <v>157</v>
      </c>
      <c r="H4" s="7" t="s">
        <v>198</v>
      </c>
      <c r="I4" s="7" t="s">
        <v>322</v>
      </c>
      <c r="J4" s="7" t="s">
        <v>323</v>
      </c>
      <c r="K4" s="7" t="s">
        <v>324</v>
      </c>
      <c r="L4" s="7" t="s">
        <v>325</v>
      </c>
    </row>
    <row r="6" customFormat="false" ht="16.5" hidden="false" customHeight="true" outlineLevel="0" collapsed="false">
      <c r="A6" s="49" t="s">
        <v>326</v>
      </c>
      <c r="B6" s="49"/>
      <c r="C6" s="49"/>
      <c r="D6" s="49"/>
      <c r="E6" s="49"/>
      <c r="F6" s="49"/>
      <c r="G6" s="49"/>
      <c r="H6" s="49"/>
      <c r="I6" s="49"/>
      <c r="J6" s="49"/>
      <c r="K6" s="49"/>
      <c r="L6" s="49"/>
    </row>
    <row r="7" customFormat="false" ht="15" hidden="false" customHeight="false" outlineLevel="0" collapsed="false">
      <c r="A7" s="16" t="s">
        <v>52</v>
      </c>
      <c r="B7" s="26" t="n">
        <f aca="false">Tiger!D94</f>
        <v>79.44</v>
      </c>
      <c r="C7" s="26" t="n">
        <f aca="false">Tiger!E94</f>
        <v>48.16</v>
      </c>
      <c r="D7" s="26" t="n">
        <f aca="false">Tiger!F94</f>
        <v>61.36</v>
      </c>
      <c r="E7" s="26" t="n">
        <f aca="false">Tiger!G94</f>
        <v>84.64</v>
      </c>
      <c r="F7" s="26" t="n">
        <f aca="false">Tiger!H94</f>
        <v>102.6</v>
      </c>
      <c r="G7" s="26" t="n">
        <f aca="false">Tiger!I94</f>
        <v>151.77</v>
      </c>
      <c r="H7" s="26" t="n">
        <f aca="false">Tiger!J94</f>
        <v>187.87</v>
      </c>
      <c r="I7" s="50" t="n">
        <f aca="false">Tiger!K94</f>
        <v>102.262857142857</v>
      </c>
      <c r="J7" s="25" t="str">
        <f aca="false">IF(AND(ISNUMBER(I7),ISNUMBER(I$19)),IF(I7&gt;I$19,"Above",IF(I7&lt;I$19,"Below","At median")),"-")</f>
        <v>Below</v>
      </c>
      <c r="K7" s="25" t="s">
        <v>327</v>
      </c>
      <c r="L7" s="25" t="s">
        <v>327</v>
      </c>
    </row>
    <row r="8" customFormat="false" ht="15" hidden="false" customHeight="false" outlineLevel="0" collapsed="false">
      <c r="A8" s="16" t="s">
        <v>54</v>
      </c>
      <c r="B8" s="26" t="n">
        <f aca="false">Allcargo!D94</f>
        <v>1002.04</v>
      </c>
      <c r="C8" s="26" t="n">
        <f aca="false">Allcargo!E94</f>
        <v>857.7</v>
      </c>
      <c r="D8" s="26" t="n">
        <f aca="false">Allcargo!F94</f>
        <v>1417.79</v>
      </c>
      <c r="E8" s="26" t="n">
        <f aca="false">Allcargo!G94</f>
        <v>1265.14</v>
      </c>
      <c r="F8" s="26" t="n">
        <f aca="false">Allcargo!H94</f>
        <v>1242.73</v>
      </c>
      <c r="G8" s="26" t="n">
        <f aca="false">Allcargo!I94</f>
        <v>578</v>
      </c>
      <c r="H8" s="26" t="n">
        <f aca="false">Allcargo!J94</f>
        <v>481</v>
      </c>
      <c r="I8" s="50" t="n">
        <f aca="false">Allcargo!K94</f>
        <v>977.771428571429</v>
      </c>
      <c r="J8" s="25" t="str">
        <f aca="false">IF(AND(ISNUMBER(I8),ISNUMBER(I$19)),IF(I8&gt;I$19,"Above",IF(I8&lt;I$19,"Below","At median")),"-")</f>
        <v>Above</v>
      </c>
      <c r="K8" s="25" t="s">
        <v>327</v>
      </c>
      <c r="L8" s="25" t="s">
        <v>327</v>
      </c>
    </row>
    <row r="9" customFormat="false" ht="15" hidden="false" customHeight="false" outlineLevel="0" collapsed="false">
      <c r="A9" s="16" t="s">
        <v>277</v>
      </c>
      <c r="B9" s="26" t="n">
        <f aca="false">BlueDart!D94</f>
        <v>-662.18</v>
      </c>
      <c r="C9" s="26" t="n">
        <f aca="false">BlueDart!E94</f>
        <v>374.18</v>
      </c>
      <c r="D9" s="26" t="n">
        <f aca="false">BlueDart!F94</f>
        <v>224.54</v>
      </c>
      <c r="E9" s="26" t="n">
        <f aca="false">BlueDart!G94</f>
        <v>252.87</v>
      </c>
      <c r="F9" s="26" t="n">
        <f aca="false">BlueDart!H94</f>
        <v>236.54</v>
      </c>
      <c r="G9" s="26" t="n">
        <f aca="false">BlueDart!I94</f>
        <v>289.72</v>
      </c>
      <c r="H9" s="26" t="n">
        <f aca="false">BlueDart!J94</f>
        <v>443.88</v>
      </c>
      <c r="I9" s="50" t="n">
        <f aca="false">BlueDart!K94</f>
        <v>165.65</v>
      </c>
      <c r="J9" s="25" t="str">
        <f aca="false">IF(AND(ISNUMBER(I9),ISNUMBER(I$19)),IF(I9&gt;I$19,"Above",IF(I9&lt;I$19,"Below","At median")),"-")</f>
        <v>Above</v>
      </c>
      <c r="K9" s="25" t="s">
        <v>327</v>
      </c>
      <c r="L9" s="25" t="s">
        <v>327</v>
      </c>
    </row>
    <row r="10" customFormat="false" ht="15" hidden="false" customHeight="false" outlineLevel="0" collapsed="false">
      <c r="A10" s="16" t="s">
        <v>58</v>
      </c>
      <c r="B10" s="26" t="n">
        <f aca="false">CONCOR!D94</f>
        <v>2626.3</v>
      </c>
      <c r="C10" s="26" t="n">
        <f aca="false">CONCOR!E94</f>
        <v>3063.63</v>
      </c>
      <c r="D10" s="26" t="n">
        <f aca="false">CONCOR!F94</f>
        <v>3805.64</v>
      </c>
      <c r="E10" s="26" t="n">
        <f aca="false">CONCOR!G94</f>
        <v>4333.98</v>
      </c>
      <c r="F10" s="26" t="n">
        <f aca="false">CONCOR!H94</f>
        <v>4747.44</v>
      </c>
      <c r="G10" s="26" t="n">
        <f aca="false">CONCOR!I94</f>
        <v>4689.41</v>
      </c>
      <c r="H10" s="26" t="n">
        <f aca="false">CONCOR!J94</f>
        <v>4759.67</v>
      </c>
      <c r="I10" s="50" t="n">
        <f aca="false">CONCOR!K94</f>
        <v>4003.72428571429</v>
      </c>
      <c r="J10" s="25" t="str">
        <f aca="false">IF(AND(ISNUMBER(I10),ISNUMBER(I$19)),IF(I10&gt;I$19,"Above",IF(I10&lt;I$19,"Below","At median")),"-")</f>
        <v>Above</v>
      </c>
      <c r="K10" s="25" t="s">
        <v>327</v>
      </c>
      <c r="L10" s="25" t="s">
        <v>327</v>
      </c>
    </row>
    <row r="11" customFormat="false" ht="15" hidden="false" customHeight="false" outlineLevel="0" collapsed="false">
      <c r="A11" s="16" t="s">
        <v>278</v>
      </c>
      <c r="B11" s="26" t="n">
        <f aca="false">JetFreight!D94</f>
        <v>39.16</v>
      </c>
      <c r="C11" s="26" t="n">
        <f aca="false">JetFreight!E94</f>
        <v>23.78</v>
      </c>
      <c r="D11" s="26" t="n">
        <f aca="false">JetFreight!F94</f>
        <v>42.17</v>
      </c>
      <c r="E11" s="26" t="n">
        <f aca="false">JetFreight!G94</f>
        <v>92.29</v>
      </c>
      <c r="F11" s="26" t="n">
        <f aca="false">JetFreight!H94</f>
        <v>90.86</v>
      </c>
      <c r="G11" s="26" t="n">
        <f aca="false">JetFreight!I94</f>
        <v>103.78</v>
      </c>
      <c r="H11" s="26" t="n">
        <f aca="false">JetFreight!J94</f>
        <v>122.24</v>
      </c>
      <c r="I11" s="50" t="n">
        <f aca="false">JetFreight!K94</f>
        <v>73.4685714285714</v>
      </c>
      <c r="J11" s="25" t="str">
        <f aca="false">IF(AND(ISNUMBER(I11),ISNUMBER(I$19)),IF(I11&gt;I$19,"Above",IF(I11&lt;I$19,"Below","At median")),"-")</f>
        <v>Below</v>
      </c>
      <c r="K11" s="25" t="s">
        <v>327</v>
      </c>
      <c r="L11" s="25" t="s">
        <v>327</v>
      </c>
    </row>
    <row r="12" customFormat="false" ht="15" hidden="false" customHeight="false" outlineLevel="0" collapsed="false">
      <c r="A12" s="16" t="s">
        <v>62</v>
      </c>
      <c r="B12" s="26" t="n">
        <f aca="false">Patel!D94</f>
        <v>115.87</v>
      </c>
      <c r="C12" s="26" t="n">
        <f aca="false">Patel!E94</f>
        <v>115.04</v>
      </c>
      <c r="D12" s="26" t="n">
        <f aca="false">Patel!F94</f>
        <v>102.28</v>
      </c>
      <c r="E12" s="26" t="n">
        <f aca="false">Patel!G94</f>
        <v>88.52</v>
      </c>
      <c r="F12" s="26" t="n">
        <f aca="false">Patel!H94</f>
        <v>90.18</v>
      </c>
      <c r="G12" s="26" t="n">
        <f aca="false">Patel!I94</f>
        <v>83.19</v>
      </c>
      <c r="H12" s="26" t="n">
        <f aca="false">Patel!J94</f>
        <v>79.32</v>
      </c>
      <c r="I12" s="50" t="n">
        <f aca="false">Patel!K94</f>
        <v>96.3428571428571</v>
      </c>
      <c r="J12" s="25" t="str">
        <f aca="false">IF(AND(ISNUMBER(I12),ISNUMBER(I$19)),IF(I12&gt;I$19,"Above",IF(I12&lt;I$19,"Below","At median")),"-")</f>
        <v>Below</v>
      </c>
      <c r="K12" s="25" t="s">
        <v>327</v>
      </c>
      <c r="L12" s="25" t="s">
        <v>327</v>
      </c>
    </row>
    <row r="13" customFormat="false" ht="15" hidden="false" customHeight="false" outlineLevel="0" collapsed="false">
      <c r="A13" s="16" t="s">
        <v>64</v>
      </c>
      <c r="B13" s="26" t="n">
        <f aca="false">Sical!D94</f>
        <v>-459.35</v>
      </c>
      <c r="C13" s="26" t="n">
        <f aca="false">Sical!E94</f>
        <v>-646.28</v>
      </c>
      <c r="D13" s="26" t="n">
        <f aca="false">Sical!F94</f>
        <v>-337.55</v>
      </c>
      <c r="E13" s="26" t="n">
        <f aca="false">Sical!G94</f>
        <v>-68.93</v>
      </c>
      <c r="F13" s="26" t="n">
        <f aca="false">Sical!H94</f>
        <v>-32.09</v>
      </c>
      <c r="G13" s="26" t="n">
        <f aca="false">Sical!I94</f>
        <v>-51.8</v>
      </c>
      <c r="H13" s="26" t="n">
        <f aca="false">Sical!J94</f>
        <v>40.73</v>
      </c>
      <c r="I13" s="50" t="n">
        <f aca="false">Sical!K94</f>
        <v>-222.181428571429</v>
      </c>
      <c r="J13" s="25" t="str">
        <f aca="false">IF(AND(ISNUMBER(I13),ISNUMBER(I$19)),IF(I13&gt;I$19,"Above",IF(I13&lt;I$19,"Below","At median")),"-")</f>
        <v>Below</v>
      </c>
      <c r="K13" s="25" t="s">
        <v>327</v>
      </c>
      <c r="L13" s="25" t="s">
        <v>327</v>
      </c>
    </row>
    <row r="14" customFormat="false" ht="15" hidden="false" customHeight="false" outlineLevel="0" collapsed="false">
      <c r="A14" s="16" t="s">
        <v>66</v>
      </c>
      <c r="B14" s="26" t="n">
        <f aca="false">TCI!D94</f>
        <v>517.29</v>
      </c>
      <c r="C14" s="26" t="n">
        <f aca="false">TCI!E94</f>
        <v>507.36</v>
      </c>
      <c r="D14" s="26" t="n">
        <f aca="false">TCI!F94</f>
        <v>525.15</v>
      </c>
      <c r="E14" s="26" t="n">
        <f aca="false">TCI!G94</f>
        <v>690.52</v>
      </c>
      <c r="F14" s="26" t="n">
        <f aca="false">TCI!H94</f>
        <v>684.09</v>
      </c>
      <c r="G14" s="26" t="n">
        <f aca="false">TCI!I94</f>
        <v>766.74</v>
      </c>
      <c r="H14" s="26" t="n">
        <f aca="false">TCI!J94</f>
        <v>855.89</v>
      </c>
      <c r="I14" s="50" t="n">
        <f aca="false">TCI!K94</f>
        <v>649.577142857143</v>
      </c>
      <c r="J14" s="25" t="str">
        <f aca="false">IF(AND(ISNUMBER(I14),ISNUMBER(I$19)),IF(I14&gt;I$19,"Above",IF(I14&lt;I$19,"Below","At median")),"-")</f>
        <v>Above</v>
      </c>
      <c r="K14" s="25" t="s">
        <v>327</v>
      </c>
      <c r="L14" s="25" t="s">
        <v>327</v>
      </c>
    </row>
    <row r="15" customFormat="false" ht="15" hidden="false" customHeight="false" outlineLevel="0" collapsed="false">
      <c r="A15" s="16" t="s">
        <v>68</v>
      </c>
      <c r="B15" s="26" t="n">
        <f aca="false">Shreeji!D94</f>
        <v>43.83</v>
      </c>
      <c r="C15" s="26" t="n">
        <f aca="false">Shreeji!E94</f>
        <v>46.23</v>
      </c>
      <c r="D15" s="26" t="n">
        <f aca="false">Shreeji!F94</f>
        <v>56.35</v>
      </c>
      <c r="E15" s="26" t="n">
        <f aca="false">Shreeji!G94</f>
        <v>56.1</v>
      </c>
      <c r="F15" s="26" t="n">
        <f aca="false">Shreeji!H94</f>
        <v>66.91</v>
      </c>
      <c r="G15" s="26" t="n">
        <f aca="false">Shreeji!I94</f>
        <v>65.55</v>
      </c>
      <c r="H15" s="26" t="n">
        <f aca="false">Shreeji!J94</f>
        <v>72.95</v>
      </c>
      <c r="I15" s="50" t="n">
        <f aca="false">Shreeji!K94</f>
        <v>58.2742857142857</v>
      </c>
      <c r="J15" s="25" t="str">
        <f aca="false">IF(AND(ISNUMBER(I15),ISNUMBER(I$19)),IF(I15&gt;I$19,"Above",IF(I15&lt;I$19,"Below","At median")),"-")</f>
        <v>Below</v>
      </c>
      <c r="K15" s="25" t="s">
        <v>327</v>
      </c>
      <c r="L15" s="25" t="s">
        <v>327</v>
      </c>
    </row>
    <row r="16" customFormat="false" ht="15" hidden="false" customHeight="false" outlineLevel="0" collapsed="false">
      <c r="A16" s="16" t="s">
        <v>279</v>
      </c>
      <c r="B16" s="26" t="n">
        <f aca="false">MahindraLog!D94</f>
        <v>496.81</v>
      </c>
      <c r="C16" s="26" t="n">
        <f aca="false">MahindraLog!E94</f>
        <v>418.69</v>
      </c>
      <c r="D16" s="26" t="n">
        <f aca="false">MahindraLog!F94</f>
        <v>316.78</v>
      </c>
      <c r="E16" s="26" t="n">
        <f aca="false">MahindraLog!G94</f>
        <v>462.39</v>
      </c>
      <c r="F16" s="26" t="n">
        <f aca="false">MahindraLog!H94</f>
        <v>373.47</v>
      </c>
      <c r="G16" s="26" t="n">
        <f aca="false">MahindraLog!I94</f>
        <v>308.71</v>
      </c>
      <c r="H16" s="26" t="n">
        <f aca="false">MahindraLog!J94</f>
        <v>527.87</v>
      </c>
      <c r="I16" s="50" t="n">
        <f aca="false">MahindraLog!K94</f>
        <v>414.96</v>
      </c>
      <c r="J16" s="25" t="str">
        <f aca="false">IF(AND(ISNUMBER(I16),ISNUMBER(I$19)),IF(I16&gt;I$19,"Above",IF(I16&lt;I$19,"Below","At median")),"-")</f>
        <v>Above</v>
      </c>
      <c r="K16" s="25" t="s">
        <v>327</v>
      </c>
      <c r="L16" s="25" t="s">
        <v>327</v>
      </c>
    </row>
    <row r="17" customFormat="false" ht="15" hidden="false" customHeight="false" outlineLevel="0" collapsed="false">
      <c r="A17" s="46" t="s">
        <v>328</v>
      </c>
      <c r="B17" s="51" t="n">
        <f aca="false">Industry!D95</f>
        <v>3799.21</v>
      </c>
      <c r="C17" s="51" t="n">
        <f aca="false">Industry!E95</f>
        <v>4808.49</v>
      </c>
      <c r="D17" s="51" t="n">
        <f aca="false">Industry!F95</f>
        <v>6214.51</v>
      </c>
      <c r="E17" s="51" t="n">
        <f aca="false">Industry!G95</f>
        <v>7257.52</v>
      </c>
      <c r="F17" s="51" t="n">
        <f aca="false">Industry!H95</f>
        <v>7602.73</v>
      </c>
      <c r="G17" s="51" t="n">
        <f aca="false">Industry!I95</f>
        <v>6985.07</v>
      </c>
      <c r="H17" s="51" t="n">
        <f aca="false">Industry!J95</f>
        <v>7571.42</v>
      </c>
      <c r="I17" s="51" t="n">
        <f aca="false">Industry!K95</f>
        <v>6319.85</v>
      </c>
      <c r="J17" s="47"/>
      <c r="K17" s="47"/>
      <c r="L17" s="47"/>
    </row>
    <row r="18" customFormat="false" ht="15" hidden="false" customHeight="false" outlineLevel="0" collapsed="false">
      <c r="A18" s="52" t="s">
        <v>329</v>
      </c>
      <c r="B18" s="53" t="n">
        <f aca="false">IF(COUNT(B7:B16)=0,"N/M",AVERAGE(B7:B16))</f>
        <v>379.921</v>
      </c>
      <c r="C18" s="53" t="n">
        <f aca="false">IF(COUNT(C7:C16)=0,"N/M",AVERAGE(C7:C16))</f>
        <v>480.849</v>
      </c>
      <c r="D18" s="53" t="n">
        <f aca="false">IF(COUNT(D7:D16)=0,"N/M",AVERAGE(D7:D16))</f>
        <v>621.451</v>
      </c>
      <c r="E18" s="53" t="n">
        <f aca="false">IF(COUNT(E7:E16)=0,"N/M",AVERAGE(E7:E16))</f>
        <v>725.752</v>
      </c>
      <c r="F18" s="53" t="n">
        <f aca="false">IF(COUNT(F7:F16)=0,"N/M",AVERAGE(F7:F16))</f>
        <v>760.273</v>
      </c>
      <c r="G18" s="53" t="n">
        <f aca="false">IF(COUNT(G7:G16)=0,"N/M",AVERAGE(G7:G16))</f>
        <v>698.507</v>
      </c>
      <c r="H18" s="53" t="n">
        <f aca="false">IF(COUNT(H7:H16)=0,"N/M",AVERAGE(H7:H16))</f>
        <v>757.142</v>
      </c>
      <c r="I18" s="53" t="n">
        <f aca="false">IF(COUNT(I7:I16)=0,"N/M",AVERAGE(I7:I16))</f>
        <v>631.985</v>
      </c>
      <c r="J18" s="54"/>
      <c r="K18" s="54"/>
      <c r="L18" s="54"/>
    </row>
    <row r="19" customFormat="false" ht="15" hidden="false" customHeight="false" outlineLevel="0" collapsed="false">
      <c r="A19" s="28" t="s">
        <v>281</v>
      </c>
      <c r="B19" s="29" t="n">
        <f aca="false">IF(COUNT(B7:B16)=0,"N/M",MEDIAN(B7:B16))</f>
        <v>97.655</v>
      </c>
      <c r="C19" s="29" t="n">
        <f aca="false">IF(COUNT(C7:C16)=0,"N/M",MEDIAN(C7:C16))</f>
        <v>244.61</v>
      </c>
      <c r="D19" s="29" t="n">
        <f aca="false">IF(COUNT(D7:D16)=0,"N/M",MEDIAN(D7:D16))</f>
        <v>163.41</v>
      </c>
      <c r="E19" s="29" t="n">
        <f aca="false">IF(COUNT(E7:E16)=0,"N/M",MEDIAN(E7:E16))</f>
        <v>172.58</v>
      </c>
      <c r="F19" s="29" t="n">
        <f aca="false">IF(COUNT(F7:F16)=0,"N/M",MEDIAN(F7:F16))</f>
        <v>169.57</v>
      </c>
      <c r="G19" s="29" t="n">
        <f aca="false">IF(COUNT(G7:G16)=0,"N/M",MEDIAN(G7:G16))</f>
        <v>220.745</v>
      </c>
      <c r="H19" s="29" t="n">
        <f aca="false">IF(COUNT(H7:H16)=0,"N/M",MEDIAN(H7:H16))</f>
        <v>315.875</v>
      </c>
      <c r="I19" s="29" t="n">
        <f aca="false">IF(COUNT(I7:I16)=0,"N/M",MEDIAN(I7:I16))</f>
        <v>133.956428571429</v>
      </c>
      <c r="J19" s="54"/>
      <c r="K19" s="54"/>
      <c r="L19" s="54"/>
    </row>
    <row r="20" customFormat="false" ht="15" hidden="false" customHeight="false" outlineLevel="0" collapsed="false">
      <c r="A20" s="52" t="s">
        <v>330</v>
      </c>
      <c r="B20" s="53" t="n">
        <f aca="false">IF(COUNT(B7:B16)&lt;2,"N/M",STDEV(B7:B16))</f>
        <v>921.666439378513</v>
      </c>
      <c r="C20" s="53" t="n">
        <f aca="false">IF(COUNT(C7:C16)&lt;2,"N/M",STDEV(C7:C16))</f>
        <v>989.836167358013</v>
      </c>
      <c r="D20" s="53" t="n">
        <f aca="false">IF(COUNT(D7:D16)&lt;2,"N/M",STDEV(D7:D16))</f>
        <v>1210.63257221128</v>
      </c>
      <c r="E20" s="53" t="n">
        <f aca="false">IF(COUNT(E7:E16)&lt;2,"N/M",STDEV(E7:E16))</f>
        <v>1329.27647585528</v>
      </c>
      <c r="F20" s="53" t="n">
        <f aca="false">IF(COUNT(F7:F16)&lt;2,"N/M",STDEV(F7:F16))</f>
        <v>1452.89923371666</v>
      </c>
      <c r="G20" s="53" t="n">
        <f aca="false">IF(COUNT(G7:G16)&lt;2,"N/M",STDEV(G7:G16))</f>
        <v>1424.40493101934</v>
      </c>
      <c r="H20" s="53" t="n">
        <f aca="false">IF(COUNT(H7:H16)&lt;2,"N/M",STDEV(H7:H16))</f>
        <v>1430.80837147553</v>
      </c>
      <c r="I20" s="53" t="n">
        <f aca="false">IF(COUNT(I7:I16)&lt;2,"N/M",STDEV(I7:I16))</f>
        <v>1233.39074900411</v>
      </c>
      <c r="J20" s="54"/>
      <c r="K20" s="54"/>
      <c r="L20" s="54"/>
    </row>
    <row r="21" customFormat="false" ht="15" hidden="false" customHeight="false" outlineLevel="0" collapsed="false">
      <c r="A21" s="52" t="s">
        <v>269</v>
      </c>
      <c r="B21" s="53" t="n">
        <f aca="false">IF(COUNT(B7:B16)=0,"N/M",MIN(B7:B16))</f>
        <v>-662.18</v>
      </c>
      <c r="C21" s="53" t="n">
        <f aca="false">IF(COUNT(C7:C16)=0,"N/M",MIN(C7:C16))</f>
        <v>-646.28</v>
      </c>
      <c r="D21" s="53" t="n">
        <f aca="false">IF(COUNT(D7:D16)=0,"N/M",MIN(D7:D16))</f>
        <v>-337.55</v>
      </c>
      <c r="E21" s="53" t="n">
        <f aca="false">IF(COUNT(E7:E16)=0,"N/M",MIN(E7:E16))</f>
        <v>-68.93</v>
      </c>
      <c r="F21" s="53" t="n">
        <f aca="false">IF(COUNT(F7:F16)=0,"N/M",MIN(F7:F16))</f>
        <v>-32.09</v>
      </c>
      <c r="G21" s="53" t="n">
        <f aca="false">IF(COUNT(G7:G16)=0,"N/M",MIN(G7:G16))</f>
        <v>-51.8</v>
      </c>
      <c r="H21" s="53" t="n">
        <f aca="false">IF(COUNT(H7:H16)=0,"N/M",MIN(H7:H16))</f>
        <v>40.73</v>
      </c>
      <c r="I21" s="53" t="n">
        <f aca="false">IF(COUNT(I7:I16)=0,"N/M",MIN(I7:I16))</f>
        <v>-222.181428571429</v>
      </c>
      <c r="J21" s="54"/>
      <c r="K21" s="54"/>
      <c r="L21" s="54"/>
    </row>
    <row r="22" customFormat="false" ht="15" hidden="false" customHeight="false" outlineLevel="0" collapsed="false">
      <c r="A22" s="52" t="s">
        <v>270</v>
      </c>
      <c r="B22" s="53" t="n">
        <f aca="false">IF(COUNT(B7:B16)=0,"N/M",MAX(B7:B16))</f>
        <v>2626.3</v>
      </c>
      <c r="C22" s="53" t="n">
        <f aca="false">IF(COUNT(C7:C16)=0,"N/M",MAX(C7:C16))</f>
        <v>3063.63</v>
      </c>
      <c r="D22" s="53" t="n">
        <f aca="false">IF(COUNT(D7:D16)=0,"N/M",MAX(D7:D16))</f>
        <v>3805.64</v>
      </c>
      <c r="E22" s="53" t="n">
        <f aca="false">IF(COUNT(E7:E16)=0,"N/M",MAX(E7:E16))</f>
        <v>4333.98</v>
      </c>
      <c r="F22" s="53" t="n">
        <f aca="false">IF(COUNT(F7:F16)=0,"N/M",MAX(F7:F16))</f>
        <v>4747.44</v>
      </c>
      <c r="G22" s="53" t="n">
        <f aca="false">IF(COUNT(G7:G16)=0,"N/M",MAX(G7:G16))</f>
        <v>4689.41</v>
      </c>
      <c r="H22" s="53" t="n">
        <f aca="false">IF(COUNT(H7:H16)=0,"N/M",MAX(H7:H16))</f>
        <v>4759.67</v>
      </c>
      <c r="I22" s="53" t="n">
        <f aca="false">IF(COUNT(I7:I16)=0,"N/M",MAX(I7:I16))</f>
        <v>4003.72428571429</v>
      </c>
      <c r="J22" s="54"/>
      <c r="K22" s="54"/>
      <c r="L22" s="54"/>
    </row>
    <row r="24" customFormat="false" ht="16.5" hidden="false" customHeight="true" outlineLevel="0" collapsed="false">
      <c r="A24" s="49" t="s">
        <v>331</v>
      </c>
      <c r="B24" s="49"/>
      <c r="C24" s="49"/>
      <c r="D24" s="49"/>
      <c r="E24" s="49"/>
      <c r="F24" s="49"/>
      <c r="G24" s="49"/>
      <c r="H24" s="49"/>
      <c r="I24" s="49"/>
      <c r="J24" s="49"/>
      <c r="K24" s="49"/>
      <c r="L24" s="49"/>
    </row>
    <row r="25" customFormat="false" ht="15" hidden="false" customHeight="false" outlineLevel="0" collapsed="false">
      <c r="A25" s="16" t="s">
        <v>52</v>
      </c>
      <c r="B25" s="33" t="n">
        <f aca="false">Tiger!D95</f>
        <v>6.04701397712834</v>
      </c>
      <c r="C25" s="33" t="n">
        <f aca="false">Tiger!E95</f>
        <v>2.78966926793014</v>
      </c>
      <c r="D25" s="33" t="n">
        <f aca="false">Tiger!F95</f>
        <v>2.3105510465613</v>
      </c>
      <c r="E25" s="33" t="n">
        <f aca="false">Tiger!G95</f>
        <v>4.86837294332724</v>
      </c>
      <c r="F25" s="33" t="n">
        <f aca="false">Tiger!H95</f>
        <v>5.95412844036697</v>
      </c>
      <c r="G25" s="33" t="n">
        <f aca="false">Tiger!I95</f>
        <v>7.59582790091265</v>
      </c>
      <c r="H25" s="33" t="n">
        <f aca="false">Tiger!J95</f>
        <v>4.61705814401232</v>
      </c>
      <c r="I25" s="55" t="n">
        <f aca="false">Tiger!K95</f>
        <v>4.88323167431985</v>
      </c>
      <c r="J25" s="25" t="str">
        <f aca="false">IF(AND(ISNUMBER(I25),ISNUMBER(I$37)),IF(I25&gt;I$37,"Above",IF(I25&lt;I$37,"Below","At median")),"-")</f>
        <v>Above</v>
      </c>
      <c r="K25" s="25" t="str">
        <f aca="false">IF(J25="Above","Better",IF(J25="Below","Weaker",IF(J25="At median","In line","-")))</f>
        <v>Better</v>
      </c>
      <c r="L25" s="43" t="n">
        <f aca="false">IF(ISNUMBER(I25),RANK(I25,I$25:I$34,0),"-")</f>
        <v>3</v>
      </c>
    </row>
    <row r="26" customFormat="false" ht="15" hidden="false" customHeight="false" outlineLevel="0" collapsed="false">
      <c r="A26" s="16" t="s">
        <v>54</v>
      </c>
      <c r="B26" s="33" t="n">
        <f aca="false">Allcargo!D95</f>
        <v>1.645685933372</v>
      </c>
      <c r="C26" s="33" t="n">
        <f aca="false">Allcargo!E95</f>
        <v>1.28933732745011</v>
      </c>
      <c r="D26" s="33" t="n">
        <f aca="false">Allcargo!F95</f>
        <v>1.34371249936363</v>
      </c>
      <c r="E26" s="33" t="n">
        <f aca="false">Allcargo!G95</f>
        <v>1.39082149929104</v>
      </c>
      <c r="F26" s="33" t="n">
        <f aca="false">Allcargo!H95</f>
        <v>1.44451320058232</v>
      </c>
      <c r="G26" s="33" t="n">
        <f aca="false">Allcargo!I95</f>
        <v>2.45226130653266</v>
      </c>
      <c r="H26" s="33" t="n">
        <f aca="false">Allcargo!J95</f>
        <v>2.02558635394456</v>
      </c>
      <c r="I26" s="55" t="n">
        <f aca="false">Allcargo!K95</f>
        <v>1.65598830293376</v>
      </c>
      <c r="J26" s="25" t="str">
        <f aca="false">IF(AND(ISNUMBER(I26),ISNUMBER(I$37)),IF(I26&gt;I$37,"Above",IF(I26&lt;I$37,"Below","At median")),"-")</f>
        <v>Below</v>
      </c>
      <c r="K26" s="25" t="str">
        <f aca="false">IF(J26="Above","Better",IF(J26="Below","Weaker",IF(J26="At median","In line","-")))</f>
        <v>Weaker</v>
      </c>
      <c r="L26" s="43" t="n">
        <f aca="false">IF(ISNUMBER(I26),RANK(I26,I$25:I$34,0),"-")</f>
        <v>7</v>
      </c>
    </row>
    <row r="27" customFormat="false" ht="15" hidden="false" customHeight="false" outlineLevel="0" collapsed="false">
      <c r="A27" s="16" t="s">
        <v>277</v>
      </c>
      <c r="B27" s="33" t="n">
        <f aca="false">BlueDart!D95</f>
        <v>0.591236820662239</v>
      </c>
      <c r="C27" s="33" t="n">
        <f aca="false">BlueDart!E95</f>
        <v>1.47768472654854</v>
      </c>
      <c r="D27" s="33" t="n">
        <f aca="false">BlueDart!F95</f>
        <v>1.25205707037257</v>
      </c>
      <c r="E27" s="33" t="n">
        <f aca="false">BlueDart!G95</f>
        <v>1.27386444863214</v>
      </c>
      <c r="F27" s="33" t="n">
        <f aca="false">BlueDart!H95</f>
        <v>1.231747462476</v>
      </c>
      <c r="G27" s="33" t="n">
        <f aca="false">BlueDart!I95</f>
        <v>1.26416711496904</v>
      </c>
      <c r="H27" s="33" t="n">
        <f aca="false">BlueDart!J95</f>
        <v>1.36741383306294</v>
      </c>
      <c r="I27" s="55" t="n">
        <f aca="false">BlueDart!K95</f>
        <v>1.2083102109605</v>
      </c>
      <c r="J27" s="25" t="str">
        <f aca="false">IF(AND(ISNUMBER(I27),ISNUMBER(I$37)),IF(I27&gt;I$37,"Above",IF(I27&lt;I$37,"Below","At median")),"-")</f>
        <v>Below</v>
      </c>
      <c r="K27" s="25" t="str">
        <f aca="false">IF(J27="Above","Better",IF(J27="Below","Weaker",IF(J27="At median","In line","-")))</f>
        <v>Weaker</v>
      </c>
      <c r="L27" s="43" t="n">
        <f aca="false">IF(ISNUMBER(I27),RANK(I27,I$25:I$34,0),"-")</f>
        <v>9</v>
      </c>
    </row>
    <row r="28" customFormat="false" ht="15" hidden="false" customHeight="false" outlineLevel="0" collapsed="false">
      <c r="A28" s="16" t="s">
        <v>58</v>
      </c>
      <c r="B28" s="33" t="n">
        <f aca="false">CONCOR!D95</f>
        <v>2.5701337988593</v>
      </c>
      <c r="C28" s="33" t="n">
        <f aca="false">CONCOR!E95</f>
        <v>3.04206604188607</v>
      </c>
      <c r="D28" s="33" t="n">
        <f aca="false">CONCOR!F95</f>
        <v>3.51790688288574</v>
      </c>
      <c r="E28" s="33" t="n">
        <f aca="false">CONCOR!G95</f>
        <v>3.96768671382302</v>
      </c>
      <c r="F28" s="33" t="n">
        <f aca="false">CONCOR!H95</f>
        <v>4.71983545543585</v>
      </c>
      <c r="G28" s="33" t="n">
        <f aca="false">CONCOR!I95</f>
        <v>4.799123418183</v>
      </c>
      <c r="H28" s="33" t="n">
        <f aca="false">CONCOR!J95</f>
        <v>4.75113881752124</v>
      </c>
      <c r="I28" s="55" t="n">
        <f aca="false">CONCOR!K95</f>
        <v>3.90969873265632</v>
      </c>
      <c r="J28" s="25" t="str">
        <f aca="false">IF(AND(ISNUMBER(I28),ISNUMBER(I$37)),IF(I28&gt;I$37,"Above",IF(I28&lt;I$37,"Below","At median")),"-")</f>
        <v>Above</v>
      </c>
      <c r="K28" s="25" t="str">
        <f aca="false">IF(J28="Above","Better",IF(J28="Below","Weaker",IF(J28="At median","In line","-")))</f>
        <v>Better</v>
      </c>
      <c r="L28" s="43" t="n">
        <f aca="false">IF(ISNUMBER(I28),RANK(I28,I$25:I$34,0),"-")</f>
        <v>4</v>
      </c>
    </row>
    <row r="29" customFormat="false" ht="15" hidden="false" customHeight="false" outlineLevel="0" collapsed="false">
      <c r="A29" s="16" t="s">
        <v>278</v>
      </c>
      <c r="B29" s="33" t="n">
        <f aca="false">JetFreight!D95</f>
        <v>2.17703636910129</v>
      </c>
      <c r="C29" s="33" t="n">
        <f aca="false">JetFreight!E95</f>
        <v>1.52183454026772</v>
      </c>
      <c r="D29" s="33" t="n">
        <f aca="false">JetFreight!F95</f>
        <v>2.15819829717111</v>
      </c>
      <c r="E29" s="33" t="n">
        <f aca="false">JetFreight!G95</f>
        <v>4.00130081300813</v>
      </c>
      <c r="F29" s="33" t="n">
        <f aca="false">JetFreight!H95</f>
        <v>2.73794950267789</v>
      </c>
      <c r="G29" s="33" t="n">
        <f aca="false">JetFreight!I95</f>
        <v>2.99500192233756</v>
      </c>
      <c r="H29" s="33" t="n">
        <f aca="false">JetFreight!J95</f>
        <v>3.58818547533347</v>
      </c>
      <c r="I29" s="55" t="n">
        <f aca="false">JetFreight!K95</f>
        <v>2.73992955998531</v>
      </c>
      <c r="J29" s="25" t="str">
        <f aca="false">IF(AND(ISNUMBER(I29),ISNUMBER(I$37)),IF(I29&gt;I$37,"Above",IF(I29&lt;I$37,"Below","At median")),"-")</f>
        <v>Below</v>
      </c>
      <c r="K29" s="25" t="str">
        <f aca="false">IF(J29="Above","Better",IF(J29="Below","Weaker",IF(J29="At median","In line","-")))</f>
        <v>Weaker</v>
      </c>
      <c r="L29" s="43" t="n">
        <f aca="false">IF(ISNUMBER(I29),RANK(I29,I$25:I$34,0),"-")</f>
        <v>6</v>
      </c>
    </row>
    <row r="30" customFormat="false" ht="15" hidden="false" customHeight="false" outlineLevel="0" collapsed="false">
      <c r="A30" s="16" t="s">
        <v>62</v>
      </c>
      <c r="B30" s="33" t="n">
        <f aca="false">Patel!D95</f>
        <v>5.51911076443058</v>
      </c>
      <c r="C30" s="33" t="n">
        <f aca="false">Patel!E95</f>
        <v>10.61872909699</v>
      </c>
      <c r="D30" s="33" t="n">
        <f aca="false">Patel!F95</f>
        <v>8.40622737146995</v>
      </c>
      <c r="E30" s="33" t="n">
        <f aca="false">Patel!G95</f>
        <v>4.81551724137931</v>
      </c>
      <c r="F30" s="33" t="n">
        <f aca="false">Patel!H95</f>
        <v>2.85593743568636</v>
      </c>
      <c r="G30" s="33" t="n">
        <f aca="false">Patel!I95</f>
        <v>3.49146451033243</v>
      </c>
      <c r="H30" s="33" t="n">
        <f aca="false">Patel!J95</f>
        <v>3.3649373881932</v>
      </c>
      <c r="I30" s="55" t="n">
        <f aca="false">Patel!K95</f>
        <v>5.58170340121169</v>
      </c>
      <c r="J30" s="25" t="str">
        <f aca="false">IF(AND(ISNUMBER(I30),ISNUMBER(I$37)),IF(I30&gt;I$37,"Above",IF(I30&lt;I$37,"Below","At median")),"-")</f>
        <v>Above</v>
      </c>
      <c r="K30" s="25" t="str">
        <f aca="false">IF(J30="Above","Better",IF(J30="Below","Weaker",IF(J30="At median","In line","-")))</f>
        <v>Better</v>
      </c>
      <c r="L30" s="43" t="n">
        <f aca="false">IF(ISNUMBER(I30),RANK(I30,I$25:I$34,0),"-")</f>
        <v>1</v>
      </c>
    </row>
    <row r="31" customFormat="false" ht="15" hidden="false" customHeight="false" outlineLevel="0" collapsed="false">
      <c r="A31" s="16" t="s">
        <v>64</v>
      </c>
      <c r="B31" s="33" t="n">
        <f aca="false">Sical!D95</f>
        <v>0.538800590367373</v>
      </c>
      <c r="C31" s="33" t="n">
        <f aca="false">Sical!E95</f>
        <v>0.430409645350067</v>
      </c>
      <c r="D31" s="33" t="n">
        <f aca="false">Sical!F95</f>
        <v>0.537716727382289</v>
      </c>
      <c r="E31" s="33" t="n">
        <f aca="false">Sical!G95</f>
        <v>0.730763221623311</v>
      </c>
      <c r="F31" s="33" t="n">
        <f aca="false">Sical!H95</f>
        <v>0.861424191389213</v>
      </c>
      <c r="G31" s="33" t="n">
        <f aca="false">Sical!I95</f>
        <v>0.79756135688604</v>
      </c>
      <c r="H31" s="33" t="n">
        <f aca="false">Sical!J95</f>
        <v>1.14025965081442</v>
      </c>
      <c r="I31" s="55" t="n">
        <f aca="false">Sical!K95</f>
        <v>0.719562197687531</v>
      </c>
      <c r="J31" s="25" t="str">
        <f aca="false">IF(AND(ISNUMBER(I31),ISNUMBER(I$37)),IF(I31&gt;I$37,"Above",IF(I31&lt;I$37,"Below","At median")),"-")</f>
        <v>Below</v>
      </c>
      <c r="K31" s="25" t="str">
        <f aca="false">IF(J31="Above","Better",IF(J31="Below","Weaker",IF(J31="At median","In line","-")))</f>
        <v>Weaker</v>
      </c>
      <c r="L31" s="43" t="n">
        <f aca="false">IF(ISNUMBER(I31),RANK(I31,I$25:I$34,0),"-")</f>
        <v>10</v>
      </c>
    </row>
    <row r="32" customFormat="false" ht="15" hidden="false" customHeight="false" outlineLevel="0" collapsed="false">
      <c r="A32" s="16" t="s">
        <v>66</v>
      </c>
      <c r="B32" s="33" t="n">
        <f aca="false">TCI!D95</f>
        <v>3.17916420928469</v>
      </c>
      <c r="C32" s="33" t="n">
        <f aca="false">TCI!E95</f>
        <v>2.86790368897725</v>
      </c>
      <c r="D32" s="33" t="n">
        <f aca="false">TCI!F95</f>
        <v>2.74747105017969</v>
      </c>
      <c r="E32" s="33" t="n">
        <f aca="false">TCI!G95</f>
        <v>3.24742066720911</v>
      </c>
      <c r="F32" s="33" t="n">
        <f aca="false">TCI!H95</f>
        <v>3.25103652517275</v>
      </c>
      <c r="G32" s="33" t="n">
        <f aca="false">TCI!I95</f>
        <v>2.4267053701016</v>
      </c>
      <c r="H32" s="33" t="n">
        <f aca="false">TCI!J95</f>
        <v>2.41828094188609</v>
      </c>
      <c r="I32" s="55" t="n">
        <f aca="false">TCI!K95</f>
        <v>2.87685463611588</v>
      </c>
      <c r="J32" s="25" t="str">
        <f aca="false">IF(AND(ISNUMBER(I32),ISNUMBER(I$37)),IF(I32&gt;I$37,"Above",IF(I32&lt;I$37,"Below","At median")),"-")</f>
        <v>Above</v>
      </c>
      <c r="K32" s="25" t="str">
        <f aca="false">IF(J32="Above","Better",IF(J32="Below","Weaker",IF(J32="At median","In line","-")))</f>
        <v>Better</v>
      </c>
      <c r="L32" s="43" t="n">
        <f aca="false">IF(ISNUMBER(I32),RANK(I32,I$25:I$34,0),"-")</f>
        <v>5</v>
      </c>
    </row>
    <row r="33" customFormat="false" ht="15" hidden="false" customHeight="false" outlineLevel="0" collapsed="false">
      <c r="A33" s="16" t="s">
        <v>68</v>
      </c>
      <c r="B33" s="33" t="n">
        <f aca="false">Shreeji!D95</f>
        <v>6.11435239206534</v>
      </c>
      <c r="C33" s="33" t="n">
        <f aca="false">Shreeji!E95</f>
        <v>5.47098646034816</v>
      </c>
      <c r="D33" s="33" t="n">
        <f aca="false">Shreeji!F95</f>
        <v>5.46867565424267</v>
      </c>
      <c r="E33" s="33" t="n">
        <f aca="false">Shreeji!G95</f>
        <v>4.13758389261745</v>
      </c>
      <c r="F33" s="33" t="n">
        <f aca="false">Shreeji!H95</f>
        <v>4.7823629169022</v>
      </c>
      <c r="G33" s="33" t="n">
        <f aca="false">Shreeji!I95</f>
        <v>4.93693693693694</v>
      </c>
      <c r="H33" s="33" t="n">
        <f aca="false">Shreeji!J95</f>
        <v>4.77197518097208</v>
      </c>
      <c r="I33" s="55" t="n">
        <f aca="false">Shreeji!K95</f>
        <v>5.09755334772641</v>
      </c>
      <c r="J33" s="25" t="str">
        <f aca="false">IF(AND(ISNUMBER(I33),ISNUMBER(I$37)),IF(I33&gt;I$37,"Above",IF(I33&lt;I$37,"Below","At median")),"-")</f>
        <v>Above</v>
      </c>
      <c r="K33" s="25" t="str">
        <f aca="false">IF(J33="Above","Better",IF(J33="Below","Weaker",IF(J33="At median","In line","-")))</f>
        <v>Better</v>
      </c>
      <c r="L33" s="43" t="n">
        <f aca="false">IF(ISNUMBER(I33),RANK(I33,I$25:I$34,0),"-")</f>
        <v>2</v>
      </c>
    </row>
    <row r="34" customFormat="false" ht="15" hidden="false" customHeight="false" outlineLevel="0" collapsed="false">
      <c r="A34" s="16" t="s">
        <v>279</v>
      </c>
      <c r="B34" s="33" t="n">
        <f aca="false">MahindraLog!D95</f>
        <v>1.73504564352188</v>
      </c>
      <c r="C34" s="33" t="n">
        <f aca="false">MahindraLog!E95</f>
        <v>1.49293022051119</v>
      </c>
      <c r="D34" s="33" t="n">
        <f aca="false">MahindraLog!F95</f>
        <v>1.30859002084673</v>
      </c>
      <c r="E34" s="33" t="n">
        <f aca="false">MahindraLog!G95</f>
        <v>1.39956965831907</v>
      </c>
      <c r="F34" s="33" t="n">
        <f aca="false">MahindraLog!H95</f>
        <v>1.29986992548818</v>
      </c>
      <c r="G34" s="33" t="n">
        <f aca="false">MahindraLog!I95</f>
        <v>1.24266983193674</v>
      </c>
      <c r="H34" s="33" t="n">
        <f aca="false">MahindraLog!J95</f>
        <v>1.41224384605773</v>
      </c>
      <c r="I34" s="55" t="n">
        <f aca="false">MahindraLog!K95</f>
        <v>1.41298844952593</v>
      </c>
      <c r="J34" s="25" t="str">
        <f aca="false">IF(AND(ISNUMBER(I34),ISNUMBER(I$37)),IF(I34&gt;I$37,"Above",IF(I34&lt;I$37,"Below","At median")),"-")</f>
        <v>Below</v>
      </c>
      <c r="K34" s="25" t="str">
        <f aca="false">IF(J34="Above","Better",IF(J34="Below","Weaker",IF(J34="At median","In line","-")))</f>
        <v>Weaker</v>
      </c>
      <c r="L34" s="43" t="n">
        <f aca="false">IF(ISNUMBER(I34),RANK(I34,I$25:I$34,0),"-")</f>
        <v>8</v>
      </c>
    </row>
    <row r="35" customFormat="false" ht="15" hidden="false" customHeight="false" outlineLevel="0" collapsed="false">
      <c r="A35" s="46" t="s">
        <v>328</v>
      </c>
      <c r="B35" s="34" t="n">
        <f aca="false">Industry!D96</f>
        <v>1.55568377943542</v>
      </c>
      <c r="C35" s="34" t="n">
        <f aca="false">Industry!E96</f>
        <v>1.63283177839458</v>
      </c>
      <c r="D35" s="34" t="n">
        <f aca="false">Industry!F96</f>
        <v>1.71479788545769</v>
      </c>
      <c r="E35" s="34" t="n">
        <f aca="false">Industry!G96</f>
        <v>1.97612124179227</v>
      </c>
      <c r="F35" s="34" t="n">
        <f aca="false">Industry!H96</f>
        <v>2.08411879956993</v>
      </c>
      <c r="G35" s="34" t="n">
        <f aca="false">Industry!I96</f>
        <v>2.41985088157932</v>
      </c>
      <c r="H35" s="34" t="n">
        <f aca="false">Industry!J96</f>
        <v>2.43605627070938</v>
      </c>
      <c r="I35" s="34" t="n">
        <f aca="false">Industry!K96</f>
        <v>1.9742086624198</v>
      </c>
      <c r="J35" s="47"/>
      <c r="K35" s="47"/>
      <c r="L35" s="47"/>
    </row>
    <row r="36" customFormat="false" ht="15" hidden="false" customHeight="false" outlineLevel="0" collapsed="false">
      <c r="A36" s="52" t="s">
        <v>329</v>
      </c>
      <c r="B36" s="56" t="n">
        <f aca="false">IF(COUNT(B25:B34)=0,"N/M",AVERAGE(B25:B34))</f>
        <v>3.0117580498793</v>
      </c>
      <c r="C36" s="56" t="n">
        <f aca="false">IF(COUNT(C25:C34)=0,"N/M",AVERAGE(C25:C34))</f>
        <v>3.10015510162592</v>
      </c>
      <c r="D36" s="56" t="n">
        <f aca="false">IF(COUNT(D25:D34)=0,"N/M",AVERAGE(D25:D34))</f>
        <v>2.90511066204757</v>
      </c>
      <c r="E36" s="56" t="n">
        <f aca="false">IF(COUNT(E25:E34)=0,"N/M",AVERAGE(E25:E34))</f>
        <v>2.98329010992298</v>
      </c>
      <c r="F36" s="56" t="n">
        <f aca="false">IF(COUNT(F25:F34)=0,"N/M",AVERAGE(F25:F34))</f>
        <v>2.91388050561777</v>
      </c>
      <c r="G36" s="56" t="n">
        <f aca="false">IF(COUNT(G25:G34)=0,"N/M",AVERAGE(G25:G34))</f>
        <v>3.20017196691287</v>
      </c>
      <c r="H36" s="56" t="n">
        <f aca="false">IF(COUNT(H25:H34)=0,"N/M",AVERAGE(H25:H34))</f>
        <v>2.94570796317981</v>
      </c>
      <c r="I36" s="56" t="n">
        <f aca="false">IF(COUNT(I25:I34)=0,"N/M",AVERAGE(I25:I34))</f>
        <v>3.00858205131232</v>
      </c>
      <c r="J36" s="54"/>
      <c r="K36" s="54"/>
      <c r="L36" s="54"/>
    </row>
    <row r="37" customFormat="false" ht="15" hidden="false" customHeight="false" outlineLevel="0" collapsed="false">
      <c r="A37" s="28" t="s">
        <v>281</v>
      </c>
      <c r="B37" s="35" t="n">
        <f aca="false">IF(COUNT(B25:B34)=0,"N/M",MEDIAN(B25:B34))</f>
        <v>2.3735850839803</v>
      </c>
      <c r="C37" s="35" t="n">
        <f aca="false">IF(COUNT(C25:C34)=0,"N/M",MEDIAN(C25:C34))</f>
        <v>2.15575190409893</v>
      </c>
      <c r="D37" s="35" t="n">
        <f aca="false">IF(COUNT(D25:D34)=0,"N/M",MEDIAN(D25:D34))</f>
        <v>2.2343746718662</v>
      </c>
      <c r="E37" s="35" t="n">
        <f aca="false">IF(COUNT(E25:E34)=0,"N/M",MEDIAN(E25:E34))</f>
        <v>3.60755369051607</v>
      </c>
      <c r="F37" s="35" t="n">
        <f aca="false">IF(COUNT(F25:F34)=0,"N/M",MEDIAN(F25:F34))</f>
        <v>2.79694346918212</v>
      </c>
      <c r="G37" s="35" t="n">
        <f aca="false">IF(COUNT(G25:G34)=0,"N/M",MEDIAN(G25:G34))</f>
        <v>2.72363161443511</v>
      </c>
      <c r="H37" s="35" t="n">
        <f aca="false">IF(COUNT(H25:H34)=0,"N/M",MEDIAN(H25:H34))</f>
        <v>2.89160916503965</v>
      </c>
      <c r="I37" s="35" t="n">
        <f aca="false">IF(COUNT(I25:I34)=0,"N/M",MEDIAN(I25:I34))</f>
        <v>2.8083920980506</v>
      </c>
      <c r="J37" s="54"/>
      <c r="K37" s="54"/>
      <c r="L37" s="54"/>
    </row>
    <row r="38" customFormat="false" ht="15" hidden="false" customHeight="false" outlineLevel="0" collapsed="false">
      <c r="A38" s="52" t="s">
        <v>330</v>
      </c>
      <c r="B38" s="56" t="n">
        <f aca="false">IF(COUNT(B25:B34)&lt;2,"N/M",STDEV(B25:B34))</f>
        <v>2.14776612968973</v>
      </c>
      <c r="C38" s="56" t="n">
        <f aca="false">IF(COUNT(C25:C34)&lt;2,"N/M",STDEV(C25:C34))</f>
        <v>2.98918034676157</v>
      </c>
      <c r="D38" s="56" t="n">
        <f aca="false">IF(COUNT(D25:D34)&lt;2,"N/M",STDEV(D25:D34))</f>
        <v>2.39141710176723</v>
      </c>
      <c r="E38" s="56" t="n">
        <f aca="false">IF(COUNT(E25:E34)&lt;2,"N/M",STDEV(E25:E34))</f>
        <v>1.61101332231661</v>
      </c>
      <c r="F38" s="56" t="n">
        <f aca="false">IF(COUNT(F25:F34)&lt;2,"N/M",STDEV(F25:F34))</f>
        <v>1.76225895221612</v>
      </c>
      <c r="G38" s="56" t="n">
        <f aca="false">IF(COUNT(G25:G34)&lt;2,"N/M",STDEV(G25:G34))</f>
        <v>2.09581126055082</v>
      </c>
      <c r="H38" s="56" t="n">
        <f aca="false">IF(COUNT(H25:H34)&lt;2,"N/M",STDEV(H25:H34))</f>
        <v>1.46073595677878</v>
      </c>
      <c r="I38" s="56" t="n">
        <f aca="false">IF(COUNT(I25:I34)&lt;2,"N/M",STDEV(I25:I34))</f>
        <v>1.77189862682396</v>
      </c>
      <c r="J38" s="54"/>
      <c r="K38" s="54"/>
      <c r="L38" s="54"/>
    </row>
    <row r="39" customFormat="false" ht="15" hidden="false" customHeight="false" outlineLevel="0" collapsed="false">
      <c r="A39" s="52" t="s">
        <v>269</v>
      </c>
      <c r="B39" s="56" t="n">
        <f aca="false">IF(COUNT(B25:B34)=0,"N/M",MIN(B25:B34))</f>
        <v>0.538800590367373</v>
      </c>
      <c r="C39" s="56" t="n">
        <f aca="false">IF(COUNT(C25:C34)=0,"N/M",MIN(C25:C34))</f>
        <v>0.430409645350067</v>
      </c>
      <c r="D39" s="56" t="n">
        <f aca="false">IF(COUNT(D25:D34)=0,"N/M",MIN(D25:D34))</f>
        <v>0.537716727382289</v>
      </c>
      <c r="E39" s="56" t="n">
        <f aca="false">IF(COUNT(E25:E34)=0,"N/M",MIN(E25:E34))</f>
        <v>0.730763221623311</v>
      </c>
      <c r="F39" s="56" t="n">
        <f aca="false">IF(COUNT(F25:F34)=0,"N/M",MIN(F25:F34))</f>
        <v>0.861424191389213</v>
      </c>
      <c r="G39" s="56" t="n">
        <f aca="false">IF(COUNT(G25:G34)=0,"N/M",MIN(G25:G34))</f>
        <v>0.79756135688604</v>
      </c>
      <c r="H39" s="56" t="n">
        <f aca="false">IF(COUNT(H25:H34)=0,"N/M",MIN(H25:H34))</f>
        <v>1.14025965081442</v>
      </c>
      <c r="I39" s="56" t="n">
        <f aca="false">IF(COUNT(I25:I34)=0,"N/M",MIN(I25:I34))</f>
        <v>0.719562197687531</v>
      </c>
      <c r="J39" s="54"/>
      <c r="K39" s="54"/>
      <c r="L39" s="54"/>
    </row>
    <row r="40" customFormat="false" ht="15" hidden="false" customHeight="false" outlineLevel="0" collapsed="false">
      <c r="A40" s="52" t="s">
        <v>270</v>
      </c>
      <c r="B40" s="56" t="n">
        <f aca="false">IF(COUNT(B25:B34)=0,"N/M",MAX(B25:B34))</f>
        <v>6.11435239206534</v>
      </c>
      <c r="C40" s="56" t="n">
        <f aca="false">IF(COUNT(C25:C34)=0,"N/M",MAX(C25:C34))</f>
        <v>10.61872909699</v>
      </c>
      <c r="D40" s="56" t="n">
        <f aca="false">IF(COUNT(D25:D34)=0,"N/M",MAX(D25:D34))</f>
        <v>8.40622737146995</v>
      </c>
      <c r="E40" s="56" t="n">
        <f aca="false">IF(COUNT(E25:E34)=0,"N/M",MAX(E25:E34))</f>
        <v>4.86837294332724</v>
      </c>
      <c r="F40" s="56" t="n">
        <f aca="false">IF(COUNT(F25:F34)=0,"N/M",MAX(F25:F34))</f>
        <v>5.95412844036697</v>
      </c>
      <c r="G40" s="56" t="n">
        <f aca="false">IF(COUNT(G25:G34)=0,"N/M",MAX(G25:G34))</f>
        <v>7.59582790091265</v>
      </c>
      <c r="H40" s="56" t="n">
        <f aca="false">IF(COUNT(H25:H34)=0,"N/M",MAX(H25:H34))</f>
        <v>4.77197518097208</v>
      </c>
      <c r="I40" s="56" t="n">
        <f aca="false">IF(COUNT(I25:I34)=0,"N/M",MAX(I25:I34))</f>
        <v>5.58170340121169</v>
      </c>
      <c r="J40" s="54"/>
      <c r="K40" s="54"/>
      <c r="L40" s="54"/>
    </row>
    <row r="42" customFormat="false" ht="16.5" hidden="false" customHeight="true" outlineLevel="0" collapsed="false">
      <c r="A42" s="49" t="s">
        <v>332</v>
      </c>
      <c r="B42" s="49"/>
      <c r="C42" s="49"/>
      <c r="D42" s="49"/>
      <c r="E42" s="49"/>
      <c r="F42" s="49"/>
      <c r="G42" s="49"/>
      <c r="H42" s="49"/>
      <c r="I42" s="49"/>
      <c r="J42" s="49"/>
      <c r="K42" s="49"/>
      <c r="L42" s="49"/>
    </row>
    <row r="43" customFormat="false" ht="15" hidden="false" customHeight="false" outlineLevel="0" collapsed="false">
      <c r="A43" s="16" t="s">
        <v>52</v>
      </c>
      <c r="B43" s="33" t="n">
        <f aca="false">Tiger!D96</f>
        <v>4.54637865311309</v>
      </c>
      <c r="C43" s="33" t="n">
        <f aca="false">Tiger!E96</f>
        <v>1.87848383500557</v>
      </c>
      <c r="D43" s="33" t="n">
        <f aca="false">Tiger!F96</f>
        <v>2.14053823152499</v>
      </c>
      <c r="E43" s="33" t="n">
        <f aca="false">Tiger!G96</f>
        <v>4.64808043875686</v>
      </c>
      <c r="F43" s="33" t="n">
        <f aca="false">Tiger!H96</f>
        <v>5.38580395943988</v>
      </c>
      <c r="G43" s="33" t="n">
        <f aca="false">Tiger!I96</f>
        <v>6.6857887874837</v>
      </c>
      <c r="H43" s="33" t="n">
        <f aca="false">Tiger!J96</f>
        <v>3.89834424335772</v>
      </c>
      <c r="I43" s="55" t="n">
        <f aca="false">Tiger!K96</f>
        <v>4.16905973552597</v>
      </c>
      <c r="J43" s="25" t="str">
        <f aca="false">IF(AND(ISNUMBER(I43),ISNUMBER(I$55)),IF(I43&gt;I$55,"Above",IF(I43&lt;I$55,"Below","At median")),"-")</f>
        <v>Above</v>
      </c>
      <c r="K43" s="25" t="str">
        <f aca="false">IF(J43="Above","Better",IF(J43="Below","Weaker",IF(J43="At median","In line","-")))</f>
        <v>Better</v>
      </c>
      <c r="L43" s="43" t="n">
        <f aca="false">IF(ISNUMBER(I43),RANK(I43,I$43:I$52,0),"-")</f>
        <v>2</v>
      </c>
    </row>
    <row r="44" customFormat="false" ht="15" hidden="false" customHeight="false" outlineLevel="0" collapsed="false">
      <c r="A44" s="16" t="s">
        <v>54</v>
      </c>
      <c r="B44" s="33" t="n">
        <f aca="false">Allcargo!D96</f>
        <v>1.11984663960307</v>
      </c>
      <c r="C44" s="33" t="n">
        <f aca="false">Allcargo!E96</f>
        <v>0.862553805880527</v>
      </c>
      <c r="D44" s="33" t="n">
        <f aca="false">Allcargo!F96</f>
        <v>0.90198136695653</v>
      </c>
      <c r="E44" s="33" t="n">
        <f aca="false">Allcargo!G96</f>
        <v>1.03388186449108</v>
      </c>
      <c r="F44" s="33" t="n">
        <f aca="false">Allcargo!H96</f>
        <v>0.99669493617006</v>
      </c>
      <c r="G44" s="33" t="n">
        <f aca="false">Allcargo!I96</f>
        <v>1.33668341708543</v>
      </c>
      <c r="H44" s="33" t="n">
        <f aca="false">Allcargo!J96</f>
        <v>1.19402985074627</v>
      </c>
      <c r="I44" s="55" t="n">
        <f aca="false">Allcargo!K96</f>
        <v>1.06366741156185</v>
      </c>
      <c r="J44" s="25" t="str">
        <f aca="false">IF(AND(ISNUMBER(I44),ISNUMBER(I$55)),IF(I44&gt;I$55,"Above",IF(I44&lt;I$55,"Below","At median")),"-")</f>
        <v>Below</v>
      </c>
      <c r="K44" s="25" t="str">
        <f aca="false">IF(J44="Above","Better",IF(J44="Below","Weaker",IF(J44="At median","In line","-")))</f>
        <v>Weaker</v>
      </c>
      <c r="L44" s="43" t="n">
        <f aca="false">IF(ISNUMBER(I44),RANK(I44,I$43:I$52,0),"-")</f>
        <v>7</v>
      </c>
    </row>
    <row r="45" customFormat="false" ht="15" hidden="false" customHeight="false" outlineLevel="0" collapsed="false">
      <c r="A45" s="16" t="s">
        <v>277</v>
      </c>
      <c r="B45" s="33" t="n">
        <f aca="false">BlueDart!D96</f>
        <v>0.38780587174992</v>
      </c>
      <c r="C45" s="33" t="n">
        <f aca="false">BlueDart!E96</f>
        <v>1.05760098044222</v>
      </c>
      <c r="D45" s="33" t="n">
        <f aca="false">BlueDart!F96</f>
        <v>0.858008823232267</v>
      </c>
      <c r="E45" s="33" t="n">
        <f aca="false">BlueDart!G96</f>
        <v>0.792969003833907</v>
      </c>
      <c r="F45" s="33" t="n">
        <f aca="false">BlueDart!H96</f>
        <v>0.81971822706431</v>
      </c>
      <c r="G45" s="33" t="n">
        <f aca="false">BlueDart!I96</f>
        <v>0.869311498728037</v>
      </c>
      <c r="H45" s="33" t="n">
        <f aca="false">BlueDart!J96</f>
        <v>0.957876700989968</v>
      </c>
      <c r="I45" s="55" t="n">
        <f aca="false">BlueDart!K96</f>
        <v>0.820470158005804</v>
      </c>
      <c r="J45" s="25" t="str">
        <f aca="false">IF(AND(ISNUMBER(I45),ISNUMBER(I$55)),IF(I45&gt;I$55,"Above",IF(I45&lt;I$55,"Below","At median")),"-")</f>
        <v>Below</v>
      </c>
      <c r="K45" s="25" t="str">
        <f aca="false">IF(J45="Above","Better",IF(J45="Below","Weaker",IF(J45="At median","In line","-")))</f>
        <v>Weaker</v>
      </c>
      <c r="L45" s="43" t="n">
        <f aca="false">IF(ISNUMBER(I45),RANK(I45,I$43:I$52,0),"-")</f>
        <v>8</v>
      </c>
    </row>
    <row r="46" customFormat="false" ht="15" hidden="false" customHeight="false" outlineLevel="0" collapsed="false">
      <c r="A46" s="16" t="s">
        <v>58</v>
      </c>
      <c r="B46" s="33" t="n">
        <f aca="false">CONCOR!D96</f>
        <v>1.40868437100188</v>
      </c>
      <c r="C46" s="33" t="n">
        <f aca="false">CONCOR!E96</f>
        <v>1.76891338834602</v>
      </c>
      <c r="D46" s="33" t="n">
        <f aca="false">CONCOR!F96</f>
        <v>2.05074664390676</v>
      </c>
      <c r="E46" s="33" t="n">
        <f aca="false">CONCOR!G96</f>
        <v>2.27207800655989</v>
      </c>
      <c r="F46" s="33" t="n">
        <f aca="false">CONCOR!H96</f>
        <v>2.84405093046033</v>
      </c>
      <c r="G46" s="33" t="n">
        <f aca="false">CONCOR!I96</f>
        <v>3.29170244827195</v>
      </c>
      <c r="H46" s="33" t="n">
        <f aca="false">CONCOR!J96</f>
        <v>3.13060542534243</v>
      </c>
      <c r="I46" s="55" t="n">
        <f aca="false">CONCOR!K96</f>
        <v>2.39525445912704</v>
      </c>
      <c r="J46" s="25" t="str">
        <f aca="false">IF(AND(ISNUMBER(I46),ISNUMBER(I$55)),IF(I46&gt;I$55,"Above",IF(I46&lt;I$55,"Below","At median")),"-")</f>
        <v>Above</v>
      </c>
      <c r="K46" s="25" t="str">
        <f aca="false">IF(J46="Above","Better",IF(J46="Below","Weaker",IF(J46="At median","In line","-")))</f>
        <v>Better</v>
      </c>
      <c r="L46" s="43" t="n">
        <f aca="false">IF(ISNUMBER(I46),RANK(I46,I$43:I$52,0),"-")</f>
        <v>4</v>
      </c>
    </row>
    <row r="47" customFormat="false" ht="15" hidden="false" customHeight="false" outlineLevel="0" collapsed="false">
      <c r="A47" s="16" t="s">
        <v>278</v>
      </c>
      <c r="B47" s="33" t="n">
        <f aca="false">JetFreight!D96</f>
        <v>1.65374211000902</v>
      </c>
      <c r="C47" s="33" t="n">
        <f aca="false">JetFreight!E96</f>
        <v>0.938775510204082</v>
      </c>
      <c r="D47" s="33" t="n">
        <f aca="false">JetFreight!F96</f>
        <v>1.33177698434496</v>
      </c>
      <c r="E47" s="33" t="n">
        <f aca="false">JetFreight!G96</f>
        <v>1.73918699186992</v>
      </c>
      <c r="F47" s="33" t="n">
        <f aca="false">JetFreight!H96</f>
        <v>1.577467482785</v>
      </c>
      <c r="G47" s="33" t="n">
        <f aca="false">JetFreight!I96</f>
        <v>1.73933102652826</v>
      </c>
      <c r="H47" s="33" t="n">
        <f aca="false">JetFreight!J96</f>
        <v>2.36459877196697</v>
      </c>
      <c r="I47" s="55" t="n">
        <f aca="false">JetFreight!K96</f>
        <v>1.62069698252974</v>
      </c>
      <c r="J47" s="25" t="str">
        <f aca="false">IF(AND(ISNUMBER(I47),ISNUMBER(I$55)),IF(I47&gt;I$55,"Above",IF(I47&lt;I$55,"Below","At median")),"-")</f>
        <v>Below</v>
      </c>
      <c r="K47" s="25" t="str">
        <f aca="false">IF(J47="Above","Better",IF(J47="Below","Weaker",IF(J47="At median","In line","-")))</f>
        <v>Weaker</v>
      </c>
      <c r="L47" s="43" t="n">
        <f aca="false">IF(ISNUMBER(I47),RANK(I47,I$43:I$52,0),"-")</f>
        <v>6</v>
      </c>
    </row>
    <row r="48" customFormat="false" ht="15" hidden="false" customHeight="false" outlineLevel="0" collapsed="false">
      <c r="A48" s="16" t="s">
        <v>62</v>
      </c>
      <c r="B48" s="33" t="n">
        <f aca="false">Patel!D96</f>
        <v>3.96372854914197</v>
      </c>
      <c r="C48" s="33" t="n">
        <f aca="false">Patel!E96</f>
        <v>7.94230769230769</v>
      </c>
      <c r="D48" s="33" t="n">
        <f aca="false">Patel!F96</f>
        <v>6.22809558291093</v>
      </c>
      <c r="E48" s="33" t="n">
        <f aca="false">Patel!G96</f>
        <v>4.225</v>
      </c>
      <c r="F48" s="33" t="n">
        <f aca="false">Patel!H96</f>
        <v>2.5336488989504</v>
      </c>
      <c r="G48" s="33" t="n">
        <f aca="false">Patel!I96</f>
        <v>2.87720874513327</v>
      </c>
      <c r="H48" s="33" t="n">
        <f aca="false">Patel!J96</f>
        <v>2.96988670244484</v>
      </c>
      <c r="I48" s="55" t="n">
        <f aca="false">Patel!K96</f>
        <v>4.39141088155559</v>
      </c>
      <c r="J48" s="25" t="str">
        <f aca="false">IF(AND(ISNUMBER(I48),ISNUMBER(I$55)),IF(I48&gt;I$55,"Above",IF(I48&lt;I$55,"Below","At median")),"-")</f>
        <v>Above</v>
      </c>
      <c r="K48" s="25" t="str">
        <f aca="false">IF(J48="Above","Better",IF(J48="Below","Weaker",IF(J48="At median","In line","-")))</f>
        <v>Better</v>
      </c>
      <c r="L48" s="43" t="n">
        <f aca="false">IF(ISNUMBER(I48),RANK(I48,I$43:I$52,0),"-")</f>
        <v>1</v>
      </c>
    </row>
    <row r="49" customFormat="false" ht="15" hidden="false" customHeight="false" outlineLevel="0" collapsed="false">
      <c r="A49" s="16" t="s">
        <v>64</v>
      </c>
      <c r="B49" s="33" t="n">
        <f aca="false">Sical!D96</f>
        <v>0.29196076265826</v>
      </c>
      <c r="C49" s="33" t="n">
        <f aca="false">Sical!E96</f>
        <v>0.244509271663259</v>
      </c>
      <c r="D49" s="33" t="n">
        <f aca="false">Sical!F96</f>
        <v>0.312621545372374</v>
      </c>
      <c r="E49" s="33" t="n">
        <f aca="false">Sical!G96</f>
        <v>0.535583157565815</v>
      </c>
      <c r="F49" s="33" t="n">
        <f aca="false">Sical!H96</f>
        <v>0.705488621151272</v>
      </c>
      <c r="G49" s="33" t="n">
        <f aca="false">Sical!I96</f>
        <v>0.619978114741285</v>
      </c>
      <c r="H49" s="33" t="n">
        <f aca="false">Sical!J96</f>
        <v>0.557594958504081</v>
      </c>
      <c r="I49" s="55" t="n">
        <f aca="false">Sical!K96</f>
        <v>0.466819490236621</v>
      </c>
      <c r="J49" s="25" t="str">
        <f aca="false">IF(AND(ISNUMBER(I49),ISNUMBER(I$55)),IF(I49&gt;I$55,"Above",IF(I49&lt;I$55,"Below","At median")),"-")</f>
        <v>Below</v>
      </c>
      <c r="K49" s="25" t="str">
        <f aca="false">IF(J49="Above","Better",IF(J49="Below","Weaker",IF(J49="At median","In line","-")))</f>
        <v>Weaker</v>
      </c>
      <c r="L49" s="43" t="n">
        <f aca="false">IF(ISNUMBER(I49),RANK(I49,I$43:I$52,0),"-")</f>
        <v>10</v>
      </c>
    </row>
    <row r="50" customFormat="false" ht="15" hidden="false" customHeight="false" outlineLevel="0" collapsed="false">
      <c r="A50" s="16" t="s">
        <v>66</v>
      </c>
      <c r="B50" s="33" t="n">
        <f aca="false">TCI!D96</f>
        <v>2.16201870418738</v>
      </c>
      <c r="C50" s="33" t="n">
        <f aca="false">TCI!E96</f>
        <v>2.02691259848318</v>
      </c>
      <c r="D50" s="33" t="n">
        <f aca="false">TCI!F96</f>
        <v>1.93897244775722</v>
      </c>
      <c r="E50" s="33" t="n">
        <f aca="false">TCI!G96</f>
        <v>2.42633034987795</v>
      </c>
      <c r="F50" s="33" t="n">
        <f aca="false">TCI!H96</f>
        <v>2.29098387627509</v>
      </c>
      <c r="G50" s="33" t="n">
        <f aca="false">TCI!I96</f>
        <v>1.50130251944475</v>
      </c>
      <c r="H50" s="33" t="n">
        <f aca="false">TCI!J96</f>
        <v>1.54044111554841</v>
      </c>
      <c r="I50" s="55" t="n">
        <f aca="false">TCI!K96</f>
        <v>1.98385165879628</v>
      </c>
      <c r="J50" s="25" t="str">
        <f aca="false">IF(AND(ISNUMBER(I50),ISNUMBER(I$55)),IF(I50&gt;I$55,"Above",IF(I50&lt;I$55,"Below","At median")),"-")</f>
        <v>Above</v>
      </c>
      <c r="K50" s="25" t="str">
        <f aca="false">IF(J50="Above","Better",IF(J50="Below","Weaker",IF(J50="At median","In line","-")))</f>
        <v>Better</v>
      </c>
      <c r="L50" s="43" t="n">
        <f aca="false">IF(ISNUMBER(I50),RANK(I50,I$43:I$52,0),"-")</f>
        <v>5</v>
      </c>
    </row>
    <row r="51" customFormat="false" ht="15" hidden="false" customHeight="false" outlineLevel="0" collapsed="false">
      <c r="A51" s="16" t="s">
        <v>68</v>
      </c>
      <c r="B51" s="33" t="n">
        <f aca="false">Shreeji!D96</f>
        <v>3.52275379229872</v>
      </c>
      <c r="C51" s="33" t="n">
        <f aca="false">Shreeji!E96</f>
        <v>4.05222437137331</v>
      </c>
      <c r="D51" s="33" t="n">
        <f aca="false">Shreeji!F96</f>
        <v>3.88183980967486</v>
      </c>
      <c r="E51" s="33" t="n">
        <f aca="false">Shreeji!G96</f>
        <v>3.47651006711409</v>
      </c>
      <c r="F51" s="33" t="n">
        <f aca="false">Shreeji!H96</f>
        <v>3.92425098925947</v>
      </c>
      <c r="G51" s="33" t="n">
        <f aca="false">Shreeji!I96</f>
        <v>4.13213213213213</v>
      </c>
      <c r="H51" s="33" t="n">
        <f aca="false">Shreeji!J96</f>
        <v>4.17735263702172</v>
      </c>
      <c r="I51" s="55" t="n">
        <f aca="false">Shreeji!K96</f>
        <v>3.8810091141249</v>
      </c>
      <c r="J51" s="25" t="str">
        <f aca="false">IF(AND(ISNUMBER(I51),ISNUMBER(I$55)),IF(I51&gt;I$55,"Above",IF(I51&lt;I$55,"Below","At median")),"-")</f>
        <v>Above</v>
      </c>
      <c r="K51" s="25" t="str">
        <f aca="false">IF(J51="Above","Better",IF(J51="Below","Weaker",IF(J51="At median","In line","-")))</f>
        <v>Better</v>
      </c>
      <c r="L51" s="43" t="n">
        <f aca="false">IF(ISNUMBER(I51),RANK(I51,I$43:I$52,0),"-")</f>
        <v>3</v>
      </c>
    </row>
    <row r="52" customFormat="false" ht="15" hidden="false" customHeight="false" outlineLevel="0" collapsed="false">
      <c r="A52" s="16" t="s">
        <v>279</v>
      </c>
      <c r="B52" s="33" t="n">
        <f aca="false">MahindraLog!D96</f>
        <v>0.93973871487964</v>
      </c>
      <c r="C52" s="33" t="n">
        <f aca="false">MahindraLog!E96</f>
        <v>0.80454208314202</v>
      </c>
      <c r="D52" s="33" t="n">
        <f aca="false">MahindraLog!F96</f>
        <v>0.607117111851462</v>
      </c>
      <c r="E52" s="33" t="n">
        <f aca="false">MahindraLog!G96</f>
        <v>0.672923039698588</v>
      </c>
      <c r="F52" s="33" t="n">
        <f aca="false">MahindraLog!H96</f>
        <v>0.620640095066804</v>
      </c>
      <c r="G52" s="33" t="n">
        <f aca="false">MahindraLog!I96</f>
        <v>0.551095005266716</v>
      </c>
      <c r="H52" s="33" t="n">
        <f aca="false">MahindraLog!J96</f>
        <v>0.694380232412845</v>
      </c>
      <c r="I52" s="55" t="n">
        <f aca="false">MahindraLog!K96</f>
        <v>0.698633754616868</v>
      </c>
      <c r="J52" s="25" t="str">
        <f aca="false">IF(AND(ISNUMBER(I52),ISNUMBER(I$55)),IF(I52&gt;I$55,"Above",IF(I52&lt;I$55,"Below","At median")),"-")</f>
        <v>Below</v>
      </c>
      <c r="K52" s="25" t="str">
        <f aca="false">IF(J52="Above","Better",IF(J52="Below","Weaker",IF(J52="At median","In line","-")))</f>
        <v>Weaker</v>
      </c>
      <c r="L52" s="43" t="n">
        <f aca="false">IF(ISNUMBER(I52),RANK(I52,I$43:I$52,0),"-")</f>
        <v>9</v>
      </c>
    </row>
    <row r="53" customFormat="false" ht="15" hidden="false" customHeight="false" outlineLevel="0" collapsed="false">
      <c r="A53" s="46" t="s">
        <v>328</v>
      </c>
      <c r="B53" s="34" t="n">
        <f aca="false">Industry!D97</f>
        <v>0.938999561211057</v>
      </c>
      <c r="C53" s="34" t="n">
        <f aca="false">Industry!E97</f>
        <v>1.0240038324009</v>
      </c>
      <c r="D53" s="34" t="n">
        <f aca="false">Industry!F97</f>
        <v>1.06996715006073</v>
      </c>
      <c r="E53" s="34" t="n">
        <f aca="false">Industry!G97</f>
        <v>1.26075647002176</v>
      </c>
      <c r="F53" s="34" t="n">
        <f aca="false">Industry!H97</f>
        <v>1.3221457273964</v>
      </c>
      <c r="G53" s="34" t="n">
        <f aca="false">Industry!I97</f>
        <v>1.54976847617073</v>
      </c>
      <c r="H53" s="34" t="n">
        <f aca="false">Industry!J97</f>
        <v>1.54859389610365</v>
      </c>
      <c r="I53" s="34" t="n">
        <f aca="false">Industry!K97</f>
        <v>1.24489073048075</v>
      </c>
      <c r="J53" s="47"/>
      <c r="K53" s="47"/>
      <c r="L53" s="47"/>
    </row>
    <row r="54" customFormat="false" ht="15" hidden="false" customHeight="false" outlineLevel="0" collapsed="false">
      <c r="A54" s="52" t="s">
        <v>329</v>
      </c>
      <c r="B54" s="56" t="n">
        <f aca="false">IF(COUNT(B43:B52)=0,"N/M",AVERAGE(B43:B52))</f>
        <v>1.99966581686429</v>
      </c>
      <c r="C54" s="56" t="n">
        <f aca="false">IF(COUNT(C43:C52)=0,"N/M",AVERAGE(C43:C52))</f>
        <v>2.15768235368479</v>
      </c>
      <c r="D54" s="56" t="n">
        <f aca="false">IF(COUNT(D43:D52)=0,"N/M",AVERAGE(D43:D52))</f>
        <v>2.02516985475324</v>
      </c>
      <c r="E54" s="56" t="n">
        <f aca="false">IF(COUNT(E43:E52)=0,"N/M",AVERAGE(E43:E52))</f>
        <v>2.18225429197681</v>
      </c>
      <c r="F54" s="56" t="n">
        <f aca="false">IF(COUNT(F43:F52)=0,"N/M",AVERAGE(F43:F52))</f>
        <v>2.16987480166226</v>
      </c>
      <c r="G54" s="56" t="n">
        <f aca="false">IF(COUNT(G43:G52)=0,"N/M",AVERAGE(G43:G52))</f>
        <v>2.36045336948155</v>
      </c>
      <c r="H54" s="56" t="n">
        <f aca="false">IF(COUNT(H43:H52)=0,"N/M",AVERAGE(H43:H52))</f>
        <v>2.14851106383353</v>
      </c>
      <c r="I54" s="56" t="n">
        <f aca="false">IF(COUNT(I43:I52)=0,"N/M",AVERAGE(I43:I52))</f>
        <v>2.14908736460807</v>
      </c>
      <c r="J54" s="54"/>
      <c r="K54" s="54"/>
      <c r="L54" s="54"/>
    </row>
    <row r="55" customFormat="false" ht="15" hidden="false" customHeight="false" outlineLevel="0" collapsed="false">
      <c r="A55" s="28" t="s">
        <v>281</v>
      </c>
      <c r="B55" s="35" t="n">
        <f aca="false">IF(COUNT(B43:B52)=0,"N/M",MEDIAN(B43:B52))</f>
        <v>1.53121324050545</v>
      </c>
      <c r="C55" s="35" t="n">
        <f aca="false">IF(COUNT(C43:C52)=0,"N/M",MEDIAN(C43:C52))</f>
        <v>1.41325718439412</v>
      </c>
      <c r="D55" s="35" t="n">
        <f aca="false">IF(COUNT(D43:D52)=0,"N/M",MEDIAN(D43:D52))</f>
        <v>1.63537471605109</v>
      </c>
      <c r="E55" s="35" t="n">
        <f aca="false">IF(COUNT(E43:E52)=0,"N/M",MEDIAN(E43:E52))</f>
        <v>2.00563249921491</v>
      </c>
      <c r="F55" s="35" t="n">
        <f aca="false">IF(COUNT(F43:F52)=0,"N/M",MEDIAN(F43:F52))</f>
        <v>1.93422567953005</v>
      </c>
      <c r="G55" s="35" t="n">
        <f aca="false">IF(COUNT(G43:G52)=0,"N/M",MEDIAN(G43:G52))</f>
        <v>1.62031677298651</v>
      </c>
      <c r="H55" s="35" t="n">
        <f aca="false">IF(COUNT(H43:H52)=0,"N/M",MEDIAN(H43:H52))</f>
        <v>1.95251994375769</v>
      </c>
      <c r="I55" s="35" t="n">
        <f aca="false">IF(COUNT(I43:I52)=0,"N/M",MEDIAN(I43:I52))</f>
        <v>1.80227432066301</v>
      </c>
      <c r="J55" s="54"/>
      <c r="K55" s="54"/>
      <c r="L55" s="54"/>
    </row>
    <row r="56" customFormat="false" ht="15" hidden="false" customHeight="false" outlineLevel="0" collapsed="false">
      <c r="A56" s="52" t="s">
        <v>330</v>
      </c>
      <c r="B56" s="56" t="n">
        <f aca="false">IF(COUNT(B43:B52)&lt;2,"N/M",STDEV(B43:B52))</f>
        <v>1.51181431432247</v>
      </c>
      <c r="C56" s="56" t="n">
        <f aca="false">IF(COUNT(C43:C52)&lt;2,"N/M",STDEV(C43:C52))</f>
        <v>2.28914987434339</v>
      </c>
      <c r="D56" s="56" t="n">
        <f aca="false">IF(COUNT(D43:D52)&lt;2,"N/M",STDEV(D43:D52))</f>
        <v>1.8006637123375</v>
      </c>
      <c r="E56" s="56" t="n">
        <f aca="false">IF(COUNT(E43:E52)&lt;2,"N/M",STDEV(E43:E52))</f>
        <v>1.50667537525136</v>
      </c>
      <c r="F56" s="56" t="n">
        <f aca="false">IF(COUNT(F43:F52)&lt;2,"N/M",STDEV(F43:F52))</f>
        <v>1.56759985951213</v>
      </c>
      <c r="G56" s="56" t="n">
        <f aca="false">IF(COUNT(G43:G52)&lt;2,"N/M",STDEV(G43:G52))</f>
        <v>1.93448836261855</v>
      </c>
      <c r="H56" s="56" t="n">
        <f aca="false">IF(COUNT(H43:H52)&lt;2,"N/M",STDEV(H43:H52))</f>
        <v>1.34196703141699</v>
      </c>
      <c r="I56" s="56" t="n">
        <f aca="false">IF(COUNT(I43:I52)&lt;2,"N/M",STDEV(I43:I52))</f>
        <v>1.50377874352055</v>
      </c>
      <c r="J56" s="54"/>
      <c r="K56" s="54"/>
      <c r="L56" s="54"/>
    </row>
    <row r="57" customFormat="false" ht="15" hidden="false" customHeight="false" outlineLevel="0" collapsed="false">
      <c r="A57" s="52" t="s">
        <v>269</v>
      </c>
      <c r="B57" s="56" t="n">
        <f aca="false">IF(COUNT(B43:B52)=0,"N/M",MIN(B43:B52))</f>
        <v>0.29196076265826</v>
      </c>
      <c r="C57" s="56" t="n">
        <f aca="false">IF(COUNT(C43:C52)=0,"N/M",MIN(C43:C52))</f>
        <v>0.244509271663259</v>
      </c>
      <c r="D57" s="56" t="n">
        <f aca="false">IF(COUNT(D43:D52)=0,"N/M",MIN(D43:D52))</f>
        <v>0.312621545372374</v>
      </c>
      <c r="E57" s="56" t="n">
        <f aca="false">IF(COUNT(E43:E52)=0,"N/M",MIN(E43:E52))</f>
        <v>0.535583157565815</v>
      </c>
      <c r="F57" s="56" t="n">
        <f aca="false">IF(COUNT(F43:F52)=0,"N/M",MIN(F43:F52))</f>
        <v>0.620640095066804</v>
      </c>
      <c r="G57" s="56" t="n">
        <f aca="false">IF(COUNT(G43:G52)=0,"N/M",MIN(G43:G52))</f>
        <v>0.551095005266716</v>
      </c>
      <c r="H57" s="56" t="n">
        <f aca="false">IF(COUNT(H43:H52)=0,"N/M",MIN(H43:H52))</f>
        <v>0.557594958504081</v>
      </c>
      <c r="I57" s="56" t="n">
        <f aca="false">IF(COUNT(I43:I52)=0,"N/M",MIN(I43:I52))</f>
        <v>0.466819490236621</v>
      </c>
      <c r="J57" s="54"/>
      <c r="K57" s="54"/>
      <c r="L57" s="54"/>
    </row>
    <row r="58" customFormat="false" ht="15" hidden="false" customHeight="false" outlineLevel="0" collapsed="false">
      <c r="A58" s="52" t="s">
        <v>270</v>
      </c>
      <c r="B58" s="56" t="n">
        <f aca="false">IF(COUNT(B43:B52)=0,"N/M",MAX(B43:B52))</f>
        <v>4.54637865311309</v>
      </c>
      <c r="C58" s="56" t="n">
        <f aca="false">IF(COUNT(C43:C52)=0,"N/M",MAX(C43:C52))</f>
        <v>7.94230769230769</v>
      </c>
      <c r="D58" s="56" t="n">
        <f aca="false">IF(COUNT(D43:D52)=0,"N/M",MAX(D43:D52))</f>
        <v>6.22809558291093</v>
      </c>
      <c r="E58" s="56" t="n">
        <f aca="false">IF(COUNT(E43:E52)=0,"N/M",MAX(E43:E52))</f>
        <v>4.64808043875686</v>
      </c>
      <c r="F58" s="56" t="n">
        <f aca="false">IF(COUNT(F43:F52)=0,"N/M",MAX(F43:F52))</f>
        <v>5.38580395943988</v>
      </c>
      <c r="G58" s="56" t="n">
        <f aca="false">IF(COUNT(G43:G52)=0,"N/M",MAX(G43:G52))</f>
        <v>6.6857887874837</v>
      </c>
      <c r="H58" s="56" t="n">
        <f aca="false">IF(COUNT(H43:H52)=0,"N/M",MAX(H43:H52))</f>
        <v>4.17735263702172</v>
      </c>
      <c r="I58" s="56" t="n">
        <f aca="false">IF(COUNT(I43:I52)=0,"N/M",MAX(I43:I52))</f>
        <v>4.39141088155559</v>
      </c>
      <c r="J58" s="54"/>
      <c r="K58" s="54"/>
      <c r="L58" s="54"/>
    </row>
    <row r="60" customFormat="false" ht="16.5" hidden="false" customHeight="true" outlineLevel="0" collapsed="false">
      <c r="A60" s="49" t="s">
        <v>333</v>
      </c>
      <c r="B60" s="49"/>
      <c r="C60" s="49"/>
      <c r="D60" s="49"/>
      <c r="E60" s="49"/>
      <c r="F60" s="49"/>
      <c r="G60" s="49"/>
      <c r="H60" s="49"/>
      <c r="I60" s="49"/>
      <c r="J60" s="49"/>
      <c r="K60" s="49"/>
      <c r="L60" s="49"/>
    </row>
    <row r="61" customFormat="false" ht="15" hidden="false" customHeight="false" outlineLevel="0" collapsed="false">
      <c r="A61" s="16" t="s">
        <v>52</v>
      </c>
      <c r="B61" s="33" t="n">
        <f aca="false">Tiger!D97</f>
        <v>0.383735705209657</v>
      </c>
      <c r="C61" s="33" t="n">
        <f aca="false">Tiger!E97</f>
        <v>0.274247491638796</v>
      </c>
      <c r="D61" s="33" t="n">
        <f aca="false">Tiger!F97</f>
        <v>0.674070909867578</v>
      </c>
      <c r="E61" s="33" t="n">
        <f aca="false">Tiger!G97</f>
        <v>2.39488117001828</v>
      </c>
      <c r="F61" s="33" t="n">
        <f aca="false">Tiger!H97</f>
        <v>2.01593433124095</v>
      </c>
      <c r="G61" s="33" t="n">
        <f aca="false">Tiger!I97</f>
        <v>2.22338113863538</v>
      </c>
      <c r="H61" s="33" t="n">
        <f aca="false">Tiger!J97</f>
        <v>0.79803619561032</v>
      </c>
      <c r="I61" s="55" t="n">
        <f aca="false">Tiger!K97</f>
        <v>1.25204099174585</v>
      </c>
      <c r="J61" s="25" t="str">
        <f aca="false">IF(AND(ISNUMBER(I61),ISNUMBER(I$73)),IF(I61&gt;I$73,"Above",IF(I61&lt;I$73,"Below","At median")),"-")</f>
        <v>Above</v>
      </c>
      <c r="K61" s="25" t="str">
        <f aca="false">IF(J61="Above","Better",IF(J61="Below","Weaker",IF(J61="At median","In line","-")))</f>
        <v>Better</v>
      </c>
      <c r="L61" s="43" t="n">
        <f aca="false">IF(ISNUMBER(I61),RANK(I61,I$61:I$70,0),"-")</f>
        <v>2</v>
      </c>
    </row>
    <row r="62" customFormat="false" ht="15" hidden="false" customHeight="false" outlineLevel="0" collapsed="false">
      <c r="A62" s="16" t="s">
        <v>54</v>
      </c>
      <c r="B62" s="33" t="n">
        <f aca="false">Allcargo!D97</f>
        <v>0.378761518139055</v>
      </c>
      <c r="C62" s="33" t="n">
        <f aca="false">Allcargo!E97</f>
        <v>0.128601114574478</v>
      </c>
      <c r="D62" s="33" t="n">
        <f aca="false">Allcargo!F97</f>
        <v>0.156208711420557</v>
      </c>
      <c r="E62" s="33" t="n">
        <f aca="false">Allcargo!G97</f>
        <v>0.404296398352862</v>
      </c>
      <c r="F62" s="33" t="n">
        <f aca="false">Allcargo!H97</f>
        <v>0.199874092806478</v>
      </c>
      <c r="G62" s="33" t="n">
        <f aca="false">Allcargo!I97</f>
        <v>0.394472361809045</v>
      </c>
      <c r="H62" s="33" t="n">
        <f aca="false">Allcargo!J97</f>
        <v>0.279317697228145</v>
      </c>
      <c r="I62" s="55" t="n">
        <f aca="false">Allcargo!K97</f>
        <v>0.277361699190089</v>
      </c>
      <c r="J62" s="25" t="str">
        <f aca="false">IF(AND(ISNUMBER(I62),ISNUMBER(I$73)),IF(I62&gt;I$73,"Above",IF(I62&lt;I$73,"Below","At median")),"-")</f>
        <v>Above</v>
      </c>
      <c r="K62" s="25" t="str">
        <f aca="false">IF(J62="Above","Better",IF(J62="Below","Weaker",IF(J62="At median","In line","-")))</f>
        <v>Better</v>
      </c>
      <c r="L62" s="43" t="n">
        <f aca="false">IF(ISNUMBER(I62),RANK(I62,I$61:I$70,0),"-")</f>
        <v>5</v>
      </c>
    </row>
    <row r="63" customFormat="false" ht="15" hidden="false" customHeight="false" outlineLevel="0" collapsed="false">
      <c r="A63" s="16" t="s">
        <v>277</v>
      </c>
      <c r="B63" s="33" t="n">
        <f aca="false">BlueDart!D97</f>
        <v>0.0617299192572656</v>
      </c>
      <c r="C63" s="33" t="n">
        <f aca="false">BlueDart!E97</f>
        <v>0.396415258132053</v>
      </c>
      <c r="D63" s="33" t="n">
        <f aca="false">BlueDart!F97</f>
        <v>0.206919389782562</v>
      </c>
      <c r="E63" s="33" t="n">
        <f aca="false">BlueDart!G97</f>
        <v>0.103450516602768</v>
      </c>
      <c r="F63" s="33" t="n">
        <f aca="false">BlueDart!H97</f>
        <v>0.162871810949563</v>
      </c>
      <c r="G63" s="33" t="n">
        <f aca="false">BlueDart!I97</f>
        <v>0.152553499949851</v>
      </c>
      <c r="H63" s="33" t="n">
        <f aca="false">BlueDart!J97</f>
        <v>0.197811475681224</v>
      </c>
      <c r="I63" s="55" t="n">
        <f aca="false">BlueDart!K97</f>
        <v>0.183107410050755</v>
      </c>
      <c r="J63" s="25" t="str">
        <f aca="false">IF(AND(ISNUMBER(I63),ISNUMBER(I$73)),IF(I63&gt;I$73,"Above",IF(I63&lt;I$73,"Below","At median")),"-")</f>
        <v>Below</v>
      </c>
      <c r="K63" s="25" t="str">
        <f aca="false">IF(J63="Above","Better",IF(J63="Below","Weaker",IF(J63="At median","In line","-")))</f>
        <v>Weaker</v>
      </c>
      <c r="L63" s="43" t="n">
        <f aca="false">IF(ISNUMBER(I63),RANK(I63,I$61:I$70,0),"-")</f>
        <v>9</v>
      </c>
    </row>
    <row r="64" customFormat="false" ht="15" hidden="false" customHeight="false" outlineLevel="0" collapsed="false">
      <c r="A64" s="16" t="s">
        <v>58</v>
      </c>
      <c r="B64" s="33" t="n">
        <f aca="false">CONCOR!D97</f>
        <v>1.31026030394701</v>
      </c>
      <c r="C64" s="33" t="n">
        <f aca="false">CONCOR!E97</f>
        <v>1.66157865969899</v>
      </c>
      <c r="D64" s="33" t="n">
        <f aca="false">CONCOR!F97</f>
        <v>1.93051613372766</v>
      </c>
      <c r="E64" s="33" t="n">
        <f aca="false">CONCOR!G97</f>
        <v>2.12417231013633</v>
      </c>
      <c r="F64" s="33" t="n">
        <f aca="false">CONCOR!H97</f>
        <v>2.58263663075416</v>
      </c>
      <c r="G64" s="33" t="n">
        <f aca="false">CONCOR!I97</f>
        <v>2.96765882981999</v>
      </c>
      <c r="H64" s="33" t="n">
        <f aca="false">CONCOR!J97</f>
        <v>2.74838831707202</v>
      </c>
      <c r="I64" s="55" t="n">
        <f aca="false">CONCOR!K97</f>
        <v>2.18931588359374</v>
      </c>
      <c r="J64" s="25" t="str">
        <f aca="false">IF(AND(ISNUMBER(I64),ISNUMBER(I$73)),IF(I64&gt;I$73,"Above",IF(I64&lt;I$73,"Below","At median")),"-")</f>
        <v>Above</v>
      </c>
      <c r="K64" s="25" t="str">
        <f aca="false">IF(J64="Above","Better",IF(J64="Below","Weaker",IF(J64="At median","In line","-")))</f>
        <v>Better</v>
      </c>
      <c r="L64" s="43" t="n">
        <f aca="false">IF(ISNUMBER(I64),RANK(I64,I$61:I$70,0),"-")</f>
        <v>1</v>
      </c>
    </row>
    <row r="65" customFormat="false" ht="15" hidden="false" customHeight="false" outlineLevel="0" collapsed="false">
      <c r="A65" s="16" t="s">
        <v>278</v>
      </c>
      <c r="B65" s="33" t="n">
        <f aca="false">JetFreight!D97</f>
        <v>0.103396453261196</v>
      </c>
      <c r="C65" s="33" t="n">
        <f aca="false">JetFreight!E97</f>
        <v>0.0700021944261576</v>
      </c>
      <c r="D65" s="33" t="n">
        <f aca="false">JetFreight!F97</f>
        <v>0.180994232353749</v>
      </c>
      <c r="E65" s="33" t="n">
        <f aca="false">JetFreight!G97</f>
        <v>0.27609756097561</v>
      </c>
      <c r="F65" s="33" t="n">
        <f aca="false">JetFreight!H97</f>
        <v>0.254399387911247</v>
      </c>
      <c r="G65" s="33" t="n">
        <f aca="false">JetFreight!I97</f>
        <v>0.238946559015763</v>
      </c>
      <c r="H65" s="33" t="n">
        <f aca="false">JetFreight!J97</f>
        <v>0.308490366292611</v>
      </c>
      <c r="I65" s="55" t="n">
        <f aca="false">JetFreight!K97</f>
        <v>0.204618107748048</v>
      </c>
      <c r="J65" s="25" t="str">
        <f aca="false">IF(AND(ISNUMBER(I65),ISNUMBER(I$73)),IF(I65&gt;I$73,"Above",IF(I65&lt;I$73,"Below","At median")),"-")</f>
        <v>Below</v>
      </c>
      <c r="K65" s="25" t="str">
        <f aca="false">IF(J65="Above","Better",IF(J65="Below","Weaker",IF(J65="At median","In line","-")))</f>
        <v>Weaker</v>
      </c>
      <c r="L65" s="43" t="n">
        <f aca="false">IF(ISNUMBER(I65),RANK(I65,I$61:I$70,0),"-")</f>
        <v>8</v>
      </c>
    </row>
    <row r="66" customFormat="false" ht="15" hidden="false" customHeight="false" outlineLevel="0" collapsed="false">
      <c r="A66" s="16" t="s">
        <v>62</v>
      </c>
      <c r="B66" s="33" t="n">
        <f aca="false">Patel!D97</f>
        <v>0.50195007800312</v>
      </c>
      <c r="C66" s="33" t="n">
        <f aca="false">Patel!E97</f>
        <v>1.92976588628763</v>
      </c>
      <c r="D66" s="33" t="n">
        <f aca="false">Patel!F97</f>
        <v>1.5691527878349</v>
      </c>
      <c r="E66" s="33" t="n">
        <f aca="false">Patel!G97</f>
        <v>1.04137931034483</v>
      </c>
      <c r="F66" s="33" t="n">
        <f aca="false">Patel!H97</f>
        <v>0.665774850792344</v>
      </c>
      <c r="G66" s="33" t="n">
        <f aca="false">Patel!I97</f>
        <v>0.855944893680743</v>
      </c>
      <c r="H66" s="33" t="n">
        <f aca="false">Patel!J97</f>
        <v>0.802921884317233</v>
      </c>
      <c r="I66" s="55" t="n">
        <f aca="false">Patel!K97</f>
        <v>1.05241281303726</v>
      </c>
      <c r="J66" s="25" t="str">
        <f aca="false">IF(AND(ISNUMBER(I66),ISNUMBER(I$73)),IF(I66&gt;I$73,"Above",IF(I66&lt;I$73,"Below","At median")),"-")</f>
        <v>Above</v>
      </c>
      <c r="K66" s="25" t="str">
        <f aca="false">IF(J66="Above","Better",IF(J66="Below","Weaker",IF(J66="At median","In line","-")))</f>
        <v>Better</v>
      </c>
      <c r="L66" s="43" t="n">
        <f aca="false">IF(ISNUMBER(I66),RANK(I66,I$61:I$70,0),"-")</f>
        <v>3</v>
      </c>
    </row>
    <row r="67" customFormat="false" ht="15" hidden="false" customHeight="false" outlineLevel="0" collapsed="false">
      <c r="A67" s="16" t="s">
        <v>64</v>
      </c>
      <c r="B67" s="33" t="n">
        <f aca="false">Sical!D97</f>
        <v>0.0504623540396992</v>
      </c>
      <c r="C67" s="33" t="n">
        <f aca="false">Sical!E97</f>
        <v>0.0569519847704999</v>
      </c>
      <c r="D67" s="33" t="n">
        <f aca="false">Sical!F97</f>
        <v>0.118491330904708</v>
      </c>
      <c r="E67" s="33" t="n">
        <f aca="false">Sical!G97</f>
        <v>0.322084212170924</v>
      </c>
      <c r="F67" s="33" t="n">
        <f aca="false">Sical!H97</f>
        <v>0.515222179038736</v>
      </c>
      <c r="G67" s="33" t="n">
        <f aca="false">Sical!I97</f>
        <v>0.338088166327966</v>
      </c>
      <c r="H67" s="33" t="n">
        <f aca="false">Sical!J97</f>
        <v>0.227177244395468</v>
      </c>
      <c r="I67" s="55" t="n">
        <f aca="false">Sical!K97</f>
        <v>0.232639638806857</v>
      </c>
      <c r="J67" s="25" t="str">
        <f aca="false">IF(AND(ISNUMBER(I67),ISNUMBER(I$73)),IF(I67&gt;I$73,"Above",IF(I67&lt;I$73,"Below","At median")),"-")</f>
        <v>Below</v>
      </c>
      <c r="K67" s="25" t="str">
        <f aca="false">IF(J67="Above","Better",IF(J67="Below","Weaker",IF(J67="At median","In line","-")))</f>
        <v>Weaker</v>
      </c>
      <c r="L67" s="43" t="n">
        <f aca="false">IF(ISNUMBER(I67),RANK(I67,I$61:I$70,0),"-")</f>
        <v>7</v>
      </c>
    </row>
    <row r="68" customFormat="false" ht="15" hidden="false" customHeight="false" outlineLevel="0" collapsed="false">
      <c r="A68" s="16" t="s">
        <v>66</v>
      </c>
      <c r="B68" s="33" t="n">
        <f aca="false">TCI!D97</f>
        <v>0.109192012806471</v>
      </c>
      <c r="C68" s="33" t="n">
        <f aca="false">TCI!E97</f>
        <v>0.14546056991385</v>
      </c>
      <c r="D68" s="33" t="n">
        <f aca="false">TCI!F97</f>
        <v>0.247737255423932</v>
      </c>
      <c r="E68" s="33" t="n">
        <f aca="false">TCI!G97</f>
        <v>0.600748576078112</v>
      </c>
      <c r="F68" s="33" t="n">
        <f aca="false">TCI!H97</f>
        <v>0.314577163540638</v>
      </c>
      <c r="G68" s="33" t="n">
        <f aca="false">TCI!I97</f>
        <v>0.15797700122809</v>
      </c>
      <c r="H68" s="33" t="n">
        <f aca="false">TCI!J97</f>
        <v>0.187664672643213</v>
      </c>
      <c r="I68" s="55" t="n">
        <f aca="false">TCI!K97</f>
        <v>0.251908178804901</v>
      </c>
      <c r="J68" s="25" t="str">
        <f aca="false">IF(AND(ISNUMBER(I68),ISNUMBER(I$73)),IF(I68&gt;I$73,"Above",IF(I68&lt;I$73,"Below","At median")),"-")</f>
        <v>Below</v>
      </c>
      <c r="K68" s="25" t="str">
        <f aca="false">IF(J68="Above","Better",IF(J68="Below","Weaker",IF(J68="At median","In line","-")))</f>
        <v>Weaker</v>
      </c>
      <c r="L68" s="43" t="n">
        <f aca="false">IF(ISNUMBER(I68),RANK(I68,I$61:I$70,0),"-")</f>
        <v>6</v>
      </c>
    </row>
    <row r="69" customFormat="false" ht="15" hidden="false" customHeight="false" outlineLevel="0" collapsed="false">
      <c r="A69" s="16" t="s">
        <v>68</v>
      </c>
      <c r="B69" s="33" t="n">
        <f aca="false">Shreeji!D97</f>
        <v>0.374562427071179</v>
      </c>
      <c r="C69" s="33" t="n">
        <f aca="false">Shreeji!E97</f>
        <v>0.527079303675048</v>
      </c>
      <c r="D69" s="33" t="n">
        <f aca="false">Shreeji!F97</f>
        <v>0.34020618556701</v>
      </c>
      <c r="E69" s="33" t="n">
        <f aca="false">Shreeji!G97</f>
        <v>0.376398210290828</v>
      </c>
      <c r="F69" s="33" t="n">
        <f aca="false">Shreeji!H97</f>
        <v>0.25664217071792</v>
      </c>
      <c r="G69" s="33" t="n">
        <f aca="false">Shreeji!I97</f>
        <v>0.461861861861862</v>
      </c>
      <c r="H69" s="33" t="n">
        <f aca="false">Shreeji!J97</f>
        <v>0.330403309203723</v>
      </c>
      <c r="I69" s="55" t="n">
        <f aca="false">Shreeji!K97</f>
        <v>0.381021924055367</v>
      </c>
      <c r="J69" s="25" t="str">
        <f aca="false">IF(AND(ISNUMBER(I69),ISNUMBER(I$73)),IF(I69&gt;I$73,"Above",IF(I69&lt;I$73,"Below","At median")),"-")</f>
        <v>Above</v>
      </c>
      <c r="K69" s="25" t="str">
        <f aca="false">IF(J69="Above","Better",IF(J69="Below","Weaker",IF(J69="At median","In line","-")))</f>
        <v>Better</v>
      </c>
      <c r="L69" s="43" t="n">
        <f aca="false">IF(ISNUMBER(I69),RANK(I69,I$61:I$70,0),"-")</f>
        <v>4</v>
      </c>
    </row>
    <row r="70" customFormat="false" ht="15" hidden="false" customHeight="false" outlineLevel="0" collapsed="false">
      <c r="A70" s="16" t="s">
        <v>279</v>
      </c>
      <c r="B70" s="33" t="n">
        <f aca="false">MahindraLog!D97</f>
        <v>0.147257689860776</v>
      </c>
      <c r="C70" s="33" t="n">
        <f aca="false">MahindraLog!E97</f>
        <v>0.232837683514051</v>
      </c>
      <c r="D70" s="33" t="n">
        <f aca="false">MahindraLog!F97</f>
        <v>0.130857053792351</v>
      </c>
      <c r="E70" s="33" t="n">
        <f aca="false">MahindraLog!G97</f>
        <v>0.109080382295501</v>
      </c>
      <c r="F70" s="33" t="n">
        <f aca="false">MahindraLog!H97</f>
        <v>0.0570641700924974</v>
      </c>
      <c r="G70" s="33" t="n">
        <f aca="false">MahindraLog!I97</f>
        <v>0.0597182700017294</v>
      </c>
      <c r="H70" s="33" t="n">
        <f aca="false">MahindraLog!J97</f>
        <v>0.155839997500937</v>
      </c>
      <c r="I70" s="55" t="n">
        <f aca="false">MahindraLog!K97</f>
        <v>0.127522178151121</v>
      </c>
      <c r="J70" s="25" t="str">
        <f aca="false">IF(AND(ISNUMBER(I70),ISNUMBER(I$73)),IF(I70&gt;I$73,"Above",IF(I70&lt;I$73,"Below","At median")),"-")</f>
        <v>Below</v>
      </c>
      <c r="K70" s="25" t="str">
        <f aca="false">IF(J70="Above","Better",IF(J70="Below","Weaker",IF(J70="At median","In line","-")))</f>
        <v>Weaker</v>
      </c>
      <c r="L70" s="43" t="n">
        <f aca="false">IF(ISNUMBER(I70),RANK(I70,I$61:I$70,0),"-")</f>
        <v>10</v>
      </c>
    </row>
    <row r="71" customFormat="false" ht="15" hidden="false" customHeight="false" outlineLevel="0" collapsed="false">
      <c r="A71" s="46" t="s">
        <v>328</v>
      </c>
      <c r="B71" s="34" t="n">
        <f aca="false">Industry!D98</f>
        <v>0.450590902442592</v>
      </c>
      <c r="C71" s="34" t="n">
        <f aca="false">Industry!E98</f>
        <v>0.463986354968237</v>
      </c>
      <c r="D71" s="34" t="n">
        <f aca="false">Industry!F98</f>
        <v>0.472267335934337</v>
      </c>
      <c r="E71" s="34" t="n">
        <f aca="false">Industry!G98</f>
        <v>0.67133957224286</v>
      </c>
      <c r="F71" s="34" t="n">
        <f aca="false">Industry!H98</f>
        <v>0.627285457205518</v>
      </c>
      <c r="G71" s="34" t="n">
        <f aca="false">Industry!I98</f>
        <v>0.88110163875778</v>
      </c>
      <c r="H71" s="34" t="n">
        <f aca="false">Industry!J98</f>
        <v>0.820391967938517</v>
      </c>
      <c r="I71" s="34" t="n">
        <f aca="false">Industry!K98</f>
        <v>0.626709032784263</v>
      </c>
      <c r="J71" s="47"/>
      <c r="K71" s="47"/>
      <c r="L71" s="47"/>
    </row>
    <row r="72" customFormat="false" ht="15" hidden="false" customHeight="false" outlineLevel="0" collapsed="false">
      <c r="A72" s="52" t="s">
        <v>329</v>
      </c>
      <c r="B72" s="56" t="n">
        <f aca="false">IF(COUNT(B61:B70)=0,"N/M",AVERAGE(B61:B70))</f>
        <v>0.342130846159543</v>
      </c>
      <c r="C72" s="56" t="n">
        <f aca="false">IF(COUNT(C61:C70)=0,"N/M",AVERAGE(C61:C70))</f>
        <v>0.542294014663155</v>
      </c>
      <c r="D72" s="56" t="n">
        <f aca="false">IF(COUNT(D61:D70)=0,"N/M",AVERAGE(D61:D70))</f>
        <v>0.555515399067501</v>
      </c>
      <c r="E72" s="56" t="n">
        <f aca="false">IF(COUNT(E61:E70)=0,"N/M",AVERAGE(E61:E70))</f>
        <v>0.775258864726605</v>
      </c>
      <c r="F72" s="56" t="n">
        <f aca="false">IF(COUNT(F61:F70)=0,"N/M",AVERAGE(F61:F70))</f>
        <v>0.702499678784453</v>
      </c>
      <c r="G72" s="56" t="n">
        <f aca="false">IF(COUNT(G61:G70)=0,"N/M",AVERAGE(G61:G70))</f>
        <v>0.785060258233041</v>
      </c>
      <c r="H72" s="56" t="n">
        <f aca="false">IF(COUNT(H61:H70)=0,"N/M",AVERAGE(H61:H70))</f>
        <v>0.603605115994489</v>
      </c>
      <c r="I72" s="56" t="n">
        <f aca="false">IF(COUNT(I61:I70)=0,"N/M",AVERAGE(I61:I70))</f>
        <v>0.615194882518398</v>
      </c>
      <c r="J72" s="54"/>
      <c r="K72" s="54"/>
      <c r="L72" s="54"/>
    </row>
    <row r="73" customFormat="false" ht="15" hidden="false" customHeight="false" outlineLevel="0" collapsed="false">
      <c r="A73" s="28" t="s">
        <v>281</v>
      </c>
      <c r="B73" s="35" t="n">
        <f aca="false">IF(COUNT(B61:B70)=0,"N/M",MEDIAN(B61:B70))</f>
        <v>0.260910058465977</v>
      </c>
      <c r="C73" s="35" t="n">
        <f aca="false">IF(COUNT(C61:C70)=0,"N/M",MEDIAN(C61:C70))</f>
        <v>0.253542587576424</v>
      </c>
      <c r="D73" s="35" t="n">
        <f aca="false">IF(COUNT(D61:D70)=0,"N/M",MEDIAN(D61:D70))</f>
        <v>0.227328322603247</v>
      </c>
      <c r="E73" s="35" t="n">
        <f aca="false">IF(COUNT(E61:E70)=0,"N/M",MEDIAN(E61:E70))</f>
        <v>0.390347304321845</v>
      </c>
      <c r="F73" s="35" t="n">
        <f aca="false">IF(COUNT(F61:F70)=0,"N/M",MEDIAN(F61:F70))</f>
        <v>0.285609667129279</v>
      </c>
      <c r="G73" s="35" t="n">
        <f aca="false">IF(COUNT(G61:G70)=0,"N/M",MEDIAN(G61:G70))</f>
        <v>0.366280264068506</v>
      </c>
      <c r="H73" s="35" t="n">
        <f aca="false">IF(COUNT(H61:H70)=0,"N/M",MEDIAN(H61:H70))</f>
        <v>0.293904031760378</v>
      </c>
      <c r="I73" s="35" t="n">
        <f aca="false">IF(COUNT(I61:I70)=0,"N/M",MEDIAN(I61:I70))</f>
        <v>0.264634938997495</v>
      </c>
      <c r="J73" s="54"/>
      <c r="K73" s="54"/>
      <c r="L73" s="54"/>
    </row>
    <row r="74" customFormat="false" ht="15" hidden="false" customHeight="false" outlineLevel="0" collapsed="false">
      <c r="A74" s="52" t="s">
        <v>330</v>
      </c>
      <c r="B74" s="56" t="n">
        <f aca="false">IF(COUNT(B61:B70)&lt;2,"N/M",STDEV(B61:B70))</f>
        <v>0.377103987773929</v>
      </c>
      <c r="C74" s="56" t="n">
        <f aca="false">IF(COUNT(C61:C70)&lt;2,"N/M",STDEV(C61:C70))</f>
        <v>0.679398068349378</v>
      </c>
      <c r="D74" s="56" t="n">
        <f aca="false">IF(COUNT(D61:D70)&lt;2,"N/M",STDEV(D61:D70))</f>
        <v>0.655386610894508</v>
      </c>
      <c r="E74" s="56" t="n">
        <f aca="false">IF(COUNT(E61:E70)&lt;2,"N/M",STDEV(E61:E70))</f>
        <v>0.829348492659225</v>
      </c>
      <c r="F74" s="56" t="n">
        <f aca="false">IF(COUNT(F61:F70)&lt;2,"N/M",STDEV(F61:F70))</f>
        <v>0.869669892459504</v>
      </c>
      <c r="G74" s="56" t="n">
        <f aca="false">IF(COUNT(G61:G70)&lt;2,"N/M",STDEV(G61:G70))</f>
        <v>0.995098412401902</v>
      </c>
      <c r="H74" s="56" t="n">
        <f aca="false">IF(COUNT(H61:H70)&lt;2,"N/M",STDEV(H61:H70))</f>
        <v>0.790526290656007</v>
      </c>
      <c r="I74" s="56" t="n">
        <f aca="false">IF(COUNT(I61:I70)&lt;2,"N/M",STDEV(I61:I70))</f>
        <v>0.67618052552392</v>
      </c>
      <c r="J74" s="54"/>
      <c r="K74" s="54"/>
      <c r="L74" s="54"/>
    </row>
    <row r="75" customFormat="false" ht="15" hidden="false" customHeight="false" outlineLevel="0" collapsed="false">
      <c r="A75" s="52" t="s">
        <v>269</v>
      </c>
      <c r="B75" s="56" t="n">
        <f aca="false">IF(COUNT(B61:B70)=0,"N/M",MIN(B61:B70))</f>
        <v>0.0504623540396992</v>
      </c>
      <c r="C75" s="56" t="n">
        <f aca="false">IF(COUNT(C61:C70)=0,"N/M",MIN(C61:C70))</f>
        <v>0.0569519847704999</v>
      </c>
      <c r="D75" s="56" t="n">
        <f aca="false">IF(COUNT(D61:D70)=0,"N/M",MIN(D61:D70))</f>
        <v>0.118491330904708</v>
      </c>
      <c r="E75" s="56" t="n">
        <f aca="false">IF(COUNT(E61:E70)=0,"N/M",MIN(E61:E70))</f>
        <v>0.103450516602768</v>
      </c>
      <c r="F75" s="56" t="n">
        <f aca="false">IF(COUNT(F61:F70)=0,"N/M",MIN(F61:F70))</f>
        <v>0.0570641700924974</v>
      </c>
      <c r="G75" s="56" t="n">
        <f aca="false">IF(COUNT(G61:G70)=0,"N/M",MIN(G61:G70))</f>
        <v>0.0597182700017294</v>
      </c>
      <c r="H75" s="56" t="n">
        <f aca="false">IF(COUNT(H61:H70)=0,"N/M",MIN(H61:H70))</f>
        <v>0.155839997500937</v>
      </c>
      <c r="I75" s="56" t="n">
        <f aca="false">IF(COUNT(I61:I70)=0,"N/M",MIN(I61:I70))</f>
        <v>0.127522178151121</v>
      </c>
      <c r="J75" s="54"/>
      <c r="K75" s="54"/>
      <c r="L75" s="54"/>
    </row>
    <row r="76" customFormat="false" ht="15" hidden="false" customHeight="false" outlineLevel="0" collapsed="false">
      <c r="A76" s="52" t="s">
        <v>270</v>
      </c>
      <c r="B76" s="56" t="n">
        <f aca="false">IF(COUNT(B61:B70)=0,"N/M",MAX(B61:B70))</f>
        <v>1.31026030394701</v>
      </c>
      <c r="C76" s="56" t="n">
        <f aca="false">IF(COUNT(C61:C70)=0,"N/M",MAX(C61:C70))</f>
        <v>1.92976588628763</v>
      </c>
      <c r="D76" s="56" t="n">
        <f aca="false">IF(COUNT(D61:D70)=0,"N/M",MAX(D61:D70))</f>
        <v>1.93051613372766</v>
      </c>
      <c r="E76" s="56" t="n">
        <f aca="false">IF(COUNT(E61:E70)=0,"N/M",MAX(E61:E70))</f>
        <v>2.39488117001828</v>
      </c>
      <c r="F76" s="56" t="n">
        <f aca="false">IF(COUNT(F61:F70)=0,"N/M",MAX(F61:F70))</f>
        <v>2.58263663075416</v>
      </c>
      <c r="G76" s="56" t="n">
        <f aca="false">IF(COUNT(G61:G70)=0,"N/M",MAX(G61:G70))</f>
        <v>2.96765882981999</v>
      </c>
      <c r="H76" s="56" t="n">
        <f aca="false">IF(COUNT(H61:H70)=0,"N/M",MAX(H61:H70))</f>
        <v>2.74838831707202</v>
      </c>
      <c r="I76" s="56" t="n">
        <f aca="false">IF(COUNT(I61:I70)=0,"N/M",MAX(I61:I70))</f>
        <v>2.18931588359374</v>
      </c>
      <c r="J76" s="54"/>
      <c r="K76" s="54"/>
      <c r="L76" s="54"/>
    </row>
    <row r="78" customFormat="false" ht="16.5" hidden="false" customHeight="true" outlineLevel="0" collapsed="false">
      <c r="A78" s="49" t="s">
        <v>334</v>
      </c>
      <c r="B78" s="49"/>
      <c r="C78" s="49"/>
      <c r="D78" s="49"/>
      <c r="E78" s="49"/>
      <c r="F78" s="49"/>
      <c r="G78" s="49"/>
      <c r="H78" s="49"/>
      <c r="I78" s="49"/>
      <c r="J78" s="49"/>
      <c r="K78" s="49"/>
      <c r="L78" s="49"/>
    </row>
    <row r="79" customFormat="false" ht="15" hidden="false" customHeight="false" outlineLevel="0" collapsed="false">
      <c r="A79" s="16" t="s">
        <v>52</v>
      </c>
      <c r="B79" s="39" t="n">
        <f aca="false">Tiger!D98</f>
        <v>84.2914770710298</v>
      </c>
      <c r="C79" s="39" t="n">
        <f aca="false">Tiger!E98</f>
        <v>104.029939106901</v>
      </c>
      <c r="D79" s="39" t="n">
        <f aca="false">Tiger!F98</f>
        <v>63.3414140014892</v>
      </c>
      <c r="E79" s="39" t="n">
        <f aca="false">Tiger!G98</f>
        <v>91.2253323830822</v>
      </c>
      <c r="F79" s="39" t="n">
        <f aca="false">Tiger!H98</f>
        <v>181.015072695745</v>
      </c>
      <c r="G79" s="39" t="n">
        <f aca="false">Tiger!I98</f>
        <v>111.215512289806</v>
      </c>
      <c r="H79" s="39" t="n">
        <f aca="false">Tiger!J98</f>
        <v>135.404627984097</v>
      </c>
      <c r="I79" s="57" t="n">
        <f aca="false">Tiger!K98</f>
        <v>110.074767933164</v>
      </c>
      <c r="J79" s="25" t="str">
        <f aca="false">IF(AND(ISNUMBER(I79),ISNUMBER(I$91)),IF(I79&gt;I$91,"Above",IF(I79&lt;I$91,"Below","At median")),"-")</f>
        <v>Above</v>
      </c>
      <c r="K79" s="25" t="str">
        <f aca="false">IF(J79="Above","Better",IF(J79="Below","Weaker",IF(J79="At median","In line","-")))</f>
        <v>Better</v>
      </c>
      <c r="L79" s="43" t="n">
        <f aca="false">IF(ISNUMBER(I79),RANK(I79,I$79:I$88,0),"-")</f>
        <v>5</v>
      </c>
    </row>
    <row r="80" customFormat="false" ht="15" hidden="false" customHeight="false" outlineLevel="0" collapsed="false">
      <c r="A80" s="16" t="s">
        <v>54</v>
      </c>
      <c r="B80" s="39" t="n">
        <f aca="false">Allcargo!D98</f>
        <v>92.8592435467839</v>
      </c>
      <c r="C80" s="39" t="n">
        <f aca="false">Allcargo!E98</f>
        <v>94.700644646733</v>
      </c>
      <c r="D80" s="39" t="n">
        <f aca="false">Allcargo!F98</f>
        <v>76.3757901781697</v>
      </c>
      <c r="E80" s="39" t="n">
        <f aca="false">Allcargo!G98</f>
        <v>72.2379937518369</v>
      </c>
      <c r="F80" s="39" t="n">
        <f aca="false">Allcargo!H98</f>
        <v>81.378074696871</v>
      </c>
      <c r="G80" s="39" t="n">
        <f aca="false">Allcargo!I98</f>
        <v>110.392268334281</v>
      </c>
      <c r="H80" s="39" t="n">
        <f aca="false">Allcargo!J98</f>
        <v>112.122874382885</v>
      </c>
      <c r="I80" s="57" t="n">
        <f aca="false">Allcargo!K98</f>
        <v>91.4381270767944</v>
      </c>
      <c r="J80" s="25" t="str">
        <f aca="false">IF(AND(ISNUMBER(I80),ISNUMBER(I$91)),IF(I80&gt;I$91,"Above",IF(I80&lt;I$91,"Below","At median")),"-")</f>
        <v>Below</v>
      </c>
      <c r="K80" s="25" t="str">
        <f aca="false">IF(J80="Above","Better",IF(J80="Below","Weaker",IF(J80="At median","In line","-")))</f>
        <v>Weaker</v>
      </c>
      <c r="L80" s="43" t="n">
        <f aca="false">IF(ISNUMBER(I80),RANK(I80,I$79:I$88,0),"-")</f>
        <v>6</v>
      </c>
    </row>
    <row r="81" customFormat="false" ht="15" hidden="false" customHeight="false" outlineLevel="0" collapsed="false">
      <c r="A81" s="16" t="s">
        <v>277</v>
      </c>
      <c r="B81" s="39" t="n">
        <f aca="false">BlueDart!D98</f>
        <v>84.9110356523929</v>
      </c>
      <c r="C81" s="39" t="n">
        <f aca="false">BlueDart!E98</f>
        <v>116.2179841958</v>
      </c>
      <c r="D81" s="39" t="n">
        <f aca="false">BlueDart!F98</f>
        <v>81.8020044099364</v>
      </c>
      <c r="E81" s="39" t="n">
        <f aca="false">BlueDart!G98</f>
        <v>63.1098731642347</v>
      </c>
      <c r="F81" s="39" t="n">
        <f aca="false">BlueDart!H98</f>
        <v>69.1724369907788</v>
      </c>
      <c r="G81" s="39" t="n">
        <f aca="false">BlueDart!I98</f>
        <v>71.8407818461081</v>
      </c>
      <c r="H81" s="39" t="n">
        <f aca="false">BlueDart!J98</f>
        <v>81.3817044364208</v>
      </c>
      <c r="I81" s="57" t="n">
        <f aca="false">BlueDart!K98</f>
        <v>81.2051172422388</v>
      </c>
      <c r="J81" s="25" t="str">
        <f aca="false">IF(AND(ISNUMBER(I81),ISNUMBER(I$91)),IF(I81&gt;I$91,"Above",IF(I81&lt;I$91,"Below","At median")),"-")</f>
        <v>Below</v>
      </c>
      <c r="K81" s="25" t="str">
        <f aca="false">IF(J81="Above","Better",IF(J81="Below","Weaker",IF(J81="At median","In line","-")))</f>
        <v>Weaker</v>
      </c>
      <c r="L81" s="43" t="n">
        <f aca="false">IF(ISNUMBER(I81),RANK(I81,I$79:I$88,0),"-")</f>
        <v>7</v>
      </c>
    </row>
    <row r="82" customFormat="false" ht="15" hidden="false" customHeight="false" outlineLevel="0" collapsed="false">
      <c r="A82" s="16" t="s">
        <v>58</v>
      </c>
      <c r="B82" s="39" t="n">
        <f aca="false">CONCOR!D98</f>
        <v>177.837543036156</v>
      </c>
      <c r="C82" s="39" t="n">
        <f aca="false">CONCOR!E98</f>
        <v>180.056462361214</v>
      </c>
      <c r="D82" s="39" t="n">
        <f aca="false">CONCOR!F98</f>
        <v>191.614088810452</v>
      </c>
      <c r="E82" s="39" t="n">
        <f aca="false">CONCOR!G98</f>
        <v>192.200015234903</v>
      </c>
      <c r="F82" s="39" t="n">
        <f aca="false">CONCOR!H98</f>
        <v>197.894134640232</v>
      </c>
      <c r="G82" s="39" t="n">
        <f aca="false">CONCOR!I98</f>
        <v>213.169766896986</v>
      </c>
      <c r="H82" s="39" t="n">
        <f aca="false">CONCOR!J98</f>
        <v>203.417606083351</v>
      </c>
      <c r="I82" s="57" t="n">
        <f aca="false">CONCOR!K98</f>
        <v>193.741373866185</v>
      </c>
      <c r="J82" s="25" t="str">
        <f aca="false">IF(AND(ISNUMBER(I82),ISNUMBER(I$91)),IF(I82&gt;I$91,"Above",IF(I82&lt;I$91,"Below","At median")),"-")</f>
        <v>Above</v>
      </c>
      <c r="K82" s="25" t="str">
        <f aca="false">IF(J82="Above","Better",IF(J82="Below","Weaker",IF(J82="At median","In line","-")))</f>
        <v>Better</v>
      </c>
      <c r="L82" s="43" t="n">
        <f aca="false">IF(ISNUMBER(I82),RANK(I82,I$79:I$88,0),"-")</f>
        <v>2</v>
      </c>
    </row>
    <row r="83" customFormat="false" ht="15" hidden="false" customHeight="false" outlineLevel="0" collapsed="false">
      <c r="A83" s="16" t="s">
        <v>278</v>
      </c>
      <c r="B83" s="39" t="n">
        <f aca="false">JetFreight!D98</f>
        <v>66.2148438787959</v>
      </c>
      <c r="C83" s="39" t="n">
        <f aca="false">JetFreight!E98</f>
        <v>46.2685196159773</v>
      </c>
      <c r="D83" s="39" t="n">
        <f aca="false">JetFreight!F98</f>
        <v>39.6852997892282</v>
      </c>
      <c r="E83" s="39" t="n">
        <f aca="false">JetFreight!G98</f>
        <v>47.7628520394431</v>
      </c>
      <c r="F83" s="39" t="n">
        <f aca="false">JetFreight!H98</f>
        <v>78.8287592311318</v>
      </c>
      <c r="G83" s="39" t="n">
        <f aca="false">JetFreight!I98</f>
        <v>78.1920636423904</v>
      </c>
      <c r="H83" s="39" t="n">
        <f aca="false">JetFreight!J98</f>
        <v>95.3502842038783</v>
      </c>
      <c r="I83" s="57" t="n">
        <f aca="false">JetFreight!K98</f>
        <v>64.6146603429778</v>
      </c>
      <c r="J83" s="25" t="str">
        <f aca="false">IF(AND(ISNUMBER(I83),ISNUMBER(I$91)),IF(I83&gt;I$91,"Above",IF(I83&lt;I$91,"Below","At median")),"-")</f>
        <v>Below</v>
      </c>
      <c r="K83" s="25" t="str">
        <f aca="false">IF(J83="Above","Better",IF(J83="Below","Weaker",IF(J83="At median","In line","-")))</f>
        <v>Weaker</v>
      </c>
      <c r="L83" s="43" t="n">
        <f aca="false">IF(ISNUMBER(I83),RANK(I83,I$79:I$88,0),"-")</f>
        <v>9</v>
      </c>
    </row>
    <row r="84" customFormat="false" ht="15" hidden="false" customHeight="false" outlineLevel="0" collapsed="false">
      <c r="A84" s="16" t="s">
        <v>62</v>
      </c>
      <c r="B84" s="39" t="n">
        <f aca="false">Patel!D98</f>
        <v>109.32143699163</v>
      </c>
      <c r="C84" s="39" t="n">
        <f aca="false">Patel!E98</f>
        <v>167.429737299594</v>
      </c>
      <c r="D84" s="39" t="n">
        <f aca="false">Patel!F98</f>
        <v>138.523805321449</v>
      </c>
      <c r="E84" s="39" t="n">
        <f aca="false">Patel!G98</f>
        <v>133.517316017316</v>
      </c>
      <c r="F84" s="39" t="n">
        <f aca="false">Patel!H98</f>
        <v>159.655889145497</v>
      </c>
      <c r="G84" s="39" t="n">
        <f aca="false">Patel!I98</f>
        <v>105.024409967653</v>
      </c>
      <c r="H84" s="39" t="n">
        <f aca="false">Patel!J98</f>
        <v>104.846584191251</v>
      </c>
      <c r="I84" s="57" t="n">
        <f aca="false">Patel!K98</f>
        <v>131.188454133484</v>
      </c>
      <c r="J84" s="25" t="str">
        <f aca="false">IF(AND(ISNUMBER(I84),ISNUMBER(I$91)),IF(I84&gt;I$91,"Above",IF(I84&lt;I$91,"Below","At median")),"-")</f>
        <v>Above</v>
      </c>
      <c r="K84" s="25" t="str">
        <f aca="false">IF(J84="Above","Better",IF(J84="Below","Weaker",IF(J84="At median","In line","-")))</f>
        <v>Better</v>
      </c>
      <c r="L84" s="43" t="n">
        <f aca="false">IF(ISNUMBER(I84),RANK(I84,I$79:I$88,0),"-")</f>
        <v>3</v>
      </c>
    </row>
    <row r="85" customFormat="false" ht="15" hidden="false" customHeight="false" outlineLevel="0" collapsed="false">
      <c r="A85" s="16" t="s">
        <v>64</v>
      </c>
      <c r="B85" s="39" t="n">
        <f aca="false">Sical!D98</f>
        <v>103.216296642063</v>
      </c>
      <c r="C85" s="39" t="n">
        <f aca="false">Sical!E98</f>
        <v>197.36093786544</v>
      </c>
      <c r="D85" s="39" t="n">
        <f aca="false">Sical!F98</f>
        <v>214.721928716852</v>
      </c>
      <c r="E85" s="39" t="n">
        <f aca="false">Sical!G98</f>
        <v>137.300559640075</v>
      </c>
      <c r="F85" s="39" t="n">
        <f aca="false">Sical!H98</f>
        <v>291.603745904445</v>
      </c>
      <c r="G85" s="39" t="n">
        <f aca="false">Sical!I98</f>
        <v>289.041082214346</v>
      </c>
      <c r="H85" s="39" t="n">
        <f aca="false">Sical!J98</f>
        <v>192.285268089537</v>
      </c>
      <c r="I85" s="57" t="n">
        <f aca="false">Sical!K98</f>
        <v>203.647117010394</v>
      </c>
      <c r="J85" s="25" t="str">
        <f aca="false">IF(AND(ISNUMBER(I85),ISNUMBER(I$91)),IF(I85&gt;I$91,"Above",IF(I85&lt;I$91,"Below","At median")),"-")</f>
        <v>Above</v>
      </c>
      <c r="K85" s="25" t="str">
        <f aca="false">IF(J85="Above","Better",IF(J85="Below","Weaker",IF(J85="At median","In line","-")))</f>
        <v>Better</v>
      </c>
      <c r="L85" s="43" t="n">
        <f aca="false">IF(ISNUMBER(I85),RANK(I85,I$79:I$88,0),"-")</f>
        <v>1</v>
      </c>
    </row>
    <row r="86" customFormat="false" ht="15" hidden="false" customHeight="false" outlineLevel="0" collapsed="false">
      <c r="A86" s="16" t="s">
        <v>66</v>
      </c>
      <c r="B86" s="39" t="n">
        <f aca="false">TCI!D98</f>
        <v>75.6442012598934</v>
      </c>
      <c r="C86" s="39" t="n">
        <f aca="false">TCI!E98</f>
        <v>79.13409625222</v>
      </c>
      <c r="D86" s="39" t="n">
        <f aca="false">TCI!F98</f>
        <v>74.7056530077486</v>
      </c>
      <c r="E86" s="39" t="n">
        <f aca="false">TCI!G98</f>
        <v>81.0508310496843</v>
      </c>
      <c r="F86" s="39" t="n">
        <f aca="false">TCI!H98</f>
        <v>70.3354109985248</v>
      </c>
      <c r="G86" s="39" t="n">
        <f aca="false">TCI!I98</f>
        <v>73.0893200172738</v>
      </c>
      <c r="H86" s="39" t="n">
        <f aca="false">TCI!J98</f>
        <v>77.1544782924073</v>
      </c>
      <c r="I86" s="57" t="n">
        <f aca="false">TCI!K98</f>
        <v>75.8734272682503</v>
      </c>
      <c r="J86" s="25" t="str">
        <f aca="false">IF(AND(ISNUMBER(I86),ISNUMBER(I$91)),IF(I86&gt;I$91,"Above",IF(I86&lt;I$91,"Below","At median")),"-")</f>
        <v>Below</v>
      </c>
      <c r="K86" s="25" t="str">
        <f aca="false">IF(J86="Above","Better",IF(J86="Below","Weaker",IF(J86="At median","In line","-")))</f>
        <v>Weaker</v>
      </c>
      <c r="L86" s="43" t="n">
        <f aca="false">IF(ISNUMBER(I86),RANK(I86,I$79:I$88,0),"-")</f>
        <v>8</v>
      </c>
    </row>
    <row r="87" customFormat="false" ht="15" hidden="false" customHeight="false" outlineLevel="0" collapsed="false">
      <c r="A87" s="16" t="s">
        <v>68</v>
      </c>
      <c r="B87" s="39" t="n">
        <f aca="false">Shreeji!D98</f>
        <v>109.15651312531</v>
      </c>
      <c r="C87" s="39" t="n">
        <f aca="false">Shreeji!E98</f>
        <v>151.241099683544</v>
      </c>
      <c r="D87" s="39" t="n">
        <f aca="false">Shreeji!F98</f>
        <v>121.517717472625</v>
      </c>
      <c r="E87" s="39" t="n">
        <f aca="false">Shreeji!G98</f>
        <v>136.013428451532</v>
      </c>
      <c r="F87" s="39" t="n">
        <f aca="false">Shreeji!H98</f>
        <v>109.395993437527</v>
      </c>
      <c r="G87" s="39" t="n">
        <f aca="false">Shreeji!I98</f>
        <v>118.924038643683</v>
      </c>
      <c r="H87" s="39" t="n">
        <f aca="false">Shreeji!J98</f>
        <v>130.16840293105</v>
      </c>
      <c r="I87" s="57" t="n">
        <f aca="false">Shreeji!K98</f>
        <v>125.202456249324</v>
      </c>
      <c r="J87" s="25" t="str">
        <f aca="false">IF(AND(ISNUMBER(I87),ISNUMBER(I$91)),IF(I87&gt;I$91,"Above",IF(I87&lt;I$91,"Below","At median")),"-")</f>
        <v>Above</v>
      </c>
      <c r="K87" s="25" t="str">
        <f aca="false">IF(J87="Above","Better",IF(J87="Below","Weaker",IF(J87="At median","In line","-")))</f>
        <v>Better</v>
      </c>
      <c r="L87" s="43" t="n">
        <f aca="false">IF(ISNUMBER(I87),RANK(I87,I$79:I$88,0),"-")</f>
        <v>4</v>
      </c>
    </row>
    <row r="88" customFormat="false" ht="15" hidden="false" customHeight="false" outlineLevel="0" collapsed="false">
      <c r="A88" s="16" t="s">
        <v>279</v>
      </c>
      <c r="B88" s="39" t="n">
        <f aca="false">MahindraLog!D98</f>
        <v>69.9840611472352</v>
      </c>
      <c r="C88" s="39" t="n">
        <f aca="false">MahindraLog!E98</f>
        <v>79.7145610155191</v>
      </c>
      <c r="D88" s="39" t="n">
        <f aca="false">MahindraLog!F98</f>
        <v>57.496448791831</v>
      </c>
      <c r="E88" s="39" t="n">
        <f aca="false">MahindraLog!G98</f>
        <v>58.3847650191957</v>
      </c>
      <c r="F88" s="39" t="n">
        <f aca="false">MahindraLog!H98</f>
        <v>53.4878657296203</v>
      </c>
      <c r="G88" s="39" t="n">
        <f aca="false">MahindraLog!I98</f>
        <v>43.9641247053487</v>
      </c>
      <c r="H88" s="39" t="n">
        <f aca="false">MahindraLog!J98</f>
        <v>49.0198776527453</v>
      </c>
      <c r="I88" s="57" t="n">
        <f aca="false">MahindraLog!K98</f>
        <v>58.8645291516422</v>
      </c>
      <c r="J88" s="25" t="str">
        <f aca="false">IF(AND(ISNUMBER(I88),ISNUMBER(I$91)),IF(I88&gt;I$91,"Above",IF(I88&lt;I$91,"Below","At median")),"-")</f>
        <v>Below</v>
      </c>
      <c r="K88" s="25" t="str">
        <f aca="false">IF(J88="Above","Better",IF(J88="Below","Weaker",IF(J88="At median","In line","-")))</f>
        <v>Weaker</v>
      </c>
      <c r="L88" s="43" t="n">
        <f aca="false">IF(ISNUMBER(I88),RANK(I88,I$79:I$88,0),"-")</f>
        <v>10</v>
      </c>
    </row>
    <row r="89" customFormat="false" ht="15" hidden="false" customHeight="false" outlineLevel="0" collapsed="false">
      <c r="A89" s="46" t="s">
        <v>328</v>
      </c>
      <c r="B89" s="40" t="n">
        <f aca="false">Industry!D99</f>
        <v>105.370520260845</v>
      </c>
      <c r="C89" s="40" t="n">
        <f aca="false">Industry!E99</f>
        <v>114.325888538618</v>
      </c>
      <c r="D89" s="40" t="n">
        <f aca="false">Industry!F99</f>
        <v>95.1507450096822</v>
      </c>
      <c r="E89" s="40" t="n">
        <f aca="false">Industry!G99</f>
        <v>91.759858566798</v>
      </c>
      <c r="F89" s="40" t="n">
        <f aca="false">Industry!H99</f>
        <v>100.068186730606</v>
      </c>
      <c r="G89" s="40" t="n">
        <f aca="false">Industry!I99</f>
        <v>110.948622549608</v>
      </c>
      <c r="H89" s="40" t="n">
        <f aca="false">Industry!J99</f>
        <v>110.321810171572</v>
      </c>
      <c r="I89" s="40" t="n">
        <f aca="false">Industry!K99</f>
        <v>103.992233118247</v>
      </c>
      <c r="J89" s="47"/>
      <c r="K89" s="47"/>
      <c r="L89" s="47"/>
    </row>
    <row r="90" customFormat="false" ht="15" hidden="false" customHeight="false" outlineLevel="0" collapsed="false">
      <c r="A90" s="52" t="s">
        <v>329</v>
      </c>
      <c r="B90" s="58" t="n">
        <f aca="false">IF(COUNT(B79:B88)=0,"N/M",AVERAGE(B79:B88))</f>
        <v>97.343665235129</v>
      </c>
      <c r="C90" s="58" t="n">
        <f aca="false">IF(COUNT(C79:C88)=0,"N/M",AVERAGE(C79:C88))</f>
        <v>121.615398204294</v>
      </c>
      <c r="D90" s="58" t="n">
        <f aca="false">IF(COUNT(D79:D88)=0,"N/M",AVERAGE(D79:D88))</f>
        <v>105.978415049978</v>
      </c>
      <c r="E90" s="58" t="n">
        <f aca="false">IF(COUNT(E79:E88)=0,"N/M",AVERAGE(E79:E88))</f>
        <v>101.28029667513</v>
      </c>
      <c r="F90" s="58" t="n">
        <f aca="false">IF(COUNT(F79:F88)=0,"N/M",AVERAGE(F79:F88))</f>
        <v>129.276738347037</v>
      </c>
      <c r="G90" s="58" t="n">
        <f aca="false">IF(COUNT(G79:G88)=0,"N/M",AVERAGE(G79:G88))</f>
        <v>121.485336855788</v>
      </c>
      <c r="H90" s="58" t="n">
        <f aca="false">IF(COUNT(H79:H88)=0,"N/M",AVERAGE(H79:H88))</f>
        <v>118.115170824762</v>
      </c>
      <c r="I90" s="58" t="n">
        <f aca="false">IF(COUNT(I79:I88)=0,"N/M",AVERAGE(I79:I88))</f>
        <v>113.585003027446</v>
      </c>
      <c r="J90" s="54"/>
      <c r="K90" s="54"/>
      <c r="L90" s="54"/>
    </row>
    <row r="91" customFormat="false" ht="15" hidden="false" customHeight="false" outlineLevel="0" collapsed="false">
      <c r="A91" s="28" t="s">
        <v>281</v>
      </c>
      <c r="B91" s="41" t="n">
        <f aca="false">IF(COUNT(B79:B88)=0,"N/M",MEDIAN(B79:B88))</f>
        <v>88.8851395995884</v>
      </c>
      <c r="C91" s="41" t="n">
        <f aca="false">IF(COUNT(C79:C88)=0,"N/M",MEDIAN(C79:C88))</f>
        <v>110.123961651351</v>
      </c>
      <c r="D91" s="41" t="n">
        <f aca="false">IF(COUNT(D79:D88)=0,"N/M",MEDIAN(D79:D88))</f>
        <v>79.0888972940531</v>
      </c>
      <c r="E91" s="41" t="n">
        <f aca="false">IF(COUNT(E79:E88)=0,"N/M",MEDIAN(E79:E88))</f>
        <v>86.1380817163833</v>
      </c>
      <c r="F91" s="41" t="n">
        <f aca="false">IF(COUNT(F79:F88)=0,"N/M",MEDIAN(F79:F88))</f>
        <v>95.387034067199</v>
      </c>
      <c r="G91" s="41" t="n">
        <f aca="false">IF(COUNT(G79:G88)=0,"N/M",MEDIAN(G79:G88))</f>
        <v>107.708339150967</v>
      </c>
      <c r="H91" s="41" t="n">
        <f aca="false">IF(COUNT(H79:H88)=0,"N/M",MEDIAN(H79:H88))</f>
        <v>108.484729287068</v>
      </c>
      <c r="I91" s="41" t="n">
        <f aca="false">IF(COUNT(I79:I88)=0,"N/M",MEDIAN(I79:I88))</f>
        <v>100.756447504979</v>
      </c>
      <c r="J91" s="54"/>
      <c r="K91" s="54"/>
      <c r="L91" s="54"/>
    </row>
    <row r="92" customFormat="false" ht="15" hidden="false" customHeight="false" outlineLevel="0" collapsed="false">
      <c r="A92" s="52" t="s">
        <v>330</v>
      </c>
      <c r="B92" s="58" t="n">
        <f aca="false">IF(COUNT(B79:B88)&lt;2,"N/M",STDEV(B79:B88))</f>
        <v>32.197689148275</v>
      </c>
      <c r="C92" s="58" t="n">
        <f aca="false">IF(COUNT(C79:C88)&lt;2,"N/M",STDEV(C79:C88))</f>
        <v>49.921781382483</v>
      </c>
      <c r="D92" s="58" t="n">
        <f aca="false">IF(COUNT(D79:D88)&lt;2,"N/M",STDEV(D79:D88))</f>
        <v>59.1244306064756</v>
      </c>
      <c r="E92" s="58" t="n">
        <f aca="false">IF(COUNT(E79:E88)&lt;2,"N/M",STDEV(E79:E88))</f>
        <v>46.3373908523025</v>
      </c>
      <c r="F92" s="58" t="n">
        <f aca="false">IF(COUNT(F79:F88)&lt;2,"N/M",STDEV(F79:F88))</f>
        <v>76.5384706603806</v>
      </c>
      <c r="G92" s="58" t="n">
        <f aca="false">IF(COUNT(G79:G88)&lt;2,"N/M",STDEV(G79:G88))</f>
        <v>74.2949171805435</v>
      </c>
      <c r="H92" s="58" t="n">
        <f aca="false">IF(COUNT(H79:H88)&lt;2,"N/M",STDEV(H79:H88))</f>
        <v>49.1634496318205</v>
      </c>
      <c r="I92" s="58" t="n">
        <f aca="false">IF(COUNT(I79:I88)&lt;2,"N/M",STDEV(I79:I88))</f>
        <v>50.9323357337319</v>
      </c>
      <c r="J92" s="54"/>
      <c r="K92" s="54"/>
      <c r="L92" s="54"/>
    </row>
    <row r="93" customFormat="false" ht="15" hidden="false" customHeight="false" outlineLevel="0" collapsed="false">
      <c r="A93" s="52" t="s">
        <v>269</v>
      </c>
      <c r="B93" s="58" t="n">
        <f aca="false">IF(COUNT(B79:B88)=0,"N/M",MIN(B79:B88))</f>
        <v>66.2148438787959</v>
      </c>
      <c r="C93" s="58" t="n">
        <f aca="false">IF(COUNT(C79:C88)=0,"N/M",MIN(C79:C88))</f>
        <v>46.2685196159773</v>
      </c>
      <c r="D93" s="58" t="n">
        <f aca="false">IF(COUNT(D79:D88)=0,"N/M",MIN(D79:D88))</f>
        <v>39.6852997892282</v>
      </c>
      <c r="E93" s="58" t="n">
        <f aca="false">IF(COUNT(E79:E88)=0,"N/M",MIN(E79:E88))</f>
        <v>47.7628520394431</v>
      </c>
      <c r="F93" s="58" t="n">
        <f aca="false">IF(COUNT(F79:F88)=0,"N/M",MIN(F79:F88))</f>
        <v>53.4878657296203</v>
      </c>
      <c r="G93" s="58" t="n">
        <f aca="false">IF(COUNT(G79:G88)=0,"N/M",MIN(G79:G88))</f>
        <v>43.9641247053487</v>
      </c>
      <c r="H93" s="58" t="n">
        <f aca="false">IF(COUNT(H79:H88)=0,"N/M",MIN(H79:H88))</f>
        <v>49.0198776527453</v>
      </c>
      <c r="I93" s="58" t="n">
        <f aca="false">IF(COUNT(I79:I88)=0,"N/M",MIN(I79:I88))</f>
        <v>58.8645291516422</v>
      </c>
      <c r="J93" s="54"/>
      <c r="K93" s="54"/>
      <c r="L93" s="54"/>
    </row>
    <row r="94" customFormat="false" ht="15" hidden="false" customHeight="false" outlineLevel="0" collapsed="false">
      <c r="A94" s="52" t="s">
        <v>270</v>
      </c>
      <c r="B94" s="58" t="n">
        <f aca="false">IF(COUNT(B79:B88)=0,"N/M",MAX(B79:B88))</f>
        <v>177.837543036156</v>
      </c>
      <c r="C94" s="58" t="n">
        <f aca="false">IF(COUNT(C79:C88)=0,"N/M",MAX(C79:C88))</f>
        <v>197.36093786544</v>
      </c>
      <c r="D94" s="58" t="n">
        <f aca="false">IF(COUNT(D79:D88)=0,"N/M",MAX(D79:D88))</f>
        <v>214.721928716852</v>
      </c>
      <c r="E94" s="58" t="n">
        <f aca="false">IF(COUNT(E79:E88)=0,"N/M",MAX(E79:E88))</f>
        <v>192.200015234903</v>
      </c>
      <c r="F94" s="58" t="n">
        <f aca="false">IF(COUNT(F79:F88)=0,"N/M",MAX(F79:F88))</f>
        <v>291.603745904445</v>
      </c>
      <c r="G94" s="58" t="n">
        <f aca="false">IF(COUNT(G79:G88)=0,"N/M",MAX(G79:G88))</f>
        <v>289.041082214346</v>
      </c>
      <c r="H94" s="58" t="n">
        <f aca="false">IF(COUNT(H79:H88)=0,"N/M",MAX(H79:H88))</f>
        <v>203.417606083351</v>
      </c>
      <c r="I94" s="58" t="n">
        <f aca="false">IF(COUNT(I79:I88)=0,"N/M",MAX(I79:I88))</f>
        <v>203.647117010394</v>
      </c>
      <c r="J94" s="54"/>
      <c r="K94" s="54"/>
      <c r="L94" s="54"/>
    </row>
    <row r="96" customFormat="false" ht="16.5" hidden="false" customHeight="true" outlineLevel="0" collapsed="false">
      <c r="A96" s="49" t="s">
        <v>335</v>
      </c>
      <c r="B96" s="49"/>
      <c r="C96" s="49"/>
      <c r="D96" s="49"/>
      <c r="E96" s="49"/>
      <c r="F96" s="49"/>
      <c r="G96" s="49"/>
      <c r="H96" s="49"/>
      <c r="I96" s="49"/>
      <c r="J96" s="49"/>
      <c r="K96" s="49"/>
      <c r="L96" s="49"/>
    </row>
    <row r="97" customFormat="false" ht="15" hidden="false" customHeight="false" outlineLevel="0" collapsed="false">
      <c r="A97" s="16" t="s">
        <v>52</v>
      </c>
      <c r="B97" s="33" t="n">
        <f aca="false">Tiger!D99</f>
        <v>0.134688691232529</v>
      </c>
      <c r="C97" s="33" t="n">
        <f aca="false">Tiger!E99</f>
        <v>0.970271274619101</v>
      </c>
      <c r="D97" s="33" t="n">
        <f aca="false">Tiger!F99</f>
        <v>0.944468175993165</v>
      </c>
      <c r="E97" s="33" t="n">
        <f aca="false">Tiger!G99</f>
        <v>0.771937842778794</v>
      </c>
      <c r="F97" s="33" t="n">
        <f aca="false">Tiger!H99</f>
        <v>-0.830516658619025</v>
      </c>
      <c r="G97" s="33" t="n">
        <f aca="false">Tiger!I99</f>
        <v>-0.790960451977401</v>
      </c>
      <c r="H97" s="33" t="n">
        <f aca="false">Tiger!J99</f>
        <v>-0.339237581825183</v>
      </c>
      <c r="I97" s="55" t="n">
        <f aca="false">Tiger!K99</f>
        <v>0.122950184600283</v>
      </c>
      <c r="J97" s="25" t="str">
        <f aca="false">IF(AND(ISNUMBER(I97),ISNUMBER(I$109)),IF(I97&gt;I$109,"Above",IF(I97&lt;I$109,"Below","At median")),"-")</f>
        <v>Below</v>
      </c>
      <c r="K97" s="25" t="str">
        <f aca="false">IF(J97="Above","Better",IF(J97="Below","Weaker",IF(J97="At median","In line","-")))</f>
        <v>Weaker</v>
      </c>
      <c r="L97" s="43" t="n">
        <f aca="false">IF(ISNUMBER(I97),RANK(I97,I$97:I$106,0),"-")</f>
        <v>7</v>
      </c>
    </row>
    <row r="98" customFormat="false" ht="15" hidden="false" customHeight="false" outlineLevel="0" collapsed="false">
      <c r="A98" s="16" t="s">
        <v>54</v>
      </c>
      <c r="B98" s="33" t="n">
        <f aca="false">Allcargo!D99</f>
        <v>0.205850892454411</v>
      </c>
      <c r="C98" s="33" t="n">
        <f aca="false">Allcargo!E99</f>
        <v>0.111238176199922</v>
      </c>
      <c r="D98" s="33" t="n">
        <f aca="false">Allcargo!F99</f>
        <v>0.206146528547151</v>
      </c>
      <c r="E98" s="33" t="n">
        <f aca="false">Allcargo!G99</f>
        <v>0.48893927645785</v>
      </c>
      <c r="F98" s="33" t="n">
        <f aca="false">Allcargo!H99</f>
        <v>-0.0521262934996834</v>
      </c>
      <c r="G98" s="33" t="n">
        <f aca="false">Allcargo!I99</f>
        <v>0.690954773869347</v>
      </c>
      <c r="H98" s="33" t="n">
        <f aca="false">Allcargo!J99</f>
        <v>0.669509594882729</v>
      </c>
      <c r="I98" s="55" t="n">
        <f aca="false">Allcargo!K99</f>
        <v>0.331501849844532</v>
      </c>
      <c r="J98" s="25" t="str">
        <f aca="false">IF(AND(ISNUMBER(I98),ISNUMBER(I$109)),IF(I98&gt;I$109,"Above",IF(I98&lt;I$109,"Below","At median")),"-")</f>
        <v>Above</v>
      </c>
      <c r="K98" s="25" t="str">
        <f aca="false">IF(J98="Above","Better",IF(J98="Below","Weaker",IF(J98="At median","In line","-")))</f>
        <v>Better</v>
      </c>
      <c r="L98" s="43" t="n">
        <f aca="false">IF(ISNUMBER(I98),RANK(I98,I$97:I$106,0),"-")</f>
        <v>5</v>
      </c>
    </row>
    <row r="99" customFormat="false" ht="15" hidden="false" customHeight="false" outlineLevel="0" collapsed="false">
      <c r="A99" s="16" t="s">
        <v>277</v>
      </c>
      <c r="B99" s="33" t="n">
        <f aca="false">BlueDart!D99</f>
        <v>0.22476480900763</v>
      </c>
      <c r="C99" s="33" t="n">
        <f aca="false">BlueDart!E99</f>
        <v>0.957692896900373</v>
      </c>
      <c r="D99" s="33" t="n">
        <f aca="false">BlueDart!F99</f>
        <v>0.965156090387616</v>
      </c>
      <c r="E99" s="33" t="n">
        <f aca="false">BlueDart!G99</f>
        <v>0.776247102909004</v>
      </c>
      <c r="F99" s="33" t="n">
        <f aca="false">BlueDart!H99</f>
        <v>0.829574401379473</v>
      </c>
      <c r="G99" s="33" t="n">
        <f aca="false">BlueDart!I99</f>
        <v>0.670283479069598</v>
      </c>
      <c r="H99" s="33" t="n">
        <f aca="false">BlueDart!J99</f>
        <v>0.670670132106082</v>
      </c>
      <c r="I99" s="55" t="n">
        <f aca="false">BlueDart!K99</f>
        <v>0.727769844537111</v>
      </c>
      <c r="J99" s="25" t="str">
        <f aca="false">IF(AND(ISNUMBER(I99),ISNUMBER(I$109)),IF(I99&gt;I$109,"Above",IF(I99&lt;I$109,"Below","At median")),"-")</f>
        <v>Above</v>
      </c>
      <c r="K99" s="25" t="str">
        <f aca="false">IF(J99="Above","Better",IF(J99="Below","Weaker",IF(J99="At median","In line","-")))</f>
        <v>Better</v>
      </c>
      <c r="L99" s="43" t="n">
        <f aca="false">IF(ISNUMBER(I99),RANK(I99,I$97:I$106,0),"-")</f>
        <v>3</v>
      </c>
    </row>
    <row r="100" customFormat="false" ht="15" hidden="false" customHeight="false" outlineLevel="0" collapsed="false">
      <c r="A100" s="16" t="s">
        <v>58</v>
      </c>
      <c r="B100" s="33" t="n">
        <f aca="false">CONCOR!D99</f>
        <v>2.56224815563235</v>
      </c>
      <c r="C100" s="33" t="n">
        <f aca="false">CONCOR!E99</f>
        <v>0.685921107008119</v>
      </c>
      <c r="D100" s="33" t="n">
        <f aca="false">CONCOR!F99</f>
        <v>0.906042621887881</v>
      </c>
      <c r="E100" s="33" t="n">
        <f aca="false">CONCOR!G99</f>
        <v>0.962640116681161</v>
      </c>
      <c r="F100" s="33" t="n">
        <f aca="false">CONCOR!H99</f>
        <v>1.08795298726739</v>
      </c>
      <c r="G100" s="33" t="n">
        <f aca="false">CONCOR!I99</f>
        <v>1.38660336698155</v>
      </c>
      <c r="H100" s="33" t="n">
        <f aca="false">CONCOR!J99</f>
        <v>1.16815881972794</v>
      </c>
      <c r="I100" s="55" t="n">
        <f aca="false">CONCOR!K99</f>
        <v>1.25136673931234</v>
      </c>
      <c r="J100" s="25" t="str">
        <f aca="false">IF(AND(ISNUMBER(I100),ISNUMBER(I$109)),IF(I100&gt;I$109,"Above",IF(I100&lt;I$109,"Below","At median")),"-")</f>
        <v>Above</v>
      </c>
      <c r="K100" s="25" t="str">
        <f aca="false">IF(J100="Above","Better",IF(J100="Below","Weaker",IF(J100="At median","In line","-")))</f>
        <v>Better</v>
      </c>
      <c r="L100" s="43" t="n">
        <f aca="false">IF(ISNUMBER(I100),RANK(I100,I$97:I$106,0),"-")</f>
        <v>1</v>
      </c>
    </row>
    <row r="101" customFormat="false" ht="15" hidden="false" customHeight="false" outlineLevel="0" collapsed="false">
      <c r="A101" s="16" t="s">
        <v>278</v>
      </c>
      <c r="B101" s="33" t="n">
        <f aca="false">JetFreight!D99</f>
        <v>0.384430417793808</v>
      </c>
      <c r="C101" s="33" t="n">
        <f aca="false">JetFreight!E99</f>
        <v>0.218125960061444</v>
      </c>
      <c r="D101" s="33" t="n">
        <f aca="false">JetFreight!F99</f>
        <v>-0.290030211480363</v>
      </c>
      <c r="E101" s="33" t="n">
        <f aca="false">JetFreight!G99</f>
        <v>-1.26536585365854</v>
      </c>
      <c r="F101" s="33" t="n">
        <f aca="false">JetFreight!H99</f>
        <v>0.3234506503443</v>
      </c>
      <c r="G101" s="33" t="n">
        <f aca="false">JetFreight!I99</f>
        <v>-0.0161476355247982</v>
      </c>
      <c r="H101" s="33" t="n">
        <f aca="false">JetFreight!J99</f>
        <v>-0.153504128731738</v>
      </c>
      <c r="I101" s="55" t="n">
        <f aca="false">JetFreight!K99</f>
        <v>-0.114148685885126</v>
      </c>
      <c r="J101" s="25" t="str">
        <f aca="false">IF(AND(ISNUMBER(I101),ISNUMBER(I$109)),IF(I101&gt;I$109,"Above",IF(I101&lt;I$109,"Below","At median")),"-")</f>
        <v>Below</v>
      </c>
      <c r="K101" s="25" t="str">
        <f aca="false">IF(J101="Above","Better",IF(J101="Below","Weaker",IF(J101="At median","In line","-")))</f>
        <v>Weaker</v>
      </c>
      <c r="L101" s="43" t="n">
        <f aca="false">IF(ISNUMBER(I101),RANK(I101,I$97:I$106,0),"-")</f>
        <v>10</v>
      </c>
    </row>
    <row r="102" customFormat="false" ht="15" hidden="false" customHeight="false" outlineLevel="0" collapsed="false">
      <c r="A102" s="16" t="s">
        <v>62</v>
      </c>
      <c r="B102" s="33" t="n">
        <f aca="false">Patel!D99</f>
        <v>-0.610374414976599</v>
      </c>
      <c r="C102" s="33" t="n">
        <f aca="false">Patel!E99</f>
        <v>0.380434782608696</v>
      </c>
      <c r="D102" s="33" t="n">
        <f aca="false">Patel!F99</f>
        <v>0.662563359884142</v>
      </c>
      <c r="E102" s="33" t="n">
        <f aca="false">Patel!G99</f>
        <v>-0.187931034482759</v>
      </c>
      <c r="F102" s="33" t="n">
        <f aca="false">Patel!H99</f>
        <v>0.251286272895658</v>
      </c>
      <c r="G102" s="33" t="n">
        <f aca="false">Patel!I99</f>
        <v>0.0263551961665169</v>
      </c>
      <c r="H102" s="33" t="n">
        <f aca="false">Patel!J99</f>
        <v>0.23613595706619</v>
      </c>
      <c r="I102" s="55" t="n">
        <f aca="false">Patel!K99</f>
        <v>0.108352874165978</v>
      </c>
      <c r="J102" s="25" t="str">
        <f aca="false">IF(AND(ISNUMBER(I102),ISNUMBER(I$109)),IF(I102&gt;I$109,"Above",IF(I102&lt;I$109,"Below","At median")),"-")</f>
        <v>Below</v>
      </c>
      <c r="K102" s="25" t="str">
        <f aca="false">IF(J102="Above","Better",IF(J102="Below","Weaker",IF(J102="At median","In line","-")))</f>
        <v>Weaker</v>
      </c>
      <c r="L102" s="43" t="n">
        <f aca="false">IF(ISNUMBER(I102),RANK(I102,I$97:I$106,0),"-")</f>
        <v>9</v>
      </c>
    </row>
    <row r="103" customFormat="false" ht="15" hidden="false" customHeight="false" outlineLevel="0" collapsed="false">
      <c r="A103" s="16" t="s">
        <v>64</v>
      </c>
      <c r="B103" s="33" t="n">
        <f aca="false">Sical!D99</f>
        <v>0.293527043444211</v>
      </c>
      <c r="C103" s="33" t="n">
        <f aca="false">Sical!E99</f>
        <v>0.139453923711486</v>
      </c>
      <c r="D103" s="33" t="n">
        <f aca="false">Sical!F99</f>
        <v>0.0925251307896683</v>
      </c>
      <c r="E103" s="33" t="n">
        <f aca="false">Sical!G99</f>
        <v>0.0258182954456683</v>
      </c>
      <c r="F103" s="33" t="n">
        <f aca="false">Sical!H99</f>
        <v>0.034503605821134</v>
      </c>
      <c r="G103" s="33" t="n">
        <f aca="false">Sical!I99</f>
        <v>0.0782007190870721</v>
      </c>
      <c r="H103" s="33" t="n">
        <f aca="false">Sical!J99</f>
        <v>0.180137057061194</v>
      </c>
      <c r="I103" s="55" t="n">
        <f aca="false">Sical!K99</f>
        <v>0.120595110765776</v>
      </c>
      <c r="J103" s="25" t="str">
        <f aca="false">IF(AND(ISNUMBER(I103),ISNUMBER(I$109)),IF(I103&gt;I$109,"Above",IF(I103&lt;I$109,"Below","At median")),"-")</f>
        <v>Below</v>
      </c>
      <c r="K103" s="25" t="str">
        <f aca="false">IF(J103="Above","Better",IF(J103="Below","Weaker",IF(J103="At median","In line","-")))</f>
        <v>Weaker</v>
      </c>
      <c r="L103" s="43" t="n">
        <f aca="false">IF(ISNUMBER(I103),RANK(I103,I$97:I$106,0),"-")</f>
        <v>8</v>
      </c>
    </row>
    <row r="104" customFormat="false" ht="15" hidden="false" customHeight="false" outlineLevel="0" collapsed="false">
      <c r="A104" s="16" t="s">
        <v>66</v>
      </c>
      <c r="B104" s="33" t="n">
        <f aca="false">TCI!D99</f>
        <v>1.02291684219395</v>
      </c>
      <c r="C104" s="33" t="n">
        <f aca="false">TCI!E99</f>
        <v>1.1218614240483</v>
      </c>
      <c r="D104" s="33" t="n">
        <f aca="false">TCI!F99</f>
        <v>1.22457739917476</v>
      </c>
      <c r="E104" s="33" t="n">
        <f aca="false">TCI!G99</f>
        <v>1.17376729048007</v>
      </c>
      <c r="F104" s="33" t="n">
        <f aca="false">TCI!H99</f>
        <v>0.984896347482725</v>
      </c>
      <c r="G104" s="33" t="n">
        <f aca="false">TCI!I99</f>
        <v>0.668359941944848</v>
      </c>
      <c r="H104" s="33" t="n">
        <f aca="false">TCI!J99</f>
        <v>0.736391204202363</v>
      </c>
      <c r="I104" s="55" t="n">
        <f aca="false">TCI!K99</f>
        <v>0.99039577850386</v>
      </c>
      <c r="J104" s="25" t="str">
        <f aca="false">IF(AND(ISNUMBER(I104),ISNUMBER(I$109)),IF(I104&gt;I$109,"Above",IF(I104&lt;I$109,"Below","At median")),"-")</f>
        <v>Above</v>
      </c>
      <c r="K104" s="25" t="str">
        <f aca="false">IF(J104="Above","Better",IF(J104="Below","Weaker",IF(J104="At median","In line","-")))</f>
        <v>Better</v>
      </c>
      <c r="L104" s="43" t="n">
        <f aca="false">IF(ISNUMBER(I104),RANK(I104,I$97:I$106,0),"-")</f>
        <v>2</v>
      </c>
    </row>
    <row r="105" customFormat="false" ht="15" hidden="false" customHeight="false" outlineLevel="0" collapsed="false">
      <c r="A105" s="16" t="s">
        <v>68</v>
      </c>
      <c r="B105" s="33" t="n">
        <f aca="false">Shreeji!D99</f>
        <v>0.555425904317386</v>
      </c>
      <c r="C105" s="33" t="n">
        <f aca="false">Shreeji!E99</f>
        <v>0.617988394584139</v>
      </c>
      <c r="D105" s="33" t="n">
        <f aca="false">Shreeji!F99</f>
        <v>0.444091990483743</v>
      </c>
      <c r="E105" s="33" t="n">
        <f aca="false">Shreeji!G99</f>
        <v>0.562080536912752</v>
      </c>
      <c r="F105" s="33" t="n">
        <f aca="false">Shreeji!H99</f>
        <v>0.0446579988694178</v>
      </c>
      <c r="G105" s="33" t="n">
        <f aca="false">Shreeji!I99</f>
        <v>0.760960960960961</v>
      </c>
      <c r="H105" s="33" t="n">
        <f aca="false">Shreeji!J99</f>
        <v>0.030506721820062</v>
      </c>
      <c r="I105" s="55" t="n">
        <f aca="false">Shreeji!K99</f>
        <v>0.430816072564066</v>
      </c>
      <c r="J105" s="25" t="str">
        <f aca="false">IF(AND(ISNUMBER(I105),ISNUMBER(I$109)),IF(I105&gt;I$109,"Above",IF(I105&lt;I$109,"Below","At median")),"-")</f>
        <v>Above</v>
      </c>
      <c r="K105" s="25" t="str">
        <f aca="false">IF(J105="Above","Better",IF(J105="Below","Weaker",IF(J105="At median","In line","-")))</f>
        <v>Better</v>
      </c>
      <c r="L105" s="43" t="n">
        <f aca="false">IF(ISNUMBER(I105),RANK(I105,I$97:I$106,0),"-")</f>
        <v>4</v>
      </c>
    </row>
    <row r="106" customFormat="false" ht="15" hidden="false" customHeight="false" outlineLevel="0" collapsed="false">
      <c r="A106" s="16" t="s">
        <v>279</v>
      </c>
      <c r="B106" s="33" t="n">
        <f aca="false">MahindraLog!D99</f>
        <v>0.126322330556747</v>
      </c>
      <c r="C106" s="33" t="n">
        <f aca="false">MahindraLog!E99</f>
        <v>0.345765784857368</v>
      </c>
      <c r="D106" s="33" t="n">
        <f aca="false">MahindraLog!F99</f>
        <v>0.186042433806768</v>
      </c>
      <c r="E106" s="33" t="n">
        <f aca="false">MahindraLog!G99</f>
        <v>0.10317830663141</v>
      </c>
      <c r="F106" s="33" t="n">
        <f aca="false">MahindraLog!H99</f>
        <v>0.182152492291881</v>
      </c>
      <c r="G106" s="33" t="n">
        <f aca="false">MahindraLog!I99</f>
        <v>0.269758045498137</v>
      </c>
      <c r="H106" s="33" t="n">
        <f aca="false">MahindraLog!J99</f>
        <v>0.198058540547295</v>
      </c>
      <c r="I106" s="55" t="n">
        <f aca="false">MahindraLog!K99</f>
        <v>0.201611133455658</v>
      </c>
      <c r="J106" s="25" t="str">
        <f aca="false">IF(AND(ISNUMBER(I106),ISNUMBER(I$109)),IF(I106&gt;I$109,"Above",IF(I106&lt;I$109,"Below","At median")),"-")</f>
        <v>Below</v>
      </c>
      <c r="K106" s="25" t="str">
        <f aca="false">IF(J106="Above","Better",IF(J106="Below","Weaker",IF(J106="At median","In line","-")))</f>
        <v>Weaker</v>
      </c>
      <c r="L106" s="43" t="n">
        <f aca="false">IF(ISNUMBER(I106),RANK(I106,I$97:I$106,0),"-")</f>
        <v>6</v>
      </c>
    </row>
    <row r="107" customFormat="false" ht="15" hidden="false" customHeight="false" outlineLevel="0" collapsed="false">
      <c r="A107" s="46" t="s">
        <v>328</v>
      </c>
      <c r="B107" s="34" t="n">
        <f aca="false">Industry!D100</f>
        <v>0.818181951148164</v>
      </c>
      <c r="C107" s="34" t="n">
        <f aca="false">Industry!E100</f>
        <v>0.383321686098466</v>
      </c>
      <c r="D107" s="34" t="n">
        <f aca="false">Industry!F100</f>
        <v>0.431846727888402</v>
      </c>
      <c r="E107" s="34" t="n">
        <f aca="false">Industry!G100</f>
        <v>0.561616180636067</v>
      </c>
      <c r="F107" s="34" t="n">
        <f aca="false">Industry!H100</f>
        <v>0.375935786174463</v>
      </c>
      <c r="G107" s="34" t="n">
        <f aca="false">Industry!I100</f>
        <v>0.698949910358201</v>
      </c>
      <c r="H107" s="34" t="n">
        <f aca="false">Industry!J100</f>
        <v>0.633572757602369</v>
      </c>
      <c r="I107" s="34" t="n">
        <f aca="false">Industry!K100</f>
        <v>0.557632142843733</v>
      </c>
      <c r="J107" s="47"/>
      <c r="K107" s="47"/>
      <c r="L107" s="47"/>
    </row>
    <row r="108" customFormat="false" ht="15" hidden="false" customHeight="false" outlineLevel="0" collapsed="false">
      <c r="A108" s="52" t="s">
        <v>329</v>
      </c>
      <c r="B108" s="56" t="n">
        <f aca="false">IF(COUNT(B97:B106)=0,"N/M",AVERAGE(B97:B106))</f>
        <v>0.489980067165642</v>
      </c>
      <c r="C108" s="56" t="n">
        <f aca="false">IF(COUNT(C97:C106)=0,"N/M",AVERAGE(C97:C106))</f>
        <v>0.554875372459895</v>
      </c>
      <c r="D108" s="56" t="n">
        <f aca="false">IF(COUNT(D97:D106)=0,"N/M",AVERAGE(D97:D106))</f>
        <v>0.534158351947454</v>
      </c>
      <c r="E108" s="56" t="n">
        <f aca="false">IF(COUNT(E97:E106)=0,"N/M",AVERAGE(E97:E106))</f>
        <v>0.341131188015541</v>
      </c>
      <c r="F108" s="56" t="n">
        <f aca="false">IF(COUNT(F97:F106)=0,"N/M",AVERAGE(F97:F106))</f>
        <v>0.285583180423326</v>
      </c>
      <c r="G108" s="56" t="n">
        <f aca="false">IF(COUNT(G97:G106)=0,"N/M",AVERAGE(G97:G106))</f>
        <v>0.374436839607583</v>
      </c>
      <c r="H108" s="56" t="n">
        <f aca="false">IF(COUNT(H97:H106)=0,"N/M",AVERAGE(H97:H106))</f>
        <v>0.339682631685694</v>
      </c>
      <c r="I108" s="56" t="n">
        <f aca="false">IF(COUNT(I97:I106)=0,"N/M",AVERAGE(I97:I106))</f>
        <v>0.417121090186448</v>
      </c>
      <c r="J108" s="54"/>
      <c r="K108" s="54"/>
      <c r="L108" s="54"/>
    </row>
    <row r="109" customFormat="false" ht="15" hidden="false" customHeight="false" outlineLevel="0" collapsed="false">
      <c r="A109" s="28" t="s">
        <v>281</v>
      </c>
      <c r="B109" s="35" t="n">
        <f aca="false">IF(COUNT(B97:B106)=0,"N/M",MEDIAN(B97:B106))</f>
        <v>0.259145926225921</v>
      </c>
      <c r="C109" s="35" t="n">
        <f aca="false">IF(COUNT(C97:C106)=0,"N/M",MEDIAN(C97:C106))</f>
        <v>0.499211588596417</v>
      </c>
      <c r="D109" s="35" t="n">
        <f aca="false">IF(COUNT(D97:D106)=0,"N/M",MEDIAN(D97:D106))</f>
        <v>0.553327675183942</v>
      </c>
      <c r="E109" s="35" t="n">
        <f aca="false">IF(COUNT(E97:E106)=0,"N/M",MEDIAN(E97:E106))</f>
        <v>0.525509906685301</v>
      </c>
      <c r="F109" s="35" t="n">
        <f aca="false">IF(COUNT(F97:F106)=0,"N/M",MEDIAN(F97:F106))</f>
        <v>0.216719382593769</v>
      </c>
      <c r="G109" s="35" t="n">
        <f aca="false">IF(COUNT(G97:G106)=0,"N/M",MEDIAN(G97:G106))</f>
        <v>0.469058993721492</v>
      </c>
      <c r="H109" s="35" t="n">
        <f aca="false">IF(COUNT(H97:H106)=0,"N/M",MEDIAN(H97:H106))</f>
        <v>0.217097248806742</v>
      </c>
      <c r="I109" s="35" t="n">
        <f aca="false">IF(COUNT(I97:I106)=0,"N/M",MEDIAN(I97:I106))</f>
        <v>0.266556491650095</v>
      </c>
      <c r="J109" s="54"/>
      <c r="K109" s="54"/>
      <c r="L109" s="54"/>
    </row>
    <row r="110" customFormat="false" ht="15" hidden="false" customHeight="false" outlineLevel="0" collapsed="false">
      <c r="A110" s="52" t="s">
        <v>330</v>
      </c>
      <c r="B110" s="56" t="n">
        <f aca="false">IF(COUNT(B97:B106)&lt;2,"N/M",STDEV(B97:B106))</f>
        <v>0.83351076323969</v>
      </c>
      <c r="C110" s="56" t="n">
        <f aca="false">IF(COUNT(C97:C106)&lt;2,"N/M",STDEV(C97:C106))</f>
        <v>0.370343771541919</v>
      </c>
      <c r="D110" s="56" t="n">
        <f aca="false">IF(COUNT(D97:D106)&lt;2,"N/M",STDEV(D97:D106))</f>
        <v>0.482676853903959</v>
      </c>
      <c r="E110" s="56" t="n">
        <f aca="false">IF(COUNT(E97:E106)&lt;2,"N/M",STDEV(E97:E106))</f>
        <v>0.710393136906096</v>
      </c>
      <c r="F110" s="56" t="n">
        <f aca="false">IF(COUNT(F97:F106)&lt;2,"N/M",STDEV(F97:F106))</f>
        <v>0.569881393781335</v>
      </c>
      <c r="G110" s="56" t="n">
        <f aca="false">IF(COUNT(G97:G106)&lt;2,"N/M",STDEV(G97:G106))</f>
        <v>0.594284163360338</v>
      </c>
      <c r="H110" s="56" t="n">
        <f aca="false">IF(COUNT(H97:H106)&lt;2,"N/M",STDEV(H97:H106))</f>
        <v>0.461649061559786</v>
      </c>
      <c r="I110" s="56" t="n">
        <f aca="false">IF(COUNT(I97:I106)&lt;2,"N/M",STDEV(I97:I106))</f>
        <v>0.438067046187131</v>
      </c>
      <c r="J110" s="54"/>
      <c r="K110" s="54"/>
      <c r="L110" s="54"/>
    </row>
    <row r="111" customFormat="false" ht="15" hidden="false" customHeight="false" outlineLevel="0" collapsed="false">
      <c r="A111" s="52" t="s">
        <v>269</v>
      </c>
      <c r="B111" s="56" t="n">
        <f aca="false">IF(COUNT(B97:B106)=0,"N/M",MIN(B97:B106))</f>
        <v>-0.610374414976599</v>
      </c>
      <c r="C111" s="56" t="n">
        <f aca="false">IF(COUNT(C97:C106)=0,"N/M",MIN(C97:C106))</f>
        <v>0.111238176199922</v>
      </c>
      <c r="D111" s="56" t="n">
        <f aca="false">IF(COUNT(D97:D106)=0,"N/M",MIN(D97:D106))</f>
        <v>-0.290030211480363</v>
      </c>
      <c r="E111" s="56" t="n">
        <f aca="false">IF(COUNT(E97:E106)=0,"N/M",MIN(E97:E106))</f>
        <v>-1.26536585365854</v>
      </c>
      <c r="F111" s="56" t="n">
        <f aca="false">IF(COUNT(F97:F106)=0,"N/M",MIN(F97:F106))</f>
        <v>-0.830516658619025</v>
      </c>
      <c r="G111" s="56" t="n">
        <f aca="false">IF(COUNT(G97:G106)=0,"N/M",MIN(G97:G106))</f>
        <v>-0.790960451977401</v>
      </c>
      <c r="H111" s="56" t="n">
        <f aca="false">IF(COUNT(H97:H106)=0,"N/M",MIN(H97:H106))</f>
        <v>-0.339237581825183</v>
      </c>
      <c r="I111" s="56" t="n">
        <f aca="false">IF(COUNT(I97:I106)=0,"N/M",MIN(I97:I106))</f>
        <v>-0.114148685885126</v>
      </c>
      <c r="J111" s="54"/>
      <c r="K111" s="54"/>
      <c r="L111" s="54"/>
    </row>
    <row r="112" customFormat="false" ht="15" hidden="false" customHeight="false" outlineLevel="0" collapsed="false">
      <c r="A112" s="52" t="s">
        <v>270</v>
      </c>
      <c r="B112" s="56" t="n">
        <f aca="false">IF(COUNT(B97:B106)=0,"N/M",MAX(B97:B106))</f>
        <v>2.56224815563235</v>
      </c>
      <c r="C112" s="56" t="n">
        <f aca="false">IF(COUNT(C97:C106)=0,"N/M",MAX(C97:C106))</f>
        <v>1.1218614240483</v>
      </c>
      <c r="D112" s="56" t="n">
        <f aca="false">IF(COUNT(D97:D106)=0,"N/M",MAX(D97:D106))</f>
        <v>1.22457739917476</v>
      </c>
      <c r="E112" s="56" t="n">
        <f aca="false">IF(COUNT(E97:E106)=0,"N/M",MAX(E97:E106))</f>
        <v>1.17376729048007</v>
      </c>
      <c r="F112" s="56" t="n">
        <f aca="false">IF(COUNT(F97:F106)=0,"N/M",MAX(F97:F106))</f>
        <v>1.08795298726739</v>
      </c>
      <c r="G112" s="56" t="n">
        <f aca="false">IF(COUNT(G97:G106)=0,"N/M",MAX(G97:G106))</f>
        <v>1.38660336698155</v>
      </c>
      <c r="H112" s="56" t="n">
        <f aca="false">IF(COUNT(H97:H106)=0,"N/M",MAX(H97:H106))</f>
        <v>1.16815881972794</v>
      </c>
      <c r="I112" s="56" t="n">
        <f aca="false">IF(COUNT(I97:I106)=0,"N/M",MAX(I97:I106))</f>
        <v>1.25136673931234</v>
      </c>
      <c r="J112" s="54"/>
      <c r="K112" s="54"/>
      <c r="L112" s="54"/>
    </row>
    <row r="114" customFormat="false" ht="16.5" hidden="false" customHeight="true" outlineLevel="0" collapsed="false">
      <c r="A114" s="49" t="s">
        <v>336</v>
      </c>
      <c r="B114" s="49"/>
      <c r="C114" s="49"/>
      <c r="D114" s="49"/>
      <c r="E114" s="49"/>
      <c r="F114" s="49"/>
      <c r="G114" s="49"/>
      <c r="H114" s="49"/>
      <c r="I114" s="49"/>
      <c r="J114" s="49"/>
      <c r="K114" s="49"/>
      <c r="L114" s="49"/>
    </row>
    <row r="115" customFormat="false" ht="15" hidden="false" customHeight="false" outlineLevel="0" collapsed="false">
      <c r="A115" s="16" t="s">
        <v>52</v>
      </c>
      <c r="B115" s="33" t="n">
        <f aca="false">Tiger!D101</f>
        <v>0.695825426944972</v>
      </c>
      <c r="C115" s="33" t="n">
        <f aca="false">Tiger!E101</f>
        <v>0.356360171510243</v>
      </c>
      <c r="D115" s="33" t="n">
        <f aca="false">Tiger!F101</f>
        <v>0</v>
      </c>
      <c r="E115" s="33" t="n">
        <f aca="false">Tiger!G101</f>
        <v>0</v>
      </c>
      <c r="F115" s="33" t="n">
        <f aca="false">Tiger!H101</f>
        <v>0.108634846160787</v>
      </c>
      <c r="G115" s="33" t="n">
        <f aca="false">Tiger!I101</f>
        <v>0.248590021691974</v>
      </c>
      <c r="H115" s="33" t="n">
        <f aca="false">Tiger!J101</f>
        <v>0.316914614326791</v>
      </c>
      <c r="I115" s="55" t="n">
        <f aca="false">Tiger!K101</f>
        <v>0.246617868662109</v>
      </c>
      <c r="J115" s="25" t="str">
        <f aca="false">IF(AND(ISNUMBER(I115),ISNUMBER(I$127)),IF(I115&gt;I$127,"Above",IF(I115&lt;I$127,"Below","At median")),"-")</f>
        <v>Below</v>
      </c>
      <c r="K115" s="25" t="str">
        <f aca="false">IF(J115="Below","Better",IF(J115="Above","Weaker",IF(J115="At median","In line","-")))</f>
        <v>Better</v>
      </c>
      <c r="L115" s="43" t="n">
        <f aca="false">IF(ISNUMBER(I115),RANK(I115,I$115:I$124,1),"-")</f>
        <v>3</v>
      </c>
    </row>
    <row r="116" customFormat="false" ht="15" hidden="false" customHeight="false" outlineLevel="0" collapsed="false">
      <c r="A116" s="16" t="s">
        <v>54</v>
      </c>
      <c r="B116" s="33" t="n">
        <f aca="false">Allcargo!D101</f>
        <v>0.7472340028895</v>
      </c>
      <c r="C116" s="33" t="n">
        <f aca="false">Allcargo!E101</f>
        <v>0.904459742329891</v>
      </c>
      <c r="D116" s="33" t="n">
        <f aca="false">Allcargo!F101</f>
        <v>0.732917742017105</v>
      </c>
      <c r="E116" s="33" t="n">
        <f aca="false">Allcargo!G101</f>
        <v>0.419121461719411</v>
      </c>
      <c r="F116" s="33" t="n">
        <f aca="false">Allcargo!H101</f>
        <v>0.73212168319698</v>
      </c>
      <c r="G116" s="33" t="n">
        <f aca="false">Allcargo!I101</f>
        <v>1.38967971530249</v>
      </c>
      <c r="H116" s="33" t="n">
        <f aca="false">Allcargo!J101</f>
        <v>1.20731707317073</v>
      </c>
      <c r="I116" s="55" t="n">
        <f aca="false">Allcargo!K101</f>
        <v>0.876121631518016</v>
      </c>
      <c r="J116" s="25" t="str">
        <f aca="false">IF(AND(ISNUMBER(I116),ISNUMBER(I$127)),IF(I116&gt;I$127,"Above",IF(I116&lt;I$127,"Below","At median")),"-")</f>
        <v>Below</v>
      </c>
      <c r="K116" s="25" t="str">
        <f aca="false">IF(J116="Below","Better",IF(J116="Above","Weaker",IF(J116="At median","In line","-")))</f>
        <v>Better</v>
      </c>
      <c r="L116" s="43" t="n">
        <f aca="false">IF(ISNUMBER(I116),RANK(I116,I$115:I$124,1),"-")</f>
        <v>5</v>
      </c>
    </row>
    <row r="117" customFormat="false" ht="15" hidden="false" customHeight="false" outlineLevel="0" collapsed="false">
      <c r="A117" s="16" t="s">
        <v>277</v>
      </c>
      <c r="B117" s="33" t="n">
        <f aca="false">BlueDart!D101</f>
        <v>1.07980359798708</v>
      </c>
      <c r="C117" s="33" t="n">
        <f aca="false">BlueDart!E101</f>
        <v>2.57137306574769</v>
      </c>
      <c r="D117" s="33" t="n">
        <f aca="false">BlueDart!F101</f>
        <v>1.22242227548481</v>
      </c>
      <c r="E117" s="33" t="n">
        <f aca="false">BlueDart!G101</f>
        <v>0.949625284004205</v>
      </c>
      <c r="F117" s="33" t="n">
        <f aca="false">BlueDart!H101</f>
        <v>0.784738932324998</v>
      </c>
      <c r="G117" s="33" t="n">
        <f aca="false">BlueDart!I101</f>
        <v>0.645903889573071</v>
      </c>
      <c r="H117" s="33" t="n">
        <f aca="false">BlueDart!J101</f>
        <v>0.642661368842264</v>
      </c>
      <c r="I117" s="55" t="n">
        <f aca="false">BlueDart!K101</f>
        <v>1.12807548770916</v>
      </c>
      <c r="J117" s="25" t="str">
        <f aca="false">IF(AND(ISNUMBER(I117),ISNUMBER(I$127)),IF(I117&gt;I$127,"Above",IF(I117&lt;I$127,"Below","At median")),"-")</f>
        <v>Above</v>
      </c>
      <c r="K117" s="25" t="str">
        <f aca="false">IF(J117="Below","Better",IF(J117="Above","Weaker",IF(J117="At median","In line","-")))</f>
        <v>Weaker</v>
      </c>
      <c r="L117" s="43" t="n">
        <f aca="false">IF(ISNUMBER(I117),RANK(I117,I$115:I$124,1),"-")</f>
        <v>7</v>
      </c>
    </row>
    <row r="118" customFormat="false" ht="15" hidden="false" customHeight="false" outlineLevel="0" collapsed="false">
      <c r="A118" s="16" t="s">
        <v>58</v>
      </c>
      <c r="B118" s="33" t="n">
        <f aca="false">CONCOR!D101</f>
        <v>0.00696787808204179</v>
      </c>
      <c r="C118" s="33" t="n">
        <f aca="false">CONCOR!E101</f>
        <v>0.0709641257806319</v>
      </c>
      <c r="D118" s="33" t="n">
        <f aca="false">CONCOR!F101</f>
        <v>0.0683628452287424</v>
      </c>
      <c r="E118" s="33" t="n">
        <f aca="false">CONCOR!G101</f>
        <v>0.0693602279701729</v>
      </c>
      <c r="F118" s="33" t="n">
        <f aca="false">CONCOR!H101</f>
        <v>0.0793946821548463</v>
      </c>
      <c r="G118" s="33" t="n">
        <f aca="false">CONCOR!I101</f>
        <v>0.0695766088974968</v>
      </c>
      <c r="H118" s="33" t="n">
        <f aca="false">CONCOR!J101</f>
        <v>0.0745281961931179</v>
      </c>
      <c r="I118" s="55" t="n">
        <f aca="false">CONCOR!K101</f>
        <v>0.0627363663295786</v>
      </c>
      <c r="J118" s="25" t="str">
        <f aca="false">IF(AND(ISNUMBER(I118),ISNUMBER(I$127)),IF(I118&gt;I$127,"Above",IF(I118&lt;I$127,"Below","At median")),"-")</f>
        <v>Below</v>
      </c>
      <c r="K118" s="25" t="str">
        <f aca="false">IF(J118="Below","Better",IF(J118="Above","Weaker",IF(J118="At median","In line","-")))</f>
        <v>Better</v>
      </c>
      <c r="L118" s="43" t="n">
        <f aca="false">IF(ISNUMBER(I118),RANK(I118,I$115:I$124,1),"-")</f>
        <v>1</v>
      </c>
    </row>
    <row r="119" customFormat="false" ht="15" hidden="false" customHeight="false" outlineLevel="0" collapsed="false">
      <c r="A119" s="16" t="s">
        <v>278</v>
      </c>
      <c r="B119" s="33" t="n">
        <f aca="false">JetFreight!D101</f>
        <v>2.15990730011588</v>
      </c>
      <c r="C119" s="33" t="n">
        <f aca="false">JetFreight!E101</f>
        <v>1.44310264746865</v>
      </c>
      <c r="D119" s="33" t="n">
        <f aca="false">JetFreight!F101</f>
        <v>2.0201066885515</v>
      </c>
      <c r="E119" s="33" t="n">
        <f aca="false">JetFreight!G101</f>
        <v>0.977988431876607</v>
      </c>
      <c r="F119" s="33" t="n">
        <f aca="false">JetFreight!H101</f>
        <v>0.893085787451985</v>
      </c>
      <c r="G119" s="33" t="n">
        <f aca="false">JetFreight!I101</f>
        <v>0.97381565006811</v>
      </c>
      <c r="H119" s="33" t="n">
        <f aca="false">JetFreight!J101</f>
        <v>1.01758483308147</v>
      </c>
      <c r="I119" s="55" t="n">
        <f aca="false">JetFreight!K101</f>
        <v>1.35508447694488</v>
      </c>
      <c r="J119" s="25" t="str">
        <f aca="false">IF(AND(ISNUMBER(I119),ISNUMBER(I$127)),IF(I119&gt;I$127,"Above",IF(I119&lt;I$127,"Below","At median")),"-")</f>
        <v>Above</v>
      </c>
      <c r="K119" s="25" t="str">
        <f aca="false">IF(J119="Below","Better",IF(J119="Above","Weaker",IF(J119="At median","In line","-")))</f>
        <v>Weaker</v>
      </c>
      <c r="L119" s="43" t="n">
        <f aca="false">IF(ISNUMBER(I119),RANK(I119,I$115:I$124,1),"-")</f>
        <v>9</v>
      </c>
    </row>
    <row r="120" customFormat="false" ht="15" hidden="false" customHeight="false" outlineLevel="0" collapsed="false">
      <c r="A120" s="16" t="s">
        <v>62</v>
      </c>
      <c r="B120" s="33" t="n">
        <f aca="false">Patel!D101</f>
        <v>0.510123498277745</v>
      </c>
      <c r="C120" s="33" t="n">
        <f aca="false">Patel!E101</f>
        <v>0.529240267535586</v>
      </c>
      <c r="D120" s="33" t="n">
        <f aca="false">Patel!F101</f>
        <v>0.409176189663995</v>
      </c>
      <c r="E120" s="33" t="n">
        <f aca="false">Patel!G101</f>
        <v>0.265613051236299</v>
      </c>
      <c r="F120" s="33" t="n">
        <f aca="false">Patel!H101</f>
        <v>0.202128551076846</v>
      </c>
      <c r="G120" s="33" t="n">
        <f aca="false">Patel!I101</f>
        <v>0.107430544139405</v>
      </c>
      <c r="H120" s="33" t="n">
        <f aca="false">Patel!J101</f>
        <v>0.0506800518134715</v>
      </c>
      <c r="I120" s="55" t="n">
        <f aca="false">Patel!K101</f>
        <v>0.296341736249049</v>
      </c>
      <c r="J120" s="25" t="str">
        <f aca="false">IF(AND(ISNUMBER(I120),ISNUMBER(I$127)),IF(I120&gt;I$127,"Above",IF(I120&lt;I$127,"Below","At median")),"-")</f>
        <v>Below</v>
      </c>
      <c r="K120" s="25" t="str">
        <f aca="false">IF(J120="Below","Better",IF(J120="Above","Weaker",IF(J120="At median","In line","-")))</f>
        <v>Better</v>
      </c>
      <c r="L120" s="43" t="n">
        <f aca="false">IF(ISNUMBER(I120),RANK(I120,I$115:I$124,1),"-")</f>
        <v>4</v>
      </c>
    </row>
    <row r="121" customFormat="false" ht="15" hidden="false" customHeight="false" outlineLevel="0" collapsed="false">
      <c r="A121" s="16" t="s">
        <v>64</v>
      </c>
      <c r="B121" s="33" t="n">
        <f aca="false">Sical!D101</f>
        <v>2.60168802115111</v>
      </c>
      <c r="C121" s="33" t="str">
        <f aca="false">Sical!E101</f>
        <v>N/M</v>
      </c>
      <c r="D121" s="33" t="str">
        <f aca="false">Sical!F101</f>
        <v>N/M</v>
      </c>
      <c r="E121" s="33" t="n">
        <f aca="false">Sical!G101</f>
        <v>9.03344544095665</v>
      </c>
      <c r="F121" s="33" t="n">
        <f aca="false">Sical!H101</f>
        <v>17.6619080779944</v>
      </c>
      <c r="G121" s="33" t="str">
        <f aca="false">Sical!I101</f>
        <v>N/M</v>
      </c>
      <c r="H121" s="33" t="n">
        <f aca="false">Sical!J101</f>
        <v>3.69449310686267</v>
      </c>
      <c r="I121" s="55" t="n">
        <f aca="false">Sical!K101</f>
        <v>8.24788366174122</v>
      </c>
      <c r="J121" s="25" t="str">
        <f aca="false">IF(AND(ISNUMBER(I121),ISNUMBER(I$127)),IF(I121&gt;I$127,"Above",IF(I121&lt;I$127,"Below","At median")),"-")</f>
        <v>Above</v>
      </c>
      <c r="K121" s="25" t="str">
        <f aca="false">IF(J121="Below","Better",IF(J121="Above","Weaker",IF(J121="At median","In line","-")))</f>
        <v>Weaker</v>
      </c>
      <c r="L121" s="43" t="n">
        <f aca="false">IF(ISNUMBER(I121),RANK(I121,I$115:I$124,1),"-")</f>
        <v>10</v>
      </c>
    </row>
    <row r="122" customFormat="false" ht="15" hidden="false" customHeight="false" outlineLevel="0" collapsed="false">
      <c r="A122" s="16" t="s">
        <v>66</v>
      </c>
      <c r="B122" s="33" t="n">
        <f aca="false">TCI!D101</f>
        <v>0.41220248268857</v>
      </c>
      <c r="C122" s="33" t="n">
        <f aca="false">TCI!E101</f>
        <v>0.254319446700464</v>
      </c>
      <c r="D122" s="33" t="n">
        <f aca="false">TCI!F101</f>
        <v>0.0672805324831502</v>
      </c>
      <c r="E122" s="33" t="n">
        <f aca="false">TCI!G101</f>
        <v>0.0539843341422855</v>
      </c>
      <c r="F122" s="33" t="n">
        <f aca="false">TCI!H101</f>
        <v>0.0966553882085217</v>
      </c>
      <c r="G122" s="33" t="n">
        <f aca="false">TCI!I101</f>
        <v>0.112245040027845</v>
      </c>
      <c r="H122" s="33" t="n">
        <f aca="false">TCI!J101</f>
        <v>0.121746382487851</v>
      </c>
      <c r="I122" s="55" t="n">
        <f aca="false">TCI!K101</f>
        <v>0.159776229534098</v>
      </c>
      <c r="J122" s="25" t="str">
        <f aca="false">IF(AND(ISNUMBER(I122),ISNUMBER(I$127)),IF(I122&gt;I$127,"Above",IF(I122&lt;I$127,"Below","At median")),"-")</f>
        <v>Below</v>
      </c>
      <c r="K122" s="25" t="str">
        <f aca="false">IF(J122="Below","Better",IF(J122="Above","Weaker",IF(J122="At median","In line","-")))</f>
        <v>Better</v>
      </c>
      <c r="L122" s="43" t="n">
        <f aca="false">IF(ISNUMBER(I122),RANK(I122,I$115:I$124,1),"-")</f>
        <v>2</v>
      </c>
    </row>
    <row r="123" customFormat="false" ht="15" hidden="false" customHeight="false" outlineLevel="0" collapsed="false">
      <c r="A123" s="16" t="s">
        <v>68</v>
      </c>
      <c r="B123" s="33" t="n">
        <f aca="false">Shreeji!D101</f>
        <v>1.80316831683168</v>
      </c>
      <c r="C123" s="33" t="n">
        <f aca="false">Shreeji!E101</f>
        <v>1.96523178807947</v>
      </c>
      <c r="D123" s="33" t="n">
        <f aca="false">Shreeji!F101</f>
        <v>1.39663760896638</v>
      </c>
      <c r="E123" s="33" t="n">
        <f aca="false">Shreeji!G101</f>
        <v>1.12643959813771</v>
      </c>
      <c r="F123" s="33" t="n">
        <f aca="false">Shreeji!H101</f>
        <v>0.835746201966041</v>
      </c>
      <c r="G123" s="33" t="n">
        <f aca="false">Shreeji!I101</f>
        <v>0.731947868967947</v>
      </c>
      <c r="H123" s="33" t="n">
        <f aca="false">Shreeji!J101</f>
        <v>0.666611212776576</v>
      </c>
      <c r="I123" s="55" t="n">
        <f aca="false">Shreeji!K101</f>
        <v>1.21796894224654</v>
      </c>
      <c r="J123" s="25" t="str">
        <f aca="false">IF(AND(ISNUMBER(I123),ISNUMBER(I$127)),IF(I123&gt;I$127,"Above",IF(I123&lt;I$127,"Below","At median")),"-")</f>
        <v>Above</v>
      </c>
      <c r="K123" s="25" t="str">
        <f aca="false">IF(J123="Below","Better",IF(J123="Above","Weaker",IF(J123="At median","In line","-")))</f>
        <v>Weaker</v>
      </c>
      <c r="L123" s="43" t="n">
        <f aca="false">IF(ISNUMBER(I123),RANK(I123,I$115:I$124,1),"-")</f>
        <v>8</v>
      </c>
    </row>
    <row r="124" customFormat="false" ht="15" hidden="false" customHeight="false" outlineLevel="0" collapsed="false">
      <c r="A124" s="16" t="s">
        <v>279</v>
      </c>
      <c r="B124" s="33" t="n">
        <f aca="false">MahindraLog!D101</f>
        <v>0.369595152850454</v>
      </c>
      <c r="C124" s="33" t="n">
        <f aca="false">MahindraLog!E101</f>
        <v>0.474386508467416</v>
      </c>
      <c r="D124" s="33" t="n">
        <f aca="false">MahindraLog!F101</f>
        <v>0.736385595081247</v>
      </c>
      <c r="E124" s="33" t="n">
        <f aca="false">MahindraLog!G101</f>
        <v>1.48494667687432</v>
      </c>
      <c r="F124" s="33" t="n">
        <f aca="false">MahindraLog!H101</f>
        <v>1.50118788961764</v>
      </c>
      <c r="G124" s="33" t="n">
        <f aca="false">MahindraLog!I101</f>
        <v>1.98405955969672</v>
      </c>
      <c r="H124" s="33" t="n">
        <f aca="false">MahindraLog!J101</f>
        <v>0.553082279235261</v>
      </c>
      <c r="I124" s="55" t="n">
        <f aca="false">MahindraLog!K101</f>
        <v>1.01480623740329</v>
      </c>
      <c r="J124" s="25" t="str">
        <f aca="false">IF(AND(ISNUMBER(I124),ISNUMBER(I$127)),IF(I124&gt;I$127,"Above",IF(I124&lt;I$127,"Below","At median")),"-")</f>
        <v>Above</v>
      </c>
      <c r="K124" s="25" t="str">
        <f aca="false">IF(J124="Below","Better",IF(J124="Above","Weaker",IF(J124="At median","In line","-")))</f>
        <v>Weaker</v>
      </c>
      <c r="L124" s="43" t="n">
        <f aca="false">IF(ISNUMBER(I124),RANK(I124,I$115:I$124,1),"-")</f>
        <v>6</v>
      </c>
    </row>
    <row r="125" customFormat="false" ht="15" hidden="false" customHeight="false" outlineLevel="0" collapsed="false">
      <c r="A125" s="46" t="s">
        <v>328</v>
      </c>
      <c r="B125" s="34" t="n">
        <f aca="false">Industry!D102</f>
        <v>0.28656204306848</v>
      </c>
      <c r="C125" s="34" t="n">
        <f aca="false">Industry!E102</f>
        <v>0.439210877634977</v>
      </c>
      <c r="D125" s="34" t="n">
        <f aca="false">Industry!F102</f>
        <v>0.405732636546491</v>
      </c>
      <c r="E125" s="34" t="n">
        <f aca="false">Industry!G102</f>
        <v>0.259071887342371</v>
      </c>
      <c r="F125" s="34" t="n">
        <f aca="false">Industry!H102</f>
        <v>0.292522050543132</v>
      </c>
      <c r="G125" s="34" t="n">
        <f aca="false">Industry!I102</f>
        <v>0.258753277167223</v>
      </c>
      <c r="H125" s="34" t="n">
        <f aca="false">Industry!J102</f>
        <v>0.225607763190417</v>
      </c>
      <c r="I125" s="34" t="n">
        <f aca="false">Industry!K102</f>
        <v>0.309637219356156</v>
      </c>
      <c r="J125" s="47"/>
      <c r="K125" s="47"/>
      <c r="L125" s="47"/>
    </row>
    <row r="126" customFormat="false" ht="15" hidden="false" customHeight="false" outlineLevel="0" collapsed="false">
      <c r="A126" s="52" t="s">
        <v>329</v>
      </c>
      <c r="B126" s="56" t="n">
        <f aca="false">IF(COUNT(B115:B124)=0,"N/M",AVERAGE(B115:B124))</f>
        <v>1.0386515677819</v>
      </c>
      <c r="C126" s="56" t="n">
        <f aca="false">IF(COUNT(C115:C124)=0,"N/M",AVERAGE(C115:C124))</f>
        <v>0.952159751513337</v>
      </c>
      <c r="D126" s="56" t="n">
        <f aca="false">IF(COUNT(D115:D124)=0,"N/M",AVERAGE(D115:D124))</f>
        <v>0.739254386386325</v>
      </c>
      <c r="E126" s="56" t="n">
        <f aca="false">IF(COUNT(E115:E124)=0,"N/M",AVERAGE(E115:E124))</f>
        <v>1.43805245069177</v>
      </c>
      <c r="F126" s="56" t="n">
        <f aca="false">IF(COUNT(F115:F124)=0,"N/M",AVERAGE(F115:F124))</f>
        <v>2.28956020401531</v>
      </c>
      <c r="G126" s="56" t="n">
        <f aca="false">IF(COUNT(G115:G124)=0,"N/M",AVERAGE(G115:G124))</f>
        <v>0.695916544262784</v>
      </c>
      <c r="H126" s="56" t="n">
        <f aca="false">IF(COUNT(H115:H124)=0,"N/M",AVERAGE(H115:H124))</f>
        <v>0.83456191187902</v>
      </c>
      <c r="I126" s="56" t="n">
        <f aca="false">IF(COUNT(I115:I124)=0,"N/M",AVERAGE(I115:I124))</f>
        <v>1.46054126383379</v>
      </c>
      <c r="J126" s="54"/>
      <c r="K126" s="54"/>
      <c r="L126" s="54"/>
    </row>
    <row r="127" customFormat="false" ht="15" hidden="false" customHeight="false" outlineLevel="0" collapsed="false">
      <c r="A127" s="28" t="s">
        <v>281</v>
      </c>
      <c r="B127" s="35" t="n">
        <f aca="false">IF(COUNT(B115:B124)=0,"N/M",MEDIAN(B115:B124))</f>
        <v>0.721529714917236</v>
      </c>
      <c r="C127" s="35" t="n">
        <f aca="false">IF(COUNT(C115:C124)=0,"N/M",MEDIAN(C115:C124))</f>
        <v>0.529240267535586</v>
      </c>
      <c r="D127" s="35" t="n">
        <f aca="false">IF(COUNT(D115:D124)=0,"N/M",MEDIAN(D115:D124))</f>
        <v>0.732917742017105</v>
      </c>
      <c r="E127" s="35" t="n">
        <f aca="false">IF(COUNT(E115:E124)=0,"N/M",MEDIAN(E115:E124))</f>
        <v>0.684373372861808</v>
      </c>
      <c r="F127" s="35" t="n">
        <f aca="false">IF(COUNT(F115:F124)=0,"N/M",MEDIAN(F115:F124))</f>
        <v>0.758430307760989</v>
      </c>
      <c r="G127" s="35" t="n">
        <f aca="false">IF(COUNT(G115:G124)=0,"N/M",MEDIAN(G115:G124))</f>
        <v>0.645903889573071</v>
      </c>
      <c r="H127" s="35" t="n">
        <f aca="false">IF(COUNT(H115:H124)=0,"N/M",MEDIAN(H115:H124))</f>
        <v>0.597871824038763</v>
      </c>
      <c r="I127" s="35" t="n">
        <f aca="false">IF(COUNT(I115:I124)=0,"N/M",MEDIAN(I115:I124))</f>
        <v>0.945463934460655</v>
      </c>
      <c r="J127" s="54"/>
      <c r="K127" s="54"/>
      <c r="L127" s="54"/>
    </row>
    <row r="128" customFormat="false" ht="15" hidden="false" customHeight="false" outlineLevel="0" collapsed="false">
      <c r="A128" s="52" t="s">
        <v>330</v>
      </c>
      <c r="B128" s="56" t="n">
        <f aca="false">IF(COUNT(B115:B124)&lt;2,"N/M",STDEV(B115:B124))</f>
        <v>0.861053539399464</v>
      </c>
      <c r="C128" s="56" t="n">
        <f aca="false">IF(COUNT(C115:C124)&lt;2,"N/M",STDEV(C115:C124))</f>
        <v>0.860018826050729</v>
      </c>
      <c r="D128" s="56" t="n">
        <f aca="false">IF(COUNT(D115:D124)&lt;2,"N/M",STDEV(D115:D124))</f>
        <v>0.6949215690855</v>
      </c>
      <c r="E128" s="56" t="n">
        <f aca="false">IF(COUNT(E115:E124)&lt;2,"N/M",STDEV(E115:E124))</f>
        <v>2.71844131446823</v>
      </c>
      <c r="F128" s="56" t="n">
        <f aca="false">IF(COUNT(F115:F124)&lt;2,"N/M",STDEV(F115:F124))</f>
        <v>5.42106895267285</v>
      </c>
      <c r="G128" s="56" t="n">
        <f aca="false">IF(COUNT(G115:G124)&lt;2,"N/M",STDEV(G115:G124))</f>
        <v>0.6615359145886</v>
      </c>
      <c r="H128" s="56" t="n">
        <f aca="false">IF(COUNT(H115:H124)&lt;2,"N/M",STDEV(H115:H124))</f>
        <v>1.07827542361038</v>
      </c>
      <c r="I128" s="56" t="n">
        <f aca="false">IF(COUNT(I115:I124)&lt;2,"N/M",STDEV(I115:I124))</f>
        <v>2.43272954973917</v>
      </c>
      <c r="J128" s="54"/>
      <c r="K128" s="54"/>
      <c r="L128" s="54"/>
    </row>
    <row r="129" customFormat="false" ht="15" hidden="false" customHeight="false" outlineLevel="0" collapsed="false">
      <c r="A129" s="52" t="s">
        <v>269</v>
      </c>
      <c r="B129" s="56" t="n">
        <f aca="false">IF(COUNT(B115:B124)=0,"N/M",MIN(B115:B124))</f>
        <v>0.00696787808204179</v>
      </c>
      <c r="C129" s="56" t="n">
        <f aca="false">IF(COUNT(C115:C124)=0,"N/M",MIN(C115:C124))</f>
        <v>0.0709641257806319</v>
      </c>
      <c r="D129" s="56" t="n">
        <f aca="false">IF(COUNT(D115:D124)=0,"N/M",MIN(D115:D124))</f>
        <v>0</v>
      </c>
      <c r="E129" s="56" t="n">
        <f aca="false">IF(COUNT(E115:E124)=0,"N/M",MIN(E115:E124))</f>
        <v>0</v>
      </c>
      <c r="F129" s="56" t="n">
        <f aca="false">IF(COUNT(F115:F124)=0,"N/M",MIN(F115:F124))</f>
        <v>0.0793946821548463</v>
      </c>
      <c r="G129" s="56" t="n">
        <f aca="false">IF(COUNT(G115:G124)=0,"N/M",MIN(G115:G124))</f>
        <v>0.0695766088974968</v>
      </c>
      <c r="H129" s="56" t="n">
        <f aca="false">IF(COUNT(H115:H124)=0,"N/M",MIN(H115:H124))</f>
        <v>0.0506800518134715</v>
      </c>
      <c r="I129" s="56" t="n">
        <f aca="false">IF(COUNT(I115:I124)=0,"N/M",MIN(I115:I124))</f>
        <v>0.0627363663295786</v>
      </c>
      <c r="J129" s="54"/>
      <c r="K129" s="54"/>
      <c r="L129" s="54"/>
    </row>
    <row r="130" customFormat="false" ht="15" hidden="false" customHeight="false" outlineLevel="0" collapsed="false">
      <c r="A130" s="52" t="s">
        <v>270</v>
      </c>
      <c r="B130" s="56" t="n">
        <f aca="false">IF(COUNT(B115:B124)=0,"N/M",MAX(B115:B124))</f>
        <v>2.60168802115111</v>
      </c>
      <c r="C130" s="56" t="n">
        <f aca="false">IF(COUNT(C115:C124)=0,"N/M",MAX(C115:C124))</f>
        <v>2.57137306574769</v>
      </c>
      <c r="D130" s="56" t="n">
        <f aca="false">IF(COUNT(D115:D124)=0,"N/M",MAX(D115:D124))</f>
        <v>2.0201066885515</v>
      </c>
      <c r="E130" s="56" t="n">
        <f aca="false">IF(COUNT(E115:E124)=0,"N/M",MAX(E115:E124))</f>
        <v>9.03344544095665</v>
      </c>
      <c r="F130" s="56" t="n">
        <f aca="false">IF(COUNT(F115:F124)=0,"N/M",MAX(F115:F124))</f>
        <v>17.6619080779944</v>
      </c>
      <c r="G130" s="56" t="n">
        <f aca="false">IF(COUNT(G115:G124)=0,"N/M",MAX(G115:G124))</f>
        <v>1.98405955969672</v>
      </c>
      <c r="H130" s="56" t="n">
        <f aca="false">IF(COUNT(H115:H124)=0,"N/M",MAX(H115:H124))</f>
        <v>3.69449310686267</v>
      </c>
      <c r="I130" s="56" t="n">
        <f aca="false">IF(COUNT(I115:I124)=0,"N/M",MAX(I115:I124))</f>
        <v>8.24788366174122</v>
      </c>
      <c r="J130" s="54"/>
      <c r="K130" s="54"/>
      <c r="L130" s="54"/>
    </row>
    <row r="132" customFormat="false" ht="16.5" hidden="false" customHeight="true" outlineLevel="0" collapsed="false">
      <c r="A132" s="49" t="s">
        <v>337</v>
      </c>
      <c r="B132" s="49"/>
      <c r="C132" s="49"/>
      <c r="D132" s="49"/>
      <c r="E132" s="49"/>
      <c r="F132" s="49"/>
      <c r="G132" s="49"/>
      <c r="H132" s="49"/>
      <c r="I132" s="49"/>
      <c r="J132" s="49"/>
      <c r="K132" s="49"/>
      <c r="L132" s="49"/>
    </row>
    <row r="133" customFormat="false" ht="15" hidden="false" customHeight="false" outlineLevel="0" collapsed="false">
      <c r="A133" s="16" t="s">
        <v>52</v>
      </c>
      <c r="B133" s="33" t="n">
        <f aca="false">Tiger!D102</f>
        <v>0.99449715370019</v>
      </c>
      <c r="C133" s="33" t="n">
        <f aca="false">Tiger!E102</f>
        <v>0.997379704621248</v>
      </c>
      <c r="D133" s="33" t="n">
        <f aca="false">Tiger!F102</f>
        <v>0.629047427112723</v>
      </c>
      <c r="E133" s="33" t="n">
        <f aca="false">Tiger!G102</f>
        <v>0.224111441155383</v>
      </c>
      <c r="F133" s="33" t="n">
        <f aca="false">Tiger!H102</f>
        <v>0.295497608950645</v>
      </c>
      <c r="G133" s="33" t="n">
        <f aca="false">Tiger!I102</f>
        <v>0.414967462039046</v>
      </c>
      <c r="H133" s="33" t="n">
        <f aca="false">Tiger!J102</f>
        <v>0.641580197524691</v>
      </c>
      <c r="I133" s="55" t="n">
        <f aca="false">Tiger!K102</f>
        <v>0.599582999300561</v>
      </c>
      <c r="J133" s="25" t="str">
        <f aca="false">IF(AND(ISNUMBER(I133),ISNUMBER(I$145)),IF(I133&gt;I$145,"Above",IF(I133&lt;I$145,"Below","At median")),"-")</f>
        <v>Below</v>
      </c>
      <c r="K133" s="25" t="str">
        <f aca="false">IF(J133="Below","Better",IF(J133="Above","Weaker",IF(J133="At median","In line","-")))</f>
        <v>Better</v>
      </c>
      <c r="L133" s="43" t="n">
        <f aca="false">IF(ISNUMBER(I133),RANK(I133,I$133:I$142,1),"-")</f>
        <v>4</v>
      </c>
    </row>
    <row r="134" customFormat="false" ht="15" hidden="false" customHeight="false" outlineLevel="0" collapsed="false">
      <c r="A134" s="16" t="s">
        <v>54</v>
      </c>
      <c r="B134" s="33" t="n">
        <f aca="false">Allcargo!D102</f>
        <v>1.47049447732675</v>
      </c>
      <c r="C134" s="33" t="n">
        <f aca="false">Allcargo!E102</f>
        <v>2.20260210024786</v>
      </c>
      <c r="D134" s="33" t="n">
        <f aca="false">Allcargo!F102</f>
        <v>2.03754870704924</v>
      </c>
      <c r="E134" s="33" t="n">
        <f aca="false">Allcargo!G102</f>
        <v>1.56939755953692</v>
      </c>
      <c r="F134" s="33" t="n">
        <f aca="false">Allcargo!H102</f>
        <v>1.84081328347141</v>
      </c>
      <c r="G134" s="33" t="n">
        <f aca="false">Allcargo!I102</f>
        <v>2.09786476868327</v>
      </c>
      <c r="H134" s="33" t="n">
        <f aca="false">Allcargo!J102</f>
        <v>2.02439024390244</v>
      </c>
      <c r="I134" s="55" t="n">
        <f aca="false">Allcargo!K102</f>
        <v>1.89187302003113</v>
      </c>
      <c r="J134" s="25" t="str">
        <f aca="false">IF(AND(ISNUMBER(I134),ISNUMBER(I$145)),IF(I134&gt;I$145,"Above",IF(I134&lt;I$145,"Below","At median")),"-")</f>
        <v>Above</v>
      </c>
      <c r="K134" s="25" t="str">
        <f aca="false">IF(J134="Below","Better",IF(J134="Above","Weaker",IF(J134="At median","In line","-")))</f>
        <v>Weaker</v>
      </c>
      <c r="L134" s="43" t="n">
        <f aca="false">IF(ISNUMBER(I134),RANK(I134,I$133:I$142,1),"-")</f>
        <v>6</v>
      </c>
    </row>
    <row r="135" customFormat="false" ht="15" hidden="false" customHeight="false" outlineLevel="0" collapsed="false">
      <c r="A135" s="16" t="s">
        <v>277</v>
      </c>
      <c r="B135" s="33" t="n">
        <f aca="false">BlueDart!D102</f>
        <v>4.38025385571379</v>
      </c>
      <c r="C135" s="33" t="n">
        <f aca="false">BlueDart!E102</f>
        <v>3.89463815122643</v>
      </c>
      <c r="D135" s="33" t="n">
        <f aca="false">BlueDart!F102</f>
        <v>2.24402802784436</v>
      </c>
      <c r="E135" s="33" t="n">
        <f aca="false">BlueDart!G102</f>
        <v>1.73240869476754</v>
      </c>
      <c r="F135" s="33" t="n">
        <f aca="false">BlueDart!H102</f>
        <v>1.53124840009654</v>
      </c>
      <c r="G135" s="33" t="n">
        <f aca="false">BlueDart!I102</f>
        <v>1.34936884236453</v>
      </c>
      <c r="H135" s="33" t="n">
        <f aca="false">BlueDart!J102</f>
        <v>1.32259135651694</v>
      </c>
      <c r="I135" s="55" t="n">
        <f aca="false">BlueDart!K102</f>
        <v>2.35064818979002</v>
      </c>
      <c r="J135" s="25" t="str">
        <f aca="false">IF(AND(ISNUMBER(I135),ISNUMBER(I$145)),IF(I135&gt;I$145,"Above",IF(I135&lt;I$145,"Below","At median")),"-")</f>
        <v>Above</v>
      </c>
      <c r="K135" s="25" t="str">
        <f aca="false">IF(J135="Below","Better",IF(J135="Above","Weaker",IF(J135="At median","In line","-")))</f>
        <v>Weaker</v>
      </c>
      <c r="L135" s="43" t="n">
        <f aca="false">IF(ISNUMBER(I135),RANK(I135,I$133:I$142,1),"-")</f>
        <v>7</v>
      </c>
    </row>
    <row r="136" customFormat="false" ht="15" hidden="false" customHeight="false" outlineLevel="0" collapsed="false">
      <c r="A136" s="16" t="s">
        <v>58</v>
      </c>
      <c r="B136" s="33" t="n">
        <f aca="false">CONCOR!D102</f>
        <v>0.173466320263585</v>
      </c>
      <c r="C136" s="33" t="n">
        <f aca="false">CONCOR!E102</f>
        <v>0.218232380443809</v>
      </c>
      <c r="D136" s="33" t="n">
        <f aca="false">CONCOR!F102</f>
        <v>0.2088884343432</v>
      </c>
      <c r="E136" s="33" t="n">
        <f aca="false">CONCOR!G102</f>
        <v>0.199449850036032</v>
      </c>
      <c r="F136" s="33" t="n">
        <f aca="false">CONCOR!H102</f>
        <v>0.187339140554892</v>
      </c>
      <c r="G136" s="33" t="n">
        <f aca="false">CONCOR!I102</f>
        <v>0.169269213808388</v>
      </c>
      <c r="H136" s="33" t="n">
        <f aca="false">CONCOR!J102</f>
        <v>0.172567578530947</v>
      </c>
      <c r="I136" s="55" t="n">
        <f aca="false">CONCOR!K102</f>
        <v>0.18988755971155</v>
      </c>
      <c r="J136" s="25" t="str">
        <f aca="false">IF(AND(ISNUMBER(I136),ISNUMBER(I$145)),IF(I136&gt;I$145,"Above",IF(I136&lt;I$145,"Below","At median")),"-")</f>
        <v>Below</v>
      </c>
      <c r="K136" s="25" t="str">
        <f aca="false">IF(J136="Below","Better",IF(J136="Above","Weaker",IF(J136="At median","In line","-")))</f>
        <v>Better</v>
      </c>
      <c r="L136" s="43" t="n">
        <f aca="false">IF(ISNUMBER(I136),RANK(I136,I$133:I$142,1),"-")</f>
        <v>1</v>
      </c>
    </row>
    <row r="137" customFormat="false" ht="15" hidden="false" customHeight="false" outlineLevel="0" collapsed="false">
      <c r="A137" s="16" t="s">
        <v>278</v>
      </c>
      <c r="B137" s="33" t="n">
        <f aca="false">JetFreight!D102</f>
        <v>4.08748551564311</v>
      </c>
      <c r="C137" s="33" t="n">
        <f aca="false">JetFreight!E102</f>
        <v>3.55968416163493</v>
      </c>
      <c r="D137" s="33" t="n">
        <f aca="false">JetFreight!F102</f>
        <v>3.51415675010258</v>
      </c>
      <c r="E137" s="33" t="n">
        <f aca="false">JetFreight!G102</f>
        <v>1.47204370179949</v>
      </c>
      <c r="F137" s="33" t="n">
        <f aca="false">JetFreight!H102</f>
        <v>1.72983354673496</v>
      </c>
      <c r="G137" s="33" t="n">
        <f aca="false">JetFreight!I102</f>
        <v>1.76116240351143</v>
      </c>
      <c r="H137" s="33" t="n">
        <f aca="false">JetFreight!J102</f>
        <v>1.66643769748592</v>
      </c>
      <c r="I137" s="55" t="n">
        <f aca="false">JetFreight!K102</f>
        <v>2.54154339670177</v>
      </c>
      <c r="J137" s="25" t="str">
        <f aca="false">IF(AND(ISNUMBER(I137),ISNUMBER(I$145)),IF(I137&gt;I$145,"Above",IF(I137&lt;I$145,"Below","At median")),"-")</f>
        <v>Above</v>
      </c>
      <c r="K137" s="25" t="str">
        <f aca="false">IF(J137="Below","Better",IF(J137="Above","Weaker",IF(J137="At median","In line","-")))</f>
        <v>Weaker</v>
      </c>
      <c r="L137" s="43" t="n">
        <f aca="false">IF(ISNUMBER(I137),RANK(I137,I$133:I$142,1),"-")</f>
        <v>8</v>
      </c>
    </row>
    <row r="138" customFormat="false" ht="15" hidden="false" customHeight="false" outlineLevel="0" collapsed="false">
      <c r="A138" s="16" t="s">
        <v>62</v>
      </c>
      <c r="B138" s="33" t="n">
        <f aca="false">Patel!D102</f>
        <v>0.725531378644039</v>
      </c>
      <c r="C138" s="33" t="n">
        <f aca="false">Patel!E102</f>
        <v>0.631795575373006</v>
      </c>
      <c r="D138" s="33" t="n">
        <f aca="false">Patel!F102</f>
        <v>0.526948661095003</v>
      </c>
      <c r="E138" s="33" t="n">
        <f aca="false">Patel!G102</f>
        <v>0.462741099498683</v>
      </c>
      <c r="F138" s="33" t="n">
        <f aca="false">Patel!H102</f>
        <v>0.609318696052962</v>
      </c>
      <c r="G138" s="33" t="n">
        <f aca="false">Patel!I102</f>
        <v>0.381883938845964</v>
      </c>
      <c r="H138" s="33" t="n">
        <f aca="false">Patel!J102</f>
        <v>0.322215025906736</v>
      </c>
      <c r="I138" s="55" t="n">
        <f aca="false">Patel!K102</f>
        <v>0.522919196488056</v>
      </c>
      <c r="J138" s="25" t="str">
        <f aca="false">IF(AND(ISNUMBER(I138),ISNUMBER(I$145)),IF(I138&gt;I$145,"Above",IF(I138&lt;I$145,"Below","At median")),"-")</f>
        <v>Below</v>
      </c>
      <c r="K138" s="25" t="str">
        <f aca="false">IF(J138="Below","Better",IF(J138="Above","Weaker",IF(J138="At median","In line","-")))</f>
        <v>Better</v>
      </c>
      <c r="L138" s="43" t="n">
        <f aca="false">IF(ISNUMBER(I138),RANK(I138,I$133:I$142,1),"-")</f>
        <v>3</v>
      </c>
    </row>
    <row r="139" customFormat="false" ht="15" hidden="false" customHeight="false" outlineLevel="0" collapsed="false">
      <c r="A139" s="16" t="s">
        <v>64</v>
      </c>
      <c r="B139" s="33" t="n">
        <f aca="false">Sical!D102</f>
        <v>4.62729306487696</v>
      </c>
      <c r="C139" s="33" t="str">
        <f aca="false">Sical!E102</f>
        <v>N/M</v>
      </c>
      <c r="D139" s="33" t="str">
        <f aca="false">Sical!F102</f>
        <v>N/M</v>
      </c>
      <c r="E139" s="33" t="n">
        <f aca="false">Sical!G102</f>
        <v>13.8170777279522</v>
      </c>
      <c r="F139" s="33" t="n">
        <f aca="false">Sical!H102</f>
        <v>25.724930362117</v>
      </c>
      <c r="G139" s="33" t="str">
        <f aca="false">Sical!I102</f>
        <v>N/M</v>
      </c>
      <c r="H139" s="33" t="n">
        <f aca="false">Sical!J102</f>
        <v>5.90631426612842</v>
      </c>
      <c r="I139" s="55" t="n">
        <f aca="false">Sical!K102</f>
        <v>12.5189038552686</v>
      </c>
      <c r="J139" s="25" t="str">
        <f aca="false">IF(AND(ISNUMBER(I139),ISNUMBER(I$145)),IF(I139&gt;I$145,"Above",IF(I139&lt;I$145,"Below","At median")),"-")</f>
        <v>Above</v>
      </c>
      <c r="K139" s="25" t="str">
        <f aca="false">IF(J139="Below","Better",IF(J139="Above","Weaker",IF(J139="At median","In line","-")))</f>
        <v>Weaker</v>
      </c>
      <c r="L139" s="43" t="n">
        <f aca="false">IF(ISNUMBER(I139),RANK(I139,I$133:I$142,1),"-")</f>
        <v>10</v>
      </c>
    </row>
    <row r="140" customFormat="false" ht="15" hidden="false" customHeight="false" outlineLevel="0" collapsed="false">
      <c r="A140" s="16" t="s">
        <v>66</v>
      </c>
      <c r="B140" s="33" t="n">
        <f aca="false">TCI!D102</f>
        <v>0.644043793766909</v>
      </c>
      <c r="C140" s="33" t="n">
        <f aca="false">TCI!E102</f>
        <v>0.486530849526806</v>
      </c>
      <c r="D140" s="33" t="n">
        <f aca="false">TCI!F102</f>
        <v>0.277393237687726</v>
      </c>
      <c r="E140" s="33" t="n">
        <f aca="false">TCI!G102</f>
        <v>0.234529524794481</v>
      </c>
      <c r="F140" s="33" t="n">
        <f aca="false">TCI!H102</f>
        <v>0.248315716980567</v>
      </c>
      <c r="G140" s="33" t="n">
        <f aca="false">TCI!I102</f>
        <v>0.361656804733728</v>
      </c>
      <c r="H140" s="33" t="n">
        <f aca="false">TCI!J102</f>
        <v>0.356926566354507</v>
      </c>
      <c r="I140" s="55" t="n">
        <f aca="false">TCI!K102</f>
        <v>0.372770927692103</v>
      </c>
      <c r="J140" s="25" t="str">
        <f aca="false">IF(AND(ISNUMBER(I140),ISNUMBER(I$145)),IF(I140&gt;I$145,"Above",IF(I140&lt;I$145,"Below","At median")),"-")</f>
        <v>Below</v>
      </c>
      <c r="K140" s="25" t="str">
        <f aca="false">IF(J140="Below","Better",IF(J140="Above","Weaker",IF(J140="At median","In line","-")))</f>
        <v>Better</v>
      </c>
      <c r="L140" s="43" t="n">
        <f aca="false">IF(ISNUMBER(I140),RANK(I140,I$133:I$142,1),"-")</f>
        <v>2</v>
      </c>
    </row>
    <row r="141" customFormat="false" ht="15" hidden="false" customHeight="false" outlineLevel="0" collapsed="false">
      <c r="A141" s="16" t="s">
        <v>68</v>
      </c>
      <c r="B141" s="33" t="n">
        <f aca="false">Shreeji!D102</f>
        <v>2.14257425742574</v>
      </c>
      <c r="C141" s="33" t="n">
        <f aca="false">Shreeji!E102</f>
        <v>2.3932119205298</v>
      </c>
      <c r="D141" s="33" t="n">
        <f aca="false">Shreeji!F102</f>
        <v>1.78922789539228</v>
      </c>
      <c r="E141" s="33" t="n">
        <f aca="false">Shreeji!G102</f>
        <v>1.56456750796373</v>
      </c>
      <c r="F141" s="33" t="n">
        <f aca="false">Shreeji!H102</f>
        <v>1.15192135835567</v>
      </c>
      <c r="G141" s="33" t="n">
        <f aca="false">Shreeji!I102</f>
        <v>1.02518492426911</v>
      </c>
      <c r="H141" s="33" t="n">
        <f aca="false">Shreeji!J102</f>
        <v>0.988354683081018</v>
      </c>
      <c r="I141" s="55" t="n">
        <f aca="false">Shreeji!K102</f>
        <v>1.57929179243105</v>
      </c>
      <c r="J141" s="25" t="str">
        <f aca="false">IF(AND(ISNUMBER(I141),ISNUMBER(I$145)),IF(I141&gt;I$145,"Above",IF(I141&lt;I$145,"Below","At median")),"-")</f>
        <v>Below</v>
      </c>
      <c r="K141" s="25" t="str">
        <f aca="false">IF(J141="Below","Better",IF(J141="Above","Weaker",IF(J141="At median","In line","-")))</f>
        <v>Better</v>
      </c>
      <c r="L141" s="43" t="n">
        <f aca="false">IF(ISNUMBER(I141),RANK(I141,I$133:I$142,1),"-")</f>
        <v>5</v>
      </c>
    </row>
    <row r="142" customFormat="false" ht="15" hidden="false" customHeight="false" outlineLevel="0" collapsed="false">
      <c r="A142" s="16" t="s">
        <v>279</v>
      </c>
      <c r="B142" s="33" t="n">
        <f aca="false">MahindraLog!D102</f>
        <v>1.61055723859359</v>
      </c>
      <c r="C142" s="33" t="n">
        <f aca="false">MahindraLog!E102</f>
        <v>1.96963348942013</v>
      </c>
      <c r="D142" s="33" t="n">
        <f aca="false">MahindraLog!F102</f>
        <v>2.61484409310496</v>
      </c>
      <c r="E142" s="33" t="n">
        <f aca="false">MahindraLog!G102</f>
        <v>3.54526679366888</v>
      </c>
      <c r="F142" s="33" t="n">
        <f aca="false">MahindraLog!H102</f>
        <v>4.03015412106321</v>
      </c>
      <c r="G142" s="33" t="n">
        <f aca="false">MahindraLog!I102</f>
        <v>4.88928473554399</v>
      </c>
      <c r="H142" s="33" t="n">
        <f aca="false">MahindraLog!J102</f>
        <v>1.64305657229439</v>
      </c>
      <c r="I142" s="55" t="n">
        <f aca="false">MahindraLog!K102</f>
        <v>2.90039957766988</v>
      </c>
      <c r="J142" s="25" t="str">
        <f aca="false">IF(AND(ISNUMBER(I142),ISNUMBER(I$145)),IF(I142&gt;I$145,"Above",IF(I142&lt;I$145,"Below","At median")),"-")</f>
        <v>Above</v>
      </c>
      <c r="K142" s="25" t="str">
        <f aca="false">IF(J142="Below","Better",IF(J142="Above","Weaker",IF(J142="At median","In line","-")))</f>
        <v>Weaker</v>
      </c>
      <c r="L142" s="43" t="n">
        <f aca="false">IF(ISNUMBER(I142),RANK(I142,I$133:I$142,1),"-")</f>
        <v>9</v>
      </c>
    </row>
    <row r="143" customFormat="false" ht="15" hidden="false" customHeight="false" outlineLevel="0" collapsed="false">
      <c r="A143" s="46" t="s">
        <v>328</v>
      </c>
      <c r="B143" s="34" t="n">
        <f aca="false">Industry!D103</f>
        <v>0.743669064411507</v>
      </c>
      <c r="C143" s="34" t="n">
        <f aca="false">Industry!E103</f>
        <v>0.969196355707703</v>
      </c>
      <c r="D143" s="34" t="n">
        <f aca="false">Industry!F103</f>
        <v>0.946296635962035</v>
      </c>
      <c r="E143" s="34" t="n">
        <f aca="false">Industry!G103</f>
        <v>0.675481485464146</v>
      </c>
      <c r="F143" s="34" t="n">
        <f aca="false">Industry!H103</f>
        <v>0.669845273599986</v>
      </c>
      <c r="G143" s="34" t="n">
        <f aca="false">Industry!I103</f>
        <v>0.540303791470008</v>
      </c>
      <c r="H143" s="34" t="n">
        <f aca="false">Industry!J103</f>
        <v>0.494858449036955</v>
      </c>
      <c r="I143" s="34" t="n">
        <f aca="false">Industry!K103</f>
        <v>0.719950150807477</v>
      </c>
      <c r="J143" s="47"/>
      <c r="K143" s="47"/>
      <c r="L143" s="47"/>
    </row>
    <row r="144" customFormat="false" ht="15" hidden="false" customHeight="false" outlineLevel="0" collapsed="false">
      <c r="A144" s="52" t="s">
        <v>329</v>
      </c>
      <c r="B144" s="56" t="n">
        <f aca="false">IF(COUNT(B133:B142)=0,"N/M",AVERAGE(B133:B142))</f>
        <v>2.08561970559547</v>
      </c>
      <c r="C144" s="56" t="n">
        <f aca="false">IF(COUNT(C133:C142)=0,"N/M",AVERAGE(C133:C142))</f>
        <v>1.81707870366934</v>
      </c>
      <c r="D144" s="56" t="n">
        <f aca="false">IF(COUNT(D133:D142)=0,"N/M",AVERAGE(D133:D142))</f>
        <v>1.53800924819245</v>
      </c>
      <c r="E144" s="56" t="n">
        <f aca="false">IF(COUNT(E133:E142)=0,"N/M",AVERAGE(E133:E142))</f>
        <v>2.48215939011733</v>
      </c>
      <c r="F144" s="56" t="n">
        <f aca="false">IF(COUNT(F133:F142)=0,"N/M",AVERAGE(F133:F142))</f>
        <v>3.73493722343778</v>
      </c>
      <c r="G144" s="56" t="n">
        <f aca="false">IF(COUNT(G133:G142)=0,"N/M",AVERAGE(G133:G142))</f>
        <v>1.38340478819994</v>
      </c>
      <c r="H144" s="56" t="n">
        <f aca="false">IF(COUNT(H133:H142)=0,"N/M",AVERAGE(H133:H142))</f>
        <v>1.5044434187726</v>
      </c>
      <c r="I144" s="56" t="n">
        <f aca="false">IF(COUNT(I133:I142)=0,"N/M",AVERAGE(I133:I142))</f>
        <v>2.54678205150848</v>
      </c>
      <c r="J144" s="54"/>
      <c r="K144" s="54"/>
      <c r="L144" s="54"/>
    </row>
    <row r="145" customFormat="false" ht="15" hidden="false" customHeight="false" outlineLevel="0" collapsed="false">
      <c r="A145" s="28" t="s">
        <v>281</v>
      </c>
      <c r="B145" s="35" t="n">
        <f aca="false">IF(COUNT(B133:B142)=0,"N/M",MEDIAN(B133:B142))</f>
        <v>1.54052585796017</v>
      </c>
      <c r="C145" s="35" t="n">
        <f aca="false">IF(COUNT(C133:C142)=0,"N/M",MEDIAN(C133:C142))</f>
        <v>1.96963348942013</v>
      </c>
      <c r="D145" s="35" t="n">
        <f aca="false">IF(COUNT(D133:D142)=0,"N/M",MEDIAN(D133:D142))</f>
        <v>1.78922789539228</v>
      </c>
      <c r="E145" s="35" t="n">
        <f aca="false">IF(COUNT(E133:E142)=0,"N/M",MEDIAN(E133:E142))</f>
        <v>1.51830560488161</v>
      </c>
      <c r="F145" s="35" t="n">
        <f aca="false">IF(COUNT(F133:F142)=0,"N/M",MEDIAN(F133:F142))</f>
        <v>1.34158487922611</v>
      </c>
      <c r="G145" s="35" t="n">
        <f aca="false">IF(COUNT(G133:G142)=0,"N/M",MEDIAN(G133:G142))</f>
        <v>1.02518492426911</v>
      </c>
      <c r="H145" s="35" t="n">
        <f aca="false">IF(COUNT(H133:H142)=0,"N/M",MEDIAN(H133:H142))</f>
        <v>1.15547301979898</v>
      </c>
      <c r="I145" s="35" t="n">
        <f aca="false">IF(COUNT(I133:I142)=0,"N/M",MEDIAN(I133:I142))</f>
        <v>1.73558240623109</v>
      </c>
      <c r="J145" s="54"/>
      <c r="K145" s="54"/>
      <c r="L145" s="54"/>
    </row>
    <row r="146" customFormat="false" ht="15" hidden="false" customHeight="false" outlineLevel="0" collapsed="false">
      <c r="A146" s="52" t="s">
        <v>330</v>
      </c>
      <c r="B146" s="56" t="n">
        <f aca="false">IF(COUNT(B133:B142)&lt;2,"N/M",STDEV(B133:B142))</f>
        <v>1.67049838350228</v>
      </c>
      <c r="C146" s="56" t="n">
        <f aca="false">IF(COUNT(C133:C142)&lt;2,"N/M",STDEV(C133:C142))</f>
        <v>1.33511364106766</v>
      </c>
      <c r="D146" s="56" t="n">
        <f aca="false">IF(COUNT(D133:D142)&lt;2,"N/M",STDEV(D133:D142))</f>
        <v>1.17686103661982</v>
      </c>
      <c r="E146" s="56" t="n">
        <f aca="false">IF(COUNT(E133:E142)&lt;2,"N/M",STDEV(E133:E142))</f>
        <v>4.11376515204419</v>
      </c>
      <c r="F146" s="56" t="n">
        <f aca="false">IF(COUNT(F133:F142)&lt;2,"N/M",STDEV(F133:F142))</f>
        <v>7.81113543195345</v>
      </c>
      <c r="G146" s="56" t="n">
        <f aca="false">IF(COUNT(G133:G142)&lt;2,"N/M",STDEV(G133:G142))</f>
        <v>1.48040691207111</v>
      </c>
      <c r="H146" s="56" t="n">
        <f aca="false">IF(COUNT(H133:H142)&lt;2,"N/M",STDEV(H133:H142))</f>
        <v>1.67413560641393</v>
      </c>
      <c r="I146" s="56" t="n">
        <f aca="false">IF(COUNT(I133:I142)&lt;2,"N/M",STDEV(I133:I142))</f>
        <v>3.63838454410081</v>
      </c>
      <c r="J146" s="54"/>
      <c r="K146" s="54"/>
      <c r="L146" s="54"/>
    </row>
    <row r="147" customFormat="false" ht="15" hidden="false" customHeight="false" outlineLevel="0" collapsed="false">
      <c r="A147" s="52" t="s">
        <v>269</v>
      </c>
      <c r="B147" s="56" t="n">
        <f aca="false">IF(COUNT(B133:B142)=0,"N/M",MIN(B133:B142))</f>
        <v>0.173466320263585</v>
      </c>
      <c r="C147" s="56" t="n">
        <f aca="false">IF(COUNT(C133:C142)=0,"N/M",MIN(C133:C142))</f>
        <v>0.218232380443809</v>
      </c>
      <c r="D147" s="56" t="n">
        <f aca="false">IF(COUNT(D133:D142)=0,"N/M",MIN(D133:D142))</f>
        <v>0.2088884343432</v>
      </c>
      <c r="E147" s="56" t="n">
        <f aca="false">IF(COUNT(E133:E142)=0,"N/M",MIN(E133:E142))</f>
        <v>0.199449850036032</v>
      </c>
      <c r="F147" s="56" t="n">
        <f aca="false">IF(COUNT(F133:F142)=0,"N/M",MIN(F133:F142))</f>
        <v>0.187339140554892</v>
      </c>
      <c r="G147" s="56" t="n">
        <f aca="false">IF(COUNT(G133:G142)=0,"N/M",MIN(G133:G142))</f>
        <v>0.169269213808388</v>
      </c>
      <c r="H147" s="56" t="n">
        <f aca="false">IF(COUNT(H133:H142)=0,"N/M",MIN(H133:H142))</f>
        <v>0.172567578530947</v>
      </c>
      <c r="I147" s="56" t="n">
        <f aca="false">IF(COUNT(I133:I142)=0,"N/M",MIN(I133:I142))</f>
        <v>0.18988755971155</v>
      </c>
      <c r="J147" s="54"/>
      <c r="K147" s="54"/>
      <c r="L147" s="54"/>
    </row>
    <row r="148" customFormat="false" ht="15" hidden="false" customHeight="false" outlineLevel="0" collapsed="false">
      <c r="A148" s="52" t="s">
        <v>270</v>
      </c>
      <c r="B148" s="56" t="n">
        <f aca="false">IF(COUNT(B133:B142)=0,"N/M",MAX(B133:B142))</f>
        <v>4.62729306487696</v>
      </c>
      <c r="C148" s="56" t="n">
        <f aca="false">IF(COUNT(C133:C142)=0,"N/M",MAX(C133:C142))</f>
        <v>3.89463815122643</v>
      </c>
      <c r="D148" s="56" t="n">
        <f aca="false">IF(COUNT(D133:D142)=0,"N/M",MAX(D133:D142))</f>
        <v>3.51415675010258</v>
      </c>
      <c r="E148" s="56" t="n">
        <f aca="false">IF(COUNT(E133:E142)=0,"N/M",MAX(E133:E142))</f>
        <v>13.8170777279522</v>
      </c>
      <c r="F148" s="56" t="n">
        <f aca="false">IF(COUNT(F133:F142)=0,"N/M",MAX(F133:F142))</f>
        <v>25.724930362117</v>
      </c>
      <c r="G148" s="56" t="n">
        <f aca="false">IF(COUNT(G133:G142)=0,"N/M",MAX(G133:G142))</f>
        <v>4.88928473554399</v>
      </c>
      <c r="H148" s="56" t="n">
        <f aca="false">IF(COUNT(H133:H142)=0,"N/M",MAX(H133:H142))</f>
        <v>5.90631426612842</v>
      </c>
      <c r="I148" s="56" t="n">
        <f aca="false">IF(COUNT(I133:I142)=0,"N/M",MAX(I133:I142))</f>
        <v>12.5189038552686</v>
      </c>
      <c r="J148" s="54"/>
      <c r="K148" s="54"/>
      <c r="L148" s="54"/>
    </row>
    <row r="150" customFormat="false" ht="16.5" hidden="false" customHeight="true" outlineLevel="0" collapsed="false">
      <c r="A150" s="49" t="s">
        <v>338</v>
      </c>
      <c r="B150" s="49"/>
      <c r="C150" s="49"/>
      <c r="D150" s="49"/>
      <c r="E150" s="49"/>
      <c r="F150" s="49"/>
      <c r="G150" s="49"/>
      <c r="H150" s="49"/>
      <c r="I150" s="49"/>
      <c r="J150" s="49"/>
      <c r="K150" s="49"/>
      <c r="L150" s="49"/>
    </row>
    <row r="151" customFormat="false" ht="15" hidden="false" customHeight="false" outlineLevel="0" collapsed="false">
      <c r="A151" s="16" t="s">
        <v>52</v>
      </c>
      <c r="B151" s="33" t="n">
        <f aca="false">Tiger!D103</f>
        <v>0.348872609647036</v>
      </c>
      <c r="C151" s="33" t="n">
        <f aca="false">Tiger!E103</f>
        <v>0.178413834227788</v>
      </c>
      <c r="D151" s="33" t="n">
        <f aca="false">Tiger!F103</f>
        <v>0</v>
      </c>
      <c r="E151" s="33" t="n">
        <f aca="false">Tiger!G103</f>
        <v>0</v>
      </c>
      <c r="F151" s="33" t="n">
        <f aca="false">Tiger!H103</f>
        <v>0.0838556902075498</v>
      </c>
      <c r="G151" s="33" t="n">
        <f aca="false">Tiger!I103</f>
        <v>0.17568603403342</v>
      </c>
      <c r="H151" s="33" t="n">
        <f aca="false">Tiger!J103</f>
        <v>0.193054603609778</v>
      </c>
      <c r="I151" s="55" t="n">
        <f aca="false">Tiger!K103</f>
        <v>0.139983253103653</v>
      </c>
      <c r="J151" s="25" t="str">
        <f aca="false">IF(AND(ISNUMBER(I151),ISNUMBER(I$163)),IF(I151&gt;I$163,"Above",IF(I151&lt;I$163,"Below","At median")),"-")</f>
        <v>Below</v>
      </c>
      <c r="K151" s="25" t="str">
        <f aca="false">IF(J151="Below","Better",IF(J151="Above","Weaker",IF(J151="At median","In line","-")))</f>
        <v>Better</v>
      </c>
      <c r="L151" s="43" t="n">
        <f aca="false">IF(ISNUMBER(I151),RANK(I151,I$151:I$160,1),"-")</f>
        <v>3</v>
      </c>
    </row>
    <row r="152" customFormat="false" ht="15" hidden="false" customHeight="false" outlineLevel="0" collapsed="false">
      <c r="A152" s="16" t="s">
        <v>54</v>
      </c>
      <c r="B152" s="33" t="n">
        <f aca="false">Allcargo!D103</f>
        <v>0.302463336691228</v>
      </c>
      <c r="C152" s="33" t="n">
        <f aca="false">Allcargo!E103</f>
        <v>0.282414022728547</v>
      </c>
      <c r="D152" s="33" t="n">
        <f aca="false">Allcargo!F103</f>
        <v>0.241285922532278</v>
      </c>
      <c r="E152" s="33" t="n">
        <f aca="false">Allcargo!G103</f>
        <v>0.163120518334636</v>
      </c>
      <c r="F152" s="33" t="n">
        <f aca="false">Allcargo!H103</f>
        <v>0.257715523739858</v>
      </c>
      <c r="G152" s="33" t="n">
        <f aca="false">Allcargo!I103</f>
        <v>0.448592762780012</v>
      </c>
      <c r="H152" s="33" t="n">
        <f aca="false">Allcargo!J103</f>
        <v>0.399193548387097</v>
      </c>
      <c r="I152" s="55" t="n">
        <f aca="false">Allcargo!K103</f>
        <v>0.299255090741951</v>
      </c>
      <c r="J152" s="25" t="str">
        <f aca="false">IF(AND(ISNUMBER(I152),ISNUMBER(I$163)),IF(I152&gt;I$163,"Above",IF(I152&lt;I$163,"Below","At median")),"-")</f>
        <v>Above</v>
      </c>
      <c r="K152" s="25" t="str">
        <f aca="false">IF(J152="Below","Better",IF(J152="Above","Weaker",IF(J152="At median","In line","-")))</f>
        <v>Weaker</v>
      </c>
      <c r="L152" s="43" t="n">
        <f aca="false">IF(ISNUMBER(I152),RANK(I152,I$151:I$160,1),"-")</f>
        <v>6</v>
      </c>
    </row>
    <row r="153" customFormat="false" ht="15" hidden="false" customHeight="false" outlineLevel="0" collapsed="false">
      <c r="A153" s="16" t="s">
        <v>277</v>
      </c>
      <c r="B153" s="33" t="n">
        <f aca="false">BlueDart!D103</f>
        <v>0.200697518545587</v>
      </c>
      <c r="C153" s="33" t="n">
        <f aca="false">BlueDart!E103</f>
        <v>0.525344874595762</v>
      </c>
      <c r="D153" s="33" t="n">
        <f aca="false">BlueDart!F103</f>
        <v>0.376822353257258</v>
      </c>
      <c r="E153" s="33" t="n">
        <f aca="false">BlueDart!G103</f>
        <v>0.347541451548848</v>
      </c>
      <c r="F153" s="33" t="n">
        <f aca="false">BlueDart!H103</f>
        <v>0.31002051489497</v>
      </c>
      <c r="G153" s="33" t="n">
        <f aca="false">BlueDart!I103</f>
        <v>0.274926558114646</v>
      </c>
      <c r="H153" s="33" t="n">
        <f aca="false">BlueDart!J103</f>
        <v>0.276700146600918</v>
      </c>
      <c r="I153" s="55" t="n">
        <f aca="false">BlueDart!K103</f>
        <v>0.330293345365427</v>
      </c>
      <c r="J153" s="25" t="str">
        <f aca="false">IF(AND(ISNUMBER(I153),ISNUMBER(I$163)),IF(I153&gt;I$163,"Above",IF(I153&lt;I$163,"Below","At median")),"-")</f>
        <v>Above</v>
      </c>
      <c r="K153" s="25" t="str">
        <f aca="false">IF(J153="Below","Better",IF(J153="Above","Weaker",IF(J153="At median","In line","-")))</f>
        <v>Weaker</v>
      </c>
      <c r="L153" s="43" t="n">
        <f aca="false">IF(ISNUMBER(I153),RANK(I153,I$151:I$160,1),"-")</f>
        <v>7</v>
      </c>
    </row>
    <row r="154" customFormat="false" ht="15" hidden="false" customHeight="false" outlineLevel="0" collapsed="false">
      <c r="A154" s="16" t="s">
        <v>58</v>
      </c>
      <c r="B154" s="33" t="n">
        <f aca="false">CONCOR!D103</f>
        <v>0.00593785945256329</v>
      </c>
      <c r="C154" s="33" t="n">
        <f aca="false">CONCOR!E103</f>
        <v>0.0582517152883256</v>
      </c>
      <c r="D154" s="33" t="n">
        <f aca="false">CONCOR!F103</f>
        <v>0.0565501689706251</v>
      </c>
      <c r="E154" s="33" t="n">
        <f aca="false">CONCOR!G103</f>
        <v>0.0578267011064191</v>
      </c>
      <c r="F154" s="33" t="n">
        <f aca="false">CONCOR!H103</f>
        <v>0.0668677376522279</v>
      </c>
      <c r="G154" s="33" t="n">
        <f aca="false">CONCOR!I103</f>
        <v>0.0595043537243926</v>
      </c>
      <c r="H154" s="33" t="n">
        <f aca="false">CONCOR!J103</f>
        <v>0.0635598302031263</v>
      </c>
      <c r="I154" s="55" t="n">
        <f aca="false">CONCOR!K103</f>
        <v>0.0526426237710971</v>
      </c>
      <c r="J154" s="25" t="str">
        <f aca="false">IF(AND(ISNUMBER(I154),ISNUMBER(I$163)),IF(I154&gt;I$163,"Above",IF(I154&lt;I$163,"Below","At median")),"-")</f>
        <v>Below</v>
      </c>
      <c r="K154" s="25" t="str">
        <f aca="false">IF(J154="Below","Better",IF(J154="Above","Weaker",IF(J154="At median","In line","-")))</f>
        <v>Better</v>
      </c>
      <c r="L154" s="43" t="n">
        <f aca="false">IF(ISNUMBER(I154),RANK(I154,I$151:I$160,1),"-")</f>
        <v>1</v>
      </c>
    </row>
    <row r="155" customFormat="false" ht="15" hidden="false" customHeight="false" outlineLevel="0" collapsed="false">
      <c r="A155" s="16" t="s">
        <v>278</v>
      </c>
      <c r="B155" s="33" t="n">
        <f aca="false">JetFreight!D103</f>
        <v>0.4245530121854</v>
      </c>
      <c r="C155" s="33" t="n">
        <f aca="false">JetFreight!E103</f>
        <v>0.316491799938882</v>
      </c>
      <c r="D155" s="33" t="n">
        <f aca="false">JetFreight!F103</f>
        <v>0.447504772293428</v>
      </c>
      <c r="E155" s="33" t="n">
        <f aca="false">JetFreight!G103</f>
        <v>0.395619394254517</v>
      </c>
      <c r="F155" s="33" t="n">
        <f aca="false">JetFreight!H103</f>
        <v>0.327157598499062</v>
      </c>
      <c r="G155" s="33" t="n">
        <f aca="false">JetFreight!I103</f>
        <v>0.352683220961465</v>
      </c>
      <c r="H155" s="33" t="n">
        <f aca="false">JetFreight!J103</f>
        <v>0.381627080220516</v>
      </c>
      <c r="I155" s="55" t="n">
        <f aca="false">JetFreight!K103</f>
        <v>0.377948125479039</v>
      </c>
      <c r="J155" s="25" t="str">
        <f aca="false">IF(AND(ISNUMBER(I155),ISNUMBER(I$163)),IF(I155&gt;I$163,"Above",IF(I155&lt;I$163,"Below","At median")),"-")</f>
        <v>Above</v>
      </c>
      <c r="K155" s="25" t="str">
        <f aca="false">IF(J155="Below","Better",IF(J155="Above","Weaker",IF(J155="At median","In line","-")))</f>
        <v>Weaker</v>
      </c>
      <c r="L155" s="43" t="n">
        <f aca="false">IF(ISNUMBER(I155),RANK(I155,I$151:I$160,1),"-")</f>
        <v>8</v>
      </c>
    </row>
    <row r="156" customFormat="false" ht="15" hidden="false" customHeight="false" outlineLevel="0" collapsed="false">
      <c r="A156" s="16" t="s">
        <v>62</v>
      </c>
      <c r="B156" s="33" t="n">
        <f aca="false">Patel!D103</f>
        <v>0.295632698768197</v>
      </c>
      <c r="C156" s="33" t="n">
        <f aca="false">Patel!E103</f>
        <v>0.324330005254861</v>
      </c>
      <c r="D156" s="33" t="n">
        <f aca="false">Patel!F103</f>
        <v>0.267969840826585</v>
      </c>
      <c r="E156" s="33" t="n">
        <f aca="false">Patel!G103</f>
        <v>0.181585826314261</v>
      </c>
      <c r="F156" s="33" t="n">
        <f aca="false">Patel!H103</f>
        <v>0.125598833576338</v>
      </c>
      <c r="G156" s="33" t="n">
        <f aca="false">Patel!I103</f>
        <v>0.077742088984059</v>
      </c>
      <c r="H156" s="33" t="n">
        <f aca="false">Patel!J103</f>
        <v>0.0383296595640461</v>
      </c>
      <c r="I156" s="55" t="n">
        <f aca="false">Patel!K103</f>
        <v>0.187312707612621</v>
      </c>
      <c r="J156" s="25" t="str">
        <f aca="false">IF(AND(ISNUMBER(I156),ISNUMBER(I$163)),IF(I156&gt;I$163,"Above",IF(I156&lt;I$163,"Below","At median")),"-")</f>
        <v>Below</v>
      </c>
      <c r="K156" s="25" t="str">
        <f aca="false">IF(J156="Below","Better",IF(J156="Above","Weaker",IF(J156="At median","In line","-")))</f>
        <v>Better</v>
      </c>
      <c r="L156" s="43" t="n">
        <f aca="false">IF(ISNUMBER(I156),RANK(I156,I$151:I$160,1),"-")</f>
        <v>4</v>
      </c>
    </row>
    <row r="157" customFormat="false" ht="15" hidden="false" customHeight="false" outlineLevel="0" collapsed="false">
      <c r="A157" s="16" t="s">
        <v>64</v>
      </c>
      <c r="B157" s="33" t="n">
        <f aca="false">Sical!D103</f>
        <v>0.462333841716842</v>
      </c>
      <c r="C157" s="33" t="n">
        <f aca="false">Sical!E103</f>
        <v>0.730361743671508</v>
      </c>
      <c r="D157" s="33" t="n">
        <f aca="false">Sical!F103</f>
        <v>1.12820168883098</v>
      </c>
      <c r="E157" s="33" t="n">
        <f aca="false">Sical!G103</f>
        <v>0.609664443071336</v>
      </c>
      <c r="F157" s="33" t="n">
        <f aca="false">Sical!H103</f>
        <v>0.660877608984548</v>
      </c>
      <c r="G157" s="33" t="n">
        <f aca="false">Sical!I103</f>
        <v>0.707641079973455</v>
      </c>
      <c r="H157" s="33" t="n">
        <f aca="false">Sical!J103</f>
        <v>0.534944250217816</v>
      </c>
      <c r="I157" s="55" t="n">
        <f aca="false">Sical!K103</f>
        <v>0.690574950923783</v>
      </c>
      <c r="J157" s="25" t="str">
        <f aca="false">IF(AND(ISNUMBER(I157),ISNUMBER(I$163)),IF(I157&gt;I$163,"Above",IF(I157&lt;I$163,"Below","At median")),"-")</f>
        <v>Above</v>
      </c>
      <c r="K157" s="25" t="str">
        <f aca="false">IF(J157="Below","Better",IF(J157="Above","Weaker",IF(J157="At median","In line","-")))</f>
        <v>Weaker</v>
      </c>
      <c r="L157" s="43" t="n">
        <f aca="false">IF(ISNUMBER(I157),RANK(I157,I$151:I$160,1),"-")</f>
        <v>10</v>
      </c>
    </row>
    <row r="158" customFormat="false" ht="15" hidden="false" customHeight="false" outlineLevel="0" collapsed="false">
      <c r="A158" s="16" t="s">
        <v>66</v>
      </c>
      <c r="B158" s="33" t="n">
        <f aca="false">TCI!D103</f>
        <v>0.250724758215907</v>
      </c>
      <c r="C158" s="33" t="n">
        <f aca="false">TCI!E103</f>
        <v>0.17108252195467</v>
      </c>
      <c r="D158" s="33" t="n">
        <f aca="false">TCI!F103</f>
        <v>0.0526701805662742</v>
      </c>
      <c r="E158" s="33" t="n">
        <f aca="false">TCI!G103</f>
        <v>0.0437286699573042</v>
      </c>
      <c r="F158" s="33" t="n">
        <f aca="false">TCI!H103</f>
        <v>0.0774286399616215</v>
      </c>
      <c r="G158" s="33" t="n">
        <f aca="false">TCI!I103</f>
        <v>0.0824326949622192</v>
      </c>
      <c r="H158" s="33" t="n">
        <f aca="false">TCI!J103</f>
        <v>0.0897221599949452</v>
      </c>
      <c r="I158" s="55" t="n">
        <f aca="false">TCI!K103</f>
        <v>0.10968423223042</v>
      </c>
      <c r="J158" s="25" t="str">
        <f aca="false">IF(AND(ISNUMBER(I158),ISNUMBER(I$163)),IF(I158&gt;I$163,"Above",IF(I158&lt;I$163,"Below","At median")),"-")</f>
        <v>Below</v>
      </c>
      <c r="K158" s="25" t="str">
        <f aca="false">IF(J158="Below","Better",IF(J158="Above","Weaker",IF(J158="At median","In line","-")))</f>
        <v>Better</v>
      </c>
      <c r="L158" s="43" t="n">
        <f aca="false">IF(ISNUMBER(I158),RANK(I158,I$151:I$160,1),"-")</f>
        <v>2</v>
      </c>
    </row>
    <row r="159" customFormat="false" ht="15" hidden="false" customHeight="false" outlineLevel="0" collapsed="false">
      <c r="A159" s="16" t="s">
        <v>68</v>
      </c>
      <c r="B159" s="33" t="n">
        <f aca="false">Shreeji!D103</f>
        <v>0.573787019533712</v>
      </c>
      <c r="C159" s="33" t="n">
        <f aca="false">Shreeji!E103</f>
        <v>0.579165650158575</v>
      </c>
      <c r="D159" s="33" t="n">
        <f aca="false">Shreeji!F103</f>
        <v>0.500725527402612</v>
      </c>
      <c r="E159" s="33" t="n">
        <f aca="false">Shreeji!G103</f>
        <v>0.439231798203707</v>
      </c>
      <c r="F159" s="33" t="n">
        <f aca="false">Shreeji!H103</f>
        <v>0.388372093023256</v>
      </c>
      <c r="G159" s="33" t="n">
        <f aca="false">Shreeji!I103</f>
        <v>0.361422732411514</v>
      </c>
      <c r="H159" s="33" t="n">
        <f aca="false">Shreeji!J103</f>
        <v>0.335257697456493</v>
      </c>
      <c r="I159" s="55" t="n">
        <f aca="false">Shreeji!K103</f>
        <v>0.453994645455695</v>
      </c>
      <c r="J159" s="25" t="str">
        <f aca="false">IF(AND(ISNUMBER(I159),ISNUMBER(I$163)),IF(I159&gt;I$163,"Above",IF(I159&lt;I$163,"Below","At median")),"-")</f>
        <v>Above</v>
      </c>
      <c r="K159" s="25" t="str">
        <f aca="false">IF(J159="Below","Better",IF(J159="Above","Weaker",IF(J159="At median","In line","-")))</f>
        <v>Weaker</v>
      </c>
      <c r="L159" s="43" t="n">
        <f aca="false">IF(ISNUMBER(I159),RANK(I159,I$151:I$160,1),"-")</f>
        <v>9</v>
      </c>
    </row>
    <row r="160" customFormat="false" ht="15" hidden="false" customHeight="false" outlineLevel="0" collapsed="false">
      <c r="A160" s="16" t="s">
        <v>279</v>
      </c>
      <c r="B160" s="33" t="n">
        <f aca="false">MahindraLog!D103</f>
        <v>0.141577111348675</v>
      </c>
      <c r="C160" s="33" t="n">
        <f aca="false">MahindraLog!E103</f>
        <v>0.159745810436711</v>
      </c>
      <c r="D160" s="33" t="n">
        <f aca="false">MahindraLog!F103</f>
        <v>0.203711578180051</v>
      </c>
      <c r="E160" s="33" t="n">
        <f aca="false">MahindraLog!G103</f>
        <v>0.326701763457034</v>
      </c>
      <c r="F160" s="33" t="n">
        <f aca="false">MahindraLog!H103</f>
        <v>0.298437752300985</v>
      </c>
      <c r="G160" s="33" t="n">
        <f aca="false">MahindraLog!I103</f>
        <v>0.33689312858694</v>
      </c>
      <c r="H160" s="33" t="n">
        <f aca="false">MahindraLog!J103</f>
        <v>0.209258585318566</v>
      </c>
      <c r="I160" s="55" t="n">
        <f aca="false">MahindraLog!K103</f>
        <v>0.239475104232709</v>
      </c>
      <c r="J160" s="25" t="str">
        <f aca="false">IF(AND(ISNUMBER(I160),ISNUMBER(I$163)),IF(I160&gt;I$163,"Above",IF(I160&lt;I$163,"Below","At median")),"-")</f>
        <v>Below</v>
      </c>
      <c r="K160" s="25" t="str">
        <f aca="false">IF(J160="Below","Better",IF(J160="Above","Weaker",IF(J160="At median","In line","-")))</f>
        <v>Better</v>
      </c>
      <c r="L160" s="43" t="n">
        <f aca="false">IF(ISNUMBER(I160),RANK(I160,I$151:I$160,1),"-")</f>
        <v>5</v>
      </c>
    </row>
    <row r="161" customFormat="false" ht="15" hidden="false" customHeight="false" outlineLevel="0" collapsed="false">
      <c r="A161" s="46" t="s">
        <v>328</v>
      </c>
      <c r="B161" s="34" t="n">
        <f aca="false">Industry!D104</f>
        <v>0.164344283509552</v>
      </c>
      <c r="C161" s="34" t="n">
        <f aca="false">Industry!E104</f>
        <v>0.223040671572404</v>
      </c>
      <c r="D161" s="34" t="n">
        <f aca="false">Industry!F104</f>
        <v>0.208463925308046</v>
      </c>
      <c r="E161" s="34" t="n">
        <f aca="false">Industry!G104</f>
        <v>0.154625335815395</v>
      </c>
      <c r="F161" s="34" t="n">
        <f aca="false">Industry!H104</f>
        <v>0.175179134958109</v>
      </c>
      <c r="G161" s="34" t="n">
        <f aca="false">Industry!I104</f>
        <v>0.16798846993701</v>
      </c>
      <c r="H161" s="34" t="n">
        <f aca="false">Industry!J104</f>
        <v>0.150922492585009</v>
      </c>
      <c r="I161" s="34" t="n">
        <f aca="false">Industry!K104</f>
        <v>0.177794901955075</v>
      </c>
      <c r="J161" s="47"/>
      <c r="K161" s="47"/>
      <c r="L161" s="47"/>
    </row>
    <row r="162" customFormat="false" ht="15" hidden="false" customHeight="false" outlineLevel="0" collapsed="false">
      <c r="A162" s="52" t="s">
        <v>329</v>
      </c>
      <c r="B162" s="56" t="n">
        <f aca="false">IF(COUNT(B151:B160)=0,"N/M",AVERAGE(B151:B160))</f>
        <v>0.300657976610515</v>
      </c>
      <c r="C162" s="56" t="n">
        <f aca="false">IF(COUNT(C151:C160)=0,"N/M",AVERAGE(C151:C160))</f>
        <v>0.332560197825563</v>
      </c>
      <c r="D162" s="56" t="n">
        <f aca="false">IF(COUNT(D151:D160)=0,"N/M",AVERAGE(D151:D160))</f>
        <v>0.327544203286009</v>
      </c>
      <c r="E162" s="56" t="n">
        <f aca="false">IF(COUNT(E151:E160)=0,"N/M",AVERAGE(E151:E160))</f>
        <v>0.256502056624806</v>
      </c>
      <c r="F162" s="56" t="n">
        <f aca="false">IF(COUNT(F151:F160)=0,"N/M",AVERAGE(F151:F160))</f>
        <v>0.259633199284042</v>
      </c>
      <c r="G162" s="56" t="n">
        <f aca="false">IF(COUNT(G151:G160)=0,"N/M",AVERAGE(G151:G160))</f>
        <v>0.287752465453212</v>
      </c>
      <c r="H162" s="56" t="n">
        <f aca="false">IF(COUNT(H151:H160)=0,"N/M",AVERAGE(H151:H160))</f>
        <v>0.25216475615733</v>
      </c>
      <c r="I162" s="56" t="n">
        <f aca="false">IF(COUNT(I151:I160)=0,"N/M",AVERAGE(I151:I160))</f>
        <v>0.28811640789164</v>
      </c>
      <c r="J162" s="54"/>
      <c r="K162" s="54"/>
      <c r="L162" s="54"/>
    </row>
    <row r="163" customFormat="false" ht="15" hidden="false" customHeight="false" outlineLevel="0" collapsed="false">
      <c r="A163" s="28" t="s">
        <v>281</v>
      </c>
      <c r="B163" s="35" t="n">
        <f aca="false">IF(COUNT(B151:B160)=0,"N/M",MEDIAN(B151:B160))</f>
        <v>0.299048017729713</v>
      </c>
      <c r="C163" s="35" t="n">
        <f aca="false">IF(COUNT(C151:C160)=0,"N/M",MEDIAN(C151:C160))</f>
        <v>0.299452911333714</v>
      </c>
      <c r="D163" s="35" t="n">
        <f aca="false">IF(COUNT(D151:D160)=0,"N/M",MEDIAN(D151:D160))</f>
        <v>0.254627881679431</v>
      </c>
      <c r="E163" s="35" t="n">
        <f aca="false">IF(COUNT(E151:E160)=0,"N/M",MEDIAN(E151:E160))</f>
        <v>0.254143794885647</v>
      </c>
      <c r="F163" s="35" t="n">
        <f aca="false">IF(COUNT(F151:F160)=0,"N/M",MEDIAN(F151:F160))</f>
        <v>0.278076638020422</v>
      </c>
      <c r="G163" s="35" t="n">
        <f aca="false">IF(COUNT(G151:G160)=0,"N/M",MEDIAN(G151:G160))</f>
        <v>0.305909843350793</v>
      </c>
      <c r="H163" s="35" t="n">
        <f aca="false">IF(COUNT(H151:H160)=0,"N/M",MEDIAN(H151:H160))</f>
        <v>0.242979365959742</v>
      </c>
      <c r="I163" s="35" t="n">
        <f aca="false">IF(COUNT(I151:I160)=0,"N/M",MEDIAN(I151:I160))</f>
        <v>0.26936509748733</v>
      </c>
      <c r="J163" s="54"/>
      <c r="K163" s="54"/>
      <c r="L163" s="54"/>
    </row>
    <row r="164" customFormat="false" ht="15" hidden="false" customHeight="false" outlineLevel="0" collapsed="false">
      <c r="A164" s="52" t="s">
        <v>330</v>
      </c>
      <c r="B164" s="56" t="n">
        <f aca="false">IF(COUNT(B151:B160)&lt;2,"N/M",STDEV(B151:B160))</f>
        <v>0.164348475128385</v>
      </c>
      <c r="C164" s="56" t="n">
        <f aca="false">IF(COUNT(C151:C160)&lt;2,"N/M",STDEV(C151:C160))</f>
        <v>0.214479451553442</v>
      </c>
      <c r="D164" s="56" t="n">
        <f aca="false">IF(COUNT(D151:D160)&lt;2,"N/M",STDEV(D151:D160))</f>
        <v>0.328374087009133</v>
      </c>
      <c r="E164" s="56" t="n">
        <f aca="false">IF(COUNT(E151:E160)&lt;2,"N/M",STDEV(E151:E160))</f>
        <v>0.198761136048384</v>
      </c>
      <c r="F164" s="56" t="n">
        <f aca="false">IF(COUNT(F151:F160)&lt;2,"N/M",STDEV(F151:F160))</f>
        <v>0.18420961625251</v>
      </c>
      <c r="G164" s="56" t="n">
        <f aca="false">IF(COUNT(G151:G160)&lt;2,"N/M",STDEV(G151:G160))</f>
        <v>0.201471068147069</v>
      </c>
      <c r="H164" s="56" t="n">
        <f aca="false">IF(COUNT(H151:H160)&lt;2,"N/M",STDEV(H151:H160))</f>
        <v>0.162913895779649</v>
      </c>
      <c r="I164" s="56" t="n">
        <f aca="false">IF(COUNT(I151:I160)&lt;2,"N/M",STDEV(I151:I160))</f>
        <v>0.188920297312618</v>
      </c>
      <c r="J164" s="54"/>
      <c r="K164" s="54"/>
      <c r="L164" s="54"/>
    </row>
    <row r="165" customFormat="false" ht="15" hidden="false" customHeight="false" outlineLevel="0" collapsed="false">
      <c r="A165" s="52" t="s">
        <v>269</v>
      </c>
      <c r="B165" s="56" t="n">
        <f aca="false">IF(COUNT(B151:B160)=0,"N/M",MIN(B151:B160))</f>
        <v>0.00593785945256329</v>
      </c>
      <c r="C165" s="56" t="n">
        <f aca="false">IF(COUNT(C151:C160)=0,"N/M",MIN(C151:C160))</f>
        <v>0.0582517152883256</v>
      </c>
      <c r="D165" s="56" t="n">
        <f aca="false">IF(COUNT(D151:D160)=0,"N/M",MIN(D151:D160))</f>
        <v>0</v>
      </c>
      <c r="E165" s="56" t="n">
        <f aca="false">IF(COUNT(E151:E160)=0,"N/M",MIN(E151:E160))</f>
        <v>0</v>
      </c>
      <c r="F165" s="56" t="n">
        <f aca="false">IF(COUNT(F151:F160)=0,"N/M",MIN(F151:F160))</f>
        <v>0.0668677376522279</v>
      </c>
      <c r="G165" s="56" t="n">
        <f aca="false">IF(COUNT(G151:G160)=0,"N/M",MIN(G151:G160))</f>
        <v>0.0595043537243926</v>
      </c>
      <c r="H165" s="56" t="n">
        <f aca="false">IF(COUNT(H151:H160)=0,"N/M",MIN(H151:H160))</f>
        <v>0.0383296595640461</v>
      </c>
      <c r="I165" s="56" t="n">
        <f aca="false">IF(COUNT(I151:I160)=0,"N/M",MIN(I151:I160))</f>
        <v>0.0526426237710971</v>
      </c>
      <c r="J165" s="54"/>
      <c r="K165" s="54"/>
      <c r="L165" s="54"/>
    </row>
    <row r="166" customFormat="false" ht="15" hidden="false" customHeight="false" outlineLevel="0" collapsed="false">
      <c r="A166" s="52" t="s">
        <v>270</v>
      </c>
      <c r="B166" s="56" t="n">
        <f aca="false">IF(COUNT(B151:B160)=0,"N/M",MAX(B151:B160))</f>
        <v>0.573787019533712</v>
      </c>
      <c r="C166" s="56" t="n">
        <f aca="false">IF(COUNT(C151:C160)=0,"N/M",MAX(C151:C160))</f>
        <v>0.730361743671508</v>
      </c>
      <c r="D166" s="56" t="n">
        <f aca="false">IF(COUNT(D151:D160)=0,"N/M",MAX(D151:D160))</f>
        <v>1.12820168883098</v>
      </c>
      <c r="E166" s="56" t="n">
        <f aca="false">IF(COUNT(E151:E160)=0,"N/M",MAX(E151:E160))</f>
        <v>0.609664443071336</v>
      </c>
      <c r="F166" s="56" t="n">
        <f aca="false">IF(COUNT(F151:F160)=0,"N/M",MAX(F151:F160))</f>
        <v>0.660877608984548</v>
      </c>
      <c r="G166" s="56" t="n">
        <f aca="false">IF(COUNT(G151:G160)=0,"N/M",MAX(G151:G160))</f>
        <v>0.707641079973455</v>
      </c>
      <c r="H166" s="56" t="n">
        <f aca="false">IF(COUNT(H151:H160)=0,"N/M",MAX(H151:H160))</f>
        <v>0.534944250217816</v>
      </c>
      <c r="I166" s="56" t="n">
        <f aca="false">IF(COUNT(I151:I160)=0,"N/M",MAX(I151:I160))</f>
        <v>0.690574950923783</v>
      </c>
      <c r="J166" s="54"/>
      <c r="K166" s="54"/>
      <c r="L166" s="54"/>
    </row>
    <row r="168" customFormat="false" ht="16.5" hidden="false" customHeight="true" outlineLevel="0" collapsed="false">
      <c r="A168" s="49" t="s">
        <v>339</v>
      </c>
      <c r="B168" s="49"/>
      <c r="C168" s="49"/>
      <c r="D168" s="49"/>
      <c r="E168" s="49"/>
      <c r="F168" s="49"/>
      <c r="G168" s="49"/>
      <c r="H168" s="49"/>
      <c r="I168" s="49"/>
      <c r="J168" s="49"/>
      <c r="K168" s="49"/>
      <c r="L168" s="49"/>
    </row>
    <row r="169" customFormat="false" ht="15" hidden="false" customHeight="false" outlineLevel="0" collapsed="false">
      <c r="A169" s="16" t="s">
        <v>52</v>
      </c>
      <c r="B169" s="33" t="n">
        <f aca="false">Tiger!D104</f>
        <v>0.410316661071948</v>
      </c>
      <c r="C169" s="33" t="n">
        <f aca="false">Tiger!E104</f>
        <v>0.262732701088866</v>
      </c>
      <c r="D169" s="33" t="n">
        <f aca="false">Tiger!F104</f>
        <v>0</v>
      </c>
      <c r="E169" s="33" t="n">
        <f aca="false">Tiger!G104</f>
        <v>0</v>
      </c>
      <c r="F169" s="33" t="n">
        <f aca="false">Tiger!H104</f>
        <v>0.0979897452592171</v>
      </c>
      <c r="G169" s="33" t="n">
        <f aca="false">Tiger!I104</f>
        <v>0.19909659485754</v>
      </c>
      <c r="H169" s="33" t="n">
        <f aca="false">Tiger!J104</f>
        <v>0.240649325992026</v>
      </c>
      <c r="I169" s="55" t="n">
        <f aca="false">Tiger!K104</f>
        <v>0.1729692897528</v>
      </c>
      <c r="J169" s="25" t="str">
        <f aca="false">IF(AND(ISNUMBER(I169),ISNUMBER(I$181)),IF(I169&gt;I$181,"Above",IF(I169&lt;I$181,"Below","At median")),"-")</f>
        <v>Below</v>
      </c>
      <c r="K169" s="25" t="str">
        <f aca="false">IF(J169="Below","Better",IF(J169="Above","Weaker",IF(J169="At median","In line","-")))</f>
        <v>Better</v>
      </c>
      <c r="L169" s="43" t="n">
        <f aca="false">IF(ISNUMBER(I169),RANK(I169,I$169:I$178,1),"-")</f>
        <v>3</v>
      </c>
    </row>
    <row r="170" customFormat="false" ht="15" hidden="false" customHeight="false" outlineLevel="0" collapsed="false">
      <c r="A170" s="16" t="s">
        <v>54</v>
      </c>
      <c r="B170" s="33" t="n">
        <f aca="false">Allcargo!D104</f>
        <v>0.427666816038239</v>
      </c>
      <c r="C170" s="33" t="n">
        <f aca="false">Allcargo!E104</f>
        <v>0.474916703265876</v>
      </c>
      <c r="D170" s="33" t="n">
        <f aca="false">Allcargo!F104</f>
        <v>0.422938564391402</v>
      </c>
      <c r="E170" s="33" t="n">
        <f aca="false">Allcargo!G104</f>
        <v>0.295338681730317</v>
      </c>
      <c r="F170" s="33" t="n">
        <f aca="false">Allcargo!H104</f>
        <v>0.422673355053036</v>
      </c>
      <c r="G170" s="33" t="n">
        <f aca="false">Allcargo!I104</f>
        <v>0.581533879374535</v>
      </c>
      <c r="H170" s="33" t="n">
        <f aca="false">Allcargo!J104</f>
        <v>0.546961325966851</v>
      </c>
      <c r="I170" s="55" t="n">
        <f aca="false">Allcargo!K104</f>
        <v>0.453147046545751</v>
      </c>
      <c r="J170" s="25" t="str">
        <f aca="false">IF(AND(ISNUMBER(I170),ISNUMBER(I$181)),IF(I170&gt;I$181,"Above",IF(I170&lt;I$181,"Below","At median")),"-")</f>
        <v>Below</v>
      </c>
      <c r="K170" s="25" t="str">
        <f aca="false">IF(J170="Below","Better",IF(J170="Above","Weaker",IF(J170="At median","In line","-")))</f>
        <v>Better</v>
      </c>
      <c r="L170" s="43" t="n">
        <f aca="false">IF(ISNUMBER(I170),RANK(I170,I$169:I$178,1),"-")</f>
        <v>5</v>
      </c>
    </row>
    <row r="171" customFormat="false" ht="15" hidden="false" customHeight="false" outlineLevel="0" collapsed="false">
      <c r="A171" s="16" t="s">
        <v>277</v>
      </c>
      <c r="B171" s="33" t="n">
        <f aca="false">BlueDart!D104</f>
        <v>0.519185368768551</v>
      </c>
      <c r="C171" s="33" t="n">
        <f aca="false">BlueDart!E104</f>
        <v>0.719995648286986</v>
      </c>
      <c r="D171" s="33" t="n">
        <f aca="false">BlueDart!F104</f>
        <v>0.550040507139061</v>
      </c>
      <c r="E171" s="33" t="n">
        <f aca="false">BlueDart!G104</f>
        <v>0.48708092359873</v>
      </c>
      <c r="F171" s="33" t="n">
        <f aca="false">BlueDart!H104</f>
        <v>0.439693962019818</v>
      </c>
      <c r="G171" s="33" t="n">
        <f aca="false">BlueDart!I104</f>
        <v>0.392431109534963</v>
      </c>
      <c r="H171" s="33" t="n">
        <f aca="false">BlueDart!J104</f>
        <v>0.391231802873167</v>
      </c>
      <c r="I171" s="55" t="n">
        <f aca="false">BlueDart!K104</f>
        <v>0.499951331745897</v>
      </c>
      <c r="J171" s="25" t="str">
        <f aca="false">IF(AND(ISNUMBER(I171),ISNUMBER(I$181)),IF(I171&gt;I$181,"Above",IF(I171&lt;I$181,"Below","At median")),"-")</f>
        <v>Above</v>
      </c>
      <c r="K171" s="25" t="str">
        <f aca="false">IF(J171="Below","Better",IF(J171="Above","Weaker",IF(J171="At median","In line","-")))</f>
        <v>Weaker</v>
      </c>
      <c r="L171" s="43" t="n">
        <f aca="false">IF(ISNUMBER(I171),RANK(I171,I$169:I$178,1),"-")</f>
        <v>7</v>
      </c>
    </row>
    <row r="172" customFormat="false" ht="15" hidden="false" customHeight="false" outlineLevel="0" collapsed="false">
      <c r="A172" s="16" t="s">
        <v>58</v>
      </c>
      <c r="B172" s="33" t="n">
        <f aca="false">CONCOR!D104</f>
        <v>0.00691966271586876</v>
      </c>
      <c r="C172" s="33" t="n">
        <f aca="false">CONCOR!E104</f>
        <v>0.0662619074461581</v>
      </c>
      <c r="D172" s="33" t="n">
        <f aca="false">CONCOR!F104</f>
        <v>0.0639884151101356</v>
      </c>
      <c r="E172" s="33" t="n">
        <f aca="false">CONCOR!G104</f>
        <v>0.0648614247621967</v>
      </c>
      <c r="F172" s="33" t="n">
        <f aca="false">CONCOR!H104</f>
        <v>0.0735548205558572</v>
      </c>
      <c r="G172" s="33" t="n">
        <f aca="false">CONCOR!I104</f>
        <v>0.0650506081740281</v>
      </c>
      <c r="H172" s="33" t="n">
        <f aca="false">CONCOR!J104</f>
        <v>0.0693589953778407</v>
      </c>
      <c r="I172" s="55" t="n">
        <f aca="false">CONCOR!K104</f>
        <v>0.0585708334488693</v>
      </c>
      <c r="J172" s="25" t="str">
        <f aca="false">IF(AND(ISNUMBER(I172),ISNUMBER(I$181)),IF(I172&gt;I$181,"Above",IF(I172&lt;I$181,"Below","At median")),"-")</f>
        <v>Below</v>
      </c>
      <c r="K172" s="25" t="str">
        <f aca="false">IF(J172="Below","Better",IF(J172="Above","Weaker",IF(J172="At median","In line","-")))</f>
        <v>Better</v>
      </c>
      <c r="L172" s="43" t="n">
        <f aca="false">IF(ISNUMBER(I172),RANK(I172,I$169:I$178,1),"-")</f>
        <v>1</v>
      </c>
    </row>
    <row r="173" customFormat="false" ht="15" hidden="false" customHeight="false" outlineLevel="0" collapsed="false">
      <c r="A173" s="16" t="s">
        <v>278</v>
      </c>
      <c r="B173" s="33" t="n">
        <f aca="false">JetFreight!D104</f>
        <v>0.683535020168684</v>
      </c>
      <c r="C173" s="33" t="n">
        <f aca="false">JetFreight!E104</f>
        <v>0.590684410646388</v>
      </c>
      <c r="D173" s="33" t="n">
        <f aca="false">JetFreight!F104</f>
        <v>0.668885869565218</v>
      </c>
      <c r="E173" s="33" t="n">
        <f aca="false">JetFreight!G104</f>
        <v>0.494435870359841</v>
      </c>
      <c r="F173" s="33" t="n">
        <f aca="false">JetFreight!H104</f>
        <v>0.471761920865742</v>
      </c>
      <c r="G173" s="33" t="n">
        <f aca="false">JetFreight!I104</f>
        <v>0.493367073077218</v>
      </c>
      <c r="H173" s="33" t="n">
        <f aca="false">JetFreight!J104</f>
        <v>0.504357891869808</v>
      </c>
      <c r="I173" s="55" t="n">
        <f aca="false">JetFreight!K104</f>
        <v>0.558146865221843</v>
      </c>
      <c r="J173" s="25" t="str">
        <f aca="false">IF(AND(ISNUMBER(I173),ISNUMBER(I$181)),IF(I173&gt;I$181,"Above",IF(I173&lt;I$181,"Below","At median")),"-")</f>
        <v>Above</v>
      </c>
      <c r="K173" s="25" t="str">
        <f aca="false">IF(J173="Below","Better",IF(J173="Above","Weaker",IF(J173="At median","In line","-")))</f>
        <v>Weaker</v>
      </c>
      <c r="L173" s="43" t="n">
        <f aca="false">IF(ISNUMBER(I173),RANK(I173,I$169:I$178,1),"-")</f>
        <v>9</v>
      </c>
    </row>
    <row r="174" customFormat="false" ht="15" hidden="false" customHeight="false" outlineLevel="0" collapsed="false">
      <c r="A174" s="16" t="s">
        <v>62</v>
      </c>
      <c r="B174" s="33" t="n">
        <f aca="false">Patel!D104</f>
        <v>0.337802503477051</v>
      </c>
      <c r="C174" s="33" t="n">
        <f aca="false">Patel!E104</f>
        <v>0.346080520354379</v>
      </c>
      <c r="D174" s="33" t="n">
        <f aca="false">Patel!F104</f>
        <v>0.29036552892762</v>
      </c>
      <c r="E174" s="33" t="n">
        <f aca="false">Patel!G104</f>
        <v>0.209869083585096</v>
      </c>
      <c r="F174" s="33" t="n">
        <f aca="false">Patel!H104</f>
        <v>0.168142209829209</v>
      </c>
      <c r="G174" s="33" t="n">
        <f aca="false">Patel!I104</f>
        <v>0.0970088324797744</v>
      </c>
      <c r="H174" s="33" t="n">
        <f aca="false">Patel!J104</f>
        <v>0.0482354754199414</v>
      </c>
      <c r="I174" s="55" t="n">
        <f aca="false">Patel!K104</f>
        <v>0.213929164867582</v>
      </c>
      <c r="J174" s="25" t="str">
        <f aca="false">IF(AND(ISNUMBER(I174),ISNUMBER(I$181)),IF(I174&gt;I$181,"Above",IF(I174&lt;I$181,"Below","At median")),"-")</f>
        <v>Below</v>
      </c>
      <c r="K174" s="25" t="str">
        <f aca="false">IF(J174="Below","Better",IF(J174="Above","Weaker",IF(J174="At median","In line","-")))</f>
        <v>Better</v>
      </c>
      <c r="L174" s="43" t="n">
        <f aca="false">IF(ISNUMBER(I174),RANK(I174,I$169:I$178,1),"-")</f>
        <v>4</v>
      </c>
    </row>
    <row r="175" customFormat="false" ht="15" hidden="false" customHeight="false" outlineLevel="0" collapsed="false">
      <c r="A175" s="16" t="s">
        <v>64</v>
      </c>
      <c r="B175" s="33" t="n">
        <f aca="false">Sical!D104</f>
        <v>0.722352409723595</v>
      </c>
      <c r="C175" s="33" t="n">
        <f aca="false">Sical!E104</f>
        <v>2.11981489554341</v>
      </c>
      <c r="D175" s="33" t="n">
        <f aca="false">Sical!F104</f>
        <v>2.11430452477855</v>
      </c>
      <c r="E175" s="33" t="n">
        <f aca="false">Sical!G104</f>
        <v>0.900333339540774</v>
      </c>
      <c r="F175" s="33" t="n">
        <f aca="false">Sical!H104</f>
        <v>0.946414911282348</v>
      </c>
      <c r="G175" s="33" t="n">
        <f aca="false">Sical!I104</f>
        <v>1.00791005422616</v>
      </c>
      <c r="H175" s="33" t="n">
        <f aca="false">Sical!J104</f>
        <v>0.78698445663108</v>
      </c>
      <c r="I175" s="55" t="n">
        <f aca="false">Sical!K104</f>
        <v>1.22830208453227</v>
      </c>
      <c r="J175" s="25" t="str">
        <f aca="false">IF(AND(ISNUMBER(I175),ISNUMBER(I$181)),IF(I175&gt;I$181,"Above",IF(I175&lt;I$181,"Below","At median")),"-")</f>
        <v>Above</v>
      </c>
      <c r="K175" s="25" t="str">
        <f aca="false">IF(J175="Below","Better",IF(J175="Above","Weaker",IF(J175="At median","In line","-")))</f>
        <v>Weaker</v>
      </c>
      <c r="L175" s="43" t="n">
        <f aca="false">IF(ISNUMBER(I175),RANK(I175,I$169:I$178,1),"-")</f>
        <v>10</v>
      </c>
    </row>
    <row r="176" customFormat="false" ht="15" hidden="false" customHeight="false" outlineLevel="0" collapsed="false">
      <c r="A176" s="16" t="s">
        <v>66</v>
      </c>
      <c r="B176" s="33" t="n">
        <f aca="false">TCI!D104</f>
        <v>0.291886247008866</v>
      </c>
      <c r="C176" s="33" t="n">
        <f aca="false">TCI!E104</f>
        <v>0.202754926083193</v>
      </c>
      <c r="D176" s="33" t="n">
        <f aca="false">TCI!F104</f>
        <v>0.0630392201819837</v>
      </c>
      <c r="E176" s="33" t="n">
        <f aca="false">TCI!G104</f>
        <v>0.0512192946266294</v>
      </c>
      <c r="F176" s="33" t="n">
        <f aca="false">TCI!H104</f>
        <v>0.0881365187713311</v>
      </c>
      <c r="G176" s="33" t="n">
        <f aca="false">TCI!I104</f>
        <v>0.100917546033773</v>
      </c>
      <c r="H176" s="33" t="n">
        <f aca="false">TCI!J104</f>
        <v>0.1085328951254</v>
      </c>
      <c r="I176" s="55" t="n">
        <f aca="false">TCI!K104</f>
        <v>0.129498092547311</v>
      </c>
      <c r="J176" s="25" t="str">
        <f aca="false">IF(AND(ISNUMBER(I176),ISNUMBER(I$181)),IF(I176&gt;I$181,"Above",IF(I176&lt;I$181,"Below","At median")),"-")</f>
        <v>Below</v>
      </c>
      <c r="K176" s="25" t="str">
        <f aca="false">IF(J176="Below","Better",IF(J176="Above","Weaker",IF(J176="At median","In line","-")))</f>
        <v>Better</v>
      </c>
      <c r="L176" s="43" t="n">
        <f aca="false">IF(ISNUMBER(I176),RANK(I176,I$169:I$178,1),"-")</f>
        <v>2</v>
      </c>
    </row>
    <row r="177" customFormat="false" ht="15" hidden="false" customHeight="false" outlineLevel="0" collapsed="false">
      <c r="A177" s="16" t="s">
        <v>68</v>
      </c>
      <c r="B177" s="33" t="n">
        <f aca="false">Shreeji!D104</f>
        <v>0.643260808137892</v>
      </c>
      <c r="C177" s="33" t="n">
        <f aca="false">Shreeji!E104</f>
        <v>0.662758235622557</v>
      </c>
      <c r="D177" s="33" t="n">
        <f aca="false">Shreeji!F104</f>
        <v>0.582748765913224</v>
      </c>
      <c r="E177" s="33" t="n">
        <f aca="false">Shreeji!G104</f>
        <v>0.52973035261581</v>
      </c>
      <c r="F177" s="33" t="n">
        <f aca="false">Shreeji!H104</f>
        <v>0.45526238925129</v>
      </c>
      <c r="G177" s="33" t="n">
        <f aca="false">Shreeji!I104</f>
        <v>0.422615415904007</v>
      </c>
      <c r="H177" s="33" t="n">
        <f aca="false">Shreeji!J104</f>
        <v>0.399980035935316</v>
      </c>
      <c r="I177" s="55" t="n">
        <f aca="false">Shreeji!K104</f>
        <v>0.528050857625728</v>
      </c>
      <c r="J177" s="25" t="str">
        <f aca="false">IF(AND(ISNUMBER(I177),ISNUMBER(I$181)),IF(I177&gt;I$181,"Above",IF(I177&lt;I$181,"Below","At median")),"-")</f>
        <v>Above</v>
      </c>
      <c r="K177" s="25" t="str">
        <f aca="false">IF(J177="Below","Better",IF(J177="Above","Weaker",IF(J177="At median","In line","-")))</f>
        <v>Weaker</v>
      </c>
      <c r="L177" s="43" t="n">
        <f aca="false">IF(ISNUMBER(I177),RANK(I177,I$169:I$178,1),"-")</f>
        <v>8</v>
      </c>
    </row>
    <row r="178" customFormat="false" ht="15" hidden="false" customHeight="false" outlineLevel="0" collapsed="false">
      <c r="A178" s="16" t="s">
        <v>279</v>
      </c>
      <c r="B178" s="33" t="n">
        <f aca="false">MahindraLog!D104</f>
        <v>0.269857229036799</v>
      </c>
      <c r="C178" s="33" t="n">
        <f aca="false">MahindraLog!E104</f>
        <v>0.321751796929102</v>
      </c>
      <c r="D178" s="33" t="n">
        <f aca="false">MahindraLog!F104</f>
        <v>0.424091052797977</v>
      </c>
      <c r="E178" s="33" t="n">
        <f aca="false">MahindraLog!G104</f>
        <v>0.597576877883816</v>
      </c>
      <c r="F178" s="33" t="n">
        <f aca="false">MahindraLog!H104</f>
        <v>0.600189972072482</v>
      </c>
      <c r="G178" s="33" t="n">
        <f aca="false">MahindraLog!I104</f>
        <v>0.664886045336966</v>
      </c>
      <c r="H178" s="33" t="n">
        <f aca="false">MahindraLog!J104</f>
        <v>0.356119110126992</v>
      </c>
      <c r="I178" s="55" t="n">
        <f aca="false">MahindraLog!K104</f>
        <v>0.462067440597733</v>
      </c>
      <c r="J178" s="25" t="str">
        <f aca="false">IF(AND(ISNUMBER(I178),ISNUMBER(I$181)),IF(I178&gt;I$181,"Above",IF(I178&lt;I$181,"Below","At median")),"-")</f>
        <v>Above</v>
      </c>
      <c r="K178" s="25" t="str">
        <f aca="false">IF(J178="Below","Better",IF(J178="Above","Weaker",IF(J178="At median","In line","-")))</f>
        <v>Weaker</v>
      </c>
      <c r="L178" s="43" t="n">
        <f aca="false">IF(ISNUMBER(I178),RANK(I178,I$169:I$178,1),"-")</f>
        <v>6</v>
      </c>
    </row>
    <row r="179" customFormat="false" ht="15" hidden="false" customHeight="false" outlineLevel="0" collapsed="false">
      <c r="A179" s="46" t="s">
        <v>328</v>
      </c>
      <c r="B179" s="34" t="n">
        <f aca="false">Industry!D105</f>
        <v>0.222734725163369</v>
      </c>
      <c r="C179" s="34" t="n">
        <f aca="false">Industry!E105</f>
        <v>0.30517479019942</v>
      </c>
      <c r="D179" s="34" t="n">
        <f aca="false">Industry!F105</f>
        <v>0.288627172762573</v>
      </c>
      <c r="E179" s="34" t="n">
        <f aca="false">Industry!G105</f>
        <v>0.20576417434688</v>
      </c>
      <c r="F179" s="34" t="n">
        <f aca="false">Industry!H105</f>
        <v>0.226318808580644</v>
      </c>
      <c r="G179" s="34" t="n">
        <f aca="false">Industry!I105</f>
        <v>0.205563140816235</v>
      </c>
      <c r="H179" s="34" t="n">
        <f aca="false">Industry!J105</f>
        <v>0.1840782752576</v>
      </c>
      <c r="I179" s="34" t="n">
        <f aca="false">Industry!K105</f>
        <v>0.23403729816096</v>
      </c>
      <c r="J179" s="47"/>
      <c r="K179" s="47"/>
      <c r="L179" s="47"/>
    </row>
    <row r="180" customFormat="false" ht="15" hidden="false" customHeight="false" outlineLevel="0" collapsed="false">
      <c r="A180" s="52" t="s">
        <v>329</v>
      </c>
      <c r="B180" s="56" t="n">
        <f aca="false">IF(COUNT(B169:B178)=0,"N/M",AVERAGE(B169:B178))</f>
        <v>0.431278272614749</v>
      </c>
      <c r="C180" s="56" t="n">
        <f aca="false">IF(COUNT(C169:C178)=0,"N/M",AVERAGE(C169:C178))</f>
        <v>0.576775174526691</v>
      </c>
      <c r="D180" s="56" t="n">
        <f aca="false">IF(COUNT(D169:D178)=0,"N/M",AVERAGE(D169:D178))</f>
        <v>0.518040244880517</v>
      </c>
      <c r="E180" s="56" t="n">
        <f aca="false">IF(COUNT(E169:E178)=0,"N/M",AVERAGE(E169:E178))</f>
        <v>0.363044584870321</v>
      </c>
      <c r="F180" s="56" t="n">
        <f aca="false">IF(COUNT(F169:F178)=0,"N/M",AVERAGE(F169:F178))</f>
        <v>0.376381980496033</v>
      </c>
      <c r="G180" s="56" t="n">
        <f aca="false">IF(COUNT(G169:G178)=0,"N/M",AVERAGE(G169:G178))</f>
        <v>0.402481715899896</v>
      </c>
      <c r="H180" s="56" t="n">
        <f aca="false">IF(COUNT(H169:H178)=0,"N/M",AVERAGE(H169:H178))</f>
        <v>0.345241131531842</v>
      </c>
      <c r="I180" s="56" t="n">
        <f aca="false">IF(COUNT(I169:I178)=0,"N/M",AVERAGE(I169:I178))</f>
        <v>0.430463300688579</v>
      </c>
      <c r="J180" s="54"/>
      <c r="K180" s="54"/>
      <c r="L180" s="54"/>
    </row>
    <row r="181" customFormat="false" ht="15" hidden="false" customHeight="false" outlineLevel="0" collapsed="false">
      <c r="A181" s="28" t="s">
        <v>281</v>
      </c>
      <c r="B181" s="35" t="n">
        <f aca="false">IF(COUNT(B169:B178)=0,"N/M",MEDIAN(B169:B178))</f>
        <v>0.418991738555094</v>
      </c>
      <c r="C181" s="35" t="n">
        <f aca="false">IF(COUNT(C169:C178)=0,"N/M",MEDIAN(C169:C178))</f>
        <v>0.410498611810128</v>
      </c>
      <c r="D181" s="35" t="n">
        <f aca="false">IF(COUNT(D169:D178)=0,"N/M",MEDIAN(D169:D178))</f>
        <v>0.423514808594689</v>
      </c>
      <c r="E181" s="35" t="n">
        <f aca="false">IF(COUNT(E169:E178)=0,"N/M",MEDIAN(E169:E178))</f>
        <v>0.391209802664524</v>
      </c>
      <c r="F181" s="35" t="n">
        <f aca="false">IF(COUNT(F169:F178)=0,"N/M",MEDIAN(F169:F178))</f>
        <v>0.431183658536427</v>
      </c>
      <c r="G181" s="35" t="n">
        <f aca="false">IF(COUNT(G169:G178)=0,"N/M",MEDIAN(G169:G178))</f>
        <v>0.407523262719485</v>
      </c>
      <c r="H181" s="35" t="n">
        <f aca="false">IF(COUNT(H169:H178)=0,"N/M",MEDIAN(H169:H178))</f>
        <v>0.37367545650008</v>
      </c>
      <c r="I181" s="35" t="n">
        <f aca="false">IF(COUNT(I169:I178)=0,"N/M",MEDIAN(I169:I178))</f>
        <v>0.457607243571742</v>
      </c>
      <c r="J181" s="54"/>
      <c r="K181" s="54"/>
      <c r="L181" s="54"/>
    </row>
    <row r="182" customFormat="false" ht="15" hidden="false" customHeight="false" outlineLevel="0" collapsed="false">
      <c r="A182" s="52" t="s">
        <v>330</v>
      </c>
      <c r="B182" s="56" t="n">
        <f aca="false">IF(COUNT(B169:B178)&lt;2,"N/M",STDEV(B169:B178))</f>
        <v>0.220045233734071</v>
      </c>
      <c r="C182" s="56" t="n">
        <f aca="false">IF(COUNT(C169:C178)&lt;2,"N/M",STDEV(C169:C178))</f>
        <v>0.580884378471578</v>
      </c>
      <c r="D182" s="56" t="n">
        <f aca="false">IF(COUNT(D169:D178)&lt;2,"N/M",STDEV(D169:D178))</f>
        <v>0.608028372123394</v>
      </c>
      <c r="E182" s="56" t="n">
        <f aca="false">IF(COUNT(E169:E178)&lt;2,"N/M",STDEV(E169:E178))</f>
        <v>0.288697041027713</v>
      </c>
      <c r="F182" s="56" t="n">
        <f aca="false">IF(COUNT(F169:F178)&lt;2,"N/M",STDEV(F169:F178))</f>
        <v>0.27731932722592</v>
      </c>
      <c r="G182" s="56" t="n">
        <f aca="false">IF(COUNT(G169:G178)&lt;2,"N/M",STDEV(G169:G178))</f>
        <v>0.301054738819065</v>
      </c>
      <c r="H182" s="56" t="n">
        <f aca="false">IF(COUNT(H169:H178)&lt;2,"N/M",STDEV(H169:H178))</f>
        <v>0.235152365083009</v>
      </c>
      <c r="I182" s="56" t="n">
        <f aca="false">IF(COUNT(I169:I178)&lt;2,"N/M",STDEV(I169:I178))</f>
        <v>0.33512673733919</v>
      </c>
      <c r="J182" s="54"/>
      <c r="K182" s="54"/>
      <c r="L182" s="54"/>
    </row>
    <row r="183" customFormat="false" ht="15" hidden="false" customHeight="false" outlineLevel="0" collapsed="false">
      <c r="A183" s="52" t="s">
        <v>269</v>
      </c>
      <c r="B183" s="56" t="n">
        <f aca="false">IF(COUNT(B169:B178)=0,"N/M",MIN(B169:B178))</f>
        <v>0.00691966271586876</v>
      </c>
      <c r="C183" s="56" t="n">
        <f aca="false">IF(COUNT(C169:C178)=0,"N/M",MIN(C169:C178))</f>
        <v>0.0662619074461581</v>
      </c>
      <c r="D183" s="56" t="n">
        <f aca="false">IF(COUNT(D169:D178)=0,"N/M",MIN(D169:D178))</f>
        <v>0</v>
      </c>
      <c r="E183" s="56" t="n">
        <f aca="false">IF(COUNT(E169:E178)=0,"N/M",MIN(E169:E178))</f>
        <v>0</v>
      </c>
      <c r="F183" s="56" t="n">
        <f aca="false">IF(COUNT(F169:F178)=0,"N/M",MIN(F169:F178))</f>
        <v>0.0735548205558572</v>
      </c>
      <c r="G183" s="56" t="n">
        <f aca="false">IF(COUNT(G169:G178)=0,"N/M",MIN(G169:G178))</f>
        <v>0.0650506081740281</v>
      </c>
      <c r="H183" s="56" t="n">
        <f aca="false">IF(COUNT(H169:H178)=0,"N/M",MIN(H169:H178))</f>
        <v>0.0482354754199414</v>
      </c>
      <c r="I183" s="56" t="n">
        <f aca="false">IF(COUNT(I169:I178)=0,"N/M",MIN(I169:I178))</f>
        <v>0.0585708334488693</v>
      </c>
      <c r="J183" s="54"/>
      <c r="K183" s="54"/>
      <c r="L183" s="54"/>
    </row>
    <row r="184" customFormat="false" ht="15" hidden="false" customHeight="false" outlineLevel="0" collapsed="false">
      <c r="A184" s="52" t="s">
        <v>270</v>
      </c>
      <c r="B184" s="56" t="n">
        <f aca="false">IF(COUNT(B169:B178)=0,"N/M",MAX(B169:B178))</f>
        <v>0.722352409723595</v>
      </c>
      <c r="C184" s="56" t="n">
        <f aca="false">IF(COUNT(C169:C178)=0,"N/M",MAX(C169:C178))</f>
        <v>2.11981489554341</v>
      </c>
      <c r="D184" s="56" t="n">
        <f aca="false">IF(COUNT(D169:D178)=0,"N/M",MAX(D169:D178))</f>
        <v>2.11430452477855</v>
      </c>
      <c r="E184" s="56" t="n">
        <f aca="false">IF(COUNT(E169:E178)=0,"N/M",MAX(E169:E178))</f>
        <v>0.900333339540774</v>
      </c>
      <c r="F184" s="56" t="n">
        <f aca="false">IF(COUNT(F169:F178)=0,"N/M",MAX(F169:F178))</f>
        <v>0.946414911282348</v>
      </c>
      <c r="G184" s="56" t="n">
        <f aca="false">IF(COUNT(G169:G178)=0,"N/M",MAX(G169:G178))</f>
        <v>1.00791005422616</v>
      </c>
      <c r="H184" s="56" t="n">
        <f aca="false">IF(COUNT(H169:H178)=0,"N/M",MAX(H169:H178))</f>
        <v>0.78698445663108</v>
      </c>
      <c r="I184" s="56" t="n">
        <f aca="false">IF(COUNT(I169:I178)=0,"N/M",MAX(I169:I178))</f>
        <v>1.22830208453227</v>
      </c>
      <c r="J184" s="54"/>
      <c r="K184" s="54"/>
      <c r="L184" s="54"/>
    </row>
    <row r="186" customFormat="false" ht="16.5" hidden="false" customHeight="true" outlineLevel="0" collapsed="false">
      <c r="A186" s="49" t="s">
        <v>340</v>
      </c>
      <c r="B186" s="49"/>
      <c r="C186" s="49"/>
      <c r="D186" s="49"/>
      <c r="E186" s="49"/>
      <c r="F186" s="49"/>
      <c r="G186" s="49"/>
      <c r="H186" s="49"/>
      <c r="I186" s="49"/>
      <c r="J186" s="49"/>
      <c r="K186" s="49"/>
      <c r="L186" s="49"/>
    </row>
    <row r="187" customFormat="false" ht="15" hidden="false" customHeight="false" outlineLevel="0" collapsed="false">
      <c r="A187" s="16" t="s">
        <v>52</v>
      </c>
      <c r="B187" s="33" t="n">
        <f aca="false">Tiger!D105</f>
        <v>0.501379507182951</v>
      </c>
      <c r="C187" s="33" t="n">
        <f aca="false">Tiger!E105</f>
        <v>0.500655933214073</v>
      </c>
      <c r="D187" s="33" t="n">
        <f aca="false">Tiger!F105</f>
        <v>0.613855670103093</v>
      </c>
      <c r="E187" s="33" t="n">
        <f aca="false">Tiger!G105</f>
        <v>0.816919086268932</v>
      </c>
      <c r="F187" s="33" t="n">
        <f aca="false">Tiger!H105</f>
        <v>0.771904164925477</v>
      </c>
      <c r="G187" s="33" t="n">
        <f aca="false">Tiger!I105</f>
        <v>0.706730032193776</v>
      </c>
      <c r="H187" s="33" t="n">
        <f aca="false">Tiger!J105</f>
        <v>0.609169141725687</v>
      </c>
      <c r="I187" s="55" t="n">
        <f aca="false">Tiger!K105</f>
        <v>0.645801933659141</v>
      </c>
      <c r="J187" s="25" t="str">
        <f aca="false">IF(AND(ISNUMBER(I187),ISNUMBER(I$199)),IF(I187&gt;I$199,"Above",IF(I187&lt;I$199,"Below","At median")),"-")</f>
        <v>Above</v>
      </c>
      <c r="K187" s="25" t="str">
        <f aca="false">IF(J187="Above","Better",IF(J187="Below","Weaker",IF(J187="At median","In line","-")))</f>
        <v>Better</v>
      </c>
      <c r="L187" s="43" t="n">
        <f aca="false">IF(ISNUMBER(I187),RANK(I187,I$187:I$196,0),"-")</f>
        <v>4</v>
      </c>
    </row>
    <row r="188" customFormat="false" ht="15" hidden="false" customHeight="false" outlineLevel="0" collapsed="false">
      <c r="A188" s="16" t="s">
        <v>54</v>
      </c>
      <c r="B188" s="33" t="n">
        <f aca="false">Allcargo!D105</f>
        <v>0.404777265918875</v>
      </c>
      <c r="C188" s="33" t="n">
        <f aca="false">Allcargo!E105</f>
        <v>0.312246095112036</v>
      </c>
      <c r="D188" s="33" t="n">
        <f aca="false">Allcargo!F105</f>
        <v>0.329212827988338</v>
      </c>
      <c r="E188" s="33" t="n">
        <f aca="false">Allcargo!G105</f>
        <v>0.389196290892495</v>
      </c>
      <c r="F188" s="33" t="n">
        <f aca="false">Allcargo!H105</f>
        <v>0.35201187132511</v>
      </c>
      <c r="G188" s="33" t="n">
        <f aca="false">Allcargo!I105</f>
        <v>0.322802986789202</v>
      </c>
      <c r="H188" s="33" t="n">
        <f aca="false">Allcargo!J105</f>
        <v>0.330645161290323</v>
      </c>
      <c r="I188" s="55" t="n">
        <f aca="false">Allcargo!K105</f>
        <v>0.348698928473768</v>
      </c>
      <c r="J188" s="25" t="str">
        <f aca="false">IF(AND(ISNUMBER(I188),ISNUMBER(I$199)),IF(I188&gt;I$199,"Above",IF(I188&lt;I$199,"Below","At median")),"-")</f>
        <v>Below</v>
      </c>
      <c r="K188" s="25" t="str">
        <f aca="false">IF(J188="Above","Better",IF(J188="Below","Weaker",IF(J188="At median","In line","-")))</f>
        <v>Weaker</v>
      </c>
      <c r="L188" s="43" t="n">
        <f aca="false">IF(ISNUMBER(I188),RANK(I188,I$187:I$196,0),"-")</f>
        <v>6</v>
      </c>
    </row>
    <row r="189" customFormat="false" ht="15" hidden="false" customHeight="false" outlineLevel="0" collapsed="false">
      <c r="A189" s="16" t="s">
        <v>277</v>
      </c>
      <c r="B189" s="33" t="n">
        <f aca="false">BlueDart!D105</f>
        <v>0.185864835901378</v>
      </c>
      <c r="C189" s="33" t="n">
        <f aca="false">BlueDart!E105</f>
        <v>0.204305194603493</v>
      </c>
      <c r="D189" s="33" t="n">
        <f aca="false">BlueDart!F105</f>
        <v>0.30825874234647</v>
      </c>
      <c r="E189" s="33" t="n">
        <f aca="false">BlueDart!G105</f>
        <v>0.365977462271644</v>
      </c>
      <c r="F189" s="33" t="n">
        <f aca="false">BlueDart!H105</f>
        <v>0.395061978098183</v>
      </c>
      <c r="G189" s="33" t="n">
        <f aca="false">BlueDart!I105</f>
        <v>0.425646233987485</v>
      </c>
      <c r="H189" s="33" t="n">
        <f aca="false">BlueDart!J105</f>
        <v>0.430553569914099</v>
      </c>
      <c r="I189" s="55" t="n">
        <f aca="false">BlueDart!K105</f>
        <v>0.330809716731822</v>
      </c>
      <c r="J189" s="25" t="str">
        <f aca="false">IF(AND(ISNUMBER(I189),ISNUMBER(I$199)),IF(I189&gt;I$199,"Above",IF(I189&lt;I$199,"Below","At median")),"-")</f>
        <v>Below</v>
      </c>
      <c r="K189" s="25" t="str">
        <f aca="false">IF(J189="Above","Better",IF(J189="Below","Weaker",IF(J189="At median","In line","-")))</f>
        <v>Weaker</v>
      </c>
      <c r="L189" s="43" t="n">
        <f aca="false">IF(ISNUMBER(I189),RANK(I189,I$187:I$196,0),"-")</f>
        <v>7</v>
      </c>
    </row>
    <row r="190" customFormat="false" ht="15" hidden="false" customHeight="false" outlineLevel="0" collapsed="false">
      <c r="A190" s="16" t="s">
        <v>58</v>
      </c>
      <c r="B190" s="33" t="n">
        <f aca="false">CONCOR!D105</f>
        <v>0.852176140662801</v>
      </c>
      <c r="C190" s="33" t="n">
        <f aca="false">CONCOR!E105</f>
        <v>0.820861451438103</v>
      </c>
      <c r="D190" s="33" t="n">
        <f aca="false">CONCOR!F105</f>
        <v>0.827206193384842</v>
      </c>
      <c r="E190" s="33" t="n">
        <f aca="false">CONCOR!G105</f>
        <v>0.833715557153106</v>
      </c>
      <c r="F190" s="33" t="n">
        <f aca="false">CONCOR!H105</f>
        <v>0.842219350684135</v>
      </c>
      <c r="G190" s="33" t="n">
        <f aca="false">CONCOR!I105</f>
        <v>0.855235037569264</v>
      </c>
      <c r="H190" s="33" t="n">
        <f aca="false">CONCOR!J105</f>
        <v>0.852829310915156</v>
      </c>
      <c r="I190" s="55" t="n">
        <f aca="false">CONCOR!K105</f>
        <v>0.84060614882963</v>
      </c>
      <c r="J190" s="25" t="str">
        <f aca="false">IF(AND(ISNUMBER(I190),ISNUMBER(I$199)),IF(I190&gt;I$199,"Above",IF(I190&lt;I$199,"Below","At median")),"-")</f>
        <v>Above</v>
      </c>
      <c r="K190" s="25" t="str">
        <f aca="false">IF(J190="Above","Better",IF(J190="Below","Weaker",IF(J190="At median","In line","-")))</f>
        <v>Better</v>
      </c>
      <c r="L190" s="43" t="n">
        <f aca="false">IF(ISNUMBER(I190),RANK(I190,I$187:I$196,0),"-")</f>
        <v>1</v>
      </c>
    </row>
    <row r="191" customFormat="false" ht="15" hidden="false" customHeight="false" outlineLevel="0" collapsed="false">
      <c r="A191" s="16" t="s">
        <v>278</v>
      </c>
      <c r="B191" s="33" t="n">
        <f aca="false">JetFreight!D105</f>
        <v>0.196560756178112</v>
      </c>
      <c r="C191" s="33" t="n">
        <f aca="false">JetFreight!E105</f>
        <v>0.219313435876541</v>
      </c>
      <c r="D191" s="33" t="n">
        <f aca="false">JetFreight!F105</f>
        <v>0.221525315880375</v>
      </c>
      <c r="E191" s="33" t="n">
        <f aca="false">JetFreight!G105</f>
        <v>0.404523592876641</v>
      </c>
      <c r="F191" s="33" t="n">
        <f aca="false">JetFreight!H105</f>
        <v>0.366322701688555</v>
      </c>
      <c r="G191" s="33" t="n">
        <f aca="false">JetFreight!I105</f>
        <v>0.36216631036562</v>
      </c>
      <c r="H191" s="33" t="n">
        <f aca="false">JetFreight!J105</f>
        <v>0.375032201555979</v>
      </c>
      <c r="I191" s="55" t="n">
        <f aca="false">JetFreight!K105</f>
        <v>0.306492044917403</v>
      </c>
      <c r="J191" s="25" t="str">
        <f aca="false">IF(AND(ISNUMBER(I191),ISNUMBER(I$199)),IF(I191&gt;I$199,"Above",IF(I191&lt;I$199,"Below","At median")),"-")</f>
        <v>Below</v>
      </c>
      <c r="K191" s="25" t="str">
        <f aca="false">IF(J191="Above","Better",IF(J191="Below","Weaker",IF(J191="At median","In line","-")))</f>
        <v>Weaker</v>
      </c>
      <c r="L191" s="43" t="n">
        <f aca="false">IF(ISNUMBER(I191),RANK(I191,I$187:I$196,0),"-")</f>
        <v>8</v>
      </c>
    </row>
    <row r="192" customFormat="false" ht="15" hidden="false" customHeight="false" outlineLevel="0" collapsed="false">
      <c r="A192" s="16" t="s">
        <v>62</v>
      </c>
      <c r="B192" s="33" t="n">
        <f aca="false">Patel!D105</f>
        <v>0.579531622766444</v>
      </c>
      <c r="C192" s="33" t="n">
        <f aca="false">Patel!E105</f>
        <v>0.612821860220704</v>
      </c>
      <c r="D192" s="33" t="n">
        <f aca="false">Patel!F105</f>
        <v>0.654900865679978</v>
      </c>
      <c r="E192" s="33" t="n">
        <f aca="false">Patel!G105</f>
        <v>0.68364798141156</v>
      </c>
      <c r="F192" s="33" t="n">
        <f aca="false">Patel!H105</f>
        <v>0.621380962299521</v>
      </c>
      <c r="G192" s="33" t="n">
        <f aca="false">Patel!I105</f>
        <v>0.723649773970973</v>
      </c>
      <c r="H192" s="33" t="n">
        <f aca="false">Patel!J105</f>
        <v>0.756306637276513</v>
      </c>
      <c r="I192" s="55" t="n">
        <f aca="false">Patel!K105</f>
        <v>0.661748529089385</v>
      </c>
      <c r="J192" s="25" t="str">
        <f aca="false">IF(AND(ISNUMBER(I192),ISNUMBER(I$199)),IF(I192&gt;I$199,"Above",IF(I192&lt;I$199,"Below","At median")),"-")</f>
        <v>Above</v>
      </c>
      <c r="K192" s="25" t="str">
        <f aca="false">IF(J192="Above","Better",IF(J192="Below","Weaker",IF(J192="At median","In line","-")))</f>
        <v>Better</v>
      </c>
      <c r="L192" s="43" t="n">
        <f aca="false">IF(ISNUMBER(I192),RANK(I192,I$187:I$196,0),"-")</f>
        <v>3</v>
      </c>
    </row>
    <row r="193" customFormat="false" ht="15" hidden="false" customHeight="false" outlineLevel="0" collapsed="false">
      <c r="A193" s="16" t="s">
        <v>64</v>
      </c>
      <c r="B193" s="33" t="n">
        <f aca="false">Sical!D105</f>
        <v>0.177705335135565</v>
      </c>
      <c r="C193" s="33" t="n">
        <f aca="false">Sical!E105</f>
        <v>-0.385821404226312</v>
      </c>
      <c r="D193" s="33" t="n">
        <f aca="false">Sical!F105</f>
        <v>-0.594597529350145</v>
      </c>
      <c r="E193" s="33" t="n">
        <f aca="false">Sical!G105</f>
        <v>0.067489691176656</v>
      </c>
      <c r="F193" s="33" t="n">
        <f aca="false">Sical!H105</f>
        <v>0.0374182453031764</v>
      </c>
      <c r="G193" s="33" t="n">
        <f aca="false">Sical!I105</f>
        <v>-0.00555355043019641</v>
      </c>
      <c r="H193" s="33" t="n">
        <f aca="false">Sical!J105</f>
        <v>0.144795032699922</v>
      </c>
      <c r="I193" s="55" t="n">
        <f aca="false">Sical!K105</f>
        <v>-0.0797948828130478</v>
      </c>
      <c r="J193" s="25" t="str">
        <f aca="false">IF(AND(ISNUMBER(I193),ISNUMBER(I$199)),IF(I193&gt;I$199,"Above",IF(I193&lt;I$199,"Below","At median")),"-")</f>
        <v>Below</v>
      </c>
      <c r="K193" s="25" t="str">
        <f aca="false">IF(J193="Above","Better",IF(J193="Below","Weaker",IF(J193="At median","In line","-")))</f>
        <v>Weaker</v>
      </c>
      <c r="L193" s="43" t="n">
        <f aca="false">IF(ISNUMBER(I193),RANK(I193,I$187:I$196,0),"-")</f>
        <v>10</v>
      </c>
    </row>
    <row r="194" customFormat="false" ht="15" hidden="false" customHeight="false" outlineLevel="0" collapsed="false">
      <c r="A194" s="16" t="s">
        <v>66</v>
      </c>
      <c r="B194" s="33" t="n">
        <f aca="false">TCI!D105</f>
        <v>0.608256303020222</v>
      </c>
      <c r="C194" s="33" t="n">
        <f aca="false">TCI!E105</f>
        <v>0.672707196300919</v>
      </c>
      <c r="D194" s="33" t="n">
        <f aca="false">TCI!F105</f>
        <v>0.782844288271129</v>
      </c>
      <c r="E194" s="33" t="n">
        <f aca="false">TCI!G105</f>
        <v>0.810025179565046</v>
      </c>
      <c r="F194" s="33" t="n">
        <f aca="false">TCI!H105</f>
        <v>0.801079395538499</v>
      </c>
      <c r="G194" s="33" t="n">
        <f aca="false">TCI!I105</f>
        <v>0.734399443768469</v>
      </c>
      <c r="H194" s="33" t="n">
        <f aca="false">TCI!J105</f>
        <v>0.736959556099326</v>
      </c>
      <c r="I194" s="55" t="n">
        <f aca="false">TCI!K105</f>
        <v>0.735181623223373</v>
      </c>
      <c r="J194" s="25" t="str">
        <f aca="false">IF(AND(ISNUMBER(I194),ISNUMBER(I$199)),IF(I194&gt;I$199,"Above",IF(I194&lt;I$199,"Below","At median")),"-")</f>
        <v>Above</v>
      </c>
      <c r="K194" s="25" t="str">
        <f aca="false">IF(J194="Above","Better",IF(J194="Below","Weaker",IF(J194="At median","In line","-")))</f>
        <v>Better</v>
      </c>
      <c r="L194" s="43" t="n">
        <f aca="false">IF(ISNUMBER(I194),RANK(I194,I$187:I$196,0),"-")</f>
        <v>2</v>
      </c>
    </row>
    <row r="195" customFormat="false" ht="15" hidden="false" customHeight="false" outlineLevel="0" collapsed="false">
      <c r="A195" s="16" t="s">
        <v>68</v>
      </c>
      <c r="B195" s="33" t="n">
        <f aca="false">Shreeji!D105</f>
        <v>0.318210459987398</v>
      </c>
      <c r="C195" s="33" t="n">
        <f aca="false">Shreeji!E105</f>
        <v>0.294706025859966</v>
      </c>
      <c r="D195" s="33" t="n">
        <f aca="false">Shreeji!F105</f>
        <v>0.35852215649068</v>
      </c>
      <c r="E195" s="33" t="n">
        <f aca="false">Shreeji!G105</f>
        <v>0.389929294859545</v>
      </c>
      <c r="F195" s="33" t="n">
        <f aca="false">Shreeji!H105</f>
        <v>0.464700996677741</v>
      </c>
      <c r="G195" s="33" t="n">
        <f aca="false">Shreeji!I105</f>
        <v>0.493782068005914</v>
      </c>
      <c r="H195" s="33" t="n">
        <f aca="false">Shreeji!J105</f>
        <v>0.502928380187416</v>
      </c>
      <c r="I195" s="55" t="n">
        <f aca="false">Shreeji!K105</f>
        <v>0.40325419743838</v>
      </c>
      <c r="J195" s="25" t="str">
        <f aca="false">IF(AND(ISNUMBER(I195),ISNUMBER(I$199)),IF(I195&gt;I$199,"Above",IF(I195&lt;I$199,"Below","At median")),"-")</f>
        <v>Above</v>
      </c>
      <c r="K195" s="25" t="str">
        <f aca="false">IF(J195="Above","Better",IF(J195="Below","Weaker",IF(J195="At median","In line","-")))</f>
        <v>Better</v>
      </c>
      <c r="L195" s="43" t="n">
        <f aca="false">IF(ISNUMBER(I195),RANK(I195,I$187:I$196,0),"-")</f>
        <v>5</v>
      </c>
    </row>
    <row r="196" customFormat="false" ht="15" hidden="false" customHeight="false" outlineLevel="0" collapsed="false">
      <c r="A196" s="16" t="s">
        <v>279</v>
      </c>
      <c r="B196" s="33" t="n">
        <f aca="false">MahindraLog!D105</f>
        <v>0.383059978619254</v>
      </c>
      <c r="C196" s="33" t="n">
        <f aca="false">MahindraLog!E105</f>
        <v>0.336741892076138</v>
      </c>
      <c r="D196" s="33" t="n">
        <f aca="false">MahindraLog!F105</f>
        <v>0.276637103632608</v>
      </c>
      <c r="E196" s="33" t="n">
        <f aca="false">MahindraLog!G105</f>
        <v>0.220009087561792</v>
      </c>
      <c r="F196" s="33" t="n">
        <f aca="false">MahindraLog!H105</f>
        <v>0.198801065719361</v>
      </c>
      <c r="G196" s="33" t="n">
        <f aca="false">MahindraLog!I105</f>
        <v>0.169799906933457</v>
      </c>
      <c r="H196" s="33" t="n">
        <f aca="false">MahindraLog!J105</f>
        <v>0.378349828180908</v>
      </c>
      <c r="I196" s="55" t="n">
        <f aca="false">MahindraLog!K105</f>
        <v>0.280485551817645</v>
      </c>
      <c r="J196" s="25" t="str">
        <f aca="false">IF(AND(ISNUMBER(I196),ISNUMBER(I$199)),IF(I196&gt;I$199,"Above",IF(I196&lt;I$199,"Below","At median")),"-")</f>
        <v>Below</v>
      </c>
      <c r="K196" s="25" t="str">
        <f aca="false">IF(J196="Above","Better",IF(J196="Below","Weaker",IF(J196="At median","In line","-")))</f>
        <v>Weaker</v>
      </c>
      <c r="L196" s="43" t="n">
        <f aca="false">IF(ISNUMBER(I196),RANK(I196,I$187:I$196,0),"-")</f>
        <v>9</v>
      </c>
    </row>
    <row r="197" customFormat="false" ht="15" hidden="false" customHeight="false" outlineLevel="0" collapsed="false">
      <c r="A197" s="46" t="s">
        <v>328</v>
      </c>
      <c r="B197" s="34" t="n">
        <f aca="false">Industry!D106</f>
        <v>0.573503321478897</v>
      </c>
      <c r="C197" s="34" t="n">
        <f aca="false">Industry!E106</f>
        <v>0.507821374491937</v>
      </c>
      <c r="D197" s="34" t="n">
        <f aca="false">Industry!F106</f>
        <v>0.513796294728583</v>
      </c>
      <c r="E197" s="34" t="n">
        <f aca="false">Industry!G106</f>
        <v>0.596843360356786</v>
      </c>
      <c r="F197" s="34" t="n">
        <f aca="false">Industry!H106</f>
        <v>0.598857879714879</v>
      </c>
      <c r="G197" s="34" t="n">
        <f aca="false">Industry!I106</f>
        <v>0.649222579037891</v>
      </c>
      <c r="H197" s="34" t="n">
        <f aca="false">Industry!J106</f>
        <v>0.668959660123163</v>
      </c>
      <c r="I197" s="34" t="n">
        <f aca="false">Industry!K106</f>
        <v>0.587000638561734</v>
      </c>
      <c r="J197" s="47"/>
      <c r="K197" s="47"/>
      <c r="L197" s="47"/>
    </row>
    <row r="198" customFormat="false" ht="15" hidden="false" customHeight="false" outlineLevel="0" collapsed="false">
      <c r="A198" s="52" t="s">
        <v>329</v>
      </c>
      <c r="B198" s="56" t="n">
        <f aca="false">IF(COUNT(B187:B196)=0,"N/M",AVERAGE(B187:B196))</f>
        <v>0.4207522205373</v>
      </c>
      <c r="C198" s="56" t="n">
        <f aca="false">IF(COUNT(C187:C196)=0,"N/M",AVERAGE(C187:C196))</f>
        <v>0.358853768047566</v>
      </c>
      <c r="D198" s="56" t="n">
        <f aca="false">IF(COUNT(D187:D196)=0,"N/M",AVERAGE(D187:D196))</f>
        <v>0.377836563442737</v>
      </c>
      <c r="E198" s="56" t="n">
        <f aca="false">IF(COUNT(E187:E196)=0,"N/M",AVERAGE(E187:E196))</f>
        <v>0.498143322403742</v>
      </c>
      <c r="F198" s="56" t="n">
        <f aca="false">IF(COUNT(F187:F196)=0,"N/M",AVERAGE(F187:F196))</f>
        <v>0.485090073225976</v>
      </c>
      <c r="G198" s="56" t="n">
        <f aca="false">IF(COUNT(G187:G196)=0,"N/M",AVERAGE(G187:G196))</f>
        <v>0.478865824315396</v>
      </c>
      <c r="H198" s="56" t="n">
        <f aca="false">IF(COUNT(H187:H196)=0,"N/M",AVERAGE(H187:H196))</f>
        <v>0.511756881984533</v>
      </c>
      <c r="I198" s="56" t="n">
        <f aca="false">IF(COUNT(I187:I196)=0,"N/M",AVERAGE(I187:I196))</f>
        <v>0.44732837913675</v>
      </c>
      <c r="J198" s="54"/>
      <c r="K198" s="54"/>
      <c r="L198" s="54"/>
    </row>
    <row r="199" customFormat="false" ht="15" hidden="false" customHeight="false" outlineLevel="0" collapsed="false">
      <c r="A199" s="28" t="s">
        <v>281</v>
      </c>
      <c r="B199" s="35" t="n">
        <f aca="false">IF(COUNT(B187:B196)=0,"N/M",MEDIAN(B187:B196))</f>
        <v>0.393918622269064</v>
      </c>
      <c r="C199" s="35" t="n">
        <f aca="false">IF(COUNT(C187:C196)=0,"N/M",MEDIAN(C187:C196))</f>
        <v>0.324493993594087</v>
      </c>
      <c r="D199" s="35" t="n">
        <f aca="false">IF(COUNT(D187:D196)=0,"N/M",MEDIAN(D187:D196))</f>
        <v>0.343867492239509</v>
      </c>
      <c r="E199" s="35" t="n">
        <f aca="false">IF(COUNT(E187:E196)=0,"N/M",MEDIAN(E187:E196))</f>
        <v>0.397226443868093</v>
      </c>
      <c r="F199" s="35" t="n">
        <f aca="false">IF(COUNT(F187:F196)=0,"N/M",MEDIAN(F187:F196))</f>
        <v>0.429881487387962</v>
      </c>
      <c r="G199" s="35" t="n">
        <f aca="false">IF(COUNT(G187:G196)=0,"N/M",MEDIAN(G187:G196))</f>
        <v>0.459714150996699</v>
      </c>
      <c r="H199" s="35" t="n">
        <f aca="false">IF(COUNT(H187:H196)=0,"N/M",MEDIAN(H187:H196))</f>
        <v>0.466740975050758</v>
      </c>
      <c r="I199" s="35" t="n">
        <f aca="false">IF(COUNT(I187:I196)=0,"N/M",MEDIAN(I187:I196))</f>
        <v>0.375976562956074</v>
      </c>
      <c r="J199" s="54"/>
      <c r="K199" s="54"/>
      <c r="L199" s="54"/>
    </row>
    <row r="200" customFormat="false" ht="15" hidden="false" customHeight="false" outlineLevel="0" collapsed="false">
      <c r="A200" s="52" t="s">
        <v>330</v>
      </c>
      <c r="B200" s="56" t="n">
        <f aca="false">IF(COUNT(B187:B196)&lt;2,"N/M",STDEV(B187:B196))</f>
        <v>0.218503099219553</v>
      </c>
      <c r="C200" s="56" t="n">
        <f aca="false">IF(COUNT(C187:C196)&lt;2,"N/M",STDEV(C187:C196))</f>
        <v>0.333539393133468</v>
      </c>
      <c r="D200" s="56" t="n">
        <f aca="false">IF(COUNT(D187:D196)&lt;2,"N/M",STDEV(D187:D196))</f>
        <v>0.406381724836277</v>
      </c>
      <c r="E200" s="56" t="n">
        <f aca="false">IF(COUNT(E187:E196)&lt;2,"N/M",STDEV(E187:E196))</f>
        <v>0.270502081765728</v>
      </c>
      <c r="F200" s="56" t="n">
        <f aca="false">IF(COUNT(F187:F196)&lt;2,"N/M",STDEV(F187:F196))</f>
        <v>0.268935314884443</v>
      </c>
      <c r="G200" s="56" t="n">
        <f aca="false">IF(COUNT(G187:G196)&lt;2,"N/M",STDEV(G187:G196))</f>
        <v>0.276888579967255</v>
      </c>
      <c r="H200" s="56" t="n">
        <f aca="false">IF(COUNT(H187:H196)&lt;2,"N/M",STDEV(H187:H196))</f>
        <v>0.222851677666155</v>
      </c>
      <c r="I200" s="56" t="n">
        <f aca="false">IF(COUNT(I187:I196)&lt;2,"N/M",STDEV(I187:I196))</f>
        <v>0.273591723983044</v>
      </c>
      <c r="J200" s="54"/>
      <c r="K200" s="54"/>
      <c r="L200" s="54"/>
    </row>
    <row r="201" customFormat="false" ht="15" hidden="false" customHeight="false" outlineLevel="0" collapsed="false">
      <c r="A201" s="52" t="s">
        <v>269</v>
      </c>
      <c r="B201" s="56" t="n">
        <f aca="false">IF(COUNT(B187:B196)=0,"N/M",MIN(B187:B196))</f>
        <v>0.177705335135565</v>
      </c>
      <c r="C201" s="56" t="n">
        <f aca="false">IF(COUNT(C187:C196)=0,"N/M",MIN(C187:C196))</f>
        <v>-0.385821404226312</v>
      </c>
      <c r="D201" s="56" t="n">
        <f aca="false">IF(COUNT(D187:D196)=0,"N/M",MIN(D187:D196))</f>
        <v>-0.594597529350145</v>
      </c>
      <c r="E201" s="56" t="n">
        <f aca="false">IF(COUNT(E187:E196)=0,"N/M",MIN(E187:E196))</f>
        <v>0.067489691176656</v>
      </c>
      <c r="F201" s="56" t="n">
        <f aca="false">IF(COUNT(F187:F196)=0,"N/M",MIN(F187:F196))</f>
        <v>0.0374182453031764</v>
      </c>
      <c r="G201" s="56" t="n">
        <f aca="false">IF(COUNT(G187:G196)=0,"N/M",MIN(G187:G196))</f>
        <v>-0.00555355043019641</v>
      </c>
      <c r="H201" s="56" t="n">
        <f aca="false">IF(COUNT(H187:H196)=0,"N/M",MIN(H187:H196))</f>
        <v>0.144795032699922</v>
      </c>
      <c r="I201" s="56" t="n">
        <f aca="false">IF(COUNT(I187:I196)=0,"N/M",MIN(I187:I196))</f>
        <v>-0.0797948828130478</v>
      </c>
      <c r="J201" s="54"/>
      <c r="K201" s="54"/>
      <c r="L201" s="54"/>
    </row>
    <row r="202" customFormat="false" ht="15" hidden="false" customHeight="false" outlineLevel="0" collapsed="false">
      <c r="A202" s="52" t="s">
        <v>270</v>
      </c>
      <c r="B202" s="56" t="n">
        <f aca="false">IF(COUNT(B187:B196)=0,"N/M",MAX(B187:B196))</f>
        <v>0.852176140662801</v>
      </c>
      <c r="C202" s="56" t="n">
        <f aca="false">IF(COUNT(C187:C196)=0,"N/M",MAX(C187:C196))</f>
        <v>0.820861451438103</v>
      </c>
      <c r="D202" s="56" t="n">
        <f aca="false">IF(COUNT(D187:D196)=0,"N/M",MAX(D187:D196))</f>
        <v>0.827206193384842</v>
      </c>
      <c r="E202" s="56" t="n">
        <f aca="false">IF(COUNT(E187:E196)=0,"N/M",MAX(E187:E196))</f>
        <v>0.833715557153106</v>
      </c>
      <c r="F202" s="56" t="n">
        <f aca="false">IF(COUNT(F187:F196)=0,"N/M",MAX(F187:F196))</f>
        <v>0.842219350684135</v>
      </c>
      <c r="G202" s="56" t="n">
        <f aca="false">IF(COUNT(G187:G196)=0,"N/M",MAX(G187:G196))</f>
        <v>0.855235037569264</v>
      </c>
      <c r="H202" s="56" t="n">
        <f aca="false">IF(COUNT(H187:H196)=0,"N/M",MAX(H187:H196))</f>
        <v>0.852829310915156</v>
      </c>
      <c r="I202" s="56" t="n">
        <f aca="false">IF(COUNT(I187:I196)=0,"N/M",MAX(I187:I196))</f>
        <v>0.84060614882963</v>
      </c>
      <c r="J202" s="54"/>
      <c r="K202" s="54"/>
      <c r="L202" s="54"/>
    </row>
    <row r="204" customFormat="false" ht="16.5" hidden="false" customHeight="true" outlineLevel="0" collapsed="false">
      <c r="A204" s="49" t="s">
        <v>341</v>
      </c>
      <c r="B204" s="49"/>
      <c r="C204" s="49"/>
      <c r="D204" s="49"/>
      <c r="E204" s="49"/>
      <c r="F204" s="49"/>
      <c r="G204" s="49"/>
      <c r="H204" s="49"/>
      <c r="I204" s="49"/>
      <c r="J204" s="49"/>
      <c r="K204" s="49"/>
      <c r="L204" s="49"/>
    </row>
    <row r="205" customFormat="false" ht="15" hidden="false" customHeight="false" outlineLevel="0" collapsed="false">
      <c r="A205" s="16" t="s">
        <v>52</v>
      </c>
      <c r="B205" s="33" t="n">
        <f aca="false">Tiger!D106</f>
        <v>0.695825426944972</v>
      </c>
      <c r="C205" s="33" t="n">
        <f aca="false">Tiger!E106</f>
        <v>0.356360171510243</v>
      </c>
      <c r="D205" s="33" t="n">
        <f aca="false">Tiger!F106</f>
        <v>0</v>
      </c>
      <c r="E205" s="33" t="n">
        <f aca="false">Tiger!G106</f>
        <v>0</v>
      </c>
      <c r="F205" s="33" t="n">
        <f aca="false">Tiger!H106</f>
        <v>0.108634846160787</v>
      </c>
      <c r="G205" s="33" t="n">
        <f aca="false">Tiger!I106</f>
        <v>0.248590021691974</v>
      </c>
      <c r="H205" s="33" t="n">
        <f aca="false">Tiger!J106</f>
        <v>0.316914614326791</v>
      </c>
      <c r="I205" s="55" t="n">
        <f aca="false">Tiger!K106</f>
        <v>0.246617868662109</v>
      </c>
      <c r="J205" s="25" t="str">
        <f aca="false">IF(AND(ISNUMBER(I205),ISNUMBER(I$217)),IF(I205&gt;I$217,"Above",IF(I205&lt;I$217,"Below","At median")),"-")</f>
        <v>Below</v>
      </c>
      <c r="K205" s="25" t="str">
        <f aca="false">IF(J205="Below","Better",IF(J205="Above","Weaker",IF(J205="At median","In line","-")))</f>
        <v>Better</v>
      </c>
      <c r="L205" s="43" t="n">
        <f aca="false">IF(ISNUMBER(I205),RANK(I205,I$205:I$214,1),"-")</f>
        <v>3</v>
      </c>
    </row>
    <row r="206" customFormat="false" ht="15" hidden="false" customHeight="false" outlineLevel="0" collapsed="false">
      <c r="A206" s="16" t="s">
        <v>54</v>
      </c>
      <c r="B206" s="33" t="n">
        <f aca="false">Allcargo!D106</f>
        <v>0.7472340028895</v>
      </c>
      <c r="C206" s="33" t="n">
        <f aca="false">Allcargo!E106</f>
        <v>0.904459742329891</v>
      </c>
      <c r="D206" s="33" t="n">
        <f aca="false">Allcargo!F106</f>
        <v>0.732917742017105</v>
      </c>
      <c r="E206" s="33" t="n">
        <f aca="false">Allcargo!G106</f>
        <v>0.419121461719411</v>
      </c>
      <c r="F206" s="33" t="n">
        <f aca="false">Allcargo!H106</f>
        <v>0.73212168319698</v>
      </c>
      <c r="G206" s="33" t="n">
        <f aca="false">Allcargo!I106</f>
        <v>1.38967971530249</v>
      </c>
      <c r="H206" s="33" t="n">
        <f aca="false">Allcargo!J106</f>
        <v>1.20731707317073</v>
      </c>
      <c r="I206" s="55" t="n">
        <f aca="false">Allcargo!K106</f>
        <v>0.876121631518016</v>
      </c>
      <c r="J206" s="25" t="str">
        <f aca="false">IF(AND(ISNUMBER(I206),ISNUMBER(I$217)),IF(I206&gt;I$217,"Above",IF(I206&lt;I$217,"Below","At median")),"-")</f>
        <v>Below</v>
      </c>
      <c r="K206" s="25" t="str">
        <f aca="false">IF(J206="Below","Better",IF(J206="Above","Weaker",IF(J206="At median","In line","-")))</f>
        <v>Better</v>
      </c>
      <c r="L206" s="43" t="n">
        <f aca="false">IF(ISNUMBER(I206),RANK(I206,I$205:I$214,1),"-")</f>
        <v>5</v>
      </c>
    </row>
    <row r="207" customFormat="false" ht="15" hidden="false" customHeight="false" outlineLevel="0" collapsed="false">
      <c r="A207" s="16" t="s">
        <v>277</v>
      </c>
      <c r="B207" s="33" t="n">
        <f aca="false">BlueDart!D106</f>
        <v>1.07980359798708</v>
      </c>
      <c r="C207" s="33" t="n">
        <f aca="false">BlueDart!E106</f>
        <v>2.57137306574769</v>
      </c>
      <c r="D207" s="33" t="n">
        <f aca="false">BlueDart!F106</f>
        <v>1.22242227548481</v>
      </c>
      <c r="E207" s="33" t="n">
        <f aca="false">BlueDart!G106</f>
        <v>0.949625284004205</v>
      </c>
      <c r="F207" s="33" t="n">
        <f aca="false">BlueDart!H106</f>
        <v>0.784738932324998</v>
      </c>
      <c r="G207" s="33" t="n">
        <f aca="false">BlueDart!I106</f>
        <v>0.645903889573071</v>
      </c>
      <c r="H207" s="33" t="n">
        <f aca="false">BlueDart!J106</f>
        <v>0.642661368842264</v>
      </c>
      <c r="I207" s="55" t="n">
        <f aca="false">BlueDart!K106</f>
        <v>1.12807548770916</v>
      </c>
      <c r="J207" s="25" t="str">
        <f aca="false">IF(AND(ISNUMBER(I207),ISNUMBER(I$217)),IF(I207&gt;I$217,"Above",IF(I207&lt;I$217,"Below","At median")),"-")</f>
        <v>Above</v>
      </c>
      <c r="K207" s="25" t="str">
        <f aca="false">IF(J207="Below","Better",IF(J207="Above","Weaker",IF(J207="At median","In line","-")))</f>
        <v>Weaker</v>
      </c>
      <c r="L207" s="43" t="n">
        <f aca="false">IF(ISNUMBER(I207),RANK(I207,I$205:I$214,1),"-")</f>
        <v>7</v>
      </c>
    </row>
    <row r="208" customFormat="false" ht="15" hidden="false" customHeight="false" outlineLevel="0" collapsed="false">
      <c r="A208" s="16" t="s">
        <v>58</v>
      </c>
      <c r="B208" s="33" t="n">
        <f aca="false">CONCOR!D106</f>
        <v>0.00696787808204179</v>
      </c>
      <c r="C208" s="33" t="n">
        <f aca="false">CONCOR!E106</f>
        <v>0.0709641257806319</v>
      </c>
      <c r="D208" s="33" t="n">
        <f aca="false">CONCOR!F106</f>
        <v>0.0683628452287424</v>
      </c>
      <c r="E208" s="33" t="n">
        <f aca="false">CONCOR!G106</f>
        <v>0.0693602279701729</v>
      </c>
      <c r="F208" s="33" t="n">
        <f aca="false">CONCOR!H106</f>
        <v>0.0793946821548463</v>
      </c>
      <c r="G208" s="33" t="n">
        <f aca="false">CONCOR!I106</f>
        <v>0.0695766088974968</v>
      </c>
      <c r="H208" s="33" t="n">
        <f aca="false">CONCOR!J106</f>
        <v>0.0745281961931179</v>
      </c>
      <c r="I208" s="55" t="n">
        <f aca="false">CONCOR!K106</f>
        <v>0.0627363663295786</v>
      </c>
      <c r="J208" s="25" t="str">
        <f aca="false">IF(AND(ISNUMBER(I208),ISNUMBER(I$217)),IF(I208&gt;I$217,"Above",IF(I208&lt;I$217,"Below","At median")),"-")</f>
        <v>Below</v>
      </c>
      <c r="K208" s="25" t="str">
        <f aca="false">IF(J208="Below","Better",IF(J208="Above","Weaker",IF(J208="At median","In line","-")))</f>
        <v>Better</v>
      </c>
      <c r="L208" s="43" t="n">
        <f aca="false">IF(ISNUMBER(I208),RANK(I208,I$205:I$214,1),"-")</f>
        <v>1</v>
      </c>
    </row>
    <row r="209" customFormat="false" ht="15" hidden="false" customHeight="false" outlineLevel="0" collapsed="false">
      <c r="A209" s="16" t="s">
        <v>278</v>
      </c>
      <c r="B209" s="33" t="n">
        <f aca="false">JetFreight!D106</f>
        <v>2.15990730011588</v>
      </c>
      <c r="C209" s="33" t="n">
        <f aca="false">JetFreight!E106</f>
        <v>1.44310264746865</v>
      </c>
      <c r="D209" s="33" t="n">
        <f aca="false">JetFreight!F106</f>
        <v>2.0201066885515</v>
      </c>
      <c r="E209" s="33" t="n">
        <f aca="false">JetFreight!G106</f>
        <v>0.977988431876607</v>
      </c>
      <c r="F209" s="33" t="n">
        <f aca="false">JetFreight!H106</f>
        <v>0.893085787451985</v>
      </c>
      <c r="G209" s="33" t="n">
        <f aca="false">JetFreight!I106</f>
        <v>0.97381565006811</v>
      </c>
      <c r="H209" s="33" t="n">
        <f aca="false">JetFreight!J106</f>
        <v>1.01758483308147</v>
      </c>
      <c r="I209" s="55" t="n">
        <f aca="false">JetFreight!K106</f>
        <v>1.35508447694488</v>
      </c>
      <c r="J209" s="25" t="str">
        <f aca="false">IF(AND(ISNUMBER(I209),ISNUMBER(I$217)),IF(I209&gt;I$217,"Above",IF(I209&lt;I$217,"Below","At median")),"-")</f>
        <v>Above</v>
      </c>
      <c r="K209" s="25" t="str">
        <f aca="false">IF(J209="Below","Better",IF(J209="Above","Weaker",IF(J209="At median","In line","-")))</f>
        <v>Weaker</v>
      </c>
      <c r="L209" s="43" t="n">
        <f aca="false">IF(ISNUMBER(I209),RANK(I209,I$205:I$214,1),"-")</f>
        <v>9</v>
      </c>
    </row>
    <row r="210" customFormat="false" ht="15" hidden="false" customHeight="false" outlineLevel="0" collapsed="false">
      <c r="A210" s="16" t="s">
        <v>62</v>
      </c>
      <c r="B210" s="33" t="n">
        <f aca="false">Patel!D106</f>
        <v>0.510123498277745</v>
      </c>
      <c r="C210" s="33" t="n">
        <f aca="false">Patel!E106</f>
        <v>0.529240267535586</v>
      </c>
      <c r="D210" s="33" t="n">
        <f aca="false">Patel!F106</f>
        <v>0.409176189663995</v>
      </c>
      <c r="E210" s="33" t="n">
        <f aca="false">Patel!G106</f>
        <v>0.265613051236299</v>
      </c>
      <c r="F210" s="33" t="n">
        <f aca="false">Patel!H106</f>
        <v>0.202128551076846</v>
      </c>
      <c r="G210" s="33" t="n">
        <f aca="false">Patel!I106</f>
        <v>0.107430544139405</v>
      </c>
      <c r="H210" s="33" t="n">
        <f aca="false">Patel!J106</f>
        <v>0.0506800518134715</v>
      </c>
      <c r="I210" s="55" t="n">
        <f aca="false">Patel!K106</f>
        <v>0.296341736249049</v>
      </c>
      <c r="J210" s="25" t="str">
        <f aca="false">IF(AND(ISNUMBER(I210),ISNUMBER(I$217)),IF(I210&gt;I$217,"Above",IF(I210&lt;I$217,"Below","At median")),"-")</f>
        <v>Below</v>
      </c>
      <c r="K210" s="25" t="str">
        <f aca="false">IF(J210="Below","Better",IF(J210="Above","Weaker",IF(J210="At median","In line","-")))</f>
        <v>Better</v>
      </c>
      <c r="L210" s="43" t="n">
        <f aca="false">IF(ISNUMBER(I210),RANK(I210,I$205:I$214,1),"-")</f>
        <v>4</v>
      </c>
    </row>
    <row r="211" customFormat="false" ht="15" hidden="false" customHeight="false" outlineLevel="0" collapsed="false">
      <c r="A211" s="16" t="s">
        <v>64</v>
      </c>
      <c r="B211" s="33" t="n">
        <f aca="false">Sical!D106</f>
        <v>2.60168802115111</v>
      </c>
      <c r="C211" s="33" t="str">
        <f aca="false">Sical!E106</f>
        <v>N/M</v>
      </c>
      <c r="D211" s="33" t="str">
        <f aca="false">Sical!F106</f>
        <v>N/M</v>
      </c>
      <c r="E211" s="33" t="n">
        <f aca="false">Sical!G106</f>
        <v>9.03344544095665</v>
      </c>
      <c r="F211" s="33" t="n">
        <f aca="false">Sical!H106</f>
        <v>17.6619080779944</v>
      </c>
      <c r="G211" s="33" t="str">
        <f aca="false">Sical!I106</f>
        <v>N/M</v>
      </c>
      <c r="H211" s="33" t="n">
        <f aca="false">Sical!J106</f>
        <v>3.69449310686267</v>
      </c>
      <c r="I211" s="55" t="n">
        <f aca="false">Sical!K106</f>
        <v>8.24788366174122</v>
      </c>
      <c r="J211" s="25" t="str">
        <f aca="false">IF(AND(ISNUMBER(I211),ISNUMBER(I$217)),IF(I211&gt;I$217,"Above",IF(I211&lt;I$217,"Below","At median")),"-")</f>
        <v>Above</v>
      </c>
      <c r="K211" s="25" t="str">
        <f aca="false">IF(J211="Below","Better",IF(J211="Above","Weaker",IF(J211="At median","In line","-")))</f>
        <v>Weaker</v>
      </c>
      <c r="L211" s="43" t="n">
        <f aca="false">IF(ISNUMBER(I211),RANK(I211,I$205:I$214,1),"-")</f>
        <v>10</v>
      </c>
    </row>
    <row r="212" customFormat="false" ht="15" hidden="false" customHeight="false" outlineLevel="0" collapsed="false">
      <c r="A212" s="16" t="s">
        <v>66</v>
      </c>
      <c r="B212" s="33" t="n">
        <f aca="false">TCI!D106</f>
        <v>0.41220248268857</v>
      </c>
      <c r="C212" s="33" t="n">
        <f aca="false">TCI!E106</f>
        <v>0.254319446700464</v>
      </c>
      <c r="D212" s="33" t="n">
        <f aca="false">TCI!F106</f>
        <v>0.0672805324831502</v>
      </c>
      <c r="E212" s="33" t="n">
        <f aca="false">TCI!G106</f>
        <v>0.0539843341422855</v>
      </c>
      <c r="F212" s="33" t="n">
        <f aca="false">TCI!H106</f>
        <v>0.0966553882085217</v>
      </c>
      <c r="G212" s="33" t="n">
        <f aca="false">TCI!I106</f>
        <v>0.112245040027845</v>
      </c>
      <c r="H212" s="33" t="n">
        <f aca="false">TCI!J106</f>
        <v>0.121746382487851</v>
      </c>
      <c r="I212" s="55" t="n">
        <f aca="false">TCI!K106</f>
        <v>0.159776229534098</v>
      </c>
      <c r="J212" s="25" t="str">
        <f aca="false">IF(AND(ISNUMBER(I212),ISNUMBER(I$217)),IF(I212&gt;I$217,"Above",IF(I212&lt;I$217,"Below","At median")),"-")</f>
        <v>Below</v>
      </c>
      <c r="K212" s="25" t="str">
        <f aca="false">IF(J212="Below","Better",IF(J212="Above","Weaker",IF(J212="At median","In line","-")))</f>
        <v>Better</v>
      </c>
      <c r="L212" s="43" t="n">
        <f aca="false">IF(ISNUMBER(I212),RANK(I212,I$205:I$214,1),"-")</f>
        <v>2</v>
      </c>
    </row>
    <row r="213" customFormat="false" ht="15" hidden="false" customHeight="false" outlineLevel="0" collapsed="false">
      <c r="A213" s="16" t="s">
        <v>68</v>
      </c>
      <c r="B213" s="33" t="n">
        <f aca="false">Shreeji!D106</f>
        <v>1.80316831683168</v>
      </c>
      <c r="C213" s="33" t="n">
        <f aca="false">Shreeji!E106</f>
        <v>1.96523178807947</v>
      </c>
      <c r="D213" s="33" t="n">
        <f aca="false">Shreeji!F106</f>
        <v>1.39663760896638</v>
      </c>
      <c r="E213" s="33" t="n">
        <f aca="false">Shreeji!G106</f>
        <v>1.12643959813771</v>
      </c>
      <c r="F213" s="33" t="n">
        <f aca="false">Shreeji!H106</f>
        <v>0.835746201966041</v>
      </c>
      <c r="G213" s="33" t="n">
        <f aca="false">Shreeji!I106</f>
        <v>0.731947868967947</v>
      </c>
      <c r="H213" s="33" t="n">
        <f aca="false">Shreeji!J106</f>
        <v>0.666611212776576</v>
      </c>
      <c r="I213" s="55" t="n">
        <f aca="false">Shreeji!K106</f>
        <v>1.21796894224654</v>
      </c>
      <c r="J213" s="25" t="str">
        <f aca="false">IF(AND(ISNUMBER(I213),ISNUMBER(I$217)),IF(I213&gt;I$217,"Above",IF(I213&lt;I$217,"Below","At median")),"-")</f>
        <v>Above</v>
      </c>
      <c r="K213" s="25" t="str">
        <f aca="false">IF(J213="Below","Better",IF(J213="Above","Weaker",IF(J213="At median","In line","-")))</f>
        <v>Weaker</v>
      </c>
      <c r="L213" s="43" t="n">
        <f aca="false">IF(ISNUMBER(I213),RANK(I213,I$205:I$214,1),"-")</f>
        <v>8</v>
      </c>
    </row>
    <row r="214" customFormat="false" ht="15" hidden="false" customHeight="false" outlineLevel="0" collapsed="false">
      <c r="A214" s="16" t="s">
        <v>279</v>
      </c>
      <c r="B214" s="33" t="n">
        <f aca="false">MahindraLog!D106</f>
        <v>0.369595152850454</v>
      </c>
      <c r="C214" s="33" t="n">
        <f aca="false">MahindraLog!E106</f>
        <v>0.474386508467416</v>
      </c>
      <c r="D214" s="33" t="n">
        <f aca="false">MahindraLog!F106</f>
        <v>0.736385595081247</v>
      </c>
      <c r="E214" s="33" t="n">
        <f aca="false">MahindraLog!G106</f>
        <v>1.48494667687432</v>
      </c>
      <c r="F214" s="33" t="n">
        <f aca="false">MahindraLog!H106</f>
        <v>1.50118788961764</v>
      </c>
      <c r="G214" s="33" t="n">
        <f aca="false">MahindraLog!I106</f>
        <v>1.98405955969672</v>
      </c>
      <c r="H214" s="33" t="n">
        <f aca="false">MahindraLog!J106</f>
        <v>0.553082279235261</v>
      </c>
      <c r="I214" s="55" t="n">
        <f aca="false">MahindraLog!K106</f>
        <v>1.01480623740329</v>
      </c>
      <c r="J214" s="25" t="str">
        <f aca="false">IF(AND(ISNUMBER(I214),ISNUMBER(I$217)),IF(I214&gt;I$217,"Above",IF(I214&lt;I$217,"Below","At median")),"-")</f>
        <v>Above</v>
      </c>
      <c r="K214" s="25" t="str">
        <f aca="false">IF(J214="Below","Better",IF(J214="Above","Weaker",IF(J214="At median","In line","-")))</f>
        <v>Weaker</v>
      </c>
      <c r="L214" s="43" t="n">
        <f aca="false">IF(ISNUMBER(I214),RANK(I214,I$205:I$214,1),"-")</f>
        <v>6</v>
      </c>
    </row>
    <row r="215" customFormat="false" ht="15" hidden="false" customHeight="false" outlineLevel="0" collapsed="false">
      <c r="A215" s="46" t="s">
        <v>328</v>
      </c>
      <c r="B215" s="34" t="n">
        <f aca="false">Industry!D107</f>
        <v>0.28656204306848</v>
      </c>
      <c r="C215" s="34" t="n">
        <f aca="false">Industry!E107</f>
        <v>0.439210877634977</v>
      </c>
      <c r="D215" s="34" t="n">
        <f aca="false">Industry!F107</f>
        <v>0.405732636546491</v>
      </c>
      <c r="E215" s="34" t="n">
        <f aca="false">Industry!G107</f>
        <v>0.259071887342371</v>
      </c>
      <c r="F215" s="34" t="n">
        <f aca="false">Industry!H107</f>
        <v>0.292522050543132</v>
      </c>
      <c r="G215" s="34" t="n">
        <f aca="false">Industry!I107</f>
        <v>0.258753277167223</v>
      </c>
      <c r="H215" s="34" t="n">
        <f aca="false">Industry!J107</f>
        <v>0.225607763190417</v>
      </c>
      <c r="I215" s="34" t="n">
        <f aca="false">Industry!K107</f>
        <v>0.309637219356156</v>
      </c>
      <c r="J215" s="47"/>
      <c r="K215" s="47"/>
      <c r="L215" s="47"/>
    </row>
    <row r="216" customFormat="false" ht="15" hidden="false" customHeight="false" outlineLevel="0" collapsed="false">
      <c r="A216" s="52" t="s">
        <v>329</v>
      </c>
      <c r="B216" s="56" t="n">
        <f aca="false">IF(COUNT(B205:B214)=0,"N/M",AVERAGE(B205:B214))</f>
        <v>1.0386515677819</v>
      </c>
      <c r="C216" s="56" t="n">
        <f aca="false">IF(COUNT(C205:C214)=0,"N/M",AVERAGE(C205:C214))</f>
        <v>0.952159751513337</v>
      </c>
      <c r="D216" s="56" t="n">
        <f aca="false">IF(COUNT(D205:D214)=0,"N/M",AVERAGE(D205:D214))</f>
        <v>0.739254386386325</v>
      </c>
      <c r="E216" s="56" t="n">
        <f aca="false">IF(COUNT(E205:E214)=0,"N/M",AVERAGE(E205:E214))</f>
        <v>1.43805245069177</v>
      </c>
      <c r="F216" s="56" t="n">
        <f aca="false">IF(COUNT(F205:F214)=0,"N/M",AVERAGE(F205:F214))</f>
        <v>2.28956020401531</v>
      </c>
      <c r="G216" s="56" t="n">
        <f aca="false">IF(COUNT(G205:G214)=0,"N/M",AVERAGE(G205:G214))</f>
        <v>0.695916544262784</v>
      </c>
      <c r="H216" s="56" t="n">
        <f aca="false">IF(COUNT(H205:H214)=0,"N/M",AVERAGE(H205:H214))</f>
        <v>0.83456191187902</v>
      </c>
      <c r="I216" s="56" t="n">
        <f aca="false">IF(COUNT(I205:I214)=0,"N/M",AVERAGE(I205:I214))</f>
        <v>1.46054126383379</v>
      </c>
      <c r="J216" s="54"/>
      <c r="K216" s="54"/>
      <c r="L216" s="54"/>
    </row>
    <row r="217" customFormat="false" ht="15" hidden="false" customHeight="false" outlineLevel="0" collapsed="false">
      <c r="A217" s="28" t="s">
        <v>281</v>
      </c>
      <c r="B217" s="35" t="n">
        <f aca="false">IF(COUNT(B205:B214)=0,"N/M",MEDIAN(B205:B214))</f>
        <v>0.721529714917236</v>
      </c>
      <c r="C217" s="35" t="n">
        <f aca="false">IF(COUNT(C205:C214)=0,"N/M",MEDIAN(C205:C214))</f>
        <v>0.529240267535586</v>
      </c>
      <c r="D217" s="35" t="n">
        <f aca="false">IF(COUNT(D205:D214)=0,"N/M",MEDIAN(D205:D214))</f>
        <v>0.732917742017105</v>
      </c>
      <c r="E217" s="35" t="n">
        <f aca="false">IF(COUNT(E205:E214)=0,"N/M",MEDIAN(E205:E214))</f>
        <v>0.684373372861808</v>
      </c>
      <c r="F217" s="35" t="n">
        <f aca="false">IF(COUNT(F205:F214)=0,"N/M",MEDIAN(F205:F214))</f>
        <v>0.758430307760989</v>
      </c>
      <c r="G217" s="35" t="n">
        <f aca="false">IF(COUNT(G205:G214)=0,"N/M",MEDIAN(G205:G214))</f>
        <v>0.645903889573071</v>
      </c>
      <c r="H217" s="35" t="n">
        <f aca="false">IF(COUNT(H205:H214)=0,"N/M",MEDIAN(H205:H214))</f>
        <v>0.597871824038763</v>
      </c>
      <c r="I217" s="35" t="n">
        <f aca="false">IF(COUNT(I205:I214)=0,"N/M",MEDIAN(I205:I214))</f>
        <v>0.945463934460655</v>
      </c>
      <c r="J217" s="54"/>
      <c r="K217" s="54"/>
      <c r="L217" s="54"/>
    </row>
    <row r="218" customFormat="false" ht="15" hidden="false" customHeight="false" outlineLevel="0" collapsed="false">
      <c r="A218" s="52" t="s">
        <v>330</v>
      </c>
      <c r="B218" s="56" t="n">
        <f aca="false">IF(COUNT(B205:B214)&lt;2,"N/M",STDEV(B205:B214))</f>
        <v>0.861053539399464</v>
      </c>
      <c r="C218" s="56" t="n">
        <f aca="false">IF(COUNT(C205:C214)&lt;2,"N/M",STDEV(C205:C214))</f>
        <v>0.860018826050729</v>
      </c>
      <c r="D218" s="56" t="n">
        <f aca="false">IF(COUNT(D205:D214)&lt;2,"N/M",STDEV(D205:D214))</f>
        <v>0.6949215690855</v>
      </c>
      <c r="E218" s="56" t="n">
        <f aca="false">IF(COUNT(E205:E214)&lt;2,"N/M",STDEV(E205:E214))</f>
        <v>2.71844131446823</v>
      </c>
      <c r="F218" s="56" t="n">
        <f aca="false">IF(COUNT(F205:F214)&lt;2,"N/M",STDEV(F205:F214))</f>
        <v>5.42106895267285</v>
      </c>
      <c r="G218" s="56" t="n">
        <f aca="false">IF(COUNT(G205:G214)&lt;2,"N/M",STDEV(G205:G214))</f>
        <v>0.6615359145886</v>
      </c>
      <c r="H218" s="56" t="n">
        <f aca="false">IF(COUNT(H205:H214)&lt;2,"N/M",STDEV(H205:H214))</f>
        <v>1.07827542361038</v>
      </c>
      <c r="I218" s="56" t="n">
        <f aca="false">IF(COUNT(I205:I214)&lt;2,"N/M",STDEV(I205:I214))</f>
        <v>2.43272954973917</v>
      </c>
      <c r="J218" s="54"/>
      <c r="K218" s="54"/>
      <c r="L218" s="54"/>
    </row>
    <row r="219" customFormat="false" ht="15" hidden="false" customHeight="false" outlineLevel="0" collapsed="false">
      <c r="A219" s="52" t="s">
        <v>269</v>
      </c>
      <c r="B219" s="56" t="n">
        <f aca="false">IF(COUNT(B205:B214)=0,"N/M",MIN(B205:B214))</f>
        <v>0.00696787808204179</v>
      </c>
      <c r="C219" s="56" t="n">
        <f aca="false">IF(COUNT(C205:C214)=0,"N/M",MIN(C205:C214))</f>
        <v>0.0709641257806319</v>
      </c>
      <c r="D219" s="56" t="n">
        <f aca="false">IF(COUNT(D205:D214)=0,"N/M",MIN(D205:D214))</f>
        <v>0</v>
      </c>
      <c r="E219" s="56" t="n">
        <f aca="false">IF(COUNT(E205:E214)=0,"N/M",MIN(E205:E214))</f>
        <v>0</v>
      </c>
      <c r="F219" s="56" t="n">
        <f aca="false">IF(COUNT(F205:F214)=0,"N/M",MIN(F205:F214))</f>
        <v>0.0793946821548463</v>
      </c>
      <c r="G219" s="56" t="n">
        <f aca="false">IF(COUNT(G205:G214)=0,"N/M",MIN(G205:G214))</f>
        <v>0.0695766088974968</v>
      </c>
      <c r="H219" s="56" t="n">
        <f aca="false">IF(COUNT(H205:H214)=0,"N/M",MIN(H205:H214))</f>
        <v>0.0506800518134715</v>
      </c>
      <c r="I219" s="56" t="n">
        <f aca="false">IF(COUNT(I205:I214)=0,"N/M",MIN(I205:I214))</f>
        <v>0.0627363663295786</v>
      </c>
      <c r="J219" s="54"/>
      <c r="K219" s="54"/>
      <c r="L219" s="54"/>
    </row>
    <row r="220" customFormat="false" ht="15" hidden="false" customHeight="false" outlineLevel="0" collapsed="false">
      <c r="A220" s="52" t="s">
        <v>270</v>
      </c>
      <c r="B220" s="56" t="n">
        <f aca="false">IF(COUNT(B205:B214)=0,"N/M",MAX(B205:B214))</f>
        <v>2.60168802115111</v>
      </c>
      <c r="C220" s="56" t="n">
        <f aca="false">IF(COUNT(C205:C214)=0,"N/M",MAX(C205:C214))</f>
        <v>2.57137306574769</v>
      </c>
      <c r="D220" s="56" t="n">
        <f aca="false">IF(COUNT(D205:D214)=0,"N/M",MAX(D205:D214))</f>
        <v>2.0201066885515</v>
      </c>
      <c r="E220" s="56" t="n">
        <f aca="false">IF(COUNT(E205:E214)=0,"N/M",MAX(E205:E214))</f>
        <v>9.03344544095665</v>
      </c>
      <c r="F220" s="56" t="n">
        <f aca="false">IF(COUNT(F205:F214)=0,"N/M",MAX(F205:F214))</f>
        <v>17.6619080779944</v>
      </c>
      <c r="G220" s="56" t="n">
        <f aca="false">IF(COUNT(G205:G214)=0,"N/M",MAX(G205:G214))</f>
        <v>1.98405955969672</v>
      </c>
      <c r="H220" s="56" t="n">
        <f aca="false">IF(COUNT(H205:H214)=0,"N/M",MAX(H205:H214))</f>
        <v>3.69449310686267</v>
      </c>
      <c r="I220" s="56" t="n">
        <f aca="false">IF(COUNT(I205:I214)=0,"N/M",MAX(I205:I214))</f>
        <v>8.24788366174122</v>
      </c>
      <c r="J220" s="54"/>
      <c r="K220" s="54"/>
      <c r="L220" s="54"/>
    </row>
    <row r="222" customFormat="false" ht="16.5" hidden="false" customHeight="true" outlineLevel="0" collapsed="false">
      <c r="A222" s="49" t="s">
        <v>342</v>
      </c>
      <c r="B222" s="49"/>
      <c r="C222" s="49"/>
      <c r="D222" s="49"/>
      <c r="E222" s="49"/>
      <c r="F222" s="49"/>
      <c r="G222" s="49"/>
      <c r="H222" s="49"/>
      <c r="I222" s="49"/>
      <c r="J222" s="49"/>
      <c r="K222" s="49"/>
      <c r="L222" s="49"/>
    </row>
    <row r="223" customFormat="false" ht="15" hidden="false" customHeight="false" outlineLevel="0" collapsed="false">
      <c r="A223" s="16" t="s">
        <v>52</v>
      </c>
      <c r="B223" s="33" t="str">
        <f aca="false">Tiger!D107</f>
        <v>N/M</v>
      </c>
      <c r="C223" s="33" t="str">
        <f aca="false">Tiger!E107</f>
        <v>N/M</v>
      </c>
      <c r="D223" s="33" t="n">
        <f aca="false">Tiger!F107</f>
        <v>0</v>
      </c>
      <c r="E223" s="33" t="n">
        <f aca="false">Tiger!G107</f>
        <v>0</v>
      </c>
      <c r="F223" s="33" t="n">
        <f aca="false">Tiger!H107</f>
        <v>0.784364820846906</v>
      </c>
      <c r="G223" s="33" t="n">
        <f aca="false">Tiger!I107</f>
        <v>1.09420751113941</v>
      </c>
      <c r="H223" s="33" t="n">
        <f aca="false">Tiger!J107</f>
        <v>1.87708256201407</v>
      </c>
      <c r="I223" s="55" t="n">
        <f aca="false">Tiger!K107</f>
        <v>0.751130978800076</v>
      </c>
      <c r="J223" s="25" t="str">
        <f aca="false">IF(AND(ISNUMBER(I223),ISNUMBER(I$235)),IF(I223&gt;I$235,"Above",IF(I223&lt;I$235,"Below","At median")),"-")</f>
        <v>Below</v>
      </c>
      <c r="K223" s="25" t="str">
        <f aca="false">IF(J223="Below","Better",IF(J223="Above","Weaker",IF(J223="At median","In line","-")))</f>
        <v>Better</v>
      </c>
      <c r="L223" s="43" t="n">
        <f aca="false">IF(ISNUMBER(I223),RANK(I223,I$223:I$232,1),"-")</f>
        <v>3</v>
      </c>
    </row>
    <row r="224" customFormat="false" ht="15" hidden="false" customHeight="false" outlineLevel="0" collapsed="false">
      <c r="A224" s="16" t="s">
        <v>54</v>
      </c>
      <c r="B224" s="33" t="n">
        <f aca="false">Allcargo!D107</f>
        <v>3.11237503639717</v>
      </c>
      <c r="C224" s="33" t="n">
        <f aca="false">Allcargo!E107</f>
        <v>3.21163445240946</v>
      </c>
      <c r="D224" s="33" t="n">
        <f aca="false">Allcargo!F107</f>
        <v>1.80861807907841</v>
      </c>
      <c r="E224" s="33" t="n">
        <f aca="false">Allcargo!G107</f>
        <v>1.03446763725662</v>
      </c>
      <c r="F224" s="33" t="n">
        <f aca="false">Allcargo!H107</f>
        <v>3.92211599745062</v>
      </c>
      <c r="G224" s="33" t="n">
        <f aca="false">Allcargo!I107</f>
        <v>3.86633663366337</v>
      </c>
      <c r="H224" s="33" t="n">
        <f aca="false">Allcargo!J107</f>
        <v>2.94893617021277</v>
      </c>
      <c r="I224" s="55" t="n">
        <f aca="false">Allcargo!K107</f>
        <v>2.84349771520977</v>
      </c>
      <c r="J224" s="25" t="str">
        <f aca="false">IF(AND(ISNUMBER(I224),ISNUMBER(I$235)),IF(I224&gt;I$235,"Above",IF(I224&lt;I$235,"Below","At median")),"-")</f>
        <v>Above</v>
      </c>
      <c r="K224" s="25" t="str">
        <f aca="false">IF(J224="Below","Better",IF(J224="Above","Weaker",IF(J224="At median","In line","-")))</f>
        <v>Weaker</v>
      </c>
      <c r="L224" s="43" t="n">
        <f aca="false">IF(ISNUMBER(I224),RANK(I224,I$223:I$232,1),"-")</f>
        <v>6</v>
      </c>
    </row>
    <row r="225" customFormat="false" ht="15" hidden="false" customHeight="false" outlineLevel="0" collapsed="false">
      <c r="A225" s="16" t="s">
        <v>277</v>
      </c>
      <c r="B225" s="33" t="n">
        <f aca="false">BlueDart!D107</f>
        <v>1.11670634837024</v>
      </c>
      <c r="C225" s="33" t="n">
        <f aca="false">BlueDart!E107</f>
        <v>2.21793993792712</v>
      </c>
      <c r="D225" s="33" t="n">
        <f aca="false">BlueDart!F107</f>
        <v>1.06592934070659</v>
      </c>
      <c r="E225" s="33" t="n">
        <f aca="false">BlueDart!G107</f>
        <v>1.19467582470324</v>
      </c>
      <c r="F225" s="33" t="n">
        <f aca="false">BlueDart!H107</f>
        <v>1.25785463071512</v>
      </c>
      <c r="G225" s="33" t="n">
        <f aca="false">BlueDart!I107</f>
        <v>1.14919087941935</v>
      </c>
      <c r="H225" s="33" t="n">
        <f aca="false">BlueDart!J107</f>
        <v>1.20116550606947</v>
      </c>
      <c r="I225" s="55" t="n">
        <f aca="false">BlueDart!K107</f>
        <v>1.31478035255873</v>
      </c>
      <c r="J225" s="25" t="str">
        <f aca="false">IF(AND(ISNUMBER(I225),ISNUMBER(I$235)),IF(I225&gt;I$235,"Above",IF(I225&lt;I$235,"Below","At median")),"-")</f>
        <v>Below</v>
      </c>
      <c r="K225" s="25" t="str">
        <f aca="false">IF(J225="Below","Better",IF(J225="Above","Weaker",IF(J225="At median","In line","-")))</f>
        <v>Better</v>
      </c>
      <c r="L225" s="43" t="n">
        <f aca="false">IF(ISNUMBER(I225),RANK(I225,I$223:I$232,1),"-")</f>
        <v>4</v>
      </c>
    </row>
    <row r="226" customFormat="false" ht="15" hidden="false" customHeight="false" outlineLevel="0" collapsed="false">
      <c r="A226" s="16" t="s">
        <v>58</v>
      </c>
      <c r="B226" s="33" t="n">
        <f aca="false">CONCOR!D107</f>
        <v>0.0413169482121566</v>
      </c>
      <c r="C226" s="33" t="n">
        <f aca="false">CONCOR!E107</f>
        <v>0.690220452744441</v>
      </c>
      <c r="D226" s="33" t="n">
        <f aca="false">CONCOR!F107</f>
        <v>0.42052766132676</v>
      </c>
      <c r="E226" s="33" t="n">
        <f aca="false">CONCOR!G107</f>
        <v>0.416875468465574</v>
      </c>
      <c r="F226" s="33" t="n">
        <f aca="false">CONCOR!H107</f>
        <v>0.479251332530071</v>
      </c>
      <c r="G226" s="33" t="n">
        <f aca="false">CONCOR!I107</f>
        <v>0.446350018911819</v>
      </c>
      <c r="H226" s="33" t="n">
        <f aca="false">CONCOR!J107</f>
        <v>0.494316667691614</v>
      </c>
      <c r="I226" s="55" t="n">
        <f aca="false">CONCOR!K107</f>
        <v>0.426979792840348</v>
      </c>
      <c r="J226" s="25" t="str">
        <f aca="false">IF(AND(ISNUMBER(I226),ISNUMBER(I$235)),IF(I226&gt;I$235,"Above",IF(I226&lt;I$235,"Below","At median")),"-")</f>
        <v>Below</v>
      </c>
      <c r="K226" s="25" t="str">
        <f aca="false">IF(J226="Below","Better",IF(J226="Above","Weaker",IF(J226="At median","In line","-")))</f>
        <v>Better</v>
      </c>
      <c r="L226" s="43" t="n">
        <f aca="false">IF(ISNUMBER(I226),RANK(I226,I$223:I$232,1),"-")</f>
        <v>1</v>
      </c>
    </row>
    <row r="227" customFormat="false" ht="15" hidden="false" customHeight="false" outlineLevel="0" collapsed="false">
      <c r="A227" s="16" t="s">
        <v>278</v>
      </c>
      <c r="B227" s="33" t="str">
        <f aca="false">JetFreight!D107</f>
        <v>N/M</v>
      </c>
      <c r="C227" s="33" t="n">
        <f aca="false">JetFreight!E107</f>
        <v>3.33727175080556</v>
      </c>
      <c r="D227" s="33" t="n">
        <f aca="false">JetFreight!F107</f>
        <v>4.56679035250465</v>
      </c>
      <c r="E227" s="33" t="n">
        <f aca="false">JetFreight!G107</f>
        <v>7.60874999999995</v>
      </c>
      <c r="F227" s="33" t="n">
        <f aca="false">JetFreight!H107</f>
        <v>9.44162436548228</v>
      </c>
      <c r="G227" s="33" t="n">
        <f aca="false">JetFreight!I107</f>
        <v>4.50875963559915</v>
      </c>
      <c r="H227" s="33" t="n">
        <f aca="false">JetFreight!J107</f>
        <v>4.47012673506337</v>
      </c>
      <c r="I227" s="55" t="n">
        <f aca="false">JetFreight!K107</f>
        <v>5.65555380657583</v>
      </c>
      <c r="J227" s="25" t="str">
        <f aca="false">IF(AND(ISNUMBER(I227),ISNUMBER(I$235)),IF(I227&gt;I$235,"Above",IF(I227&lt;I$235,"Below","At median")),"-")</f>
        <v>Above</v>
      </c>
      <c r="K227" s="25" t="str">
        <f aca="false">IF(J227="Below","Better",IF(J227="Above","Weaker",IF(J227="At median","In line","-")))</f>
        <v>Weaker</v>
      </c>
      <c r="L227" s="43" t="n">
        <f aca="false">IF(ISNUMBER(I227),RANK(I227,I$223:I$232,1),"-")</f>
        <v>9</v>
      </c>
    </row>
    <row r="228" customFormat="false" ht="15" hidden="false" customHeight="false" outlineLevel="0" collapsed="false">
      <c r="A228" s="16" t="s">
        <v>62</v>
      </c>
      <c r="B228" s="33" t="n">
        <f aca="false">Patel!D107</f>
        <v>7.5055624227441</v>
      </c>
      <c r="C228" s="33" t="n">
        <f aca="false">Patel!E107</f>
        <v>11.9381044487427</v>
      </c>
      <c r="D228" s="33" t="n">
        <f aca="false">Patel!F107</f>
        <v>6.23927178153449</v>
      </c>
      <c r="E228" s="33" t="n">
        <f aca="false">Patel!G107</f>
        <v>3.02906976744188</v>
      </c>
      <c r="F228" s="33" t="n">
        <f aca="false">Patel!H107</f>
        <v>2.65054945054944</v>
      </c>
      <c r="G228" s="33" t="n">
        <f aca="false">Patel!I107</f>
        <v>1.48354143019296</v>
      </c>
      <c r="H228" s="33" t="n">
        <f aca="false">Patel!J107</f>
        <v>0.60366441658631</v>
      </c>
      <c r="I228" s="55" t="n">
        <f aca="false">Patel!K107</f>
        <v>4.77853767397027</v>
      </c>
      <c r="J228" s="25" t="str">
        <f aca="false">IF(AND(ISNUMBER(I228),ISNUMBER(I$235)),IF(I228&gt;I$235,"Above",IF(I228&lt;I$235,"Below","At median")),"-")</f>
        <v>Above</v>
      </c>
      <c r="K228" s="25" t="str">
        <f aca="false">IF(J228="Below","Better",IF(J228="Above","Weaker",IF(J228="At median","In line","-")))</f>
        <v>Weaker</v>
      </c>
      <c r="L228" s="43" t="n">
        <f aca="false">IF(ISNUMBER(I228),RANK(I228,I$223:I$232,1),"-")</f>
        <v>8</v>
      </c>
    </row>
    <row r="229" customFormat="false" ht="15" hidden="false" customHeight="false" outlineLevel="0" collapsed="false">
      <c r="A229" s="16" t="s">
        <v>64</v>
      </c>
      <c r="B229" s="33" t="str">
        <f aca="false">Sical!D107</f>
        <v>N/M</v>
      </c>
      <c r="C229" s="33" t="str">
        <f aca="false">Sical!E107</f>
        <v>N/M</v>
      </c>
      <c r="D229" s="33" t="str">
        <f aca="false">Sical!F107</f>
        <v>N/M</v>
      </c>
      <c r="E229" s="33" t="n">
        <f aca="false">Sical!G107</f>
        <v>17.5233780355201</v>
      </c>
      <c r="F229" s="33" t="n">
        <f aca="false">Sical!H107</f>
        <v>30.5572289156627</v>
      </c>
      <c r="G229" s="33" t="n">
        <f aca="false">Sical!I107</f>
        <v>28.282922289437</v>
      </c>
      <c r="H229" s="33" t="n">
        <f aca="false">Sical!J107</f>
        <v>6.19318181818182</v>
      </c>
      <c r="I229" s="55" t="n">
        <f aca="false">Sical!K107</f>
        <v>20.6391777647004</v>
      </c>
      <c r="J229" s="25" t="str">
        <f aca="false">IF(AND(ISNUMBER(I229),ISNUMBER(I$235)),IF(I229&gt;I$235,"Above",IF(I229&lt;I$235,"Below","At median")),"-")</f>
        <v>Above</v>
      </c>
      <c r="K229" s="25" t="str">
        <f aca="false">IF(J229="Below","Better",IF(J229="Above","Weaker",IF(J229="At median","In line","-")))</f>
        <v>Weaker</v>
      </c>
      <c r="L229" s="43" t="n">
        <f aca="false">IF(ISNUMBER(I229),RANK(I229,I$223:I$232,1),"-")</f>
        <v>10</v>
      </c>
    </row>
    <row r="230" customFormat="false" ht="15" hidden="false" customHeight="false" outlineLevel="0" collapsed="false">
      <c r="A230" s="16" t="s">
        <v>66</v>
      </c>
      <c r="B230" s="33" t="n">
        <f aca="false">TCI!D107</f>
        <v>1.74805334658714</v>
      </c>
      <c r="C230" s="33" t="n">
        <f aca="false">TCI!E107</f>
        <v>1.13101665272603</v>
      </c>
      <c r="D230" s="33" t="n">
        <f aca="false">TCI!F107</f>
        <v>0.233664376077508</v>
      </c>
      <c r="E230" s="33" t="n">
        <f aca="false">TCI!G107</f>
        <v>0.215976679126407</v>
      </c>
      <c r="F230" s="33" t="n">
        <f aca="false">TCI!H107</f>
        <v>0.470977311966539</v>
      </c>
      <c r="G230" s="33" t="n">
        <f aca="false">TCI!I107</f>
        <v>0.522872708405396</v>
      </c>
      <c r="H230" s="33" t="n">
        <f aca="false">TCI!J107</f>
        <v>0.601926782273602</v>
      </c>
      <c r="I230" s="55" t="n">
        <f aca="false">TCI!K107</f>
        <v>0.703498265308947</v>
      </c>
      <c r="J230" s="25" t="str">
        <f aca="false">IF(AND(ISNUMBER(I230),ISNUMBER(I$235)),IF(I230&gt;I$235,"Above",IF(I230&lt;I$235,"Below","At median")),"-")</f>
        <v>Below</v>
      </c>
      <c r="K230" s="25" t="str">
        <f aca="false">IF(J230="Below","Better",IF(J230="Above","Weaker",IF(J230="At median","In line","-")))</f>
        <v>Better</v>
      </c>
      <c r="L230" s="43" t="n">
        <f aca="false">IF(ISNUMBER(I230),RANK(I230,I$223:I$232,1),"-")</f>
        <v>2</v>
      </c>
    </row>
    <row r="231" customFormat="false" ht="15" hidden="false" customHeight="false" outlineLevel="0" collapsed="false">
      <c r="A231" s="16" t="s">
        <v>68</v>
      </c>
      <c r="B231" s="33" t="n">
        <f aca="false">Shreeji!D107</f>
        <v>5.03093922651934</v>
      </c>
      <c r="C231" s="33" t="n">
        <f aca="false">Shreeji!E107</f>
        <v>6.67791842475387</v>
      </c>
      <c r="D231" s="33" t="n">
        <f aca="false">Shreeji!F107</f>
        <v>2.68461998803112</v>
      </c>
      <c r="E231" s="33" t="n">
        <f aca="false">Shreeji!G107</f>
        <v>2.34182373917474</v>
      </c>
      <c r="F231" s="33" t="n">
        <f aca="false">Shreeji!H107</f>
        <v>2.47669491525424</v>
      </c>
      <c r="G231" s="33" t="n">
        <f aca="false">Shreeji!I107</f>
        <v>4.60753880266075</v>
      </c>
      <c r="H231" s="33" t="n">
        <f aca="false">Shreeji!J107</f>
        <v>5.17032258064516</v>
      </c>
      <c r="I231" s="55" t="n">
        <f aca="false">Shreeji!K107</f>
        <v>4.14140823957703</v>
      </c>
      <c r="J231" s="25" t="str">
        <f aca="false">IF(AND(ISNUMBER(I231),ISNUMBER(I$235)),IF(I231&gt;I$235,"Above",IF(I231&lt;I$235,"Below","At median")),"-")</f>
        <v>Above</v>
      </c>
      <c r="K231" s="25" t="str">
        <f aca="false">IF(J231="Below","Better",IF(J231="Above","Weaker",IF(J231="At median","In line","-")))</f>
        <v>Weaker</v>
      </c>
      <c r="L231" s="43" t="n">
        <f aca="false">IF(ISNUMBER(I231),RANK(I231,I$223:I$232,1),"-")</f>
        <v>7</v>
      </c>
    </row>
    <row r="232" customFormat="false" ht="15" hidden="false" customHeight="false" outlineLevel="0" collapsed="false">
      <c r="A232" s="16" t="s">
        <v>279</v>
      </c>
      <c r="B232" s="33" t="n">
        <f aca="false">MahindraLog!D107</f>
        <v>1.27019182231197</v>
      </c>
      <c r="C232" s="33" t="n">
        <f aca="false">MahindraLog!E107</f>
        <v>2.00089100089101</v>
      </c>
      <c r="D232" s="33" t="n">
        <f aca="false">MahindraLog!F107</f>
        <v>2.18279453243654</v>
      </c>
      <c r="E232" s="33" t="n">
        <f aca="false">MahindraLog!G107</f>
        <v>3.2076378740097</v>
      </c>
      <c r="F232" s="33" t="n">
        <f aca="false">MahindraLog!H107</f>
        <v>3.19706798131811</v>
      </c>
      <c r="G232" s="33" t="n">
        <f aca="false">MahindraLog!I107</f>
        <v>3.05488941242659</v>
      </c>
      <c r="H232" s="33" t="n">
        <f aca="false">MahindraLog!J107</f>
        <v>1.71528511087645</v>
      </c>
      <c r="I232" s="55" t="n">
        <f aca="false">MahindraLog!K107</f>
        <v>2.37553681918148</v>
      </c>
      <c r="J232" s="25" t="str">
        <f aca="false">IF(AND(ISNUMBER(I232),ISNUMBER(I$235)),IF(I232&gt;I$235,"Above",IF(I232&lt;I$235,"Below","At median")),"-")</f>
        <v>Below</v>
      </c>
      <c r="K232" s="25" t="str">
        <f aca="false">IF(J232="Below","Better",IF(J232="Above","Weaker",IF(J232="At median","In line","-")))</f>
        <v>Better</v>
      </c>
      <c r="L232" s="43" t="n">
        <f aca="false">IF(ISNUMBER(I232),RANK(I232,I$223:I$232,1),"-")</f>
        <v>5</v>
      </c>
    </row>
    <row r="233" customFormat="false" ht="15" hidden="false" customHeight="false" outlineLevel="0" collapsed="false">
      <c r="A233" s="46" t="s">
        <v>328</v>
      </c>
      <c r="B233" s="34" t="n">
        <f aca="false">Industry!D108</f>
        <v>1.39765282863823</v>
      </c>
      <c r="C233" s="34" t="n">
        <f aca="false">Industry!E108</f>
        <v>2.26743532868583</v>
      </c>
      <c r="D233" s="34" t="n">
        <f aca="false">Industry!F108</f>
        <v>1.40046571020807</v>
      </c>
      <c r="E233" s="34" t="n">
        <f aca="false">Industry!G108</f>
        <v>0.979417655802057</v>
      </c>
      <c r="F233" s="34" t="n">
        <f aca="false">Industry!H108</f>
        <v>1.3623533774861</v>
      </c>
      <c r="G233" s="34" t="n">
        <f aca="false">Industry!I108</f>
        <v>1.17733573249519</v>
      </c>
      <c r="H233" s="34" t="n">
        <f aca="false">Industry!J108</f>
        <v>1.05819919517103</v>
      </c>
      <c r="I233" s="34" t="n">
        <f aca="false">Industry!K108</f>
        <v>1.3775514040695</v>
      </c>
      <c r="J233" s="47"/>
      <c r="K233" s="47"/>
      <c r="L233" s="47"/>
    </row>
    <row r="234" customFormat="false" ht="15" hidden="false" customHeight="false" outlineLevel="0" collapsed="false">
      <c r="A234" s="52" t="s">
        <v>329</v>
      </c>
      <c r="B234" s="56" t="n">
        <f aca="false">IF(COUNT(B223:B232)=0,"N/M",AVERAGE(B223:B232))</f>
        <v>2.8321635930203</v>
      </c>
      <c r="C234" s="56" t="n">
        <f aca="false">IF(COUNT(C223:C232)=0,"N/M",AVERAGE(C223:C232))</f>
        <v>3.90062464012502</v>
      </c>
      <c r="D234" s="56" t="n">
        <f aca="false">IF(COUNT(D223:D232)=0,"N/M",AVERAGE(D223:D232))</f>
        <v>2.13357956796623</v>
      </c>
      <c r="E234" s="56" t="n">
        <f aca="false">IF(COUNT(E223:E232)=0,"N/M",AVERAGE(E223:E232))</f>
        <v>3.65726550256982</v>
      </c>
      <c r="F234" s="56" t="n">
        <f aca="false">IF(COUNT(F223:F232)=0,"N/M",AVERAGE(F223:F232))</f>
        <v>5.5237729721776</v>
      </c>
      <c r="G234" s="56" t="n">
        <f aca="false">IF(COUNT(G223:G232)=0,"N/M",AVERAGE(G223:G232))</f>
        <v>4.90166093218558</v>
      </c>
      <c r="H234" s="56" t="n">
        <f aca="false">IF(COUNT(H223:H232)=0,"N/M",AVERAGE(H223:H232))</f>
        <v>2.52760083496146</v>
      </c>
      <c r="I234" s="56" t="n">
        <f aca="false">IF(COUNT(I223:I232)=0,"N/M",AVERAGE(I223:I232))</f>
        <v>4.36301014087229</v>
      </c>
      <c r="J234" s="54"/>
      <c r="K234" s="54"/>
      <c r="L234" s="54"/>
    </row>
    <row r="235" customFormat="false" ht="15" hidden="false" customHeight="false" outlineLevel="0" collapsed="false">
      <c r="A235" s="28" t="s">
        <v>281</v>
      </c>
      <c r="B235" s="35" t="n">
        <f aca="false">IF(COUNT(B223:B232)=0,"N/M",MEDIAN(B223:B232))</f>
        <v>1.74805334658714</v>
      </c>
      <c r="C235" s="35" t="n">
        <f aca="false">IF(COUNT(C223:C232)=0,"N/M",MEDIAN(C223:C232))</f>
        <v>2.71478719516829</v>
      </c>
      <c r="D235" s="35" t="n">
        <f aca="false">IF(COUNT(D223:D232)=0,"N/M",MEDIAN(D223:D232))</f>
        <v>1.80861807907841</v>
      </c>
      <c r="E235" s="35" t="n">
        <f aca="false">IF(COUNT(E223:E232)=0,"N/M",MEDIAN(E223:E232))</f>
        <v>1.76824978193899</v>
      </c>
      <c r="F235" s="35" t="n">
        <f aca="false">IF(COUNT(F223:F232)=0,"N/M",MEDIAN(F223:F232))</f>
        <v>2.56362218290184</v>
      </c>
      <c r="G235" s="35" t="n">
        <f aca="false">IF(COUNT(G223:G232)=0,"N/M",MEDIAN(G223:G232))</f>
        <v>2.26921542130978</v>
      </c>
      <c r="H235" s="35" t="n">
        <f aca="false">IF(COUNT(H223:H232)=0,"N/M",MEDIAN(H223:H232))</f>
        <v>1.79618383644526</v>
      </c>
      <c r="I235" s="35" t="n">
        <f aca="false">IF(COUNT(I223:I232)=0,"N/M",MEDIAN(I223:I232))</f>
        <v>2.60951726719563</v>
      </c>
      <c r="J235" s="54"/>
      <c r="K235" s="54"/>
      <c r="L235" s="54"/>
    </row>
    <row r="236" customFormat="false" ht="15" hidden="false" customHeight="false" outlineLevel="0" collapsed="false">
      <c r="A236" s="52" t="s">
        <v>330</v>
      </c>
      <c r="B236" s="56" t="n">
        <f aca="false">IF(COUNT(B223:B232)&lt;2,"N/M",STDEV(B223:B232))</f>
        <v>2.61726507233227</v>
      </c>
      <c r="C236" s="56" t="n">
        <f aca="false">IF(COUNT(C223:C232)&lt;2,"N/M",STDEV(C223:C232))</f>
        <v>3.73256624769476</v>
      </c>
      <c r="D236" s="56" t="n">
        <f aca="false">IF(COUNT(D223:D232)&lt;2,"N/M",STDEV(D223:D232))</f>
        <v>2.10431563260195</v>
      </c>
      <c r="E236" s="56" t="n">
        <f aca="false">IF(COUNT(E223:E232)&lt;2,"N/M",STDEV(E223:E232))</f>
        <v>5.36316751647907</v>
      </c>
      <c r="F236" s="56" t="n">
        <f aca="false">IF(COUNT(F223:F232)&lt;2,"N/M",STDEV(F223:F232))</f>
        <v>9.18440965720035</v>
      </c>
      <c r="G236" s="56" t="n">
        <f aca="false">IF(COUNT(G223:G232)&lt;2,"N/M",STDEV(G223:G232))</f>
        <v>8.37119120014347</v>
      </c>
      <c r="H236" s="56" t="n">
        <f aca="false">IF(COUNT(H223:H232)&lt;2,"N/M",STDEV(H223:H232))</f>
        <v>2.07519344350612</v>
      </c>
      <c r="I236" s="56" t="n">
        <f aca="false">IF(COUNT(I223:I232)&lt;2,"N/M",STDEV(I223:I232))</f>
        <v>6.0026547681291</v>
      </c>
      <c r="J236" s="54"/>
      <c r="K236" s="54"/>
      <c r="L236" s="54"/>
    </row>
    <row r="237" customFormat="false" ht="15" hidden="false" customHeight="false" outlineLevel="0" collapsed="false">
      <c r="A237" s="52" t="s">
        <v>269</v>
      </c>
      <c r="B237" s="56" t="n">
        <f aca="false">IF(COUNT(B223:B232)=0,"N/M",MIN(B223:B232))</f>
        <v>0.0413169482121566</v>
      </c>
      <c r="C237" s="56" t="n">
        <f aca="false">IF(COUNT(C223:C232)=0,"N/M",MIN(C223:C232))</f>
        <v>0.690220452744441</v>
      </c>
      <c r="D237" s="56" t="n">
        <f aca="false">IF(COUNT(D223:D232)=0,"N/M",MIN(D223:D232))</f>
        <v>0</v>
      </c>
      <c r="E237" s="56" t="n">
        <f aca="false">IF(COUNT(E223:E232)=0,"N/M",MIN(E223:E232))</f>
        <v>0</v>
      </c>
      <c r="F237" s="56" t="n">
        <f aca="false">IF(COUNT(F223:F232)=0,"N/M",MIN(F223:F232))</f>
        <v>0.470977311966539</v>
      </c>
      <c r="G237" s="56" t="n">
        <f aca="false">IF(COUNT(G223:G232)=0,"N/M",MIN(G223:G232))</f>
        <v>0.446350018911819</v>
      </c>
      <c r="H237" s="56" t="n">
        <f aca="false">IF(COUNT(H223:H232)=0,"N/M",MIN(H223:H232))</f>
        <v>0.494316667691614</v>
      </c>
      <c r="I237" s="56" t="n">
        <f aca="false">IF(COUNT(I223:I232)=0,"N/M",MIN(I223:I232))</f>
        <v>0.426979792840348</v>
      </c>
      <c r="J237" s="54"/>
      <c r="K237" s="54"/>
      <c r="L237" s="54"/>
    </row>
    <row r="238" customFormat="false" ht="15" hidden="false" customHeight="false" outlineLevel="0" collapsed="false">
      <c r="A238" s="52" t="s">
        <v>270</v>
      </c>
      <c r="B238" s="56" t="n">
        <f aca="false">IF(COUNT(B223:B232)=0,"N/M",MAX(B223:B232))</f>
        <v>7.5055624227441</v>
      </c>
      <c r="C238" s="56" t="n">
        <f aca="false">IF(COUNT(C223:C232)=0,"N/M",MAX(C223:C232))</f>
        <v>11.9381044487427</v>
      </c>
      <c r="D238" s="56" t="n">
        <f aca="false">IF(COUNT(D223:D232)=0,"N/M",MAX(D223:D232))</f>
        <v>6.23927178153449</v>
      </c>
      <c r="E238" s="56" t="n">
        <f aca="false">IF(COUNT(E223:E232)=0,"N/M",MAX(E223:E232))</f>
        <v>17.5233780355201</v>
      </c>
      <c r="F238" s="56" t="n">
        <f aca="false">IF(COUNT(F223:F232)=0,"N/M",MAX(F223:F232))</f>
        <v>30.5572289156627</v>
      </c>
      <c r="G238" s="56" t="n">
        <f aca="false">IF(COUNT(G223:G232)=0,"N/M",MAX(G223:G232))</f>
        <v>28.282922289437</v>
      </c>
      <c r="H238" s="56" t="n">
        <f aca="false">IF(COUNT(H223:H232)=0,"N/M",MAX(H223:H232))</f>
        <v>6.19318181818182</v>
      </c>
      <c r="I238" s="56" t="n">
        <f aca="false">IF(COUNT(I223:I232)=0,"N/M",MAX(I223:I232))</f>
        <v>20.6391777647004</v>
      </c>
      <c r="J238" s="54"/>
      <c r="K238" s="54"/>
      <c r="L238" s="54"/>
    </row>
    <row r="240" customFormat="false" ht="16.5" hidden="false" customHeight="true" outlineLevel="0" collapsed="false">
      <c r="A240" s="49" t="s">
        <v>343</v>
      </c>
      <c r="B240" s="49"/>
      <c r="C240" s="49"/>
      <c r="D240" s="49"/>
      <c r="E240" s="49"/>
      <c r="F240" s="49"/>
      <c r="G240" s="49"/>
      <c r="H240" s="49"/>
      <c r="I240" s="49"/>
      <c r="J240" s="49"/>
      <c r="K240" s="49"/>
      <c r="L240" s="49"/>
    </row>
    <row r="241" customFormat="false" ht="15" hidden="false" customHeight="false" outlineLevel="0" collapsed="false">
      <c r="A241" s="16" t="s">
        <v>52</v>
      </c>
      <c r="B241" s="36" t="n">
        <f aca="false">Tiger!D109</f>
        <v>-2.11036036036034</v>
      </c>
      <c r="C241" s="36" t="n">
        <f aca="false">Tiger!E109</f>
        <v>-5.29591836734693</v>
      </c>
      <c r="D241" s="36" t="n">
        <f aca="false">Tiger!F109</f>
        <v>24.3708609271523</v>
      </c>
      <c r="E241" s="36" t="n">
        <f aca="false">Tiger!G109</f>
        <v>24.9126213592233</v>
      </c>
      <c r="F241" s="36" t="n">
        <f aca="false">Tiger!H109</f>
        <v>19.1710526315789</v>
      </c>
      <c r="G241" s="36" t="n">
        <f aca="false">Tiger!I109</f>
        <v>9.12537313432833</v>
      </c>
      <c r="H241" s="36" t="n">
        <f aca="false">Tiger!J109</f>
        <v>4.94307400379507</v>
      </c>
      <c r="I241" s="59" t="n">
        <f aca="false">Tiger!K109</f>
        <v>10.7309576183387</v>
      </c>
      <c r="J241" s="25" t="str">
        <f aca="false">IF(AND(ISNUMBER(I241),ISNUMBER(I$253)),IF(I241&gt;I$253,"Above",IF(I241&lt;I$253,"Below","At median")),"-")</f>
        <v>Above</v>
      </c>
      <c r="K241" s="25" t="str">
        <f aca="false">IF(J241="Above","Better",IF(J241="Below","Weaker",IF(J241="At median","In line","-")))</f>
        <v>Better</v>
      </c>
      <c r="L241" s="43" t="n">
        <f aca="false">IF(ISNUMBER(I241),RANK(I241,I$241:I$250,0),"-")</f>
        <v>3</v>
      </c>
    </row>
    <row r="242" customFormat="false" ht="15" hidden="false" customHeight="false" outlineLevel="0" collapsed="false">
      <c r="A242" s="16" t="s">
        <v>54</v>
      </c>
      <c r="B242" s="36" t="n">
        <f aca="false">Allcargo!D109</f>
        <v>3.79635828089436</v>
      </c>
      <c r="C242" s="36" t="n">
        <f aca="false">Allcargo!E109</f>
        <v>2.35253054101222</v>
      </c>
      <c r="D242" s="36" t="n">
        <f aca="false">Allcargo!F109</f>
        <v>10.8480407442054</v>
      </c>
      <c r="E242" s="36" t="n">
        <f aca="false">Allcargo!G109</f>
        <v>10.0758443379689</v>
      </c>
      <c r="F242" s="36" t="n">
        <f aca="false">Allcargo!H109</f>
        <v>0.506521427547649</v>
      </c>
      <c r="G242" s="36" t="n">
        <f aca="false">Allcargo!I109</f>
        <v>0.266666666666667</v>
      </c>
      <c r="H242" s="36" t="n">
        <f aca="false">Allcargo!J109</f>
        <v>0.5</v>
      </c>
      <c r="I242" s="59" t="n">
        <f aca="false">Allcargo!K109</f>
        <v>4.0494231426136</v>
      </c>
      <c r="J242" s="25" t="str">
        <f aca="false">IF(AND(ISNUMBER(I242),ISNUMBER(I$253)),IF(I242&gt;I$253,"Above",IF(I242&lt;I$253,"Below","At median")),"-")</f>
        <v>Below</v>
      </c>
      <c r="K242" s="25" t="str">
        <f aca="false">IF(J242="Above","Better",IF(J242="Below","Weaker",IF(J242="At median","In line","-")))</f>
        <v>Weaker</v>
      </c>
      <c r="L242" s="43" t="n">
        <f aca="false">IF(ISNUMBER(I242),RANK(I242,I$241:I$250,0),"-")</f>
        <v>6</v>
      </c>
    </row>
    <row r="243" customFormat="false" ht="15" hidden="false" customHeight="false" outlineLevel="0" collapsed="false">
      <c r="A243" s="16" t="s">
        <v>277</v>
      </c>
      <c r="B243" s="36" t="n">
        <f aca="false">BlueDart!D109</f>
        <v>1.08434145510309</v>
      </c>
      <c r="C243" s="36" t="n">
        <f aca="false">BlueDart!E109</f>
        <v>2.30995944118973</v>
      </c>
      <c r="D243" s="36" t="n">
        <f aca="false">BlueDart!F109</f>
        <v>6.95228239622858</v>
      </c>
      <c r="E243" s="36" t="n">
        <f aca="false">BlueDart!G109</f>
        <v>8.12460732984293</v>
      </c>
      <c r="F243" s="36" t="n">
        <f aca="false">BlueDart!H109</f>
        <v>5.3822700486805</v>
      </c>
      <c r="G243" s="36" t="n">
        <f aca="false">BlueDart!I109</f>
        <v>4.74960553465227</v>
      </c>
      <c r="H243" s="36" t="n">
        <f aca="false">BlueDart!J109</f>
        <v>4.84107893507708</v>
      </c>
      <c r="I243" s="59" t="n">
        <f aca="false">BlueDart!K109</f>
        <v>4.77773502011059</v>
      </c>
      <c r="J243" s="25" t="str">
        <f aca="false">IF(AND(ISNUMBER(I243),ISNUMBER(I$253)),IF(I243&gt;I$253,"Above",IF(I243&lt;I$253,"Below","At median")),"-")</f>
        <v>Above</v>
      </c>
      <c r="K243" s="25" t="str">
        <f aca="false">IF(J243="Above","Better",IF(J243="Below","Weaker",IF(J243="At median","In line","-")))</f>
        <v>Better</v>
      </c>
      <c r="L243" s="43" t="n">
        <f aca="false">IF(ISNUMBER(I243),RANK(I243,I$241:I$250,0),"-")</f>
        <v>5</v>
      </c>
    </row>
    <row r="244" customFormat="false" ht="15" hidden="false" customHeight="false" outlineLevel="0" collapsed="false">
      <c r="A244" s="16" t="s">
        <v>58</v>
      </c>
      <c r="B244" s="36" t="n">
        <f aca="false">CONCOR!D109</f>
        <v>24.7590439276486</v>
      </c>
      <c r="C244" s="36" t="n">
        <f aca="false">CONCOR!E109</f>
        <v>11.3800967519005</v>
      </c>
      <c r="D244" s="36" t="n">
        <f aca="false">CONCOR!F109</f>
        <v>18.8900381922342</v>
      </c>
      <c r="E244" s="36" t="n">
        <f aca="false">CONCOR!G109</f>
        <v>20.0183982683983</v>
      </c>
      <c r="F244" s="36" t="n">
        <f aca="false">CONCOR!H109</f>
        <v>18.6821413634462</v>
      </c>
      <c r="G244" s="36" t="n">
        <f aca="false">CONCOR!I109</f>
        <v>18.3356443719413</v>
      </c>
      <c r="H244" s="36" t="n">
        <f aca="false">CONCOR!J109</f>
        <v>17.0099325098688</v>
      </c>
      <c r="I244" s="59" t="n">
        <f aca="false">CONCOR!K109</f>
        <v>18.4393279122054</v>
      </c>
      <c r="J244" s="25" t="str">
        <f aca="false">IF(AND(ISNUMBER(I244),ISNUMBER(I$253)),IF(I244&gt;I$253,"Above",IF(I244&lt;I$253,"Below","At median")),"-")</f>
        <v>Above</v>
      </c>
      <c r="K244" s="25" t="str">
        <f aca="false">IF(J244="Above","Better",IF(J244="Below","Weaker",IF(J244="At median","In line","-")))</f>
        <v>Better</v>
      </c>
      <c r="L244" s="43" t="n">
        <f aca="false">IF(ISNUMBER(I244),RANK(I244,I$241:I$250,0),"-")</f>
        <v>1</v>
      </c>
    </row>
    <row r="245" customFormat="false" ht="15" hidden="false" customHeight="false" outlineLevel="0" collapsed="false">
      <c r="A245" s="16" t="s">
        <v>278</v>
      </c>
      <c r="B245" s="36" t="n">
        <f aca="false">JetFreight!D109</f>
        <v>-1.04366812227075</v>
      </c>
      <c r="C245" s="36" t="n">
        <f aca="false">JetFreight!E109</f>
        <v>1.84278350515465</v>
      </c>
      <c r="D245" s="36" t="n">
        <f aca="false">JetFreight!F109</f>
        <v>1.99009900990098</v>
      </c>
      <c r="E245" s="36" t="n">
        <f aca="false">JetFreight!G109</f>
        <v>1.02772277227724</v>
      </c>
      <c r="F245" s="36" t="n">
        <f aca="false">JetFreight!H109</f>
        <v>0.622895622895618</v>
      </c>
      <c r="G245" s="36" t="n">
        <f aca="false">JetFreight!I109</f>
        <v>1.76666666666667</v>
      </c>
      <c r="H245" s="36" t="n">
        <f aca="false">JetFreight!J109</f>
        <v>2.09428571428571</v>
      </c>
      <c r="I245" s="59" t="n">
        <f aca="false">JetFreight!K109</f>
        <v>1.18582645270145</v>
      </c>
      <c r="J245" s="25" t="str">
        <f aca="false">IF(AND(ISNUMBER(I245),ISNUMBER(I$253)),IF(I245&gt;I$253,"Above",IF(I245&lt;I$253,"Below","At median")),"-")</f>
        <v>Below</v>
      </c>
      <c r="K245" s="25" t="str">
        <f aca="false">IF(J245="Above","Better",IF(J245="Below","Weaker",IF(J245="At median","In line","-")))</f>
        <v>Weaker</v>
      </c>
      <c r="L245" s="43" t="n">
        <f aca="false">IF(ISNUMBER(I245),RANK(I245,I$241:I$250,0),"-")</f>
        <v>9</v>
      </c>
    </row>
    <row r="246" customFormat="false" ht="15" hidden="false" customHeight="false" outlineLevel="0" collapsed="false">
      <c r="A246" s="16" t="s">
        <v>62</v>
      </c>
      <c r="B246" s="36" t="n">
        <f aca="false">Patel!D109</f>
        <v>0.56562922868742</v>
      </c>
      <c r="C246" s="36" t="n">
        <f aca="false">Patel!E109</f>
        <v>0.371541501976287</v>
      </c>
      <c r="D246" s="36" t="n">
        <f aca="false">Patel!F109</f>
        <v>0.947565543071155</v>
      </c>
      <c r="E246" s="36" t="n">
        <f aca="false">Patel!G109</f>
        <v>1.55136268343814</v>
      </c>
      <c r="F246" s="36" t="n">
        <f aca="false">Patel!H109</f>
        <v>2.43243243243244</v>
      </c>
      <c r="G246" s="36" t="n">
        <f aca="false">Patel!I109</f>
        <v>5.2542372881356</v>
      </c>
      <c r="H246" s="36" t="n">
        <f aca="false">Patel!J109</f>
        <v>22.342857142857</v>
      </c>
      <c r="I246" s="59" t="n">
        <f aca="false">Patel!K109</f>
        <v>4.78080368865686</v>
      </c>
      <c r="J246" s="25" t="str">
        <f aca="false">IF(AND(ISNUMBER(I246),ISNUMBER(I$253)),IF(I246&gt;I$253,"Above",IF(I246&lt;I$253,"Below","At median")),"-")</f>
        <v>Above</v>
      </c>
      <c r="K246" s="25" t="str">
        <f aca="false">IF(J246="Above","Better",IF(J246="Below","Weaker",IF(J246="At median","In line","-")))</f>
        <v>Better</v>
      </c>
      <c r="L246" s="43" t="n">
        <f aca="false">IF(ISNUMBER(I246),RANK(I246,I$241:I$250,0),"-")</f>
        <v>4</v>
      </c>
    </row>
    <row r="247" customFormat="false" ht="15" hidden="false" customHeight="false" outlineLevel="0" collapsed="false">
      <c r="A247" s="16" t="s">
        <v>64</v>
      </c>
      <c r="B247" s="36" t="n">
        <f aca="false">Sical!D109</f>
        <v>-1.94364660970732</v>
      </c>
      <c r="C247" s="36" t="n">
        <f aca="false">Sical!E109</f>
        <v>-0.633666211653136</v>
      </c>
      <c r="D247" s="36" t="n">
        <f aca="false">Sical!F109</f>
        <v>-5.17010309278351</v>
      </c>
      <c r="E247" s="36" t="n">
        <f aca="false">Sical!G109</f>
        <v>-1.4496644295302</v>
      </c>
      <c r="F247" s="36" t="n">
        <f aca="false">Sical!H109</f>
        <v>-0.809596733027055</v>
      </c>
      <c r="G247" s="36" t="n">
        <f aca="false">Sical!I109</f>
        <v>-0.375491329479769</v>
      </c>
      <c r="H247" s="36" t="n">
        <f aca="false">Sical!J109</f>
        <v>0.508608719800056</v>
      </c>
      <c r="I247" s="59" t="n">
        <f aca="false">Sical!K109</f>
        <v>-1.41050852662585</v>
      </c>
      <c r="J247" s="25" t="str">
        <f aca="false">IF(AND(ISNUMBER(I247),ISNUMBER(I$253)),IF(I247&gt;I$253,"Above",IF(I247&lt;I$253,"Below","At median")),"-")</f>
        <v>Below</v>
      </c>
      <c r="K247" s="25" t="str">
        <f aca="false">IF(J247="Above","Better",IF(J247="Below","Weaker",IF(J247="At median","In line","-")))</f>
        <v>Weaker</v>
      </c>
      <c r="L247" s="43" t="n">
        <f aca="false">IF(ISNUMBER(I247),RANK(I247,I$241:I$250,0),"-")</f>
        <v>10</v>
      </c>
    </row>
    <row r="248" customFormat="false" ht="15" hidden="false" customHeight="false" outlineLevel="0" collapsed="false">
      <c r="A248" s="16" t="s">
        <v>66</v>
      </c>
      <c r="B248" s="36" t="n">
        <f aca="false">TCI!D109</f>
        <v>4.63141025641026</v>
      </c>
      <c r="C248" s="36" t="n">
        <f aca="false">TCI!E109</f>
        <v>6.37490636704118</v>
      </c>
      <c r="D248" s="36" t="n">
        <f aca="false">TCI!F109</f>
        <v>23.2899454403741</v>
      </c>
      <c r="E248" s="36" t="n">
        <f aca="false">TCI!G109</f>
        <v>30.9531568228106</v>
      </c>
      <c r="F248" s="36" t="n">
        <f aca="false">TCI!H109</f>
        <v>21.309721175584</v>
      </c>
      <c r="G248" s="36" t="n">
        <f aca="false">TCI!I109</f>
        <v>17.0997023809524</v>
      </c>
      <c r="H248" s="36" t="n">
        <f aca="false">TCI!J109</f>
        <v>17.1873628784555</v>
      </c>
      <c r="I248" s="59" t="n">
        <f aca="false">TCI!K109</f>
        <v>17.2637436173754</v>
      </c>
      <c r="J248" s="25" t="str">
        <f aca="false">IF(AND(ISNUMBER(I248),ISNUMBER(I$253)),IF(I248&gt;I$253,"Above",IF(I248&lt;I$253,"Below","At median")),"-")</f>
        <v>Above</v>
      </c>
      <c r="K248" s="25" t="str">
        <f aca="false">IF(J248="Above","Better",IF(J248="Below","Weaker",IF(J248="At median","In line","-")))</f>
        <v>Better</v>
      </c>
      <c r="L248" s="43" t="n">
        <f aca="false">IF(ISNUMBER(I248),RANK(I248,I$241:I$250,0),"-")</f>
        <v>2</v>
      </c>
    </row>
    <row r="249" customFormat="false" ht="15" hidden="false" customHeight="false" outlineLevel="0" collapsed="false">
      <c r="A249" s="16" t="s">
        <v>68</v>
      </c>
      <c r="B249" s="36" t="n">
        <f aca="false">Shreeji!D109</f>
        <v>1.38243626062323</v>
      </c>
      <c r="C249" s="36" t="n">
        <f aca="false">Shreeji!E109</f>
        <v>0.665083135391924</v>
      </c>
      <c r="D249" s="36" t="n">
        <f aca="false">Shreeji!F109</f>
        <v>3.11138014527845</v>
      </c>
      <c r="E249" s="36" t="n">
        <f aca="false">Shreeji!G109</f>
        <v>4.3854447439353</v>
      </c>
      <c r="F249" s="36" t="n">
        <f aca="false">Shreeji!H109</f>
        <v>2.91733870967742</v>
      </c>
      <c r="G249" s="36" t="n">
        <f aca="false">Shreeji!I109</f>
        <v>0.956621004566212</v>
      </c>
      <c r="H249" s="36" t="n">
        <f aca="false">Shreeji!J109</f>
        <v>0.901442307692308</v>
      </c>
      <c r="I249" s="59" t="n">
        <f aca="false">Shreeji!K109</f>
        <v>2.04567804388069</v>
      </c>
      <c r="J249" s="25" t="str">
        <f aca="false">IF(AND(ISNUMBER(I249),ISNUMBER(I$253)),IF(I249&gt;I$253,"Above",IF(I249&lt;I$253,"Below","At median")),"-")</f>
        <v>Below</v>
      </c>
      <c r="K249" s="25" t="str">
        <f aca="false">IF(J249="Above","Better",IF(J249="Below","Weaker",IF(J249="At median","In line","-")))</f>
        <v>Weaker</v>
      </c>
      <c r="L249" s="43" t="n">
        <f aca="false">IF(ISNUMBER(I249),RANK(I249,I$241:I$250,0),"-")</f>
        <v>7</v>
      </c>
    </row>
    <row r="250" customFormat="false" ht="15" hidden="false" customHeight="false" outlineLevel="0" collapsed="false">
      <c r="A250" s="16" t="s">
        <v>279</v>
      </c>
      <c r="B250" s="36" t="n">
        <f aca="false">MahindraLog!D109</f>
        <v>4.82416335791262</v>
      </c>
      <c r="C250" s="36" t="n">
        <f aca="false">MahindraLog!E109</f>
        <v>2.24141363862615</v>
      </c>
      <c r="D250" s="36" t="n">
        <f aca="false">MahindraLog!F109</f>
        <v>1.42991281019449</v>
      </c>
      <c r="E250" s="36" t="n">
        <f aca="false">MahindraLog!G109</f>
        <v>1.36746170254023</v>
      </c>
      <c r="F250" s="36" t="n">
        <f aca="false">MahindraLog!H109</f>
        <v>0.326437793427227</v>
      </c>
      <c r="G250" s="36" t="n">
        <f aca="false">MahindraLog!I109</f>
        <v>0.715059721709153</v>
      </c>
      <c r="H250" s="36" t="n">
        <f aca="false">MahindraLog!J109</f>
        <v>1.34537456678219</v>
      </c>
      <c r="I250" s="59" t="n">
        <f aca="false">MahindraLog!K109</f>
        <v>1.74997479874172</v>
      </c>
      <c r="J250" s="25" t="str">
        <f aca="false">IF(AND(ISNUMBER(I250),ISNUMBER(I$253)),IF(I250&gt;I$253,"Above",IF(I250&lt;I$253,"Below","At median")),"-")</f>
        <v>Below</v>
      </c>
      <c r="K250" s="25" t="str">
        <f aca="false">IF(J250="Above","Better",IF(J250="Below","Weaker",IF(J250="At median","In line","-")))</f>
        <v>Weaker</v>
      </c>
      <c r="L250" s="43" t="n">
        <f aca="false">IF(ISNUMBER(I250),RANK(I250,I$241:I$250,0),"-")</f>
        <v>8</v>
      </c>
    </row>
    <row r="251" customFormat="false" ht="15" hidden="false" customHeight="false" outlineLevel="0" collapsed="false">
      <c r="A251" s="46" t="s">
        <v>328</v>
      </c>
      <c r="B251" s="37" t="n">
        <f aca="false">Industry!D110</f>
        <v>4.63213924085275</v>
      </c>
      <c r="C251" s="37" t="n">
        <f aca="false">Industry!E110</f>
        <v>2.42748837858868</v>
      </c>
      <c r="D251" s="37" t="n">
        <f aca="false">Industry!F110</f>
        <v>9.62757283943022</v>
      </c>
      <c r="E251" s="37" t="n">
        <f aca="false">Industry!G110</f>
        <v>9.92583701427567</v>
      </c>
      <c r="F251" s="37" t="n">
        <f aca="false">Industry!H110</f>
        <v>5.05254720761922</v>
      </c>
      <c r="G251" s="37" t="n">
        <f aca="false">Industry!I110</f>
        <v>5.62062445704942</v>
      </c>
      <c r="H251" s="37" t="n">
        <f aca="false">Industry!J110</f>
        <v>5.72440525219246</v>
      </c>
      <c r="I251" s="37" t="n">
        <f aca="false">Industry!K110</f>
        <v>6.14437348428691</v>
      </c>
      <c r="J251" s="47"/>
      <c r="K251" s="47"/>
      <c r="L251" s="47"/>
    </row>
    <row r="252" customFormat="false" ht="15" hidden="false" customHeight="false" outlineLevel="0" collapsed="false">
      <c r="A252" s="52" t="s">
        <v>329</v>
      </c>
      <c r="B252" s="60" t="n">
        <f aca="false">IF(COUNT(B241:B250)=0,"N/M",AVERAGE(B241:B250))</f>
        <v>3.59457076749412</v>
      </c>
      <c r="C252" s="60" t="n">
        <f aca="false">IF(COUNT(C241:C250)=0,"N/M",AVERAGE(C241:C250))</f>
        <v>2.16087303032925</v>
      </c>
      <c r="D252" s="60" t="n">
        <f aca="false">IF(COUNT(D241:D250)=0,"N/M",AVERAGE(D241:D250))</f>
        <v>8.66600221158562</v>
      </c>
      <c r="E252" s="60" t="n">
        <f aca="false">IF(COUNT(E241:E250)=0,"N/M",AVERAGE(E241:E250))</f>
        <v>10.0966955590905</v>
      </c>
      <c r="F252" s="60" t="n">
        <f aca="false">IF(COUNT(F241:F250)=0,"N/M",AVERAGE(F241:F250))</f>
        <v>7.0541214472243</v>
      </c>
      <c r="G252" s="60" t="n">
        <f aca="false">IF(COUNT(G241:G250)=0,"N/M",AVERAGE(G241:G250))</f>
        <v>5.78940854401388</v>
      </c>
      <c r="H252" s="60" t="n">
        <f aca="false">IF(COUNT(H241:H250)=0,"N/M",AVERAGE(H241:H250))</f>
        <v>7.16740167786138</v>
      </c>
      <c r="I252" s="60" t="n">
        <f aca="false">IF(COUNT(I241:I250)=0,"N/M",AVERAGE(I241:I250))</f>
        <v>6.36129617679986</v>
      </c>
      <c r="J252" s="54"/>
      <c r="K252" s="54"/>
      <c r="L252" s="54"/>
    </row>
    <row r="253" customFormat="false" ht="15" hidden="false" customHeight="false" outlineLevel="0" collapsed="false">
      <c r="A253" s="28" t="s">
        <v>281</v>
      </c>
      <c r="B253" s="38" t="n">
        <f aca="false">IF(COUNT(B241:B250)=0,"N/M",MEDIAN(B241:B250))</f>
        <v>1.23338885786316</v>
      </c>
      <c r="C253" s="38" t="n">
        <f aca="false">IF(COUNT(C241:C250)=0,"N/M",MEDIAN(C241:C250))</f>
        <v>2.0420985718904</v>
      </c>
      <c r="D253" s="38" t="n">
        <f aca="false">IF(COUNT(D241:D250)=0,"N/M",MEDIAN(D241:D250))</f>
        <v>5.03183127075351</v>
      </c>
      <c r="E253" s="38" t="n">
        <f aca="false">IF(COUNT(E241:E250)=0,"N/M",MEDIAN(E241:E250))</f>
        <v>6.25502603688912</v>
      </c>
      <c r="F253" s="38" t="n">
        <f aca="false">IF(COUNT(F241:F250)=0,"N/M",MEDIAN(F241:F250))</f>
        <v>2.67488557105493</v>
      </c>
      <c r="G253" s="38" t="n">
        <f aca="false">IF(COUNT(G241:G250)=0,"N/M",MEDIAN(G241:G250))</f>
        <v>3.25813610065947</v>
      </c>
      <c r="H253" s="38" t="n">
        <f aca="false">IF(COUNT(H241:H250)=0,"N/M",MEDIAN(H241:H250))</f>
        <v>3.46768232468139</v>
      </c>
      <c r="I253" s="38" t="n">
        <f aca="false">IF(COUNT(I241:I250)=0,"N/M",MEDIAN(I241:I250))</f>
        <v>4.4135790813621</v>
      </c>
      <c r="J253" s="54"/>
      <c r="K253" s="54"/>
      <c r="L253" s="54"/>
    </row>
    <row r="254" customFormat="false" ht="15" hidden="false" customHeight="false" outlineLevel="0" collapsed="false">
      <c r="A254" s="52" t="s">
        <v>330</v>
      </c>
      <c r="B254" s="60" t="n">
        <f aca="false">IF(COUNT(B241:B250)&lt;2,"N/M",STDEV(B241:B250))</f>
        <v>7.85750316876001</v>
      </c>
      <c r="C254" s="60" t="n">
        <f aca="false">IF(COUNT(C241:C250)&lt;2,"N/M",STDEV(C241:C250))</f>
        <v>4.36871545241858</v>
      </c>
      <c r="D254" s="60" t="n">
        <f aca="false">IF(COUNT(D241:D250)&lt;2,"N/M",STDEV(D241:D250))</f>
        <v>10.2822712396623</v>
      </c>
      <c r="E254" s="60" t="n">
        <f aca="false">IF(COUNT(E241:E250)&lt;2,"N/M",STDEV(E241:E250))</f>
        <v>11.324696243735</v>
      </c>
      <c r="F254" s="60" t="n">
        <f aca="false">IF(COUNT(F241:F250)&lt;2,"N/M",STDEV(F241:F250))</f>
        <v>8.93092369594261</v>
      </c>
      <c r="G254" s="60" t="n">
        <f aca="false">IF(COUNT(G241:G250)&lt;2,"N/M",STDEV(G241:G250))</f>
        <v>6.92516353858016</v>
      </c>
      <c r="H254" s="60" t="n">
        <f aca="false">IF(COUNT(H241:H250)&lt;2,"N/M",STDEV(H241:H250))</f>
        <v>8.33744842528523</v>
      </c>
      <c r="I254" s="60" t="n">
        <f aca="false">IF(COUNT(I241:I250)&lt;2,"N/M",STDEV(I241:I250))</f>
        <v>6.84155449532133</v>
      </c>
      <c r="J254" s="54"/>
      <c r="K254" s="54"/>
      <c r="L254" s="54"/>
    </row>
    <row r="255" customFormat="false" ht="15" hidden="false" customHeight="false" outlineLevel="0" collapsed="false">
      <c r="A255" s="52" t="s">
        <v>269</v>
      </c>
      <c r="B255" s="60" t="n">
        <f aca="false">IF(COUNT(B241:B250)=0,"N/M",MIN(B241:B250))</f>
        <v>-2.11036036036034</v>
      </c>
      <c r="C255" s="60" t="n">
        <f aca="false">IF(COUNT(C241:C250)=0,"N/M",MIN(C241:C250))</f>
        <v>-5.29591836734693</v>
      </c>
      <c r="D255" s="60" t="n">
        <f aca="false">IF(COUNT(D241:D250)=0,"N/M",MIN(D241:D250))</f>
        <v>-5.17010309278351</v>
      </c>
      <c r="E255" s="60" t="n">
        <f aca="false">IF(COUNT(E241:E250)=0,"N/M",MIN(E241:E250))</f>
        <v>-1.4496644295302</v>
      </c>
      <c r="F255" s="60" t="n">
        <f aca="false">IF(COUNT(F241:F250)=0,"N/M",MIN(F241:F250))</f>
        <v>-0.809596733027055</v>
      </c>
      <c r="G255" s="60" t="n">
        <f aca="false">IF(COUNT(G241:G250)=0,"N/M",MIN(G241:G250))</f>
        <v>-0.375491329479769</v>
      </c>
      <c r="H255" s="60" t="n">
        <f aca="false">IF(COUNT(H241:H250)=0,"N/M",MIN(H241:H250))</f>
        <v>0.5</v>
      </c>
      <c r="I255" s="60" t="n">
        <f aca="false">IF(COUNT(I241:I250)=0,"N/M",MIN(I241:I250))</f>
        <v>-1.41050852662585</v>
      </c>
      <c r="J255" s="54"/>
      <c r="K255" s="54"/>
      <c r="L255" s="54"/>
    </row>
    <row r="256" customFormat="false" ht="15" hidden="false" customHeight="false" outlineLevel="0" collapsed="false">
      <c r="A256" s="52" t="s">
        <v>270</v>
      </c>
      <c r="B256" s="60" t="n">
        <f aca="false">IF(COUNT(B241:B250)=0,"N/M",MAX(B241:B250))</f>
        <v>24.7590439276486</v>
      </c>
      <c r="C256" s="60" t="n">
        <f aca="false">IF(COUNT(C241:C250)=0,"N/M",MAX(C241:C250))</f>
        <v>11.3800967519005</v>
      </c>
      <c r="D256" s="60" t="n">
        <f aca="false">IF(COUNT(D241:D250)=0,"N/M",MAX(D241:D250))</f>
        <v>24.3708609271523</v>
      </c>
      <c r="E256" s="60" t="n">
        <f aca="false">IF(COUNT(E241:E250)=0,"N/M",MAX(E241:E250))</f>
        <v>30.9531568228106</v>
      </c>
      <c r="F256" s="60" t="n">
        <f aca="false">IF(COUNT(F241:F250)=0,"N/M",MAX(F241:F250))</f>
        <v>21.309721175584</v>
      </c>
      <c r="G256" s="60" t="n">
        <f aca="false">IF(COUNT(G241:G250)=0,"N/M",MAX(G241:G250))</f>
        <v>18.3356443719413</v>
      </c>
      <c r="H256" s="60" t="n">
        <f aca="false">IF(COUNT(H241:H250)=0,"N/M",MAX(H241:H250))</f>
        <v>22.342857142857</v>
      </c>
      <c r="I256" s="60" t="n">
        <f aca="false">IF(COUNT(I241:I250)=0,"N/M",MAX(I241:I250))</f>
        <v>18.4393279122054</v>
      </c>
      <c r="J256" s="54"/>
      <c r="K256" s="54"/>
      <c r="L256" s="54"/>
    </row>
    <row r="258" customFormat="false" ht="16.5" hidden="false" customHeight="true" outlineLevel="0" collapsed="false">
      <c r="A258" s="49" t="s">
        <v>344</v>
      </c>
      <c r="B258" s="49"/>
      <c r="C258" s="49"/>
      <c r="D258" s="49"/>
      <c r="E258" s="49"/>
      <c r="F258" s="49"/>
      <c r="G258" s="49"/>
      <c r="H258" s="49"/>
      <c r="I258" s="49"/>
      <c r="J258" s="49"/>
      <c r="K258" s="49"/>
      <c r="L258" s="49"/>
    </row>
    <row r="259" customFormat="false" ht="15" hidden="false" customHeight="false" outlineLevel="0" collapsed="false">
      <c r="A259" s="16" t="s">
        <v>52</v>
      </c>
      <c r="B259" s="36" t="str">
        <f aca="false">Tiger!D110</f>
        <v>N/M</v>
      </c>
      <c r="C259" s="36" t="str">
        <f aca="false">Tiger!E110</f>
        <v>N/M</v>
      </c>
      <c r="D259" s="36" t="n">
        <f aca="false">Tiger!F110</f>
        <v>31.7264150943396</v>
      </c>
      <c r="E259" s="36" t="str">
        <f aca="false">Tiger!G110</f>
        <v>N/M</v>
      </c>
      <c r="F259" s="36" t="str">
        <f aca="false">Tiger!H110</f>
        <v>N/M</v>
      </c>
      <c r="G259" s="36" t="str">
        <f aca="false">Tiger!I110</f>
        <v>N/M</v>
      </c>
      <c r="H259" s="36" t="str">
        <f aca="false">Tiger!J110</f>
        <v>N/M</v>
      </c>
      <c r="I259" s="59" t="n">
        <f aca="false">Tiger!K110</f>
        <v>31.7264150943396</v>
      </c>
      <c r="J259" s="25" t="str">
        <f aca="false">IF(AND(ISNUMBER(I259),ISNUMBER(I$271)),IF(I259&gt;I$271,"Above",IF(I259&lt;I$271,"Below","At median")),"-")</f>
        <v>Above</v>
      </c>
      <c r="K259" s="25" t="str">
        <f aca="false">IF(J259="Above","Better",IF(J259="Below","Weaker",IF(J259="At median","In line","-")))</f>
        <v>Better</v>
      </c>
      <c r="L259" s="43" t="n">
        <f aca="false">IF(ISNUMBER(I259),RANK(I259,I$259:I$268,0),"-")</f>
        <v>1</v>
      </c>
    </row>
    <row r="260" customFormat="false" ht="15" hidden="false" customHeight="false" outlineLevel="0" collapsed="false">
      <c r="A260" s="16" t="s">
        <v>54</v>
      </c>
      <c r="B260" s="36" t="n">
        <f aca="false">Allcargo!D110</f>
        <v>3.02536969203636</v>
      </c>
      <c r="C260" s="36" t="n">
        <f aca="false">Allcargo!E110</f>
        <v>3.51851851851852</v>
      </c>
      <c r="D260" s="36" t="n">
        <f aca="false">Allcargo!F110</f>
        <v>12.5589472256139</v>
      </c>
      <c r="E260" s="36" t="n">
        <f aca="false">Allcargo!G110</f>
        <v>7.88465873512837</v>
      </c>
      <c r="F260" s="36" t="n">
        <f aca="false">Allcargo!H110</f>
        <v>1.52319902319902</v>
      </c>
      <c r="G260" s="36" t="n">
        <f aca="false">Allcargo!I110</f>
        <v>0.206349206349206</v>
      </c>
      <c r="H260" s="36" t="str">
        <f aca="false">Allcargo!J110</f>
        <v>N/M</v>
      </c>
      <c r="I260" s="59" t="n">
        <f aca="false">Allcargo!K110</f>
        <v>4.78617373347423</v>
      </c>
      <c r="J260" s="25" t="str">
        <f aca="false">IF(AND(ISNUMBER(I260),ISNUMBER(I$271)),IF(I260&gt;I$271,"Above",IF(I260&lt;I$271,"Below","At median")),"-")</f>
        <v>Below</v>
      </c>
      <c r="K260" s="25" t="str">
        <f aca="false">IF(J260="Above","Better",IF(J260="Below","Weaker",IF(J260="At median","In line","-")))</f>
        <v>Weaker</v>
      </c>
      <c r="L260" s="43" t="n">
        <f aca="false">IF(ISNUMBER(I260),RANK(I260,I$259:I$268,0),"-")</f>
        <v>6</v>
      </c>
    </row>
    <row r="261" customFormat="false" ht="15" hidden="false" customHeight="false" outlineLevel="0" collapsed="false">
      <c r="A261" s="16" t="s">
        <v>277</v>
      </c>
      <c r="B261" s="36" t="str">
        <f aca="false">BlueDart!D110</f>
        <v>N/M</v>
      </c>
      <c r="C261" s="36" t="n">
        <f aca="false">BlueDart!E110</f>
        <v>2.85662177328844</v>
      </c>
      <c r="D261" s="36" t="n">
        <f aca="false">BlueDart!F110</f>
        <v>2.68104657687991</v>
      </c>
      <c r="E261" s="36" t="n">
        <f aca="false">BlueDart!G110</f>
        <v>5.19823232323232</v>
      </c>
      <c r="F261" s="36" t="n">
        <f aca="false">BlueDart!H110</f>
        <v>5.06750841750842</v>
      </c>
      <c r="G261" s="36" t="n">
        <f aca="false">BlueDart!I110</f>
        <v>4.24949494949495</v>
      </c>
      <c r="H261" s="36" t="n">
        <f aca="false">BlueDart!J110</f>
        <v>4.16481481481481</v>
      </c>
      <c r="I261" s="59" t="n">
        <f aca="false">BlueDart!K110</f>
        <v>4.03628647586981</v>
      </c>
      <c r="J261" s="25" t="str">
        <f aca="false">IF(AND(ISNUMBER(I261),ISNUMBER(I$271)),IF(I261&gt;I$271,"Above",IF(I261&lt;I$271,"Below","At median")),"-")</f>
        <v>Below</v>
      </c>
      <c r="K261" s="25" t="str">
        <f aca="false">IF(J261="Above","Better",IF(J261="Below","Weaker",IF(J261="At median","In line","-")))</f>
        <v>Weaker</v>
      </c>
      <c r="L261" s="43" t="n">
        <f aca="false">IF(ISNUMBER(I261),RANK(I261,I$259:I$268,0),"-")</f>
        <v>7</v>
      </c>
    </row>
    <row r="262" customFormat="false" ht="15" hidden="false" customHeight="false" outlineLevel="0" collapsed="false">
      <c r="A262" s="16" t="s">
        <v>58</v>
      </c>
      <c r="B262" s="36" t="n">
        <f aca="false">CONCOR!D110</f>
        <v>1.83961705037611</v>
      </c>
      <c r="C262" s="36" t="n">
        <f aca="false">CONCOR!E110</f>
        <v>1.65849335302807</v>
      </c>
      <c r="D262" s="36" t="n">
        <f aca="false">CONCOR!F110</f>
        <v>1.92410233966118</v>
      </c>
      <c r="E262" s="36" t="n">
        <f aca="false">CONCOR!G110</f>
        <v>1.75144353430912</v>
      </c>
      <c r="F262" s="36" t="n">
        <f aca="false">CONCOR!H110</f>
        <v>1.79904381332953</v>
      </c>
      <c r="G262" s="36" t="n">
        <f aca="false">CONCOR!I110</f>
        <v>1.84103039817326</v>
      </c>
      <c r="H262" s="36" t="n">
        <f aca="false">CONCOR!J110</f>
        <v>1.89590680773752</v>
      </c>
      <c r="I262" s="59" t="n">
        <f aca="false">CONCOR!K110</f>
        <v>1.81566247094497</v>
      </c>
      <c r="J262" s="25" t="str">
        <f aca="false">IF(AND(ISNUMBER(I262),ISNUMBER(I$271)),IF(I262&gt;I$271,"Above",IF(I262&lt;I$271,"Below","At median")),"-")</f>
        <v>Below</v>
      </c>
      <c r="K262" s="25" t="str">
        <f aca="false">IF(J262="Above","Better",IF(J262="Below","Weaker",IF(J262="At median","In line","-")))</f>
        <v>Weaker</v>
      </c>
      <c r="L262" s="43" t="n">
        <f aca="false">IF(ISNUMBER(I262),RANK(I262,I$259:I$268,0),"-")</f>
        <v>8</v>
      </c>
    </row>
    <row r="263" customFormat="false" ht="15" hidden="false" customHeight="false" outlineLevel="0" collapsed="false">
      <c r="A263" s="16" t="s">
        <v>278</v>
      </c>
      <c r="B263" s="36" t="str">
        <f aca="false">JetFreight!D110</f>
        <v>N/M</v>
      </c>
      <c r="C263" s="36" t="str">
        <f aca="false">JetFreight!E110</f>
        <v>N/M</v>
      </c>
      <c r="D263" s="36" t="n">
        <f aca="false">JetFreight!F110</f>
        <v>23.5</v>
      </c>
      <c r="E263" s="36" t="str">
        <f aca="false">JetFreight!G110</f>
        <v>N/M</v>
      </c>
      <c r="F263" s="36" t="str">
        <f aca="false">JetFreight!H110</f>
        <v>N/M</v>
      </c>
      <c r="G263" s="36" t="str">
        <f aca="false">JetFreight!I110</f>
        <v>N/M</v>
      </c>
      <c r="H263" s="36" t="str">
        <f aca="false">JetFreight!J110</f>
        <v>N/M</v>
      </c>
      <c r="I263" s="59" t="n">
        <f aca="false">JetFreight!K110</f>
        <v>23.5</v>
      </c>
      <c r="J263" s="25" t="str">
        <f aca="false">IF(AND(ISNUMBER(I263),ISNUMBER(I$271)),IF(I263&gt;I$271,"Above",IF(I263&lt;I$271,"Below","At median")),"-")</f>
        <v>Above</v>
      </c>
      <c r="K263" s="25" t="str">
        <f aca="false">IF(J263="Above","Better",IF(J263="Below","Weaker",IF(J263="At median","In line","-")))</f>
        <v>Better</v>
      </c>
      <c r="L263" s="43" t="n">
        <f aca="false">IF(ISNUMBER(I263),RANK(I263,I$259:I$268,0),"-")</f>
        <v>2</v>
      </c>
    </row>
    <row r="264" customFormat="false" ht="15" hidden="false" customHeight="false" outlineLevel="0" collapsed="false">
      <c r="A264" s="16" t="s">
        <v>62</v>
      </c>
      <c r="B264" s="36" t="n">
        <f aca="false">Patel!D110</f>
        <v>63.1764705882353</v>
      </c>
      <c r="C264" s="36" t="n">
        <f aca="false">Patel!E110</f>
        <v>0.192307692307692</v>
      </c>
      <c r="D264" s="36" t="n">
        <f aca="false">Patel!F110</f>
        <v>6.30555555555556</v>
      </c>
      <c r="E264" s="36" t="n">
        <f aca="false">Patel!G110</f>
        <v>7.53846153846154</v>
      </c>
      <c r="F264" s="36" t="n">
        <f aca="false">Patel!H110</f>
        <v>8.52307692307692</v>
      </c>
      <c r="G264" s="36" t="n">
        <f aca="false">Patel!I110</f>
        <v>3.63636363636364</v>
      </c>
      <c r="H264" s="36" t="n">
        <f aca="false">Patel!J110</f>
        <v>6.90647482014389</v>
      </c>
      <c r="I264" s="59" t="n">
        <f aca="false">Patel!K110</f>
        <v>13.7541015363064</v>
      </c>
      <c r="J264" s="25" t="str">
        <f aca="false">IF(AND(ISNUMBER(I264),ISNUMBER(I$271)),IF(I264&gt;I$271,"Above",IF(I264&lt;I$271,"Below","At median")),"-")</f>
        <v>Above</v>
      </c>
      <c r="K264" s="25" t="str">
        <f aca="false">IF(J264="Above","Better",IF(J264="Below","Weaker",IF(J264="At median","In line","-")))</f>
        <v>Better</v>
      </c>
      <c r="L264" s="43" t="n">
        <f aca="false">IF(ISNUMBER(I264),RANK(I264,I$259:I$268,0),"-")</f>
        <v>3</v>
      </c>
    </row>
    <row r="265" customFormat="false" ht="15" hidden="false" customHeight="false" outlineLevel="0" collapsed="false">
      <c r="A265" s="16" t="s">
        <v>64</v>
      </c>
      <c r="B265" s="36" t="str">
        <f aca="false">Sical!D110</f>
        <v>N/M</v>
      </c>
      <c r="C265" s="36" t="str">
        <f aca="false">Sical!E110</f>
        <v>N/M</v>
      </c>
      <c r="D265" s="36" t="str">
        <f aca="false">Sical!F110</f>
        <v>N/M</v>
      </c>
      <c r="E265" s="36" t="str">
        <f aca="false">Sical!G110</f>
        <v>N/M</v>
      </c>
      <c r="F265" s="36" t="str">
        <f aca="false">Sical!H110</f>
        <v>N/M</v>
      </c>
      <c r="G265" s="36" t="str">
        <f aca="false">Sical!I110</f>
        <v>N/M</v>
      </c>
      <c r="H265" s="36" t="str">
        <f aca="false">Sical!J110</f>
        <v>N/M</v>
      </c>
      <c r="I265" s="59" t="str">
        <f aca="false">Sical!K110</f>
        <v>N/M</v>
      </c>
      <c r="J265" s="25" t="str">
        <f aca="false">IF(AND(ISNUMBER(I265),ISNUMBER(I$271)),IF(I265&gt;I$271,"Above",IF(I265&lt;I$271,"Below","At median")),"-")</f>
        <v>-</v>
      </c>
      <c r="K265" s="25" t="str">
        <f aca="false">IF(J265="Above","Better",IF(J265="Below","Weaker",IF(J265="At median","In line","-")))</f>
        <v>-</v>
      </c>
      <c r="L265" s="43" t="str">
        <f aca="false">IF(ISNUMBER(I265),RANK(I265,I$259:I$268,0),"-")</f>
        <v>-</v>
      </c>
    </row>
    <row r="266" customFormat="false" ht="15" hidden="false" customHeight="false" outlineLevel="0" collapsed="false">
      <c r="A266" s="16" t="s">
        <v>66</v>
      </c>
      <c r="B266" s="36" t="n">
        <f aca="false">TCI!D110</f>
        <v>9.26219908913468</v>
      </c>
      <c r="C266" s="36" t="n">
        <f aca="false">TCI!E110</f>
        <v>7.63122406639004</v>
      </c>
      <c r="D266" s="36" t="n">
        <f aca="false">TCI!F110</f>
        <v>9.36037491919845</v>
      </c>
      <c r="E266" s="36" t="n">
        <f aca="false">TCI!G110</f>
        <v>5.84635224760501</v>
      </c>
      <c r="F266" s="36" t="n">
        <f aca="false">TCI!H110</f>
        <v>6.44615950018376</v>
      </c>
      <c r="G266" s="36" t="n">
        <f aca="false">TCI!I110</f>
        <v>6.72943864229765</v>
      </c>
      <c r="H266" s="36" t="n">
        <f aca="false">TCI!J110</f>
        <v>5.94462540716612</v>
      </c>
      <c r="I266" s="59" t="n">
        <f aca="false">TCI!K110</f>
        <v>7.3171962674251</v>
      </c>
      <c r="J266" s="25" t="str">
        <f aca="false">IF(AND(ISNUMBER(I266),ISNUMBER(I$271)),IF(I266&gt;I$271,"Above",IF(I266&lt;I$271,"Below","At median")),"-")</f>
        <v>At median</v>
      </c>
      <c r="K266" s="25" t="str">
        <f aca="false">IF(J266="Above","Better",IF(J266="Below","Weaker",IF(J266="At median","In line","-")))</f>
        <v>In line</v>
      </c>
      <c r="L266" s="43" t="n">
        <f aca="false">IF(ISNUMBER(I266),RANK(I266,I$259:I$268,0),"-")</f>
        <v>5</v>
      </c>
    </row>
    <row r="267" customFormat="false" ht="15" hidden="false" customHeight="false" outlineLevel="0" collapsed="false">
      <c r="A267" s="16" t="s">
        <v>68</v>
      </c>
      <c r="B267" s="36" t="n">
        <f aca="false">Shreeji!D110</f>
        <v>2.82692307692308</v>
      </c>
      <c r="C267" s="36" t="n">
        <f aca="false">Shreeji!E110</f>
        <v>-1.03809523809524</v>
      </c>
      <c r="D267" s="36" t="n">
        <f aca="false">Shreeji!F110</f>
        <v>4.21428571428571</v>
      </c>
      <c r="E267" s="36" t="n">
        <f aca="false">Shreeji!G110</f>
        <v>9.21904761904762</v>
      </c>
      <c r="F267" s="36" t="n">
        <f aca="false">Shreeji!H110</f>
        <v>23.2571428571429</v>
      </c>
      <c r="G267" s="36" t="str">
        <f aca="false">Shreeji!I110</f>
        <v>N/M</v>
      </c>
      <c r="H267" s="36" t="str">
        <f aca="false">Shreeji!J110</f>
        <v>N/M</v>
      </c>
      <c r="I267" s="59" t="n">
        <f aca="false">Shreeji!K110</f>
        <v>7.69586080586081</v>
      </c>
      <c r="J267" s="25" t="str">
        <f aca="false">IF(AND(ISNUMBER(I267),ISNUMBER(I$271)),IF(I267&gt;I$271,"Above",IF(I267&lt;I$271,"Below","At median")),"-")</f>
        <v>Above</v>
      </c>
      <c r="K267" s="25" t="str">
        <f aca="false">IF(J267="Above","Better",IF(J267="Below","Weaker",IF(J267="At median","In line","-")))</f>
        <v>Better</v>
      </c>
      <c r="L267" s="43" t="n">
        <f aca="false">IF(ISNUMBER(I267),RANK(I267,I$259:I$268,0),"-")</f>
        <v>4</v>
      </c>
    </row>
    <row r="268" customFormat="false" ht="15" hidden="false" customHeight="false" outlineLevel="0" collapsed="false">
      <c r="A268" s="16" t="s">
        <v>279</v>
      </c>
      <c r="B268" s="36" t="n">
        <f aca="false">MahindraLog!D110</f>
        <v>5.13699906803355</v>
      </c>
      <c r="C268" s="36" t="n">
        <f aca="false">MahindraLog!E110</f>
        <v>1.67410714285714</v>
      </c>
      <c r="D268" s="36" t="n">
        <f aca="false">MahindraLog!F110</f>
        <v>1.22199025748086</v>
      </c>
      <c r="E268" s="36" t="n">
        <f aca="false">MahindraLog!G110</f>
        <v>1.46</v>
      </c>
      <c r="F268" s="36" t="n">
        <f aca="false">MahindraLog!H110</f>
        <v>-3.03942254303165</v>
      </c>
      <c r="G268" s="36" t="n">
        <f aca="false">MahindraLog!I110</f>
        <v>-1.98835274542429</v>
      </c>
      <c r="H268" s="36" t="n">
        <f aca="false">MahindraLog!J110</f>
        <v>0.0923387096774194</v>
      </c>
      <c r="I268" s="59" t="n">
        <f aca="false">MahindraLog!K110</f>
        <v>0.651094269941862</v>
      </c>
      <c r="J268" s="25" t="str">
        <f aca="false">IF(AND(ISNUMBER(I268),ISNUMBER(I$271)),IF(I268&gt;I$271,"Above",IF(I268&lt;I$271,"Below","At median")),"-")</f>
        <v>Below</v>
      </c>
      <c r="K268" s="25" t="str">
        <f aca="false">IF(J268="Above","Better",IF(J268="Below","Weaker",IF(J268="At median","In line","-")))</f>
        <v>Weaker</v>
      </c>
      <c r="L268" s="43" t="n">
        <f aca="false">IF(ISNUMBER(I268),RANK(I268,I$259:I$268,0),"-")</f>
        <v>9</v>
      </c>
    </row>
    <row r="269" customFormat="false" ht="15" hidden="false" customHeight="false" outlineLevel="0" collapsed="false">
      <c r="A269" s="46" t="s">
        <v>328</v>
      </c>
      <c r="B269" s="37" t="n">
        <f aca="false">Industry!D111</f>
        <v>2.08347662967016</v>
      </c>
      <c r="C269" s="37" t="n">
        <f aca="false">Industry!E111</f>
        <v>-0.498738140860868</v>
      </c>
      <c r="D269" s="37" t="n">
        <f aca="false">Industry!F111</f>
        <v>3.02040339728856</v>
      </c>
      <c r="E269" s="37" t="n">
        <f aca="false">Industry!G111</f>
        <v>1.92275560122412</v>
      </c>
      <c r="F269" s="37" t="n">
        <f aca="false">Industry!H111</f>
        <v>2.16069129763131</v>
      </c>
      <c r="G269" s="37" t="n">
        <f aca="false">Industry!I111</f>
        <v>1.72762645914397</v>
      </c>
      <c r="H269" s="37" t="n">
        <f aca="false">Industry!J111</f>
        <v>2.50338296648844</v>
      </c>
      <c r="I269" s="37" t="n">
        <f aca="false">Industry!K111</f>
        <v>1.84565688722653</v>
      </c>
      <c r="J269" s="47"/>
      <c r="K269" s="47"/>
      <c r="L269" s="47"/>
    </row>
    <row r="270" customFormat="false" ht="15" hidden="false" customHeight="false" outlineLevel="0" collapsed="false">
      <c r="A270" s="52" t="s">
        <v>329</v>
      </c>
      <c r="B270" s="60" t="n">
        <f aca="false">IF(COUNT(B259:B268)=0,"N/M",AVERAGE(B259:B268))</f>
        <v>14.2112630941232</v>
      </c>
      <c r="C270" s="60" t="n">
        <f aca="false">IF(COUNT(C259:C268)=0,"N/M",AVERAGE(C259:C268))</f>
        <v>2.35616818689924</v>
      </c>
      <c r="D270" s="60" t="n">
        <f aca="false">IF(COUNT(D259:D268)=0,"N/M",AVERAGE(D259:D268))</f>
        <v>10.3880797425572</v>
      </c>
      <c r="E270" s="60" t="n">
        <f aca="false">IF(COUNT(E259:E268)=0,"N/M",AVERAGE(E259:E268))</f>
        <v>5.55688514254057</v>
      </c>
      <c r="F270" s="60" t="n">
        <f aca="false">IF(COUNT(F259:F268)=0,"N/M",AVERAGE(F259:F268))</f>
        <v>6.2252439987727</v>
      </c>
      <c r="G270" s="60" t="n">
        <f aca="false">IF(COUNT(G259:G268)=0,"N/M",AVERAGE(G259:G268))</f>
        <v>2.44572068120907</v>
      </c>
      <c r="H270" s="60" t="n">
        <f aca="false">IF(COUNT(H259:H268)=0,"N/M",AVERAGE(H259:H268))</f>
        <v>3.80083211190795</v>
      </c>
      <c r="I270" s="60" t="n">
        <f aca="false">IF(COUNT(I259:I268)=0,"N/M",AVERAGE(I259:I268))</f>
        <v>10.5869767393514</v>
      </c>
      <c r="J270" s="54"/>
      <c r="K270" s="54"/>
      <c r="L270" s="54"/>
    </row>
    <row r="271" customFormat="false" ht="15" hidden="false" customHeight="false" outlineLevel="0" collapsed="false">
      <c r="A271" s="28" t="s">
        <v>281</v>
      </c>
      <c r="B271" s="38" t="n">
        <f aca="false">IF(COUNT(B259:B268)=0,"N/M",MEDIAN(B259:B268))</f>
        <v>4.08118438003496</v>
      </c>
      <c r="C271" s="38" t="n">
        <f aca="false">IF(COUNT(C259:C268)=0,"N/M",MEDIAN(C259:C268))</f>
        <v>1.67410714285714</v>
      </c>
      <c r="D271" s="38" t="n">
        <f aca="false">IF(COUNT(D259:D268)=0,"N/M",MEDIAN(D259:D268))</f>
        <v>6.30555555555556</v>
      </c>
      <c r="E271" s="38" t="n">
        <f aca="false">IF(COUNT(E259:E268)=0,"N/M",MEDIAN(E259:E268))</f>
        <v>5.84635224760501</v>
      </c>
      <c r="F271" s="38" t="n">
        <f aca="false">IF(COUNT(F259:F268)=0,"N/M",MEDIAN(F259:F268))</f>
        <v>5.06750841750842</v>
      </c>
      <c r="G271" s="38" t="n">
        <f aca="false">IF(COUNT(G259:G268)=0,"N/M",MEDIAN(G259:G268))</f>
        <v>2.73869701726845</v>
      </c>
      <c r="H271" s="38" t="n">
        <f aca="false">IF(COUNT(H259:H268)=0,"N/M",MEDIAN(H259:H268))</f>
        <v>4.16481481481481</v>
      </c>
      <c r="I271" s="38" t="n">
        <f aca="false">IF(COUNT(I259:I268)=0,"N/M",MEDIAN(I259:I268))</f>
        <v>7.3171962674251</v>
      </c>
      <c r="J271" s="54"/>
      <c r="K271" s="54"/>
      <c r="L271" s="54"/>
    </row>
    <row r="272" customFormat="false" ht="15" hidden="false" customHeight="false" outlineLevel="0" collapsed="false">
      <c r="A272" s="52" t="s">
        <v>330</v>
      </c>
      <c r="B272" s="60" t="n">
        <f aca="false">IF(COUNT(B259:B268)&lt;2,"N/M",STDEV(B259:B268))</f>
        <v>24.1338437955662</v>
      </c>
      <c r="C272" s="60" t="n">
        <f aca="false">IF(COUNT(C259:C268)&lt;2,"N/M",STDEV(C259:C268))</f>
        <v>2.78636562859285</v>
      </c>
      <c r="D272" s="60" t="n">
        <f aca="false">IF(COUNT(D259:D268)&lt;2,"N/M",STDEV(D259:D268))</f>
        <v>10.6234002197896</v>
      </c>
      <c r="E272" s="60" t="n">
        <f aca="false">IF(COUNT(E259:E268)&lt;2,"N/M",STDEV(E259:E268))</f>
        <v>3.00651752226441</v>
      </c>
      <c r="F272" s="60" t="n">
        <f aca="false">IF(COUNT(F259:F268)&lt;2,"N/M",STDEV(F259:F268))</f>
        <v>8.40921410685347</v>
      </c>
      <c r="G272" s="60" t="n">
        <f aca="false">IF(COUNT(G259:G268)&lt;2,"N/M",STDEV(G259:G268))</f>
        <v>3.10041655012137</v>
      </c>
      <c r="H272" s="60" t="n">
        <f aca="false">IF(COUNT(H259:H268)&lt;2,"N/M",STDEV(H259:H268))</f>
        <v>2.81757934497347</v>
      </c>
      <c r="I272" s="60" t="n">
        <f aca="false">IF(COUNT(I259:I268)&lt;2,"N/M",STDEV(I259:I268))</f>
        <v>10.5766328038009</v>
      </c>
      <c r="J272" s="54"/>
      <c r="K272" s="54"/>
      <c r="L272" s="54"/>
    </row>
    <row r="273" customFormat="false" ht="15" hidden="false" customHeight="false" outlineLevel="0" collapsed="false">
      <c r="A273" s="52" t="s">
        <v>269</v>
      </c>
      <c r="B273" s="60" t="n">
        <f aca="false">IF(COUNT(B259:B268)=0,"N/M",MIN(B259:B268))</f>
        <v>1.83961705037611</v>
      </c>
      <c r="C273" s="60" t="n">
        <f aca="false">IF(COUNT(C259:C268)=0,"N/M",MIN(C259:C268))</f>
        <v>-1.03809523809524</v>
      </c>
      <c r="D273" s="60" t="n">
        <f aca="false">IF(COUNT(D259:D268)=0,"N/M",MIN(D259:D268))</f>
        <v>1.22199025748086</v>
      </c>
      <c r="E273" s="60" t="n">
        <f aca="false">IF(COUNT(E259:E268)=0,"N/M",MIN(E259:E268))</f>
        <v>1.46</v>
      </c>
      <c r="F273" s="60" t="n">
        <f aca="false">IF(COUNT(F259:F268)=0,"N/M",MIN(F259:F268))</f>
        <v>-3.03942254303165</v>
      </c>
      <c r="G273" s="60" t="n">
        <f aca="false">IF(COUNT(G259:G268)=0,"N/M",MIN(G259:G268))</f>
        <v>-1.98835274542429</v>
      </c>
      <c r="H273" s="60" t="n">
        <f aca="false">IF(COUNT(H259:H268)=0,"N/M",MIN(H259:H268))</f>
        <v>0.0923387096774194</v>
      </c>
      <c r="I273" s="60" t="n">
        <f aca="false">IF(COUNT(I259:I268)=0,"N/M",MIN(I259:I268))</f>
        <v>0.651094269941862</v>
      </c>
      <c r="J273" s="54"/>
      <c r="K273" s="54"/>
      <c r="L273" s="54"/>
    </row>
    <row r="274" customFormat="false" ht="15" hidden="false" customHeight="false" outlineLevel="0" collapsed="false">
      <c r="A274" s="52" t="s">
        <v>270</v>
      </c>
      <c r="B274" s="60" t="n">
        <f aca="false">IF(COUNT(B259:B268)=0,"N/M",MAX(B259:B268))</f>
        <v>63.1764705882353</v>
      </c>
      <c r="C274" s="60" t="n">
        <f aca="false">IF(COUNT(C259:C268)=0,"N/M",MAX(C259:C268))</f>
        <v>7.63122406639004</v>
      </c>
      <c r="D274" s="60" t="n">
        <f aca="false">IF(COUNT(D259:D268)=0,"N/M",MAX(D259:D268))</f>
        <v>31.7264150943396</v>
      </c>
      <c r="E274" s="60" t="n">
        <f aca="false">IF(COUNT(E259:E268)=0,"N/M",MAX(E259:E268))</f>
        <v>9.21904761904762</v>
      </c>
      <c r="F274" s="60" t="n">
        <f aca="false">IF(COUNT(F259:F268)=0,"N/M",MAX(F259:F268))</f>
        <v>23.2571428571429</v>
      </c>
      <c r="G274" s="60" t="n">
        <f aca="false">IF(COUNT(G259:G268)=0,"N/M",MAX(G259:G268))</f>
        <v>6.72943864229765</v>
      </c>
      <c r="H274" s="60" t="n">
        <f aca="false">IF(COUNT(H259:H268)=0,"N/M",MAX(H259:H268))</f>
        <v>6.90647482014389</v>
      </c>
      <c r="I274" s="60" t="n">
        <f aca="false">IF(COUNT(I259:I268)=0,"N/M",MAX(I259:I268))</f>
        <v>31.7264150943396</v>
      </c>
      <c r="J274" s="54"/>
      <c r="K274" s="54"/>
      <c r="L274" s="54"/>
    </row>
    <row r="276" customFormat="false" ht="16.5" hidden="false" customHeight="true" outlineLevel="0" collapsed="false">
      <c r="A276" s="49" t="s">
        <v>345</v>
      </c>
      <c r="B276" s="49"/>
      <c r="C276" s="49"/>
      <c r="D276" s="49"/>
      <c r="E276" s="49"/>
      <c r="F276" s="49"/>
      <c r="G276" s="49"/>
      <c r="H276" s="49"/>
      <c r="I276" s="49"/>
      <c r="J276" s="49"/>
      <c r="K276" s="49"/>
      <c r="L276" s="49"/>
    </row>
    <row r="277" customFormat="false" ht="15" hidden="false" customHeight="false" outlineLevel="0" collapsed="false">
      <c r="A277" s="16" t="s">
        <v>52</v>
      </c>
      <c r="B277" s="36" t="n">
        <f aca="false">Tiger!D111</f>
        <v>-1.88963963963962</v>
      </c>
      <c r="C277" s="36" t="n">
        <f aca="false">Tiger!E111</f>
        <v>-4.84183673469387</v>
      </c>
      <c r="D277" s="36" t="n">
        <f aca="false">Tiger!F111</f>
        <v>24.9006622516556</v>
      </c>
      <c r="E277" s="36" t="n">
        <f aca="false">Tiger!G111</f>
        <v>25.6699029126214</v>
      </c>
      <c r="F277" s="36" t="n">
        <f aca="false">Tiger!H111</f>
        <v>20.1973684210526</v>
      </c>
      <c r="G277" s="36" t="n">
        <f aca="false">Tiger!I111</f>
        <v>9.37910447761191</v>
      </c>
      <c r="H277" s="36" t="n">
        <f aca="false">Tiger!J111</f>
        <v>5.12523719165085</v>
      </c>
      <c r="I277" s="59" t="n">
        <f aca="false">Tiger!K111</f>
        <v>11.2201141257513</v>
      </c>
      <c r="J277" s="25" t="str">
        <f aca="false">IF(AND(ISNUMBER(I277),ISNUMBER(I$289)),IF(I277&gt;I$289,"Above",IF(I277&lt;I$289,"Below","At median")),"-")</f>
        <v>Above</v>
      </c>
      <c r="K277" s="25" t="str">
        <f aca="false">IF(J277="Above","Better",IF(J277="Below","Weaker",IF(J277="At median","In line","-")))</f>
        <v>Better</v>
      </c>
      <c r="L277" s="43" t="n">
        <f aca="false">IF(ISNUMBER(I277),RANK(I277,I$277:I$286,0),"-")</f>
        <v>2</v>
      </c>
    </row>
    <row r="278" customFormat="false" ht="15" hidden="false" customHeight="false" outlineLevel="0" collapsed="false">
      <c r="A278" s="16" t="s">
        <v>54</v>
      </c>
      <c r="B278" s="36" t="n">
        <f aca="false">Allcargo!D111</f>
        <v>6.89717498995849</v>
      </c>
      <c r="C278" s="36" t="n">
        <f aca="false">Allcargo!E111</f>
        <v>1.92900859229357</v>
      </c>
      <c r="D278" s="36" t="n">
        <f aca="false">Allcargo!F111</f>
        <v>13.3173266812182</v>
      </c>
      <c r="E278" s="36" t="n">
        <f aca="false">Allcargo!G111</f>
        <v>1.10380926628206</v>
      </c>
      <c r="F278" s="36" t="n">
        <f aca="false">Allcargo!H111</f>
        <v>3.37322631503511</v>
      </c>
      <c r="G278" s="36" t="n">
        <f aca="false">Allcargo!I111</f>
        <v>1.68333333333333</v>
      </c>
      <c r="H278" s="36" t="n">
        <f aca="false">Allcargo!J111</f>
        <v>0.630026809651475</v>
      </c>
      <c r="I278" s="59" t="n">
        <f aca="false">Allcargo!K111</f>
        <v>4.13341514111031</v>
      </c>
      <c r="J278" s="25" t="str">
        <f aca="false">IF(AND(ISNUMBER(I278),ISNUMBER(I$289)),IF(I278&gt;I$289,"Above",IF(I278&lt;I$289,"Below","At median")),"-")</f>
        <v>Above</v>
      </c>
      <c r="K278" s="25" t="str">
        <f aca="false">IF(J278="Above","Better",IF(J278="Below","Weaker",IF(J278="At median","In line","-")))</f>
        <v>Better</v>
      </c>
      <c r="L278" s="43" t="n">
        <f aca="false">IF(ISNUMBER(I278),RANK(I278,I$277:I$286,0),"-")</f>
        <v>4</v>
      </c>
    </row>
    <row r="279" customFormat="false" ht="15" hidden="false" customHeight="false" outlineLevel="0" collapsed="false">
      <c r="A279" s="16" t="s">
        <v>277</v>
      </c>
      <c r="B279" s="36" t="n">
        <f aca="false">BlueDart!D111</f>
        <v>1.39554235643506</v>
      </c>
      <c r="C279" s="36" t="n">
        <f aca="false">BlueDart!E111</f>
        <v>2.9503158971734</v>
      </c>
      <c r="D279" s="36" t="n">
        <f aca="false">BlueDart!F111</f>
        <v>1.22829812080262</v>
      </c>
      <c r="E279" s="36" t="n">
        <f aca="false">BlueDart!G111</f>
        <v>3.38321414194022</v>
      </c>
      <c r="F279" s="36" t="n">
        <f aca="false">BlueDart!H111</f>
        <v>2.02048241057784</v>
      </c>
      <c r="G279" s="36" t="n">
        <f aca="false">BlueDart!I111</f>
        <v>1.81067745341651</v>
      </c>
      <c r="H279" s="36" t="n">
        <f aca="false">BlueDart!J111</f>
        <v>2.09569562803042</v>
      </c>
      <c r="I279" s="59" t="n">
        <f aca="false">BlueDart!K111</f>
        <v>2.12631800119658</v>
      </c>
      <c r="J279" s="25" t="str">
        <f aca="false">IF(AND(ISNUMBER(I279),ISNUMBER(I$289)),IF(I279&gt;I$289,"Above",IF(I279&lt;I$289,"Below","At median")),"-")</f>
        <v>Below</v>
      </c>
      <c r="K279" s="25" t="str">
        <f aca="false">IF(J279="Above","Better",IF(J279="Below","Weaker",IF(J279="At median","In line","-")))</f>
        <v>Weaker</v>
      </c>
      <c r="L279" s="43" t="n">
        <f aca="false">IF(ISNUMBER(I279),RANK(I279,I$277:I$286,0),"-")</f>
        <v>8</v>
      </c>
    </row>
    <row r="280" customFormat="false" ht="15" hidden="false" customHeight="false" outlineLevel="0" collapsed="false">
      <c r="A280" s="16" t="s">
        <v>58</v>
      </c>
      <c r="B280" s="36" t="n">
        <f aca="false">CONCOR!D111</f>
        <v>1.02016360278458</v>
      </c>
      <c r="C280" s="36" t="n">
        <f aca="false">CONCOR!E111</f>
        <v>5.52785588335884</v>
      </c>
      <c r="D280" s="36" t="n">
        <f aca="false">CONCOR!F111</f>
        <v>27.8241565881604</v>
      </c>
      <c r="E280" s="36" t="n">
        <f aca="false">CONCOR!G111</f>
        <v>8.38425543220374</v>
      </c>
      <c r="F280" s="36" t="n">
        <f aca="false">CONCOR!H111</f>
        <v>12.1511632854272</v>
      </c>
      <c r="G280" s="36" t="n">
        <f aca="false">CONCOR!I111</f>
        <v>7.43066473452991</v>
      </c>
      <c r="H280" s="36" t="n">
        <f aca="false">CONCOR!J111</f>
        <v>5.25755845764013</v>
      </c>
      <c r="I280" s="59" t="n">
        <f aca="false">CONCOR!K111</f>
        <v>9.65654542630068</v>
      </c>
      <c r="J280" s="25" t="str">
        <f aca="false">IF(AND(ISNUMBER(I280),ISNUMBER(I$289)),IF(I280&gt;I$289,"Above",IF(I280&lt;I$289,"Below","At median")),"-")</f>
        <v>Above</v>
      </c>
      <c r="K280" s="25" t="str">
        <f aca="false">IF(J280="Above","Better",IF(J280="Below","Weaker",IF(J280="At median","In line","-")))</f>
        <v>Better</v>
      </c>
      <c r="L280" s="43" t="n">
        <f aca="false">IF(ISNUMBER(I280),RANK(I280,I$277:I$286,0),"-")</f>
        <v>3</v>
      </c>
    </row>
    <row r="281" customFormat="false" ht="15" hidden="false" customHeight="false" outlineLevel="0" collapsed="false">
      <c r="A281" s="16" t="s">
        <v>278</v>
      </c>
      <c r="B281" s="36" t="n">
        <f aca="false">JetFreight!D111</f>
        <v>-0.332386363636368</v>
      </c>
      <c r="C281" s="36" t="n">
        <f aca="false">JetFreight!E111</f>
        <v>0.708870682016173</v>
      </c>
      <c r="D281" s="36" t="n">
        <f aca="false">JetFreight!F111</f>
        <v>2.66831683168316</v>
      </c>
      <c r="E281" s="36" t="n">
        <f aca="false">JetFreight!G111</f>
        <v>1.5841584158416</v>
      </c>
      <c r="F281" s="36" t="n">
        <f aca="false">JetFreight!H111</f>
        <v>0.534358047016272</v>
      </c>
      <c r="G281" s="36" t="n">
        <f aca="false">JetFreight!I111</f>
        <v>2.06811594202899</v>
      </c>
      <c r="H281" s="36" t="n">
        <f aca="false">JetFreight!J111</f>
        <v>2.36714285714286</v>
      </c>
      <c r="I281" s="59" t="n">
        <f aca="false">JetFreight!K111</f>
        <v>1.37122520172753</v>
      </c>
      <c r="J281" s="25" t="str">
        <f aca="false">IF(AND(ISNUMBER(I281),ISNUMBER(I$289)),IF(I281&gt;I$289,"Above",IF(I281&lt;I$289,"Below","At median")),"-")</f>
        <v>Below</v>
      </c>
      <c r="K281" s="25" t="str">
        <f aca="false">IF(J281="Above","Better",IF(J281="Below","Weaker",IF(J281="At median","In line","-")))</f>
        <v>Weaker</v>
      </c>
      <c r="L281" s="43" t="n">
        <f aca="false">IF(ISNUMBER(I281),RANK(I281,I$277:I$286,0),"-")</f>
        <v>9</v>
      </c>
    </row>
    <row r="282" customFormat="false" ht="15" hidden="false" customHeight="false" outlineLevel="0" collapsed="false">
      <c r="A282" s="16" t="s">
        <v>62</v>
      </c>
      <c r="B282" s="36" t="n">
        <f aca="false">Patel!D111</f>
        <v>0.419446039007855</v>
      </c>
      <c r="C282" s="36" t="n">
        <f aca="false">Patel!E111</f>
        <v>0.681159420289857</v>
      </c>
      <c r="D282" s="36" t="n">
        <f aca="false">Patel!F111</f>
        <v>1.44007490636704</v>
      </c>
      <c r="E282" s="36" t="n">
        <f aca="false">Patel!G111</f>
        <v>2.1635220125786</v>
      </c>
      <c r="F282" s="36" t="n">
        <f aca="false">Patel!H111</f>
        <v>0.929766774494582</v>
      </c>
      <c r="G282" s="36" t="n">
        <f aca="false">Patel!I111</f>
        <v>3.24854396216724</v>
      </c>
      <c r="H282" s="36" t="n">
        <f aca="false">Patel!J111</f>
        <v>8.42018677978439</v>
      </c>
      <c r="I282" s="59" t="n">
        <f aca="false">Patel!K111</f>
        <v>2.47181427066994</v>
      </c>
      <c r="J282" s="25" t="str">
        <f aca="false">IF(AND(ISNUMBER(I282),ISNUMBER(I$289)),IF(I282&gt;I$289,"Above",IF(I282&lt;I$289,"Below","At median")),"-")</f>
        <v>Below</v>
      </c>
      <c r="K282" s="25" t="str">
        <f aca="false">IF(J282="Above","Better",IF(J282="Below","Weaker",IF(J282="At median","In line","-")))</f>
        <v>Weaker</v>
      </c>
      <c r="L282" s="43" t="n">
        <f aca="false">IF(ISNUMBER(I282),RANK(I282,I$277:I$286,0),"-")</f>
        <v>7</v>
      </c>
    </row>
    <row r="283" customFormat="false" ht="15" hidden="false" customHeight="false" outlineLevel="0" collapsed="false">
      <c r="A283" s="16" t="s">
        <v>64</v>
      </c>
      <c r="B283" s="36" t="n">
        <f aca="false">Sical!D111</f>
        <v>-0.408471187056897</v>
      </c>
      <c r="C283" s="36" t="n">
        <f aca="false">Sical!E111</f>
        <v>-0.0678928083914069</v>
      </c>
      <c r="D283" s="36" t="n">
        <f aca="false">Sical!F111</f>
        <v>-1.10154711673699</v>
      </c>
      <c r="E283" s="36" t="n">
        <f aca="false">Sical!G111</f>
        <v>1.1995652173913</v>
      </c>
      <c r="F283" s="36" t="n">
        <f aca="false">Sical!H111</f>
        <v>0.423685553854007</v>
      </c>
      <c r="G283" s="36" t="n">
        <f aca="false">Sical!I111</f>
        <v>0.496878612716763</v>
      </c>
      <c r="H283" s="36" t="n">
        <f aca="false">Sical!J111</f>
        <v>0.865670564586128</v>
      </c>
      <c r="I283" s="59" t="n">
        <f aca="false">Sical!K111</f>
        <v>0.201126976623272</v>
      </c>
      <c r="J283" s="25" t="str">
        <f aca="false">IF(AND(ISNUMBER(I283),ISNUMBER(I$289)),IF(I283&gt;I$289,"Above",IF(I283&lt;I$289,"Below","At median")),"-")</f>
        <v>Below</v>
      </c>
      <c r="K283" s="25" t="str">
        <f aca="false">IF(J283="Above","Better",IF(J283="Below","Weaker",IF(J283="At median","In line","-")))</f>
        <v>Weaker</v>
      </c>
      <c r="L283" s="43" t="n">
        <f aca="false">IF(ISNUMBER(I283),RANK(I283,I$277:I$286,0),"-")</f>
        <v>10</v>
      </c>
    </row>
    <row r="284" customFormat="false" ht="15" hidden="false" customHeight="false" outlineLevel="0" collapsed="false">
      <c r="A284" s="16" t="s">
        <v>66</v>
      </c>
      <c r="B284" s="36" t="n">
        <f aca="false">TCI!D111</f>
        <v>2.53846200782192</v>
      </c>
      <c r="C284" s="36" t="n">
        <f aca="false">TCI!E111</f>
        <v>1.47993836799066</v>
      </c>
      <c r="D284" s="36" t="n">
        <f aca="false">TCI!F111</f>
        <v>1.61788305485855</v>
      </c>
      <c r="E284" s="36" t="n">
        <f aca="false">TCI!G111</f>
        <v>37.3930766248481</v>
      </c>
      <c r="F284" s="36" t="n">
        <f aca="false">TCI!H111</f>
        <v>30.9894498869631</v>
      </c>
      <c r="G284" s="36" t="n">
        <f aca="false">TCI!I111</f>
        <v>1.8309212666412</v>
      </c>
      <c r="H284" s="36" t="n">
        <f aca="false">TCI!J111</f>
        <v>22.7731461167179</v>
      </c>
      <c r="I284" s="59" t="n">
        <f aca="false">TCI!K111</f>
        <v>14.0889824751202</v>
      </c>
      <c r="J284" s="25" t="str">
        <f aca="false">IF(AND(ISNUMBER(I284),ISNUMBER(I$289)),IF(I284&gt;I$289,"Above",IF(I284&lt;I$289,"Below","At median")),"-")</f>
        <v>Above</v>
      </c>
      <c r="K284" s="25" t="str">
        <f aca="false">IF(J284="Above","Better",IF(J284="Below","Weaker",IF(J284="At median","In line","-")))</f>
        <v>Better</v>
      </c>
      <c r="L284" s="43" t="n">
        <f aca="false">IF(ISNUMBER(I284),RANK(I284,I$277:I$286,0),"-")</f>
        <v>1</v>
      </c>
    </row>
    <row r="285" customFormat="false" ht="15" hidden="false" customHeight="false" outlineLevel="0" collapsed="false">
      <c r="A285" s="16" t="s">
        <v>68</v>
      </c>
      <c r="B285" s="36" t="n">
        <f aca="false">Shreeji!D111</f>
        <v>2.56373937677054</v>
      </c>
      <c r="C285" s="36" t="n">
        <f aca="false">Shreeji!E111</f>
        <v>1.68883610451306</v>
      </c>
      <c r="D285" s="36" t="n">
        <f aca="false">Shreeji!F111</f>
        <v>3.61383919834031</v>
      </c>
      <c r="E285" s="36" t="n">
        <f aca="false">Shreeji!G111</f>
        <v>5.29110512129379</v>
      </c>
      <c r="F285" s="36" t="n">
        <f aca="false">Shreeji!H111</f>
        <v>3.80645161290323</v>
      </c>
      <c r="G285" s="36" t="n">
        <f aca="false">Shreeji!I111</f>
        <v>0.777255533919741</v>
      </c>
      <c r="H285" s="36" t="n">
        <f aca="false">Shreeji!J111</f>
        <v>1.37238859499686</v>
      </c>
      <c r="I285" s="59" t="n">
        <f aca="false">Shreeji!K111</f>
        <v>2.73051650610536</v>
      </c>
      <c r="J285" s="25" t="str">
        <f aca="false">IF(AND(ISNUMBER(I285),ISNUMBER(I$289)),IF(I285&gt;I$289,"Above",IF(I285&lt;I$289,"Below","At median")),"-")</f>
        <v>Above</v>
      </c>
      <c r="K285" s="25" t="str">
        <f aca="false">IF(J285="Above","Better",IF(J285="Below","Weaker",IF(J285="At median","In line","-")))</f>
        <v>Better</v>
      </c>
      <c r="L285" s="43" t="n">
        <f aca="false">IF(ISNUMBER(I285),RANK(I285,I$277:I$286,0),"-")</f>
        <v>5</v>
      </c>
    </row>
    <row r="286" customFormat="false" ht="15" hidden="false" customHeight="false" outlineLevel="0" collapsed="false">
      <c r="A286" s="16" t="s">
        <v>279</v>
      </c>
      <c r="B286" s="36" t="n">
        <f aca="false">MahindraLog!D111</f>
        <v>1.80422055071156</v>
      </c>
      <c r="C286" s="36" t="n">
        <f aca="false">MahindraLog!E111</f>
        <v>1.55590178990594</v>
      </c>
      <c r="D286" s="36" t="n">
        <f aca="false">MahindraLog!F111</f>
        <v>1.29424442547451</v>
      </c>
      <c r="E286" s="36" t="n">
        <f aca="false">MahindraLog!G111</f>
        <v>5.04207872794259</v>
      </c>
      <c r="F286" s="36" t="n">
        <f aca="false">MahindraLog!H111</f>
        <v>0.895897098136453</v>
      </c>
      <c r="G286" s="36" t="n">
        <f aca="false">MahindraLog!I111</f>
        <v>2.19284447528723</v>
      </c>
      <c r="H286" s="36" t="n">
        <f aca="false">MahindraLog!J111</f>
        <v>5.04932018128499</v>
      </c>
      <c r="I286" s="59" t="n">
        <f aca="false">MahindraLog!K111</f>
        <v>2.54778674982047</v>
      </c>
      <c r="J286" s="25" t="str">
        <f aca="false">IF(AND(ISNUMBER(I286),ISNUMBER(I$289)),IF(I286&gt;I$289,"Above",IF(I286&lt;I$289,"Below","At median")),"-")</f>
        <v>Below</v>
      </c>
      <c r="K286" s="25" t="str">
        <f aca="false">IF(J286="Above","Better",IF(J286="Below","Weaker",IF(J286="At median","In line","-")))</f>
        <v>Weaker</v>
      </c>
      <c r="L286" s="43" t="n">
        <f aca="false">IF(ISNUMBER(I286),RANK(I286,I$277:I$286,0),"-")</f>
        <v>6</v>
      </c>
    </row>
    <row r="287" customFormat="false" ht="15" hidden="false" customHeight="false" outlineLevel="0" collapsed="false">
      <c r="A287" s="46" t="s">
        <v>328</v>
      </c>
      <c r="B287" s="37" t="n">
        <f aca="false">Industry!D112</f>
        <v>1.25592931434779</v>
      </c>
      <c r="C287" s="37" t="n">
        <f aca="false">Industry!E112</f>
        <v>2.16938170485554</v>
      </c>
      <c r="D287" s="37" t="n">
        <f aca="false">Industry!F112</f>
        <v>3.24176488546235</v>
      </c>
      <c r="E287" s="37" t="n">
        <f aca="false">Industry!G112</f>
        <v>2.70672507956797</v>
      </c>
      <c r="F287" s="37" t="n">
        <f aca="false">Industry!H112</f>
        <v>3.5763658968866</v>
      </c>
      <c r="G287" s="37" t="n">
        <f aca="false">Industry!I112</f>
        <v>2.8755487205119</v>
      </c>
      <c r="H287" s="37" t="n">
        <f aca="false">Industry!J112</f>
        <v>2.84379624480954</v>
      </c>
      <c r="I287" s="37" t="n">
        <f aca="false">Industry!K112</f>
        <v>2.66707312092024</v>
      </c>
      <c r="J287" s="47"/>
      <c r="K287" s="47"/>
      <c r="L287" s="47"/>
    </row>
    <row r="288" customFormat="false" ht="15" hidden="false" customHeight="false" outlineLevel="0" collapsed="false">
      <c r="A288" s="52" t="s">
        <v>329</v>
      </c>
      <c r="B288" s="60" t="n">
        <f aca="false">IF(COUNT(B277:B286)=0,"N/M",AVERAGE(B277:B286))</f>
        <v>1.40082517331571</v>
      </c>
      <c r="C288" s="60" t="n">
        <f aca="false">IF(COUNT(C277:C286)=0,"N/M",AVERAGE(C277:C286))</f>
        <v>1.16121571944562</v>
      </c>
      <c r="D288" s="60" t="n">
        <f aca="false">IF(COUNT(D277:D286)=0,"N/M",AVERAGE(D277:D286))</f>
        <v>7.68032549418234</v>
      </c>
      <c r="E288" s="60" t="n">
        <f aca="false">IF(COUNT(E277:E286)=0,"N/M",AVERAGE(E277:E286))</f>
        <v>9.12146878729434</v>
      </c>
      <c r="F288" s="60" t="n">
        <f aca="false">IF(COUNT(F277:F286)=0,"N/M",AVERAGE(F277:F286))</f>
        <v>7.53218494054603</v>
      </c>
      <c r="G288" s="60" t="n">
        <f aca="false">IF(COUNT(G277:G286)=0,"N/M",AVERAGE(G277:G286))</f>
        <v>3.09183397916528</v>
      </c>
      <c r="H288" s="60" t="n">
        <f aca="false">IF(COUNT(H277:H286)=0,"N/M",AVERAGE(H277:H286))</f>
        <v>5.3956373181486</v>
      </c>
      <c r="I288" s="60" t="n">
        <f aca="false">IF(COUNT(I277:I286)=0,"N/M",AVERAGE(I277:I286))</f>
        <v>5.05478448744256</v>
      </c>
      <c r="J288" s="54"/>
      <c r="K288" s="54"/>
      <c r="L288" s="54"/>
    </row>
    <row r="289" customFormat="false" ht="15" hidden="false" customHeight="false" outlineLevel="0" collapsed="false">
      <c r="A289" s="28" t="s">
        <v>281</v>
      </c>
      <c r="B289" s="38" t="n">
        <f aca="false">IF(COUNT(B277:B286)=0,"N/M",MEDIAN(B277:B286))</f>
        <v>1.20785297960982</v>
      </c>
      <c r="C289" s="38" t="n">
        <f aca="false">IF(COUNT(C277:C286)=0,"N/M",MEDIAN(C277:C286))</f>
        <v>1.5179200789483</v>
      </c>
      <c r="D289" s="38" t="n">
        <f aca="false">IF(COUNT(D277:D286)=0,"N/M",MEDIAN(D277:D286))</f>
        <v>2.14309994327085</v>
      </c>
      <c r="E289" s="38" t="n">
        <f aca="false">IF(COUNT(E277:E286)=0,"N/M",MEDIAN(E277:E286))</f>
        <v>4.21264643494141</v>
      </c>
      <c r="F289" s="38" t="n">
        <f aca="false">IF(COUNT(F277:F286)=0,"N/M",MEDIAN(F277:F286))</f>
        <v>2.69685436280647</v>
      </c>
      <c r="G289" s="38" t="n">
        <f aca="false">IF(COUNT(G277:G286)=0,"N/M",MEDIAN(G277:G286))</f>
        <v>1.94951860433509</v>
      </c>
      <c r="H289" s="38" t="n">
        <f aca="false">IF(COUNT(H277:H286)=0,"N/M",MEDIAN(H277:H286))</f>
        <v>3.70823151921393</v>
      </c>
      <c r="I289" s="38" t="n">
        <f aca="false">IF(COUNT(I277:I286)=0,"N/M",MEDIAN(I277:I286))</f>
        <v>2.63915162796291</v>
      </c>
      <c r="J289" s="54"/>
      <c r="K289" s="54"/>
      <c r="L289" s="54"/>
    </row>
    <row r="290" customFormat="false" ht="15" hidden="false" customHeight="false" outlineLevel="0" collapsed="false">
      <c r="A290" s="52" t="s">
        <v>330</v>
      </c>
      <c r="B290" s="60" t="n">
        <f aca="false">IF(COUNT(B277:B286)&lt;2,"N/M",STDEV(B277:B286))</f>
        <v>2.38588317052856</v>
      </c>
      <c r="C290" s="60" t="n">
        <f aca="false">IF(COUNT(C277:C286)&lt;2,"N/M",STDEV(C277:C286))</f>
        <v>2.61142985052441</v>
      </c>
      <c r="D290" s="60" t="n">
        <f aca="false">IF(COUNT(D277:D286)&lt;2,"N/M",STDEV(D277:D286))</f>
        <v>10.5985961550449</v>
      </c>
      <c r="E290" s="60" t="n">
        <f aca="false">IF(COUNT(E277:E286)&lt;2,"N/M",STDEV(E277:E286))</f>
        <v>12.3386571033112</v>
      </c>
      <c r="F290" s="60" t="n">
        <f aca="false">IF(COUNT(F277:F286)&lt;2,"N/M",STDEV(F277:F286))</f>
        <v>10.4385747723272</v>
      </c>
      <c r="G290" s="60" t="n">
        <f aca="false">IF(COUNT(G277:G286)&lt;2,"N/M",STDEV(G277:G286))</f>
        <v>2.93526764112248</v>
      </c>
      <c r="H290" s="60" t="n">
        <f aca="false">IF(COUNT(H277:H286)&lt;2,"N/M",STDEV(H277:H286))</f>
        <v>6.58970068030065</v>
      </c>
      <c r="I290" s="60" t="n">
        <f aca="false">IF(COUNT(I277:I286)&lt;2,"N/M",STDEV(I277:I286))</f>
        <v>4.78091877143283</v>
      </c>
      <c r="J290" s="54"/>
      <c r="K290" s="54"/>
      <c r="L290" s="54"/>
    </row>
    <row r="291" customFormat="false" ht="15" hidden="false" customHeight="false" outlineLevel="0" collapsed="false">
      <c r="A291" s="52" t="s">
        <v>269</v>
      </c>
      <c r="B291" s="60" t="n">
        <f aca="false">IF(COUNT(B277:B286)=0,"N/M",MIN(B277:B286))</f>
        <v>-1.88963963963962</v>
      </c>
      <c r="C291" s="60" t="n">
        <f aca="false">IF(COUNT(C277:C286)=0,"N/M",MIN(C277:C286))</f>
        <v>-4.84183673469387</v>
      </c>
      <c r="D291" s="60" t="n">
        <f aca="false">IF(COUNT(D277:D286)=0,"N/M",MIN(D277:D286))</f>
        <v>-1.10154711673699</v>
      </c>
      <c r="E291" s="60" t="n">
        <f aca="false">IF(COUNT(E277:E286)=0,"N/M",MIN(E277:E286))</f>
        <v>1.10380926628206</v>
      </c>
      <c r="F291" s="60" t="n">
        <f aca="false">IF(COUNT(F277:F286)=0,"N/M",MIN(F277:F286))</f>
        <v>0.423685553854007</v>
      </c>
      <c r="G291" s="60" t="n">
        <f aca="false">IF(COUNT(G277:G286)=0,"N/M",MIN(G277:G286))</f>
        <v>0.496878612716763</v>
      </c>
      <c r="H291" s="60" t="n">
        <f aca="false">IF(COUNT(H277:H286)=0,"N/M",MIN(H277:H286))</f>
        <v>0.630026809651475</v>
      </c>
      <c r="I291" s="60" t="n">
        <f aca="false">IF(COUNT(I277:I286)=0,"N/M",MIN(I277:I286))</f>
        <v>0.201126976623272</v>
      </c>
      <c r="J291" s="54"/>
      <c r="K291" s="54"/>
      <c r="L291" s="54"/>
    </row>
    <row r="292" customFormat="false" ht="15" hidden="false" customHeight="false" outlineLevel="0" collapsed="false">
      <c r="A292" s="52" t="s">
        <v>270</v>
      </c>
      <c r="B292" s="60" t="n">
        <f aca="false">IF(COUNT(B277:B286)=0,"N/M",MAX(B277:B286))</f>
        <v>6.89717498995849</v>
      </c>
      <c r="C292" s="60" t="n">
        <f aca="false">IF(COUNT(C277:C286)=0,"N/M",MAX(C277:C286))</f>
        <v>5.52785588335884</v>
      </c>
      <c r="D292" s="60" t="n">
        <f aca="false">IF(COUNT(D277:D286)=0,"N/M",MAX(D277:D286))</f>
        <v>27.8241565881604</v>
      </c>
      <c r="E292" s="60" t="n">
        <f aca="false">IF(COUNT(E277:E286)=0,"N/M",MAX(E277:E286))</f>
        <v>37.3930766248481</v>
      </c>
      <c r="F292" s="60" t="n">
        <f aca="false">IF(COUNT(F277:F286)=0,"N/M",MAX(F277:F286))</f>
        <v>30.9894498869631</v>
      </c>
      <c r="G292" s="60" t="n">
        <f aca="false">IF(COUNT(G277:G286)=0,"N/M",MAX(G277:G286))</f>
        <v>9.37910447761191</v>
      </c>
      <c r="H292" s="60" t="n">
        <f aca="false">IF(COUNT(H277:H286)=0,"N/M",MAX(H277:H286))</f>
        <v>22.7731461167179</v>
      </c>
      <c r="I292" s="60" t="n">
        <f aca="false">IF(COUNT(I277:I286)=0,"N/M",MAX(I277:I286))</f>
        <v>14.0889824751202</v>
      </c>
      <c r="J292" s="54"/>
      <c r="K292" s="54"/>
      <c r="L292" s="54"/>
    </row>
    <row r="294" customFormat="false" ht="16.5" hidden="false" customHeight="true" outlineLevel="0" collapsed="false">
      <c r="A294" s="49" t="s">
        <v>346</v>
      </c>
      <c r="B294" s="49"/>
      <c r="C294" s="49"/>
      <c r="D294" s="49"/>
      <c r="E294" s="49"/>
      <c r="F294" s="49"/>
      <c r="G294" s="49"/>
      <c r="H294" s="49"/>
      <c r="I294" s="49"/>
      <c r="J294" s="49"/>
      <c r="K294" s="49"/>
      <c r="L294" s="49"/>
    </row>
    <row r="295" customFormat="false" ht="15" hidden="false" customHeight="false" outlineLevel="0" collapsed="false">
      <c r="A295" s="16" t="s">
        <v>52</v>
      </c>
      <c r="B295" s="36" t="n">
        <f aca="false">Tiger!D112</f>
        <v>0.527027027027027</v>
      </c>
      <c r="C295" s="36" t="n">
        <f aca="false">Tiger!E112</f>
        <v>13.4744897959184</v>
      </c>
      <c r="D295" s="36" t="n">
        <f aca="false">Tiger!F112</f>
        <v>31.7682119205298</v>
      </c>
      <c r="E295" s="36" t="n">
        <f aca="false">Tiger!G112</f>
        <v>24.2912621359223</v>
      </c>
      <c r="F295" s="36" t="n">
        <f aca="false">Tiger!H112</f>
        <v>-16.3947368421053</v>
      </c>
      <c r="G295" s="36" t="n">
        <f aca="false">Tiger!I112</f>
        <v>-2.72238805970149</v>
      </c>
      <c r="H295" s="36" t="n">
        <f aca="false">Tiger!J112</f>
        <v>-1.89943074003795</v>
      </c>
      <c r="I295" s="59" t="n">
        <f aca="false">Tiger!K112</f>
        <v>7.00634789107898</v>
      </c>
      <c r="J295" s="25" t="str">
        <f aca="false">IF(AND(ISNUMBER(I295),ISNUMBER(I$307)),IF(I295&gt;I$307,"Above",IF(I295&lt;I$307,"Below","At median")),"-")</f>
        <v>Above</v>
      </c>
      <c r="K295" s="25" t="str">
        <f aca="false">IF(J295="Above","Better",IF(J295="Below","Weaker",IF(J295="At median","In line","-")))</f>
        <v>Better</v>
      </c>
      <c r="L295" s="43" t="n">
        <f aca="false">IF(ISNUMBER(I295),RANK(I295,I$295:I$304,0),"-")</f>
        <v>3</v>
      </c>
    </row>
    <row r="296" customFormat="false" ht="15" hidden="false" customHeight="false" outlineLevel="0" collapsed="false">
      <c r="A296" s="16" t="s">
        <v>54</v>
      </c>
      <c r="B296" s="36" t="n">
        <f aca="false">Allcargo!D112</f>
        <v>5.22908019815236</v>
      </c>
      <c r="C296" s="36" t="n">
        <f aca="false">Allcargo!E112</f>
        <v>1.18099995794962</v>
      </c>
      <c r="D296" s="36" t="n">
        <f aca="false">Allcargo!F112</f>
        <v>11.5098222637979</v>
      </c>
      <c r="E296" s="36" t="n">
        <f aca="false">Allcargo!G112</f>
        <v>1.76664663387605</v>
      </c>
      <c r="F296" s="36" t="n">
        <f aca="false">Allcargo!H112</f>
        <v>-0.869428120968898</v>
      </c>
      <c r="G296" s="36" t="n">
        <f aca="false">Allcargo!I112</f>
        <v>1.875</v>
      </c>
      <c r="H296" s="36" t="n">
        <f aca="false">Allcargo!J112</f>
        <v>0.831099195710456</v>
      </c>
      <c r="I296" s="59" t="n">
        <f aca="false">Allcargo!K112</f>
        <v>3.07474573264536</v>
      </c>
      <c r="J296" s="25" t="str">
        <f aca="false">IF(AND(ISNUMBER(I296),ISNUMBER(I$307)),IF(I296&gt;I$307,"Above",IF(I296&lt;I$307,"Below","At median")),"-")</f>
        <v>Above</v>
      </c>
      <c r="K296" s="25" t="str">
        <f aca="false">IF(J296="Above","Better",IF(J296="Below","Weaker",IF(J296="At median","In line","-")))</f>
        <v>Better</v>
      </c>
      <c r="L296" s="43" t="n">
        <f aca="false">IF(ISNUMBER(I296),RANK(I296,I$295:I$304,0),"-")</f>
        <v>4</v>
      </c>
    </row>
    <row r="297" customFormat="false" ht="15" hidden="false" customHeight="false" outlineLevel="0" collapsed="false">
      <c r="A297" s="16" t="s">
        <v>277</v>
      </c>
      <c r="B297" s="36" t="n">
        <f aca="false">BlueDart!D112</f>
        <v>1.07868505395631</v>
      </c>
      <c r="C297" s="36" t="n">
        <f aca="false">BlueDart!E112</f>
        <v>3.38824837534597</v>
      </c>
      <c r="D297" s="36" t="n">
        <f aca="false">BlueDart!F112</f>
        <v>1.21584330240587</v>
      </c>
      <c r="E297" s="36" t="n">
        <f aca="false">BlueDart!G112</f>
        <v>3.08300038930381</v>
      </c>
      <c r="F297" s="36" t="n">
        <f aca="false">BlueDart!H112</f>
        <v>2.2228148930064</v>
      </c>
      <c r="G297" s="36" t="n">
        <f aca="false">BlueDart!I112</f>
        <v>1.71496319093476</v>
      </c>
      <c r="H297" s="36" t="n">
        <f aca="false">BlueDart!J112</f>
        <v>1.96111310842166</v>
      </c>
      <c r="I297" s="59" t="n">
        <f aca="false">BlueDart!K112</f>
        <v>2.0949526161964</v>
      </c>
      <c r="J297" s="25" t="str">
        <f aca="false">IF(AND(ISNUMBER(I297),ISNUMBER(I$307)),IF(I297&gt;I$307,"Above",IF(I297&lt;I$307,"Below","At median")),"-")</f>
        <v>Below</v>
      </c>
      <c r="K297" s="25" t="str">
        <f aca="false">IF(J297="Above","Better",IF(J297="Below","Weaker",IF(J297="At median","In line","-")))</f>
        <v>Weaker</v>
      </c>
      <c r="L297" s="43" t="n">
        <f aca="false">IF(ISNUMBER(I297),RANK(I297,I$295:I$304,0),"-")</f>
        <v>6</v>
      </c>
    </row>
    <row r="298" customFormat="false" ht="15" hidden="false" customHeight="false" outlineLevel="0" collapsed="false">
      <c r="A298" s="16" t="s">
        <v>58</v>
      </c>
      <c r="B298" s="36" t="n">
        <f aca="false">CONCOR!D112</f>
        <v>2.66379865413855</v>
      </c>
      <c r="C298" s="36" t="n">
        <f aca="false">CONCOR!E112</f>
        <v>6.34405893318884</v>
      </c>
      <c r="D298" s="36" t="n">
        <f aca="false">CONCOR!F112</f>
        <v>27.2377466581795</v>
      </c>
      <c r="E298" s="36" t="n">
        <f aca="false">CONCOR!G112</f>
        <v>8.05993673910131</v>
      </c>
      <c r="F298" s="36" t="n">
        <f aca="false">CONCOR!H112</f>
        <v>11.1354231110633</v>
      </c>
      <c r="G298" s="36" t="n">
        <f aca="false">CONCOR!I112</f>
        <v>8.24106500187112</v>
      </c>
      <c r="H298" s="36" t="n">
        <f aca="false">CONCOR!J112</f>
        <v>5.08495775924293</v>
      </c>
      <c r="I298" s="59" t="n">
        <f aca="false">CONCOR!K112</f>
        <v>9.82385526525508</v>
      </c>
      <c r="J298" s="25" t="str">
        <f aca="false">IF(AND(ISNUMBER(I298),ISNUMBER(I$307)),IF(I298&gt;I$307,"Above",IF(I298&lt;I$307,"Below","At median")),"-")</f>
        <v>Above</v>
      </c>
      <c r="K298" s="25" t="str">
        <f aca="false">IF(J298="Above","Better",IF(J298="Below","Weaker",IF(J298="At median","In line","-")))</f>
        <v>Better</v>
      </c>
      <c r="L298" s="43" t="n">
        <f aca="false">IF(ISNUMBER(I298),RANK(I298,I$295:I$304,0),"-")</f>
        <v>2</v>
      </c>
    </row>
    <row r="299" customFormat="false" ht="15" hidden="false" customHeight="false" outlineLevel="0" collapsed="false">
      <c r="A299" s="16" t="s">
        <v>278</v>
      </c>
      <c r="B299" s="36" t="n">
        <f aca="false">JetFreight!D112</f>
        <v>1.20075757575758</v>
      </c>
      <c r="C299" s="36" t="n">
        <f aca="false">JetFreight!E112</f>
        <v>0.861152246359062</v>
      </c>
      <c r="D299" s="36" t="n">
        <f aca="false">JetFreight!F112</f>
        <v>-2.1980198019802</v>
      </c>
      <c r="E299" s="36" t="n">
        <f aca="false">JetFreight!G112</f>
        <v>-7.54851485148515</v>
      </c>
      <c r="F299" s="36" t="n">
        <f aca="false">JetFreight!H112</f>
        <v>1.5253164556962</v>
      </c>
      <c r="G299" s="36" t="n">
        <f aca="false">JetFreight!I112</f>
        <v>0.252173913043478</v>
      </c>
      <c r="H299" s="36" t="n">
        <f aca="false">JetFreight!J112</f>
        <v>-0.352857142857143</v>
      </c>
      <c r="I299" s="59" t="n">
        <f aca="false">JetFreight!K112</f>
        <v>-0.894284515066596</v>
      </c>
      <c r="J299" s="25" t="str">
        <f aca="false">IF(AND(ISNUMBER(I299),ISNUMBER(I$307)),IF(I299&gt;I$307,"Above",IF(I299&lt;I$307,"Below","At median")),"-")</f>
        <v>Below</v>
      </c>
      <c r="K299" s="25" t="str">
        <f aca="false">IF(J299="Above","Better",IF(J299="Below","Weaker",IF(J299="At median","In line","-")))</f>
        <v>Weaker</v>
      </c>
      <c r="L299" s="43" t="n">
        <f aca="false">IF(ISNUMBER(I299),RANK(I299,I$295:I$304,0),"-")</f>
        <v>10</v>
      </c>
    </row>
    <row r="300" customFormat="false" ht="15" hidden="false" customHeight="false" outlineLevel="0" collapsed="false">
      <c r="A300" s="16" t="s">
        <v>62</v>
      </c>
      <c r="B300" s="36" t="n">
        <f aca="false">Patel!D112</f>
        <v>-0.702533229735032</v>
      </c>
      <c r="C300" s="36" t="n">
        <f aca="false">Patel!E112</f>
        <v>0.628458498023715</v>
      </c>
      <c r="D300" s="36" t="n">
        <f aca="false">Patel!F112</f>
        <v>1.7059925093633</v>
      </c>
      <c r="E300" s="36" t="n">
        <f aca="false">Patel!G112</f>
        <v>-0.966457023060797</v>
      </c>
      <c r="F300" s="36" t="n">
        <f aca="false">Patel!H112</f>
        <v>1.26182633681407</v>
      </c>
      <c r="G300" s="36" t="n">
        <f aca="false">Patel!I112</f>
        <v>0.346609684953145</v>
      </c>
      <c r="H300" s="36" t="n">
        <f aca="false">Patel!J112</f>
        <v>7.01546902385125</v>
      </c>
      <c r="I300" s="59" t="n">
        <f aca="false">Patel!K112</f>
        <v>1.32705225717281</v>
      </c>
      <c r="J300" s="25" t="str">
        <f aca="false">IF(AND(ISNUMBER(I300),ISNUMBER(I$307)),IF(I300&gt;I$307,"Above",IF(I300&lt;I$307,"Below","At median")),"-")</f>
        <v>Below</v>
      </c>
      <c r="K300" s="25" t="str">
        <f aca="false">IF(J300="Above","Better",IF(J300="Below","Weaker",IF(J300="At median","In line","-")))</f>
        <v>Weaker</v>
      </c>
      <c r="L300" s="43" t="n">
        <f aca="false">IF(ISNUMBER(I300),RANK(I300,I$295:I$304,0),"-")</f>
        <v>9</v>
      </c>
    </row>
    <row r="301" customFormat="false" ht="15" hidden="false" customHeight="false" outlineLevel="0" collapsed="false">
      <c r="A301" s="16" t="s">
        <v>64</v>
      </c>
      <c r="B301" s="36" t="n">
        <f aca="false">Sical!D112</f>
        <v>4.88711143428468</v>
      </c>
      <c r="C301" s="36" t="n">
        <f aca="false">Sical!E112</f>
        <v>1.1533874559954</v>
      </c>
      <c r="D301" s="36" t="n">
        <f aca="false">Sical!F112</f>
        <v>2.04585091420535</v>
      </c>
      <c r="E301" s="36" t="n">
        <f aca="false">Sical!G112</f>
        <v>0.564782608695652</v>
      </c>
      <c r="F301" s="36" t="n">
        <f aca="false">Sical!H112</f>
        <v>0.31955079122001</v>
      </c>
      <c r="G301" s="36" t="n">
        <f aca="false">Sical!I112</f>
        <v>0.353294797687861</v>
      </c>
      <c r="H301" s="36" t="n">
        <f aca="false">Sical!J112</f>
        <v>0.665832415866552</v>
      </c>
      <c r="I301" s="59" t="n">
        <f aca="false">Sical!K112</f>
        <v>1.42711577399364</v>
      </c>
      <c r="J301" s="25" t="str">
        <f aca="false">IF(AND(ISNUMBER(I301),ISNUMBER(I$307)),IF(I301&gt;I$307,"Above",IF(I301&lt;I$307,"Below","At median")),"-")</f>
        <v>Below</v>
      </c>
      <c r="K301" s="25" t="str">
        <f aca="false">IF(J301="Above","Better",IF(J301="Below","Weaker",IF(J301="At median","In line","-")))</f>
        <v>Weaker</v>
      </c>
      <c r="L301" s="43" t="n">
        <f aca="false">IF(ISNUMBER(I301),RANK(I301,I$295:I$304,0),"-")</f>
        <v>8</v>
      </c>
    </row>
    <row r="302" customFormat="false" ht="15" hidden="false" customHeight="false" outlineLevel="0" collapsed="false">
      <c r="A302" s="16" t="s">
        <v>66</v>
      </c>
      <c r="B302" s="36" t="n">
        <f aca="false">TCI!D112</f>
        <v>2.72035147408815</v>
      </c>
      <c r="C302" s="36" t="n">
        <f aca="false">TCI!E112</f>
        <v>1.84865694929409</v>
      </c>
      <c r="D302" s="36" t="n">
        <f aca="false">TCI!F112</f>
        <v>1.59364407652167</v>
      </c>
      <c r="E302" s="36" t="n">
        <f aca="false">TCI!G112</f>
        <v>35.5215327892625</v>
      </c>
      <c r="F302" s="36" t="n">
        <f aca="false">TCI!H112</f>
        <v>25.0896759608139</v>
      </c>
      <c r="G302" s="36" t="n">
        <f aca="false">TCI!I112</f>
        <v>1.59350632031393</v>
      </c>
      <c r="H302" s="36" t="n">
        <f aca="false">TCI!J112</f>
        <v>21.2553751645459</v>
      </c>
      <c r="I302" s="59" t="n">
        <f aca="false">TCI!K112</f>
        <v>12.80324896212</v>
      </c>
      <c r="J302" s="25" t="str">
        <f aca="false">IF(AND(ISNUMBER(I302),ISNUMBER(I$307)),IF(I302&gt;I$307,"Above",IF(I302&lt;I$307,"Below","At median")),"-")</f>
        <v>Above</v>
      </c>
      <c r="K302" s="25" t="str">
        <f aca="false">IF(J302="Above","Better",IF(J302="Below","Weaker",IF(J302="At median","In line","-")))</f>
        <v>Better</v>
      </c>
      <c r="L302" s="43" t="n">
        <f aca="false">IF(ISNUMBER(I302),RANK(I302,I$295:I$304,0),"-")</f>
        <v>1</v>
      </c>
    </row>
    <row r="303" customFormat="false" ht="15" hidden="false" customHeight="false" outlineLevel="0" collapsed="false">
      <c r="A303" s="16" t="s">
        <v>68</v>
      </c>
      <c r="B303" s="36" t="n">
        <f aca="false">Shreeji!D112</f>
        <v>1.55524079320113</v>
      </c>
      <c r="C303" s="36" t="n">
        <f aca="false">Shreeji!E112</f>
        <v>1.54869358669834</v>
      </c>
      <c r="D303" s="36" t="n">
        <f aca="false">Shreeji!F112</f>
        <v>1.85125455043645</v>
      </c>
      <c r="E303" s="36" t="n">
        <f aca="false">Shreeji!G112</f>
        <v>3.70080862533693</v>
      </c>
      <c r="F303" s="36" t="n">
        <f aca="false">Shreeji!H112</f>
        <v>1.19959677419355</v>
      </c>
      <c r="G303" s="36" t="n">
        <f aca="false">Shreeji!I112</f>
        <v>1.15554287249043</v>
      </c>
      <c r="H303" s="36" t="n">
        <f aca="false">Shreeji!J112</f>
        <v>0.175311575360889</v>
      </c>
      <c r="I303" s="59" t="n">
        <f aca="false">Shreeji!K112</f>
        <v>1.59806411110253</v>
      </c>
      <c r="J303" s="25" t="str">
        <f aca="false">IF(AND(ISNUMBER(I303),ISNUMBER(I$307)),IF(I303&gt;I$307,"Above",IF(I303&lt;I$307,"Below","At median")),"-")</f>
        <v>Below</v>
      </c>
      <c r="K303" s="25" t="str">
        <f aca="false">IF(J303="Above","Better",IF(J303="Below","Weaker",IF(J303="At median","In line","-")))</f>
        <v>Weaker</v>
      </c>
      <c r="L303" s="43" t="n">
        <f aca="false">IF(ISNUMBER(I303),RANK(I303,I$295:I$304,0),"-")</f>
        <v>7</v>
      </c>
    </row>
    <row r="304" customFormat="false" ht="15" hidden="false" customHeight="false" outlineLevel="0" collapsed="false">
      <c r="A304" s="16" t="s">
        <v>279</v>
      </c>
      <c r="B304" s="36" t="n">
        <f aca="false">MahindraLog!D112</f>
        <v>1.26504913929246</v>
      </c>
      <c r="C304" s="36" t="n">
        <f aca="false">MahindraLog!E112</f>
        <v>3.50863478328138</v>
      </c>
      <c r="D304" s="36" t="n">
        <f aca="false">MahindraLog!F112</f>
        <v>1.41969543373677</v>
      </c>
      <c r="E304" s="36" t="n">
        <f aca="false">MahindraLog!G112</f>
        <v>2.45336435912352</v>
      </c>
      <c r="F304" s="36" t="n">
        <f aca="false">MahindraLog!H112</f>
        <v>0.978420053465577</v>
      </c>
      <c r="G304" s="36" t="n">
        <f aca="false">MahindraLog!I112</f>
        <v>2.81825892512915</v>
      </c>
      <c r="H304" s="36" t="n">
        <f aca="false">MahindraLog!J112</f>
        <v>3.68168488403093</v>
      </c>
      <c r="I304" s="59" t="n">
        <f aca="false">MahindraLog!K112</f>
        <v>2.30358679686568</v>
      </c>
      <c r="J304" s="25" t="str">
        <f aca="false">IF(AND(ISNUMBER(I304),ISNUMBER(I$307)),IF(I304&gt;I$307,"Above",IF(I304&lt;I$307,"Below","At median")),"-")</f>
        <v>Above</v>
      </c>
      <c r="K304" s="25" t="str">
        <f aca="false">IF(J304="Above","Better",IF(J304="Below","Weaker",IF(J304="At median","In line","-")))</f>
        <v>Better</v>
      </c>
      <c r="L304" s="43" t="n">
        <f aca="false">IF(ISNUMBER(I304),RANK(I304,I$295:I$304,0),"-")</f>
        <v>5</v>
      </c>
    </row>
    <row r="305" customFormat="false" ht="15" hidden="false" customHeight="false" outlineLevel="0" collapsed="false">
      <c r="A305" s="46" t="s">
        <v>328</v>
      </c>
      <c r="B305" s="37" t="n">
        <f aca="false">Industry!D113</f>
        <v>2.38637094948349</v>
      </c>
      <c r="C305" s="37" t="n">
        <f aca="false">Industry!E113</f>
        <v>2.51981896598045</v>
      </c>
      <c r="D305" s="37" t="n">
        <f aca="false">Industry!F113</f>
        <v>3.16292534155348</v>
      </c>
      <c r="E305" s="37" t="n">
        <f aca="false">Industry!G113</f>
        <v>2.8737713567473</v>
      </c>
      <c r="F305" s="37" t="n">
        <f aca="false">Industry!H113</f>
        <v>2.8971262154713</v>
      </c>
      <c r="G305" s="37" t="n">
        <f aca="false">Industry!I113</f>
        <v>2.98452848494874</v>
      </c>
      <c r="H305" s="37" t="n">
        <f aca="false">Industry!J113</f>
        <v>2.6599249407084</v>
      </c>
      <c r="I305" s="37" t="n">
        <f aca="false">Industry!K113</f>
        <v>2.78349517927045</v>
      </c>
      <c r="J305" s="47"/>
      <c r="K305" s="47"/>
      <c r="L305" s="47"/>
    </row>
    <row r="306" customFormat="false" ht="15" hidden="false" customHeight="false" outlineLevel="0" collapsed="false">
      <c r="A306" s="52" t="s">
        <v>329</v>
      </c>
      <c r="B306" s="60" t="n">
        <f aca="false">IF(COUNT(B295:B304)=0,"N/M",AVERAGE(B295:B304))</f>
        <v>2.04245681201632</v>
      </c>
      <c r="C306" s="60" t="n">
        <f aca="false">IF(COUNT(C295:C304)=0,"N/M",AVERAGE(C295:C304))</f>
        <v>3.39367805820548</v>
      </c>
      <c r="D306" s="60" t="n">
        <f aca="false">IF(COUNT(D295:D304)=0,"N/M",AVERAGE(D295:D304))</f>
        <v>7.81500418271965</v>
      </c>
      <c r="E306" s="60" t="n">
        <f aca="false">IF(COUNT(E295:E304)=0,"N/M",AVERAGE(E295:E304))</f>
        <v>7.09263624060762</v>
      </c>
      <c r="F306" s="60" t="n">
        <f aca="false">IF(COUNT(F295:F304)=0,"N/M",AVERAGE(F295:F304))</f>
        <v>2.64684594131988</v>
      </c>
      <c r="G306" s="60" t="n">
        <f aca="false">IF(COUNT(G295:G304)=0,"N/M",AVERAGE(G295:G304))</f>
        <v>1.56280266467224</v>
      </c>
      <c r="H306" s="60" t="n">
        <f aca="false">IF(COUNT(H295:H304)=0,"N/M",AVERAGE(H295:H304))</f>
        <v>3.84185552441354</v>
      </c>
      <c r="I306" s="60" t="n">
        <f aca="false">IF(COUNT(I295:I304)=0,"N/M",AVERAGE(I295:I304))</f>
        <v>4.05646848913639</v>
      </c>
      <c r="J306" s="54"/>
      <c r="K306" s="54"/>
      <c r="L306" s="54"/>
    </row>
    <row r="307" customFormat="false" ht="15" hidden="false" customHeight="false" outlineLevel="0" collapsed="false">
      <c r="A307" s="28" t="s">
        <v>281</v>
      </c>
      <c r="B307" s="38" t="n">
        <f aca="false">IF(COUNT(B295:B304)=0,"N/M",MEDIAN(B295:B304))</f>
        <v>1.4101449662468</v>
      </c>
      <c r="C307" s="38" t="n">
        <f aca="false">IF(COUNT(C295:C304)=0,"N/M",MEDIAN(C295:C304))</f>
        <v>1.69867526799621</v>
      </c>
      <c r="D307" s="38" t="n">
        <f aca="false">IF(COUNT(D295:D304)=0,"N/M",MEDIAN(D295:D304))</f>
        <v>1.77862352989987</v>
      </c>
      <c r="E307" s="38" t="n">
        <f aca="false">IF(COUNT(E295:E304)=0,"N/M",MEDIAN(E295:E304))</f>
        <v>2.76818237421366</v>
      </c>
      <c r="F307" s="38" t="n">
        <f aca="false">IF(COUNT(F295:F304)=0,"N/M",MEDIAN(F295:F304))</f>
        <v>1.23071155550381</v>
      </c>
      <c r="G307" s="38" t="n">
        <f aca="false">IF(COUNT(G295:G304)=0,"N/M",MEDIAN(G295:G304))</f>
        <v>1.37452459640218</v>
      </c>
      <c r="H307" s="38" t="n">
        <f aca="false">IF(COUNT(H295:H304)=0,"N/M",MEDIAN(H295:H304))</f>
        <v>1.39610615206606</v>
      </c>
      <c r="I307" s="38" t="n">
        <f aca="false">IF(COUNT(I295:I304)=0,"N/M",MEDIAN(I295:I304))</f>
        <v>2.19926970653104</v>
      </c>
      <c r="J307" s="54"/>
      <c r="K307" s="54"/>
      <c r="L307" s="54"/>
    </row>
    <row r="308" customFormat="false" ht="15" hidden="false" customHeight="false" outlineLevel="0" collapsed="false">
      <c r="A308" s="52" t="s">
        <v>330</v>
      </c>
      <c r="B308" s="60" t="n">
        <f aca="false">IF(COUNT(B295:B304)&lt;2,"N/M",STDEV(B295:B304))</f>
        <v>1.86793971142893</v>
      </c>
      <c r="C308" s="60" t="n">
        <f aca="false">IF(COUNT(C295:C304)&lt;2,"N/M",STDEV(C295:C304))</f>
        <v>3.94555710215428</v>
      </c>
      <c r="D308" s="60" t="n">
        <f aca="false">IF(COUNT(D295:D304)&lt;2,"N/M",STDEV(D295:D304))</f>
        <v>11.9918263774243</v>
      </c>
      <c r="E308" s="60" t="n">
        <f aca="false">IF(COUNT(E295:E304)&lt;2,"N/M",STDEV(E295:E304))</f>
        <v>12.9285489759089</v>
      </c>
      <c r="F308" s="60" t="n">
        <f aca="false">IF(COUNT(F295:F304)&lt;2,"N/M",STDEV(F295:F304))</f>
        <v>10.3512372189263</v>
      </c>
      <c r="G308" s="60" t="n">
        <f aca="false">IF(COUNT(G295:G304)&lt;2,"N/M",STDEV(G295:G304))</f>
        <v>2.77859723670007</v>
      </c>
      <c r="H308" s="60" t="n">
        <f aca="false">IF(COUNT(H295:H304)&lt;2,"N/M",STDEV(H295:H304))</f>
        <v>6.67968680283075</v>
      </c>
      <c r="I308" s="60" t="n">
        <f aca="false">IF(COUNT(I295:I304)&lt;2,"N/M",STDEV(I295:I304))</f>
        <v>4.3623584565885</v>
      </c>
      <c r="J308" s="54"/>
      <c r="K308" s="54"/>
      <c r="L308" s="54"/>
    </row>
    <row r="309" customFormat="false" ht="15" hidden="false" customHeight="false" outlineLevel="0" collapsed="false">
      <c r="A309" s="52" t="s">
        <v>269</v>
      </c>
      <c r="B309" s="60" t="n">
        <f aca="false">IF(COUNT(B295:B304)=0,"N/M",MIN(B295:B304))</f>
        <v>-0.702533229735032</v>
      </c>
      <c r="C309" s="60" t="n">
        <f aca="false">IF(COUNT(C295:C304)=0,"N/M",MIN(C295:C304))</f>
        <v>0.628458498023715</v>
      </c>
      <c r="D309" s="60" t="n">
        <f aca="false">IF(COUNT(D295:D304)=0,"N/M",MIN(D295:D304))</f>
        <v>-2.1980198019802</v>
      </c>
      <c r="E309" s="60" t="n">
        <f aca="false">IF(COUNT(E295:E304)=0,"N/M",MIN(E295:E304))</f>
        <v>-7.54851485148515</v>
      </c>
      <c r="F309" s="60" t="n">
        <f aca="false">IF(COUNT(F295:F304)=0,"N/M",MIN(F295:F304))</f>
        <v>-16.3947368421053</v>
      </c>
      <c r="G309" s="60" t="n">
        <f aca="false">IF(COUNT(G295:G304)=0,"N/M",MIN(G295:G304))</f>
        <v>-2.72238805970149</v>
      </c>
      <c r="H309" s="60" t="n">
        <f aca="false">IF(COUNT(H295:H304)=0,"N/M",MIN(H295:H304))</f>
        <v>-1.89943074003795</v>
      </c>
      <c r="I309" s="60" t="n">
        <f aca="false">IF(COUNT(I295:I304)=0,"N/M",MIN(I295:I304))</f>
        <v>-0.894284515066596</v>
      </c>
      <c r="J309" s="54"/>
      <c r="K309" s="54"/>
      <c r="L309" s="54"/>
    </row>
    <row r="310" customFormat="false" ht="15" hidden="false" customHeight="false" outlineLevel="0" collapsed="false">
      <c r="A310" s="52" t="s">
        <v>270</v>
      </c>
      <c r="B310" s="60" t="n">
        <f aca="false">IF(COUNT(B295:B304)=0,"N/M",MAX(B295:B304))</f>
        <v>5.22908019815236</v>
      </c>
      <c r="C310" s="60" t="n">
        <f aca="false">IF(COUNT(C295:C304)=0,"N/M",MAX(C295:C304))</f>
        <v>13.4744897959184</v>
      </c>
      <c r="D310" s="60" t="n">
        <f aca="false">IF(COUNT(D295:D304)=0,"N/M",MAX(D295:D304))</f>
        <v>31.7682119205298</v>
      </c>
      <c r="E310" s="60" t="n">
        <f aca="false">IF(COUNT(E295:E304)=0,"N/M",MAX(E295:E304))</f>
        <v>35.5215327892625</v>
      </c>
      <c r="F310" s="60" t="n">
        <f aca="false">IF(COUNT(F295:F304)=0,"N/M",MAX(F295:F304))</f>
        <v>25.0896759608139</v>
      </c>
      <c r="G310" s="60" t="n">
        <f aca="false">IF(COUNT(G295:G304)=0,"N/M",MAX(G295:G304))</f>
        <v>8.24106500187112</v>
      </c>
      <c r="H310" s="60" t="n">
        <f aca="false">IF(COUNT(H295:H304)=0,"N/M",MAX(H295:H304))</f>
        <v>21.2553751645459</v>
      </c>
      <c r="I310" s="60" t="n">
        <f aca="false">IF(COUNT(I295:I304)=0,"N/M",MAX(I295:I304))</f>
        <v>12.80324896212</v>
      </c>
      <c r="J310" s="54"/>
      <c r="K310" s="54"/>
      <c r="L310" s="54"/>
    </row>
    <row r="312" customFormat="false" ht="16.5" hidden="false" customHeight="true" outlineLevel="0" collapsed="false">
      <c r="A312" s="49" t="s">
        <v>347</v>
      </c>
      <c r="B312" s="49"/>
      <c r="C312" s="49"/>
      <c r="D312" s="49"/>
      <c r="E312" s="49"/>
      <c r="F312" s="49"/>
      <c r="G312" s="49"/>
      <c r="H312" s="49"/>
      <c r="I312" s="49"/>
      <c r="J312" s="49"/>
      <c r="K312" s="49"/>
      <c r="L312" s="49"/>
    </row>
    <row r="313" customFormat="false" ht="15" hidden="false" customHeight="false" outlineLevel="0" collapsed="false">
      <c r="A313" s="16" t="s">
        <v>52</v>
      </c>
      <c r="B313" s="36" t="str">
        <f aca="false">Tiger!D113</f>
        <v>N/M</v>
      </c>
      <c r="C313" s="36" t="n">
        <f aca="false">Tiger!E113</f>
        <v>18.9202898550725</v>
      </c>
      <c r="D313" s="36" t="n">
        <f aca="false">Tiger!F113</f>
        <v>15.7928571428571</v>
      </c>
      <c r="E313" s="36" t="str">
        <f aca="false">Tiger!G113</f>
        <v>N/M</v>
      </c>
      <c r="F313" s="36" t="n">
        <f aca="false">Tiger!H113</f>
        <v>-3.22097378277154</v>
      </c>
      <c r="G313" s="36" t="str">
        <f aca="false">Tiger!I113</f>
        <v>N/M</v>
      </c>
      <c r="H313" s="36" t="str">
        <f aca="false">Tiger!J113</f>
        <v>N/M</v>
      </c>
      <c r="I313" s="59" t="n">
        <f aca="false">Tiger!K113</f>
        <v>10.4973910717194</v>
      </c>
      <c r="J313" s="25" t="str">
        <f aca="false">IF(AND(ISNUMBER(I313),ISNUMBER(I$325)),IF(I313&gt;I$325,"Above",IF(I313&lt;I$325,"Below","At median")),"-")</f>
        <v>Above</v>
      </c>
      <c r="K313" s="25" t="str">
        <f aca="false">IF(J313="Above","Better",IF(J313="Below","Weaker",IF(J313="At median","In line","-")))</f>
        <v>Better</v>
      </c>
      <c r="L313" s="43" t="n">
        <f aca="false">IF(ISNUMBER(I313),RANK(I313,I$313:I$322,0),"-")</f>
        <v>3</v>
      </c>
    </row>
    <row r="314" customFormat="false" ht="15" hidden="false" customHeight="false" outlineLevel="0" collapsed="false">
      <c r="A314" s="16" t="s">
        <v>54</v>
      </c>
      <c r="B314" s="36" t="n">
        <f aca="false">Allcargo!D113</f>
        <v>0.320109822940569</v>
      </c>
      <c r="C314" s="36" t="str">
        <f aca="false">Allcargo!E113</f>
        <v>N/M</v>
      </c>
      <c r="D314" s="36" t="n">
        <f aca="false">Allcargo!F113</f>
        <v>1.50962221275387</v>
      </c>
      <c r="E314" s="36" t="n">
        <f aca="false">Allcargo!G113</f>
        <v>4.14313386733679</v>
      </c>
      <c r="F314" s="36" t="n">
        <f aca="false">Allcargo!H113</f>
        <v>-0.460427790591135</v>
      </c>
      <c r="G314" s="36" t="str">
        <f aca="false">Allcargo!I113</f>
        <v>N/M</v>
      </c>
      <c r="H314" s="36" t="str">
        <f aca="false">Allcargo!J113</f>
        <v>N/M</v>
      </c>
      <c r="I314" s="59" t="n">
        <f aca="false">Allcargo!K113</f>
        <v>1.37810952811002</v>
      </c>
      <c r="J314" s="25" t="str">
        <f aca="false">IF(AND(ISNUMBER(I314),ISNUMBER(I$325)),IF(I314&gt;I$325,"Above",IF(I314&lt;I$325,"Below","At median")),"-")</f>
        <v>Below</v>
      </c>
      <c r="K314" s="25" t="str">
        <f aca="false">IF(J314="Above","Better",IF(J314="Below","Weaker",IF(J314="At median","In line","-")))</f>
        <v>Weaker</v>
      </c>
      <c r="L314" s="43" t="n">
        <f aca="false">IF(ISNUMBER(I314),RANK(I314,I$313:I$322,0),"-")</f>
        <v>10</v>
      </c>
    </row>
    <row r="315" customFormat="false" ht="15" hidden="false" customHeight="false" outlineLevel="0" collapsed="false">
      <c r="A315" s="16" t="s">
        <v>277</v>
      </c>
      <c r="B315" s="36" t="n">
        <f aca="false">BlueDart!D113</f>
        <v>1.89069477619691</v>
      </c>
      <c r="C315" s="36" t="n">
        <f aca="false">BlueDart!E113</f>
        <v>1.41816325759008</v>
      </c>
      <c r="D315" s="36" t="str">
        <f aca="false">BlueDart!F113</f>
        <v>N/M</v>
      </c>
      <c r="E315" s="36" t="n">
        <f aca="false">BlueDart!G113</f>
        <v>1.39419167849987</v>
      </c>
      <c r="F315" s="36" t="n">
        <f aca="false">BlueDart!H113</f>
        <v>2.26011637838992</v>
      </c>
      <c r="G315" s="36" t="n">
        <f aca="false">BlueDart!I113</f>
        <v>2.45268917656479</v>
      </c>
      <c r="H315" s="36" t="n">
        <f aca="false">BlueDart!J113</f>
        <v>2.57287565095897</v>
      </c>
      <c r="I315" s="59" t="n">
        <f aca="false">BlueDart!K113</f>
        <v>1.99812181970009</v>
      </c>
      <c r="J315" s="25" t="str">
        <f aca="false">IF(AND(ISNUMBER(I315),ISNUMBER(I$325)),IF(I315&gt;I$325,"Above",IF(I315&lt;I$325,"Below","At median")),"-")</f>
        <v>Below</v>
      </c>
      <c r="K315" s="25" t="str">
        <f aca="false">IF(J315="Above","Better",IF(J315="Below","Weaker",IF(J315="At median","In line","-")))</f>
        <v>Weaker</v>
      </c>
      <c r="L315" s="43" t="n">
        <f aca="false">IF(ISNUMBER(I315),RANK(I315,I$313:I$322,0),"-")</f>
        <v>7</v>
      </c>
    </row>
    <row r="316" customFormat="false" ht="15" hidden="false" customHeight="false" outlineLevel="0" collapsed="false">
      <c r="A316" s="16" t="s">
        <v>58</v>
      </c>
      <c r="B316" s="36" t="n">
        <f aca="false">CONCOR!D113</f>
        <v>1.490681868774</v>
      </c>
      <c r="C316" s="36" t="str">
        <f aca="false">CONCOR!E113</f>
        <v>N/M</v>
      </c>
      <c r="D316" s="36" t="n">
        <f aca="false">CONCOR!F113</f>
        <v>1.2796045562003</v>
      </c>
      <c r="E316" s="36" t="n">
        <f aca="false">CONCOR!G113</f>
        <v>2.36895052574818</v>
      </c>
      <c r="F316" s="36" t="n">
        <f aca="false">CONCOR!H113</f>
        <v>1.98734738860979</v>
      </c>
      <c r="G316" s="36" t="n">
        <f aca="false">CONCOR!I113</f>
        <v>2.72265084389864</v>
      </c>
      <c r="H316" s="36" t="n">
        <f aca="false">CONCOR!J113</f>
        <v>6.28463006147976</v>
      </c>
      <c r="I316" s="59" t="n">
        <f aca="false">CONCOR!K113</f>
        <v>2.68897754078511</v>
      </c>
      <c r="J316" s="25" t="str">
        <f aca="false">IF(AND(ISNUMBER(I316),ISNUMBER(I$325)),IF(I316&gt;I$325,"Above",IF(I316&lt;I$325,"Below","At median")),"-")</f>
        <v>Above</v>
      </c>
      <c r="K316" s="25" t="str">
        <f aca="false">IF(J316="Above","Better",IF(J316="Below","Weaker",IF(J316="At median","In line","-")))</f>
        <v>Better</v>
      </c>
      <c r="L316" s="43" t="n">
        <f aca="false">IF(ISNUMBER(I316),RANK(I316,I$313:I$322,0),"-")</f>
        <v>4</v>
      </c>
    </row>
    <row r="317" customFormat="false" ht="15" hidden="false" customHeight="false" outlineLevel="0" collapsed="false">
      <c r="A317" s="16" t="s">
        <v>278</v>
      </c>
      <c r="B317" s="36" t="n">
        <f aca="false">JetFreight!D113</f>
        <v>14.2111111111111</v>
      </c>
      <c r="C317" s="36" t="n">
        <f aca="false">JetFreight!E113</f>
        <v>12.2716049382716</v>
      </c>
      <c r="D317" s="36" t="n">
        <f aca="false">JetFreight!F113</f>
        <v>-2.78627968337731</v>
      </c>
      <c r="E317" s="36" t="n">
        <f aca="false">JetFreight!G113</f>
        <v>-9.70324189526185</v>
      </c>
      <c r="F317" s="36" t="n">
        <f aca="false">JetFreight!H113</f>
        <v>2.94599303135889</v>
      </c>
      <c r="G317" s="36" t="n">
        <f aca="false">JetFreight!I113</f>
        <v>-1.21739130434783</v>
      </c>
      <c r="H317" s="36" t="str">
        <f aca="false">JetFreight!J113</f>
        <v>N/M</v>
      </c>
      <c r="I317" s="59" t="n">
        <f aca="false">JetFreight!K113</f>
        <v>2.62029936629244</v>
      </c>
      <c r="J317" s="25" t="str">
        <f aca="false">IF(AND(ISNUMBER(I317),ISNUMBER(I$325)),IF(I317&gt;I$325,"Above",IF(I317&lt;I$325,"Below","At median")),"-")</f>
        <v>Above</v>
      </c>
      <c r="K317" s="25" t="str">
        <f aca="false">IF(J317="Above","Better",IF(J317="Below","Weaker",IF(J317="At median","In line","-")))</f>
        <v>Better</v>
      </c>
      <c r="L317" s="43" t="n">
        <f aca="false">IF(ISNUMBER(I317),RANK(I317,I$313:I$322,0),"-")</f>
        <v>5</v>
      </c>
    </row>
    <row r="318" customFormat="false" ht="15" hidden="false" customHeight="false" outlineLevel="0" collapsed="false">
      <c r="A318" s="16" t="s">
        <v>62</v>
      </c>
      <c r="B318" s="36" t="str">
        <f aca="false">Patel!D113</f>
        <v>N/M</v>
      </c>
      <c r="C318" s="36" t="str">
        <f aca="false">Patel!E113</f>
        <v>N/M</v>
      </c>
      <c r="D318" s="36" t="n">
        <f aca="false">Patel!F113</f>
        <v>17.2641509433962</v>
      </c>
      <c r="E318" s="36" t="str">
        <f aca="false">Patel!G113</f>
        <v>N/M</v>
      </c>
      <c r="F318" s="36" t="str">
        <f aca="false">Patel!H113</f>
        <v>N/M</v>
      </c>
      <c r="G318" s="36" t="str">
        <f aca="false">Patel!I113</f>
        <v>N/M</v>
      </c>
      <c r="H318" s="36" t="n">
        <f aca="false">Patel!J113</f>
        <v>13.2</v>
      </c>
      <c r="I318" s="59" t="n">
        <f aca="false">Patel!K113</f>
        <v>15.2320754716981</v>
      </c>
      <c r="J318" s="25" t="str">
        <f aca="false">IF(AND(ISNUMBER(I318),ISNUMBER(I$325)),IF(I318&gt;I$325,"Above",IF(I318&lt;I$325,"Below","At median")),"-")</f>
        <v>Above</v>
      </c>
      <c r="K318" s="25" t="str">
        <f aca="false">IF(J318="Above","Better",IF(J318="Below","Weaker",IF(J318="At median","In line","-")))</f>
        <v>Better</v>
      </c>
      <c r="L318" s="43" t="n">
        <f aca="false">IF(ISNUMBER(I318),RANK(I318,I$313:I$322,0),"-")</f>
        <v>2</v>
      </c>
    </row>
    <row r="319" customFormat="false" ht="15" hidden="false" customHeight="false" outlineLevel="0" collapsed="false">
      <c r="A319" s="16" t="s">
        <v>64</v>
      </c>
      <c r="B319" s="36" t="n">
        <f aca="false">Sical!D113</f>
        <v>1.20661191134591</v>
      </c>
      <c r="C319" s="36" t="n">
        <f aca="false">Sical!E113</f>
        <v>6.1258226867983</v>
      </c>
      <c r="D319" s="36" t="n">
        <f aca="false">Sical!F113</f>
        <v>1.23826979472141</v>
      </c>
      <c r="E319" s="36" t="str">
        <f aca="false">Sical!G113</f>
        <v>N/M</v>
      </c>
      <c r="F319" s="36" t="n">
        <f aca="false">Sical!H113</f>
        <v>1.10206896551724</v>
      </c>
      <c r="G319" s="36" t="n">
        <f aca="false">Sical!I113</f>
        <v>0.31343984962406</v>
      </c>
      <c r="H319" s="36" t="str">
        <f aca="false">Sical!J113</f>
        <v>N/M</v>
      </c>
      <c r="I319" s="59" t="n">
        <f aca="false">Sical!K113</f>
        <v>1.99724264160138</v>
      </c>
      <c r="J319" s="25" t="str">
        <f aca="false">IF(AND(ISNUMBER(I319),ISNUMBER(I$325)),IF(I319&gt;I$325,"Above",IF(I319&lt;I$325,"Below","At median")),"-")</f>
        <v>Below</v>
      </c>
      <c r="K319" s="25" t="str">
        <f aca="false">IF(J319="Above","Better",IF(J319="Below","Weaker",IF(J319="At median","In line","-")))</f>
        <v>Weaker</v>
      </c>
      <c r="L319" s="43" t="n">
        <f aca="false">IF(ISNUMBER(I319),RANK(I319,I$313:I$322,0),"-")</f>
        <v>8</v>
      </c>
    </row>
    <row r="320" customFormat="false" ht="15" hidden="false" customHeight="false" outlineLevel="0" collapsed="false">
      <c r="A320" s="16" t="s">
        <v>66</v>
      </c>
      <c r="B320" s="36" t="n">
        <f aca="false">TCI!D113</f>
        <v>1.79441324268401</v>
      </c>
      <c r="C320" s="36" t="n">
        <f aca="false">TCI!E113</f>
        <v>2.83513211760328</v>
      </c>
      <c r="D320" s="36" t="n">
        <f aca="false">TCI!F113</f>
        <v>4.82826029913409</v>
      </c>
      <c r="E320" s="36" t="n">
        <f aca="false">TCI!G113</f>
        <v>1.86734324030446</v>
      </c>
      <c r="F320" s="36" t="n">
        <f aca="false">TCI!H113</f>
        <v>0.741196572730425</v>
      </c>
      <c r="G320" s="36" t="n">
        <f aca="false">TCI!I113</f>
        <v>3.61758485245241</v>
      </c>
      <c r="H320" s="36" t="n">
        <f aca="false">TCI!J113</f>
        <v>1.21064102214836</v>
      </c>
      <c r="I320" s="59" t="n">
        <f aca="false">TCI!K113</f>
        <v>2.41351019243672</v>
      </c>
      <c r="J320" s="25" t="str">
        <f aca="false">IF(AND(ISNUMBER(I320),ISNUMBER(I$325)),IF(I320&gt;I$325,"Above",IF(I320&lt;I$325,"Below","At median")),"-")</f>
        <v>Below</v>
      </c>
      <c r="K320" s="25" t="str">
        <f aca="false">IF(J320="Above","Better",IF(J320="Below","Weaker",IF(J320="At median","In line","-")))</f>
        <v>Weaker</v>
      </c>
      <c r="L320" s="43" t="n">
        <f aca="false">IF(ISNUMBER(I320),RANK(I320,I$313:I$322,0),"-")</f>
        <v>6</v>
      </c>
    </row>
    <row r="321" customFormat="false" ht="15" hidden="false" customHeight="false" outlineLevel="0" collapsed="false">
      <c r="A321" s="16" t="s">
        <v>68</v>
      </c>
      <c r="B321" s="36" t="n">
        <f aca="false">Shreeji!D113</f>
        <v>0.468965517241379</v>
      </c>
      <c r="C321" s="36" t="n">
        <f aca="false">Shreeji!E113</f>
        <v>3.14778325123153</v>
      </c>
      <c r="D321" s="36" t="n">
        <f aca="false">Shreeji!F113</f>
        <v>35</v>
      </c>
      <c r="E321" s="36" t="n">
        <f aca="false">Shreeji!G113</f>
        <v>1.94015444015444</v>
      </c>
      <c r="F321" s="36" t="str">
        <f aca="false">Shreeji!H113</f>
        <v>N/M</v>
      </c>
      <c r="G321" s="36" t="n">
        <f aca="false">Shreeji!I113</f>
        <v>48.7307692307692</v>
      </c>
      <c r="H321" s="36" t="str">
        <f aca="false">Shreeji!J113</f>
        <v>N/M</v>
      </c>
      <c r="I321" s="59" t="n">
        <f aca="false">Shreeji!K113</f>
        <v>17.8575344878793</v>
      </c>
      <c r="J321" s="25" t="str">
        <f aca="false">IF(AND(ISNUMBER(I321),ISNUMBER(I$325)),IF(I321&gt;I$325,"Above",IF(I321&lt;I$325,"Below","At median")),"-")</f>
        <v>Above</v>
      </c>
      <c r="K321" s="25" t="str">
        <f aca="false">IF(J321="Above","Better",IF(J321="Below","Weaker",IF(J321="At median","In line","-")))</f>
        <v>Better</v>
      </c>
      <c r="L321" s="43" t="n">
        <f aca="false">IF(ISNUMBER(I321),RANK(I321,I$313:I$322,0),"-")</f>
        <v>1</v>
      </c>
    </row>
    <row r="322" customFormat="false" ht="15" hidden="false" customHeight="false" outlineLevel="0" collapsed="false">
      <c r="A322" s="16" t="s">
        <v>279</v>
      </c>
      <c r="B322" s="36" t="str">
        <f aca="false">MahindraLog!D113</f>
        <v>N/M</v>
      </c>
      <c r="C322" s="36" t="n">
        <f aca="false">MahindraLog!E113</f>
        <v>2.72010743725109</v>
      </c>
      <c r="D322" s="36" t="n">
        <f aca="false">MahindraLog!F113</f>
        <v>1.36560600643547</v>
      </c>
      <c r="E322" s="36" t="n">
        <f aca="false">MahindraLog!G113</f>
        <v>0.385136442810141</v>
      </c>
      <c r="F322" s="36" t="n">
        <f aca="false">MahindraLog!H113</f>
        <v>4.31703139866794</v>
      </c>
      <c r="G322" s="36" t="n">
        <f aca="false">MahindraLog!I113</f>
        <v>2.21757673667205</v>
      </c>
      <c r="H322" s="36" t="n">
        <f aca="false">MahindraLog!J113</f>
        <v>0.80215713562753</v>
      </c>
      <c r="I322" s="59" t="n">
        <f aca="false">MahindraLog!K113</f>
        <v>1.96793585957737</v>
      </c>
      <c r="J322" s="25" t="str">
        <f aca="false">IF(AND(ISNUMBER(I322),ISNUMBER(I$325)),IF(I322&gt;I$325,"Above",IF(I322&lt;I$325,"Below","At median")),"-")</f>
        <v>Below</v>
      </c>
      <c r="K322" s="25" t="str">
        <f aca="false">IF(J322="Above","Better",IF(J322="Below","Weaker",IF(J322="At median","In line","-")))</f>
        <v>Weaker</v>
      </c>
      <c r="L322" s="43" t="n">
        <f aca="false">IF(ISNUMBER(I322),RANK(I322,I$313:I$322,0),"-")</f>
        <v>9</v>
      </c>
    </row>
    <row r="323" customFormat="false" ht="15" hidden="false" customHeight="false" outlineLevel="0" collapsed="false">
      <c r="A323" s="46" t="s">
        <v>328</v>
      </c>
      <c r="B323" s="37" t="n">
        <f aca="false">Industry!D114</f>
        <v>1.27790989607963</v>
      </c>
      <c r="C323" s="37" t="n">
        <f aca="false">Industry!E114</f>
        <v>4.20522075597008</v>
      </c>
      <c r="D323" s="37" t="n">
        <f aca="false">Industry!F114</f>
        <v>1.97598509528596</v>
      </c>
      <c r="E323" s="37" t="n">
        <f aca="false">Industry!G114</f>
        <v>2.17125549229129</v>
      </c>
      <c r="F323" s="37" t="n">
        <f aca="false">Industry!H114</f>
        <v>1.42134631558517</v>
      </c>
      <c r="G323" s="37" t="n">
        <f aca="false">Industry!I114</f>
        <v>3.14435421924723</v>
      </c>
      <c r="H323" s="37" t="n">
        <f aca="false">Industry!J114</f>
        <v>2.9167183284291</v>
      </c>
      <c r="I323" s="37" t="n">
        <f aca="false">Industry!K114</f>
        <v>2.44468430041264</v>
      </c>
      <c r="J323" s="47"/>
      <c r="K323" s="47"/>
      <c r="L323" s="47"/>
    </row>
    <row r="324" customFormat="false" ht="15" hidden="false" customHeight="false" outlineLevel="0" collapsed="false">
      <c r="A324" s="52" t="s">
        <v>329</v>
      </c>
      <c r="B324" s="60" t="n">
        <f aca="false">IF(COUNT(B313:B322)=0,"N/M",AVERAGE(B313:B322))</f>
        <v>3.0546554643277</v>
      </c>
      <c r="C324" s="60" t="n">
        <f aca="false">IF(COUNT(C313:C322)=0,"N/M",AVERAGE(C313:C322))</f>
        <v>6.77698622054548</v>
      </c>
      <c r="D324" s="60" t="n">
        <f aca="false">IF(COUNT(D313:D322)=0,"N/M",AVERAGE(D313:D322))</f>
        <v>8.3880101413468</v>
      </c>
      <c r="E324" s="60" t="n">
        <f aca="false">IF(COUNT(E313:E322)=0,"N/M",AVERAGE(E313:E322))</f>
        <v>0.342238328513148</v>
      </c>
      <c r="F324" s="60" t="n">
        <f aca="false">IF(COUNT(F313:F322)=0,"N/M",AVERAGE(F313:F322))</f>
        <v>1.20904402023894</v>
      </c>
      <c r="G324" s="60" t="n">
        <f aca="false">IF(COUNT(G313:G322)=0,"N/M",AVERAGE(G313:G322))</f>
        <v>8.40533134080477</v>
      </c>
      <c r="H324" s="60" t="n">
        <f aca="false">IF(COUNT(H313:H322)=0,"N/M",AVERAGE(H313:H322))</f>
        <v>4.81406077404292</v>
      </c>
      <c r="I324" s="60" t="n">
        <f aca="false">IF(COUNT(I313:I322)=0,"N/M",AVERAGE(I313:I322))</f>
        <v>5.86511979797999</v>
      </c>
      <c r="J324" s="54"/>
      <c r="K324" s="54"/>
      <c r="L324" s="54"/>
    </row>
    <row r="325" customFormat="false" ht="15" hidden="false" customHeight="false" outlineLevel="0" collapsed="false">
      <c r="A325" s="28" t="s">
        <v>281</v>
      </c>
      <c r="B325" s="38" t="n">
        <f aca="false">IF(COUNT(B313:B322)=0,"N/M",MEDIAN(B313:B322))</f>
        <v>1.490681868774</v>
      </c>
      <c r="C325" s="38" t="n">
        <f aca="false">IF(COUNT(C313:C322)=0,"N/M",MEDIAN(C313:C322))</f>
        <v>3.14778325123153</v>
      </c>
      <c r="D325" s="38" t="n">
        <f aca="false">IF(COUNT(D313:D322)=0,"N/M",MEDIAN(D313:D322))</f>
        <v>1.50962221275387</v>
      </c>
      <c r="E325" s="38" t="n">
        <f aca="false">IF(COUNT(E313:E322)=0,"N/M",MEDIAN(E313:E322))</f>
        <v>1.86734324030446</v>
      </c>
      <c r="F325" s="38" t="n">
        <f aca="false">IF(COUNT(F313:F322)=0,"N/M",MEDIAN(F313:F322))</f>
        <v>1.54470817706351</v>
      </c>
      <c r="G325" s="38" t="n">
        <f aca="false">IF(COUNT(G313:G322)=0,"N/M",MEDIAN(G313:G322))</f>
        <v>2.45268917656479</v>
      </c>
      <c r="H325" s="38" t="n">
        <f aca="false">IF(COUNT(H313:H322)=0,"N/M",MEDIAN(H313:H322))</f>
        <v>2.57287565095897</v>
      </c>
      <c r="I325" s="38" t="n">
        <f aca="false">IF(COUNT(I313:I322)=0,"N/M",MEDIAN(I313:I322))</f>
        <v>2.51690477936458</v>
      </c>
      <c r="J325" s="54"/>
      <c r="K325" s="54"/>
      <c r="L325" s="54"/>
    </row>
    <row r="326" customFormat="false" ht="15" hidden="false" customHeight="false" outlineLevel="0" collapsed="false">
      <c r="A326" s="52" t="s">
        <v>330</v>
      </c>
      <c r="B326" s="60" t="n">
        <f aca="false">IF(COUNT(B313:B322)&lt;2,"N/M",STDEV(B313:B322))</f>
        <v>4.957054372104</v>
      </c>
      <c r="C326" s="60" t="n">
        <f aca="false">IF(COUNT(C313:C322)&lt;2,"N/M",STDEV(C313:C322))</f>
        <v>6.48021667504498</v>
      </c>
      <c r="D326" s="60" t="n">
        <f aca="false">IF(COUNT(D313:D322)&lt;2,"N/M",STDEV(D313:D322))</f>
        <v>12.1327388099001</v>
      </c>
      <c r="E326" s="60" t="n">
        <f aca="false">IF(COUNT(E313:E322)&lt;2,"N/M",STDEV(E313:E322))</f>
        <v>4.57263179406011</v>
      </c>
      <c r="F326" s="60" t="n">
        <f aca="false">IF(COUNT(F313:F322)&lt;2,"N/M",STDEV(F313:F322))</f>
        <v>2.29998774548319</v>
      </c>
      <c r="G326" s="60" t="n">
        <f aca="false">IF(COUNT(G313:G322)&lt;2,"N/M",STDEV(G313:G322))</f>
        <v>17.8566237470911</v>
      </c>
      <c r="H326" s="60" t="n">
        <f aca="false">IF(COUNT(H313:H322)&lt;2,"N/M",STDEV(H313:H322))</f>
        <v>5.16210873090652</v>
      </c>
      <c r="I326" s="60" t="n">
        <f aca="false">IF(COUNT(I313:I322)&lt;2,"N/M",STDEV(I313:I322))</f>
        <v>6.2430548510134</v>
      </c>
      <c r="J326" s="54"/>
      <c r="K326" s="54"/>
      <c r="L326" s="54"/>
    </row>
    <row r="327" customFormat="false" ht="15" hidden="false" customHeight="false" outlineLevel="0" collapsed="false">
      <c r="A327" s="52" t="s">
        <v>269</v>
      </c>
      <c r="B327" s="60" t="n">
        <f aca="false">IF(COUNT(B313:B322)=0,"N/M",MIN(B313:B322))</f>
        <v>0.320109822940569</v>
      </c>
      <c r="C327" s="60" t="n">
        <f aca="false">IF(COUNT(C313:C322)=0,"N/M",MIN(C313:C322))</f>
        <v>1.41816325759008</v>
      </c>
      <c r="D327" s="60" t="n">
        <f aca="false">IF(COUNT(D313:D322)=0,"N/M",MIN(D313:D322))</f>
        <v>-2.78627968337731</v>
      </c>
      <c r="E327" s="60" t="n">
        <f aca="false">IF(COUNT(E313:E322)=0,"N/M",MIN(E313:E322))</f>
        <v>-9.70324189526185</v>
      </c>
      <c r="F327" s="60" t="n">
        <f aca="false">IF(COUNT(F313:F322)=0,"N/M",MIN(F313:F322))</f>
        <v>-3.22097378277154</v>
      </c>
      <c r="G327" s="60" t="n">
        <f aca="false">IF(COUNT(G313:G322)=0,"N/M",MIN(G313:G322))</f>
        <v>-1.21739130434783</v>
      </c>
      <c r="H327" s="60" t="n">
        <f aca="false">IF(COUNT(H313:H322)=0,"N/M",MIN(H313:H322))</f>
        <v>0.80215713562753</v>
      </c>
      <c r="I327" s="60" t="n">
        <f aca="false">IF(COUNT(I313:I322)=0,"N/M",MIN(I313:I322))</f>
        <v>1.37810952811002</v>
      </c>
      <c r="J327" s="54"/>
      <c r="K327" s="54"/>
      <c r="L327" s="54"/>
    </row>
    <row r="328" customFormat="false" ht="15" hidden="false" customHeight="false" outlineLevel="0" collapsed="false">
      <c r="A328" s="52" t="s">
        <v>270</v>
      </c>
      <c r="B328" s="60" t="n">
        <f aca="false">IF(COUNT(B313:B322)=0,"N/M",MAX(B313:B322))</f>
        <v>14.2111111111111</v>
      </c>
      <c r="C328" s="60" t="n">
        <f aca="false">IF(COUNT(C313:C322)=0,"N/M",MAX(C313:C322))</f>
        <v>18.9202898550725</v>
      </c>
      <c r="D328" s="60" t="n">
        <f aca="false">IF(COUNT(D313:D322)=0,"N/M",MAX(D313:D322))</f>
        <v>35</v>
      </c>
      <c r="E328" s="60" t="n">
        <f aca="false">IF(COUNT(E313:E322)=0,"N/M",MAX(E313:E322))</f>
        <v>4.14313386733679</v>
      </c>
      <c r="F328" s="60" t="n">
        <f aca="false">IF(COUNT(F313:F322)=0,"N/M",MAX(F313:F322))</f>
        <v>4.31703139866794</v>
      </c>
      <c r="G328" s="60" t="n">
        <f aca="false">IF(COUNT(G313:G322)=0,"N/M",MAX(G313:G322))</f>
        <v>48.7307692307692</v>
      </c>
      <c r="H328" s="60" t="n">
        <f aca="false">IF(COUNT(H313:H322)=0,"N/M",MAX(H313:H322))</f>
        <v>13.2</v>
      </c>
      <c r="I328" s="60" t="n">
        <f aca="false">IF(COUNT(I313:I322)=0,"N/M",MAX(I313:I322))</f>
        <v>17.8575344878793</v>
      </c>
      <c r="J328" s="54"/>
      <c r="K328" s="54"/>
      <c r="L328" s="54"/>
    </row>
    <row r="330" customFormat="false" ht="16.5" hidden="false" customHeight="true" outlineLevel="0" collapsed="false">
      <c r="A330" s="49" t="s">
        <v>348</v>
      </c>
      <c r="B330" s="49"/>
      <c r="C330" s="49"/>
      <c r="D330" s="49"/>
      <c r="E330" s="49"/>
      <c r="F330" s="49"/>
      <c r="G330" s="49"/>
      <c r="H330" s="49"/>
      <c r="I330" s="49"/>
      <c r="J330" s="49"/>
      <c r="K330" s="49"/>
      <c r="L330" s="49"/>
    </row>
    <row r="331" customFormat="false" ht="15" hidden="false" customHeight="false" outlineLevel="0" collapsed="false">
      <c r="A331" s="16" t="s">
        <v>52</v>
      </c>
      <c r="B331" s="36" t="n">
        <f aca="false">Tiger!D114</f>
        <v>-1.55855855855856</v>
      </c>
      <c r="C331" s="36" t="n">
        <f aca="false">Tiger!E114</f>
        <v>-4.88265306122449</v>
      </c>
      <c r="D331" s="36" t="n">
        <f aca="false">Tiger!F114</f>
        <v>23.8013245033113</v>
      </c>
      <c r="E331" s="36" t="n">
        <f aca="false">Tiger!G114</f>
        <v>24.2912621359223</v>
      </c>
      <c r="F331" s="36" t="n">
        <f aca="false">Tiger!H114</f>
        <v>19.0789473684211</v>
      </c>
      <c r="G331" s="36" t="n">
        <f aca="false">Tiger!I114</f>
        <v>9.31641791044776</v>
      </c>
      <c r="H331" s="36" t="n">
        <f aca="false">Tiger!J114</f>
        <v>5.26565464895636</v>
      </c>
      <c r="I331" s="59" t="n">
        <f aca="false">Tiger!K114</f>
        <v>10.7589135638965</v>
      </c>
      <c r="J331" s="25" t="str">
        <f aca="false">IF(AND(ISNUMBER(I331),ISNUMBER(I$343)),IF(I331&gt;I$343,"Above",IF(I331&lt;I$343,"Below","At median")),"-")</f>
        <v>Above</v>
      </c>
      <c r="K331" s="25" t="str">
        <f aca="false">IF(J331="Above","Better",IF(J331="Below","Weaker",IF(J331="At median","In line","-")))</f>
        <v>Better</v>
      </c>
      <c r="L331" s="43" t="n">
        <f aca="false">IF(ISNUMBER(I331),RANK(I331,I$331:I$340,0),"-")</f>
        <v>2</v>
      </c>
    </row>
    <row r="332" customFormat="false" ht="15" hidden="false" customHeight="false" outlineLevel="0" collapsed="false">
      <c r="A332" s="16" t="s">
        <v>54</v>
      </c>
      <c r="B332" s="36" t="n">
        <f aca="false">Allcargo!D114</f>
        <v>7.08649082875887</v>
      </c>
      <c r="C332" s="36" t="n">
        <f aca="false">Allcargo!E114</f>
        <v>2.33101071401813</v>
      </c>
      <c r="D332" s="36" t="n">
        <f aca="false">Allcargo!F114</f>
        <v>13.0911547656169</v>
      </c>
      <c r="E332" s="36" t="n">
        <f aca="false">Allcargo!G114</f>
        <v>1.27860600442865</v>
      </c>
      <c r="F332" s="36" t="n">
        <f aca="false">Allcargo!H114</f>
        <v>4.93951555109646</v>
      </c>
      <c r="G332" s="36" t="n">
        <f aca="false">Allcargo!I114</f>
        <v>2.68333333333333</v>
      </c>
      <c r="H332" s="36" t="n">
        <f aca="false">Allcargo!J114</f>
        <v>0.734584450402145</v>
      </c>
      <c r="I332" s="59" t="n">
        <f aca="false">Allcargo!K114</f>
        <v>4.59209937823635</v>
      </c>
      <c r="J332" s="25" t="str">
        <f aca="false">IF(AND(ISNUMBER(I332),ISNUMBER(I$343)),IF(I332&gt;I$343,"Above",IF(I332&lt;I$343,"Below","At median")),"-")</f>
        <v>Above</v>
      </c>
      <c r="K332" s="25" t="str">
        <f aca="false">IF(J332="Above","Better",IF(J332="Below","Weaker",IF(J332="At median","In line","-")))</f>
        <v>Better</v>
      </c>
      <c r="L332" s="43" t="n">
        <f aca="false">IF(ISNUMBER(I332),RANK(I332,I$331:I$340,0),"-")</f>
        <v>4</v>
      </c>
    </row>
    <row r="333" customFormat="false" ht="15" hidden="false" customHeight="false" outlineLevel="0" collapsed="false">
      <c r="A333" s="16" t="s">
        <v>277</v>
      </c>
      <c r="B333" s="36" t="n">
        <f aca="false">BlueDart!D114</f>
        <v>1.24334734923109</v>
      </c>
      <c r="C333" s="36" t="n">
        <f aca="false">BlueDart!E114</f>
        <v>3.22088594908799</v>
      </c>
      <c r="D333" s="36" t="n">
        <f aca="false">BlueDart!F114</f>
        <v>1.37339158061954</v>
      </c>
      <c r="E333" s="36" t="n">
        <f aca="false">BlueDart!G114</f>
        <v>3.77826225189626</v>
      </c>
      <c r="F333" s="36" t="n">
        <f aca="false">BlueDart!H114</f>
        <v>2.37524500482696</v>
      </c>
      <c r="G333" s="36" t="n">
        <f aca="false">BlueDart!I114</f>
        <v>2.1901466777098</v>
      </c>
      <c r="H333" s="36" t="n">
        <f aca="false">BlueDart!J114</f>
        <v>2.3859986273164</v>
      </c>
      <c r="I333" s="59" t="n">
        <f aca="false">BlueDart!K114</f>
        <v>2.36675392009829</v>
      </c>
      <c r="J333" s="25" t="str">
        <f aca="false">IF(AND(ISNUMBER(I333),ISNUMBER(I$343)),IF(I333&gt;I$343,"Above",IF(I333&lt;I$343,"Below","At median")),"-")</f>
        <v>Below</v>
      </c>
      <c r="K333" s="25" t="str">
        <f aca="false">IF(J333="Above","Better",IF(J333="Below","Weaker",IF(J333="At median","In line","-")))</f>
        <v>Weaker</v>
      </c>
      <c r="L333" s="43" t="n">
        <f aca="false">IF(ISNUMBER(I333),RANK(I333,I$331:I$340,0),"-")</f>
        <v>8</v>
      </c>
    </row>
    <row r="334" customFormat="false" ht="15" hidden="false" customHeight="false" outlineLevel="0" collapsed="false">
      <c r="A334" s="16" t="s">
        <v>58</v>
      </c>
      <c r="B334" s="36" t="n">
        <f aca="false">CONCOR!D114</f>
        <v>0.79498720818676</v>
      </c>
      <c r="C334" s="36" t="n">
        <f aca="false">CONCOR!E114</f>
        <v>7.25176021583207</v>
      </c>
      <c r="D334" s="36" t="n">
        <f aca="false">CONCOR!F114</f>
        <v>26.7246976448122</v>
      </c>
      <c r="E334" s="36" t="n">
        <f aca="false">CONCOR!G114</f>
        <v>9.87979930191972</v>
      </c>
      <c r="F334" s="36" t="n">
        <f aca="false">CONCOR!H114</f>
        <v>13.995193687231</v>
      </c>
      <c r="G334" s="36" t="n">
        <f aca="false">CONCOR!I114</f>
        <v>9.11515748031496</v>
      </c>
      <c r="H334" s="36" t="n">
        <f aca="false">CONCOR!J114</f>
        <v>6.46687823617839</v>
      </c>
      <c r="I334" s="59" t="n">
        <f aca="false">CONCOR!K114</f>
        <v>10.6040676820679</v>
      </c>
      <c r="J334" s="25" t="str">
        <f aca="false">IF(AND(ISNUMBER(I334),ISNUMBER(I$343)),IF(I334&gt;I$343,"Above",IF(I334&lt;I$343,"Below","At median")),"-")</f>
        <v>Above</v>
      </c>
      <c r="K334" s="25" t="str">
        <f aca="false">IF(J334="Above","Better",IF(J334="Below","Weaker",IF(J334="At median","In line","-")))</f>
        <v>Better</v>
      </c>
      <c r="L334" s="43" t="n">
        <f aca="false">IF(ISNUMBER(I334),RANK(I334,I$331:I$340,0),"-")</f>
        <v>3</v>
      </c>
    </row>
    <row r="335" customFormat="false" ht="15" hidden="false" customHeight="false" outlineLevel="0" collapsed="false">
      <c r="A335" s="16" t="s">
        <v>278</v>
      </c>
      <c r="B335" s="36" t="n">
        <f aca="false">JetFreight!D114</f>
        <v>-0.257575757575758</v>
      </c>
      <c r="C335" s="36" t="n">
        <f aca="false">JetFreight!E114</f>
        <v>0.863636363636364</v>
      </c>
      <c r="D335" s="36" t="n">
        <f aca="false">JetFreight!F114</f>
        <v>2.37623762376238</v>
      </c>
      <c r="E335" s="36" t="n">
        <f aca="false">JetFreight!G114</f>
        <v>1.56831683168317</v>
      </c>
      <c r="F335" s="36" t="n">
        <f aca="false">JetFreight!H114</f>
        <v>0.760397830018083</v>
      </c>
      <c r="G335" s="36" t="n">
        <f aca="false">JetFreight!I114</f>
        <v>1.84202898550725</v>
      </c>
      <c r="H335" s="36" t="n">
        <f aca="false">JetFreight!J114</f>
        <v>2.24428571428571</v>
      </c>
      <c r="I335" s="59" t="n">
        <f aca="false">JetFreight!K114</f>
        <v>1.34247537018817</v>
      </c>
      <c r="J335" s="25" t="str">
        <f aca="false">IF(AND(ISNUMBER(I335),ISNUMBER(I$343)),IF(I335&gt;I$343,"Above",IF(I335&lt;I$343,"Below","At median")),"-")</f>
        <v>Below</v>
      </c>
      <c r="K335" s="25" t="str">
        <f aca="false">IF(J335="Above","Better",IF(J335="Below","Weaker",IF(J335="At median","In line","-")))</f>
        <v>Weaker</v>
      </c>
      <c r="L335" s="43" t="n">
        <f aca="false">IF(ISNUMBER(I335),RANK(I335,I$331:I$340,0),"-")</f>
        <v>9</v>
      </c>
    </row>
    <row r="336" customFormat="false" ht="15" hidden="false" customHeight="false" outlineLevel="0" collapsed="false">
      <c r="A336" s="16" t="s">
        <v>62</v>
      </c>
      <c r="B336" s="36" t="n">
        <f aca="false">Patel!D114</f>
        <v>1.27104959630911</v>
      </c>
      <c r="C336" s="36" t="n">
        <f aca="false">Patel!E114</f>
        <v>1.31620553359684</v>
      </c>
      <c r="D336" s="36" t="n">
        <f aca="false">Patel!F114</f>
        <v>1.91760299625468</v>
      </c>
      <c r="E336" s="36" t="n">
        <f aca="false">Patel!G114</f>
        <v>2.63941299790356</v>
      </c>
      <c r="F336" s="36" t="n">
        <f aca="false">Patel!H114</f>
        <v>1.13735691987513</v>
      </c>
      <c r="G336" s="36" t="n">
        <f aca="false">Patel!I114</f>
        <v>4.21851851851852</v>
      </c>
      <c r="H336" s="36" t="n">
        <f aca="false">Patel!J114</f>
        <v>10.6837606837607</v>
      </c>
      <c r="I336" s="59" t="n">
        <f aca="false">Patel!K114</f>
        <v>3.31198674945979</v>
      </c>
      <c r="J336" s="25" t="str">
        <f aca="false">IF(AND(ISNUMBER(I336),ISNUMBER(I$343)),IF(I336&gt;I$343,"Above",IF(I336&lt;I$343,"Below","At median")),"-")</f>
        <v>Above</v>
      </c>
      <c r="K336" s="25" t="str">
        <f aca="false">IF(J336="Above","Better",IF(J336="Below","Weaker",IF(J336="At median","In line","-")))</f>
        <v>Better</v>
      </c>
      <c r="L336" s="43" t="n">
        <f aca="false">IF(ISNUMBER(I336),RANK(I336,I$331:I$340,0),"-")</f>
        <v>5</v>
      </c>
    </row>
    <row r="337" customFormat="false" ht="15" hidden="false" customHeight="false" outlineLevel="0" collapsed="false">
      <c r="A337" s="16" t="s">
        <v>64</v>
      </c>
      <c r="B337" s="36" t="n">
        <f aca="false">Sical!D114</f>
        <v>0.589347391383385</v>
      </c>
      <c r="C337" s="36" t="n">
        <f aca="false">Sical!E114</f>
        <v>-6.76514117393491</v>
      </c>
      <c r="D337" s="36" t="n">
        <f aca="false">Sical!F114</f>
        <v>-4.72320675105485</v>
      </c>
      <c r="E337" s="36" t="n">
        <f aca="false">Sical!G114</f>
        <v>-32.9956521739131</v>
      </c>
      <c r="F337" s="36" t="n">
        <f aca="false">Sical!H114</f>
        <v>1.51123021949975</v>
      </c>
      <c r="G337" s="36" t="n">
        <f aca="false">Sical!I114</f>
        <v>1.27514450867052</v>
      </c>
      <c r="H337" s="36" t="n">
        <f aca="false">Sical!J114</f>
        <v>1.85405528381299</v>
      </c>
      <c r="I337" s="59" t="n">
        <f aca="false">Sical!K114</f>
        <v>-5.60774609936231</v>
      </c>
      <c r="J337" s="25" t="str">
        <f aca="false">IF(AND(ISNUMBER(I337),ISNUMBER(I$343)),IF(I337&gt;I$343,"Above",IF(I337&lt;I$343,"Below","At median")),"-")</f>
        <v>Below</v>
      </c>
      <c r="K337" s="25" t="str">
        <f aca="false">IF(J337="Above","Better",IF(J337="Below","Weaker",IF(J337="At median","In line","-")))</f>
        <v>Weaker</v>
      </c>
      <c r="L337" s="43" t="n">
        <f aca="false">IF(ISNUMBER(I337),RANK(I337,I$331:I$340,0),"-")</f>
        <v>10</v>
      </c>
    </row>
    <row r="338" customFormat="false" ht="15" hidden="false" customHeight="false" outlineLevel="0" collapsed="false">
      <c r="A338" s="16" t="s">
        <v>66</v>
      </c>
      <c r="B338" s="36" t="n">
        <f aca="false">TCI!D114</f>
        <v>2.91104122205998</v>
      </c>
      <c r="C338" s="36" t="n">
        <f aca="false">TCI!E114</f>
        <v>1.69758706309289</v>
      </c>
      <c r="D338" s="36" t="n">
        <f aca="false">TCI!F114</f>
        <v>1.83013964142549</v>
      </c>
      <c r="E338" s="36" t="n">
        <f aca="false">TCI!G114</f>
        <v>40.0866845397677</v>
      </c>
      <c r="F338" s="36" t="n">
        <f aca="false">TCI!H114</f>
        <v>37.1152976639035</v>
      </c>
      <c r="G338" s="36" t="n">
        <f aca="false">TCI!I114</f>
        <v>2.38585919889024</v>
      </c>
      <c r="H338" s="36" t="n">
        <f aca="false">TCI!J114</f>
        <v>26.6055287406757</v>
      </c>
      <c r="I338" s="59" t="n">
        <f aca="false">TCI!K114</f>
        <v>16.0903054385451</v>
      </c>
      <c r="J338" s="25" t="str">
        <f aca="false">IF(AND(ISNUMBER(I338),ISNUMBER(I$343)),IF(I338&gt;I$343,"Above",IF(I338&lt;I$343,"Below","At median")),"-")</f>
        <v>Above</v>
      </c>
      <c r="K338" s="25" t="str">
        <f aca="false">IF(J338="Above","Better",IF(J338="Below","Weaker",IF(J338="At median","In line","-")))</f>
        <v>Better</v>
      </c>
      <c r="L338" s="43" t="n">
        <f aca="false">IF(ISNUMBER(I338),RANK(I338,I$331:I$340,0),"-")</f>
        <v>1</v>
      </c>
    </row>
    <row r="339" customFormat="false" ht="15" hidden="false" customHeight="false" outlineLevel="0" collapsed="false">
      <c r="A339" s="16" t="s">
        <v>68</v>
      </c>
      <c r="B339" s="36" t="n">
        <f aca="false">Shreeji!D114</f>
        <v>2.59773371104816</v>
      </c>
      <c r="C339" s="36" t="n">
        <f aca="false">Shreeji!E114</f>
        <v>1.76484560570071</v>
      </c>
      <c r="D339" s="36" t="n">
        <f aca="false">Shreeji!F114</f>
        <v>3.74222222222222</v>
      </c>
      <c r="E339" s="36" t="n">
        <f aca="false">Shreeji!G114</f>
        <v>4.51482479784367</v>
      </c>
      <c r="F339" s="36" t="n">
        <f aca="false">Shreeji!H114</f>
        <v>5.17137096774194</v>
      </c>
      <c r="G339" s="36" t="n">
        <f aca="false">Shreeji!I114</f>
        <v>1.15982721382289</v>
      </c>
      <c r="H339" s="36" t="n">
        <f aca="false">Shreeji!J114</f>
        <v>2.06569343065693</v>
      </c>
      <c r="I339" s="59" t="n">
        <f aca="false">Shreeji!K114</f>
        <v>3.00235970700522</v>
      </c>
      <c r="J339" s="25" t="str">
        <f aca="false">IF(AND(ISNUMBER(I339),ISNUMBER(I$343)),IF(I339&gt;I$343,"Above",IF(I339&lt;I$343,"Below","At median")),"-")</f>
        <v>Below</v>
      </c>
      <c r="K339" s="25" t="str">
        <f aca="false">IF(J339="Above","Better",IF(J339="Below","Weaker",IF(J339="At median","In line","-")))</f>
        <v>Weaker</v>
      </c>
      <c r="L339" s="43" t="n">
        <f aca="false">IF(ISNUMBER(I339),RANK(I339,I$331:I$340,0),"-")</f>
        <v>6</v>
      </c>
    </row>
    <row r="340" customFormat="false" ht="15" hidden="false" customHeight="false" outlineLevel="0" collapsed="false">
      <c r="A340" s="16" t="s">
        <v>279</v>
      </c>
      <c r="B340" s="36" t="n">
        <f aca="false">MahindraLog!D114</f>
        <v>2.22903324184203</v>
      </c>
      <c r="C340" s="36" t="n">
        <f aca="false">MahindraLog!E114</f>
        <v>2.00862440707201</v>
      </c>
      <c r="D340" s="36" t="n">
        <f aca="false">MahindraLog!F114</f>
        <v>1.83431952662722</v>
      </c>
      <c r="E340" s="36" t="n">
        <f aca="false">MahindraLog!G114</f>
        <v>5.18421562924181</v>
      </c>
      <c r="F340" s="36" t="n">
        <f aca="false">MahindraLog!H114</f>
        <v>0.861686877687808</v>
      </c>
      <c r="G340" s="36" t="n">
        <f aca="false">MahindraLog!I114</f>
        <v>2.09484154522322</v>
      </c>
      <c r="H340" s="36" t="n">
        <f aca="false">MahindraLog!J114</f>
        <v>4.73447080778459</v>
      </c>
      <c r="I340" s="59" t="n">
        <f aca="false">MahindraLog!K114</f>
        <v>2.7067417193541</v>
      </c>
      <c r="J340" s="25" t="str">
        <f aca="false">IF(AND(ISNUMBER(I340),ISNUMBER(I$343)),IF(I340&gt;I$343,"Above",IF(I340&lt;I$343,"Below","At median")),"-")</f>
        <v>Below</v>
      </c>
      <c r="K340" s="25" t="str">
        <f aca="false">IF(J340="Above","Better",IF(J340="Below","Weaker",IF(J340="At median","In line","-")))</f>
        <v>Weaker</v>
      </c>
      <c r="L340" s="43" t="n">
        <f aca="false">IF(ISNUMBER(I340),RANK(I340,I$331:I$340,0),"-")</f>
        <v>7</v>
      </c>
    </row>
    <row r="341" customFormat="false" ht="15" hidden="false" customHeight="false" outlineLevel="0" collapsed="false">
      <c r="A341" s="46" t="s">
        <v>328</v>
      </c>
      <c r="B341" s="37" t="n">
        <f aca="false">Industry!D115</f>
        <v>1.25890208103314</v>
      </c>
      <c r="C341" s="37" t="n">
        <f aca="false">Industry!E115</f>
        <v>1.83359458708679</v>
      </c>
      <c r="D341" s="37" t="n">
        <f aca="false">Industry!F115</f>
        <v>3.68736052804829</v>
      </c>
      <c r="E341" s="37" t="n">
        <f aca="false">Industry!G115</f>
        <v>2.85480357017359</v>
      </c>
      <c r="F341" s="37" t="n">
        <f aca="false">Industry!H115</f>
        <v>4.47495092511381</v>
      </c>
      <c r="G341" s="37" t="n">
        <f aca="false">Industry!I115</f>
        <v>3.55525461410876</v>
      </c>
      <c r="H341" s="37" t="n">
        <f aca="false">Industry!J115</f>
        <v>3.44071251329316</v>
      </c>
      <c r="I341" s="37" t="n">
        <f aca="false">Industry!K115</f>
        <v>3.01508268840822</v>
      </c>
      <c r="J341" s="47"/>
      <c r="K341" s="47"/>
      <c r="L341" s="47"/>
    </row>
    <row r="342" customFormat="false" ht="15" hidden="false" customHeight="false" outlineLevel="0" collapsed="false">
      <c r="A342" s="52" t="s">
        <v>329</v>
      </c>
      <c r="B342" s="60" t="n">
        <f aca="false">IF(COUNT(B331:B340)=0,"N/M",AVERAGE(B331:B340))</f>
        <v>1.69068962326851</v>
      </c>
      <c r="C342" s="60" t="n">
        <f aca="false">IF(COUNT(C331:C340)=0,"N/M",AVERAGE(C331:C340))</f>
        <v>0.880676161687761</v>
      </c>
      <c r="D342" s="60" t="n">
        <f aca="false">IF(COUNT(D331:D340)=0,"N/M",AVERAGE(D331:D340))</f>
        <v>7.1967883753597</v>
      </c>
      <c r="E342" s="60" t="n">
        <f aca="false">IF(COUNT(E331:E340)=0,"N/M",AVERAGE(E331:E340))</f>
        <v>6.02257323166938</v>
      </c>
      <c r="F342" s="60" t="n">
        <f aca="false">IF(COUNT(F331:F340)=0,"N/M",AVERAGE(F331:F340))</f>
        <v>8.69462420903017</v>
      </c>
      <c r="G342" s="60" t="n">
        <f aca="false">IF(COUNT(G331:G340)=0,"N/M",AVERAGE(G331:G340))</f>
        <v>3.62812753724385</v>
      </c>
      <c r="H342" s="60" t="n">
        <f aca="false">IF(COUNT(H331:H340)=0,"N/M",AVERAGE(H331:H340))</f>
        <v>6.30409106238299</v>
      </c>
      <c r="I342" s="60" t="n">
        <f aca="false">IF(COUNT(I331:I340)=0,"N/M",AVERAGE(I331:I340))</f>
        <v>4.91679574294891</v>
      </c>
      <c r="J342" s="54"/>
      <c r="K342" s="54"/>
      <c r="L342" s="54"/>
    </row>
    <row r="343" customFormat="false" ht="15" hidden="false" customHeight="false" outlineLevel="0" collapsed="false">
      <c r="A343" s="28" t="s">
        <v>281</v>
      </c>
      <c r="B343" s="38" t="n">
        <f aca="false">IF(COUNT(B331:B340)=0,"N/M",MEDIAN(B331:B340))</f>
        <v>1.2571984727701</v>
      </c>
      <c r="C343" s="38" t="n">
        <f aca="false">IF(COUNT(C331:C340)=0,"N/M",MEDIAN(C331:C340))</f>
        <v>1.7312163343968</v>
      </c>
      <c r="D343" s="38" t="n">
        <f aca="false">IF(COUNT(D331:D340)=0,"N/M",MEDIAN(D331:D340))</f>
        <v>2.14692031000853</v>
      </c>
      <c r="E343" s="38" t="n">
        <f aca="false">IF(COUNT(E331:E340)=0,"N/M",MEDIAN(E331:E340))</f>
        <v>4.14654352486996</v>
      </c>
      <c r="F343" s="38" t="n">
        <f aca="false">IF(COUNT(F331:F340)=0,"N/M",MEDIAN(F331:F340))</f>
        <v>3.65738027796171</v>
      </c>
      <c r="G343" s="38" t="n">
        <f aca="false">IF(COUNT(G331:G340)=0,"N/M",MEDIAN(G331:G340))</f>
        <v>2.28800293830002</v>
      </c>
      <c r="H343" s="38" t="n">
        <f aca="false">IF(COUNT(H331:H340)=0,"N/M",MEDIAN(H331:H340))</f>
        <v>3.5602347175505</v>
      </c>
      <c r="I343" s="38" t="n">
        <f aca="false">IF(COUNT(I331:I340)=0,"N/M",MEDIAN(I331:I340))</f>
        <v>3.1571732282325</v>
      </c>
      <c r="J343" s="54"/>
      <c r="K343" s="54"/>
      <c r="L343" s="54"/>
    </row>
    <row r="344" customFormat="false" ht="15" hidden="false" customHeight="false" outlineLevel="0" collapsed="false">
      <c r="A344" s="52" t="s">
        <v>330</v>
      </c>
      <c r="B344" s="60" t="n">
        <f aca="false">IF(COUNT(B331:B340)&lt;2,"N/M",STDEV(B331:B340))</f>
        <v>2.32047106411287</v>
      </c>
      <c r="C344" s="60" t="n">
        <f aca="false">IF(COUNT(C331:C340)&lt;2,"N/M",STDEV(C331:C340))</f>
        <v>3.98269301838761</v>
      </c>
      <c r="D344" s="60" t="n">
        <f aca="false">IF(COUNT(D331:D340)&lt;2,"N/M",STDEV(D331:D340))</f>
        <v>10.4795577491233</v>
      </c>
      <c r="E344" s="60" t="n">
        <f aca="false">IF(COUNT(E331:E340)&lt;2,"N/M",STDEV(E331:E340))</f>
        <v>18.5388878341034</v>
      </c>
      <c r="F344" s="60" t="n">
        <f aca="false">IF(COUNT(F331:F340)&lt;2,"N/M",STDEV(F331:F340))</f>
        <v>11.752701275408</v>
      </c>
      <c r="G344" s="60" t="n">
        <f aca="false">IF(COUNT(G331:G340)&lt;2,"N/M",STDEV(G331:G340))</f>
        <v>3.06388482033685</v>
      </c>
      <c r="H344" s="60" t="n">
        <f aca="false">IF(COUNT(H331:H340)&lt;2,"N/M",STDEV(H331:H340))</f>
        <v>7.7137549582302</v>
      </c>
      <c r="I344" s="60" t="n">
        <f aca="false">IF(COUNT(I331:I340)&lt;2,"N/M",STDEV(I331:I340))</f>
        <v>6.07908459697541</v>
      </c>
      <c r="J344" s="54"/>
      <c r="K344" s="54"/>
      <c r="L344" s="54"/>
    </row>
    <row r="345" customFormat="false" ht="15" hidden="false" customHeight="false" outlineLevel="0" collapsed="false">
      <c r="A345" s="52" t="s">
        <v>269</v>
      </c>
      <c r="B345" s="60" t="n">
        <f aca="false">IF(COUNT(B331:B340)=0,"N/M",MIN(B331:B340))</f>
        <v>-1.55855855855856</v>
      </c>
      <c r="C345" s="60" t="n">
        <f aca="false">IF(COUNT(C331:C340)=0,"N/M",MIN(C331:C340))</f>
        <v>-6.76514117393491</v>
      </c>
      <c r="D345" s="60" t="n">
        <f aca="false">IF(COUNT(D331:D340)=0,"N/M",MIN(D331:D340))</f>
        <v>-4.72320675105485</v>
      </c>
      <c r="E345" s="60" t="n">
        <f aca="false">IF(COUNT(E331:E340)=0,"N/M",MIN(E331:E340))</f>
        <v>-32.9956521739131</v>
      </c>
      <c r="F345" s="60" t="n">
        <f aca="false">IF(COUNT(F331:F340)=0,"N/M",MIN(F331:F340))</f>
        <v>0.760397830018083</v>
      </c>
      <c r="G345" s="60" t="n">
        <f aca="false">IF(COUNT(G331:G340)=0,"N/M",MIN(G331:G340))</f>
        <v>1.15982721382289</v>
      </c>
      <c r="H345" s="60" t="n">
        <f aca="false">IF(COUNT(H331:H340)=0,"N/M",MIN(H331:H340))</f>
        <v>0.734584450402145</v>
      </c>
      <c r="I345" s="60" t="n">
        <f aca="false">IF(COUNT(I331:I340)=0,"N/M",MIN(I331:I340))</f>
        <v>-5.60774609936231</v>
      </c>
      <c r="J345" s="54"/>
      <c r="K345" s="54"/>
      <c r="L345" s="54"/>
    </row>
    <row r="346" customFormat="false" ht="15" hidden="false" customHeight="false" outlineLevel="0" collapsed="false">
      <c r="A346" s="52" t="s">
        <v>270</v>
      </c>
      <c r="B346" s="60" t="n">
        <f aca="false">IF(COUNT(B331:B340)=0,"N/M",MAX(B331:B340))</f>
        <v>7.08649082875887</v>
      </c>
      <c r="C346" s="60" t="n">
        <f aca="false">IF(COUNT(C331:C340)=0,"N/M",MAX(C331:C340))</f>
        <v>7.25176021583207</v>
      </c>
      <c r="D346" s="60" t="n">
        <f aca="false">IF(COUNT(D331:D340)=0,"N/M",MAX(D331:D340))</f>
        <v>26.7246976448122</v>
      </c>
      <c r="E346" s="60" t="n">
        <f aca="false">IF(COUNT(E331:E340)=0,"N/M",MAX(E331:E340))</f>
        <v>40.0866845397677</v>
      </c>
      <c r="F346" s="60" t="n">
        <f aca="false">IF(COUNT(F331:F340)=0,"N/M",MAX(F331:F340))</f>
        <v>37.1152976639035</v>
      </c>
      <c r="G346" s="60" t="n">
        <f aca="false">IF(COUNT(G331:G340)=0,"N/M",MAX(G331:G340))</f>
        <v>9.31641791044776</v>
      </c>
      <c r="H346" s="60" t="n">
        <f aca="false">IF(COUNT(H331:H340)=0,"N/M",MAX(H331:H340))</f>
        <v>26.6055287406757</v>
      </c>
      <c r="I346" s="60" t="n">
        <f aca="false">IF(COUNT(I331:I340)=0,"N/M",MAX(I331:I340))</f>
        <v>16.0903054385451</v>
      </c>
      <c r="J346" s="54"/>
      <c r="K346" s="54"/>
      <c r="L346" s="54"/>
    </row>
    <row r="348" customFormat="false" ht="16.5" hidden="false" customHeight="true" outlineLevel="0" collapsed="false">
      <c r="A348" s="49" t="s">
        <v>349</v>
      </c>
      <c r="B348" s="49"/>
      <c r="C348" s="49"/>
      <c r="D348" s="49"/>
      <c r="E348" s="49"/>
      <c r="F348" s="49"/>
      <c r="G348" s="49"/>
      <c r="H348" s="49"/>
      <c r="I348" s="49"/>
      <c r="J348" s="49"/>
      <c r="K348" s="49"/>
      <c r="L348" s="49"/>
    </row>
    <row r="349" customFormat="false" ht="15" hidden="false" customHeight="false" outlineLevel="0" collapsed="false">
      <c r="A349" s="16" t="s">
        <v>52</v>
      </c>
      <c r="B349" s="36" t="str">
        <f aca="false">Tiger!D116</f>
        <v>N/M</v>
      </c>
      <c r="C349" s="36" t="str">
        <f aca="false">Tiger!E116</f>
        <v>N/M</v>
      </c>
      <c r="D349" s="36" t="str">
        <f aca="false">Tiger!F116</f>
        <v>N/M</v>
      </c>
      <c r="E349" s="36" t="str">
        <f aca="false">Tiger!G116</f>
        <v>N/M</v>
      </c>
      <c r="F349" s="36" t="str">
        <f aca="false">Tiger!H116</f>
        <v>N/M</v>
      </c>
      <c r="G349" s="36" t="str">
        <f aca="false">Tiger!I116</f>
        <v>N/M</v>
      </c>
      <c r="H349" s="36" t="str">
        <f aca="false">Tiger!J116</f>
        <v>N/M</v>
      </c>
      <c r="I349" s="59" t="str">
        <f aca="false">Tiger!K116</f>
        <v>N/M</v>
      </c>
      <c r="J349" s="25" t="str">
        <f aca="false">IF(AND(ISNUMBER(I349),ISNUMBER(I$361)),IF(I349&gt;I$361,"Above",IF(I349&lt;I$361,"Below","At median")),"-")</f>
        <v>-</v>
      </c>
      <c r="K349" s="25" t="str">
        <f aca="false">IF(J349="Above","Better",IF(J349="Below","Weaker",IF(J349="At median","In line","-")))</f>
        <v>-</v>
      </c>
      <c r="L349" s="43" t="str">
        <f aca="false">IF(ISNUMBER(I349),RANK(I349,I$349:I$358,0),"-")</f>
        <v>-</v>
      </c>
    </row>
    <row r="350" customFormat="false" ht="15" hidden="false" customHeight="false" outlineLevel="0" collapsed="false">
      <c r="A350" s="16" t="s">
        <v>54</v>
      </c>
      <c r="B350" s="36" t="n">
        <f aca="false">Allcargo!D116</f>
        <v>695.333762886598</v>
      </c>
      <c r="C350" s="36" t="n">
        <f aca="false">Allcargo!E116</f>
        <v>823.791878172589</v>
      </c>
      <c r="D350" s="36" t="n">
        <f aca="false">Allcargo!F116</f>
        <v>1974.64060529634</v>
      </c>
      <c r="E350" s="36" t="n">
        <f aca="false">Allcargo!G116</f>
        <v>4791.86</v>
      </c>
      <c r="F350" s="36" t="n">
        <f aca="false">Allcargo!H116</f>
        <v>3312.27</v>
      </c>
      <c r="G350" s="36" t="str">
        <f aca="false">Allcargo!I116</f>
        <v>N/M</v>
      </c>
      <c r="H350" s="36" t="str">
        <f aca="false">Allcargo!J116</f>
        <v>N/M</v>
      </c>
      <c r="I350" s="59" t="n">
        <f aca="false">Allcargo!K116</f>
        <v>2319.57924927111</v>
      </c>
      <c r="J350" s="25" t="str">
        <f aca="false">IF(AND(ISNUMBER(I350),ISNUMBER(I$361)),IF(I350&gt;I$361,"Above",IF(I350&lt;I$361,"Below","At median")),"-")</f>
        <v>Above</v>
      </c>
      <c r="K350" s="25" t="str">
        <f aca="false">IF(J350="Above","Better",IF(J350="Below","Weaker",IF(J350="At median","In line","-")))</f>
        <v>Better</v>
      </c>
      <c r="L350" s="43" t="n">
        <f aca="false">IF(ISNUMBER(I350),RANK(I350,I$349:I$358,0),"-")</f>
        <v>2</v>
      </c>
    </row>
    <row r="351" customFormat="false" ht="15" hidden="false" customHeight="false" outlineLevel="0" collapsed="false">
      <c r="A351" s="16" t="s">
        <v>277</v>
      </c>
      <c r="B351" s="36" t="n">
        <f aca="false">BlueDart!D116</f>
        <v>63.8862541682105</v>
      </c>
      <c r="C351" s="36" t="n">
        <f aca="false">BlueDart!E116</f>
        <v>52.0015733165513</v>
      </c>
      <c r="D351" s="36" t="n">
        <f aca="false">BlueDart!F116</f>
        <v>67.9328379537011</v>
      </c>
      <c r="E351" s="36" t="n">
        <f aca="false">BlueDart!G116</f>
        <v>79.2414231257942</v>
      </c>
      <c r="F351" s="36" t="n">
        <f aca="false">BlueDart!H116</f>
        <v>61.6353463245225</v>
      </c>
      <c r="G351" s="36" t="n">
        <f aca="false">BlueDart!I116</f>
        <v>68.3722103628954</v>
      </c>
      <c r="H351" s="36" t="n">
        <f aca="false">BlueDart!J116</f>
        <v>66.8673578834465</v>
      </c>
      <c r="I351" s="59" t="n">
        <f aca="false">BlueDart!K116</f>
        <v>65.7052861621602</v>
      </c>
      <c r="J351" s="25" t="str">
        <f aca="false">IF(AND(ISNUMBER(I351),ISNUMBER(I$361)),IF(I351&gt;I$361,"Above",IF(I351&lt;I$361,"Below","At median")),"-")</f>
        <v>Below</v>
      </c>
      <c r="K351" s="25" t="str">
        <f aca="false">IF(J351="Above","Better",IF(J351="Below","Weaker",IF(J351="At median","In line","-")))</f>
        <v>Weaker</v>
      </c>
      <c r="L351" s="43" t="n">
        <f aca="false">IF(ISNUMBER(I351),RANK(I351,I$349:I$358,0),"-")</f>
        <v>7</v>
      </c>
    </row>
    <row r="352" customFormat="false" ht="15" hidden="false" customHeight="false" outlineLevel="0" collapsed="false">
      <c r="A352" s="16" t="s">
        <v>58</v>
      </c>
      <c r="B352" s="36" t="n">
        <f aca="false">CONCOR!D116</f>
        <v>163.304776345716</v>
      </c>
      <c r="C352" s="36" t="n">
        <f aca="false">CONCOR!E116</f>
        <v>170.613532586135</v>
      </c>
      <c r="D352" s="36" t="n">
        <f aca="false">CONCOR!F116</f>
        <v>154.841854557002</v>
      </c>
      <c r="E352" s="36" t="n">
        <f aca="false">CONCOR!G116</f>
        <v>142.461662198391</v>
      </c>
      <c r="F352" s="36" t="n">
        <f aca="false">CONCOR!H116</f>
        <v>113.293206197855</v>
      </c>
      <c r="G352" s="36" t="n">
        <f aca="false">CONCOR!I116</f>
        <v>118.566633366633</v>
      </c>
      <c r="H352" s="36" t="n">
        <f aca="false">CONCOR!J116</f>
        <v>115.080435613298</v>
      </c>
      <c r="I352" s="59" t="n">
        <f aca="false">CONCOR!K116</f>
        <v>139.737442980719</v>
      </c>
      <c r="J352" s="25" t="str">
        <f aca="false">IF(AND(ISNUMBER(I352),ISNUMBER(I$361)),IF(I352&gt;I$361,"Above",IF(I352&lt;I$361,"Below","At median")),"-")</f>
        <v>Below</v>
      </c>
      <c r="K352" s="25" t="str">
        <f aca="false">IF(J352="Above","Better",IF(J352="Below","Weaker",IF(J352="At median","In line","-")))</f>
        <v>Weaker</v>
      </c>
      <c r="L352" s="43" t="n">
        <f aca="false">IF(ISNUMBER(I352),RANK(I352,I$349:I$358,0),"-")</f>
        <v>6</v>
      </c>
    </row>
    <row r="353" customFormat="false" ht="15" hidden="false" customHeight="false" outlineLevel="0" collapsed="false">
      <c r="A353" s="16" t="s">
        <v>278</v>
      </c>
      <c r="B353" s="36" t="str">
        <f aca="false">JetFreight!D116</f>
        <v>N/M</v>
      </c>
      <c r="C353" s="36" t="str">
        <f aca="false">JetFreight!E116</f>
        <v>N/M</v>
      </c>
      <c r="D353" s="36" t="str">
        <f aca="false">JetFreight!F116</f>
        <v>N/M</v>
      </c>
      <c r="E353" s="36" t="str">
        <f aca="false">JetFreight!G116</f>
        <v>N/M</v>
      </c>
      <c r="F353" s="36" t="str">
        <f aca="false">JetFreight!H116</f>
        <v>N/M</v>
      </c>
      <c r="G353" s="36" t="str">
        <f aca="false">JetFreight!I116</f>
        <v>N/M</v>
      </c>
      <c r="H353" s="36" t="str">
        <f aca="false">JetFreight!J116</f>
        <v>N/M</v>
      </c>
      <c r="I353" s="59" t="str">
        <f aca="false">JetFreight!K116</f>
        <v>N/M</v>
      </c>
      <c r="J353" s="25" t="str">
        <f aca="false">IF(AND(ISNUMBER(I353),ISNUMBER(I$361)),IF(I353&gt;I$361,"Above",IF(I353&lt;I$361,"Below","At median")),"-")</f>
        <v>-</v>
      </c>
      <c r="K353" s="25" t="str">
        <f aca="false">IF(J353="Above","Better",IF(J353="Below","Weaker",IF(J353="At median","In line","-")))</f>
        <v>-</v>
      </c>
      <c r="L353" s="43" t="str">
        <f aca="false">IF(ISNUMBER(I353),RANK(I353,I$349:I$358,0),"-")</f>
        <v>-</v>
      </c>
    </row>
    <row r="354" customFormat="false" ht="15" hidden="false" customHeight="false" outlineLevel="0" collapsed="false">
      <c r="A354" s="16" t="s">
        <v>62</v>
      </c>
      <c r="B354" s="36" t="str">
        <f aca="false">Patel!D116</f>
        <v>N/M</v>
      </c>
      <c r="C354" s="36" t="str">
        <f aca="false">Patel!E116</f>
        <v>N/M</v>
      </c>
      <c r="D354" s="36" t="str">
        <f aca="false">Patel!F116</f>
        <v>N/M</v>
      </c>
      <c r="E354" s="36" t="str">
        <f aca="false">Patel!G116</f>
        <v>N/M</v>
      </c>
      <c r="F354" s="36" t="str">
        <f aca="false">Patel!H116</f>
        <v>N/M</v>
      </c>
      <c r="G354" s="36" t="str">
        <f aca="false">Patel!I116</f>
        <v>N/M</v>
      </c>
      <c r="H354" s="36" t="str">
        <f aca="false">Patel!J116</f>
        <v>N/M</v>
      </c>
      <c r="I354" s="59" t="str">
        <f aca="false">Patel!K116</f>
        <v>N/M</v>
      </c>
      <c r="J354" s="25" t="str">
        <f aca="false">IF(AND(ISNUMBER(I354),ISNUMBER(I$361)),IF(I354&gt;I$361,"Above",IF(I354&lt;I$361,"Below","At median")),"-")</f>
        <v>-</v>
      </c>
      <c r="K354" s="25" t="str">
        <f aca="false">IF(J354="Above","Better",IF(J354="Below","Weaker",IF(J354="At median","In line","-")))</f>
        <v>-</v>
      </c>
      <c r="L354" s="43" t="str">
        <f aca="false">IF(ISNUMBER(I354),RANK(I354,I$349:I$358,0),"-")</f>
        <v>-</v>
      </c>
    </row>
    <row r="355" customFormat="false" ht="15" hidden="false" customHeight="false" outlineLevel="0" collapsed="false">
      <c r="A355" s="16" t="s">
        <v>64</v>
      </c>
      <c r="B355" s="36" t="n">
        <f aca="false">Sical!D116</f>
        <v>51.3214505224339</v>
      </c>
      <c r="C355" s="36" t="n">
        <f aca="false">Sical!E116</f>
        <v>25.5461181154612</v>
      </c>
      <c r="D355" s="36" t="n">
        <f aca="false">Sical!F116</f>
        <v>33.062832800852</v>
      </c>
      <c r="E355" s="36" t="n">
        <f aca="false">Sical!G116</f>
        <v>172</v>
      </c>
      <c r="F355" s="36" t="n">
        <f aca="false">Sical!H116</f>
        <v>84.8930481283422</v>
      </c>
      <c r="G355" s="36" t="n">
        <f aca="false">Sical!I116</f>
        <v>83.3208556149733</v>
      </c>
      <c r="H355" s="36" t="n">
        <f aca="false">Sical!J116</f>
        <v>6415.25</v>
      </c>
      <c r="I355" s="59" t="n">
        <f aca="false">Sical!K116</f>
        <v>980.770615026009</v>
      </c>
      <c r="J355" s="25" t="str">
        <f aca="false">IF(AND(ISNUMBER(I355),ISNUMBER(I$361)),IF(I355&gt;I$361,"Above",IF(I355&lt;I$361,"Below","At median")),"-")</f>
        <v>Above</v>
      </c>
      <c r="K355" s="25" t="str">
        <f aca="false">IF(J355="Above","Better",IF(J355="Below","Weaker",IF(J355="At median","In line","-")))</f>
        <v>Better</v>
      </c>
      <c r="L355" s="43" t="n">
        <f aca="false">IF(ISNUMBER(I355),RANK(I355,I$349:I$358,0),"-")</f>
        <v>3</v>
      </c>
    </row>
    <row r="356" customFormat="false" ht="15" hidden="false" customHeight="false" outlineLevel="0" collapsed="false">
      <c r="A356" s="16" t="s">
        <v>66</v>
      </c>
      <c r="B356" s="36" t="n">
        <f aca="false">TCI!D116</f>
        <v>339.595744680851</v>
      </c>
      <c r="C356" s="36" t="n">
        <f aca="false">TCI!E116</f>
        <v>325.508426966292</v>
      </c>
      <c r="D356" s="36" t="n">
        <f aca="false">TCI!F116</f>
        <v>307.722222222222</v>
      </c>
      <c r="E356" s="36" t="n">
        <f aca="false">TCI!G116</f>
        <v>613.22</v>
      </c>
      <c r="F356" s="36" t="n">
        <f aca="false">TCI!H116</f>
        <v>311.011374407583</v>
      </c>
      <c r="G356" s="36" t="n">
        <f aca="false">TCI!I116</f>
        <v>558.943511450382</v>
      </c>
      <c r="H356" s="36" t="n">
        <f aca="false">TCI!J116</f>
        <v>269.884303112314</v>
      </c>
      <c r="I356" s="59" t="n">
        <f aca="false">TCI!K116</f>
        <v>389.412226119949</v>
      </c>
      <c r="J356" s="25" t="str">
        <f aca="false">IF(AND(ISNUMBER(I356),ISNUMBER(I$361)),IF(I356&gt;I$361,"Above",IF(I356&lt;I$361,"Below","At median")),"-")</f>
        <v>Below</v>
      </c>
      <c r="K356" s="25" t="str">
        <f aca="false">IF(J356="Above","Better",IF(J356="Below","Weaker",IF(J356="At median","In line","-")))</f>
        <v>Weaker</v>
      </c>
      <c r="L356" s="43" t="n">
        <f aca="false">IF(ISNUMBER(I356),RANK(I356,I$349:I$358,0),"-")</f>
        <v>5</v>
      </c>
    </row>
    <row r="357" customFormat="false" ht="15" hidden="false" customHeight="false" outlineLevel="0" collapsed="false">
      <c r="A357" s="16" t="s">
        <v>68</v>
      </c>
      <c r="B357" s="36" t="n">
        <f aca="false">Shreeji!D116</f>
        <v>22.1936339522546</v>
      </c>
      <c r="C357" s="36" t="n">
        <f aca="false">Shreeji!E116</f>
        <v>16.7732558139535</v>
      </c>
      <c r="D357" s="36" t="n">
        <f aca="false">Shreeji!F116</f>
        <v>21.3968531468532</v>
      </c>
      <c r="E357" s="36" t="n">
        <f aca="false">Shreeji!G116</f>
        <v>586.92</v>
      </c>
      <c r="F357" s="36" t="n">
        <f aca="false">Shreeji!H116</f>
        <v>801.692307692308</v>
      </c>
      <c r="G357" s="36" t="n">
        <f aca="false">Shreeji!I116</f>
        <v>601.161290322581</v>
      </c>
      <c r="H357" s="36" t="n">
        <f aca="false">Shreeji!J116</f>
        <v>4014.4</v>
      </c>
      <c r="I357" s="59" t="n">
        <f aca="false">Shreeji!K116</f>
        <v>866.362477275421</v>
      </c>
      <c r="J357" s="25" t="str">
        <f aca="false">IF(AND(ISNUMBER(I357),ISNUMBER(I$361)),IF(I357&gt;I$361,"Above",IF(I357&lt;I$361,"Below","At median")),"-")</f>
        <v>At median</v>
      </c>
      <c r="K357" s="25" t="str">
        <f aca="false">IF(J357="Above","Better",IF(J357="Below","Weaker",IF(J357="At median","In line","-")))</f>
        <v>In line</v>
      </c>
      <c r="L357" s="43" t="n">
        <f aca="false">IF(ISNUMBER(I357),RANK(I357,I$349:I$358,0),"-")</f>
        <v>4</v>
      </c>
    </row>
    <row r="358" customFormat="false" ht="15" hidden="false" customHeight="false" outlineLevel="0" collapsed="false">
      <c r="A358" s="16" t="s">
        <v>279</v>
      </c>
      <c r="B358" s="36" t="str">
        <f aca="false">MahindraLog!D116</f>
        <v>N/M</v>
      </c>
      <c r="C358" s="36" t="str">
        <f aca="false">MahindraLog!E116</f>
        <v>N/M</v>
      </c>
      <c r="D358" s="36" t="n">
        <f aca="false">MahindraLog!F116</f>
        <v>2490.70629370629</v>
      </c>
      <c r="E358" s="36" t="n">
        <f aca="false">MahindraLog!G116</f>
        <v>10720.2195121951</v>
      </c>
      <c r="F358" s="36" t="str">
        <f aca="false">MahindraLog!H116</f>
        <v>N/M</v>
      </c>
      <c r="G358" s="36" t="str">
        <f aca="false">MahindraLog!I116</f>
        <v>N/M</v>
      </c>
      <c r="H358" s="36" t="str">
        <f aca="false">MahindraLog!J116</f>
        <v>N/M</v>
      </c>
      <c r="I358" s="59" t="n">
        <f aca="false">MahindraLog!K116</f>
        <v>6605.46290295071</v>
      </c>
      <c r="J358" s="25" t="str">
        <f aca="false">IF(AND(ISNUMBER(I358),ISNUMBER(I$361)),IF(I358&gt;I$361,"Above",IF(I358&lt;I$361,"Below","At median")),"-")</f>
        <v>Above</v>
      </c>
      <c r="K358" s="25" t="str">
        <f aca="false">IF(J358="Above","Better",IF(J358="Below","Weaker",IF(J358="At median","In line","-")))</f>
        <v>Better</v>
      </c>
      <c r="L358" s="43" t="n">
        <f aca="false">IF(ISNUMBER(I358),RANK(I358,I$349:I$358,0),"-")</f>
        <v>1</v>
      </c>
    </row>
    <row r="359" customFormat="false" ht="15" hidden="false" customHeight="false" outlineLevel="0" collapsed="false">
      <c r="A359" s="46" t="s">
        <v>328</v>
      </c>
      <c r="B359" s="37" t="n">
        <f aca="false">Industry!D117</f>
        <v>209.623475783476</v>
      </c>
      <c r="C359" s="37" t="n">
        <f aca="false">Industry!E117</f>
        <v>216.092725905233</v>
      </c>
      <c r="D359" s="37" t="n">
        <f aca="false">Industry!F117</f>
        <v>308.906749823961</v>
      </c>
      <c r="E359" s="37" t="n">
        <f aca="false">Industry!G117</f>
        <v>364.292957100252</v>
      </c>
      <c r="F359" s="37" t="n">
        <f aca="false">Industry!H117</f>
        <v>237.594145099703</v>
      </c>
      <c r="G359" s="37" t="n">
        <f aca="false">Industry!I117</f>
        <v>193.41863838274</v>
      </c>
      <c r="H359" s="37" t="n">
        <f aca="false">Industry!J117</f>
        <v>186.716930572473</v>
      </c>
      <c r="I359" s="37" t="n">
        <f aca="false">Industry!K117</f>
        <v>245.235088952548</v>
      </c>
      <c r="J359" s="47"/>
      <c r="K359" s="47"/>
      <c r="L359" s="47"/>
    </row>
    <row r="360" customFormat="false" ht="15" hidden="false" customHeight="false" outlineLevel="0" collapsed="false">
      <c r="A360" s="52" t="s">
        <v>329</v>
      </c>
      <c r="B360" s="60" t="n">
        <f aca="false">IF(COUNT(B349:B358)=0,"N/M",AVERAGE(B349:B358))</f>
        <v>222.605937092677</v>
      </c>
      <c r="C360" s="60" t="n">
        <f aca="false">IF(COUNT(C349:C358)=0,"N/M",AVERAGE(C349:C358))</f>
        <v>235.705797495164</v>
      </c>
      <c r="D360" s="60" t="n">
        <f aca="false">IF(COUNT(D349:D358)=0,"N/M",AVERAGE(D349:D358))</f>
        <v>721.471928526181</v>
      </c>
      <c r="E360" s="60" t="n">
        <f aca="false">IF(COUNT(E349:E358)=0,"N/M",AVERAGE(E349:E358))</f>
        <v>2443.70322821704</v>
      </c>
      <c r="F360" s="60" t="n">
        <f aca="false">IF(COUNT(F349:F358)=0,"N/M",AVERAGE(F349:F358))</f>
        <v>780.799213791769</v>
      </c>
      <c r="G360" s="60" t="n">
        <f aca="false">IF(COUNT(G349:G358)=0,"N/M",AVERAGE(G349:G358))</f>
        <v>286.072900223493</v>
      </c>
      <c r="H360" s="60" t="n">
        <f aca="false">IF(COUNT(H349:H358)=0,"N/M",AVERAGE(H349:H358))</f>
        <v>2176.29641932181</v>
      </c>
      <c r="I360" s="60" t="n">
        <f aca="false">IF(COUNT(I349:I358)=0,"N/M",AVERAGE(I349:I358))</f>
        <v>1623.8614571123</v>
      </c>
      <c r="J360" s="54"/>
      <c r="K360" s="54"/>
      <c r="L360" s="54"/>
    </row>
    <row r="361" customFormat="false" ht="15" hidden="false" customHeight="false" outlineLevel="0" collapsed="false">
      <c r="A361" s="28" t="s">
        <v>281</v>
      </c>
      <c r="B361" s="38" t="n">
        <f aca="false">IF(COUNT(B349:B358)=0,"N/M",MEDIAN(B349:B358))</f>
        <v>113.595515256963</v>
      </c>
      <c r="C361" s="38" t="n">
        <f aca="false">IF(COUNT(C349:C358)=0,"N/M",MEDIAN(C349:C358))</f>
        <v>111.307552951343</v>
      </c>
      <c r="D361" s="38" t="n">
        <f aca="false">IF(COUNT(D349:D358)=0,"N/M",MEDIAN(D349:D358))</f>
        <v>154.841854557002</v>
      </c>
      <c r="E361" s="38" t="n">
        <f aca="false">IF(COUNT(E349:E358)=0,"N/M",MEDIAN(E349:E358))</f>
        <v>586.92</v>
      </c>
      <c r="F361" s="38" t="n">
        <f aca="false">IF(COUNT(F349:F358)=0,"N/M",MEDIAN(F349:F358))</f>
        <v>212.152290302719</v>
      </c>
      <c r="G361" s="38" t="n">
        <f aca="false">IF(COUNT(G349:G358)=0,"N/M",MEDIAN(G349:G358))</f>
        <v>118.566633366633</v>
      </c>
      <c r="H361" s="38" t="n">
        <f aca="false">IF(COUNT(H349:H358)=0,"N/M",MEDIAN(H349:H358))</f>
        <v>269.884303112314</v>
      </c>
      <c r="I361" s="38" t="n">
        <f aca="false">IF(COUNT(I349:I358)=0,"N/M",MEDIAN(I349:I358))</f>
        <v>866.362477275421</v>
      </c>
      <c r="J361" s="54"/>
      <c r="K361" s="54"/>
      <c r="L361" s="54"/>
    </row>
    <row r="362" customFormat="false" ht="15" hidden="false" customHeight="false" outlineLevel="0" collapsed="false">
      <c r="A362" s="52" t="s">
        <v>330</v>
      </c>
      <c r="B362" s="60" t="n">
        <f aca="false">IF(COUNT(B349:B358)&lt;2,"N/M",STDEV(B349:B358))</f>
        <v>258.98658048734</v>
      </c>
      <c r="C362" s="60" t="n">
        <f aca="false">IF(COUNT(C349:C358)&lt;2,"N/M",STDEV(C349:C358))</f>
        <v>311.124587303058</v>
      </c>
      <c r="D362" s="60" t="n">
        <f aca="false">IF(COUNT(D349:D358)&lt;2,"N/M",STDEV(D349:D358))</f>
        <v>1047.53726812909</v>
      </c>
      <c r="E362" s="60" t="n">
        <f aca="false">IF(COUNT(E349:E358)&lt;2,"N/M",STDEV(E349:E358))</f>
        <v>4017.87470269203</v>
      </c>
      <c r="F362" s="60" t="n">
        <f aca="false">IF(COUNT(F349:F358)&lt;2,"N/M",STDEV(F349:F358))</f>
        <v>1270.94671852793</v>
      </c>
      <c r="G362" s="60" t="n">
        <f aca="false">IF(COUNT(G349:G358)&lt;2,"N/M",STDEV(G349:G358))</f>
        <v>269.397195346206</v>
      </c>
      <c r="H362" s="60" t="n">
        <f aca="false">IF(COUNT(H349:H358)&lt;2,"N/M",STDEV(H349:H358))</f>
        <v>2901.72628300866</v>
      </c>
      <c r="I362" s="60" t="n">
        <f aca="false">IF(COUNT(I349:I358)&lt;2,"N/M",STDEV(I349:I358))</f>
        <v>2325.29877626598</v>
      </c>
      <c r="J362" s="54"/>
      <c r="K362" s="54"/>
      <c r="L362" s="54"/>
    </row>
    <row r="363" customFormat="false" ht="15" hidden="false" customHeight="false" outlineLevel="0" collapsed="false">
      <c r="A363" s="52" t="s">
        <v>269</v>
      </c>
      <c r="B363" s="60" t="n">
        <f aca="false">IF(COUNT(B349:B358)=0,"N/M",MIN(B349:B358))</f>
        <v>22.1936339522546</v>
      </c>
      <c r="C363" s="60" t="n">
        <f aca="false">IF(COUNT(C349:C358)=0,"N/M",MIN(C349:C358))</f>
        <v>16.7732558139535</v>
      </c>
      <c r="D363" s="60" t="n">
        <f aca="false">IF(COUNT(D349:D358)=0,"N/M",MIN(D349:D358))</f>
        <v>21.3968531468532</v>
      </c>
      <c r="E363" s="60" t="n">
        <f aca="false">IF(COUNT(E349:E358)=0,"N/M",MIN(E349:E358))</f>
        <v>79.2414231257942</v>
      </c>
      <c r="F363" s="60" t="n">
        <f aca="false">IF(COUNT(F349:F358)=0,"N/M",MIN(F349:F358))</f>
        <v>61.6353463245225</v>
      </c>
      <c r="G363" s="60" t="n">
        <f aca="false">IF(COUNT(G349:G358)=0,"N/M",MIN(G349:G358))</f>
        <v>68.3722103628954</v>
      </c>
      <c r="H363" s="60" t="n">
        <f aca="false">IF(COUNT(H349:H358)=0,"N/M",MIN(H349:H358))</f>
        <v>66.8673578834465</v>
      </c>
      <c r="I363" s="60" t="n">
        <f aca="false">IF(COUNT(I349:I358)=0,"N/M",MIN(I349:I358))</f>
        <v>65.7052861621602</v>
      </c>
      <c r="J363" s="54"/>
      <c r="K363" s="54"/>
      <c r="L363" s="54"/>
    </row>
    <row r="364" customFormat="false" ht="15" hidden="false" customHeight="false" outlineLevel="0" collapsed="false">
      <c r="A364" s="52" t="s">
        <v>270</v>
      </c>
      <c r="B364" s="60" t="n">
        <f aca="false">IF(COUNT(B349:B358)=0,"N/M",MAX(B349:B358))</f>
        <v>695.333762886598</v>
      </c>
      <c r="C364" s="60" t="n">
        <f aca="false">IF(COUNT(C349:C358)=0,"N/M",MAX(C349:C358))</f>
        <v>823.791878172589</v>
      </c>
      <c r="D364" s="60" t="n">
        <f aca="false">IF(COUNT(D349:D358)=0,"N/M",MAX(D349:D358))</f>
        <v>2490.70629370629</v>
      </c>
      <c r="E364" s="60" t="n">
        <f aca="false">IF(COUNT(E349:E358)=0,"N/M",MAX(E349:E358))</f>
        <v>10720.2195121951</v>
      </c>
      <c r="F364" s="60" t="n">
        <f aca="false">IF(COUNT(F349:F358)=0,"N/M",MAX(F349:F358))</f>
        <v>3312.27</v>
      </c>
      <c r="G364" s="60" t="n">
        <f aca="false">IF(COUNT(G349:G358)=0,"N/M",MAX(G349:G358))</f>
        <v>601.161290322581</v>
      </c>
      <c r="H364" s="60" t="n">
        <f aca="false">IF(COUNT(H349:H358)=0,"N/M",MAX(H349:H358))</f>
        <v>6415.25</v>
      </c>
      <c r="I364" s="60" t="n">
        <f aca="false">IF(COUNT(I349:I358)=0,"N/M",MAX(I349:I358))</f>
        <v>6605.46290295071</v>
      </c>
      <c r="J364" s="54"/>
      <c r="K364" s="54"/>
      <c r="L364" s="54"/>
    </row>
    <row r="366" customFormat="false" ht="16.5" hidden="false" customHeight="true" outlineLevel="0" collapsed="false">
      <c r="A366" s="49" t="s">
        <v>350</v>
      </c>
      <c r="B366" s="49"/>
      <c r="C366" s="49"/>
      <c r="D366" s="49"/>
      <c r="E366" s="49"/>
      <c r="F366" s="49"/>
      <c r="G366" s="49"/>
      <c r="H366" s="49"/>
      <c r="I366" s="49"/>
      <c r="J366" s="49"/>
      <c r="K366" s="49"/>
      <c r="L366" s="49"/>
    </row>
    <row r="367" customFormat="false" ht="15" hidden="false" customHeight="false" outlineLevel="0" collapsed="false">
      <c r="A367" s="16" t="s">
        <v>52</v>
      </c>
      <c r="B367" s="39" t="n">
        <f aca="false">Tiger!D117</f>
        <v>0</v>
      </c>
      <c r="C367" s="39" t="n">
        <f aca="false">Tiger!E117</f>
        <v>0</v>
      </c>
      <c r="D367" s="39" t="n">
        <f aca="false">Tiger!F117</f>
        <v>0</v>
      </c>
      <c r="E367" s="39" t="n">
        <f aca="false">Tiger!G117</f>
        <v>0</v>
      </c>
      <c r="F367" s="39" t="n">
        <f aca="false">Tiger!H117</f>
        <v>0</v>
      </c>
      <c r="G367" s="39" t="n">
        <f aca="false">Tiger!I117</f>
        <v>0</v>
      </c>
      <c r="H367" s="39" t="n">
        <f aca="false">Tiger!J117</f>
        <v>0</v>
      </c>
      <c r="I367" s="57" t="n">
        <f aca="false">Tiger!K117</f>
        <v>0</v>
      </c>
      <c r="J367" s="25" t="str">
        <f aca="false">IF(AND(ISNUMBER(I367),ISNUMBER(I$379)),IF(I367&gt;I$379,"Above",IF(I367&lt;I$379,"Below","At median")),"-")</f>
        <v>Below</v>
      </c>
      <c r="K367" s="25" t="str">
        <f aca="false">IF(J367="Below","Better",IF(J367="Above","Weaker",IF(J367="At median","In line","-")))</f>
        <v>Better</v>
      </c>
      <c r="L367" s="43" t="n">
        <f aca="false">IF(ISNUMBER(I367),RANK(I367,I$367:I$376,1),"-")</f>
        <v>1</v>
      </c>
    </row>
    <row r="368" customFormat="false" ht="15" hidden="false" customHeight="false" outlineLevel="0" collapsed="false">
      <c r="A368" s="16" t="s">
        <v>54</v>
      </c>
      <c r="B368" s="39" t="n">
        <f aca="false">Allcargo!D117</f>
        <v>0.524927767759679</v>
      </c>
      <c r="C368" s="39" t="n">
        <f aca="false">Allcargo!E117</f>
        <v>0.44307307424501</v>
      </c>
      <c r="D368" s="39" t="n">
        <f aca="false">Allcargo!F117</f>
        <v>0.184843762971856</v>
      </c>
      <c r="E368" s="39" t="n">
        <f aca="false">Allcargo!G117</f>
        <v>0.0761708397156845</v>
      </c>
      <c r="F368" s="39" t="n">
        <f aca="false">Allcargo!H117</f>
        <v>0.110196330613144</v>
      </c>
      <c r="G368" s="39" t="n">
        <f aca="false">Allcargo!I117</f>
        <v>0</v>
      </c>
      <c r="H368" s="39" t="n">
        <f aca="false">Allcargo!J117</f>
        <v>0</v>
      </c>
      <c r="I368" s="57" t="n">
        <f aca="false">Allcargo!K117</f>
        <v>0.191315967900768</v>
      </c>
      <c r="J368" s="25" t="str">
        <f aca="false">IF(AND(ISNUMBER(I368),ISNUMBER(I$379)),IF(I368&gt;I$379,"Above",IF(I368&lt;I$379,"Below","At median")),"-")</f>
        <v>Below</v>
      </c>
      <c r="K368" s="25" t="str">
        <f aca="false">IF(J368="Below","Better",IF(J368="Above","Weaker",IF(J368="At median","In line","-")))</f>
        <v>Better</v>
      </c>
      <c r="L368" s="43" t="n">
        <f aca="false">IF(ISNUMBER(I368),RANK(I368,I$367:I$376,1),"-")</f>
        <v>5</v>
      </c>
    </row>
    <row r="369" customFormat="false" ht="15" hidden="false" customHeight="false" outlineLevel="0" collapsed="false">
      <c r="A369" s="16" t="s">
        <v>277</v>
      </c>
      <c r="B369" s="39" t="n">
        <f aca="false">BlueDart!D117</f>
        <v>5.71327908878437</v>
      </c>
      <c r="C369" s="39" t="n">
        <f aca="false">BlueDart!E117</f>
        <v>7.01901840119568</v>
      </c>
      <c r="D369" s="39" t="n">
        <f aca="false">BlueDart!F117</f>
        <v>5.37295380253011</v>
      </c>
      <c r="E369" s="39" t="n">
        <f aca="false">BlueDart!G117</f>
        <v>4.60617673941279</v>
      </c>
      <c r="F369" s="39" t="n">
        <f aca="false">BlueDart!H117</f>
        <v>5.92192665030552</v>
      </c>
      <c r="G369" s="39" t="n">
        <f aca="false">BlueDart!I117</f>
        <v>5.33842621238526</v>
      </c>
      <c r="H369" s="39" t="n">
        <f aca="false">BlueDart!J117</f>
        <v>5.45856770109289</v>
      </c>
      <c r="I369" s="57" t="n">
        <f aca="false">BlueDart!K117</f>
        <v>5.6329069422438</v>
      </c>
      <c r="J369" s="25" t="str">
        <f aca="false">IF(AND(ISNUMBER(I369),ISNUMBER(I$379)),IF(I369&gt;I$379,"Above",IF(I369&lt;I$379,"Below","At median")),"-")</f>
        <v>Above</v>
      </c>
      <c r="K369" s="25" t="str">
        <f aca="false">IF(J369="Below","Better",IF(J369="Above","Weaker",IF(J369="At median","In line","-")))</f>
        <v>Weaker</v>
      </c>
      <c r="L369" s="43" t="n">
        <f aca="false">IF(ISNUMBER(I369),RANK(I369,I$367:I$376,1),"-")</f>
        <v>8</v>
      </c>
    </row>
    <row r="370" customFormat="false" ht="15" hidden="false" customHeight="false" outlineLevel="0" collapsed="false">
      <c r="A370" s="16" t="s">
        <v>58</v>
      </c>
      <c r="B370" s="39" t="n">
        <f aca="false">CONCOR!D117</f>
        <v>2.23508465684613</v>
      </c>
      <c r="C370" s="39" t="n">
        <f aca="false">CONCOR!E117</f>
        <v>2.13933792042977</v>
      </c>
      <c r="D370" s="39" t="n">
        <f aca="false">CONCOR!F117</f>
        <v>2.35724378944087</v>
      </c>
      <c r="E370" s="39" t="n">
        <f aca="false">CONCOR!G117</f>
        <v>2.56209280705782</v>
      </c>
      <c r="F370" s="39" t="n">
        <f aca="false">CONCOR!H117</f>
        <v>3.2217289301758</v>
      </c>
      <c r="G370" s="39" t="n">
        <f aca="false">CONCOR!I117</f>
        <v>3.07843774960989</v>
      </c>
      <c r="H370" s="39" t="n">
        <f aca="false">CONCOR!J117</f>
        <v>3.1716946330174</v>
      </c>
      <c r="I370" s="57" t="n">
        <f aca="false">CONCOR!K117</f>
        <v>2.68080292665395</v>
      </c>
      <c r="J370" s="25" t="str">
        <f aca="false">IF(AND(ISNUMBER(I370),ISNUMBER(I$379)),IF(I370&gt;I$379,"Above",IF(I370&lt;I$379,"Below","At median")),"-")</f>
        <v>Above</v>
      </c>
      <c r="K370" s="25" t="str">
        <f aca="false">IF(J370="Below","Better",IF(J370="Above","Weaker",IF(J370="At median","In line","-")))</f>
        <v>Weaker</v>
      </c>
      <c r="L370" s="43" t="n">
        <f aca="false">IF(ISNUMBER(I370),RANK(I370,I$367:I$376,1),"-")</f>
        <v>7</v>
      </c>
    </row>
    <row r="371" customFormat="false" ht="15" hidden="false" customHeight="false" outlineLevel="0" collapsed="false">
      <c r="A371" s="16" t="s">
        <v>278</v>
      </c>
      <c r="B371" s="39" t="n">
        <f aca="false">JetFreight!D117</f>
        <v>0</v>
      </c>
      <c r="C371" s="39" t="n">
        <f aca="false">JetFreight!E117</f>
        <v>0</v>
      </c>
      <c r="D371" s="39" t="n">
        <f aca="false">JetFreight!F117</f>
        <v>0</v>
      </c>
      <c r="E371" s="39" t="n">
        <f aca="false">JetFreight!G117</f>
        <v>0</v>
      </c>
      <c r="F371" s="39" t="n">
        <f aca="false">JetFreight!H117</f>
        <v>0</v>
      </c>
      <c r="G371" s="39" t="n">
        <f aca="false">JetFreight!I117</f>
        <v>0</v>
      </c>
      <c r="H371" s="39" t="n">
        <f aca="false">JetFreight!J117</f>
        <v>0</v>
      </c>
      <c r="I371" s="57" t="n">
        <f aca="false">JetFreight!K117</f>
        <v>0</v>
      </c>
      <c r="J371" s="25" t="str">
        <f aca="false">IF(AND(ISNUMBER(I371),ISNUMBER(I$379)),IF(I371&gt;I$379,"Above",IF(I371&lt;I$379,"Below","At median")),"-")</f>
        <v>Below</v>
      </c>
      <c r="K371" s="25" t="str">
        <f aca="false">IF(J371="Below","Better",IF(J371="Above","Weaker",IF(J371="At median","In line","-")))</f>
        <v>Better</v>
      </c>
      <c r="L371" s="43" t="n">
        <f aca="false">IF(ISNUMBER(I371),RANK(I371,I$367:I$376,1),"-")</f>
        <v>1</v>
      </c>
    </row>
    <row r="372" customFormat="false" ht="15" hidden="false" customHeight="false" outlineLevel="0" collapsed="false">
      <c r="A372" s="16" t="s">
        <v>62</v>
      </c>
      <c r="B372" s="39" t="n">
        <f aca="false">Patel!D117</f>
        <v>0</v>
      </c>
      <c r="C372" s="39" t="n">
        <f aca="false">Patel!E117</f>
        <v>0</v>
      </c>
      <c r="D372" s="39" t="n">
        <f aca="false">Patel!F117</f>
        <v>0</v>
      </c>
      <c r="E372" s="39" t="n">
        <f aca="false">Patel!G117</f>
        <v>0</v>
      </c>
      <c r="F372" s="39" t="n">
        <f aca="false">Patel!H117</f>
        <v>0</v>
      </c>
      <c r="G372" s="39" t="n">
        <f aca="false">Patel!I117</f>
        <v>0</v>
      </c>
      <c r="H372" s="39" t="n">
        <f aca="false">Patel!J117</f>
        <v>0</v>
      </c>
      <c r="I372" s="57" t="n">
        <f aca="false">Patel!K117</f>
        <v>0</v>
      </c>
      <c r="J372" s="25" t="str">
        <f aca="false">IF(AND(ISNUMBER(I372),ISNUMBER(I$379)),IF(I372&gt;I$379,"Above",IF(I372&lt;I$379,"Below","At median")),"-")</f>
        <v>Below</v>
      </c>
      <c r="K372" s="25" t="str">
        <f aca="false">IF(J372="Below","Better",IF(J372="Above","Weaker",IF(J372="At median","In line","-")))</f>
        <v>Better</v>
      </c>
      <c r="L372" s="43" t="n">
        <f aca="false">IF(ISNUMBER(I372),RANK(I372,I$367:I$376,1),"-")</f>
        <v>1</v>
      </c>
    </row>
    <row r="373" customFormat="false" ht="15" hidden="false" customHeight="false" outlineLevel="0" collapsed="false">
      <c r="A373" s="16" t="s">
        <v>64</v>
      </c>
      <c r="B373" s="39" t="n">
        <f aca="false">Sical!D117</f>
        <v>7.11203592814371</v>
      </c>
      <c r="C373" s="39" t="n">
        <f aca="false">Sical!E117</f>
        <v>14.2878850849395</v>
      </c>
      <c r="D373" s="39" t="n">
        <f aca="false">Sical!F117</f>
        <v>11.0395864201507</v>
      </c>
      <c r="E373" s="39" t="n">
        <f aca="false">Sical!G117</f>
        <v>2.12209302325581</v>
      </c>
      <c r="F373" s="39" t="n">
        <f aca="false">Sical!H117</f>
        <v>4.29952755905512</v>
      </c>
      <c r="G373" s="39" t="n">
        <f aca="false">Sical!I117</f>
        <v>4.38065592709069</v>
      </c>
      <c r="H373" s="39" t="n">
        <f aca="false">Sical!J117</f>
        <v>0.0568956782666303</v>
      </c>
      <c r="I373" s="57" t="n">
        <f aca="false">Sical!K117</f>
        <v>6.18552566012888</v>
      </c>
      <c r="J373" s="25" t="str">
        <f aca="false">IF(AND(ISNUMBER(I373),ISNUMBER(I$379)),IF(I373&gt;I$379,"Above",IF(I373&lt;I$379,"Below","At median")),"-")</f>
        <v>Above</v>
      </c>
      <c r="K373" s="25" t="str">
        <f aca="false">IF(J373="Below","Better",IF(J373="Above","Weaker",IF(J373="At median","In line","-")))</f>
        <v>Weaker</v>
      </c>
      <c r="L373" s="43" t="n">
        <f aca="false">IF(ISNUMBER(I373),RANK(I373,I$367:I$376,1),"-")</f>
        <v>9</v>
      </c>
    </row>
    <row r="374" customFormat="false" ht="15" hidden="false" customHeight="false" outlineLevel="0" collapsed="false">
      <c r="A374" s="16" t="s">
        <v>66</v>
      </c>
      <c r="B374" s="39" t="n">
        <f aca="false">TCI!D117</f>
        <v>1.07480734289831</v>
      </c>
      <c r="C374" s="39" t="n">
        <f aca="false">TCI!E117</f>
        <v>1.1213227362553</v>
      </c>
      <c r="D374" s="39" t="n">
        <f aca="false">TCI!F117</f>
        <v>1.18613468135042</v>
      </c>
      <c r="E374" s="39" t="n">
        <f aca="false">TCI!G117</f>
        <v>0.595218681712925</v>
      </c>
      <c r="F374" s="39" t="n">
        <f aca="false">TCI!H117</f>
        <v>1.17359051801644</v>
      </c>
      <c r="G374" s="39" t="n">
        <f aca="false">TCI!I117</f>
        <v>0.653017688769434</v>
      </c>
      <c r="H374" s="39" t="n">
        <f aca="false">TCI!J117</f>
        <v>1.35243137815282</v>
      </c>
      <c r="I374" s="57" t="n">
        <f aca="false">TCI!K117</f>
        <v>1.02236043245081</v>
      </c>
      <c r="J374" s="25" t="str">
        <f aca="false">IF(AND(ISNUMBER(I374),ISNUMBER(I$379)),IF(I374&gt;I$379,"Above",IF(I374&lt;I$379,"Below","At median")),"-")</f>
        <v>Above</v>
      </c>
      <c r="K374" s="25" t="str">
        <f aca="false">IF(J374="Below","Better",IF(J374="Above","Weaker",IF(J374="At median","In line","-")))</f>
        <v>Weaker</v>
      </c>
      <c r="L374" s="43" t="n">
        <f aca="false">IF(ISNUMBER(I374),RANK(I374,I$367:I$376,1),"-")</f>
        <v>6</v>
      </c>
    </row>
    <row r="375" customFormat="false" ht="15" hidden="false" customHeight="false" outlineLevel="0" collapsed="false">
      <c r="A375" s="16" t="s">
        <v>68</v>
      </c>
      <c r="B375" s="39" t="n">
        <f aca="false">Shreeji!D117</f>
        <v>16.4461575236046</v>
      </c>
      <c r="C375" s="39" t="n">
        <f aca="false">Shreeji!E117</f>
        <v>21.7608318890815</v>
      </c>
      <c r="D375" s="39" t="n">
        <f aca="false">Shreeji!F117</f>
        <v>17.0585832175831</v>
      </c>
      <c r="E375" s="39" t="n">
        <f aca="false">Shreeji!G117</f>
        <v>0.621890547263682</v>
      </c>
      <c r="F375" s="39" t="n">
        <f aca="false">Shreeji!H117</f>
        <v>0.455286893110727</v>
      </c>
      <c r="G375" s="39" t="n">
        <f aca="false">Shreeji!I117</f>
        <v>0.607158188452458</v>
      </c>
      <c r="H375" s="39" t="n">
        <f aca="false">Shreeji!J117</f>
        <v>0.0909226783579115</v>
      </c>
      <c r="I375" s="57" t="n">
        <f aca="false">Shreeji!K117</f>
        <v>8.148690133922</v>
      </c>
      <c r="J375" s="25" t="str">
        <f aca="false">IF(AND(ISNUMBER(I375),ISNUMBER(I$379)),IF(I375&gt;I$379,"Above",IF(I375&lt;I$379,"Below","At median")),"-")</f>
        <v>Above</v>
      </c>
      <c r="K375" s="25" t="str">
        <f aca="false">IF(J375="Below","Better",IF(J375="Above","Weaker",IF(J375="At median","In line","-")))</f>
        <v>Weaker</v>
      </c>
      <c r="L375" s="43" t="n">
        <f aca="false">IF(ISNUMBER(I375),RANK(I375,I$367:I$376,1),"-")</f>
        <v>10</v>
      </c>
    </row>
    <row r="376" customFormat="false" ht="15" hidden="false" customHeight="false" outlineLevel="0" collapsed="false">
      <c r="A376" s="16" t="s">
        <v>279</v>
      </c>
      <c r="B376" s="39" t="n">
        <f aca="false">MahindraLog!D117</f>
        <v>0</v>
      </c>
      <c r="C376" s="39" t="n">
        <f aca="false">MahindraLog!E117</f>
        <v>0</v>
      </c>
      <c r="D376" s="39" t="n">
        <f aca="false">MahindraLog!F117</f>
        <v>0.146544777648938</v>
      </c>
      <c r="E376" s="39" t="n">
        <f aca="false">MahindraLog!G117</f>
        <v>0.0340478102696295</v>
      </c>
      <c r="F376" s="39" t="n">
        <f aca="false">MahindraLog!H117</f>
        <v>0</v>
      </c>
      <c r="G376" s="39" t="n">
        <f aca="false">MahindraLog!I117</f>
        <v>0</v>
      </c>
      <c r="H376" s="39" t="n">
        <f aca="false">MahindraLog!J117</f>
        <v>0</v>
      </c>
      <c r="I376" s="57" t="n">
        <f aca="false">MahindraLog!K117</f>
        <v>0.025798941131224</v>
      </c>
      <c r="J376" s="25" t="str">
        <f aca="false">IF(AND(ISNUMBER(I376),ISNUMBER(I$379)),IF(I376&gt;I$379,"Above",IF(I376&lt;I$379,"Below","At median")),"-")</f>
        <v>Below</v>
      </c>
      <c r="K376" s="25" t="str">
        <f aca="false">IF(J376="Below","Better",IF(J376="Above","Weaker",IF(J376="At median","In line","-")))</f>
        <v>Better</v>
      </c>
      <c r="L376" s="43" t="n">
        <f aca="false">IF(ISNUMBER(I376),RANK(I376,I$367:I$376,1),"-")</f>
        <v>4</v>
      </c>
    </row>
    <row r="377" customFormat="false" ht="15" hidden="false" customHeight="false" outlineLevel="0" collapsed="false">
      <c r="A377" s="46" t="s">
        <v>328</v>
      </c>
      <c r="B377" s="40" t="n">
        <f aca="false">Industry!D118</f>
        <v>1.74121719256776</v>
      </c>
      <c r="C377" s="40" t="n">
        <f aca="false">Industry!E118</f>
        <v>1.68908971123846</v>
      </c>
      <c r="D377" s="40" t="n">
        <f aca="false">Industry!F118</f>
        <v>1.18158635318913</v>
      </c>
      <c r="E377" s="40" t="n">
        <f aca="false">Industry!G118</f>
        <v>1.00194086348903</v>
      </c>
      <c r="F377" s="40" t="n">
        <f aca="false">Industry!H118</f>
        <v>1.53623314180083</v>
      </c>
      <c r="G377" s="40" t="n">
        <f aca="false">Industry!I118</f>
        <v>1.88709838437459</v>
      </c>
      <c r="H377" s="40" t="n">
        <f aca="false">Industry!J118</f>
        <v>1.9548307637712</v>
      </c>
      <c r="I377" s="40" t="n">
        <f aca="false">Industry!K118</f>
        <v>1.57028520149014</v>
      </c>
      <c r="J377" s="47"/>
      <c r="K377" s="47"/>
      <c r="L377" s="47"/>
    </row>
    <row r="378" customFormat="false" ht="15" hidden="false" customHeight="false" outlineLevel="0" collapsed="false">
      <c r="A378" s="52" t="s">
        <v>329</v>
      </c>
      <c r="B378" s="58" t="n">
        <f aca="false">IF(COUNT(B367:B376)=0,"N/M",AVERAGE(B367:B376))</f>
        <v>3.31062923080368</v>
      </c>
      <c r="C378" s="58" t="n">
        <f aca="false">IF(COUNT(C367:C376)=0,"N/M",AVERAGE(C367:C376))</f>
        <v>4.67714691061467</v>
      </c>
      <c r="D378" s="58" t="n">
        <f aca="false">IF(COUNT(D367:D376)=0,"N/M",AVERAGE(D367:D376))</f>
        <v>3.73458904516761</v>
      </c>
      <c r="E378" s="58" t="n">
        <f aca="false">IF(COUNT(E367:E376)=0,"N/M",AVERAGE(E367:E376))</f>
        <v>1.06176904486884</v>
      </c>
      <c r="F378" s="58" t="n">
        <f aca="false">IF(COUNT(F367:F376)=0,"N/M",AVERAGE(F367:F376))</f>
        <v>1.51822568812767</v>
      </c>
      <c r="G378" s="58" t="n">
        <f aca="false">IF(COUNT(G367:G376)=0,"N/M",AVERAGE(G367:G376))</f>
        <v>1.40576957663077</v>
      </c>
      <c r="H378" s="58" t="n">
        <f aca="false">IF(COUNT(H367:H376)=0,"N/M",AVERAGE(H367:H376))</f>
        <v>1.01305120688876</v>
      </c>
      <c r="I378" s="58" t="n">
        <f aca="false">IF(COUNT(I367:I376)=0,"N/M",AVERAGE(I367:I376))</f>
        <v>2.38874010044314</v>
      </c>
      <c r="J378" s="54"/>
      <c r="K378" s="54"/>
      <c r="L378" s="54"/>
    </row>
    <row r="379" customFormat="false" ht="15" hidden="false" customHeight="false" outlineLevel="0" collapsed="false">
      <c r="A379" s="28" t="s">
        <v>281</v>
      </c>
      <c r="B379" s="41" t="n">
        <f aca="false">IF(COUNT(B367:B376)=0,"N/M",MEDIAN(B367:B376))</f>
        <v>0.799867555328997</v>
      </c>
      <c r="C379" s="41" t="n">
        <f aca="false">IF(COUNT(C367:C376)=0,"N/M",MEDIAN(C367:C376))</f>
        <v>0.782197905250153</v>
      </c>
      <c r="D379" s="41" t="n">
        <f aca="false">IF(COUNT(D367:D376)=0,"N/M",MEDIAN(D367:D376))</f>
        <v>0.68548922216114</v>
      </c>
      <c r="E379" s="41" t="n">
        <f aca="false">IF(COUNT(E367:E376)=0,"N/M",MEDIAN(E367:E376))</f>
        <v>0.335694760714305</v>
      </c>
      <c r="F379" s="41" t="n">
        <f aca="false">IF(COUNT(F367:F376)=0,"N/M",MEDIAN(F367:F376))</f>
        <v>0.282741611861936</v>
      </c>
      <c r="G379" s="41" t="n">
        <f aca="false">IF(COUNT(G367:G376)=0,"N/M",MEDIAN(G367:G376))</f>
        <v>0.303579094226229</v>
      </c>
      <c r="H379" s="41" t="n">
        <f aca="false">IF(COUNT(H367:H376)=0,"N/M",MEDIAN(H367:H376))</f>
        <v>0.0284478391333152</v>
      </c>
      <c r="I379" s="41" t="n">
        <f aca="false">IF(COUNT(I367:I376)=0,"N/M",MEDIAN(I367:I376))</f>
        <v>0.606838200175788</v>
      </c>
      <c r="J379" s="54"/>
      <c r="K379" s="54"/>
      <c r="L379" s="54"/>
    </row>
    <row r="380" customFormat="false" ht="15" hidden="false" customHeight="false" outlineLevel="0" collapsed="false">
      <c r="A380" s="52" t="s">
        <v>330</v>
      </c>
      <c r="B380" s="58" t="n">
        <f aca="false">IF(COUNT(B367:B376)&lt;2,"N/M",STDEV(B367:B376))</f>
        <v>5.27596662708708</v>
      </c>
      <c r="C380" s="58" t="n">
        <f aca="false">IF(COUNT(C367:C376)&lt;2,"N/M",STDEV(C367:C376))</f>
        <v>7.55878809328477</v>
      </c>
      <c r="D380" s="58" t="n">
        <f aca="false">IF(COUNT(D367:D376)&lt;2,"N/M",STDEV(D367:D376))</f>
        <v>5.86215702881319</v>
      </c>
      <c r="E380" s="58" t="n">
        <f aca="false">IF(COUNT(E367:E376)&lt;2,"N/M",STDEV(E367:E376))</f>
        <v>1.55488198343376</v>
      </c>
      <c r="F380" s="58" t="n">
        <f aca="false">IF(COUNT(F367:F376)&lt;2,"N/M",STDEV(F367:F376))</f>
        <v>2.17259040143314</v>
      </c>
      <c r="G380" s="58" t="n">
        <f aca="false">IF(COUNT(G367:G376)&lt;2,"N/M",STDEV(G367:G376))</f>
        <v>2.06017561000955</v>
      </c>
      <c r="H380" s="58" t="n">
        <f aca="false">IF(COUNT(H367:H376)&lt;2,"N/M",STDEV(H367:H376))</f>
        <v>1.86885156056974</v>
      </c>
      <c r="I380" s="58" t="n">
        <f aca="false">IF(COUNT(I367:I376)&lt;2,"N/M",STDEV(I367:I376))</f>
        <v>3.1198276146546</v>
      </c>
      <c r="J380" s="54"/>
      <c r="K380" s="54"/>
      <c r="L380" s="54"/>
    </row>
    <row r="381" customFormat="false" ht="15" hidden="false" customHeight="false" outlineLevel="0" collapsed="false">
      <c r="A381" s="52" t="s">
        <v>269</v>
      </c>
      <c r="B381" s="58" t="n">
        <f aca="false">IF(COUNT(B367:B376)=0,"N/M",MIN(B367:B376))</f>
        <v>0</v>
      </c>
      <c r="C381" s="58" t="n">
        <f aca="false">IF(COUNT(C367:C376)=0,"N/M",MIN(C367:C376))</f>
        <v>0</v>
      </c>
      <c r="D381" s="58" t="n">
        <f aca="false">IF(COUNT(D367:D376)=0,"N/M",MIN(D367:D376))</f>
        <v>0</v>
      </c>
      <c r="E381" s="58" t="n">
        <f aca="false">IF(COUNT(E367:E376)=0,"N/M",MIN(E367:E376))</f>
        <v>0</v>
      </c>
      <c r="F381" s="58" t="n">
        <f aca="false">IF(COUNT(F367:F376)=0,"N/M",MIN(F367:F376))</f>
        <v>0</v>
      </c>
      <c r="G381" s="58" t="n">
        <f aca="false">IF(COUNT(G367:G376)=0,"N/M",MIN(G367:G376))</f>
        <v>0</v>
      </c>
      <c r="H381" s="58" t="n">
        <f aca="false">IF(COUNT(H367:H376)=0,"N/M",MIN(H367:H376))</f>
        <v>0</v>
      </c>
      <c r="I381" s="58" t="n">
        <f aca="false">IF(COUNT(I367:I376)=0,"N/M",MIN(I367:I376))</f>
        <v>0</v>
      </c>
      <c r="J381" s="54"/>
      <c r="K381" s="54"/>
      <c r="L381" s="54"/>
    </row>
    <row r="382" customFormat="false" ht="15" hidden="false" customHeight="false" outlineLevel="0" collapsed="false">
      <c r="A382" s="52" t="s">
        <v>270</v>
      </c>
      <c r="B382" s="58" t="n">
        <f aca="false">IF(COUNT(B367:B376)=0,"N/M",MAX(B367:B376))</f>
        <v>16.4461575236046</v>
      </c>
      <c r="C382" s="58" t="n">
        <f aca="false">IF(COUNT(C367:C376)=0,"N/M",MAX(C367:C376))</f>
        <v>21.7608318890815</v>
      </c>
      <c r="D382" s="58" t="n">
        <f aca="false">IF(COUNT(D367:D376)=0,"N/M",MAX(D367:D376))</f>
        <v>17.0585832175831</v>
      </c>
      <c r="E382" s="58" t="n">
        <f aca="false">IF(COUNT(E367:E376)=0,"N/M",MAX(E367:E376))</f>
        <v>4.60617673941279</v>
      </c>
      <c r="F382" s="58" t="n">
        <f aca="false">IF(COUNT(F367:F376)=0,"N/M",MAX(F367:F376))</f>
        <v>5.92192665030552</v>
      </c>
      <c r="G382" s="58" t="n">
        <f aca="false">IF(COUNT(G367:G376)=0,"N/M",MAX(G367:G376))</f>
        <v>5.33842621238526</v>
      </c>
      <c r="H382" s="58" t="n">
        <f aca="false">IF(COUNT(H367:H376)=0,"N/M",MAX(H367:H376))</f>
        <v>5.45856770109289</v>
      </c>
      <c r="I382" s="58" t="n">
        <f aca="false">IF(COUNT(I367:I376)=0,"N/M",MAX(I367:I376))</f>
        <v>8.148690133922</v>
      </c>
      <c r="J382" s="54"/>
      <c r="K382" s="54"/>
      <c r="L382" s="54"/>
    </row>
    <row r="384" customFormat="false" ht="16.5" hidden="false" customHeight="true" outlineLevel="0" collapsed="false">
      <c r="A384" s="49" t="s">
        <v>351</v>
      </c>
      <c r="B384" s="49"/>
      <c r="C384" s="49"/>
      <c r="D384" s="49"/>
      <c r="E384" s="49"/>
      <c r="F384" s="49"/>
      <c r="G384" s="49"/>
      <c r="H384" s="49"/>
      <c r="I384" s="49"/>
      <c r="J384" s="49"/>
      <c r="K384" s="49"/>
      <c r="L384" s="49"/>
    </row>
    <row r="385" customFormat="false" ht="15" hidden="false" customHeight="false" outlineLevel="0" collapsed="false">
      <c r="A385" s="16" t="s">
        <v>52</v>
      </c>
      <c r="B385" s="36" t="n">
        <f aca="false">Tiger!D118</f>
        <v>4.6013431013431</v>
      </c>
      <c r="C385" s="36" t="n">
        <f aca="false">Tiger!E118</f>
        <v>3.88858003242993</v>
      </c>
      <c r="D385" s="36" t="n">
        <f aca="false">Tiger!F118</f>
        <v>8.95878240605884</v>
      </c>
      <c r="E385" s="36" t="n">
        <f aca="false">Tiger!G118</f>
        <v>8.79006085192698</v>
      </c>
      <c r="F385" s="36" t="n">
        <f aca="false">Tiger!H118</f>
        <v>3.44261355495057</v>
      </c>
      <c r="G385" s="36" t="n">
        <f aca="false">Tiger!I118</f>
        <v>5.2231203739774</v>
      </c>
      <c r="H385" s="36" t="n">
        <f aca="false">Tiger!J118</f>
        <v>3.55722536173384</v>
      </c>
      <c r="I385" s="59" t="n">
        <f aca="false">Tiger!K118</f>
        <v>5.49453224034581</v>
      </c>
      <c r="J385" s="25" t="str">
        <f aca="false">IF(AND(ISNUMBER(I385),ISNUMBER(I$397)),IF(I385&gt;I$397,"Above",IF(I385&lt;I$397,"Below","At median")),"-")</f>
        <v>Below</v>
      </c>
      <c r="K385" s="25" t="str">
        <f aca="false">IF(J385="Above","Better",IF(J385="Below","Weaker",IF(J385="At median","In line","-")))</f>
        <v>Weaker</v>
      </c>
      <c r="L385" s="43" t="n">
        <f aca="false">IF(ISNUMBER(I385),RANK(I385,I$385:I$394,0),"-")</f>
        <v>7</v>
      </c>
    </row>
    <row r="386" customFormat="false" ht="15" hidden="false" customHeight="false" outlineLevel="0" collapsed="false">
      <c r="A386" s="16" t="s">
        <v>54</v>
      </c>
      <c r="B386" s="36" t="n">
        <f aca="false">Allcargo!D118</f>
        <v>6.38753488857394</v>
      </c>
      <c r="C386" s="36" t="n">
        <f aca="false">Allcargo!E118</f>
        <v>4.82515971871122</v>
      </c>
      <c r="D386" s="36" t="n">
        <f aca="false">Allcargo!F118</f>
        <v>6.19650484679448</v>
      </c>
      <c r="E386" s="36" t="n">
        <f aca="false">Allcargo!G118</f>
        <v>8.85688280464169</v>
      </c>
      <c r="F386" s="36" t="n">
        <f aca="false">Allcargo!H118</f>
        <v>5.82160813043166</v>
      </c>
      <c r="G386" s="36" t="n">
        <f aca="false">Allcargo!I118</f>
        <v>5.22933333333333</v>
      </c>
      <c r="H386" s="36" t="n">
        <f aca="false">Allcargo!J118</f>
        <v>4.7972027972028</v>
      </c>
      <c r="I386" s="59" t="n">
        <f aca="false">Allcargo!K118</f>
        <v>6.0163180742413</v>
      </c>
      <c r="J386" s="25" t="str">
        <f aca="false">IF(AND(ISNUMBER(I386),ISNUMBER(I$397)),IF(I386&gt;I$397,"Above",IF(I386&lt;I$397,"Below","At median")),"-")</f>
        <v>Below</v>
      </c>
      <c r="K386" s="25" t="str">
        <f aca="false">IF(J386="Above","Better",IF(J386="Below","Weaker",IF(J386="At median","In line","-")))</f>
        <v>Weaker</v>
      </c>
      <c r="L386" s="43" t="n">
        <f aca="false">IF(ISNUMBER(I386),RANK(I386,I$385:I$394,0),"-")</f>
        <v>6</v>
      </c>
    </row>
    <row r="387" customFormat="false" ht="15" hidden="false" customHeight="false" outlineLevel="0" collapsed="false">
      <c r="A387" s="16" t="s">
        <v>277</v>
      </c>
      <c r="B387" s="36" t="n">
        <f aca="false">BlueDart!D118</f>
        <v>6.01088540976469</v>
      </c>
      <c r="C387" s="36" t="n">
        <f aca="false">BlueDart!E118</f>
        <v>6.3487218103182</v>
      </c>
      <c r="D387" s="36" t="n">
        <f aca="false">BlueDart!F118</f>
        <v>7.60416199720694</v>
      </c>
      <c r="E387" s="36" t="n">
        <f aca="false">BlueDart!G118</f>
        <v>8.12399082712908</v>
      </c>
      <c r="F387" s="36" t="n">
        <f aca="false">BlueDart!H118</f>
        <v>7.85739003326224</v>
      </c>
      <c r="G387" s="36" t="n">
        <f aca="false">BlueDart!I118</f>
        <v>7.27674948161152</v>
      </c>
      <c r="H387" s="36" t="n">
        <f aca="false">BlueDart!J118</f>
        <v>6.68759052545603</v>
      </c>
      <c r="I387" s="59" t="n">
        <f aca="false">BlueDart!K118</f>
        <v>7.1299271549641</v>
      </c>
      <c r="J387" s="25" t="str">
        <f aca="false">IF(AND(ISNUMBER(I387),ISNUMBER(I$397)),IF(I387&gt;I$397,"Above",IF(I387&lt;I$397,"Below","At median")),"-")</f>
        <v>Above</v>
      </c>
      <c r="K387" s="25" t="str">
        <f aca="false">IF(J387="Above","Better",IF(J387="Below","Weaker",IF(J387="At median","In line","-")))</f>
        <v>Better</v>
      </c>
      <c r="L387" s="43" t="n">
        <f aca="false">IF(ISNUMBER(I387),RANK(I387,I$385:I$394,0),"-")</f>
        <v>4</v>
      </c>
    </row>
    <row r="388" customFormat="false" ht="15" hidden="false" customHeight="false" outlineLevel="0" collapsed="false">
      <c r="A388" s="16" t="s">
        <v>58</v>
      </c>
      <c r="B388" s="36" t="n">
        <f aca="false">CONCOR!D118</f>
        <v>39.6663427078904</v>
      </c>
      <c r="C388" s="36" t="n">
        <f aca="false">CONCOR!E118</f>
        <v>39.9123144755636</v>
      </c>
      <c r="D388" s="36" t="n">
        <f aca="false">CONCOR!F118</f>
        <v>42.1127558881796</v>
      </c>
      <c r="E388" s="36" t="n">
        <f aca="false">CONCOR!G118</f>
        <v>37.82</v>
      </c>
      <c r="F388" s="36" t="n">
        <f aca="false">CONCOR!H118</f>
        <v>25.9371459401133</v>
      </c>
      <c r="G388" s="36" t="n">
        <f aca="false">CONCOR!I118</f>
        <v>22.2186609330467</v>
      </c>
      <c r="H388" s="36" t="n">
        <f aca="false">CONCOR!J118</f>
        <v>18.7202977442369</v>
      </c>
      <c r="I388" s="59" t="n">
        <f aca="false">CONCOR!K118</f>
        <v>32.3410739555758</v>
      </c>
      <c r="J388" s="25" t="str">
        <f aca="false">IF(AND(ISNUMBER(I388),ISNUMBER(I$397)),IF(I388&gt;I$397,"Above",IF(I388&lt;I$397,"Below","At median")),"-")</f>
        <v>Above</v>
      </c>
      <c r="K388" s="25" t="str">
        <f aca="false">IF(J388="Above","Better",IF(J388="Below","Weaker",IF(J388="At median","In line","-")))</f>
        <v>Better</v>
      </c>
      <c r="L388" s="43" t="n">
        <f aca="false">IF(ISNUMBER(I388),RANK(I388,I$385:I$394,0),"-")</f>
        <v>1</v>
      </c>
    </row>
    <row r="389" customFormat="false" ht="15" hidden="false" customHeight="false" outlineLevel="0" collapsed="false">
      <c r="A389" s="16" t="s">
        <v>278</v>
      </c>
      <c r="B389" s="36" t="n">
        <f aca="false">JetFreight!D118</f>
        <v>5.81194261341605</v>
      </c>
      <c r="C389" s="36" t="n">
        <f aca="false">JetFreight!E118</f>
        <v>8.75953523617075</v>
      </c>
      <c r="D389" s="36" t="n">
        <f aca="false">JetFreight!F118</f>
        <v>10.9011933174224</v>
      </c>
      <c r="E389" s="36" t="n">
        <f aca="false">JetFreight!G118</f>
        <v>9.26183596354746</v>
      </c>
      <c r="F389" s="36" t="n">
        <f aca="false">JetFreight!H118</f>
        <v>5.6060430822611</v>
      </c>
      <c r="G389" s="36" t="n">
        <f aca="false">JetFreight!I118</f>
        <v>5.59423446508648</v>
      </c>
      <c r="H389" s="36" t="n">
        <f aca="false">JetFreight!J118</f>
        <v>4.57295850066934</v>
      </c>
      <c r="I389" s="59" t="n">
        <f aca="false">JetFreight!K118</f>
        <v>7.21539188265337</v>
      </c>
      <c r="J389" s="25" t="str">
        <f aca="false">IF(AND(ISNUMBER(I389),ISNUMBER(I$397)),IF(I389&gt;I$397,"Above",IF(I389&lt;I$397,"Below","At median")),"-")</f>
        <v>Above</v>
      </c>
      <c r="K389" s="25" t="str">
        <f aca="false">IF(J389="Above","Better",IF(J389="Below","Weaker",IF(J389="At median","In line","-")))</f>
        <v>Better</v>
      </c>
      <c r="L389" s="43" t="n">
        <f aca="false">IF(ISNUMBER(I389),RANK(I389,I$385:I$394,0),"-")</f>
        <v>3</v>
      </c>
    </row>
    <row r="390" customFormat="false" ht="15" hidden="false" customHeight="false" outlineLevel="0" collapsed="false">
      <c r="A390" s="16" t="s">
        <v>62</v>
      </c>
      <c r="B390" s="36" t="n">
        <f aca="false">Patel!D118</f>
        <v>3.91403785488959</v>
      </c>
      <c r="C390" s="36" t="n">
        <f aca="false">Patel!E118</f>
        <v>2.95160617438465</v>
      </c>
      <c r="D390" s="36" t="n">
        <f aca="false">Patel!F118</f>
        <v>3.64190239353435</v>
      </c>
      <c r="E390" s="36" t="n">
        <f aca="false">Patel!G118</f>
        <v>3.7676685621446</v>
      </c>
      <c r="F390" s="36" t="n">
        <f aca="false">Patel!H118</f>
        <v>3.20130013221684</v>
      </c>
      <c r="G390" s="36" t="n">
        <f aca="false">Patel!I118</f>
        <v>5.07764113201956</v>
      </c>
      <c r="H390" s="36" t="n">
        <f aca="false">Patel!J118</f>
        <v>4.91386901485966</v>
      </c>
      <c r="I390" s="59" t="n">
        <f aca="false">Patel!K118</f>
        <v>3.92400360914989</v>
      </c>
      <c r="J390" s="25" t="str">
        <f aca="false">IF(AND(ISNUMBER(I390),ISNUMBER(I$397)),IF(I390&gt;I$397,"Above",IF(I390&lt;I$397,"Below","At median")),"-")</f>
        <v>Below</v>
      </c>
      <c r="K390" s="25" t="str">
        <f aca="false">IF(J390="Above","Better",IF(J390="Below","Weaker",IF(J390="At median","In line","-")))</f>
        <v>Weaker</v>
      </c>
      <c r="L390" s="43" t="n">
        <f aca="false">IF(ISNUMBER(I390),RANK(I390,I$385:I$394,0),"-")</f>
        <v>9</v>
      </c>
    </row>
    <row r="391" customFormat="false" ht="15" hidden="false" customHeight="false" outlineLevel="0" collapsed="false">
      <c r="A391" s="16" t="s">
        <v>64</v>
      </c>
      <c r="B391" s="36" t="n">
        <f aca="false">Sical!D118</f>
        <v>4.18176526836569</v>
      </c>
      <c r="C391" s="36" t="n">
        <f aca="false">Sical!E118</f>
        <v>2.36657111977821</v>
      </c>
      <c r="D391" s="36" t="n">
        <f aca="false">Sical!F118</f>
        <v>2.46116402116402</v>
      </c>
      <c r="E391" s="36" t="n">
        <f aca="false">Sical!G118</f>
        <v>7.17361873399195</v>
      </c>
      <c r="F391" s="36" t="n">
        <f aca="false">Sical!H118</f>
        <v>5.01793009532456</v>
      </c>
      <c r="G391" s="36" t="n">
        <f aca="false">Sical!I118</f>
        <v>3.07528074310273</v>
      </c>
      <c r="H391" s="36" t="n">
        <f aca="false">Sical!J118</f>
        <v>4.0195935383012</v>
      </c>
      <c r="I391" s="59" t="n">
        <f aca="false">Sical!K118</f>
        <v>4.04227478857548</v>
      </c>
      <c r="J391" s="25" t="str">
        <f aca="false">IF(AND(ISNUMBER(I391),ISNUMBER(I$397)),IF(I391&gt;I$397,"Above",IF(I391&lt;I$397,"Below","At median")),"-")</f>
        <v>Below</v>
      </c>
      <c r="K391" s="25" t="str">
        <f aca="false">IF(J391="Above","Better",IF(J391="Below","Weaker",IF(J391="At median","In line","-")))</f>
        <v>Weaker</v>
      </c>
      <c r="L391" s="43" t="n">
        <f aca="false">IF(ISNUMBER(I391),RANK(I391,I$385:I$394,0),"-")</f>
        <v>8</v>
      </c>
    </row>
    <row r="392" customFormat="false" ht="15" hidden="false" customHeight="false" outlineLevel="0" collapsed="false">
      <c r="A392" s="16" t="s">
        <v>66</v>
      </c>
      <c r="B392" s="36" t="n">
        <f aca="false">TCI!D118</f>
        <v>5.57734455161092</v>
      </c>
      <c r="C392" s="36" t="n">
        <f aca="false">TCI!E118</f>
        <v>5.48369990607389</v>
      </c>
      <c r="D392" s="36" t="n">
        <f aca="false">TCI!F118</f>
        <v>6.41182488932612</v>
      </c>
      <c r="E392" s="36" t="n">
        <f aca="false">TCI!G118</f>
        <v>6.74363088552531</v>
      </c>
      <c r="F392" s="36" t="n">
        <f aca="false">TCI!H118</f>
        <v>6.70006493182159</v>
      </c>
      <c r="G392" s="36" t="n">
        <f aca="false">TCI!I118</f>
        <v>6.22190517086144</v>
      </c>
      <c r="H392" s="36" t="n">
        <f aca="false">TCI!J118</f>
        <v>6.02279631535107</v>
      </c>
      <c r="I392" s="59" t="n">
        <f aca="false">TCI!K118</f>
        <v>6.16589523579576</v>
      </c>
      <c r="J392" s="25" t="str">
        <f aca="false">IF(AND(ISNUMBER(I392),ISNUMBER(I$397)),IF(I392&gt;I$397,"Above",IF(I392&lt;I$397,"Below","At median")),"-")</f>
        <v>Above</v>
      </c>
      <c r="K392" s="25" t="str">
        <f aca="false">IF(J392="Above","Better",IF(J392="Below","Weaker",IF(J392="At median","In line","-")))</f>
        <v>Better</v>
      </c>
      <c r="L392" s="43" t="n">
        <f aca="false">IF(ISNUMBER(I392),RANK(I392,I$385:I$394,0),"-")</f>
        <v>5</v>
      </c>
    </row>
    <row r="393" customFormat="false" ht="15" hidden="false" customHeight="false" outlineLevel="0" collapsed="false">
      <c r="A393" s="16" t="s">
        <v>68</v>
      </c>
      <c r="B393" s="36" t="n">
        <f aca="false">Shreeji!D118</f>
        <v>4.07709414381023</v>
      </c>
      <c r="C393" s="36" t="n">
        <f aca="false">Shreeji!E118</f>
        <v>2.96927297668038</v>
      </c>
      <c r="D393" s="36" t="n">
        <f aca="false">Shreeji!F118</f>
        <v>3.66636811464398</v>
      </c>
      <c r="E393" s="36" t="n">
        <f aca="false">Shreeji!G118</f>
        <v>3.36352155872271</v>
      </c>
      <c r="F393" s="36" t="n">
        <f aca="false">Shreeji!H118</f>
        <v>3.86097410604192</v>
      </c>
      <c r="G393" s="36" t="n">
        <f aca="false">Shreeji!I118</f>
        <v>3.60301096383571</v>
      </c>
      <c r="H393" s="36" t="n">
        <f aca="false">Shreeji!J118</f>
        <v>3.14905913978495</v>
      </c>
      <c r="I393" s="59" t="n">
        <f aca="false">Shreeji!K118</f>
        <v>3.52704300050284</v>
      </c>
      <c r="J393" s="25" t="str">
        <f aca="false">IF(AND(ISNUMBER(I393),ISNUMBER(I$397)),IF(I393&gt;I$397,"Above",IF(I393&lt;I$397,"Below","At median")),"-")</f>
        <v>Below</v>
      </c>
      <c r="K393" s="25" t="str">
        <f aca="false">IF(J393="Above","Better",IF(J393="Below","Weaker",IF(J393="At median","In line","-")))</f>
        <v>Weaker</v>
      </c>
      <c r="L393" s="43" t="n">
        <f aca="false">IF(ISNUMBER(I393),RANK(I393,I$385:I$394,0),"-")</f>
        <v>10</v>
      </c>
    </row>
    <row r="394" customFormat="false" ht="15" hidden="false" customHeight="false" outlineLevel="0" collapsed="false">
      <c r="A394" s="16" t="s">
        <v>279</v>
      </c>
      <c r="B394" s="36" t="n">
        <f aca="false">MahindraLog!D118</f>
        <v>6.4804809289995</v>
      </c>
      <c r="C394" s="36" t="n">
        <f aca="false">MahindraLog!E118</f>
        <v>6.72100494233937</v>
      </c>
      <c r="D394" s="36" t="n">
        <f aca="false">MahindraLog!F118</f>
        <v>8.46954387400287</v>
      </c>
      <c r="E394" s="36" t="n">
        <f aca="false">MahindraLog!G118</f>
        <v>7.85956872902267</v>
      </c>
      <c r="F394" s="36" t="n">
        <f aca="false">MahindraLog!H118</f>
        <v>7.84437954124519</v>
      </c>
      <c r="G394" s="36" t="n">
        <f aca="false">MahindraLog!I118</f>
        <v>9.76616541353383</v>
      </c>
      <c r="H394" s="36" t="n">
        <f aca="false">MahindraLog!J118</f>
        <v>10.149944169724</v>
      </c>
      <c r="I394" s="59" t="n">
        <f aca="false">MahindraLog!K118</f>
        <v>8.18444108555249</v>
      </c>
      <c r="J394" s="25" t="str">
        <f aca="false">IF(AND(ISNUMBER(I394),ISNUMBER(I$397)),IF(I394&gt;I$397,"Above",IF(I394&lt;I$397,"Below","At median")),"-")</f>
        <v>Above</v>
      </c>
      <c r="K394" s="25" t="str">
        <f aca="false">IF(J394="Above","Better",IF(J394="Below","Weaker",IF(J394="At median","In line","-")))</f>
        <v>Better</v>
      </c>
      <c r="L394" s="43" t="n">
        <f aca="false">IF(ISNUMBER(I394),RANK(I394,I$385:I$394,0),"-")</f>
        <v>2</v>
      </c>
    </row>
    <row r="395" customFormat="false" ht="15" hidden="false" customHeight="false" outlineLevel="0" collapsed="false">
      <c r="A395" s="46" t="s">
        <v>328</v>
      </c>
      <c r="B395" s="37" t="n">
        <f aca="false">Industry!D119</f>
        <v>7.57808789398817</v>
      </c>
      <c r="C395" s="37" t="n">
        <f aca="false">Industry!E119</f>
        <v>6.49042587692293</v>
      </c>
      <c r="D395" s="37" t="n">
        <f aca="false">Industry!F119</f>
        <v>7.76369444524628</v>
      </c>
      <c r="E395" s="37" t="n">
        <f aca="false">Industry!G119</f>
        <v>9.58614442023116</v>
      </c>
      <c r="F395" s="37" t="n">
        <f aca="false">Industry!H119</f>
        <v>7.75925777714845</v>
      </c>
      <c r="G395" s="37" t="n">
        <f aca="false">Industry!I119</f>
        <v>8.79219105290677</v>
      </c>
      <c r="H395" s="37" t="n">
        <f aca="false">Industry!J119</f>
        <v>8.12323179704898</v>
      </c>
      <c r="I395" s="37" t="n">
        <f aca="false">Industry!K119</f>
        <v>8.01329046621325</v>
      </c>
      <c r="J395" s="47"/>
      <c r="K395" s="47"/>
      <c r="L395" s="47"/>
    </row>
    <row r="396" customFormat="false" ht="15" hidden="false" customHeight="false" outlineLevel="0" collapsed="false">
      <c r="A396" s="52" t="s">
        <v>329</v>
      </c>
      <c r="B396" s="60" t="n">
        <f aca="false">IF(COUNT(B385:B394)=0,"N/M",AVERAGE(B385:B394))</f>
        <v>8.67087714686641</v>
      </c>
      <c r="C396" s="60" t="n">
        <f aca="false">IF(COUNT(C385:C394)=0,"N/M",AVERAGE(C385:C394))</f>
        <v>8.42264663924502</v>
      </c>
      <c r="D396" s="60" t="n">
        <f aca="false">IF(COUNT(D385:D394)=0,"N/M",AVERAGE(D385:D394))</f>
        <v>10.0424201748334</v>
      </c>
      <c r="E396" s="60" t="n">
        <f aca="false">IF(COUNT(E385:E394)=0,"N/M",AVERAGE(E385:E394))</f>
        <v>10.1760778916652</v>
      </c>
      <c r="F396" s="60" t="n">
        <f aca="false">IF(COUNT(F385:F394)=0,"N/M",AVERAGE(F385:F394))</f>
        <v>7.5289449547669</v>
      </c>
      <c r="G396" s="60" t="n">
        <f aca="false">IF(COUNT(G385:G394)=0,"N/M",AVERAGE(G385:G394))</f>
        <v>7.32861020104087</v>
      </c>
      <c r="H396" s="60" t="n">
        <f aca="false">IF(COUNT(H385:H394)=0,"N/M",AVERAGE(H385:H394))</f>
        <v>6.65905371073198</v>
      </c>
      <c r="I396" s="60" t="n">
        <f aca="false">IF(COUNT(I385:I394)=0,"N/M",AVERAGE(I385:I394))</f>
        <v>8.40409010273568</v>
      </c>
      <c r="J396" s="54"/>
      <c r="K396" s="54"/>
      <c r="L396" s="54"/>
    </row>
    <row r="397" customFormat="false" ht="15" hidden="false" customHeight="false" outlineLevel="0" collapsed="false">
      <c r="A397" s="28" t="s">
        <v>281</v>
      </c>
      <c r="B397" s="38" t="n">
        <f aca="false">IF(COUNT(B385:B394)=0,"N/M",MEDIAN(B385:B394))</f>
        <v>5.69464358251349</v>
      </c>
      <c r="C397" s="38" t="n">
        <f aca="false">IF(COUNT(C385:C394)=0,"N/M",MEDIAN(C385:C394))</f>
        <v>5.15442981239255</v>
      </c>
      <c r="D397" s="38" t="n">
        <f aca="false">IF(COUNT(D385:D394)=0,"N/M",MEDIAN(D385:D394))</f>
        <v>7.00799344326653</v>
      </c>
      <c r="E397" s="38" t="n">
        <f aca="false">IF(COUNT(E385:E394)=0,"N/M",MEDIAN(E385:E394))</f>
        <v>7.99177977807587</v>
      </c>
      <c r="F397" s="38" t="n">
        <f aca="false">IF(COUNT(F385:F394)=0,"N/M",MEDIAN(F385:F394))</f>
        <v>5.71382560634638</v>
      </c>
      <c r="G397" s="38" t="n">
        <f aca="false">IF(COUNT(G385:G394)=0,"N/M",MEDIAN(G385:G394))</f>
        <v>5.41178389920991</v>
      </c>
      <c r="H397" s="38" t="n">
        <f aca="false">IF(COUNT(H385:H394)=0,"N/M",MEDIAN(H385:H394))</f>
        <v>4.85553590603123</v>
      </c>
      <c r="I397" s="38" t="n">
        <f aca="false">IF(COUNT(I385:I394)=0,"N/M",MEDIAN(I385:I394))</f>
        <v>6.09110665501853</v>
      </c>
      <c r="J397" s="54"/>
      <c r="K397" s="54"/>
      <c r="L397" s="54"/>
    </row>
    <row r="398" customFormat="false" ht="15" hidden="false" customHeight="false" outlineLevel="0" collapsed="false">
      <c r="A398" s="52" t="s">
        <v>330</v>
      </c>
      <c r="B398" s="60" t="n">
        <f aca="false">IF(COUNT(B385:B394)&lt;2,"N/M",STDEV(B385:B394))</f>
        <v>10.9341106154828</v>
      </c>
      <c r="C398" s="60" t="n">
        <f aca="false">IF(COUNT(C385:C394)&lt;2,"N/M",STDEV(C385:C394))</f>
        <v>11.2417580764119</v>
      </c>
      <c r="D398" s="60" t="n">
        <f aca="false">IF(COUNT(D385:D394)&lt;2,"N/M",STDEV(D385:D394))</f>
        <v>11.5753840211683</v>
      </c>
      <c r="E398" s="60" t="n">
        <f aca="false">IF(COUNT(E385:E394)&lt;2,"N/M",STDEV(E385:E394))</f>
        <v>9.92491785656229</v>
      </c>
      <c r="F398" s="60" t="n">
        <f aca="false">IF(COUNT(F385:F394)&lt;2,"N/M",STDEV(F385:F394))</f>
        <v>6.67960952943113</v>
      </c>
      <c r="G398" s="60" t="n">
        <f aca="false">IF(COUNT(G385:G394)&lt;2,"N/M",STDEV(G385:G394))</f>
        <v>5.55546422352751</v>
      </c>
      <c r="H398" s="60" t="n">
        <f aca="false">IF(COUNT(H385:H394)&lt;2,"N/M",STDEV(H385:H394))</f>
        <v>4.68849258319828</v>
      </c>
      <c r="I398" s="60" t="n">
        <f aca="false">IF(COUNT(I385:I394)&lt;2,"N/M",STDEV(I385:I394))</f>
        <v>8.55130029798639</v>
      </c>
      <c r="J398" s="54"/>
      <c r="K398" s="54"/>
      <c r="L398" s="54"/>
    </row>
    <row r="399" customFormat="false" ht="15" hidden="false" customHeight="false" outlineLevel="0" collapsed="false">
      <c r="A399" s="52" t="s">
        <v>269</v>
      </c>
      <c r="B399" s="60" t="n">
        <f aca="false">IF(COUNT(B385:B394)=0,"N/M",MIN(B385:B394))</f>
        <v>3.91403785488959</v>
      </c>
      <c r="C399" s="60" t="n">
        <f aca="false">IF(COUNT(C385:C394)=0,"N/M",MIN(C385:C394))</f>
        <v>2.36657111977821</v>
      </c>
      <c r="D399" s="60" t="n">
        <f aca="false">IF(COUNT(D385:D394)=0,"N/M",MIN(D385:D394))</f>
        <v>2.46116402116402</v>
      </c>
      <c r="E399" s="60" t="n">
        <f aca="false">IF(COUNT(E385:E394)=0,"N/M",MIN(E385:E394))</f>
        <v>3.36352155872271</v>
      </c>
      <c r="F399" s="60" t="n">
        <f aca="false">IF(COUNT(F385:F394)=0,"N/M",MIN(F385:F394))</f>
        <v>3.20130013221684</v>
      </c>
      <c r="G399" s="60" t="n">
        <f aca="false">IF(COUNT(G385:G394)=0,"N/M",MIN(G385:G394))</f>
        <v>3.07528074310273</v>
      </c>
      <c r="H399" s="60" t="n">
        <f aca="false">IF(COUNT(H385:H394)=0,"N/M",MIN(H385:H394))</f>
        <v>3.14905913978495</v>
      </c>
      <c r="I399" s="60" t="n">
        <f aca="false">IF(COUNT(I385:I394)=0,"N/M",MIN(I385:I394))</f>
        <v>3.52704300050284</v>
      </c>
      <c r="J399" s="54"/>
      <c r="K399" s="54"/>
      <c r="L399" s="54"/>
    </row>
    <row r="400" customFormat="false" ht="15" hidden="false" customHeight="false" outlineLevel="0" collapsed="false">
      <c r="A400" s="52" t="s">
        <v>270</v>
      </c>
      <c r="B400" s="60" t="n">
        <f aca="false">IF(COUNT(B385:B394)=0,"N/M",MAX(B385:B394))</f>
        <v>39.6663427078904</v>
      </c>
      <c r="C400" s="60" t="n">
        <f aca="false">IF(COUNT(C385:C394)=0,"N/M",MAX(C385:C394))</f>
        <v>39.9123144755636</v>
      </c>
      <c r="D400" s="60" t="n">
        <f aca="false">IF(COUNT(D385:D394)=0,"N/M",MAX(D385:D394))</f>
        <v>42.1127558881796</v>
      </c>
      <c r="E400" s="60" t="n">
        <f aca="false">IF(COUNT(E385:E394)=0,"N/M",MAX(E385:E394))</f>
        <v>37.82</v>
      </c>
      <c r="F400" s="60" t="n">
        <f aca="false">IF(COUNT(F385:F394)=0,"N/M",MAX(F385:F394))</f>
        <v>25.9371459401133</v>
      </c>
      <c r="G400" s="60" t="n">
        <f aca="false">IF(COUNT(G385:G394)=0,"N/M",MAX(G385:G394))</f>
        <v>22.2186609330467</v>
      </c>
      <c r="H400" s="60" t="n">
        <f aca="false">IF(COUNT(H385:H394)=0,"N/M",MAX(H385:H394))</f>
        <v>18.7202977442369</v>
      </c>
      <c r="I400" s="60" t="n">
        <f aca="false">IF(COUNT(I385:I394)=0,"N/M",MAX(I385:I394))</f>
        <v>32.3410739555758</v>
      </c>
      <c r="J400" s="54"/>
      <c r="K400" s="54"/>
      <c r="L400" s="54"/>
    </row>
    <row r="402" customFormat="false" ht="16.5" hidden="false" customHeight="true" outlineLevel="0" collapsed="false">
      <c r="A402" s="49" t="s">
        <v>352</v>
      </c>
      <c r="B402" s="49"/>
      <c r="C402" s="49"/>
      <c r="D402" s="49"/>
      <c r="E402" s="49"/>
      <c r="F402" s="49"/>
      <c r="G402" s="49"/>
      <c r="H402" s="49"/>
      <c r="I402" s="49"/>
      <c r="J402" s="49"/>
      <c r="K402" s="49"/>
      <c r="L402" s="49"/>
    </row>
    <row r="403" customFormat="false" ht="15" hidden="false" customHeight="false" outlineLevel="0" collapsed="false">
      <c r="A403" s="16" t="s">
        <v>52</v>
      </c>
      <c r="B403" s="39" t="n">
        <f aca="false">Tiger!D119</f>
        <v>79.3246649860687</v>
      </c>
      <c r="C403" s="39" t="n">
        <f aca="false">Tiger!E119</f>
        <v>93.8645976052898</v>
      </c>
      <c r="D403" s="39" t="n">
        <f aca="false">Tiger!F119</f>
        <v>40.7421436816179</v>
      </c>
      <c r="E403" s="39" t="n">
        <f aca="false">Tiger!G119</f>
        <v>41.5241721472251</v>
      </c>
      <c r="F403" s="39" t="n">
        <f aca="false">Tiger!H119</f>
        <v>106.024098892866</v>
      </c>
      <c r="G403" s="39" t="n">
        <f aca="false">Tiger!I119</f>
        <v>69.8815983293245</v>
      </c>
      <c r="H403" s="39" t="n">
        <f aca="false">Tiger!J119</f>
        <v>102.608061869348</v>
      </c>
      <c r="I403" s="57" t="n">
        <f aca="false">Tiger!K119</f>
        <v>76.2813339302486</v>
      </c>
      <c r="J403" s="25" t="str">
        <f aca="false">IF(AND(ISNUMBER(I403),ISNUMBER(I$415)),IF(I403&gt;I$415,"Above",IF(I403&lt;I$415,"Below","At median")),"-")</f>
        <v>Above</v>
      </c>
      <c r="K403" s="25" t="str">
        <f aca="false">IF(J403="Below","Better",IF(J403="Above","Weaker",IF(J403="At median","In line","-")))</f>
        <v>Weaker</v>
      </c>
      <c r="L403" s="43" t="n">
        <f aca="false">IF(ISNUMBER(I403),RANK(I403,I$403:I$412,1),"-")</f>
        <v>7</v>
      </c>
    </row>
    <row r="404" customFormat="false" ht="15" hidden="false" customHeight="false" outlineLevel="0" collapsed="false">
      <c r="A404" s="16" t="s">
        <v>54</v>
      </c>
      <c r="B404" s="39" t="n">
        <f aca="false">Allcargo!D119</f>
        <v>57.1425450298384</v>
      </c>
      <c r="C404" s="39" t="n">
        <f aca="false">Allcargo!E119</f>
        <v>75.6451643630752</v>
      </c>
      <c r="D404" s="39" t="n">
        <f aca="false">Allcargo!F119</f>
        <v>58.9041740504437</v>
      </c>
      <c r="E404" s="39" t="n">
        <f aca="false">Allcargo!G119</f>
        <v>41.2108874025873</v>
      </c>
      <c r="F404" s="39" t="n">
        <f aca="false">Allcargo!H119</f>
        <v>62.6974526320335</v>
      </c>
      <c r="G404" s="39" t="n">
        <f aca="false">Allcargo!I119</f>
        <v>69.7985721570627</v>
      </c>
      <c r="H404" s="39" t="n">
        <f aca="false">Allcargo!J119</f>
        <v>76.0860058309038</v>
      </c>
      <c r="I404" s="57" t="n">
        <f aca="false">Allcargo!K119</f>
        <v>63.0692573522778</v>
      </c>
      <c r="J404" s="25" t="str">
        <f aca="false">IF(AND(ISNUMBER(I404),ISNUMBER(I$415)),IF(I404&gt;I$415,"Above",IF(I404&lt;I$415,"Below","At median")),"-")</f>
        <v>Above</v>
      </c>
      <c r="K404" s="25" t="str">
        <f aca="false">IF(J404="Below","Better",IF(J404="Above","Weaker",IF(J404="At median","In line","-")))</f>
        <v>Weaker</v>
      </c>
      <c r="L404" s="43" t="n">
        <f aca="false">IF(ISNUMBER(I404),RANK(I404,I$403:I$412,1),"-")</f>
        <v>6</v>
      </c>
    </row>
    <row r="405" customFormat="false" ht="15" hidden="false" customHeight="false" outlineLevel="0" collapsed="false">
      <c r="A405" s="16" t="s">
        <v>277</v>
      </c>
      <c r="B405" s="39" t="n">
        <f aca="false">BlueDart!D119</f>
        <v>60.7231672403965</v>
      </c>
      <c r="C405" s="39" t="n">
        <f aca="false">BlueDart!E119</f>
        <v>57.4918874862004</v>
      </c>
      <c r="D405" s="39" t="n">
        <f aca="false">BlueDart!F119</f>
        <v>48.000029475183</v>
      </c>
      <c r="E405" s="39" t="n">
        <f aca="false">BlueDart!G119</f>
        <v>44.9286573270279</v>
      </c>
      <c r="F405" s="39" t="n">
        <f aca="false">BlueDart!H119</f>
        <v>46.4530840972469</v>
      </c>
      <c r="G405" s="39" t="n">
        <f aca="false">BlueDart!I119</f>
        <v>50.1597589586342</v>
      </c>
      <c r="H405" s="39" t="n">
        <f aca="false">BlueDart!J119</f>
        <v>54.5787004468415</v>
      </c>
      <c r="I405" s="57" t="n">
        <f aca="false">BlueDart!K119</f>
        <v>51.7621835759329</v>
      </c>
      <c r="J405" s="25" t="str">
        <f aca="false">IF(AND(ISNUMBER(I405),ISNUMBER(I$415)),IF(I405&gt;I$415,"Above",IF(I405&lt;I$415,"Below","At median")),"-")</f>
        <v>Below</v>
      </c>
      <c r="K405" s="25" t="str">
        <f aca="false">IF(J405="Below","Better",IF(J405="Above","Weaker",IF(J405="At median","In line","-")))</f>
        <v>Better</v>
      </c>
      <c r="L405" s="43" t="n">
        <f aca="false">IF(ISNUMBER(I405),RANK(I405,I$403:I$412,1),"-")</f>
        <v>3</v>
      </c>
    </row>
    <row r="406" customFormat="false" ht="15" hidden="false" customHeight="false" outlineLevel="0" collapsed="false">
      <c r="A406" s="16" t="s">
        <v>58</v>
      </c>
      <c r="B406" s="39" t="n">
        <f aca="false">CONCOR!D119</f>
        <v>9.20175582326611</v>
      </c>
      <c r="C406" s="39" t="n">
        <f aca="false">CONCOR!E119</f>
        <v>9.14504720650747</v>
      </c>
      <c r="D406" s="39" t="n">
        <f aca="false">CONCOR!F119</f>
        <v>8.66720765008043</v>
      </c>
      <c r="E406" s="39" t="n">
        <f aca="false">CONCOR!G119</f>
        <v>9.65097831835008</v>
      </c>
      <c r="F406" s="39" t="n">
        <f aca="false">CONCOR!H119</f>
        <v>14.0724812530552</v>
      </c>
      <c r="G406" s="39" t="n">
        <f aca="false">CONCOR!I119</f>
        <v>16.4276326597667</v>
      </c>
      <c r="H406" s="39" t="n">
        <f aca="false">CONCOR!J119</f>
        <v>19.4975531365342</v>
      </c>
      <c r="I406" s="57" t="n">
        <f aca="false">CONCOR!K119</f>
        <v>12.3803794353657</v>
      </c>
      <c r="J406" s="25" t="str">
        <f aca="false">IF(AND(ISNUMBER(I406),ISNUMBER(I$415)),IF(I406&gt;I$415,"Above",IF(I406&lt;I$415,"Below","At median")),"-")</f>
        <v>Below</v>
      </c>
      <c r="K406" s="25" t="str">
        <f aca="false">IF(J406="Below","Better",IF(J406="Above","Weaker",IF(J406="At median","In line","-")))</f>
        <v>Better</v>
      </c>
      <c r="L406" s="43" t="n">
        <f aca="false">IF(ISNUMBER(I406),RANK(I406,I$403:I$412,1),"-")</f>
        <v>1</v>
      </c>
    </row>
    <row r="407" customFormat="false" ht="15" hidden="false" customHeight="false" outlineLevel="0" collapsed="false">
      <c r="A407" s="16" t="s">
        <v>278</v>
      </c>
      <c r="B407" s="39" t="n">
        <f aca="false">JetFreight!D119</f>
        <v>62.801721262259</v>
      </c>
      <c r="C407" s="39" t="n">
        <f aca="false">JetFreight!E119</f>
        <v>41.6688774186107</v>
      </c>
      <c r="D407" s="39" t="n">
        <f aca="false">JetFreight!F119</f>
        <v>33.4825729048078</v>
      </c>
      <c r="E407" s="39" t="n">
        <f aca="false">JetFreight!G119</f>
        <v>39.4090330941467</v>
      </c>
      <c r="F407" s="39" t="n">
        <f aca="false">JetFreight!H119</f>
        <v>65.1083116280269</v>
      </c>
      <c r="G407" s="39" t="n">
        <f aca="false">JetFreight!I119</f>
        <v>65.2457458259854</v>
      </c>
      <c r="H407" s="39" t="n">
        <f aca="false">JetFreight!J119</f>
        <v>79.817037470726</v>
      </c>
      <c r="I407" s="57" t="n">
        <f aca="false">JetFreight!K119</f>
        <v>55.3618999435089</v>
      </c>
      <c r="J407" s="25" t="str">
        <f aca="false">IF(AND(ISNUMBER(I407),ISNUMBER(I$415)),IF(I407&gt;I$415,"Above",IF(I407&lt;I$415,"Below","At median")),"-")</f>
        <v>Below</v>
      </c>
      <c r="K407" s="25" t="str">
        <f aca="false">IF(J407="Below","Better",IF(J407="Above","Weaker",IF(J407="At median","In line","-")))</f>
        <v>Better</v>
      </c>
      <c r="L407" s="43" t="n">
        <f aca="false">IF(ISNUMBER(I407),RANK(I407,I$403:I$412,1),"-")</f>
        <v>4</v>
      </c>
    </row>
    <row r="408" customFormat="false" ht="15" hidden="false" customHeight="false" outlineLevel="0" collapsed="false">
      <c r="A408" s="16" t="s">
        <v>62</v>
      </c>
      <c r="B408" s="39" t="n">
        <f aca="false">Patel!D119</f>
        <v>93.2540801934314</v>
      </c>
      <c r="C408" s="39" t="n">
        <f aca="false">Patel!E119</f>
        <v>123.66148409894</v>
      </c>
      <c r="D408" s="39" t="n">
        <f aca="false">Patel!F119</f>
        <v>100.222345510413</v>
      </c>
      <c r="E408" s="39" t="n">
        <f aca="false">Patel!G119</f>
        <v>96.876886589047</v>
      </c>
      <c r="F408" s="39" t="n">
        <f aca="false">Patel!H119</f>
        <v>114.016176217519</v>
      </c>
      <c r="G408" s="39" t="n">
        <f aca="false">Patel!I119</f>
        <v>71.8837725057632</v>
      </c>
      <c r="H408" s="39" t="n">
        <f aca="false">Patel!J119</f>
        <v>74.2795542364339</v>
      </c>
      <c r="I408" s="57" t="n">
        <f aca="false">Patel!K119</f>
        <v>96.3134713359353</v>
      </c>
      <c r="J408" s="25" t="str">
        <f aca="false">IF(AND(ISNUMBER(I408),ISNUMBER(I$415)),IF(I408&gt;I$415,"Above",IF(I408&lt;I$415,"Below","At median")),"-")</f>
        <v>Above</v>
      </c>
      <c r="K408" s="25" t="str">
        <f aca="false">IF(J408="Below","Better",IF(J408="Above","Weaker",IF(J408="At median","In line","-")))</f>
        <v>Weaker</v>
      </c>
      <c r="L408" s="43" t="n">
        <f aca="false">IF(ISNUMBER(I408),RANK(I408,I$403:I$412,1),"-")</f>
        <v>8</v>
      </c>
    </row>
    <row r="409" customFormat="false" ht="15" hidden="false" customHeight="false" outlineLevel="0" collapsed="false">
      <c r="A409" s="16" t="s">
        <v>64</v>
      </c>
      <c r="B409" s="39" t="n">
        <f aca="false">Sical!D119</f>
        <v>87.283713115406</v>
      </c>
      <c r="C409" s="39" t="n">
        <f aca="false">Sical!E119</f>
        <v>154.23157873836</v>
      </c>
      <c r="D409" s="39" t="n">
        <f aca="false">Sical!F119</f>
        <v>148.303809441912</v>
      </c>
      <c r="E409" s="39" t="n">
        <f aca="false">Sical!G119</f>
        <v>50.8808752645941</v>
      </c>
      <c r="F409" s="39" t="n">
        <f aca="false">Sical!H119</f>
        <v>72.7391559998191</v>
      </c>
      <c r="G409" s="39" t="n">
        <f aca="false">Sical!I119</f>
        <v>118.688350915156</v>
      </c>
      <c r="H409" s="39" t="n">
        <f aca="false">Sical!J119</f>
        <v>90.8052012030699</v>
      </c>
      <c r="I409" s="57" t="n">
        <f aca="false">Sical!K119</f>
        <v>103.276097811188</v>
      </c>
      <c r="J409" s="25" t="str">
        <f aca="false">IF(AND(ISNUMBER(I409),ISNUMBER(I$415)),IF(I409&gt;I$415,"Above",IF(I409&lt;I$415,"Below","At median")),"-")</f>
        <v>Above</v>
      </c>
      <c r="K409" s="25" t="str">
        <f aca="false">IF(J409="Below","Better",IF(J409="Above","Weaker",IF(J409="At median","In line","-")))</f>
        <v>Weaker</v>
      </c>
      <c r="L409" s="43" t="n">
        <f aca="false">IF(ISNUMBER(I409),RANK(I409,I$403:I$412,1),"-")</f>
        <v>9</v>
      </c>
    </row>
    <row r="410" customFormat="false" ht="15" hidden="false" customHeight="false" outlineLevel="0" collapsed="false">
      <c r="A410" s="16" t="s">
        <v>66</v>
      </c>
      <c r="B410" s="39" t="n">
        <f aca="false">TCI!D119</f>
        <v>65.4433299973508</v>
      </c>
      <c r="C410" s="39" t="n">
        <f aca="false">TCI!E119</f>
        <v>66.5608998033821</v>
      </c>
      <c r="D410" s="39" t="n">
        <f aca="false">TCI!F119</f>
        <v>56.9260711732197</v>
      </c>
      <c r="E410" s="39" t="n">
        <f aca="false">TCI!G119</f>
        <v>54.1251450733232</v>
      </c>
      <c r="F410" s="39" t="n">
        <f aca="false">TCI!H119</f>
        <v>54.4770839856272</v>
      </c>
      <c r="G410" s="39" t="n">
        <f aca="false">TCI!I119</f>
        <v>58.6637034761275</v>
      </c>
      <c r="H410" s="39" t="n">
        <f aca="false">TCI!J119</f>
        <v>60.6030788505462</v>
      </c>
      <c r="I410" s="57" t="n">
        <f aca="false">TCI!K119</f>
        <v>59.542758908511</v>
      </c>
      <c r="J410" s="25" t="str">
        <f aca="false">IF(AND(ISNUMBER(I410),ISNUMBER(I$415)),IF(I410&gt;I$415,"Above",IF(I410&lt;I$415,"Below","At median")),"-")</f>
        <v>Below</v>
      </c>
      <c r="K410" s="25" t="str">
        <f aca="false">IF(J410="Below","Better",IF(J410="Above","Weaker",IF(J410="At median","In line","-")))</f>
        <v>Better</v>
      </c>
      <c r="L410" s="43" t="n">
        <f aca="false">IF(ISNUMBER(I410),RANK(I410,I$403:I$412,1),"-")</f>
        <v>5</v>
      </c>
    </row>
    <row r="411" customFormat="false" ht="15" hidden="false" customHeight="false" outlineLevel="0" collapsed="false">
      <c r="A411" s="16" t="s">
        <v>68</v>
      </c>
      <c r="B411" s="39" t="n">
        <f aca="false">Shreeji!D119</f>
        <v>89.5245454545455</v>
      </c>
      <c r="C411" s="39" t="n">
        <f aca="false">Shreeji!E119</f>
        <v>122.925713757738</v>
      </c>
      <c r="D411" s="39" t="n">
        <f aca="false">Shreeji!F119</f>
        <v>99.55356052278</v>
      </c>
      <c r="E411" s="39" t="n">
        <f aca="false">Shreeji!G119</f>
        <v>108.517217335336</v>
      </c>
      <c r="F411" s="39" t="n">
        <f aca="false">Shreeji!H119</f>
        <v>94.5357285429142</v>
      </c>
      <c r="G411" s="39" t="n">
        <f aca="false">Shreeji!I119</f>
        <v>101.304160232537</v>
      </c>
      <c r="H411" s="39" t="n">
        <f aca="false">Shreeji!J119</f>
        <v>115.90763583593</v>
      </c>
      <c r="I411" s="57" t="n">
        <f aca="false">Shreeji!K119</f>
        <v>104.609794525969</v>
      </c>
      <c r="J411" s="25" t="str">
        <f aca="false">IF(AND(ISNUMBER(I411),ISNUMBER(I$415)),IF(I411&gt;I$415,"Above",IF(I411&lt;I$415,"Below","At median")),"-")</f>
        <v>Above</v>
      </c>
      <c r="K411" s="25" t="str">
        <f aca="false">IF(J411="Below","Better",IF(J411="Above","Weaker",IF(J411="At median","In line","-")))</f>
        <v>Weaker</v>
      </c>
      <c r="L411" s="43" t="n">
        <f aca="false">IF(ISNUMBER(I411),RANK(I411,I$403:I$412,1),"-")</f>
        <v>10</v>
      </c>
    </row>
    <row r="412" customFormat="false" ht="15" hidden="false" customHeight="false" outlineLevel="0" collapsed="false">
      <c r="A412" s="16" t="s">
        <v>279</v>
      </c>
      <c r="B412" s="39" t="n">
        <f aca="false">MahindraLog!D119</f>
        <v>56.3229803465144</v>
      </c>
      <c r="C412" s="39" t="n">
        <f aca="false">MahindraLog!E119</f>
        <v>54.3073547975929</v>
      </c>
      <c r="D412" s="39" t="n">
        <f aca="false">MahindraLog!F119</f>
        <v>43.0955911475188</v>
      </c>
      <c r="E412" s="39" t="n">
        <f aca="false">MahindraLog!G119</f>
        <v>46.4402071645714</v>
      </c>
      <c r="F412" s="39" t="n">
        <f aca="false">MahindraLog!H119</f>
        <v>46.5301300225028</v>
      </c>
      <c r="G412" s="39" t="n">
        <f aca="false">MahindraLog!I119</f>
        <v>37.3739317884364</v>
      </c>
      <c r="H412" s="39" t="n">
        <f aca="false">MahindraLog!J119</f>
        <v>35.9607889360365</v>
      </c>
      <c r="I412" s="57" t="n">
        <f aca="false">MahindraLog!K119</f>
        <v>45.7187120290248</v>
      </c>
      <c r="J412" s="25" t="str">
        <f aca="false">IF(AND(ISNUMBER(I412),ISNUMBER(I$415)),IF(I412&gt;I$415,"Above",IF(I412&lt;I$415,"Below","At median")),"-")</f>
        <v>Below</v>
      </c>
      <c r="K412" s="25" t="str">
        <f aca="false">IF(J412="Below","Better",IF(J412="Above","Weaker",IF(J412="At median","In line","-")))</f>
        <v>Better</v>
      </c>
      <c r="L412" s="43" t="n">
        <f aca="false">IF(ISNUMBER(I412),RANK(I412,I$403:I$412,1),"-")</f>
        <v>2</v>
      </c>
    </row>
    <row r="413" customFormat="false" ht="15" hidden="false" customHeight="false" outlineLevel="0" collapsed="false">
      <c r="A413" s="46" t="s">
        <v>328</v>
      </c>
      <c r="B413" s="40" t="n">
        <f aca="false">Industry!D120</f>
        <v>48.1651842926711</v>
      </c>
      <c r="C413" s="40" t="n">
        <f aca="false">Industry!E120</f>
        <v>56.236679521721</v>
      </c>
      <c r="D413" s="40" t="n">
        <f aca="false">Industry!F120</f>
        <v>47.0136998015797</v>
      </c>
      <c r="E413" s="40" t="n">
        <f aca="false">Industry!G120</f>
        <v>38.0757877202103</v>
      </c>
      <c r="F413" s="40" t="n">
        <f aca="false">Industry!H120</f>
        <v>47.0405817776734</v>
      </c>
      <c r="G413" s="40" t="n">
        <f aca="false">Industry!I120</f>
        <v>41.5141115341582</v>
      </c>
      <c r="H413" s="40" t="n">
        <f aca="false">Industry!J120</f>
        <v>44.9328554347788</v>
      </c>
      <c r="I413" s="40" t="n">
        <f aca="false">Industry!K120</f>
        <v>46.1398428689704</v>
      </c>
      <c r="J413" s="47"/>
      <c r="K413" s="47"/>
      <c r="L413" s="47"/>
    </row>
    <row r="414" customFormat="false" ht="15" hidden="false" customHeight="false" outlineLevel="0" collapsed="false">
      <c r="A414" s="52" t="s">
        <v>329</v>
      </c>
      <c r="B414" s="58" t="n">
        <f aca="false">IF(COUNT(B403:B412)=0,"N/M",AVERAGE(B403:B412))</f>
        <v>66.1022503449077</v>
      </c>
      <c r="C414" s="58" t="n">
        <f aca="false">IF(COUNT(C403:C412)=0,"N/M",AVERAGE(C403:C412))</f>
        <v>79.9502605275696</v>
      </c>
      <c r="D414" s="58" t="n">
        <f aca="false">IF(COUNT(D403:D412)=0,"N/M",AVERAGE(D403:D412))</f>
        <v>63.7897505557977</v>
      </c>
      <c r="E414" s="58" t="n">
        <f aca="false">IF(COUNT(E403:E412)=0,"N/M",AVERAGE(E403:E412))</f>
        <v>53.3564059716208</v>
      </c>
      <c r="F414" s="58" t="n">
        <f aca="false">IF(COUNT(F403:F412)=0,"N/M",AVERAGE(F403:F412))</f>
        <v>67.665370327161</v>
      </c>
      <c r="G414" s="58" t="n">
        <f aca="false">IF(COUNT(G403:G412)=0,"N/M",AVERAGE(G403:G412))</f>
        <v>65.9427226848794</v>
      </c>
      <c r="H414" s="58" t="n">
        <f aca="false">IF(COUNT(H403:H412)=0,"N/M",AVERAGE(H403:H412))</f>
        <v>71.014361781637</v>
      </c>
      <c r="I414" s="58" t="n">
        <f aca="false">IF(COUNT(I403:I412)=0,"N/M",AVERAGE(I403:I412))</f>
        <v>66.8315888847962</v>
      </c>
      <c r="J414" s="54"/>
      <c r="K414" s="54"/>
      <c r="L414" s="54"/>
    </row>
    <row r="415" customFormat="false" ht="15" hidden="false" customHeight="false" outlineLevel="0" collapsed="false">
      <c r="A415" s="28" t="s">
        <v>281</v>
      </c>
      <c r="B415" s="41" t="n">
        <f aca="false">IF(COUNT(B403:B412)=0,"N/M",MEDIAN(B403:B412))</f>
        <v>64.1225256298049</v>
      </c>
      <c r="C415" s="41" t="n">
        <f aca="false">IF(COUNT(C403:C412)=0,"N/M",MEDIAN(C403:C412))</f>
        <v>71.1030320832287</v>
      </c>
      <c r="D415" s="41" t="n">
        <f aca="false">IF(COUNT(D403:D412)=0,"N/M",MEDIAN(D403:D412))</f>
        <v>52.4630503242014</v>
      </c>
      <c r="E415" s="41" t="n">
        <f aca="false">IF(COUNT(E403:E412)=0,"N/M",MEDIAN(E403:E412))</f>
        <v>45.6844322457996</v>
      </c>
      <c r="F415" s="41" t="n">
        <f aca="false">IF(COUNT(F403:F412)=0,"N/M",MEDIAN(F403:F412))</f>
        <v>63.9028821300302</v>
      </c>
      <c r="G415" s="41" t="n">
        <f aca="false">IF(COUNT(G403:G412)=0,"N/M",MEDIAN(G403:G412))</f>
        <v>67.5221589915241</v>
      </c>
      <c r="H415" s="41" t="n">
        <f aca="false">IF(COUNT(H403:H412)=0,"N/M",MEDIAN(H403:H412))</f>
        <v>75.1827800336689</v>
      </c>
      <c r="I415" s="41" t="n">
        <f aca="false">IF(COUNT(I403:I412)=0,"N/M",MEDIAN(I403:I412))</f>
        <v>61.3060081303944</v>
      </c>
      <c r="J415" s="54"/>
      <c r="K415" s="54"/>
      <c r="L415" s="54"/>
    </row>
    <row r="416" customFormat="false" ht="15" hidden="false" customHeight="false" outlineLevel="0" collapsed="false">
      <c r="A416" s="52" t="s">
        <v>330</v>
      </c>
      <c r="B416" s="58" t="n">
        <f aca="false">IF(COUNT(B403:B412)&lt;2,"N/M",STDEV(B403:B412))</f>
        <v>24.4111798328911</v>
      </c>
      <c r="C416" s="58" t="n">
        <f aca="false">IF(COUNT(C403:C412)&lt;2,"N/M",STDEV(C403:C412))</f>
        <v>43.8526220571631</v>
      </c>
      <c r="D416" s="58" t="n">
        <f aca="false">IF(COUNT(D403:D412)&lt;2,"N/M",STDEV(D403:D412))</f>
        <v>40.8054525794866</v>
      </c>
      <c r="E416" s="58" t="n">
        <f aca="false">IF(COUNT(E403:E412)&lt;2,"N/M",STDEV(E403:E412))</f>
        <v>28.7798855372648</v>
      </c>
      <c r="F416" s="58" t="n">
        <f aca="false">IF(COUNT(F403:F412)&lt;2,"N/M",STDEV(F403:F412))</f>
        <v>30.4440390019049</v>
      </c>
      <c r="G416" s="58" t="n">
        <f aca="false">IF(COUNT(G403:G412)&lt;2,"N/M",STDEV(G403:G412))</f>
        <v>29.1903765480626</v>
      </c>
      <c r="H416" s="58" t="n">
        <f aca="false">IF(COUNT(H403:H412)&lt;2,"N/M",STDEV(H403:H412))</f>
        <v>29.4021460629604</v>
      </c>
      <c r="I416" s="58" t="n">
        <f aca="false">IF(COUNT(I403:I412)&lt;2,"N/M",STDEV(I403:I412))</f>
        <v>28.9645086039768</v>
      </c>
      <c r="J416" s="54"/>
      <c r="K416" s="54"/>
      <c r="L416" s="54"/>
    </row>
    <row r="417" customFormat="false" ht="15" hidden="false" customHeight="false" outlineLevel="0" collapsed="false">
      <c r="A417" s="52" t="s">
        <v>269</v>
      </c>
      <c r="B417" s="58" t="n">
        <f aca="false">IF(COUNT(B403:B412)=0,"N/M",MIN(B403:B412))</f>
        <v>9.20175582326611</v>
      </c>
      <c r="C417" s="58" t="n">
        <f aca="false">IF(COUNT(C403:C412)=0,"N/M",MIN(C403:C412))</f>
        <v>9.14504720650747</v>
      </c>
      <c r="D417" s="58" t="n">
        <f aca="false">IF(COUNT(D403:D412)=0,"N/M",MIN(D403:D412))</f>
        <v>8.66720765008043</v>
      </c>
      <c r="E417" s="58" t="n">
        <f aca="false">IF(COUNT(E403:E412)=0,"N/M",MIN(E403:E412))</f>
        <v>9.65097831835008</v>
      </c>
      <c r="F417" s="58" t="n">
        <f aca="false">IF(COUNT(F403:F412)=0,"N/M",MIN(F403:F412))</f>
        <v>14.0724812530552</v>
      </c>
      <c r="G417" s="58" t="n">
        <f aca="false">IF(COUNT(G403:G412)=0,"N/M",MIN(G403:G412))</f>
        <v>16.4276326597667</v>
      </c>
      <c r="H417" s="58" t="n">
        <f aca="false">IF(COUNT(H403:H412)=0,"N/M",MIN(H403:H412))</f>
        <v>19.4975531365342</v>
      </c>
      <c r="I417" s="58" t="n">
        <f aca="false">IF(COUNT(I403:I412)=0,"N/M",MIN(I403:I412))</f>
        <v>12.3803794353657</v>
      </c>
      <c r="J417" s="54"/>
      <c r="K417" s="54"/>
      <c r="L417" s="54"/>
    </row>
    <row r="418" customFormat="false" ht="15" hidden="false" customHeight="false" outlineLevel="0" collapsed="false">
      <c r="A418" s="52" t="s">
        <v>270</v>
      </c>
      <c r="B418" s="58" t="n">
        <f aca="false">IF(COUNT(B403:B412)=0,"N/M",MAX(B403:B412))</f>
        <v>93.2540801934314</v>
      </c>
      <c r="C418" s="58" t="n">
        <f aca="false">IF(COUNT(C403:C412)=0,"N/M",MAX(C403:C412))</f>
        <v>154.23157873836</v>
      </c>
      <c r="D418" s="58" t="n">
        <f aca="false">IF(COUNT(D403:D412)=0,"N/M",MAX(D403:D412))</f>
        <v>148.303809441912</v>
      </c>
      <c r="E418" s="58" t="n">
        <f aca="false">IF(COUNT(E403:E412)=0,"N/M",MAX(E403:E412))</f>
        <v>108.517217335336</v>
      </c>
      <c r="F418" s="58" t="n">
        <f aca="false">IF(COUNT(F403:F412)=0,"N/M",MAX(F403:F412))</f>
        <v>114.016176217519</v>
      </c>
      <c r="G418" s="58" t="n">
        <f aca="false">IF(COUNT(G403:G412)=0,"N/M",MAX(G403:G412))</f>
        <v>118.688350915156</v>
      </c>
      <c r="H418" s="58" t="n">
        <f aca="false">IF(COUNT(H403:H412)=0,"N/M",MAX(H403:H412))</f>
        <v>115.90763583593</v>
      </c>
      <c r="I418" s="58" t="n">
        <f aca="false">IF(COUNT(I403:I412)=0,"N/M",MAX(I403:I412))</f>
        <v>104.609794525969</v>
      </c>
      <c r="J418" s="54"/>
      <c r="K418" s="54"/>
      <c r="L418" s="54"/>
    </row>
    <row r="420" customFormat="false" ht="16.5" hidden="false" customHeight="true" outlineLevel="0" collapsed="false">
      <c r="A420" s="49" t="s">
        <v>353</v>
      </c>
      <c r="B420" s="49"/>
      <c r="C420" s="49"/>
      <c r="D420" s="49"/>
      <c r="E420" s="49"/>
      <c r="F420" s="49"/>
      <c r="G420" s="49"/>
      <c r="H420" s="49"/>
      <c r="I420" s="49"/>
      <c r="J420" s="49"/>
      <c r="K420" s="49"/>
      <c r="L420" s="49"/>
    </row>
    <row r="421" customFormat="false" ht="15" hidden="false" customHeight="false" outlineLevel="0" collapsed="false">
      <c r="A421" s="16" t="s">
        <v>52</v>
      </c>
      <c r="B421" s="36" t="n">
        <f aca="false">Tiger!D120</f>
        <v>17.7007623888183</v>
      </c>
      <c r="C421" s="36" t="n">
        <f aca="false">Tiger!E120</f>
        <v>5.76254180602007</v>
      </c>
      <c r="D421" s="36" t="n">
        <f aca="false">Tiger!F120</f>
        <v>11.9651858180265</v>
      </c>
      <c r="E421" s="36" t="n">
        <f aca="false">Tiger!G120</f>
        <v>17.6444241316271</v>
      </c>
      <c r="F421" s="36" t="n">
        <f aca="false">Tiger!H120</f>
        <v>9.93771125060357</v>
      </c>
      <c r="G421" s="36" t="n">
        <f aca="false">Tiger!I120</f>
        <v>20.8730986527597</v>
      </c>
      <c r="H421" s="36" t="n">
        <f aca="false">Tiger!J120</f>
        <v>9.91374663072777</v>
      </c>
      <c r="I421" s="59" t="n">
        <f aca="false">Tiger!K120</f>
        <v>13.399638668369</v>
      </c>
      <c r="J421" s="25" t="str">
        <f aca="false">IF(AND(ISNUMBER(I421),ISNUMBER(I$433)),IF(I421&gt;I$433,"Above",IF(I421&lt;I$433,"Below","At median")),"-")</f>
        <v>Above</v>
      </c>
      <c r="K421" s="25" t="s">
        <v>327</v>
      </c>
      <c r="L421" s="25" t="s">
        <v>327</v>
      </c>
    </row>
    <row r="422" customFormat="false" ht="15" hidden="false" customHeight="false" outlineLevel="0" collapsed="false">
      <c r="A422" s="16" t="s">
        <v>54</v>
      </c>
      <c r="B422" s="36" t="n">
        <f aca="false">Allcargo!D120</f>
        <v>3.47689284103357</v>
      </c>
      <c r="C422" s="36" t="n">
        <f aca="false">Allcargo!E120</f>
        <v>2.73730248687744</v>
      </c>
      <c r="D422" s="36" t="n">
        <f aca="false">Allcargo!F120</f>
        <v>3.7961613894054</v>
      </c>
      <c r="E422" s="36" t="n">
        <f aca="false">Allcargo!G120</f>
        <v>4.4408411154325</v>
      </c>
      <c r="F422" s="36" t="n">
        <f aca="false">Allcargo!H120</f>
        <v>3.55430641947842</v>
      </c>
      <c r="G422" s="36" t="n">
        <f aca="false">Allcargo!I120</f>
        <v>3.55527638190955</v>
      </c>
      <c r="H422" s="36" t="n">
        <f aca="false">Allcargo!J120</f>
        <v>3.21535181236674</v>
      </c>
      <c r="I422" s="59" t="n">
        <f aca="false">Allcargo!K120</f>
        <v>3.53944749235766</v>
      </c>
      <c r="J422" s="25" t="str">
        <f aca="false">IF(AND(ISNUMBER(I422),ISNUMBER(I$433)),IF(I422&gt;I$433,"Above",IF(I422&lt;I$433,"Below","At median")),"-")</f>
        <v>Below</v>
      </c>
      <c r="K422" s="25" t="s">
        <v>327</v>
      </c>
      <c r="L422" s="25" t="s">
        <v>327</v>
      </c>
    </row>
    <row r="423" customFormat="false" ht="15" hidden="false" customHeight="false" outlineLevel="0" collapsed="false">
      <c r="A423" s="16" t="s">
        <v>277</v>
      </c>
      <c r="B423" s="36" t="n">
        <f aca="false">BlueDart!D120</f>
        <v>1.06440282476111</v>
      </c>
      <c r="C423" s="36" t="n">
        <f aca="false">BlueDart!E120</f>
        <v>2.10975080426901</v>
      </c>
      <c r="D423" s="36" t="n">
        <f aca="false">BlueDart!F120</f>
        <v>2.66826442755632</v>
      </c>
      <c r="E423" s="36" t="n">
        <f aca="false">BlueDart!G120</f>
        <v>3.37703337882037</v>
      </c>
      <c r="F423" s="36" t="n">
        <f aca="false">BlueDart!H120</f>
        <v>3.12983501195282</v>
      </c>
      <c r="G423" s="36" t="n">
        <f aca="false">BlueDart!I120</f>
        <v>3.21247709098867</v>
      </c>
      <c r="H423" s="36" t="n">
        <f aca="false">BlueDart!J120</f>
        <v>3.09618249842731</v>
      </c>
      <c r="I423" s="59" t="n">
        <f aca="false">BlueDart!K120</f>
        <v>2.66542086239651</v>
      </c>
      <c r="J423" s="25" t="str">
        <f aca="false">IF(AND(ISNUMBER(I423),ISNUMBER(I$433)),IF(I423&gt;I$433,"Above",IF(I423&lt;I$433,"Below","At median")),"-")</f>
        <v>Below</v>
      </c>
      <c r="K423" s="25" t="s">
        <v>327</v>
      </c>
      <c r="L423" s="25" t="s">
        <v>327</v>
      </c>
    </row>
    <row r="424" customFormat="false" ht="15" hidden="false" customHeight="false" outlineLevel="0" collapsed="false">
      <c r="A424" s="16" t="s">
        <v>58</v>
      </c>
      <c r="B424" s="36" t="n">
        <f aca="false">CONCOR!D120</f>
        <v>2.57552640704028</v>
      </c>
      <c r="C424" s="36" t="n">
        <f aca="false">CONCOR!E120</f>
        <v>2.73957847306467</v>
      </c>
      <c r="D424" s="36" t="n">
        <f aca="false">CONCOR!F120</f>
        <v>3.22606405854059</v>
      </c>
      <c r="E424" s="36" t="n">
        <f aca="false">CONCOR!G120</f>
        <v>3.63863077671033</v>
      </c>
      <c r="F424" s="36" t="n">
        <f aca="false">CONCOR!H120</f>
        <v>4.46870127326151</v>
      </c>
      <c r="G424" s="36" t="n">
        <f aca="false">CONCOR!I120</f>
        <v>4.80763808999141</v>
      </c>
      <c r="H424" s="36" t="n">
        <f aca="false">CONCOR!J120</f>
        <v>4.74702488848258</v>
      </c>
      <c r="I424" s="59" t="n">
        <f aca="false">CONCOR!K120</f>
        <v>3.74330913815591</v>
      </c>
      <c r="J424" s="25" t="str">
        <f aca="false">IF(AND(ISNUMBER(I424),ISNUMBER(I$433)),IF(I424&gt;I$433,"Above",IF(I424&lt;I$433,"Below","At median")),"-")</f>
        <v>Below</v>
      </c>
      <c r="K424" s="25" t="s">
        <v>327</v>
      </c>
      <c r="L424" s="25" t="s">
        <v>327</v>
      </c>
    </row>
    <row r="425" customFormat="false" ht="15" hidden="false" customHeight="false" outlineLevel="0" collapsed="false">
      <c r="A425" s="16" t="s">
        <v>278</v>
      </c>
      <c r="B425" s="36" t="n">
        <f aca="false">JetFreight!D120</f>
        <v>8.55244965434325</v>
      </c>
      <c r="C425" s="36" t="n">
        <f aca="false">JetFreight!E120</f>
        <v>7.17774851876234</v>
      </c>
      <c r="D425" s="36" t="n">
        <f aca="false">JetFreight!F120</f>
        <v>11.7566602581708</v>
      </c>
      <c r="E425" s="36" t="n">
        <f aca="false">JetFreight!G120</f>
        <v>12.5521951219512</v>
      </c>
      <c r="F425" s="36" t="n">
        <f aca="false">JetFreight!H120</f>
        <v>6.74846977811783</v>
      </c>
      <c r="G425" s="36" t="n">
        <f aca="false">JetFreight!I120</f>
        <v>7.61649365628604</v>
      </c>
      <c r="H425" s="36" t="n">
        <f aca="false">JetFreight!J120</f>
        <v>8.47300444632649</v>
      </c>
      <c r="I425" s="59" t="n">
        <f aca="false">JetFreight!K120</f>
        <v>8.98243163342257</v>
      </c>
      <c r="J425" s="25" t="str">
        <f aca="false">IF(AND(ISNUMBER(I425),ISNUMBER(I$433)),IF(I425&gt;I$433,"Above",IF(I425&lt;I$433,"Below","At median")),"-")</f>
        <v>Above</v>
      </c>
      <c r="K425" s="25" t="s">
        <v>327</v>
      </c>
      <c r="L425" s="25" t="s">
        <v>327</v>
      </c>
    </row>
    <row r="426" customFormat="false" ht="15" hidden="false" customHeight="false" outlineLevel="0" collapsed="false">
      <c r="A426" s="16" t="s">
        <v>62</v>
      </c>
      <c r="B426" s="36" t="n">
        <f aca="false">Patel!D120</f>
        <v>12.0374414976599</v>
      </c>
      <c r="C426" s="36" t="n">
        <f aca="false">Patel!E120</f>
        <v>15.9030100334448</v>
      </c>
      <c r="D426" s="36" t="n">
        <f aca="false">Patel!F120</f>
        <v>15.2367849384504</v>
      </c>
      <c r="E426" s="36" t="n">
        <f aca="false">Patel!G120</f>
        <v>10.7633620689655</v>
      </c>
      <c r="F426" s="36" t="n">
        <f aca="false">Patel!H120</f>
        <v>5.39637785552583</v>
      </c>
      <c r="G426" s="36" t="n">
        <f aca="false">Patel!I120</f>
        <v>9.39712488769093</v>
      </c>
      <c r="H426" s="36" t="n">
        <f aca="false">Patel!J120</f>
        <v>9.66785927251044</v>
      </c>
      <c r="I426" s="59" t="n">
        <f aca="false">Patel!K120</f>
        <v>11.2002800791783</v>
      </c>
      <c r="J426" s="25" t="str">
        <f aca="false">IF(AND(ISNUMBER(I426),ISNUMBER(I$433)),IF(I426&gt;I$433,"Above",IF(I426&lt;I$433,"Below","At median")),"-")</f>
        <v>Above</v>
      </c>
      <c r="K426" s="25" t="s">
        <v>327</v>
      </c>
      <c r="L426" s="25" t="s">
        <v>327</v>
      </c>
    </row>
    <row r="427" customFormat="false" ht="15" hidden="false" customHeight="false" outlineLevel="0" collapsed="false">
      <c r="A427" s="16" t="s">
        <v>64</v>
      </c>
      <c r="B427" s="36" t="n">
        <f aca="false">Sical!D120</f>
        <v>0.838361830942078</v>
      </c>
      <c r="C427" s="36" t="n">
        <f aca="false">Sical!E120</f>
        <v>0.339297045759007</v>
      </c>
      <c r="D427" s="36" t="n">
        <f aca="false">Sical!F120</f>
        <v>0.425182831630557</v>
      </c>
      <c r="E427" s="36" t="n">
        <f aca="false">Sical!G120</f>
        <v>1.25630810092962</v>
      </c>
      <c r="F427" s="36" t="n">
        <f aca="false">Sical!H120</f>
        <v>0.685537850326035</v>
      </c>
      <c r="G427" s="36" t="n">
        <f aca="false">Sical!I120</f>
        <v>0.608918242926372</v>
      </c>
      <c r="H427" s="36" t="n">
        <f aca="false">Sical!J120</f>
        <v>0.883673680223148</v>
      </c>
      <c r="I427" s="59" t="n">
        <f aca="false">Sical!K120</f>
        <v>0.719611368962402</v>
      </c>
      <c r="J427" s="25" t="str">
        <f aca="false">IF(AND(ISNUMBER(I427),ISNUMBER(I$433)),IF(I427&gt;I$433,"Above",IF(I427&lt;I$433,"Below","At median")),"-")</f>
        <v>Below</v>
      </c>
      <c r="K427" s="25" t="s">
        <v>327</v>
      </c>
      <c r="L427" s="25" t="s">
        <v>327</v>
      </c>
    </row>
    <row r="428" customFormat="false" ht="15" hidden="false" customHeight="false" outlineLevel="0" collapsed="false">
      <c r="A428" s="16" t="s">
        <v>66</v>
      </c>
      <c r="B428" s="36" t="n">
        <f aca="false">TCI!D120</f>
        <v>9.41334569045412</v>
      </c>
      <c r="C428" s="36" t="n">
        <f aca="false">TCI!E120</f>
        <v>8.53258228407334</v>
      </c>
      <c r="D428" s="36" t="n">
        <f aca="false">TCI!F120</f>
        <v>8.66275123119926</v>
      </c>
      <c r="E428" s="36" t="n">
        <f aca="false">TCI!G120</f>
        <v>9.97917005695688</v>
      </c>
      <c r="F428" s="36" t="n">
        <f aca="false">TCI!H120</f>
        <v>10.7968739717012</v>
      </c>
      <c r="G428" s="36" t="n">
        <f aca="false">TCI!I120</f>
        <v>6.81232555543151</v>
      </c>
      <c r="H428" s="36" t="n">
        <f aca="false">TCI!J120</f>
        <v>6.60992261421446</v>
      </c>
      <c r="I428" s="59" t="n">
        <f aca="false">TCI!K120</f>
        <v>8.68671020057583</v>
      </c>
      <c r="J428" s="25" t="str">
        <f aca="false">IF(AND(ISNUMBER(I428),ISNUMBER(I$433)),IF(I428&gt;I$433,"Above",IF(I428&lt;I$433,"Below","At median")),"-")</f>
        <v>Above</v>
      </c>
      <c r="K428" s="25" t="s">
        <v>327</v>
      </c>
      <c r="L428" s="25" t="s">
        <v>327</v>
      </c>
    </row>
    <row r="429" customFormat="false" ht="15" hidden="false" customHeight="false" outlineLevel="0" collapsed="false">
      <c r="A429" s="16" t="s">
        <v>68</v>
      </c>
      <c r="B429" s="36" t="n">
        <f aca="false">Shreeji!D120</f>
        <v>9.76312718786464</v>
      </c>
      <c r="C429" s="36" t="n">
        <f aca="false">Shreeji!E120</f>
        <v>8.37040618955513</v>
      </c>
      <c r="D429" s="36" t="n">
        <f aca="false">Shreeji!F120</f>
        <v>9.70578905630452</v>
      </c>
      <c r="E429" s="36" t="n">
        <f aca="false">Shreeji!G120</f>
        <v>8.20637583892618</v>
      </c>
      <c r="F429" s="36" t="n">
        <f aca="false">Shreeji!H120</f>
        <v>11.7829282080271</v>
      </c>
      <c r="G429" s="36" t="n">
        <f aca="false">Shreeji!I120</f>
        <v>11.1927927927928</v>
      </c>
      <c r="H429" s="36" t="n">
        <f aca="false">Shreeji!J120</f>
        <v>10.3784901758014</v>
      </c>
      <c r="I429" s="59" t="n">
        <f aca="false">Shreeji!K120</f>
        <v>9.91427277846741</v>
      </c>
      <c r="J429" s="25" t="str">
        <f aca="false">IF(AND(ISNUMBER(I429),ISNUMBER(I$433)),IF(I429&gt;I$433,"Above",IF(I429&lt;I$433,"Below","At median")),"-")</f>
        <v>Above</v>
      </c>
      <c r="K429" s="25" t="s">
        <v>327</v>
      </c>
      <c r="L429" s="25" t="s">
        <v>327</v>
      </c>
    </row>
    <row r="430" customFormat="false" ht="15" hidden="false" customHeight="false" outlineLevel="0" collapsed="false">
      <c r="A430" s="16" t="s">
        <v>279</v>
      </c>
      <c r="B430" s="36" t="n">
        <f aca="false">MahindraLog!D120</f>
        <v>4.35189157999083</v>
      </c>
      <c r="C430" s="36" t="n">
        <f aca="false">MahindraLog!E120</f>
        <v>3.26493130364144</v>
      </c>
      <c r="D430" s="36" t="n">
        <f aca="false">MahindraLog!F120</f>
        <v>3.46962612270345</v>
      </c>
      <c r="E430" s="36" t="n">
        <f aca="false">MahindraLog!G120</f>
        <v>3.79814555572838</v>
      </c>
      <c r="F430" s="36" t="n">
        <f aca="false">MahindraLog!H120</f>
        <v>3.77114112281603</v>
      </c>
      <c r="G430" s="36" t="n">
        <f aca="false">MahindraLog!I120</f>
        <v>4.14263367239455</v>
      </c>
      <c r="H430" s="36" t="n">
        <f aca="false">MahindraLog!J120</f>
        <v>4.71443521179558</v>
      </c>
      <c r="I430" s="59" t="n">
        <f aca="false">MahindraLog!K120</f>
        <v>3.93040065272432</v>
      </c>
      <c r="J430" s="25" t="str">
        <f aca="false">IF(AND(ISNUMBER(I430),ISNUMBER(I$433)),IF(I430&gt;I$433,"Above",IF(I430&lt;I$433,"Below","At median")),"-")</f>
        <v>Below</v>
      </c>
      <c r="K430" s="25" t="s">
        <v>327</v>
      </c>
      <c r="L430" s="25" t="s">
        <v>327</v>
      </c>
    </row>
    <row r="431" customFormat="false" ht="15" hidden="false" customHeight="false" outlineLevel="0" collapsed="false">
      <c r="A431" s="46" t="s">
        <v>328</v>
      </c>
      <c r="B431" s="37" t="n">
        <f aca="false">Industry!D121</f>
        <v>2.69042855053386</v>
      </c>
      <c r="C431" s="37" t="n">
        <f aca="false">Industry!E121</f>
        <v>2.64685057453112</v>
      </c>
      <c r="D431" s="37" t="n">
        <f aca="false">Industry!F121</f>
        <v>3.53210690492841</v>
      </c>
      <c r="E431" s="37" t="n">
        <f aca="false">Industry!G121</f>
        <v>4.27152706232364</v>
      </c>
      <c r="F431" s="37" t="n">
        <f aca="false">Industry!H121</f>
        <v>3.99275469782484</v>
      </c>
      <c r="G431" s="37" t="n">
        <f aca="false">Industry!I121</f>
        <v>4.33695762646405</v>
      </c>
      <c r="H431" s="37" t="n">
        <f aca="false">Industry!J121</f>
        <v>4.36126258210255</v>
      </c>
      <c r="I431" s="37" t="n">
        <f aca="false">Industry!K121</f>
        <v>3.69026971410121</v>
      </c>
      <c r="J431" s="47"/>
      <c r="K431" s="47"/>
      <c r="L431" s="47"/>
    </row>
    <row r="432" customFormat="false" ht="15" hidden="false" customHeight="false" outlineLevel="0" collapsed="false">
      <c r="A432" s="52" t="s">
        <v>329</v>
      </c>
      <c r="B432" s="60" t="n">
        <f aca="false">IF(COUNT(B421:B430)=0,"N/M",AVERAGE(B421:B430))</f>
        <v>6.97742019029081</v>
      </c>
      <c r="C432" s="60" t="n">
        <f aca="false">IF(COUNT(C421:C430)=0,"N/M",AVERAGE(C421:C430))</f>
        <v>5.69371489454673</v>
      </c>
      <c r="D432" s="60" t="n">
        <f aca="false">IF(COUNT(D421:D430)=0,"N/M",AVERAGE(D421:D430))</f>
        <v>7.09124701319878</v>
      </c>
      <c r="E432" s="60" t="n">
        <f aca="false">IF(COUNT(E421:E430)=0,"N/M",AVERAGE(E421:E430))</f>
        <v>7.5656486146048</v>
      </c>
      <c r="F432" s="60" t="n">
        <f aca="false">IF(COUNT(F421:F430)=0,"N/M",AVERAGE(F421:F430))</f>
        <v>6.02718827418104</v>
      </c>
      <c r="G432" s="60" t="n">
        <f aca="false">IF(COUNT(G421:G430)=0,"N/M",AVERAGE(G421:G430))</f>
        <v>7.22187790231715</v>
      </c>
      <c r="H432" s="60" t="n">
        <f aca="false">IF(COUNT(H421:H430)=0,"N/M",AVERAGE(H421:H430))</f>
        <v>6.16996912308759</v>
      </c>
      <c r="I432" s="60" t="n">
        <f aca="false">IF(COUNT(I421:I430)=0,"N/M",AVERAGE(I421:I430))</f>
        <v>6.67815228746099</v>
      </c>
      <c r="J432" s="54"/>
      <c r="K432" s="54"/>
      <c r="L432" s="54"/>
    </row>
    <row r="433" customFormat="false" ht="15" hidden="false" customHeight="false" outlineLevel="0" collapsed="false">
      <c r="A433" s="28" t="s">
        <v>281</v>
      </c>
      <c r="B433" s="38" t="n">
        <f aca="false">IF(COUNT(B421:B430)=0,"N/M",MEDIAN(B421:B430))</f>
        <v>6.45217061716704</v>
      </c>
      <c r="C433" s="38" t="n">
        <f aca="false">IF(COUNT(C421:C430)=0,"N/M",MEDIAN(C421:C430))</f>
        <v>4.51373655483075</v>
      </c>
      <c r="D433" s="38" t="n">
        <f aca="false">IF(COUNT(D421:D430)=0,"N/M",MEDIAN(D421:D430))</f>
        <v>6.22945631030233</v>
      </c>
      <c r="E433" s="38" t="n">
        <f aca="false">IF(COUNT(E421:E430)=0,"N/M",MEDIAN(E421:E430))</f>
        <v>6.32360847717934</v>
      </c>
      <c r="F433" s="38" t="n">
        <f aca="false">IF(COUNT(F421:F430)=0,"N/M",MEDIAN(F421:F430))</f>
        <v>4.93253956439367</v>
      </c>
      <c r="G433" s="38" t="n">
        <f aca="false">IF(COUNT(G421:G430)=0,"N/M",MEDIAN(G421:G430))</f>
        <v>5.80998182271146</v>
      </c>
      <c r="H433" s="38" t="n">
        <f aca="false">IF(COUNT(H421:H430)=0,"N/M",MEDIAN(H421:H430))</f>
        <v>5.67847375134852</v>
      </c>
      <c r="I433" s="38" t="n">
        <f aca="false">IF(COUNT(I421:I430)=0,"N/M",MEDIAN(I421:I430))</f>
        <v>6.30855542665007</v>
      </c>
      <c r="J433" s="54"/>
      <c r="K433" s="54"/>
      <c r="L433" s="54"/>
    </row>
    <row r="434" customFormat="false" ht="15" hidden="false" customHeight="false" outlineLevel="0" collapsed="false">
      <c r="A434" s="52" t="s">
        <v>330</v>
      </c>
      <c r="B434" s="60" t="n">
        <f aca="false">IF(COUNT(B421:B430)&lt;2,"N/M",STDEV(B421:B430))</f>
        <v>5.45633241553159</v>
      </c>
      <c r="C434" s="60" t="n">
        <f aca="false">IF(COUNT(C421:C430)&lt;2,"N/M",STDEV(C421:C430))</f>
        <v>4.55267344743699</v>
      </c>
      <c r="D434" s="60" t="n">
        <f aca="false">IF(COUNT(D421:D430)&lt;2,"N/M",STDEV(D421:D430))</f>
        <v>4.98986925852889</v>
      </c>
      <c r="E434" s="60" t="n">
        <f aca="false">IF(COUNT(E421:E430)&lt;2,"N/M",STDEV(E421:E430))</f>
        <v>5.16010977567286</v>
      </c>
      <c r="F434" s="60" t="n">
        <f aca="false">IF(COUNT(F421:F430)&lt;2,"N/M",STDEV(F421:F430))</f>
        <v>3.69158898196491</v>
      </c>
      <c r="G434" s="60" t="n">
        <f aca="false">IF(COUNT(G421:G430)&lt;2,"N/M",STDEV(G421:G430))</f>
        <v>5.73236370813615</v>
      </c>
      <c r="H434" s="60" t="n">
        <f aca="false">IF(COUNT(H421:H430)&lt;2,"N/M",STDEV(H421:H430))</f>
        <v>3.32877158168723</v>
      </c>
      <c r="I434" s="60" t="n">
        <f aca="false">IF(COUNT(I421:I430)&lt;2,"N/M",STDEV(I421:I430))</f>
        <v>4.25657187933323</v>
      </c>
      <c r="J434" s="54"/>
      <c r="K434" s="54"/>
      <c r="L434" s="54"/>
    </row>
    <row r="435" customFormat="false" ht="15" hidden="false" customHeight="false" outlineLevel="0" collapsed="false">
      <c r="A435" s="52" t="s">
        <v>269</v>
      </c>
      <c r="B435" s="60" t="n">
        <f aca="false">IF(COUNT(B421:B430)=0,"N/M",MIN(B421:B430))</f>
        <v>0.838361830942078</v>
      </c>
      <c r="C435" s="60" t="n">
        <f aca="false">IF(COUNT(C421:C430)=0,"N/M",MIN(C421:C430))</f>
        <v>0.339297045759007</v>
      </c>
      <c r="D435" s="60" t="n">
        <f aca="false">IF(COUNT(D421:D430)=0,"N/M",MIN(D421:D430))</f>
        <v>0.425182831630557</v>
      </c>
      <c r="E435" s="60" t="n">
        <f aca="false">IF(COUNT(E421:E430)=0,"N/M",MIN(E421:E430))</f>
        <v>1.25630810092962</v>
      </c>
      <c r="F435" s="60" t="n">
        <f aca="false">IF(COUNT(F421:F430)=0,"N/M",MIN(F421:F430))</f>
        <v>0.685537850326035</v>
      </c>
      <c r="G435" s="60" t="n">
        <f aca="false">IF(COUNT(G421:G430)=0,"N/M",MIN(G421:G430))</f>
        <v>0.608918242926372</v>
      </c>
      <c r="H435" s="60" t="n">
        <f aca="false">IF(COUNT(H421:H430)=0,"N/M",MIN(H421:H430))</f>
        <v>0.883673680223148</v>
      </c>
      <c r="I435" s="60" t="n">
        <f aca="false">IF(COUNT(I421:I430)=0,"N/M",MIN(I421:I430))</f>
        <v>0.719611368962402</v>
      </c>
      <c r="J435" s="54"/>
      <c r="K435" s="54"/>
      <c r="L435" s="54"/>
    </row>
    <row r="436" customFormat="false" ht="15" hidden="false" customHeight="false" outlineLevel="0" collapsed="false">
      <c r="A436" s="52" t="s">
        <v>270</v>
      </c>
      <c r="B436" s="60" t="n">
        <f aca="false">IF(COUNT(B421:B430)=0,"N/M",MAX(B421:B430))</f>
        <v>17.7007623888183</v>
      </c>
      <c r="C436" s="60" t="n">
        <f aca="false">IF(COUNT(C421:C430)=0,"N/M",MAX(C421:C430))</f>
        <v>15.9030100334448</v>
      </c>
      <c r="D436" s="60" t="n">
        <f aca="false">IF(COUNT(D421:D430)=0,"N/M",MAX(D421:D430))</f>
        <v>15.2367849384504</v>
      </c>
      <c r="E436" s="60" t="n">
        <f aca="false">IF(COUNT(E421:E430)=0,"N/M",MAX(E421:E430))</f>
        <v>17.6444241316271</v>
      </c>
      <c r="F436" s="60" t="n">
        <f aca="false">IF(COUNT(F421:F430)=0,"N/M",MAX(F421:F430))</f>
        <v>11.7829282080271</v>
      </c>
      <c r="G436" s="60" t="n">
        <f aca="false">IF(COUNT(G421:G430)=0,"N/M",MAX(G421:G430))</f>
        <v>20.8730986527597</v>
      </c>
      <c r="H436" s="60" t="n">
        <f aca="false">IF(COUNT(H421:H430)=0,"N/M",MAX(H421:H430))</f>
        <v>10.3784901758014</v>
      </c>
      <c r="I436" s="60" t="n">
        <f aca="false">IF(COUNT(I421:I430)=0,"N/M",MAX(I421:I430))</f>
        <v>13.399638668369</v>
      </c>
      <c r="J436" s="54"/>
      <c r="K436" s="54"/>
      <c r="L436" s="54"/>
    </row>
    <row r="438" customFormat="false" ht="16.5" hidden="false" customHeight="true" outlineLevel="0" collapsed="false">
      <c r="A438" s="49" t="s">
        <v>354</v>
      </c>
      <c r="B438" s="49"/>
      <c r="C438" s="49"/>
      <c r="D438" s="49"/>
      <c r="E438" s="49"/>
      <c r="F438" s="49"/>
      <c r="G438" s="49"/>
      <c r="H438" s="49"/>
      <c r="I438" s="49"/>
      <c r="J438" s="49"/>
      <c r="K438" s="49"/>
      <c r="L438" s="49"/>
    </row>
    <row r="439" customFormat="false" ht="15" hidden="false" customHeight="false" outlineLevel="0" collapsed="false">
      <c r="A439" s="16" t="s">
        <v>52</v>
      </c>
      <c r="B439" s="39" t="n">
        <f aca="false">Tiger!D121</f>
        <v>20.6205807401027</v>
      </c>
      <c r="C439" s="39" t="n">
        <f aca="false">Tiger!E121</f>
        <v>63.3401044689495</v>
      </c>
      <c r="D439" s="39" t="n">
        <f aca="false">Tiger!F121</f>
        <v>30.5051677049678</v>
      </c>
      <c r="E439" s="39" t="n">
        <f aca="false">Tiger!G121</f>
        <v>20.6864217997203</v>
      </c>
      <c r="F439" s="39" t="n">
        <f aca="false">Tiger!H121</f>
        <v>36.7287789708955</v>
      </c>
      <c r="G439" s="39" t="n">
        <f aca="false">Tiger!I121</f>
        <v>17.4866226654729</v>
      </c>
      <c r="H439" s="39" t="n">
        <f aca="false">Tiger!J121</f>
        <v>36.8175638934203</v>
      </c>
      <c r="I439" s="57" t="n">
        <f aca="false">Tiger!K121</f>
        <v>32.312177177647</v>
      </c>
      <c r="J439" s="25" t="str">
        <f aca="false">IF(AND(ISNUMBER(I439),ISNUMBER(I$451)),IF(I439&gt;I$451,"Above",IF(I439&lt;I$451,"Below","At median")),"-")</f>
        <v>Below</v>
      </c>
      <c r="K439" s="25" t="s">
        <v>327</v>
      </c>
      <c r="L439" s="25" t="s">
        <v>327</v>
      </c>
    </row>
    <row r="440" customFormat="false" ht="15" hidden="false" customHeight="false" outlineLevel="0" collapsed="false">
      <c r="A440" s="16" t="s">
        <v>54</v>
      </c>
      <c r="B440" s="39" t="n">
        <f aca="false">Allcargo!D121</f>
        <v>104.978789018846</v>
      </c>
      <c r="C440" s="39" t="n">
        <f aca="false">Allcargo!E121</f>
        <v>133.342954149131</v>
      </c>
      <c r="D440" s="39" t="n">
        <f aca="false">Allcargo!F121</f>
        <v>96.1497582844261</v>
      </c>
      <c r="E440" s="39" t="n">
        <f aca="false">Allcargo!G121</f>
        <v>82.1916367896113</v>
      </c>
      <c r="F440" s="39" t="n">
        <f aca="false">Allcargo!H121</f>
        <v>102.692327819491</v>
      </c>
      <c r="G440" s="39" t="n">
        <f aca="false">Allcargo!I121</f>
        <v>102.664310954064</v>
      </c>
      <c r="H440" s="39" t="n">
        <f aca="false">Allcargo!J121</f>
        <v>113.517904509284</v>
      </c>
      <c r="I440" s="57" t="n">
        <f aca="false">Allcargo!K121</f>
        <v>105.076811646408</v>
      </c>
      <c r="J440" s="25" t="str">
        <f aca="false">IF(AND(ISNUMBER(I440),ISNUMBER(I$451)),IF(I440&gt;I$451,"Above",IF(I440&lt;I$451,"Below","At median")),"-")</f>
        <v>Above</v>
      </c>
      <c r="K440" s="25" t="s">
        <v>327</v>
      </c>
      <c r="L440" s="25" t="s">
        <v>327</v>
      </c>
    </row>
    <row r="441" customFormat="false" ht="15" hidden="false" customHeight="false" outlineLevel="0" collapsed="false">
      <c r="A441" s="16" t="s">
        <v>277</v>
      </c>
      <c r="B441" s="39" t="n">
        <f aca="false">BlueDart!D121</f>
        <v>342.915286871698</v>
      </c>
      <c r="C441" s="39" t="n">
        <f aca="false">BlueDart!E121</f>
        <v>173.006214412354</v>
      </c>
      <c r="D441" s="39" t="n">
        <f aca="false">BlueDart!F121</f>
        <v>136.793039037093</v>
      </c>
      <c r="E441" s="39" t="n">
        <f aca="false">BlueDart!G121</f>
        <v>108.083030001764</v>
      </c>
      <c r="F441" s="39" t="n">
        <f aca="false">BlueDart!H121</f>
        <v>116.619565761795</v>
      </c>
      <c r="G441" s="39" t="n">
        <f aca="false">BlueDart!I121</f>
        <v>113.619487287198</v>
      </c>
      <c r="H441" s="39" t="n">
        <f aca="false">BlueDart!J121</f>
        <v>117.887107812734</v>
      </c>
      <c r="I441" s="57" t="n">
        <f aca="false">BlueDart!K121</f>
        <v>158.417675883519</v>
      </c>
      <c r="J441" s="25" t="str">
        <f aca="false">IF(AND(ISNUMBER(I441),ISNUMBER(I$451)),IF(I441&gt;I$451,"Above",IF(I441&lt;I$451,"Below","At median")),"-")</f>
        <v>Above</v>
      </c>
      <c r="K441" s="25" t="s">
        <v>327</v>
      </c>
      <c r="L441" s="25" t="s">
        <v>327</v>
      </c>
    </row>
    <row r="442" customFormat="false" ht="15" hidden="false" customHeight="false" outlineLevel="0" collapsed="false">
      <c r="A442" s="16" t="s">
        <v>58</v>
      </c>
      <c r="B442" s="39" t="n">
        <f aca="false">CONCOR!D121</f>
        <v>141.718601293414</v>
      </c>
      <c r="C442" s="39" t="n">
        <f aca="false">CONCOR!E121</f>
        <v>133.23217552943</v>
      </c>
      <c r="D442" s="39" t="n">
        <f aca="false">CONCOR!F121</f>
        <v>113.140964772138</v>
      </c>
      <c r="E442" s="39" t="n">
        <f aca="false">CONCOR!G121</f>
        <v>100.312458833758</v>
      </c>
      <c r="F442" s="39" t="n">
        <f aca="false">CONCOR!H121</f>
        <v>81.6792122991033</v>
      </c>
      <c r="G442" s="39" t="n">
        <f aca="false">CONCOR!I121</f>
        <v>75.9208561808886</v>
      </c>
      <c r="H442" s="39" t="n">
        <f aca="false">CONCOR!J121</f>
        <v>76.8902646551481</v>
      </c>
      <c r="I442" s="57" t="n">
        <f aca="false">CONCOR!K121</f>
        <v>103.270647651983</v>
      </c>
      <c r="J442" s="25" t="str">
        <f aca="false">IF(AND(ISNUMBER(I442),ISNUMBER(I$451)),IF(I442&gt;I$451,"Above",IF(I442&lt;I$451,"Below","At median")),"-")</f>
        <v>Above</v>
      </c>
      <c r="K442" s="25" t="s">
        <v>327</v>
      </c>
      <c r="L442" s="25" t="s">
        <v>327</v>
      </c>
    </row>
    <row r="443" customFormat="false" ht="15" hidden="false" customHeight="false" outlineLevel="0" collapsed="false">
      <c r="A443" s="16" t="s">
        <v>278</v>
      </c>
      <c r="B443" s="39" t="n">
        <f aca="false">JetFreight!D121</f>
        <v>42.6778308849371</v>
      </c>
      <c r="C443" s="39" t="n">
        <f aca="false">JetFreight!E121</f>
        <v>50.851600476933</v>
      </c>
      <c r="D443" s="39" t="n">
        <f aca="false">JetFreight!F121</f>
        <v>31.0462318366584</v>
      </c>
      <c r="E443" s="39" t="n">
        <f aca="false">JetFreight!G121</f>
        <v>29.0785792009949</v>
      </c>
      <c r="F443" s="39" t="n">
        <f aca="false">JetFreight!H121</f>
        <v>54.0863354213316</v>
      </c>
      <c r="G443" s="39" t="n">
        <f aca="false">JetFreight!I121</f>
        <v>47.922313924434</v>
      </c>
      <c r="H443" s="39" t="n">
        <f aca="false">JetFreight!J121</f>
        <v>43.077989904543</v>
      </c>
      <c r="I443" s="57" t="n">
        <f aca="false">JetFreight!K121</f>
        <v>42.6772688071188</v>
      </c>
      <c r="J443" s="25" t="str">
        <f aca="false">IF(AND(ISNUMBER(I443),ISNUMBER(I$451)),IF(I443&gt;I$451,"Above",IF(I443&lt;I$451,"Below","At median")),"-")</f>
        <v>Below</v>
      </c>
      <c r="K443" s="25" t="s">
        <v>327</v>
      </c>
      <c r="L443" s="25" t="s">
        <v>327</v>
      </c>
    </row>
    <row r="444" customFormat="false" ht="15" hidden="false" customHeight="false" outlineLevel="0" collapsed="false">
      <c r="A444" s="16" t="s">
        <v>62</v>
      </c>
      <c r="B444" s="39" t="n">
        <f aca="false">Patel!D121</f>
        <v>30.3220580611716</v>
      </c>
      <c r="C444" s="39" t="n">
        <f aca="false">Patel!E121</f>
        <v>22.9516298633018</v>
      </c>
      <c r="D444" s="39" t="n">
        <f aca="false">Patel!F121</f>
        <v>23.9551848683585</v>
      </c>
      <c r="E444" s="39" t="n">
        <f aca="false">Patel!G121</f>
        <v>33.9113371510953</v>
      </c>
      <c r="F444" s="39" t="n">
        <f aca="false">Patel!H121</f>
        <v>67.6379619389039</v>
      </c>
      <c r="G444" s="39" t="n">
        <f aca="false">Patel!I121</f>
        <v>38.8416674634286</v>
      </c>
      <c r="H444" s="39" t="n">
        <f aca="false">Patel!J121</f>
        <v>37.7539628693024</v>
      </c>
      <c r="I444" s="57" t="n">
        <f aca="false">Patel!K121</f>
        <v>36.4819717450803</v>
      </c>
      <c r="J444" s="25" t="str">
        <f aca="false">IF(AND(ISNUMBER(I444),ISNUMBER(I$451)),IF(I444&gt;I$451,"Above",IF(I444&lt;I$451,"Below","At median")),"-")</f>
        <v>Below</v>
      </c>
      <c r="K444" s="25" t="s">
        <v>327</v>
      </c>
      <c r="L444" s="25" t="s">
        <v>327</v>
      </c>
    </row>
    <row r="445" customFormat="false" ht="15" hidden="false" customHeight="false" outlineLevel="0" collapsed="false">
      <c r="A445" s="16" t="s">
        <v>64</v>
      </c>
      <c r="B445" s="39" t="n">
        <f aca="false">Sical!D121</f>
        <v>435.372874251497</v>
      </c>
      <c r="C445" s="39" t="n">
        <f aca="false">Sical!E121</f>
        <v>1075.75354563873</v>
      </c>
      <c r="D445" s="39" t="n">
        <f aca="false">Sical!F121</f>
        <v>858.454229208271</v>
      </c>
      <c r="E445" s="39" t="n">
        <f aca="false">Sical!G121</f>
        <v>290.533826638478</v>
      </c>
      <c r="F445" s="39" t="n">
        <f aca="false">Sical!H121</f>
        <v>532.428661417323</v>
      </c>
      <c r="G445" s="39" t="n">
        <f aca="false">Sical!I121</f>
        <v>599.423657018163</v>
      </c>
      <c r="H445" s="39" t="n">
        <f aca="false">Sical!J121</f>
        <v>413.048400296169</v>
      </c>
      <c r="I445" s="57" t="n">
        <f aca="false">Sical!K121</f>
        <v>600.716456352662</v>
      </c>
      <c r="J445" s="25" t="str">
        <f aca="false">IF(AND(ISNUMBER(I445),ISNUMBER(I$451)),IF(I445&gt;I$451,"Above",IF(I445&lt;I$451,"Below","At median")),"-")</f>
        <v>Above</v>
      </c>
      <c r="K445" s="25" t="s">
        <v>327</v>
      </c>
      <c r="L445" s="25" t="s">
        <v>327</v>
      </c>
    </row>
    <row r="446" customFormat="false" ht="15" hidden="false" customHeight="false" outlineLevel="0" collapsed="false">
      <c r="A446" s="16" t="s">
        <v>66</v>
      </c>
      <c r="B446" s="39" t="n">
        <f aca="false">TCI!D121</f>
        <v>38.7747366348331</v>
      </c>
      <c r="C446" s="39" t="n">
        <f aca="false">TCI!E121</f>
        <v>42.7772024749528</v>
      </c>
      <c r="D446" s="39" t="n">
        <f aca="false">TCI!F121</f>
        <v>42.1344201465047</v>
      </c>
      <c r="E446" s="39" t="n">
        <f aca="false">TCI!G121</f>
        <v>36.5761879912593</v>
      </c>
      <c r="F446" s="39" t="n">
        <f aca="false">TCI!H121</f>
        <v>33.8060813673172</v>
      </c>
      <c r="G446" s="39" t="n">
        <f aca="false">TCI!I121</f>
        <v>53.5793536333541</v>
      </c>
      <c r="H446" s="39" t="n">
        <f aca="false">TCI!J121</f>
        <v>55.2200110807769</v>
      </c>
      <c r="I446" s="57" t="n">
        <f aca="false">TCI!K121</f>
        <v>43.2668561898568</v>
      </c>
      <c r="J446" s="25" t="str">
        <f aca="false">IF(AND(ISNUMBER(I446),ISNUMBER(I$451)),IF(I446&gt;I$451,"Above",IF(I446&lt;I$451,"Below","At median")),"-")</f>
        <v>Below</v>
      </c>
      <c r="K446" s="25" t="s">
        <v>327</v>
      </c>
      <c r="L446" s="25" t="s">
        <v>327</v>
      </c>
    </row>
    <row r="447" customFormat="false" ht="15" hidden="false" customHeight="false" outlineLevel="0" collapsed="false">
      <c r="A447" s="16" t="s">
        <v>68</v>
      </c>
      <c r="B447" s="39" t="n">
        <f aca="false">Shreeji!D121</f>
        <v>37.3855623281941</v>
      </c>
      <c r="C447" s="39" t="n">
        <f aca="false">Shreeji!E121</f>
        <v>43.6060080878105</v>
      </c>
      <c r="D447" s="39" t="n">
        <f aca="false">Shreeji!F121</f>
        <v>37.6064220933083</v>
      </c>
      <c r="E447" s="39" t="n">
        <f aca="false">Shreeji!G121</f>
        <v>44.4776119402985</v>
      </c>
      <c r="F447" s="39" t="n">
        <f aca="false">Shreeji!H121</f>
        <v>30.9770197658799</v>
      </c>
      <c r="G447" s="39" t="n">
        <f aca="false">Shreeji!I121</f>
        <v>32.6102704443014</v>
      </c>
      <c r="H447" s="39" t="n">
        <f aca="false">Shreeji!J121</f>
        <v>35.1688919888402</v>
      </c>
      <c r="I447" s="57" t="n">
        <f aca="false">Shreeji!K121</f>
        <v>37.4045409498047</v>
      </c>
      <c r="J447" s="25" t="str">
        <f aca="false">IF(AND(ISNUMBER(I447),ISNUMBER(I$451)),IF(I447&gt;I$451,"Above",IF(I447&lt;I$451,"Below","At median")),"-")</f>
        <v>Below</v>
      </c>
      <c r="K447" s="25" t="s">
        <v>327</v>
      </c>
      <c r="L447" s="25" t="s">
        <v>327</v>
      </c>
    </row>
    <row r="448" customFormat="false" ht="15" hidden="false" customHeight="false" outlineLevel="0" collapsed="false">
      <c r="A448" s="16" t="s">
        <v>279</v>
      </c>
      <c r="B448" s="39" t="n">
        <f aca="false">MahindraLog!D121</f>
        <v>83.8715747603182</v>
      </c>
      <c r="C448" s="39" t="n">
        <f aca="false">MahindraLog!E121</f>
        <v>111.794082648204</v>
      </c>
      <c r="D448" s="39" t="n">
        <f aca="false">MahindraLog!F121</f>
        <v>105.19865457884</v>
      </c>
      <c r="E448" s="39" t="n">
        <f aca="false">MahindraLog!G121</f>
        <v>96.099529268831</v>
      </c>
      <c r="F448" s="39" t="n">
        <f aca="false">MahindraLog!H121</f>
        <v>96.7876799390214</v>
      </c>
      <c r="G448" s="39" t="n">
        <f aca="false">MahindraLog!I121</f>
        <v>88.1082009332051</v>
      </c>
      <c r="H448" s="39" t="n">
        <f aca="false">MahindraLog!J121</f>
        <v>77.4217872560355</v>
      </c>
      <c r="I448" s="57" t="n">
        <f aca="false">MahindraLog!K121</f>
        <v>94.1830727692079</v>
      </c>
      <c r="J448" s="25" t="str">
        <f aca="false">IF(AND(ISNUMBER(I448),ISNUMBER(I$451)),IF(I448&gt;I$451,"Above",IF(I448&lt;I$451,"Below","At median")),"-")</f>
        <v>Above</v>
      </c>
      <c r="K448" s="25" t="s">
        <v>327</v>
      </c>
      <c r="L448" s="25" t="s">
        <v>327</v>
      </c>
    </row>
    <row r="449" customFormat="false" ht="15" hidden="false" customHeight="false" outlineLevel="0" collapsed="false">
      <c r="A449" s="46" t="s">
        <v>328</v>
      </c>
      <c r="B449" s="40" t="n">
        <f aca="false">Industry!D122</f>
        <v>135.666119038015</v>
      </c>
      <c r="C449" s="40" t="n">
        <f aca="false">Industry!E122</f>
        <v>137.899737715515</v>
      </c>
      <c r="D449" s="40" t="n">
        <f aca="false">Industry!F122</f>
        <v>103.337755573227</v>
      </c>
      <c r="E449" s="40" t="n">
        <f aca="false">Industry!G122</f>
        <v>85.4495347154481</v>
      </c>
      <c r="F449" s="40" t="n">
        <f aca="false">Industry!H122</f>
        <v>91.4155833812789</v>
      </c>
      <c r="G449" s="40" t="n">
        <f aca="false">Industry!I122</f>
        <v>84.1603795648765</v>
      </c>
      <c r="H449" s="40" t="n">
        <f aca="false">Industry!J122</f>
        <v>83.6913607306889</v>
      </c>
      <c r="I449" s="40" t="n">
        <f aca="false">Industry!K122</f>
        <v>103.08863867415</v>
      </c>
      <c r="J449" s="47"/>
      <c r="K449" s="47"/>
      <c r="L449" s="47"/>
    </row>
    <row r="450" customFormat="false" ht="15" hidden="false" customHeight="false" outlineLevel="0" collapsed="false">
      <c r="A450" s="52" t="s">
        <v>329</v>
      </c>
      <c r="B450" s="58" t="n">
        <f aca="false">IF(COUNT(B439:B448)=0,"N/M",AVERAGE(B439:B448))</f>
        <v>127.863789484501</v>
      </c>
      <c r="C450" s="58" t="n">
        <f aca="false">IF(COUNT(C439:C448)=0,"N/M",AVERAGE(C439:C448))</f>
        <v>185.06555177498</v>
      </c>
      <c r="D450" s="58" t="n">
        <f aca="false">IF(COUNT(D439:D448)=0,"N/M",AVERAGE(D439:D448))</f>
        <v>147.498407253057</v>
      </c>
      <c r="E450" s="58" t="n">
        <f aca="false">IF(COUNT(E439:E448)=0,"N/M",AVERAGE(E439:E448))</f>
        <v>84.195061961581</v>
      </c>
      <c r="F450" s="58" t="n">
        <f aca="false">IF(COUNT(F439:F448)=0,"N/M",AVERAGE(F439:F448))</f>
        <v>115.344362470106</v>
      </c>
      <c r="G450" s="58" t="n">
        <f aca="false">IF(COUNT(G439:G448)=0,"N/M",AVERAGE(G439:G448))</f>
        <v>117.017674050451</v>
      </c>
      <c r="H450" s="58" t="n">
        <f aca="false">IF(COUNT(H439:H448)=0,"N/M",AVERAGE(H439:H448))</f>
        <v>100.680388426625</v>
      </c>
      <c r="I450" s="58" t="n">
        <f aca="false">IF(COUNT(I439:I448)=0,"N/M",AVERAGE(I439:I448))</f>
        <v>125.380747917329</v>
      </c>
      <c r="J450" s="54"/>
      <c r="K450" s="54"/>
      <c r="L450" s="54"/>
    </row>
    <row r="451" customFormat="false" ht="15" hidden="false" customHeight="false" outlineLevel="0" collapsed="false">
      <c r="A451" s="28" t="s">
        <v>281</v>
      </c>
      <c r="B451" s="41" t="n">
        <f aca="false">IF(COUNT(B439:B448)=0,"N/M",MEDIAN(B439:B448))</f>
        <v>63.2747028226277</v>
      </c>
      <c r="C451" s="41" t="n">
        <f aca="false">IF(COUNT(C439:C448)=0,"N/M",MEDIAN(C439:C448))</f>
        <v>87.5670935585769</v>
      </c>
      <c r="D451" s="41" t="n">
        <f aca="false">IF(COUNT(D439:D448)=0,"N/M",MEDIAN(D439:D448))</f>
        <v>69.1420892154654</v>
      </c>
      <c r="E451" s="41" t="n">
        <f aca="false">IF(COUNT(E439:E448)=0,"N/M",MEDIAN(E439:E448))</f>
        <v>63.3346243649549</v>
      </c>
      <c r="F451" s="41" t="n">
        <f aca="false">IF(COUNT(F439:F448)=0,"N/M",MEDIAN(F439:F448))</f>
        <v>74.6585871190036</v>
      </c>
      <c r="G451" s="41" t="n">
        <f aca="false">IF(COUNT(G439:G448)=0,"N/M",MEDIAN(G439:G448))</f>
        <v>64.7501049071213</v>
      </c>
      <c r="H451" s="41" t="n">
        <f aca="false">IF(COUNT(H439:H448)=0,"N/M",MEDIAN(H439:H448))</f>
        <v>66.0551378679625</v>
      </c>
      <c r="I451" s="41" t="n">
        <f aca="false">IF(COUNT(I439:I448)=0,"N/M",MEDIAN(I439:I448))</f>
        <v>68.7249644795324</v>
      </c>
      <c r="J451" s="54"/>
      <c r="K451" s="54"/>
      <c r="L451" s="54"/>
    </row>
    <row r="452" customFormat="false" ht="15" hidden="false" customHeight="false" outlineLevel="0" collapsed="false">
      <c r="A452" s="52" t="s">
        <v>330</v>
      </c>
      <c r="B452" s="58" t="n">
        <f aca="false">IF(COUNT(B439:B448)&lt;2,"N/M",STDEV(B439:B448))</f>
        <v>144.474253537132</v>
      </c>
      <c r="C452" s="58" t="n">
        <f aca="false">IF(COUNT(C439:C448)&lt;2,"N/M",STDEV(C439:C448))</f>
        <v>316.854213582704</v>
      </c>
      <c r="D452" s="58" t="n">
        <f aca="false">IF(COUNT(D439:D448)&lt;2,"N/M",STDEV(D439:D448))</f>
        <v>253.172853907144</v>
      </c>
      <c r="E452" s="58" t="n">
        <f aca="false">IF(COUNT(E439:E448)&lt;2,"N/M",STDEV(E439:E448))</f>
        <v>79.5797862274213</v>
      </c>
      <c r="F452" s="58" t="n">
        <f aca="false">IF(COUNT(F439:F448)&lt;2,"N/M",STDEV(F439:F448))</f>
        <v>149.65660755126</v>
      </c>
      <c r="G452" s="58" t="n">
        <f aca="false">IF(COUNT(G439:G448)&lt;2,"N/M",STDEV(G439:G448))</f>
        <v>172.368765684032</v>
      </c>
      <c r="H452" s="58" t="n">
        <f aca="false">IF(COUNT(H439:H448)&lt;2,"N/M",STDEV(H439:H448))</f>
        <v>113.947460674857</v>
      </c>
      <c r="I452" s="58" t="n">
        <f aca="false">IF(COUNT(I439:I448)&lt;2,"N/M",STDEV(I439:I448))</f>
        <v>172.174651814841</v>
      </c>
      <c r="J452" s="54"/>
      <c r="K452" s="54"/>
      <c r="L452" s="54"/>
    </row>
    <row r="453" customFormat="false" ht="15" hidden="false" customHeight="false" outlineLevel="0" collapsed="false">
      <c r="A453" s="52" t="s">
        <v>269</v>
      </c>
      <c r="B453" s="58" t="n">
        <f aca="false">IF(COUNT(B439:B448)=0,"N/M",MIN(B439:B448))</f>
        <v>20.6205807401027</v>
      </c>
      <c r="C453" s="58" t="n">
        <f aca="false">IF(COUNT(C439:C448)=0,"N/M",MIN(C439:C448))</f>
        <v>22.9516298633018</v>
      </c>
      <c r="D453" s="58" t="n">
        <f aca="false">IF(COUNT(D439:D448)=0,"N/M",MIN(D439:D448))</f>
        <v>23.9551848683585</v>
      </c>
      <c r="E453" s="58" t="n">
        <f aca="false">IF(COUNT(E439:E448)=0,"N/M",MIN(E439:E448))</f>
        <v>20.6864217997203</v>
      </c>
      <c r="F453" s="58" t="n">
        <f aca="false">IF(COUNT(F439:F448)=0,"N/M",MIN(F439:F448))</f>
        <v>30.9770197658799</v>
      </c>
      <c r="G453" s="58" t="n">
        <f aca="false">IF(COUNT(G439:G448)=0,"N/M",MIN(G439:G448))</f>
        <v>17.4866226654729</v>
      </c>
      <c r="H453" s="58" t="n">
        <f aca="false">IF(COUNT(H439:H448)=0,"N/M",MIN(H439:H448))</f>
        <v>35.1688919888402</v>
      </c>
      <c r="I453" s="58" t="n">
        <f aca="false">IF(COUNT(I439:I448)=0,"N/M",MIN(I439:I448))</f>
        <v>32.312177177647</v>
      </c>
      <c r="J453" s="54"/>
      <c r="K453" s="54"/>
      <c r="L453" s="54"/>
    </row>
    <row r="454" customFormat="false" ht="15" hidden="false" customHeight="false" outlineLevel="0" collapsed="false">
      <c r="A454" s="52" t="s">
        <v>270</v>
      </c>
      <c r="B454" s="58" t="n">
        <f aca="false">IF(COUNT(B439:B448)=0,"N/M",MAX(B439:B448))</f>
        <v>435.372874251497</v>
      </c>
      <c r="C454" s="58" t="n">
        <f aca="false">IF(COUNT(C439:C448)=0,"N/M",MAX(C439:C448))</f>
        <v>1075.75354563873</v>
      </c>
      <c r="D454" s="58" t="n">
        <f aca="false">IF(COUNT(D439:D448)=0,"N/M",MAX(D439:D448))</f>
        <v>858.454229208271</v>
      </c>
      <c r="E454" s="58" t="n">
        <f aca="false">IF(COUNT(E439:E448)=0,"N/M",MAX(E439:E448))</f>
        <v>290.533826638478</v>
      </c>
      <c r="F454" s="58" t="n">
        <f aca="false">IF(COUNT(F439:F448)=0,"N/M",MAX(F439:F448))</f>
        <v>532.428661417323</v>
      </c>
      <c r="G454" s="58" t="n">
        <f aca="false">IF(COUNT(G439:G448)=0,"N/M",MAX(G439:G448))</f>
        <v>599.423657018163</v>
      </c>
      <c r="H454" s="58" t="n">
        <f aca="false">IF(COUNT(H439:H448)=0,"N/M",MAX(H439:H448))</f>
        <v>413.048400296169</v>
      </c>
      <c r="I454" s="58" t="n">
        <f aca="false">IF(COUNT(I439:I448)=0,"N/M",MAX(I439:I448))</f>
        <v>600.716456352662</v>
      </c>
      <c r="J454" s="54"/>
      <c r="K454" s="54"/>
      <c r="L454" s="54"/>
    </row>
    <row r="456" customFormat="false" ht="16.5" hidden="false" customHeight="true" outlineLevel="0" collapsed="false">
      <c r="A456" s="49" t="s">
        <v>355</v>
      </c>
      <c r="B456" s="49"/>
      <c r="C456" s="49"/>
      <c r="D456" s="49"/>
      <c r="E456" s="49"/>
      <c r="F456" s="49"/>
      <c r="G456" s="49"/>
      <c r="H456" s="49"/>
      <c r="I456" s="49"/>
      <c r="J456" s="49"/>
      <c r="K456" s="49"/>
      <c r="L456" s="49"/>
    </row>
    <row r="457" customFormat="false" ht="15" hidden="false" customHeight="false" outlineLevel="0" collapsed="false">
      <c r="A457" s="16" t="s">
        <v>52</v>
      </c>
      <c r="B457" s="39" t="n">
        <f aca="false">Tiger!D122</f>
        <v>58.7040842459661</v>
      </c>
      <c r="C457" s="39" t="n">
        <f aca="false">Tiger!E122</f>
        <v>30.5244931363403</v>
      </c>
      <c r="D457" s="39" t="n">
        <f aca="false">Tiger!F122</f>
        <v>10.2369759766501</v>
      </c>
      <c r="E457" s="39" t="n">
        <f aca="false">Tiger!G122</f>
        <v>20.8377503475049</v>
      </c>
      <c r="F457" s="39" t="n">
        <f aca="false">Tiger!H122</f>
        <v>69.2953199219706</v>
      </c>
      <c r="G457" s="39" t="n">
        <f aca="false">Tiger!I122</f>
        <v>52.3949756638515</v>
      </c>
      <c r="H457" s="39" t="n">
        <f aca="false">Tiger!J122</f>
        <v>65.7904979759278</v>
      </c>
      <c r="I457" s="57" t="n">
        <f aca="false">Tiger!K122</f>
        <v>43.9691567526016</v>
      </c>
      <c r="J457" s="25" t="str">
        <f aca="false">IF(AND(ISNUMBER(I457),ISNUMBER(I$469)),IF(I457&gt;I$469,"Above",IF(I457&lt;I$469,"Below","At median")),"-")</f>
        <v>Above</v>
      </c>
      <c r="K457" s="25" t="str">
        <f aca="false">IF(J457="Below","Better",IF(J457="Above","Weaker",IF(J457="At median","In line","-")))</f>
        <v>Weaker</v>
      </c>
      <c r="L457" s="43" t="n">
        <f aca="false">IF(ISNUMBER(I457),RANK(I457,I$457:I$466,1),"-")</f>
        <v>8</v>
      </c>
    </row>
    <row r="458" customFormat="false" ht="15" hidden="false" customHeight="false" outlineLevel="0" collapsed="false">
      <c r="A458" s="16" t="s">
        <v>54</v>
      </c>
      <c r="B458" s="39" t="n">
        <f aca="false">Allcargo!D122</f>
        <v>-47.3113162212481</v>
      </c>
      <c r="C458" s="39" t="n">
        <f aca="false">Allcargo!E122</f>
        <v>-57.2547167118106</v>
      </c>
      <c r="D458" s="39" t="n">
        <f aca="false">Allcargo!F122</f>
        <v>-37.0607404710106</v>
      </c>
      <c r="E458" s="39" t="n">
        <f aca="false">Allcargo!G122</f>
        <v>-40.9045785473083</v>
      </c>
      <c r="F458" s="39" t="n">
        <f aca="false">Allcargo!H122</f>
        <v>-39.8846788568447</v>
      </c>
      <c r="G458" s="39" t="n">
        <f aca="false">Allcargo!I122</f>
        <v>-32.8657387970009</v>
      </c>
      <c r="H458" s="39" t="n">
        <f aca="false">Allcargo!J122</f>
        <v>-37.43189867838</v>
      </c>
      <c r="I458" s="57" t="n">
        <f aca="false">Allcargo!K122</f>
        <v>-41.816238326229</v>
      </c>
      <c r="J458" s="25" t="str">
        <f aca="false">IF(AND(ISNUMBER(I458),ISNUMBER(I$469)),IF(I458&gt;I$469,"Above",IF(I458&lt;I$469,"Below","At median")),"-")</f>
        <v>Below</v>
      </c>
      <c r="K458" s="25" t="str">
        <f aca="false">IF(J458="Below","Better",IF(J458="Above","Weaker",IF(J458="At median","In line","-")))</f>
        <v>Better</v>
      </c>
      <c r="L458" s="43" t="n">
        <f aca="false">IF(ISNUMBER(I458),RANK(I458,I$457:I$466,1),"-")</f>
        <v>5</v>
      </c>
    </row>
    <row r="459" customFormat="false" ht="15" hidden="false" customHeight="false" outlineLevel="0" collapsed="false">
      <c r="A459" s="16" t="s">
        <v>277</v>
      </c>
      <c r="B459" s="39" t="n">
        <f aca="false">BlueDart!D122</f>
        <v>-276.478840542517</v>
      </c>
      <c r="C459" s="39" t="n">
        <f aca="false">BlueDart!E122</f>
        <v>-108.495308524958</v>
      </c>
      <c r="D459" s="39" t="n">
        <f aca="false">BlueDart!F122</f>
        <v>-83.4200557593803</v>
      </c>
      <c r="E459" s="39" t="n">
        <f aca="false">BlueDart!G122</f>
        <v>-58.5481959353232</v>
      </c>
      <c r="F459" s="39" t="n">
        <f aca="false">BlueDart!H122</f>
        <v>-64.2445550142427</v>
      </c>
      <c r="G459" s="39" t="n">
        <f aca="false">BlueDart!I122</f>
        <v>-58.1213021161781</v>
      </c>
      <c r="H459" s="39" t="n">
        <f aca="false">BlueDart!J122</f>
        <v>-57.8498396647995</v>
      </c>
      <c r="I459" s="57" t="n">
        <f aca="false">BlueDart!K122</f>
        <v>-101.022585365343</v>
      </c>
      <c r="J459" s="25" t="str">
        <f aca="false">IF(AND(ISNUMBER(I459),ISNUMBER(I$469)),IF(I459&gt;I$469,"Above",IF(I459&lt;I$469,"Below","At median")),"-")</f>
        <v>Below</v>
      </c>
      <c r="K459" s="25" t="str">
        <f aca="false">IF(J459="Below","Better",IF(J459="Above","Weaker",IF(J459="At median","In line","-")))</f>
        <v>Better</v>
      </c>
      <c r="L459" s="43" t="n">
        <f aca="false">IF(ISNUMBER(I459),RANK(I459,I$457:I$466,1),"-")</f>
        <v>2</v>
      </c>
    </row>
    <row r="460" customFormat="false" ht="15" hidden="false" customHeight="false" outlineLevel="0" collapsed="false">
      <c r="A460" s="16" t="s">
        <v>58</v>
      </c>
      <c r="B460" s="39" t="n">
        <f aca="false">CONCOR!D122</f>
        <v>-130.281760813301</v>
      </c>
      <c r="C460" s="39" t="n">
        <f aca="false">CONCOR!E122</f>
        <v>-121.947790402493</v>
      </c>
      <c r="D460" s="39" t="n">
        <f aca="false">CONCOR!F122</f>
        <v>-102.116513332616</v>
      </c>
      <c r="E460" s="39" t="n">
        <f aca="false">CONCOR!G122</f>
        <v>-88.0993877083501</v>
      </c>
      <c r="F460" s="39" t="n">
        <f aca="false">CONCOR!H122</f>
        <v>-64.3850021158723</v>
      </c>
      <c r="G460" s="39" t="n">
        <f aca="false">CONCOR!I122</f>
        <v>-56.414785771512</v>
      </c>
      <c r="H460" s="39" t="n">
        <f aca="false">CONCOR!J122</f>
        <v>-54.2210168855965</v>
      </c>
      <c r="I460" s="57" t="n">
        <f aca="false">CONCOR!K122</f>
        <v>-88.2094652899631</v>
      </c>
      <c r="J460" s="25" t="str">
        <f aca="false">IF(AND(ISNUMBER(I460),ISNUMBER(I$469)),IF(I460&gt;I$469,"Above",IF(I460&lt;I$469,"Below","At median")),"-")</f>
        <v>Below</v>
      </c>
      <c r="K460" s="25" t="str">
        <f aca="false">IF(J460="Below","Better",IF(J460="Above","Weaker",IF(J460="At median","In line","-")))</f>
        <v>Better</v>
      </c>
      <c r="L460" s="43" t="n">
        <f aca="false">IF(ISNUMBER(I460),RANK(I460,I$457:I$466,1),"-")</f>
        <v>3</v>
      </c>
    </row>
    <row r="461" customFormat="false" ht="15" hidden="false" customHeight="false" outlineLevel="0" collapsed="false">
      <c r="A461" s="16" t="s">
        <v>278</v>
      </c>
      <c r="B461" s="39" t="n">
        <f aca="false">JetFreight!D122</f>
        <v>20.1238903773219</v>
      </c>
      <c r="C461" s="39" t="n">
        <f aca="false">JetFreight!E122</f>
        <v>-9.18272305832227</v>
      </c>
      <c r="D461" s="39" t="n">
        <f aca="false">JetFreight!F122</f>
        <v>2.43634106814936</v>
      </c>
      <c r="E461" s="39" t="n">
        <f aca="false">JetFreight!G122</f>
        <v>10.3304538931519</v>
      </c>
      <c r="F461" s="39" t="n">
        <f aca="false">JetFreight!H122</f>
        <v>11.0219762066953</v>
      </c>
      <c r="G461" s="39" t="n">
        <f aca="false">JetFreight!I122</f>
        <v>17.3234319015514</v>
      </c>
      <c r="H461" s="39" t="n">
        <f aca="false">JetFreight!J122</f>
        <v>36.739047566183</v>
      </c>
      <c r="I461" s="57" t="n">
        <f aca="false">JetFreight!K122</f>
        <v>12.6846311363901</v>
      </c>
      <c r="J461" s="25" t="str">
        <f aca="false">IF(AND(ISNUMBER(I461),ISNUMBER(I$469)),IF(I461&gt;I$469,"Above",IF(I461&lt;I$469,"Below","At median")),"-")</f>
        <v>Above</v>
      </c>
      <c r="K461" s="25" t="str">
        <f aca="false">IF(J461="Below","Better",IF(J461="Above","Weaker",IF(J461="At median","In line","-")))</f>
        <v>Weaker</v>
      </c>
      <c r="L461" s="43" t="n">
        <f aca="false">IF(ISNUMBER(I461),RANK(I461,I$457:I$466,1),"-")</f>
        <v>6</v>
      </c>
    </row>
    <row r="462" customFormat="false" ht="15" hidden="false" customHeight="false" outlineLevel="0" collapsed="false">
      <c r="A462" s="16" t="s">
        <v>62</v>
      </c>
      <c r="B462" s="39" t="n">
        <f aca="false">Patel!D122</f>
        <v>62.9320221322598</v>
      </c>
      <c r="C462" s="39" t="n">
        <f aca="false">Patel!E122</f>
        <v>100.709854235638</v>
      </c>
      <c r="D462" s="39" t="n">
        <f aca="false">Patel!F122</f>
        <v>76.2671606420546</v>
      </c>
      <c r="E462" s="39" t="n">
        <f aca="false">Patel!G122</f>
        <v>62.9655494379517</v>
      </c>
      <c r="F462" s="39" t="n">
        <f aca="false">Patel!H122</f>
        <v>46.3782142786146</v>
      </c>
      <c r="G462" s="39" t="n">
        <f aca="false">Patel!I122</f>
        <v>33.0421050423346</v>
      </c>
      <c r="H462" s="39" t="n">
        <f aca="false">Patel!J122</f>
        <v>36.5255913671315</v>
      </c>
      <c r="I462" s="57" t="n">
        <f aca="false">Patel!K122</f>
        <v>59.831499590855</v>
      </c>
      <c r="J462" s="25" t="str">
        <f aca="false">IF(AND(ISNUMBER(I462),ISNUMBER(I$469)),IF(I462&gt;I$469,"Above",IF(I462&lt;I$469,"Below","At median")),"-")</f>
        <v>Above</v>
      </c>
      <c r="K462" s="25" t="str">
        <f aca="false">IF(J462="Below","Better",IF(J462="Above","Weaker",IF(J462="At median","In line","-")))</f>
        <v>Weaker</v>
      </c>
      <c r="L462" s="43" t="n">
        <f aca="false">IF(ISNUMBER(I462),RANK(I462,I$457:I$466,1),"-")</f>
        <v>9</v>
      </c>
    </row>
    <row r="463" customFormat="false" ht="15" hidden="false" customHeight="false" outlineLevel="0" collapsed="false">
      <c r="A463" s="16" t="s">
        <v>64</v>
      </c>
      <c r="B463" s="39" t="n">
        <f aca="false">Sical!D122</f>
        <v>-340.977125207947</v>
      </c>
      <c r="C463" s="39" t="n">
        <f aca="false">Sical!E122</f>
        <v>-907.234081815436</v>
      </c>
      <c r="D463" s="39" t="n">
        <f aca="false">Sical!F122</f>
        <v>-699.110833346208</v>
      </c>
      <c r="E463" s="39" t="n">
        <f aca="false">Sical!G122</f>
        <v>-237.530858350628</v>
      </c>
      <c r="F463" s="39" t="n">
        <f aca="false">Sical!H122</f>
        <v>-455.389977858449</v>
      </c>
      <c r="G463" s="39" t="n">
        <f aca="false">Sical!I122</f>
        <v>-476.354650175916</v>
      </c>
      <c r="H463" s="39" t="n">
        <f aca="false">Sical!J122</f>
        <v>-322.186303414833</v>
      </c>
      <c r="I463" s="57" t="n">
        <f aca="false">Sical!K122</f>
        <v>-491.254832881345</v>
      </c>
      <c r="J463" s="25" t="str">
        <f aca="false">IF(AND(ISNUMBER(I463),ISNUMBER(I$469)),IF(I463&gt;I$469,"Above",IF(I463&lt;I$469,"Below","At median")),"-")</f>
        <v>Below</v>
      </c>
      <c r="K463" s="25" t="str">
        <f aca="false">IF(J463="Below","Better",IF(J463="Above","Weaker",IF(J463="At median","In line","-")))</f>
        <v>Better</v>
      </c>
      <c r="L463" s="43" t="n">
        <f aca="false">IF(ISNUMBER(I463),RANK(I463,I$457:I$466,1),"-")</f>
        <v>1</v>
      </c>
    </row>
    <row r="464" customFormat="false" ht="15" hidden="false" customHeight="false" outlineLevel="0" collapsed="false">
      <c r="A464" s="16" t="s">
        <v>66</v>
      </c>
      <c r="B464" s="39" t="n">
        <f aca="false">TCI!D122</f>
        <v>27.743400705416</v>
      </c>
      <c r="C464" s="39" t="n">
        <f aca="false">TCI!E122</f>
        <v>24.9050200646847</v>
      </c>
      <c r="D464" s="39" t="n">
        <f aca="false">TCI!F122</f>
        <v>15.9777857080654</v>
      </c>
      <c r="E464" s="39" t="n">
        <f aca="false">TCI!G122</f>
        <v>18.1441757637768</v>
      </c>
      <c r="F464" s="39" t="n">
        <f aca="false">TCI!H122</f>
        <v>21.8445931363265</v>
      </c>
      <c r="G464" s="39" t="n">
        <f aca="false">TCI!I122</f>
        <v>5.73736753154284</v>
      </c>
      <c r="H464" s="39" t="n">
        <f aca="false">TCI!J122</f>
        <v>6.73549914792215</v>
      </c>
      <c r="I464" s="57" t="n">
        <f aca="false">TCI!K122</f>
        <v>17.2982631511049</v>
      </c>
      <c r="J464" s="25" t="str">
        <f aca="false">IF(AND(ISNUMBER(I464),ISNUMBER(I$469)),IF(I464&gt;I$469,"Above",IF(I464&lt;I$469,"Below","At median")),"-")</f>
        <v>Above</v>
      </c>
      <c r="K464" s="25" t="str">
        <f aca="false">IF(J464="Below","Better",IF(J464="Above","Weaker",IF(J464="At median","In line","-")))</f>
        <v>Weaker</v>
      </c>
      <c r="L464" s="43" t="n">
        <f aca="false">IF(ISNUMBER(I464),RANK(I464,I$457:I$466,1),"-")</f>
        <v>7</v>
      </c>
    </row>
    <row r="465" customFormat="false" ht="15" hidden="false" customHeight="false" outlineLevel="0" collapsed="false">
      <c r="A465" s="16" t="s">
        <v>68</v>
      </c>
      <c r="B465" s="39" t="n">
        <f aca="false">Shreeji!D122</f>
        <v>68.585140649956</v>
      </c>
      <c r="C465" s="39" t="n">
        <f aca="false">Shreeji!E122</f>
        <v>101.080537559009</v>
      </c>
      <c r="D465" s="39" t="n">
        <f aca="false">Shreeji!F122</f>
        <v>79.0057216470549</v>
      </c>
      <c r="E465" s="39" t="n">
        <f aca="false">Shreeji!G122</f>
        <v>64.661495942301</v>
      </c>
      <c r="F465" s="39" t="n">
        <f aca="false">Shreeji!H122</f>
        <v>64.013995670145</v>
      </c>
      <c r="G465" s="39" t="n">
        <f aca="false">Shreeji!I122</f>
        <v>69.3010479766881</v>
      </c>
      <c r="H465" s="39" t="n">
        <f aca="false">Shreeji!J122</f>
        <v>80.8296665254476</v>
      </c>
      <c r="I465" s="57" t="n">
        <f aca="false">Shreeji!K122</f>
        <v>75.3539437100859</v>
      </c>
      <c r="J465" s="25" t="str">
        <f aca="false">IF(AND(ISNUMBER(I465),ISNUMBER(I$469)),IF(I465&gt;I$469,"Above",IF(I465&lt;I$469,"Below","At median")),"-")</f>
        <v>Above</v>
      </c>
      <c r="K465" s="25" t="str">
        <f aca="false">IF(J465="Below","Better",IF(J465="Above","Weaker",IF(J465="At median","In line","-")))</f>
        <v>Weaker</v>
      </c>
      <c r="L465" s="43" t="n">
        <f aca="false">IF(ISNUMBER(I465),RANK(I465,I$457:I$466,1),"-")</f>
        <v>10</v>
      </c>
    </row>
    <row r="466" customFormat="false" ht="15" hidden="false" customHeight="false" outlineLevel="0" collapsed="false">
      <c r="A466" s="16" t="s">
        <v>279</v>
      </c>
      <c r="B466" s="39" t="n">
        <f aca="false">MahindraLog!D122</f>
        <v>-27.5485944138038</v>
      </c>
      <c r="C466" s="39" t="n">
        <f aca="false">MahindraLog!E122</f>
        <v>-57.4867278506113</v>
      </c>
      <c r="D466" s="39" t="n">
        <f aca="false">MahindraLog!F122</f>
        <v>-61.9565186536722</v>
      </c>
      <c r="E466" s="39" t="n">
        <f aca="false">MahindraLog!G122</f>
        <v>-49.6252742939899</v>
      </c>
      <c r="F466" s="39" t="n">
        <f aca="false">MahindraLog!H122</f>
        <v>-50.2575499165186</v>
      </c>
      <c r="G466" s="39" t="n">
        <f aca="false">MahindraLog!I122</f>
        <v>-50.7342691447687</v>
      </c>
      <c r="H466" s="39" t="n">
        <f aca="false">MahindraLog!J122</f>
        <v>-41.4609983199991</v>
      </c>
      <c r="I466" s="57" t="n">
        <f aca="false">MahindraLog!K122</f>
        <v>-48.4385617990519</v>
      </c>
      <c r="J466" s="25" t="str">
        <f aca="false">IF(AND(ISNUMBER(I466),ISNUMBER(I$469)),IF(I466&gt;I$469,"Above",IF(I466&lt;I$469,"Below","At median")),"-")</f>
        <v>Below</v>
      </c>
      <c r="K466" s="25" t="str">
        <f aca="false">IF(J466="Below","Better",IF(J466="Above","Weaker",IF(J466="At median","In line","-")))</f>
        <v>Better</v>
      </c>
      <c r="L466" s="43" t="n">
        <f aca="false">IF(ISNUMBER(I466),RANK(I466,I$457:I$466,1),"-")</f>
        <v>4</v>
      </c>
    </row>
    <row r="467" customFormat="false" ht="15" hidden="false" customHeight="false" outlineLevel="0" collapsed="false">
      <c r="A467" s="46" t="s">
        <v>328</v>
      </c>
      <c r="B467" s="40" t="n">
        <f aca="false">Industry!D123</f>
        <v>-85.7597175527759</v>
      </c>
      <c r="C467" s="40" t="n">
        <f aca="false">Industry!E123</f>
        <v>-79.9739684825552</v>
      </c>
      <c r="D467" s="40" t="n">
        <f aca="false">Industry!F123</f>
        <v>-55.1424694184584</v>
      </c>
      <c r="E467" s="40" t="n">
        <f aca="false">Industry!G123</f>
        <v>-46.3718061317488</v>
      </c>
      <c r="F467" s="40" t="n">
        <f aca="false">Industry!H123</f>
        <v>-42.8387684618047</v>
      </c>
      <c r="G467" s="40" t="n">
        <f aca="false">Industry!I123</f>
        <v>-40.7591696463436</v>
      </c>
      <c r="H467" s="40" t="n">
        <f aca="false">Industry!J123</f>
        <v>-36.803674532139</v>
      </c>
      <c r="I467" s="40" t="n">
        <f aca="false">Industry!K123</f>
        <v>-55.3785106036894</v>
      </c>
      <c r="J467" s="47"/>
      <c r="K467" s="47"/>
      <c r="L467" s="47"/>
    </row>
    <row r="468" customFormat="false" ht="15" hidden="false" customHeight="false" outlineLevel="0" collapsed="false">
      <c r="A468" s="52" t="s">
        <v>329</v>
      </c>
      <c r="B468" s="58" t="n">
        <f aca="false">IF(COUNT(B457:B466)=0,"N/M",AVERAGE(B457:B466))</f>
        <v>-58.4509099087898</v>
      </c>
      <c r="C468" s="58" t="n">
        <f aca="false">IF(COUNT(C457:C466)=0,"N/M",AVERAGE(C457:C466))</f>
        <v>-100.438144336796</v>
      </c>
      <c r="D468" s="58" t="n">
        <f aca="false">IF(COUNT(D457:D466)=0,"N/M",AVERAGE(D457:D466))</f>
        <v>-79.9740676520913</v>
      </c>
      <c r="E468" s="58" t="n">
        <f aca="false">IF(COUNT(E457:E466)=0,"N/M",AVERAGE(E457:E466))</f>
        <v>-29.7768869450913</v>
      </c>
      <c r="F468" s="58" t="n">
        <f aca="false">IF(COUNT(F457:F466)=0,"N/M",AVERAGE(F457:F466))</f>
        <v>-46.1607664548175</v>
      </c>
      <c r="G468" s="58" t="n">
        <f aca="false">IF(COUNT(G457:G466)=0,"N/M",AVERAGE(G457:G466))</f>
        <v>-49.6691817889407</v>
      </c>
      <c r="H468" s="58" t="n">
        <f aca="false">IF(COUNT(H457:H466)=0,"N/M",AVERAGE(H457:H466))</f>
        <v>-28.6529754380996</v>
      </c>
      <c r="I468" s="58" t="n">
        <f aca="false">IF(COUNT(I457:I466)=0,"N/M",AVERAGE(I457:I466))</f>
        <v>-56.1604189320894</v>
      </c>
      <c r="J468" s="54"/>
      <c r="K468" s="54"/>
      <c r="L468" s="54"/>
    </row>
    <row r="469" customFormat="false" ht="15" hidden="false" customHeight="false" outlineLevel="0" collapsed="false">
      <c r="A469" s="28" t="s">
        <v>281</v>
      </c>
      <c r="B469" s="41" t="n">
        <f aca="false">IF(COUNT(B457:B466)=0,"N/M",MEDIAN(B457:B466))</f>
        <v>-3.71235201824095</v>
      </c>
      <c r="C469" s="41" t="n">
        <f aca="false">IF(COUNT(C457:C466)=0,"N/M",MEDIAN(C457:C466))</f>
        <v>-33.2187198850665</v>
      </c>
      <c r="D469" s="41" t="n">
        <f aca="false">IF(COUNT(D457:D466)=0,"N/M",MEDIAN(D457:D466))</f>
        <v>-17.3121997014306</v>
      </c>
      <c r="E469" s="41" t="n">
        <f aca="false">IF(COUNT(E457:E466)=0,"N/M",MEDIAN(E457:E466))</f>
        <v>-15.2870623270782</v>
      </c>
      <c r="F469" s="41" t="n">
        <f aca="false">IF(COUNT(F457:F466)=0,"N/M",MEDIAN(F457:F466))</f>
        <v>-14.4313513250747</v>
      </c>
      <c r="G469" s="41" t="n">
        <f aca="false">IF(COUNT(G457:G466)=0,"N/M",MEDIAN(G457:G466))</f>
        <v>-13.564185632729</v>
      </c>
      <c r="H469" s="41" t="n">
        <f aca="false">IF(COUNT(H457:H466)=0,"N/M",MEDIAN(H457:H466))</f>
        <v>-15.3481997652289</v>
      </c>
      <c r="I469" s="41" t="n">
        <f aca="false">IF(COUNT(I457:I466)=0,"N/M",MEDIAN(I457:I466))</f>
        <v>-14.5658035949195</v>
      </c>
      <c r="J469" s="54"/>
      <c r="K469" s="54"/>
      <c r="L469" s="54"/>
    </row>
    <row r="470" customFormat="false" ht="15" hidden="false" customHeight="false" outlineLevel="0" collapsed="false">
      <c r="A470" s="52" t="s">
        <v>330</v>
      </c>
      <c r="B470" s="58" t="n">
        <f aca="false">IF(COUNT(B457:B466)&lt;2,"N/M",STDEV(B457:B466))</f>
        <v>145.981993208424</v>
      </c>
      <c r="C470" s="58" t="n">
        <f aca="false">IF(COUNT(C457:C466)&lt;2,"N/M",STDEV(C457:C466))</f>
        <v>293.904154779865</v>
      </c>
      <c r="D470" s="58" t="n">
        <f aca="false">IF(COUNT(D457:D466)&lt;2,"N/M",STDEV(D457:D466))</f>
        <v>226.03363661591</v>
      </c>
      <c r="E470" s="58" t="n">
        <f aca="false">IF(COUNT(E457:E466)&lt;2,"N/M",STDEV(E457:E466))</f>
        <v>89.3777471490664</v>
      </c>
      <c r="F470" s="58" t="n">
        <f aca="false">IF(COUNT(F457:F466)&lt;2,"N/M",STDEV(F457:F466))</f>
        <v>152.792710191048</v>
      </c>
      <c r="G470" s="58" t="n">
        <f aca="false">IF(COUNT(G457:G466)&lt;2,"N/M",STDEV(G457:G466))</f>
        <v>156.854844902397</v>
      </c>
      <c r="H470" s="58" t="n">
        <f aca="false">IF(COUNT(H457:H466)&lt;2,"N/M",STDEV(H457:H466))</f>
        <v>114.790551362692</v>
      </c>
      <c r="I470" s="58" t="n">
        <f aca="false">IF(COUNT(I457:I466)&lt;2,"N/M",STDEV(I457:I466))</f>
        <v>164.493900784313</v>
      </c>
      <c r="J470" s="54"/>
      <c r="K470" s="54"/>
      <c r="L470" s="54"/>
    </row>
    <row r="471" customFormat="false" ht="15" hidden="false" customHeight="false" outlineLevel="0" collapsed="false">
      <c r="A471" s="52" t="s">
        <v>269</v>
      </c>
      <c r="B471" s="58" t="n">
        <f aca="false">IF(COUNT(B457:B466)=0,"N/M",MIN(B457:B466))</f>
        <v>-340.977125207947</v>
      </c>
      <c r="C471" s="58" t="n">
        <f aca="false">IF(COUNT(C457:C466)=0,"N/M",MIN(C457:C466))</f>
        <v>-907.234081815436</v>
      </c>
      <c r="D471" s="58" t="n">
        <f aca="false">IF(COUNT(D457:D466)=0,"N/M",MIN(D457:D466))</f>
        <v>-699.110833346208</v>
      </c>
      <c r="E471" s="58" t="n">
        <f aca="false">IF(COUNT(E457:E466)=0,"N/M",MIN(E457:E466))</f>
        <v>-237.530858350628</v>
      </c>
      <c r="F471" s="58" t="n">
        <f aca="false">IF(COUNT(F457:F466)=0,"N/M",MIN(F457:F466))</f>
        <v>-455.389977858449</v>
      </c>
      <c r="G471" s="58" t="n">
        <f aca="false">IF(COUNT(G457:G466)=0,"N/M",MIN(G457:G466))</f>
        <v>-476.354650175916</v>
      </c>
      <c r="H471" s="58" t="n">
        <f aca="false">IF(COUNT(H457:H466)=0,"N/M",MIN(H457:H466))</f>
        <v>-322.186303414833</v>
      </c>
      <c r="I471" s="58" t="n">
        <f aca="false">IF(COUNT(I457:I466)=0,"N/M",MIN(I457:I466))</f>
        <v>-491.254832881345</v>
      </c>
      <c r="J471" s="54"/>
      <c r="K471" s="54"/>
      <c r="L471" s="54"/>
    </row>
    <row r="472" customFormat="false" ht="15" hidden="false" customHeight="false" outlineLevel="0" collapsed="false">
      <c r="A472" s="52" t="s">
        <v>270</v>
      </c>
      <c r="B472" s="58" t="n">
        <f aca="false">IF(COUNT(B457:B466)=0,"N/M",MAX(B457:B466))</f>
        <v>68.585140649956</v>
      </c>
      <c r="C472" s="58" t="n">
        <f aca="false">IF(COUNT(C457:C466)=0,"N/M",MAX(C457:C466))</f>
        <v>101.080537559009</v>
      </c>
      <c r="D472" s="58" t="n">
        <f aca="false">IF(COUNT(D457:D466)=0,"N/M",MAX(D457:D466))</f>
        <v>79.0057216470549</v>
      </c>
      <c r="E472" s="58" t="n">
        <f aca="false">IF(COUNT(E457:E466)=0,"N/M",MAX(E457:E466))</f>
        <v>64.661495942301</v>
      </c>
      <c r="F472" s="58" t="n">
        <f aca="false">IF(COUNT(F457:F466)=0,"N/M",MAX(F457:F466))</f>
        <v>69.2953199219706</v>
      </c>
      <c r="G472" s="58" t="n">
        <f aca="false">IF(COUNT(G457:G466)=0,"N/M",MAX(G457:G466))</f>
        <v>69.3010479766881</v>
      </c>
      <c r="H472" s="58" t="n">
        <f aca="false">IF(COUNT(H457:H466)=0,"N/M",MAX(H457:H466))</f>
        <v>80.8296665254476</v>
      </c>
      <c r="I472" s="58" t="n">
        <f aca="false">IF(COUNT(I457:I466)=0,"N/M",MAX(I457:I466))</f>
        <v>75.3539437100859</v>
      </c>
      <c r="J472" s="54"/>
      <c r="K472" s="54"/>
      <c r="L472" s="54"/>
    </row>
    <row r="474" customFormat="false" ht="16.5" hidden="false" customHeight="true" outlineLevel="0" collapsed="false">
      <c r="A474" s="49" t="s">
        <v>356</v>
      </c>
      <c r="B474" s="49"/>
      <c r="C474" s="49"/>
      <c r="D474" s="49"/>
      <c r="E474" s="49"/>
      <c r="F474" s="49"/>
      <c r="G474" s="49"/>
      <c r="H474" s="49"/>
      <c r="I474" s="49"/>
      <c r="J474" s="49"/>
      <c r="K474" s="49"/>
      <c r="L474" s="49"/>
    </row>
    <row r="475" customFormat="false" ht="15" hidden="false" customHeight="false" outlineLevel="0" collapsed="false">
      <c r="A475" s="16" t="s">
        <v>52</v>
      </c>
      <c r="B475" s="36" t="n">
        <f aca="false">Tiger!D123</f>
        <v>31.2738589211618</v>
      </c>
      <c r="C475" s="36" t="n">
        <f aca="false">Tiger!E123</f>
        <v>19.4744779582367</v>
      </c>
      <c r="D475" s="36" t="n">
        <f aca="false">Tiger!F123</f>
        <v>78.3579617834395</v>
      </c>
      <c r="E475" s="36" t="n">
        <f aca="false">Tiger!G123</f>
        <v>57.7030625832224</v>
      </c>
      <c r="F475" s="36" t="n">
        <f aca="false">Tiger!H123</f>
        <v>26.5480662983425</v>
      </c>
      <c r="G475" s="36" t="n">
        <f aca="false">Tiger!I123</f>
        <v>60.3273340832396</v>
      </c>
      <c r="H475" s="36" t="n">
        <f aca="false">Tiger!J123</f>
        <v>58.3319755600815</v>
      </c>
      <c r="I475" s="59" t="n">
        <f aca="false">Tiger!K123</f>
        <v>47.4309624553891</v>
      </c>
      <c r="J475" s="25" t="str">
        <f aca="false">IF(AND(ISNUMBER(I475),ISNUMBER(I$487)),IF(I475&gt;I$487,"Above",IF(I475&lt;I$487,"Below","At median")),"-")</f>
        <v>Above</v>
      </c>
      <c r="K475" s="25" t="str">
        <f aca="false">IF(J475="Above","Better",IF(J475="Below","Weaker",IF(J475="At median","In line","-")))</f>
        <v>Better</v>
      </c>
      <c r="L475" s="43" t="n">
        <f aca="false">IF(ISNUMBER(I475),RANK(I475,I$475:I$484,0),"-")</f>
        <v>1</v>
      </c>
    </row>
    <row r="476" customFormat="false" ht="15" hidden="false" customHeight="false" outlineLevel="0" collapsed="false">
      <c r="A476" s="16" t="s">
        <v>54</v>
      </c>
      <c r="B476" s="36" t="n">
        <f aca="false">Allcargo!D123</f>
        <v>3.73286449626268</v>
      </c>
      <c r="C476" s="36" t="n">
        <f aca="false">Allcargo!E123</f>
        <v>3.31739641529944</v>
      </c>
      <c r="D476" s="36" t="n">
        <f aca="false">Allcargo!F123</f>
        <v>5.45915526840333</v>
      </c>
      <c r="E476" s="36" t="n">
        <f aca="false">Allcargo!G123</f>
        <v>8.4670666266394</v>
      </c>
      <c r="F476" s="36" t="n">
        <f aca="false">Allcargo!H123</f>
        <v>4.57553936528657</v>
      </c>
      <c r="G476" s="36" t="n">
        <f aca="false">Allcargo!I123</f>
        <v>2.5836627140975</v>
      </c>
      <c r="H476" s="36" t="n">
        <f aca="false">Allcargo!J123</f>
        <v>2.62835249042146</v>
      </c>
      <c r="I476" s="59" t="n">
        <f aca="false">Allcargo!K123</f>
        <v>4.39486248234434</v>
      </c>
      <c r="J476" s="25" t="str">
        <f aca="false">IF(AND(ISNUMBER(I476),ISNUMBER(I$487)),IF(I476&gt;I$487,"Above",IF(I476&lt;I$487,"Below","At median")),"-")</f>
        <v>Below</v>
      </c>
      <c r="K476" s="25" t="str">
        <f aca="false">IF(J476="Above","Better",IF(J476="Below","Weaker",IF(J476="At median","In line","-")))</f>
        <v>Weaker</v>
      </c>
      <c r="L476" s="43" t="n">
        <f aca="false">IF(ISNUMBER(I476),RANK(I476,I$475:I$484,0),"-")</f>
        <v>6</v>
      </c>
    </row>
    <row r="477" customFormat="false" ht="15" hidden="false" customHeight="false" outlineLevel="0" collapsed="false">
      <c r="A477" s="16" t="s">
        <v>277</v>
      </c>
      <c r="B477" s="36" t="n">
        <f aca="false">BlueDart!D123</f>
        <v>1.90700789198669</v>
      </c>
      <c r="C477" s="36" t="n">
        <f aca="false">BlueDart!E123</f>
        <v>2.07691481701386</v>
      </c>
      <c r="D477" s="36" t="n">
        <f aca="false">BlueDart!F123</f>
        <v>3.06951220360923</v>
      </c>
      <c r="E477" s="36" t="n">
        <f aca="false">BlueDart!G123</f>
        <v>3.59924288289041</v>
      </c>
      <c r="F477" s="36" t="n">
        <f aca="false">BlueDart!H123</f>
        <v>2.89037826330286</v>
      </c>
      <c r="G477" s="36" t="n">
        <f aca="false">BlueDart!I123</f>
        <v>3.15408198149516</v>
      </c>
      <c r="H477" s="36" t="n">
        <f aca="false">BlueDart!J123</f>
        <v>3.01706806591398</v>
      </c>
      <c r="I477" s="59" t="n">
        <f aca="false">BlueDart!K123</f>
        <v>2.81631515803031</v>
      </c>
      <c r="J477" s="25" t="str">
        <f aca="false">IF(AND(ISNUMBER(I477),ISNUMBER(I$487)),IF(I477&gt;I$487,"Above",IF(I477&lt;I$487,"Below","At median")),"-")</f>
        <v>Below</v>
      </c>
      <c r="K477" s="25" t="str">
        <f aca="false">IF(J477="Above","Better",IF(J477="Below","Weaker",IF(J477="At median","In line","-")))</f>
        <v>Weaker</v>
      </c>
      <c r="L477" s="43" t="n">
        <f aca="false">IF(ISNUMBER(I477),RANK(I477,I$475:I$484,0),"-")</f>
        <v>8</v>
      </c>
    </row>
    <row r="478" customFormat="false" ht="15" hidden="false" customHeight="false" outlineLevel="0" collapsed="false">
      <c r="A478" s="16" t="s">
        <v>58</v>
      </c>
      <c r="B478" s="36" t="n">
        <f aca="false">CONCOR!D123</f>
        <v>1.22111107163493</v>
      </c>
      <c r="C478" s="36" t="n">
        <f aca="false">CONCOR!E123</f>
        <v>1.13498908643964</v>
      </c>
      <c r="D478" s="36" t="n">
        <f aca="false">CONCOR!F123</f>
        <v>1.33725629989987</v>
      </c>
      <c r="E478" s="36" t="n">
        <f aca="false">CONCOR!G123</f>
        <v>1.45340162862567</v>
      </c>
      <c r="F478" s="36" t="n">
        <f aca="false">CONCOR!H123</f>
        <v>1.43869580831155</v>
      </c>
      <c r="G478" s="36" t="n">
        <f aca="false">CONCOR!I123</f>
        <v>1.35092506312258</v>
      </c>
      <c r="H478" s="36" t="n">
        <f aca="false">CONCOR!J123</f>
        <v>1.26580271871732</v>
      </c>
      <c r="I478" s="59" t="n">
        <f aca="false">CONCOR!K123</f>
        <v>1.31459738239308</v>
      </c>
      <c r="J478" s="25" t="str">
        <f aca="false">IF(AND(ISNUMBER(I478),ISNUMBER(I$487)),IF(I478&gt;I$487,"Above",IF(I478&lt;I$487,"Below","At median")),"-")</f>
        <v>Below</v>
      </c>
      <c r="K478" s="25" t="str">
        <f aca="false">IF(J478="Above","Better",IF(J478="Below","Weaker",IF(J478="At median","In line","-")))</f>
        <v>Weaker</v>
      </c>
      <c r="L478" s="43" t="n">
        <f aca="false">IF(ISNUMBER(I478),RANK(I478,I$475:I$484,0),"-")</f>
        <v>9</v>
      </c>
    </row>
    <row r="479" customFormat="false" ht="15" hidden="false" customHeight="false" outlineLevel="0" collapsed="false">
      <c r="A479" s="16" t="s">
        <v>278</v>
      </c>
      <c r="B479" s="36" t="n">
        <f aca="false">JetFreight!D123</f>
        <v>20.8905923344948</v>
      </c>
      <c r="C479" s="36" t="n">
        <f aca="false">JetFreight!E123</f>
        <v>12.1467600700525</v>
      </c>
      <c r="D479" s="36" t="n">
        <f aca="false">JetFreight!F123</f>
        <v>14.6585365853659</v>
      </c>
      <c r="E479" s="36" t="n">
        <f aca="false">JetFreight!G123</f>
        <v>13.6396072013093</v>
      </c>
      <c r="F479" s="36" t="n">
        <f aca="false">JetFreight!H123</f>
        <v>14.2772459499264</v>
      </c>
      <c r="G479" s="36" t="n">
        <f aca="false">JetFreight!I123</f>
        <v>16.5578308684111</v>
      </c>
      <c r="H479" s="36" t="n">
        <f aca="false">JetFreight!J123</f>
        <v>18.2298850574713</v>
      </c>
      <c r="I479" s="59" t="n">
        <f aca="false">JetFreight!K123</f>
        <v>15.7714940095759</v>
      </c>
      <c r="J479" s="25" t="str">
        <f aca="false">IF(AND(ISNUMBER(I479),ISNUMBER(I$487)),IF(I479&gt;I$487,"Above",IF(I479&lt;I$487,"Below","At median")),"-")</f>
        <v>Above</v>
      </c>
      <c r="K479" s="25" t="str">
        <f aca="false">IF(J479="Above","Better",IF(J479="Below","Weaker",IF(J479="At median","In line","-")))</f>
        <v>Better</v>
      </c>
      <c r="L479" s="43" t="n">
        <f aca="false">IF(ISNUMBER(I479),RANK(I479,I$475:I$484,0),"-")</f>
        <v>2</v>
      </c>
    </row>
    <row r="480" customFormat="false" ht="15" hidden="false" customHeight="false" outlineLevel="0" collapsed="false">
      <c r="A480" s="16" t="s">
        <v>62</v>
      </c>
      <c r="B480" s="36" t="n">
        <f aca="false">Patel!D123</f>
        <v>6.7986301369863</v>
      </c>
      <c r="C480" s="36" t="n">
        <f aca="false">Patel!E123</f>
        <v>3.99491812535291</v>
      </c>
      <c r="D480" s="36" t="n">
        <f aca="false">Patel!F123</f>
        <v>4.11737831664031</v>
      </c>
      <c r="E480" s="36" t="n">
        <f aca="false">Patel!G123</f>
        <v>5.05228758169935</v>
      </c>
      <c r="F480" s="36" t="n">
        <f aca="false">Patel!H123</f>
        <v>5.99072164948454</v>
      </c>
      <c r="G480" s="36" t="n">
        <f aca="false">Patel!I123</f>
        <v>7.27116486314449</v>
      </c>
      <c r="H480" s="36" t="n">
        <f aca="false">Patel!J123</f>
        <v>7.78931297709924</v>
      </c>
      <c r="I480" s="59" t="n">
        <f aca="false">Patel!K123</f>
        <v>5.85920195005816</v>
      </c>
      <c r="J480" s="25" t="str">
        <f aca="false">IF(AND(ISNUMBER(I480),ISNUMBER(I$487)),IF(I480&gt;I$487,"Above",IF(I480&lt;I$487,"Below","At median")),"-")</f>
        <v>Above</v>
      </c>
      <c r="K480" s="25" t="str">
        <f aca="false">IF(J480="Above","Better",IF(J480="Below","Weaker",IF(J480="At median","In line","-")))</f>
        <v>Better</v>
      </c>
      <c r="L480" s="43" t="n">
        <f aca="false">IF(ISNUMBER(I480),RANK(I480,I$475:I$484,0),"-")</f>
        <v>5</v>
      </c>
    </row>
    <row r="481" customFormat="false" ht="15" hidden="false" customHeight="false" outlineLevel="0" collapsed="false">
      <c r="A481" s="16" t="s">
        <v>64</v>
      </c>
      <c r="B481" s="36" t="n">
        <f aca="false">Sical!D123</f>
        <v>1.07006532053874</v>
      </c>
      <c r="C481" s="36" t="n">
        <f aca="false">Sical!E123</f>
        <v>0.599938056154478</v>
      </c>
      <c r="D481" s="36" t="n">
        <f aca="false">Sical!F123</f>
        <v>0.45663612565445</v>
      </c>
      <c r="E481" s="36" t="n">
        <f aca="false">Sical!G123</f>
        <v>0.647730276199286</v>
      </c>
      <c r="F481" s="36" t="n">
        <f aca="false">Sical!H123</f>
        <v>0.396730548377835</v>
      </c>
      <c r="G481" s="36" t="n">
        <f aca="false">Sical!I123</f>
        <v>0.368496245597714</v>
      </c>
      <c r="H481" s="36" t="n">
        <f aca="false">Sical!J123</f>
        <v>0.694305928099516</v>
      </c>
      <c r="I481" s="59" t="n">
        <f aca="false">Sical!K123</f>
        <v>0.604843214374574</v>
      </c>
      <c r="J481" s="25" t="str">
        <f aca="false">IF(AND(ISNUMBER(I481),ISNUMBER(I$487)),IF(I481&gt;I$487,"Above",IF(I481&lt;I$487,"Below","At median")),"-")</f>
        <v>Below</v>
      </c>
      <c r="K481" s="25" t="str">
        <f aca="false">IF(J481="Above","Better",IF(J481="Below","Weaker",IF(J481="At median","In line","-")))</f>
        <v>Weaker</v>
      </c>
      <c r="L481" s="43" t="n">
        <f aca="false">IF(ISNUMBER(I481),RANK(I481,I$475:I$484,0),"-")</f>
        <v>10</v>
      </c>
    </row>
    <row r="482" customFormat="false" ht="15" hidden="false" customHeight="false" outlineLevel="0" collapsed="false">
      <c r="A482" s="16" t="s">
        <v>66</v>
      </c>
      <c r="B482" s="36" t="n">
        <f aca="false">TCI!D123</f>
        <v>3.52179546985953</v>
      </c>
      <c r="C482" s="36" t="n">
        <f aca="false">TCI!E123</f>
        <v>3.48283061779949</v>
      </c>
      <c r="D482" s="36" t="n">
        <f aca="false">TCI!F123</f>
        <v>4.06665002807762</v>
      </c>
      <c r="E482" s="36" t="n">
        <f aca="false">TCI!G123</f>
        <v>4.78043879382251</v>
      </c>
      <c r="F482" s="36" t="n">
        <f aca="false">TCI!H123</f>
        <v>4.6697068857481</v>
      </c>
      <c r="G482" s="36" t="n">
        <f aca="false">TCI!I123</f>
        <v>4.66097333194978</v>
      </c>
      <c r="H482" s="36" t="n">
        <f aca="false">TCI!J123</f>
        <v>4.12242074638003</v>
      </c>
      <c r="I482" s="59" t="n">
        <f aca="false">TCI!K123</f>
        <v>4.18640226766244</v>
      </c>
      <c r="J482" s="25" t="str">
        <f aca="false">IF(AND(ISNUMBER(I482),ISNUMBER(I$487)),IF(I482&gt;I$487,"Above",IF(I482&lt;I$487,"Below","At median")),"-")</f>
        <v>Below</v>
      </c>
      <c r="K482" s="25" t="str">
        <f aca="false">IF(J482="Above","Better",IF(J482="Below","Weaker",IF(J482="At median","In line","-")))</f>
        <v>Weaker</v>
      </c>
      <c r="L482" s="43" t="n">
        <f aca="false">IF(ISNUMBER(I482),RANK(I482,I$475:I$484,0),"-")</f>
        <v>7</v>
      </c>
    </row>
    <row r="483" customFormat="false" ht="15" hidden="false" customHeight="false" outlineLevel="0" collapsed="false">
      <c r="A483" s="16" t="s">
        <v>68</v>
      </c>
      <c r="B483" s="36" t="n">
        <f aca="false">Shreeji!D123</f>
        <v>4.14000752728641</v>
      </c>
      <c r="C483" s="36" t="n">
        <f aca="false">Shreeji!E123</f>
        <v>4.38000809388911</v>
      </c>
      <c r="D483" s="36" t="n">
        <f aca="false">Shreeji!F123</f>
        <v>8.03434739941119</v>
      </c>
      <c r="E483" s="36" t="n">
        <f aca="false">Shreeji!G123</f>
        <v>9.24801587301587</v>
      </c>
      <c r="F483" s="36" t="n">
        <f aca="false">Shreeji!H123</f>
        <v>7.54063816977724</v>
      </c>
      <c r="G483" s="36" t="n">
        <f aca="false">Shreeji!I123</f>
        <v>7.62396121883657</v>
      </c>
      <c r="H483" s="36" t="n">
        <f aca="false">Shreeji!J123</f>
        <v>9.39414595028067</v>
      </c>
      <c r="I483" s="59" t="n">
        <f aca="false">Shreeji!K123</f>
        <v>7.19444631892815</v>
      </c>
      <c r="J483" s="25" t="str">
        <f aca="false">IF(AND(ISNUMBER(I483),ISNUMBER(I$487)),IF(I483&gt;I$487,"Above",IF(I483&lt;I$487,"Below","At median")),"-")</f>
        <v>Above</v>
      </c>
      <c r="K483" s="25" t="str">
        <f aca="false">IF(J483="Above","Better",IF(J483="Below","Weaker",IF(J483="At median","In line","-")))</f>
        <v>Better</v>
      </c>
      <c r="L483" s="43" t="n">
        <f aca="false">IF(ISNUMBER(I483),RANK(I483,I$475:I$484,0),"-")</f>
        <v>4</v>
      </c>
    </row>
    <row r="484" customFormat="false" ht="15" hidden="false" customHeight="false" outlineLevel="0" collapsed="false">
      <c r="A484" s="16" t="s">
        <v>279</v>
      </c>
      <c r="B484" s="36" t="n">
        <f aca="false">MahindraLog!D123</f>
        <v>15.0291825424316</v>
      </c>
      <c r="C484" s="36" t="n">
        <f aca="false">MahindraLog!E123</f>
        <v>9.04779330228432</v>
      </c>
      <c r="D484" s="36" t="n">
        <f aca="false">MahindraLog!F123</f>
        <v>8.27242033762861</v>
      </c>
      <c r="E484" s="36" t="n">
        <f aca="false">MahindraLog!G123</f>
        <v>6.18104570436795</v>
      </c>
      <c r="F484" s="36" t="n">
        <f aca="false">MahindraLog!H123</f>
        <v>6.58459201856038</v>
      </c>
      <c r="G484" s="36" t="n">
        <f aca="false">MahindraLog!I123</f>
        <v>6.56744050948836</v>
      </c>
      <c r="H484" s="36" t="n">
        <f aca="false">MahindraLog!J123</f>
        <v>6.09982047304481</v>
      </c>
      <c r="I484" s="59" t="n">
        <f aca="false">MahindraLog!K123</f>
        <v>8.25461355540086</v>
      </c>
      <c r="J484" s="25" t="str">
        <f aca="false">IF(AND(ISNUMBER(I484),ISNUMBER(I$487)),IF(I484&gt;I$487,"Above",IF(I484&lt;I$487,"Below","At median")),"-")</f>
        <v>Above</v>
      </c>
      <c r="K484" s="25" t="str">
        <f aca="false">IF(J484="Above","Better",IF(J484="Below","Weaker",IF(J484="At median","In line","-")))</f>
        <v>Better</v>
      </c>
      <c r="L484" s="43" t="n">
        <f aca="false">IF(ISNUMBER(I484),RANK(I484,I$475:I$484,0),"-")</f>
        <v>3</v>
      </c>
    </row>
    <row r="485" customFormat="false" ht="15" hidden="false" customHeight="false" outlineLevel="0" collapsed="false">
      <c r="A485" s="46" t="s">
        <v>328</v>
      </c>
      <c r="B485" s="37" t="n">
        <f aca="false">Industry!D124</f>
        <v>2.29522906821707</v>
      </c>
      <c r="C485" s="37" t="n">
        <f aca="false">Industry!E124</f>
        <v>2.20412122663155</v>
      </c>
      <c r="D485" s="37" t="n">
        <f aca="false">Industry!F124</f>
        <v>3.14361041458553</v>
      </c>
      <c r="E485" s="37" t="n">
        <f aca="false">Industry!G124</f>
        <v>3.64377753877112</v>
      </c>
      <c r="F485" s="37" t="n">
        <f aca="false">Industry!H124</f>
        <v>2.89849081973472</v>
      </c>
      <c r="G485" s="37" t="n">
        <f aca="false">Industry!I124</f>
        <v>2.45990572857928</v>
      </c>
      <c r="H485" s="37" t="n">
        <f aca="false">Industry!J124</f>
        <v>2.40064303632609</v>
      </c>
      <c r="I485" s="37" t="n">
        <f aca="false">Industry!K124</f>
        <v>2.72082540469219</v>
      </c>
      <c r="J485" s="47"/>
      <c r="K485" s="47"/>
      <c r="L485" s="47"/>
    </row>
    <row r="486" customFormat="false" ht="15" hidden="false" customHeight="false" outlineLevel="0" collapsed="false">
      <c r="A486" s="52" t="s">
        <v>329</v>
      </c>
      <c r="B486" s="60" t="n">
        <f aca="false">IF(COUNT(B475:B484)=0,"N/M",AVERAGE(B475:B484))</f>
        <v>8.95851157126435</v>
      </c>
      <c r="C486" s="60" t="n">
        <f aca="false">IF(COUNT(C475:C484)=0,"N/M",AVERAGE(C475:C484))</f>
        <v>5.96560265425224</v>
      </c>
      <c r="D486" s="60" t="n">
        <f aca="false">IF(COUNT(D475:D484)=0,"N/M",AVERAGE(D475:D484))</f>
        <v>12.782985434813</v>
      </c>
      <c r="E486" s="60" t="n">
        <f aca="false">IF(COUNT(E475:E484)=0,"N/M",AVERAGE(E475:E484))</f>
        <v>11.0771899151792</v>
      </c>
      <c r="F486" s="60" t="n">
        <f aca="false">IF(COUNT(F475:F484)=0,"N/M",AVERAGE(F475:F484))</f>
        <v>7.4912314957118</v>
      </c>
      <c r="G486" s="60" t="n">
        <f aca="false">IF(COUNT(G475:G484)=0,"N/M",AVERAGE(G475:G484))</f>
        <v>11.0465870879383</v>
      </c>
      <c r="H486" s="60" t="n">
        <f aca="false">IF(COUNT(H475:H484)=0,"N/M",AVERAGE(H475:H484))</f>
        <v>11.157308996751</v>
      </c>
      <c r="I486" s="60" t="n">
        <f aca="false">IF(COUNT(I475:I484)=0,"N/M",AVERAGE(I475:I484))</f>
        <v>9.7827738794157</v>
      </c>
      <c r="J486" s="54"/>
      <c r="K486" s="54"/>
      <c r="L486" s="54"/>
    </row>
    <row r="487" customFormat="false" ht="15" hidden="false" customHeight="false" outlineLevel="0" collapsed="false">
      <c r="A487" s="28" t="s">
        <v>281</v>
      </c>
      <c r="B487" s="38" t="n">
        <f aca="false">IF(COUNT(B475:B484)=0,"N/M",MEDIAN(B475:B484))</f>
        <v>3.93643601177455</v>
      </c>
      <c r="C487" s="38" t="n">
        <f aca="false">IF(COUNT(C475:C484)=0,"N/M",MEDIAN(C475:C484))</f>
        <v>3.7388743715762</v>
      </c>
      <c r="D487" s="38" t="n">
        <f aca="false">IF(COUNT(D475:D484)=0,"N/M",MEDIAN(D475:D484))</f>
        <v>4.78826679252182</v>
      </c>
      <c r="E487" s="38" t="n">
        <f aca="false">IF(COUNT(E475:E484)=0,"N/M",MEDIAN(E475:E484))</f>
        <v>5.61666664303365</v>
      </c>
      <c r="F487" s="38" t="n">
        <f aca="false">IF(COUNT(F475:F484)=0,"N/M",MEDIAN(F475:F484))</f>
        <v>5.33021426761632</v>
      </c>
      <c r="G487" s="38" t="n">
        <f aca="false">IF(COUNT(G475:G484)=0,"N/M",MEDIAN(G475:G484))</f>
        <v>5.61420692071907</v>
      </c>
      <c r="H487" s="38" t="n">
        <f aca="false">IF(COUNT(H475:H484)=0,"N/M",MEDIAN(H475:H484))</f>
        <v>5.11112060971242</v>
      </c>
      <c r="I487" s="38" t="n">
        <f aca="false">IF(COUNT(I475:I484)=0,"N/M",MEDIAN(I475:I484))</f>
        <v>5.12703221620125</v>
      </c>
      <c r="J487" s="54"/>
      <c r="K487" s="54"/>
      <c r="L487" s="54"/>
    </row>
    <row r="488" customFormat="false" ht="15" hidden="false" customHeight="false" outlineLevel="0" collapsed="false">
      <c r="A488" s="52" t="s">
        <v>330</v>
      </c>
      <c r="B488" s="60" t="n">
        <f aca="false">IF(COUNT(B475:B484)&lt;2,"N/M",STDEV(B475:B484))</f>
        <v>10.1858797577815</v>
      </c>
      <c r="C488" s="60" t="n">
        <f aca="false">IF(COUNT(C475:C484)&lt;2,"N/M",STDEV(C475:C484))</f>
        <v>5.93500216396045</v>
      </c>
      <c r="D488" s="60" t="n">
        <f aca="false">IF(COUNT(D475:D484)&lt;2,"N/M",STDEV(D475:D484))</f>
        <v>23.4010704380486</v>
      </c>
      <c r="E488" s="60" t="n">
        <f aca="false">IF(COUNT(E475:E484)&lt;2,"N/M",STDEV(E475:E484))</f>
        <v>16.8256681484349</v>
      </c>
      <c r="F488" s="60" t="n">
        <f aca="false">IF(COUNT(F475:F484)&lt;2,"N/M",STDEV(F475:F484))</f>
        <v>7.72358692546095</v>
      </c>
      <c r="G488" s="60" t="n">
        <f aca="false">IF(COUNT(G475:G484)&lt;2,"N/M",STDEV(G475:G484))</f>
        <v>17.9124818129681</v>
      </c>
      <c r="H488" s="60" t="n">
        <f aca="false">IF(COUNT(H475:H484)&lt;2,"N/M",STDEV(H475:H484))</f>
        <v>17.3567579942462</v>
      </c>
      <c r="I488" s="60" t="n">
        <f aca="false">IF(COUNT(I475:I484)&lt;2,"N/M",STDEV(I475:I484))</f>
        <v>13.9144406926517</v>
      </c>
      <c r="J488" s="54"/>
      <c r="K488" s="54"/>
      <c r="L488" s="54"/>
    </row>
    <row r="489" customFormat="false" ht="15" hidden="false" customHeight="false" outlineLevel="0" collapsed="false">
      <c r="A489" s="52" t="s">
        <v>269</v>
      </c>
      <c r="B489" s="60" t="n">
        <f aca="false">IF(COUNT(B475:B484)=0,"N/M",MIN(B475:B484))</f>
        <v>1.07006532053874</v>
      </c>
      <c r="C489" s="60" t="n">
        <f aca="false">IF(COUNT(C475:C484)=0,"N/M",MIN(C475:C484))</f>
        <v>0.599938056154478</v>
      </c>
      <c r="D489" s="60" t="n">
        <f aca="false">IF(COUNT(D475:D484)=0,"N/M",MIN(D475:D484))</f>
        <v>0.45663612565445</v>
      </c>
      <c r="E489" s="60" t="n">
        <f aca="false">IF(COUNT(E475:E484)=0,"N/M",MIN(E475:E484))</f>
        <v>0.647730276199286</v>
      </c>
      <c r="F489" s="60" t="n">
        <f aca="false">IF(COUNT(F475:F484)=0,"N/M",MIN(F475:F484))</f>
        <v>0.396730548377835</v>
      </c>
      <c r="G489" s="60" t="n">
        <f aca="false">IF(COUNT(G475:G484)=0,"N/M",MIN(G475:G484))</f>
        <v>0.368496245597714</v>
      </c>
      <c r="H489" s="60" t="n">
        <f aca="false">IF(COUNT(H475:H484)=0,"N/M",MIN(H475:H484))</f>
        <v>0.694305928099516</v>
      </c>
      <c r="I489" s="60" t="n">
        <f aca="false">IF(COUNT(I475:I484)=0,"N/M",MIN(I475:I484))</f>
        <v>0.604843214374574</v>
      </c>
      <c r="J489" s="54"/>
      <c r="K489" s="54"/>
      <c r="L489" s="54"/>
    </row>
    <row r="490" customFormat="false" ht="15" hidden="false" customHeight="false" outlineLevel="0" collapsed="false">
      <c r="A490" s="52" t="s">
        <v>270</v>
      </c>
      <c r="B490" s="60" t="n">
        <f aca="false">IF(COUNT(B475:B484)=0,"N/M",MAX(B475:B484))</f>
        <v>31.2738589211618</v>
      </c>
      <c r="C490" s="60" t="n">
        <f aca="false">IF(COUNT(C475:C484)=0,"N/M",MAX(C475:C484))</f>
        <v>19.4744779582367</v>
      </c>
      <c r="D490" s="60" t="n">
        <f aca="false">IF(COUNT(D475:D484)=0,"N/M",MAX(D475:D484))</f>
        <v>78.3579617834395</v>
      </c>
      <c r="E490" s="60" t="n">
        <f aca="false">IF(COUNT(E475:E484)=0,"N/M",MAX(E475:E484))</f>
        <v>57.7030625832224</v>
      </c>
      <c r="F490" s="60" t="n">
        <f aca="false">IF(COUNT(F475:F484)=0,"N/M",MAX(F475:F484))</f>
        <v>26.5480662983425</v>
      </c>
      <c r="G490" s="60" t="n">
        <f aca="false">IF(COUNT(G475:G484)=0,"N/M",MAX(G475:G484))</f>
        <v>60.3273340832396</v>
      </c>
      <c r="H490" s="60" t="n">
        <f aca="false">IF(COUNT(H475:H484)=0,"N/M",MAX(H475:H484))</f>
        <v>58.3319755600815</v>
      </c>
      <c r="I490" s="60" t="n">
        <f aca="false">IF(COUNT(I475:I484)=0,"N/M",MAX(I475:I484))</f>
        <v>47.4309624553891</v>
      </c>
      <c r="J490" s="54"/>
      <c r="K490" s="54"/>
      <c r="L490" s="54"/>
    </row>
    <row r="492" customFormat="false" ht="16.5" hidden="false" customHeight="true" outlineLevel="0" collapsed="false">
      <c r="A492" s="49" t="s">
        <v>357</v>
      </c>
      <c r="B492" s="49"/>
      <c r="C492" s="49"/>
      <c r="D492" s="49"/>
      <c r="E492" s="49"/>
      <c r="F492" s="49"/>
      <c r="G492" s="49"/>
      <c r="H492" s="49"/>
      <c r="I492" s="49"/>
      <c r="J492" s="49"/>
      <c r="K492" s="49"/>
      <c r="L492" s="49"/>
    </row>
    <row r="493" customFormat="false" ht="15" hidden="false" customHeight="false" outlineLevel="0" collapsed="false">
      <c r="A493" s="16" t="s">
        <v>52</v>
      </c>
      <c r="B493" s="36" t="n">
        <f aca="false">Tiger!D124</f>
        <v>2.86823327942156</v>
      </c>
      <c r="C493" s="36" t="n">
        <f aca="false">Tiger!E124</f>
        <v>2.00202742993441</v>
      </c>
      <c r="D493" s="36" t="n">
        <f aca="false">Tiger!F124</f>
        <v>5.07307216494845</v>
      </c>
      <c r="E493" s="36" t="n">
        <f aca="false">Tiger!G124</f>
        <v>3.62605639695423</v>
      </c>
      <c r="F493" s="36" t="n">
        <f aca="false">Tiger!H124</f>
        <v>1.67335283465664</v>
      </c>
      <c r="G493" s="36" t="n">
        <f aca="false">Tiger!I124</f>
        <v>2.74061014870458</v>
      </c>
      <c r="H493" s="36" t="n">
        <f aca="false">Tiger!J124</f>
        <v>2.18117432031072</v>
      </c>
      <c r="I493" s="59" t="n">
        <f aca="false">Tiger!K124</f>
        <v>2.88064665356151</v>
      </c>
      <c r="J493" s="25" t="str">
        <f aca="false">IF(AND(ISNUMBER(I493),ISNUMBER(I$505)),IF(I493&gt;I$505,"Above",IF(I493&lt;I$505,"Below","At median")),"-")</f>
        <v>Above</v>
      </c>
      <c r="K493" s="25" t="str">
        <f aca="false">IF(J493="Above","Better",IF(J493="Below","Weaker",IF(J493="At median","In line","-")))</f>
        <v>Better</v>
      </c>
      <c r="L493" s="43" t="n">
        <f aca="false">IF(ISNUMBER(I493),RANK(I493,I$493:I$502,0),"-")</f>
        <v>2</v>
      </c>
    </row>
    <row r="494" customFormat="false" ht="15" hidden="false" customHeight="false" outlineLevel="0" collapsed="false">
      <c r="A494" s="16" t="s">
        <v>54</v>
      </c>
      <c r="B494" s="36" t="n">
        <f aca="false">Allcargo!D124</f>
        <v>1.38583722886884</v>
      </c>
      <c r="C494" s="36" t="n">
        <f aca="false">Allcargo!E124</f>
        <v>1.43548645134119</v>
      </c>
      <c r="D494" s="36" t="n">
        <f aca="false">Allcargo!F124</f>
        <v>1.9848042482299</v>
      </c>
      <c r="E494" s="36" t="n">
        <f aca="false">Allcargo!G124</f>
        <v>2.49635520028766</v>
      </c>
      <c r="F494" s="36" t="n">
        <f aca="false">Allcargo!H124</f>
        <v>1.81038824705311</v>
      </c>
      <c r="G494" s="36" t="n">
        <f aca="false">Allcargo!I124</f>
        <v>1.12636415852958</v>
      </c>
      <c r="H494" s="36" t="n">
        <f aca="false">Allcargo!J124</f>
        <v>1.18548387096774</v>
      </c>
      <c r="I494" s="59" t="n">
        <f aca="false">Allcargo!K124</f>
        <v>1.63210277218258</v>
      </c>
      <c r="J494" s="25" t="str">
        <f aca="false">IF(AND(ISNUMBER(I494),ISNUMBER(I$505)),IF(I494&gt;I$505,"Above",IF(I494&lt;I$505,"Below","At median")),"-")</f>
        <v>Below</v>
      </c>
      <c r="K494" s="25" t="str">
        <f aca="false">IF(J494="Above","Better",IF(J494="Below","Weaker",IF(J494="At median","In line","-")))</f>
        <v>Weaker</v>
      </c>
      <c r="L494" s="43" t="n">
        <f aca="false">IF(ISNUMBER(I494),RANK(I494,I$493:I$502,0),"-")</f>
        <v>6</v>
      </c>
    </row>
    <row r="495" customFormat="false" ht="15" hidden="false" customHeight="false" outlineLevel="0" collapsed="false">
      <c r="A495" s="16" t="s">
        <v>277</v>
      </c>
      <c r="B495" s="36" t="n">
        <f aca="false">BlueDart!D124</f>
        <v>1.20234096615028</v>
      </c>
      <c r="C495" s="36" t="n">
        <f aca="false">BlueDart!E124</f>
        <v>1.13484363729236</v>
      </c>
      <c r="D495" s="36" t="n">
        <f aca="false">BlueDart!F124</f>
        <v>1.55916019740098</v>
      </c>
      <c r="E495" s="36" t="n">
        <f aca="false">BlueDart!G124</f>
        <v>1.60476444598888</v>
      </c>
      <c r="F495" s="36" t="n">
        <f aca="false">BlueDart!H124</f>
        <v>1.52209829813054</v>
      </c>
      <c r="G495" s="36" t="n">
        <f aca="false">BlueDart!I124</f>
        <v>1.56171302515043</v>
      </c>
      <c r="H495" s="36" t="n">
        <f aca="false">BlueDart!J124</f>
        <v>1.48803082254019</v>
      </c>
      <c r="I495" s="59" t="n">
        <f aca="false">BlueDart!K124</f>
        <v>1.43899305609338</v>
      </c>
      <c r="J495" s="25" t="str">
        <f aca="false">IF(AND(ISNUMBER(I495),ISNUMBER(I$505)),IF(I495&gt;I$505,"Above",IF(I495&lt;I$505,"Below","At median")),"-")</f>
        <v>Below</v>
      </c>
      <c r="K495" s="25" t="str">
        <f aca="false">IF(J495="Above","Better",IF(J495="Below","Weaker",IF(J495="At median","In line","-")))</f>
        <v>Weaker</v>
      </c>
      <c r="L495" s="43" t="n">
        <f aca="false">IF(ISNUMBER(I495),RANK(I495,I$493:I$502,0),"-")</f>
        <v>8</v>
      </c>
    </row>
    <row r="496" customFormat="false" ht="15" hidden="false" customHeight="false" outlineLevel="0" collapsed="false">
      <c r="A496" s="16" t="s">
        <v>58</v>
      </c>
      <c r="B496" s="36" t="n">
        <f aca="false">CONCOR!D124</f>
        <v>0.553940363532721</v>
      </c>
      <c r="C496" s="36" t="n">
        <f aca="false">CONCOR!E124</f>
        <v>0.517876467009657</v>
      </c>
      <c r="D496" s="36" t="n">
        <f aca="false">CONCOR!F124</f>
        <v>0.588569217966723</v>
      </c>
      <c r="E496" s="36" t="n">
        <f aca="false">CONCOR!G124</f>
        <v>0.606690204128314</v>
      </c>
      <c r="F496" s="36" t="n">
        <f aca="false">CONCOR!H124</f>
        <v>0.616420528046411</v>
      </c>
      <c r="G496" s="36" t="n">
        <f aca="false">CONCOR!I124</f>
        <v>0.613860633849223</v>
      </c>
      <c r="H496" s="36" t="n">
        <f aca="false">CONCOR!J124</f>
        <v>0.598253928298908</v>
      </c>
      <c r="I496" s="59" t="n">
        <f aca="false">CONCOR!K124</f>
        <v>0.58508733469028</v>
      </c>
      <c r="J496" s="25" t="str">
        <f aca="false">IF(AND(ISNUMBER(I496),ISNUMBER(I$505)),IF(I496&gt;I$505,"Above",IF(I496&lt;I$505,"Below","At median")),"-")</f>
        <v>Below</v>
      </c>
      <c r="K496" s="25" t="str">
        <f aca="false">IF(J496="Above","Better",IF(J496="Below","Weaker",IF(J496="At median","In line","-")))</f>
        <v>Weaker</v>
      </c>
      <c r="L496" s="43" t="n">
        <f aca="false">IF(ISNUMBER(I496),RANK(I496,I$493:I$502,0),"-")</f>
        <v>9</v>
      </c>
    </row>
    <row r="497" customFormat="false" ht="15" hidden="false" customHeight="false" outlineLevel="0" collapsed="false">
      <c r="A497" s="16" t="s">
        <v>278</v>
      </c>
      <c r="B497" s="36" t="n">
        <f aca="false">JetFreight!D124</f>
        <v>3.41396196332992</v>
      </c>
      <c r="C497" s="36" t="n">
        <f aca="false">JetFreight!E124</f>
        <v>3.53254558419069</v>
      </c>
      <c r="D497" s="36" t="n">
        <f aca="false">JetFreight!F124</f>
        <v>4.15198618307427</v>
      </c>
      <c r="E497" s="36" t="n">
        <f aca="false">JetFreight!G124</f>
        <v>2.70824125828675</v>
      </c>
      <c r="F497" s="36" t="n">
        <f aca="false">JetFreight!H124</f>
        <v>2.2735107879925</v>
      </c>
      <c r="G497" s="36" t="n">
        <f aca="false">JetFreight!I124</f>
        <v>2.39341117140821</v>
      </c>
      <c r="H497" s="36" t="n">
        <f aca="false">JetFreight!J124</f>
        <v>2.28801071667783</v>
      </c>
      <c r="I497" s="59" t="n">
        <f aca="false">JetFreight!K124</f>
        <v>2.96595252356574</v>
      </c>
      <c r="J497" s="25" t="str">
        <f aca="false">IF(AND(ISNUMBER(I497),ISNUMBER(I$505)),IF(I497&gt;I$505,"Above",IF(I497&lt;I$505,"Below","At median")),"-")</f>
        <v>Above</v>
      </c>
      <c r="K497" s="25" t="str">
        <f aca="false">IF(J497="Above","Better",IF(J497="Below","Weaker",IF(J497="At median","In line","-")))</f>
        <v>Better</v>
      </c>
      <c r="L497" s="43" t="n">
        <f aca="false">IF(ISNUMBER(I497),RANK(I497,I$493:I$502,0),"-")</f>
        <v>1</v>
      </c>
    </row>
    <row r="498" customFormat="false" ht="15" hidden="false" customHeight="false" outlineLevel="0" collapsed="false">
      <c r="A498" s="16" t="s">
        <v>62</v>
      </c>
      <c r="B498" s="36" t="n">
        <f aca="false">Patel!D124</f>
        <v>1.69146501777107</v>
      </c>
      <c r="C498" s="36" t="n">
        <f aca="false">Patel!E124</f>
        <v>1.11534419337888</v>
      </c>
      <c r="D498" s="36" t="n">
        <f aca="false">Patel!F124</f>
        <v>1.30868472493717</v>
      </c>
      <c r="E498" s="36" t="n">
        <f aca="false">Patel!G124</f>
        <v>1.61649724077839</v>
      </c>
      <c r="F498" s="36" t="n">
        <f aca="false">Patel!H124</f>
        <v>1.51296604873985</v>
      </c>
      <c r="G498" s="36" t="n">
        <f aca="false">Patel!I124</f>
        <v>2.03836545324768</v>
      </c>
      <c r="H498" s="36" t="n">
        <f aca="false">Patel!J124</f>
        <v>2.18674993877051</v>
      </c>
      <c r="I498" s="59" t="n">
        <f aca="false">Patel!K124</f>
        <v>1.63858180251765</v>
      </c>
      <c r="J498" s="25" t="str">
        <f aca="false">IF(AND(ISNUMBER(I498),ISNUMBER(I$505)),IF(I498&gt;I$505,"Above",IF(I498&lt;I$505,"Below","At median")),"-")</f>
        <v>Above</v>
      </c>
      <c r="K498" s="25" t="str">
        <f aca="false">IF(J498="Above","Better",IF(J498="Below","Weaker",IF(J498="At median","In line","-")))</f>
        <v>Better</v>
      </c>
      <c r="L498" s="43" t="n">
        <f aca="false">IF(ISNUMBER(I498),RANK(I498,I$493:I$502,0),"-")</f>
        <v>5</v>
      </c>
    </row>
    <row r="499" customFormat="false" ht="15" hidden="false" customHeight="false" outlineLevel="0" collapsed="false">
      <c r="A499" s="16" t="s">
        <v>64</v>
      </c>
      <c r="B499" s="36" t="n">
        <f aca="false">Sical!D124</f>
        <v>0.363520712411545</v>
      </c>
      <c r="C499" s="36" t="n">
        <f aca="false">Sical!E124</f>
        <v>0.290937344748305</v>
      </c>
      <c r="D499" s="36" t="n">
        <f aca="false">Sical!F124</f>
        <v>0.222837542635956</v>
      </c>
      <c r="E499" s="36" t="n">
        <f aca="false">Sical!G124</f>
        <v>0.494457825248105</v>
      </c>
      <c r="F499" s="36" t="n">
        <f aca="false">Sical!H124</f>
        <v>0.288050134194961</v>
      </c>
      <c r="G499" s="36" t="n">
        <f aca="false">Sical!I124</f>
        <v>0.258257558999197</v>
      </c>
      <c r="H499" s="36" t="n">
        <f aca="false">Sical!J124</f>
        <v>0.425352640808179</v>
      </c>
      <c r="I499" s="59" t="n">
        <f aca="false">Sical!K124</f>
        <v>0.334773394149464</v>
      </c>
      <c r="J499" s="25" t="str">
        <f aca="false">IF(AND(ISNUMBER(I499),ISNUMBER(I$505)),IF(I499&gt;I$505,"Above",IF(I499&lt;I$505,"Below","At median")),"-")</f>
        <v>Below</v>
      </c>
      <c r="K499" s="25" t="str">
        <f aca="false">IF(J499="Above","Better",IF(J499="Below","Weaker",IF(J499="At median","In line","-")))</f>
        <v>Weaker</v>
      </c>
      <c r="L499" s="43" t="n">
        <f aca="false">IF(ISNUMBER(I499),RANK(I499,I$493:I$502,0),"-")</f>
        <v>10</v>
      </c>
    </row>
    <row r="500" customFormat="false" ht="15" hidden="false" customHeight="false" outlineLevel="0" collapsed="false">
      <c r="A500" s="16" t="s">
        <v>66</v>
      </c>
      <c r="B500" s="36" t="n">
        <f aca="false">TCI!D124</f>
        <v>1.61457120452439</v>
      </c>
      <c r="C500" s="36" t="n">
        <f aca="false">TCI!E124</f>
        <v>1.61167120041868</v>
      </c>
      <c r="D500" s="36" t="n">
        <f aca="false">TCI!F124</f>
        <v>1.78366529285233</v>
      </c>
      <c r="E500" s="36" t="n">
        <f aca="false">TCI!G124</f>
        <v>1.80044361728965</v>
      </c>
      <c r="F500" s="36" t="n">
        <f aca="false">TCI!H124</f>
        <v>1.60880307028064</v>
      </c>
      <c r="G500" s="36" t="n">
        <f aca="false">TCI!I124</f>
        <v>1.53092504166624</v>
      </c>
      <c r="H500" s="36" t="n">
        <f aca="false">TCI!J124</f>
        <v>1.41211019397678</v>
      </c>
      <c r="I500" s="59" t="n">
        <f aca="false">TCI!K124</f>
        <v>1.62316994585839</v>
      </c>
      <c r="J500" s="25" t="str">
        <f aca="false">IF(AND(ISNUMBER(I500),ISNUMBER(I$505)),IF(I500&gt;I$505,"Above",IF(I500&lt;I$505,"Below","At median")),"-")</f>
        <v>Below</v>
      </c>
      <c r="K500" s="25" t="str">
        <f aca="false">IF(J500="Above","Better",IF(J500="Below","Weaker",IF(J500="At median","In line","-")))</f>
        <v>Weaker</v>
      </c>
      <c r="L500" s="43" t="n">
        <f aca="false">IF(ISNUMBER(I500),RANK(I500,I$493:I$502,0),"-")</f>
        <v>7</v>
      </c>
    </row>
    <row r="501" customFormat="false" ht="15" hidden="false" customHeight="false" outlineLevel="0" collapsed="false">
      <c r="A501" s="16" t="s">
        <v>68</v>
      </c>
      <c r="B501" s="36" t="n">
        <f aca="false">Shreeji!D124</f>
        <v>1.38626339004411</v>
      </c>
      <c r="C501" s="36" t="n">
        <f aca="false">Shreeji!E124</f>
        <v>1.32020004879239</v>
      </c>
      <c r="D501" s="36" t="n">
        <f aca="false">Shreeji!F124</f>
        <v>1.82765933697957</v>
      </c>
      <c r="E501" s="36" t="n">
        <f aca="false">Shreeji!G124</f>
        <v>1.78138734951271</v>
      </c>
      <c r="F501" s="36" t="n">
        <f aca="false">Shreeji!H124</f>
        <v>2.08056478405316</v>
      </c>
      <c r="G501" s="36" t="n">
        <f aca="false">Shreeji!I124</f>
        <v>1.91477519784329</v>
      </c>
      <c r="H501" s="36" t="n">
        <f aca="false">Shreeji!J124</f>
        <v>1.96025769745649</v>
      </c>
      <c r="I501" s="59" t="n">
        <f aca="false">Shreeji!K124</f>
        <v>1.75301540066882</v>
      </c>
      <c r="J501" s="25" t="str">
        <f aca="false">IF(AND(ISNUMBER(I501),ISNUMBER(I$505)),IF(I501&gt;I$505,"Above",IF(I501&lt;I$505,"Below","At median")),"-")</f>
        <v>Above</v>
      </c>
      <c r="K501" s="25" t="str">
        <f aca="false">IF(J501="Above","Better",IF(J501="Below","Weaker",IF(J501="At median","In line","-")))</f>
        <v>Better</v>
      </c>
      <c r="L501" s="43" t="n">
        <f aca="false">IF(ISNUMBER(I501),RANK(I501,I$493:I$502,0),"-")</f>
        <v>4</v>
      </c>
    </row>
    <row r="502" customFormat="false" ht="15" hidden="false" customHeight="false" outlineLevel="0" collapsed="false">
      <c r="A502" s="16" t="s">
        <v>279</v>
      </c>
      <c r="B502" s="36" t="n">
        <f aca="false">MahindraLog!D124</f>
        <v>2.44130141225454</v>
      </c>
      <c r="C502" s="36" t="n">
        <f aca="false">MahindraLog!E124</f>
        <v>1.9347097982726</v>
      </c>
      <c r="D502" s="36" t="n">
        <f aca="false">MahindraLog!F124</f>
        <v>2.09612035799619</v>
      </c>
      <c r="E502" s="36" t="n">
        <f aca="false">MahindraLog!G124</f>
        <v>2.00877811464429</v>
      </c>
      <c r="F502" s="36" t="n">
        <f aca="false">MahindraLog!H124</f>
        <v>2.22265864685936</v>
      </c>
      <c r="G502" s="36" t="n">
        <f aca="false">MahindraLog!I124</f>
        <v>2.36731425469211</v>
      </c>
      <c r="H502" s="36" t="n">
        <f aca="false">MahindraLog!J124</f>
        <v>2.25419563866139</v>
      </c>
      <c r="I502" s="59" t="n">
        <f aca="false">MahindraLog!K124</f>
        <v>2.18929688905435</v>
      </c>
      <c r="J502" s="25" t="str">
        <f aca="false">IF(AND(ISNUMBER(I502),ISNUMBER(I$505)),IF(I502&gt;I$505,"Above",IF(I502&lt;I$505,"Below","At median")),"-")</f>
        <v>Above</v>
      </c>
      <c r="K502" s="25" t="str">
        <f aca="false">IF(J502="Above","Better",IF(J502="Below","Weaker",IF(J502="At median","In line","-")))</f>
        <v>Better</v>
      </c>
      <c r="L502" s="43" t="n">
        <f aca="false">IF(ISNUMBER(I502),RANK(I502,I$493:I$502,0),"-")</f>
        <v>3</v>
      </c>
    </row>
    <row r="503" customFormat="false" ht="15" hidden="false" customHeight="false" outlineLevel="0" collapsed="false">
      <c r="A503" s="46" t="s">
        <v>328</v>
      </c>
      <c r="B503" s="37" t="n">
        <f aca="false">Industry!D125</f>
        <v>0.970279426002435</v>
      </c>
      <c r="C503" s="37" t="n">
        <f aca="false">Industry!E125</f>
        <v>0.978249696712094</v>
      </c>
      <c r="D503" s="37" t="n">
        <f aca="false">Industry!F125</f>
        <v>1.2888122117486</v>
      </c>
      <c r="E503" s="37" t="n">
        <f aca="false">Industry!G125</f>
        <v>1.40426039719896</v>
      </c>
      <c r="F503" s="37" t="n">
        <f aca="false">Industry!H125</f>
        <v>1.21830202163604</v>
      </c>
      <c r="G503" s="37" t="n">
        <f aca="false">Industry!I125</f>
        <v>1.07462475835058</v>
      </c>
      <c r="H503" s="37" t="n">
        <f aca="false">Industry!J125</f>
        <v>1.06546065869585</v>
      </c>
      <c r="I503" s="37" t="n">
        <f aca="false">Industry!K125</f>
        <v>1.14285559576351</v>
      </c>
      <c r="J503" s="47"/>
      <c r="K503" s="47"/>
      <c r="L503" s="47"/>
    </row>
    <row r="504" customFormat="false" ht="15" hidden="false" customHeight="false" outlineLevel="0" collapsed="false">
      <c r="A504" s="52" t="s">
        <v>329</v>
      </c>
      <c r="B504" s="60" t="n">
        <f aca="false">IF(COUNT(B493:B502)=0,"N/M",AVERAGE(B493:B502))</f>
        <v>1.6921435538309</v>
      </c>
      <c r="C504" s="60" t="n">
        <f aca="false">IF(COUNT(C493:C502)=0,"N/M",AVERAGE(C493:C502))</f>
        <v>1.48956421553792</v>
      </c>
      <c r="D504" s="60" t="n">
        <f aca="false">IF(COUNT(D493:D502)=0,"N/M",AVERAGE(D493:D502))</f>
        <v>2.05965592670216</v>
      </c>
      <c r="E504" s="60" t="n">
        <f aca="false">IF(COUNT(E493:E502)=0,"N/M",AVERAGE(E493:E502))</f>
        <v>1.8743671653119</v>
      </c>
      <c r="F504" s="60" t="n">
        <f aca="false">IF(COUNT(F493:F502)=0,"N/M",AVERAGE(F493:F502))</f>
        <v>1.56088133800072</v>
      </c>
      <c r="G504" s="60" t="n">
        <f aca="false">IF(COUNT(G493:G502)=0,"N/M",AVERAGE(G493:G502))</f>
        <v>1.65455966440905</v>
      </c>
      <c r="H504" s="60" t="n">
        <f aca="false">IF(COUNT(H493:H502)=0,"N/M",AVERAGE(H493:H502))</f>
        <v>1.59796197684687</v>
      </c>
      <c r="I504" s="60" t="n">
        <f aca="false">IF(COUNT(I493:I502)=0,"N/M",AVERAGE(I493:I502))</f>
        <v>1.70416197723422</v>
      </c>
      <c r="J504" s="54"/>
      <c r="K504" s="54"/>
      <c r="L504" s="54"/>
    </row>
    <row r="505" customFormat="false" ht="15" hidden="false" customHeight="false" outlineLevel="0" collapsed="false">
      <c r="A505" s="28" t="s">
        <v>281</v>
      </c>
      <c r="B505" s="38" t="n">
        <f aca="false">IF(COUNT(B493:B502)=0,"N/M",MEDIAN(B493:B502))</f>
        <v>1.50041729728425</v>
      </c>
      <c r="C505" s="38" t="n">
        <f aca="false">IF(COUNT(C493:C502)=0,"N/M",MEDIAN(C493:C502))</f>
        <v>1.37784325006679</v>
      </c>
      <c r="D505" s="38" t="n">
        <f aca="false">IF(COUNT(D493:D502)=0,"N/M",MEDIAN(D493:D502))</f>
        <v>1.80566231491595</v>
      </c>
      <c r="E505" s="38" t="n">
        <f aca="false">IF(COUNT(E493:E502)=0,"N/M",MEDIAN(E493:E502))</f>
        <v>1.79091548340118</v>
      </c>
      <c r="F505" s="38" t="n">
        <f aca="false">IF(COUNT(F493:F502)=0,"N/M",MEDIAN(F493:F502))</f>
        <v>1.64107795246864</v>
      </c>
      <c r="G505" s="38" t="n">
        <f aca="false">IF(COUNT(G493:G502)=0,"N/M",MEDIAN(G493:G502))</f>
        <v>1.73824411149686</v>
      </c>
      <c r="H505" s="38" t="n">
        <f aca="false">IF(COUNT(H493:H502)=0,"N/M",MEDIAN(H493:H502))</f>
        <v>1.72414425999834</v>
      </c>
      <c r="I505" s="38" t="n">
        <f aca="false">IF(COUNT(I493:I502)=0,"N/M",MEDIAN(I493:I502))</f>
        <v>1.63534228735011</v>
      </c>
      <c r="J505" s="54"/>
      <c r="K505" s="54"/>
      <c r="L505" s="54"/>
    </row>
    <row r="506" customFormat="false" ht="15" hidden="false" customHeight="false" outlineLevel="0" collapsed="false">
      <c r="A506" s="52" t="s">
        <v>330</v>
      </c>
      <c r="B506" s="60" t="n">
        <f aca="false">IF(COUNT(B493:B502)&lt;2,"N/M",STDEV(B493:B502))</f>
        <v>0.966272280232444</v>
      </c>
      <c r="C506" s="60" t="n">
        <f aca="false">IF(COUNT(C493:C502)&lt;2,"N/M",STDEV(C493:C502))</f>
        <v>0.902331271980722</v>
      </c>
      <c r="D506" s="60" t="n">
        <f aca="false">IF(COUNT(D493:D502)&lt;2,"N/M",STDEV(D493:D502))</f>
        <v>1.48876908904201</v>
      </c>
      <c r="E506" s="60" t="n">
        <f aca="false">IF(COUNT(E493:E502)&lt;2,"N/M",STDEV(E493:E502))</f>
        <v>0.932925131698636</v>
      </c>
      <c r="F506" s="60" t="n">
        <f aca="false">IF(COUNT(F493:F502)&lt;2,"N/M",STDEV(F493:F502))</f>
        <v>0.650552444321491</v>
      </c>
      <c r="G506" s="60" t="n">
        <f aca="false">IF(COUNT(G493:G502)&lt;2,"N/M",STDEV(G493:G502))</f>
        <v>0.801668805940553</v>
      </c>
      <c r="H506" s="60" t="n">
        <f aca="false">IF(COUNT(H493:H502)&lt;2,"N/M",STDEV(H493:H502))</f>
        <v>0.692505013387157</v>
      </c>
      <c r="I506" s="60" t="n">
        <f aca="false">IF(COUNT(I493:I502)&lt;2,"N/M",STDEV(I493:I502))</f>
        <v>0.845109777050306</v>
      </c>
      <c r="J506" s="54"/>
      <c r="K506" s="54"/>
      <c r="L506" s="54"/>
    </row>
    <row r="507" customFormat="false" ht="15" hidden="false" customHeight="false" outlineLevel="0" collapsed="false">
      <c r="A507" s="52" t="s">
        <v>269</v>
      </c>
      <c r="B507" s="60" t="n">
        <f aca="false">IF(COUNT(B493:B502)=0,"N/M",MIN(B493:B502))</f>
        <v>0.363520712411545</v>
      </c>
      <c r="C507" s="60" t="n">
        <f aca="false">IF(COUNT(C493:C502)=0,"N/M",MIN(C493:C502))</f>
        <v>0.290937344748305</v>
      </c>
      <c r="D507" s="60" t="n">
        <f aca="false">IF(COUNT(D493:D502)=0,"N/M",MIN(D493:D502))</f>
        <v>0.222837542635956</v>
      </c>
      <c r="E507" s="60" t="n">
        <f aca="false">IF(COUNT(E493:E502)=0,"N/M",MIN(E493:E502))</f>
        <v>0.494457825248105</v>
      </c>
      <c r="F507" s="60" t="n">
        <f aca="false">IF(COUNT(F493:F502)=0,"N/M",MIN(F493:F502))</f>
        <v>0.288050134194961</v>
      </c>
      <c r="G507" s="60" t="n">
        <f aca="false">IF(COUNT(G493:G502)=0,"N/M",MIN(G493:G502))</f>
        <v>0.258257558999197</v>
      </c>
      <c r="H507" s="60" t="n">
        <f aca="false">IF(COUNT(H493:H502)=0,"N/M",MIN(H493:H502))</f>
        <v>0.425352640808179</v>
      </c>
      <c r="I507" s="60" t="n">
        <f aca="false">IF(COUNT(I493:I502)=0,"N/M",MIN(I493:I502))</f>
        <v>0.334773394149464</v>
      </c>
      <c r="J507" s="54"/>
      <c r="K507" s="54"/>
      <c r="L507" s="54"/>
    </row>
    <row r="508" customFormat="false" ht="15" hidden="false" customHeight="false" outlineLevel="0" collapsed="false">
      <c r="A508" s="52" t="s">
        <v>270</v>
      </c>
      <c r="B508" s="60" t="n">
        <f aca="false">IF(COUNT(B493:B502)=0,"N/M",MAX(B493:B502))</f>
        <v>3.41396196332992</v>
      </c>
      <c r="C508" s="60" t="n">
        <f aca="false">IF(COUNT(C493:C502)=0,"N/M",MAX(C493:C502))</f>
        <v>3.53254558419069</v>
      </c>
      <c r="D508" s="60" t="n">
        <f aca="false">IF(COUNT(D493:D502)=0,"N/M",MAX(D493:D502))</f>
        <v>5.07307216494845</v>
      </c>
      <c r="E508" s="60" t="n">
        <f aca="false">IF(COUNT(E493:E502)=0,"N/M",MAX(E493:E502))</f>
        <v>3.62605639695423</v>
      </c>
      <c r="F508" s="60" t="n">
        <f aca="false">IF(COUNT(F493:F502)=0,"N/M",MAX(F493:F502))</f>
        <v>2.2735107879925</v>
      </c>
      <c r="G508" s="60" t="n">
        <f aca="false">IF(COUNT(G493:G502)=0,"N/M",MAX(G493:G502))</f>
        <v>2.74061014870458</v>
      </c>
      <c r="H508" s="60" t="n">
        <f aca="false">IF(COUNT(H493:H502)=0,"N/M",MAX(H493:H502))</f>
        <v>2.28801071667783</v>
      </c>
      <c r="I508" s="60" t="n">
        <f aca="false">IF(COUNT(I493:I502)=0,"N/M",MAX(I493:I502))</f>
        <v>2.96595252356574</v>
      </c>
      <c r="J508" s="54"/>
      <c r="K508" s="54"/>
      <c r="L508" s="54"/>
    </row>
    <row r="510" customFormat="false" ht="16.5" hidden="false" customHeight="true" outlineLevel="0" collapsed="false">
      <c r="A510" s="49" t="s">
        <v>358</v>
      </c>
      <c r="B510" s="49"/>
      <c r="C510" s="49"/>
      <c r="D510" s="49"/>
      <c r="E510" s="49"/>
      <c r="F510" s="49"/>
      <c r="G510" s="49"/>
      <c r="H510" s="49"/>
      <c r="I510" s="49"/>
      <c r="J510" s="49"/>
      <c r="K510" s="49"/>
      <c r="L510" s="49"/>
    </row>
    <row r="511" customFormat="false" ht="15" hidden="false" customHeight="false" outlineLevel="0" collapsed="false">
      <c r="A511" s="16" t="s">
        <v>52</v>
      </c>
      <c r="B511" s="36" t="n">
        <f aca="false">Tiger!D125</f>
        <v>3.37339151840662</v>
      </c>
      <c r="C511" s="36" t="n">
        <f aca="false">Tiger!E125</f>
        <v>2.94819107832806</v>
      </c>
      <c r="D511" s="36" t="n">
        <f aca="false">Tiger!F125</f>
        <v>8.26427515786645</v>
      </c>
      <c r="E511" s="36" t="n">
        <f aca="false">Tiger!G125</f>
        <v>4.43869712178634</v>
      </c>
      <c r="F511" s="36" t="n">
        <f aca="false">Tiger!H125</f>
        <v>1.95540001627737</v>
      </c>
      <c r="G511" s="36" t="n">
        <f aca="false">Tiger!I125</f>
        <v>3.10580264072272</v>
      </c>
      <c r="H511" s="36" t="n">
        <f aca="false">Tiger!J125</f>
        <v>2.71891019555724</v>
      </c>
      <c r="I511" s="59" t="n">
        <f aca="false">Tiger!K125</f>
        <v>3.82923824699212</v>
      </c>
      <c r="J511" s="25" t="str">
        <f aca="false">IF(AND(ISNUMBER(I511),ISNUMBER(I$523)),IF(I511&gt;I$523,"Above",IF(I511&lt;I$523,"Below","At median")),"-")</f>
        <v>Above</v>
      </c>
      <c r="K511" s="25" t="str">
        <f aca="false">IF(J511="Above","Better",IF(J511="Below","Weaker",IF(J511="At median","In line","-")))</f>
        <v>Better</v>
      </c>
      <c r="L511" s="43" t="n">
        <f aca="false">IF(ISNUMBER(I511),RANK(I511,I$511:I$520,0),"-")</f>
        <v>3</v>
      </c>
    </row>
    <row r="512" customFormat="false" ht="15" hidden="false" customHeight="false" outlineLevel="0" collapsed="false">
      <c r="A512" s="16" t="s">
        <v>54</v>
      </c>
      <c r="B512" s="36" t="n">
        <f aca="false">Allcargo!D125</f>
        <v>1.95949896506839</v>
      </c>
      <c r="C512" s="36" t="n">
        <f aca="false">Allcargo!E125</f>
        <v>2.41396119947297</v>
      </c>
      <c r="D512" s="36" t="n">
        <f aca="false">Allcargo!F125</f>
        <v>3.47906852805312</v>
      </c>
      <c r="E512" s="36" t="n">
        <f aca="false">Allcargo!G125</f>
        <v>4.51978856805184</v>
      </c>
      <c r="F512" s="36" t="n">
        <f aca="false">Allcargo!H125</f>
        <v>2.96917649052033</v>
      </c>
      <c r="G512" s="36" t="n">
        <f aca="false">Allcargo!I125</f>
        <v>1.46016381236039</v>
      </c>
      <c r="H512" s="36" t="n">
        <f aca="false">Allcargo!J125</f>
        <v>1.62430939226519</v>
      </c>
      <c r="I512" s="59" t="n">
        <f aca="false">Allcargo!K125</f>
        <v>2.63228099368461</v>
      </c>
      <c r="J512" s="25" t="str">
        <f aca="false">IF(AND(ISNUMBER(I512),ISNUMBER(I$523)),IF(I512&gt;I$523,"Above",IF(I512&lt;I$523,"Below","At median")),"-")</f>
        <v>Above</v>
      </c>
      <c r="K512" s="25" t="str">
        <f aca="false">IF(J512="Above","Better",IF(J512="Below","Weaker",IF(J512="At median","In line","-")))</f>
        <v>Better</v>
      </c>
      <c r="L512" s="43" t="n">
        <f aca="false">IF(ISNUMBER(I512),RANK(I512,I$511:I$520,0),"-")</f>
        <v>4</v>
      </c>
    </row>
    <row r="513" customFormat="false" ht="15" hidden="false" customHeight="false" outlineLevel="0" collapsed="false">
      <c r="A513" s="16" t="s">
        <v>277</v>
      </c>
      <c r="B513" s="36" t="n">
        <f aca="false">BlueDart!D125</f>
        <v>3.11034158478885</v>
      </c>
      <c r="C513" s="36" t="n">
        <f aca="false">BlueDart!E125</f>
        <v>1.55532588181315</v>
      </c>
      <c r="D513" s="36" t="n">
        <f aca="false">BlueDart!F125</f>
        <v>2.27587683765668</v>
      </c>
      <c r="E513" s="36" t="n">
        <f aca="false">BlueDart!G125</f>
        <v>2.24908466321694</v>
      </c>
      <c r="F513" s="36" t="n">
        <f aca="false">BlueDart!H125</f>
        <v>2.15875207973052</v>
      </c>
      <c r="G513" s="36" t="n">
        <f aca="false">BlueDart!I125</f>
        <v>2.22919451448346</v>
      </c>
      <c r="H513" s="36" t="n">
        <f aca="false">BlueDart!J125</f>
        <v>2.10395617271896</v>
      </c>
      <c r="I513" s="59" t="n">
        <f aca="false">BlueDart!K125</f>
        <v>2.24036167634408</v>
      </c>
      <c r="J513" s="25" t="str">
        <f aca="false">IF(AND(ISNUMBER(I513),ISNUMBER(I$523)),IF(I513&gt;I$523,"Above",IF(I513&lt;I$523,"Below","At median")),"-")</f>
        <v>Above</v>
      </c>
      <c r="K513" s="25" t="str">
        <f aca="false">IF(J513="Above","Better",IF(J513="Below","Weaker",IF(J513="At median","In line","-")))</f>
        <v>Better</v>
      </c>
      <c r="L513" s="43" t="n">
        <f aca="false">IF(ISNUMBER(I513),RANK(I513,I$511:I$520,0),"-")</f>
        <v>5</v>
      </c>
    </row>
    <row r="514" customFormat="false" ht="15" hidden="false" customHeight="false" outlineLevel="0" collapsed="false">
      <c r="A514" s="16" t="s">
        <v>58</v>
      </c>
      <c r="B514" s="36" t="n">
        <f aca="false">CONCOR!D125</f>
        <v>0.645532369193662</v>
      </c>
      <c r="C514" s="36" t="n">
        <f aca="false">CONCOR!E125</f>
        <v>0.589089649217841</v>
      </c>
      <c r="D514" s="36" t="n">
        <f aca="false">CONCOR!F125</f>
        <v>0.665985833921484</v>
      </c>
      <c r="E514" s="36" t="n">
        <f aca="false">CONCOR!G125</f>
        <v>0.680495173961467</v>
      </c>
      <c r="F514" s="36" t="n">
        <f aca="false">CONCOR!H125</f>
        <v>0.678065430644786</v>
      </c>
      <c r="G514" s="36" t="n">
        <f aca="false">CONCOR!I125</f>
        <v>0.671077073636328</v>
      </c>
      <c r="H514" s="36" t="n">
        <f aca="false">CONCOR!J125</f>
        <v>0.652838299206438</v>
      </c>
      <c r="I514" s="59" t="n">
        <f aca="false">CONCOR!K125</f>
        <v>0.654726261397429</v>
      </c>
      <c r="J514" s="25" t="str">
        <f aca="false">IF(AND(ISNUMBER(I514),ISNUMBER(I$523)),IF(I514&gt;I$523,"Above",IF(I514&lt;I$523,"Below","At median")),"-")</f>
        <v>Below</v>
      </c>
      <c r="K514" s="25" t="str">
        <f aca="false">IF(J514="Above","Better",IF(J514="Below","Weaker",IF(J514="At median","In line","-")))</f>
        <v>Weaker</v>
      </c>
      <c r="L514" s="43" t="n">
        <f aca="false">IF(ISNUMBER(I514),RANK(I514,I$511:I$520,0),"-")</f>
        <v>9</v>
      </c>
    </row>
    <row r="515" customFormat="false" ht="15" hidden="false" customHeight="false" outlineLevel="0" collapsed="false">
      <c r="A515" s="16" t="s">
        <v>278</v>
      </c>
      <c r="B515" s="36" t="n">
        <f aca="false">JetFreight!D125</f>
        <v>5.4965163182985</v>
      </c>
      <c r="C515" s="36" t="n">
        <f aca="false">JetFreight!E125</f>
        <v>6.59296577946768</v>
      </c>
      <c r="D515" s="36" t="n">
        <f aca="false">JetFreight!F125</f>
        <v>6.20597826086957</v>
      </c>
      <c r="E515" s="36" t="n">
        <f aca="false">JetFreight!G125</f>
        <v>3.38469661278531</v>
      </c>
      <c r="F515" s="36" t="n">
        <f aca="false">JetFreight!H125</f>
        <v>3.27840716942847</v>
      </c>
      <c r="G515" s="36" t="n">
        <f aca="false">JetFreight!I125</f>
        <v>3.34813281190093</v>
      </c>
      <c r="H515" s="36" t="n">
        <f aca="false">JetFreight!J125</f>
        <v>3.02383222116301</v>
      </c>
      <c r="I515" s="59" t="n">
        <f aca="false">JetFreight!K125</f>
        <v>4.47578988198764</v>
      </c>
      <c r="J515" s="25" t="str">
        <f aca="false">IF(AND(ISNUMBER(I515),ISNUMBER(I$523)),IF(I515&gt;I$523,"Above",IF(I515&lt;I$523,"Below","At median")),"-")</f>
        <v>Above</v>
      </c>
      <c r="K515" s="25" t="str">
        <f aca="false">IF(J515="Above","Better",IF(J515="Below","Weaker",IF(J515="At median","In line","-")))</f>
        <v>Better</v>
      </c>
      <c r="L515" s="43" t="n">
        <f aca="false">IF(ISNUMBER(I515),RANK(I515,I$511:I$520,0),"-")</f>
        <v>1</v>
      </c>
    </row>
    <row r="516" customFormat="false" ht="15" hidden="false" customHeight="false" outlineLevel="0" collapsed="false">
      <c r="A516" s="16" t="s">
        <v>62</v>
      </c>
      <c r="B516" s="36" t="n">
        <f aca="false">Patel!D125</f>
        <v>1.93273991655077</v>
      </c>
      <c r="C516" s="36" t="n">
        <f aca="false">Patel!E125</f>
        <v>1.19014242458226</v>
      </c>
      <c r="D516" s="36" t="n">
        <f aca="false">Patel!F125</f>
        <v>1.41805858145727</v>
      </c>
      <c r="E516" s="36" t="n">
        <f aca="false">Patel!G125</f>
        <v>1.86827794561934</v>
      </c>
      <c r="F516" s="36" t="n">
        <f aca="false">Patel!H125</f>
        <v>2.02544440571628</v>
      </c>
      <c r="G516" s="36" t="n">
        <f aca="false">Patel!I125</f>
        <v>2.54353150745936</v>
      </c>
      <c r="H516" s="36" t="n">
        <f aca="false">Patel!J125</f>
        <v>2.75188781014024</v>
      </c>
      <c r="I516" s="59" t="n">
        <f aca="false">Patel!K125</f>
        <v>1.96144037021793</v>
      </c>
      <c r="J516" s="25" t="str">
        <f aca="false">IF(AND(ISNUMBER(I516),ISNUMBER(I$523)),IF(I516&gt;I$523,"Above",IF(I516&lt;I$523,"Below","At median")),"-")</f>
        <v>Below</v>
      </c>
      <c r="K516" s="25" t="str">
        <f aca="false">IF(J516="Above","Better",IF(J516="Below","Weaker",IF(J516="At median","In line","-")))</f>
        <v>Weaker</v>
      </c>
      <c r="L516" s="43" t="n">
        <f aca="false">IF(ISNUMBER(I516),RANK(I516,I$511:I$520,0),"-")</f>
        <v>7</v>
      </c>
    </row>
    <row r="517" customFormat="false" ht="15" hidden="false" customHeight="false" outlineLevel="0" collapsed="false">
      <c r="A517" s="16" t="s">
        <v>64</v>
      </c>
      <c r="B517" s="36" t="n">
        <f aca="false">Sical!D125</f>
        <v>0.567966345746633</v>
      </c>
      <c r="C517" s="36" t="n">
        <f aca="false">Sical!E125</f>
        <v>0.844421716240233</v>
      </c>
      <c r="D517" s="36" t="n">
        <f aca="false">Sical!F125</f>
        <v>0.417608331338281</v>
      </c>
      <c r="E517" s="36" t="n">
        <f aca="false">Sical!G125</f>
        <v>0.730199817501257</v>
      </c>
      <c r="F517" s="36" t="n">
        <f aca="false">Sical!H125</f>
        <v>0.412504431218165</v>
      </c>
      <c r="G517" s="36" t="n">
        <f aca="false">Sical!I125</f>
        <v>0.367842395900701</v>
      </c>
      <c r="H517" s="36" t="n">
        <f aca="false">Sical!J125</f>
        <v>0.62575850991336</v>
      </c>
      <c r="I517" s="59" t="n">
        <f aca="false">Sical!K125</f>
        <v>0.566614506836947</v>
      </c>
      <c r="J517" s="25" t="str">
        <f aca="false">IF(AND(ISNUMBER(I517),ISNUMBER(I$523)),IF(I517&gt;I$523,"Above",IF(I517&lt;I$523,"Below","At median")),"-")</f>
        <v>Below</v>
      </c>
      <c r="K517" s="25" t="str">
        <f aca="false">IF(J517="Above","Better",IF(J517="Below","Weaker",IF(J517="At median","In line","-")))</f>
        <v>Weaker</v>
      </c>
      <c r="L517" s="43" t="n">
        <f aca="false">IF(ISNUMBER(I517),RANK(I517,I$511:I$520,0),"-")</f>
        <v>10</v>
      </c>
    </row>
    <row r="518" customFormat="false" ht="15" hidden="false" customHeight="false" outlineLevel="0" collapsed="false">
      <c r="A518" s="16" t="s">
        <v>66</v>
      </c>
      <c r="B518" s="36" t="n">
        <f aca="false">TCI!D125</f>
        <v>1.8796353928932</v>
      </c>
      <c r="C518" s="36" t="n">
        <f aca="false">TCI!E125</f>
        <v>1.91003891793156</v>
      </c>
      <c r="D518" s="36" t="n">
        <f aca="false">TCI!F125</f>
        <v>2.1348107775252</v>
      </c>
      <c r="E518" s="36" t="n">
        <f aca="false">TCI!G125</f>
        <v>2.10885563596222</v>
      </c>
      <c r="F518" s="36" t="n">
        <f aca="false">TCI!H125</f>
        <v>1.83129010238908</v>
      </c>
      <c r="G518" s="36" t="n">
        <f aca="false">TCI!I125</f>
        <v>1.87422233905391</v>
      </c>
      <c r="H518" s="36" t="n">
        <f aca="false">TCI!J125</f>
        <v>1.70816671820011</v>
      </c>
      <c r="I518" s="59" t="n">
        <f aca="false">TCI!K125</f>
        <v>1.92100284056504</v>
      </c>
      <c r="J518" s="25" t="str">
        <f aca="false">IF(AND(ISNUMBER(I518),ISNUMBER(I$523)),IF(I518&gt;I$523,"Above",IF(I518&lt;I$523,"Below","At median")),"-")</f>
        <v>Below</v>
      </c>
      <c r="K518" s="25" t="str">
        <f aca="false">IF(J518="Above","Better",IF(J518="Below","Weaker",IF(J518="At median","In line","-")))</f>
        <v>Weaker</v>
      </c>
      <c r="L518" s="43" t="n">
        <f aca="false">IF(ISNUMBER(I518),RANK(I518,I$511:I$520,0),"-")</f>
        <v>8</v>
      </c>
    </row>
    <row r="519" customFormat="false" ht="15" hidden="false" customHeight="false" outlineLevel="0" collapsed="false">
      <c r="A519" s="16" t="s">
        <v>68</v>
      </c>
      <c r="B519" s="36" t="n">
        <f aca="false">Shreeji!D125</f>
        <v>1.55411133088443</v>
      </c>
      <c r="C519" s="36" t="n">
        <f aca="false">Shreeji!E125</f>
        <v>1.5107481853713</v>
      </c>
      <c r="D519" s="36" t="n">
        <f aca="false">Shreeji!F125</f>
        <v>2.12704598597038</v>
      </c>
      <c r="E519" s="36" t="n">
        <f aca="false">Shreeji!G125</f>
        <v>2.14842129522932</v>
      </c>
      <c r="F519" s="36" t="n">
        <f aca="false">Shreeji!H125</f>
        <v>2.43890565670334</v>
      </c>
      <c r="G519" s="36" t="n">
        <f aca="false">Shreeji!I125</f>
        <v>2.2389668497051</v>
      </c>
      <c r="H519" s="36" t="n">
        <f aca="false">Shreeji!J125</f>
        <v>2.33869035735676</v>
      </c>
      <c r="I519" s="59" t="n">
        <f aca="false">Shreeji!K125</f>
        <v>2.05098423731723</v>
      </c>
      <c r="J519" s="25" t="str">
        <f aca="false">IF(AND(ISNUMBER(I519),ISNUMBER(I$523)),IF(I519&gt;I$523,"Above",IF(I519&lt;I$523,"Below","At median")),"-")</f>
        <v>Below</v>
      </c>
      <c r="K519" s="25" t="str">
        <f aca="false">IF(J519="Above","Better",IF(J519="Below","Weaker",IF(J519="At median","In line","-")))</f>
        <v>Weaker</v>
      </c>
      <c r="L519" s="43" t="n">
        <f aca="false">IF(ISNUMBER(I519),RANK(I519,I$511:I$520,0),"-")</f>
        <v>6</v>
      </c>
    </row>
    <row r="520" customFormat="false" ht="15" hidden="false" customHeight="false" outlineLevel="0" collapsed="false">
      <c r="A520" s="16" t="s">
        <v>279</v>
      </c>
      <c r="B520" s="36" t="n">
        <f aca="false">MahindraLog!D125</f>
        <v>4.65331456531939</v>
      </c>
      <c r="C520" s="36" t="n">
        <f aca="false">MahindraLog!E125</f>
        <v>3.89679298899157</v>
      </c>
      <c r="D520" s="36" t="n">
        <f aca="false">MahindraLog!F125</f>
        <v>4.36374749710191</v>
      </c>
      <c r="E520" s="36" t="n">
        <f aca="false">MahindraLog!G125</f>
        <v>3.67429713696157</v>
      </c>
      <c r="F520" s="36" t="n">
        <f aca="false">MahindraLog!H125</f>
        <v>4.4700022731701</v>
      </c>
      <c r="G520" s="36" t="n">
        <f aca="false">MahindraLog!I125</f>
        <v>4.6720876126919</v>
      </c>
      <c r="H520" s="36" t="n">
        <f aca="false">MahindraLog!J125</f>
        <v>3.83622083495476</v>
      </c>
      <c r="I520" s="59" t="n">
        <f aca="false">MahindraLog!K125</f>
        <v>4.22378041559874</v>
      </c>
      <c r="J520" s="25" t="str">
        <f aca="false">IF(AND(ISNUMBER(I520),ISNUMBER(I$523)),IF(I520&gt;I$523,"Above",IF(I520&lt;I$523,"Below","At median")),"-")</f>
        <v>Above</v>
      </c>
      <c r="K520" s="25" t="str">
        <f aca="false">IF(J520="Above","Better",IF(J520="Below","Weaker",IF(J520="At median","In line","-")))</f>
        <v>Better</v>
      </c>
      <c r="L520" s="43" t="n">
        <f aca="false">IF(ISNUMBER(I520),RANK(I520,I$511:I$520,0),"-")</f>
        <v>2</v>
      </c>
    </row>
    <row r="521" customFormat="false" ht="15" hidden="false" customHeight="false" outlineLevel="0" collapsed="false">
      <c r="A521" s="46" t="s">
        <v>328</v>
      </c>
      <c r="B521" s="37" t="n">
        <f aca="false">Industry!D126</f>
        <v>1.31501331635768</v>
      </c>
      <c r="C521" s="37" t="n">
        <f aca="false">Industry!E126</f>
        <v>1.33848747787619</v>
      </c>
      <c r="D521" s="37" t="n">
        <f aca="false">Industry!F126</f>
        <v>1.78441533396819</v>
      </c>
      <c r="E521" s="37" t="n">
        <f aca="false">Industry!G126</f>
        <v>1.86868781674068</v>
      </c>
      <c r="F521" s="37" t="n">
        <f aca="false">Industry!H126</f>
        <v>1.57395834894374</v>
      </c>
      <c r="G521" s="37" t="n">
        <f aca="false">Industry!I126</f>
        <v>1.31499049076561</v>
      </c>
      <c r="H521" s="37" t="n">
        <f aca="false">Industry!J126</f>
        <v>1.29952903008866</v>
      </c>
      <c r="I521" s="37" t="n">
        <f aca="false">Industry!K126</f>
        <v>1.49929740210582</v>
      </c>
      <c r="J521" s="47"/>
      <c r="K521" s="47"/>
      <c r="L521" s="47"/>
    </row>
    <row r="522" customFormat="false" ht="15" hidden="false" customHeight="false" outlineLevel="0" collapsed="false">
      <c r="A522" s="52" t="s">
        <v>329</v>
      </c>
      <c r="B522" s="60" t="n">
        <f aca="false">IF(COUNT(B511:B520)=0,"N/M",AVERAGE(B511:B520))</f>
        <v>2.51730483071504</v>
      </c>
      <c r="C522" s="60" t="n">
        <f aca="false">IF(COUNT(C511:C520)=0,"N/M",AVERAGE(C511:C520))</f>
        <v>2.34516778214166</v>
      </c>
      <c r="D522" s="60" t="n">
        <f aca="false">IF(COUNT(D511:D520)=0,"N/M",AVERAGE(D511:D520))</f>
        <v>3.13524557917603</v>
      </c>
      <c r="E522" s="60" t="n">
        <f aca="false">IF(COUNT(E511:E520)=0,"N/M",AVERAGE(E511:E520))</f>
        <v>2.58028139710756</v>
      </c>
      <c r="F522" s="60" t="n">
        <f aca="false">IF(COUNT(F511:F520)=0,"N/M",AVERAGE(F511:F520))</f>
        <v>2.22179480557984</v>
      </c>
      <c r="G522" s="60" t="n">
        <f aca="false">IF(COUNT(G511:G520)=0,"N/M",AVERAGE(G511:G520))</f>
        <v>2.25110215579148</v>
      </c>
      <c r="H522" s="60" t="n">
        <f aca="false">IF(COUNT(H511:H520)=0,"N/M",AVERAGE(H511:H520))</f>
        <v>2.13845705114761</v>
      </c>
      <c r="I522" s="60" t="n">
        <f aca="false">IF(COUNT(I511:I520)=0,"N/M",AVERAGE(I511:I520))</f>
        <v>2.45562194309418</v>
      </c>
      <c r="J522" s="54"/>
      <c r="K522" s="54"/>
      <c r="L522" s="54"/>
    </row>
    <row r="523" customFormat="false" ht="15" hidden="false" customHeight="false" outlineLevel="0" collapsed="false">
      <c r="A523" s="28" t="s">
        <v>281</v>
      </c>
      <c r="B523" s="38" t="n">
        <f aca="false">IF(COUNT(B511:B520)=0,"N/M",MEDIAN(B511:B520))</f>
        <v>1.94611944080958</v>
      </c>
      <c r="C523" s="38" t="n">
        <f aca="false">IF(COUNT(C511:C520)=0,"N/M",MEDIAN(C511:C520))</f>
        <v>1.73268239987235</v>
      </c>
      <c r="D523" s="38" t="n">
        <f aca="false">IF(COUNT(D511:D520)=0,"N/M",MEDIAN(D511:D520))</f>
        <v>2.20534380759094</v>
      </c>
      <c r="E523" s="38" t="n">
        <f aca="false">IF(COUNT(E511:E520)=0,"N/M",MEDIAN(E511:E520))</f>
        <v>2.19875297922313</v>
      </c>
      <c r="F523" s="38" t="n">
        <f aca="false">IF(COUNT(F511:F520)=0,"N/M",MEDIAN(F511:F520))</f>
        <v>2.0920982427234</v>
      </c>
      <c r="G523" s="38" t="n">
        <f aca="false">IF(COUNT(G511:G520)=0,"N/M",MEDIAN(G511:G520))</f>
        <v>2.23408068209428</v>
      </c>
      <c r="H523" s="38" t="n">
        <f aca="false">IF(COUNT(H511:H520)=0,"N/M",MEDIAN(H511:H520))</f>
        <v>2.22132326503786</v>
      </c>
      <c r="I523" s="38" t="n">
        <f aca="false">IF(COUNT(I511:I520)=0,"N/M",MEDIAN(I511:I520))</f>
        <v>2.14567295683066</v>
      </c>
      <c r="J523" s="54"/>
      <c r="K523" s="54"/>
      <c r="L523" s="54"/>
    </row>
    <row r="524" customFormat="false" ht="15" hidden="false" customHeight="false" outlineLevel="0" collapsed="false">
      <c r="A524" s="52" t="s">
        <v>330</v>
      </c>
      <c r="B524" s="60" t="n">
        <f aca="false">IF(COUNT(B511:B520)&lt;2,"N/M",STDEV(B511:B520))</f>
        <v>1.62663578904974</v>
      </c>
      <c r="C524" s="60" t="n">
        <f aca="false">IF(COUNT(C511:C520)&lt;2,"N/M",STDEV(C511:C520))</f>
        <v>1.79503247875121</v>
      </c>
      <c r="D524" s="60" t="n">
        <f aca="false">IF(COUNT(D511:D520)&lt;2,"N/M",STDEV(D511:D520))</f>
        <v>2.5066833495793</v>
      </c>
      <c r="E524" s="60" t="n">
        <f aca="false">IF(COUNT(E511:E520)&lt;2,"N/M",STDEV(E511:E520))</f>
        <v>1.37907885852723</v>
      </c>
      <c r="F524" s="60" t="n">
        <f aca="false">IF(COUNT(F511:F520)&lt;2,"N/M",STDEV(F511:F520))</f>
        <v>1.18786470530633</v>
      </c>
      <c r="G524" s="60" t="n">
        <f aca="false">IF(COUNT(G511:G520)&lt;2,"N/M",STDEV(G511:G520))</f>
        <v>1.2776745517134</v>
      </c>
      <c r="H524" s="60" t="n">
        <f aca="false">IF(COUNT(H511:H520)&lt;2,"N/M",STDEV(H511:H520))</f>
        <v>1.02010976709382</v>
      </c>
      <c r="I524" s="60" t="n">
        <f aca="false">IF(COUNT(I511:I520)&lt;2,"N/M",STDEV(I511:I520))</f>
        <v>1.36125632631685</v>
      </c>
      <c r="J524" s="54"/>
      <c r="K524" s="54"/>
      <c r="L524" s="54"/>
    </row>
    <row r="525" customFormat="false" ht="15" hidden="false" customHeight="false" outlineLevel="0" collapsed="false">
      <c r="A525" s="52" t="s">
        <v>269</v>
      </c>
      <c r="B525" s="60" t="n">
        <f aca="false">IF(COUNT(B511:B520)=0,"N/M",MIN(B511:B520))</f>
        <v>0.567966345746633</v>
      </c>
      <c r="C525" s="60" t="n">
        <f aca="false">IF(COUNT(C511:C520)=0,"N/M",MIN(C511:C520))</f>
        <v>0.589089649217841</v>
      </c>
      <c r="D525" s="60" t="n">
        <f aca="false">IF(COUNT(D511:D520)=0,"N/M",MIN(D511:D520))</f>
        <v>0.417608331338281</v>
      </c>
      <c r="E525" s="60" t="n">
        <f aca="false">IF(COUNT(E511:E520)=0,"N/M",MIN(E511:E520))</f>
        <v>0.680495173961467</v>
      </c>
      <c r="F525" s="60" t="n">
        <f aca="false">IF(COUNT(F511:F520)=0,"N/M",MIN(F511:F520))</f>
        <v>0.412504431218165</v>
      </c>
      <c r="G525" s="60" t="n">
        <f aca="false">IF(COUNT(G511:G520)=0,"N/M",MIN(G511:G520))</f>
        <v>0.367842395900701</v>
      </c>
      <c r="H525" s="60" t="n">
        <f aca="false">IF(COUNT(H511:H520)=0,"N/M",MIN(H511:H520))</f>
        <v>0.62575850991336</v>
      </c>
      <c r="I525" s="60" t="n">
        <f aca="false">IF(COUNT(I511:I520)=0,"N/M",MIN(I511:I520))</f>
        <v>0.566614506836947</v>
      </c>
      <c r="J525" s="54"/>
      <c r="K525" s="54"/>
      <c r="L525" s="54"/>
    </row>
    <row r="526" customFormat="false" ht="15" hidden="false" customHeight="false" outlineLevel="0" collapsed="false">
      <c r="A526" s="52" t="s">
        <v>270</v>
      </c>
      <c r="B526" s="60" t="n">
        <f aca="false">IF(COUNT(B511:B520)=0,"N/M",MAX(B511:B520))</f>
        <v>5.4965163182985</v>
      </c>
      <c r="C526" s="60" t="n">
        <f aca="false">IF(COUNT(C511:C520)=0,"N/M",MAX(C511:C520))</f>
        <v>6.59296577946768</v>
      </c>
      <c r="D526" s="60" t="n">
        <f aca="false">IF(COUNT(D511:D520)=0,"N/M",MAX(D511:D520))</f>
        <v>8.26427515786645</v>
      </c>
      <c r="E526" s="60" t="n">
        <f aca="false">IF(COUNT(E511:E520)=0,"N/M",MAX(E511:E520))</f>
        <v>4.51978856805184</v>
      </c>
      <c r="F526" s="60" t="n">
        <f aca="false">IF(COUNT(F511:F520)=0,"N/M",MAX(F511:F520))</f>
        <v>4.4700022731701</v>
      </c>
      <c r="G526" s="60" t="n">
        <f aca="false">IF(COUNT(G511:G520)=0,"N/M",MAX(G511:G520))</f>
        <v>4.6720876126919</v>
      </c>
      <c r="H526" s="60" t="n">
        <f aca="false">IF(COUNT(H511:H520)=0,"N/M",MAX(H511:H520))</f>
        <v>3.83622083495476</v>
      </c>
      <c r="I526" s="60" t="n">
        <f aca="false">IF(COUNT(I511:I520)=0,"N/M",MAX(I511:I520))</f>
        <v>4.47578988198764</v>
      </c>
      <c r="J526" s="54"/>
      <c r="K526" s="54"/>
      <c r="L526" s="54"/>
    </row>
    <row r="528" customFormat="false" ht="16.5" hidden="false" customHeight="true" outlineLevel="0" collapsed="false">
      <c r="A528" s="49" t="s">
        <v>359</v>
      </c>
      <c r="B528" s="49"/>
      <c r="C528" s="49"/>
      <c r="D528" s="49"/>
      <c r="E528" s="49"/>
      <c r="F528" s="49"/>
      <c r="G528" s="49"/>
      <c r="H528" s="49"/>
      <c r="I528" s="49"/>
      <c r="J528" s="49"/>
      <c r="K528" s="49"/>
      <c r="L528" s="49"/>
    </row>
    <row r="529" customFormat="false" ht="15" hidden="false" customHeight="false" outlineLevel="0" collapsed="false">
      <c r="A529" s="16" t="s">
        <v>52</v>
      </c>
      <c r="B529" s="36" t="n">
        <f aca="false">Tiger!D126</f>
        <v>3.16747215801639</v>
      </c>
      <c r="C529" s="36" t="n">
        <f aca="false">Tiger!E126</f>
        <v>2.23617956573864</v>
      </c>
      <c r="D529" s="36" t="n">
        <f aca="false">Tiger!F126</f>
        <v>5.6859863190978</v>
      </c>
      <c r="E529" s="36" t="n">
        <f aca="false">Tiger!G126</f>
        <v>4.06825009387908</v>
      </c>
      <c r="F529" s="36" t="n">
        <f aca="false">Tiger!H126</f>
        <v>1.94842267456005</v>
      </c>
      <c r="G529" s="36" t="n">
        <f aca="false">Tiger!I126</f>
        <v>3.06848609680741</v>
      </c>
      <c r="H529" s="36" t="n">
        <f aca="false">Tiger!J126</f>
        <v>2.38864100746424</v>
      </c>
      <c r="I529" s="59" t="n">
        <f aca="false">Tiger!K126</f>
        <v>3.22334827365195</v>
      </c>
      <c r="J529" s="25" t="str">
        <f aca="false">IF(AND(ISNUMBER(I529),ISNUMBER(I$541)),IF(I529&gt;I$541,"Above",IF(I529&lt;I$541,"Below","At median")),"-")</f>
        <v>Above</v>
      </c>
      <c r="K529" s="25" t="str">
        <f aca="false">IF(J529="Above","Better",IF(J529="Below","Weaker",IF(J529="At median","In line","-")))</f>
        <v>Better</v>
      </c>
      <c r="L529" s="43" t="n">
        <f aca="false">IF(ISNUMBER(I529),RANK(I529,I$529:I$538,0),"-")</f>
        <v>5</v>
      </c>
    </row>
    <row r="530" customFormat="false" ht="15" hidden="false" customHeight="false" outlineLevel="0" collapsed="false">
      <c r="A530" s="16" t="s">
        <v>54</v>
      </c>
      <c r="B530" s="36" t="n">
        <f aca="false">Allcargo!D126</f>
        <v>2.87643405874844</v>
      </c>
      <c r="C530" s="36" t="n">
        <f aca="false">Allcargo!E126</f>
        <v>2.74671250582147</v>
      </c>
      <c r="D530" s="36" t="n">
        <f aca="false">Allcargo!F126</f>
        <v>3.4391165348421</v>
      </c>
      <c r="E530" s="36" t="n">
        <f aca="false">Allcargo!G126</f>
        <v>4.00925977340319</v>
      </c>
      <c r="F530" s="36" t="n">
        <f aca="false">Allcargo!H126</f>
        <v>3.21130931745922</v>
      </c>
      <c r="G530" s="36" t="n">
        <f aca="false">Allcargo!I126</f>
        <v>2.00922131147541</v>
      </c>
      <c r="H530" s="36" t="n">
        <f aca="false">Allcargo!J126</f>
        <v>2.16631578947368</v>
      </c>
      <c r="I530" s="59" t="n">
        <f aca="false">Allcargo!K126</f>
        <v>2.9226241844605</v>
      </c>
      <c r="J530" s="25" t="str">
        <f aca="false">IF(AND(ISNUMBER(I530),ISNUMBER(I$541)),IF(I530&gt;I$541,"Above",IF(I530&lt;I$541,"Below","At median")),"-")</f>
        <v>Below</v>
      </c>
      <c r="K530" s="25" t="str">
        <f aca="false">IF(J530="Above","Better",IF(J530="Below","Weaker",IF(J530="At median","In line","-")))</f>
        <v>Weaker</v>
      </c>
      <c r="L530" s="43" t="n">
        <f aca="false">IF(ISNUMBER(I530),RANK(I530,I$529:I$538,0),"-")</f>
        <v>6</v>
      </c>
    </row>
    <row r="531" customFormat="false" ht="15" hidden="false" customHeight="false" outlineLevel="0" collapsed="false">
      <c r="A531" s="16" t="s">
        <v>277</v>
      </c>
      <c r="B531" s="36" t="n">
        <f aca="false">BlueDart!D126</f>
        <v>3.31509323644261</v>
      </c>
      <c r="C531" s="36" t="n">
        <f aca="false">BlueDart!E126</f>
        <v>2.84071706263499</v>
      </c>
      <c r="D531" s="36" t="n">
        <f aca="false">BlueDart!F126</f>
        <v>3.95428422855196</v>
      </c>
      <c r="E531" s="36" t="n">
        <f aca="false">BlueDart!G126</f>
        <v>4.39736101546493</v>
      </c>
      <c r="F531" s="36" t="n">
        <f aca="false">BlueDart!H126</f>
        <v>4.19006220072859</v>
      </c>
      <c r="G531" s="36" t="n">
        <f aca="false">BlueDart!I126</f>
        <v>4.12577445995168</v>
      </c>
      <c r="H531" s="36" t="n">
        <f aca="false">BlueDart!J126</f>
        <v>3.7172397094431</v>
      </c>
      <c r="I531" s="59" t="n">
        <f aca="false">BlueDart!K126</f>
        <v>3.79150455903112</v>
      </c>
      <c r="J531" s="25" t="str">
        <f aca="false">IF(AND(ISNUMBER(I531),ISNUMBER(I$541)),IF(I531&gt;I$541,"Above",IF(I531&lt;I$541,"Below","At median")),"-")</f>
        <v>Above</v>
      </c>
      <c r="K531" s="25" t="str">
        <f aca="false">IF(J531="Above","Better",IF(J531="Below","Weaker",IF(J531="At median","In line","-")))</f>
        <v>Better</v>
      </c>
      <c r="L531" s="43" t="n">
        <f aca="false">IF(ISNUMBER(I531),RANK(I531,I$529:I$538,0),"-")</f>
        <v>1</v>
      </c>
    </row>
    <row r="532" customFormat="false" ht="15" hidden="false" customHeight="false" outlineLevel="0" collapsed="false">
      <c r="A532" s="16" t="s">
        <v>58</v>
      </c>
      <c r="B532" s="36" t="n">
        <f aca="false">CONCOR!D126</f>
        <v>1.51903483633251</v>
      </c>
      <c r="C532" s="36" t="n">
        <f aca="false">CONCOR!E126</f>
        <v>1.40824603572829</v>
      </c>
      <c r="D532" s="36" t="n">
        <f aca="false">CONCOR!F126</f>
        <v>1.43927576654059</v>
      </c>
      <c r="E532" s="36" t="n">
        <f aca="false">CONCOR!G126</f>
        <v>1.40983748017472</v>
      </c>
      <c r="F532" s="36" t="n">
        <f aca="false">CONCOR!H126</f>
        <v>1.43656297053799</v>
      </c>
      <c r="G532" s="36" t="n">
        <f aca="false">CONCOR!I126</f>
        <v>1.50023549271998</v>
      </c>
      <c r="H532" s="36" t="n">
        <f aca="false">CONCOR!J126</f>
        <v>1.50600063365364</v>
      </c>
      <c r="I532" s="59" t="n">
        <f aca="false">CONCOR!K126</f>
        <v>1.45988474509825</v>
      </c>
      <c r="J532" s="25" t="str">
        <f aca="false">IF(AND(ISNUMBER(I532),ISNUMBER(I$541)),IF(I532&gt;I$541,"Above",IF(I532&lt;I$541,"Below","At median")),"-")</f>
        <v>Below</v>
      </c>
      <c r="K532" s="25" t="str">
        <f aca="false">IF(J532="Above","Better",IF(J532="Below","Weaker",IF(J532="At median","In line","-")))</f>
        <v>Weaker</v>
      </c>
      <c r="L532" s="43" t="n">
        <f aca="false">IF(ISNUMBER(I532),RANK(I532,I$529:I$538,0),"-")</f>
        <v>9</v>
      </c>
    </row>
    <row r="533" customFormat="false" ht="15" hidden="false" customHeight="false" outlineLevel="0" collapsed="false">
      <c r="A533" s="16" t="s">
        <v>278</v>
      </c>
      <c r="B533" s="36" t="n">
        <f aca="false">JetFreight!D126</f>
        <v>4.13889272400939</v>
      </c>
      <c r="C533" s="36" t="n">
        <f aca="false">JetFreight!E126</f>
        <v>5.00057678442682</v>
      </c>
      <c r="D533" s="36" t="n">
        <f aca="false">JetFreight!F126</f>
        <v>5.81267498091117</v>
      </c>
      <c r="E533" s="36" t="n">
        <f aca="false">JetFreight!G126</f>
        <v>3.386622236671</v>
      </c>
      <c r="F533" s="36" t="n">
        <f aca="false">JetFreight!H126</f>
        <v>2.70902612826603</v>
      </c>
      <c r="G533" s="36" t="n">
        <f aca="false">JetFreight!I126</f>
        <v>2.80250320924262</v>
      </c>
      <c r="H533" s="36" t="n">
        <f aca="false">JetFreight!J126</f>
        <v>2.62040479140851</v>
      </c>
      <c r="I533" s="59" t="n">
        <f aca="false">JetFreight!K126</f>
        <v>3.78152869356222</v>
      </c>
      <c r="J533" s="25" t="str">
        <f aca="false">IF(AND(ISNUMBER(I533),ISNUMBER(I$541)),IF(I533&gt;I$541,"Above",IF(I533&lt;I$541,"Below","At median")),"-")</f>
        <v>Above</v>
      </c>
      <c r="K533" s="25" t="str">
        <f aca="false">IF(J533="Above","Better",IF(J533="Below","Weaker",IF(J533="At median","In line","-")))</f>
        <v>Better</v>
      </c>
      <c r="L533" s="43" t="n">
        <f aca="false">IF(ISNUMBER(I533),RANK(I533,I$529:I$538,0),"-")</f>
        <v>2</v>
      </c>
    </row>
    <row r="534" customFormat="false" ht="15" hidden="false" customHeight="false" outlineLevel="0" collapsed="false">
      <c r="A534" s="16" t="s">
        <v>62</v>
      </c>
      <c r="B534" s="36" t="n">
        <f aca="false">Patel!D126</f>
        <v>2.45502084658328</v>
      </c>
      <c r="C534" s="36" t="n">
        <f aca="false">Patel!E126</f>
        <v>1.67125984251969</v>
      </c>
      <c r="D534" s="36" t="n">
        <f aca="false">Patel!F126</f>
        <v>2.01843397364114</v>
      </c>
      <c r="E534" s="36" t="n">
        <f aca="false">Patel!G126</f>
        <v>2.49087003222342</v>
      </c>
      <c r="F534" s="36" t="n">
        <f aca="false">Patel!H126</f>
        <v>2.09375225192765</v>
      </c>
      <c r="G534" s="36" t="n">
        <f aca="false">Patel!I126</f>
        <v>2.93952650540401</v>
      </c>
      <c r="H534" s="36" t="n">
        <f aca="false">Patel!J126</f>
        <v>3.16445153287259</v>
      </c>
      <c r="I534" s="59" t="n">
        <f aca="false">Patel!K126</f>
        <v>2.40475928359597</v>
      </c>
      <c r="J534" s="25" t="str">
        <f aca="false">IF(AND(ISNUMBER(I534),ISNUMBER(I$541)),IF(I534&gt;I$541,"Above",IF(I534&lt;I$541,"Below","At median")),"-")</f>
        <v>Below</v>
      </c>
      <c r="K534" s="25" t="str">
        <f aca="false">IF(J534="Above","Better",IF(J534="Below","Weaker",IF(J534="At median","In line","-")))</f>
        <v>Weaker</v>
      </c>
      <c r="L534" s="43" t="n">
        <f aca="false">IF(ISNUMBER(I534),RANK(I534,I$529:I$538,0),"-")</f>
        <v>8</v>
      </c>
    </row>
    <row r="535" customFormat="false" ht="15" hidden="false" customHeight="false" outlineLevel="0" collapsed="false">
      <c r="A535" s="16" t="s">
        <v>64</v>
      </c>
      <c r="B535" s="36" t="n">
        <f aca="false">Sical!D126</f>
        <v>1.87432915921288</v>
      </c>
      <c r="C535" s="36" t="n">
        <f aca="false">Sical!E126</f>
        <v>1.03126791711033</v>
      </c>
      <c r="D535" s="36" t="n">
        <f aca="false">Sical!F126</f>
        <v>0.888546468685531</v>
      </c>
      <c r="E535" s="36" t="n">
        <f aca="false">Sical!G126</f>
        <v>2.0958362285531</v>
      </c>
      <c r="F535" s="36" t="n">
        <f aca="false">Sical!H126</f>
        <v>1.10833166232204</v>
      </c>
      <c r="G535" s="36" t="n">
        <f aca="false">Sical!I126</f>
        <v>1.08692669541356</v>
      </c>
      <c r="H535" s="36" t="n">
        <f aca="false">Sical!J126</f>
        <v>1.16477410002416</v>
      </c>
      <c r="I535" s="59" t="n">
        <f aca="false">Sical!K126</f>
        <v>1.32143031876023</v>
      </c>
      <c r="J535" s="25" t="str">
        <f aca="false">IF(AND(ISNUMBER(I535),ISNUMBER(I$541)),IF(I535&gt;I$541,"Above",IF(I535&lt;I$541,"Below","At median")),"-")</f>
        <v>Below</v>
      </c>
      <c r="K535" s="25" t="str">
        <f aca="false">IF(J535="Above","Better",IF(J535="Below","Weaker",IF(J535="At median","In line","-")))</f>
        <v>Weaker</v>
      </c>
      <c r="L535" s="43" t="n">
        <f aca="false">IF(ISNUMBER(I535),RANK(I535,I$529:I$538,0),"-")</f>
        <v>10</v>
      </c>
    </row>
    <row r="536" customFormat="false" ht="15" hidden="false" customHeight="false" outlineLevel="0" collapsed="false">
      <c r="A536" s="16" t="s">
        <v>66</v>
      </c>
      <c r="B536" s="36" t="n">
        <f aca="false">TCI!D126</f>
        <v>3.601362184796</v>
      </c>
      <c r="C536" s="36" t="n">
        <f aca="false">TCI!E126</f>
        <v>3.59751213124856</v>
      </c>
      <c r="D536" s="36" t="n">
        <f aca="false">TCI!F126</f>
        <v>3.94686739254181</v>
      </c>
      <c r="E536" s="36" t="n">
        <f aca="false">TCI!G126</f>
        <v>3.79102398348317</v>
      </c>
      <c r="F536" s="36" t="n">
        <f aca="false">TCI!H126</f>
        <v>4.07317887832873</v>
      </c>
      <c r="G536" s="36" t="n">
        <f aca="false">TCI!I126</f>
        <v>3.44419396393081</v>
      </c>
      <c r="H536" s="36" t="n">
        <f aca="false">TCI!J126</f>
        <v>3.36912756276724</v>
      </c>
      <c r="I536" s="59" t="n">
        <f aca="false">TCI!K126</f>
        <v>3.6890380138709</v>
      </c>
      <c r="J536" s="25" t="str">
        <f aca="false">IF(AND(ISNUMBER(I536),ISNUMBER(I$541)),IF(I536&gt;I$541,"Above",IF(I536&lt;I$541,"Below","At median")),"-")</f>
        <v>Above</v>
      </c>
      <c r="K536" s="25" t="str">
        <f aca="false">IF(J536="Above","Better",IF(J536="Below","Weaker",IF(J536="At median","In line","-")))</f>
        <v>Better</v>
      </c>
      <c r="L536" s="43" t="n">
        <f aca="false">IF(ISNUMBER(I536),RANK(I536,I$529:I$538,0),"-")</f>
        <v>3</v>
      </c>
    </row>
    <row r="537" customFormat="false" ht="15" hidden="false" customHeight="false" outlineLevel="0" collapsed="false">
      <c r="A537" s="16" t="s">
        <v>68</v>
      </c>
      <c r="B537" s="36" t="n">
        <f aca="false">Shreeji!D126</f>
        <v>2.09923664122137</v>
      </c>
      <c r="C537" s="36" t="n">
        <f aca="false">Shreeji!E126</f>
        <v>1.91320487891108</v>
      </c>
      <c r="D537" s="36" t="n">
        <f aca="false">Shreeji!F126</f>
        <v>2.37441995359629</v>
      </c>
      <c r="E537" s="36" t="n">
        <f aca="false">Shreeji!G126</f>
        <v>2.52014057853474</v>
      </c>
      <c r="F537" s="36" t="n">
        <f aca="false">Shreeji!H126</f>
        <v>2.96099290780142</v>
      </c>
      <c r="G537" s="36" t="n">
        <f aca="false">Shreeji!I126</f>
        <v>2.67858880778589</v>
      </c>
      <c r="H537" s="36" t="n">
        <f aca="false">Shreeji!J126</f>
        <v>2.53862823707877</v>
      </c>
      <c r="I537" s="59" t="n">
        <f aca="false">Shreeji!K126</f>
        <v>2.44074457213279</v>
      </c>
      <c r="J537" s="25" t="str">
        <f aca="false">IF(AND(ISNUMBER(I537),ISNUMBER(I$541)),IF(I537&gt;I$541,"Above",IF(I537&lt;I$541,"Below","At median")),"-")</f>
        <v>Below</v>
      </c>
      <c r="K537" s="25" t="str">
        <f aca="false">IF(J537="Above","Better",IF(J537="Below","Weaker",IF(J537="At median","In line","-")))</f>
        <v>Weaker</v>
      </c>
      <c r="L537" s="43" t="n">
        <f aca="false">IF(ISNUMBER(I537),RANK(I537,I$529:I$538,0),"-")</f>
        <v>7</v>
      </c>
    </row>
    <row r="538" customFormat="false" ht="15" hidden="false" customHeight="false" outlineLevel="0" collapsed="false">
      <c r="A538" s="16" t="s">
        <v>279</v>
      </c>
      <c r="B538" s="36" t="n">
        <f aca="false">MahindraLog!D126</f>
        <v>2.95995565788352</v>
      </c>
      <c r="C538" s="36" t="n">
        <f aca="false">MahindraLog!E126</f>
        <v>2.5737492902656</v>
      </c>
      <c r="D538" s="36" t="n">
        <f aca="false">MahindraLog!F126</f>
        <v>3.08248220826013</v>
      </c>
      <c r="E538" s="36" t="n">
        <f aca="false">MahindraLog!G126</f>
        <v>3.16637338618556</v>
      </c>
      <c r="F538" s="36" t="n">
        <f aca="false">MahindraLog!H126</f>
        <v>3.40103526446807</v>
      </c>
      <c r="G538" s="36" t="n">
        <f aca="false">MahindraLog!I126</f>
        <v>3.86173893791315</v>
      </c>
      <c r="H538" s="36" t="n">
        <f aca="false">MahindraLog!J126</f>
        <v>3.87054497193574</v>
      </c>
      <c r="I538" s="59" t="n">
        <f aca="false">MahindraLog!K126</f>
        <v>3.27369710241597</v>
      </c>
      <c r="J538" s="25" t="str">
        <f aca="false">IF(AND(ISNUMBER(I538),ISNUMBER(I$541)),IF(I538&gt;I$541,"Above",IF(I538&lt;I$541,"Below","At median")),"-")</f>
        <v>Above</v>
      </c>
      <c r="K538" s="25" t="str">
        <f aca="false">IF(J538="Above","Better",IF(J538="Below","Weaker",IF(J538="At median","In line","-")))</f>
        <v>Better</v>
      </c>
      <c r="L538" s="43" t="n">
        <f aca="false">IF(ISNUMBER(I538),RANK(I538,I$529:I$538,0),"-")</f>
        <v>4</v>
      </c>
    </row>
    <row r="539" customFormat="false" ht="15" hidden="false" customHeight="false" outlineLevel="0" collapsed="false">
      <c r="A539" s="46" t="s">
        <v>328</v>
      </c>
      <c r="B539" s="37" t="n">
        <f aca="false">Industry!D127</f>
        <v>2.37914915181253</v>
      </c>
      <c r="C539" s="37" t="n">
        <f aca="false">Industry!E127</f>
        <v>2.2260418832807</v>
      </c>
      <c r="D539" s="37" t="n">
        <f aca="false">Industry!F127</f>
        <v>2.70606744165612</v>
      </c>
      <c r="E539" s="37" t="n">
        <f aca="false">Industry!G127</f>
        <v>2.85925548814436</v>
      </c>
      <c r="F539" s="37" t="n">
        <f aca="false">Industry!H127</f>
        <v>2.58699262087297</v>
      </c>
      <c r="G539" s="37" t="n">
        <f aca="false">Industry!I127</f>
        <v>2.4295077973733</v>
      </c>
      <c r="H539" s="37" t="n">
        <f aca="false">Industry!J127</f>
        <v>2.42824976116863</v>
      </c>
      <c r="I539" s="37" t="n">
        <f aca="false">Industry!K127</f>
        <v>2.5164663063298</v>
      </c>
      <c r="J539" s="47"/>
      <c r="K539" s="47"/>
      <c r="L539" s="47"/>
    </row>
    <row r="540" customFormat="false" ht="15" hidden="false" customHeight="false" outlineLevel="0" collapsed="false">
      <c r="A540" s="52" t="s">
        <v>329</v>
      </c>
      <c r="B540" s="60" t="n">
        <f aca="false">IF(COUNT(B529:B538)=0,"N/M",AVERAGE(B529:B538))</f>
        <v>2.80068315032464</v>
      </c>
      <c r="C540" s="60" t="n">
        <f aca="false">IF(COUNT(C529:C538)=0,"N/M",AVERAGE(C529:C538))</f>
        <v>2.50194260144055</v>
      </c>
      <c r="D540" s="60" t="n">
        <f aca="false">IF(COUNT(D529:D538)=0,"N/M",AVERAGE(D529:D538))</f>
        <v>3.26420878266685</v>
      </c>
      <c r="E540" s="60" t="n">
        <f aca="false">IF(COUNT(E529:E538)=0,"N/M",AVERAGE(E529:E538))</f>
        <v>3.13355748085729</v>
      </c>
      <c r="F540" s="60" t="n">
        <f aca="false">IF(COUNT(F529:F538)=0,"N/M",AVERAGE(F529:F538))</f>
        <v>2.71326742563998</v>
      </c>
      <c r="G540" s="60" t="n">
        <f aca="false">IF(COUNT(G529:G538)=0,"N/M",AVERAGE(G529:G538))</f>
        <v>2.75171954806445</v>
      </c>
      <c r="H540" s="60" t="n">
        <f aca="false">IF(COUNT(H529:H538)=0,"N/M",AVERAGE(H529:H538))</f>
        <v>2.65061283361217</v>
      </c>
      <c r="I540" s="60" t="n">
        <f aca="false">IF(COUNT(I529:I538)=0,"N/M",AVERAGE(I529:I538))</f>
        <v>2.83085597465799</v>
      </c>
      <c r="J540" s="54"/>
      <c r="K540" s="54"/>
      <c r="L540" s="54"/>
    </row>
    <row r="541" customFormat="false" ht="15" hidden="false" customHeight="false" outlineLevel="0" collapsed="false">
      <c r="A541" s="28" t="s">
        <v>281</v>
      </c>
      <c r="B541" s="38" t="n">
        <f aca="false">IF(COUNT(B529:B538)=0,"N/M",MEDIAN(B529:B538))</f>
        <v>2.91819485831598</v>
      </c>
      <c r="C541" s="38" t="n">
        <f aca="false">IF(COUNT(C529:C538)=0,"N/M",MEDIAN(C529:C538))</f>
        <v>2.40496442800212</v>
      </c>
      <c r="D541" s="38" t="n">
        <f aca="false">IF(COUNT(D529:D538)=0,"N/M",MEDIAN(D529:D538))</f>
        <v>3.26079937155112</v>
      </c>
      <c r="E541" s="38" t="n">
        <f aca="false">IF(COUNT(E529:E538)=0,"N/M",MEDIAN(E529:E538))</f>
        <v>3.27649781142828</v>
      </c>
      <c r="F541" s="38" t="n">
        <f aca="false">IF(COUNT(F529:F538)=0,"N/M",MEDIAN(F529:F538))</f>
        <v>2.83500951803373</v>
      </c>
      <c r="G541" s="38" t="n">
        <f aca="false">IF(COUNT(G529:G538)=0,"N/M",MEDIAN(G529:G538))</f>
        <v>2.87101485732332</v>
      </c>
      <c r="H541" s="38" t="n">
        <f aca="false">IF(COUNT(H529:H538)=0,"N/M",MEDIAN(H529:H538))</f>
        <v>2.57951651424364</v>
      </c>
      <c r="I541" s="38" t="n">
        <f aca="false">IF(COUNT(I529:I538)=0,"N/M",MEDIAN(I529:I538))</f>
        <v>3.07298622905622</v>
      </c>
      <c r="J541" s="54"/>
      <c r="K541" s="54"/>
      <c r="L541" s="54"/>
    </row>
    <row r="542" customFormat="false" ht="15" hidden="false" customHeight="false" outlineLevel="0" collapsed="false">
      <c r="A542" s="52" t="s">
        <v>330</v>
      </c>
      <c r="B542" s="60" t="n">
        <f aca="false">IF(COUNT(B529:B538)&lt;2,"N/M",STDEV(B529:B538))</f>
        <v>0.81475377159582</v>
      </c>
      <c r="C542" s="60" t="n">
        <f aca="false">IF(COUNT(C529:C538)&lt;2,"N/M",STDEV(C529:C538))</f>
        <v>1.15900408230817</v>
      </c>
      <c r="D542" s="60" t="n">
        <f aca="false">IF(COUNT(D529:D538)&lt;2,"N/M",STDEV(D529:D538))</f>
        <v>1.65607841824469</v>
      </c>
      <c r="E542" s="60" t="n">
        <f aca="false">IF(COUNT(E529:E538)&lt;2,"N/M",STDEV(E529:E538))</f>
        <v>0.975960410591108</v>
      </c>
      <c r="F542" s="60" t="n">
        <f aca="false">IF(COUNT(F529:F538)&lt;2,"N/M",STDEV(F529:F538))</f>
        <v>1.05342393122513</v>
      </c>
      <c r="G542" s="60" t="n">
        <f aca="false">IF(COUNT(G529:G538)&lt;2,"N/M",STDEV(G529:G538))</f>
        <v>0.979358155049163</v>
      </c>
      <c r="H542" s="60" t="n">
        <f aca="false">IF(COUNT(H529:H538)&lt;2,"N/M",STDEV(H529:H538))</f>
        <v>0.896951671563524</v>
      </c>
      <c r="I542" s="60" t="n">
        <f aca="false">IF(COUNT(I529:I538)&lt;2,"N/M",STDEV(I529:I538))</f>
        <v>0.907582492520376</v>
      </c>
      <c r="J542" s="54"/>
      <c r="K542" s="54"/>
      <c r="L542" s="54"/>
    </row>
    <row r="543" customFormat="false" ht="15" hidden="false" customHeight="false" outlineLevel="0" collapsed="false">
      <c r="A543" s="52" t="s">
        <v>269</v>
      </c>
      <c r="B543" s="60" t="n">
        <f aca="false">IF(COUNT(B529:B538)=0,"N/M",MIN(B529:B538))</f>
        <v>1.51903483633251</v>
      </c>
      <c r="C543" s="60" t="n">
        <f aca="false">IF(COUNT(C529:C538)=0,"N/M",MIN(C529:C538))</f>
        <v>1.03126791711033</v>
      </c>
      <c r="D543" s="60" t="n">
        <f aca="false">IF(COUNT(D529:D538)=0,"N/M",MIN(D529:D538))</f>
        <v>0.888546468685531</v>
      </c>
      <c r="E543" s="60" t="n">
        <f aca="false">IF(COUNT(E529:E538)=0,"N/M",MIN(E529:E538))</f>
        <v>1.40983748017472</v>
      </c>
      <c r="F543" s="60" t="n">
        <f aca="false">IF(COUNT(F529:F538)=0,"N/M",MIN(F529:F538))</f>
        <v>1.10833166232204</v>
      </c>
      <c r="G543" s="60" t="n">
        <f aca="false">IF(COUNT(G529:G538)=0,"N/M",MIN(G529:G538))</f>
        <v>1.08692669541356</v>
      </c>
      <c r="H543" s="60" t="n">
        <f aca="false">IF(COUNT(H529:H538)=0,"N/M",MIN(H529:H538))</f>
        <v>1.16477410002416</v>
      </c>
      <c r="I543" s="60" t="n">
        <f aca="false">IF(COUNT(I529:I538)=0,"N/M",MIN(I529:I538))</f>
        <v>1.32143031876023</v>
      </c>
      <c r="J543" s="54"/>
      <c r="K543" s="54"/>
      <c r="L543" s="54"/>
    </row>
    <row r="544" customFormat="false" ht="15" hidden="false" customHeight="false" outlineLevel="0" collapsed="false">
      <c r="A544" s="52" t="s">
        <v>270</v>
      </c>
      <c r="B544" s="60" t="n">
        <f aca="false">IF(COUNT(B529:B538)=0,"N/M",MAX(B529:B538))</f>
        <v>4.13889272400939</v>
      </c>
      <c r="C544" s="60" t="n">
        <f aca="false">IF(COUNT(C529:C538)=0,"N/M",MAX(C529:C538))</f>
        <v>5.00057678442682</v>
      </c>
      <c r="D544" s="60" t="n">
        <f aca="false">IF(COUNT(D529:D538)=0,"N/M",MAX(D529:D538))</f>
        <v>5.81267498091117</v>
      </c>
      <c r="E544" s="60" t="n">
        <f aca="false">IF(COUNT(E529:E538)=0,"N/M",MAX(E529:E538))</f>
        <v>4.39736101546493</v>
      </c>
      <c r="F544" s="60" t="n">
        <f aca="false">IF(COUNT(F529:F538)=0,"N/M",MAX(F529:F538))</f>
        <v>4.19006220072859</v>
      </c>
      <c r="G544" s="60" t="n">
        <f aca="false">IF(COUNT(G529:G538)=0,"N/M",MAX(G529:G538))</f>
        <v>4.12577445995168</v>
      </c>
      <c r="H544" s="60" t="n">
        <f aca="false">IF(COUNT(H529:H538)=0,"N/M",MAX(H529:H538))</f>
        <v>3.87054497193574</v>
      </c>
      <c r="I544" s="60" t="n">
        <f aca="false">IF(COUNT(I529:I538)=0,"N/M",MAX(I529:I538))</f>
        <v>3.79150455903112</v>
      </c>
      <c r="J544" s="54"/>
      <c r="K544" s="54"/>
      <c r="L544" s="54"/>
    </row>
    <row r="546" customFormat="false" ht="16.5" hidden="false" customHeight="true" outlineLevel="0" collapsed="false">
      <c r="A546" s="49" t="s">
        <v>360</v>
      </c>
      <c r="B546" s="49"/>
      <c r="C546" s="49"/>
      <c r="D546" s="49"/>
      <c r="E546" s="49"/>
      <c r="F546" s="49"/>
      <c r="G546" s="49"/>
      <c r="H546" s="49"/>
      <c r="I546" s="49"/>
      <c r="J546" s="49"/>
      <c r="K546" s="49"/>
      <c r="L546" s="49"/>
    </row>
    <row r="547" customFormat="false" ht="15" hidden="false" customHeight="false" outlineLevel="0" collapsed="false">
      <c r="A547" s="16" t="s">
        <v>52</v>
      </c>
      <c r="B547" s="36" t="n">
        <f aca="false">Tiger!D127</f>
        <v>3.79506545820745</v>
      </c>
      <c r="C547" s="36" t="n">
        <f aca="false">Tiger!E127</f>
        <v>3.48567275747508</v>
      </c>
      <c r="D547" s="36" t="n">
        <f aca="false">Tiger!F127</f>
        <v>10.0246088657106</v>
      </c>
      <c r="E547" s="36" t="n">
        <f aca="false">Tiger!G127</f>
        <v>5.11991965973535</v>
      </c>
      <c r="F547" s="36" t="n">
        <f aca="false">Tiger!H127</f>
        <v>2.34171539961014</v>
      </c>
      <c r="G547" s="36" t="n">
        <f aca="false">Tiger!I127</f>
        <v>3.53370231271002</v>
      </c>
      <c r="H547" s="36" t="n">
        <f aca="false">Tiger!J127</f>
        <v>3.04902326076542</v>
      </c>
      <c r="I547" s="59" t="n">
        <f aca="false">Tiger!K127</f>
        <v>4.47852967345915</v>
      </c>
      <c r="J547" s="25" t="str">
        <f aca="false">IF(AND(ISNUMBER(I547),ISNUMBER(I$559)),IF(I547&gt;I$559,"Above",IF(I547&lt;I$559,"Below","At median")),"-")</f>
        <v>Below</v>
      </c>
      <c r="K547" s="25" t="str">
        <f aca="false">IF(J547="Above","Better",IF(J547="Below","Weaker",IF(J547="At median","In line","-")))</f>
        <v>Weaker</v>
      </c>
      <c r="L547" s="43" t="n">
        <f aca="false">IF(ISNUMBER(I547),RANK(I547,I$547:I$556,0),"-")</f>
        <v>7</v>
      </c>
    </row>
    <row r="548" customFormat="false" ht="15" hidden="false" customHeight="false" outlineLevel="0" collapsed="false">
      <c r="A548" s="16" t="s">
        <v>54</v>
      </c>
      <c r="B548" s="36" t="n">
        <f aca="false">Allcargo!D127</f>
        <v>7.33128418027224</v>
      </c>
      <c r="C548" s="36" t="n">
        <f aca="false">Allcargo!E127</f>
        <v>12.2398274454938</v>
      </c>
      <c r="D548" s="36" t="n">
        <f aca="false">Allcargo!F127</f>
        <v>13.4449107413651</v>
      </c>
      <c r="E548" s="36" t="n">
        <f aca="false">Allcargo!G127</f>
        <v>14.2678043536684</v>
      </c>
      <c r="F548" s="36" t="n">
        <f aca="false">Allcargo!H127</f>
        <v>10.4356376686811</v>
      </c>
      <c r="G548" s="36" t="n">
        <f aca="false">Allcargo!I127</f>
        <v>3.39273356401384</v>
      </c>
      <c r="H548" s="36" t="n">
        <f aca="false">Allcargo!J127</f>
        <v>4.27858627858628</v>
      </c>
      <c r="I548" s="59" t="n">
        <f aca="false">Allcargo!K127</f>
        <v>9.34154060458295</v>
      </c>
      <c r="J548" s="25" t="str">
        <f aca="false">IF(AND(ISNUMBER(I548),ISNUMBER(I$559)),IF(I548&gt;I$559,"Above",IF(I548&lt;I$559,"Below","At median")),"-")</f>
        <v>Above</v>
      </c>
      <c r="K548" s="25" t="str">
        <f aca="false">IF(J548="Above","Better",IF(J548="Below","Weaker",IF(J548="At median","In line","-")))</f>
        <v>Better</v>
      </c>
      <c r="L548" s="43" t="n">
        <f aca="false">IF(ISNUMBER(I548),RANK(I548,I$547:I$556,0),"-")</f>
        <v>4</v>
      </c>
    </row>
    <row r="549" customFormat="false" ht="15" hidden="false" customHeight="false" outlineLevel="0" collapsed="false">
      <c r="A549" s="16" t="s">
        <v>277</v>
      </c>
      <c r="B549" s="36" t="str">
        <f aca="false">BlueDart!D127</f>
        <v>N/M</v>
      </c>
      <c r="C549" s="36" t="n">
        <f aca="false">BlueDart!E127</f>
        <v>8.78756213587044</v>
      </c>
      <c r="D549" s="36" t="n">
        <f aca="false">BlueDart!F127</f>
        <v>19.6423354413468</v>
      </c>
      <c r="E549" s="36" t="n">
        <f aca="false">BlueDart!G127</f>
        <v>20.4540673073121</v>
      </c>
      <c r="F549" s="36" t="n">
        <f aca="false">BlueDart!H127</f>
        <v>22.2703559651645</v>
      </c>
      <c r="G549" s="36" t="n">
        <f aca="false">BlueDart!I127</f>
        <v>19.7438216208753</v>
      </c>
      <c r="H549" s="36" t="n">
        <f aca="false">BlueDart!J127</f>
        <v>13.8345498783455</v>
      </c>
      <c r="I549" s="59" t="n">
        <f aca="false">BlueDart!K127</f>
        <v>17.4554487248191</v>
      </c>
      <c r="J549" s="25" t="str">
        <f aca="false">IF(AND(ISNUMBER(I549),ISNUMBER(I$559)),IF(I549&gt;I$559,"Above",IF(I549&lt;I$559,"Below","At median")),"-")</f>
        <v>Above</v>
      </c>
      <c r="K549" s="25" t="str">
        <f aca="false">IF(J549="Above","Better",IF(J549="Below","Weaker",IF(J549="At median","In line","-")))</f>
        <v>Better</v>
      </c>
      <c r="L549" s="43" t="n">
        <f aca="false">IF(ISNUMBER(I549),RANK(I549,I$547:I$556,0),"-")</f>
        <v>1</v>
      </c>
    </row>
    <row r="550" customFormat="false" ht="15" hidden="false" customHeight="false" outlineLevel="0" collapsed="false">
      <c r="A550" s="16" t="s">
        <v>58</v>
      </c>
      <c r="B550" s="36" t="n">
        <f aca="false">CONCOR!D127</f>
        <v>2.48649049994289</v>
      </c>
      <c r="C550" s="36" t="n">
        <f aca="false">CONCOR!E127</f>
        <v>2.09786429823445</v>
      </c>
      <c r="D550" s="36" t="n">
        <f aca="false">CONCOR!F127</f>
        <v>2.01089172911784</v>
      </c>
      <c r="E550" s="36" t="n">
        <f aca="false">CONCOR!G127</f>
        <v>1.88490025334681</v>
      </c>
      <c r="F550" s="36" t="n">
        <f aca="false">CONCOR!H127</f>
        <v>1.8227528941914</v>
      </c>
      <c r="G550" s="36" t="n">
        <f aca="false">CONCOR!I127</f>
        <v>1.89512539957052</v>
      </c>
      <c r="H550" s="36" t="n">
        <f aca="false">CONCOR!J127</f>
        <v>1.90747887983831</v>
      </c>
      <c r="I550" s="59" t="n">
        <f aca="false">CONCOR!K127</f>
        <v>2.01507199346317</v>
      </c>
      <c r="J550" s="25" t="str">
        <f aca="false">IF(AND(ISNUMBER(I550),ISNUMBER(I$559)),IF(I550&gt;I$559,"Above",IF(I550&lt;I$559,"Below","At median")),"-")</f>
        <v>Below</v>
      </c>
      <c r="K550" s="25" t="str">
        <f aca="false">IF(J550="Above","Better",IF(J550="Below","Weaker",IF(J550="At median","In line","-")))</f>
        <v>Weaker</v>
      </c>
      <c r="L550" s="43" t="n">
        <f aca="false">IF(ISNUMBER(I550),RANK(I550,I$547:I$556,0),"-")</f>
        <v>10</v>
      </c>
    </row>
    <row r="551" customFormat="false" ht="15" hidden="false" customHeight="false" outlineLevel="0" collapsed="false">
      <c r="A551" s="16" t="s">
        <v>278</v>
      </c>
      <c r="B551" s="36" t="n">
        <f aca="false">JetFreight!D127</f>
        <v>7.65526046986721</v>
      </c>
      <c r="C551" s="36" t="n">
        <f aca="false">JetFreight!E127</f>
        <v>14.5832632464256</v>
      </c>
      <c r="D551" s="36" t="n">
        <f aca="false">JetFreight!F127</f>
        <v>10.8313967275314</v>
      </c>
      <c r="E551" s="36" t="n">
        <f aca="false">JetFreight!G127</f>
        <v>4.51500704301658</v>
      </c>
      <c r="F551" s="36" t="n">
        <f aca="false">JetFreight!H127</f>
        <v>4.26777459828307</v>
      </c>
      <c r="G551" s="36" t="n">
        <f aca="false">JetFreight!I127</f>
        <v>4.20726536904991</v>
      </c>
      <c r="H551" s="36" t="n">
        <f aca="false">JetFreight!J127</f>
        <v>3.63285340314136</v>
      </c>
      <c r="I551" s="59" t="n">
        <f aca="false">JetFreight!K127</f>
        <v>7.09897440818788</v>
      </c>
      <c r="J551" s="25" t="str">
        <f aca="false">IF(AND(ISNUMBER(I551),ISNUMBER(I$559)),IF(I551&gt;I$559,"Above",IF(I551&lt;I$559,"Below","At median")),"-")</f>
        <v>Above</v>
      </c>
      <c r="K551" s="25" t="str">
        <f aca="false">IF(J551="Above","Better",IF(J551="Below","Weaker",IF(J551="At median","In line","-")))</f>
        <v>Better</v>
      </c>
      <c r="L551" s="43" t="n">
        <f aca="false">IF(ISNUMBER(I551),RANK(I551,I$547:I$556,0),"-")</f>
        <v>5</v>
      </c>
    </row>
    <row r="552" customFormat="false" ht="15" hidden="false" customHeight="false" outlineLevel="0" collapsed="false">
      <c r="A552" s="16" t="s">
        <v>62</v>
      </c>
      <c r="B552" s="36" t="n">
        <f aca="false">Patel!D127</f>
        <v>2.99827392767757</v>
      </c>
      <c r="C552" s="36" t="n">
        <f aca="false">Patel!E127</f>
        <v>1.84501043115438</v>
      </c>
      <c r="D552" s="36" t="n">
        <f aca="false">Patel!F127</f>
        <v>2.29096597575284</v>
      </c>
      <c r="E552" s="36" t="n">
        <f aca="false">Patel!G127</f>
        <v>3.14369633981021</v>
      </c>
      <c r="F552" s="36" t="n">
        <f aca="false">Patel!H127</f>
        <v>3.22188955422488</v>
      </c>
      <c r="G552" s="36" t="n">
        <f aca="false">Patel!I127</f>
        <v>4.11936530833033</v>
      </c>
      <c r="H552" s="36" t="n">
        <f aca="false">Patel!J127</f>
        <v>4.50252143217348</v>
      </c>
      <c r="I552" s="59" t="n">
        <f aca="false">Patel!K127</f>
        <v>3.16024613844624</v>
      </c>
      <c r="J552" s="25" t="str">
        <f aca="false">IF(AND(ISNUMBER(I552),ISNUMBER(I$559)),IF(I552&gt;I$559,"Above",IF(I552&lt;I$559,"Below","At median")),"-")</f>
        <v>Below</v>
      </c>
      <c r="K552" s="25" t="str">
        <f aca="false">IF(J552="Above","Better",IF(J552="Below","Weaker",IF(J552="At median","In line","-")))</f>
        <v>Weaker</v>
      </c>
      <c r="L552" s="43" t="n">
        <f aca="false">IF(ISNUMBER(I552),RANK(I552,I$547:I$556,0),"-")</f>
        <v>8</v>
      </c>
    </row>
    <row r="553" customFormat="false" ht="15" hidden="false" customHeight="false" outlineLevel="0" collapsed="false">
      <c r="A553" s="16" t="s">
        <v>64</v>
      </c>
      <c r="B553" s="36" t="str">
        <f aca="false">Sical!D127</f>
        <v>N/M</v>
      </c>
      <c r="C553" s="36" t="str">
        <f aca="false">Sical!E127</f>
        <v>N/M</v>
      </c>
      <c r="D553" s="36" t="str">
        <f aca="false">Sical!F127</f>
        <v>N/M</v>
      </c>
      <c r="E553" s="36" t="str">
        <f aca="false">Sical!G127</f>
        <v>N/M</v>
      </c>
      <c r="F553" s="36" t="str">
        <f aca="false">Sical!H127</f>
        <v>N/M</v>
      </c>
      <c r="G553" s="36" t="str">
        <f aca="false">Sical!I127</f>
        <v>N/M</v>
      </c>
      <c r="H553" s="36" t="n">
        <f aca="false">Sical!J127</f>
        <v>9.4691873312055</v>
      </c>
      <c r="I553" s="59" t="n">
        <f aca="false">Sical!K127</f>
        <v>9.4691873312055</v>
      </c>
      <c r="J553" s="25" t="str">
        <f aca="false">IF(AND(ISNUMBER(I553),ISNUMBER(I$559)),IF(I553&gt;I$559,"Above",IF(I553&lt;I$559,"Below","At median")),"-")</f>
        <v>Above</v>
      </c>
      <c r="K553" s="25" t="str">
        <f aca="false">IF(J553="Above","Better",IF(J553="Below","Weaker",IF(J553="At median","In line","-")))</f>
        <v>Better</v>
      </c>
      <c r="L553" s="43" t="n">
        <f aca="false">IF(ISNUMBER(I553),RANK(I553,I$547:I$556,0),"-")</f>
        <v>3</v>
      </c>
    </row>
    <row r="554" customFormat="false" ht="15" hidden="false" customHeight="false" outlineLevel="0" collapsed="false">
      <c r="A554" s="16" t="s">
        <v>66</v>
      </c>
      <c r="B554" s="36" t="n">
        <f aca="false">TCI!D127</f>
        <v>5.25399679096832</v>
      </c>
      <c r="C554" s="36" t="n">
        <f aca="false">TCI!E127</f>
        <v>5.52347445600757</v>
      </c>
      <c r="D554" s="36" t="n">
        <f aca="false">TCI!F127</f>
        <v>6.20548414738646</v>
      </c>
      <c r="E554" s="36" t="n">
        <f aca="false">TCI!G127</f>
        <v>5.4778572669872</v>
      </c>
      <c r="F554" s="36" t="n">
        <f aca="false">TCI!H127</f>
        <v>5.88264702012893</v>
      </c>
      <c r="G554" s="36" t="n">
        <f aca="false">TCI!I127</f>
        <v>5.85828312074497</v>
      </c>
      <c r="H554" s="36" t="n">
        <f aca="false">TCI!J127</f>
        <v>5.74462839850916</v>
      </c>
      <c r="I554" s="59" t="n">
        <f aca="false">TCI!K127</f>
        <v>5.70662445724751</v>
      </c>
      <c r="J554" s="25" t="str">
        <f aca="false">IF(AND(ISNUMBER(I554),ISNUMBER(I$559)),IF(I554&gt;I$559,"Above",IF(I554&lt;I$559,"Below","At median")),"-")</f>
        <v>Below</v>
      </c>
      <c r="K554" s="25" t="str">
        <f aca="false">IF(J554="Above","Better",IF(J554="Below","Weaker",IF(J554="At median","In line","-")))</f>
        <v>Weaker</v>
      </c>
      <c r="L554" s="43" t="n">
        <f aca="false">IF(ISNUMBER(I554),RANK(I554,I$547:I$556,0),"-")</f>
        <v>6</v>
      </c>
    </row>
    <row r="555" customFormat="false" ht="15" hidden="false" customHeight="false" outlineLevel="0" collapsed="false">
      <c r="A555" s="16" t="s">
        <v>68</v>
      </c>
      <c r="B555" s="36" t="n">
        <f aca="false">Shreeji!D127</f>
        <v>2.50969655487109</v>
      </c>
      <c r="C555" s="36" t="n">
        <f aca="false">Shreeji!E127</f>
        <v>2.34112048453385</v>
      </c>
      <c r="D555" s="36" t="n">
        <f aca="false">Shreeji!F127</f>
        <v>2.90576752440107</v>
      </c>
      <c r="E555" s="36" t="n">
        <f aca="false">Shreeji!G127</f>
        <v>3.32335115864528</v>
      </c>
      <c r="F555" s="36" t="n">
        <f aca="false">Shreeji!H127</f>
        <v>3.74383500224182</v>
      </c>
      <c r="G555" s="36" t="n">
        <f aca="false">Shreeji!I127</f>
        <v>3.35896262395118</v>
      </c>
      <c r="H555" s="36" t="n">
        <f aca="false">Shreeji!J127</f>
        <v>3.21165181631254</v>
      </c>
      <c r="I555" s="59" t="n">
        <f aca="false">Shreeji!K127</f>
        <v>3.05634073785098</v>
      </c>
      <c r="J555" s="25" t="str">
        <f aca="false">IF(AND(ISNUMBER(I555),ISNUMBER(I$559)),IF(I555&gt;I$559,"Above",IF(I555&lt;I$559,"Below","At median")),"-")</f>
        <v>Below</v>
      </c>
      <c r="K555" s="25" t="str">
        <f aca="false">IF(J555="Above","Better",IF(J555="Below","Weaker",IF(J555="At median","In line","-")))</f>
        <v>Weaker</v>
      </c>
      <c r="L555" s="43" t="n">
        <f aca="false">IF(ISNUMBER(I555),RANK(I555,I$547:I$556,0),"-")</f>
        <v>9</v>
      </c>
    </row>
    <row r="556" customFormat="false" ht="15" hidden="false" customHeight="false" outlineLevel="0" collapsed="false">
      <c r="A556" s="16" t="s">
        <v>279</v>
      </c>
      <c r="B556" s="36" t="n">
        <f aca="false">MahindraLog!D127</f>
        <v>6.98685614218715</v>
      </c>
      <c r="C556" s="36" t="n">
        <f aca="false">MahindraLog!E127</f>
        <v>7.79507511524039</v>
      </c>
      <c r="D556" s="36" t="n">
        <f aca="false">MahindraLog!F127</f>
        <v>13.0714060231075</v>
      </c>
      <c r="E556" s="36" t="n">
        <f aca="false">MahindraLog!G127</f>
        <v>11.0908324141958</v>
      </c>
      <c r="F556" s="36" t="n">
        <f aca="false">MahindraLog!H127</f>
        <v>14.7427370337644</v>
      </c>
      <c r="G556" s="36" t="n">
        <f aca="false">MahindraLog!I127</f>
        <v>19.775290725924</v>
      </c>
      <c r="H556" s="36" t="n">
        <f aca="false">MahindraLog!J127</f>
        <v>13.259514653229</v>
      </c>
      <c r="I556" s="59" t="n">
        <f aca="false">MahindraLog!K127</f>
        <v>12.3888160153783</v>
      </c>
      <c r="J556" s="25" t="str">
        <f aca="false">IF(AND(ISNUMBER(I556),ISNUMBER(I$559)),IF(I556&gt;I$559,"Above",IF(I556&lt;I$559,"Below","At median")),"-")</f>
        <v>Above</v>
      </c>
      <c r="K556" s="25" t="str">
        <f aca="false">IF(J556="Above","Better",IF(J556="Below","Weaker",IF(J556="At median","In line","-")))</f>
        <v>Better</v>
      </c>
      <c r="L556" s="43" t="n">
        <f aca="false">IF(ISNUMBER(I556),RANK(I556,I$547:I$556,0),"-")</f>
        <v>2</v>
      </c>
    </row>
    <row r="557" customFormat="false" ht="15" hidden="false" customHeight="false" outlineLevel="0" collapsed="false">
      <c r="A557" s="46" t="s">
        <v>328</v>
      </c>
      <c r="B557" s="37" t="n">
        <f aca="false">Industry!D128</f>
        <v>6.66062944664812</v>
      </c>
      <c r="C557" s="37" t="n">
        <f aca="false">Industry!E128</f>
        <v>5.74363053682133</v>
      </c>
      <c r="D557" s="37" t="n">
        <f aca="false">Industry!F128</f>
        <v>6.49184730574092</v>
      </c>
      <c r="E557" s="37" t="n">
        <f aca="false">Industry!G128</f>
        <v>5.78845666288209</v>
      </c>
      <c r="F557" s="37" t="n">
        <f aca="false">Industry!H128</f>
        <v>4.97325565948021</v>
      </c>
      <c r="G557" s="37" t="n">
        <f aca="false">Industry!I128</f>
        <v>4.14060846920647</v>
      </c>
      <c r="H557" s="37" t="n">
        <f aca="false">Industry!J128</f>
        <v>4.11916522924366</v>
      </c>
      <c r="I557" s="37" t="n">
        <f aca="false">Industry!K128</f>
        <v>5.41679904428897</v>
      </c>
      <c r="J557" s="47"/>
      <c r="K557" s="47"/>
      <c r="L557" s="47"/>
    </row>
    <row r="558" customFormat="false" ht="15" hidden="false" customHeight="false" outlineLevel="0" collapsed="false">
      <c r="A558" s="52" t="s">
        <v>329</v>
      </c>
      <c r="B558" s="60" t="n">
        <f aca="false">IF(COUNT(B547:B556)=0,"N/M",AVERAGE(B547:B556))</f>
        <v>4.87711550299924</v>
      </c>
      <c r="C558" s="60" t="n">
        <f aca="false">IF(COUNT(C547:C556)=0,"N/M",AVERAGE(C547:C556))</f>
        <v>6.52209670782617</v>
      </c>
      <c r="D558" s="60" t="n">
        <f aca="false">IF(COUNT(D547:D556)=0,"N/M",AVERAGE(D547:D556))</f>
        <v>8.93641857507995</v>
      </c>
      <c r="E558" s="60" t="n">
        <f aca="false">IF(COUNT(E547:E556)=0,"N/M",AVERAGE(E547:E556))</f>
        <v>7.69749286630196</v>
      </c>
      <c r="F558" s="60" t="n">
        <f aca="false">IF(COUNT(F547:F556)=0,"N/M",AVERAGE(F547:F556))</f>
        <v>7.63659390403224</v>
      </c>
      <c r="G558" s="60" t="n">
        <f aca="false">IF(COUNT(G547:G556)=0,"N/M",AVERAGE(G547:G556))</f>
        <v>7.32050556057446</v>
      </c>
      <c r="H558" s="60" t="n">
        <f aca="false">IF(COUNT(H547:H556)=0,"N/M",AVERAGE(H547:H556))</f>
        <v>6.28899953321066</v>
      </c>
      <c r="I558" s="60" t="n">
        <f aca="false">IF(COUNT(I547:I556)=0,"N/M",AVERAGE(I547:I556))</f>
        <v>7.41707800846408</v>
      </c>
      <c r="J558" s="54"/>
      <c r="K558" s="54"/>
      <c r="L558" s="54"/>
    </row>
    <row r="559" customFormat="false" ht="15" hidden="false" customHeight="false" outlineLevel="0" collapsed="false">
      <c r="A559" s="28" t="s">
        <v>281</v>
      </c>
      <c r="B559" s="38" t="n">
        <f aca="false">IF(COUNT(B547:B556)=0,"N/M",MEDIAN(B547:B556))</f>
        <v>4.52453112458788</v>
      </c>
      <c r="C559" s="38" t="n">
        <f aca="false">IF(COUNT(C547:C556)=0,"N/M",MEDIAN(C547:C556))</f>
        <v>5.52347445600757</v>
      </c>
      <c r="D559" s="38" t="n">
        <f aca="false">IF(COUNT(D547:D556)=0,"N/M",MEDIAN(D547:D556))</f>
        <v>10.0246088657106</v>
      </c>
      <c r="E559" s="38" t="n">
        <f aca="false">IF(COUNT(E547:E556)=0,"N/M",MEDIAN(E547:E556))</f>
        <v>5.11991965973535</v>
      </c>
      <c r="F559" s="38" t="n">
        <f aca="false">IF(COUNT(F547:F556)=0,"N/M",MEDIAN(F547:F556))</f>
        <v>4.26777459828307</v>
      </c>
      <c r="G559" s="38" t="n">
        <f aca="false">IF(COUNT(G547:G556)=0,"N/M",MEDIAN(G547:G556))</f>
        <v>4.11936530833033</v>
      </c>
      <c r="H559" s="38" t="n">
        <f aca="false">IF(COUNT(H547:H556)=0,"N/M",MEDIAN(H547:H556))</f>
        <v>4.39055385537988</v>
      </c>
      <c r="I559" s="38" t="n">
        <f aca="false">IF(COUNT(I547:I556)=0,"N/M",MEDIAN(I547:I556))</f>
        <v>6.40279943271769</v>
      </c>
      <c r="J559" s="54"/>
      <c r="K559" s="54"/>
      <c r="L559" s="54"/>
    </row>
    <row r="560" customFormat="false" ht="15" hidden="false" customHeight="false" outlineLevel="0" collapsed="false">
      <c r="A560" s="52" t="s">
        <v>330</v>
      </c>
      <c r="B560" s="60" t="n">
        <f aca="false">IF(COUNT(B547:B556)&lt;2,"N/M",STDEV(B547:B556))</f>
        <v>2.21535926686813</v>
      </c>
      <c r="C560" s="60" t="n">
        <f aca="false">IF(COUNT(C547:C556)&lt;2,"N/M",STDEV(C547:C556))</f>
        <v>4.65798113221077</v>
      </c>
      <c r="D560" s="60" t="n">
        <f aca="false">IF(COUNT(D547:D556)&lt;2,"N/M",STDEV(D547:D556))</f>
        <v>6.04946378151164</v>
      </c>
      <c r="E560" s="60" t="n">
        <f aca="false">IF(COUNT(E547:E556)&lt;2,"N/M",STDEV(E547:E556))</f>
        <v>6.25269173045947</v>
      </c>
      <c r="F560" s="60" t="n">
        <f aca="false">IF(COUNT(F547:F556)&lt;2,"N/M",STDEV(F547:F556))</f>
        <v>6.92264268047984</v>
      </c>
      <c r="G560" s="60" t="n">
        <f aca="false">IF(COUNT(G547:G556)&lt;2,"N/M",STDEV(G547:G556))</f>
        <v>7.1277096368896</v>
      </c>
      <c r="H560" s="60" t="n">
        <f aca="false">IF(COUNT(H547:H556)&lt;2,"N/M",STDEV(H547:H556))</f>
        <v>4.33829154274855</v>
      </c>
      <c r="I560" s="60" t="n">
        <f aca="false">IF(COUNT(I547:I556)&lt;2,"N/M",STDEV(I547:I556))</f>
        <v>4.84632733878931</v>
      </c>
      <c r="J560" s="54"/>
      <c r="K560" s="54"/>
      <c r="L560" s="54"/>
    </row>
    <row r="561" customFormat="false" ht="15" hidden="false" customHeight="false" outlineLevel="0" collapsed="false">
      <c r="A561" s="52" t="s">
        <v>269</v>
      </c>
      <c r="B561" s="60" t="n">
        <f aca="false">IF(COUNT(B547:B556)=0,"N/M",MIN(B547:B556))</f>
        <v>2.48649049994289</v>
      </c>
      <c r="C561" s="60" t="n">
        <f aca="false">IF(COUNT(C547:C556)=0,"N/M",MIN(C547:C556))</f>
        <v>1.84501043115438</v>
      </c>
      <c r="D561" s="60" t="n">
        <f aca="false">IF(COUNT(D547:D556)=0,"N/M",MIN(D547:D556))</f>
        <v>2.01089172911784</v>
      </c>
      <c r="E561" s="60" t="n">
        <f aca="false">IF(COUNT(E547:E556)=0,"N/M",MIN(E547:E556))</f>
        <v>1.88490025334681</v>
      </c>
      <c r="F561" s="60" t="n">
        <f aca="false">IF(COUNT(F547:F556)=0,"N/M",MIN(F547:F556))</f>
        <v>1.8227528941914</v>
      </c>
      <c r="G561" s="60" t="n">
        <f aca="false">IF(COUNT(G547:G556)=0,"N/M",MIN(G547:G556))</f>
        <v>1.89512539957052</v>
      </c>
      <c r="H561" s="60" t="n">
        <f aca="false">IF(COUNT(H547:H556)=0,"N/M",MIN(H547:H556))</f>
        <v>1.90747887983831</v>
      </c>
      <c r="I561" s="60" t="n">
        <f aca="false">IF(COUNT(I547:I556)=0,"N/M",MIN(I547:I556))</f>
        <v>2.01507199346317</v>
      </c>
      <c r="J561" s="54"/>
      <c r="K561" s="54"/>
      <c r="L561" s="54"/>
    </row>
    <row r="562" customFormat="false" ht="15" hidden="false" customHeight="false" outlineLevel="0" collapsed="false">
      <c r="A562" s="52" t="s">
        <v>270</v>
      </c>
      <c r="B562" s="60" t="n">
        <f aca="false">IF(COUNT(B547:B556)=0,"N/M",MAX(B547:B556))</f>
        <v>7.65526046986721</v>
      </c>
      <c r="C562" s="60" t="n">
        <f aca="false">IF(COUNT(C547:C556)=0,"N/M",MAX(C547:C556))</f>
        <v>14.5832632464256</v>
      </c>
      <c r="D562" s="60" t="n">
        <f aca="false">IF(COUNT(D547:D556)=0,"N/M",MAX(D547:D556))</f>
        <v>19.6423354413468</v>
      </c>
      <c r="E562" s="60" t="n">
        <f aca="false">IF(COUNT(E547:E556)=0,"N/M",MAX(E547:E556))</f>
        <v>20.4540673073121</v>
      </c>
      <c r="F562" s="60" t="n">
        <f aca="false">IF(COUNT(F547:F556)=0,"N/M",MAX(F547:F556))</f>
        <v>22.2703559651645</v>
      </c>
      <c r="G562" s="60" t="n">
        <f aca="false">IF(COUNT(G547:G556)=0,"N/M",MAX(G547:G556))</f>
        <v>19.775290725924</v>
      </c>
      <c r="H562" s="60" t="n">
        <f aca="false">IF(COUNT(H547:H556)=0,"N/M",MAX(H547:H556))</f>
        <v>13.8345498783455</v>
      </c>
      <c r="I562" s="60" t="n">
        <f aca="false">IF(COUNT(I547:I556)=0,"N/M",MAX(I547:I556))</f>
        <v>17.4554487248191</v>
      </c>
      <c r="J562" s="54"/>
      <c r="K562" s="54"/>
      <c r="L562" s="54"/>
    </row>
    <row r="564" customFormat="false" ht="16.5" hidden="false" customHeight="true" outlineLevel="0" collapsed="false">
      <c r="A564" s="49" t="s">
        <v>361</v>
      </c>
      <c r="B564" s="49"/>
      <c r="C564" s="49"/>
      <c r="D564" s="49"/>
      <c r="E564" s="49"/>
      <c r="F564" s="49"/>
      <c r="G564" s="49"/>
      <c r="H564" s="49"/>
      <c r="I564" s="49"/>
      <c r="J564" s="49"/>
      <c r="K564" s="49"/>
      <c r="L564" s="49"/>
    </row>
    <row r="565" customFormat="false" ht="15" hidden="false" customHeight="false" outlineLevel="0" collapsed="false">
      <c r="A565" s="16" t="s">
        <v>52</v>
      </c>
      <c r="B565" s="27" t="n">
        <f aca="false">Tiger!D129</f>
        <v>0.0758590951306888</v>
      </c>
      <c r="C565" s="27" t="n">
        <f aca="false">Tiger!E129</f>
        <v>0.0762494787633288</v>
      </c>
      <c r="D565" s="27" t="n">
        <f aca="false">Tiger!F129</f>
        <v>0.0892523288517501</v>
      </c>
      <c r="E565" s="27" t="n">
        <f aca="false">Tiger!G129</f>
        <v>0.109126572054921</v>
      </c>
      <c r="F565" s="27" t="n">
        <f aca="false">Tiger!H129</f>
        <v>0.143386331474236</v>
      </c>
      <c r="G565" s="27" t="n">
        <f aca="false">Tiger!I129</f>
        <v>0.104454513247935</v>
      </c>
      <c r="H565" s="27" t="n">
        <f aca="false">Tiger!J129</f>
        <v>0.10107887294438</v>
      </c>
      <c r="I565" s="61" t="n">
        <f aca="false">Tiger!K129</f>
        <v>0.0999153132096057</v>
      </c>
      <c r="J565" s="25" t="str">
        <f aca="false">IF(AND(ISNUMBER(I565),ISNUMBER(I$577)),IF(I565&gt;I$577,"Above",IF(I565&lt;I$577,"Below","At median")),"-")</f>
        <v>Below</v>
      </c>
      <c r="K565" s="25" t="str">
        <f aca="false">IF(J565="Above","Better",IF(J565="Below","Weaker",IF(J565="At median","In line","-")))</f>
        <v>Weaker</v>
      </c>
      <c r="L565" s="43" t="n">
        <f aca="false">IF(ISNUMBER(I565),RANK(I565,I$565:I$574,0),"-")</f>
        <v>8</v>
      </c>
    </row>
    <row r="566" customFormat="false" ht="15" hidden="false" customHeight="false" outlineLevel="0" collapsed="false">
      <c r="A566" s="16" t="s">
        <v>54</v>
      </c>
      <c r="B566" s="27" t="n">
        <f aca="false">Allcargo!D129</f>
        <v>0.265503168968071</v>
      </c>
      <c r="C566" s="27" t="n">
        <f aca="false">Allcargo!E129</f>
        <v>0.227064897457635</v>
      </c>
      <c r="D566" s="27" t="n">
        <f aca="false">Allcargo!F129</f>
        <v>0.178530547065742</v>
      </c>
      <c r="E566" s="27" t="n">
        <f aca="false">Allcargo!G129</f>
        <v>0.203602948793874</v>
      </c>
      <c r="F566" s="27" t="n">
        <f aca="false">Allcargo!H129</f>
        <v>0.233784008858265</v>
      </c>
      <c r="G566" s="27" t="n">
        <f aca="false">Allcargo!I129</f>
        <v>0.278429372768995</v>
      </c>
      <c r="H566" s="27" t="n">
        <f aca="false">Allcargo!J129</f>
        <v>0.267249757045675</v>
      </c>
      <c r="I566" s="61" t="n">
        <f aca="false">Allcargo!K129</f>
        <v>0.236309242994037</v>
      </c>
      <c r="J566" s="25" t="str">
        <f aca="false">IF(AND(ISNUMBER(I566),ISNUMBER(I$577)),IF(I566&gt;I$577,"Above",IF(I566&lt;I$577,"Below","At median")),"-")</f>
        <v>Above</v>
      </c>
      <c r="K566" s="25" t="str">
        <f aca="false">IF(J566="Above","Better",IF(J566="Below","Weaker",IF(J566="At median","In line","-")))</f>
        <v>Better</v>
      </c>
      <c r="L566" s="43" t="n">
        <f aca="false">IF(ISNUMBER(I566),RANK(I566,I$565:I$574,0),"-")</f>
        <v>3</v>
      </c>
    </row>
    <row r="567" customFormat="false" ht="15" hidden="false" customHeight="false" outlineLevel="0" collapsed="false">
      <c r="A567" s="16" t="s">
        <v>277</v>
      </c>
      <c r="B567" s="27" t="n">
        <f aca="false">BlueDart!D129</f>
        <v>0.456938771010951</v>
      </c>
      <c r="C567" s="27" t="n">
        <f aca="false">BlueDart!E129</f>
        <v>0.497401258466058</v>
      </c>
      <c r="D567" s="27" t="n">
        <f aca="false">BlueDart!F129</f>
        <v>0.46106441687885</v>
      </c>
      <c r="E567" s="27" t="n">
        <f aca="false">BlueDart!G129</f>
        <v>0.397135079327639</v>
      </c>
      <c r="F567" s="27" t="n">
        <f aca="false">BlueDart!H129</f>
        <v>0.393571926201111</v>
      </c>
      <c r="G567" s="27" t="n">
        <f aca="false">BlueDart!I129</f>
        <v>0.384071829907451</v>
      </c>
      <c r="H567" s="27" t="n">
        <f aca="false">BlueDart!J129</f>
        <v>0.39087557483618</v>
      </c>
      <c r="I567" s="61" t="n">
        <f aca="false">BlueDart!K129</f>
        <v>0.425865550946891</v>
      </c>
      <c r="J567" s="25" t="str">
        <f aca="false">IF(AND(ISNUMBER(I567),ISNUMBER(I$577)),IF(I567&gt;I$577,"Above",IF(I567&lt;I$577,"Below","At median")),"-")</f>
        <v>Above</v>
      </c>
      <c r="K567" s="25" t="str">
        <f aca="false">IF(J567="Above","Better",IF(J567="Below","Weaker",IF(J567="At median","In line","-")))</f>
        <v>Better</v>
      </c>
      <c r="L567" s="43" t="n">
        <f aca="false">IF(ISNUMBER(I567),RANK(I567,I$565:I$574,0),"-")</f>
        <v>1</v>
      </c>
    </row>
    <row r="568" customFormat="false" ht="15" hidden="false" customHeight="false" outlineLevel="0" collapsed="false">
      <c r="A568" s="16" t="s">
        <v>58</v>
      </c>
      <c r="B568" s="27" t="n">
        <f aca="false">CONCOR!D129</f>
        <v>0.34030599041081</v>
      </c>
      <c r="C568" s="27" t="n">
        <f aca="false">CONCOR!E129</f>
        <v>0.360505859581645</v>
      </c>
      <c r="D568" s="27" t="n">
        <f aca="false">CONCOR!F129</f>
        <v>0.362845677294247</v>
      </c>
      <c r="E568" s="27" t="n">
        <f aca="false">CONCOR!G129</f>
        <v>0.349523571694381</v>
      </c>
      <c r="F568" s="27" t="n">
        <f aca="false">CONCOR!H129</f>
        <v>0.34093264967221</v>
      </c>
      <c r="G568" s="27" t="n">
        <f aca="false">CONCOR!I129</f>
        <v>0.332255356688744</v>
      </c>
      <c r="H568" s="27" t="n">
        <f aca="false">CONCOR!J129</f>
        <v>0.336564610302711</v>
      </c>
      <c r="I568" s="61" t="n">
        <f aca="false">CONCOR!K129</f>
        <v>0.34613338794925</v>
      </c>
      <c r="J568" s="25" t="str">
        <f aca="false">IF(AND(ISNUMBER(I568),ISNUMBER(I$577)),IF(I568&gt;I$577,"Above",IF(I568&lt;I$577,"Below","At median")),"-")</f>
        <v>Above</v>
      </c>
      <c r="K568" s="25" t="str">
        <f aca="false">IF(J568="Above","Better",IF(J568="Below","Weaker",IF(J568="At median","In line","-")))</f>
        <v>Better</v>
      </c>
      <c r="L568" s="43" t="n">
        <f aca="false">IF(ISNUMBER(I568),RANK(I568,I$565:I$574,0),"-")</f>
        <v>2</v>
      </c>
    </row>
    <row r="569" customFormat="false" ht="15" hidden="false" customHeight="false" outlineLevel="0" collapsed="false">
      <c r="A569" s="16" t="s">
        <v>278</v>
      </c>
      <c r="B569" s="27" t="n">
        <f aca="false">JetFreight!D129</f>
        <v>0.050837280672493</v>
      </c>
      <c r="C569" s="27" t="n">
        <f aca="false">JetFreight!E129</f>
        <v>0.056806712996338</v>
      </c>
      <c r="D569" s="27" t="n">
        <f aca="false">JetFreight!F129</f>
        <v>0.0628338733689465</v>
      </c>
      <c r="E569" s="27" t="n">
        <f aca="false">JetFreight!G129</f>
        <v>0.0736998728071229</v>
      </c>
      <c r="F569" s="27" t="n">
        <f aca="false">JetFreight!H129</f>
        <v>0.0901565360909817</v>
      </c>
      <c r="G569" s="27" t="n">
        <f aca="false">JetFreight!I129</f>
        <v>0.0925726587728741</v>
      </c>
      <c r="H569" s="27" t="n">
        <f aca="false">JetFreight!J129</f>
        <v>0.098856061970816</v>
      </c>
      <c r="I569" s="61" t="n">
        <f aca="false">JetFreight!K129</f>
        <v>0.0751089995256532</v>
      </c>
      <c r="J569" s="25" t="str">
        <f aca="false">IF(AND(ISNUMBER(I569),ISNUMBER(I$577)),IF(I569&gt;I$577,"Above",IF(I569&lt;I$577,"Below","At median")),"-")</f>
        <v>Below</v>
      </c>
      <c r="K569" s="25" t="str">
        <f aca="false">IF(J569="Above","Better",IF(J569="Below","Weaker",IF(J569="At median","In line","-")))</f>
        <v>Weaker</v>
      </c>
      <c r="L569" s="43" t="n">
        <f aca="false">IF(ISNUMBER(I569),RANK(I569,I$565:I$574,0),"-")</f>
        <v>10</v>
      </c>
    </row>
    <row r="570" customFormat="false" ht="15" hidden="false" customHeight="false" outlineLevel="0" collapsed="false">
      <c r="A570" s="16" t="s">
        <v>62</v>
      </c>
      <c r="B570" s="27" t="n">
        <f aca="false">Patel!D129</f>
        <v>0.111597248208169</v>
      </c>
      <c r="C570" s="27" t="n">
        <f aca="false">Patel!E129</f>
        <v>0.103886925795053</v>
      </c>
      <c r="D570" s="27" t="n">
        <f aca="false">Patel!F129</f>
        <v>0.101997268692386</v>
      </c>
      <c r="E570" s="27" t="n">
        <f aca="false">Patel!G129</f>
        <v>0.102666379186431</v>
      </c>
      <c r="F570" s="27" t="n">
        <f aca="false">Patel!H129</f>
        <v>0.0975391498881433</v>
      </c>
      <c r="G570" s="27" t="n">
        <f aca="false">Patel!I129</f>
        <v>0.0843911406810821</v>
      </c>
      <c r="H570" s="27" t="n">
        <f aca="false">Patel!J129</f>
        <v>0.092064736517892</v>
      </c>
      <c r="I570" s="61" t="n">
        <f aca="false">Patel!K129</f>
        <v>0.099163264138451</v>
      </c>
      <c r="J570" s="25" t="str">
        <f aca="false">IF(AND(ISNUMBER(I570),ISNUMBER(I$577)),IF(I570&gt;I$577,"Above",IF(I570&lt;I$577,"Below","At median")),"-")</f>
        <v>Below</v>
      </c>
      <c r="K570" s="25" t="str">
        <f aca="false">IF(J570="Above","Better",IF(J570="Below","Weaker",IF(J570="At median","In line","-")))</f>
        <v>Weaker</v>
      </c>
      <c r="L570" s="43" t="n">
        <f aca="false">IF(ISNUMBER(I570),RANK(I570,I$565:I$574,0),"-")</f>
        <v>9</v>
      </c>
    </row>
    <row r="571" customFormat="false" ht="15" hidden="false" customHeight="false" outlineLevel="0" collapsed="false">
      <c r="A571" s="16" t="s">
        <v>64</v>
      </c>
      <c r="B571" s="27" t="n">
        <f aca="false">Sical!D129</f>
        <v>0.169848087170922</v>
      </c>
      <c r="C571" s="27" t="n">
        <f aca="false">Sical!E129</f>
        <v>0.235589619363422</v>
      </c>
      <c r="D571" s="27" t="n">
        <f aca="false">Sical!F129</f>
        <v>0.110098317424829</v>
      </c>
      <c r="E571" s="27" t="n">
        <f aca="false">Sical!G129</f>
        <v>0.179719976537196</v>
      </c>
      <c r="F571" s="27" t="n">
        <f aca="false">Sical!H129</f>
        <v>0.281966619928536</v>
      </c>
      <c r="G571" s="27" t="n">
        <f aca="false">Sical!I129</f>
        <v>0.297583626363718</v>
      </c>
      <c r="H571" s="27" t="n">
        <f aca="false">Sical!J129</f>
        <v>0.334655673096868</v>
      </c>
      <c r="I571" s="61" t="n">
        <f aca="false">Sical!K129</f>
        <v>0.229923131412213</v>
      </c>
      <c r="J571" s="25" t="str">
        <f aca="false">IF(AND(ISNUMBER(I571),ISNUMBER(I$577)),IF(I571&gt;I$577,"Above",IF(I571&lt;I$577,"Below","At median")),"-")</f>
        <v>Above</v>
      </c>
      <c r="K571" s="25" t="str">
        <f aca="false">IF(J571="Above","Better",IF(J571="Below","Weaker",IF(J571="At median","In line","-")))</f>
        <v>Better</v>
      </c>
      <c r="L571" s="43" t="n">
        <f aca="false">IF(ISNUMBER(I571),RANK(I571,I$565:I$574,0),"-")</f>
        <v>4</v>
      </c>
    </row>
    <row r="572" customFormat="false" ht="15" hidden="false" customHeight="false" outlineLevel="0" collapsed="false">
      <c r="A572" s="16" t="s">
        <v>66</v>
      </c>
      <c r="B572" s="27" t="n">
        <f aca="false">TCI!D129</f>
        <v>0.177825037529803</v>
      </c>
      <c r="C572" s="27" t="n">
        <f aca="false">TCI!E129</f>
        <v>0.172984488240395</v>
      </c>
      <c r="D572" s="27" t="n">
        <f aca="false">TCI!F129</f>
        <v>0.201140907263694</v>
      </c>
      <c r="E572" s="27" t="n">
        <f aca="false">TCI!G129</f>
        <v>0.189413546874215</v>
      </c>
      <c r="F572" s="27" t="n">
        <f aca="false">TCI!H129</f>
        <v>0.184652582089626</v>
      </c>
      <c r="G572" s="27" t="n">
        <f aca="false">TCI!I129</f>
        <v>0.184937819750745</v>
      </c>
      <c r="H572" s="27" t="n">
        <f aca="false">TCI!J129</f>
        <v>0.188717389668421</v>
      </c>
      <c r="I572" s="61" t="n">
        <f aca="false">TCI!K129</f>
        <v>0.1856673959167</v>
      </c>
      <c r="J572" s="25" t="str">
        <f aca="false">IF(AND(ISNUMBER(I572),ISNUMBER(I$577)),IF(I572&gt;I$577,"Above",IF(I572&lt;I$577,"Below","At median")),"-")</f>
        <v>Below</v>
      </c>
      <c r="K572" s="25" t="str">
        <f aca="false">IF(J572="Above","Better",IF(J572="Below","Weaker",IF(J572="At median","In line","-")))</f>
        <v>Weaker</v>
      </c>
      <c r="L572" s="43" t="n">
        <f aca="false">IF(ISNUMBER(I572),RANK(I572,I$565:I$574,0),"-")</f>
        <v>6</v>
      </c>
    </row>
    <row r="573" customFormat="false" ht="15" hidden="false" customHeight="false" outlineLevel="0" collapsed="false">
      <c r="A573" s="16" t="s">
        <v>68</v>
      </c>
      <c r="B573" s="27" t="n">
        <f aca="false">Shreeji!D129</f>
        <v>0.239363636363636</v>
      </c>
      <c r="C573" s="27" t="n">
        <f aca="false">Shreeji!E129</f>
        <v>0.20031414580061</v>
      </c>
      <c r="D573" s="27" t="n">
        <f aca="false">Shreeji!F129</f>
        <v>0.252534505924026</v>
      </c>
      <c r="E573" s="27" t="n">
        <f aca="false">Shreeji!G129</f>
        <v>0.212990774511907</v>
      </c>
      <c r="F573" s="27" t="n">
        <f aca="false">Shreeji!H129</f>
        <v>0.167904191616766</v>
      </c>
      <c r="G573" s="27" t="n">
        <f aca="false">Shreeji!I129</f>
        <v>0.153601598691979</v>
      </c>
      <c r="H573" s="27" t="n">
        <f aca="false">Shreeji!J129</f>
        <v>0.143283964317726</v>
      </c>
      <c r="I573" s="61" t="n">
        <f aca="false">Shreeji!K129</f>
        <v>0.195713259603807</v>
      </c>
      <c r="J573" s="25" t="str">
        <f aca="false">IF(AND(ISNUMBER(I573),ISNUMBER(I$577)),IF(I573&gt;I$577,"Above",IF(I573&lt;I$577,"Below","At median")),"-")</f>
        <v>Above</v>
      </c>
      <c r="K573" s="25" t="str">
        <f aca="false">IF(J573="Above","Better",IF(J573="Below","Weaker",IF(J573="At median","In line","-")))</f>
        <v>Better</v>
      </c>
      <c r="L573" s="43" t="n">
        <f aca="false">IF(ISNUMBER(I573),RANK(I573,I$565:I$574,0),"-")</f>
        <v>5</v>
      </c>
    </row>
    <row r="574" customFormat="false" ht="15" hidden="false" customHeight="false" outlineLevel="0" collapsed="false">
      <c r="A574" s="16" t="s">
        <v>279</v>
      </c>
      <c r="B574" s="27" t="n">
        <f aca="false">MahindraLog!D129</f>
        <v>0.152612686322073</v>
      </c>
      <c r="C574" s="27" t="n">
        <f aca="false">MahindraLog!E129</f>
        <v>0.15029475567757</v>
      </c>
      <c r="D574" s="27" t="n">
        <f aca="false">MahindraLog!F129</f>
        <v>0.13984147837595</v>
      </c>
      <c r="E574" s="27" t="n">
        <f aca="false">MahindraLog!G129</f>
        <v>0.1429326344649</v>
      </c>
      <c r="F574" s="27" t="n">
        <f aca="false">MahindraLog!H129</f>
        <v>0.146975010761047</v>
      </c>
      <c r="G574" s="27" t="n">
        <f aca="false">MahindraLog!I129</f>
        <v>0.136747460617249</v>
      </c>
      <c r="H574" s="27" t="n">
        <f aca="false">MahindraLog!J129</f>
        <v>0.137522323660938</v>
      </c>
      <c r="I574" s="61" t="n">
        <f aca="false">MahindraLog!K129</f>
        <v>0.143846621411389</v>
      </c>
      <c r="J574" s="25" t="str">
        <f aca="false">IF(AND(ISNUMBER(I574),ISNUMBER(I$577)),IF(I574&gt;I$577,"Above",IF(I574&lt;I$577,"Below","At median")),"-")</f>
        <v>Below</v>
      </c>
      <c r="K574" s="25" t="str">
        <f aca="false">IF(J574="Above","Better",IF(J574="Below","Weaker",IF(J574="At median","In line","-")))</f>
        <v>Weaker</v>
      </c>
      <c r="L574" s="43" t="n">
        <f aca="false">IF(ISNUMBER(I574),RANK(I574,I$565:I$574,0),"-")</f>
        <v>7</v>
      </c>
    </row>
    <row r="575" customFormat="false" ht="15" hidden="false" customHeight="false" outlineLevel="0" collapsed="false">
      <c r="A575" s="46" t="s">
        <v>328</v>
      </c>
      <c r="B575" s="42" t="n">
        <f aca="false">Industry!D130</f>
        <v>0.273093637535156</v>
      </c>
      <c r="C575" s="42" t="n">
        <f aca="false">Industry!E130</f>
        <v>0.271793336203423</v>
      </c>
      <c r="D575" s="42" t="n">
        <f aca="false">Industry!F130</f>
        <v>0.238828911117363</v>
      </c>
      <c r="E575" s="42" t="n">
        <f aca="false">Industry!G130</f>
        <v>0.244009022648027</v>
      </c>
      <c r="F575" s="42" t="n">
        <f aca="false">Industry!H130</f>
        <v>0.259449007572536</v>
      </c>
      <c r="G575" s="42" t="n">
        <f aca="false">Industry!I130</f>
        <v>0.262302558152078</v>
      </c>
      <c r="H575" s="42" t="n">
        <f aca="false">Industry!J130</f>
        <v>0.262721507967986</v>
      </c>
      <c r="I575" s="42" t="n">
        <f aca="false">Industry!K130</f>
        <v>0.258885425885224</v>
      </c>
      <c r="J575" s="47"/>
      <c r="K575" s="47"/>
      <c r="L575" s="47"/>
    </row>
    <row r="576" customFormat="false" ht="15" hidden="false" customHeight="false" outlineLevel="0" collapsed="false">
      <c r="A576" s="52" t="s">
        <v>329</v>
      </c>
      <c r="B576" s="62" t="n">
        <f aca="false">IF(COUNT(B565:B574)=0,"N/M",AVERAGE(B565:B574))</f>
        <v>0.204069100178762</v>
      </c>
      <c r="C576" s="62" t="n">
        <f aca="false">IF(COUNT(C565:C574)=0,"N/M",AVERAGE(C565:C574))</f>
        <v>0.208109814214206</v>
      </c>
      <c r="D576" s="62" t="n">
        <f aca="false">IF(COUNT(D565:D574)=0,"N/M",AVERAGE(D565:D574))</f>
        <v>0.196013932114042</v>
      </c>
      <c r="E576" s="62" t="n">
        <f aca="false">IF(COUNT(E565:E574)=0,"N/M",AVERAGE(E565:E574))</f>
        <v>0.196081135625259</v>
      </c>
      <c r="F576" s="62" t="n">
        <f aca="false">IF(COUNT(F565:F574)=0,"N/M",AVERAGE(F565:F574))</f>
        <v>0.208086900658092</v>
      </c>
      <c r="G576" s="62" t="n">
        <f aca="false">IF(COUNT(G565:G574)=0,"N/M",AVERAGE(G565:G574))</f>
        <v>0.204904537749077</v>
      </c>
      <c r="H576" s="62" t="n">
        <f aca="false">IF(COUNT(H565:H574)=0,"N/M",AVERAGE(H565:H574))</f>
        <v>0.209086896436161</v>
      </c>
      <c r="I576" s="62" t="n">
        <f aca="false">IF(COUNT(I565:I574)=0,"N/M",AVERAGE(I565:I574))</f>
        <v>0.2037646167108</v>
      </c>
      <c r="J576" s="54"/>
      <c r="K576" s="54"/>
      <c r="L576" s="54"/>
    </row>
    <row r="577" customFormat="false" ht="15" hidden="false" customHeight="false" outlineLevel="0" collapsed="false">
      <c r="A577" s="28" t="s">
        <v>281</v>
      </c>
      <c r="B577" s="30" t="n">
        <f aca="false">IF(COUNT(B565:B574)=0,"N/M",MEDIAN(B565:B574))</f>
        <v>0.173836562350363</v>
      </c>
      <c r="C577" s="30" t="n">
        <f aca="false">IF(COUNT(C565:C574)=0,"N/M",MEDIAN(C565:C574))</f>
        <v>0.186649317020502</v>
      </c>
      <c r="D577" s="30" t="n">
        <f aca="false">IF(COUNT(D565:D574)=0,"N/M",MEDIAN(D565:D574))</f>
        <v>0.159186012720846</v>
      </c>
      <c r="E577" s="30" t="n">
        <f aca="false">IF(COUNT(E565:E574)=0,"N/M",MEDIAN(E565:E574))</f>
        <v>0.184566761705706</v>
      </c>
      <c r="F577" s="30" t="n">
        <f aca="false">IF(COUNT(F565:F574)=0,"N/M",MEDIAN(F565:F574))</f>
        <v>0.176278386853196</v>
      </c>
      <c r="G577" s="30" t="n">
        <f aca="false">IF(COUNT(G565:G574)=0,"N/M",MEDIAN(G565:G574))</f>
        <v>0.169269709221362</v>
      </c>
      <c r="H577" s="30" t="n">
        <f aca="false">IF(COUNT(H565:H574)=0,"N/M",MEDIAN(H565:H574))</f>
        <v>0.166000676993073</v>
      </c>
      <c r="I577" s="30" t="n">
        <f aca="false">IF(COUNT(I565:I574)=0,"N/M",MEDIAN(I565:I574))</f>
        <v>0.190690327760254</v>
      </c>
      <c r="J577" s="54"/>
      <c r="K577" s="54"/>
      <c r="L577" s="54"/>
    </row>
    <row r="578" customFormat="false" ht="15" hidden="false" customHeight="false" outlineLevel="0" collapsed="false">
      <c r="A578" s="52" t="s">
        <v>330</v>
      </c>
      <c r="B578" s="62" t="n">
        <f aca="false">IF(COUNT(B565:B574)&lt;2,"N/M",STDEV(B565:B574))</f>
        <v>0.124944361027214</v>
      </c>
      <c r="C578" s="62" t="n">
        <f aca="false">IF(COUNT(C565:C574)&lt;2,"N/M",STDEV(C565:C574))</f>
        <v>0.134910611628972</v>
      </c>
      <c r="D578" s="62" t="n">
        <f aca="false">IF(COUNT(D565:D574)&lt;2,"N/M",STDEV(D565:D574))</f>
        <v>0.12915196000168</v>
      </c>
      <c r="E578" s="62" t="n">
        <f aca="false">IF(COUNT(E565:E574)&lt;2,"N/M",STDEV(E565:E574))</f>
        <v>0.104727836055056</v>
      </c>
      <c r="F578" s="62" t="n">
        <f aca="false">IF(COUNT(F565:F574)&lt;2,"N/M",STDEV(F565:F574))</f>
        <v>0.102406739275057</v>
      </c>
      <c r="G578" s="62" t="n">
        <f aca="false">IF(COUNT(G565:G574)&lt;2,"N/M",STDEV(G565:G574))</f>
        <v>0.10914956627962</v>
      </c>
      <c r="H578" s="62" t="n">
        <f aca="false">IF(COUNT(H565:H574)&lt;2,"N/M",STDEV(H565:H574))</f>
        <v>0.113443727522956</v>
      </c>
      <c r="I578" s="62" t="n">
        <f aca="false">IF(COUNT(I565:I574)&lt;2,"N/M",STDEV(I565:I574))</f>
        <v>0.112349653189973</v>
      </c>
      <c r="J578" s="54"/>
      <c r="K578" s="54"/>
      <c r="L578" s="54"/>
    </row>
    <row r="579" customFormat="false" ht="15" hidden="false" customHeight="false" outlineLevel="0" collapsed="false">
      <c r="A579" s="52" t="s">
        <v>269</v>
      </c>
      <c r="B579" s="62" t="n">
        <f aca="false">IF(COUNT(B565:B574)=0,"N/M",MIN(B565:B574))</f>
        <v>0.050837280672493</v>
      </c>
      <c r="C579" s="62" t="n">
        <f aca="false">IF(COUNT(C565:C574)=0,"N/M",MIN(C565:C574))</f>
        <v>0.056806712996338</v>
      </c>
      <c r="D579" s="62" t="n">
        <f aca="false">IF(COUNT(D565:D574)=0,"N/M",MIN(D565:D574))</f>
        <v>0.0628338733689465</v>
      </c>
      <c r="E579" s="62" t="n">
        <f aca="false">IF(COUNT(E565:E574)=0,"N/M",MIN(E565:E574))</f>
        <v>0.0736998728071229</v>
      </c>
      <c r="F579" s="62" t="n">
        <f aca="false">IF(COUNT(F565:F574)=0,"N/M",MIN(F565:F574))</f>
        <v>0.0901565360909817</v>
      </c>
      <c r="G579" s="62" t="n">
        <f aca="false">IF(COUNT(G565:G574)=0,"N/M",MIN(G565:G574))</f>
        <v>0.0843911406810821</v>
      </c>
      <c r="H579" s="62" t="n">
        <f aca="false">IF(COUNT(H565:H574)=0,"N/M",MIN(H565:H574))</f>
        <v>0.092064736517892</v>
      </c>
      <c r="I579" s="62" t="n">
        <f aca="false">IF(COUNT(I565:I574)=0,"N/M",MIN(I565:I574))</f>
        <v>0.0751089995256532</v>
      </c>
      <c r="J579" s="54"/>
      <c r="K579" s="54"/>
      <c r="L579" s="54"/>
    </row>
    <row r="580" customFormat="false" ht="15" hidden="false" customHeight="false" outlineLevel="0" collapsed="false">
      <c r="A580" s="52" t="s">
        <v>270</v>
      </c>
      <c r="B580" s="62" t="n">
        <f aca="false">IF(COUNT(B565:B574)=0,"N/M",MAX(B565:B574))</f>
        <v>0.456938771010951</v>
      </c>
      <c r="C580" s="62" t="n">
        <f aca="false">IF(COUNT(C565:C574)=0,"N/M",MAX(C565:C574))</f>
        <v>0.497401258466058</v>
      </c>
      <c r="D580" s="62" t="n">
        <f aca="false">IF(COUNT(D565:D574)=0,"N/M",MAX(D565:D574))</f>
        <v>0.46106441687885</v>
      </c>
      <c r="E580" s="62" t="n">
        <f aca="false">IF(COUNT(E565:E574)=0,"N/M",MAX(E565:E574))</f>
        <v>0.397135079327639</v>
      </c>
      <c r="F580" s="62" t="n">
        <f aca="false">IF(COUNT(F565:F574)=0,"N/M",MAX(F565:F574))</f>
        <v>0.393571926201111</v>
      </c>
      <c r="G580" s="62" t="n">
        <f aca="false">IF(COUNT(G565:G574)=0,"N/M",MAX(G565:G574))</f>
        <v>0.384071829907451</v>
      </c>
      <c r="H580" s="62" t="n">
        <f aca="false">IF(COUNT(H565:H574)=0,"N/M",MAX(H565:H574))</f>
        <v>0.39087557483618</v>
      </c>
      <c r="I580" s="62" t="n">
        <f aca="false">IF(COUNT(I565:I574)=0,"N/M",MAX(I565:I574))</f>
        <v>0.425865550946891</v>
      </c>
      <c r="J580" s="54"/>
      <c r="K580" s="54"/>
      <c r="L580" s="54"/>
    </row>
    <row r="582" customFormat="false" ht="16.5" hidden="false" customHeight="true" outlineLevel="0" collapsed="false">
      <c r="A582" s="49" t="s">
        <v>362</v>
      </c>
      <c r="B582" s="49"/>
      <c r="C582" s="49"/>
      <c r="D582" s="49"/>
      <c r="E582" s="49"/>
      <c r="F582" s="49"/>
      <c r="G582" s="49"/>
      <c r="H582" s="49"/>
      <c r="I582" s="49"/>
      <c r="J582" s="49"/>
      <c r="K582" s="49"/>
      <c r="L582" s="49"/>
    </row>
    <row r="583" customFormat="false" ht="15" hidden="false" customHeight="false" outlineLevel="0" collapsed="false">
      <c r="A583" s="16" t="s">
        <v>52</v>
      </c>
      <c r="B583" s="27" t="n">
        <f aca="false">Tiger!D130</f>
        <v>-0.027829375082924</v>
      </c>
      <c r="C583" s="27" t="n">
        <f aca="false">Tiger!E130</f>
        <v>-0.0565318401143741</v>
      </c>
      <c r="D583" s="27" t="n">
        <f aca="false">Tiger!F130</f>
        <v>0.0611272780478289</v>
      </c>
      <c r="E583" s="27" t="n">
        <f aca="false">Tiger!G130</f>
        <v>0.0610130379600785</v>
      </c>
      <c r="F583" s="27" t="n">
        <f aca="false">Tiger!H130</f>
        <v>0.0638891201198701</v>
      </c>
      <c r="G583" s="27" t="n">
        <f aca="false">Tiger!I130</f>
        <v>0.0585855195689059</v>
      </c>
      <c r="H583" s="27" t="n">
        <f aca="false">Tiger!J130</f>
        <v>0.0471526832163681</v>
      </c>
      <c r="I583" s="61" t="n">
        <f aca="false">Tiger!K130</f>
        <v>0.0296294891022505</v>
      </c>
      <c r="J583" s="25" t="str">
        <f aca="false">IF(AND(ISNUMBER(I583),ISNUMBER(I$595)),IF(I583&gt;I$595,"Above",IF(I583&lt;I$595,"Below","At median")),"-")</f>
        <v>Below</v>
      </c>
      <c r="K583" s="25" t="str">
        <f aca="false">IF(J583="Above","Better",IF(J583="Below","Weaker",IF(J583="At median","In line","-")))</f>
        <v>Weaker</v>
      </c>
      <c r="L583" s="43" t="n">
        <f aca="false">IF(ISNUMBER(I583),RANK(I583,I$583:I$592,0),"-")</f>
        <v>8</v>
      </c>
    </row>
    <row r="584" customFormat="false" ht="15" hidden="false" customHeight="false" outlineLevel="0" collapsed="false">
      <c r="A584" s="16" t="s">
        <v>54</v>
      </c>
      <c r="B584" s="27" t="n">
        <f aca="false">Allcargo!D130</f>
        <v>0.0701243084897852</v>
      </c>
      <c r="C584" s="27" t="n">
        <f aca="false">Allcargo!E130</f>
        <v>0.0612577514026348</v>
      </c>
      <c r="D584" s="27" t="n">
        <f aca="false">Allcargo!F130</f>
        <v>0.0672151908030925</v>
      </c>
      <c r="E584" s="27" t="n">
        <f aca="false">Allcargo!G130</f>
        <v>0.0631662804412222</v>
      </c>
      <c r="F584" s="27" t="n">
        <f aca="false">Allcargo!H130</f>
        <v>0.0362951356653105</v>
      </c>
      <c r="G584" s="27" t="n">
        <f aca="false">Allcargo!I130</f>
        <v>0.103008669046405</v>
      </c>
      <c r="H584" s="27" t="n">
        <f aca="false">Allcargo!J130</f>
        <v>0.114188532555879</v>
      </c>
      <c r="I584" s="61" t="n">
        <f aca="false">Allcargo!K130</f>
        <v>0.0736079812006185</v>
      </c>
      <c r="J584" s="25" t="str">
        <f aca="false">IF(AND(ISNUMBER(I584),ISNUMBER(I$595)),IF(I584&gt;I$595,"Above",IF(I584&lt;I$595,"Below","At median")),"-")</f>
        <v>Above</v>
      </c>
      <c r="K584" s="25" t="str">
        <f aca="false">IF(J584="Above","Better",IF(J584="Below","Weaker",IF(J584="At median","In line","-")))</f>
        <v>Better</v>
      </c>
      <c r="L584" s="43" t="n">
        <f aca="false">IF(ISNUMBER(I584),RANK(I584,I$583:I$592,0),"-")</f>
        <v>4</v>
      </c>
    </row>
    <row r="585" customFormat="false" ht="15" hidden="false" customHeight="false" outlineLevel="0" collapsed="false">
      <c r="A585" s="16" t="s">
        <v>277</v>
      </c>
      <c r="B585" s="27" t="n">
        <f aca="false">BlueDart!D130</f>
        <v>0.149477344234724</v>
      </c>
      <c r="C585" s="27" t="n">
        <f aca="false">BlueDart!E130</f>
        <v>0.208717416890451</v>
      </c>
      <c r="D585" s="27" t="n">
        <f aca="false">BlueDart!F130</f>
        <v>0.226734444472156</v>
      </c>
      <c r="E585" s="27" t="n">
        <f aca="false">BlueDart!G130</f>
        <v>0.18127805855126</v>
      </c>
      <c r="F585" s="27" t="n">
        <f aca="false">BlueDart!H130</f>
        <v>0.16192625806072</v>
      </c>
      <c r="G585" s="27" t="n">
        <f aca="false">BlueDart!I130</f>
        <v>0.153187487107049</v>
      </c>
      <c r="H585" s="27" t="n">
        <f aca="false">BlueDart!J130</f>
        <v>0.154808431364886</v>
      </c>
      <c r="I585" s="61" t="n">
        <f aca="false">BlueDart!K130</f>
        <v>0.176589920097321</v>
      </c>
      <c r="J585" s="25" t="str">
        <f aca="false">IF(AND(ISNUMBER(I585),ISNUMBER(I$595)),IF(I585&gt;I$595,"Above",IF(I585&lt;I$595,"Below","At median")),"-")</f>
        <v>Above</v>
      </c>
      <c r="K585" s="25" t="str">
        <f aca="false">IF(J585="Above","Better",IF(J585="Below","Weaker",IF(J585="At median","In line","-")))</f>
        <v>Better</v>
      </c>
      <c r="L585" s="43" t="n">
        <f aca="false">IF(ISNUMBER(I585),RANK(I585,I$583:I$592,0),"-")</f>
        <v>2</v>
      </c>
    </row>
    <row r="586" customFormat="false" ht="15" hidden="false" customHeight="false" outlineLevel="0" collapsed="false">
      <c r="A586" s="16" t="s">
        <v>58</v>
      </c>
      <c r="B586" s="27" t="n">
        <f aca="false">CONCOR!D130</f>
        <v>0.259441033831679</v>
      </c>
      <c r="C586" s="27" t="n">
        <f aca="false">CONCOR!E130</f>
        <v>0.162965141246102</v>
      </c>
      <c r="D586" s="27" t="n">
        <f aca="false">CONCOR!F130</f>
        <v>0.228476635135435</v>
      </c>
      <c r="E586" s="27" t="n">
        <f aca="false">CONCOR!G130</f>
        <v>0.228641518303073</v>
      </c>
      <c r="F586" s="27" t="n">
        <f aca="false">CONCOR!H130</f>
        <v>0.226347763482835</v>
      </c>
      <c r="G586" s="27" t="n">
        <f aca="false">CONCOR!I130</f>
        <v>0.217171785367874</v>
      </c>
      <c r="H586" s="27" t="n">
        <f aca="false">CONCOR!J130</f>
        <v>0.214927464238785</v>
      </c>
      <c r="I586" s="61" t="n">
        <f aca="false">CONCOR!K130</f>
        <v>0.219710191657969</v>
      </c>
      <c r="J586" s="25" t="str">
        <f aca="false">IF(AND(ISNUMBER(I586),ISNUMBER(I$595)),IF(I586&gt;I$595,"Above",IF(I586&lt;I$595,"Below","At median")),"-")</f>
        <v>Above</v>
      </c>
      <c r="K586" s="25" t="str">
        <f aca="false">IF(J586="Above","Better",IF(J586="Below","Weaker",IF(J586="At median","In line","-")))</f>
        <v>Better</v>
      </c>
      <c r="L586" s="43" t="n">
        <f aca="false">IF(ISNUMBER(I586),RANK(I586,I$583:I$592,0),"-")</f>
        <v>1</v>
      </c>
    </row>
    <row r="587" customFormat="false" ht="15" hidden="false" customHeight="false" outlineLevel="0" collapsed="false">
      <c r="A587" s="16" t="s">
        <v>278</v>
      </c>
      <c r="B587" s="27" t="n">
        <f aca="false">JetFreight!D130</f>
        <v>-0.0117085862966177</v>
      </c>
      <c r="C587" s="27" t="n">
        <f aca="false">JetFreight!E130</f>
        <v>0.0268462181723812</v>
      </c>
      <c r="D587" s="27" t="n">
        <f aca="false">JetFreight!F130</f>
        <v>0.023601015850775</v>
      </c>
      <c r="E587" s="27" t="n">
        <f aca="false">JetFreight!G130</f>
        <v>0.019198924860208</v>
      </c>
      <c r="F587" s="27" t="n">
        <f aca="false">JetFreight!H130</f>
        <v>0.0152409933723598</v>
      </c>
      <c r="G587" s="27" t="n">
        <f aca="false">JetFreight!I130</f>
        <v>0.032682133614273</v>
      </c>
      <c r="H587" s="27" t="n">
        <f aca="false">JetFreight!J130</f>
        <v>0.0373130967393262</v>
      </c>
      <c r="I587" s="61" t="n">
        <f aca="false">JetFreight!K130</f>
        <v>0.0204533994732436</v>
      </c>
      <c r="J587" s="25" t="str">
        <f aca="false">IF(AND(ISNUMBER(I587),ISNUMBER(I$595)),IF(I587&gt;I$595,"Above",IF(I587&lt;I$595,"Below","At median")),"-")</f>
        <v>Below</v>
      </c>
      <c r="K587" s="25" t="str">
        <f aca="false">IF(J587="Above","Better",IF(J587="Below","Weaker",IF(J587="At median","In line","-")))</f>
        <v>Weaker</v>
      </c>
      <c r="L587" s="43" t="n">
        <f aca="false">IF(ISNUMBER(I587),RANK(I587,I$583:I$592,0),"-")</f>
        <v>10</v>
      </c>
    </row>
    <row r="588" customFormat="false" ht="15" hidden="false" customHeight="false" outlineLevel="0" collapsed="false">
      <c r="A588" s="16" t="s">
        <v>62</v>
      </c>
      <c r="B588" s="27" t="n">
        <f aca="false">Patel!D130</f>
        <v>0.0232866066031491</v>
      </c>
      <c r="C588" s="27" t="n">
        <f aca="false">Patel!E130</f>
        <v>0.0243580683156656</v>
      </c>
      <c r="D588" s="27" t="n">
        <f aca="false">Patel!F130</f>
        <v>0.0328183680437008</v>
      </c>
      <c r="E588" s="27" t="n">
        <f aca="false">Patel!G130</f>
        <v>0.0370849504096591</v>
      </c>
      <c r="F588" s="27" t="n">
        <f aca="false">Patel!H130</f>
        <v>0.0313199105145415</v>
      </c>
      <c r="G588" s="27" t="n">
        <f aca="false">Patel!I130</f>
        <v>0.0257083661618372</v>
      </c>
      <c r="H588" s="27" t="n">
        <f aca="false">Patel!J130</f>
        <v>0.0290362322898582</v>
      </c>
      <c r="I588" s="61" t="n">
        <f aca="false">Patel!K130</f>
        <v>0.0290875003340588</v>
      </c>
      <c r="J588" s="25" t="str">
        <f aca="false">IF(AND(ISNUMBER(I588),ISNUMBER(I$595)),IF(I588&gt;I$595,"Above",IF(I588&lt;I$595,"Below","At median")),"-")</f>
        <v>Below</v>
      </c>
      <c r="K588" s="25" t="str">
        <f aca="false">IF(J588="Above","Better",IF(J588="Below","Weaker",IF(J588="At median","In line","-")))</f>
        <v>Weaker</v>
      </c>
      <c r="L588" s="43" t="n">
        <f aca="false">IF(ISNUMBER(I588),RANK(I588,I$583:I$592,0),"-")</f>
        <v>9</v>
      </c>
    </row>
    <row r="589" customFormat="false" ht="15" hidden="false" customHeight="false" outlineLevel="0" collapsed="false">
      <c r="A589" s="16" t="s">
        <v>64</v>
      </c>
      <c r="B589" s="27" t="n">
        <f aca="false">Sical!D130</f>
        <v>-0.0223395371033165</v>
      </c>
      <c r="C589" s="27" t="n">
        <f aca="false">Sical!E130</f>
        <v>-0.0187637749935467</v>
      </c>
      <c r="D589" s="27" t="n">
        <f aca="false">Sical!F130</f>
        <v>-0.112248115343824</v>
      </c>
      <c r="E589" s="27" t="n">
        <f aca="false">Sical!G130</f>
        <v>0.0703629083675499</v>
      </c>
      <c r="F589" s="27" t="n">
        <f aca="false">Sical!H130</f>
        <v>0.0750825455696775</v>
      </c>
      <c r="G589" s="27" t="n">
        <f aca="false">Sical!I130</f>
        <v>0.0968803534397258</v>
      </c>
      <c r="H589" s="27" t="n">
        <f aca="false">Sical!J130</f>
        <v>0.203069902509853</v>
      </c>
      <c r="I589" s="61" t="n">
        <f aca="false">Sical!K130</f>
        <v>0.0417206117780169</v>
      </c>
      <c r="J589" s="25" t="str">
        <f aca="false">IF(AND(ISNUMBER(I589),ISNUMBER(I$595)),IF(I589&gt;I$595,"Above",IF(I589&lt;I$595,"Below","At median")),"-")</f>
        <v>Below</v>
      </c>
      <c r="K589" s="25" t="str">
        <f aca="false">IF(J589="Above","Better",IF(J589="Below","Weaker",IF(J589="At median","In line","-")))</f>
        <v>Weaker</v>
      </c>
      <c r="L589" s="43" t="n">
        <f aca="false">IF(ISNUMBER(I589),RANK(I589,I$583:I$592,0),"-")</f>
        <v>7</v>
      </c>
    </row>
    <row r="590" customFormat="false" ht="15" hidden="false" customHeight="false" outlineLevel="0" collapsed="false">
      <c r="A590" s="16" t="s">
        <v>66</v>
      </c>
      <c r="B590" s="27" t="n">
        <f aca="false">TCI!D130</f>
        <v>0.0888352515232685</v>
      </c>
      <c r="C590" s="27" t="n">
        <f aca="false">TCI!E130</f>
        <v>0.0938556018255844</v>
      </c>
      <c r="D590" s="27" t="n">
        <f aca="false">TCI!F130</f>
        <v>0.126374351373661</v>
      </c>
      <c r="E590" s="27" t="n">
        <f aca="false">TCI!G130</f>
        <v>0.112455288335708</v>
      </c>
      <c r="F590" s="27" t="n">
        <f aca="false">TCI!H130</f>
        <v>0.102187731409004</v>
      </c>
      <c r="G590" s="27" t="n">
        <f aca="false">TCI!I130</f>
        <v>0.102979219819314</v>
      </c>
      <c r="H590" s="27" t="n">
        <f aca="false">TCI!J130</f>
        <v>0.105557103545621</v>
      </c>
      <c r="I590" s="61" t="n">
        <f aca="false">TCI!K130</f>
        <v>0.104606363976023</v>
      </c>
      <c r="J590" s="25" t="str">
        <f aca="false">IF(AND(ISNUMBER(I590),ISNUMBER(I$595)),IF(I590&gt;I$595,"Above",IF(I590&lt;I$595,"Below","At median")),"-")</f>
        <v>Above</v>
      </c>
      <c r="K590" s="25" t="str">
        <f aca="false">IF(J590="Above","Better",IF(J590="Below","Weaker",IF(J590="At median","In line","-")))</f>
        <v>Better</v>
      </c>
      <c r="L590" s="43" t="n">
        <f aca="false">IF(ISNUMBER(I590),RANK(I590,I$583:I$592,0),"-")</f>
        <v>3</v>
      </c>
    </row>
    <row r="591" customFormat="false" ht="15" hidden="false" customHeight="false" outlineLevel="0" collapsed="false">
      <c r="A591" s="16" t="s">
        <v>68</v>
      </c>
      <c r="B591" s="27" t="n">
        <f aca="false">Shreeji!D130</f>
        <v>0.0822727272727273</v>
      </c>
      <c r="C591" s="27" t="n">
        <f aca="false">Shreeji!E130</f>
        <v>0.0656934306569343</v>
      </c>
      <c r="D591" s="27" t="n">
        <f aca="false">Shreeji!F130</f>
        <v>0.102052033711982</v>
      </c>
      <c r="E591" s="27" t="n">
        <f aca="false">Shreeji!G130</f>
        <v>0.10528856468569</v>
      </c>
      <c r="F591" s="27" t="n">
        <f aca="false">Shreeji!H130</f>
        <v>0.0753692614770459</v>
      </c>
      <c r="G591" s="27" t="n">
        <f aca="false">Shreeji!I130</f>
        <v>0.0409664819692979</v>
      </c>
      <c r="H591" s="27" t="n">
        <f aca="false">Shreeji!J130</f>
        <v>0.0330786631951855</v>
      </c>
      <c r="I591" s="61" t="n">
        <f aca="false">Shreeji!K130</f>
        <v>0.0721030232812661</v>
      </c>
      <c r="J591" s="25" t="str">
        <f aca="false">IF(AND(ISNUMBER(I591),ISNUMBER(I$595)),IF(I591&gt;I$595,"Above",IF(I591&lt;I$595,"Below","At median")),"-")</f>
        <v>Above</v>
      </c>
      <c r="K591" s="25" t="str">
        <f aca="false">IF(J591="Above","Better",IF(J591="Below","Weaker",IF(J591="At median","In line","-")))</f>
        <v>Better</v>
      </c>
      <c r="L591" s="43" t="n">
        <f aca="false">IF(ISNUMBER(I591),RANK(I591,I$583:I$592,0),"-")</f>
        <v>5</v>
      </c>
    </row>
    <row r="592" customFormat="false" ht="15" hidden="false" customHeight="false" outlineLevel="0" collapsed="false">
      <c r="A592" s="16" t="s">
        <v>279</v>
      </c>
      <c r="B592" s="27" t="n">
        <f aca="false">MahindraLog!D130</f>
        <v>0.0456564702086345</v>
      </c>
      <c r="C592" s="27" t="n">
        <f aca="false">MahindraLog!E130</f>
        <v>0.041265794859853</v>
      </c>
      <c r="D592" s="27" t="n">
        <f aca="false">MahindraLog!F130</f>
        <v>0.0445232276200503</v>
      </c>
      <c r="E592" s="27" t="n">
        <f aca="false">MahindraLog!G130</f>
        <v>0.0507030608643426</v>
      </c>
      <c r="F592" s="27" t="n">
        <f aca="false">MahindraLog!H130</f>
        <v>0.0419980493900257</v>
      </c>
      <c r="G592" s="27" t="n">
        <f aca="false">MahindraLog!I130</f>
        <v>0.0465844257743459</v>
      </c>
      <c r="H592" s="27" t="n">
        <f aca="false">MahindraLog!J130</f>
        <v>0.0541196976840541</v>
      </c>
      <c r="I592" s="61" t="n">
        <f aca="false">MahindraLog!K130</f>
        <v>0.046407246628758</v>
      </c>
      <c r="J592" s="25" t="str">
        <f aca="false">IF(AND(ISNUMBER(I592),ISNUMBER(I$595)),IF(I592&gt;I$595,"Above",IF(I592&lt;I$595,"Below","At median")),"-")</f>
        <v>Below</v>
      </c>
      <c r="K592" s="25" t="str">
        <f aca="false">IF(J592="Above","Better",IF(J592="Below","Weaker",IF(J592="At median","In line","-")))</f>
        <v>Weaker</v>
      </c>
      <c r="L592" s="43" t="n">
        <f aca="false">IF(ISNUMBER(I592),RANK(I592,I$583:I$592,0),"-")</f>
        <v>6</v>
      </c>
    </row>
    <row r="593" customFormat="false" ht="15" hidden="false" customHeight="false" outlineLevel="0" collapsed="false">
      <c r="A593" s="46" t="s">
        <v>328</v>
      </c>
      <c r="B593" s="42" t="n">
        <f aca="false">Industry!D131</f>
        <v>0.12118768012652</v>
      </c>
      <c r="C593" s="42" t="n">
        <f aca="false">Industry!E131</f>
        <v>0.100554018927381</v>
      </c>
      <c r="D593" s="42" t="n">
        <f aca="false">Industry!F131</f>
        <v>0.115496490773641</v>
      </c>
      <c r="E593" s="42" t="n">
        <f aca="false">Industry!G131</f>
        <v>0.112425565058091</v>
      </c>
      <c r="F593" s="42" t="n">
        <f aca="false">Industry!H131</f>
        <v>0.105544994065112</v>
      </c>
      <c r="G593" s="42" t="n">
        <f aca="false">Industry!I131</f>
        <v>0.132776833489844</v>
      </c>
      <c r="H593" s="42" t="n">
        <f aca="false">Industry!J131</f>
        <v>0.133859477047691</v>
      </c>
      <c r="I593" s="42" t="n">
        <f aca="false">Industry!K131</f>
        <v>0.117406437069754</v>
      </c>
      <c r="J593" s="47"/>
      <c r="K593" s="47"/>
      <c r="L593" s="47"/>
    </row>
    <row r="594" customFormat="false" ht="15" hidden="false" customHeight="false" outlineLevel="0" collapsed="false">
      <c r="A594" s="52" t="s">
        <v>329</v>
      </c>
      <c r="B594" s="62" t="n">
        <f aca="false">IF(COUNT(B583:B592)=0,"N/M",AVERAGE(B583:B592))</f>
        <v>0.065721624368111</v>
      </c>
      <c r="C594" s="62" t="n">
        <f aca="false">IF(COUNT(C583:C592)=0,"N/M",AVERAGE(C583:C592))</f>
        <v>0.0609663808261686</v>
      </c>
      <c r="D594" s="62" t="n">
        <f aca="false">IF(COUNT(D583:D592)=0,"N/M",AVERAGE(D583:D592))</f>
        <v>0.0800674429714858</v>
      </c>
      <c r="E594" s="62" t="n">
        <f aca="false">IF(COUNT(E583:E592)=0,"N/M",AVERAGE(E583:E592))</f>
        <v>0.0929192592778792</v>
      </c>
      <c r="F594" s="62" t="n">
        <f aca="false">IF(COUNT(F583:F592)=0,"N/M",AVERAGE(F583:F592))</f>
        <v>0.082965676906139</v>
      </c>
      <c r="G594" s="62" t="n">
        <f aca="false">IF(COUNT(G583:G592)=0,"N/M",AVERAGE(G583:G592))</f>
        <v>0.0877754441869028</v>
      </c>
      <c r="H594" s="62" t="n">
        <f aca="false">IF(COUNT(H583:H592)=0,"N/M",AVERAGE(H583:H592))</f>
        <v>0.0993251807339816</v>
      </c>
      <c r="I594" s="62" t="n">
        <f aca="false">IF(COUNT(I583:I592)=0,"N/M",AVERAGE(I583:I592))</f>
        <v>0.0813915727529525</v>
      </c>
      <c r="J594" s="54"/>
      <c r="K594" s="54"/>
      <c r="L594" s="54"/>
    </row>
    <row r="595" customFormat="false" ht="15" hidden="false" customHeight="false" outlineLevel="0" collapsed="false">
      <c r="A595" s="28" t="s">
        <v>281</v>
      </c>
      <c r="B595" s="30" t="n">
        <f aca="false">IF(COUNT(B583:B592)=0,"N/M",MEDIAN(B583:B592))</f>
        <v>0.0578903893492099</v>
      </c>
      <c r="C595" s="30" t="n">
        <f aca="false">IF(COUNT(C583:C592)=0,"N/M",MEDIAN(C583:C592))</f>
        <v>0.0512617731312439</v>
      </c>
      <c r="D595" s="30" t="n">
        <f aca="false">IF(COUNT(D583:D592)=0,"N/M",MEDIAN(D583:D592))</f>
        <v>0.0641712344254607</v>
      </c>
      <c r="E595" s="30" t="n">
        <f aca="false">IF(COUNT(E583:E592)=0,"N/M",MEDIAN(E583:E592))</f>
        <v>0.066764594404386</v>
      </c>
      <c r="F595" s="30" t="n">
        <f aca="false">IF(COUNT(F583:F592)=0,"N/M",MEDIAN(F583:F592))</f>
        <v>0.0694858328447738</v>
      </c>
      <c r="G595" s="30" t="n">
        <f aca="false">IF(COUNT(G583:G592)=0,"N/M",MEDIAN(G583:G592))</f>
        <v>0.0777329365043158</v>
      </c>
      <c r="H595" s="30" t="n">
        <f aca="false">IF(COUNT(H583:H592)=0,"N/M",MEDIAN(H583:H592))</f>
        <v>0.0798384006148374</v>
      </c>
      <c r="I595" s="30" t="n">
        <f aca="false">IF(COUNT(I583:I592)=0,"N/M",MEDIAN(I583:I592))</f>
        <v>0.0592551349550121</v>
      </c>
      <c r="J595" s="54"/>
      <c r="K595" s="54"/>
      <c r="L595" s="54"/>
    </row>
    <row r="596" customFormat="false" ht="15" hidden="false" customHeight="false" outlineLevel="0" collapsed="false">
      <c r="A596" s="52" t="s">
        <v>330</v>
      </c>
      <c r="B596" s="62" t="n">
        <f aca="false">IF(COUNT(B583:B592)&lt;2,"N/M",STDEV(B583:B592))</f>
        <v>0.0882390244570049</v>
      </c>
      <c r="C596" s="62" t="n">
        <f aca="false">IF(COUNT(C583:C592)&lt;2,"N/M",STDEV(C583:C592))</f>
        <v>0.0791576790288909</v>
      </c>
      <c r="D596" s="62" t="n">
        <f aca="false">IF(COUNT(D583:D592)&lt;2,"N/M",STDEV(D583:D592))</f>
        <v>0.100198501632882</v>
      </c>
      <c r="E596" s="62" t="n">
        <f aca="false">IF(COUNT(E583:E592)&lt;2,"N/M",STDEV(E583:E592))</f>
        <v>0.0662561242354384</v>
      </c>
      <c r="F596" s="62" t="n">
        <f aca="false">IF(COUNT(F583:F592)&lt;2,"N/M",STDEV(F583:F592))</f>
        <v>0.0656225331239737</v>
      </c>
      <c r="G596" s="62" t="n">
        <f aca="false">IF(COUNT(G583:G592)&lt;2,"N/M",STDEV(G583:G592))</f>
        <v>0.0607322717259862</v>
      </c>
      <c r="H596" s="62" t="n">
        <f aca="false">IF(COUNT(H583:H592)&lt;2,"N/M",STDEV(H583:H592))</f>
        <v>0.0710282757103918</v>
      </c>
      <c r="I596" s="62" t="n">
        <f aca="false">IF(COUNT(I583:I592)&lt;2,"N/M",STDEV(I583:I592))</f>
        <v>0.0673355875285477</v>
      </c>
      <c r="J596" s="54"/>
      <c r="K596" s="54"/>
      <c r="L596" s="54"/>
    </row>
    <row r="597" customFormat="false" ht="15" hidden="false" customHeight="false" outlineLevel="0" collapsed="false">
      <c r="A597" s="52" t="s">
        <v>269</v>
      </c>
      <c r="B597" s="62" t="n">
        <f aca="false">IF(COUNT(B583:B592)=0,"N/M",MIN(B583:B592))</f>
        <v>-0.027829375082924</v>
      </c>
      <c r="C597" s="62" t="n">
        <f aca="false">IF(COUNT(C583:C592)=0,"N/M",MIN(C583:C592))</f>
        <v>-0.0565318401143741</v>
      </c>
      <c r="D597" s="62" t="n">
        <f aca="false">IF(COUNT(D583:D592)=0,"N/M",MIN(D583:D592))</f>
        <v>-0.112248115343824</v>
      </c>
      <c r="E597" s="62" t="n">
        <f aca="false">IF(COUNT(E583:E592)=0,"N/M",MIN(E583:E592))</f>
        <v>0.019198924860208</v>
      </c>
      <c r="F597" s="62" t="n">
        <f aca="false">IF(COUNT(F583:F592)=0,"N/M",MIN(F583:F592))</f>
        <v>0.0152409933723598</v>
      </c>
      <c r="G597" s="62" t="n">
        <f aca="false">IF(COUNT(G583:G592)=0,"N/M",MIN(G583:G592))</f>
        <v>0.0257083661618372</v>
      </c>
      <c r="H597" s="62" t="n">
        <f aca="false">IF(COUNT(H583:H592)=0,"N/M",MIN(H583:H592))</f>
        <v>0.0290362322898582</v>
      </c>
      <c r="I597" s="62" t="n">
        <f aca="false">IF(COUNT(I583:I592)=0,"N/M",MIN(I583:I592))</f>
        <v>0.0204533994732436</v>
      </c>
      <c r="J597" s="54"/>
      <c r="K597" s="54"/>
      <c r="L597" s="54"/>
    </row>
    <row r="598" customFormat="false" ht="15" hidden="false" customHeight="false" outlineLevel="0" collapsed="false">
      <c r="A598" s="52" t="s">
        <v>270</v>
      </c>
      <c r="B598" s="62" t="n">
        <f aca="false">IF(COUNT(B583:B592)=0,"N/M",MAX(B583:B592))</f>
        <v>0.259441033831679</v>
      </c>
      <c r="C598" s="62" t="n">
        <f aca="false">IF(COUNT(C583:C592)=0,"N/M",MAX(C583:C592))</f>
        <v>0.208717416890451</v>
      </c>
      <c r="D598" s="62" t="n">
        <f aca="false">IF(COUNT(D583:D592)=0,"N/M",MAX(D583:D592))</f>
        <v>0.228476635135435</v>
      </c>
      <c r="E598" s="62" t="n">
        <f aca="false">IF(COUNT(E583:E592)=0,"N/M",MAX(E583:E592))</f>
        <v>0.228641518303073</v>
      </c>
      <c r="F598" s="62" t="n">
        <f aca="false">IF(COUNT(F583:F592)=0,"N/M",MAX(F583:F592))</f>
        <v>0.226347763482835</v>
      </c>
      <c r="G598" s="62" t="n">
        <f aca="false">IF(COUNT(G583:G592)=0,"N/M",MAX(G583:G592))</f>
        <v>0.217171785367874</v>
      </c>
      <c r="H598" s="62" t="n">
        <f aca="false">IF(COUNT(H583:H592)=0,"N/M",MAX(H583:H592))</f>
        <v>0.214927464238785</v>
      </c>
      <c r="I598" s="62" t="n">
        <f aca="false">IF(COUNT(I583:I592)=0,"N/M",MAX(I583:I592))</f>
        <v>0.219710191657969</v>
      </c>
      <c r="J598" s="54"/>
      <c r="K598" s="54"/>
      <c r="L598" s="54"/>
    </row>
    <row r="600" customFormat="false" ht="16.5" hidden="false" customHeight="true" outlineLevel="0" collapsed="false">
      <c r="A600" s="49" t="s">
        <v>363</v>
      </c>
      <c r="B600" s="49"/>
      <c r="C600" s="49"/>
      <c r="D600" s="49"/>
      <c r="E600" s="49"/>
      <c r="F600" s="49"/>
      <c r="G600" s="49"/>
      <c r="H600" s="49"/>
      <c r="I600" s="49"/>
      <c r="J600" s="49"/>
      <c r="K600" s="49"/>
      <c r="L600" s="49"/>
    </row>
    <row r="601" customFormat="false" ht="15" hidden="false" customHeight="false" outlineLevel="0" collapsed="false">
      <c r="A601" s="16" t="s">
        <v>52</v>
      </c>
      <c r="B601" s="27" t="n">
        <f aca="false">Tiger!D131</f>
        <v>-0.0310800053071512</v>
      </c>
      <c r="C601" s="27" t="n">
        <f aca="false">Tiger!E131</f>
        <v>-0.0618335616846368</v>
      </c>
      <c r="D601" s="27" t="n">
        <f aca="false">Tiger!F131</f>
        <v>0.0598266976638325</v>
      </c>
      <c r="E601" s="27" t="n">
        <f aca="false">Tiger!G131</f>
        <v>0.0592131071881851</v>
      </c>
      <c r="F601" s="27" t="n">
        <f aca="false">Tiger!H131</f>
        <v>0.060642637143095</v>
      </c>
      <c r="G601" s="27" t="n">
        <f aca="false">Tiger!I131</f>
        <v>0.0570006153157687</v>
      </c>
      <c r="H601" s="27" t="n">
        <f aca="false">Tiger!J131</f>
        <v>0.0454767640794665</v>
      </c>
      <c r="I601" s="61" t="n">
        <f aca="false">Tiger!K131</f>
        <v>0.0270351791997943</v>
      </c>
      <c r="J601" s="25" t="str">
        <f aca="false">IF(AND(ISNUMBER(I601),ISNUMBER(I$613)),IF(I601&gt;I$613,"Above",IF(I601&lt;I$613,"Below","At median")),"-")</f>
        <v>Below</v>
      </c>
      <c r="K601" s="25" t="str">
        <f aca="false">IF(J601="Above","Better",IF(J601="Below","Weaker",IF(J601="At median","In line","-")))</f>
        <v>Weaker</v>
      </c>
      <c r="L601" s="43" t="n">
        <f aca="false">IF(ISNUMBER(I601),RANK(I601,I$601:I$610,0),"-")</f>
        <v>6</v>
      </c>
    </row>
    <row r="602" customFormat="false" ht="15" hidden="false" customHeight="false" outlineLevel="0" collapsed="false">
      <c r="A602" s="16" t="s">
        <v>54</v>
      </c>
      <c r="B602" s="27" t="n">
        <f aca="false">Allcargo!D131</f>
        <v>0.0385979766520015</v>
      </c>
      <c r="C602" s="27" t="n">
        <f aca="false">Allcargo!E131</f>
        <v>0.0321010468560978</v>
      </c>
      <c r="D602" s="27" t="n">
        <f aca="false">Allcargo!F131</f>
        <v>0.0547522146084945</v>
      </c>
      <c r="E602" s="27" t="n">
        <f aca="false">Allcargo!G131</f>
        <v>0.0477647213941566</v>
      </c>
      <c r="F602" s="27" t="n">
        <f aca="false">Allcargo!H131</f>
        <v>0.00545005351354177</v>
      </c>
      <c r="G602" s="27" t="n">
        <f aca="false">Allcargo!I131</f>
        <v>0.0101988781234064</v>
      </c>
      <c r="H602" s="27" t="n">
        <f aca="false">Allcargo!J131</f>
        <v>0.0150631681243926</v>
      </c>
      <c r="I602" s="61" t="n">
        <f aca="false">Allcargo!K131</f>
        <v>0.029132579896013</v>
      </c>
      <c r="J602" s="25" t="str">
        <f aca="false">IF(AND(ISNUMBER(I602),ISNUMBER(I$613)),IF(I602&gt;I$613,"Above",IF(I602&lt;I$613,"Below","At median")),"-")</f>
        <v>Above</v>
      </c>
      <c r="K602" s="25" t="str">
        <f aca="false">IF(J602="Above","Better",IF(J602="Below","Weaker",IF(J602="At median","In line","-")))</f>
        <v>Better</v>
      </c>
      <c r="L602" s="43" t="n">
        <f aca="false">IF(ISNUMBER(I602),RANK(I602,I$601:I$610,0),"-")</f>
        <v>5</v>
      </c>
    </row>
    <row r="603" customFormat="false" ht="15" hidden="false" customHeight="false" outlineLevel="0" collapsed="false">
      <c r="A603" s="16" t="s">
        <v>277</v>
      </c>
      <c r="B603" s="27" t="n">
        <f aca="false">BlueDart!D131</f>
        <v>0.0400865476374196</v>
      </c>
      <c r="C603" s="27" t="n">
        <f aca="false">BlueDart!E131</f>
        <v>0.0779439985645336</v>
      </c>
      <c r="D603" s="27" t="n">
        <f aca="false">BlueDart!F131</f>
        <v>0.137091343592208</v>
      </c>
      <c r="E603" s="27" t="n">
        <f aca="false">BlueDart!G131</f>
        <v>0.105009067673069</v>
      </c>
      <c r="F603" s="27" t="n">
        <f aca="false">BlueDart!H131</f>
        <v>0.0797558007756515</v>
      </c>
      <c r="G603" s="27" t="n">
        <f aca="false">BlueDart!I131</f>
        <v>0.0684104346366723</v>
      </c>
      <c r="H603" s="27" t="n">
        <f aca="false">BlueDart!J131</f>
        <v>0.0675131251547011</v>
      </c>
      <c r="I603" s="61" t="n">
        <f aca="false">BlueDart!K131</f>
        <v>0.0822586168620365</v>
      </c>
      <c r="J603" s="25" t="str">
        <f aca="false">IF(AND(ISNUMBER(I603),ISNUMBER(I$613)),IF(I603&gt;I$613,"Above",IF(I603&lt;I$613,"Below","At median")),"-")</f>
        <v>Above</v>
      </c>
      <c r="K603" s="25" t="str">
        <f aca="false">IF(J603="Above","Better",IF(J603="Below","Weaker",IF(J603="At median","In line","-")))</f>
        <v>Better</v>
      </c>
      <c r="L603" s="43" t="n">
        <f aca="false">IF(ISNUMBER(I603),RANK(I603,I$601:I$610,0),"-")</f>
        <v>2</v>
      </c>
    </row>
    <row r="604" customFormat="false" ht="15" hidden="false" customHeight="false" outlineLevel="0" collapsed="false">
      <c r="A604" s="16" t="s">
        <v>58</v>
      </c>
      <c r="B604" s="27" t="n">
        <f aca="false">CONCOR!D131</f>
        <v>0.176073883621964</v>
      </c>
      <c r="C604" s="27" t="n">
        <f aca="false">CONCOR!E131</f>
        <v>0.0768638324091188</v>
      </c>
      <c r="D604" s="27" t="n">
        <f aca="false">CONCOR!F131</f>
        <v>0.15511458002569</v>
      </c>
      <c r="E604" s="27" t="n">
        <f aca="false">CONCOR!G131</f>
        <v>0.158498100162563</v>
      </c>
      <c r="F604" s="27" t="n">
        <f aca="false">CONCOR!H131</f>
        <v>0.154860338294383</v>
      </c>
      <c r="G604" s="27" t="n">
        <f aca="false">CONCOR!I131</f>
        <v>0.151768534334344</v>
      </c>
      <c r="H604" s="27" t="n">
        <f aca="false">CONCOR!J131</f>
        <v>0.147130125994469</v>
      </c>
      <c r="I604" s="61" t="n">
        <f aca="false">CONCOR!K131</f>
        <v>0.145758484977505</v>
      </c>
      <c r="J604" s="25" t="str">
        <f aca="false">IF(AND(ISNUMBER(I604),ISNUMBER(I$613)),IF(I604&gt;I$613,"Above",IF(I604&lt;I$613,"Below","At median")),"-")</f>
        <v>Above</v>
      </c>
      <c r="K604" s="25" t="str">
        <f aca="false">IF(J604="Above","Better",IF(J604="Below","Weaker",IF(J604="At median","In line","-")))</f>
        <v>Better</v>
      </c>
      <c r="L604" s="43" t="n">
        <f aca="false">IF(ISNUMBER(I604),RANK(I604,I$601:I$610,0),"-")</f>
        <v>1</v>
      </c>
    </row>
    <row r="605" customFormat="false" ht="15" hidden="false" customHeight="false" outlineLevel="0" collapsed="false">
      <c r="A605" s="16" t="s">
        <v>278</v>
      </c>
      <c r="B605" s="27" t="n">
        <f aca="false">JetFreight!D131</f>
        <v>-0.0159450263526588</v>
      </c>
      <c r="C605" s="27" t="n">
        <f aca="false">JetFreight!E131</f>
        <v>0.0206176648692294</v>
      </c>
      <c r="D605" s="27" t="n">
        <f aca="false">JetFreight!F131</f>
        <v>0.0176022418775724</v>
      </c>
      <c r="E605" s="27" t="n">
        <f aca="false">JetFreight!G131</f>
        <v>0.01245530250306</v>
      </c>
      <c r="F605" s="27" t="n">
        <f aca="false">JetFreight!H131</f>
        <v>0.00954173865951458</v>
      </c>
      <c r="G605" s="27" t="n">
        <f aca="false">JetFreight!I131</f>
        <v>0.0279183748253671</v>
      </c>
      <c r="H605" s="27" t="n">
        <f aca="false">JetFreight!J131</f>
        <v>0.0330120698973158</v>
      </c>
      <c r="I605" s="61" t="n">
        <f aca="false">JetFreight!K131</f>
        <v>0.0150289094684858</v>
      </c>
      <c r="J605" s="25" t="str">
        <f aca="false">IF(AND(ISNUMBER(I605),ISNUMBER(I$613)),IF(I605&gt;I$613,"Above",IF(I605&lt;I$613,"Below","At median")),"-")</f>
        <v>Below</v>
      </c>
      <c r="K605" s="25" t="str">
        <f aca="false">IF(J605="Above","Better",IF(J605="Below","Weaker",IF(J605="At median","In line","-")))</f>
        <v>Weaker</v>
      </c>
      <c r="L605" s="43" t="n">
        <f aca="false">IF(ISNUMBER(I605),RANK(I605,I$601:I$610,0),"-")</f>
        <v>8</v>
      </c>
    </row>
    <row r="606" customFormat="false" ht="15" hidden="false" customHeight="false" outlineLevel="0" collapsed="false">
      <c r="A606" s="16" t="s">
        <v>62</v>
      </c>
      <c r="B606" s="27" t="n">
        <f aca="false">Patel!D131</f>
        <v>0.0120318931521834</v>
      </c>
      <c r="C606" s="27" t="n">
        <f aca="false">Patel!E131</f>
        <v>0.0132862190812722</v>
      </c>
      <c r="D606" s="27" t="n">
        <f aca="false">Patel!F131</f>
        <v>0.0215944008193922</v>
      </c>
      <c r="E606" s="27" t="n">
        <f aca="false">Patel!G131</f>
        <v>0.0265919218053757</v>
      </c>
      <c r="F606" s="27" t="n">
        <f aca="false">Patel!H131</f>
        <v>0.0216830149716057</v>
      </c>
      <c r="G606" s="27" t="n">
        <f aca="false">Patel!I131</f>
        <v>0.0180921532580466</v>
      </c>
      <c r="H606" s="27" t="n">
        <f aca="false">Patel!J131</f>
        <v>0.0218961751694012</v>
      </c>
      <c r="I606" s="61" t="n">
        <f aca="false">Patel!K131</f>
        <v>0.0193108254653253</v>
      </c>
      <c r="J606" s="25" t="str">
        <f aca="false">IF(AND(ISNUMBER(I606),ISNUMBER(I$613)),IF(I606&gt;I$613,"Above",IF(I606&lt;I$613,"Below","At median")),"-")</f>
        <v>Below</v>
      </c>
      <c r="K606" s="25" t="str">
        <f aca="false">IF(J606="Above","Better",IF(J606="Below","Weaker",IF(J606="At median","In line","-")))</f>
        <v>Weaker</v>
      </c>
      <c r="L606" s="43" t="n">
        <f aca="false">IF(ISNUMBER(I606),RANK(I606,I$601:I$610,0),"-")</f>
        <v>7</v>
      </c>
    </row>
    <row r="607" customFormat="false" ht="15" hidden="false" customHeight="false" outlineLevel="0" collapsed="false">
      <c r="A607" s="16" t="s">
        <v>64</v>
      </c>
      <c r="B607" s="27" t="n">
        <f aca="false">Sical!D131</f>
        <v>-0.106299212598425</v>
      </c>
      <c r="C607" s="27" t="n">
        <f aca="false">Sical!E131</f>
        <v>-0.175128566606437</v>
      </c>
      <c r="D607" s="27" t="n">
        <f aca="false">Sical!F131</f>
        <v>-0.316249605870382</v>
      </c>
      <c r="E607" s="27" t="n">
        <f aca="false">Sical!G131</f>
        <v>-0.0716125577006453</v>
      </c>
      <c r="F607" s="27" t="n">
        <f aca="false">Sical!H131</f>
        <v>-0.143470984666878</v>
      </c>
      <c r="G607" s="27" t="n">
        <f aca="false">Sical!I131</f>
        <v>-0.0732125146515193</v>
      </c>
      <c r="H607" s="27" t="n">
        <f aca="false">Sical!J131</f>
        <v>0.0949751088985689</v>
      </c>
      <c r="I607" s="61" t="n">
        <f aca="false">Sical!K131</f>
        <v>-0.112999761885102</v>
      </c>
      <c r="J607" s="25" t="str">
        <f aca="false">IF(AND(ISNUMBER(I607),ISNUMBER(I$613)),IF(I607&gt;I$613,"Above",IF(I607&lt;I$613,"Below","At median")),"-")</f>
        <v>Below</v>
      </c>
      <c r="K607" s="25" t="str">
        <f aca="false">IF(J607="Above","Better",IF(J607="Below","Weaker",IF(J607="At median","In line","-")))</f>
        <v>Weaker</v>
      </c>
      <c r="L607" s="43" t="n">
        <f aca="false">IF(ISNUMBER(I607),RANK(I607,I$601:I$610,0),"-")</f>
        <v>10</v>
      </c>
    </row>
    <row r="608" customFormat="false" ht="15" hidden="false" customHeight="false" outlineLevel="0" collapsed="false">
      <c r="A608" s="16" t="s">
        <v>66</v>
      </c>
      <c r="B608" s="27" t="n">
        <f aca="false">TCI!D131</f>
        <v>0.0584839431313102</v>
      </c>
      <c r="C608" s="27" t="n">
        <f aca="false">TCI!E131</f>
        <v>0.0607374419691761</v>
      </c>
      <c r="D608" s="27" t="n">
        <f aca="false">TCI!F131</f>
        <v>0.0916929799528048</v>
      </c>
      <c r="E608" s="27" t="n">
        <f aca="false">TCI!G131</f>
        <v>0.0803580634330628</v>
      </c>
      <c r="F608" s="27" t="n">
        <f aca="false">TCI!H131</f>
        <v>0.070268819609071</v>
      </c>
      <c r="G608" s="27" t="n">
        <f aca="false">TCI!I131</f>
        <v>0.0767468575932036</v>
      </c>
      <c r="H608" s="27" t="n">
        <f aca="false">TCI!J131</f>
        <v>0.0796661222713287</v>
      </c>
      <c r="I608" s="61" t="n">
        <f aca="false">TCI!K131</f>
        <v>0.0739934611371368</v>
      </c>
      <c r="J608" s="25" t="str">
        <f aca="false">IF(AND(ISNUMBER(I608),ISNUMBER(I$613)),IF(I608&gt;I$613,"Above",IF(I608&lt;I$613,"Below","At median")),"-")</f>
        <v>Above</v>
      </c>
      <c r="K608" s="25" t="str">
        <f aca="false">IF(J608="Above","Better",IF(J608="Below","Weaker",IF(J608="At median","In line","-")))</f>
        <v>Better</v>
      </c>
      <c r="L608" s="43" t="n">
        <f aca="false">IF(ISNUMBER(I608),RANK(I608,I$601:I$610,0),"-")</f>
        <v>3</v>
      </c>
    </row>
    <row r="609" customFormat="false" ht="15" hidden="false" customHeight="false" outlineLevel="0" collapsed="false">
      <c r="A609" s="16" t="s">
        <v>68</v>
      </c>
      <c r="B609" s="27" t="n">
        <f aca="false">Shreeji!D131</f>
        <v>0.0443636363636363</v>
      </c>
      <c r="C609" s="27" t="n">
        <f aca="false">Shreeji!E131</f>
        <v>0.0258708306384551</v>
      </c>
      <c r="D609" s="27" t="n">
        <f aca="false">Shreeji!F131</f>
        <v>0.0784780749969463</v>
      </c>
      <c r="E609" s="27" t="n">
        <f aca="false">Shreeji!G131</f>
        <v>0.0872666809697488</v>
      </c>
      <c r="F609" s="27" t="n">
        <f aca="false">Shreeji!H131</f>
        <v>0.0577644710578842</v>
      </c>
      <c r="G609" s="27" t="n">
        <f aca="false">Shreeji!I131</f>
        <v>0.0190298846398402</v>
      </c>
      <c r="H609" s="27" t="n">
        <f aca="false">Shreeji!J131</f>
        <v>0.0160058047718639</v>
      </c>
      <c r="I609" s="61" t="n">
        <f aca="false">Shreeji!K131</f>
        <v>0.0469684833483393</v>
      </c>
      <c r="J609" s="25" t="str">
        <f aca="false">IF(AND(ISNUMBER(I609),ISNUMBER(I$613)),IF(I609&gt;I$613,"Above",IF(I609&lt;I$613,"Below","At median")),"-")</f>
        <v>Above</v>
      </c>
      <c r="K609" s="25" t="str">
        <f aca="false">IF(J609="Above","Better",IF(J609="Below","Weaker",IF(J609="At median","In line","-")))</f>
        <v>Better</v>
      </c>
      <c r="L609" s="43" t="n">
        <f aca="false">IF(ISNUMBER(I609),RANK(I609,I$601:I$610,0),"-")</f>
        <v>4</v>
      </c>
    </row>
    <row r="610" customFormat="false" ht="15" hidden="false" customHeight="false" outlineLevel="0" collapsed="false">
      <c r="A610" s="16" t="s">
        <v>279</v>
      </c>
      <c r="B610" s="27" t="n">
        <f aca="false">MahindraLog!D131</f>
        <v>0.0245020367948281</v>
      </c>
      <c r="C610" s="27" t="n">
        <f aca="false">MahindraLog!E131</f>
        <v>0.0137971394604927</v>
      </c>
      <c r="D610" s="27" t="n">
        <f aca="false">MahindraLog!F131</f>
        <v>0.0102976265226673</v>
      </c>
      <c r="E610" s="27" t="n">
        <f aca="false">MahindraLog!G131</f>
        <v>0.0137511724180964</v>
      </c>
      <c r="F610" s="27" t="n">
        <f aca="false">MahindraLog!H131</f>
        <v>0.00404106814966296</v>
      </c>
      <c r="G610" s="27" t="n">
        <f aca="false">MahindraLog!I131</f>
        <v>0.00951214038720166</v>
      </c>
      <c r="H610" s="27" t="n">
        <f aca="false">MahindraLog!J131</f>
        <v>0.0144200134299144</v>
      </c>
      <c r="I610" s="61" t="n">
        <f aca="false">MahindraLog!K131</f>
        <v>0.0129030281661234</v>
      </c>
      <c r="J610" s="25" t="str">
        <f aca="false">IF(AND(ISNUMBER(I610),ISNUMBER(I$613)),IF(I610&gt;I$613,"Above",IF(I610&lt;I$613,"Below","At median")),"-")</f>
        <v>Below</v>
      </c>
      <c r="K610" s="25" t="str">
        <f aca="false">IF(J610="Above","Better",IF(J610="Below","Weaker",IF(J610="At median","In line","-")))</f>
        <v>Weaker</v>
      </c>
      <c r="L610" s="43" t="n">
        <f aca="false">IF(ISNUMBER(I610),RANK(I610,I$601:I$610,0),"-")</f>
        <v>9</v>
      </c>
    </row>
    <row r="611" customFormat="false" ht="15" hidden="false" customHeight="false" outlineLevel="0" collapsed="false">
      <c r="A611" s="46" t="s">
        <v>328</v>
      </c>
      <c r="B611" s="42" t="n">
        <f aca="false">Industry!D132</f>
        <v>0.0668888087119095</v>
      </c>
      <c r="C611" s="42" t="n">
        <f aca="false">Industry!E132</f>
        <v>0.0440553852370487</v>
      </c>
      <c r="D611" s="42" t="n">
        <f aca="false">Industry!F132</f>
        <v>0.0775648708037077</v>
      </c>
      <c r="E611" s="42" t="n">
        <f aca="false">Industry!G132</f>
        <v>0.0738167534082492</v>
      </c>
      <c r="F611" s="42" t="n">
        <f aca="false">Industry!H132</f>
        <v>0.0566839952690164</v>
      </c>
      <c r="G611" s="42" t="n">
        <f aca="false">Industry!I132</f>
        <v>0.0760585898008605</v>
      </c>
      <c r="H611" s="42" t="n">
        <f aca="false">Industry!J132</f>
        <v>0.0757639253390656</v>
      </c>
      <c r="I611" s="42" t="n">
        <f aca="false">Industry!K132</f>
        <v>0.0672617612242654</v>
      </c>
      <c r="J611" s="47"/>
      <c r="K611" s="47"/>
      <c r="L611" s="47"/>
    </row>
    <row r="612" customFormat="false" ht="15" hidden="false" customHeight="false" outlineLevel="0" collapsed="false">
      <c r="A612" s="52" t="s">
        <v>329</v>
      </c>
      <c r="B612" s="62" t="n">
        <f aca="false">IF(COUNT(B601:B610)=0,"N/M",AVERAGE(B601:B610))</f>
        <v>0.0240815673095108</v>
      </c>
      <c r="C612" s="62" t="n">
        <f aca="false">IF(COUNT(C601:C610)=0,"N/M",AVERAGE(C601:C610))</f>
        <v>0.00842560455573019</v>
      </c>
      <c r="D612" s="62" t="n">
        <f aca="false">IF(COUNT(D601:D610)=0,"N/M",AVERAGE(D601:D610))</f>
        <v>0.0310200554189227</v>
      </c>
      <c r="E612" s="62" t="n">
        <f aca="false">IF(COUNT(E601:E610)=0,"N/M",AVERAGE(E601:E610))</f>
        <v>0.0519295579846672</v>
      </c>
      <c r="F612" s="62" t="n">
        <f aca="false">IF(COUNT(F601:F610)=0,"N/M",AVERAGE(F601:F610))</f>
        <v>0.0320536957507532</v>
      </c>
      <c r="G612" s="62" t="n">
        <f aca="false">IF(COUNT(G601:G610)=0,"N/M",AVERAGE(G601:G610))</f>
        <v>0.0365465358462331</v>
      </c>
      <c r="H612" s="62" t="n">
        <f aca="false">IF(COUNT(H601:H610)=0,"N/M",AVERAGE(H601:H610))</f>
        <v>0.0535158477791422</v>
      </c>
      <c r="I612" s="62" t="n">
        <f aca="false">IF(COUNT(I601:I610)=0,"N/M",AVERAGE(I601:I610))</f>
        <v>0.0339389806635656</v>
      </c>
      <c r="J612" s="54"/>
      <c r="K612" s="54"/>
      <c r="L612" s="54"/>
    </row>
    <row r="613" customFormat="false" ht="15" hidden="false" customHeight="false" outlineLevel="0" collapsed="false">
      <c r="A613" s="28" t="s">
        <v>281</v>
      </c>
      <c r="B613" s="30" t="n">
        <f aca="false">IF(COUNT(B601:B610)=0,"N/M",MEDIAN(B601:B610))</f>
        <v>0.0315500067234148</v>
      </c>
      <c r="C613" s="30" t="n">
        <f aca="false">IF(COUNT(C601:C610)=0,"N/M",MEDIAN(C601:C610))</f>
        <v>0.0232442477538423</v>
      </c>
      <c r="D613" s="30" t="n">
        <f aca="false">IF(COUNT(D601:D610)=0,"N/M",MEDIAN(D601:D610))</f>
        <v>0.0572894561361635</v>
      </c>
      <c r="E613" s="30" t="n">
        <f aca="false">IF(COUNT(E601:E610)=0,"N/M",MEDIAN(E601:E610))</f>
        <v>0.0534889142911709</v>
      </c>
      <c r="F613" s="30" t="n">
        <f aca="false">IF(COUNT(F601:F610)=0,"N/M",MEDIAN(F601:F610))</f>
        <v>0.0397237430147449</v>
      </c>
      <c r="G613" s="30" t="n">
        <f aca="false">IF(COUNT(G601:G610)=0,"N/M",MEDIAN(G601:G610))</f>
        <v>0.0234741297326036</v>
      </c>
      <c r="H613" s="30" t="n">
        <f aca="false">IF(COUNT(H601:H610)=0,"N/M",MEDIAN(H601:H610))</f>
        <v>0.0392444169883911</v>
      </c>
      <c r="I613" s="30" t="n">
        <f aca="false">IF(COUNT(I601:I610)=0,"N/M",MEDIAN(I601:I610))</f>
        <v>0.0280838795479036</v>
      </c>
      <c r="J613" s="54"/>
      <c r="K613" s="54"/>
      <c r="L613" s="54"/>
    </row>
    <row r="614" customFormat="false" ht="15" hidden="false" customHeight="false" outlineLevel="0" collapsed="false">
      <c r="A614" s="52" t="s">
        <v>330</v>
      </c>
      <c r="B614" s="62" t="n">
        <f aca="false">IF(COUNT(B601:B610)&lt;2,"N/M",STDEV(B601:B610))</f>
        <v>0.0722287123932243</v>
      </c>
      <c r="C614" s="62" t="n">
        <f aca="false">IF(COUNT(C601:C610)&lt;2,"N/M",STDEV(C601:C610))</f>
        <v>0.0759733860121428</v>
      </c>
      <c r="D614" s="62" t="n">
        <f aca="false">IF(COUNT(D601:D610)&lt;2,"N/M",STDEV(D601:D610))</f>
        <v>0.131348388316177</v>
      </c>
      <c r="E614" s="62" t="n">
        <f aca="false">IF(COUNT(E601:E610)&lt;2,"N/M",STDEV(E601:E610))</f>
        <v>0.0625584462650331</v>
      </c>
      <c r="F614" s="62" t="n">
        <f aca="false">IF(COUNT(F601:F610)&lt;2,"N/M",STDEV(F601:F610))</f>
        <v>0.0768920189891105</v>
      </c>
      <c r="G614" s="62" t="n">
        <f aca="false">IF(COUNT(G601:G610)&lt;2,"N/M",STDEV(G601:G610))</f>
        <v>0.0582330580584124</v>
      </c>
      <c r="H614" s="62" t="n">
        <f aca="false">IF(COUNT(H601:H610)&lt;2,"N/M",STDEV(H601:H610))</f>
        <v>0.0437939565603598</v>
      </c>
      <c r="I614" s="62" t="n">
        <f aca="false">IF(COUNT(I601:I610)&lt;2,"N/M",STDEV(I601:I610))</f>
        <v>0.0660709729280588</v>
      </c>
      <c r="J614" s="54"/>
      <c r="K614" s="54"/>
      <c r="L614" s="54"/>
    </row>
    <row r="615" customFormat="false" ht="15" hidden="false" customHeight="false" outlineLevel="0" collapsed="false">
      <c r="A615" s="52" t="s">
        <v>269</v>
      </c>
      <c r="B615" s="62" t="n">
        <f aca="false">IF(COUNT(B601:B610)=0,"N/M",MIN(B601:B610))</f>
        <v>-0.106299212598425</v>
      </c>
      <c r="C615" s="62" t="n">
        <f aca="false">IF(COUNT(C601:C610)=0,"N/M",MIN(C601:C610))</f>
        <v>-0.175128566606437</v>
      </c>
      <c r="D615" s="62" t="n">
        <f aca="false">IF(COUNT(D601:D610)=0,"N/M",MIN(D601:D610))</f>
        <v>-0.316249605870382</v>
      </c>
      <c r="E615" s="62" t="n">
        <f aca="false">IF(COUNT(E601:E610)=0,"N/M",MIN(E601:E610))</f>
        <v>-0.0716125577006453</v>
      </c>
      <c r="F615" s="62" t="n">
        <f aca="false">IF(COUNT(F601:F610)=0,"N/M",MIN(F601:F610))</f>
        <v>-0.143470984666878</v>
      </c>
      <c r="G615" s="62" t="n">
        <f aca="false">IF(COUNT(G601:G610)=0,"N/M",MIN(G601:G610))</f>
        <v>-0.0732125146515193</v>
      </c>
      <c r="H615" s="62" t="n">
        <f aca="false">IF(COUNT(H601:H610)=0,"N/M",MIN(H601:H610))</f>
        <v>0.0144200134299144</v>
      </c>
      <c r="I615" s="62" t="n">
        <f aca="false">IF(COUNT(I601:I610)=0,"N/M",MIN(I601:I610))</f>
        <v>-0.112999761885102</v>
      </c>
      <c r="J615" s="54"/>
      <c r="K615" s="54"/>
      <c r="L615" s="54"/>
    </row>
    <row r="616" customFormat="false" ht="15" hidden="false" customHeight="false" outlineLevel="0" collapsed="false">
      <c r="A616" s="52" t="s">
        <v>270</v>
      </c>
      <c r="B616" s="62" t="n">
        <f aca="false">IF(COUNT(B601:B610)=0,"N/M",MAX(B601:B610))</f>
        <v>0.176073883621964</v>
      </c>
      <c r="C616" s="62" t="n">
        <f aca="false">IF(COUNT(C601:C610)=0,"N/M",MAX(C601:C610))</f>
        <v>0.0779439985645336</v>
      </c>
      <c r="D616" s="62" t="n">
        <f aca="false">IF(COUNT(D601:D610)=0,"N/M",MAX(D601:D610))</f>
        <v>0.15511458002569</v>
      </c>
      <c r="E616" s="62" t="n">
        <f aca="false">IF(COUNT(E601:E610)=0,"N/M",MAX(E601:E610))</f>
        <v>0.158498100162563</v>
      </c>
      <c r="F616" s="62" t="n">
        <f aca="false">IF(COUNT(F601:F610)=0,"N/M",MAX(F601:F610))</f>
        <v>0.154860338294383</v>
      </c>
      <c r="G616" s="62" t="n">
        <f aca="false">IF(COUNT(G601:G610)=0,"N/M",MAX(G601:G610))</f>
        <v>0.151768534334344</v>
      </c>
      <c r="H616" s="62" t="n">
        <f aca="false">IF(COUNT(H601:H610)=0,"N/M",MAX(H601:H610))</f>
        <v>0.147130125994469</v>
      </c>
      <c r="I616" s="62" t="n">
        <f aca="false">IF(COUNT(I601:I610)=0,"N/M",MAX(I601:I610))</f>
        <v>0.145758484977505</v>
      </c>
      <c r="J616" s="54"/>
      <c r="K616" s="54"/>
      <c r="L616" s="54"/>
    </row>
    <row r="618" customFormat="false" ht="16.5" hidden="false" customHeight="true" outlineLevel="0" collapsed="false">
      <c r="A618" s="49" t="s">
        <v>364</v>
      </c>
      <c r="B618" s="49"/>
      <c r="C618" s="49"/>
      <c r="D618" s="49"/>
      <c r="E618" s="49"/>
      <c r="F618" s="49"/>
      <c r="G618" s="49"/>
      <c r="H618" s="49"/>
      <c r="I618" s="49"/>
      <c r="J618" s="49"/>
      <c r="K618" s="49"/>
      <c r="L618" s="49"/>
    </row>
    <row r="619" customFormat="false" ht="15" hidden="false" customHeight="false" outlineLevel="0" collapsed="false">
      <c r="A619" s="16" t="s">
        <v>52</v>
      </c>
      <c r="B619" s="27" t="n">
        <f aca="false">Tiger!D132</f>
        <v>-0.0401685020565209</v>
      </c>
      <c r="C619" s="27" t="n">
        <f aca="false">Tiger!E132</f>
        <v>-0.0721987252040268</v>
      </c>
      <c r="D619" s="27" t="n">
        <f aca="false">Tiger!F132</f>
        <v>0.0607696184422299</v>
      </c>
      <c r="E619" s="27" t="n">
        <f aca="false">Tiger!G132</f>
        <v>0.0723202953732549</v>
      </c>
      <c r="F619" s="27" t="n">
        <f aca="false">Tiger!H132</f>
        <v>0.0736285690501956</v>
      </c>
      <c r="G619" s="27" t="n">
        <f aca="false">Tiger!I132</f>
        <v>0.0672931699949654</v>
      </c>
      <c r="H619" s="27" t="n">
        <f aca="false">Tiger!J132</f>
        <v>0.0508711288013687</v>
      </c>
      <c r="I619" s="61" t="n">
        <f aca="false">Tiger!K132</f>
        <v>0.0303593649144952</v>
      </c>
      <c r="J619" s="25" t="str">
        <f aca="false">IF(AND(ISNUMBER(I619),ISNUMBER(I$631)),IF(I619&gt;I$631,"Above",IF(I619&lt;I$631,"Below","At median")),"-")</f>
        <v>Above</v>
      </c>
      <c r="K619" s="25" t="str">
        <f aca="false">IF(J619="Above","Better",IF(J619="Below","Weaker",IF(J619="At median","In line","-")))</f>
        <v>Better</v>
      </c>
      <c r="L619" s="43" t="n">
        <f aca="false">IF(ISNUMBER(I619),RANK(I619,I$619:I$628,0),"-")</f>
        <v>5</v>
      </c>
    </row>
    <row r="620" customFormat="false" ht="15" hidden="false" customHeight="false" outlineLevel="0" collapsed="false">
      <c r="A620" s="16" t="s">
        <v>54</v>
      </c>
      <c r="B620" s="27" t="n">
        <f aca="false">Allcargo!D132</f>
        <v>0.0415777322820926</v>
      </c>
      <c r="C620" s="27" t="n">
        <f aca="false">Allcargo!E132</f>
        <v>0.0151532182013888</v>
      </c>
      <c r="D620" s="27" t="n">
        <f aca="false">Allcargo!F132</f>
        <v>0.0640859382459188</v>
      </c>
      <c r="E620" s="27" t="n">
        <f aca="false">Allcargo!G132</f>
        <v>0.0496012081479073</v>
      </c>
      <c r="F620" s="27" t="n">
        <f aca="false">Allcargo!H132</f>
        <v>0.0126774660181298</v>
      </c>
      <c r="G620" s="27" t="n">
        <f aca="false">Allcargo!I132</f>
        <v>0.00764915859255482</v>
      </c>
      <c r="H620" s="27" t="n">
        <f aca="false">Allcargo!J132</f>
        <v>0.00194363459669582</v>
      </c>
      <c r="I620" s="61" t="n">
        <f aca="false">Allcargo!K132</f>
        <v>0.0275269080120983</v>
      </c>
      <c r="J620" s="25" t="str">
        <f aca="false">IF(AND(ISNUMBER(I620),ISNUMBER(I$631)),IF(I620&gt;I$631,"Above",IF(I620&lt;I$631,"Below","At median")),"-")</f>
        <v>Below</v>
      </c>
      <c r="K620" s="25" t="str">
        <f aca="false">IF(J620="Above","Better",IF(J620="Below","Weaker",IF(J620="At median","In line","-")))</f>
        <v>Weaker</v>
      </c>
      <c r="L620" s="43" t="n">
        <f aca="false">IF(ISNUMBER(I620),RANK(I620,I$619:I$628,0),"-")</f>
        <v>6</v>
      </c>
    </row>
    <row r="621" customFormat="false" ht="15" hidden="false" customHeight="false" outlineLevel="0" collapsed="false">
      <c r="A621" s="16" t="s">
        <v>277</v>
      </c>
      <c r="B621" s="27" t="n">
        <f aca="false">BlueDart!D132</f>
        <v>-0.0123207553706462</v>
      </c>
      <c r="C621" s="27" t="n">
        <f aca="false">BlueDart!E132</f>
        <v>0.0425135259250699</v>
      </c>
      <c r="D621" s="27" t="n">
        <f aca="false">BlueDart!F132</f>
        <v>0.11615262703237</v>
      </c>
      <c r="E621" s="27" t="n">
        <f aca="false">BlueDart!G132</f>
        <v>0.0982556813128598</v>
      </c>
      <c r="F621" s="27" t="n">
        <f aca="false">BlueDart!H132</f>
        <v>0.0745468247836396</v>
      </c>
      <c r="G621" s="27" t="n">
        <f aca="false">BlueDart!I132</f>
        <v>0.0607043834284936</v>
      </c>
      <c r="H621" s="27" t="n">
        <f aca="false">BlueDart!J132</f>
        <v>0.0532089863342063</v>
      </c>
      <c r="I621" s="61" t="n">
        <f aca="false">BlueDart!K132</f>
        <v>0.0618658962065705</v>
      </c>
      <c r="J621" s="25" t="str">
        <f aca="false">IF(AND(ISNUMBER(I621),ISNUMBER(I$631)),IF(I621&gt;I$631,"Above",IF(I621&lt;I$631,"Below","At median")),"-")</f>
        <v>Above</v>
      </c>
      <c r="K621" s="25" t="str">
        <f aca="false">IF(J621="Above","Better",IF(J621="Below","Weaker",IF(J621="At median","In line","-")))</f>
        <v>Better</v>
      </c>
      <c r="L621" s="43" t="n">
        <f aca="false">IF(ISNUMBER(I621),RANK(I621,I$619:I$628,0),"-")</f>
        <v>3</v>
      </c>
    </row>
    <row r="622" customFormat="false" ht="15" hidden="false" customHeight="false" outlineLevel="0" collapsed="false">
      <c r="A622" s="16" t="s">
        <v>58</v>
      </c>
      <c r="B622" s="27" t="n">
        <f aca="false">CONCOR!D132</f>
        <v>0.0832722077341368</v>
      </c>
      <c r="C622" s="27" t="n">
        <f aca="false">CONCOR!E132</f>
        <v>0.10481898467111</v>
      </c>
      <c r="D622" s="27" t="n">
        <f aca="false">CONCOR!F132</f>
        <v>0.182218633089107</v>
      </c>
      <c r="E622" s="27" t="n">
        <f aca="false">CONCOR!G132</f>
        <v>0.191353536243806</v>
      </c>
      <c r="F622" s="27" t="n">
        <f aca="false">CONCOR!H132</f>
        <v>0.192818784733417</v>
      </c>
      <c r="G622" s="27" t="n">
        <f aca="false">CONCOR!I132</f>
        <v>0.193772490666163</v>
      </c>
      <c r="H622" s="27" t="n">
        <f aca="false">CONCOR!J132</f>
        <v>0.181823488787825</v>
      </c>
      <c r="I622" s="61" t="n">
        <f aca="false">CONCOR!K132</f>
        <v>0.161439732275081</v>
      </c>
      <c r="J622" s="25" t="str">
        <f aca="false">IF(AND(ISNUMBER(I622),ISNUMBER(I$631)),IF(I622&gt;I$631,"Above",IF(I622&lt;I$631,"Below","At median")),"-")</f>
        <v>Above</v>
      </c>
      <c r="K622" s="25" t="str">
        <f aca="false">IF(J622="Above","Better",IF(J622="Below","Weaker",IF(J622="At median","In line","-")))</f>
        <v>Better</v>
      </c>
      <c r="L622" s="43" t="n">
        <f aca="false">IF(ISNUMBER(I622),RANK(I622,I$619:I$628,0),"-")</f>
        <v>1</v>
      </c>
    </row>
    <row r="623" customFormat="false" ht="15" hidden="false" customHeight="false" outlineLevel="0" collapsed="false">
      <c r="A623" s="16" t="s">
        <v>278</v>
      </c>
      <c r="B623" s="27" t="n">
        <f aca="false">JetFreight!D132</f>
        <v>-0.0289545666822338</v>
      </c>
      <c r="C623" s="27" t="n">
        <f aca="false">JetFreight!E132</f>
        <v>0.0111594913348137</v>
      </c>
      <c r="D623" s="27" t="n">
        <f aca="false">JetFreight!F132</f>
        <v>0.00985200105088005</v>
      </c>
      <c r="E623" s="27" t="n">
        <f aca="false">JetFreight!G132</f>
        <v>0.00206388442247248</v>
      </c>
      <c r="F623" s="27" t="n">
        <f aca="false">JetFreight!H132</f>
        <v>0.000567346622998086</v>
      </c>
      <c r="G623" s="27" t="n">
        <f aca="false">JetFreight!I132</f>
        <v>0.0144515951721138</v>
      </c>
      <c r="H623" s="27" t="n">
        <f aca="false">JetFreight!J132</f>
        <v>0.0260989010989011</v>
      </c>
      <c r="I623" s="61" t="n">
        <f aca="false">JetFreight!K132</f>
        <v>0.00503409328856363</v>
      </c>
      <c r="J623" s="25" t="str">
        <f aca="false">IF(AND(ISNUMBER(I623),ISNUMBER(I$631)),IF(I623&gt;I$631,"Above",IF(I623&lt;I$631,"Below","At median")),"-")</f>
        <v>Below</v>
      </c>
      <c r="K623" s="25" t="str">
        <f aca="false">IF(J623="Above","Better",IF(J623="Below","Weaker",IF(J623="At median","In line","-")))</f>
        <v>Weaker</v>
      </c>
      <c r="L623" s="43" t="n">
        <f aca="false">IF(ISNUMBER(I623),RANK(I623,I$619:I$628,0),"-")</f>
        <v>9</v>
      </c>
    </row>
    <row r="624" customFormat="false" ht="15" hidden="false" customHeight="false" outlineLevel="0" collapsed="false">
      <c r="A624" s="16" t="s">
        <v>62</v>
      </c>
      <c r="B624" s="27" t="n">
        <f aca="false">Patel!D132</f>
        <v>0.0369304280245244</v>
      </c>
      <c r="C624" s="27" t="n">
        <f aca="false">Patel!E132</f>
        <v>0.00131919905771503</v>
      </c>
      <c r="D624" s="27" t="n">
        <f aca="false">Patel!F132</f>
        <v>0.00951689996585852</v>
      </c>
      <c r="E624" s="27" t="n">
        <f aca="false">Patel!G132</f>
        <v>0.0166738536725598</v>
      </c>
      <c r="F624" s="27" t="n">
        <f aca="false">Patel!H132</f>
        <v>0.019549130958527</v>
      </c>
      <c r="G624" s="27" t="n">
        <f aca="false">Patel!I132</f>
        <v>0.0223817444337448</v>
      </c>
      <c r="H624" s="27" t="n">
        <f aca="false">Patel!J132</f>
        <v>0.0288682309458474</v>
      </c>
      <c r="I624" s="61" t="n">
        <f aca="false">Patel!K132</f>
        <v>0.0193199267226824</v>
      </c>
      <c r="J624" s="25" t="str">
        <f aca="false">IF(AND(ISNUMBER(I624),ISNUMBER(I$631)),IF(I624&gt;I$631,"Above",IF(I624&lt;I$631,"Below","At median")),"-")</f>
        <v>Below</v>
      </c>
      <c r="K624" s="25" t="str">
        <f aca="false">IF(J624="Above","Better",IF(J624="Below","Weaker",IF(J624="At median","In line","-")))</f>
        <v>Weaker</v>
      </c>
      <c r="L624" s="43" t="n">
        <f aca="false">IF(ISNUMBER(I624),RANK(I624,I$619:I$628,0),"-")</f>
        <v>7</v>
      </c>
    </row>
    <row r="625" customFormat="false" ht="15" hidden="false" customHeight="false" outlineLevel="0" collapsed="false">
      <c r="A625" s="16" t="s">
        <v>64</v>
      </c>
      <c r="B625" s="27" t="n">
        <f aca="false">Sical!D132</f>
        <v>-0.13216813807365</v>
      </c>
      <c r="C625" s="27" t="n">
        <f aca="false">Sical!E132</f>
        <v>-2.31658161745726</v>
      </c>
      <c r="D625" s="27" t="n">
        <f aca="false">Sical!F132</f>
        <v>-0.722676068449566</v>
      </c>
      <c r="E625" s="27" t="n">
        <f aca="false">Sical!G132</f>
        <v>-2.11047920226467</v>
      </c>
      <c r="F625" s="27" t="n">
        <f aca="false">Sical!H132</f>
        <v>-0.107512777601882</v>
      </c>
      <c r="G625" s="27" t="n">
        <f aca="false">Sical!I132</f>
        <v>-0.138490668109278</v>
      </c>
      <c r="H625" s="27" t="n">
        <f aca="false">Sical!J132</f>
        <v>0.148024268823896</v>
      </c>
      <c r="I625" s="61" t="n">
        <f aca="false">Sical!K132</f>
        <v>-0.768554886161773</v>
      </c>
      <c r="J625" s="25" t="str">
        <f aca="false">IF(AND(ISNUMBER(I625),ISNUMBER(I$631)),IF(I625&gt;I$631,"Above",IF(I625&lt;I$631,"Below","At median")),"-")</f>
        <v>Below</v>
      </c>
      <c r="K625" s="25" t="str">
        <f aca="false">IF(J625="Above","Better",IF(J625="Below","Weaker",IF(J625="At median","In line","-")))</f>
        <v>Weaker</v>
      </c>
      <c r="L625" s="43" t="n">
        <f aca="false">IF(ISNUMBER(I625),RANK(I625,I$619:I$628,0),"-")</f>
        <v>10</v>
      </c>
    </row>
    <row r="626" customFormat="false" ht="15" hidden="false" customHeight="false" outlineLevel="0" collapsed="false">
      <c r="A626" s="16" t="s">
        <v>66</v>
      </c>
      <c r="B626" s="27" t="n">
        <f aca="false">TCI!D132</f>
        <v>0.0585428134106496</v>
      </c>
      <c r="C626" s="27" t="n">
        <f aca="false">TCI!E132</f>
        <v>0.062179068580747</v>
      </c>
      <c r="D626" s="27" t="n">
        <f aca="false">TCI!F132</f>
        <v>0.101408182741553</v>
      </c>
      <c r="E626" s="27" t="n">
        <f aca="false">TCI!G132</f>
        <v>0.0962388006038224</v>
      </c>
      <c r="F626" s="27" t="n">
        <f aca="false">TCI!H132</f>
        <v>0.0964376059200946</v>
      </c>
      <c r="G626" s="27" t="n">
        <f aca="false">TCI!I132</f>
        <v>0.102273486234856</v>
      </c>
      <c r="H626" s="27" t="n">
        <f aca="false">TCI!J132</f>
        <v>0.101670405571137</v>
      </c>
      <c r="I626" s="61" t="n">
        <f aca="false">TCI!K132</f>
        <v>0.0883929090089799</v>
      </c>
      <c r="J626" s="25" t="str">
        <f aca="false">IF(AND(ISNUMBER(I626),ISNUMBER(I$631)),IF(I626&gt;I$631,"Above",IF(I626&lt;I$631,"Below","At median")),"-")</f>
        <v>Above</v>
      </c>
      <c r="K626" s="25" t="str">
        <f aca="false">IF(J626="Above","Better",IF(J626="Below","Weaker",IF(J626="At median","In line","-")))</f>
        <v>Better</v>
      </c>
      <c r="L626" s="43" t="n">
        <f aca="false">IF(ISNUMBER(I626),RANK(I626,I$619:I$628,0),"-")</f>
        <v>2</v>
      </c>
    </row>
    <row r="627" customFormat="false" ht="15" hidden="false" customHeight="false" outlineLevel="0" collapsed="false">
      <c r="A627" s="16" t="s">
        <v>68</v>
      </c>
      <c r="B627" s="27" t="n">
        <f aca="false">Shreeji!D132</f>
        <v>0.02</v>
      </c>
      <c r="C627" s="27" t="n">
        <f aca="false">Shreeji!E132</f>
        <v>-0.00886999907604176</v>
      </c>
      <c r="D627" s="27" t="n">
        <f aca="false">Shreeji!F132</f>
        <v>0.0720654696470012</v>
      </c>
      <c r="E627" s="27" t="n">
        <f aca="false">Shreeji!G132</f>
        <v>0.0717120789530142</v>
      </c>
      <c r="F627" s="27" t="n">
        <f aca="false">Shreeji!H132</f>
        <v>0.0855489021956088</v>
      </c>
      <c r="G627" s="27" t="n">
        <f aca="false">Shreeji!I132</f>
        <v>0.0103551639567627</v>
      </c>
      <c r="H627" s="27" t="n">
        <f aca="false">Shreeji!J132</f>
        <v>0.0151948439967562</v>
      </c>
      <c r="I627" s="61" t="n">
        <f aca="false">Shreeji!K132</f>
        <v>0.038000922810443</v>
      </c>
      <c r="J627" s="25" t="str">
        <f aca="false">IF(AND(ISNUMBER(I627),ISNUMBER(I$631)),IF(I627&gt;I$631,"Above",IF(I627&lt;I$631,"Below","At median")),"-")</f>
        <v>Above</v>
      </c>
      <c r="K627" s="25" t="str">
        <f aca="false">IF(J627="Above","Better",IF(J627="Below","Weaker",IF(J627="At median","In line","-")))</f>
        <v>Better</v>
      </c>
      <c r="L627" s="43" t="n">
        <f aca="false">IF(ISNUMBER(I627),RANK(I627,I$619:I$628,0),"-")</f>
        <v>4</v>
      </c>
    </row>
    <row r="628" customFormat="false" ht="15" hidden="false" customHeight="false" outlineLevel="0" collapsed="false">
      <c r="A628" s="16" t="s">
        <v>279</v>
      </c>
      <c r="B628" s="27" t="n">
        <f aca="false">MahindraLog!D132</f>
        <v>0.0233900101983785</v>
      </c>
      <c r="C628" s="27" t="n">
        <f aca="false">MahindraLog!E132</f>
        <v>0.0120108342627429</v>
      </c>
      <c r="D628" s="27" t="n">
        <f aca="false">MahindraLog!F132</f>
        <v>0.00635390604623298</v>
      </c>
      <c r="E628" s="27" t="n">
        <f aca="false">MahindraLog!G132</f>
        <v>0.00673518853262969</v>
      </c>
      <c r="F628" s="27" t="n">
        <f aca="false">MahindraLog!H132</f>
        <v>-0.00479297925706101</v>
      </c>
      <c r="G628" s="27" t="n">
        <f aca="false">MahindraLog!I132</f>
        <v>-0.00125638224160209</v>
      </c>
      <c r="H628" s="27" t="n">
        <f aca="false">MahindraLog!J132</f>
        <v>0.00473761661880476</v>
      </c>
      <c r="I628" s="61" t="n">
        <f aca="false">MahindraLog!K132</f>
        <v>0.00673974202287511</v>
      </c>
      <c r="J628" s="25" t="str">
        <f aca="false">IF(AND(ISNUMBER(I628),ISNUMBER(I$631)),IF(I628&gt;I$631,"Above",IF(I628&lt;I$631,"Below","At median")),"-")</f>
        <v>Below</v>
      </c>
      <c r="K628" s="25" t="str">
        <f aca="false">IF(J628="Above","Better",IF(J628="Below","Weaker",IF(J628="At median","In line","-")))</f>
        <v>Weaker</v>
      </c>
      <c r="L628" s="43" t="n">
        <f aca="false">IF(ISNUMBER(I628),RANK(I628,I$619:I$628,0),"-")</f>
        <v>8</v>
      </c>
    </row>
    <row r="629" customFormat="false" ht="15" hidden="false" customHeight="false" outlineLevel="0" collapsed="false">
      <c r="A629" s="46" t="s">
        <v>328</v>
      </c>
      <c r="B629" s="42" t="n">
        <f aca="false">Industry!D133</f>
        <v>0.0360286629628064</v>
      </c>
      <c r="C629" s="42" t="n">
        <f aca="false">Industry!E133</f>
        <v>0.000375477176455307</v>
      </c>
      <c r="D629" s="42" t="n">
        <f aca="false">Industry!F133</f>
        <v>0.0815231145421895</v>
      </c>
      <c r="E629" s="42" t="n">
        <f aca="false">Industry!G133</f>
        <v>0.0616039004195208</v>
      </c>
      <c r="F629" s="42" t="n">
        <f aca="false">Industry!H133</f>
        <v>0.0689917461687707</v>
      </c>
      <c r="G629" s="42" t="n">
        <f aca="false">Industry!I133</f>
        <v>0.0884313356687748</v>
      </c>
      <c r="H629" s="42" t="n">
        <f aca="false">Industry!J133</f>
        <v>0.0842075764566614</v>
      </c>
      <c r="I629" s="42" t="n">
        <f aca="false">Industry!K133</f>
        <v>0.0601659733421684</v>
      </c>
      <c r="J629" s="47"/>
      <c r="K629" s="47"/>
      <c r="L629" s="47"/>
    </row>
    <row r="630" customFormat="false" ht="15" hidden="false" customHeight="false" outlineLevel="0" collapsed="false">
      <c r="A630" s="52" t="s">
        <v>329</v>
      </c>
      <c r="B630" s="62" t="n">
        <f aca="false">IF(COUNT(B619:B628)=0,"N/M",AVERAGE(B619:B628))</f>
        <v>0.00501012294667311</v>
      </c>
      <c r="C630" s="62" t="n">
        <f aca="false">IF(COUNT(C619:C628)=0,"N/M",AVERAGE(C619:C628))</f>
        <v>-0.214849601970374</v>
      </c>
      <c r="D630" s="62" t="n">
        <f aca="false">IF(COUNT(D619:D628)=0,"N/M",AVERAGE(D619:D628))</f>
        <v>-0.0100252792188414</v>
      </c>
      <c r="E630" s="62" t="n">
        <f aca="false">IF(COUNT(E619:E628)=0,"N/M",AVERAGE(E619:E628))</f>
        <v>-0.150552467500234</v>
      </c>
      <c r="F630" s="62" t="n">
        <f aca="false">IF(COUNT(F619:F628)=0,"N/M",AVERAGE(F619:F628))</f>
        <v>0.0443468873423668</v>
      </c>
      <c r="G630" s="62" t="n">
        <f aca="false">IF(COUNT(G619:G628)=0,"N/M",AVERAGE(G619:G628))</f>
        <v>0.0339134142128773</v>
      </c>
      <c r="H630" s="62" t="n">
        <f aca="false">IF(COUNT(H619:H628)=0,"N/M",AVERAGE(H619:H628))</f>
        <v>0.0612441505575438</v>
      </c>
      <c r="I630" s="62" t="n">
        <f aca="false">IF(COUNT(I619:I628)=0,"N/M",AVERAGE(I619:I628))</f>
        <v>-0.0329875390899984</v>
      </c>
      <c r="J630" s="54"/>
      <c r="K630" s="54"/>
      <c r="L630" s="54"/>
    </row>
    <row r="631" customFormat="false" ht="15" hidden="false" customHeight="false" outlineLevel="0" collapsed="false">
      <c r="A631" s="28" t="s">
        <v>281</v>
      </c>
      <c r="B631" s="30" t="n">
        <f aca="false">IF(COUNT(B619:B628)=0,"N/M",MEDIAN(B619:B628))</f>
        <v>0.0216950050991892</v>
      </c>
      <c r="C631" s="30" t="n">
        <f aca="false">IF(COUNT(C619:C628)=0,"N/M",MEDIAN(C619:C628))</f>
        <v>0.0115851627987783</v>
      </c>
      <c r="D631" s="30" t="n">
        <f aca="false">IF(COUNT(D619:D628)=0,"N/M",MEDIAN(D619:D628))</f>
        <v>0.0624277783440743</v>
      </c>
      <c r="E631" s="30" t="n">
        <f aca="false">IF(COUNT(E619:E628)=0,"N/M",MEDIAN(E619:E628))</f>
        <v>0.0606566435504608</v>
      </c>
      <c r="F631" s="30" t="n">
        <f aca="false">IF(COUNT(F619:F628)=0,"N/M",MEDIAN(F619:F628))</f>
        <v>0.0465888500043613</v>
      </c>
      <c r="G631" s="30" t="n">
        <f aca="false">IF(COUNT(G619:G628)=0,"N/M",MEDIAN(G619:G628))</f>
        <v>0.0184166698029293</v>
      </c>
      <c r="H631" s="30" t="n">
        <f aca="false">IF(COUNT(H619:H628)=0,"N/M",MEDIAN(H619:H628))</f>
        <v>0.039869679873608</v>
      </c>
      <c r="I631" s="30" t="n">
        <f aca="false">IF(COUNT(I619:I628)=0,"N/M",MEDIAN(I619:I628))</f>
        <v>0.0289431364632968</v>
      </c>
      <c r="J631" s="54"/>
      <c r="K631" s="54"/>
      <c r="L631" s="54"/>
    </row>
    <row r="632" customFormat="false" ht="15" hidden="false" customHeight="false" outlineLevel="0" collapsed="false">
      <c r="A632" s="52" t="s">
        <v>330</v>
      </c>
      <c r="B632" s="62" t="n">
        <f aca="false">IF(COUNT(B619:B628)&lt;2,"N/M",STDEV(B619:B628))</f>
        <v>0.0616641967076512</v>
      </c>
      <c r="C632" s="62" t="n">
        <f aca="false">IF(COUNT(C619:C628)&lt;2,"N/M",STDEV(C619:C628))</f>
        <v>0.739924847473301</v>
      </c>
      <c r="D632" s="62" t="n">
        <f aca="false">IF(COUNT(D619:D628)&lt;2,"N/M",STDEV(D619:D628))</f>
        <v>0.256353859509234</v>
      </c>
      <c r="E632" s="62" t="n">
        <f aca="false">IF(COUNT(E619:E628)&lt;2,"N/M",STDEV(E619:E628))</f>
        <v>0.690905608361848</v>
      </c>
      <c r="F632" s="62" t="n">
        <f aca="false">IF(COUNT(F619:F628)&lt;2,"N/M",STDEV(F619:F628))</f>
        <v>0.0797461388062679</v>
      </c>
      <c r="G632" s="62" t="n">
        <f aca="false">IF(COUNT(G619:G628)&lt;2,"N/M",STDEV(G619:G628))</f>
        <v>0.0848375009910221</v>
      </c>
      <c r="H632" s="62" t="n">
        <f aca="false">IF(COUNT(H619:H628)&lt;2,"N/M",STDEV(H619:H628))</f>
        <v>0.0623521167859369</v>
      </c>
      <c r="I632" s="62" t="n">
        <f aca="false">IF(COUNT(I619:I628)&lt;2,"N/M",STDEV(I619:I628))</f>
        <v>0.262692434427298</v>
      </c>
      <c r="J632" s="54"/>
      <c r="K632" s="54"/>
      <c r="L632" s="54"/>
    </row>
    <row r="633" customFormat="false" ht="15" hidden="false" customHeight="false" outlineLevel="0" collapsed="false">
      <c r="A633" s="52" t="s">
        <v>269</v>
      </c>
      <c r="B633" s="62" t="n">
        <f aca="false">IF(COUNT(B619:B628)=0,"N/M",MIN(B619:B628))</f>
        <v>-0.13216813807365</v>
      </c>
      <c r="C633" s="62" t="n">
        <f aca="false">IF(COUNT(C619:C628)=0,"N/M",MIN(C619:C628))</f>
        <v>-2.31658161745726</v>
      </c>
      <c r="D633" s="62" t="n">
        <f aca="false">IF(COUNT(D619:D628)=0,"N/M",MIN(D619:D628))</f>
        <v>-0.722676068449566</v>
      </c>
      <c r="E633" s="62" t="n">
        <f aca="false">IF(COUNT(E619:E628)=0,"N/M",MIN(E619:E628))</f>
        <v>-2.11047920226467</v>
      </c>
      <c r="F633" s="62" t="n">
        <f aca="false">IF(COUNT(F619:F628)=0,"N/M",MIN(F619:F628))</f>
        <v>-0.107512777601882</v>
      </c>
      <c r="G633" s="62" t="n">
        <f aca="false">IF(COUNT(G619:G628)=0,"N/M",MIN(G619:G628))</f>
        <v>-0.138490668109278</v>
      </c>
      <c r="H633" s="62" t="n">
        <f aca="false">IF(COUNT(H619:H628)=0,"N/M",MIN(H619:H628))</f>
        <v>0.00194363459669582</v>
      </c>
      <c r="I633" s="62" t="n">
        <f aca="false">IF(COUNT(I619:I628)=0,"N/M",MIN(I619:I628))</f>
        <v>-0.768554886161773</v>
      </c>
      <c r="J633" s="54"/>
      <c r="K633" s="54"/>
      <c r="L633" s="54"/>
    </row>
    <row r="634" customFormat="false" ht="15" hidden="false" customHeight="false" outlineLevel="0" collapsed="false">
      <c r="A634" s="52" t="s">
        <v>270</v>
      </c>
      <c r="B634" s="62" t="n">
        <f aca="false">IF(COUNT(B619:B628)=0,"N/M",MAX(B619:B628))</f>
        <v>0.0832722077341368</v>
      </c>
      <c r="C634" s="62" t="n">
        <f aca="false">IF(COUNT(C619:C628)=0,"N/M",MAX(C619:C628))</f>
        <v>0.10481898467111</v>
      </c>
      <c r="D634" s="62" t="n">
        <f aca="false">IF(COUNT(D619:D628)=0,"N/M",MAX(D619:D628))</f>
        <v>0.182218633089107</v>
      </c>
      <c r="E634" s="62" t="n">
        <f aca="false">IF(COUNT(E619:E628)=0,"N/M",MAX(E619:E628))</f>
        <v>0.191353536243806</v>
      </c>
      <c r="F634" s="62" t="n">
        <f aca="false">IF(COUNT(F619:F628)=0,"N/M",MAX(F619:F628))</f>
        <v>0.192818784733417</v>
      </c>
      <c r="G634" s="62" t="n">
        <f aca="false">IF(COUNT(G619:G628)=0,"N/M",MAX(G619:G628))</f>
        <v>0.193772490666163</v>
      </c>
      <c r="H634" s="62" t="n">
        <f aca="false">IF(COUNT(H619:H628)=0,"N/M",MAX(H619:H628))</f>
        <v>0.181823488787825</v>
      </c>
      <c r="I634" s="62" t="n">
        <f aca="false">IF(COUNT(I619:I628)=0,"N/M",MAX(I619:I628))</f>
        <v>0.161439732275081</v>
      </c>
      <c r="J634" s="54"/>
      <c r="K634" s="54"/>
      <c r="L634" s="54"/>
    </row>
    <row r="636" customFormat="false" ht="16.5" hidden="false" customHeight="true" outlineLevel="0" collapsed="false">
      <c r="A636" s="49" t="s">
        <v>365</v>
      </c>
      <c r="B636" s="49"/>
      <c r="C636" s="49"/>
      <c r="D636" s="49"/>
      <c r="E636" s="49"/>
      <c r="F636" s="49"/>
      <c r="G636" s="49"/>
      <c r="H636" s="49"/>
      <c r="I636" s="49"/>
      <c r="J636" s="49"/>
      <c r="K636" s="49"/>
      <c r="L636" s="49"/>
    </row>
    <row r="637" customFormat="false" ht="15" hidden="false" customHeight="false" outlineLevel="0" collapsed="false">
      <c r="A637" s="16" t="s">
        <v>52</v>
      </c>
      <c r="B637" s="27" t="n">
        <f aca="false">Tiger!D133</f>
        <v>-0.0409314050683296</v>
      </c>
      <c r="C637" s="27" t="n">
        <f aca="false">Tiger!E133</f>
        <v>-0.0739858223625425</v>
      </c>
      <c r="D637" s="27" t="n">
        <f aca="false">Tiger!F133</f>
        <v>0.0546731478922469</v>
      </c>
      <c r="E637" s="27" t="n">
        <f aca="false">Tiger!G133</f>
        <v>0.0535594784815969</v>
      </c>
      <c r="F637" s="27" t="n">
        <f aca="false">Tiger!H133</f>
        <v>0.0539415633064181</v>
      </c>
      <c r="G637" s="27" t="n">
        <f aca="false">Tiger!I133</f>
        <v>0.0503626633849826</v>
      </c>
      <c r="H637" s="27" t="n">
        <f aca="false">Tiger!J133</f>
        <v>0.0375685206522119</v>
      </c>
      <c r="I637" s="61" t="n">
        <f aca="false">Tiger!K133</f>
        <v>0.0193125923266549</v>
      </c>
      <c r="J637" s="25" t="str">
        <f aca="false">IF(AND(ISNUMBER(I637),ISNUMBER(I$649)),IF(I637&gt;I$649,"Above",IF(I637&lt;I$649,"Below","At median")),"-")</f>
        <v>Below</v>
      </c>
      <c r="K637" s="25" t="str">
        <f aca="false">IF(J637="Above","Better",IF(J637="Below","Weaker",IF(J637="At median","In line","-")))</f>
        <v>Weaker</v>
      </c>
      <c r="L637" s="43" t="n">
        <f aca="false">IF(ISNUMBER(I637),RANK(I637,I$637:I$646,0),"-")</f>
        <v>6</v>
      </c>
    </row>
    <row r="638" customFormat="false" ht="15" hidden="false" customHeight="false" outlineLevel="0" collapsed="false">
      <c r="A638" s="16" t="s">
        <v>54</v>
      </c>
      <c r="B638" s="27" t="n">
        <f aca="false">Allcargo!D133</f>
        <v>0.0303556649387986</v>
      </c>
      <c r="C638" s="27" t="n">
        <f aca="false">Allcargo!E133</f>
        <v>0.0164696468884846</v>
      </c>
      <c r="D638" s="27" t="n">
        <f aca="false">Allcargo!F133</f>
        <v>0.0485634815964277</v>
      </c>
      <c r="E638" s="27" t="n">
        <f aca="false">Allcargo!G133</f>
        <v>0.0348788445035863</v>
      </c>
      <c r="F638" s="27" t="n">
        <f aca="false">Allcargo!H133</f>
        <v>0.0115431948355577</v>
      </c>
      <c r="G638" s="27" t="n">
        <f aca="false">Allcargo!I133</f>
        <v>0.0331463539010709</v>
      </c>
      <c r="H638" s="27" t="n">
        <f aca="false">Allcargo!J133</f>
        <v>0.00388726919339164</v>
      </c>
      <c r="I638" s="61" t="n">
        <f aca="false">Allcargo!K133</f>
        <v>0.0255492079796168</v>
      </c>
      <c r="J638" s="25" t="str">
        <f aca="false">IF(AND(ISNUMBER(I638),ISNUMBER(I$649)),IF(I638&gt;I$649,"Above",IF(I638&lt;I$649,"Below","At median")),"-")</f>
        <v>Above</v>
      </c>
      <c r="K638" s="25" t="str">
        <f aca="false">IF(J638="Above","Better",IF(J638="Below","Weaker",IF(J638="At median","In line","-")))</f>
        <v>Better</v>
      </c>
      <c r="L638" s="43" t="n">
        <f aca="false">IF(ISNUMBER(I638),RANK(I638,I$637:I$646,0),"-")</f>
        <v>5</v>
      </c>
    </row>
    <row r="639" customFormat="false" ht="15" hidden="false" customHeight="false" outlineLevel="0" collapsed="false">
      <c r="A639" s="16" t="s">
        <v>277</v>
      </c>
      <c r="B639" s="27" t="n">
        <f aca="false">BlueDart!D133</f>
        <v>-0.0131837121629666</v>
      </c>
      <c r="C639" s="27" t="n">
        <f aca="false">BlueDart!E133</f>
        <v>0.030962887720376</v>
      </c>
      <c r="D639" s="27" t="n">
        <f aca="false">BlueDart!F133</f>
        <v>0.0866593054286485</v>
      </c>
      <c r="E639" s="27" t="n">
        <f aca="false">BlueDart!G133</f>
        <v>0.0716384840552026</v>
      </c>
      <c r="F639" s="27" t="n">
        <f aca="false">BlueDart!H133</f>
        <v>0.0571411757782616</v>
      </c>
      <c r="G639" s="27" t="n">
        <f aca="false">BlueDart!I133</f>
        <v>0.0441279819865808</v>
      </c>
      <c r="H639" s="27" t="n">
        <f aca="false">BlueDart!J133</f>
        <v>0.040285757090189</v>
      </c>
      <c r="I639" s="61" t="n">
        <f aca="false">BlueDart!K133</f>
        <v>0.0453759828423274</v>
      </c>
      <c r="J639" s="25" t="str">
        <f aca="false">IF(AND(ISNUMBER(I639),ISNUMBER(I$649)),IF(I639&gt;I$649,"Above",IF(I639&lt;I$649,"Below","At median")),"-")</f>
        <v>Above</v>
      </c>
      <c r="K639" s="25" t="str">
        <f aca="false">IF(J639="Above","Better",IF(J639="Below","Weaker",IF(J639="At median","In line","-")))</f>
        <v>Better</v>
      </c>
      <c r="L639" s="43" t="n">
        <f aca="false">IF(ISNUMBER(I639),RANK(I639,I$637:I$646,0),"-")</f>
        <v>3</v>
      </c>
    </row>
    <row r="640" customFormat="false" ht="15" hidden="false" customHeight="false" outlineLevel="0" collapsed="false">
      <c r="A640" s="16" t="s">
        <v>58</v>
      </c>
      <c r="B640" s="27" t="n">
        <f aca="false">CONCOR!D133</f>
        <v>0.0617922382994884</v>
      </c>
      <c r="C640" s="27" t="n">
        <f aca="false">CONCOR!E133</f>
        <v>0.0786142385033328</v>
      </c>
      <c r="D640" s="27" t="n">
        <f aca="false">CONCOR!F133</f>
        <v>0.137874980562492</v>
      </c>
      <c r="E640" s="27" t="n">
        <f aca="false">CONCOR!G133</f>
        <v>0.143696016217169</v>
      </c>
      <c r="F640" s="27" t="n">
        <f aca="false">CONCOR!H133</f>
        <v>0.145675519823977</v>
      </c>
      <c r="G640" s="27" t="n">
        <f aca="false">CONCOR!I133</f>
        <v>0.14515664418444</v>
      </c>
      <c r="H640" s="27" t="n">
        <f aca="false">CONCOR!J133</f>
        <v>0.13677763006156</v>
      </c>
      <c r="I640" s="61" t="n">
        <f aca="false">CONCOR!K133</f>
        <v>0.121369609664637</v>
      </c>
      <c r="J640" s="25" t="str">
        <f aca="false">IF(AND(ISNUMBER(I640),ISNUMBER(I$649)),IF(I640&gt;I$649,"Above",IF(I640&lt;I$649,"Below","At median")),"-")</f>
        <v>Above</v>
      </c>
      <c r="K640" s="25" t="str">
        <f aca="false">IF(J640="Above","Better",IF(J640="Below","Weaker",IF(J640="At median","In line","-")))</f>
        <v>Better</v>
      </c>
      <c r="L640" s="43" t="n">
        <f aca="false">IF(ISNUMBER(I640),RANK(I640,I$637:I$646,0),"-")</f>
        <v>1</v>
      </c>
    </row>
    <row r="641" customFormat="false" ht="15" hidden="false" customHeight="false" outlineLevel="0" collapsed="false">
      <c r="A641" s="16" t="s">
        <v>278</v>
      </c>
      <c r="B641" s="27" t="n">
        <f aca="false">JetFreight!D133</f>
        <v>-0.0285876309293482</v>
      </c>
      <c r="C641" s="27" t="n">
        <f aca="false">JetFreight!E133</f>
        <v>0.00723780962542172</v>
      </c>
      <c r="D641" s="27" t="n">
        <f aca="false">JetFreight!F133</f>
        <v>0.00617392065855154</v>
      </c>
      <c r="E641" s="27" t="n">
        <f aca="false">JetFreight!G133</f>
        <v>0.000143991936451559</v>
      </c>
      <c r="F641" s="27" t="n">
        <f aca="false">JetFreight!H133</f>
        <v>0.000670500554452382</v>
      </c>
      <c r="G641" s="27" t="n">
        <f aca="false">JetFreight!I133</f>
        <v>0.00854270205895152</v>
      </c>
      <c r="H641" s="27" t="n">
        <f aca="false">JetFreight!J133</f>
        <v>0.0153125562961629</v>
      </c>
      <c r="I641" s="61" t="n">
        <f aca="false">JetFreight!K133</f>
        <v>0.00135626431437763</v>
      </c>
      <c r="J641" s="25" t="str">
        <f aca="false">IF(AND(ISNUMBER(I641),ISNUMBER(I$649)),IF(I641&gt;I$649,"Above",IF(I641&lt;I$649,"Below","At median")),"-")</f>
        <v>Below</v>
      </c>
      <c r="K641" s="25" t="str">
        <f aca="false">IF(J641="Above","Better",IF(J641="Below","Weaker",IF(J641="At median","In line","-")))</f>
        <v>Weaker</v>
      </c>
      <c r="L641" s="43" t="n">
        <f aca="false">IF(ISNUMBER(I641),RANK(I641,I$637:I$646,0),"-")</f>
        <v>9</v>
      </c>
    </row>
    <row r="642" customFormat="false" ht="15" hidden="false" customHeight="false" outlineLevel="0" collapsed="false">
      <c r="A642" s="16" t="s">
        <v>62</v>
      </c>
      <c r="B642" s="27" t="n">
        <f aca="false">Patel!D133</f>
        <v>0.0309144814484327</v>
      </c>
      <c r="C642" s="27" t="n">
        <f aca="false">Patel!E133</f>
        <v>0.000235571260306243</v>
      </c>
      <c r="D642" s="27" t="n">
        <f aca="false">Patel!F133</f>
        <v>0.00968760669170365</v>
      </c>
      <c r="E642" s="27" t="n">
        <f aca="false">Patel!G133</f>
        <v>0.0176081644386948</v>
      </c>
      <c r="F642" s="27" t="n">
        <f aca="false">Patel!H133</f>
        <v>0.0190672861813801</v>
      </c>
      <c r="G642" s="27" t="n">
        <f aca="false">Patel!I133</f>
        <v>0.022177478187283</v>
      </c>
      <c r="H642" s="27" t="n">
        <f aca="false">Patel!J133</f>
        <v>0.0268802150417203</v>
      </c>
      <c r="I642" s="61" t="n">
        <f aca="false">Patel!K133</f>
        <v>0.0180815433213601</v>
      </c>
      <c r="J642" s="25" t="str">
        <f aca="false">IF(AND(ISNUMBER(I642),ISNUMBER(I$649)),IF(I642&gt;I$649,"Above",IF(I642&lt;I$649,"Below","At median")),"-")</f>
        <v>Below</v>
      </c>
      <c r="K642" s="25" t="str">
        <f aca="false">IF(J642="Above","Better",IF(J642="Below","Weaker",IF(J642="At median","In line","-")))</f>
        <v>Weaker</v>
      </c>
      <c r="L642" s="43" t="n">
        <f aca="false">IF(ISNUMBER(I642),RANK(I642,I$637:I$646,0),"-")</f>
        <v>7</v>
      </c>
    </row>
    <row r="643" customFormat="false" ht="15" hidden="false" customHeight="false" outlineLevel="0" collapsed="false">
      <c r="A643" s="16" t="s">
        <v>64</v>
      </c>
      <c r="B643" s="27" t="n">
        <f aca="false">Sical!D133</f>
        <v>-0.106418515867335</v>
      </c>
      <c r="C643" s="27" t="n">
        <f aca="false">Sical!E133</f>
        <v>-2.3024442547108</v>
      </c>
      <c r="D643" s="27" t="n">
        <f aca="false">Sical!F133</f>
        <v>-0.746467165419784</v>
      </c>
      <c r="E643" s="27" t="n">
        <f aca="false">Sical!G133</f>
        <v>-2.12680115273775</v>
      </c>
      <c r="F643" s="27" t="n">
        <f aca="false">Sical!H133</f>
        <v>-0.12795694061242</v>
      </c>
      <c r="G643" s="27" t="n">
        <f aca="false">Sical!I133</f>
        <v>-0.116445766837977</v>
      </c>
      <c r="H643" s="27" t="n">
        <f aca="false">Sical!J133</f>
        <v>0.127774320680357</v>
      </c>
      <c r="I643" s="61" t="n">
        <f aca="false">Sical!K133</f>
        <v>-0.771251353643673</v>
      </c>
      <c r="J643" s="25" t="str">
        <f aca="false">IF(AND(ISNUMBER(I643),ISNUMBER(I$649)),IF(I643&gt;I$649,"Above",IF(I643&lt;I$649,"Below","At median")),"-")</f>
        <v>Below</v>
      </c>
      <c r="K643" s="25" t="str">
        <f aca="false">IF(J643="Above","Better",IF(J643="Below","Weaker",IF(J643="At median","In line","-")))</f>
        <v>Weaker</v>
      </c>
      <c r="L643" s="43" t="n">
        <f aca="false">IF(ISNUMBER(I643),RANK(I643,I$637:I$646,0),"-")</f>
        <v>10</v>
      </c>
    </row>
    <row r="644" customFormat="false" ht="15" hidden="false" customHeight="false" outlineLevel="0" collapsed="false">
      <c r="A644" s="16" t="s">
        <v>66</v>
      </c>
      <c r="B644" s="27" t="n">
        <f aca="false">TCI!D133</f>
        <v>0.0523798310422983</v>
      </c>
      <c r="C644" s="27" t="n">
        <f aca="false">TCI!E133</f>
        <v>0.0525016146931726</v>
      </c>
      <c r="D644" s="27" t="n">
        <f aca="false">TCI!F133</f>
        <v>0.0888698635391447</v>
      </c>
      <c r="E644" s="27" t="n">
        <f aca="false">TCI!G133</f>
        <v>0.0838953409983159</v>
      </c>
      <c r="F644" s="27" t="n">
        <f aca="false">TCI!H133</f>
        <v>0.0871713060289345</v>
      </c>
      <c r="G644" s="27" t="n">
        <f aca="false">TCI!I133</f>
        <v>0.0918077020691129</v>
      </c>
      <c r="H644" s="27" t="n">
        <f aca="false">TCI!J133</f>
        <v>0.0927946599088426</v>
      </c>
      <c r="I644" s="61" t="n">
        <f aca="false">TCI!K133</f>
        <v>0.0784886168971174</v>
      </c>
      <c r="J644" s="25" t="str">
        <f aca="false">IF(AND(ISNUMBER(I644),ISNUMBER(I$649)),IF(I644&gt;I$649,"Above",IF(I644&lt;I$649,"Below","At median")),"-")</f>
        <v>Above</v>
      </c>
      <c r="K644" s="25" t="str">
        <f aca="false">IF(J644="Above","Better",IF(J644="Below","Weaker",IF(J644="At median","In line","-")))</f>
        <v>Better</v>
      </c>
      <c r="L644" s="43" t="n">
        <f aca="false">IF(ISNUMBER(I644),RANK(I644,I$637:I$646,0),"-")</f>
        <v>2</v>
      </c>
    </row>
    <row r="645" customFormat="false" ht="15" hidden="false" customHeight="false" outlineLevel="0" collapsed="false">
      <c r="A645" s="16" t="s">
        <v>68</v>
      </c>
      <c r="B645" s="27" t="n">
        <f aca="false">Shreeji!D133</f>
        <v>0.0133636363636364</v>
      </c>
      <c r="C645" s="27" t="n">
        <f aca="false">Shreeji!E133</f>
        <v>-0.0100711447842558</v>
      </c>
      <c r="D645" s="27" t="n">
        <f aca="false">Shreeji!F133</f>
        <v>0.054049102235251</v>
      </c>
      <c r="E645" s="27" t="n">
        <f aca="false">Shreeji!G133</f>
        <v>0.0519201888006865</v>
      </c>
      <c r="F645" s="27" t="n">
        <f aca="false">Shreeji!H133</f>
        <v>0.0649900199600799</v>
      </c>
      <c r="G645" s="27" t="n">
        <f aca="false">Shreeji!I133</f>
        <v>0.00694886002361704</v>
      </c>
      <c r="H645" s="27" t="n">
        <f aca="false">Shreeji!J133</f>
        <v>0.013487558154424</v>
      </c>
      <c r="I645" s="61" t="n">
        <f aca="false">Shreeji!K133</f>
        <v>0.027812602964777</v>
      </c>
      <c r="J645" s="25" t="str">
        <f aca="false">IF(AND(ISNUMBER(I645),ISNUMBER(I$649)),IF(I645&gt;I$649,"Above",IF(I645&lt;I$649,"Below","At median")),"-")</f>
        <v>Above</v>
      </c>
      <c r="K645" s="25" t="str">
        <f aca="false">IF(J645="Above","Better",IF(J645="Below","Weaker",IF(J645="At median","In line","-")))</f>
        <v>Better</v>
      </c>
      <c r="L645" s="43" t="n">
        <f aca="false">IF(ISNUMBER(I645),RANK(I645,I$637:I$646,0),"-")</f>
        <v>4</v>
      </c>
    </row>
    <row r="646" customFormat="false" ht="15" hidden="false" customHeight="false" outlineLevel="0" collapsed="false">
      <c r="A646" s="16" t="s">
        <v>279</v>
      </c>
      <c r="B646" s="27" t="n">
        <f aca="false">MahindraLog!D133</f>
        <v>0.0158795093254666</v>
      </c>
      <c r="C646" s="27" t="n">
        <f aca="false">MahindraLog!E133</f>
        <v>0.00919196499699729</v>
      </c>
      <c r="D646" s="27" t="n">
        <f aca="false">MahindraLog!F133</f>
        <v>0.00424076739535737</v>
      </c>
      <c r="E646" s="27" t="n">
        <f aca="false">MahindraLog!G133</f>
        <v>0.00512451518927362</v>
      </c>
      <c r="F646" s="27" t="n">
        <f aca="false">MahindraLog!H133</f>
        <v>-0.00994193575337316</v>
      </c>
      <c r="G646" s="27" t="n">
        <f aca="false">MahindraLog!I133</f>
        <v>-0.00587239939523296</v>
      </c>
      <c r="H646" s="27" t="n">
        <f aca="false">MahindraLog!J133</f>
        <v>0.000327175574700327</v>
      </c>
      <c r="I646" s="61" t="n">
        <f aca="false">MahindraLog!K133</f>
        <v>0.00270708533331272</v>
      </c>
      <c r="J646" s="25" t="str">
        <f aca="false">IF(AND(ISNUMBER(I646),ISNUMBER(I$649)),IF(I646&gt;I$649,"Above",IF(I646&lt;I$649,"Below","At median")),"-")</f>
        <v>Below</v>
      </c>
      <c r="K646" s="25" t="str">
        <f aca="false">IF(J646="Above","Better",IF(J646="Below","Weaker",IF(J646="At median","In line","-")))</f>
        <v>Weaker</v>
      </c>
      <c r="L646" s="43" t="n">
        <f aca="false">IF(ISNUMBER(I646),RANK(I646,I$637:I$646,0),"-")</f>
        <v>8</v>
      </c>
    </row>
    <row r="647" customFormat="false" ht="15" hidden="false" customHeight="false" outlineLevel="0" collapsed="false">
      <c r="A647" s="46" t="s">
        <v>328</v>
      </c>
      <c r="B647" s="42" t="n">
        <f aca="false">Industry!D134</f>
        <v>0.0263345811699051</v>
      </c>
      <c r="C647" s="42" t="n">
        <f aca="false">Industry!E134</f>
        <v>-0.00772787789496705</v>
      </c>
      <c r="D647" s="42" t="n">
        <f aca="false">Industry!F134</f>
        <v>0.0609109488110273</v>
      </c>
      <c r="E647" s="42" t="n">
        <f aca="false">Industry!G134</f>
        <v>0.0409789706411641</v>
      </c>
      <c r="F647" s="42" t="n">
        <f aca="false">Industry!H134</f>
        <v>0.0532687901080975</v>
      </c>
      <c r="G647" s="42" t="n">
        <f aca="false">Industry!I134</f>
        <v>0.0690813084926445</v>
      </c>
      <c r="H647" s="42" t="n">
        <f aca="false">Industry!J134</f>
        <v>0.0656051876479138</v>
      </c>
      <c r="I647" s="42" t="n">
        <f aca="false">Industry!K134</f>
        <v>0.0440645584251122</v>
      </c>
      <c r="J647" s="47"/>
      <c r="K647" s="47"/>
      <c r="L647" s="47"/>
    </row>
    <row r="648" customFormat="false" ht="15" hidden="false" customHeight="false" outlineLevel="0" collapsed="false">
      <c r="A648" s="52" t="s">
        <v>329</v>
      </c>
      <c r="B648" s="62" t="n">
        <f aca="false">IF(COUNT(B637:B646)=0,"N/M",AVERAGE(B637:B646))</f>
        <v>0.00155640973901418</v>
      </c>
      <c r="C648" s="62" t="n">
        <f aca="false">IF(COUNT(C637:C646)=0,"N/M",AVERAGE(C637:C646))</f>
        <v>-0.219128748816951</v>
      </c>
      <c r="D648" s="62" t="n">
        <f aca="false">IF(COUNT(D637:D646)=0,"N/M",AVERAGE(D637:D646))</f>
        <v>-0.025567498941996</v>
      </c>
      <c r="E648" s="62" t="n">
        <f aca="false">IF(COUNT(E637:E646)=0,"N/M",AVERAGE(E637:E646))</f>
        <v>-0.166433612811677</v>
      </c>
      <c r="F648" s="62" t="n">
        <f aca="false">IF(COUNT(F637:F646)=0,"N/M",AVERAGE(F637:F646))</f>
        <v>0.0302301690103268</v>
      </c>
      <c r="G648" s="62" t="n">
        <f aca="false">IF(COUNT(G637:G646)=0,"N/M",AVERAGE(G637:G646))</f>
        <v>0.0279952219562829</v>
      </c>
      <c r="H648" s="62" t="n">
        <f aca="false">IF(COUNT(H637:H646)=0,"N/M",AVERAGE(H637:H646))</f>
        <v>0.0495095662653559</v>
      </c>
      <c r="I648" s="62" t="n">
        <f aca="false">IF(COUNT(I637:I646)=0,"N/M",AVERAGE(I637:I646))</f>
        <v>-0.0431197847999492</v>
      </c>
      <c r="J648" s="54"/>
      <c r="K648" s="54"/>
      <c r="L648" s="54"/>
    </row>
    <row r="649" customFormat="false" ht="15" hidden="false" customHeight="false" outlineLevel="0" collapsed="false">
      <c r="A649" s="28" t="s">
        <v>281</v>
      </c>
      <c r="B649" s="30" t="n">
        <f aca="false">IF(COUNT(B637:B646)=0,"N/M",MEDIAN(B637:B646))</f>
        <v>0.0146215728445515</v>
      </c>
      <c r="C649" s="30" t="n">
        <f aca="false">IF(COUNT(C637:C646)=0,"N/M",MEDIAN(C637:C646))</f>
        <v>0.00821488731120951</v>
      </c>
      <c r="D649" s="30" t="n">
        <f aca="false">IF(COUNT(D637:D646)=0,"N/M",MEDIAN(D637:D646))</f>
        <v>0.0513062919158393</v>
      </c>
      <c r="E649" s="30" t="n">
        <f aca="false">IF(COUNT(E637:E646)=0,"N/M",MEDIAN(E637:E646))</f>
        <v>0.0433995166521364</v>
      </c>
      <c r="F649" s="30" t="n">
        <f aca="false">IF(COUNT(F637:F646)=0,"N/M",MEDIAN(F637:F646))</f>
        <v>0.0365044247438991</v>
      </c>
      <c r="G649" s="30" t="n">
        <f aca="false">IF(COUNT(G637:G646)=0,"N/M",MEDIAN(G637:G646))</f>
        <v>0.0276619160441769</v>
      </c>
      <c r="H649" s="30" t="n">
        <f aca="false">IF(COUNT(H637:H646)=0,"N/M",MEDIAN(H637:H646))</f>
        <v>0.0322243678469661</v>
      </c>
      <c r="I649" s="30" t="n">
        <f aca="false">IF(COUNT(I637:I646)=0,"N/M",MEDIAN(I637:I646))</f>
        <v>0.0224309001531358</v>
      </c>
      <c r="J649" s="54"/>
      <c r="K649" s="54"/>
      <c r="L649" s="54"/>
    </row>
    <row r="650" customFormat="false" ht="15" hidden="false" customHeight="false" outlineLevel="0" collapsed="false">
      <c r="A650" s="52" t="s">
        <v>330</v>
      </c>
      <c r="B650" s="62" t="n">
        <f aca="false">IF(COUNT(B637:B646)&lt;2,"N/M",STDEV(B637:B646))</f>
        <v>0.0503730128370397</v>
      </c>
      <c r="C650" s="62" t="n">
        <f aca="false">IF(COUNT(C637:C646)&lt;2,"N/M",STDEV(C637:C646))</f>
        <v>0.733102561542823</v>
      </c>
      <c r="D650" s="62" t="n">
        <f aca="false">IF(COUNT(D637:D646)&lt;2,"N/M",STDEV(D637:D646))</f>
        <v>0.256799160301018</v>
      </c>
      <c r="E650" s="62" t="n">
        <f aca="false">IF(COUNT(E637:E646)&lt;2,"N/M",STDEV(E637:E646))</f>
        <v>0.690106103005225</v>
      </c>
      <c r="F650" s="62" t="n">
        <f aca="false">IF(COUNT(F637:F646)&lt;2,"N/M",STDEV(F637:F646))</f>
        <v>0.0723027189132711</v>
      </c>
      <c r="G650" s="62" t="n">
        <f aca="false">IF(COUNT(G637:G646)&lt;2,"N/M",STDEV(G637:G646))</f>
        <v>0.0678653446683951</v>
      </c>
      <c r="H650" s="62" t="n">
        <f aca="false">IF(COUNT(H637:H646)&lt;2,"N/M",STDEV(H637:H646))</f>
        <v>0.050904881822528</v>
      </c>
      <c r="I650" s="62" t="n">
        <f aca="false">IF(COUNT(I637:I646)&lt;2,"N/M",STDEV(I637:I646))</f>
        <v>0.258482947244096</v>
      </c>
      <c r="J650" s="54"/>
      <c r="K650" s="54"/>
      <c r="L650" s="54"/>
    </row>
    <row r="651" customFormat="false" ht="15" hidden="false" customHeight="false" outlineLevel="0" collapsed="false">
      <c r="A651" s="52" t="s">
        <v>269</v>
      </c>
      <c r="B651" s="62" t="n">
        <f aca="false">IF(COUNT(B637:B646)=0,"N/M",MIN(B637:B646))</f>
        <v>-0.106418515867335</v>
      </c>
      <c r="C651" s="62" t="n">
        <f aca="false">IF(COUNT(C637:C646)=0,"N/M",MIN(C637:C646))</f>
        <v>-2.3024442547108</v>
      </c>
      <c r="D651" s="62" t="n">
        <f aca="false">IF(COUNT(D637:D646)=0,"N/M",MIN(D637:D646))</f>
        <v>-0.746467165419784</v>
      </c>
      <c r="E651" s="62" t="n">
        <f aca="false">IF(COUNT(E637:E646)=0,"N/M",MIN(E637:E646))</f>
        <v>-2.12680115273775</v>
      </c>
      <c r="F651" s="62" t="n">
        <f aca="false">IF(COUNT(F637:F646)=0,"N/M",MIN(F637:F646))</f>
        <v>-0.12795694061242</v>
      </c>
      <c r="G651" s="62" t="n">
        <f aca="false">IF(COUNT(G637:G646)=0,"N/M",MIN(G637:G646))</f>
        <v>-0.116445766837977</v>
      </c>
      <c r="H651" s="62" t="n">
        <f aca="false">IF(COUNT(H637:H646)=0,"N/M",MIN(H637:H646))</f>
        <v>0.000327175574700327</v>
      </c>
      <c r="I651" s="62" t="n">
        <f aca="false">IF(COUNT(I637:I646)=0,"N/M",MIN(I637:I646))</f>
        <v>-0.771251353643673</v>
      </c>
      <c r="J651" s="54"/>
      <c r="K651" s="54"/>
      <c r="L651" s="54"/>
    </row>
    <row r="652" customFormat="false" ht="15" hidden="false" customHeight="false" outlineLevel="0" collapsed="false">
      <c r="A652" s="52" t="s">
        <v>270</v>
      </c>
      <c r="B652" s="62" t="n">
        <f aca="false">IF(COUNT(B637:B646)=0,"N/M",MAX(B637:B646))</f>
        <v>0.0617922382994884</v>
      </c>
      <c r="C652" s="62" t="n">
        <f aca="false">IF(COUNT(C637:C646)=0,"N/M",MAX(C637:C646))</f>
        <v>0.0786142385033328</v>
      </c>
      <c r="D652" s="62" t="n">
        <f aca="false">IF(COUNT(D637:D646)=0,"N/M",MAX(D637:D646))</f>
        <v>0.137874980562492</v>
      </c>
      <c r="E652" s="62" t="n">
        <f aca="false">IF(COUNT(E637:E646)=0,"N/M",MAX(E637:E646))</f>
        <v>0.143696016217169</v>
      </c>
      <c r="F652" s="62" t="n">
        <f aca="false">IF(COUNT(F637:F646)=0,"N/M",MAX(F637:F646))</f>
        <v>0.145675519823977</v>
      </c>
      <c r="G652" s="62" t="n">
        <f aca="false">IF(COUNT(G637:G646)=0,"N/M",MAX(G637:G646))</f>
        <v>0.14515664418444</v>
      </c>
      <c r="H652" s="62" t="n">
        <f aca="false">IF(COUNT(H637:H646)=0,"N/M",MAX(H637:H646))</f>
        <v>0.13677763006156</v>
      </c>
      <c r="I652" s="62" t="n">
        <f aca="false">IF(COUNT(I637:I646)=0,"N/M",MAX(I637:I646))</f>
        <v>0.121369609664637</v>
      </c>
      <c r="J652" s="54"/>
      <c r="K652" s="54"/>
      <c r="L652" s="54"/>
    </row>
    <row r="654" customFormat="false" ht="16.5" hidden="false" customHeight="true" outlineLevel="0" collapsed="false">
      <c r="A654" s="49" t="s">
        <v>366</v>
      </c>
      <c r="B654" s="49"/>
      <c r="C654" s="49"/>
      <c r="D654" s="49"/>
      <c r="E654" s="49"/>
      <c r="F654" s="49"/>
      <c r="G654" s="49"/>
      <c r="H654" s="49"/>
      <c r="I654" s="49"/>
      <c r="J654" s="49"/>
      <c r="K654" s="49"/>
      <c r="L654" s="49"/>
    </row>
    <row r="655" customFormat="false" ht="15" hidden="false" customHeight="false" outlineLevel="0" collapsed="false">
      <c r="A655" s="16" t="s">
        <v>52</v>
      </c>
      <c r="B655" s="27" t="n">
        <f aca="false">Tiger!D135</f>
        <v>0.924140904869311</v>
      </c>
      <c r="C655" s="27" t="n">
        <f aca="false">Tiger!E135</f>
        <v>0.923750521236671</v>
      </c>
      <c r="D655" s="27" t="n">
        <f aca="false">Tiger!F135</f>
        <v>0.91074767114825</v>
      </c>
      <c r="E655" s="27" t="n">
        <f aca="false">Tiger!G135</f>
        <v>0.890873427945079</v>
      </c>
      <c r="F655" s="27" t="n">
        <f aca="false">Tiger!H135</f>
        <v>0.856613668525764</v>
      </c>
      <c r="G655" s="27" t="n">
        <f aca="false">Tiger!I135</f>
        <v>0.895545486752065</v>
      </c>
      <c r="H655" s="27" t="n">
        <f aca="false">Tiger!J135</f>
        <v>0.89892112705562</v>
      </c>
      <c r="I655" s="61" t="n">
        <f aca="false">Tiger!K135</f>
        <v>0.900084686790394</v>
      </c>
      <c r="J655" s="25" t="str">
        <f aca="false">IF(AND(ISNUMBER(I655),ISNUMBER(I$667)),IF(I655&gt;I$667,"Above",IF(I655&lt;I$667,"Below","At median")),"-")</f>
        <v>Above</v>
      </c>
      <c r="K655" s="25" t="str">
        <f aca="false">IF(J655="Below","Better",IF(J655="Above","Weaker",IF(J655="At median","In line","-")))</f>
        <v>Weaker</v>
      </c>
      <c r="L655" s="43" t="n">
        <f aca="false">IF(ISNUMBER(I655),RANK(I655,I$655:I$664,1),"-")</f>
        <v>8</v>
      </c>
    </row>
    <row r="656" customFormat="false" ht="15" hidden="false" customHeight="false" outlineLevel="0" collapsed="false">
      <c r="A656" s="16" t="s">
        <v>54</v>
      </c>
      <c r="B656" s="27" t="n">
        <f aca="false">Allcargo!D135</f>
        <v>0.734496831031929</v>
      </c>
      <c r="C656" s="27" t="n">
        <f aca="false">Allcargo!E135</f>
        <v>0.772935102542365</v>
      </c>
      <c r="D656" s="27" t="n">
        <f aca="false">Allcargo!F135</f>
        <v>0.821469452934258</v>
      </c>
      <c r="E656" s="27" t="n">
        <f aca="false">Allcargo!G135</f>
        <v>0.796397051206126</v>
      </c>
      <c r="F656" s="27" t="n">
        <f aca="false">Allcargo!H135</f>
        <v>0.766215991141735</v>
      </c>
      <c r="G656" s="27" t="n">
        <f aca="false">Allcargo!I135</f>
        <v>0.721570627231005</v>
      </c>
      <c r="H656" s="27" t="n">
        <f aca="false">Allcargo!J135</f>
        <v>0.732750242954325</v>
      </c>
      <c r="I656" s="61" t="n">
        <f aca="false">Allcargo!K135</f>
        <v>0.763690757005963</v>
      </c>
      <c r="J656" s="25" t="str">
        <f aca="false">IF(AND(ISNUMBER(I656),ISNUMBER(I$667)),IF(I656&gt;I$667,"Above",IF(I656&lt;I$667,"Below","At median")),"-")</f>
        <v>Below</v>
      </c>
      <c r="K656" s="25" t="str">
        <f aca="false">IF(J656="Below","Better",IF(J656="Above","Weaker",IF(J656="At median","In line","-")))</f>
        <v>Better</v>
      </c>
      <c r="L656" s="43" t="n">
        <f aca="false">IF(ISNUMBER(I656),RANK(I656,I$655:I$664,1),"-")</f>
        <v>3</v>
      </c>
    </row>
    <row r="657" customFormat="false" ht="15" hidden="false" customHeight="false" outlineLevel="0" collapsed="false">
      <c r="A657" s="16" t="s">
        <v>277</v>
      </c>
      <c r="B657" s="27" t="n">
        <f aca="false">BlueDart!D135</f>
        <v>0.543061228989049</v>
      </c>
      <c r="C657" s="27" t="n">
        <f aca="false">BlueDart!E135</f>
        <v>0.502598741533942</v>
      </c>
      <c r="D657" s="27" t="n">
        <f aca="false">BlueDart!F135</f>
        <v>0.53893558312115</v>
      </c>
      <c r="E657" s="27" t="n">
        <f aca="false">BlueDart!G135</f>
        <v>0.602864920672361</v>
      </c>
      <c r="F657" s="27" t="n">
        <f aca="false">BlueDart!H135</f>
        <v>0.606428073798889</v>
      </c>
      <c r="G657" s="27" t="n">
        <f aca="false">BlueDart!I135</f>
        <v>0.61592817009255</v>
      </c>
      <c r="H657" s="27" t="n">
        <f aca="false">BlueDart!J135</f>
        <v>0.60912442516382</v>
      </c>
      <c r="I657" s="61" t="n">
        <f aca="false">BlueDart!K135</f>
        <v>0.574134449053109</v>
      </c>
      <c r="J657" s="25" t="str">
        <f aca="false">IF(AND(ISNUMBER(I657),ISNUMBER(I$667)),IF(I657&gt;I$667,"Above",IF(I657&lt;I$667,"Below","At median")),"-")</f>
        <v>Below</v>
      </c>
      <c r="K657" s="25" t="str">
        <f aca="false">IF(J657="Below","Better",IF(J657="Above","Weaker",IF(J657="At median","In line","-")))</f>
        <v>Better</v>
      </c>
      <c r="L657" s="43" t="n">
        <f aca="false">IF(ISNUMBER(I657),RANK(I657,I$655:I$664,1),"-")</f>
        <v>1</v>
      </c>
    </row>
    <row r="658" customFormat="false" ht="15" hidden="false" customHeight="false" outlineLevel="0" collapsed="false">
      <c r="A658" s="16" t="s">
        <v>58</v>
      </c>
      <c r="B658" s="27" t="n">
        <f aca="false">CONCOR!D135</f>
        <v>0.65969400958919</v>
      </c>
      <c r="C658" s="27" t="n">
        <f aca="false">CONCOR!E135</f>
        <v>0.639494140418355</v>
      </c>
      <c r="D658" s="27" t="n">
        <f aca="false">CONCOR!F135</f>
        <v>0.637154322705754</v>
      </c>
      <c r="E658" s="27" t="n">
        <f aca="false">CONCOR!G135</f>
        <v>0.650476428305619</v>
      </c>
      <c r="F658" s="27" t="n">
        <f aca="false">CONCOR!H135</f>
        <v>0.65906735032779</v>
      </c>
      <c r="G658" s="27" t="n">
        <f aca="false">CONCOR!I135</f>
        <v>0.667744643311256</v>
      </c>
      <c r="H658" s="27" t="n">
        <f aca="false">CONCOR!J135</f>
        <v>0.663435389697289</v>
      </c>
      <c r="I658" s="61" t="n">
        <f aca="false">CONCOR!K135</f>
        <v>0.65386661205075</v>
      </c>
      <c r="J658" s="25" t="str">
        <f aca="false">IF(AND(ISNUMBER(I658),ISNUMBER(I$667)),IF(I658&gt;I$667,"Above",IF(I658&lt;I$667,"Below","At median")),"-")</f>
        <v>Below</v>
      </c>
      <c r="K658" s="25" t="str">
        <f aca="false">IF(J658="Below","Better",IF(J658="Above","Weaker",IF(J658="At median","In line","-")))</f>
        <v>Better</v>
      </c>
      <c r="L658" s="43" t="n">
        <f aca="false">IF(ISNUMBER(I658),RANK(I658,I$655:I$664,1),"-")</f>
        <v>2</v>
      </c>
    </row>
    <row r="659" customFormat="false" ht="15" hidden="false" customHeight="false" outlineLevel="0" collapsed="false">
      <c r="A659" s="16" t="s">
        <v>278</v>
      </c>
      <c r="B659" s="27" t="n">
        <f aca="false">JetFreight!D135</f>
        <v>0.949162719327507</v>
      </c>
      <c r="C659" s="27" t="n">
        <f aca="false">JetFreight!E135</f>
        <v>0.943193287003662</v>
      </c>
      <c r="D659" s="27" t="n">
        <f aca="false">JetFreight!F135</f>
        <v>0.937166126631054</v>
      </c>
      <c r="E659" s="27" t="n">
        <f aca="false">JetFreight!G135</f>
        <v>0.926300127192877</v>
      </c>
      <c r="F659" s="27" t="n">
        <f aca="false">JetFreight!H135</f>
        <v>0.909843463909018</v>
      </c>
      <c r="G659" s="27" t="n">
        <f aca="false">JetFreight!I135</f>
        <v>0.907427341227126</v>
      </c>
      <c r="H659" s="27" t="n">
        <f aca="false">JetFreight!J135</f>
        <v>0.901143938029184</v>
      </c>
      <c r="I659" s="61" t="n">
        <f aca="false">JetFreight!K135</f>
        <v>0.924891000474347</v>
      </c>
      <c r="J659" s="25" t="str">
        <f aca="false">IF(AND(ISNUMBER(I659),ISNUMBER(I$667)),IF(I659&gt;I$667,"Above",IF(I659&lt;I$667,"Below","At median")),"-")</f>
        <v>Above</v>
      </c>
      <c r="K659" s="25" t="str">
        <f aca="false">IF(J659="Below","Better",IF(J659="Above","Weaker",IF(J659="At median","In line","-")))</f>
        <v>Weaker</v>
      </c>
      <c r="L659" s="43" t="n">
        <f aca="false">IF(ISNUMBER(I659),RANK(I659,I$655:I$664,1),"-")</f>
        <v>10</v>
      </c>
    </row>
    <row r="660" customFormat="false" ht="15" hidden="false" customHeight="false" outlineLevel="0" collapsed="false">
      <c r="A660" s="16" t="s">
        <v>62</v>
      </c>
      <c r="B660" s="27" t="n">
        <f aca="false">Patel!D135</f>
        <v>0.888402751791831</v>
      </c>
      <c r="C660" s="27" t="n">
        <f aca="false">Patel!E135</f>
        <v>0.896113074204947</v>
      </c>
      <c r="D660" s="27" t="n">
        <f aca="false">Patel!F135</f>
        <v>0.898002731307614</v>
      </c>
      <c r="E660" s="27" t="n">
        <f aca="false">Patel!G135</f>
        <v>0.897333620813569</v>
      </c>
      <c r="F660" s="27" t="n">
        <f aca="false">Patel!H135</f>
        <v>0.902460850111857</v>
      </c>
      <c r="G660" s="27" t="n">
        <f aca="false">Patel!I135</f>
        <v>0.915608859318918</v>
      </c>
      <c r="H660" s="27" t="n">
        <f aca="false">Patel!J135</f>
        <v>0.907935263482108</v>
      </c>
      <c r="I660" s="61" t="n">
        <f aca="false">Patel!K135</f>
        <v>0.900836735861549</v>
      </c>
      <c r="J660" s="25" t="str">
        <f aca="false">IF(AND(ISNUMBER(I660),ISNUMBER(I$667)),IF(I660&gt;I$667,"Above",IF(I660&lt;I$667,"Below","At median")),"-")</f>
        <v>Above</v>
      </c>
      <c r="K660" s="25" t="str">
        <f aca="false">IF(J660="Below","Better",IF(J660="Above","Weaker",IF(J660="At median","In line","-")))</f>
        <v>Weaker</v>
      </c>
      <c r="L660" s="43" t="n">
        <f aca="false">IF(ISNUMBER(I660),RANK(I660,I$655:I$664,1),"-")</f>
        <v>9</v>
      </c>
    </row>
    <row r="661" customFormat="false" ht="15" hidden="false" customHeight="false" outlineLevel="0" collapsed="false">
      <c r="A661" s="16" t="s">
        <v>64</v>
      </c>
      <c r="B661" s="27" t="n">
        <f aca="false">Sical!D135</f>
        <v>0.830151912829078</v>
      </c>
      <c r="C661" s="27" t="n">
        <f aca="false">Sical!E135</f>
        <v>0.764410380636578</v>
      </c>
      <c r="D661" s="27" t="n">
        <f aca="false">Sical!F135</f>
        <v>0.889901682575171</v>
      </c>
      <c r="E661" s="27" t="n">
        <f aca="false">Sical!G135</f>
        <v>0.820280023462804</v>
      </c>
      <c r="F661" s="27" t="n">
        <f aca="false">Sical!H135</f>
        <v>0.718033380071464</v>
      </c>
      <c r="G661" s="27" t="n">
        <f aca="false">Sical!I135</f>
        <v>0.702416373636282</v>
      </c>
      <c r="H661" s="27" t="n">
        <f aca="false">Sical!J135</f>
        <v>0.665344326903132</v>
      </c>
      <c r="I661" s="61" t="n">
        <f aca="false">Sical!K135</f>
        <v>0.770076868587787</v>
      </c>
      <c r="J661" s="25" t="str">
        <f aca="false">IF(AND(ISNUMBER(I661),ISNUMBER(I$667)),IF(I661&gt;I$667,"Above",IF(I661&lt;I$667,"Below","At median")),"-")</f>
        <v>Below</v>
      </c>
      <c r="K661" s="25" t="str">
        <f aca="false">IF(J661="Below","Better",IF(J661="Above","Weaker",IF(J661="At median","In line","-")))</f>
        <v>Better</v>
      </c>
      <c r="L661" s="43" t="n">
        <f aca="false">IF(ISNUMBER(I661),RANK(I661,I$655:I$664,1),"-")</f>
        <v>4</v>
      </c>
    </row>
    <row r="662" customFormat="false" ht="15" hidden="false" customHeight="false" outlineLevel="0" collapsed="false">
      <c r="A662" s="16" t="s">
        <v>66</v>
      </c>
      <c r="B662" s="27" t="n">
        <f aca="false">TCI!D135</f>
        <v>0.822174962470197</v>
      </c>
      <c r="C662" s="27" t="n">
        <f aca="false">TCI!E135</f>
        <v>0.827015511759605</v>
      </c>
      <c r="D662" s="27" t="n">
        <f aca="false">TCI!F135</f>
        <v>0.798859092736306</v>
      </c>
      <c r="E662" s="27" t="n">
        <f aca="false">TCI!G135</f>
        <v>0.810586453125785</v>
      </c>
      <c r="F662" s="27" t="n">
        <f aca="false">TCI!H135</f>
        <v>0.815347417910374</v>
      </c>
      <c r="G662" s="27" t="n">
        <f aca="false">TCI!I135</f>
        <v>0.815062180249255</v>
      </c>
      <c r="H662" s="27" t="n">
        <f aca="false">TCI!J135</f>
        <v>0.811282610331579</v>
      </c>
      <c r="I662" s="61" t="n">
        <f aca="false">TCI!K135</f>
        <v>0.8143326040833</v>
      </c>
      <c r="J662" s="25" t="str">
        <f aca="false">IF(AND(ISNUMBER(I662),ISNUMBER(I$667)),IF(I662&gt;I$667,"Above",IF(I662&lt;I$667,"Below","At median")),"-")</f>
        <v>Above</v>
      </c>
      <c r="K662" s="25" t="str">
        <f aca="false">IF(J662="Below","Better",IF(J662="Above","Weaker",IF(J662="At median","In line","-")))</f>
        <v>Weaker</v>
      </c>
      <c r="L662" s="43" t="n">
        <f aca="false">IF(ISNUMBER(I662),RANK(I662,I$655:I$664,1),"-")</f>
        <v>6</v>
      </c>
    </row>
    <row r="663" customFormat="false" ht="15" hidden="false" customHeight="false" outlineLevel="0" collapsed="false">
      <c r="A663" s="16" t="s">
        <v>68</v>
      </c>
      <c r="B663" s="27" t="n">
        <f aca="false">Shreeji!D135</f>
        <v>0.760636363636364</v>
      </c>
      <c r="C663" s="27" t="n">
        <f aca="false">Shreeji!E135</f>
        <v>0.79968585419939</v>
      </c>
      <c r="D663" s="27" t="n">
        <f aca="false">Shreeji!F135</f>
        <v>0.747465494075974</v>
      </c>
      <c r="E663" s="27" t="n">
        <f aca="false">Shreeji!G135</f>
        <v>0.787009225488093</v>
      </c>
      <c r="F663" s="27" t="n">
        <f aca="false">Shreeji!H135</f>
        <v>0.832095808383234</v>
      </c>
      <c r="G663" s="27" t="n">
        <f aca="false">Shreeji!I135</f>
        <v>0.846398401308021</v>
      </c>
      <c r="H663" s="27" t="n">
        <f aca="false">Shreeji!J135</f>
        <v>0.856716035682274</v>
      </c>
      <c r="I663" s="61" t="n">
        <f aca="false">Shreeji!K135</f>
        <v>0.804286740396193</v>
      </c>
      <c r="J663" s="25" t="str">
        <f aca="false">IF(AND(ISNUMBER(I663),ISNUMBER(I$667)),IF(I663&gt;I$667,"Above",IF(I663&lt;I$667,"Below","At median")),"-")</f>
        <v>Below</v>
      </c>
      <c r="K663" s="25" t="str">
        <f aca="false">IF(J663="Below","Better",IF(J663="Above","Weaker",IF(J663="At median","In line","-")))</f>
        <v>Better</v>
      </c>
      <c r="L663" s="43" t="n">
        <f aca="false">IF(ISNUMBER(I663),RANK(I663,I$655:I$664,1),"-")</f>
        <v>5</v>
      </c>
    </row>
    <row r="664" customFormat="false" ht="15" hidden="false" customHeight="false" outlineLevel="0" collapsed="false">
      <c r="A664" s="16" t="s">
        <v>279</v>
      </c>
      <c r="B664" s="27" t="n">
        <f aca="false">MahindraLog!D135</f>
        <v>0.847387313677927</v>
      </c>
      <c r="C664" s="27" t="n">
        <f aca="false">MahindraLog!E135</f>
        <v>0.84970524432243</v>
      </c>
      <c r="D664" s="27" t="n">
        <f aca="false">MahindraLog!F135</f>
        <v>0.86015852162405</v>
      </c>
      <c r="E664" s="27" t="n">
        <f aca="false">MahindraLog!G135</f>
        <v>0.8570673655351</v>
      </c>
      <c r="F664" s="27" t="n">
        <f aca="false">MahindraLog!H135</f>
        <v>0.853024989238953</v>
      </c>
      <c r="G664" s="27" t="n">
        <f aca="false">MahindraLog!I135</f>
        <v>0.863252539382751</v>
      </c>
      <c r="H664" s="27" t="n">
        <f aca="false">MahindraLog!J135</f>
        <v>0.862477676339063</v>
      </c>
      <c r="I664" s="61" t="n">
        <f aca="false">MahindraLog!K135</f>
        <v>0.856153378588611</v>
      </c>
      <c r="J664" s="25" t="str">
        <f aca="false">IF(AND(ISNUMBER(I664),ISNUMBER(I$667)),IF(I664&gt;I$667,"Above",IF(I664&lt;I$667,"Below","At median")),"-")</f>
        <v>Above</v>
      </c>
      <c r="K664" s="25" t="str">
        <f aca="false">IF(J664="Below","Better",IF(J664="Above","Weaker",IF(J664="At median","In line","-")))</f>
        <v>Weaker</v>
      </c>
      <c r="L664" s="43" t="n">
        <f aca="false">IF(ISNUMBER(I664),RANK(I664,I$655:I$664,1),"-")</f>
        <v>7</v>
      </c>
    </row>
    <row r="665" customFormat="false" ht="15" hidden="false" customHeight="false" outlineLevel="0" collapsed="false">
      <c r="A665" s="46" t="s">
        <v>328</v>
      </c>
      <c r="B665" s="42" t="n">
        <f aca="false">Industry!D136</f>
        <v>0.726906362464844</v>
      </c>
      <c r="C665" s="42" t="n">
        <f aca="false">Industry!E136</f>
        <v>0.728206663796577</v>
      </c>
      <c r="D665" s="42" t="n">
        <f aca="false">Industry!F136</f>
        <v>0.761171088882637</v>
      </c>
      <c r="E665" s="42" t="n">
        <f aca="false">Industry!G136</f>
        <v>0.755990977351973</v>
      </c>
      <c r="F665" s="42" t="n">
        <f aca="false">Industry!H136</f>
        <v>0.740550992427464</v>
      </c>
      <c r="G665" s="42" t="n">
        <f aca="false">Industry!I136</f>
        <v>0.737697441847922</v>
      </c>
      <c r="H665" s="42" t="n">
        <f aca="false">Industry!J136</f>
        <v>0.737278492032014</v>
      </c>
      <c r="I665" s="42" t="n">
        <f aca="false">Industry!K136</f>
        <v>0.741114574114776</v>
      </c>
      <c r="J665" s="47"/>
      <c r="K665" s="47"/>
      <c r="L665" s="47"/>
    </row>
    <row r="666" customFormat="false" ht="15" hidden="false" customHeight="false" outlineLevel="0" collapsed="false">
      <c r="A666" s="52" t="s">
        <v>329</v>
      </c>
      <c r="B666" s="62" t="n">
        <f aca="false">IF(COUNT(B655:B664)=0,"N/M",AVERAGE(B655:B664))</f>
        <v>0.795930899821238</v>
      </c>
      <c r="C666" s="62" t="n">
        <f aca="false">IF(COUNT(C655:C664)=0,"N/M",AVERAGE(C655:C664))</f>
        <v>0.791890185785795</v>
      </c>
      <c r="D666" s="62" t="n">
        <f aca="false">IF(COUNT(D655:D664)=0,"N/M",AVERAGE(D655:D664))</f>
        <v>0.803986067885958</v>
      </c>
      <c r="E666" s="62" t="n">
        <f aca="false">IF(COUNT(E655:E664)=0,"N/M",AVERAGE(E655:E664))</f>
        <v>0.803918864374741</v>
      </c>
      <c r="F666" s="62" t="n">
        <f aca="false">IF(COUNT(F655:F664)=0,"N/M",AVERAGE(F655:F664))</f>
        <v>0.791913099341908</v>
      </c>
      <c r="G666" s="62" t="n">
        <f aca="false">IF(COUNT(G655:G664)=0,"N/M",AVERAGE(G655:G664))</f>
        <v>0.795095462250923</v>
      </c>
      <c r="H666" s="62" t="n">
        <f aca="false">IF(COUNT(H655:H664)=0,"N/M",AVERAGE(H655:H664))</f>
        <v>0.790913103563839</v>
      </c>
      <c r="I666" s="62" t="n">
        <f aca="false">IF(COUNT(I655:I664)=0,"N/M",AVERAGE(I655:I664))</f>
        <v>0.7962353832892</v>
      </c>
      <c r="J666" s="54"/>
      <c r="K666" s="54"/>
      <c r="L666" s="54"/>
    </row>
    <row r="667" customFormat="false" ht="15" hidden="false" customHeight="false" outlineLevel="0" collapsed="false">
      <c r="A667" s="28" t="s">
        <v>281</v>
      </c>
      <c r="B667" s="30" t="n">
        <f aca="false">IF(COUNT(B655:B664)=0,"N/M",MEDIAN(B655:B664))</f>
        <v>0.826163437649638</v>
      </c>
      <c r="C667" s="30" t="n">
        <f aca="false">IF(COUNT(C655:C664)=0,"N/M",MEDIAN(C655:C664))</f>
        <v>0.813350682979498</v>
      </c>
      <c r="D667" s="30" t="n">
        <f aca="false">IF(COUNT(D655:D664)=0,"N/M",MEDIAN(D655:D664))</f>
        <v>0.840813987279154</v>
      </c>
      <c r="E667" s="30" t="n">
        <f aca="false">IF(COUNT(E655:E664)=0,"N/M",MEDIAN(E655:E664))</f>
        <v>0.815433238294294</v>
      </c>
      <c r="F667" s="30" t="n">
        <f aca="false">IF(COUNT(F655:F664)=0,"N/M",MEDIAN(F655:F664))</f>
        <v>0.823721613146804</v>
      </c>
      <c r="G667" s="30" t="n">
        <f aca="false">IF(COUNT(G655:G664)=0,"N/M",MEDIAN(G655:G664))</f>
        <v>0.830730290778638</v>
      </c>
      <c r="H667" s="30" t="n">
        <f aca="false">IF(COUNT(H655:H664)=0,"N/M",MEDIAN(H655:H664))</f>
        <v>0.833999323006927</v>
      </c>
      <c r="I667" s="30" t="n">
        <f aca="false">IF(COUNT(I655:I664)=0,"N/M",MEDIAN(I655:I664))</f>
        <v>0.809309672239746</v>
      </c>
      <c r="J667" s="54"/>
      <c r="K667" s="54"/>
      <c r="L667" s="54"/>
    </row>
    <row r="668" customFormat="false" ht="15" hidden="false" customHeight="false" outlineLevel="0" collapsed="false">
      <c r="A668" s="52" t="s">
        <v>330</v>
      </c>
      <c r="B668" s="62" t="n">
        <f aca="false">IF(COUNT(B655:B664)&lt;2,"N/M",STDEV(B655:B664))</f>
        <v>0.124944361027214</v>
      </c>
      <c r="C668" s="62" t="n">
        <f aca="false">IF(COUNT(C655:C664)&lt;2,"N/M",STDEV(C655:C664))</f>
        <v>0.134910611628972</v>
      </c>
      <c r="D668" s="62" t="n">
        <f aca="false">IF(COUNT(D655:D664)&lt;2,"N/M",STDEV(D655:D664))</f>
        <v>0.12915196000168</v>
      </c>
      <c r="E668" s="62" t="n">
        <f aca="false">IF(COUNT(E655:E664)&lt;2,"N/M",STDEV(E655:E664))</f>
        <v>0.104727836055056</v>
      </c>
      <c r="F668" s="62" t="n">
        <f aca="false">IF(COUNT(F655:F664)&lt;2,"N/M",STDEV(F655:F664))</f>
        <v>0.102406739275057</v>
      </c>
      <c r="G668" s="62" t="n">
        <f aca="false">IF(COUNT(G655:G664)&lt;2,"N/M",STDEV(G655:G664))</f>
        <v>0.10914956627962</v>
      </c>
      <c r="H668" s="62" t="n">
        <f aca="false">IF(COUNT(H655:H664)&lt;2,"N/M",STDEV(H655:H664))</f>
        <v>0.113443727522956</v>
      </c>
      <c r="I668" s="62" t="n">
        <f aca="false">IF(COUNT(I655:I664)&lt;2,"N/M",STDEV(I655:I664))</f>
        <v>0.112349653189973</v>
      </c>
      <c r="J668" s="54"/>
      <c r="K668" s="54"/>
      <c r="L668" s="54"/>
    </row>
    <row r="669" customFormat="false" ht="15" hidden="false" customHeight="false" outlineLevel="0" collapsed="false">
      <c r="A669" s="52" t="s">
        <v>269</v>
      </c>
      <c r="B669" s="62" t="n">
        <f aca="false">IF(COUNT(B655:B664)=0,"N/M",MIN(B655:B664))</f>
        <v>0.543061228989049</v>
      </c>
      <c r="C669" s="62" t="n">
        <f aca="false">IF(COUNT(C655:C664)=0,"N/M",MIN(C655:C664))</f>
        <v>0.502598741533942</v>
      </c>
      <c r="D669" s="62" t="n">
        <f aca="false">IF(COUNT(D655:D664)=0,"N/M",MIN(D655:D664))</f>
        <v>0.53893558312115</v>
      </c>
      <c r="E669" s="62" t="n">
        <f aca="false">IF(COUNT(E655:E664)=0,"N/M",MIN(E655:E664))</f>
        <v>0.602864920672361</v>
      </c>
      <c r="F669" s="62" t="n">
        <f aca="false">IF(COUNT(F655:F664)=0,"N/M",MIN(F655:F664))</f>
        <v>0.606428073798889</v>
      </c>
      <c r="G669" s="62" t="n">
        <f aca="false">IF(COUNT(G655:G664)=0,"N/M",MIN(G655:G664))</f>
        <v>0.61592817009255</v>
      </c>
      <c r="H669" s="62" t="n">
        <f aca="false">IF(COUNT(H655:H664)=0,"N/M",MIN(H655:H664))</f>
        <v>0.60912442516382</v>
      </c>
      <c r="I669" s="62" t="n">
        <f aca="false">IF(COUNT(I655:I664)=0,"N/M",MIN(I655:I664))</f>
        <v>0.574134449053109</v>
      </c>
      <c r="J669" s="54"/>
      <c r="K669" s="54"/>
      <c r="L669" s="54"/>
    </row>
    <row r="670" customFormat="false" ht="15" hidden="false" customHeight="false" outlineLevel="0" collapsed="false">
      <c r="A670" s="52" t="s">
        <v>270</v>
      </c>
      <c r="B670" s="62" t="n">
        <f aca="false">IF(COUNT(B655:B664)=0,"N/M",MAX(B655:B664))</f>
        <v>0.949162719327507</v>
      </c>
      <c r="C670" s="62" t="n">
        <f aca="false">IF(COUNT(C655:C664)=0,"N/M",MAX(C655:C664))</f>
        <v>0.943193287003662</v>
      </c>
      <c r="D670" s="62" t="n">
        <f aca="false">IF(COUNT(D655:D664)=0,"N/M",MAX(D655:D664))</f>
        <v>0.937166126631054</v>
      </c>
      <c r="E670" s="62" t="n">
        <f aca="false">IF(COUNT(E655:E664)=0,"N/M",MAX(E655:E664))</f>
        <v>0.926300127192877</v>
      </c>
      <c r="F670" s="62" t="n">
        <f aca="false">IF(COUNT(F655:F664)=0,"N/M",MAX(F655:F664))</f>
        <v>0.909843463909018</v>
      </c>
      <c r="G670" s="62" t="n">
        <f aca="false">IF(COUNT(G655:G664)=0,"N/M",MAX(G655:G664))</f>
        <v>0.915608859318918</v>
      </c>
      <c r="H670" s="62" t="n">
        <f aca="false">IF(COUNT(H655:H664)=0,"N/M",MAX(H655:H664))</f>
        <v>0.907935263482108</v>
      </c>
      <c r="I670" s="62" t="n">
        <f aca="false">IF(COUNT(I655:I664)=0,"N/M",MAX(I655:I664))</f>
        <v>0.924891000474347</v>
      </c>
      <c r="J670" s="54"/>
      <c r="K670" s="54"/>
      <c r="L670" s="54"/>
    </row>
    <row r="672" customFormat="false" ht="16.5" hidden="false" customHeight="true" outlineLevel="0" collapsed="false">
      <c r="A672" s="49" t="s">
        <v>367</v>
      </c>
      <c r="B672" s="49"/>
      <c r="C672" s="49"/>
      <c r="D672" s="49"/>
      <c r="E672" s="49"/>
      <c r="F672" s="49"/>
      <c r="G672" s="49"/>
      <c r="H672" s="49"/>
      <c r="I672" s="49"/>
      <c r="J672" s="49"/>
      <c r="K672" s="49"/>
      <c r="L672" s="49"/>
    </row>
    <row r="673" customFormat="false" ht="15" hidden="false" customHeight="false" outlineLevel="0" collapsed="false">
      <c r="A673" s="16" t="s">
        <v>52</v>
      </c>
      <c r="B673" s="27" t="n">
        <f aca="false">Tiger!D136</f>
        <v>0.103688470213613</v>
      </c>
      <c r="C673" s="27" t="n">
        <f aca="false">Tiger!E136</f>
        <v>0.132781318877703</v>
      </c>
      <c r="D673" s="27" t="n">
        <f aca="false">Tiger!F136</f>
        <v>0.0281250508039212</v>
      </c>
      <c r="E673" s="27" t="n">
        <f aca="false">Tiger!G136</f>
        <v>0.0481135340948425</v>
      </c>
      <c r="F673" s="27" t="n">
        <f aca="false">Tiger!H136</f>
        <v>0.0794972113543661</v>
      </c>
      <c r="G673" s="27" t="n">
        <f aca="false">Tiger!I136</f>
        <v>0.0458689936790289</v>
      </c>
      <c r="H673" s="27" t="n">
        <f aca="false">Tiger!J136</f>
        <v>0.0539261897280123</v>
      </c>
      <c r="I673" s="61" t="n">
        <f aca="false">Tiger!K136</f>
        <v>0.0702858241073553</v>
      </c>
      <c r="J673" s="25" t="str">
        <f aca="false">IF(AND(ISNUMBER(I673),ISNUMBER(I$685)),IF(I673&gt;I$685,"Above",IF(I673&lt;I$685,"Below","At median")),"-")</f>
        <v>Below</v>
      </c>
      <c r="K673" s="25" t="str">
        <f aca="false">IF(J673="Below","Better",IF(J673="Above","Weaker",IF(J673="At median","In line","-")))</f>
        <v>Better</v>
      </c>
      <c r="L673" s="43" t="n">
        <f aca="false">IF(ISNUMBER(I673),RANK(I673,I$673:I$682,1),"-")</f>
        <v>3</v>
      </c>
    </row>
    <row r="674" customFormat="false" ht="15" hidden="false" customHeight="false" outlineLevel="0" collapsed="false">
      <c r="A674" s="16" t="s">
        <v>54</v>
      </c>
      <c r="B674" s="27" t="n">
        <f aca="false">Allcargo!D136</f>
        <v>0.195378860478286</v>
      </c>
      <c r="C674" s="27" t="n">
        <f aca="false">Allcargo!E136</f>
        <v>0.165807146055</v>
      </c>
      <c r="D674" s="27" t="n">
        <f aca="false">Allcargo!F136</f>
        <v>0.111315356262649</v>
      </c>
      <c r="E674" s="27" t="n">
        <f aca="false">Allcargo!G136</f>
        <v>0.140436668352652</v>
      </c>
      <c r="F674" s="27" t="n">
        <f aca="false">Allcargo!H136</f>
        <v>0.197488873192954</v>
      </c>
      <c r="G674" s="27" t="n">
        <f aca="false">Allcargo!I136</f>
        <v>0.175420703722591</v>
      </c>
      <c r="H674" s="27" t="n">
        <f aca="false">Allcargo!J136</f>
        <v>0.153061224489796</v>
      </c>
      <c r="I674" s="61" t="n">
        <f aca="false">Allcargo!K136</f>
        <v>0.162701261793418</v>
      </c>
      <c r="J674" s="25" t="str">
        <f aca="false">IF(AND(ISNUMBER(I674),ISNUMBER(I$685)),IF(I674&gt;I$685,"Above",IF(I674&lt;I$685,"Below","At median")),"-")</f>
        <v>Above</v>
      </c>
      <c r="K674" s="25" t="str">
        <f aca="false">IF(J674="Below","Better",IF(J674="Above","Weaker",IF(J674="At median","In line","-")))</f>
        <v>Weaker</v>
      </c>
      <c r="L674" s="43" t="n">
        <f aca="false">IF(ISNUMBER(I674),RANK(I674,I$673:I$682,1),"-")</f>
        <v>8</v>
      </c>
    </row>
    <row r="675" customFormat="false" ht="15" hidden="false" customHeight="false" outlineLevel="0" collapsed="false">
      <c r="A675" s="16" t="s">
        <v>277</v>
      </c>
      <c r="B675" s="27" t="n">
        <f aca="false">BlueDart!D136</f>
        <v>0.307461426776226</v>
      </c>
      <c r="C675" s="27" t="n">
        <f aca="false">BlueDart!E136</f>
        <v>0.288683841575607</v>
      </c>
      <c r="D675" s="27" t="n">
        <f aca="false">BlueDart!F136</f>
        <v>0.234329972406694</v>
      </c>
      <c r="E675" s="27" t="n">
        <f aca="false">BlueDart!G136</f>
        <v>0.215857020776378</v>
      </c>
      <c r="F675" s="27" t="n">
        <f aca="false">BlueDart!H136</f>
        <v>0.231645668140392</v>
      </c>
      <c r="G675" s="27" t="n">
        <f aca="false">BlueDart!I136</f>
        <v>0.230884342800401</v>
      </c>
      <c r="H675" s="27" t="n">
        <f aca="false">BlueDart!J136</f>
        <v>0.236067143471294</v>
      </c>
      <c r="I675" s="61" t="n">
        <f aca="false">BlueDart!K136</f>
        <v>0.24927563084957</v>
      </c>
      <c r="J675" s="25" t="str">
        <f aca="false">IF(AND(ISNUMBER(I675),ISNUMBER(I$685)),IF(I675&gt;I$685,"Above",IF(I675&lt;I$685,"Below","At median")),"-")</f>
        <v>Above</v>
      </c>
      <c r="K675" s="25" t="str">
        <f aca="false">IF(J675="Below","Better",IF(J675="Above","Weaker",IF(J675="At median","In line","-")))</f>
        <v>Weaker</v>
      </c>
      <c r="L675" s="43" t="n">
        <f aca="false">IF(ISNUMBER(I675),RANK(I675,I$673:I$682,1),"-")</f>
        <v>10</v>
      </c>
    </row>
    <row r="676" customFormat="false" ht="15" hidden="false" customHeight="false" outlineLevel="0" collapsed="false">
      <c r="A676" s="16" t="s">
        <v>58</v>
      </c>
      <c r="B676" s="27" t="n">
        <f aca="false">CONCOR!D136</f>
        <v>0.0808649565791307</v>
      </c>
      <c r="C676" s="27" t="n">
        <f aca="false">CONCOR!E136</f>
        <v>0.197540718335543</v>
      </c>
      <c r="D676" s="27" t="n">
        <f aca="false">CONCOR!F136</f>
        <v>0.134369042158811</v>
      </c>
      <c r="E676" s="27" t="n">
        <f aca="false">CONCOR!G136</f>
        <v>0.120882053391308</v>
      </c>
      <c r="F676" s="27" t="n">
        <f aca="false">CONCOR!H136</f>
        <v>0.114584886189375</v>
      </c>
      <c r="G676" s="27" t="n">
        <f aca="false">CONCOR!I136</f>
        <v>0.11508357132087</v>
      </c>
      <c r="H676" s="27" t="n">
        <f aca="false">CONCOR!J136</f>
        <v>0.121637146063926</v>
      </c>
      <c r="I676" s="61" t="n">
        <f aca="false">CONCOR!K136</f>
        <v>0.126423196291281</v>
      </c>
      <c r="J676" s="25" t="str">
        <f aca="false">IF(AND(ISNUMBER(I676),ISNUMBER(I$685)),IF(I676&gt;I$685,"Above",IF(I676&lt;I$685,"Below","At median")),"-")</f>
        <v>Above</v>
      </c>
      <c r="K676" s="25" t="str">
        <f aca="false">IF(J676="Below","Better",IF(J676="Above","Weaker",IF(J676="At median","In line","-")))</f>
        <v>Weaker</v>
      </c>
      <c r="L676" s="43" t="n">
        <f aca="false">IF(ISNUMBER(I676),RANK(I676,I$673:I$682,1),"-")</f>
        <v>7</v>
      </c>
    </row>
    <row r="677" customFormat="false" ht="15" hidden="false" customHeight="false" outlineLevel="0" collapsed="false">
      <c r="A677" s="16" t="s">
        <v>278</v>
      </c>
      <c r="B677" s="27" t="n">
        <f aca="false">JetFreight!D136</f>
        <v>0.0625458669691107</v>
      </c>
      <c r="C677" s="27" t="n">
        <f aca="false">JetFreight!E136</f>
        <v>0.0299604948239569</v>
      </c>
      <c r="D677" s="27" t="n">
        <f aca="false">JetFreight!F136</f>
        <v>0.0392328575181715</v>
      </c>
      <c r="E677" s="27" t="n">
        <f aca="false">JetFreight!G136</f>
        <v>0.054500947946915</v>
      </c>
      <c r="F677" s="27" t="n">
        <f aca="false">JetFreight!H136</f>
        <v>0.0749155427186219</v>
      </c>
      <c r="G677" s="27" t="n">
        <f aca="false">JetFreight!I136</f>
        <v>0.0598905251586011</v>
      </c>
      <c r="H677" s="27" t="n">
        <f aca="false">JetFreight!J136</f>
        <v>0.0615429652314898</v>
      </c>
      <c r="I677" s="61" t="n">
        <f aca="false">JetFreight!K136</f>
        <v>0.0546556000524096</v>
      </c>
      <c r="J677" s="25" t="str">
        <f aca="false">IF(AND(ISNUMBER(I677),ISNUMBER(I$685)),IF(I677&gt;I$685,"Above",IF(I677&lt;I$685,"Below","At median")),"-")</f>
        <v>Below</v>
      </c>
      <c r="K677" s="25" t="str">
        <f aca="false">IF(J677="Below","Better",IF(J677="Above","Weaker",IF(J677="At median","In line","-")))</f>
        <v>Better</v>
      </c>
      <c r="L677" s="43" t="n">
        <f aca="false">IF(ISNUMBER(I677),RANK(I677,I$673:I$682,1),"-")</f>
        <v>1</v>
      </c>
    </row>
    <row r="678" customFormat="false" ht="15" hidden="false" customHeight="false" outlineLevel="0" collapsed="false">
      <c r="A678" s="16" t="s">
        <v>62</v>
      </c>
      <c r="B678" s="27" t="n">
        <f aca="false">Patel!D136</f>
        <v>0.08831064160502</v>
      </c>
      <c r="C678" s="27" t="n">
        <f aca="false">Patel!E136</f>
        <v>0.0795288574793875</v>
      </c>
      <c r="D678" s="27" t="n">
        <f aca="false">Patel!F136</f>
        <v>0.0691789006486856</v>
      </c>
      <c r="E678" s="27" t="n">
        <f aca="false">Patel!G136</f>
        <v>0.0655814287767716</v>
      </c>
      <c r="F678" s="27" t="n">
        <f aca="false">Patel!H136</f>
        <v>0.0662192393736018</v>
      </c>
      <c r="G678" s="27" t="n">
        <f aca="false">Patel!I136</f>
        <v>0.0586827745192448</v>
      </c>
      <c r="H678" s="27" t="n">
        <f aca="false">Patel!J136</f>
        <v>0.0630285042280338</v>
      </c>
      <c r="I678" s="61" t="n">
        <f aca="false">Patel!K136</f>
        <v>0.0700757638043922</v>
      </c>
      <c r="J678" s="25" t="str">
        <f aca="false">IF(AND(ISNUMBER(I678),ISNUMBER(I$685)),IF(I678&gt;I$685,"Above",IF(I678&lt;I$685,"Below","At median")),"-")</f>
        <v>Below</v>
      </c>
      <c r="K678" s="25" t="str">
        <f aca="false">IF(J678="Below","Better",IF(J678="Above","Weaker",IF(J678="At median","In line","-")))</f>
        <v>Better</v>
      </c>
      <c r="L678" s="43" t="n">
        <f aca="false">IF(ISNUMBER(I678),RANK(I678,I$673:I$682,1),"-")</f>
        <v>2</v>
      </c>
    </row>
    <row r="679" customFormat="false" ht="15" hidden="false" customHeight="false" outlineLevel="0" collapsed="false">
      <c r="A679" s="16" t="s">
        <v>64</v>
      </c>
      <c r="B679" s="27" t="n">
        <f aca="false">Sical!D136</f>
        <v>0.192187624274238</v>
      </c>
      <c r="C679" s="27" t="n">
        <f aca="false">Sical!E136</f>
        <v>0.254353394356968</v>
      </c>
      <c r="D679" s="27" t="n">
        <f aca="false">Sical!F136</f>
        <v>0.222346432768653</v>
      </c>
      <c r="E679" s="27" t="n">
        <f aca="false">Sical!G136</f>
        <v>0.109357068169646</v>
      </c>
      <c r="F679" s="27" t="n">
        <f aca="false">Sical!H136</f>
        <v>0.206884074358858</v>
      </c>
      <c r="G679" s="27" t="n">
        <f aca="false">Sical!I136</f>
        <v>0.200703272923992</v>
      </c>
      <c r="H679" s="27" t="n">
        <f aca="false">Sical!J136</f>
        <v>0.131585770587015</v>
      </c>
      <c r="I679" s="61" t="n">
        <f aca="false">Sical!K136</f>
        <v>0.188202519634196</v>
      </c>
      <c r="J679" s="25" t="str">
        <f aca="false">IF(AND(ISNUMBER(I679),ISNUMBER(I$685)),IF(I679&gt;I$685,"Above",IF(I679&lt;I$685,"Below","At median")),"-")</f>
        <v>Above</v>
      </c>
      <c r="K679" s="25" t="str">
        <f aca="false">IF(J679="Below","Better",IF(J679="Above","Weaker",IF(J679="At median","In line","-")))</f>
        <v>Weaker</v>
      </c>
      <c r="L679" s="43" t="n">
        <f aca="false">IF(ISNUMBER(I679),RANK(I679,I$673:I$682,1),"-")</f>
        <v>9</v>
      </c>
    </row>
    <row r="680" customFormat="false" ht="15" hidden="false" customHeight="false" outlineLevel="0" collapsed="false">
      <c r="A680" s="16" t="s">
        <v>66</v>
      </c>
      <c r="B680" s="27" t="n">
        <f aca="false">TCI!D136</f>
        <v>0.0889897860065346</v>
      </c>
      <c r="C680" s="27" t="n">
        <f aca="false">TCI!E136</f>
        <v>0.0791288864148102</v>
      </c>
      <c r="D680" s="27" t="n">
        <f aca="false">TCI!F136</f>
        <v>0.0747665558900335</v>
      </c>
      <c r="E680" s="27" t="n">
        <f aca="false">TCI!G136</f>
        <v>0.0769582585385069</v>
      </c>
      <c r="F680" s="27" t="n">
        <f aca="false">TCI!H136</f>
        <v>0.082464850680622</v>
      </c>
      <c r="G680" s="27" t="n">
        <f aca="false">TCI!I136</f>
        <v>0.0819585999314303</v>
      </c>
      <c r="H680" s="27" t="n">
        <f aca="false">TCI!J136</f>
        <v>0.0831602861228001</v>
      </c>
      <c r="I680" s="61" t="n">
        <f aca="false">TCI!K136</f>
        <v>0.0810610319406768</v>
      </c>
      <c r="J680" s="25" t="str">
        <f aca="false">IF(AND(ISNUMBER(I680),ISNUMBER(I$685)),IF(I680&gt;I$685,"Above",IF(I680&lt;I$685,"Below","At median")),"-")</f>
        <v>Below</v>
      </c>
      <c r="K680" s="25" t="str">
        <f aca="false">IF(J680="Below","Better",IF(J680="Above","Weaker",IF(J680="At median","In line","-")))</f>
        <v>Better</v>
      </c>
      <c r="L680" s="43" t="n">
        <f aca="false">IF(ISNUMBER(I680),RANK(I680,I$673:I$682,1),"-")</f>
        <v>4</v>
      </c>
    </row>
    <row r="681" customFormat="false" ht="15" hidden="false" customHeight="false" outlineLevel="0" collapsed="false">
      <c r="A681" s="16" t="s">
        <v>68</v>
      </c>
      <c r="B681" s="27" t="n">
        <f aca="false">Shreeji!D136</f>
        <v>0.157090909090909</v>
      </c>
      <c r="C681" s="27" t="n">
        <f aca="false">Shreeji!E136</f>
        <v>0.134620715143676</v>
      </c>
      <c r="D681" s="27" t="n">
        <f aca="false">Shreeji!F136</f>
        <v>0.150482472212043</v>
      </c>
      <c r="E681" s="27" t="n">
        <f aca="false">Shreeji!G136</f>
        <v>0.107702209826218</v>
      </c>
      <c r="F681" s="27" t="n">
        <f aca="false">Shreeji!H136</f>
        <v>0.0925349301397206</v>
      </c>
      <c r="G681" s="27" t="n">
        <f aca="false">Shreeji!I136</f>
        <v>0.112635116722681</v>
      </c>
      <c r="H681" s="27" t="n">
        <f aca="false">Shreeji!J136</f>
        <v>0.11020530112254</v>
      </c>
      <c r="I681" s="61" t="n">
        <f aca="false">Shreeji!K136</f>
        <v>0.123610236322541</v>
      </c>
      <c r="J681" s="25" t="str">
        <f aca="false">IF(AND(ISNUMBER(I681),ISNUMBER(I$685)),IF(I681&gt;I$685,"Above",IF(I681&lt;I$685,"Below","At median")),"-")</f>
        <v>Above</v>
      </c>
      <c r="K681" s="25" t="str">
        <f aca="false">IF(J681="Below","Better",IF(J681="Above","Weaker",IF(J681="At median","In line","-")))</f>
        <v>Weaker</v>
      </c>
      <c r="L681" s="43" t="n">
        <f aca="false">IF(ISNUMBER(I681),RANK(I681,I$673:I$682,1),"-")</f>
        <v>6</v>
      </c>
    </row>
    <row r="682" customFormat="false" ht="15" hidden="false" customHeight="false" outlineLevel="0" collapsed="false">
      <c r="A682" s="16" t="s">
        <v>279</v>
      </c>
      <c r="B682" s="27" t="n">
        <f aca="false">MahindraLog!D136</f>
        <v>0.106956216113438</v>
      </c>
      <c r="C682" s="27" t="n">
        <f aca="false">MahindraLog!E136</f>
        <v>0.109028960817717</v>
      </c>
      <c r="D682" s="27" t="n">
        <f aca="false">MahindraLog!F136</f>
        <v>0.0953182507558999</v>
      </c>
      <c r="E682" s="27" t="n">
        <f aca="false">MahindraLog!G136</f>
        <v>0.0922295736005569</v>
      </c>
      <c r="F682" s="27" t="n">
        <f aca="false">MahindraLog!H136</f>
        <v>0.104976961371021</v>
      </c>
      <c r="G682" s="27" t="n">
        <f aca="false">MahindraLog!I136</f>
        <v>0.0901630348429031</v>
      </c>
      <c r="H682" s="27" t="n">
        <f aca="false">MahindraLog!J136</f>
        <v>0.0834026259768834</v>
      </c>
      <c r="I682" s="61" t="n">
        <f aca="false">MahindraLog!K136</f>
        <v>0.0974393747826314</v>
      </c>
      <c r="J682" s="25" t="str">
        <f aca="false">IF(AND(ISNUMBER(I682),ISNUMBER(I$685)),IF(I682&gt;I$685,"Above",IF(I682&lt;I$685,"Below","At median")),"-")</f>
        <v>Below</v>
      </c>
      <c r="K682" s="25" t="str">
        <f aca="false">IF(J682="Below","Better",IF(J682="Above","Weaker",IF(J682="At median","In line","-")))</f>
        <v>Better</v>
      </c>
      <c r="L682" s="43" t="n">
        <f aca="false">IF(ISNUMBER(I682),RANK(I682,I$673:I$682,1),"-")</f>
        <v>5</v>
      </c>
    </row>
    <row r="683" customFormat="false" ht="15" hidden="false" customHeight="false" outlineLevel="0" collapsed="false">
      <c r="A683" s="46" t="s">
        <v>328</v>
      </c>
      <c r="B683" s="42" t="n">
        <f aca="false">Industry!D137</f>
        <v>0.151905957408636</v>
      </c>
      <c r="C683" s="42" t="n">
        <f aca="false">Industry!E137</f>
        <v>0.171239317276042</v>
      </c>
      <c r="D683" s="42" t="n">
        <f aca="false">Industry!F137</f>
        <v>0.123332420343722</v>
      </c>
      <c r="E683" s="42" t="n">
        <f aca="false">Industry!G137</f>
        <v>0.131583457589936</v>
      </c>
      <c r="F683" s="42" t="n">
        <f aca="false">Industry!H137</f>
        <v>0.153904013507423</v>
      </c>
      <c r="G683" s="42" t="n">
        <f aca="false">Industry!I137</f>
        <v>0.129525724662235</v>
      </c>
      <c r="H683" s="42" t="n">
        <f aca="false">Industry!J137</f>
        <v>0.128862030920295</v>
      </c>
      <c r="I683" s="42" t="n">
        <f aca="false">Industry!K137</f>
        <v>0.14147898881547</v>
      </c>
      <c r="J683" s="47"/>
      <c r="K683" s="47"/>
      <c r="L683" s="47"/>
    </row>
    <row r="684" customFormat="false" ht="15" hidden="false" customHeight="false" outlineLevel="0" collapsed="false">
      <c r="A684" s="52" t="s">
        <v>329</v>
      </c>
      <c r="B684" s="62" t="n">
        <f aca="false">IF(COUNT(B673:B682)=0,"N/M",AVERAGE(B673:B682))</f>
        <v>0.138347475810651</v>
      </c>
      <c r="C684" s="62" t="n">
        <f aca="false">IF(COUNT(C673:C682)=0,"N/M",AVERAGE(C673:C682))</f>
        <v>0.147143433388037</v>
      </c>
      <c r="D684" s="62" t="n">
        <f aca="false">IF(COUNT(D673:D682)=0,"N/M",AVERAGE(D673:D682))</f>
        <v>0.115946489142556</v>
      </c>
      <c r="E684" s="62" t="n">
        <f aca="false">IF(COUNT(E673:E682)=0,"N/M",AVERAGE(E673:E682))</f>
        <v>0.10316187634738</v>
      </c>
      <c r="F684" s="62" t="n">
        <f aca="false">IF(COUNT(F673:F682)=0,"N/M",AVERAGE(F673:F682))</f>
        <v>0.125121223751953</v>
      </c>
      <c r="G684" s="62" t="n">
        <f aca="false">IF(COUNT(G673:G682)=0,"N/M",AVERAGE(G673:G682))</f>
        <v>0.117129093562174</v>
      </c>
      <c r="H684" s="62" t="n">
        <f aca="false">IF(COUNT(H673:H682)=0,"N/M",AVERAGE(H673:H682))</f>
        <v>0.109761715702179</v>
      </c>
      <c r="I684" s="62" t="n">
        <f aca="false">IF(COUNT(I673:I682)=0,"N/M",AVERAGE(I673:I682))</f>
        <v>0.122373043957847</v>
      </c>
      <c r="J684" s="54"/>
      <c r="K684" s="54"/>
      <c r="L684" s="54"/>
    </row>
    <row r="685" customFormat="false" ht="15" hidden="false" customHeight="false" outlineLevel="0" collapsed="false">
      <c r="A685" s="28" t="s">
        <v>281</v>
      </c>
      <c r="B685" s="30" t="n">
        <f aca="false">IF(COUNT(B673:B682)=0,"N/M",MEDIAN(B673:B682))</f>
        <v>0.105322343163526</v>
      </c>
      <c r="C685" s="30" t="n">
        <f aca="false">IF(COUNT(C673:C682)=0,"N/M",MEDIAN(C673:C682))</f>
        <v>0.133701017010689</v>
      </c>
      <c r="D685" s="30" t="n">
        <f aca="false">IF(COUNT(D673:D682)=0,"N/M",MEDIAN(D673:D682))</f>
        <v>0.103316803509275</v>
      </c>
      <c r="E685" s="30" t="n">
        <f aca="false">IF(COUNT(E673:E682)=0,"N/M",MEDIAN(E673:E682))</f>
        <v>0.0999658917133872</v>
      </c>
      <c r="F685" s="30" t="n">
        <f aca="false">IF(COUNT(F673:F682)=0,"N/M",MEDIAN(F673:F682))</f>
        <v>0.0987559457553707</v>
      </c>
      <c r="G685" s="30" t="n">
        <f aca="false">IF(COUNT(G673:G682)=0,"N/M",MEDIAN(G673:G682))</f>
        <v>0.101399075782792</v>
      </c>
      <c r="H685" s="30" t="n">
        <f aca="false">IF(COUNT(H673:H682)=0,"N/M",MEDIAN(H673:H682))</f>
        <v>0.0968039635497119</v>
      </c>
      <c r="I685" s="30" t="n">
        <f aca="false">IF(COUNT(I673:I682)=0,"N/M",MEDIAN(I673:I682))</f>
        <v>0.110524805552586</v>
      </c>
      <c r="J685" s="54"/>
      <c r="K685" s="54"/>
      <c r="L685" s="54"/>
    </row>
    <row r="686" customFormat="false" ht="15" hidden="false" customHeight="false" outlineLevel="0" collapsed="false">
      <c r="A686" s="52" t="s">
        <v>330</v>
      </c>
      <c r="B686" s="62" t="n">
        <f aca="false">IF(COUNT(B673:B682)&lt;2,"N/M",STDEV(B673:B682))</f>
        <v>0.07548276714342</v>
      </c>
      <c r="C686" s="62" t="n">
        <f aca="false">IF(COUNT(C673:C682)&lt;2,"N/M",STDEV(C673:C682))</f>
        <v>0.0810769427231529</v>
      </c>
      <c r="D686" s="62" t="n">
        <f aca="false">IF(COUNT(D673:D682)&lt;2,"N/M",STDEV(D673:D682))</f>
        <v>0.0705496467078094</v>
      </c>
      <c r="E686" s="62" t="n">
        <f aca="false">IF(COUNT(E673:E682)&lt;2,"N/M",STDEV(E673:E682))</f>
        <v>0.0495302895071598</v>
      </c>
      <c r="F686" s="62" t="n">
        <f aca="false">IF(COUNT(F673:F682)&lt;2,"N/M",STDEV(F673:F682))</f>
        <v>0.0621284876215942</v>
      </c>
      <c r="G686" s="62" t="n">
        <f aca="false">IF(COUNT(G673:G682)&lt;2,"N/M",STDEV(G673:G682))</f>
        <v>0.064188569155796</v>
      </c>
      <c r="H686" s="62" t="n">
        <f aca="false">IF(COUNT(H673:H682)&lt;2,"N/M",STDEV(H673:H682))</f>
        <v>0.0552514505695679</v>
      </c>
      <c r="I686" s="62" t="n">
        <f aca="false">IF(COUNT(I673:I682)&lt;2,"N/M",STDEV(I673:I682))</f>
        <v>0.0618638220862147</v>
      </c>
      <c r="J686" s="54"/>
      <c r="K686" s="54"/>
      <c r="L686" s="54"/>
    </row>
    <row r="687" customFormat="false" ht="15" hidden="false" customHeight="false" outlineLevel="0" collapsed="false">
      <c r="A687" s="52" t="s">
        <v>269</v>
      </c>
      <c r="B687" s="62" t="n">
        <f aca="false">IF(COUNT(B673:B682)=0,"N/M",MIN(B673:B682))</f>
        <v>0.0625458669691107</v>
      </c>
      <c r="C687" s="62" t="n">
        <f aca="false">IF(COUNT(C673:C682)=0,"N/M",MIN(C673:C682))</f>
        <v>0.0299604948239569</v>
      </c>
      <c r="D687" s="62" t="n">
        <f aca="false">IF(COUNT(D673:D682)=0,"N/M",MIN(D673:D682))</f>
        <v>0.0281250508039212</v>
      </c>
      <c r="E687" s="62" t="n">
        <f aca="false">IF(COUNT(E673:E682)=0,"N/M",MIN(E673:E682))</f>
        <v>0.0481135340948425</v>
      </c>
      <c r="F687" s="62" t="n">
        <f aca="false">IF(COUNT(F673:F682)=0,"N/M",MIN(F673:F682))</f>
        <v>0.0662192393736018</v>
      </c>
      <c r="G687" s="62" t="n">
        <f aca="false">IF(COUNT(G673:G682)=0,"N/M",MIN(G673:G682))</f>
        <v>0.0458689936790289</v>
      </c>
      <c r="H687" s="62" t="n">
        <f aca="false">IF(COUNT(H673:H682)=0,"N/M",MIN(H673:H682))</f>
        <v>0.0539261897280123</v>
      </c>
      <c r="I687" s="62" t="n">
        <f aca="false">IF(COUNT(I673:I682)=0,"N/M",MIN(I673:I682))</f>
        <v>0.0546556000524096</v>
      </c>
      <c r="J687" s="54"/>
      <c r="K687" s="54"/>
      <c r="L687" s="54"/>
    </row>
    <row r="688" customFormat="false" ht="15" hidden="false" customHeight="false" outlineLevel="0" collapsed="false">
      <c r="A688" s="52" t="s">
        <v>270</v>
      </c>
      <c r="B688" s="62" t="n">
        <f aca="false">IF(COUNT(B673:B682)=0,"N/M",MAX(B673:B682))</f>
        <v>0.307461426776226</v>
      </c>
      <c r="C688" s="62" t="n">
        <f aca="false">IF(COUNT(C673:C682)=0,"N/M",MAX(C673:C682))</f>
        <v>0.288683841575607</v>
      </c>
      <c r="D688" s="62" t="n">
        <f aca="false">IF(COUNT(D673:D682)=0,"N/M",MAX(D673:D682))</f>
        <v>0.234329972406694</v>
      </c>
      <c r="E688" s="62" t="n">
        <f aca="false">IF(COUNT(E673:E682)=0,"N/M",MAX(E673:E682))</f>
        <v>0.215857020776378</v>
      </c>
      <c r="F688" s="62" t="n">
        <f aca="false">IF(COUNT(F673:F682)=0,"N/M",MAX(F673:F682))</f>
        <v>0.231645668140392</v>
      </c>
      <c r="G688" s="62" t="n">
        <f aca="false">IF(COUNT(G673:G682)=0,"N/M",MAX(G673:G682))</f>
        <v>0.230884342800401</v>
      </c>
      <c r="H688" s="62" t="n">
        <f aca="false">IF(COUNT(H673:H682)=0,"N/M",MAX(H673:H682))</f>
        <v>0.236067143471294</v>
      </c>
      <c r="I688" s="62" t="n">
        <f aca="false">IF(COUNT(I673:I682)=0,"N/M",MAX(I673:I682))</f>
        <v>0.24927563084957</v>
      </c>
      <c r="J688" s="54"/>
      <c r="K688" s="54"/>
      <c r="L688" s="54"/>
    </row>
    <row r="690" customFormat="false" ht="16.5" hidden="false" customHeight="true" outlineLevel="0" collapsed="false">
      <c r="A690" s="49" t="s">
        <v>368</v>
      </c>
      <c r="B690" s="49"/>
      <c r="C690" s="49"/>
      <c r="D690" s="49"/>
      <c r="E690" s="49"/>
      <c r="F690" s="49"/>
      <c r="G690" s="49"/>
      <c r="H690" s="49"/>
      <c r="I690" s="49"/>
      <c r="J690" s="49"/>
      <c r="K690" s="49"/>
      <c r="L690" s="49"/>
    </row>
    <row r="691" customFormat="false" ht="15" hidden="false" customHeight="false" outlineLevel="0" collapsed="false">
      <c r="A691" s="16" t="s">
        <v>52</v>
      </c>
      <c r="B691" s="27" t="n">
        <f aca="false">Tiger!D137</f>
        <v>0.0683959134934324</v>
      </c>
      <c r="C691" s="27" t="n">
        <f aca="false">Tiger!E137</f>
        <v>0.0580210877464705</v>
      </c>
      <c r="D691" s="27" t="n">
        <f aca="false">Tiger!F137</f>
        <v>0.0167287151891532</v>
      </c>
      <c r="E691" s="27" t="n">
        <f aca="false">Tiger!G137</f>
        <v>0.0273912541825314</v>
      </c>
      <c r="F691" s="27" t="n">
        <f aca="false">Tiger!H137</f>
        <v>0.0575626404728211</v>
      </c>
      <c r="G691" s="27" t="n">
        <f aca="false">Tiger!I137</f>
        <v>0.0317167309951334</v>
      </c>
      <c r="H691" s="27" t="n">
        <f aca="false">Tiger!J137</f>
        <v>0.0383191927656157</v>
      </c>
      <c r="I691" s="61" t="n">
        <f aca="false">Tiger!K137</f>
        <v>0.0425907906921654</v>
      </c>
      <c r="J691" s="25" t="str">
        <f aca="false">IF(AND(ISNUMBER(I691),ISNUMBER(I$703)),IF(I691&gt;I$703,"Above",IF(I691&lt;I$703,"Below","At median")),"-")</f>
        <v>Below</v>
      </c>
      <c r="K691" s="25" t="str">
        <f aca="false">IF(J691="Below","Better",IF(J691="Above","Weaker",IF(J691="At median","In line","-")))</f>
        <v>Better</v>
      </c>
      <c r="L691" s="43" t="n">
        <f aca="false">IF(ISNUMBER(I691),RANK(I691,I$691:I$700,1),"-")</f>
        <v>2</v>
      </c>
    </row>
    <row r="692" customFormat="false" ht="15" hidden="false" customHeight="false" outlineLevel="0" collapsed="false">
      <c r="A692" s="16" t="s">
        <v>54</v>
      </c>
      <c r="B692" s="27" t="n">
        <f aca="false">Allcargo!D137</f>
        <v>0.151591834734504</v>
      </c>
      <c r="C692" s="27" t="n">
        <f aca="false">Allcargo!E137</f>
        <v>0.125394118935807</v>
      </c>
      <c r="D692" s="27" t="n">
        <f aca="false">Allcargo!F137</f>
        <v>0.084753169384631</v>
      </c>
      <c r="E692" s="27" t="n">
        <f aca="false">Allcargo!G137</f>
        <v>0.105653664635913</v>
      </c>
      <c r="F692" s="27" t="n">
        <f aca="false">Allcargo!H137</f>
        <v>0.149905001896878</v>
      </c>
      <c r="G692" s="27" t="n">
        <f aca="false">Allcargo!I137</f>
        <v>0.114227434982152</v>
      </c>
      <c r="H692" s="27" t="n">
        <f aca="false">Allcargo!J137</f>
        <v>0.1044703595724</v>
      </c>
      <c r="I692" s="61" t="n">
        <f aca="false">Allcargo!K137</f>
        <v>0.119427940591755</v>
      </c>
      <c r="J692" s="25" t="str">
        <f aca="false">IF(AND(ISNUMBER(I692),ISNUMBER(I$703)),IF(I692&gt;I$703,"Above",IF(I692&lt;I$703,"Below","At median")),"-")</f>
        <v>Above</v>
      </c>
      <c r="K692" s="25" t="str">
        <f aca="false">IF(J692="Below","Better",IF(J692="Above","Weaker",IF(J692="At median","In line","-")))</f>
        <v>Weaker</v>
      </c>
      <c r="L692" s="43" t="n">
        <f aca="false">IF(ISNUMBER(I692),RANK(I692,I$691:I$700,1),"-")</f>
        <v>9</v>
      </c>
    </row>
    <row r="693" customFormat="false" ht="15" hidden="false" customHeight="false" outlineLevel="0" collapsed="false">
      <c r="A693" s="16" t="s">
        <v>277</v>
      </c>
      <c r="B693" s="27" t="n">
        <f aca="false">BlueDart!D137</f>
        <v>0.231133843338698</v>
      </c>
      <c r="C693" s="27" t="n">
        <f aca="false">BlueDart!E137</f>
        <v>0.221952903321949</v>
      </c>
      <c r="D693" s="27" t="n">
        <f aca="false">BlueDart!F137</f>
        <v>0.173751669315654</v>
      </c>
      <c r="E693" s="27" t="n">
        <f aca="false">BlueDart!G137</f>
        <v>0.162319081554922</v>
      </c>
      <c r="F693" s="27" t="n">
        <f aca="false">BlueDart!H137</f>
        <v>0.17251695669754</v>
      </c>
      <c r="G693" s="27" t="n">
        <f aca="false">BlueDart!I137</f>
        <v>0.169491169858291</v>
      </c>
      <c r="H693" s="27" t="n">
        <f aca="false">BlueDart!J137</f>
        <v>0.169977267101783</v>
      </c>
      <c r="I693" s="61" t="n">
        <f aca="false">BlueDart!K137</f>
        <v>0.18587755588412</v>
      </c>
      <c r="J693" s="25" t="str">
        <f aca="false">IF(AND(ISNUMBER(I693),ISNUMBER(I$703)),IF(I693&gt;I$703,"Above",IF(I693&lt;I$703,"Below","At median")),"-")</f>
        <v>Above</v>
      </c>
      <c r="K693" s="25" t="str">
        <f aca="false">IF(J693="Below","Better",IF(J693="Above","Weaker",IF(J693="At median","In line","-")))</f>
        <v>Weaker</v>
      </c>
      <c r="L693" s="43" t="n">
        <f aca="false">IF(ISNUMBER(I693),RANK(I693,I$691:I$700,1),"-")</f>
        <v>10</v>
      </c>
    </row>
    <row r="694" customFormat="false" ht="15" hidden="false" customHeight="false" outlineLevel="0" collapsed="false">
      <c r="A694" s="16" t="s">
        <v>58</v>
      </c>
      <c r="B694" s="27" t="n">
        <f aca="false">CONCOR!D137</f>
        <v>0.0485937028637407</v>
      </c>
      <c r="C694" s="27" t="n">
        <f aca="false">CONCOR!E137</f>
        <v>0.0667270362279605</v>
      </c>
      <c r="D694" s="27" t="n">
        <f aca="false">CONCOR!F137</f>
        <v>0.054794824853353</v>
      </c>
      <c r="E694" s="27" t="n">
        <f aca="false">CONCOR!G137</f>
        <v>0.0527731261139511</v>
      </c>
      <c r="F694" s="27" t="n">
        <f aca="false">CONCOR!H137</f>
        <v>0.0535615439462593</v>
      </c>
      <c r="G694" s="27" t="n">
        <f aca="false">CONCOR!I137</f>
        <v>0.055073579220031</v>
      </c>
      <c r="H694" s="27" t="n">
        <f aca="false">CONCOR!J137</f>
        <v>0.0572664079735917</v>
      </c>
      <c r="I694" s="61" t="n">
        <f aca="false">CONCOR!K137</f>
        <v>0.0555414601712696</v>
      </c>
      <c r="J694" s="25" t="str">
        <f aca="false">IF(AND(ISNUMBER(I694),ISNUMBER(I$703)),IF(I694&gt;I$703,"Above",IF(I694&lt;I$703,"Below","At median")),"-")</f>
        <v>Below</v>
      </c>
      <c r="K694" s="25" t="str">
        <f aca="false">IF(J694="Below","Better",IF(J694="Above","Weaker",IF(J694="At median","In line","-")))</f>
        <v>Better</v>
      </c>
      <c r="L694" s="43" t="n">
        <f aca="false">IF(ISNUMBER(I694),RANK(I694,I$691:I$700,1),"-")</f>
        <v>5</v>
      </c>
    </row>
    <row r="695" customFormat="false" ht="15" hidden="false" customHeight="false" outlineLevel="0" collapsed="false">
      <c r="A695" s="16" t="s">
        <v>278</v>
      </c>
      <c r="B695" s="27" t="n">
        <f aca="false">JetFreight!D137</f>
        <v>0.0389619053972914</v>
      </c>
      <c r="C695" s="27" t="n">
        <f aca="false">JetFreight!E137</f>
        <v>0.025462095216125</v>
      </c>
      <c r="D695" s="27" t="n">
        <f aca="false">JetFreight!F137</f>
        <v>0.0269944828794115</v>
      </c>
      <c r="E695" s="27" t="n">
        <f aca="false">JetFreight!G137</f>
        <v>0.0410377018886942</v>
      </c>
      <c r="F695" s="27" t="n">
        <f aca="false">JetFreight!H137</f>
        <v>0.0578951440286768</v>
      </c>
      <c r="G695" s="27" t="n">
        <f aca="false">JetFreight!I137</f>
        <v>0.0459656917756453</v>
      </c>
      <c r="H695" s="27" t="n">
        <f aca="false">JetFreight!J137</f>
        <v>0.0464330751215997</v>
      </c>
      <c r="I695" s="61" t="n">
        <f aca="false">JetFreight!K137</f>
        <v>0.0403928709010634</v>
      </c>
      <c r="J695" s="25" t="str">
        <f aca="false">IF(AND(ISNUMBER(I695),ISNUMBER(I$703)),IF(I695&gt;I$703,"Above",IF(I695&lt;I$703,"Below","At median")),"-")</f>
        <v>Below</v>
      </c>
      <c r="K695" s="25" t="str">
        <f aca="false">IF(J695="Below","Better",IF(J695="Above","Weaker",IF(J695="At median","In line","-")))</f>
        <v>Better</v>
      </c>
      <c r="L695" s="43" t="n">
        <f aca="false">IF(ISNUMBER(I695),RANK(I695,I$691:I$700,1),"-")</f>
        <v>1</v>
      </c>
    </row>
    <row r="696" customFormat="false" ht="15" hidden="false" customHeight="false" outlineLevel="0" collapsed="false">
      <c r="A696" s="16" t="s">
        <v>62</v>
      </c>
      <c r="B696" s="27" t="n">
        <f aca="false">Patel!D137</f>
        <v>0.054488932385366</v>
      </c>
      <c r="C696" s="27" t="n">
        <f aca="false">Patel!E137</f>
        <v>0.0538515901060071</v>
      </c>
      <c r="D696" s="27" t="n">
        <f aca="false">Patel!F137</f>
        <v>0.0466029361556845</v>
      </c>
      <c r="E696" s="27" t="n">
        <f aca="false">Patel!G137</f>
        <v>0.0444516314503378</v>
      </c>
      <c r="F696" s="27" t="n">
        <f aca="false">Patel!H137</f>
        <v>0.0431595250387197</v>
      </c>
      <c r="G696" s="27" t="n">
        <f aca="false">Patel!I137</f>
        <v>0.0401529078759228</v>
      </c>
      <c r="H696" s="27" t="n">
        <f aca="false">Patel!J137</f>
        <v>0.0432603460827687</v>
      </c>
      <c r="I696" s="61" t="n">
        <f aca="false">Patel!K137</f>
        <v>0.0465668384421152</v>
      </c>
      <c r="J696" s="25" t="str">
        <f aca="false">IF(AND(ISNUMBER(I696),ISNUMBER(I$703)),IF(I696&gt;I$703,"Above",IF(I696&lt;I$703,"Below","At median")),"-")</f>
        <v>Below</v>
      </c>
      <c r="K696" s="25" t="str">
        <f aca="false">IF(J696="Below","Better",IF(J696="Above","Weaker",IF(J696="At median","In line","-")))</f>
        <v>Better</v>
      </c>
      <c r="L696" s="43" t="n">
        <f aca="false">IF(ISNUMBER(I696),RANK(I696,I$691:I$700,1),"-")</f>
        <v>3</v>
      </c>
    </row>
    <row r="697" customFormat="false" ht="15" hidden="false" customHeight="false" outlineLevel="0" collapsed="false">
      <c r="A697" s="16" t="s">
        <v>64</v>
      </c>
      <c r="B697" s="27" t="n">
        <f aca="false">Sical!D137</f>
        <v>0.132655293088364</v>
      </c>
      <c r="C697" s="27" t="n">
        <f aca="false">Sical!E137</f>
        <v>0.10734070647102</v>
      </c>
      <c r="D697" s="27" t="n">
        <f aca="false">Sical!F137</f>
        <v>0.0828675437842176</v>
      </c>
      <c r="E697" s="27" t="n">
        <f aca="false">Sical!G137</f>
        <v>0.0608757746550713</v>
      </c>
      <c r="F697" s="27" t="n">
        <f aca="false">Sical!H137</f>
        <v>0.111628748473472</v>
      </c>
      <c r="G697" s="27" t="n">
        <f aca="false">Sical!I137</f>
        <v>0.100126228473537</v>
      </c>
      <c r="H697" s="27" t="n">
        <f aca="false">Sical!J137</f>
        <v>0.0693320887782618</v>
      </c>
      <c r="I697" s="61" t="n">
        <f aca="false">Sical!K137</f>
        <v>0.0949751976748492</v>
      </c>
      <c r="J697" s="25" t="str">
        <f aca="false">IF(AND(ISNUMBER(I697),ISNUMBER(I$703)),IF(I697&gt;I$703,"Above",IF(I697&lt;I$703,"Below","At median")),"-")</f>
        <v>Above</v>
      </c>
      <c r="K697" s="25" t="str">
        <f aca="false">IF(J697="Below","Better",IF(J697="Above","Weaker",IF(J697="At median","In line","-")))</f>
        <v>Weaker</v>
      </c>
      <c r="L697" s="43" t="n">
        <f aca="false">IF(ISNUMBER(I697),RANK(I697,I$691:I$700,1),"-")</f>
        <v>8</v>
      </c>
    </row>
    <row r="698" customFormat="false" ht="15" hidden="false" customHeight="false" outlineLevel="0" collapsed="false">
      <c r="A698" s="16" t="s">
        <v>66</v>
      </c>
      <c r="B698" s="27" t="n">
        <f aca="false">TCI!D137</f>
        <v>0.05808288935331</v>
      </c>
      <c r="C698" s="27" t="n">
        <f aca="false">TCI!E137</f>
        <v>0.0522054389289143</v>
      </c>
      <c r="D698" s="27" t="n">
        <f aca="false">TCI!F137</f>
        <v>0.0524547304077255</v>
      </c>
      <c r="E698" s="27" t="n">
        <f aca="false">TCI!G137</f>
        <v>0.0522211089285856</v>
      </c>
      <c r="F698" s="27" t="n">
        <f aca="false">TCI!H137</f>
        <v>0.0557767142282059</v>
      </c>
      <c r="G698" s="27" t="n">
        <f aca="false">TCI!I137</f>
        <v>0.0558531361731875</v>
      </c>
      <c r="H698" s="27" t="n">
        <f aca="false">TCI!J137</f>
        <v>0.0563886453911816</v>
      </c>
      <c r="I698" s="61" t="n">
        <f aca="false">TCI!K137</f>
        <v>0.0547118090587301</v>
      </c>
      <c r="J698" s="25" t="str">
        <f aca="false">IF(AND(ISNUMBER(I698),ISNUMBER(I$703)),IF(I698&gt;I$703,"Above",IF(I698&lt;I$703,"Below","At median")),"-")</f>
        <v>Below</v>
      </c>
      <c r="K698" s="25" t="str">
        <f aca="false">IF(J698="Below","Better",IF(J698="Above","Weaker",IF(J698="At median","In line","-")))</f>
        <v>Better</v>
      </c>
      <c r="L698" s="43" t="n">
        <f aca="false">IF(ISNUMBER(I698),RANK(I698,I$691:I$700,1),"-")</f>
        <v>4</v>
      </c>
    </row>
    <row r="699" customFormat="false" ht="15" hidden="false" customHeight="false" outlineLevel="0" collapsed="false">
      <c r="A699" s="16" t="s">
        <v>68</v>
      </c>
      <c r="B699" s="27" t="n">
        <f aca="false">Shreeji!D137</f>
        <v>0.096</v>
      </c>
      <c r="C699" s="27" t="n">
        <f aca="false">Shreeji!E137</f>
        <v>0.0767809295019865</v>
      </c>
      <c r="D699" s="27" t="n">
        <f aca="false">Shreeji!F137</f>
        <v>0.0496518871381458</v>
      </c>
      <c r="E699" s="27" t="n">
        <f aca="false">Shreeji!G137</f>
        <v>0.0487019952799828</v>
      </c>
      <c r="F699" s="27" t="n">
        <f aca="false">Shreeji!H137</f>
        <v>0.0358083832335329</v>
      </c>
      <c r="G699" s="27" t="n">
        <f aca="false">Shreeji!I137</f>
        <v>0.0574984103914979</v>
      </c>
      <c r="H699" s="27" t="n">
        <f aca="false">Shreeji!J137</f>
        <v>0.051133210977848</v>
      </c>
      <c r="I699" s="61" t="n">
        <f aca="false">Shreeji!K137</f>
        <v>0.0593678309318563</v>
      </c>
      <c r="J699" s="25" t="str">
        <f aca="false">IF(AND(ISNUMBER(I699),ISNUMBER(I$703)),IF(I699&gt;I$703,"Above",IF(I699&lt;I$703,"Below","At median")),"-")</f>
        <v>Above</v>
      </c>
      <c r="K699" s="25" t="str">
        <f aca="false">IF(J699="Below","Better",IF(J699="Above","Weaker",IF(J699="At median","In line","-")))</f>
        <v>Weaker</v>
      </c>
      <c r="L699" s="43" t="n">
        <f aca="false">IF(ISNUMBER(I699),RANK(I699,I$691:I$700,1),"-")</f>
        <v>6</v>
      </c>
    </row>
    <row r="700" customFormat="false" ht="15" hidden="false" customHeight="false" outlineLevel="0" collapsed="false">
      <c r="A700" s="16" t="s">
        <v>279</v>
      </c>
      <c r="B700" s="27" t="n">
        <f aca="false">MahindraLog!D137</f>
        <v>0.0883456155614582</v>
      </c>
      <c r="C700" s="27" t="n">
        <f aca="false">MahindraLog!E137</f>
        <v>0.0908349981003272</v>
      </c>
      <c r="D700" s="27" t="n">
        <f aca="false">MahindraLog!F137</f>
        <v>0.0760005409634946</v>
      </c>
      <c r="E700" s="27" t="n">
        <f aca="false">MahindraLog!G137</f>
        <v>0.0691380557651771</v>
      </c>
      <c r="F700" s="27" t="n">
        <f aca="false">MahindraLog!H137</f>
        <v>0.0735020350637581</v>
      </c>
      <c r="G700" s="27" t="n">
        <f aca="false">MahindraLog!I137</f>
        <v>0.0661115870548402</v>
      </c>
      <c r="H700" s="27" t="n">
        <f aca="false">MahindraLog!J137</f>
        <v>0.0610632491820611</v>
      </c>
      <c r="I700" s="61" t="n">
        <f aca="false">MahindraLog!K137</f>
        <v>0.0749994402415881</v>
      </c>
      <c r="J700" s="25" t="str">
        <f aca="false">IF(AND(ISNUMBER(I700),ISNUMBER(I$703)),IF(I700&gt;I$703,"Above",IF(I700&lt;I$703,"Below","At median")),"-")</f>
        <v>Above</v>
      </c>
      <c r="K700" s="25" t="str">
        <f aca="false">IF(J700="Below","Better",IF(J700="Above","Weaker",IF(J700="At median","In line","-")))</f>
        <v>Weaker</v>
      </c>
      <c r="L700" s="43" t="n">
        <f aca="false">IF(ISNUMBER(I700),RANK(I700,I$691:I$700,1),"-")</f>
        <v>7</v>
      </c>
    </row>
    <row r="701" customFormat="false" ht="15" hidden="false" customHeight="false" outlineLevel="0" collapsed="false">
      <c r="A701" s="46" t="s">
        <v>328</v>
      </c>
      <c r="B701" s="42" t="n">
        <f aca="false">Industry!D138</f>
        <v>0.111620845259439</v>
      </c>
      <c r="C701" s="42" t="n">
        <f aca="false">Industry!E138</f>
        <v>0.108993384432506</v>
      </c>
      <c r="D701" s="42" t="n">
        <f aca="false">Industry!F138</f>
        <v>0.0832212752192724</v>
      </c>
      <c r="E701" s="42" t="n">
        <f aca="false">Industry!G138</f>
        <v>0.090554260620845</v>
      </c>
      <c r="F701" s="42" t="n">
        <f aca="false">Industry!H138</f>
        <v>0.106531232742807</v>
      </c>
      <c r="G701" s="42" t="n">
        <f aca="false">Industry!I138</f>
        <v>0.08378096730428</v>
      </c>
      <c r="H701" s="42" t="n">
        <f aca="false">Industry!J138</f>
        <v>0.0827281579764992</v>
      </c>
      <c r="I701" s="42" t="n">
        <f aca="false">Industry!K138</f>
        <v>0.0953471605079499</v>
      </c>
      <c r="J701" s="47"/>
      <c r="K701" s="47"/>
      <c r="L701" s="47"/>
    </row>
    <row r="702" customFormat="false" ht="15" hidden="false" customHeight="false" outlineLevel="0" collapsed="false">
      <c r="A702" s="52" t="s">
        <v>329</v>
      </c>
      <c r="B702" s="62" t="n">
        <f aca="false">IF(COUNT(B691:B700)=0,"N/M",AVERAGE(B691:B700))</f>
        <v>0.0968249930216164</v>
      </c>
      <c r="C702" s="62" t="n">
        <f aca="false">IF(COUNT(C691:C700)=0,"N/M",AVERAGE(C691:C700))</f>
        <v>0.0878570904556568</v>
      </c>
      <c r="D702" s="62" t="n">
        <f aca="false">IF(COUNT(D691:D700)=0,"N/M",AVERAGE(D691:D700))</f>
        <v>0.0664600500071471</v>
      </c>
      <c r="E702" s="62" t="n">
        <f aca="false">IF(COUNT(E691:E700)=0,"N/M",AVERAGE(E691:E700))</f>
        <v>0.0664563394455167</v>
      </c>
      <c r="F702" s="62" t="n">
        <f aca="false">IF(COUNT(F691:F700)=0,"N/M",AVERAGE(F691:F700))</f>
        <v>0.0811316693079864</v>
      </c>
      <c r="G702" s="62" t="n">
        <f aca="false">IF(COUNT(G691:G700)=0,"N/M",AVERAGE(G691:G700))</f>
        <v>0.0736216876800238</v>
      </c>
      <c r="H702" s="62" t="n">
        <f aca="false">IF(COUNT(H691:H700)=0,"N/M",AVERAGE(H691:H700))</f>
        <v>0.0697643842947112</v>
      </c>
      <c r="I702" s="62" t="n">
        <f aca="false">IF(COUNT(I691:I700)=0,"N/M",AVERAGE(I691:I700))</f>
        <v>0.0774451734589512</v>
      </c>
      <c r="J702" s="54"/>
      <c r="K702" s="54"/>
      <c r="L702" s="54"/>
    </row>
    <row r="703" customFormat="false" ht="15" hidden="false" customHeight="false" outlineLevel="0" collapsed="false">
      <c r="A703" s="28" t="s">
        <v>281</v>
      </c>
      <c r="B703" s="30" t="n">
        <f aca="false">IF(COUNT(B691:B700)=0,"N/M",MEDIAN(B691:B700))</f>
        <v>0.0783707645274453</v>
      </c>
      <c r="C703" s="30" t="n">
        <f aca="false">IF(COUNT(C691:C700)=0,"N/M",MEDIAN(C691:C700))</f>
        <v>0.0717539828649735</v>
      </c>
      <c r="D703" s="30" t="n">
        <f aca="false">IF(COUNT(D691:D700)=0,"N/M",MEDIAN(D691:D700))</f>
        <v>0.0536247776305393</v>
      </c>
      <c r="E703" s="30" t="n">
        <f aca="false">IF(COUNT(E691:E700)=0,"N/M",MEDIAN(E691:E700))</f>
        <v>0.0524971175212683</v>
      </c>
      <c r="F703" s="30" t="n">
        <f aca="false">IF(COUNT(F691:F700)=0,"N/M",MEDIAN(F691:F700))</f>
        <v>0.057728892250749</v>
      </c>
      <c r="G703" s="30" t="n">
        <f aca="false">IF(COUNT(G691:G700)=0,"N/M",MEDIAN(G691:G700))</f>
        <v>0.0566757732823427</v>
      </c>
      <c r="H703" s="30" t="n">
        <f aca="false">IF(COUNT(H691:H700)=0,"N/M",MEDIAN(H691:H700))</f>
        <v>0.0568275266823867</v>
      </c>
      <c r="I703" s="30" t="n">
        <f aca="false">IF(COUNT(I691:I700)=0,"N/M",MEDIAN(I691:I700))</f>
        <v>0.057454645551563</v>
      </c>
      <c r="J703" s="54"/>
      <c r="K703" s="54"/>
      <c r="L703" s="54"/>
    </row>
    <row r="704" customFormat="false" ht="15" hidden="false" customHeight="false" outlineLevel="0" collapsed="false">
      <c r="A704" s="52" t="s">
        <v>330</v>
      </c>
      <c r="B704" s="62" t="n">
        <f aca="false">IF(COUNT(B691:B700)&lt;2,"N/M",STDEV(B691:B700))</f>
        <v>0.0597871823243325</v>
      </c>
      <c r="C704" s="62" t="n">
        <f aca="false">IF(COUNT(C691:C700)&lt;2,"N/M",STDEV(C691:C700))</f>
        <v>0.0553364377590196</v>
      </c>
      <c r="D704" s="62" t="n">
        <f aca="false">IF(COUNT(D691:D700)&lt;2,"N/M",STDEV(D691:D700))</f>
        <v>0.0437748520222614</v>
      </c>
      <c r="E704" s="62" t="n">
        <f aca="false">IF(COUNT(E691:E700)&lt;2,"N/M",STDEV(E691:E700))</f>
        <v>0.0396174961070283</v>
      </c>
      <c r="F704" s="62" t="n">
        <f aca="false">IF(COUNT(F691:F700)&lt;2,"N/M",STDEV(F691:F700))</f>
        <v>0.0472156164971115</v>
      </c>
      <c r="G704" s="62" t="n">
        <f aca="false">IF(COUNT(G691:G700)&lt;2,"N/M",STDEV(G691:G700))</f>
        <v>0.0423732478072181</v>
      </c>
      <c r="H704" s="62" t="n">
        <f aca="false">IF(COUNT(H691:H700)&lt;2,"N/M",STDEV(H691:H700))</f>
        <v>0.0397783689881494</v>
      </c>
      <c r="I704" s="62" t="n">
        <f aca="false">IF(COUNT(I691:I700)&lt;2,"N/M",STDEV(I691:I700))</f>
        <v>0.0455801603726844</v>
      </c>
      <c r="J704" s="54"/>
      <c r="K704" s="54"/>
      <c r="L704" s="54"/>
    </row>
    <row r="705" customFormat="false" ht="15" hidden="false" customHeight="false" outlineLevel="0" collapsed="false">
      <c r="A705" s="52" t="s">
        <v>269</v>
      </c>
      <c r="B705" s="62" t="n">
        <f aca="false">IF(COUNT(B691:B700)=0,"N/M",MIN(B691:B700))</f>
        <v>0.0389619053972914</v>
      </c>
      <c r="C705" s="62" t="n">
        <f aca="false">IF(COUNT(C691:C700)=0,"N/M",MIN(C691:C700))</f>
        <v>0.025462095216125</v>
      </c>
      <c r="D705" s="62" t="n">
        <f aca="false">IF(COUNT(D691:D700)=0,"N/M",MIN(D691:D700))</f>
        <v>0.0167287151891532</v>
      </c>
      <c r="E705" s="62" t="n">
        <f aca="false">IF(COUNT(E691:E700)=0,"N/M",MIN(E691:E700))</f>
        <v>0.0273912541825314</v>
      </c>
      <c r="F705" s="62" t="n">
        <f aca="false">IF(COUNT(F691:F700)=0,"N/M",MIN(F691:F700))</f>
        <v>0.0358083832335329</v>
      </c>
      <c r="G705" s="62" t="n">
        <f aca="false">IF(COUNT(G691:G700)=0,"N/M",MIN(G691:G700))</f>
        <v>0.0317167309951334</v>
      </c>
      <c r="H705" s="62" t="n">
        <f aca="false">IF(COUNT(H691:H700)=0,"N/M",MIN(H691:H700))</f>
        <v>0.0383191927656157</v>
      </c>
      <c r="I705" s="62" t="n">
        <f aca="false">IF(COUNT(I691:I700)=0,"N/M",MIN(I691:I700))</f>
        <v>0.0403928709010634</v>
      </c>
      <c r="J705" s="54"/>
      <c r="K705" s="54"/>
      <c r="L705" s="54"/>
    </row>
    <row r="706" customFormat="false" ht="15" hidden="false" customHeight="false" outlineLevel="0" collapsed="false">
      <c r="A706" s="52" t="s">
        <v>270</v>
      </c>
      <c r="B706" s="62" t="n">
        <f aca="false">IF(COUNT(B691:B700)=0,"N/M",MAX(B691:B700))</f>
        <v>0.231133843338698</v>
      </c>
      <c r="C706" s="62" t="n">
        <f aca="false">IF(COUNT(C691:C700)=0,"N/M",MAX(C691:C700))</f>
        <v>0.221952903321949</v>
      </c>
      <c r="D706" s="62" t="n">
        <f aca="false">IF(COUNT(D691:D700)=0,"N/M",MAX(D691:D700))</f>
        <v>0.173751669315654</v>
      </c>
      <c r="E706" s="62" t="n">
        <f aca="false">IF(COUNT(E691:E700)=0,"N/M",MAX(E691:E700))</f>
        <v>0.162319081554922</v>
      </c>
      <c r="F706" s="62" t="n">
        <f aca="false">IF(COUNT(F691:F700)=0,"N/M",MAX(F691:F700))</f>
        <v>0.17251695669754</v>
      </c>
      <c r="G706" s="62" t="n">
        <f aca="false">IF(COUNT(G691:G700)=0,"N/M",MAX(G691:G700))</f>
        <v>0.169491169858291</v>
      </c>
      <c r="H706" s="62" t="n">
        <f aca="false">IF(COUNT(H691:H700)=0,"N/M",MAX(H691:H700))</f>
        <v>0.169977267101783</v>
      </c>
      <c r="I706" s="62" t="n">
        <f aca="false">IF(COUNT(I691:I700)=0,"N/M",MAX(I691:I700))</f>
        <v>0.18587755588412</v>
      </c>
      <c r="J706" s="54"/>
      <c r="K706" s="54"/>
      <c r="L706" s="54"/>
    </row>
    <row r="708" customFormat="false" ht="16.5" hidden="false" customHeight="true" outlineLevel="0" collapsed="false">
      <c r="A708" s="49" t="s">
        <v>369</v>
      </c>
      <c r="B708" s="49"/>
      <c r="C708" s="49"/>
      <c r="D708" s="49"/>
      <c r="E708" s="49"/>
      <c r="F708" s="49"/>
      <c r="G708" s="49"/>
      <c r="H708" s="49"/>
      <c r="I708" s="49"/>
      <c r="J708" s="49"/>
      <c r="K708" s="49"/>
      <c r="L708" s="49"/>
    </row>
    <row r="709" customFormat="false" ht="15" hidden="false" customHeight="false" outlineLevel="0" collapsed="false">
      <c r="A709" s="16" t="s">
        <v>52</v>
      </c>
      <c r="B709" s="27" t="n">
        <f aca="false">Tiger!D138</f>
        <v>0.0142297996550352</v>
      </c>
      <c r="C709" s="27" t="n">
        <f aca="false">Tiger!E138</f>
        <v>0.0249597903139334</v>
      </c>
      <c r="D709" s="27" t="n">
        <f aca="false">Tiger!F138</f>
        <v>0.00448700232478744</v>
      </c>
      <c r="E709" s="27" t="n">
        <f aca="false">Tiger!G138</f>
        <v>0.0176762432214146</v>
      </c>
      <c r="F709" s="27" t="n">
        <f aca="false">Tiger!H138</f>
        <v>0.0171064679930076</v>
      </c>
      <c r="G709" s="27" t="n">
        <f aca="false">Tiger!I138</f>
        <v>0.0112621431634689</v>
      </c>
      <c r="H709" s="27" t="n">
        <f aca="false">Tiger!J138</f>
        <v>0.0123599036346496</v>
      </c>
      <c r="I709" s="61" t="n">
        <f aca="false">Tiger!K138</f>
        <v>0.0145830500437567</v>
      </c>
      <c r="J709" s="25" t="str">
        <f aca="false">IF(AND(ISNUMBER(I709),ISNUMBER(I$721)),IF(I709&gt;I$721,"Above",IF(I709&lt;I$721,"Below","At median")),"-")</f>
        <v>Below</v>
      </c>
      <c r="K709" s="25" t="str">
        <f aca="false">IF(J709="Below","Better",IF(J709="Above","Weaker",IF(J709="At median","In line","-")))</f>
        <v>Better</v>
      </c>
      <c r="L709" s="43" t="n">
        <f aca="false">IF(ISNUMBER(I709),RANK(I709,I$709:I$718,1),"-")</f>
        <v>3</v>
      </c>
    </row>
    <row r="710" customFormat="false" ht="15" hidden="false" customHeight="false" outlineLevel="0" collapsed="false">
      <c r="A710" s="16" t="s">
        <v>54</v>
      </c>
      <c r="B710" s="27" t="n">
        <f aca="false">Allcargo!D138</f>
        <v>0.0384768262403624</v>
      </c>
      <c r="C710" s="27" t="n">
        <f aca="false">Allcargo!E138</f>
        <v>0.0330459797487164</v>
      </c>
      <c r="D710" s="27" t="n">
        <f aca="false">Allcargo!F138</f>
        <v>0.0230295151730715</v>
      </c>
      <c r="E710" s="27" t="n">
        <f aca="false">Allcargo!G138</f>
        <v>0.0292153741917935</v>
      </c>
      <c r="F710" s="27" t="n">
        <f aca="false">Allcargo!H138</f>
        <v>0.0386168831369114</v>
      </c>
      <c r="G710" s="27" t="n">
        <f aca="false">Allcargo!I138</f>
        <v>0.0494645588985212</v>
      </c>
      <c r="H710" s="27" t="n">
        <f aca="false">Allcargo!J138</f>
        <v>0.0427599611273081</v>
      </c>
      <c r="I710" s="61" t="n">
        <f aca="false">Allcargo!K138</f>
        <v>0.0363727283595264</v>
      </c>
      <c r="J710" s="25" t="str">
        <f aca="false">IF(AND(ISNUMBER(I710),ISNUMBER(I$721)),IF(I710&gt;I$721,"Above",IF(I710&lt;I$721,"Below","At median")),"-")</f>
        <v>Above</v>
      </c>
      <c r="K710" s="25" t="str">
        <f aca="false">IF(J710="Below","Better",IF(J710="Above","Weaker",IF(J710="At median","In line","-")))</f>
        <v>Weaker</v>
      </c>
      <c r="L710" s="43" t="n">
        <f aca="false">IF(ISNUMBER(I710),RANK(I710,I$709:I$718,1),"-")</f>
        <v>6</v>
      </c>
    </row>
    <row r="711" customFormat="false" ht="15" hidden="false" customHeight="false" outlineLevel="0" collapsed="false">
      <c r="A711" s="16" t="s">
        <v>277</v>
      </c>
      <c r="B711" s="27" t="n">
        <f aca="false">BlueDart!D138</f>
        <v>0.0652319747537896</v>
      </c>
      <c r="C711" s="27" t="n">
        <f aca="false">BlueDart!E138</f>
        <v>0.0599915453464431</v>
      </c>
      <c r="D711" s="27" t="n">
        <f aca="false">BlueDart!F138</f>
        <v>0.0563928271008437</v>
      </c>
      <c r="E711" s="27" t="n">
        <f aca="false">BlueDart!G138</f>
        <v>0.0440178492020834</v>
      </c>
      <c r="F711" s="27" t="n">
        <f aca="false">BlueDart!H138</f>
        <v>0.0529402049800392</v>
      </c>
      <c r="G711" s="27" t="n">
        <f aca="false">BlueDart!I138</f>
        <v>0.0554475558461447</v>
      </c>
      <c r="H711" s="27" t="n">
        <f aca="false">BlueDart!J138</f>
        <v>0.0581919855134769</v>
      </c>
      <c r="I711" s="61" t="n">
        <f aca="false">BlueDart!K138</f>
        <v>0.0560305632489744</v>
      </c>
      <c r="J711" s="25" t="str">
        <f aca="false">IF(AND(ISNUMBER(I711),ISNUMBER(I$721)),IF(I711&gt;I$721,"Above",IF(I711&lt;I$721,"Below","At median")),"-")</f>
        <v>Above</v>
      </c>
      <c r="K711" s="25" t="str">
        <f aca="false">IF(J711="Below","Better",IF(J711="Above","Weaker",IF(J711="At median","In line","-")))</f>
        <v>Weaker</v>
      </c>
      <c r="L711" s="43" t="n">
        <f aca="false">IF(ISNUMBER(I711),RANK(I711,I$709:I$718,1),"-")</f>
        <v>8</v>
      </c>
    </row>
    <row r="712" customFormat="false" ht="15" hidden="false" customHeight="false" outlineLevel="0" collapsed="false">
      <c r="A712" s="16" t="s">
        <v>58</v>
      </c>
      <c r="B712" s="27" t="n">
        <f aca="false">CONCOR!D138</f>
        <v>0.0416108369179222</v>
      </c>
      <c r="C712" s="27" t="n">
        <f aca="false">CONCOR!E138</f>
        <v>0.137325192778058</v>
      </c>
      <c r="D712" s="27" t="n">
        <f aca="false">CONCOR!F138</f>
        <v>0.0908133437348502</v>
      </c>
      <c r="E712" s="27" t="n">
        <f aca="false">CONCOR!G138</f>
        <v>0.080209373837084</v>
      </c>
      <c r="F712" s="27" t="n">
        <f aca="false">CONCOR!H138</f>
        <v>0.0747497229415918</v>
      </c>
      <c r="G712" s="27" t="n">
        <f aca="false">CONCOR!I138</f>
        <v>0.0718159743085984</v>
      </c>
      <c r="H712" s="27" t="n">
        <f aca="false">CONCOR!J138</f>
        <v>0.0797315113939136</v>
      </c>
      <c r="I712" s="61" t="n">
        <f aca="false">CONCOR!K138</f>
        <v>0.0823222794160026</v>
      </c>
      <c r="J712" s="25" t="str">
        <f aca="false">IF(AND(ISNUMBER(I712),ISNUMBER(I$721)),IF(I712&gt;I$721,"Above",IF(I712&lt;I$721,"Below","At median")),"-")</f>
        <v>Above</v>
      </c>
      <c r="K712" s="25" t="str">
        <f aca="false">IF(J712="Below","Better",IF(J712="Above","Weaker",IF(J712="At median","In line","-")))</f>
        <v>Weaker</v>
      </c>
      <c r="L712" s="43" t="n">
        <f aca="false">IF(ISNUMBER(I712),RANK(I712,I$709:I$718,1),"-")</f>
        <v>10</v>
      </c>
    </row>
    <row r="713" customFormat="false" ht="15" hidden="false" customHeight="false" outlineLevel="0" collapsed="false">
      <c r="A713" s="16" t="s">
        <v>278</v>
      </c>
      <c r="B713" s="27" t="n">
        <f aca="false">JetFreight!D138</f>
        <v>0.0156448061912069</v>
      </c>
      <c r="C713" s="27" t="n">
        <f aca="false">JetFreight!E138</f>
        <v>0.00657458404221575</v>
      </c>
      <c r="D713" s="27" t="n">
        <f aca="false">JetFreight!F138</f>
        <v>0.0122164813030913</v>
      </c>
      <c r="E713" s="27" t="n">
        <f aca="false">JetFreight!G138</f>
        <v>0.0125752957834361</v>
      </c>
      <c r="F713" s="27" t="n">
        <f aca="false">JetFreight!H138</f>
        <v>0.0123784717745055</v>
      </c>
      <c r="G713" s="27" t="n">
        <f aca="false">JetFreight!I138</f>
        <v>0.0100084739939995</v>
      </c>
      <c r="H713" s="27" t="n">
        <f aca="false">JetFreight!J138</f>
        <v>0.0124301927580616</v>
      </c>
      <c r="I713" s="61" t="n">
        <f aca="false">JetFreight!K138</f>
        <v>0.0116897579780738</v>
      </c>
      <c r="J713" s="25" t="str">
        <f aca="false">IF(AND(ISNUMBER(I713),ISNUMBER(I$721)),IF(I713&gt;I$721,"Above",IF(I713&lt;I$721,"Below","At median")),"-")</f>
        <v>Below</v>
      </c>
      <c r="K713" s="25" t="str">
        <f aca="false">IF(J713="Below","Better",IF(J713="Above","Weaker",IF(J713="At median","In line","-")))</f>
        <v>Better</v>
      </c>
      <c r="L713" s="43" t="n">
        <f aca="false">IF(ISNUMBER(I713),RANK(I713,I$709:I$718,1),"-")</f>
        <v>1</v>
      </c>
    </row>
    <row r="714" customFormat="false" ht="15" hidden="false" customHeight="false" outlineLevel="0" collapsed="false">
      <c r="A714" s="16" t="s">
        <v>62</v>
      </c>
      <c r="B714" s="27" t="n">
        <f aca="false">Patel!D138</f>
        <v>0.0215595406004433</v>
      </c>
      <c r="C714" s="27" t="n">
        <f aca="false">Patel!E138</f>
        <v>0.0194581861012956</v>
      </c>
      <c r="D714" s="27" t="n">
        <f aca="false">Patel!F138</f>
        <v>0.0167292591328098</v>
      </c>
      <c r="E714" s="27" t="n">
        <f aca="false">Patel!G138</f>
        <v>0.0168535288198936</v>
      </c>
      <c r="F714" s="27" t="n">
        <f aca="false">Patel!H138</f>
        <v>0.0188951987609706</v>
      </c>
      <c r="G714" s="27" t="n">
        <f aca="false">Patel!I138</f>
        <v>0.0151157022381744</v>
      </c>
      <c r="H714" s="27" t="n">
        <f aca="false">Patel!J138</f>
        <v>0.0158481267850143</v>
      </c>
      <c r="I714" s="61" t="n">
        <f aca="false">Patel!K138</f>
        <v>0.017779934634086</v>
      </c>
      <c r="J714" s="25" t="str">
        <f aca="false">IF(AND(ISNUMBER(I714),ISNUMBER(I$721)),IF(I714&gt;I$721,"Above",IF(I714&lt;I$721,"Below","At median")),"-")</f>
        <v>Below</v>
      </c>
      <c r="K714" s="25" t="str">
        <f aca="false">IF(J714="Below","Better",IF(J714="Above","Weaker",IF(J714="At median","In line","-")))</f>
        <v>Better</v>
      </c>
      <c r="L714" s="43" t="n">
        <f aca="false">IF(ISNUMBER(I714),RANK(I714,I$709:I$718,1),"-")</f>
        <v>4</v>
      </c>
    </row>
    <row r="715" customFormat="false" ht="15" hidden="false" customHeight="false" outlineLevel="0" collapsed="false">
      <c r="A715" s="16" t="s">
        <v>64</v>
      </c>
      <c r="B715" s="27" t="n">
        <f aca="false">Sical!D138</f>
        <v>0.0348962061560487</v>
      </c>
      <c r="C715" s="27" t="n">
        <f aca="false">Sical!E138</f>
        <v>0.0298830490637968</v>
      </c>
      <c r="D715" s="27" t="n">
        <f aca="false">Sical!F138</f>
        <v>0.0445151489093359</v>
      </c>
      <c r="E715" s="27" t="n">
        <f aca="false">Sical!G138</f>
        <v>0.0446558363724465</v>
      </c>
      <c r="F715" s="27" t="n">
        <f aca="false">Sical!H138</f>
        <v>0.0768917635352119</v>
      </c>
      <c r="G715" s="27" t="n">
        <f aca="false">Sical!I138</f>
        <v>0.07149941393923</v>
      </c>
      <c r="H715" s="27" t="n">
        <f aca="false">Sical!J138</f>
        <v>0.0471375233354076</v>
      </c>
      <c r="I715" s="61" t="n">
        <f aca="false">Sical!K138</f>
        <v>0.0499255630444968</v>
      </c>
      <c r="J715" s="25" t="str">
        <f aca="false">IF(AND(ISNUMBER(I715),ISNUMBER(I$721)),IF(I715&gt;I$721,"Above",IF(I715&lt;I$721,"Below","At median")),"-")</f>
        <v>Above</v>
      </c>
      <c r="K715" s="25" t="str">
        <f aca="false">IF(J715="Below","Better",IF(J715="Above","Weaker",IF(J715="At median","In line","-")))</f>
        <v>Weaker</v>
      </c>
      <c r="L715" s="43" t="n">
        <f aca="false">IF(ISNUMBER(I715),RANK(I715,I$709:I$718,1),"-")</f>
        <v>7</v>
      </c>
    </row>
    <row r="716" customFormat="false" ht="15" hidden="false" customHeight="false" outlineLevel="0" collapsed="false">
      <c r="A716" s="16" t="s">
        <v>66</v>
      </c>
      <c r="B716" s="27" t="n">
        <f aca="false">TCI!D138</f>
        <v>0.0246335325111118</v>
      </c>
      <c r="C716" s="27" t="n">
        <f aca="false">TCI!E138</f>
        <v>0.0201792041792898</v>
      </c>
      <c r="D716" s="27" t="n">
        <f aca="false">TCI!F138</f>
        <v>0.0180403276042482</v>
      </c>
      <c r="E716" s="27" t="n">
        <f aca="false">TCI!G138</f>
        <v>0.0197696275283736</v>
      </c>
      <c r="F716" s="27" t="n">
        <f aca="false">TCI!H138</f>
        <v>0.0231645072634472</v>
      </c>
      <c r="G716" s="27" t="n">
        <f aca="false">TCI!I138</f>
        <v>0.0226324530586983</v>
      </c>
      <c r="H716" s="27" t="n">
        <f aca="false">TCI!J138</f>
        <v>0.0235825552140938</v>
      </c>
      <c r="I716" s="61" t="n">
        <f aca="false">TCI!K138</f>
        <v>0.0217146010513232</v>
      </c>
      <c r="J716" s="25" t="str">
        <f aca="false">IF(AND(ISNUMBER(I716),ISNUMBER(I$721)),IF(I716&gt;I$721,"Above",IF(I716&lt;I$721,"Below","At median")),"-")</f>
        <v>Below</v>
      </c>
      <c r="K716" s="25" t="str">
        <f aca="false">IF(J716="Below","Better",IF(J716="Above","Weaker",IF(J716="At median","In line","-")))</f>
        <v>Better</v>
      </c>
      <c r="L716" s="43" t="n">
        <f aca="false">IF(ISNUMBER(I716),RANK(I716,I$709:I$718,1),"-")</f>
        <v>5</v>
      </c>
    </row>
    <row r="717" customFormat="false" ht="15" hidden="false" customHeight="false" outlineLevel="0" collapsed="false">
      <c r="A717" s="16" t="s">
        <v>68</v>
      </c>
      <c r="B717" s="27" t="n">
        <f aca="false">Shreeji!D138</f>
        <v>0.0575454545454545</v>
      </c>
      <c r="C717" s="27" t="n">
        <f aca="false">Shreeji!E138</f>
        <v>0.0560842649912224</v>
      </c>
      <c r="D717" s="27" t="n">
        <f aca="false">Shreeji!F138</f>
        <v>0.0845853181873702</v>
      </c>
      <c r="E717" s="27" t="n">
        <f aca="false">Shreeji!G138</f>
        <v>0.0548701995279983</v>
      </c>
      <c r="F717" s="27" t="n">
        <f aca="false">Shreeji!H138</f>
        <v>0.0562075848303393</v>
      </c>
      <c r="G717" s="27" t="n">
        <f aca="false">Shreeji!I138</f>
        <v>0.052229993641566</v>
      </c>
      <c r="H717" s="27" t="n">
        <f aca="false">Shreeji!J138</f>
        <v>0.0535660933031713</v>
      </c>
      <c r="I717" s="61" t="n">
        <f aca="false">Shreeji!K138</f>
        <v>0.0592984155753031</v>
      </c>
      <c r="J717" s="25" t="str">
        <f aca="false">IF(AND(ISNUMBER(I717),ISNUMBER(I$721)),IF(I717&gt;I$721,"Above",IF(I717&lt;I$721,"Below","At median")),"-")</f>
        <v>Above</v>
      </c>
      <c r="K717" s="25" t="str">
        <f aca="false">IF(J717="Below","Better",IF(J717="Above","Weaker",IF(J717="At median","In line","-")))</f>
        <v>Weaker</v>
      </c>
      <c r="L717" s="43" t="n">
        <f aca="false">IF(ISNUMBER(I717),RANK(I717,I$709:I$718,1),"-")</f>
        <v>9</v>
      </c>
    </row>
    <row r="718" customFormat="false" ht="15" hidden="false" customHeight="false" outlineLevel="0" collapsed="false">
      <c r="A718" s="16" t="s">
        <v>279</v>
      </c>
      <c r="B718" s="27" t="n">
        <f aca="false">MahindraLog!D138</f>
        <v>0.0117943960773694</v>
      </c>
      <c r="C718" s="27" t="n">
        <f aca="false">MahindraLog!E138</f>
        <v>0.00928388464696727</v>
      </c>
      <c r="D718" s="27" t="n">
        <f aca="false">MahindraLog!F138</f>
        <v>0.0109110404853215</v>
      </c>
      <c r="E718" s="27" t="n">
        <f aca="false">MahindraLog!G138</f>
        <v>0.0156738405979381</v>
      </c>
      <c r="F718" s="27" t="n">
        <f aca="false">MahindraLog!H138</f>
        <v>0.0200328007599024</v>
      </c>
      <c r="G718" s="27" t="n">
        <f aca="false">MahindraLog!I138</f>
        <v>0.0167768799458789</v>
      </c>
      <c r="H718" s="27" t="n">
        <f aca="false">MahindraLog!J138</f>
        <v>0.0144300144300144</v>
      </c>
      <c r="I718" s="61" t="n">
        <f aca="false">MahindraLog!K138</f>
        <v>0.0141289795633417</v>
      </c>
      <c r="J718" s="25" t="str">
        <f aca="false">IF(AND(ISNUMBER(I718),ISNUMBER(I$721)),IF(I718&gt;I$721,"Above",IF(I718&lt;I$721,"Below","At median")),"-")</f>
        <v>Below</v>
      </c>
      <c r="K718" s="25" t="str">
        <f aca="false">IF(J718="Below","Better",IF(J718="Above","Weaker",IF(J718="At median","In line","-")))</f>
        <v>Better</v>
      </c>
      <c r="L718" s="43" t="n">
        <f aca="false">IF(ISNUMBER(I718),RANK(I718,I$709:I$718,1),"-")</f>
        <v>2</v>
      </c>
    </row>
    <row r="719" customFormat="false" ht="15" hidden="false" customHeight="false" outlineLevel="0" collapsed="false">
      <c r="A719" s="46" t="s">
        <v>328</v>
      </c>
      <c r="B719" s="42" t="n">
        <f aca="false">Industry!D139</f>
        <v>0.0366447435757097</v>
      </c>
      <c r="C719" s="42" t="n">
        <f aca="false">Industry!E139</f>
        <v>0.0559540650563994</v>
      </c>
      <c r="D719" s="42" t="n">
        <f aca="false">Industry!F139</f>
        <v>0.0378817980029075</v>
      </c>
      <c r="E719" s="42" t="n">
        <f aca="false">Industry!G139</f>
        <v>0.0383424454842009</v>
      </c>
      <c r="F719" s="42" t="n">
        <f aca="false">Industry!H139</f>
        <v>0.0443140920256692</v>
      </c>
      <c r="G719" s="42" t="n">
        <f aca="false">Industry!I139</f>
        <v>0.0449280904377362</v>
      </c>
      <c r="H719" s="42" t="n">
        <f aca="false">Industry!J139</f>
        <v>0.0460168404892534</v>
      </c>
      <c r="I719" s="42" t="n">
        <f aca="false">Industry!K139</f>
        <v>0.0434402964388395</v>
      </c>
      <c r="J719" s="47"/>
      <c r="K719" s="47"/>
      <c r="L719" s="47"/>
    </row>
    <row r="720" customFormat="false" ht="15" hidden="false" customHeight="false" outlineLevel="0" collapsed="false">
      <c r="A720" s="52" t="s">
        <v>329</v>
      </c>
      <c r="B720" s="62" t="n">
        <f aca="false">IF(COUNT(B709:B718)=0,"N/M",AVERAGE(B709:B718))</f>
        <v>0.0325623373648744</v>
      </c>
      <c r="C720" s="62" t="n">
        <f aca="false">IF(COUNT(C709:C718)=0,"N/M",AVERAGE(C709:C718))</f>
        <v>0.0396785681211939</v>
      </c>
      <c r="D720" s="62" t="n">
        <f aca="false">IF(COUNT(D709:D718)=0,"N/M",AVERAGE(D709:D718))</f>
        <v>0.036172026395573</v>
      </c>
      <c r="E720" s="62" t="n">
        <f aca="false">IF(COUNT(E709:E718)=0,"N/M",AVERAGE(E709:E718))</f>
        <v>0.0335517169082462</v>
      </c>
      <c r="F720" s="62" t="n">
        <f aca="false">IF(COUNT(F709:F718)=0,"N/M",AVERAGE(F709:F718))</f>
        <v>0.0390983605975927</v>
      </c>
      <c r="G720" s="62" t="n">
        <f aca="false">IF(COUNT(G709:G718)=0,"N/M",AVERAGE(G709:G718))</f>
        <v>0.037625314903428</v>
      </c>
      <c r="H720" s="62" t="n">
        <f aca="false">IF(COUNT(H709:H718)=0,"N/M",AVERAGE(H709:H718))</f>
        <v>0.0360037867495111</v>
      </c>
      <c r="I720" s="62" t="n">
        <f aca="false">IF(COUNT(I709:I718)=0,"N/M",AVERAGE(I709:I718))</f>
        <v>0.0363845872914885</v>
      </c>
      <c r="J720" s="54"/>
      <c r="K720" s="54"/>
      <c r="L720" s="54"/>
    </row>
    <row r="721" customFormat="false" ht="15" hidden="false" customHeight="false" outlineLevel="0" collapsed="false">
      <c r="A721" s="28" t="s">
        <v>281</v>
      </c>
      <c r="B721" s="30" t="n">
        <f aca="false">IF(COUNT(B709:B718)=0,"N/M",MEDIAN(B709:B718))</f>
        <v>0.0297648693335802</v>
      </c>
      <c r="C721" s="30" t="n">
        <f aca="false">IF(COUNT(C709:C718)=0,"N/M",MEDIAN(C709:C718))</f>
        <v>0.0274214196888651</v>
      </c>
      <c r="D721" s="30" t="n">
        <f aca="false">IF(COUNT(D709:D718)=0,"N/M",MEDIAN(D709:D718))</f>
        <v>0.0205349213886599</v>
      </c>
      <c r="E721" s="30" t="n">
        <f aca="false">IF(COUNT(E709:E718)=0,"N/M",MEDIAN(E709:E718))</f>
        <v>0.0244925008600835</v>
      </c>
      <c r="F721" s="30" t="n">
        <f aca="false">IF(COUNT(F709:F718)=0,"N/M",MEDIAN(F709:F718))</f>
        <v>0.0308906952001793</v>
      </c>
      <c r="G721" s="30" t="n">
        <f aca="false">IF(COUNT(G709:G718)=0,"N/M",MEDIAN(G709:G718))</f>
        <v>0.0360485059786098</v>
      </c>
      <c r="H721" s="30" t="n">
        <f aca="false">IF(COUNT(H709:H718)=0,"N/M",MEDIAN(H709:H718))</f>
        <v>0.0331712581707009</v>
      </c>
      <c r="I721" s="30" t="n">
        <f aca="false">IF(COUNT(I709:I718)=0,"N/M",MEDIAN(I709:I718))</f>
        <v>0.0290436647054248</v>
      </c>
      <c r="J721" s="54"/>
      <c r="K721" s="54"/>
      <c r="L721" s="54"/>
    </row>
    <row r="722" customFormat="false" ht="15" hidden="false" customHeight="false" outlineLevel="0" collapsed="false">
      <c r="A722" s="52" t="s">
        <v>330</v>
      </c>
      <c r="B722" s="62" t="n">
        <f aca="false">IF(COUNT(B709:B718)&lt;2,"N/M",STDEV(B709:B718))</f>
        <v>0.0184128110166095</v>
      </c>
      <c r="C722" s="62" t="n">
        <f aca="false">IF(COUNT(C709:C718)&lt;2,"N/M",STDEV(C709:C718))</f>
        <v>0.03856021650362</v>
      </c>
      <c r="D722" s="62" t="n">
        <f aca="false">IF(COUNT(D709:D718)&lt;2,"N/M",STDEV(D709:D718))</f>
        <v>0.0314526813173557</v>
      </c>
      <c r="E722" s="62" t="n">
        <f aca="false">IF(COUNT(E709:E718)&lt;2,"N/M",STDEV(E709:E718))</f>
        <v>0.0220189180180786</v>
      </c>
      <c r="F722" s="62" t="n">
        <f aca="false">IF(COUNT(F709:F718)&lt;2,"N/M",STDEV(F709:F718))</f>
        <v>0.0245109086239233</v>
      </c>
      <c r="G722" s="62" t="n">
        <f aca="false">IF(COUNT(G709:G718)&lt;2,"N/M",STDEV(G709:G718))</f>
        <v>0.0249697259418699</v>
      </c>
      <c r="H722" s="62" t="n">
        <f aca="false">IF(COUNT(H709:H718)&lt;2,"N/M",STDEV(H709:H718))</f>
        <v>0.0236248068234672</v>
      </c>
      <c r="I722" s="62" t="n">
        <f aca="false">IF(COUNT(I709:I718)&lt;2,"N/M",STDEV(I709:I718))</f>
        <v>0.0243731020092233</v>
      </c>
      <c r="J722" s="54"/>
      <c r="K722" s="54"/>
      <c r="L722" s="54"/>
    </row>
    <row r="723" customFormat="false" ht="15" hidden="false" customHeight="false" outlineLevel="0" collapsed="false">
      <c r="A723" s="52" t="s">
        <v>269</v>
      </c>
      <c r="B723" s="62" t="n">
        <f aca="false">IF(COUNT(B709:B718)=0,"N/M",MIN(B709:B718))</f>
        <v>0.0117943960773694</v>
      </c>
      <c r="C723" s="62" t="n">
        <f aca="false">IF(COUNT(C709:C718)=0,"N/M",MIN(C709:C718))</f>
        <v>0.00657458404221575</v>
      </c>
      <c r="D723" s="62" t="n">
        <f aca="false">IF(COUNT(D709:D718)=0,"N/M",MIN(D709:D718))</f>
        <v>0.00448700232478744</v>
      </c>
      <c r="E723" s="62" t="n">
        <f aca="false">IF(COUNT(E709:E718)=0,"N/M",MIN(E709:E718))</f>
        <v>0.0125752957834361</v>
      </c>
      <c r="F723" s="62" t="n">
        <f aca="false">IF(COUNT(F709:F718)=0,"N/M",MIN(F709:F718))</f>
        <v>0.0123784717745055</v>
      </c>
      <c r="G723" s="62" t="n">
        <f aca="false">IF(COUNT(G709:G718)=0,"N/M",MIN(G709:G718))</f>
        <v>0.0100084739939995</v>
      </c>
      <c r="H723" s="62" t="n">
        <f aca="false">IF(COUNT(H709:H718)=0,"N/M",MIN(H709:H718))</f>
        <v>0.0123599036346496</v>
      </c>
      <c r="I723" s="62" t="n">
        <f aca="false">IF(COUNT(I709:I718)=0,"N/M",MIN(I709:I718))</f>
        <v>0.0116897579780738</v>
      </c>
      <c r="J723" s="54"/>
      <c r="K723" s="54"/>
      <c r="L723" s="54"/>
    </row>
    <row r="724" customFormat="false" ht="15" hidden="false" customHeight="false" outlineLevel="0" collapsed="false">
      <c r="A724" s="52" t="s">
        <v>270</v>
      </c>
      <c r="B724" s="62" t="n">
        <f aca="false">IF(COUNT(B709:B718)=0,"N/M",MAX(B709:B718))</f>
        <v>0.0652319747537896</v>
      </c>
      <c r="C724" s="62" t="n">
        <f aca="false">IF(COUNT(C709:C718)=0,"N/M",MAX(C709:C718))</f>
        <v>0.137325192778058</v>
      </c>
      <c r="D724" s="62" t="n">
        <f aca="false">IF(COUNT(D709:D718)=0,"N/M",MAX(D709:D718))</f>
        <v>0.0908133437348502</v>
      </c>
      <c r="E724" s="62" t="n">
        <f aca="false">IF(COUNT(E709:E718)=0,"N/M",MAX(E709:E718))</f>
        <v>0.080209373837084</v>
      </c>
      <c r="F724" s="62" t="n">
        <f aca="false">IF(COUNT(F709:F718)=0,"N/M",MAX(F709:F718))</f>
        <v>0.0768917635352119</v>
      </c>
      <c r="G724" s="62" t="n">
        <f aca="false">IF(COUNT(G709:G718)=0,"N/M",MAX(G709:G718))</f>
        <v>0.0718159743085984</v>
      </c>
      <c r="H724" s="62" t="n">
        <f aca="false">IF(COUNT(H709:H718)=0,"N/M",MAX(H709:H718))</f>
        <v>0.0797315113939136</v>
      </c>
      <c r="I724" s="62" t="n">
        <f aca="false">IF(COUNT(I709:I718)=0,"N/M",MAX(I709:I718))</f>
        <v>0.0823222794160026</v>
      </c>
      <c r="J724" s="54"/>
      <c r="K724" s="54"/>
      <c r="L724" s="54"/>
    </row>
    <row r="726" customFormat="false" ht="16.5" hidden="false" customHeight="true" outlineLevel="0" collapsed="false">
      <c r="A726" s="49" t="s">
        <v>370</v>
      </c>
      <c r="B726" s="49"/>
      <c r="C726" s="49"/>
      <c r="D726" s="49"/>
      <c r="E726" s="49"/>
      <c r="F726" s="49"/>
      <c r="G726" s="49"/>
      <c r="H726" s="49"/>
      <c r="I726" s="49"/>
      <c r="J726" s="49"/>
      <c r="K726" s="49"/>
      <c r="L726" s="49"/>
    </row>
    <row r="727" customFormat="false" ht="15" hidden="false" customHeight="false" outlineLevel="0" collapsed="false">
      <c r="A727" s="16" t="s">
        <v>52</v>
      </c>
      <c r="B727" s="27" t="n">
        <f aca="false">Tiger!D139</f>
        <v>0.0147273450975189</v>
      </c>
      <c r="C727" s="27" t="n">
        <f aca="false">Tiger!E139</f>
        <v>0.0116757014356347</v>
      </c>
      <c r="D727" s="27" t="n">
        <f aca="false">Tiger!F139</f>
        <v>0.00245484547479313</v>
      </c>
      <c r="E727" s="27" t="n">
        <f aca="false">Tiger!G139</f>
        <v>0.00237683166032076</v>
      </c>
      <c r="F727" s="27" t="n">
        <f aca="false">Tiger!H139</f>
        <v>0.00316323982352452</v>
      </c>
      <c r="G727" s="27" t="n">
        <f aca="false">Tiger!I139</f>
        <v>0.00624638735059947</v>
      </c>
      <c r="H727" s="27" t="n">
        <f aca="false">Tiger!J139</f>
        <v>0.00920009776194965</v>
      </c>
      <c r="I727" s="61" t="n">
        <f aca="false">Tiger!K139</f>
        <v>0.00712063551490588</v>
      </c>
      <c r="J727" s="25" t="str">
        <f aca="false">IF(AND(ISNUMBER(I727),ISNUMBER(I$739)),IF(I727&gt;I$739,"Above",IF(I727&lt;I$739,"Below","At median")),"-")</f>
        <v>Below</v>
      </c>
      <c r="K727" s="25" t="str">
        <f aca="false">IF(J727="Below","Better",IF(J727="Above","Weaker",IF(J727="At median","In line","-")))</f>
        <v>Better</v>
      </c>
      <c r="L727" s="43" t="n">
        <f aca="false">IF(ISNUMBER(I727),RANK(I727,I$727:I$736,1),"-")</f>
        <v>2</v>
      </c>
    </row>
    <row r="728" customFormat="false" ht="15" hidden="false" customHeight="false" outlineLevel="0" collapsed="false">
      <c r="A728" s="16" t="s">
        <v>54</v>
      </c>
      <c r="B728" s="27" t="n">
        <f aca="false">Allcargo!D139</f>
        <v>0.0101671058936272</v>
      </c>
      <c r="C728" s="27" t="n">
        <f aca="false">Allcargo!E139</f>
        <v>0.0136453262971395</v>
      </c>
      <c r="D728" s="27" t="n">
        <f aca="false">Allcargo!F139</f>
        <v>0.00504719846648264</v>
      </c>
      <c r="E728" s="27" t="n">
        <f aca="false">Allcargo!G139</f>
        <v>0.00474051799452323</v>
      </c>
      <c r="F728" s="27" t="n">
        <f aca="false">Allcargo!H139</f>
        <v>0.0107597689201985</v>
      </c>
      <c r="G728" s="27" t="n">
        <f aca="false">Allcargo!I139</f>
        <v>0.0382457929627741</v>
      </c>
      <c r="H728" s="27" t="n">
        <f aca="false">Allcargo!J139</f>
        <v>0.0301263362487852</v>
      </c>
      <c r="I728" s="61" t="n">
        <f aca="false">Allcargo!K139</f>
        <v>0.0161045781119329</v>
      </c>
      <c r="J728" s="25" t="str">
        <f aca="false">IF(AND(ISNUMBER(I728),ISNUMBER(I$739)),IF(I728&gt;I$739,"Above",IF(I728&lt;I$739,"Below","At median")),"-")</f>
        <v>Above</v>
      </c>
      <c r="K728" s="25" t="str">
        <f aca="false">IF(J728="Below","Better",IF(J728="Above","Weaker",IF(J728="At median","In line","-")))</f>
        <v>Weaker</v>
      </c>
      <c r="L728" s="43" t="n">
        <f aca="false">IF(ISNUMBER(I728),RANK(I728,I$727:I$736,1),"-")</f>
        <v>7</v>
      </c>
    </row>
    <row r="729" customFormat="false" ht="15" hidden="false" customHeight="false" outlineLevel="0" collapsed="false">
      <c r="A729" s="16" t="s">
        <v>277</v>
      </c>
      <c r="B729" s="27" t="n">
        <f aca="false">BlueDart!D139</f>
        <v>0.0369685650666272</v>
      </c>
      <c r="C729" s="27" t="n">
        <f aca="false">BlueDart!E139</f>
        <v>0.0337425831703734</v>
      </c>
      <c r="D729" s="27" t="n">
        <f aca="false">BlueDart!F139</f>
        <v>0.019718897446769</v>
      </c>
      <c r="E729" s="27" t="n">
        <f aca="false">BlueDart!G139</f>
        <v>0.0129248175831654</v>
      </c>
      <c r="F729" s="27" t="n">
        <f aca="false">BlueDart!H139</f>
        <v>0.014818245843165</v>
      </c>
      <c r="G729" s="27" t="n">
        <f aca="false">BlueDart!I139</f>
        <v>0.0144033929002234</v>
      </c>
      <c r="H729" s="27" t="n">
        <f aca="false">BlueDart!J139</f>
        <v>0.0139458839775407</v>
      </c>
      <c r="I729" s="61" t="n">
        <f aca="false">BlueDart!K139</f>
        <v>0.0209317694268377</v>
      </c>
      <c r="J729" s="25" t="str">
        <f aca="false">IF(AND(ISNUMBER(I729),ISNUMBER(I$739)),IF(I729&gt;I$739,"Above",IF(I729&lt;I$739,"Below","At median")),"-")</f>
        <v>Above</v>
      </c>
      <c r="K729" s="25" t="str">
        <f aca="false">IF(J729="Below","Better",IF(J729="Above","Weaker",IF(J729="At median","In line","-")))</f>
        <v>Weaker</v>
      </c>
      <c r="L729" s="43" t="n">
        <f aca="false">IF(ISNUMBER(I729),RANK(I729,I$727:I$736,1),"-")</f>
        <v>8</v>
      </c>
    </row>
    <row r="730" customFormat="false" ht="15" hidden="false" customHeight="false" outlineLevel="0" collapsed="false">
      <c r="A730" s="16" t="s">
        <v>58</v>
      </c>
      <c r="B730" s="27" t="n">
        <f aca="false">CONCOR!D139</f>
        <v>0.00711149768692566</v>
      </c>
      <c r="C730" s="27" t="n">
        <f aca="false">CONCOR!E139</f>
        <v>0.0067542336488732</v>
      </c>
      <c r="D730" s="27" t="n">
        <f aca="false">CONCOR!F139</f>
        <v>0.00821144872483415</v>
      </c>
      <c r="E730" s="27" t="n">
        <f aca="false">CONCOR!G139</f>
        <v>0.0079176214818732</v>
      </c>
      <c r="F730" s="27" t="n">
        <f aca="false">CONCOR!H139</f>
        <v>0.00828921777657594</v>
      </c>
      <c r="G730" s="27" t="n">
        <f aca="false">CONCOR!I139</f>
        <v>0.00827724028977092</v>
      </c>
      <c r="H730" s="27" t="n">
        <f aca="false">CONCOR!J139</f>
        <v>0.00864965959794999</v>
      </c>
      <c r="I730" s="61" t="n">
        <f aca="false">CONCOR!K139</f>
        <v>0.00788727417240044</v>
      </c>
      <c r="J730" s="25" t="str">
        <f aca="false">IF(AND(ISNUMBER(I730),ISNUMBER(I$739)),IF(I730&gt;I$739,"Above",IF(I730&lt;I$739,"Below","At median")),"-")</f>
        <v>Below</v>
      </c>
      <c r="K730" s="25" t="str">
        <f aca="false">IF(J730="Below","Better",IF(J730="Above","Weaker",IF(J730="At median","In line","-")))</f>
        <v>Better</v>
      </c>
      <c r="L730" s="43" t="n">
        <f aca="false">IF(ISNUMBER(I730),RANK(I730,I$727:I$736,1),"-")</f>
        <v>3</v>
      </c>
    </row>
    <row r="731" customFormat="false" ht="15" hidden="false" customHeight="false" outlineLevel="0" collapsed="false">
      <c r="A731" s="16" t="s">
        <v>278</v>
      </c>
      <c r="B731" s="27" t="n">
        <f aca="false">JetFreight!D139</f>
        <v>0.0152778704383214</v>
      </c>
      <c r="C731" s="27" t="n">
        <f aca="false">JetFreight!E139</f>
        <v>0.0111883272297356</v>
      </c>
      <c r="D731" s="27" t="n">
        <f aca="false">JetFreight!F139</f>
        <v>0.00884490761012348</v>
      </c>
      <c r="E731" s="27" t="n">
        <f aca="false">JetFreight!G139</f>
        <v>0.0121193213180062</v>
      </c>
      <c r="F731" s="27" t="n">
        <f aca="false">JetFreight!H139</f>
        <v>0.0153183588209506</v>
      </c>
      <c r="G731" s="27" t="n">
        <f aca="false">JetFreight!I139</f>
        <v>0.015802853674736</v>
      </c>
      <c r="H731" s="27" t="n">
        <f aca="false">JetFreight!J139</f>
        <v>0.0157629255989912</v>
      </c>
      <c r="I731" s="61" t="n">
        <f aca="false">JetFreight!K139</f>
        <v>0.0134735092415521</v>
      </c>
      <c r="J731" s="25" t="str">
        <f aca="false">IF(AND(ISNUMBER(I731),ISNUMBER(I$739)),IF(I731&gt;I$739,"Above",IF(I731&lt;I$739,"Below","At median")),"-")</f>
        <v>Below</v>
      </c>
      <c r="K731" s="25" t="str">
        <f aca="false">IF(J731="Below","Better",IF(J731="Above","Weaker",IF(J731="At median","In line","-")))</f>
        <v>Better</v>
      </c>
      <c r="L731" s="43" t="n">
        <f aca="false">IF(ISNUMBER(I731),RANK(I731,I$727:I$736,1),"-")</f>
        <v>5</v>
      </c>
    </row>
    <row r="732" customFormat="false" ht="15" hidden="false" customHeight="false" outlineLevel="0" collapsed="false">
      <c r="A732" s="16" t="s">
        <v>62</v>
      </c>
      <c r="B732" s="27" t="n">
        <f aca="false">Patel!D139</f>
        <v>0.021271696266659</v>
      </c>
      <c r="C732" s="27" t="n">
        <f aca="false">Patel!E139</f>
        <v>0.0357597173144876</v>
      </c>
      <c r="D732" s="27" t="n">
        <f aca="false">Patel!F139</f>
        <v>0.0227893479003073</v>
      </c>
      <c r="E732" s="27" t="n">
        <f aca="false">Patel!G139</f>
        <v>0.0171410090556274</v>
      </c>
      <c r="F732" s="27" t="n">
        <f aca="false">Patel!H139</f>
        <v>0.00891412837721563</v>
      </c>
      <c r="G732" s="27" t="n">
        <f aca="false">Patel!I139</f>
        <v>0.0034433452974992</v>
      </c>
      <c r="H732" s="27" t="n">
        <f aca="false">Patel!J139</f>
        <v>0.000980007840062721</v>
      </c>
      <c r="I732" s="61" t="n">
        <f aca="false">Patel!K139</f>
        <v>0.0157570360074084</v>
      </c>
      <c r="J732" s="25" t="str">
        <f aca="false">IF(AND(ISNUMBER(I732),ISNUMBER(I$739)),IF(I732&gt;I$739,"Above",IF(I732&lt;I$739,"Below","At median")),"-")</f>
        <v>Above</v>
      </c>
      <c r="K732" s="25" t="str">
        <f aca="false">IF(J732="Below","Better",IF(J732="Above","Weaker",IF(J732="At median","In line","-")))</f>
        <v>Weaker</v>
      </c>
      <c r="L732" s="43" t="n">
        <f aca="false">IF(ISNUMBER(I732),RANK(I732,I$727:I$736,1),"-")</f>
        <v>6</v>
      </c>
    </row>
    <row r="733" customFormat="false" ht="15" hidden="false" customHeight="false" outlineLevel="0" collapsed="false">
      <c r="A733" s="16" t="s">
        <v>64</v>
      </c>
      <c r="B733" s="27" t="n">
        <f aca="false">Sical!D139</f>
        <v>0.0546906068559612</v>
      </c>
      <c r="C733" s="27" t="n">
        <f aca="false">Sical!E139</f>
        <v>0.276373528185374</v>
      </c>
      <c r="D733" s="27" t="n">
        <f aca="false">Sical!F139</f>
        <v>0.0611689167884886</v>
      </c>
      <c r="E733" s="27" t="n">
        <f aca="false">Sical!G139</f>
        <v>0.0493994032286858</v>
      </c>
      <c r="F733" s="27" t="n">
        <f aca="false">Sical!H139</f>
        <v>0.177212899724094</v>
      </c>
      <c r="G733" s="27" t="n">
        <f aca="false">Sical!I139</f>
        <v>0.194977910017131</v>
      </c>
      <c r="H733" s="27" t="n">
        <f aca="false">Sical!J139</f>
        <v>0.186735117195603</v>
      </c>
      <c r="I733" s="61" t="n">
        <f aca="false">Sical!K139</f>
        <v>0.14293691171362</v>
      </c>
      <c r="J733" s="25" t="str">
        <f aca="false">IF(AND(ISNUMBER(I733),ISNUMBER(I$739)),IF(I733&gt;I$739,"Above",IF(I733&lt;I$739,"Below","At median")),"-")</f>
        <v>Above</v>
      </c>
      <c r="K733" s="25" t="str">
        <f aca="false">IF(J733="Below","Better",IF(J733="Above","Weaker",IF(J733="At median","In line","-")))</f>
        <v>Weaker</v>
      </c>
      <c r="L733" s="43" t="n">
        <f aca="false">IF(ISNUMBER(I733),RANK(I733,I$727:I$736,1),"-")</f>
        <v>10</v>
      </c>
    </row>
    <row r="734" customFormat="false" ht="15" hidden="false" customHeight="false" outlineLevel="0" collapsed="false">
      <c r="A734" s="16" t="s">
        <v>66</v>
      </c>
      <c r="B734" s="27" t="n">
        <f aca="false">TCI!D139</f>
        <v>0.0126276749183175</v>
      </c>
      <c r="C734" s="27" t="n">
        <f aca="false">TCI!E139</f>
        <v>0.0095275818140944</v>
      </c>
      <c r="D734" s="27" t="n">
        <f aca="false">TCI!F139</f>
        <v>0.003937019955137</v>
      </c>
      <c r="E734" s="27" t="n">
        <f aca="false">TCI!G139</f>
        <v>0.00259611851201696</v>
      </c>
      <c r="F734" s="27" t="n">
        <f aca="false">TCI!H139</f>
        <v>0.00329750065850616</v>
      </c>
      <c r="G734" s="27" t="n">
        <f aca="false">TCI!I139</f>
        <v>0.00448819844248828</v>
      </c>
      <c r="H734" s="27" t="n">
        <f aca="false">TCI!J139</f>
        <v>0.00463515682043293</v>
      </c>
      <c r="I734" s="61" t="n">
        <f aca="false">TCI!K139</f>
        <v>0.00587275016014189</v>
      </c>
      <c r="J734" s="25" t="str">
        <f aca="false">IF(AND(ISNUMBER(I734),ISNUMBER(I$739)),IF(I734&gt;I$739,"Above",IF(I734&lt;I$739,"Below","At median")),"-")</f>
        <v>Below</v>
      </c>
      <c r="K734" s="25" t="str">
        <f aca="false">IF(J734="Below","Better",IF(J734="Above","Weaker",IF(J734="At median","In line","-")))</f>
        <v>Better</v>
      </c>
      <c r="L734" s="43" t="n">
        <f aca="false">IF(ISNUMBER(I734),RANK(I734,I$727:I$736,1),"-")</f>
        <v>1</v>
      </c>
    </row>
    <row r="735" customFormat="false" ht="15" hidden="false" customHeight="false" outlineLevel="0" collapsed="false">
      <c r="A735" s="16" t="s">
        <v>68</v>
      </c>
      <c r="B735" s="27" t="n">
        <f aca="false">Shreeji!D139</f>
        <v>0.0320909090909091</v>
      </c>
      <c r="C735" s="27" t="n">
        <f aca="false">Shreeji!E139</f>
        <v>0.0388986417813915</v>
      </c>
      <c r="D735" s="27" t="n">
        <f aca="false">Shreeji!F139</f>
        <v>0.0252229143764505</v>
      </c>
      <c r="E735" s="27" t="n">
        <f aca="false">Shreeji!G139</f>
        <v>0.0198991632696846</v>
      </c>
      <c r="F735" s="27" t="n">
        <f aca="false">Shreeji!H139</f>
        <v>0.0198003992015968</v>
      </c>
      <c r="G735" s="27" t="n">
        <f aca="false">Shreeji!I139</f>
        <v>0.0198928149695704</v>
      </c>
      <c r="H735" s="27" t="n">
        <f aca="false">Shreeji!J139</f>
        <v>0.0177557727602544</v>
      </c>
      <c r="I735" s="61" t="n">
        <f aca="false">Shreeji!K139</f>
        <v>0.0247943736356939</v>
      </c>
      <c r="J735" s="25" t="str">
        <f aca="false">IF(AND(ISNUMBER(I735),ISNUMBER(I$739)),IF(I735&gt;I$739,"Above",IF(I735&lt;I$739,"Below","At median")),"-")</f>
        <v>Above</v>
      </c>
      <c r="K735" s="25" t="str">
        <f aca="false">IF(J735="Below","Better",IF(J735="Above","Weaker",IF(J735="At median","In line","-")))</f>
        <v>Weaker</v>
      </c>
      <c r="L735" s="43" t="n">
        <f aca="false">IF(ISNUMBER(I735),RANK(I735,I$727:I$736,1),"-")</f>
        <v>9</v>
      </c>
    </row>
    <row r="736" customFormat="false" ht="15" hidden="false" customHeight="false" outlineLevel="0" collapsed="false">
      <c r="A736" s="16" t="s">
        <v>279</v>
      </c>
      <c r="B736" s="27" t="n">
        <f aca="false">MahindraLog!D139</f>
        <v>0.00507902302989796</v>
      </c>
      <c r="C736" s="27" t="n">
        <f aca="false">MahindraLog!E139</f>
        <v>0.00615555255965585</v>
      </c>
      <c r="D736" s="27" t="n">
        <f aca="false">MahindraLog!F139</f>
        <v>0.00720157652218433</v>
      </c>
      <c r="E736" s="27" t="n">
        <f aca="false">MahindraLog!G139</f>
        <v>0.0100559835734719</v>
      </c>
      <c r="F736" s="27" t="n">
        <f aca="false">MahindraLog!H139</f>
        <v>0.0123792901160014</v>
      </c>
      <c r="G736" s="27" t="n">
        <f aca="false">MahindraLog!I139</f>
        <v>0.0133025817262725</v>
      </c>
      <c r="H736" s="27" t="n">
        <f aca="false">MahindraLog!J139</f>
        <v>0.0107182146786107</v>
      </c>
      <c r="I736" s="61" t="n">
        <f aca="false">MahindraLog!K139</f>
        <v>0.00927031745801351</v>
      </c>
      <c r="J736" s="25" t="str">
        <f aca="false">IF(AND(ISNUMBER(I736),ISNUMBER(I$739)),IF(I736&gt;I$739,"Above",IF(I736&lt;I$739,"Below","At median")),"-")</f>
        <v>Below</v>
      </c>
      <c r="K736" s="25" t="str">
        <f aca="false">IF(J736="Below","Better",IF(J736="Above","Weaker",IF(J736="At median","In line","-")))</f>
        <v>Better</v>
      </c>
      <c r="L736" s="43" t="n">
        <f aca="false">IF(ISNUMBER(I736),RANK(I736,I$727:I$736,1),"-")</f>
        <v>4</v>
      </c>
    </row>
    <row r="737" customFormat="false" ht="15" hidden="false" customHeight="false" outlineLevel="0" collapsed="false">
      <c r="A737" s="46" t="s">
        <v>328</v>
      </c>
      <c r="B737" s="42" t="n">
        <f aca="false">Industry!D140</f>
        <v>0.0144401550199505</v>
      </c>
      <c r="C737" s="42" t="n">
        <f aca="false">Industry!E140</f>
        <v>0.018148546302274</v>
      </c>
      <c r="D737" s="42" t="n">
        <f aca="false">Industry!F140</f>
        <v>0.00805653429969772</v>
      </c>
      <c r="E737" s="42" t="n">
        <f aca="false">Industry!G140</f>
        <v>0.00743682908575705</v>
      </c>
      <c r="F737" s="42" t="n">
        <f aca="false">Industry!H140</f>
        <v>0.0112188947356172</v>
      </c>
      <c r="G737" s="42" t="n">
        <f aca="false">Industry!I140</f>
        <v>0.0135320533122378</v>
      </c>
      <c r="H737" s="42" t="n">
        <f aca="false">Industry!J140</f>
        <v>0.0132352483797418</v>
      </c>
      <c r="I737" s="42" t="n">
        <f aca="false">Industry!K140</f>
        <v>0.012295465876468</v>
      </c>
      <c r="J737" s="47"/>
      <c r="K737" s="47"/>
      <c r="L737" s="47"/>
    </row>
    <row r="738" customFormat="false" ht="15" hidden="false" customHeight="false" outlineLevel="0" collapsed="false">
      <c r="A738" s="52" t="s">
        <v>329</v>
      </c>
      <c r="B738" s="62" t="n">
        <f aca="false">IF(COUNT(B727:B736)=0,"N/M",AVERAGE(B727:B736))</f>
        <v>0.0210012294344765</v>
      </c>
      <c r="C738" s="62" t="n">
        <f aca="false">IF(COUNT(C727:C736)=0,"N/M",AVERAGE(C727:C736))</f>
        <v>0.044372119343676</v>
      </c>
      <c r="D738" s="62" t="n">
        <f aca="false">IF(COUNT(D727:D736)=0,"N/M",AVERAGE(D727:D736))</f>
        <v>0.016459707326557</v>
      </c>
      <c r="E738" s="62" t="n">
        <f aca="false">IF(COUNT(E727:E736)=0,"N/M",AVERAGE(E727:E736))</f>
        <v>0.0139170787677376</v>
      </c>
      <c r="F738" s="62" t="n">
        <f aca="false">IF(COUNT(F727:F736)=0,"N/M",AVERAGE(F727:F736))</f>
        <v>0.0273953049261829</v>
      </c>
      <c r="G738" s="62" t="n">
        <f aca="false">IF(COUNT(G727:G736)=0,"N/M",AVERAGE(G727:G736))</f>
        <v>0.0319080517631065</v>
      </c>
      <c r="H738" s="62" t="n">
        <f aca="false">IF(COUNT(H727:H736)=0,"N/M",AVERAGE(H727:H736))</f>
        <v>0.029850917248018</v>
      </c>
      <c r="I738" s="62" t="n">
        <f aca="false">IF(COUNT(I727:I736)=0,"N/M",AVERAGE(I727:I736))</f>
        <v>0.0264149155442506</v>
      </c>
      <c r="J738" s="54"/>
      <c r="K738" s="54"/>
      <c r="L738" s="54"/>
    </row>
    <row r="739" customFormat="false" ht="15" hidden="false" customHeight="false" outlineLevel="0" collapsed="false">
      <c r="A739" s="28" t="s">
        <v>281</v>
      </c>
      <c r="B739" s="30" t="n">
        <f aca="false">IF(COUNT(B727:B736)=0,"N/M",MEDIAN(B727:B736))</f>
        <v>0.0150026077679202</v>
      </c>
      <c r="C739" s="30" t="n">
        <f aca="false">IF(COUNT(C727:C736)=0,"N/M",MEDIAN(C727:C736))</f>
        <v>0.0126605138663871</v>
      </c>
      <c r="D739" s="30" t="n">
        <f aca="false">IF(COUNT(D727:D736)=0,"N/M",MEDIAN(D727:D736))</f>
        <v>0.00852817816747881</v>
      </c>
      <c r="E739" s="30" t="n">
        <f aca="false">IF(COUNT(E727:E736)=0,"N/M",MEDIAN(E727:E736))</f>
        <v>0.011087652445739</v>
      </c>
      <c r="F739" s="30" t="n">
        <f aca="false">IF(COUNT(F727:F736)=0,"N/M",MEDIAN(F727:F736))</f>
        <v>0.0115695295180999</v>
      </c>
      <c r="G739" s="30" t="n">
        <f aca="false">IF(COUNT(G727:G736)=0,"N/M",MEDIAN(G727:G736))</f>
        <v>0.0138529873132479</v>
      </c>
      <c r="H739" s="30" t="n">
        <f aca="false">IF(COUNT(H727:H736)=0,"N/M",MEDIAN(H727:H736))</f>
        <v>0.0123320493280757</v>
      </c>
      <c r="I739" s="30" t="n">
        <f aca="false">IF(COUNT(I727:I736)=0,"N/M",MEDIAN(I727:I736))</f>
        <v>0.0146152726244802</v>
      </c>
      <c r="J739" s="54"/>
      <c r="K739" s="54"/>
      <c r="L739" s="54"/>
    </row>
    <row r="740" customFormat="false" ht="15" hidden="false" customHeight="false" outlineLevel="0" collapsed="false">
      <c r="A740" s="52" t="s">
        <v>330</v>
      </c>
      <c r="B740" s="62" t="n">
        <f aca="false">IF(COUNT(B727:B736)&lt;2,"N/M",STDEV(B727:B736))</f>
        <v>0.0157022239091629</v>
      </c>
      <c r="C740" s="62" t="n">
        <f aca="false">IF(COUNT(C727:C736)&lt;2,"N/M",STDEV(C727:C736))</f>
        <v>0.0824930178053391</v>
      </c>
      <c r="D740" s="62" t="n">
        <f aca="false">IF(COUNT(D727:D736)&lt;2,"N/M",STDEV(D727:D736))</f>
        <v>0.0177053821766354</v>
      </c>
      <c r="E740" s="62" t="n">
        <f aca="false">IF(COUNT(E727:E736)&lt;2,"N/M",STDEV(E727:E736))</f>
        <v>0.0137672848150507</v>
      </c>
      <c r="F740" s="62" t="n">
        <f aca="false">IF(COUNT(F727:F736)&lt;2,"N/M",STDEV(F727:F736))</f>
        <v>0.0528979570156375</v>
      </c>
      <c r="G740" s="62" t="n">
        <f aca="false">IF(COUNT(G727:G736)&lt;2,"N/M",STDEV(G727:G736))</f>
        <v>0.0581829391698434</v>
      </c>
      <c r="H740" s="62" t="n">
        <f aca="false">IF(COUNT(H727:H736)&lt;2,"N/M",STDEV(H727:H736))</f>
        <v>0.0556994276092886</v>
      </c>
      <c r="I740" s="62" t="n">
        <f aca="false">IF(COUNT(I727:I736)&lt;2,"N/M",STDEV(I727:I736))</f>
        <v>0.0414043752772038</v>
      </c>
      <c r="J740" s="54"/>
      <c r="K740" s="54"/>
      <c r="L740" s="54"/>
    </row>
    <row r="741" customFormat="false" ht="15" hidden="false" customHeight="false" outlineLevel="0" collapsed="false">
      <c r="A741" s="52" t="s">
        <v>269</v>
      </c>
      <c r="B741" s="62" t="n">
        <f aca="false">IF(COUNT(B727:B736)=0,"N/M",MIN(B727:B736))</f>
        <v>0.00507902302989796</v>
      </c>
      <c r="C741" s="62" t="n">
        <f aca="false">IF(COUNT(C727:C736)=0,"N/M",MIN(C727:C736))</f>
        <v>0.00615555255965585</v>
      </c>
      <c r="D741" s="62" t="n">
        <f aca="false">IF(COUNT(D727:D736)=0,"N/M",MIN(D727:D736))</f>
        <v>0.00245484547479313</v>
      </c>
      <c r="E741" s="62" t="n">
        <f aca="false">IF(COUNT(E727:E736)=0,"N/M",MIN(E727:E736))</f>
        <v>0.00237683166032076</v>
      </c>
      <c r="F741" s="62" t="n">
        <f aca="false">IF(COUNT(F727:F736)=0,"N/M",MIN(F727:F736))</f>
        <v>0.00316323982352452</v>
      </c>
      <c r="G741" s="62" t="n">
        <f aca="false">IF(COUNT(G727:G736)=0,"N/M",MIN(G727:G736))</f>
        <v>0.0034433452974992</v>
      </c>
      <c r="H741" s="62" t="n">
        <f aca="false">IF(COUNT(H727:H736)=0,"N/M",MIN(H727:H736))</f>
        <v>0.000980007840062721</v>
      </c>
      <c r="I741" s="62" t="n">
        <f aca="false">IF(COUNT(I727:I736)=0,"N/M",MIN(I727:I736))</f>
        <v>0.00587275016014189</v>
      </c>
      <c r="J741" s="54"/>
      <c r="K741" s="54"/>
      <c r="L741" s="54"/>
    </row>
    <row r="742" customFormat="false" ht="15" hidden="false" customHeight="false" outlineLevel="0" collapsed="false">
      <c r="A742" s="52" t="s">
        <v>270</v>
      </c>
      <c r="B742" s="62" t="n">
        <f aca="false">IF(COUNT(B727:B736)=0,"N/M",MAX(B727:B736))</f>
        <v>0.0546906068559612</v>
      </c>
      <c r="C742" s="62" t="n">
        <f aca="false">IF(COUNT(C727:C736)=0,"N/M",MAX(C727:C736))</f>
        <v>0.276373528185374</v>
      </c>
      <c r="D742" s="62" t="n">
        <f aca="false">IF(COUNT(D727:D736)=0,"N/M",MAX(D727:D736))</f>
        <v>0.0611689167884886</v>
      </c>
      <c r="E742" s="62" t="n">
        <f aca="false">IF(COUNT(E727:E736)=0,"N/M",MAX(E727:E736))</f>
        <v>0.0493994032286858</v>
      </c>
      <c r="F742" s="62" t="n">
        <f aca="false">IF(COUNT(F727:F736)=0,"N/M",MAX(F727:F736))</f>
        <v>0.177212899724094</v>
      </c>
      <c r="G742" s="62" t="n">
        <f aca="false">IF(COUNT(G727:G736)=0,"N/M",MAX(G727:G736))</f>
        <v>0.194977910017131</v>
      </c>
      <c r="H742" s="62" t="n">
        <f aca="false">IF(COUNT(H727:H736)=0,"N/M",MAX(H727:H736))</f>
        <v>0.186735117195603</v>
      </c>
      <c r="I742" s="62" t="n">
        <f aca="false">IF(COUNT(I727:I736)=0,"N/M",MAX(I727:I736))</f>
        <v>0.14293691171362</v>
      </c>
      <c r="J742" s="54"/>
      <c r="K742" s="54"/>
      <c r="L742" s="54"/>
    </row>
    <row r="744" customFormat="false" ht="16.5" hidden="false" customHeight="true" outlineLevel="0" collapsed="false">
      <c r="A744" s="49" t="s">
        <v>371</v>
      </c>
      <c r="B744" s="49"/>
      <c r="C744" s="49"/>
      <c r="D744" s="49"/>
      <c r="E744" s="49"/>
      <c r="F744" s="49"/>
      <c r="G744" s="49"/>
      <c r="H744" s="49"/>
      <c r="I744" s="49"/>
      <c r="J744" s="49"/>
      <c r="K744" s="49"/>
      <c r="L744" s="49"/>
    </row>
    <row r="745" customFormat="false" ht="15" hidden="false" customHeight="false" outlineLevel="0" collapsed="false">
      <c r="A745" s="16" t="s">
        <v>52</v>
      </c>
      <c r="B745" s="27" t="n">
        <f aca="false">Tiger!D140</f>
        <v>1.02782937508292</v>
      </c>
      <c r="C745" s="27" t="n">
        <f aca="false">Tiger!E140</f>
        <v>1.05653184011437</v>
      </c>
      <c r="D745" s="27" t="n">
        <f aca="false">Tiger!F140</f>
        <v>0.938872721952171</v>
      </c>
      <c r="E745" s="27" t="n">
        <f aca="false">Tiger!G140</f>
        <v>0.938986962039922</v>
      </c>
      <c r="F745" s="27" t="n">
        <f aca="false">Tiger!H140</f>
        <v>0.93611087988013</v>
      </c>
      <c r="G745" s="27" t="n">
        <f aca="false">Tiger!I140</f>
        <v>0.941414480431094</v>
      </c>
      <c r="H745" s="27" t="n">
        <f aca="false">Tiger!J140</f>
        <v>0.952847316783632</v>
      </c>
      <c r="I745" s="61" t="n">
        <f aca="false">Tiger!K140</f>
        <v>0.97037051089775</v>
      </c>
      <c r="J745" s="25" t="str">
        <f aca="false">IF(AND(ISNUMBER(I745),ISNUMBER(I$757)),IF(I745&gt;I$757,"Above",IF(I745&lt;I$757,"Below","At median")),"-")</f>
        <v>Above</v>
      </c>
      <c r="K745" s="25" t="str">
        <f aca="false">IF(J745="Below","Better",IF(J745="Above","Weaker",IF(J745="At median","In line","-")))</f>
        <v>Weaker</v>
      </c>
      <c r="L745" s="43" t="n">
        <f aca="false">IF(ISNUMBER(I745),RANK(I745,I$745:I$754,1),"-")</f>
        <v>8</v>
      </c>
    </row>
    <row r="746" customFormat="false" ht="15" hidden="false" customHeight="false" outlineLevel="0" collapsed="false">
      <c r="A746" s="16" t="s">
        <v>54</v>
      </c>
      <c r="B746" s="27" t="n">
        <f aca="false">Allcargo!D140</f>
        <v>0.929875691510215</v>
      </c>
      <c r="C746" s="27" t="n">
        <f aca="false">Allcargo!E140</f>
        <v>0.938742248597365</v>
      </c>
      <c r="D746" s="27" t="n">
        <f aca="false">Allcargo!F140</f>
        <v>0.932784809196907</v>
      </c>
      <c r="E746" s="27" t="n">
        <f aca="false">Allcargo!G140</f>
        <v>0.936833719558778</v>
      </c>
      <c r="F746" s="27" t="n">
        <f aca="false">Allcargo!H140</f>
        <v>0.96370486433469</v>
      </c>
      <c r="G746" s="27" t="n">
        <f aca="false">Allcargo!I140</f>
        <v>0.896991330953595</v>
      </c>
      <c r="H746" s="27" t="n">
        <f aca="false">Allcargo!J140</f>
        <v>0.885811467444121</v>
      </c>
      <c r="I746" s="61" t="n">
        <f aca="false">Allcargo!K140</f>
        <v>0.926392018799382</v>
      </c>
      <c r="J746" s="25" t="str">
        <f aca="false">IF(AND(ISNUMBER(I746),ISNUMBER(I$757)),IF(I746&gt;I$757,"Above",IF(I746&lt;I$757,"Below","At median")),"-")</f>
        <v>Below</v>
      </c>
      <c r="K746" s="25" t="str">
        <f aca="false">IF(J746="Below","Better",IF(J746="Above","Weaker",IF(J746="At median","In line","-")))</f>
        <v>Better</v>
      </c>
      <c r="L746" s="43" t="n">
        <f aca="false">IF(ISNUMBER(I746),RANK(I746,I$745:I$754,1),"-")</f>
        <v>4</v>
      </c>
    </row>
    <row r="747" customFormat="false" ht="15" hidden="false" customHeight="false" outlineLevel="0" collapsed="false">
      <c r="A747" s="16" t="s">
        <v>277</v>
      </c>
      <c r="B747" s="27" t="n">
        <f aca="false">BlueDart!D140</f>
        <v>0.850522655765276</v>
      </c>
      <c r="C747" s="27" t="n">
        <f aca="false">BlueDart!E140</f>
        <v>0.791282583109549</v>
      </c>
      <c r="D747" s="27" t="n">
        <f aca="false">BlueDart!F140</f>
        <v>0.773265555527844</v>
      </c>
      <c r="E747" s="27" t="n">
        <f aca="false">BlueDart!G140</f>
        <v>0.81872194144874</v>
      </c>
      <c r="F747" s="27" t="n">
        <f aca="false">BlueDart!H140</f>
        <v>0.838073741939281</v>
      </c>
      <c r="G747" s="27" t="n">
        <f aca="false">BlueDart!I140</f>
        <v>0.846812512892951</v>
      </c>
      <c r="H747" s="27" t="n">
        <f aca="false">BlueDart!J140</f>
        <v>0.845191568635114</v>
      </c>
      <c r="I747" s="61" t="n">
        <f aca="false">BlueDart!K140</f>
        <v>0.823410079902679</v>
      </c>
      <c r="J747" s="25" t="str">
        <f aca="false">IF(AND(ISNUMBER(I747),ISNUMBER(I$757)),IF(I747&gt;I$757,"Above",IF(I747&lt;I$757,"Below","At median")),"-")</f>
        <v>Below</v>
      </c>
      <c r="K747" s="25" t="str">
        <f aca="false">IF(J747="Below","Better",IF(J747="Above","Weaker",IF(J747="At median","In line","-")))</f>
        <v>Better</v>
      </c>
      <c r="L747" s="43" t="n">
        <f aca="false">IF(ISNUMBER(I747),RANK(I747,I$745:I$754,1),"-")</f>
        <v>2</v>
      </c>
    </row>
    <row r="748" customFormat="false" ht="15" hidden="false" customHeight="false" outlineLevel="0" collapsed="false">
      <c r="A748" s="16" t="s">
        <v>58</v>
      </c>
      <c r="B748" s="27" t="n">
        <f aca="false">CONCOR!D140</f>
        <v>0.740558966168321</v>
      </c>
      <c r="C748" s="27" t="n">
        <f aca="false">CONCOR!E140</f>
        <v>0.837034858753898</v>
      </c>
      <c r="D748" s="27" t="n">
        <f aca="false">CONCOR!F140</f>
        <v>0.771523364864565</v>
      </c>
      <c r="E748" s="27" t="n">
        <f aca="false">CONCOR!G140</f>
        <v>0.771358481696927</v>
      </c>
      <c r="F748" s="27" t="n">
        <f aca="false">CONCOR!H140</f>
        <v>0.773652236517165</v>
      </c>
      <c r="G748" s="27" t="n">
        <f aca="false">CONCOR!I140</f>
        <v>0.782828214632126</v>
      </c>
      <c r="H748" s="27" t="n">
        <f aca="false">CONCOR!J140</f>
        <v>0.785072535761215</v>
      </c>
      <c r="I748" s="61" t="n">
        <f aca="false">CONCOR!K140</f>
        <v>0.780289808342031</v>
      </c>
      <c r="J748" s="25" t="str">
        <f aca="false">IF(AND(ISNUMBER(I748),ISNUMBER(I$757)),IF(I748&gt;I$757,"Above",IF(I748&lt;I$757,"Below","At median")),"-")</f>
        <v>Below</v>
      </c>
      <c r="K748" s="25" t="str">
        <f aca="false">IF(J748="Below","Better",IF(J748="Above","Weaker",IF(J748="At median","In line","-")))</f>
        <v>Better</v>
      </c>
      <c r="L748" s="43" t="n">
        <f aca="false">IF(ISNUMBER(I748),RANK(I748,I$745:I$754,1),"-")</f>
        <v>1</v>
      </c>
    </row>
    <row r="749" customFormat="false" ht="15" hidden="false" customHeight="false" outlineLevel="0" collapsed="false">
      <c r="A749" s="16" t="s">
        <v>278</v>
      </c>
      <c r="B749" s="27" t="n">
        <f aca="false">JetFreight!D140</f>
        <v>1.01170858629662</v>
      </c>
      <c r="C749" s="27" t="n">
        <f aca="false">JetFreight!E140</f>
        <v>0.973153781827619</v>
      </c>
      <c r="D749" s="27" t="n">
        <f aca="false">JetFreight!F140</f>
        <v>0.976398984149225</v>
      </c>
      <c r="E749" s="27" t="n">
        <f aca="false">JetFreight!G140</f>
        <v>0.980801075139792</v>
      </c>
      <c r="F749" s="27" t="n">
        <f aca="false">JetFreight!H140</f>
        <v>0.98475900662764</v>
      </c>
      <c r="G749" s="27" t="n">
        <f aca="false">JetFreight!I140</f>
        <v>0.967317866385727</v>
      </c>
      <c r="H749" s="27" t="n">
        <f aca="false">JetFreight!J140</f>
        <v>0.962686903260674</v>
      </c>
      <c r="I749" s="61" t="n">
        <f aca="false">JetFreight!K140</f>
        <v>0.979546600526756</v>
      </c>
      <c r="J749" s="25" t="str">
        <f aca="false">IF(AND(ISNUMBER(I749),ISNUMBER(I$757)),IF(I749&gt;I$757,"Above",IF(I749&lt;I$757,"Below","At median")),"-")</f>
        <v>Above</v>
      </c>
      <c r="K749" s="25" t="str">
        <f aca="false">IF(J749="Below","Better",IF(J749="Above","Weaker",IF(J749="At median","In line","-")))</f>
        <v>Weaker</v>
      </c>
      <c r="L749" s="43" t="n">
        <f aca="false">IF(ISNUMBER(I749),RANK(I749,I$745:I$754,1),"-")</f>
        <v>10</v>
      </c>
    </row>
    <row r="750" customFormat="false" ht="15" hidden="false" customHeight="false" outlineLevel="0" collapsed="false">
      <c r="A750" s="16" t="s">
        <v>62</v>
      </c>
      <c r="B750" s="27" t="n">
        <f aca="false">Patel!D140</f>
        <v>0.976713393396851</v>
      </c>
      <c r="C750" s="27" t="n">
        <f aca="false">Patel!E140</f>
        <v>0.975641931684334</v>
      </c>
      <c r="D750" s="27" t="n">
        <f aca="false">Patel!F140</f>
        <v>0.967181631956299</v>
      </c>
      <c r="E750" s="27" t="n">
        <f aca="false">Patel!G140</f>
        <v>0.962915049590341</v>
      </c>
      <c r="F750" s="27" t="n">
        <f aca="false">Patel!H140</f>
        <v>0.968680089485459</v>
      </c>
      <c r="G750" s="27" t="n">
        <f aca="false">Patel!I140</f>
        <v>0.974291633838163</v>
      </c>
      <c r="H750" s="27" t="n">
        <f aca="false">Patel!J140</f>
        <v>0.970963767710142</v>
      </c>
      <c r="I750" s="61" t="n">
        <f aca="false">Patel!K140</f>
        <v>0.970912499665941</v>
      </c>
      <c r="J750" s="25" t="str">
        <f aca="false">IF(AND(ISNUMBER(I750),ISNUMBER(I$757)),IF(I750&gt;I$757,"Above",IF(I750&lt;I$757,"Below","At median")),"-")</f>
        <v>Above</v>
      </c>
      <c r="K750" s="25" t="str">
        <f aca="false">IF(J750="Below","Better",IF(J750="Above","Weaker",IF(J750="At median","In line","-")))</f>
        <v>Weaker</v>
      </c>
      <c r="L750" s="43" t="n">
        <f aca="false">IF(ISNUMBER(I750),RANK(I750,I$745:I$754,1),"-")</f>
        <v>9</v>
      </c>
    </row>
    <row r="751" customFormat="false" ht="15" hidden="false" customHeight="false" outlineLevel="0" collapsed="false">
      <c r="A751" s="16" t="s">
        <v>64</v>
      </c>
      <c r="B751" s="27" t="n">
        <f aca="false">Sical!D140</f>
        <v>1.02233953710332</v>
      </c>
      <c r="C751" s="27" t="n">
        <f aca="false">Sical!E140</f>
        <v>1.01876377499355</v>
      </c>
      <c r="D751" s="27" t="n">
        <f aca="false">Sical!F140</f>
        <v>1.11224811534382</v>
      </c>
      <c r="E751" s="27" t="n">
        <f aca="false">Sical!G140</f>
        <v>0.92963709163245</v>
      </c>
      <c r="F751" s="27" t="n">
        <f aca="false">Sical!H140</f>
        <v>0.924917454430323</v>
      </c>
      <c r="G751" s="27" t="n">
        <f aca="false">Sical!I140</f>
        <v>0.903119646560274</v>
      </c>
      <c r="H751" s="27" t="n">
        <f aca="false">Sical!J140</f>
        <v>0.796930097490147</v>
      </c>
      <c r="I751" s="61" t="n">
        <f aca="false">Sical!K140</f>
        <v>0.958279388221983</v>
      </c>
      <c r="J751" s="25" t="str">
        <f aca="false">IF(AND(ISNUMBER(I751),ISNUMBER(I$757)),IF(I751&gt;I$757,"Above",IF(I751&lt;I$757,"Below","At median")),"-")</f>
        <v>Above</v>
      </c>
      <c r="K751" s="25" t="str">
        <f aca="false">IF(J751="Below","Better",IF(J751="Above","Weaker",IF(J751="At median","In line","-")))</f>
        <v>Weaker</v>
      </c>
      <c r="L751" s="43" t="n">
        <f aca="false">IF(ISNUMBER(I751),RANK(I751,I$745:I$754,1),"-")</f>
        <v>7</v>
      </c>
    </row>
    <row r="752" customFormat="false" ht="15" hidden="false" customHeight="false" outlineLevel="0" collapsed="false">
      <c r="A752" s="16" t="s">
        <v>66</v>
      </c>
      <c r="B752" s="27" t="n">
        <f aca="false">TCI!D140</f>
        <v>0.911164748476732</v>
      </c>
      <c r="C752" s="27" t="n">
        <f aca="false">TCI!E140</f>
        <v>0.906144398174416</v>
      </c>
      <c r="D752" s="27" t="n">
        <f aca="false">TCI!F140</f>
        <v>0.873625648626339</v>
      </c>
      <c r="E752" s="27" t="n">
        <f aca="false">TCI!G140</f>
        <v>0.887544711664292</v>
      </c>
      <c r="F752" s="27" t="n">
        <f aca="false">TCI!H140</f>
        <v>0.897812268590996</v>
      </c>
      <c r="G752" s="27" t="n">
        <f aca="false">TCI!I140</f>
        <v>0.897020780180686</v>
      </c>
      <c r="H752" s="27" t="n">
        <f aca="false">TCI!J140</f>
        <v>0.89444289645438</v>
      </c>
      <c r="I752" s="61" t="n">
        <f aca="false">TCI!K140</f>
        <v>0.895393636023977</v>
      </c>
      <c r="J752" s="25" t="str">
        <f aca="false">IF(AND(ISNUMBER(I752),ISNUMBER(I$757)),IF(I752&gt;I$757,"Above",IF(I752&lt;I$757,"Below","At median")),"-")</f>
        <v>Below</v>
      </c>
      <c r="K752" s="25" t="str">
        <f aca="false">IF(J752="Below","Better",IF(J752="Above","Weaker",IF(J752="At median","In line","-")))</f>
        <v>Better</v>
      </c>
      <c r="L752" s="43" t="n">
        <f aca="false">IF(ISNUMBER(I752),RANK(I752,I$745:I$754,1),"-")</f>
        <v>3</v>
      </c>
    </row>
    <row r="753" customFormat="false" ht="15" hidden="false" customHeight="false" outlineLevel="0" collapsed="false">
      <c r="A753" s="16" t="s">
        <v>68</v>
      </c>
      <c r="B753" s="27" t="n">
        <f aca="false">Shreeji!D140</f>
        <v>0.917727272727273</v>
      </c>
      <c r="C753" s="27" t="n">
        <f aca="false">Shreeji!E140</f>
        <v>0.934306569343066</v>
      </c>
      <c r="D753" s="27" t="n">
        <f aca="false">Shreeji!F140</f>
        <v>0.897947966288018</v>
      </c>
      <c r="E753" s="27" t="n">
        <f aca="false">Shreeji!G140</f>
        <v>0.89471143531431</v>
      </c>
      <c r="F753" s="27" t="n">
        <f aca="false">Shreeji!H140</f>
        <v>0.924630738522954</v>
      </c>
      <c r="G753" s="27" t="n">
        <f aca="false">Shreeji!I140</f>
        <v>0.959033518030702</v>
      </c>
      <c r="H753" s="27" t="n">
        <f aca="false">Shreeji!J140</f>
        <v>0.966921336804815</v>
      </c>
      <c r="I753" s="61" t="n">
        <f aca="false">Shreeji!K140</f>
        <v>0.927896976718734</v>
      </c>
      <c r="J753" s="25" t="str">
        <f aca="false">IF(AND(ISNUMBER(I753),ISNUMBER(I$757)),IF(I753&gt;I$757,"Above",IF(I753&lt;I$757,"Below","At median")),"-")</f>
        <v>Below</v>
      </c>
      <c r="K753" s="25" t="str">
        <f aca="false">IF(J753="Below","Better",IF(J753="Above","Weaker",IF(J753="At median","In line","-")))</f>
        <v>Better</v>
      </c>
      <c r="L753" s="43" t="n">
        <f aca="false">IF(ISNUMBER(I753),RANK(I753,I$745:I$754,1),"-")</f>
        <v>5</v>
      </c>
    </row>
    <row r="754" customFormat="false" ht="15" hidden="false" customHeight="false" outlineLevel="0" collapsed="false">
      <c r="A754" s="16" t="s">
        <v>279</v>
      </c>
      <c r="B754" s="27" t="n">
        <f aca="false">MahindraLog!D140</f>
        <v>0.954343529791366</v>
      </c>
      <c r="C754" s="27" t="n">
        <f aca="false">MahindraLog!E140</f>
        <v>0.958734205140147</v>
      </c>
      <c r="D754" s="27" t="n">
        <f aca="false">MahindraLog!F140</f>
        <v>0.95547677237995</v>
      </c>
      <c r="E754" s="27" t="n">
        <f aca="false">MahindraLog!G140</f>
        <v>0.949296939135657</v>
      </c>
      <c r="F754" s="27" t="n">
        <f aca="false">MahindraLog!H140</f>
        <v>0.958001950609974</v>
      </c>
      <c r="G754" s="27" t="n">
        <f aca="false">MahindraLog!I140</f>
        <v>0.953415574225654</v>
      </c>
      <c r="H754" s="27" t="n">
        <f aca="false">MahindraLog!J140</f>
        <v>0.945880302315946</v>
      </c>
      <c r="I754" s="61" t="n">
        <f aca="false">MahindraLog!K140</f>
        <v>0.953592753371242</v>
      </c>
      <c r="J754" s="25" t="str">
        <f aca="false">IF(AND(ISNUMBER(I754),ISNUMBER(I$757)),IF(I754&gt;I$757,"Above",IF(I754&lt;I$757,"Below","At median")),"-")</f>
        <v>Above</v>
      </c>
      <c r="K754" s="25" t="str">
        <f aca="false">IF(J754="Below","Better",IF(J754="Above","Weaker",IF(J754="At median","In line","-")))</f>
        <v>Weaker</v>
      </c>
      <c r="L754" s="43" t="n">
        <f aca="false">IF(ISNUMBER(I754),RANK(I754,I$745:I$754,1),"-")</f>
        <v>6</v>
      </c>
    </row>
    <row r="755" customFormat="false" ht="15" hidden="false" customHeight="false" outlineLevel="0" collapsed="false">
      <c r="A755" s="46" t="s">
        <v>328</v>
      </c>
      <c r="B755" s="42" t="n">
        <f aca="false">Industry!D141</f>
        <v>0.87881231987348</v>
      </c>
      <c r="C755" s="42" t="n">
        <f aca="false">Industry!E141</f>
        <v>0.899445981072619</v>
      </c>
      <c r="D755" s="42" t="n">
        <f aca="false">Industry!F141</f>
        <v>0.884503509226359</v>
      </c>
      <c r="E755" s="42" t="n">
        <f aca="false">Industry!G141</f>
        <v>0.887574434941909</v>
      </c>
      <c r="F755" s="42" t="n">
        <f aca="false">Industry!H141</f>
        <v>0.894455005934888</v>
      </c>
      <c r="G755" s="42" t="n">
        <f aca="false">Industry!I141</f>
        <v>0.867223166510156</v>
      </c>
      <c r="H755" s="42" t="n">
        <f aca="false">Industry!J141</f>
        <v>0.866140522952309</v>
      </c>
      <c r="I755" s="42" t="n">
        <f aca="false">Industry!K141</f>
        <v>0.882593562930246</v>
      </c>
      <c r="J755" s="47"/>
      <c r="K755" s="47"/>
      <c r="L755" s="47"/>
    </row>
    <row r="756" customFormat="false" ht="15" hidden="false" customHeight="false" outlineLevel="0" collapsed="false">
      <c r="A756" s="52" t="s">
        <v>329</v>
      </c>
      <c r="B756" s="62" t="n">
        <f aca="false">IF(COUNT(B745:B754)=0,"N/M",AVERAGE(B745:B754))</f>
        <v>0.934278375631889</v>
      </c>
      <c r="C756" s="62" t="n">
        <f aca="false">IF(COUNT(C745:C754)=0,"N/M",AVERAGE(C745:C754))</f>
        <v>0.939033619173831</v>
      </c>
      <c r="D756" s="62" t="n">
        <f aca="false">IF(COUNT(D745:D754)=0,"N/M",AVERAGE(D745:D754))</f>
        <v>0.919932557028514</v>
      </c>
      <c r="E756" s="62" t="n">
        <f aca="false">IF(COUNT(E745:E754)=0,"N/M",AVERAGE(E745:E754))</f>
        <v>0.907080740722121</v>
      </c>
      <c r="F756" s="62" t="n">
        <f aca="false">IF(COUNT(F745:F754)=0,"N/M",AVERAGE(F745:F754))</f>
        <v>0.917034323093861</v>
      </c>
      <c r="G756" s="62" t="n">
        <f aca="false">IF(COUNT(G745:G754)=0,"N/M",AVERAGE(G745:G754))</f>
        <v>0.912224555813097</v>
      </c>
      <c r="H756" s="62" t="n">
        <f aca="false">IF(COUNT(H745:H754)=0,"N/M",AVERAGE(H745:H754))</f>
        <v>0.900674819266018</v>
      </c>
      <c r="I756" s="62" t="n">
        <f aca="false">IF(COUNT(I745:I754)=0,"N/M",AVERAGE(I745:I754))</f>
        <v>0.918608427247047</v>
      </c>
      <c r="J756" s="54"/>
      <c r="K756" s="54"/>
      <c r="L756" s="54"/>
    </row>
    <row r="757" customFormat="false" ht="15" hidden="false" customHeight="false" outlineLevel="0" collapsed="false">
      <c r="A757" s="28" t="s">
        <v>281</v>
      </c>
      <c r="B757" s="30" t="n">
        <f aca="false">IF(COUNT(B745:B754)=0,"N/M",MEDIAN(B745:B754))</f>
        <v>0.94210961065079</v>
      </c>
      <c r="C757" s="30" t="n">
        <f aca="false">IF(COUNT(C745:C754)=0,"N/M",MEDIAN(C745:C754))</f>
        <v>0.948738226868756</v>
      </c>
      <c r="D757" s="30" t="n">
        <f aca="false">IF(COUNT(D745:D754)=0,"N/M",MEDIAN(D745:D754))</f>
        <v>0.935828765574539</v>
      </c>
      <c r="E757" s="30" t="n">
        <f aca="false">IF(COUNT(E745:E754)=0,"N/M",MEDIAN(E745:E754))</f>
        <v>0.933235405595614</v>
      </c>
      <c r="F757" s="30" t="n">
        <f aca="false">IF(COUNT(F745:F754)=0,"N/M",MEDIAN(F745:F754))</f>
        <v>0.930514167155226</v>
      </c>
      <c r="G757" s="30" t="n">
        <f aca="false">IF(COUNT(G745:G754)=0,"N/M",MEDIAN(G745:G754))</f>
        <v>0.922267063495684</v>
      </c>
      <c r="H757" s="30" t="n">
        <f aca="false">IF(COUNT(H745:H754)=0,"N/M",MEDIAN(H745:H754))</f>
        <v>0.920161599385163</v>
      </c>
      <c r="I757" s="30" t="n">
        <f aca="false">IF(COUNT(I745:I754)=0,"N/M",MEDIAN(I745:I754))</f>
        <v>0.940744865044988</v>
      </c>
      <c r="J757" s="54"/>
      <c r="K757" s="54"/>
      <c r="L757" s="54"/>
    </row>
    <row r="758" customFormat="false" ht="15" hidden="false" customHeight="false" outlineLevel="0" collapsed="false">
      <c r="A758" s="52" t="s">
        <v>330</v>
      </c>
      <c r="B758" s="62" t="n">
        <f aca="false">IF(COUNT(B745:B754)&lt;2,"N/M",STDEV(B745:B754))</f>
        <v>0.0882390244570049</v>
      </c>
      <c r="C758" s="62" t="n">
        <f aca="false">IF(COUNT(C745:C754)&lt;2,"N/M",STDEV(C745:C754))</f>
        <v>0.0791576790288909</v>
      </c>
      <c r="D758" s="62" t="n">
        <f aca="false">IF(COUNT(D745:D754)&lt;2,"N/M",STDEV(D745:D754))</f>
        <v>0.100198501632882</v>
      </c>
      <c r="E758" s="62" t="n">
        <f aca="false">IF(COUNT(E745:E754)&lt;2,"N/M",STDEV(E745:E754))</f>
        <v>0.0662561242354384</v>
      </c>
      <c r="F758" s="62" t="n">
        <f aca="false">IF(COUNT(F745:F754)&lt;2,"N/M",STDEV(F745:F754))</f>
        <v>0.0656225331239737</v>
      </c>
      <c r="G758" s="62" t="n">
        <f aca="false">IF(COUNT(G745:G754)&lt;2,"N/M",STDEV(G745:G754))</f>
        <v>0.0607322717259862</v>
      </c>
      <c r="H758" s="62" t="n">
        <f aca="false">IF(COUNT(H745:H754)&lt;2,"N/M",STDEV(H745:H754))</f>
        <v>0.0710282757103918</v>
      </c>
      <c r="I758" s="62" t="n">
        <f aca="false">IF(COUNT(I745:I754)&lt;2,"N/M",STDEV(I745:I754))</f>
        <v>0.0673355875285477</v>
      </c>
      <c r="J758" s="54"/>
      <c r="K758" s="54"/>
      <c r="L758" s="54"/>
    </row>
    <row r="759" customFormat="false" ht="15" hidden="false" customHeight="false" outlineLevel="0" collapsed="false">
      <c r="A759" s="52" t="s">
        <v>269</v>
      </c>
      <c r="B759" s="62" t="n">
        <f aca="false">IF(COUNT(B745:B754)=0,"N/M",MIN(B745:B754))</f>
        <v>0.740558966168321</v>
      </c>
      <c r="C759" s="62" t="n">
        <f aca="false">IF(COUNT(C745:C754)=0,"N/M",MIN(C745:C754))</f>
        <v>0.791282583109549</v>
      </c>
      <c r="D759" s="62" t="n">
        <f aca="false">IF(COUNT(D745:D754)=0,"N/M",MIN(D745:D754))</f>
        <v>0.771523364864565</v>
      </c>
      <c r="E759" s="62" t="n">
        <f aca="false">IF(COUNT(E745:E754)=0,"N/M",MIN(E745:E754))</f>
        <v>0.771358481696927</v>
      </c>
      <c r="F759" s="62" t="n">
        <f aca="false">IF(COUNT(F745:F754)=0,"N/M",MIN(F745:F754))</f>
        <v>0.773652236517165</v>
      </c>
      <c r="G759" s="62" t="n">
        <f aca="false">IF(COUNT(G745:G754)=0,"N/M",MIN(G745:G754))</f>
        <v>0.782828214632126</v>
      </c>
      <c r="H759" s="62" t="n">
        <f aca="false">IF(COUNT(H745:H754)=0,"N/M",MIN(H745:H754))</f>
        <v>0.785072535761215</v>
      </c>
      <c r="I759" s="62" t="n">
        <f aca="false">IF(COUNT(I745:I754)=0,"N/M",MIN(I745:I754))</f>
        <v>0.780289808342031</v>
      </c>
      <c r="J759" s="54"/>
      <c r="K759" s="54"/>
      <c r="L759" s="54"/>
    </row>
    <row r="760" customFormat="false" ht="15" hidden="false" customHeight="false" outlineLevel="0" collapsed="false">
      <c r="A760" s="52" t="s">
        <v>270</v>
      </c>
      <c r="B760" s="62" t="n">
        <f aca="false">IF(COUNT(B745:B754)=0,"N/M",MAX(B745:B754))</f>
        <v>1.02782937508292</v>
      </c>
      <c r="C760" s="62" t="n">
        <f aca="false">IF(COUNT(C745:C754)=0,"N/M",MAX(C745:C754))</f>
        <v>1.05653184011437</v>
      </c>
      <c r="D760" s="62" t="n">
        <f aca="false">IF(COUNT(D745:D754)=0,"N/M",MAX(D745:D754))</f>
        <v>1.11224811534382</v>
      </c>
      <c r="E760" s="62" t="n">
        <f aca="false">IF(COUNT(E745:E754)=0,"N/M",MAX(E745:E754))</f>
        <v>0.980801075139792</v>
      </c>
      <c r="F760" s="62" t="n">
        <f aca="false">IF(COUNT(F745:F754)=0,"N/M",MAX(F745:F754))</f>
        <v>0.98475900662764</v>
      </c>
      <c r="G760" s="62" t="n">
        <f aca="false">IF(COUNT(G745:G754)=0,"N/M",MAX(G745:G754))</f>
        <v>0.974291633838163</v>
      </c>
      <c r="H760" s="62" t="n">
        <f aca="false">IF(COUNT(H745:H754)=0,"N/M",MAX(H745:H754))</f>
        <v>0.970963767710142</v>
      </c>
      <c r="I760" s="62" t="n">
        <f aca="false">IF(COUNT(I745:I754)=0,"N/M",MAX(I745:I754))</f>
        <v>0.979546600526756</v>
      </c>
      <c r="J760" s="54"/>
      <c r="K760" s="54"/>
      <c r="L760" s="54"/>
    </row>
    <row r="762" customFormat="false" ht="16.5" hidden="false" customHeight="true" outlineLevel="0" collapsed="false">
      <c r="A762" s="49" t="s">
        <v>372</v>
      </c>
      <c r="B762" s="49"/>
      <c r="C762" s="49"/>
      <c r="D762" s="49"/>
      <c r="E762" s="49"/>
      <c r="F762" s="49"/>
      <c r="G762" s="49"/>
      <c r="H762" s="49"/>
      <c r="I762" s="49"/>
      <c r="J762" s="49"/>
      <c r="K762" s="49"/>
      <c r="L762" s="49"/>
    </row>
    <row r="763" customFormat="false" ht="15" hidden="false" customHeight="false" outlineLevel="0" collapsed="false">
      <c r="A763" s="16" t="s">
        <v>52</v>
      </c>
      <c r="B763" s="27" t="n">
        <f aca="false">Tiger!D142</f>
        <v>-0.117400818190467</v>
      </c>
      <c r="C763" s="27" t="n">
        <f aca="false">Tiger!E142</f>
        <v>-0.148121645796064</v>
      </c>
      <c r="D763" s="27" t="n">
        <f aca="false">Tiger!F142</f>
        <v>0.277360824742268</v>
      </c>
      <c r="E763" s="27" t="n">
        <f aca="false">Tiger!G142</f>
        <v>0.194209689565727</v>
      </c>
      <c r="F763" s="27" t="n">
        <f aca="false">Tiger!H142</f>
        <v>0.0902632678646051</v>
      </c>
      <c r="G763" s="27" t="n">
        <f aca="false">Tiger!I142</f>
        <v>0.138024426388676</v>
      </c>
      <c r="H763" s="27" t="n">
        <f aca="false">Tiger!J142</f>
        <v>0.0819434924986673</v>
      </c>
      <c r="I763" s="61" t="n">
        <f aca="false">Tiger!K142</f>
        <v>0.0737541767247731</v>
      </c>
      <c r="J763" s="25" t="str">
        <f aca="false">IF(AND(ISNUMBER(I763),ISNUMBER(I$775)),IF(I763&gt;I$775,"Above",IF(I763&lt;I$775,"Below","At median")),"-")</f>
        <v>Above</v>
      </c>
      <c r="K763" s="25" t="str">
        <f aca="false">IF(J763="Above","Better",IF(J763="Below","Weaker",IF(J763="At median","In line","-")))</f>
        <v>Better</v>
      </c>
      <c r="L763" s="43" t="n">
        <f aca="false">IF(ISNUMBER(I763),RANK(I763,I$763:I$772,0),"-")</f>
        <v>2</v>
      </c>
    </row>
    <row r="764" customFormat="false" ht="15" hidden="false" customHeight="false" outlineLevel="0" collapsed="false">
      <c r="A764" s="16" t="s">
        <v>54</v>
      </c>
      <c r="B764" s="27" t="n">
        <f aca="false">Allcargo!D142</f>
        <v>0.0420680105792558</v>
      </c>
      <c r="C764" s="27" t="n">
        <f aca="false">Allcargo!E142</f>
        <v>0.0236419549667932</v>
      </c>
      <c r="D764" s="27" t="n">
        <f aca="false">Allcargo!F142</f>
        <v>0.0963890045814244</v>
      </c>
      <c r="E764" s="27" t="n">
        <f aca="false">Allcargo!G142</f>
        <v>0.0870699848565521</v>
      </c>
      <c r="F764" s="27" t="n">
        <f aca="false">Allcargo!H142</f>
        <v>0.0208976642637377</v>
      </c>
      <c r="G764" s="27" t="n">
        <f aca="false">Allcargo!I142</f>
        <v>0.0373348650201034</v>
      </c>
      <c r="H764" s="27" t="n">
        <f aca="false">Allcargo!J142</f>
        <v>0.00460829493087558</v>
      </c>
      <c r="I764" s="61" t="n">
        <f aca="false">Allcargo!K142</f>
        <v>0.0445728255998203</v>
      </c>
      <c r="J764" s="25" t="str">
        <f aca="false">IF(AND(ISNUMBER(I764),ISNUMBER(I$775)),IF(I764&gt;I$775,"Above",IF(I764&lt;I$775,"Below","At median")),"-")</f>
        <v>Below</v>
      </c>
      <c r="K764" s="25" t="str">
        <f aca="false">IF(J764="Above","Better",IF(J764="Below","Weaker",IF(J764="At median","In line","-")))</f>
        <v>Weaker</v>
      </c>
      <c r="L764" s="43" t="n">
        <f aca="false">IF(ISNUMBER(I764),RANK(I764,I$763:I$772,0),"-")</f>
        <v>6</v>
      </c>
    </row>
    <row r="765" customFormat="false" ht="15" hidden="false" customHeight="false" outlineLevel="0" collapsed="false">
      <c r="A765" s="16" t="s">
        <v>277</v>
      </c>
      <c r="B765" s="27" t="n">
        <f aca="false">BlueDart!D142</f>
        <v>-0.0158513172194684</v>
      </c>
      <c r="C765" s="27" t="n">
        <f aca="false">BlueDart!E142</f>
        <v>0.0351380361216664</v>
      </c>
      <c r="D765" s="27" t="n">
        <f aca="false">BlueDart!F142</f>
        <v>0.135115739758764</v>
      </c>
      <c r="E765" s="27" t="n">
        <f aca="false">BlueDart!G142</f>
        <v>0.11496289217633</v>
      </c>
      <c r="F765" s="27" t="n">
        <f aca="false">BlueDart!H142</f>
        <v>0.0869744864052703</v>
      </c>
      <c r="G765" s="27" t="n">
        <f aca="false">BlueDart!I142</f>
        <v>0.068915244242047</v>
      </c>
      <c r="H765" s="27" t="n">
        <f aca="false">BlueDart!J142</f>
        <v>0.0599464482595684</v>
      </c>
      <c r="I765" s="61" t="n">
        <f aca="false">BlueDart!K142</f>
        <v>0.0693145042491683</v>
      </c>
      <c r="J765" s="25" t="str">
        <f aca="false">IF(AND(ISNUMBER(I765),ISNUMBER(I$775)),IF(I765&gt;I$775,"Above",IF(I765&lt;I$775,"Below","At median")),"-")</f>
        <v>Above</v>
      </c>
      <c r="K765" s="25" t="str">
        <f aca="false">IF(J765="Above","Better",IF(J765="Below","Weaker",IF(J765="At median","In line","-")))</f>
        <v>Better</v>
      </c>
      <c r="L765" s="43" t="n">
        <f aca="false">IF(ISNUMBER(I765),RANK(I765,I$763:I$772,0),"-")</f>
        <v>4</v>
      </c>
    </row>
    <row r="766" customFormat="false" ht="15" hidden="false" customHeight="false" outlineLevel="0" collapsed="false">
      <c r="A766" s="16" t="s">
        <v>58</v>
      </c>
      <c r="B766" s="27" t="n">
        <f aca="false">CONCOR!D142</f>
        <v>0.0342292149471191</v>
      </c>
      <c r="C766" s="27" t="n">
        <f aca="false">CONCOR!E142</f>
        <v>0.0407124640927605</v>
      </c>
      <c r="D766" s="27" t="n">
        <f aca="false">CONCOR!F142</f>
        <v>0.0811489694868431</v>
      </c>
      <c r="E766" s="27" t="n">
        <f aca="false">CONCOR!G142</f>
        <v>0.0871789654112199</v>
      </c>
      <c r="F766" s="27" t="n">
        <f aca="false">CONCOR!H142</f>
        <v>0.0897973808533312</v>
      </c>
      <c r="G766" s="27" t="n">
        <f aca="false">CONCOR!I142</f>
        <v>0.0891059496064863</v>
      </c>
      <c r="H766" s="27" t="n">
        <f aca="false">CONCOR!J142</f>
        <v>0.081827754487743</v>
      </c>
      <c r="I766" s="61" t="n">
        <f aca="false">CONCOR!K142</f>
        <v>0.0720000998407862</v>
      </c>
      <c r="J766" s="25" t="str">
        <f aca="false">IF(AND(ISNUMBER(I766),ISNUMBER(I$775)),IF(I766&gt;I$775,"Above",IF(I766&lt;I$775,"Below","At median")),"-")</f>
        <v>Above</v>
      </c>
      <c r="K766" s="25" t="str">
        <f aca="false">IF(J766="Above","Better",IF(J766="Below","Weaker",IF(J766="At median","In line","-")))</f>
        <v>Better</v>
      </c>
      <c r="L766" s="43" t="n">
        <f aca="false">IF(ISNUMBER(I766),RANK(I766,I$763:I$772,0),"-")</f>
        <v>3</v>
      </c>
    </row>
    <row r="767" customFormat="false" ht="15" hidden="false" customHeight="false" outlineLevel="0" collapsed="false">
      <c r="A767" s="16" t="s">
        <v>278</v>
      </c>
      <c r="B767" s="27" t="n">
        <f aca="false">JetFreight!D142</f>
        <v>-0.0975970846145086</v>
      </c>
      <c r="C767" s="27" t="n">
        <f aca="false">JetFreight!E142</f>
        <v>0.0255678924314964</v>
      </c>
      <c r="D767" s="27" t="n">
        <f aca="false">JetFreight!F142</f>
        <v>0.0256340332697028</v>
      </c>
      <c r="E767" s="27" t="n">
        <f aca="false">JetFreight!G142</f>
        <v>0.000389964903158716</v>
      </c>
      <c r="F767" s="27" t="n">
        <f aca="false">JetFreight!H142</f>
        <v>0.00152439024390244</v>
      </c>
      <c r="G767" s="27" t="n">
        <f aca="false">JetFreight!I142</f>
        <v>0.0204461985419065</v>
      </c>
      <c r="H767" s="27" t="n">
        <f aca="false">JetFreight!J142</f>
        <v>0.0350352929053532</v>
      </c>
      <c r="I767" s="61" t="n">
        <f aca="false">JetFreight!K142</f>
        <v>0.00157152681157305</v>
      </c>
      <c r="J767" s="25" t="str">
        <f aca="false">IF(AND(ISNUMBER(I767),ISNUMBER(I$775)),IF(I767&gt;I$775,"Above",IF(I767&lt;I$775,"Below","At median")),"-")</f>
        <v>Below</v>
      </c>
      <c r="K767" s="25" t="str">
        <f aca="false">IF(J767="Above","Better",IF(J767="Below","Weaker",IF(J767="At median","In line","-")))</f>
        <v>Weaker</v>
      </c>
      <c r="L767" s="43" t="n">
        <f aca="false">IF(ISNUMBER(I767),RANK(I767,I$763:I$772,0),"-")</f>
        <v>9</v>
      </c>
    </row>
    <row r="768" customFormat="false" ht="15" hidden="false" customHeight="false" outlineLevel="0" collapsed="false">
      <c r="A768" s="16" t="s">
        <v>62</v>
      </c>
      <c r="B768" s="27" t="n">
        <f aca="false">Patel!D142</f>
        <v>0.0522907639125566</v>
      </c>
      <c r="C768" s="27" t="n">
        <f aca="false">Patel!E142</f>
        <v>0.000262743037309511</v>
      </c>
      <c r="D768" s="27" t="n">
        <f aca="false">Patel!F142</f>
        <v>0.0126780228986317</v>
      </c>
      <c r="E768" s="27" t="n">
        <f aca="false">Patel!G142</f>
        <v>0.0284635492303224</v>
      </c>
      <c r="F768" s="27" t="n">
        <f aca="false">Patel!H142</f>
        <v>0.0288481566340346</v>
      </c>
      <c r="G768" s="27" t="n">
        <f aca="false">Patel!I142</f>
        <v>0.0452058053771116</v>
      </c>
      <c r="H768" s="27" t="n">
        <f aca="false">Patel!J142</f>
        <v>0.0587803085966201</v>
      </c>
      <c r="I768" s="61" t="n">
        <f aca="false">Patel!K142</f>
        <v>0.0323613356695124</v>
      </c>
      <c r="J768" s="25" t="str">
        <f aca="false">IF(AND(ISNUMBER(I768),ISNUMBER(I$775)),IF(I768&gt;I$775,"Above",IF(I768&lt;I$775,"Below","At median")),"-")</f>
        <v>Below</v>
      </c>
      <c r="K768" s="25" t="str">
        <f aca="false">IF(J768="Above","Better",IF(J768="Below","Weaker",IF(J768="At median","In line","-")))</f>
        <v>Weaker</v>
      </c>
      <c r="L768" s="43" t="n">
        <f aca="false">IF(ISNUMBER(I768),RANK(I768,I$763:I$772,0),"-")</f>
        <v>7</v>
      </c>
    </row>
    <row r="769" customFormat="false" ht="15" hidden="false" customHeight="false" outlineLevel="0" collapsed="false">
      <c r="A769" s="16" t="s">
        <v>64</v>
      </c>
      <c r="B769" s="27" t="n">
        <f aca="false">Sical!D142</f>
        <v>-0.0386853347018728</v>
      </c>
      <c r="C769" s="27" t="n">
        <f aca="false">Sical!E142</f>
        <v>-0.669867017896549</v>
      </c>
      <c r="D769" s="27" t="n">
        <f aca="false">Sical!F142</f>
        <v>-0.166340908800572</v>
      </c>
      <c r="E769" s="27" t="n">
        <f aca="false">Sical!G142</f>
        <v>-1.05161347271787</v>
      </c>
      <c r="F769" s="27" t="n">
        <f aca="false">Sical!H142</f>
        <v>-0.0368580139145843</v>
      </c>
      <c r="G769" s="27" t="n">
        <f aca="false">Sical!I142</f>
        <v>-0.0300729994993655</v>
      </c>
      <c r="H769" s="27" t="n">
        <f aca="false">Sical!J142</f>
        <v>0.0543491447288609</v>
      </c>
      <c r="I769" s="61" t="n">
        <f aca="false">Sical!K142</f>
        <v>-0.277012657543137</v>
      </c>
      <c r="J769" s="25" t="str">
        <f aca="false">IF(AND(ISNUMBER(I769),ISNUMBER(I$775)),IF(I769&gt;I$775,"Above",IF(I769&lt;I$775,"Below","At median")),"-")</f>
        <v>Below</v>
      </c>
      <c r="K769" s="25" t="str">
        <f aca="false">IF(J769="Above","Better",IF(J769="Below","Weaker",IF(J769="At median","In line","-")))</f>
        <v>Weaker</v>
      </c>
      <c r="L769" s="43" t="n">
        <f aca="false">IF(ISNUMBER(I769),RANK(I769,I$763:I$772,0),"-")</f>
        <v>10</v>
      </c>
    </row>
    <row r="770" customFormat="false" ht="15" hidden="false" customHeight="false" outlineLevel="0" collapsed="false">
      <c r="A770" s="16" t="s">
        <v>66</v>
      </c>
      <c r="B770" s="27" t="n">
        <f aca="false">TCI!D142</f>
        <v>0.0845709668987477</v>
      </c>
      <c r="C770" s="27" t="n">
        <f aca="false">TCI!E142</f>
        <v>0.0846153403764644</v>
      </c>
      <c r="D770" s="27" t="n">
        <f aca="false">TCI!F142</f>
        <v>0.158514091175295</v>
      </c>
      <c r="E770" s="27" t="n">
        <f aca="false">TCI!G142</f>
        <v>0.151048831220757</v>
      </c>
      <c r="F770" s="27" t="n">
        <f aca="false">TCI!H142</f>
        <v>0.140241464779723</v>
      </c>
      <c r="G770" s="27" t="n">
        <f aca="false">TCI!I142</f>
        <v>0.140550710115439</v>
      </c>
      <c r="H770" s="27" t="n">
        <f aca="false">TCI!J142</f>
        <v>0.131036285203885</v>
      </c>
      <c r="I770" s="61" t="n">
        <f aca="false">TCI!K142</f>
        <v>0.127225384252902</v>
      </c>
      <c r="J770" s="25" t="str">
        <f aca="false">IF(AND(ISNUMBER(I770),ISNUMBER(I$775)),IF(I770&gt;I$775,"Above",IF(I770&lt;I$775,"Below","At median")),"-")</f>
        <v>Above</v>
      </c>
      <c r="K770" s="25" t="str">
        <f aca="false">IF(J770="Above","Better",IF(J770="Below","Weaker",IF(J770="At median","In line","-")))</f>
        <v>Better</v>
      </c>
      <c r="L770" s="43" t="n">
        <f aca="false">IF(ISNUMBER(I770),RANK(I770,I$763:I$772,0),"-")</f>
        <v>1</v>
      </c>
    </row>
    <row r="771" customFormat="false" ht="15" hidden="false" customHeight="false" outlineLevel="0" collapsed="false">
      <c r="A771" s="16" t="s">
        <v>68</v>
      </c>
      <c r="B771" s="27" t="n">
        <f aca="false">Shreeji!D142</f>
        <v>0.0185255198487713</v>
      </c>
      <c r="C771" s="27" t="n">
        <f aca="false">Shreeji!E142</f>
        <v>-0.0132959258355697</v>
      </c>
      <c r="D771" s="27" t="n">
        <f aca="false">Shreeji!F142</f>
        <v>0.0987833463556201</v>
      </c>
      <c r="E771" s="27" t="n">
        <f aca="false">Shreeji!G142</f>
        <v>0.0924899675138544</v>
      </c>
      <c r="F771" s="27" t="n">
        <f aca="false">Shreeji!H142</f>
        <v>0.135215946843854</v>
      </c>
      <c r="G771" s="27" t="n">
        <f aca="false">Shreeji!I142</f>
        <v>0.0133055048265067</v>
      </c>
      <c r="H771" s="27" t="n">
        <f aca="false">Shreeji!J142</f>
        <v>0.0264390896921017</v>
      </c>
      <c r="I771" s="61" t="n">
        <f aca="false">Shreeji!K142</f>
        <v>0.0530662070350198</v>
      </c>
      <c r="J771" s="25" t="str">
        <f aca="false">IF(AND(ISNUMBER(I771),ISNUMBER(I$775)),IF(I771&gt;I$775,"Above",IF(I771&lt;I$775,"Below","At median")),"-")</f>
        <v>Above</v>
      </c>
      <c r="K771" s="25" t="str">
        <f aca="false">IF(J771="Above","Better",IF(J771="Below","Weaker",IF(J771="At median","In line","-")))</f>
        <v>Better</v>
      </c>
      <c r="L771" s="43" t="n">
        <f aca="false">IF(ISNUMBER(I771),RANK(I771,I$763:I$772,0),"-")</f>
        <v>5</v>
      </c>
    </row>
    <row r="772" customFormat="false" ht="15" hidden="false" customHeight="false" outlineLevel="0" collapsed="false">
      <c r="A772" s="16" t="s">
        <v>279</v>
      </c>
      <c r="B772" s="27" t="n">
        <f aca="false">MahindraLog!D142</f>
        <v>0.0387666685421707</v>
      </c>
      <c r="C772" s="27" t="n">
        <f aca="false">MahindraLog!E142</f>
        <v>0.0177837847450694</v>
      </c>
      <c r="D772" s="27" t="n">
        <f aca="false">MahindraLog!F142</f>
        <v>0.00888915887093508</v>
      </c>
      <c r="E772" s="27" t="n">
        <f aca="false">MahindraLog!G142</f>
        <v>0.0102940139603751</v>
      </c>
      <c r="F772" s="27" t="n">
        <f aca="false">MahindraLog!H142</f>
        <v>-0.022097529468755</v>
      </c>
      <c r="G772" s="27" t="n">
        <f aca="false">MahindraLog!I142</f>
        <v>-0.0139018147975803</v>
      </c>
      <c r="H772" s="27" t="n">
        <f aca="false">MahindraLog!J142</f>
        <v>0.000737517753566011</v>
      </c>
      <c r="I772" s="61" t="n">
        <f aca="false">MahindraLog!K142</f>
        <v>0.00578168565796872</v>
      </c>
      <c r="J772" s="25" t="str">
        <f aca="false">IF(AND(ISNUMBER(I772),ISNUMBER(I$775)),IF(I772&gt;I$775,"Above",IF(I772&lt;I$775,"Below","At median")),"-")</f>
        <v>Below</v>
      </c>
      <c r="K772" s="25" t="str">
        <f aca="false">IF(J772="Above","Better",IF(J772="Below","Weaker",IF(J772="At median","In line","-")))</f>
        <v>Weaker</v>
      </c>
      <c r="L772" s="43" t="n">
        <f aca="false">IF(ISNUMBER(I772),RANK(I772,I$763:I$772,0),"-")</f>
        <v>8</v>
      </c>
    </row>
    <row r="773" customFormat="false" ht="15" hidden="false" customHeight="false" outlineLevel="0" collapsed="false">
      <c r="A773" s="46" t="s">
        <v>328</v>
      </c>
      <c r="B773" s="42" t="n">
        <f aca="false">Industry!D143</f>
        <v>0.02555190230155</v>
      </c>
      <c r="C773" s="42" t="n">
        <f aca="false">Industry!E143</f>
        <v>-0.0075597942069796</v>
      </c>
      <c r="D773" s="42" t="n">
        <f aca="false">Industry!F143</f>
        <v>0.0785027746568457</v>
      </c>
      <c r="E773" s="42" t="n">
        <f aca="false">Industry!G143</f>
        <v>0.0575451455893654</v>
      </c>
      <c r="F773" s="42" t="n">
        <f aca="false">Industry!H143</f>
        <v>0.0648974746788008</v>
      </c>
      <c r="G773" s="42" t="n">
        <f aca="false">Industry!I143</f>
        <v>0.0742364844454501</v>
      </c>
      <c r="H773" s="42" t="n">
        <f aca="false">Industry!J143</f>
        <v>0.0698997464452111</v>
      </c>
      <c r="I773" s="42" t="n">
        <f aca="false">Industry!K143</f>
        <v>0.0518676762728919</v>
      </c>
      <c r="J773" s="47"/>
      <c r="K773" s="47"/>
      <c r="L773" s="47"/>
    </row>
    <row r="774" customFormat="false" ht="15" hidden="false" customHeight="false" outlineLevel="0" collapsed="false">
      <c r="A774" s="52" t="s">
        <v>329</v>
      </c>
      <c r="B774" s="62" t="n">
        <f aca="false">IF(COUNT(B763:B772)=0,"N/M",AVERAGE(B763:B772))</f>
        <v>9.165900023042E-005</v>
      </c>
      <c r="C774" s="62" t="n">
        <f aca="false">IF(COUNT(C763:C772)=0,"N/M",AVERAGE(C763:C772))</f>
        <v>-0.0603562373756623</v>
      </c>
      <c r="D774" s="62" t="n">
        <f aca="false">IF(COUNT(D763:D772)=0,"N/M",AVERAGE(D763:D772))</f>
        <v>0.0728172282338912</v>
      </c>
      <c r="E774" s="62" t="n">
        <f aca="false">IF(COUNT(E763:E772)=0,"N/M",AVERAGE(E763:E772))</f>
        <v>-0.0285505613879576</v>
      </c>
      <c r="F774" s="62" t="n">
        <f aca="false">IF(COUNT(F763:F772)=0,"N/M",AVERAGE(F763:F772))</f>
        <v>0.0534807214505119</v>
      </c>
      <c r="G774" s="62" t="n">
        <f aca="false">IF(COUNT(G763:G772)=0,"N/M",AVERAGE(G763:G772))</f>
        <v>0.050891388982133</v>
      </c>
      <c r="H774" s="62" t="n">
        <f aca="false">IF(COUNT(H763:H772)=0,"N/M",AVERAGE(H763:H772))</f>
        <v>0.0534703629057241</v>
      </c>
      <c r="I774" s="62" t="n">
        <f aca="false">IF(COUNT(I763:I772)=0,"N/M",AVERAGE(I763:I772))</f>
        <v>0.0202635088298387</v>
      </c>
      <c r="J774" s="54"/>
      <c r="K774" s="54"/>
      <c r="L774" s="54"/>
    </row>
    <row r="775" customFormat="false" ht="15" hidden="false" customHeight="false" outlineLevel="0" collapsed="false">
      <c r="A775" s="28" t="s">
        <v>281</v>
      </c>
      <c r="B775" s="30" t="n">
        <f aca="false">IF(COUNT(B763:B772)=0,"N/M",MEDIAN(B763:B772))</f>
        <v>0.0263773673979452</v>
      </c>
      <c r="C775" s="30" t="n">
        <f aca="false">IF(COUNT(C763:C772)=0,"N/M",MEDIAN(C763:C772))</f>
        <v>0.0207128698559313</v>
      </c>
      <c r="D775" s="30" t="n">
        <f aca="false">IF(COUNT(D763:D772)=0,"N/M",MEDIAN(D763:D772))</f>
        <v>0.0887689870341337</v>
      </c>
      <c r="E775" s="30" t="n">
        <f aca="false">IF(COUNT(E763:E772)=0,"N/M",MEDIAN(E763:E772))</f>
        <v>0.087124475133886</v>
      </c>
      <c r="F775" s="30" t="n">
        <f aca="false">IF(COUNT(F763:F772)=0,"N/M",MEDIAN(F763:F772))</f>
        <v>0.0579113215196524</v>
      </c>
      <c r="G775" s="30" t="n">
        <f aca="false">IF(COUNT(G763:G772)=0,"N/M",MEDIAN(G763:G772))</f>
        <v>0.0412703351986075</v>
      </c>
      <c r="H775" s="30" t="n">
        <f aca="false">IF(COUNT(H763:H772)=0,"N/M",MEDIAN(H763:H772))</f>
        <v>0.0565647266627405</v>
      </c>
      <c r="I775" s="30" t="n">
        <f aca="false">IF(COUNT(I763:I772)=0,"N/M",MEDIAN(I763:I772))</f>
        <v>0.04881951631742</v>
      </c>
      <c r="J775" s="54"/>
      <c r="K775" s="54"/>
      <c r="L775" s="54"/>
    </row>
    <row r="776" customFormat="false" ht="15" hidden="false" customHeight="false" outlineLevel="0" collapsed="false">
      <c r="A776" s="52" t="s">
        <v>330</v>
      </c>
      <c r="B776" s="62" t="n">
        <f aca="false">IF(COUNT(B763:B772)&lt;2,"N/M",STDEV(B763:B772))</f>
        <v>0.0664411661047022</v>
      </c>
      <c r="C776" s="62" t="n">
        <f aca="false">IF(COUNT(C763:C772)&lt;2,"N/M",STDEV(C763:C772))</f>
        <v>0.222608476601889</v>
      </c>
      <c r="D776" s="62" t="n">
        <f aca="false">IF(COUNT(D763:D772)&lt;2,"N/M",STDEV(D763:D772))</f>
        <v>0.116184152696028</v>
      </c>
      <c r="E776" s="62" t="n">
        <f aca="false">IF(COUNT(E763:E772)&lt;2,"N/M",STDEV(E763:E772))</f>
        <v>0.364560802847088</v>
      </c>
      <c r="F776" s="62" t="n">
        <f aca="false">IF(COUNT(F763:F772)&lt;2,"N/M",STDEV(F763:F772))</f>
        <v>0.0634584726431157</v>
      </c>
      <c r="G776" s="62" t="n">
        <f aca="false">IF(COUNT(G763:G772)&lt;2,"N/M",STDEV(G763:G772))</f>
        <v>0.0584287572325905</v>
      </c>
      <c r="H776" s="62" t="n">
        <f aca="false">IF(COUNT(H763:H772)&lt;2,"N/M",STDEV(H763:H772))</f>
        <v>0.0393573891303899</v>
      </c>
      <c r="I776" s="62" t="n">
        <f aca="false">IF(COUNT(I763:I772)&lt;2,"N/M",STDEV(I763:I772))</f>
        <v>0.110619628125742</v>
      </c>
      <c r="J776" s="54"/>
      <c r="K776" s="54"/>
      <c r="L776" s="54"/>
    </row>
    <row r="777" customFormat="false" ht="15" hidden="false" customHeight="false" outlineLevel="0" collapsed="false">
      <c r="A777" s="52" t="s">
        <v>269</v>
      </c>
      <c r="B777" s="62" t="n">
        <f aca="false">IF(COUNT(B763:B772)=0,"N/M",MIN(B763:B772))</f>
        <v>-0.117400818190467</v>
      </c>
      <c r="C777" s="62" t="n">
        <f aca="false">IF(COUNT(C763:C772)=0,"N/M",MIN(C763:C772))</f>
        <v>-0.669867017896549</v>
      </c>
      <c r="D777" s="62" t="n">
        <f aca="false">IF(COUNT(D763:D772)=0,"N/M",MIN(D763:D772))</f>
        <v>-0.166340908800572</v>
      </c>
      <c r="E777" s="62" t="n">
        <f aca="false">IF(COUNT(E763:E772)=0,"N/M",MIN(E763:E772))</f>
        <v>-1.05161347271787</v>
      </c>
      <c r="F777" s="62" t="n">
        <f aca="false">IF(COUNT(F763:F772)=0,"N/M",MIN(F763:F772))</f>
        <v>-0.0368580139145843</v>
      </c>
      <c r="G777" s="62" t="n">
        <f aca="false">IF(COUNT(G763:G772)=0,"N/M",MIN(G763:G772))</f>
        <v>-0.0300729994993655</v>
      </c>
      <c r="H777" s="62" t="n">
        <f aca="false">IF(COUNT(H763:H772)=0,"N/M",MIN(H763:H772))</f>
        <v>0.000737517753566011</v>
      </c>
      <c r="I777" s="62" t="n">
        <f aca="false">IF(COUNT(I763:I772)=0,"N/M",MIN(I763:I772))</f>
        <v>-0.277012657543137</v>
      </c>
      <c r="J777" s="54"/>
      <c r="K777" s="54"/>
      <c r="L777" s="54"/>
    </row>
    <row r="778" customFormat="false" ht="15" hidden="false" customHeight="false" outlineLevel="0" collapsed="false">
      <c r="A778" s="52" t="s">
        <v>270</v>
      </c>
      <c r="B778" s="62" t="n">
        <f aca="false">IF(COUNT(B763:B772)=0,"N/M",MAX(B763:B772))</f>
        <v>0.0845709668987477</v>
      </c>
      <c r="C778" s="62" t="n">
        <f aca="false">IF(COUNT(C763:C772)=0,"N/M",MAX(C763:C772))</f>
        <v>0.0846153403764644</v>
      </c>
      <c r="D778" s="62" t="n">
        <f aca="false">IF(COUNT(D763:D772)=0,"N/M",MAX(D763:D772))</f>
        <v>0.277360824742268</v>
      </c>
      <c r="E778" s="62" t="n">
        <f aca="false">IF(COUNT(E763:E772)=0,"N/M",MAX(E763:E772))</f>
        <v>0.194209689565727</v>
      </c>
      <c r="F778" s="62" t="n">
        <f aca="false">IF(COUNT(F763:F772)=0,"N/M",MAX(F763:F772))</f>
        <v>0.140241464779723</v>
      </c>
      <c r="G778" s="62" t="n">
        <f aca="false">IF(COUNT(G763:G772)=0,"N/M",MAX(G763:G772))</f>
        <v>0.140550710115439</v>
      </c>
      <c r="H778" s="62" t="n">
        <f aca="false">IF(COUNT(H763:H772)=0,"N/M",MAX(H763:H772))</f>
        <v>0.131036285203885</v>
      </c>
      <c r="I778" s="62" t="n">
        <f aca="false">IF(COUNT(I763:I772)=0,"N/M",MAX(I763:I772))</f>
        <v>0.127225384252902</v>
      </c>
      <c r="J778" s="54"/>
      <c r="K778" s="54"/>
      <c r="L778" s="54"/>
    </row>
    <row r="780" customFormat="false" ht="16.5" hidden="false" customHeight="true" outlineLevel="0" collapsed="false">
      <c r="A780" s="49" t="s">
        <v>373</v>
      </c>
      <c r="B780" s="49"/>
      <c r="C780" s="49"/>
      <c r="D780" s="49"/>
      <c r="E780" s="49"/>
      <c r="F780" s="49"/>
      <c r="G780" s="49"/>
      <c r="H780" s="49"/>
      <c r="I780" s="49"/>
      <c r="J780" s="49"/>
      <c r="K780" s="49"/>
      <c r="L780" s="49"/>
    </row>
    <row r="781" customFormat="false" ht="15" hidden="false" customHeight="false" outlineLevel="0" collapsed="false">
      <c r="A781" s="16" t="s">
        <v>52</v>
      </c>
      <c r="B781" s="27" t="n">
        <f aca="false">Tiger!D143</f>
        <v>-0.0751593568642375</v>
      </c>
      <c r="C781" s="27" t="n">
        <f aca="false">Tiger!E143</f>
        <v>-0.124746571258199</v>
      </c>
      <c r="D781" s="27" t="n">
        <f aca="false">Tiger!F143</f>
        <v>0.288565074216875</v>
      </c>
      <c r="E781" s="27" t="n">
        <f aca="false">Tiger!G143</f>
        <v>0.200592458559112</v>
      </c>
      <c r="F781" s="27" t="n">
        <f aca="false">Tiger!H143</f>
        <v>0.0941381774979486</v>
      </c>
      <c r="G781" s="27" t="n">
        <f aca="false">Tiger!I143</f>
        <v>0.150836336291753</v>
      </c>
      <c r="H781" s="27" t="n">
        <f aca="false">Tiger!J143</f>
        <v>0.0967699467072398</v>
      </c>
      <c r="I781" s="61" t="n">
        <f aca="false">Tiger!K143</f>
        <v>0.090142295021499</v>
      </c>
      <c r="J781" s="25" t="str">
        <f aca="false">IF(AND(ISNUMBER(I781),ISNUMBER(I$793)),IF(I781&gt;I$793,"Above",IF(I781&lt;I$793,"Below","At median")),"-")</f>
        <v>Above</v>
      </c>
      <c r="K781" s="25" t="str">
        <f aca="false">IF(J781="Above","Better",IF(J781="Below","Weaker",IF(J781="At median","In line","-")))</f>
        <v>Better</v>
      </c>
      <c r="L781" s="43" t="n">
        <f aca="false">IF(ISNUMBER(I781),RANK(I781,I$781:I$790,0),"-")</f>
        <v>3</v>
      </c>
    </row>
    <row r="782" customFormat="false" ht="15" hidden="false" customHeight="false" outlineLevel="0" collapsed="false">
      <c r="A782" s="16" t="s">
        <v>54</v>
      </c>
      <c r="B782" s="27" t="n">
        <f aca="false">Allcargo!D143</f>
        <v>0.0528781198868308</v>
      </c>
      <c r="C782" s="27" t="n">
        <f aca="false">Allcargo!E143</f>
        <v>0.0363849167335542</v>
      </c>
      <c r="D782" s="27" t="n">
        <f aca="false">Allcargo!F143</f>
        <v>0.104299036561364</v>
      </c>
      <c r="E782" s="27" t="n">
        <f aca="false">Allcargo!G143</f>
        <v>0.0957036861094343</v>
      </c>
      <c r="F782" s="27" t="n">
        <f aca="false">Allcargo!H143</f>
        <v>0.0374849173941973</v>
      </c>
      <c r="G782" s="27" t="n">
        <f aca="false">Allcargo!I143</f>
        <v>0.080413555427915</v>
      </c>
      <c r="H782" s="27" t="n">
        <f aca="false">Allcargo!J143</f>
        <v>0.0403225806451613</v>
      </c>
      <c r="I782" s="61" t="n">
        <f aca="false">Allcargo!K143</f>
        <v>0.0639266875369224</v>
      </c>
      <c r="J782" s="25" t="str">
        <f aca="false">IF(AND(ISNUMBER(I782),ISNUMBER(I$793)),IF(I782&gt;I$793,"Above",IF(I782&lt;I$793,"Below","At median")),"-")</f>
        <v>Below</v>
      </c>
      <c r="K782" s="25" t="str">
        <f aca="false">IF(J782="Above","Better",IF(J782="Below","Weaker",IF(J782="At median","In line","-")))</f>
        <v>Weaker</v>
      </c>
      <c r="L782" s="43" t="n">
        <f aca="false">IF(ISNUMBER(I782),RANK(I782,I$781:I$790,0),"-")</f>
        <v>6</v>
      </c>
    </row>
    <row r="783" customFormat="false" ht="15" hidden="false" customHeight="false" outlineLevel="0" collapsed="false">
      <c r="A783" s="16" t="s">
        <v>277</v>
      </c>
      <c r="B783" s="27" t="n">
        <f aca="false">BlueDart!D143</f>
        <v>0.0285975030199296</v>
      </c>
      <c r="C783" s="27" t="n">
        <f aca="false">BlueDart!E143</f>
        <v>0.0630267628381618</v>
      </c>
      <c r="D783" s="27" t="n">
        <f aca="false">BlueDart!F143</f>
        <v>0.158053950316884</v>
      </c>
      <c r="E783" s="27" t="n">
        <f aca="false">BlueDart!G143</f>
        <v>0.130085421381344</v>
      </c>
      <c r="F783" s="27" t="n">
        <f aca="false">BlueDart!H143</f>
        <v>0.104263074153667</v>
      </c>
      <c r="G783" s="27" t="n">
        <f aca="false">BlueDart!I143</f>
        <v>0.0852668367230464</v>
      </c>
      <c r="H783" s="27" t="n">
        <f aca="false">BlueDart!J143</f>
        <v>0.0756581967796891</v>
      </c>
      <c r="I783" s="61" t="n">
        <f aca="false">BlueDart!K143</f>
        <v>0.0921359636018174</v>
      </c>
      <c r="J783" s="25" t="str">
        <f aca="false">IF(AND(ISNUMBER(I783),ISNUMBER(I$793)),IF(I783&gt;I$793,"Above",IF(I783&lt;I$793,"Below","At median")),"-")</f>
        <v>Above</v>
      </c>
      <c r="K783" s="25" t="str">
        <f aca="false">IF(J783="Above","Better",IF(J783="Below","Weaker",IF(J783="At median","In line","-")))</f>
        <v>Better</v>
      </c>
      <c r="L783" s="43" t="n">
        <f aca="false">IF(ISNUMBER(I783),RANK(I783,I$781:I$790,0),"-")</f>
        <v>2</v>
      </c>
    </row>
    <row r="784" customFormat="false" ht="15" hidden="false" customHeight="false" outlineLevel="0" collapsed="false">
      <c r="A784" s="16" t="s">
        <v>58</v>
      </c>
      <c r="B784" s="27" t="n">
        <f aca="false">CONCOR!D143</f>
        <v>0.0371682033720306</v>
      </c>
      <c r="C784" s="27" t="n">
        <f aca="false">CONCOR!E143</f>
        <v>0.0433121818085599</v>
      </c>
      <c r="D784" s="27" t="n">
        <f aca="false">CONCOR!F143</f>
        <v>0.0847959659626248</v>
      </c>
      <c r="E784" s="27" t="n">
        <f aca="false">CONCOR!G143</f>
        <v>0.0907849340173653</v>
      </c>
      <c r="F784" s="27" t="n">
        <f aca="false">CONCOR!H143</f>
        <v>0.0936623350016332</v>
      </c>
      <c r="G784" s="27" t="n">
        <f aca="false">CONCOR!I143</f>
        <v>0.0929213417330341</v>
      </c>
      <c r="H784" s="27" t="n">
        <f aca="false">CONCOR!J143</f>
        <v>0.0857327938631158</v>
      </c>
      <c r="I784" s="61" t="n">
        <f aca="false">CONCOR!K143</f>
        <v>0.0754825365369091</v>
      </c>
      <c r="J784" s="25" t="str">
        <f aca="false">IF(AND(ISNUMBER(I784),ISNUMBER(I$793)),IF(I784&gt;I$793,"Above",IF(I784&lt;I$793,"Below","At median")),"-")</f>
        <v>Above</v>
      </c>
      <c r="K784" s="25" t="str">
        <f aca="false">IF(J784="Above","Better",IF(J784="Below","Weaker",IF(J784="At median","In line","-")))</f>
        <v>Better</v>
      </c>
      <c r="L784" s="43" t="n">
        <f aca="false">IF(ISNUMBER(I784),RANK(I784,I$781:I$790,0),"-")</f>
        <v>5</v>
      </c>
    </row>
    <row r="785" customFormat="false" ht="15" hidden="false" customHeight="false" outlineLevel="0" collapsed="false">
      <c r="A785" s="16" t="s">
        <v>278</v>
      </c>
      <c r="B785" s="27" t="n">
        <f aca="false">JetFreight!D143</f>
        <v>-0.0454390160573967</v>
      </c>
      <c r="C785" s="27" t="n">
        <f aca="false">JetFreight!E143</f>
        <v>0.0512801548334522</v>
      </c>
      <c r="D785" s="27" t="n">
        <f aca="false">JetFreight!F143</f>
        <v>0.0495251558949187</v>
      </c>
      <c r="E785" s="27" t="n">
        <f aca="false">JetFreight!G143</f>
        <v>0.0217426751592357</v>
      </c>
      <c r="F785" s="27" t="n">
        <f aca="false">JetFreight!H143</f>
        <v>0.0363508442776735</v>
      </c>
      <c r="G785" s="27" t="n">
        <f aca="false">JetFreight!I143</f>
        <v>0.0450521515101683</v>
      </c>
      <c r="H785" s="27" t="n">
        <f aca="false">JetFreight!J143</f>
        <v>0.0584982224741099</v>
      </c>
      <c r="I785" s="61" t="n">
        <f aca="false">JetFreight!K143</f>
        <v>0.0310014554417374</v>
      </c>
      <c r="J785" s="25" t="str">
        <f aca="false">IF(AND(ISNUMBER(I785),ISNUMBER(I$793)),IF(I785&gt;I$793,"Above",IF(I785&lt;I$793,"Below","At median")),"-")</f>
        <v>Below</v>
      </c>
      <c r="K785" s="25" t="str">
        <f aca="false">IF(J785="Above","Better",IF(J785="Below","Weaker",IF(J785="At median","In line","-")))</f>
        <v>Weaker</v>
      </c>
      <c r="L785" s="43" t="n">
        <f aca="false">IF(ISNUMBER(I785),RANK(I785,I$781:I$790,0),"-")</f>
        <v>8</v>
      </c>
    </row>
    <row r="786" customFormat="false" ht="15" hidden="false" customHeight="false" outlineLevel="0" collapsed="false">
      <c r="A786" s="16" t="s">
        <v>62</v>
      </c>
      <c r="B786" s="27" t="n">
        <f aca="false">Patel!D143</f>
        <v>0.0823818739681105</v>
      </c>
      <c r="C786" s="27" t="n">
        <f aca="false">Patel!E143</f>
        <v>0.0262099337887546</v>
      </c>
      <c r="D786" s="27" t="n">
        <f aca="false">Patel!F143</f>
        <v>0.0425020943870427</v>
      </c>
      <c r="E786" s="27" t="n">
        <f aca="false">Patel!G143</f>
        <v>0.0561719430729016</v>
      </c>
      <c r="F786" s="27" t="n">
        <f aca="false">Patel!H143</f>
        <v>0.0420025097470891</v>
      </c>
      <c r="G786" s="27" t="n">
        <f aca="false">Patel!I143</f>
        <v>0.0521696956386464</v>
      </c>
      <c r="H786" s="27" t="n">
        <f aca="false">Patel!J143</f>
        <v>0.0607736817962297</v>
      </c>
      <c r="I786" s="61" t="n">
        <f aca="false">Patel!K143</f>
        <v>0.0517445331998249</v>
      </c>
      <c r="J786" s="25" t="str">
        <f aca="false">IF(AND(ISNUMBER(I786),ISNUMBER(I$793)),IF(I786&gt;I$793,"Above",IF(I786&lt;I$793,"Below","At median")),"-")</f>
        <v>Below</v>
      </c>
      <c r="K786" s="25" t="str">
        <f aca="false">IF(J786="Above","Better",IF(J786="Below","Weaker",IF(J786="At median","In line","-")))</f>
        <v>Weaker</v>
      </c>
      <c r="L786" s="43" t="n">
        <f aca="false">IF(ISNUMBER(I786),RANK(I786,I$781:I$790,0),"-")</f>
        <v>7</v>
      </c>
    </row>
    <row r="787" customFormat="false" ht="15" hidden="false" customHeight="false" outlineLevel="0" collapsed="false">
      <c r="A787" s="16" t="s">
        <v>64</v>
      </c>
      <c r="B787" s="27" t="n">
        <f aca="false">Sical!D143</f>
        <v>-0.0188041663353741</v>
      </c>
      <c r="C787" s="27" t="n">
        <f aca="false">Sical!E143</f>
        <v>-0.589459637447576</v>
      </c>
      <c r="D787" s="27" t="n">
        <f aca="false">Sical!F143</f>
        <v>-0.152710177697722</v>
      </c>
      <c r="E787" s="27" t="n">
        <f aca="false">Sical!G143</f>
        <v>-1.02718755122886</v>
      </c>
      <c r="F787" s="27" t="n">
        <f aca="false">Sical!H143</f>
        <v>0.0141881856320192</v>
      </c>
      <c r="G787" s="27" t="n">
        <f aca="false">Sical!I143</f>
        <v>0.0202815196004238</v>
      </c>
      <c r="H787" s="27" t="n">
        <f aca="false">Sical!J143</f>
        <v>0.122744555665012</v>
      </c>
      <c r="I787" s="61" t="n">
        <f aca="false">Sical!K143</f>
        <v>-0.232992467401726</v>
      </c>
      <c r="J787" s="25" t="str">
        <f aca="false">IF(AND(ISNUMBER(I787),ISNUMBER(I$793)),IF(I787&gt;I$793,"Above",IF(I787&lt;I$793,"Below","At median")),"-")</f>
        <v>Below</v>
      </c>
      <c r="K787" s="25" t="str">
        <f aca="false">IF(J787="Above","Better",IF(J787="Below","Weaker",IF(J787="At median","In line","-")))</f>
        <v>Weaker</v>
      </c>
      <c r="L787" s="43" t="n">
        <f aca="false">IF(ISNUMBER(I787),RANK(I787,I$781:I$790,0),"-")</f>
        <v>10</v>
      </c>
    </row>
    <row r="788" customFormat="false" ht="15" hidden="false" customHeight="false" outlineLevel="0" collapsed="false">
      <c r="A788" s="16" t="s">
        <v>66</v>
      </c>
      <c r="B788" s="27" t="n">
        <f aca="false">TCI!D143</f>
        <v>0.102919265915885</v>
      </c>
      <c r="C788" s="27" t="n">
        <f aca="false">TCI!E143</f>
        <v>0.0978707126644612</v>
      </c>
      <c r="D788" s="27" t="n">
        <f aca="false">TCI!F143</f>
        <v>0.164736372942964</v>
      </c>
      <c r="E788" s="27" t="n">
        <f aca="false">TCI!G143</f>
        <v>0.155165224262135</v>
      </c>
      <c r="F788" s="27" t="n">
        <f aca="false">TCI!H143</f>
        <v>0.145086785824943</v>
      </c>
      <c r="G788" s="27" t="n">
        <f aca="false">TCI!I143</f>
        <v>0.14677282135258</v>
      </c>
      <c r="H788" s="27" t="n">
        <f aca="false">TCI!J143</f>
        <v>0.137057632129707</v>
      </c>
      <c r="I788" s="61" t="n">
        <f aca="false">TCI!K143</f>
        <v>0.135658402156096</v>
      </c>
      <c r="J788" s="25" t="str">
        <f aca="false">IF(AND(ISNUMBER(I788),ISNUMBER(I$793)),IF(I788&gt;I$793,"Above",IF(I788&lt;I$793,"Below","At median")),"-")</f>
        <v>Above</v>
      </c>
      <c r="K788" s="25" t="str">
        <f aca="false">IF(J788="Above","Better",IF(J788="Below","Weaker",IF(J788="At median","In line","-")))</f>
        <v>Better</v>
      </c>
      <c r="L788" s="43" t="n">
        <f aca="false">IF(ISNUMBER(I788),RANK(I788,I$781:I$790,0),"-")</f>
        <v>1</v>
      </c>
    </row>
    <row r="789" customFormat="false" ht="15" hidden="false" customHeight="false" outlineLevel="0" collapsed="false">
      <c r="A789" s="16" t="s">
        <v>68</v>
      </c>
      <c r="B789" s="27" t="n">
        <f aca="false">Shreeji!D143</f>
        <v>0.0482505585152088</v>
      </c>
      <c r="C789" s="27" t="n">
        <f aca="false">Shreeji!E143</f>
        <v>0.038058062942181</v>
      </c>
      <c r="D789" s="27" t="n">
        <f aca="false">Shreeji!F143</f>
        <v>0.133318450719946</v>
      </c>
      <c r="E789" s="27" t="n">
        <f aca="false">Shreeji!G143</f>
        <v>0.118181236074329</v>
      </c>
      <c r="F789" s="27" t="n">
        <f aca="false">Shreeji!H143</f>
        <v>0.166492621422138</v>
      </c>
      <c r="G789" s="27" t="n">
        <f aca="false">Shreeji!I143</f>
        <v>0.0390331424700547</v>
      </c>
      <c r="H789" s="27" t="n">
        <f aca="false">Shreeji!J143</f>
        <v>0.0573342057368049</v>
      </c>
      <c r="I789" s="61" t="n">
        <f aca="false">Shreeji!K143</f>
        <v>0.0858097539829518</v>
      </c>
      <c r="J789" s="25" t="str">
        <f aca="false">IF(AND(ISNUMBER(I789),ISNUMBER(I$793)),IF(I789&gt;I$793,"Above",IF(I789&lt;I$793,"Below","At median")),"-")</f>
        <v>Above</v>
      </c>
      <c r="K789" s="25" t="str">
        <f aca="false">IF(J789="Above","Better",IF(J789="Below","Weaker",IF(J789="At median","In line","-")))</f>
        <v>Better</v>
      </c>
      <c r="L789" s="43" t="n">
        <f aca="false">IF(ISNUMBER(I789),RANK(I789,I$781:I$790,0),"-")</f>
        <v>4</v>
      </c>
    </row>
    <row r="790" customFormat="false" ht="15" hidden="false" customHeight="false" outlineLevel="0" collapsed="false">
      <c r="A790" s="16" t="s">
        <v>279</v>
      </c>
      <c r="B790" s="27" t="n">
        <f aca="false">MahindraLog!D143</f>
        <v>0.0472350535281304</v>
      </c>
      <c r="C790" s="27" t="n">
        <f aca="false">MahindraLog!E143</f>
        <v>0.0266488532422803</v>
      </c>
      <c r="D790" s="27" t="n">
        <f aca="false">MahindraLog!F143</f>
        <v>0.0187096035313652</v>
      </c>
      <c r="E790" s="27" t="n">
        <f aca="false">MahindraLog!G143</f>
        <v>0.0263302204809733</v>
      </c>
      <c r="F790" s="27" t="n">
        <f aca="false">MahindraLog!H143</f>
        <v>0.00541740674955595</v>
      </c>
      <c r="G790" s="27" t="n">
        <f aca="false">MahindraLog!I143</f>
        <v>0.0175895765472313</v>
      </c>
      <c r="H790" s="27" t="n">
        <f aca="false">MahindraLog!J143</f>
        <v>0.0164556671959189</v>
      </c>
      <c r="I790" s="61" t="n">
        <f aca="false">MahindraLog!K143</f>
        <v>0.0226266258964936</v>
      </c>
      <c r="J790" s="25" t="str">
        <f aca="false">IF(AND(ISNUMBER(I790),ISNUMBER(I$793)),IF(I790&gt;I$793,"Above",IF(I790&lt;I$793,"Below","At median")),"-")</f>
        <v>Below</v>
      </c>
      <c r="K790" s="25" t="str">
        <f aca="false">IF(J790="Above","Better",IF(J790="Below","Weaker",IF(J790="At median","In line","-")))</f>
        <v>Weaker</v>
      </c>
      <c r="L790" s="43" t="n">
        <f aca="false">IF(ISNUMBER(I790),RANK(I790,I$781:I$790,0),"-")</f>
        <v>9</v>
      </c>
    </row>
    <row r="791" customFormat="false" ht="15" hidden="false" customHeight="false" outlineLevel="0" collapsed="false">
      <c r="A791" s="46" t="s">
        <v>328</v>
      </c>
      <c r="B791" s="42" t="n">
        <f aca="false">Industry!D144</f>
        <v>0.0359818807263157</v>
      </c>
      <c r="C791" s="42" t="n">
        <f aca="false">Industry!E144</f>
        <v>0.00399012437195052</v>
      </c>
      <c r="D791" s="42" t="n">
        <f aca="false">Industry!F144</f>
        <v>0.0863866319890983</v>
      </c>
      <c r="E791" s="42" t="n">
        <f aca="false">Industry!G144</f>
        <v>0.0646035371722779</v>
      </c>
      <c r="F791" s="42" t="n">
        <f aca="false">Industry!H144</f>
        <v>0.0754406359836925</v>
      </c>
      <c r="G791" s="42" t="n">
        <f aca="false">Industry!I144</f>
        <v>0.0856670106808251</v>
      </c>
      <c r="H791" s="42" t="n">
        <f aca="false">Industry!J144</f>
        <v>0.0809706366385346</v>
      </c>
      <c r="I791" s="42" t="n">
        <f aca="false">Industry!K144</f>
        <v>0.0618629225089564</v>
      </c>
      <c r="J791" s="47"/>
      <c r="K791" s="47"/>
      <c r="L791" s="47"/>
    </row>
    <row r="792" customFormat="false" ht="15" hidden="false" customHeight="false" outlineLevel="0" collapsed="false">
      <c r="A792" s="52" t="s">
        <v>329</v>
      </c>
      <c r="B792" s="62" t="n">
        <f aca="false">IF(COUNT(B781:B790)=0,"N/M",AVERAGE(B781:B790))</f>
        <v>0.0260028038949117</v>
      </c>
      <c r="C792" s="62" t="n">
        <f aca="false">IF(COUNT(C781:C790)=0,"N/M",AVERAGE(C781:C790))</f>
        <v>-0.0331414629854369</v>
      </c>
      <c r="D792" s="62" t="n">
        <f aca="false">IF(COUNT(D781:D790)=0,"N/M",AVERAGE(D781:D790))</f>
        <v>0.0891795526836263</v>
      </c>
      <c r="E792" s="62" t="n">
        <f aca="false">IF(COUNT(E781:E790)=0,"N/M",AVERAGE(E781:E790))</f>
        <v>-0.0132429752112032</v>
      </c>
      <c r="F792" s="62" t="n">
        <f aca="false">IF(COUNT(F781:F790)=0,"N/M",AVERAGE(F781:F790))</f>
        <v>0.0739086857700864</v>
      </c>
      <c r="G792" s="62" t="n">
        <f aca="false">IF(COUNT(G781:G790)=0,"N/M",AVERAGE(G781:G790))</f>
        <v>0.0730336977294853</v>
      </c>
      <c r="H792" s="62" t="n">
        <f aca="false">IF(COUNT(H781:H790)=0,"N/M",AVERAGE(H781:H790))</f>
        <v>0.0751347482992988</v>
      </c>
      <c r="I792" s="62" t="n">
        <f aca="false">IF(COUNT(I781:I790)=0,"N/M",AVERAGE(I781:I790))</f>
        <v>0.0415535785972526</v>
      </c>
      <c r="J792" s="54"/>
      <c r="K792" s="54"/>
      <c r="L792" s="54"/>
    </row>
    <row r="793" customFormat="false" ht="15" hidden="false" customHeight="false" outlineLevel="0" collapsed="false">
      <c r="A793" s="28" t="s">
        <v>281</v>
      </c>
      <c r="B793" s="30" t="n">
        <f aca="false">IF(COUNT(B781:B790)=0,"N/M",MEDIAN(B781:B790))</f>
        <v>0.0422016284500805</v>
      </c>
      <c r="C793" s="30" t="n">
        <f aca="false">IF(COUNT(C781:C790)=0,"N/M",MEDIAN(C781:C790))</f>
        <v>0.0372214898378676</v>
      </c>
      <c r="D793" s="30" t="n">
        <f aca="false">IF(COUNT(D781:D790)=0,"N/M",MEDIAN(D781:D790))</f>
        <v>0.0945475012619943</v>
      </c>
      <c r="E793" s="30" t="n">
        <f aca="false">IF(COUNT(E781:E790)=0,"N/M",MEDIAN(E781:E790))</f>
        <v>0.0932443100633998</v>
      </c>
      <c r="F793" s="30" t="n">
        <f aca="false">IF(COUNT(F781:F790)=0,"N/M",MEDIAN(F781:F790))</f>
        <v>0.0678324223743611</v>
      </c>
      <c r="G793" s="30" t="n">
        <f aca="false">IF(COUNT(G781:G790)=0,"N/M",MEDIAN(G781:G790))</f>
        <v>0.0662916255332807</v>
      </c>
      <c r="H793" s="30" t="n">
        <f aca="false">IF(COUNT(H781:H790)=0,"N/M",MEDIAN(H781:H790))</f>
        <v>0.0682159392879594</v>
      </c>
      <c r="I793" s="30" t="n">
        <f aca="false">IF(COUNT(I781:I790)=0,"N/M",MEDIAN(I781:I790))</f>
        <v>0.0697046120369157</v>
      </c>
      <c r="J793" s="54"/>
      <c r="K793" s="54"/>
      <c r="L793" s="54"/>
    </row>
    <row r="794" customFormat="false" ht="15" hidden="false" customHeight="false" outlineLevel="0" collapsed="false">
      <c r="A794" s="52" t="s">
        <v>330</v>
      </c>
      <c r="B794" s="62" t="n">
        <f aca="false">IF(COUNT(B781:B790)&lt;2,"N/M",STDEV(B781:B790))</f>
        <v>0.0560154491484754</v>
      </c>
      <c r="C794" s="62" t="n">
        <f aca="false">IF(COUNT(C781:C790)&lt;2,"N/M",STDEV(C781:C790))</f>
        <v>0.203924510669289</v>
      </c>
      <c r="D794" s="62" t="n">
        <f aca="false">IF(COUNT(D781:D790)&lt;2,"N/M",STDEV(D781:D790))</f>
        <v>0.115292415947186</v>
      </c>
      <c r="E794" s="62" t="n">
        <f aca="false">IF(COUNT(E781:E790)&lt;2,"N/M",STDEV(E781:E790))</f>
        <v>0.360599118065098</v>
      </c>
      <c r="F794" s="62" t="n">
        <f aca="false">IF(COUNT(F781:F790)&lt;2,"N/M",STDEV(F781:F790))</f>
        <v>0.055148098409045</v>
      </c>
      <c r="G794" s="62" t="n">
        <f aca="false">IF(COUNT(G781:G790)&lt;2,"N/M",STDEV(G781:G790))</f>
        <v>0.0475178252335108</v>
      </c>
      <c r="H794" s="62" t="n">
        <f aca="false">IF(COUNT(H781:H790)&lt;2,"N/M",STDEV(H781:H790))</f>
        <v>0.0367223921872437</v>
      </c>
      <c r="I794" s="62" t="n">
        <f aca="false">IF(COUNT(I781:I790)&lt;2,"N/M",STDEV(I781:I790))</f>
        <v>0.10183563111146</v>
      </c>
      <c r="J794" s="54"/>
      <c r="K794" s="54"/>
      <c r="L794" s="54"/>
    </row>
    <row r="795" customFormat="false" ht="15" hidden="false" customHeight="false" outlineLevel="0" collapsed="false">
      <c r="A795" s="52" t="s">
        <v>269</v>
      </c>
      <c r="B795" s="62" t="n">
        <f aca="false">IF(COUNT(B781:B790)=0,"N/M",MIN(B781:B790))</f>
        <v>-0.0751593568642375</v>
      </c>
      <c r="C795" s="62" t="n">
        <f aca="false">IF(COUNT(C781:C790)=0,"N/M",MIN(C781:C790))</f>
        <v>-0.589459637447576</v>
      </c>
      <c r="D795" s="62" t="n">
        <f aca="false">IF(COUNT(D781:D790)=0,"N/M",MIN(D781:D790))</f>
        <v>-0.152710177697722</v>
      </c>
      <c r="E795" s="62" t="n">
        <f aca="false">IF(COUNT(E781:E790)=0,"N/M",MIN(E781:E790))</f>
        <v>-1.02718755122886</v>
      </c>
      <c r="F795" s="62" t="n">
        <f aca="false">IF(COUNT(F781:F790)=0,"N/M",MIN(F781:F790))</f>
        <v>0.00541740674955595</v>
      </c>
      <c r="G795" s="62" t="n">
        <f aca="false">IF(COUNT(G781:G790)=0,"N/M",MIN(G781:G790))</f>
        <v>0.0175895765472313</v>
      </c>
      <c r="H795" s="62" t="n">
        <f aca="false">IF(COUNT(H781:H790)=0,"N/M",MIN(H781:H790))</f>
        <v>0.0164556671959189</v>
      </c>
      <c r="I795" s="62" t="n">
        <f aca="false">IF(COUNT(I781:I790)=0,"N/M",MIN(I781:I790))</f>
        <v>-0.232992467401726</v>
      </c>
      <c r="J795" s="54"/>
      <c r="K795" s="54"/>
      <c r="L795" s="54"/>
    </row>
    <row r="796" customFormat="false" ht="15" hidden="false" customHeight="false" outlineLevel="0" collapsed="false">
      <c r="A796" s="52" t="s">
        <v>270</v>
      </c>
      <c r="B796" s="62" t="n">
        <f aca="false">IF(COUNT(B781:B790)=0,"N/M",MAX(B781:B790))</f>
        <v>0.102919265915885</v>
      </c>
      <c r="C796" s="62" t="n">
        <f aca="false">IF(COUNT(C781:C790)=0,"N/M",MAX(C781:C790))</f>
        <v>0.0978707126644612</v>
      </c>
      <c r="D796" s="62" t="n">
        <f aca="false">IF(COUNT(D781:D790)=0,"N/M",MAX(D781:D790))</f>
        <v>0.288565074216875</v>
      </c>
      <c r="E796" s="62" t="n">
        <f aca="false">IF(COUNT(E781:E790)=0,"N/M",MAX(E781:E790))</f>
        <v>0.200592458559112</v>
      </c>
      <c r="F796" s="62" t="n">
        <f aca="false">IF(COUNT(F781:F790)=0,"N/M",MAX(F781:F790))</f>
        <v>0.166492621422138</v>
      </c>
      <c r="G796" s="62" t="n">
        <f aca="false">IF(COUNT(G781:G790)=0,"N/M",MAX(G781:G790))</f>
        <v>0.150836336291753</v>
      </c>
      <c r="H796" s="62" t="n">
        <f aca="false">IF(COUNT(H781:H790)=0,"N/M",MAX(H781:H790))</f>
        <v>0.137057632129707</v>
      </c>
      <c r="I796" s="62" t="n">
        <f aca="false">IF(COUNT(I781:I790)=0,"N/M",MAX(I781:I790))</f>
        <v>0.135658402156096</v>
      </c>
      <c r="J796" s="54"/>
      <c r="K796" s="54"/>
      <c r="L796" s="54"/>
    </row>
    <row r="798" customFormat="false" ht="16.5" hidden="false" customHeight="true" outlineLevel="0" collapsed="false">
      <c r="A798" s="49" t="s">
        <v>374</v>
      </c>
      <c r="B798" s="49"/>
      <c r="C798" s="49"/>
      <c r="D798" s="49"/>
      <c r="E798" s="49"/>
      <c r="F798" s="49"/>
      <c r="G798" s="49"/>
      <c r="H798" s="49"/>
      <c r="I798" s="49"/>
      <c r="J798" s="49"/>
      <c r="K798" s="49"/>
      <c r="L798" s="49"/>
    </row>
    <row r="799" customFormat="false" ht="15" hidden="false" customHeight="false" outlineLevel="0" collapsed="false">
      <c r="A799" s="16" t="s">
        <v>52</v>
      </c>
      <c r="B799" s="27" t="n">
        <f aca="false">Tiger!D144</f>
        <v>-0.0891447055465696</v>
      </c>
      <c r="C799" s="27" t="n">
        <f aca="false">Tiger!E144</f>
        <v>-0.123792486583184</v>
      </c>
      <c r="D799" s="27" t="n">
        <f aca="false">Tiger!F144</f>
        <v>0.303505154639176</v>
      </c>
      <c r="E799" s="27" t="n">
        <f aca="false">Tiger!G144</f>
        <v>0.214710066103255</v>
      </c>
      <c r="F799" s="27" t="n">
        <f aca="false">Tiger!H144</f>
        <v>0.101476528764452</v>
      </c>
      <c r="G799" s="27" t="n">
        <f aca="false">Tiger!I144</f>
        <v>0.156216464816802</v>
      </c>
      <c r="H799" s="27" t="n">
        <f aca="false">Tiger!J144</f>
        <v>0.0991927499809611</v>
      </c>
      <c r="I799" s="61" t="n">
        <f aca="false">Tiger!K144</f>
        <v>0.094594824596413</v>
      </c>
      <c r="J799" s="25" t="str">
        <f aca="false">IF(AND(ISNUMBER(I799),ISNUMBER(I$811)),IF(I799&gt;I$811,"Above",IF(I799&lt;I$811,"Below","At median")),"-")</f>
        <v>Above</v>
      </c>
      <c r="K799" s="25" t="str">
        <f aca="false">IF(J799="Above","Better",IF(J799="Below","Weaker",IF(J799="At median","In line","-")))</f>
        <v>Better</v>
      </c>
      <c r="L799" s="43" t="n">
        <f aca="false">IF(ISNUMBER(I799),RANK(I799,I$799:I$808,0),"-")</f>
        <v>3</v>
      </c>
    </row>
    <row r="800" customFormat="false" ht="15" hidden="false" customHeight="false" outlineLevel="0" collapsed="false">
      <c r="A800" s="16" t="s">
        <v>54</v>
      </c>
      <c r="B800" s="27" t="n">
        <f aca="false">Allcargo!D144</f>
        <v>0.053490513003354</v>
      </c>
      <c r="C800" s="27" t="n">
        <f aca="false">Allcargo!E144</f>
        <v>0.0460806178357971</v>
      </c>
      <c r="D800" s="27" t="n">
        <f aca="false">Allcargo!F144</f>
        <v>0.108672428154935</v>
      </c>
      <c r="E800" s="27" t="n">
        <f aca="false">Allcargo!G144</f>
        <v>0.119237710642594</v>
      </c>
      <c r="F800" s="27" t="n">
        <f aca="false">Allcargo!H144</f>
        <v>0.00986671282672653</v>
      </c>
      <c r="G800" s="27" t="n">
        <f aca="false">Allcargo!I144</f>
        <v>0.0114876507754164</v>
      </c>
      <c r="H800" s="27" t="n">
        <f aca="false">Allcargo!J144</f>
        <v>0.0178571428571429</v>
      </c>
      <c r="I800" s="61" t="n">
        <f aca="false">Allcargo!K144</f>
        <v>0.0523846822994238</v>
      </c>
      <c r="J800" s="25" t="str">
        <f aca="false">IF(AND(ISNUMBER(I800),ISNUMBER(I$811)),IF(I800&gt;I$811,"Above",IF(I800&lt;I$811,"Below","At median")),"-")</f>
        <v>Below</v>
      </c>
      <c r="K800" s="25" t="str">
        <f aca="false">IF(J800="Above","Better",IF(J800="Below","Weaker",IF(J800="At median","In line","-")))</f>
        <v>Weaker</v>
      </c>
      <c r="L800" s="43" t="n">
        <f aca="false">IF(ISNUMBER(I800),RANK(I800,I$799:I$808,0),"-")</f>
        <v>6</v>
      </c>
    </row>
    <row r="801" customFormat="false" ht="15" hidden="false" customHeight="false" outlineLevel="0" collapsed="false">
      <c r="A801" s="16" t="s">
        <v>277</v>
      </c>
      <c r="B801" s="27" t="n">
        <f aca="false">BlueDart!D144</f>
        <v>0.0481976984160044</v>
      </c>
      <c r="C801" s="27" t="n">
        <f aca="false">BlueDart!E144</f>
        <v>0.0884542508360858</v>
      </c>
      <c r="D801" s="27" t="n">
        <f aca="false">BlueDart!F144</f>
        <v>0.213747366337193</v>
      </c>
      <c r="E801" s="27" t="n">
        <f aca="false">BlueDart!G144</f>
        <v>0.168514818308181</v>
      </c>
      <c r="F801" s="27" t="n">
        <f aca="false">BlueDart!H144</f>
        <v>0.121396168626658</v>
      </c>
      <c r="G801" s="27" t="n">
        <f aca="false">BlueDart!I144</f>
        <v>0.106837466828293</v>
      </c>
      <c r="H801" s="27" t="n">
        <f aca="false">BlueDart!J144</f>
        <v>0.100461611156209</v>
      </c>
      <c r="I801" s="61" t="n">
        <f aca="false">BlueDart!K144</f>
        <v>0.121087054358375</v>
      </c>
      <c r="J801" s="25" t="str">
        <f aca="false">IF(AND(ISNUMBER(I801),ISNUMBER(I$811)),IF(I801&gt;I$811,"Above",IF(I801&lt;I$811,"Below","At median")),"-")</f>
        <v>Above</v>
      </c>
      <c r="K801" s="25" t="str">
        <f aca="false">IF(J801="Above","Better",IF(J801="Below","Weaker",IF(J801="At median","In line","-")))</f>
        <v>Better</v>
      </c>
      <c r="L801" s="43" t="n">
        <f aca="false">IF(ISNUMBER(I801),RANK(I801,I$799:I$808,0),"-")</f>
        <v>1</v>
      </c>
    </row>
    <row r="802" customFormat="false" ht="15" hidden="false" customHeight="false" outlineLevel="0" collapsed="false">
      <c r="A802" s="16" t="s">
        <v>58</v>
      </c>
      <c r="B802" s="27" t="n">
        <f aca="false">CONCOR!D144</f>
        <v>0.0975344311021686</v>
      </c>
      <c r="C802" s="27" t="n">
        <f aca="false">CONCOR!E144</f>
        <v>0.0398059699688568</v>
      </c>
      <c r="D802" s="27" t="n">
        <f aca="false">CONCOR!F144</f>
        <v>0.0912956670609571</v>
      </c>
      <c r="E802" s="27" t="n">
        <f aca="false">CONCOR!G144</f>
        <v>0.0961592447415756</v>
      </c>
      <c r="F802" s="27" t="n">
        <f aca="false">CONCOR!H144</f>
        <v>0.0954590915048695</v>
      </c>
      <c r="G802" s="27" t="n">
        <f aca="false">CONCOR!I144</f>
        <v>0.0931647286848478</v>
      </c>
      <c r="H802" s="27" t="n">
        <f aca="false">CONCOR!J144</f>
        <v>0.0880211758473041</v>
      </c>
      <c r="I802" s="61" t="n">
        <f aca="false">CONCOR!K144</f>
        <v>0.0859200441300828</v>
      </c>
      <c r="J802" s="25" t="str">
        <f aca="false">IF(AND(ISNUMBER(I802),ISNUMBER(I$811)),IF(I802&gt;I$811,"Above",IF(I802&lt;I$811,"Below","At median")),"-")</f>
        <v>Above</v>
      </c>
      <c r="K802" s="25" t="str">
        <f aca="false">IF(J802="Above","Better",IF(J802="Below","Weaker",IF(J802="At median","In line","-")))</f>
        <v>Better</v>
      </c>
      <c r="L802" s="43" t="n">
        <f aca="false">IF(ISNUMBER(I802),RANK(I802,I$799:I$808,0),"-")</f>
        <v>4</v>
      </c>
    </row>
    <row r="803" customFormat="false" ht="15" hidden="false" customHeight="false" outlineLevel="0" collapsed="false">
      <c r="A803" s="16" t="s">
        <v>278</v>
      </c>
      <c r="B803" s="27" t="n">
        <f aca="false">JetFreight!D144</f>
        <v>-0.0544357134722702</v>
      </c>
      <c r="C803" s="27" t="n">
        <f aca="false">JetFreight!E144</f>
        <v>0.0728328409901198</v>
      </c>
      <c r="D803" s="27" t="n">
        <f aca="false">JetFreight!F144</f>
        <v>0.0730842650668119</v>
      </c>
      <c r="E803" s="27" t="n">
        <f aca="false">JetFreight!G144</f>
        <v>0.0337319641232293</v>
      </c>
      <c r="F803" s="27" t="n">
        <f aca="false">JetFreight!H144</f>
        <v>0.0216932457786114</v>
      </c>
      <c r="G803" s="27" t="n">
        <f aca="false">JetFreight!I144</f>
        <v>0.0668201501945954</v>
      </c>
      <c r="H803" s="27" t="n">
        <f aca="false">JetFreight!J144</f>
        <v>0.0755319697047761</v>
      </c>
      <c r="I803" s="61" t="n">
        <f aca="false">JetFreight!K144</f>
        <v>0.0413226746265534</v>
      </c>
      <c r="J803" s="25" t="str">
        <f aca="false">IF(AND(ISNUMBER(I803),ISNUMBER(I$811)),IF(I803&gt;I$811,"Above",IF(I803&lt;I$811,"Below","At median")),"-")</f>
        <v>Below</v>
      </c>
      <c r="K803" s="25" t="str">
        <f aca="false">IF(J803="Above","Better",IF(J803="Below","Weaker",IF(J803="At median","In line","-")))</f>
        <v>Weaker</v>
      </c>
      <c r="L803" s="43" t="n">
        <f aca="false">IF(ISNUMBER(I803),RANK(I803,I$799:I$808,0),"-")</f>
        <v>7</v>
      </c>
    </row>
    <row r="804" customFormat="false" ht="15" hidden="false" customHeight="false" outlineLevel="0" collapsed="false">
      <c r="A804" s="16" t="s">
        <v>62</v>
      </c>
      <c r="B804" s="27" t="n">
        <f aca="false">Patel!D144</f>
        <v>0.0203515263644775</v>
      </c>
      <c r="C804" s="27" t="n">
        <f aca="false">Patel!E144</f>
        <v>0.0148187073042565</v>
      </c>
      <c r="D804" s="27" t="n">
        <f aca="false">Patel!F144</f>
        <v>0.0282602624965092</v>
      </c>
      <c r="E804" s="27" t="n">
        <f aca="false">Patel!G144</f>
        <v>0.0429857682253845</v>
      </c>
      <c r="F804" s="27" t="n">
        <f aca="false">Patel!H144</f>
        <v>0.0328056654863571</v>
      </c>
      <c r="G804" s="27" t="n">
        <f aca="false">Patel!I144</f>
        <v>0.0368784201760647</v>
      </c>
      <c r="H804" s="27" t="n">
        <f aca="false">Patel!J144</f>
        <v>0.0478814597109965</v>
      </c>
      <c r="I804" s="61" t="n">
        <f aca="false">Patel!K144</f>
        <v>0.0319974013948637</v>
      </c>
      <c r="J804" s="25" t="str">
        <f aca="false">IF(AND(ISNUMBER(I804),ISNUMBER(I$811)),IF(I804&gt;I$811,"Above",IF(I804&lt;I$811,"Below","At median")),"-")</f>
        <v>Below</v>
      </c>
      <c r="K804" s="25" t="str">
        <f aca="false">IF(J804="Above","Better",IF(J804="Below","Weaker",IF(J804="At median","In line","-")))</f>
        <v>Weaker</v>
      </c>
      <c r="L804" s="43" t="n">
        <f aca="false">IF(ISNUMBER(I804),RANK(I804,I$799:I$808,0),"-")</f>
        <v>8</v>
      </c>
    </row>
    <row r="805" customFormat="false" ht="15" hidden="false" customHeight="false" outlineLevel="0" collapsed="false">
      <c r="A805" s="16" t="s">
        <v>64</v>
      </c>
      <c r="B805" s="27" t="n">
        <f aca="false">Sical!D144</f>
        <v>-0.0386419654925658</v>
      </c>
      <c r="C805" s="27" t="n">
        <f aca="false">Sical!E144</f>
        <v>-0.0509514401580534</v>
      </c>
      <c r="D805" s="27" t="n">
        <f aca="false">Sical!F144</f>
        <v>-0.0704722850317455</v>
      </c>
      <c r="E805" s="27" t="n">
        <f aca="false">Sical!G144</f>
        <v>-0.0354093895411155</v>
      </c>
      <c r="F805" s="27" t="n">
        <f aca="false">Sical!H144</f>
        <v>-0.0413268363863773</v>
      </c>
      <c r="G805" s="27" t="n">
        <f aca="false">Sical!I144</f>
        <v>-0.0189076853220943</v>
      </c>
      <c r="H805" s="27" t="n">
        <f aca="false">Sical!J144</f>
        <v>0.0403979133810506</v>
      </c>
      <c r="I805" s="61" t="n">
        <f aca="false">Sical!K144</f>
        <v>-0.0307588126501287</v>
      </c>
      <c r="J805" s="25" t="str">
        <f aca="false">IF(AND(ISNUMBER(I805),ISNUMBER(I$811)),IF(I805&gt;I$811,"Above",IF(I805&lt;I$811,"Below","At median")),"-")</f>
        <v>Below</v>
      </c>
      <c r="K805" s="25" t="str">
        <f aca="false">IF(J805="Above","Better",IF(J805="Below","Weaker",IF(J805="At median","In line","-")))</f>
        <v>Weaker</v>
      </c>
      <c r="L805" s="43" t="n">
        <f aca="false">IF(ISNUMBER(I805),RANK(I805,I$799:I$808,0),"-")</f>
        <v>10</v>
      </c>
    </row>
    <row r="806" customFormat="false" ht="15" hidden="false" customHeight="false" outlineLevel="0" collapsed="false">
      <c r="A806" s="16" t="s">
        <v>66</v>
      </c>
      <c r="B806" s="27" t="n">
        <f aca="false">TCI!D144</f>
        <v>0.0944264905068555</v>
      </c>
      <c r="C806" s="27" t="n">
        <f aca="false">TCI!E144</f>
        <v>0.0978887860088219</v>
      </c>
      <c r="D806" s="27" t="n">
        <f aca="false">TCI!F144</f>
        <v>0.163549585940023</v>
      </c>
      <c r="E806" s="27" t="n">
        <f aca="false">TCI!G144</f>
        <v>0.144680162405815</v>
      </c>
      <c r="F806" s="27" t="n">
        <f aca="false">TCI!H144</f>
        <v>0.11304869273207</v>
      </c>
      <c r="G806" s="27" t="n">
        <f aca="false">TCI!I144</f>
        <v>0.117493686158628</v>
      </c>
      <c r="H806" s="27" t="n">
        <f aca="false">TCI!J144</f>
        <v>0.112497343373944</v>
      </c>
      <c r="I806" s="61" t="n">
        <f aca="false">TCI!K144</f>
        <v>0.120512106732308</v>
      </c>
      <c r="J806" s="25" t="str">
        <f aca="false">IF(AND(ISNUMBER(I806),ISNUMBER(I$811)),IF(I806&gt;I$811,"Above",IF(I806&lt;I$811,"Below","At median")),"-")</f>
        <v>Above</v>
      </c>
      <c r="K806" s="25" t="str">
        <f aca="false">IF(J806="Above","Better",IF(J806="Below","Weaker",IF(J806="At median","In line","-")))</f>
        <v>Better</v>
      </c>
      <c r="L806" s="43" t="n">
        <f aca="false">IF(ISNUMBER(I806),RANK(I806,I$799:I$808,0),"-")</f>
        <v>2</v>
      </c>
    </row>
    <row r="807" customFormat="false" ht="15" hidden="false" customHeight="false" outlineLevel="0" collapsed="false">
      <c r="A807" s="16" t="s">
        <v>68</v>
      </c>
      <c r="B807" s="27" t="n">
        <f aca="false">Shreeji!D144</f>
        <v>0.0614996849401386</v>
      </c>
      <c r="C807" s="27" t="n">
        <f aca="false">Shreeji!E144</f>
        <v>0.0341546718711881</v>
      </c>
      <c r="D807" s="27" t="n">
        <f aca="false">Shreeji!F144</f>
        <v>0.143431186516352</v>
      </c>
      <c r="E807" s="27" t="n">
        <f aca="false">Shreeji!G144</f>
        <v>0.155455761513472</v>
      </c>
      <c r="F807" s="27" t="n">
        <f aca="false">Shreeji!H144</f>
        <v>0.120182724252492</v>
      </c>
      <c r="G807" s="27" t="n">
        <f aca="false">Shreeji!I144</f>
        <v>0.036437951126185</v>
      </c>
      <c r="H807" s="27" t="n">
        <f aca="false">Shreeji!J144</f>
        <v>0.0313755020080321</v>
      </c>
      <c r="I807" s="61" t="n">
        <f aca="false">Shreeji!K144</f>
        <v>0.0832196403182656</v>
      </c>
      <c r="J807" s="25" t="str">
        <f aca="false">IF(AND(ISNUMBER(I807),ISNUMBER(I$811)),IF(I807&gt;I$811,"Above",IF(I807&lt;I$811,"Below","At median")),"-")</f>
        <v>Above</v>
      </c>
      <c r="K807" s="25" t="str">
        <f aca="false">IF(J807="Above","Better",IF(J807="Below","Weaker",IF(J807="At median","In line","-")))</f>
        <v>Better</v>
      </c>
      <c r="L807" s="43" t="n">
        <f aca="false">IF(ISNUMBER(I807),RANK(I807,I$799:I$808,0),"-")</f>
        <v>5</v>
      </c>
    </row>
    <row r="808" customFormat="false" ht="15" hidden="false" customHeight="false" outlineLevel="0" collapsed="false">
      <c r="A808" s="16" t="s">
        <v>279</v>
      </c>
      <c r="B808" s="27" t="n">
        <f aca="false">MahindraLog!D144</f>
        <v>0.0598168570303266</v>
      </c>
      <c r="C808" s="27" t="n">
        <f aca="false">MahindraLog!E144</f>
        <v>0.0266934609023489</v>
      </c>
      <c r="D808" s="27" t="n">
        <f aca="false">MahindraLog!F144</f>
        <v>0.0215850645932044</v>
      </c>
      <c r="E808" s="27" t="n">
        <f aca="false">MahindraLog!G144</f>
        <v>0.0276230542041723</v>
      </c>
      <c r="F808" s="27" t="n">
        <f aca="false">MahindraLog!H144</f>
        <v>0.00898191506539632</v>
      </c>
      <c r="G808" s="27" t="n">
        <f aca="false">MahindraLog!I144</f>
        <v>0.022518225531255</v>
      </c>
      <c r="H808" s="27" t="n">
        <f aca="false">MahindraLog!J144</f>
        <v>0.0325055313831518</v>
      </c>
      <c r="I808" s="61" t="n">
        <f aca="false">MahindraLog!K144</f>
        <v>0.0285320155299793</v>
      </c>
      <c r="J808" s="25" t="str">
        <f aca="false">IF(AND(ISNUMBER(I808),ISNUMBER(I$811)),IF(I808&gt;I$811,"Above",IF(I808&lt;I$811,"Below","At median")),"-")</f>
        <v>Below</v>
      </c>
      <c r="K808" s="25" t="str">
        <f aca="false">IF(J808="Above","Better",IF(J808="Below","Weaker",IF(J808="At median","In line","-")))</f>
        <v>Weaker</v>
      </c>
      <c r="L808" s="43" t="n">
        <f aca="false">IF(ISNUMBER(I808),RANK(I808,I$799:I$808,0),"-")</f>
        <v>9</v>
      </c>
    </row>
    <row r="809" customFormat="false" ht="15" hidden="false" customHeight="false" outlineLevel="0" collapsed="false">
      <c r="A809" s="46" t="s">
        <v>328</v>
      </c>
      <c r="B809" s="42" t="n">
        <f aca="false">Industry!D145</f>
        <v>0.0649008349229782</v>
      </c>
      <c r="C809" s="42" t="n">
        <f aca="false">Industry!E145</f>
        <v>0.0430971672466773</v>
      </c>
      <c r="D809" s="42" t="n">
        <f aca="false">Industry!F145</f>
        <v>0.0999665526945208</v>
      </c>
      <c r="E809" s="42" t="n">
        <f aca="false">Industry!G145</f>
        <v>0.103657943461005</v>
      </c>
      <c r="F809" s="42" t="n">
        <f aca="false">Industry!H145</f>
        <v>0.0690582260306502</v>
      </c>
      <c r="G809" s="42" t="n">
        <f aca="false">Industry!I145</f>
        <v>0.0817344436852358</v>
      </c>
      <c r="H809" s="42" t="n">
        <f aca="false">Industry!J145</f>
        <v>0.080723481797144</v>
      </c>
      <c r="I809" s="42" t="n">
        <f aca="false">Industry!K145</f>
        <v>0.0775912356911731</v>
      </c>
      <c r="J809" s="47"/>
      <c r="K809" s="47"/>
      <c r="L809" s="47"/>
    </row>
    <row r="810" customFormat="false" ht="15" hidden="false" customHeight="false" outlineLevel="0" collapsed="false">
      <c r="A810" s="52" t="s">
        <v>329</v>
      </c>
      <c r="B810" s="62" t="n">
        <f aca="false">IF(COUNT(B799:B808)=0,"N/M",AVERAGE(B799:B808))</f>
        <v>0.025309481685192</v>
      </c>
      <c r="C810" s="62" t="n">
        <f aca="false">IF(COUNT(C799:C808)=0,"N/M",AVERAGE(C799:C808))</f>
        <v>0.0245985378976237</v>
      </c>
      <c r="D810" s="62" t="n">
        <f aca="false">IF(COUNT(D799:D808)=0,"N/M",AVERAGE(D799:D808))</f>
        <v>0.107665869577342</v>
      </c>
      <c r="E810" s="62" t="n">
        <f aca="false">IF(COUNT(E799:E808)=0,"N/M",AVERAGE(E799:E808))</f>
        <v>0.0967689160726563</v>
      </c>
      <c r="F810" s="62" t="n">
        <f aca="false">IF(COUNT(F799:F808)=0,"N/M",AVERAGE(F799:F808))</f>
        <v>0.0583583908651255</v>
      </c>
      <c r="G810" s="62" t="n">
        <f aca="false">IF(COUNT(G799:G808)=0,"N/M",AVERAGE(G799:G808))</f>
        <v>0.0628947058969993</v>
      </c>
      <c r="H810" s="62" t="n">
        <f aca="false">IF(COUNT(H799:H808)=0,"N/M",AVERAGE(H799:H808))</f>
        <v>0.0645722399403568</v>
      </c>
      <c r="I810" s="62" t="n">
        <f aca="false">IF(COUNT(I799:I808)=0,"N/M",AVERAGE(I799:I808))</f>
        <v>0.0628811631336136</v>
      </c>
      <c r="J810" s="54"/>
      <c r="K810" s="54"/>
      <c r="L810" s="54"/>
    </row>
    <row r="811" customFormat="false" ht="15" hidden="false" customHeight="false" outlineLevel="0" collapsed="false">
      <c r="A811" s="28" t="s">
        <v>281</v>
      </c>
      <c r="B811" s="30" t="n">
        <f aca="false">IF(COUNT(B799:B808)=0,"N/M",MEDIAN(B799:B808))</f>
        <v>0.0508441057096792</v>
      </c>
      <c r="C811" s="30" t="n">
        <f aca="false">IF(COUNT(C799:C808)=0,"N/M",MEDIAN(C799:C808))</f>
        <v>0.0369803209200225</v>
      </c>
      <c r="D811" s="30" t="n">
        <f aca="false">IF(COUNT(D799:D808)=0,"N/M",MEDIAN(D799:D808))</f>
        <v>0.0999840476079462</v>
      </c>
      <c r="E811" s="30" t="n">
        <f aca="false">IF(COUNT(E799:E808)=0,"N/M",MEDIAN(E799:E808))</f>
        <v>0.107698477692085</v>
      </c>
      <c r="F811" s="30" t="n">
        <f aca="false">IF(COUNT(F799:F808)=0,"N/M",MEDIAN(F799:F808))</f>
        <v>0.0641323784956133</v>
      </c>
      <c r="G811" s="30" t="n">
        <f aca="false">IF(COUNT(G799:G808)=0,"N/M",MEDIAN(G799:G808))</f>
        <v>0.0518492851853301</v>
      </c>
      <c r="H811" s="30" t="n">
        <f aca="false">IF(COUNT(H799:H808)=0,"N/M",MEDIAN(H799:H808))</f>
        <v>0.0617067147078863</v>
      </c>
      <c r="I811" s="30" t="n">
        <f aca="false">IF(COUNT(I799:I808)=0,"N/M",MEDIAN(I799:I808))</f>
        <v>0.0678021613088447</v>
      </c>
      <c r="J811" s="54"/>
      <c r="K811" s="54"/>
      <c r="L811" s="54"/>
    </row>
    <row r="812" customFormat="false" ht="15" hidden="false" customHeight="false" outlineLevel="0" collapsed="false">
      <c r="A812" s="52" t="s">
        <v>330</v>
      </c>
      <c r="B812" s="62" t="n">
        <f aca="false">IF(COUNT(B799:B808)&lt;2,"N/M",STDEV(B799:B808))</f>
        <v>0.064451153791527</v>
      </c>
      <c r="C812" s="62" t="n">
        <f aca="false">IF(COUNT(C799:C808)&lt;2,"N/M",STDEV(C799:C808))</f>
        <v>0.0669886848675859</v>
      </c>
      <c r="D812" s="62" t="n">
        <f aca="false">IF(COUNT(D799:D808)&lt;2,"N/M",STDEV(D799:D808))</f>
        <v>0.105893919031074</v>
      </c>
      <c r="E812" s="62" t="n">
        <f aca="false">IF(COUNT(E799:E808)&lt;2,"N/M",STDEV(E799:E808))</f>
        <v>0.0777610157480937</v>
      </c>
      <c r="F812" s="62" t="n">
        <f aca="false">IF(COUNT(F799:F808)&lt;2,"N/M",STDEV(F799:F808))</f>
        <v>0.0584490023849185</v>
      </c>
      <c r="G812" s="62" t="n">
        <f aca="false">IF(COUNT(G799:G808)&lt;2,"N/M",STDEV(G799:G808))</f>
        <v>0.0546646672928557</v>
      </c>
      <c r="H812" s="62" t="n">
        <f aca="false">IF(COUNT(H799:H808)&lt;2,"N/M",STDEV(H799:H808))</f>
        <v>0.034365661486</v>
      </c>
      <c r="I812" s="62" t="n">
        <f aca="false">IF(COUNT(I799:I808)&lt;2,"N/M",STDEV(I799:I808))</f>
        <v>0.0473010591026663</v>
      </c>
      <c r="J812" s="54"/>
      <c r="K812" s="54"/>
      <c r="L812" s="54"/>
    </row>
    <row r="813" customFormat="false" ht="15" hidden="false" customHeight="false" outlineLevel="0" collapsed="false">
      <c r="A813" s="52" t="s">
        <v>269</v>
      </c>
      <c r="B813" s="62" t="n">
        <f aca="false">IF(COUNT(B799:B808)=0,"N/M",MIN(B799:B808))</f>
        <v>-0.0891447055465696</v>
      </c>
      <c r="C813" s="62" t="n">
        <f aca="false">IF(COUNT(C799:C808)=0,"N/M",MIN(C799:C808))</f>
        <v>-0.123792486583184</v>
      </c>
      <c r="D813" s="62" t="n">
        <f aca="false">IF(COUNT(D799:D808)=0,"N/M",MIN(D799:D808))</f>
        <v>-0.0704722850317455</v>
      </c>
      <c r="E813" s="62" t="n">
        <f aca="false">IF(COUNT(E799:E808)=0,"N/M",MIN(E799:E808))</f>
        <v>-0.0354093895411155</v>
      </c>
      <c r="F813" s="62" t="n">
        <f aca="false">IF(COUNT(F799:F808)=0,"N/M",MIN(F799:F808))</f>
        <v>-0.0413268363863773</v>
      </c>
      <c r="G813" s="62" t="n">
        <f aca="false">IF(COUNT(G799:G808)=0,"N/M",MIN(G799:G808))</f>
        <v>-0.0189076853220943</v>
      </c>
      <c r="H813" s="62" t="n">
        <f aca="false">IF(COUNT(H799:H808)=0,"N/M",MIN(H799:H808))</f>
        <v>0.0178571428571429</v>
      </c>
      <c r="I813" s="62" t="n">
        <f aca="false">IF(COUNT(I799:I808)=0,"N/M",MIN(I799:I808))</f>
        <v>-0.0307588126501287</v>
      </c>
      <c r="J813" s="54"/>
      <c r="K813" s="54"/>
      <c r="L813" s="54"/>
    </row>
    <row r="814" customFormat="false" ht="15" hidden="false" customHeight="false" outlineLevel="0" collapsed="false">
      <c r="A814" s="52" t="s">
        <v>270</v>
      </c>
      <c r="B814" s="62" t="n">
        <f aca="false">IF(COUNT(B799:B808)=0,"N/M",MAX(B799:B808))</f>
        <v>0.0975344311021686</v>
      </c>
      <c r="C814" s="62" t="n">
        <f aca="false">IF(COUNT(C799:C808)=0,"N/M",MAX(C799:C808))</f>
        <v>0.0978887860088219</v>
      </c>
      <c r="D814" s="62" t="n">
        <f aca="false">IF(COUNT(D799:D808)=0,"N/M",MAX(D799:D808))</f>
        <v>0.303505154639176</v>
      </c>
      <c r="E814" s="62" t="n">
        <f aca="false">IF(COUNT(E799:E808)=0,"N/M",MAX(E799:E808))</f>
        <v>0.214710066103255</v>
      </c>
      <c r="F814" s="62" t="n">
        <f aca="false">IF(COUNT(F799:F808)=0,"N/M",MAX(F799:F808))</f>
        <v>0.121396168626658</v>
      </c>
      <c r="G814" s="62" t="n">
        <f aca="false">IF(COUNT(G799:G808)=0,"N/M",MAX(G799:G808))</f>
        <v>0.156216464816802</v>
      </c>
      <c r="H814" s="62" t="n">
        <f aca="false">IF(COUNT(H799:H808)=0,"N/M",MAX(H799:H808))</f>
        <v>0.112497343373944</v>
      </c>
      <c r="I814" s="62" t="n">
        <f aca="false">IF(COUNT(I799:I808)=0,"N/M",MAX(I799:I808))</f>
        <v>0.121087054358375</v>
      </c>
      <c r="J814" s="54"/>
      <c r="K814" s="54"/>
      <c r="L814" s="54"/>
    </row>
    <row r="816" customFormat="false" ht="16.5" hidden="false" customHeight="true" outlineLevel="0" collapsed="false">
      <c r="A816" s="49" t="s">
        <v>375</v>
      </c>
      <c r="B816" s="49"/>
      <c r="C816" s="49"/>
      <c r="D816" s="49"/>
      <c r="E816" s="49"/>
      <c r="F816" s="49"/>
      <c r="G816" s="49"/>
      <c r="H816" s="49"/>
      <c r="I816" s="49"/>
      <c r="J816" s="49"/>
      <c r="K816" s="49"/>
      <c r="L816" s="49"/>
    </row>
    <row r="817" customFormat="false" ht="15" hidden="false" customHeight="false" outlineLevel="0" collapsed="false">
      <c r="A817" s="16" t="s">
        <v>52</v>
      </c>
      <c r="B817" s="27" t="n">
        <f aca="false">Tiger!D145</f>
        <v>-0.104845026295177</v>
      </c>
      <c r="C817" s="27" t="n">
        <f aca="false">Tiger!E145</f>
        <v>-0.182297154899894</v>
      </c>
      <c r="D817" s="27" t="n">
        <f aca="false">Tiger!F145</f>
        <v>0.494424291280398</v>
      </c>
      <c r="E817" s="27" t="n">
        <f aca="false">Tiger!G145</f>
        <v>0.262829048448223</v>
      </c>
      <c r="F817" s="27" t="n">
        <f aca="false">Tiger!H145</f>
        <v>0.11858061365671</v>
      </c>
      <c r="G817" s="27" t="n">
        <f aca="false">Tiger!I145</f>
        <v>0.177032661570535</v>
      </c>
      <c r="H817" s="27" t="n">
        <f aca="false">Tiger!J145</f>
        <v>0.123647237516613</v>
      </c>
      <c r="I817" s="61" t="n">
        <f aca="false">Tiger!K145</f>
        <v>0.127053095896773</v>
      </c>
      <c r="J817" s="25" t="str">
        <f aca="false">IF(AND(ISNUMBER(I817),ISNUMBER(I$829)),IF(I817&gt;I$829,"Above",IF(I817&lt;I$829,"Below","At median")),"-")</f>
        <v>Above</v>
      </c>
      <c r="K817" s="25" t="str">
        <f aca="false">IF(J817="Above","Better",IF(J817="Below","Weaker",IF(J817="At median","In line","-")))</f>
        <v>Better</v>
      </c>
      <c r="L817" s="43" t="n">
        <f aca="false">IF(ISNUMBER(I817),RANK(I817,I$817:I$826,0),"-")</f>
        <v>3</v>
      </c>
    </row>
    <row r="818" customFormat="false" ht="15" hidden="false" customHeight="false" outlineLevel="0" collapsed="false">
      <c r="A818" s="16" t="s">
        <v>54</v>
      </c>
      <c r="B818" s="27" t="n">
        <f aca="false">Allcargo!D145</f>
        <v>0.0756326953033309</v>
      </c>
      <c r="C818" s="27" t="n">
        <f aca="false">Allcargo!E145</f>
        <v>0.0774906815730839</v>
      </c>
      <c r="D818" s="27" t="n">
        <f aca="false">Allcargo!F145</f>
        <v>0.190486706685623</v>
      </c>
      <c r="E818" s="27" t="n">
        <f aca="false">Allcargo!G145</f>
        <v>0.21588644171349</v>
      </c>
      <c r="F818" s="27" t="n">
        <f aca="false">Allcargo!H145</f>
        <v>0.016182170764486</v>
      </c>
      <c r="G818" s="27" t="n">
        <f aca="false">Allcargo!I145</f>
        <v>0.0148920327624721</v>
      </c>
      <c r="H818" s="27" t="n">
        <f aca="false">Allcargo!J145</f>
        <v>0.0244672454617206</v>
      </c>
      <c r="I818" s="61" t="n">
        <f aca="false">Allcargo!K145</f>
        <v>0.0878625677520296</v>
      </c>
      <c r="J818" s="25" t="str">
        <f aca="false">IF(AND(ISNUMBER(I818),ISNUMBER(I$829)),IF(I818&gt;I$829,"Above",IF(I818&lt;I$829,"Below","At median")),"-")</f>
        <v>Below</v>
      </c>
      <c r="K818" s="25" t="str">
        <f aca="false">IF(J818="Above","Better",IF(J818="Below","Weaker",IF(J818="At median","In line","-")))</f>
        <v>Weaker</v>
      </c>
      <c r="L818" s="43" t="n">
        <f aca="false">IF(ISNUMBER(I818),RANK(I818,I$817:I$826,0),"-")</f>
        <v>6</v>
      </c>
    </row>
    <row r="819" customFormat="false" ht="15" hidden="false" customHeight="false" outlineLevel="0" collapsed="false">
      <c r="A819" s="16" t="s">
        <v>277</v>
      </c>
      <c r="B819" s="27" t="n">
        <f aca="false">BlueDart!D145</f>
        <v>0.124682856107285</v>
      </c>
      <c r="C819" s="27" t="n">
        <f aca="false">BlueDart!E145</f>
        <v>0.121228318299426</v>
      </c>
      <c r="D819" s="27" t="n">
        <f aca="false">BlueDart!F145</f>
        <v>0.31200301352474</v>
      </c>
      <c r="E819" s="27" t="n">
        <f aca="false">BlueDart!G145</f>
        <v>0.236174283602209</v>
      </c>
      <c r="F819" s="27" t="n">
        <f aca="false">BlueDart!H145</f>
        <v>0.17217300079501</v>
      </c>
      <c r="G819" s="27" t="n">
        <f aca="false">BlueDart!I145</f>
        <v>0.152500165625499</v>
      </c>
      <c r="H819" s="27" t="n">
        <f aca="false">BlueDart!J145</f>
        <v>0.142044656408781</v>
      </c>
      <c r="I819" s="61" t="n">
        <f aca="false">BlueDart!K145</f>
        <v>0.180115184908993</v>
      </c>
      <c r="J819" s="25" t="str">
        <f aca="false">IF(AND(ISNUMBER(I819),ISNUMBER(I$829)),IF(I819&gt;I$829,"Above",IF(I819&lt;I$829,"Below","At median")),"-")</f>
        <v>Above</v>
      </c>
      <c r="K819" s="25" t="str">
        <f aca="false">IF(J819="Above","Better",IF(J819="Below","Weaker",IF(J819="At median","In line","-")))</f>
        <v>Better</v>
      </c>
      <c r="L819" s="43" t="n">
        <f aca="false">IF(ISNUMBER(I819),RANK(I819,I$817:I$826,0),"-")</f>
        <v>1</v>
      </c>
    </row>
    <row r="820" customFormat="false" ht="15" hidden="false" customHeight="false" outlineLevel="0" collapsed="false">
      <c r="A820" s="16" t="s">
        <v>58</v>
      </c>
      <c r="B820" s="27" t="n">
        <f aca="false">CONCOR!D145</f>
        <v>0.113661391247615</v>
      </c>
      <c r="C820" s="27" t="n">
        <f aca="false">CONCOR!E145</f>
        <v>0.0452796880714268</v>
      </c>
      <c r="D820" s="27" t="n">
        <f aca="false">CONCOR!F145</f>
        <v>0.10330411293179</v>
      </c>
      <c r="E820" s="27" t="n">
        <f aca="false">CONCOR!G145</f>
        <v>0.107857192242686</v>
      </c>
      <c r="F820" s="27" t="n">
        <f aca="false">CONCOR!H145</f>
        <v>0.105005441975378</v>
      </c>
      <c r="G820" s="27" t="n">
        <f aca="false">CONCOR!I145</f>
        <v>0.101848383891166</v>
      </c>
      <c r="H820" s="27" t="n">
        <f aca="false">CONCOR!J145</f>
        <v>0.0960521812162578</v>
      </c>
      <c r="I820" s="61" t="n">
        <f aca="false">CONCOR!K145</f>
        <v>0.0961440559394742</v>
      </c>
      <c r="J820" s="25" t="str">
        <f aca="false">IF(AND(ISNUMBER(I820),ISNUMBER(I$829)),IF(I820&gt;I$829,"Above",IF(I820&lt;I$829,"Below","At median")),"-")</f>
        <v>Above</v>
      </c>
      <c r="K820" s="25" t="str">
        <f aca="false">IF(J820="Above","Better",IF(J820="Below","Weaker",IF(J820="At median","In line","-")))</f>
        <v>Better</v>
      </c>
      <c r="L820" s="43" t="n">
        <f aca="false">IF(ISNUMBER(I820),RANK(I820,I$817:I$826,0),"-")</f>
        <v>5</v>
      </c>
    </row>
    <row r="821" customFormat="false" ht="15" hidden="false" customHeight="false" outlineLevel="0" collapsed="false">
      <c r="A821" s="16" t="s">
        <v>278</v>
      </c>
      <c r="B821" s="27" t="n">
        <f aca="false">JetFreight!D145</f>
        <v>-0.0876420975430885</v>
      </c>
      <c r="C821" s="27" t="n">
        <f aca="false">JetFreight!E145</f>
        <v>0.135931558935362</v>
      </c>
      <c r="D821" s="27" t="n">
        <f aca="false">JetFreight!F145</f>
        <v>0.109239130434782</v>
      </c>
      <c r="E821" s="27" t="n">
        <f aca="false">JetFreight!G145</f>
        <v>0.0421574201933235</v>
      </c>
      <c r="F821" s="27" t="n">
        <f aca="false">JetFreight!H145</f>
        <v>0.0312817044301654</v>
      </c>
      <c r="G821" s="27" t="n">
        <f aca="false">JetFreight!I145</f>
        <v>0.0934744268077604</v>
      </c>
      <c r="H821" s="27" t="n">
        <f aca="false">JetFreight!J145</f>
        <v>0.099822960642789</v>
      </c>
      <c r="I821" s="61" t="n">
        <f aca="false">JetFreight!K145</f>
        <v>0.0606093005572992</v>
      </c>
      <c r="J821" s="25" t="str">
        <f aca="false">IF(AND(ISNUMBER(I821),ISNUMBER(I$829)),IF(I821&gt;I$829,"Above",IF(I821&lt;I$829,"Below","At median")),"-")</f>
        <v>Below</v>
      </c>
      <c r="K821" s="25" t="str">
        <f aca="false">IF(J821="Above","Better",IF(J821="Below","Weaker",IF(J821="At median","In line","-")))</f>
        <v>Weaker</v>
      </c>
      <c r="L821" s="43" t="n">
        <f aca="false">IF(ISNUMBER(I821),RANK(I821,I$817:I$826,0),"-")</f>
        <v>7</v>
      </c>
    </row>
    <row r="822" customFormat="false" ht="15" hidden="false" customHeight="false" outlineLevel="0" collapsed="false">
      <c r="A822" s="16" t="s">
        <v>62</v>
      </c>
      <c r="B822" s="27" t="n">
        <f aca="false">Patel!D145</f>
        <v>0.0232545201668986</v>
      </c>
      <c r="C822" s="27" t="n">
        <f aca="false">Patel!E145</f>
        <v>0.0158124929909163</v>
      </c>
      <c r="D822" s="27" t="n">
        <f aca="false">Patel!F145</f>
        <v>0.030622125393367</v>
      </c>
      <c r="E822" s="27" t="n">
        <f aca="false">Patel!G145</f>
        <v>0.0496811010406172</v>
      </c>
      <c r="F822" s="27" t="n">
        <f aca="false">Patel!H145</f>
        <v>0.043917741373301</v>
      </c>
      <c r="G822" s="27" t="n">
        <f aca="false">Patel!I145</f>
        <v>0.0460179618496252</v>
      </c>
      <c r="H822" s="27" t="n">
        <f aca="false">Patel!J145</f>
        <v>0.0602558175373705</v>
      </c>
      <c r="I822" s="61" t="n">
        <f aca="false">Patel!K145</f>
        <v>0.0385088229074423</v>
      </c>
      <c r="J822" s="25" t="str">
        <f aca="false">IF(AND(ISNUMBER(I822),ISNUMBER(I$829)),IF(I822&gt;I$829,"Above",IF(I822&lt;I$829,"Below","At median")),"-")</f>
        <v>Below</v>
      </c>
      <c r="K822" s="25" t="str">
        <f aca="false">IF(J822="Above","Better",IF(J822="Below","Weaker",IF(J822="At median","In line","-")))</f>
        <v>Weaker</v>
      </c>
      <c r="L822" s="43" t="n">
        <f aca="false">IF(ISNUMBER(I822),RANK(I822,I$817:I$826,0),"-")</f>
        <v>9</v>
      </c>
    </row>
    <row r="823" customFormat="false" ht="15" hidden="false" customHeight="false" outlineLevel="0" collapsed="false">
      <c r="A823" s="16" t="s">
        <v>64</v>
      </c>
      <c r="B823" s="27" t="n">
        <f aca="false">Sical!D145</f>
        <v>-0.060374375335272</v>
      </c>
      <c r="C823" s="27" t="n">
        <f aca="false">Sical!E145</f>
        <v>-0.1478823647765</v>
      </c>
      <c r="D823" s="27" t="n">
        <f aca="false">Sical!F145</f>
        <v>-0.132068470193919</v>
      </c>
      <c r="E823" s="27" t="n">
        <f aca="false">Sical!G145</f>
        <v>-0.0522914765638094</v>
      </c>
      <c r="F823" s="27" t="n">
        <f aca="false">Sical!H145</f>
        <v>-0.0591824169263205</v>
      </c>
      <c r="G823" s="27" t="n">
        <f aca="false">Sical!I145</f>
        <v>-0.0269306667993301</v>
      </c>
      <c r="H823" s="27" t="n">
        <f aca="false">Sical!J145</f>
        <v>0.0594314826232275</v>
      </c>
      <c r="I823" s="61" t="n">
        <f aca="false">Sical!K145</f>
        <v>-0.0598997554245605</v>
      </c>
      <c r="J823" s="25" t="str">
        <f aca="false">IF(AND(ISNUMBER(I823),ISNUMBER(I$829)),IF(I823&gt;I$829,"Above",IF(I823&lt;I$829,"Below","At median")),"-")</f>
        <v>Below</v>
      </c>
      <c r="K823" s="25" t="str">
        <f aca="false">IF(J823="Above","Better",IF(J823="Below","Weaker",IF(J823="At median","In line","-")))</f>
        <v>Weaker</v>
      </c>
      <c r="L823" s="43" t="n">
        <f aca="false">IF(ISNUMBER(I823),RANK(I823,I$817:I$826,0),"-")</f>
        <v>10</v>
      </c>
    </row>
    <row r="824" customFormat="false" ht="15" hidden="false" customHeight="false" outlineLevel="0" collapsed="false">
      <c r="A824" s="16" t="s">
        <v>66</v>
      </c>
      <c r="B824" s="27" t="n">
        <f aca="false">TCI!D145</f>
        <v>0.109928489425564</v>
      </c>
      <c r="C824" s="27" t="n">
        <f aca="false">TCI!E145</f>
        <v>0.116010877936736</v>
      </c>
      <c r="D824" s="27" t="n">
        <f aca="false">TCI!F145</f>
        <v>0.19574716182665</v>
      </c>
      <c r="E824" s="27" t="n">
        <f aca="false">TCI!G145</f>
        <v>0.169463554965824</v>
      </c>
      <c r="F824" s="27" t="n">
        <f aca="false">TCI!H145</f>
        <v>0.128682593856655</v>
      </c>
      <c r="G824" s="27" t="n">
        <f aca="false">TCI!I145</f>
        <v>0.143840674953372</v>
      </c>
      <c r="H824" s="27" t="n">
        <f aca="false">TCI!J145</f>
        <v>0.136083018631944</v>
      </c>
      <c r="I824" s="61" t="n">
        <f aca="false">TCI!K145</f>
        <v>0.142822338799535</v>
      </c>
      <c r="J824" s="25" t="str">
        <f aca="false">IF(AND(ISNUMBER(I824),ISNUMBER(I$829)),IF(I824&gt;I$829,"Above",IF(I824&lt;I$829,"Below","At median")),"-")</f>
        <v>Above</v>
      </c>
      <c r="K824" s="25" t="str">
        <f aca="false">IF(J824="Above","Better",IF(J824="Below","Weaker",IF(J824="At median","In line","-")))</f>
        <v>Better</v>
      </c>
      <c r="L824" s="43" t="n">
        <f aca="false">IF(ISNUMBER(I824),RANK(I824,I$817:I$826,0),"-")</f>
        <v>2</v>
      </c>
    </row>
    <row r="825" customFormat="false" ht="15" hidden="false" customHeight="false" outlineLevel="0" collapsed="false">
      <c r="A825" s="16" t="s">
        <v>68</v>
      </c>
      <c r="B825" s="27" t="n">
        <f aca="false">Shreeji!D145</f>
        <v>0.0689460299519638</v>
      </c>
      <c r="C825" s="27" t="n">
        <f aca="false">Shreeji!E145</f>
        <v>0.0390843104410944</v>
      </c>
      <c r="D825" s="27" t="n">
        <f aca="false">Shreeji!F145</f>
        <v>0.166926474408937</v>
      </c>
      <c r="E825" s="27" t="n">
        <f aca="false">Shreeji!G145</f>
        <v>0.187485595759391</v>
      </c>
      <c r="F825" s="27" t="n">
        <f aca="false">Shreeji!H145</f>
        <v>0.14088209521955</v>
      </c>
      <c r="G825" s="27" t="n">
        <f aca="false">Shreeji!I145</f>
        <v>0.0426072808623145</v>
      </c>
      <c r="H825" s="27" t="n">
        <f aca="false">Shreeji!J145</f>
        <v>0.037432621281693</v>
      </c>
      <c r="I825" s="61" t="n">
        <f aca="false">Shreeji!K145</f>
        <v>0.0976234868464206</v>
      </c>
      <c r="J825" s="25" t="str">
        <f aca="false">IF(AND(ISNUMBER(I825),ISNUMBER(I$829)),IF(I825&gt;I$829,"Above",IF(I825&lt;I$829,"Below","At median")),"-")</f>
        <v>Above</v>
      </c>
      <c r="K825" s="25" t="str">
        <f aca="false">IF(J825="Above","Better",IF(J825="Below","Weaker",IF(J825="At median","In line","-")))</f>
        <v>Better</v>
      </c>
      <c r="L825" s="43" t="n">
        <f aca="false">IF(ISNUMBER(I825),RANK(I825,I$817:I$826,0),"-")</f>
        <v>4</v>
      </c>
    </row>
    <row r="826" customFormat="false" ht="15" hidden="false" customHeight="false" outlineLevel="0" collapsed="false">
      <c r="A826" s="16" t="s">
        <v>279</v>
      </c>
      <c r="B826" s="27" t="n">
        <f aca="false">MahindraLog!D145</f>
        <v>0.114015684697365</v>
      </c>
      <c r="C826" s="27" t="n">
        <f aca="false">MahindraLog!E145</f>
        <v>0.0537645963177871</v>
      </c>
      <c r="D826" s="27" t="n">
        <f aca="false">MahindraLog!F145</f>
        <v>0.0449362419643795</v>
      </c>
      <c r="E826" s="27" t="n">
        <f aca="false">MahindraLog!G145</f>
        <v>0.0505258934456765</v>
      </c>
      <c r="F826" s="27" t="n">
        <f aca="false">MahindraLog!H145</f>
        <v>0.0180635838150287</v>
      </c>
      <c r="G826" s="27" t="n">
        <f aca="false">MahindraLog!I145</f>
        <v>0.0444415532732312</v>
      </c>
      <c r="H826" s="27" t="n">
        <f aca="false">MahindraLog!J145</f>
        <v>0.0553183559601652</v>
      </c>
      <c r="I826" s="61" t="n">
        <f aca="false">MahindraLog!K145</f>
        <v>0.0544379870676619</v>
      </c>
      <c r="J826" s="25" t="str">
        <f aca="false">IF(AND(ISNUMBER(I826),ISNUMBER(I$829)),IF(I826&gt;I$829,"Above",IF(I826&lt;I$829,"Below","At median")),"-")</f>
        <v>Below</v>
      </c>
      <c r="K826" s="25" t="str">
        <f aca="false">IF(J826="Above","Better",IF(J826="Below","Weaker",IF(J826="At median","In line","-")))</f>
        <v>Weaker</v>
      </c>
      <c r="L826" s="43" t="n">
        <f aca="false">IF(ISNUMBER(I826),RANK(I826,I$817:I$826,0),"-")</f>
        <v>8</v>
      </c>
    </row>
    <row r="827" customFormat="false" ht="15" hidden="false" customHeight="false" outlineLevel="0" collapsed="false">
      <c r="A827" s="46" t="s">
        <v>328</v>
      </c>
      <c r="B827" s="42" t="n">
        <f aca="false">Industry!D146</f>
        <v>0.0879596741714628</v>
      </c>
      <c r="C827" s="42" t="n">
        <f aca="false">Industry!E146</f>
        <v>0.0589675814728013</v>
      </c>
      <c r="D827" s="42" t="n">
        <f aca="false">Industry!F146</f>
        <v>0.138407944839397</v>
      </c>
      <c r="E827" s="42" t="n">
        <f aca="false">Industry!G146</f>
        <v>0.137940467765346</v>
      </c>
      <c r="F827" s="42" t="n">
        <f aca="false">Industry!H146</f>
        <v>0.0892182476051556</v>
      </c>
      <c r="G827" s="42" t="n">
        <f aca="false">Industry!I146</f>
        <v>0.100016322329174</v>
      </c>
      <c r="H827" s="42" t="n">
        <f aca="false">Industry!J146</f>
        <v>0.0984574204115852</v>
      </c>
      <c r="I827" s="42" t="n">
        <f aca="false">Industry!K146</f>
        <v>0.101566808370703</v>
      </c>
      <c r="J827" s="47"/>
      <c r="K827" s="47"/>
      <c r="L827" s="47"/>
    </row>
    <row r="828" customFormat="false" ht="15" hidden="false" customHeight="false" outlineLevel="0" collapsed="false">
      <c r="A828" s="52" t="s">
        <v>329</v>
      </c>
      <c r="B828" s="62" t="n">
        <f aca="false">IF(COUNT(B817:B826)=0,"N/M",AVERAGE(B817:B826))</f>
        <v>0.0377260167726486</v>
      </c>
      <c r="C828" s="62" t="n">
        <f aca="false">IF(COUNT(C817:C826)=0,"N/M",AVERAGE(C817:C826))</f>
        <v>0.0274423004889439</v>
      </c>
      <c r="D828" s="62" t="n">
        <f aca="false">IF(COUNT(D817:D826)=0,"N/M",AVERAGE(D817:D826))</f>
        <v>0.151562078825675</v>
      </c>
      <c r="E828" s="62" t="n">
        <f aca="false">IF(COUNT(E817:E826)=0,"N/M",AVERAGE(E817:E826))</f>
        <v>0.126976905484763</v>
      </c>
      <c r="F828" s="62" t="n">
        <f aca="false">IF(COUNT(F817:F826)=0,"N/M",AVERAGE(F817:F826))</f>
        <v>0.0715586528959965</v>
      </c>
      <c r="G828" s="62" t="n">
        <f aca="false">IF(COUNT(G817:G826)=0,"N/M",AVERAGE(G817:G826))</f>
        <v>0.0789724474796645</v>
      </c>
      <c r="H828" s="62" t="n">
        <f aca="false">IF(COUNT(H817:H826)=0,"N/M",AVERAGE(H817:H826))</f>
        <v>0.0834555577280561</v>
      </c>
      <c r="I828" s="62" t="n">
        <f aca="false">IF(COUNT(I817:I826)=0,"N/M",AVERAGE(I817:I826))</f>
        <v>0.0825277085251068</v>
      </c>
      <c r="J828" s="54"/>
      <c r="K828" s="54"/>
      <c r="L828" s="54"/>
    </row>
    <row r="829" customFormat="false" ht="15" hidden="false" customHeight="false" outlineLevel="0" collapsed="false">
      <c r="A829" s="28" t="s">
        <v>281</v>
      </c>
      <c r="B829" s="30" t="n">
        <f aca="false">IF(COUNT(B817:B826)=0,"N/M",MEDIAN(B817:B826))</f>
        <v>0.0722893626276474</v>
      </c>
      <c r="C829" s="30" t="n">
        <f aca="false">IF(COUNT(C817:C826)=0,"N/M",MEDIAN(C817:C826))</f>
        <v>0.0495221421946069</v>
      </c>
      <c r="D829" s="30" t="n">
        <f aca="false">IF(COUNT(D817:D826)=0,"N/M",MEDIAN(D817:D826))</f>
        <v>0.13808280242186</v>
      </c>
      <c r="E829" s="30" t="n">
        <f aca="false">IF(COUNT(E817:E826)=0,"N/M",MEDIAN(E817:E826))</f>
        <v>0.138660373604255</v>
      </c>
      <c r="F829" s="30" t="n">
        <f aca="false">IF(COUNT(F817:F826)=0,"N/M",MEDIAN(F817:F826))</f>
        <v>0.0744615916743396</v>
      </c>
      <c r="G829" s="30" t="n">
        <f aca="false">IF(COUNT(G817:G826)=0,"N/M",MEDIAN(G817:G826))</f>
        <v>0.0697461943286928</v>
      </c>
      <c r="H829" s="30" t="n">
        <f aca="false">IF(COUNT(H817:H826)=0,"N/M",MEDIAN(H817:H826))</f>
        <v>0.0781539993768142</v>
      </c>
      <c r="I829" s="30" t="n">
        <f aca="false">IF(COUNT(I817:I826)=0,"N/M",MEDIAN(I817:I826))</f>
        <v>0.0920033118457519</v>
      </c>
      <c r="J829" s="54"/>
      <c r="K829" s="54"/>
      <c r="L829" s="54"/>
    </row>
    <row r="830" customFormat="false" ht="15" hidden="false" customHeight="false" outlineLevel="0" collapsed="false">
      <c r="A830" s="52" t="s">
        <v>330</v>
      </c>
      <c r="B830" s="62" t="n">
        <f aca="false">IF(COUNT(B817:B826)&lt;2,"N/M",STDEV(B817:B826))</f>
        <v>0.0898451547864413</v>
      </c>
      <c r="C830" s="62" t="n">
        <f aca="false">IF(COUNT(C817:C826)&lt;2,"N/M",STDEV(C817:C826))</f>
        <v>0.108998558381982</v>
      </c>
      <c r="D830" s="62" t="n">
        <f aca="false">IF(COUNT(D817:D826)&lt;2,"N/M",STDEV(D817:D826))</f>
        <v>0.169168290998568</v>
      </c>
      <c r="E830" s="62" t="n">
        <f aca="false">IF(COUNT(E817:E826)&lt;2,"N/M",STDEV(E817:E826))</f>
        <v>0.102884862669728</v>
      </c>
      <c r="F830" s="62" t="n">
        <f aca="false">IF(COUNT(F817:F826)&lt;2,"N/M",STDEV(F817:F826))</f>
        <v>0.0722108339656701</v>
      </c>
      <c r="G830" s="62" t="n">
        <f aca="false">IF(COUNT(G817:G826)&lt;2,"N/M",STDEV(G817:G826))</f>
        <v>0.065731954866596</v>
      </c>
      <c r="H830" s="62" t="n">
        <f aca="false">IF(COUNT(H817:H826)&lt;2,"N/M",STDEV(H817:H826))</f>
        <v>0.0418317901005842</v>
      </c>
      <c r="I830" s="62" t="n">
        <f aca="false">IF(COUNT(I817:I826)&lt;2,"N/M",STDEV(I817:I826))</f>
        <v>0.0658919233864258</v>
      </c>
      <c r="J830" s="54"/>
      <c r="K830" s="54"/>
      <c r="L830" s="54"/>
    </row>
    <row r="831" customFormat="false" ht="15" hidden="false" customHeight="false" outlineLevel="0" collapsed="false">
      <c r="A831" s="52" t="s">
        <v>269</v>
      </c>
      <c r="B831" s="62" t="n">
        <f aca="false">IF(COUNT(B817:B826)=0,"N/M",MIN(B817:B826))</f>
        <v>-0.104845026295177</v>
      </c>
      <c r="C831" s="62" t="n">
        <f aca="false">IF(COUNT(C817:C826)=0,"N/M",MIN(C817:C826))</f>
        <v>-0.182297154899894</v>
      </c>
      <c r="D831" s="62" t="n">
        <f aca="false">IF(COUNT(D817:D826)=0,"N/M",MIN(D817:D826))</f>
        <v>-0.132068470193919</v>
      </c>
      <c r="E831" s="62" t="n">
        <f aca="false">IF(COUNT(E817:E826)=0,"N/M",MIN(E817:E826))</f>
        <v>-0.0522914765638094</v>
      </c>
      <c r="F831" s="62" t="n">
        <f aca="false">IF(COUNT(F817:F826)=0,"N/M",MIN(F817:F826))</f>
        <v>-0.0591824169263205</v>
      </c>
      <c r="G831" s="62" t="n">
        <f aca="false">IF(COUNT(G817:G826)=0,"N/M",MIN(G817:G826))</f>
        <v>-0.0269306667993301</v>
      </c>
      <c r="H831" s="62" t="n">
        <f aca="false">IF(COUNT(H817:H826)=0,"N/M",MIN(H817:H826))</f>
        <v>0.0244672454617206</v>
      </c>
      <c r="I831" s="62" t="n">
        <f aca="false">IF(COUNT(I817:I826)=0,"N/M",MIN(I817:I826))</f>
        <v>-0.0598997554245605</v>
      </c>
      <c r="J831" s="54"/>
      <c r="K831" s="54"/>
      <c r="L831" s="54"/>
    </row>
    <row r="832" customFormat="false" ht="15" hidden="false" customHeight="false" outlineLevel="0" collapsed="false">
      <c r="A832" s="52" t="s">
        <v>270</v>
      </c>
      <c r="B832" s="62" t="n">
        <f aca="false">IF(COUNT(B817:B826)=0,"N/M",MAX(B817:B826))</f>
        <v>0.124682856107285</v>
      </c>
      <c r="C832" s="62" t="n">
        <f aca="false">IF(COUNT(C817:C826)=0,"N/M",MAX(C817:C826))</f>
        <v>0.135931558935362</v>
      </c>
      <c r="D832" s="62" t="n">
        <f aca="false">IF(COUNT(D817:D826)=0,"N/M",MAX(D817:D826))</f>
        <v>0.494424291280398</v>
      </c>
      <c r="E832" s="62" t="n">
        <f aca="false">IF(COUNT(E817:E826)=0,"N/M",MAX(E817:E826))</f>
        <v>0.262829048448223</v>
      </c>
      <c r="F832" s="62" t="n">
        <f aca="false">IF(COUNT(F817:F826)=0,"N/M",MAX(F817:F826))</f>
        <v>0.17217300079501</v>
      </c>
      <c r="G832" s="62" t="n">
        <f aca="false">IF(COUNT(G817:G826)=0,"N/M",MAX(G817:G826))</f>
        <v>0.177032661570535</v>
      </c>
      <c r="H832" s="62" t="n">
        <f aca="false">IF(COUNT(H817:H826)=0,"N/M",MAX(H817:H826))</f>
        <v>0.142044656408781</v>
      </c>
      <c r="I832" s="62" t="n">
        <f aca="false">IF(COUNT(I817:I826)=0,"N/M",MAX(I817:I826))</f>
        <v>0.180115184908993</v>
      </c>
      <c r="J832" s="54"/>
      <c r="K832" s="54"/>
      <c r="L832" s="54"/>
    </row>
    <row r="834" customFormat="false" ht="16.5" hidden="false" customHeight="true" outlineLevel="0" collapsed="false">
      <c r="A834" s="49" t="s">
        <v>376</v>
      </c>
      <c r="B834" s="49"/>
      <c r="C834" s="49"/>
      <c r="D834" s="49"/>
      <c r="E834" s="49"/>
      <c r="F834" s="49"/>
      <c r="G834" s="49"/>
      <c r="H834" s="49"/>
      <c r="I834" s="49"/>
      <c r="J834" s="49"/>
      <c r="K834" s="49"/>
      <c r="L834" s="49"/>
    </row>
    <row r="835" customFormat="false" ht="15" hidden="false" customHeight="false" outlineLevel="0" collapsed="false">
      <c r="A835" s="16" t="s">
        <v>52</v>
      </c>
      <c r="B835" s="27" t="n">
        <f aca="false">Tiger!D146</f>
        <v>-0.104845026295177</v>
      </c>
      <c r="C835" s="27" t="n">
        <f aca="false">Tiger!E146</f>
        <v>-0.182297154899894</v>
      </c>
      <c r="D835" s="27" t="n">
        <f aca="false">Tiger!F146</f>
        <v>0.444823138463344</v>
      </c>
      <c r="E835" s="27" t="n">
        <f aca="false">Tiger!G146</f>
        <v>0.194647805184533</v>
      </c>
      <c r="F835" s="27" t="n">
        <f aca="false">Tiger!H146</f>
        <v>0.0868071761930129</v>
      </c>
      <c r="G835" s="27" t="n">
        <f aca="false">Tiger!I146</f>
        <v>0.132492440815188</v>
      </c>
      <c r="H835" s="27" t="n">
        <f aca="false">Tiger!J146</f>
        <v>0.0913563837931597</v>
      </c>
      <c r="I835" s="61" t="n">
        <f aca="false">Tiger!K146</f>
        <v>0.0947121090363094</v>
      </c>
      <c r="J835" s="25" t="str">
        <f aca="false">IF(AND(ISNUMBER(I835),ISNUMBER(I$847)),IF(I835&gt;I$847,"Above",IF(I835&lt;I$847,"Below","At median")),"-")</f>
        <v>Above</v>
      </c>
      <c r="K835" s="25" t="str">
        <f aca="false">IF(J835="Above","Better",IF(J835="Below","Weaker",IF(J835="At median","In line","-")))</f>
        <v>Better</v>
      </c>
      <c r="L835" s="43" t="n">
        <f aca="false">IF(ISNUMBER(I835),RANK(I835,I$835:I$844,0),"-")</f>
        <v>3</v>
      </c>
    </row>
    <row r="836" customFormat="false" ht="15" hidden="false" customHeight="false" outlineLevel="0" collapsed="false">
      <c r="A836" s="16" t="s">
        <v>54</v>
      </c>
      <c r="B836" s="27" t="n">
        <f aca="false">Allcargo!D146</f>
        <v>0.0580269965210272</v>
      </c>
      <c r="C836" s="27" t="n">
        <f aca="false">Allcargo!E146</f>
        <v>0.0504123378041854</v>
      </c>
      <c r="D836" s="27" t="n">
        <f aca="false">Allcargo!F146</f>
        <v>0.150409355196737</v>
      </c>
      <c r="E836" s="27" t="n">
        <f aca="false">Allcargo!G146</f>
        <v>0.157503498773281</v>
      </c>
      <c r="F836" s="27" t="n">
        <f aca="false">Allcargo!H146</f>
        <v>0.0137795992155467</v>
      </c>
      <c r="G836" s="27" t="n">
        <f aca="false">Allcargo!I146</f>
        <v>0.0148920327624721</v>
      </c>
      <c r="H836" s="27" t="n">
        <f aca="false">Allcargo!J146</f>
        <v>0.0244672454617206</v>
      </c>
      <c r="I836" s="61" t="n">
        <f aca="false">Allcargo!K146</f>
        <v>0.0670701522478528</v>
      </c>
      <c r="J836" s="25" t="str">
        <f aca="false">IF(AND(ISNUMBER(I836),ISNUMBER(I$847)),IF(I836&gt;I$847,"Above",IF(I836&lt;I$847,"Below","At median")),"-")</f>
        <v>Below</v>
      </c>
      <c r="K836" s="25" t="str">
        <f aca="false">IF(J836="Above","Better",IF(J836="Below","Weaker",IF(J836="At median","In line","-")))</f>
        <v>Weaker</v>
      </c>
      <c r="L836" s="43" t="n">
        <f aca="false">IF(ISNUMBER(I836),RANK(I836,I$835:I$844,0),"-")</f>
        <v>6</v>
      </c>
    </row>
    <row r="837" customFormat="false" ht="15" hidden="false" customHeight="false" outlineLevel="0" collapsed="false">
      <c r="A837" s="16" t="s">
        <v>277</v>
      </c>
      <c r="B837" s="27" t="n">
        <f aca="false">BlueDart!D146</f>
        <v>0.124682856107285</v>
      </c>
      <c r="C837" s="27" t="n">
        <f aca="false">BlueDart!E146</f>
        <v>0.0882914020034665</v>
      </c>
      <c r="D837" s="27" t="n">
        <f aca="false">BlueDart!F146</f>
        <v>0.232779620526051</v>
      </c>
      <c r="E837" s="27" t="n">
        <f aca="false">BlueDart!G146</f>
        <v>0.172195311497691</v>
      </c>
      <c r="F837" s="27" t="n">
        <f aca="false">BlueDart!H146</f>
        <v>0.131972994574245</v>
      </c>
      <c r="G837" s="27" t="n">
        <f aca="false">BlueDart!I146</f>
        <v>0.110857308510507</v>
      </c>
      <c r="H837" s="27" t="n">
        <f aca="false">BlueDart!J146</f>
        <v>0.107545302368686</v>
      </c>
      <c r="I837" s="61" t="n">
        <f aca="false">BlueDart!K146</f>
        <v>0.138332113655419</v>
      </c>
      <c r="J837" s="25" t="str">
        <f aca="false">IF(AND(ISNUMBER(I837),ISNUMBER(I$847)),IF(I837&gt;I$847,"Above",IF(I837&lt;I$847,"Below","At median")),"-")</f>
        <v>Above</v>
      </c>
      <c r="K837" s="25" t="str">
        <f aca="false">IF(J837="Above","Better",IF(J837="Below","Weaker",IF(J837="At median","In line","-")))</f>
        <v>Better</v>
      </c>
      <c r="L837" s="43" t="n">
        <f aca="false">IF(ISNUMBER(I837),RANK(I837,I$835:I$844,0),"-")</f>
        <v>1</v>
      </c>
    </row>
    <row r="838" customFormat="false" ht="15" hidden="false" customHeight="false" outlineLevel="0" collapsed="false">
      <c r="A838" s="16" t="s">
        <v>58</v>
      </c>
      <c r="B838" s="27" t="n">
        <f aca="false">CONCOR!D146</f>
        <v>0.0847982243681524</v>
      </c>
      <c r="C838" s="27" t="n">
        <f aca="false">CONCOR!E146</f>
        <v>0.0336532772493816</v>
      </c>
      <c r="D838" s="27" t="n">
        <f aca="false">CONCOR!F146</f>
        <v>0.0779535012691091</v>
      </c>
      <c r="E838" s="27" t="n">
        <f aca="false">CONCOR!G146</f>
        <v>0.0809672396708169</v>
      </c>
      <c r="F838" s="27" t="n">
        <f aca="false">CONCOR!H146</f>
        <v>0.0794265155541402</v>
      </c>
      <c r="G838" s="27" t="n">
        <f aca="false">CONCOR!I146</f>
        <v>0.0764782558155156</v>
      </c>
      <c r="H838" s="27" t="n">
        <f aca="false">CONCOR!J146</f>
        <v>0.0724849883559436</v>
      </c>
      <c r="I838" s="61" t="n">
        <f aca="false">CONCOR!K146</f>
        <v>0.0722517146118656</v>
      </c>
      <c r="J838" s="25" t="str">
        <f aca="false">IF(AND(ISNUMBER(I838),ISNUMBER(I$847)),IF(I838&gt;I$847,"Above",IF(I838&lt;I$847,"Below","At median")),"-")</f>
        <v>Above</v>
      </c>
      <c r="K838" s="25" t="str">
        <f aca="false">IF(J838="Above","Better",IF(J838="Below","Weaker",IF(J838="At median","In line","-")))</f>
        <v>Better</v>
      </c>
      <c r="L838" s="43" t="n">
        <f aca="false">IF(ISNUMBER(I838),RANK(I838,I$835:I$844,0),"-")</f>
        <v>5</v>
      </c>
    </row>
    <row r="839" customFormat="false" ht="15" hidden="false" customHeight="false" outlineLevel="0" collapsed="false">
      <c r="A839" s="16" t="s">
        <v>278</v>
      </c>
      <c r="B839" s="27" t="n">
        <f aca="false">JetFreight!D146</f>
        <v>-0.0876420975430885</v>
      </c>
      <c r="C839" s="27" t="n">
        <f aca="false">JetFreight!E146</f>
        <v>0.0884316349809893</v>
      </c>
      <c r="D839" s="27" t="n">
        <f aca="false">JetFreight!F146</f>
        <v>0.0710666086956519</v>
      </c>
      <c r="E839" s="27" t="n">
        <f aca="false">JetFreight!G146</f>
        <v>0.0274259312809685</v>
      </c>
      <c r="F839" s="27" t="n">
        <f aca="false">JetFreight!H146</f>
        <v>0.0312817044301654</v>
      </c>
      <c r="G839" s="27" t="n">
        <f aca="false">JetFreight!I146</f>
        <v>0.0608107231040566</v>
      </c>
      <c r="H839" s="27" t="n">
        <f aca="false">JetFreight!J146</f>
        <v>0.0649408252757728</v>
      </c>
      <c r="I839" s="61" t="n">
        <f aca="false">JetFreight!K146</f>
        <v>0.0366164757463595</v>
      </c>
      <c r="J839" s="25" t="str">
        <f aca="false">IF(AND(ISNUMBER(I839),ISNUMBER(I$847)),IF(I839&gt;I$847,"Above",IF(I839&lt;I$847,"Below","At median")),"-")</f>
        <v>Below</v>
      </c>
      <c r="K839" s="25" t="str">
        <f aca="false">IF(J839="Above","Better",IF(J839="Below","Weaker",IF(J839="At median","In line","-")))</f>
        <v>Weaker</v>
      </c>
      <c r="L839" s="43" t="n">
        <f aca="false">IF(ISNUMBER(I839),RANK(I839,I$835:I$844,0),"-")</f>
        <v>8</v>
      </c>
    </row>
    <row r="840" customFormat="false" ht="15" hidden="false" customHeight="false" outlineLevel="0" collapsed="false">
      <c r="A840" s="16" t="s">
        <v>62</v>
      </c>
      <c r="B840" s="27" t="n">
        <f aca="false">Patel!D146</f>
        <v>0.0194482464061436</v>
      </c>
      <c r="C840" s="27" t="n">
        <f aca="false">Patel!E146</f>
        <v>0.0102869754401705</v>
      </c>
      <c r="D840" s="27" t="n">
        <f aca="false">Patel!F146</f>
        <v>0.030622125393367</v>
      </c>
      <c r="E840" s="27" t="n">
        <f aca="false">Patel!G146</f>
        <v>0.0496811010406172</v>
      </c>
      <c r="F840" s="27" t="n">
        <f aca="false">Patel!H146</f>
        <v>0.0428352618324097</v>
      </c>
      <c r="G840" s="27" t="n">
        <f aca="false">Patel!I146</f>
        <v>0.0456579777934352</v>
      </c>
      <c r="H840" s="27" t="n">
        <f aca="false">Patel!J146</f>
        <v>0.0560478457985823</v>
      </c>
      <c r="I840" s="61" t="n">
        <f aca="false">Patel!K146</f>
        <v>0.0363685048149608</v>
      </c>
      <c r="J840" s="25" t="str">
        <f aca="false">IF(AND(ISNUMBER(I840),ISNUMBER(I$847)),IF(I840&gt;I$847,"Above",IF(I840&lt;I$847,"Below","At median")),"-")</f>
        <v>Below</v>
      </c>
      <c r="K840" s="25" t="str">
        <f aca="false">IF(J840="Above","Better",IF(J840="Below","Weaker",IF(J840="At median","In line","-")))</f>
        <v>Weaker</v>
      </c>
      <c r="L840" s="43" t="n">
        <f aca="false">IF(ISNUMBER(I840),RANK(I840,I$835:I$844,0),"-")</f>
        <v>9</v>
      </c>
    </row>
    <row r="841" customFormat="false" ht="15" hidden="false" customHeight="false" outlineLevel="0" collapsed="false">
      <c r="A841" s="16" t="s">
        <v>64</v>
      </c>
      <c r="B841" s="27" t="n">
        <f aca="false">Sical!D146</f>
        <v>-0.060374375335272</v>
      </c>
      <c r="C841" s="27" t="n">
        <f aca="false">Sical!E146</f>
        <v>-0.1478823647765</v>
      </c>
      <c r="D841" s="27" t="n">
        <f aca="false">Sical!F146</f>
        <v>-0.132068470193919</v>
      </c>
      <c r="E841" s="27" t="n">
        <f aca="false">Sical!G146</f>
        <v>-0.0522914765638094</v>
      </c>
      <c r="F841" s="27" t="n">
        <f aca="false">Sical!H146</f>
        <v>-0.0591824169263205</v>
      </c>
      <c r="G841" s="27" t="n">
        <f aca="false">Sical!I146</f>
        <v>-0.0269306667993301</v>
      </c>
      <c r="H841" s="27" t="n">
        <f aca="false">Sical!J146</f>
        <v>0.0511762425250984</v>
      </c>
      <c r="I841" s="61" t="n">
        <f aca="false">Sical!K146</f>
        <v>-0.0610790754385789</v>
      </c>
      <c r="J841" s="25" t="str">
        <f aca="false">IF(AND(ISNUMBER(I841),ISNUMBER(I$847)),IF(I841&gt;I$847,"Above",IF(I841&lt;I$847,"Below","At median")),"-")</f>
        <v>Below</v>
      </c>
      <c r="K841" s="25" t="str">
        <f aca="false">IF(J841="Above","Better",IF(J841="Below","Weaker",IF(J841="At median","In line","-")))</f>
        <v>Weaker</v>
      </c>
      <c r="L841" s="43" t="n">
        <f aca="false">IF(ISNUMBER(I841),RANK(I841,I$835:I$844,0),"-")</f>
        <v>10</v>
      </c>
    </row>
    <row r="842" customFormat="false" ht="15" hidden="false" customHeight="false" outlineLevel="0" collapsed="false">
      <c r="A842" s="16" t="s">
        <v>66</v>
      </c>
      <c r="B842" s="27" t="n">
        <f aca="false">TCI!D146</f>
        <v>0.098929422417488</v>
      </c>
      <c r="C842" s="27" t="n">
        <f aca="false">TCI!E146</f>
        <v>0.100145516552332</v>
      </c>
      <c r="D842" s="27" t="n">
        <f aca="false">TCI!F146</f>
        <v>0.173445952510303</v>
      </c>
      <c r="E842" s="27" t="n">
        <f aca="false">TCI!G146</f>
        <v>0.149241329248945</v>
      </c>
      <c r="F842" s="27" t="n">
        <f aca="false">TCI!H146</f>
        <v>0.117531583443093</v>
      </c>
      <c r="G842" s="27" t="n">
        <f aca="false">TCI!I146</f>
        <v>0.130254730796497</v>
      </c>
      <c r="H842" s="27" t="n">
        <f aca="false">TCI!J146</f>
        <v>0.125188537034692</v>
      </c>
      <c r="I842" s="61" t="n">
        <f aca="false">TCI!K146</f>
        <v>0.127819581714764</v>
      </c>
      <c r="J842" s="25" t="str">
        <f aca="false">IF(AND(ISNUMBER(I842),ISNUMBER(I$847)),IF(I842&gt;I$847,"Above",IF(I842&lt;I$847,"Below","At median")),"-")</f>
        <v>Above</v>
      </c>
      <c r="K842" s="25" t="str">
        <f aca="false">IF(J842="Above","Better",IF(J842="Below","Weaker",IF(J842="At median","In line","-")))</f>
        <v>Better</v>
      </c>
      <c r="L842" s="43" t="n">
        <f aca="false">IF(ISNUMBER(I842),RANK(I842,I$835:I$844,0),"-")</f>
        <v>2</v>
      </c>
    </row>
    <row r="843" customFormat="false" ht="15" hidden="false" customHeight="false" outlineLevel="0" collapsed="false">
      <c r="A843" s="16" t="s">
        <v>68</v>
      </c>
      <c r="B843" s="27" t="n">
        <f aca="false">Shreeji!D146</f>
        <v>0.0460684836497212</v>
      </c>
      <c r="C843" s="27" t="n">
        <f aca="false">Shreeji!E146</f>
        <v>0.0390843104410944</v>
      </c>
      <c r="D843" s="27" t="n">
        <f aca="false">Shreeji!F146</f>
        <v>0.125053392692797</v>
      </c>
      <c r="E843" s="27" t="n">
        <f aca="false">Shreeji!G146</f>
        <v>0.135881482640875</v>
      </c>
      <c r="F843" s="27" t="n">
        <f aca="false">Shreeji!H146</f>
        <v>0.106959948167153</v>
      </c>
      <c r="G843" s="27" t="n">
        <f aca="false">Shreeji!I146</f>
        <v>0.0287786019859493</v>
      </c>
      <c r="H843" s="27" t="n">
        <f aca="false">Shreeji!J146</f>
        <v>0.0332267087781319</v>
      </c>
      <c r="I843" s="61" t="n">
        <f aca="false">Shreeji!K146</f>
        <v>0.0735789897651031</v>
      </c>
      <c r="J843" s="25" t="str">
        <f aca="false">IF(AND(ISNUMBER(I843),ISNUMBER(I$847)),IF(I843&gt;I$847,"Above",IF(I843&lt;I$847,"Below","At median")),"-")</f>
        <v>Above</v>
      </c>
      <c r="K843" s="25" t="str">
        <f aca="false">IF(J843="Above","Better",IF(J843="Below","Weaker",IF(J843="At median","In line","-")))</f>
        <v>Better</v>
      </c>
      <c r="L843" s="43" t="n">
        <f aca="false">IF(ISNUMBER(I843),RANK(I843,I$835:I$844,0),"-")</f>
        <v>4</v>
      </c>
    </row>
    <row r="844" customFormat="false" ht="15" hidden="false" customHeight="false" outlineLevel="0" collapsed="false">
      <c r="A844" s="16" t="s">
        <v>279</v>
      </c>
      <c r="B844" s="27" t="n">
        <f aca="false">MahindraLog!D146</f>
        <v>0.0778688227179318</v>
      </c>
      <c r="C844" s="27" t="n">
        <f aca="false">MahindraLog!E146</f>
        <v>0.0400217071569648</v>
      </c>
      <c r="D844" s="27" t="n">
        <f aca="false">MahindraLog!F146</f>
        <v>0.0292337215723467</v>
      </c>
      <c r="E844" s="27" t="n">
        <f aca="false">MahindraLog!G146</f>
        <v>0.040110596360175</v>
      </c>
      <c r="F844" s="27" t="n">
        <f aca="false">MahindraLog!H146</f>
        <v>0.0180635838150287</v>
      </c>
      <c r="G844" s="27" t="n">
        <f aca="false">MahindraLog!I146</f>
        <v>0.0444415532732312</v>
      </c>
      <c r="H844" s="27" t="n">
        <f aca="false">MahindraLog!J146</f>
        <v>0.0359879096534451</v>
      </c>
      <c r="I844" s="61" t="n">
        <f aca="false">MahindraLog!K146</f>
        <v>0.0408182706498748</v>
      </c>
      <c r="J844" s="25" t="str">
        <f aca="false">IF(AND(ISNUMBER(I844),ISNUMBER(I$847)),IF(I844&gt;I$847,"Above",IF(I844&lt;I$847,"Below","At median")),"-")</f>
        <v>Below</v>
      </c>
      <c r="K844" s="25" t="str">
        <f aca="false">IF(J844="Above","Better",IF(J844="Below","Weaker",IF(J844="At median","In line","-")))</f>
        <v>Weaker</v>
      </c>
      <c r="L844" s="43" t="n">
        <f aca="false">IF(ISNUMBER(I844),RANK(I844,I$835:I$844,0),"-")</f>
        <v>7</v>
      </c>
    </row>
    <row r="845" customFormat="false" ht="15" hidden="false" customHeight="false" outlineLevel="0" collapsed="false">
      <c r="A845" s="46" t="s">
        <v>328</v>
      </c>
      <c r="B845" s="42" t="n">
        <f aca="false">Industry!D147</f>
        <v>0.0654784429955031</v>
      </c>
      <c r="C845" s="42" t="n">
        <f aca="false">Industry!E147</f>
        <v>0.0383619498029456</v>
      </c>
      <c r="D845" s="42" t="n">
        <f aca="false">Industry!F147</f>
        <v>0.105090116576113</v>
      </c>
      <c r="E845" s="42" t="n">
        <f aca="false">Industry!G147</f>
        <v>0.093231354535189</v>
      </c>
      <c r="F845" s="42" t="n">
        <f aca="false">Industry!H147</f>
        <v>0.0688207659332861</v>
      </c>
      <c r="G845" s="42" t="n">
        <f aca="false">Industry!I147</f>
        <v>0.0786170174719048</v>
      </c>
      <c r="H845" s="42" t="n">
        <f aca="false">Industry!J147</f>
        <v>0.0772967941304421</v>
      </c>
      <c r="I845" s="42" t="n">
        <f aca="false">Industry!K147</f>
        <v>0.0752709202064833</v>
      </c>
      <c r="J845" s="47"/>
      <c r="K845" s="47"/>
      <c r="L845" s="47"/>
    </row>
    <row r="846" customFormat="false" ht="15" hidden="false" customHeight="false" outlineLevel="0" collapsed="false">
      <c r="A846" s="52" t="s">
        <v>329</v>
      </c>
      <c r="B846" s="62" t="n">
        <f aca="false">IF(COUNT(B835:B844)=0,"N/M",AVERAGE(B835:B844))</f>
        <v>0.0256961553014213</v>
      </c>
      <c r="C846" s="62" t="n">
        <f aca="false">IF(COUNT(C835:C844)=0,"N/M",AVERAGE(C835:C844))</f>
        <v>0.012014764195219</v>
      </c>
      <c r="D846" s="62" t="n">
        <f aca="false">IF(COUNT(D835:D844)=0,"N/M",AVERAGE(D835:D844))</f>
        <v>0.120331894612579</v>
      </c>
      <c r="E846" s="62" t="n">
        <f aca="false">IF(COUNT(E835:E844)=0,"N/M",AVERAGE(E835:E844))</f>
        <v>0.0955362819134093</v>
      </c>
      <c r="F846" s="62" t="n">
        <f aca="false">IF(COUNT(F835:F844)=0,"N/M",AVERAGE(F835:F844))</f>
        <v>0.0569475950298474</v>
      </c>
      <c r="G846" s="62" t="n">
        <f aca="false">IF(COUNT(G835:G844)=0,"N/M",AVERAGE(G835:G844))</f>
        <v>0.0617732958057522</v>
      </c>
      <c r="H846" s="62" t="n">
        <f aca="false">IF(COUNT(H835:H844)=0,"N/M",AVERAGE(H835:H844))</f>
        <v>0.0662421989045233</v>
      </c>
      <c r="I846" s="62" t="n">
        <f aca="false">IF(COUNT(I835:I844)=0,"N/M",AVERAGE(I835:I844))</f>
        <v>0.062648883680393</v>
      </c>
      <c r="J846" s="54"/>
      <c r="K846" s="54"/>
      <c r="L846" s="54"/>
    </row>
    <row r="847" customFormat="false" ht="15" hidden="false" customHeight="false" outlineLevel="0" collapsed="false">
      <c r="A847" s="28" t="s">
        <v>281</v>
      </c>
      <c r="B847" s="30" t="n">
        <f aca="false">IF(COUNT(B835:B844)=0,"N/M",MEDIAN(B835:B844))</f>
        <v>0.0520477400853742</v>
      </c>
      <c r="C847" s="30" t="n">
        <f aca="false">IF(COUNT(C835:C844)=0,"N/M",MEDIAN(C835:C844))</f>
        <v>0.0395530087990296</v>
      </c>
      <c r="D847" s="30" t="n">
        <f aca="false">IF(COUNT(D835:D844)=0,"N/M",MEDIAN(D835:D844))</f>
        <v>0.101503446980953</v>
      </c>
      <c r="E847" s="30" t="n">
        <f aca="false">IF(COUNT(E835:E844)=0,"N/M",MEDIAN(E835:E844))</f>
        <v>0.108424361155846</v>
      </c>
      <c r="F847" s="30" t="n">
        <f aca="false">IF(COUNT(F835:F844)=0,"N/M",MEDIAN(F835:F844))</f>
        <v>0.061130888693275</v>
      </c>
      <c r="G847" s="30" t="n">
        <f aca="false">IF(COUNT(G835:G844)=0,"N/M",MEDIAN(G835:G844))</f>
        <v>0.0532343504487459</v>
      </c>
      <c r="H847" s="30" t="n">
        <f aca="false">IF(COUNT(H835:H844)=0,"N/M",MEDIAN(H835:H844))</f>
        <v>0.0604943355371775</v>
      </c>
      <c r="I847" s="30" t="n">
        <f aca="false">IF(COUNT(I835:I844)=0,"N/M",MEDIAN(I835:I844))</f>
        <v>0.0696609334298592</v>
      </c>
      <c r="J847" s="54"/>
      <c r="K847" s="54"/>
      <c r="L847" s="54"/>
    </row>
    <row r="848" customFormat="false" ht="15" hidden="false" customHeight="false" outlineLevel="0" collapsed="false">
      <c r="A848" s="52" t="s">
        <v>330</v>
      </c>
      <c r="B848" s="62" t="n">
        <f aca="false">IF(COUNT(B835:B844)&lt;2,"N/M",STDEV(B835:B844))</f>
        <v>0.0817656321844271</v>
      </c>
      <c r="C848" s="62" t="n">
        <f aca="false">IF(COUNT(C835:C844)&lt;2,"N/M",STDEV(C835:C844))</f>
        <v>0.0978727292803874</v>
      </c>
      <c r="D848" s="62" t="n">
        <f aca="false">IF(COUNT(D835:D844)&lt;2,"N/M",STDEV(D835:D844))</f>
        <v>0.151277070423239</v>
      </c>
      <c r="E848" s="62" t="n">
        <f aca="false">IF(COUNT(E835:E844)&lt;2,"N/M",STDEV(E835:E844))</f>
        <v>0.0788321926780043</v>
      </c>
      <c r="F848" s="62" t="n">
        <f aca="false">IF(COUNT(F835:F844)&lt;2,"N/M",STDEV(F835:F844))</f>
        <v>0.058610654991343</v>
      </c>
      <c r="G848" s="62" t="n">
        <f aca="false">IF(COUNT(G835:G844)&lt;2,"N/M",STDEV(G835:G844))</f>
        <v>0.0516745107035307</v>
      </c>
      <c r="H848" s="62" t="n">
        <f aca="false">IF(COUNT(H835:H844)&lt;2,"N/M",STDEV(H835:H844))</f>
        <v>0.0332221556414824</v>
      </c>
      <c r="I848" s="62" t="n">
        <f aca="false">IF(COUNT(I835:I844)&lt;2,"N/M",STDEV(I835:I844))</f>
        <v>0.0561624418864304</v>
      </c>
      <c r="J848" s="54"/>
      <c r="K848" s="54"/>
      <c r="L848" s="54"/>
    </row>
    <row r="849" customFormat="false" ht="15" hidden="false" customHeight="false" outlineLevel="0" collapsed="false">
      <c r="A849" s="52" t="s">
        <v>269</v>
      </c>
      <c r="B849" s="62" t="n">
        <f aca="false">IF(COUNT(B835:B844)=0,"N/M",MIN(B835:B844))</f>
        <v>-0.104845026295177</v>
      </c>
      <c r="C849" s="62" t="n">
        <f aca="false">IF(COUNT(C835:C844)=0,"N/M",MIN(C835:C844))</f>
        <v>-0.182297154899894</v>
      </c>
      <c r="D849" s="62" t="n">
        <f aca="false">IF(COUNT(D835:D844)=0,"N/M",MIN(D835:D844))</f>
        <v>-0.132068470193919</v>
      </c>
      <c r="E849" s="62" t="n">
        <f aca="false">IF(COUNT(E835:E844)=0,"N/M",MIN(E835:E844))</f>
        <v>-0.0522914765638094</v>
      </c>
      <c r="F849" s="62" t="n">
        <f aca="false">IF(COUNT(F835:F844)=0,"N/M",MIN(F835:F844))</f>
        <v>-0.0591824169263205</v>
      </c>
      <c r="G849" s="62" t="n">
        <f aca="false">IF(COUNT(G835:G844)=0,"N/M",MIN(G835:G844))</f>
        <v>-0.0269306667993301</v>
      </c>
      <c r="H849" s="62" t="n">
        <f aca="false">IF(COUNT(H835:H844)=0,"N/M",MIN(H835:H844))</f>
        <v>0.0244672454617206</v>
      </c>
      <c r="I849" s="62" t="n">
        <f aca="false">IF(COUNT(I835:I844)=0,"N/M",MIN(I835:I844))</f>
        <v>-0.0610790754385789</v>
      </c>
      <c r="J849" s="54"/>
      <c r="K849" s="54"/>
      <c r="L849" s="54"/>
    </row>
    <row r="850" customFormat="false" ht="15" hidden="false" customHeight="false" outlineLevel="0" collapsed="false">
      <c r="A850" s="52" t="s">
        <v>270</v>
      </c>
      <c r="B850" s="62" t="n">
        <f aca="false">IF(COUNT(B835:B844)=0,"N/M",MAX(B835:B844))</f>
        <v>0.124682856107285</v>
      </c>
      <c r="C850" s="62" t="n">
        <f aca="false">IF(COUNT(C835:C844)=0,"N/M",MAX(C835:C844))</f>
        <v>0.100145516552332</v>
      </c>
      <c r="D850" s="62" t="n">
        <f aca="false">IF(COUNT(D835:D844)=0,"N/M",MAX(D835:D844))</f>
        <v>0.444823138463344</v>
      </c>
      <c r="E850" s="62" t="n">
        <f aca="false">IF(COUNT(E835:E844)=0,"N/M",MAX(E835:E844))</f>
        <v>0.194647805184533</v>
      </c>
      <c r="F850" s="62" t="n">
        <f aca="false">IF(COUNT(F835:F844)=0,"N/M",MAX(F835:F844))</f>
        <v>0.131972994574245</v>
      </c>
      <c r="G850" s="62" t="n">
        <f aca="false">IF(COUNT(G835:G844)=0,"N/M",MAX(G835:G844))</f>
        <v>0.132492440815188</v>
      </c>
      <c r="H850" s="62" t="n">
        <f aca="false">IF(COUNT(H835:H844)=0,"N/M",MAX(H835:H844))</f>
        <v>0.125188537034692</v>
      </c>
      <c r="I850" s="62" t="n">
        <f aca="false">IF(COUNT(I835:I844)=0,"N/M",MAX(I835:I844))</f>
        <v>0.138332113655419</v>
      </c>
      <c r="J850" s="54"/>
      <c r="K850" s="54"/>
      <c r="L850" s="54"/>
    </row>
    <row r="852" customFormat="false" ht="16.5" hidden="false" customHeight="true" outlineLevel="0" collapsed="false">
      <c r="A852" s="49" t="s">
        <v>377</v>
      </c>
      <c r="B852" s="49"/>
      <c r="C852" s="49"/>
      <c r="D852" s="49"/>
      <c r="E852" s="49"/>
      <c r="F852" s="49"/>
      <c r="G852" s="49"/>
      <c r="H852" s="49"/>
      <c r="I852" s="49"/>
      <c r="J852" s="49"/>
      <c r="K852" s="49"/>
      <c r="L852" s="49"/>
    </row>
    <row r="853" customFormat="false" ht="15" hidden="false" customHeight="false" outlineLevel="0" collapsed="false">
      <c r="A853" s="16" t="s">
        <v>52</v>
      </c>
      <c r="B853" s="27" t="n">
        <f aca="false">Tiger!D147</f>
        <v>-0.23415559772296</v>
      </c>
      <c r="C853" s="27" t="n">
        <f aca="false">Tiger!E147</f>
        <v>-0.295855169128156</v>
      </c>
      <c r="D853" s="27" t="n">
        <f aca="false">Tiger!F147</f>
        <v>0.451833937928255</v>
      </c>
      <c r="E853" s="27" t="n">
        <f aca="false">Tiger!G147</f>
        <v>0.237734302980641</v>
      </c>
      <c r="F853" s="27" t="n">
        <f aca="false">Tiger!H147</f>
        <v>0.116935847694668</v>
      </c>
      <c r="G853" s="27" t="n">
        <f aca="false">Tiger!I147</f>
        <v>0.19530007230658</v>
      </c>
      <c r="H853" s="27" t="n">
        <f aca="false">Tiger!J147</f>
        <v>0.134516814601825</v>
      </c>
      <c r="I853" s="61" t="n">
        <f aca="false">Tiger!K147</f>
        <v>0.0866157440944075</v>
      </c>
      <c r="J853" s="25" t="str">
        <f aca="false">IF(AND(ISNUMBER(I853),ISNUMBER(I$865)),IF(I853&gt;I$865,"Above",IF(I853&lt;I$865,"Below","At median")),"-")</f>
        <v>Above</v>
      </c>
      <c r="K853" s="25" t="str">
        <f aca="false">IF(J853="Above","Better",IF(J853="Below","Weaker",IF(J853="At median","In line","-")))</f>
        <v>Better</v>
      </c>
      <c r="L853" s="43" t="n">
        <f aca="false">IF(ISNUMBER(I853),RANK(I853,I$853:I$862,0),"-")</f>
        <v>5</v>
      </c>
    </row>
    <row r="854" customFormat="false" ht="15" hidden="false" customHeight="false" outlineLevel="0" collapsed="false">
      <c r="A854" s="16" t="s">
        <v>54</v>
      </c>
      <c r="B854" s="27" t="n">
        <f aca="false">Allcargo!D147</f>
        <v>0.103928787808175</v>
      </c>
      <c r="C854" s="27" t="n">
        <f aca="false">Allcargo!E147</f>
        <v>0.0757157746306174</v>
      </c>
      <c r="D854" s="27" t="n">
        <f aca="false">Allcargo!F147</f>
        <v>0.292786296240069</v>
      </c>
      <c r="E854" s="27" t="n">
        <f aca="false">Allcargo!G147</f>
        <v>0.223717406599342</v>
      </c>
      <c r="F854" s="27" t="n">
        <f aca="false">Allcargo!H147</f>
        <v>0.0593663622339518</v>
      </c>
      <c r="G854" s="27" t="n">
        <f aca="false">Allcargo!I147</f>
        <v>0.115658362989324</v>
      </c>
      <c r="H854" s="27" t="n">
        <f aca="false">Allcargo!J147</f>
        <v>0.0139372822299652</v>
      </c>
      <c r="I854" s="61" t="n">
        <f aca="false">Allcargo!K147</f>
        <v>0.126444324675921</v>
      </c>
      <c r="J854" s="25" t="str">
        <f aca="false">IF(AND(ISNUMBER(I854),ISNUMBER(I$865)),IF(I854&gt;I$865,"Above",IF(I854&lt;I$865,"Below","At median")),"-")</f>
        <v>Above</v>
      </c>
      <c r="K854" s="25" t="str">
        <f aca="false">IF(J854="Above","Better",IF(J854="Below","Weaker",IF(J854="At median","In line","-")))</f>
        <v>Better</v>
      </c>
      <c r="L854" s="43" t="n">
        <f aca="false">IF(ISNUMBER(I854),RANK(I854,I$853:I$862,0),"-")</f>
        <v>4</v>
      </c>
    </row>
    <row r="855" customFormat="false" ht="15" hidden="false" customHeight="false" outlineLevel="0" collapsed="false">
      <c r="A855" s="16" t="s">
        <v>277</v>
      </c>
      <c r="B855" s="27" t="n">
        <f aca="false">BlueDart!D147</f>
        <v>-0.0852841105881874</v>
      </c>
      <c r="C855" s="27" t="n">
        <f aca="false">BlueDart!E147</f>
        <v>0.171987972160281</v>
      </c>
      <c r="D855" s="27" t="n">
        <f aca="false">BlueDart!F147</f>
        <v>0.438319246780353</v>
      </c>
      <c r="E855" s="27" t="n">
        <f aca="false">BlueDart!G147</f>
        <v>0.314125606158229</v>
      </c>
      <c r="F855" s="27" t="n">
        <f aca="false">BlueDart!H147</f>
        <v>0.220154029562559</v>
      </c>
      <c r="G855" s="27" t="n">
        <f aca="false">BlueDart!I147</f>
        <v>0.161907327586207</v>
      </c>
      <c r="H855" s="27" t="n">
        <f aca="false">BlueDart!J147</f>
        <v>0.139231102581564</v>
      </c>
      <c r="I855" s="61" t="n">
        <f aca="false">BlueDart!K147</f>
        <v>0.194348739177286</v>
      </c>
      <c r="J855" s="25" t="str">
        <f aca="false">IF(AND(ISNUMBER(I855),ISNUMBER(I$865)),IF(I855&gt;I$865,"Above",IF(I855&lt;I$865,"Below","At median")),"-")</f>
        <v>Above</v>
      </c>
      <c r="K855" s="25" t="str">
        <f aca="false">IF(J855="Above","Better",IF(J855="Below","Weaker",IF(J855="At median","In line","-")))</f>
        <v>Better</v>
      </c>
      <c r="L855" s="43" t="n">
        <f aca="false">IF(ISNUMBER(I855),RANK(I855,I$853:I$862,0),"-")</f>
        <v>1</v>
      </c>
    </row>
    <row r="856" customFormat="false" ht="15" hidden="false" customHeight="false" outlineLevel="0" collapsed="false">
      <c r="A856" s="16" t="s">
        <v>58</v>
      </c>
      <c r="B856" s="27" t="n">
        <f aca="false">CONCOR!D147</f>
        <v>0.0401668309095072</v>
      </c>
      <c r="C856" s="27" t="n">
        <f aca="false">CONCOR!E147</f>
        <v>0.0495972420454568</v>
      </c>
      <c r="D856" s="27" t="n">
        <f aca="false">CONCOR!F147</f>
        <v>0.0981000506715138</v>
      </c>
      <c r="E856" s="27" t="n">
        <f aca="false">CONCOR!G147</f>
        <v>0.104566796988784</v>
      </c>
      <c r="F856" s="27" t="n">
        <f aca="false">CONCOR!H147</f>
        <v>0.106619945006475</v>
      </c>
      <c r="G856" s="27" t="n">
        <f aca="false">CONCOR!I147</f>
        <v>0.104188843642026</v>
      </c>
      <c r="H856" s="27" t="n">
        <f aca="false">CONCOR!J147</f>
        <v>0.0959485719363176</v>
      </c>
      <c r="I856" s="61" t="n">
        <f aca="false">CONCOR!K147</f>
        <v>0.0855983258857257</v>
      </c>
      <c r="J856" s="25" t="str">
        <f aca="false">IF(AND(ISNUMBER(I856),ISNUMBER(I$865)),IF(I856&gt;I$865,"Above",IF(I856&lt;I$865,"Below","At median")),"-")</f>
        <v>Below</v>
      </c>
      <c r="K856" s="25" t="str">
        <f aca="false">IF(J856="Above","Better",IF(J856="Below","Weaker",IF(J856="At median","In line","-")))</f>
        <v>Weaker</v>
      </c>
      <c r="L856" s="43" t="n">
        <f aca="false">IF(ISNUMBER(I856),RANK(I856,I$853:I$862,0),"-")</f>
        <v>6</v>
      </c>
    </row>
    <row r="857" customFormat="false" ht="15" hidden="false" customHeight="false" outlineLevel="0" collapsed="false">
      <c r="A857" s="16" t="s">
        <v>278</v>
      </c>
      <c r="B857" s="27" t="n">
        <f aca="false">JetFreight!D147</f>
        <v>-0.496523754345307</v>
      </c>
      <c r="C857" s="27" t="n">
        <f aca="false">JetFreight!E147</f>
        <v>0.11658151416628</v>
      </c>
      <c r="D857" s="27" t="n">
        <f aca="false">JetFreight!F147</f>
        <v>0.115716044316783</v>
      </c>
      <c r="E857" s="27" t="n">
        <f aca="false">JetFreight!G147</f>
        <v>0.00096401028277635</v>
      </c>
      <c r="F857" s="27" t="n">
        <f aca="false">JetFreight!H147</f>
        <v>0.00416133162612036</v>
      </c>
      <c r="G857" s="27" t="n">
        <f aca="false">JetFreight!I147</f>
        <v>0.0564552747086424</v>
      </c>
      <c r="H857" s="27" t="n">
        <f aca="false">JetFreight!J147</f>
        <v>0.0934194257452947</v>
      </c>
      <c r="I857" s="61" t="n">
        <f aca="false">JetFreight!K147</f>
        <v>-0.0156037362142016</v>
      </c>
      <c r="J857" s="25" t="str">
        <f aca="false">IF(AND(ISNUMBER(I857),ISNUMBER(I$865)),IF(I857&gt;I$865,"Above",IF(I857&lt;I$865,"Below","At median")),"-")</f>
        <v>Below</v>
      </c>
      <c r="K857" s="25" t="str">
        <f aca="false">IF(J857="Above","Better",IF(J857="Below","Weaker",IF(J857="At median","In line","-")))</f>
        <v>Weaker</v>
      </c>
      <c r="L857" s="43" t="n">
        <f aca="false">IF(ISNUMBER(I857),RANK(I857,I$853:I$862,0),"-")</f>
        <v>9</v>
      </c>
    </row>
    <row r="858" customFormat="false" ht="15" hidden="false" customHeight="false" outlineLevel="0" collapsed="false">
      <c r="A858" s="16" t="s">
        <v>62</v>
      </c>
      <c r="B858" s="27" t="n">
        <f aca="false">Patel!D147</f>
        <v>0.0902293539443838</v>
      </c>
      <c r="C858" s="27" t="n">
        <f aca="false">Patel!E147</f>
        <v>0.000428742925741725</v>
      </c>
      <c r="D858" s="27" t="n">
        <f aca="false">Patel!F147</f>
        <v>0.0193586900903974</v>
      </c>
      <c r="E858" s="27" t="n">
        <f aca="false">Patel!G147</f>
        <v>0.0416348032967967</v>
      </c>
      <c r="F858" s="27" t="n">
        <f aca="false">Patel!H147</f>
        <v>0.0464258778178161</v>
      </c>
      <c r="G858" s="27" t="n">
        <f aca="false">Patel!I147</f>
        <v>0.062469176393227</v>
      </c>
      <c r="H858" s="27" t="n">
        <f aca="false">Patel!J147</f>
        <v>0.077720207253886</v>
      </c>
      <c r="I858" s="61" t="n">
        <f aca="false">Patel!K147</f>
        <v>0.0483238359603213</v>
      </c>
      <c r="J858" s="25" t="str">
        <f aca="false">IF(AND(ISNUMBER(I858),ISNUMBER(I$865)),IF(I858&gt;I$865,"Above",IF(I858&lt;I$865,"Below","At median")),"-")</f>
        <v>Below</v>
      </c>
      <c r="K858" s="25" t="str">
        <f aca="false">IF(J858="Above","Better",IF(J858="Below","Weaker",IF(J858="At median","In line","-")))</f>
        <v>Weaker</v>
      </c>
      <c r="L858" s="43" t="n">
        <f aca="false">IF(ISNUMBER(I858),RANK(I858,I$853:I$862,0),"-")</f>
        <v>7</v>
      </c>
    </row>
    <row r="859" customFormat="false" ht="15" hidden="false" customHeight="false" outlineLevel="0" collapsed="false">
      <c r="A859" s="16" t="s">
        <v>64</v>
      </c>
      <c r="B859" s="27" t="n">
        <f aca="false">Sical!D147</f>
        <v>-0.217693715680293</v>
      </c>
      <c r="C859" s="27" t="str">
        <f aca="false">Sical!E147</f>
        <v>N/M</v>
      </c>
      <c r="D859" s="27" t="str">
        <f aca="false">Sical!F147</f>
        <v>N/M</v>
      </c>
      <c r="E859" s="27" t="n">
        <f aca="false">Sical!G147</f>
        <v>-15.5818385650224</v>
      </c>
      <c r="F859" s="27" t="n">
        <f aca="false">Sical!H147</f>
        <v>-0.985027855153203</v>
      </c>
      <c r="G859" s="27" t="str">
        <f aca="false">Sical!I147</f>
        <v>N/M</v>
      </c>
      <c r="H859" s="27" t="n">
        <f aca="false">Sical!J147</f>
        <v>0.37535227359281</v>
      </c>
      <c r="I859" s="61" t="n">
        <f aca="false">Sical!K147</f>
        <v>-4.10230196556578</v>
      </c>
      <c r="J859" s="25" t="str">
        <f aca="false">IF(AND(ISNUMBER(I859),ISNUMBER(I$865)),IF(I859&gt;I$865,"Above",IF(I859&lt;I$865,"Below","At median")),"-")</f>
        <v>Below</v>
      </c>
      <c r="K859" s="25" t="str">
        <f aca="false">IF(J859="Above","Better",IF(J859="Below","Weaker",IF(J859="At median","In line","-")))</f>
        <v>Weaker</v>
      </c>
      <c r="L859" s="43" t="n">
        <f aca="false">IF(ISNUMBER(I859),RANK(I859,I$853:I$862,0),"-")</f>
        <v>10</v>
      </c>
    </row>
    <row r="860" customFormat="false" ht="15" hidden="false" customHeight="false" outlineLevel="0" collapsed="false">
      <c r="A860" s="16" t="s">
        <v>66</v>
      </c>
      <c r="B860" s="27" t="n">
        <f aca="false">TCI!D147</f>
        <v>0.139038373262753</v>
      </c>
      <c r="C860" s="27" t="n">
        <f aca="false">TCI!E147</f>
        <v>0.125783313812825</v>
      </c>
      <c r="D860" s="27" t="n">
        <f aca="false">TCI!F147</f>
        <v>0.202484828145538</v>
      </c>
      <c r="E860" s="27" t="n">
        <f aca="false">TCI!G147</f>
        <v>0.186474241827723</v>
      </c>
      <c r="F860" s="27" t="n">
        <f aca="false">TCI!H147</f>
        <v>0.175065624656905</v>
      </c>
      <c r="G860" s="27" t="n">
        <f aca="false">TCI!I147</f>
        <v>0.191381830838844</v>
      </c>
      <c r="H860" s="27" t="n">
        <f aca="false">TCI!J147</f>
        <v>0.177806616549558</v>
      </c>
      <c r="I860" s="61" t="n">
        <f aca="false">TCI!K147</f>
        <v>0.171147832727735</v>
      </c>
      <c r="J860" s="25" t="str">
        <f aca="false">IF(AND(ISNUMBER(I860),ISNUMBER(I$865)),IF(I860&gt;I$865,"Above",IF(I860&lt;I$865,"Below","At median")),"-")</f>
        <v>Above</v>
      </c>
      <c r="K860" s="25" t="str">
        <f aca="false">IF(J860="Above","Better",IF(J860="Below","Weaker",IF(J860="At median","In line","-")))</f>
        <v>Better</v>
      </c>
      <c r="L860" s="43" t="n">
        <f aca="false">IF(ISNUMBER(I860),RANK(I860,I$853:I$862,0),"-")</f>
        <v>2</v>
      </c>
    </row>
    <row r="861" customFormat="false" ht="15" hidden="false" customHeight="false" outlineLevel="0" collapsed="false">
      <c r="A861" s="16" t="s">
        <v>68</v>
      </c>
      <c r="B861" s="27" t="n">
        <f aca="false">Shreeji!D147</f>
        <v>0.0582178217821782</v>
      </c>
      <c r="C861" s="27" t="n">
        <f aca="false">Shreeji!E147</f>
        <v>-0.0451158940397351</v>
      </c>
      <c r="D861" s="27" t="n">
        <f aca="false">Shreeji!F147</f>
        <v>0.275529265255293</v>
      </c>
      <c r="E861" s="27" t="n">
        <f aca="false">Shreeji!G147</f>
        <v>0.237196765498652</v>
      </c>
      <c r="F861" s="27" t="n">
        <f aca="false">Shreeji!H147</f>
        <v>0.290974084003575</v>
      </c>
      <c r="G861" s="27" t="n">
        <f aca="false">Shreeji!I147</f>
        <v>0.0269461077844311</v>
      </c>
      <c r="H861" s="27" t="n">
        <f aca="false">Shreeji!J147</f>
        <v>0.0525702878056896</v>
      </c>
      <c r="I861" s="61" t="n">
        <f aca="false">Shreeji!K147</f>
        <v>0.128045491155726</v>
      </c>
      <c r="J861" s="25" t="str">
        <f aca="false">IF(AND(ISNUMBER(I861),ISNUMBER(I$865)),IF(I861&gt;I$865,"Above",IF(I861&lt;I$865,"Below","At median")),"-")</f>
        <v>Above</v>
      </c>
      <c r="K861" s="25" t="str">
        <f aca="false">IF(J861="Above","Better",IF(J861="Below","Weaker",IF(J861="At median","In line","-")))</f>
        <v>Better</v>
      </c>
      <c r="L861" s="43" t="n">
        <f aca="false">IF(ISNUMBER(I861),RANK(I861,I$853:I$862,0),"-")</f>
        <v>3</v>
      </c>
    </row>
    <row r="862" customFormat="false" ht="15" hidden="false" customHeight="false" outlineLevel="0" collapsed="false">
      <c r="A862" s="16" t="s">
        <v>279</v>
      </c>
      <c r="B862" s="27" t="n">
        <f aca="false">MahindraLog!D147</f>
        <v>0.101202607178922</v>
      </c>
      <c r="C862" s="27" t="n">
        <f aca="false">MahindraLog!E147</f>
        <v>0.0528113227475971</v>
      </c>
      <c r="D862" s="27" t="n">
        <f aca="false">MahindraLog!F147</f>
        <v>0.0321329234372713</v>
      </c>
      <c r="E862" s="27" t="n">
        <f aca="false">MahindraLog!G147</f>
        <v>0.0467890398276568</v>
      </c>
      <c r="F862" s="27" t="n">
        <f aca="false">MahindraLog!H147</f>
        <v>-0.111153978922574</v>
      </c>
      <c r="G862" s="27" t="n">
        <f aca="false">MahindraLog!I147</f>
        <v>-0.081871745683749</v>
      </c>
      <c r="H862" s="27" t="n">
        <f aca="false">MahindraLog!J147</f>
        <v>0.00194930114574644</v>
      </c>
      <c r="I862" s="61" t="n">
        <f aca="false">MahindraLog!K147</f>
        <v>0.00597992424726727</v>
      </c>
      <c r="J862" s="25" t="str">
        <f aca="false">IF(AND(ISNUMBER(I862),ISNUMBER(I$865)),IF(I862&gt;I$865,"Above",IF(I862&lt;I$865,"Below","At median")),"-")</f>
        <v>Below</v>
      </c>
      <c r="K862" s="25" t="str">
        <f aca="false">IF(J862="Above","Better",IF(J862="Below","Weaker",IF(J862="At median","In line","-")))</f>
        <v>Weaker</v>
      </c>
      <c r="L862" s="43" t="n">
        <f aca="false">IF(ISNUMBER(I862),RANK(I862,I$853:I$862,0),"-")</f>
        <v>8</v>
      </c>
    </row>
    <row r="863" customFormat="false" ht="15" hidden="false" customHeight="false" outlineLevel="0" collapsed="false">
      <c r="A863" s="46" t="s">
        <v>328</v>
      </c>
      <c r="B863" s="42" t="n">
        <f aca="false">Industry!D148</f>
        <v>0.044554061580078</v>
      </c>
      <c r="C863" s="42" t="n">
        <f aca="false">Industry!E148</f>
        <v>-0.0148867192022844</v>
      </c>
      <c r="D863" s="42" t="n">
        <f aca="false">Industry!F148</f>
        <v>0.152789686228304</v>
      </c>
      <c r="E863" s="42" t="n">
        <f aca="false">Industry!G148</f>
        <v>0.0964158260133205</v>
      </c>
      <c r="F863" s="42" t="n">
        <f aca="false">Industry!H148</f>
        <v>0.10836874136097</v>
      </c>
      <c r="G863" s="42" t="n">
        <f aca="false">Industry!I148</f>
        <v>0.114346738456731</v>
      </c>
      <c r="H863" s="42" t="n">
        <f aca="false">Industry!J148</f>
        <v>0.104490226559165</v>
      </c>
      <c r="I863" s="42" t="n">
        <f aca="false">Industry!K148</f>
        <v>0.0865826515708978</v>
      </c>
      <c r="J863" s="47"/>
      <c r="K863" s="47"/>
      <c r="L863" s="47"/>
    </row>
    <row r="864" customFormat="false" ht="15" hidden="false" customHeight="false" outlineLevel="0" collapsed="false">
      <c r="A864" s="52" t="s">
        <v>329</v>
      </c>
      <c r="B864" s="62" t="n">
        <f aca="false">IF(COUNT(B853:B862)=0,"N/M",AVERAGE(B853:B862))</f>
        <v>-0.0500873403450829</v>
      </c>
      <c r="C864" s="62" t="n">
        <f aca="false">IF(COUNT(C853:C862)=0,"N/M",AVERAGE(C853:C862))</f>
        <v>0.0279927577023231</v>
      </c>
      <c r="D864" s="62" t="n">
        <f aca="false">IF(COUNT(D853:D862)=0,"N/M",AVERAGE(D853:D862))</f>
        <v>0.214029031429497</v>
      </c>
      <c r="E864" s="62" t="n">
        <f aca="false">IF(COUNT(E853:E862)=0,"N/M",AVERAGE(E853:E862))</f>
        <v>-1.41886355915618</v>
      </c>
      <c r="F864" s="62" t="n">
        <f aca="false">IF(COUNT(F853:F862)=0,"N/M",AVERAGE(F853:F862))</f>
        <v>-0.0076478731473708</v>
      </c>
      <c r="G864" s="62" t="n">
        <f aca="false">IF(COUNT(G853:G862)=0,"N/M",AVERAGE(G853:G862))</f>
        <v>0.0924928056183925</v>
      </c>
      <c r="H864" s="62" t="n">
        <f aca="false">IF(COUNT(H853:H862)=0,"N/M",AVERAGE(H853:H862))</f>
        <v>0.116245188344266</v>
      </c>
      <c r="I864" s="62" t="n">
        <f aca="false">IF(COUNT(I853:I862)=0,"N/M",AVERAGE(I853:I862))</f>
        <v>-0.327140148385559</v>
      </c>
      <c r="J864" s="54"/>
      <c r="K864" s="54"/>
      <c r="L864" s="54"/>
    </row>
    <row r="865" customFormat="false" ht="15" hidden="false" customHeight="false" outlineLevel="0" collapsed="false">
      <c r="A865" s="28" t="s">
        <v>281</v>
      </c>
      <c r="B865" s="30" t="n">
        <f aca="false">IF(COUNT(B853:B862)=0,"N/M",MEDIAN(B853:B862))</f>
        <v>0.0491923263458427</v>
      </c>
      <c r="C865" s="30" t="n">
        <f aca="false">IF(COUNT(C853:C862)=0,"N/M",MEDIAN(C853:C862))</f>
        <v>0.0528113227475971</v>
      </c>
      <c r="D865" s="30" t="n">
        <f aca="false">IF(COUNT(D853:D862)=0,"N/M",MEDIAN(D853:D862))</f>
        <v>0.202484828145538</v>
      </c>
      <c r="E865" s="30" t="n">
        <f aca="false">IF(COUNT(E853:E862)=0,"N/M",MEDIAN(E853:E862))</f>
        <v>0.145520519408253</v>
      </c>
      <c r="F865" s="30" t="n">
        <f aca="false">IF(COUNT(F853:F862)=0,"N/M",MEDIAN(F853:F862))</f>
        <v>0.0829931536202132</v>
      </c>
      <c r="G865" s="30" t="n">
        <f aca="false">IF(COUNT(G853:G862)=0,"N/M",MEDIAN(G853:G862))</f>
        <v>0.104188843642026</v>
      </c>
      <c r="H865" s="30" t="n">
        <f aca="false">IF(COUNT(H853:H862)=0,"N/M",MEDIAN(H853:H862))</f>
        <v>0.0946839988408061</v>
      </c>
      <c r="I865" s="30" t="n">
        <f aca="false">IF(COUNT(I853:I862)=0,"N/M",MEDIAN(I853:I862))</f>
        <v>0.0861070349900666</v>
      </c>
      <c r="J865" s="54"/>
      <c r="K865" s="54"/>
      <c r="L865" s="54"/>
    </row>
    <row r="866" customFormat="false" ht="15" hidden="false" customHeight="false" outlineLevel="0" collapsed="false">
      <c r="A866" s="52" t="s">
        <v>330</v>
      </c>
      <c r="B866" s="62" t="n">
        <f aca="false">IF(COUNT(B853:B862)&lt;2,"N/M",STDEV(B853:B862))</f>
        <v>0.206682809739804</v>
      </c>
      <c r="C866" s="62" t="n">
        <f aca="false">IF(COUNT(C853:C862)&lt;2,"N/M",STDEV(C853:C862))</f>
        <v>0.138061541198548</v>
      </c>
      <c r="D866" s="62" t="n">
        <f aca="false">IF(COUNT(D853:D862)&lt;2,"N/M",STDEV(D853:D862))</f>
        <v>0.162428151932615</v>
      </c>
      <c r="E866" s="62" t="n">
        <f aca="false">IF(COUNT(E853:E862)&lt;2,"N/M",STDEV(E853:E862))</f>
        <v>4.97742782534369</v>
      </c>
      <c r="F866" s="62" t="n">
        <f aca="false">IF(COUNT(F853:F862)&lt;2,"N/M",STDEV(F853:F862))</f>
        <v>0.36156614870101</v>
      </c>
      <c r="G866" s="62" t="n">
        <f aca="false">IF(COUNT(G853:G862)&lt;2,"N/M",STDEV(G853:G862))</f>
        <v>0.088557663347377</v>
      </c>
      <c r="H866" s="62" t="n">
        <f aca="false">IF(COUNT(H853:H862)&lt;2,"N/M",STDEV(H853:H862))</f>
        <v>0.10634879110974</v>
      </c>
      <c r="I866" s="62" t="n">
        <f aca="false">IF(COUNT(I853:I862)&lt;2,"N/M",STDEV(I853:I862))</f>
        <v>1.32813843269702</v>
      </c>
      <c r="J866" s="54"/>
      <c r="K866" s="54"/>
      <c r="L866" s="54"/>
    </row>
    <row r="867" customFormat="false" ht="15" hidden="false" customHeight="false" outlineLevel="0" collapsed="false">
      <c r="A867" s="52" t="s">
        <v>269</v>
      </c>
      <c r="B867" s="62" t="n">
        <f aca="false">IF(COUNT(B853:B862)=0,"N/M",MIN(B853:B862))</f>
        <v>-0.496523754345307</v>
      </c>
      <c r="C867" s="62" t="n">
        <f aca="false">IF(COUNT(C853:C862)=0,"N/M",MIN(C853:C862))</f>
        <v>-0.295855169128156</v>
      </c>
      <c r="D867" s="62" t="n">
        <f aca="false">IF(COUNT(D853:D862)=0,"N/M",MIN(D853:D862))</f>
        <v>0.0193586900903974</v>
      </c>
      <c r="E867" s="62" t="n">
        <f aca="false">IF(COUNT(E853:E862)=0,"N/M",MIN(E853:E862))</f>
        <v>-15.5818385650224</v>
      </c>
      <c r="F867" s="62" t="n">
        <f aca="false">IF(COUNT(F853:F862)=0,"N/M",MIN(F853:F862))</f>
        <v>-0.985027855153203</v>
      </c>
      <c r="G867" s="62" t="n">
        <f aca="false">IF(COUNT(G853:G862)=0,"N/M",MIN(G853:G862))</f>
        <v>-0.081871745683749</v>
      </c>
      <c r="H867" s="62" t="n">
        <f aca="false">IF(COUNT(H853:H862)=0,"N/M",MIN(H853:H862))</f>
        <v>0.00194930114574644</v>
      </c>
      <c r="I867" s="62" t="n">
        <f aca="false">IF(COUNT(I853:I862)=0,"N/M",MIN(I853:I862))</f>
        <v>-4.10230196556578</v>
      </c>
      <c r="J867" s="54"/>
      <c r="K867" s="54"/>
      <c r="L867" s="54"/>
    </row>
    <row r="868" customFormat="false" ht="15" hidden="false" customHeight="false" outlineLevel="0" collapsed="false">
      <c r="A868" s="52" t="s">
        <v>270</v>
      </c>
      <c r="B868" s="62" t="n">
        <f aca="false">IF(COUNT(B853:B862)=0,"N/M",MAX(B853:B862))</f>
        <v>0.139038373262753</v>
      </c>
      <c r="C868" s="62" t="n">
        <f aca="false">IF(COUNT(C853:C862)=0,"N/M",MAX(C853:C862))</f>
        <v>0.171987972160281</v>
      </c>
      <c r="D868" s="62" t="n">
        <f aca="false">IF(COUNT(D853:D862)=0,"N/M",MAX(D853:D862))</f>
        <v>0.451833937928255</v>
      </c>
      <c r="E868" s="62" t="n">
        <f aca="false">IF(COUNT(E853:E862)=0,"N/M",MAX(E853:E862))</f>
        <v>0.314125606158229</v>
      </c>
      <c r="F868" s="62" t="n">
        <f aca="false">IF(COUNT(F853:F862)=0,"N/M",MAX(F853:F862))</f>
        <v>0.290974084003575</v>
      </c>
      <c r="G868" s="62" t="n">
        <f aca="false">IF(COUNT(G853:G862)=0,"N/M",MAX(G853:G862))</f>
        <v>0.19530007230658</v>
      </c>
      <c r="H868" s="62" t="n">
        <f aca="false">IF(COUNT(H853:H862)=0,"N/M",MAX(H853:H862))</f>
        <v>0.37535227359281</v>
      </c>
      <c r="I868" s="62" t="n">
        <f aca="false">IF(COUNT(I853:I862)=0,"N/M",MAX(I853:I862))</f>
        <v>0.194348739177286</v>
      </c>
      <c r="J868" s="54"/>
      <c r="K868" s="54"/>
      <c r="L868" s="54"/>
    </row>
    <row r="870" customFormat="false" ht="16.5" hidden="false" customHeight="true" outlineLevel="0" collapsed="false">
      <c r="A870" s="49" t="s">
        <v>378</v>
      </c>
      <c r="B870" s="49"/>
      <c r="C870" s="49"/>
      <c r="D870" s="49"/>
      <c r="E870" s="49"/>
      <c r="F870" s="49"/>
      <c r="G870" s="49"/>
      <c r="H870" s="49"/>
      <c r="I870" s="49"/>
      <c r="J870" s="49"/>
      <c r="K870" s="49"/>
      <c r="L870" s="49"/>
    </row>
    <row r="871" customFormat="false" ht="15" hidden="false" customHeight="false" outlineLevel="0" collapsed="false">
      <c r="A871" s="16" t="s">
        <v>52</v>
      </c>
      <c r="B871" s="27" t="n">
        <f aca="false">Tiger!D148</f>
        <v>-0.23415559772296</v>
      </c>
      <c r="C871" s="27" t="n">
        <f aca="false">Tiger!E148</f>
        <v>-0.295855169128156</v>
      </c>
      <c r="D871" s="27" t="n">
        <f aca="false">Tiger!F148</f>
        <v>0.451833937928255</v>
      </c>
      <c r="E871" s="27" t="n">
        <f aca="false">Tiger!G148</f>
        <v>0.237734302980641</v>
      </c>
      <c r="F871" s="27" t="n">
        <f aca="false">Tiger!H148</f>
        <v>0.116935847694668</v>
      </c>
      <c r="G871" s="27" t="n">
        <f aca="false">Tiger!I148</f>
        <v>0.19530007230658</v>
      </c>
      <c r="H871" s="27" t="n">
        <f aca="false">Tiger!J148</f>
        <v>0.134516814601825</v>
      </c>
      <c r="I871" s="61" t="n">
        <f aca="false">Tiger!K148</f>
        <v>0.0866157440944075</v>
      </c>
      <c r="J871" s="25" t="str">
        <f aca="false">IF(AND(ISNUMBER(I871),ISNUMBER(I$883)),IF(I871&gt;I$883,"Above",IF(I871&lt;I$883,"Below","At median")),"-")</f>
        <v>Above</v>
      </c>
      <c r="K871" s="25" t="str">
        <f aca="false">IF(J871="Above","Better",IF(J871="Below","Weaker",IF(J871="At median","In line","-")))</f>
        <v>Better</v>
      </c>
      <c r="L871" s="43" t="n">
        <f aca="false">IF(ISNUMBER(I871),RANK(I871,I$871:I$880,0),"-")</f>
        <v>5</v>
      </c>
    </row>
    <row r="872" customFormat="false" ht="15" hidden="false" customHeight="false" outlineLevel="0" collapsed="false">
      <c r="A872" s="16" t="s">
        <v>54</v>
      </c>
      <c r="B872" s="27" t="n">
        <f aca="false">Allcargo!D148</f>
        <v>0.103928787808175</v>
      </c>
      <c r="C872" s="27" t="n">
        <f aca="false">Allcargo!E148</f>
        <v>0.0757157746306174</v>
      </c>
      <c r="D872" s="27" t="n">
        <f aca="false">Allcargo!F148</f>
        <v>0.292786296240069</v>
      </c>
      <c r="E872" s="27" t="n">
        <f aca="false">Allcargo!G148</f>
        <v>0.223717406599342</v>
      </c>
      <c r="F872" s="27" t="n">
        <f aca="false">Allcargo!H148</f>
        <v>0.0593663622339518</v>
      </c>
      <c r="G872" s="27" t="n">
        <f aca="false">Allcargo!I148</f>
        <v>0.115658362989324</v>
      </c>
      <c r="H872" s="27" t="n">
        <f aca="false">Allcargo!J148</f>
        <v>0.0139372822299652</v>
      </c>
      <c r="I872" s="61" t="n">
        <f aca="false">Allcargo!K148</f>
        <v>0.126444324675921</v>
      </c>
      <c r="J872" s="25" t="str">
        <f aca="false">IF(AND(ISNUMBER(I872),ISNUMBER(I$883)),IF(I872&gt;I$883,"Above",IF(I872&lt;I$883,"Below","At median")),"-")</f>
        <v>Above</v>
      </c>
      <c r="K872" s="25" t="str">
        <f aca="false">IF(J872="Above","Better",IF(J872="Below","Weaker",IF(J872="At median","In line","-")))</f>
        <v>Better</v>
      </c>
      <c r="L872" s="43" t="n">
        <f aca="false">IF(ISNUMBER(I872),RANK(I872,I$871:I$880,0),"-")</f>
        <v>4</v>
      </c>
    </row>
    <row r="873" customFormat="false" ht="15" hidden="false" customHeight="false" outlineLevel="0" collapsed="false">
      <c r="A873" s="16" t="s">
        <v>277</v>
      </c>
      <c r="B873" s="27" t="n">
        <f aca="false">BlueDart!D148</f>
        <v>-0.0852841105881874</v>
      </c>
      <c r="C873" s="27" t="n">
        <f aca="false">BlueDart!E148</f>
        <v>0.171987972160281</v>
      </c>
      <c r="D873" s="27" t="n">
        <f aca="false">BlueDart!F148</f>
        <v>0.438319246780353</v>
      </c>
      <c r="E873" s="27" t="n">
        <f aca="false">BlueDart!G148</f>
        <v>0.314125606158229</v>
      </c>
      <c r="F873" s="27" t="n">
        <f aca="false">BlueDart!H148</f>
        <v>0.220154029562559</v>
      </c>
      <c r="G873" s="27" t="n">
        <f aca="false">BlueDart!I148</f>
        <v>0.161907327586207</v>
      </c>
      <c r="H873" s="27" t="n">
        <f aca="false">BlueDart!J148</f>
        <v>0.139231102581564</v>
      </c>
      <c r="I873" s="61" t="n">
        <f aca="false">BlueDart!K148</f>
        <v>0.194348739177286</v>
      </c>
      <c r="J873" s="25" t="str">
        <f aca="false">IF(AND(ISNUMBER(I873),ISNUMBER(I$883)),IF(I873&gt;I$883,"Above",IF(I873&lt;I$883,"Below","At median")),"-")</f>
        <v>Above</v>
      </c>
      <c r="K873" s="25" t="str">
        <f aca="false">IF(J873="Above","Better",IF(J873="Below","Weaker",IF(J873="At median","In line","-")))</f>
        <v>Better</v>
      </c>
      <c r="L873" s="43" t="n">
        <f aca="false">IF(ISNUMBER(I873),RANK(I873,I$871:I$880,0),"-")</f>
        <v>1</v>
      </c>
    </row>
    <row r="874" customFormat="false" ht="15" hidden="false" customHeight="false" outlineLevel="0" collapsed="false">
      <c r="A874" s="16" t="s">
        <v>58</v>
      </c>
      <c r="B874" s="27" t="n">
        <f aca="false">CONCOR!D148</f>
        <v>0.0401668309095072</v>
      </c>
      <c r="C874" s="27" t="n">
        <f aca="false">CONCOR!E148</f>
        <v>0.0495972420454568</v>
      </c>
      <c r="D874" s="27" t="n">
        <f aca="false">CONCOR!F148</f>
        <v>0.0981000506715138</v>
      </c>
      <c r="E874" s="27" t="n">
        <f aca="false">CONCOR!G148</f>
        <v>0.104566796988784</v>
      </c>
      <c r="F874" s="27" t="n">
        <f aca="false">CONCOR!H148</f>
        <v>0.106619945006475</v>
      </c>
      <c r="G874" s="27" t="n">
        <f aca="false">CONCOR!I148</f>
        <v>0.104188843642026</v>
      </c>
      <c r="H874" s="27" t="n">
        <f aca="false">CONCOR!J148</f>
        <v>0.0959485719363176</v>
      </c>
      <c r="I874" s="61" t="n">
        <f aca="false">CONCOR!K148</f>
        <v>0.0855983258857257</v>
      </c>
      <c r="J874" s="25" t="str">
        <f aca="false">IF(AND(ISNUMBER(I874),ISNUMBER(I$883)),IF(I874&gt;I$883,"Above",IF(I874&lt;I$883,"Below","At median")),"-")</f>
        <v>Below</v>
      </c>
      <c r="K874" s="25" t="str">
        <f aca="false">IF(J874="Above","Better",IF(J874="Below","Weaker",IF(J874="At median","In line","-")))</f>
        <v>Weaker</v>
      </c>
      <c r="L874" s="43" t="n">
        <f aca="false">IF(ISNUMBER(I874),RANK(I874,I$871:I$880,0),"-")</f>
        <v>6</v>
      </c>
    </row>
    <row r="875" customFormat="false" ht="15" hidden="false" customHeight="false" outlineLevel="0" collapsed="false">
      <c r="A875" s="16" t="s">
        <v>278</v>
      </c>
      <c r="B875" s="27" t="n">
        <f aca="false">JetFreight!D148</f>
        <v>-0.496523754345307</v>
      </c>
      <c r="C875" s="27" t="n">
        <f aca="false">JetFreight!E148</f>
        <v>0.11658151416628</v>
      </c>
      <c r="D875" s="27" t="n">
        <f aca="false">JetFreight!F148</f>
        <v>0.115716044316783</v>
      </c>
      <c r="E875" s="27" t="n">
        <f aca="false">JetFreight!G148</f>
        <v>0.00096401028277635</v>
      </c>
      <c r="F875" s="27" t="n">
        <f aca="false">JetFreight!H148</f>
        <v>0.00416133162612036</v>
      </c>
      <c r="G875" s="27" t="n">
        <f aca="false">JetFreight!I148</f>
        <v>0.0564552747086424</v>
      </c>
      <c r="H875" s="27" t="n">
        <f aca="false">JetFreight!J148</f>
        <v>0.0934194257452947</v>
      </c>
      <c r="I875" s="61" t="n">
        <f aca="false">JetFreight!K148</f>
        <v>-0.0156037362142016</v>
      </c>
      <c r="J875" s="25" t="str">
        <f aca="false">IF(AND(ISNUMBER(I875),ISNUMBER(I$883)),IF(I875&gt;I$883,"Above",IF(I875&lt;I$883,"Below","At median")),"-")</f>
        <v>Below</v>
      </c>
      <c r="K875" s="25" t="str">
        <f aca="false">IF(J875="Above","Better",IF(J875="Below","Weaker",IF(J875="At median","In line","-")))</f>
        <v>Weaker</v>
      </c>
      <c r="L875" s="43" t="n">
        <f aca="false">IF(ISNUMBER(I875),RANK(I875,I$871:I$880,0),"-")</f>
        <v>9</v>
      </c>
    </row>
    <row r="876" customFormat="false" ht="15" hidden="false" customHeight="false" outlineLevel="0" collapsed="false">
      <c r="A876" s="16" t="s">
        <v>62</v>
      </c>
      <c r="B876" s="27" t="n">
        <f aca="false">Patel!D148</f>
        <v>0.0902293539443838</v>
      </c>
      <c r="C876" s="27" t="n">
        <f aca="false">Patel!E148</f>
        <v>0.000428742925741725</v>
      </c>
      <c r="D876" s="27" t="n">
        <f aca="false">Patel!F148</f>
        <v>0.0193586900903974</v>
      </c>
      <c r="E876" s="27" t="n">
        <f aca="false">Patel!G148</f>
        <v>0.0416348032967967</v>
      </c>
      <c r="F876" s="27" t="n">
        <f aca="false">Patel!H148</f>
        <v>0.0464258778178161</v>
      </c>
      <c r="G876" s="27" t="n">
        <f aca="false">Patel!I148</f>
        <v>0.062469176393227</v>
      </c>
      <c r="H876" s="27" t="n">
        <f aca="false">Patel!J148</f>
        <v>0.077720207253886</v>
      </c>
      <c r="I876" s="61" t="n">
        <f aca="false">Patel!K148</f>
        <v>0.0483238359603213</v>
      </c>
      <c r="J876" s="25" t="str">
        <f aca="false">IF(AND(ISNUMBER(I876),ISNUMBER(I$883)),IF(I876&gt;I$883,"Above",IF(I876&lt;I$883,"Below","At median")),"-")</f>
        <v>Below</v>
      </c>
      <c r="K876" s="25" t="str">
        <f aca="false">IF(J876="Above","Better",IF(J876="Below","Weaker",IF(J876="At median","In line","-")))</f>
        <v>Weaker</v>
      </c>
      <c r="L876" s="43" t="n">
        <f aca="false">IF(ISNUMBER(I876),RANK(I876,I$871:I$880,0),"-")</f>
        <v>7</v>
      </c>
    </row>
    <row r="877" customFormat="false" ht="15" hidden="false" customHeight="false" outlineLevel="0" collapsed="false">
      <c r="A877" s="16" t="s">
        <v>64</v>
      </c>
      <c r="B877" s="27" t="n">
        <f aca="false">Sical!D148</f>
        <v>-0.217693715680293</v>
      </c>
      <c r="C877" s="27" t="str">
        <f aca="false">Sical!E148</f>
        <v>N/M</v>
      </c>
      <c r="D877" s="27" t="str">
        <f aca="false">Sical!F148</f>
        <v>N/M</v>
      </c>
      <c r="E877" s="27" t="n">
        <f aca="false">Sical!G148</f>
        <v>-15.5818385650224</v>
      </c>
      <c r="F877" s="27" t="n">
        <f aca="false">Sical!H148</f>
        <v>-0.985027855153203</v>
      </c>
      <c r="G877" s="27" t="str">
        <f aca="false">Sical!I148</f>
        <v>N/M</v>
      </c>
      <c r="H877" s="27" t="n">
        <f aca="false">Sical!J148</f>
        <v>0.37535227359281</v>
      </c>
      <c r="I877" s="61" t="n">
        <f aca="false">Sical!K148</f>
        <v>-4.10230196556578</v>
      </c>
      <c r="J877" s="25" t="str">
        <f aca="false">IF(AND(ISNUMBER(I877),ISNUMBER(I$883)),IF(I877&gt;I$883,"Above",IF(I877&lt;I$883,"Below","At median")),"-")</f>
        <v>Below</v>
      </c>
      <c r="K877" s="25" t="str">
        <f aca="false">IF(J877="Above","Better",IF(J877="Below","Weaker",IF(J877="At median","In line","-")))</f>
        <v>Weaker</v>
      </c>
      <c r="L877" s="43" t="n">
        <f aca="false">IF(ISNUMBER(I877),RANK(I877,I$871:I$880,0),"-")</f>
        <v>10</v>
      </c>
    </row>
    <row r="878" customFormat="false" ht="15" hidden="false" customHeight="false" outlineLevel="0" collapsed="false">
      <c r="A878" s="16" t="s">
        <v>66</v>
      </c>
      <c r="B878" s="27" t="n">
        <f aca="false">TCI!D148</f>
        <v>0.139038373262753</v>
      </c>
      <c r="C878" s="27" t="n">
        <f aca="false">TCI!E148</f>
        <v>0.125783313812825</v>
      </c>
      <c r="D878" s="27" t="n">
        <f aca="false">TCI!F148</f>
        <v>0.202484828145538</v>
      </c>
      <c r="E878" s="27" t="n">
        <f aca="false">TCI!G148</f>
        <v>0.186474241827723</v>
      </c>
      <c r="F878" s="27" t="n">
        <f aca="false">TCI!H148</f>
        <v>0.175065624656905</v>
      </c>
      <c r="G878" s="27" t="n">
        <f aca="false">TCI!I148</f>
        <v>0.191381830838844</v>
      </c>
      <c r="H878" s="27" t="n">
        <f aca="false">TCI!J148</f>
        <v>0.177806616549558</v>
      </c>
      <c r="I878" s="61" t="n">
        <f aca="false">TCI!K148</f>
        <v>0.171147832727735</v>
      </c>
      <c r="J878" s="25" t="str">
        <f aca="false">IF(AND(ISNUMBER(I878),ISNUMBER(I$883)),IF(I878&gt;I$883,"Above",IF(I878&lt;I$883,"Below","At median")),"-")</f>
        <v>Above</v>
      </c>
      <c r="K878" s="25" t="str">
        <f aca="false">IF(J878="Above","Better",IF(J878="Below","Weaker",IF(J878="At median","In line","-")))</f>
        <v>Better</v>
      </c>
      <c r="L878" s="43" t="n">
        <f aca="false">IF(ISNUMBER(I878),RANK(I878,I$871:I$880,0),"-")</f>
        <v>2</v>
      </c>
    </row>
    <row r="879" customFormat="false" ht="15" hidden="false" customHeight="false" outlineLevel="0" collapsed="false">
      <c r="A879" s="16" t="s">
        <v>68</v>
      </c>
      <c r="B879" s="27" t="n">
        <f aca="false">Shreeji!D148</f>
        <v>0.0582178217821782</v>
      </c>
      <c r="C879" s="27" t="n">
        <f aca="false">Shreeji!E148</f>
        <v>-0.0451158940397351</v>
      </c>
      <c r="D879" s="27" t="n">
        <f aca="false">Shreeji!F148</f>
        <v>0.275529265255293</v>
      </c>
      <c r="E879" s="27" t="n">
        <f aca="false">Shreeji!G148</f>
        <v>0.237196765498652</v>
      </c>
      <c r="F879" s="27" t="n">
        <f aca="false">Shreeji!H148</f>
        <v>0.290974084003575</v>
      </c>
      <c r="G879" s="27" t="n">
        <f aca="false">Shreeji!I148</f>
        <v>0.0269461077844311</v>
      </c>
      <c r="H879" s="27" t="n">
        <f aca="false">Shreeji!J148</f>
        <v>0.0525702878056896</v>
      </c>
      <c r="I879" s="61" t="n">
        <f aca="false">Shreeji!K148</f>
        <v>0.128045491155726</v>
      </c>
      <c r="J879" s="25" t="str">
        <f aca="false">IF(AND(ISNUMBER(I879),ISNUMBER(I$883)),IF(I879&gt;I$883,"Above",IF(I879&lt;I$883,"Below","At median")),"-")</f>
        <v>Above</v>
      </c>
      <c r="K879" s="25" t="str">
        <f aca="false">IF(J879="Above","Better",IF(J879="Below","Weaker",IF(J879="At median","In line","-")))</f>
        <v>Better</v>
      </c>
      <c r="L879" s="43" t="n">
        <f aca="false">IF(ISNUMBER(I879),RANK(I879,I$871:I$880,0),"-")</f>
        <v>3</v>
      </c>
    </row>
    <row r="880" customFormat="false" ht="15" hidden="false" customHeight="false" outlineLevel="0" collapsed="false">
      <c r="A880" s="16" t="s">
        <v>279</v>
      </c>
      <c r="B880" s="27" t="n">
        <f aca="false">MahindraLog!D148</f>
        <v>0.101202607178922</v>
      </c>
      <c r="C880" s="27" t="n">
        <f aca="false">MahindraLog!E148</f>
        <v>0.0528113227475971</v>
      </c>
      <c r="D880" s="27" t="n">
        <f aca="false">MahindraLog!F148</f>
        <v>0.0321329234372713</v>
      </c>
      <c r="E880" s="27" t="n">
        <f aca="false">MahindraLog!G148</f>
        <v>0.0467890398276568</v>
      </c>
      <c r="F880" s="27" t="n">
        <f aca="false">MahindraLog!H148</f>
        <v>-0.111153978922574</v>
      </c>
      <c r="G880" s="27" t="n">
        <f aca="false">MahindraLog!I148</f>
        <v>-0.081871745683749</v>
      </c>
      <c r="H880" s="27" t="n">
        <f aca="false">MahindraLog!J148</f>
        <v>0.00194930114574644</v>
      </c>
      <c r="I880" s="61" t="n">
        <f aca="false">MahindraLog!K148</f>
        <v>0.00597992424726727</v>
      </c>
      <c r="J880" s="25" t="str">
        <f aca="false">IF(AND(ISNUMBER(I880),ISNUMBER(I$883)),IF(I880&gt;I$883,"Above",IF(I880&lt;I$883,"Below","At median")),"-")</f>
        <v>Below</v>
      </c>
      <c r="K880" s="25" t="str">
        <f aca="false">IF(J880="Above","Better",IF(J880="Below","Weaker",IF(J880="At median","In line","-")))</f>
        <v>Weaker</v>
      </c>
      <c r="L880" s="43" t="n">
        <f aca="false">IF(ISNUMBER(I880),RANK(I880,I$871:I$880,0),"-")</f>
        <v>8</v>
      </c>
    </row>
    <row r="881" customFormat="false" ht="15" hidden="false" customHeight="false" outlineLevel="0" collapsed="false">
      <c r="A881" s="46" t="s">
        <v>328</v>
      </c>
      <c r="B881" s="42" t="n">
        <f aca="false">Industry!D149</f>
        <v>0.044554061580078</v>
      </c>
      <c r="C881" s="42" t="n">
        <f aca="false">Industry!E149</f>
        <v>-0.0148867192022844</v>
      </c>
      <c r="D881" s="42" t="n">
        <f aca="false">Industry!F149</f>
        <v>0.152789686228304</v>
      </c>
      <c r="E881" s="42" t="n">
        <f aca="false">Industry!G149</f>
        <v>0.0964158260133205</v>
      </c>
      <c r="F881" s="42" t="n">
        <f aca="false">Industry!H149</f>
        <v>0.10836874136097</v>
      </c>
      <c r="G881" s="42" t="n">
        <f aca="false">Industry!I149</f>
        <v>0.114346738456731</v>
      </c>
      <c r="H881" s="42" t="n">
        <f aca="false">Industry!J149</f>
        <v>0.104490226559165</v>
      </c>
      <c r="I881" s="42" t="n">
        <f aca="false">Industry!K149</f>
        <v>0.0865826515708978</v>
      </c>
      <c r="J881" s="47"/>
      <c r="K881" s="47"/>
      <c r="L881" s="47"/>
    </row>
    <row r="882" customFormat="false" ht="15" hidden="false" customHeight="false" outlineLevel="0" collapsed="false">
      <c r="A882" s="52" t="s">
        <v>329</v>
      </c>
      <c r="B882" s="62" t="n">
        <f aca="false">IF(COUNT(B871:B880)=0,"N/M",AVERAGE(B871:B880))</f>
        <v>-0.0500873403450829</v>
      </c>
      <c r="C882" s="62" t="n">
        <f aca="false">IF(COUNT(C871:C880)=0,"N/M",AVERAGE(C871:C880))</f>
        <v>0.0279927577023231</v>
      </c>
      <c r="D882" s="62" t="n">
        <f aca="false">IF(COUNT(D871:D880)=0,"N/M",AVERAGE(D871:D880))</f>
        <v>0.214029031429497</v>
      </c>
      <c r="E882" s="62" t="n">
        <f aca="false">IF(COUNT(E871:E880)=0,"N/M",AVERAGE(E871:E880))</f>
        <v>-1.41886355915618</v>
      </c>
      <c r="F882" s="62" t="n">
        <f aca="false">IF(COUNT(F871:F880)=0,"N/M",AVERAGE(F871:F880))</f>
        <v>-0.0076478731473708</v>
      </c>
      <c r="G882" s="62" t="n">
        <f aca="false">IF(COUNT(G871:G880)=0,"N/M",AVERAGE(G871:G880))</f>
        <v>0.0924928056183925</v>
      </c>
      <c r="H882" s="62" t="n">
        <f aca="false">IF(COUNT(H871:H880)=0,"N/M",AVERAGE(H871:H880))</f>
        <v>0.116245188344266</v>
      </c>
      <c r="I882" s="62" t="n">
        <f aca="false">IF(COUNT(I871:I880)=0,"N/M",AVERAGE(I871:I880))</f>
        <v>-0.327140148385559</v>
      </c>
      <c r="J882" s="54"/>
      <c r="K882" s="54"/>
      <c r="L882" s="54"/>
    </row>
    <row r="883" customFormat="false" ht="15" hidden="false" customHeight="false" outlineLevel="0" collapsed="false">
      <c r="A883" s="28" t="s">
        <v>281</v>
      </c>
      <c r="B883" s="30" t="n">
        <f aca="false">IF(COUNT(B871:B880)=0,"N/M",MEDIAN(B871:B880))</f>
        <v>0.0491923263458427</v>
      </c>
      <c r="C883" s="30" t="n">
        <f aca="false">IF(COUNT(C871:C880)=0,"N/M",MEDIAN(C871:C880))</f>
        <v>0.0528113227475971</v>
      </c>
      <c r="D883" s="30" t="n">
        <f aca="false">IF(COUNT(D871:D880)=0,"N/M",MEDIAN(D871:D880))</f>
        <v>0.202484828145538</v>
      </c>
      <c r="E883" s="30" t="n">
        <f aca="false">IF(COUNT(E871:E880)=0,"N/M",MEDIAN(E871:E880))</f>
        <v>0.145520519408253</v>
      </c>
      <c r="F883" s="30" t="n">
        <f aca="false">IF(COUNT(F871:F880)=0,"N/M",MEDIAN(F871:F880))</f>
        <v>0.0829931536202132</v>
      </c>
      <c r="G883" s="30" t="n">
        <f aca="false">IF(COUNT(G871:G880)=0,"N/M",MEDIAN(G871:G880))</f>
        <v>0.104188843642026</v>
      </c>
      <c r="H883" s="30" t="n">
        <f aca="false">IF(COUNT(H871:H880)=0,"N/M",MEDIAN(H871:H880))</f>
        <v>0.0946839988408061</v>
      </c>
      <c r="I883" s="30" t="n">
        <f aca="false">IF(COUNT(I871:I880)=0,"N/M",MEDIAN(I871:I880))</f>
        <v>0.0861070349900666</v>
      </c>
      <c r="J883" s="54"/>
      <c r="K883" s="54"/>
      <c r="L883" s="54"/>
    </row>
    <row r="884" customFormat="false" ht="15" hidden="false" customHeight="false" outlineLevel="0" collapsed="false">
      <c r="A884" s="52" t="s">
        <v>330</v>
      </c>
      <c r="B884" s="62" t="n">
        <f aca="false">IF(COUNT(B871:B880)&lt;2,"N/M",STDEV(B871:B880))</f>
        <v>0.206682809739804</v>
      </c>
      <c r="C884" s="62" t="n">
        <f aca="false">IF(COUNT(C871:C880)&lt;2,"N/M",STDEV(C871:C880))</f>
        <v>0.138061541198548</v>
      </c>
      <c r="D884" s="62" t="n">
        <f aca="false">IF(COUNT(D871:D880)&lt;2,"N/M",STDEV(D871:D880))</f>
        <v>0.162428151932615</v>
      </c>
      <c r="E884" s="62" t="n">
        <f aca="false">IF(COUNT(E871:E880)&lt;2,"N/M",STDEV(E871:E880))</f>
        <v>4.97742782534369</v>
      </c>
      <c r="F884" s="62" t="n">
        <f aca="false">IF(COUNT(F871:F880)&lt;2,"N/M",STDEV(F871:F880))</f>
        <v>0.36156614870101</v>
      </c>
      <c r="G884" s="62" t="n">
        <f aca="false">IF(COUNT(G871:G880)&lt;2,"N/M",STDEV(G871:G880))</f>
        <v>0.088557663347377</v>
      </c>
      <c r="H884" s="62" t="n">
        <f aca="false">IF(COUNT(H871:H880)&lt;2,"N/M",STDEV(H871:H880))</f>
        <v>0.10634879110974</v>
      </c>
      <c r="I884" s="62" t="n">
        <f aca="false">IF(COUNT(I871:I880)&lt;2,"N/M",STDEV(I871:I880))</f>
        <v>1.32813843269702</v>
      </c>
      <c r="J884" s="54"/>
      <c r="K884" s="54"/>
      <c r="L884" s="54"/>
    </row>
    <row r="885" customFormat="false" ht="15" hidden="false" customHeight="false" outlineLevel="0" collapsed="false">
      <c r="A885" s="52" t="s">
        <v>269</v>
      </c>
      <c r="B885" s="62" t="n">
        <f aca="false">IF(COUNT(B871:B880)=0,"N/M",MIN(B871:B880))</f>
        <v>-0.496523754345307</v>
      </c>
      <c r="C885" s="62" t="n">
        <f aca="false">IF(COUNT(C871:C880)=0,"N/M",MIN(C871:C880))</f>
        <v>-0.295855169128156</v>
      </c>
      <c r="D885" s="62" t="n">
        <f aca="false">IF(COUNT(D871:D880)=0,"N/M",MIN(D871:D880))</f>
        <v>0.0193586900903974</v>
      </c>
      <c r="E885" s="62" t="n">
        <f aca="false">IF(COUNT(E871:E880)=0,"N/M",MIN(E871:E880))</f>
        <v>-15.5818385650224</v>
      </c>
      <c r="F885" s="62" t="n">
        <f aca="false">IF(COUNT(F871:F880)=0,"N/M",MIN(F871:F880))</f>
        <v>-0.985027855153203</v>
      </c>
      <c r="G885" s="62" t="n">
        <f aca="false">IF(COUNT(G871:G880)=0,"N/M",MIN(G871:G880))</f>
        <v>-0.081871745683749</v>
      </c>
      <c r="H885" s="62" t="n">
        <f aca="false">IF(COUNT(H871:H880)=0,"N/M",MIN(H871:H880))</f>
        <v>0.00194930114574644</v>
      </c>
      <c r="I885" s="62" t="n">
        <f aca="false">IF(COUNT(I871:I880)=0,"N/M",MIN(I871:I880))</f>
        <v>-4.10230196556578</v>
      </c>
      <c r="J885" s="54"/>
      <c r="K885" s="54"/>
      <c r="L885" s="54"/>
    </row>
    <row r="886" customFormat="false" ht="15" hidden="false" customHeight="false" outlineLevel="0" collapsed="false">
      <c r="A886" s="52" t="s">
        <v>270</v>
      </c>
      <c r="B886" s="62" t="n">
        <f aca="false">IF(COUNT(B871:B880)=0,"N/M",MAX(B871:B880))</f>
        <v>0.139038373262753</v>
      </c>
      <c r="C886" s="62" t="n">
        <f aca="false">IF(COUNT(C871:C880)=0,"N/M",MAX(C871:C880))</f>
        <v>0.171987972160281</v>
      </c>
      <c r="D886" s="62" t="n">
        <f aca="false">IF(COUNT(D871:D880)=0,"N/M",MAX(D871:D880))</f>
        <v>0.451833937928255</v>
      </c>
      <c r="E886" s="62" t="n">
        <f aca="false">IF(COUNT(E871:E880)=0,"N/M",MAX(E871:E880))</f>
        <v>0.314125606158229</v>
      </c>
      <c r="F886" s="62" t="n">
        <f aca="false">IF(COUNT(F871:F880)=0,"N/M",MAX(F871:F880))</f>
        <v>0.290974084003575</v>
      </c>
      <c r="G886" s="62" t="n">
        <f aca="false">IF(COUNT(G871:G880)=0,"N/M",MAX(G871:G880))</f>
        <v>0.19530007230658</v>
      </c>
      <c r="H886" s="62" t="n">
        <f aca="false">IF(COUNT(H871:H880)=0,"N/M",MAX(H871:H880))</f>
        <v>0.37535227359281</v>
      </c>
      <c r="I886" s="62" t="n">
        <f aca="false">IF(COUNT(I871:I880)=0,"N/M",MAX(I871:I880))</f>
        <v>0.194348739177286</v>
      </c>
      <c r="J886" s="54"/>
      <c r="K886" s="54"/>
      <c r="L886" s="54"/>
    </row>
    <row r="888" customFormat="false" ht="16.5" hidden="false" customHeight="true" outlineLevel="0" collapsed="false">
      <c r="A888" s="49" t="s">
        <v>379</v>
      </c>
      <c r="B888" s="49"/>
      <c r="C888" s="49"/>
      <c r="D888" s="49"/>
      <c r="E888" s="49"/>
      <c r="F888" s="49"/>
      <c r="G888" s="49"/>
      <c r="H888" s="49"/>
      <c r="I888" s="49"/>
      <c r="J888" s="49"/>
      <c r="K888" s="49"/>
      <c r="L888" s="49"/>
    </row>
    <row r="889" customFormat="false" ht="15" hidden="false" customHeight="false" outlineLevel="0" collapsed="false">
      <c r="A889" s="16" t="s">
        <v>52</v>
      </c>
      <c r="B889" s="63" t="n">
        <f aca="false">Tiger!D150</f>
        <v>-1.1674550614948</v>
      </c>
      <c r="C889" s="63" t="n">
        <f aca="false">Tiger!E150</f>
        <v>-1.17502365184484</v>
      </c>
      <c r="D889" s="63" t="n">
        <f aca="false">Tiger!F150</f>
        <v>3.18164616840114</v>
      </c>
      <c r="E889" s="63" t="n">
        <f aca="false">Tiger!G150</f>
        <v>2.19583727530747</v>
      </c>
      <c r="F889" s="63" t="n">
        <f aca="false">Tiger!H150</f>
        <v>1.22611163670766</v>
      </c>
      <c r="G889" s="63" t="n">
        <f aca="false">Tiger!I150</f>
        <v>2.55534531693472</v>
      </c>
      <c r="H889" s="63" t="n">
        <f aca="false">Tiger!J150</f>
        <v>2.03595080416272</v>
      </c>
      <c r="I889" s="64" t="n">
        <f aca="false">Tiger!K150</f>
        <v>1.26463035545344</v>
      </c>
      <c r="J889" s="25" t="str">
        <f aca="false">IF(AND(ISNUMBER(I889),ISNUMBER(I$901)),IF(I889&gt;I$901,"Above",IF(I889&lt;I$901,"Below","At median")),"-")</f>
        <v>Above</v>
      </c>
      <c r="K889" s="25" t="s">
        <v>327</v>
      </c>
      <c r="L889" s="25" t="s">
        <v>327</v>
      </c>
    </row>
    <row r="890" customFormat="false" ht="15" hidden="false" customHeight="false" outlineLevel="0" collapsed="false">
      <c r="A890" s="16" t="s">
        <v>54</v>
      </c>
      <c r="B890" s="63" t="n">
        <f aca="false">Allcargo!D150</f>
        <v>2.26902726902727</v>
      </c>
      <c r="C890" s="63" t="n">
        <f aca="false">Allcargo!E150</f>
        <v>1.75925925925926</v>
      </c>
      <c r="D890" s="63" t="n">
        <f aca="false">Allcargo!F150</f>
        <v>9.41921041921042</v>
      </c>
      <c r="E890" s="63" t="n">
        <f aca="false">Allcargo!G150</f>
        <v>6.40608465608466</v>
      </c>
      <c r="F890" s="63" t="n">
        <f aca="false">Allcargo!H150</f>
        <v>1.52319902319902</v>
      </c>
      <c r="G890" s="63" t="n">
        <f aca="false">Allcargo!I150</f>
        <v>0.433976196739437</v>
      </c>
      <c r="H890" s="63" t="n">
        <f aca="false">Allcargo!J150</f>
        <v>0.0534116704499933</v>
      </c>
      <c r="I890" s="64" t="n">
        <f aca="false">Allcargo!K150</f>
        <v>3.12345264199572</v>
      </c>
      <c r="J890" s="25" t="str">
        <f aca="false">IF(AND(ISNUMBER(I890),ISNUMBER(I$901)),IF(I890&gt;I$901,"Above",IF(I890&lt;I$901,"Below","At median")),"-")</f>
        <v>Above</v>
      </c>
      <c r="K890" s="25" t="s">
        <v>327</v>
      </c>
      <c r="L890" s="25" t="s">
        <v>327</v>
      </c>
    </row>
    <row r="891" customFormat="false" ht="15" hidden="false" customHeight="false" outlineLevel="0" collapsed="false">
      <c r="A891" s="16" t="s">
        <v>277</v>
      </c>
      <c r="B891" s="63" t="n">
        <f aca="false">BlueDart!D150</f>
        <v>-17.662447257384</v>
      </c>
      <c r="C891" s="63" t="n">
        <f aca="false">BlueDart!E150</f>
        <v>42.957805907173</v>
      </c>
      <c r="D891" s="63" t="n">
        <f aca="false">BlueDart!F150</f>
        <v>161.270042194093</v>
      </c>
      <c r="E891" s="63" t="n">
        <f aca="false">BlueDart!G150</f>
        <v>156.341772151899</v>
      </c>
      <c r="F891" s="63" t="n">
        <f aca="false">BlueDart!H150</f>
        <v>127.008438818565</v>
      </c>
      <c r="G891" s="63" t="n">
        <f aca="false">BlueDart!I150</f>
        <v>106.506329113924</v>
      </c>
      <c r="H891" s="63" t="n">
        <f aca="false">BlueDart!J150</f>
        <v>104.383966244726</v>
      </c>
      <c r="I891" s="64" t="n">
        <f aca="false">BlueDart!K150</f>
        <v>97.2579867389994</v>
      </c>
      <c r="J891" s="25" t="str">
        <f aca="false">IF(AND(ISNUMBER(I891),ISNUMBER(I$901)),IF(I891&gt;I$901,"Above",IF(I891&lt;I$901,"Below","At median")),"-")</f>
        <v>Above</v>
      </c>
      <c r="K891" s="25" t="s">
        <v>327</v>
      </c>
      <c r="L891" s="25" t="s">
        <v>327</v>
      </c>
    </row>
    <row r="892" customFormat="false" ht="15" hidden="false" customHeight="false" outlineLevel="0" collapsed="false">
      <c r="A892" s="16" t="s">
        <v>58</v>
      </c>
      <c r="B892" s="63" t="n">
        <f aca="false">CONCOR!D150</f>
        <v>5.29831932773109</v>
      </c>
      <c r="C892" s="63" t="n">
        <f aca="false">CONCOR!E150</f>
        <v>6.63419117647059</v>
      </c>
      <c r="D892" s="63" t="n">
        <f aca="false">CONCOR!F150</f>
        <v>13.8539915966387</v>
      </c>
      <c r="E892" s="63" t="n">
        <f aca="false">CONCOR!G150</f>
        <v>15.4132090336134</v>
      </c>
      <c r="F892" s="63" t="n">
        <f aca="false">CONCOR!H150</f>
        <v>16.5518644957983</v>
      </c>
      <c r="G892" s="63" t="n">
        <f aca="false">CONCOR!I150</f>
        <v>16.938156512605</v>
      </c>
      <c r="H892" s="63" t="n">
        <f aca="false">CONCOR!J150</f>
        <v>16.3051470588235</v>
      </c>
      <c r="I892" s="64" t="n">
        <f aca="false">CONCOR!K150</f>
        <v>12.999268457383</v>
      </c>
      <c r="J892" s="25" t="str">
        <f aca="false">IF(AND(ISNUMBER(I892),ISNUMBER(I$901)),IF(I892&gt;I$901,"Above",IF(I892&lt;I$901,"Below","At median")),"-")</f>
        <v>Above</v>
      </c>
      <c r="K892" s="25" t="s">
        <v>327</v>
      </c>
      <c r="L892" s="25" t="s">
        <v>327</v>
      </c>
    </row>
    <row r="893" customFormat="false" ht="15" hidden="false" customHeight="false" outlineLevel="0" collapsed="false">
      <c r="A893" s="16" t="s">
        <v>278</v>
      </c>
      <c r="B893" s="63" t="n">
        <f aca="false">JetFreight!D150</f>
        <v>-1.84698275862069</v>
      </c>
      <c r="C893" s="63" t="n">
        <f aca="false">JetFreight!E150</f>
        <v>0.540948275862069</v>
      </c>
      <c r="D893" s="63" t="n">
        <f aca="false">JetFreight!F150</f>
        <v>0.607758620689655</v>
      </c>
      <c r="E893" s="63" t="n">
        <f aca="false">JetFreight!G150</f>
        <v>0.0129310344827586</v>
      </c>
      <c r="F893" s="63" t="n">
        <f aca="false">JetFreight!H150</f>
        <v>0.0560344827586207</v>
      </c>
      <c r="G893" s="63" t="n">
        <f aca="false">JetFreight!I150</f>
        <v>0.803879310344828</v>
      </c>
      <c r="H893" s="63" t="n">
        <f aca="false">JetFreight!J150</f>
        <v>1.46551724137931</v>
      </c>
      <c r="I893" s="64" t="n">
        <f aca="false">JetFreight!K150</f>
        <v>0.23429802955665</v>
      </c>
      <c r="J893" s="25" t="str">
        <f aca="false">IF(AND(ISNUMBER(I893),ISNUMBER(I$901)),IF(I893&gt;I$901,"Above",IF(I893&lt;I$901,"Below","At median")),"-")</f>
        <v>Below</v>
      </c>
      <c r="K893" s="25" t="s">
        <v>327</v>
      </c>
      <c r="L893" s="25" t="s">
        <v>327</v>
      </c>
    </row>
    <row r="894" customFormat="false" ht="15" hidden="false" customHeight="false" outlineLevel="0" collapsed="false">
      <c r="A894" s="16" t="s">
        <v>62</v>
      </c>
      <c r="B894" s="63" t="n">
        <f aca="false">Patel!D150</f>
        <v>1.51267605633803</v>
      </c>
      <c r="C894" s="63" t="n">
        <f aca="false">Patel!E150</f>
        <v>0.00701262272089762</v>
      </c>
      <c r="D894" s="63" t="n">
        <f aca="false">Patel!F150</f>
        <v>0.318373071528752</v>
      </c>
      <c r="E894" s="63" t="n">
        <f aca="false">Patel!G150</f>
        <v>0.704022988505747</v>
      </c>
      <c r="F894" s="63" t="n">
        <f aca="false">Patel!H150</f>
        <v>0.795977011494253</v>
      </c>
      <c r="G894" s="63" t="n">
        <f aca="false">Patel!I150</f>
        <v>1.09195402298851</v>
      </c>
      <c r="H894" s="63" t="n">
        <f aca="false">Patel!J150</f>
        <v>1.37931034482759</v>
      </c>
      <c r="I894" s="64" t="n">
        <f aca="false">Patel!K150</f>
        <v>0.829903731200539</v>
      </c>
      <c r="J894" s="25" t="str">
        <f aca="false">IF(AND(ISNUMBER(I894),ISNUMBER(I$901)),IF(I894&gt;I$901,"Above",IF(I894&lt;I$901,"Below","At median")),"-")</f>
        <v>Below</v>
      </c>
      <c r="K894" s="25" t="s">
        <v>327</v>
      </c>
      <c r="L894" s="25" t="s">
        <v>327</v>
      </c>
    </row>
    <row r="895" customFormat="false" ht="15" hidden="false" customHeight="false" outlineLevel="0" collapsed="false">
      <c r="A895" s="16" t="s">
        <v>64</v>
      </c>
      <c r="B895" s="63" t="n">
        <f aca="false">Sical!D150</f>
        <v>-18.2799371541772</v>
      </c>
      <c r="C895" s="63" t="n">
        <f aca="false">Sical!E150</f>
        <v>-198.029236969738</v>
      </c>
      <c r="D895" s="63" t="n">
        <f aca="false">Sical!F150</f>
        <v>-44.4736662340324</v>
      </c>
      <c r="E895" s="63" t="n">
        <f aca="false">Sical!G150</f>
        <v>-127.808855308127</v>
      </c>
      <c r="F895" s="63" t="n">
        <f aca="false">Sical!H150</f>
        <v>-4.33569863139665</v>
      </c>
      <c r="G895" s="63" t="n">
        <f aca="false">Sical!I150</f>
        <v>-3.95868135910129</v>
      </c>
      <c r="H895" s="63" t="n">
        <f aca="false">Sical!J150</f>
        <v>6.17698671346202</v>
      </c>
      <c r="I895" s="64" t="n">
        <f aca="false">Sical!K150</f>
        <v>-55.8155841347302</v>
      </c>
      <c r="J895" s="25" t="str">
        <f aca="false">IF(AND(ISNUMBER(I895),ISNUMBER(I$901)),IF(I895&gt;I$901,"Above",IF(I895&lt;I$901,"Below","At median")),"-")</f>
        <v>Below</v>
      </c>
      <c r="K895" s="25" t="s">
        <v>327</v>
      </c>
      <c r="L895" s="25" t="s">
        <v>327</v>
      </c>
    </row>
    <row r="896" customFormat="false" ht="15" hidden="false" customHeight="false" outlineLevel="0" collapsed="false">
      <c r="A896" s="16" t="s">
        <v>66</v>
      </c>
      <c r="B896" s="63" t="n">
        <f aca="false">TCI!D150</f>
        <v>18.5364583333333</v>
      </c>
      <c r="C896" s="63" t="n">
        <f aca="false">TCI!E150</f>
        <v>19.083009079118</v>
      </c>
      <c r="D896" s="63" t="n">
        <f aca="false">TCI!F150</f>
        <v>37.4657179818887</v>
      </c>
      <c r="E896" s="63" t="n">
        <f aca="false">TCI!G150</f>
        <v>40.8943298969072</v>
      </c>
      <c r="F896" s="63" t="n">
        <f aca="false">TCI!H150</f>
        <v>45.1480051480052</v>
      </c>
      <c r="G896" s="63" t="n">
        <f aca="false">TCI!I150</f>
        <v>53.8355091383812</v>
      </c>
      <c r="H896" s="63" t="n">
        <f aca="false">TCI!J150</f>
        <v>59.4850065189048</v>
      </c>
      <c r="I896" s="64" t="n">
        <f aca="false">TCI!K150</f>
        <v>39.2068622995055</v>
      </c>
      <c r="J896" s="25" t="str">
        <f aca="false">IF(AND(ISNUMBER(I896),ISNUMBER(I$901)),IF(I896&gt;I$901,"Above",IF(I896&lt;I$901,"Below","At median")),"-")</f>
        <v>Above</v>
      </c>
      <c r="K896" s="25" t="s">
        <v>327</v>
      </c>
      <c r="L896" s="25" t="s">
        <v>327</v>
      </c>
    </row>
    <row r="897" customFormat="false" ht="15" hidden="false" customHeight="false" outlineLevel="0" collapsed="false">
      <c r="A897" s="16" t="s">
        <v>68</v>
      </c>
      <c r="B897" s="63" t="n">
        <f aca="false">Shreeji!D150</f>
        <v>0.21</v>
      </c>
      <c r="C897" s="63" t="n">
        <f aca="false">Shreeji!E150</f>
        <v>-0.155714285714286</v>
      </c>
      <c r="D897" s="63" t="n">
        <f aca="false">Shreeji!F150</f>
        <v>1.26428571428571</v>
      </c>
      <c r="E897" s="63" t="n">
        <f aca="false">Shreeji!G150</f>
        <v>1.38483547925608</v>
      </c>
      <c r="F897" s="63" t="n">
        <f aca="false">Shreeji!H150</f>
        <v>2.32904148783977</v>
      </c>
      <c r="G897" s="63" t="n">
        <f aca="false">Shreeji!I150</f>
        <v>0.218884120171674</v>
      </c>
      <c r="H897" s="63" t="n">
        <f aca="false">Shreeji!J150</f>
        <v>0.452074391988555</v>
      </c>
      <c r="I897" s="64" t="n">
        <f aca="false">Shreeji!K150</f>
        <v>0.81477241540393</v>
      </c>
      <c r="J897" s="25" t="str">
        <f aca="false">IF(AND(ISNUMBER(I897),ISNUMBER(I$901)),IF(I897&gt;I$901,"Above",IF(I897&lt;I$901,"Below","At median")),"-")</f>
        <v>Below</v>
      </c>
      <c r="K897" s="25" t="s">
        <v>327</v>
      </c>
      <c r="L897" s="25" t="s">
        <v>327</v>
      </c>
    </row>
    <row r="898" customFormat="false" ht="15" hidden="false" customHeight="false" outlineLevel="0" collapsed="false">
      <c r="A898" s="16" t="s">
        <v>279</v>
      </c>
      <c r="B898" s="63" t="n">
        <f aca="false">MahindraLog!D150</f>
        <v>5.60162601626016</v>
      </c>
      <c r="C898" s="63" t="n">
        <f aca="false">MahindraLog!E150</f>
        <v>3.04568527918782</v>
      </c>
      <c r="D898" s="63" t="n">
        <f aca="false">MahindraLog!F150</f>
        <v>1.77732793522267</v>
      </c>
      <c r="E898" s="63" t="n">
        <f aca="false">MahindraLog!G150</f>
        <v>2.65454545454545</v>
      </c>
      <c r="F898" s="63" t="n">
        <f aca="false">MahindraLog!H150</f>
        <v>-5.52929292929293</v>
      </c>
      <c r="G898" s="63" t="n">
        <f aca="false">MahindraLog!I150</f>
        <v>-3.61391129032258</v>
      </c>
      <c r="H898" s="63" t="n">
        <f aca="false">MahindraLog!J150</f>
        <v>0.230846774193548</v>
      </c>
      <c r="I898" s="64" t="n">
        <f aca="false">MahindraLog!K150</f>
        <v>0.595261034256306</v>
      </c>
      <c r="J898" s="25" t="str">
        <f aca="false">IF(AND(ISNUMBER(I898),ISNUMBER(I$901)),IF(I898&gt;I$901,"Above",IF(I898&lt;I$901,"Below","At median")),"-")</f>
        <v>Below</v>
      </c>
      <c r="K898" s="25" t="s">
        <v>327</v>
      </c>
      <c r="L898" s="25" t="s">
        <v>327</v>
      </c>
    </row>
    <row r="899" customFormat="false" ht="15" hidden="false" customHeight="false" outlineLevel="0" collapsed="false">
      <c r="A899" s="46" t="s">
        <v>328</v>
      </c>
      <c r="B899" s="65" t="str">
        <f aca="false">Industry!D151</f>
        <v>n.a.</v>
      </c>
      <c r="C899" s="65" t="str">
        <f aca="false">Industry!E151</f>
        <v>n.a.</v>
      </c>
      <c r="D899" s="65" t="str">
        <f aca="false">Industry!F151</f>
        <v>n.a.</v>
      </c>
      <c r="E899" s="65" t="str">
        <f aca="false">Industry!G151</f>
        <v>n.a.</v>
      </c>
      <c r="F899" s="65" t="str">
        <f aca="false">Industry!H151</f>
        <v>n.a.</v>
      </c>
      <c r="G899" s="65" t="str">
        <f aca="false">Industry!I151</f>
        <v>n.a.</v>
      </c>
      <c r="H899" s="65" t="str">
        <f aca="false">Industry!J151</f>
        <v>n.a.</v>
      </c>
      <c r="I899" s="65" t="str">
        <f aca="false">Industry!K151</f>
        <v>n.a.</v>
      </c>
      <c r="J899" s="47"/>
      <c r="K899" s="47"/>
      <c r="L899" s="47"/>
    </row>
    <row r="900" customFormat="false" ht="15" hidden="false" customHeight="false" outlineLevel="0" collapsed="false">
      <c r="A900" s="52" t="s">
        <v>329</v>
      </c>
      <c r="B900" s="66" t="n">
        <f aca="false">IF(COUNT(B889:B898)=0,"N/M",AVERAGE(B889:B898))</f>
        <v>-0.552871522898676</v>
      </c>
      <c r="C900" s="66" t="n">
        <f aca="false">IF(COUNT(C889:C898)=0,"N/M",AVERAGE(C889:C898))</f>
        <v>-12.5332063307506</v>
      </c>
      <c r="D900" s="66" t="n">
        <f aca="false">IF(COUNT(D889:D898)=0,"N/M",AVERAGE(D889:D898))</f>
        <v>18.4684687467926</v>
      </c>
      <c r="E900" s="66" t="n">
        <f aca="false">IF(COUNT(E889:E898)=0,"N/M",AVERAGE(E889:E898))</f>
        <v>9.81987126624742</v>
      </c>
      <c r="F900" s="66" t="n">
        <f aca="false">IF(COUNT(F889:F898)=0,"N/M",AVERAGE(F889:F898))</f>
        <v>18.4773680543679</v>
      </c>
      <c r="G900" s="66" t="n">
        <f aca="false">IF(COUNT(G889:G898)=0,"N/M",AVERAGE(G889:G898))</f>
        <v>17.4811441082666</v>
      </c>
      <c r="H900" s="66" t="n">
        <f aca="false">IF(COUNT(H889:H898)=0,"N/M",AVERAGE(H889:H898))</f>
        <v>19.1968217762918</v>
      </c>
      <c r="I900" s="66" t="n">
        <f aca="false">IF(COUNT(I889:I898)=0,"N/M",AVERAGE(I889:I898))</f>
        <v>10.0510851569024</v>
      </c>
      <c r="J900" s="54"/>
      <c r="K900" s="54"/>
      <c r="L900" s="54"/>
    </row>
    <row r="901" customFormat="false" ht="15" hidden="false" customHeight="false" outlineLevel="0" collapsed="false">
      <c r="A901" s="28" t="s">
        <v>281</v>
      </c>
      <c r="B901" s="67" t="n">
        <f aca="false">IF(COUNT(B889:B898)=0,"N/M",MEDIAN(B889:B898))</f>
        <v>0.861338028169014</v>
      </c>
      <c r="C901" s="67" t="n">
        <f aca="false">IF(COUNT(C889:C898)=0,"N/M",MEDIAN(C889:C898))</f>
        <v>1.15010376756066</v>
      </c>
      <c r="D901" s="67" t="n">
        <f aca="false">IF(COUNT(D889:D898)=0,"N/M",MEDIAN(D889:D898))</f>
        <v>2.4794870518119</v>
      </c>
      <c r="E901" s="67" t="n">
        <f aca="false">IF(COUNT(E889:E898)=0,"N/M",MEDIAN(E889:E898))</f>
        <v>2.42519136492646</v>
      </c>
      <c r="F901" s="67" t="n">
        <f aca="false">IF(COUNT(F889:F898)=0,"N/M",MEDIAN(F889:F898))</f>
        <v>1.37465532995334</v>
      </c>
      <c r="G901" s="67" t="n">
        <f aca="false">IF(COUNT(G889:G898)=0,"N/M",MEDIAN(G889:G898))</f>
        <v>0.947916666666667</v>
      </c>
      <c r="H901" s="67" t="n">
        <f aca="false">IF(COUNT(H889:H898)=0,"N/M",MEDIAN(H889:H898))</f>
        <v>1.75073402277102</v>
      </c>
      <c r="I901" s="67" t="n">
        <f aca="false">IF(COUNT(I889:I898)=0,"N/M",MEDIAN(I889:I898))</f>
        <v>1.04726704332699</v>
      </c>
      <c r="J901" s="54"/>
      <c r="K901" s="54"/>
      <c r="L901" s="54"/>
    </row>
    <row r="902" customFormat="false" ht="15" hidden="false" customHeight="false" outlineLevel="0" collapsed="false">
      <c r="A902" s="52" t="s">
        <v>330</v>
      </c>
      <c r="B902" s="66" t="n">
        <f aca="false">IF(COUNT(B889:B898)&lt;2,"N/M",STDEV(B889:B898))</f>
        <v>10.8441855171358</v>
      </c>
      <c r="C902" s="66" t="n">
        <f aca="false">IF(COUNT(C889:C898)&lt;2,"N/M",STDEV(C889:C898))</f>
        <v>66.5936113849932</v>
      </c>
      <c r="D902" s="66" t="n">
        <f aca="false">IF(COUNT(D889:D898)&lt;2,"N/M",STDEV(D889:D898))</f>
        <v>54.0316529332563</v>
      </c>
      <c r="E902" s="66" t="n">
        <f aca="false">IF(COUNT(E889:E898)&lt;2,"N/M",STDEV(E889:E898))</f>
        <v>68.1328665564243</v>
      </c>
      <c r="F902" s="66" t="n">
        <f aca="false">IF(COUNT(F889:F898)&lt;2,"N/M",STDEV(F889:F898))</f>
        <v>40.9451866897732</v>
      </c>
      <c r="G902" s="66" t="n">
        <f aca="false">IF(COUNT(G889:G898)&lt;2,"N/M",STDEV(G889:G898))</f>
        <v>35.7618565761455</v>
      </c>
      <c r="H902" s="66" t="n">
        <f aca="false">IF(COUNT(H889:H898)&lt;2,"N/M",STDEV(H889:H898))</f>
        <v>35.058312660924</v>
      </c>
      <c r="I902" s="66" t="n">
        <f aca="false">IF(COUNT(I889:I898)&lt;2,"N/M",STDEV(I889:I898))</f>
        <v>38.4180634485209</v>
      </c>
      <c r="J902" s="54"/>
      <c r="K902" s="54"/>
      <c r="L902" s="54"/>
    </row>
    <row r="903" customFormat="false" ht="15" hidden="false" customHeight="false" outlineLevel="0" collapsed="false">
      <c r="A903" s="52" t="s">
        <v>269</v>
      </c>
      <c r="B903" s="66" t="n">
        <f aca="false">IF(COUNT(B889:B898)=0,"N/M",MIN(B889:B898))</f>
        <v>-18.2799371541772</v>
      </c>
      <c r="C903" s="66" t="n">
        <f aca="false">IF(COUNT(C889:C898)=0,"N/M",MIN(C889:C898))</f>
        <v>-198.029236969738</v>
      </c>
      <c r="D903" s="66" t="n">
        <f aca="false">IF(COUNT(D889:D898)=0,"N/M",MIN(D889:D898))</f>
        <v>-44.4736662340324</v>
      </c>
      <c r="E903" s="66" t="n">
        <f aca="false">IF(COUNT(E889:E898)=0,"N/M",MIN(E889:E898))</f>
        <v>-127.808855308127</v>
      </c>
      <c r="F903" s="66" t="n">
        <f aca="false">IF(COUNT(F889:F898)=0,"N/M",MIN(F889:F898))</f>
        <v>-5.52929292929293</v>
      </c>
      <c r="G903" s="66" t="n">
        <f aca="false">IF(COUNT(G889:G898)=0,"N/M",MIN(G889:G898))</f>
        <v>-3.95868135910129</v>
      </c>
      <c r="H903" s="66" t="n">
        <f aca="false">IF(COUNT(H889:H898)=0,"N/M",MIN(H889:H898))</f>
        <v>0.0534116704499933</v>
      </c>
      <c r="I903" s="66" t="n">
        <f aca="false">IF(COUNT(I889:I898)=0,"N/M",MIN(I889:I898))</f>
        <v>-55.8155841347302</v>
      </c>
      <c r="J903" s="54"/>
      <c r="K903" s="54"/>
      <c r="L903" s="54"/>
    </row>
    <row r="904" customFormat="false" ht="15" hidden="false" customHeight="false" outlineLevel="0" collapsed="false">
      <c r="A904" s="52" t="s">
        <v>270</v>
      </c>
      <c r="B904" s="66" t="n">
        <f aca="false">IF(COUNT(B889:B898)=0,"N/M",MAX(B889:B898))</f>
        <v>18.5364583333333</v>
      </c>
      <c r="C904" s="66" t="n">
        <f aca="false">IF(COUNT(C889:C898)=0,"N/M",MAX(C889:C898))</f>
        <v>42.957805907173</v>
      </c>
      <c r="D904" s="66" t="n">
        <f aca="false">IF(COUNT(D889:D898)=0,"N/M",MAX(D889:D898))</f>
        <v>161.270042194093</v>
      </c>
      <c r="E904" s="66" t="n">
        <f aca="false">IF(COUNT(E889:E898)=0,"N/M",MAX(E889:E898))</f>
        <v>156.341772151899</v>
      </c>
      <c r="F904" s="66" t="n">
        <f aca="false">IF(COUNT(F889:F898)=0,"N/M",MAX(F889:F898))</f>
        <v>127.008438818565</v>
      </c>
      <c r="G904" s="66" t="n">
        <f aca="false">IF(COUNT(G889:G898)=0,"N/M",MAX(G889:G898))</f>
        <v>106.506329113924</v>
      </c>
      <c r="H904" s="66" t="n">
        <f aca="false">IF(COUNT(H889:H898)=0,"N/M",MAX(H889:H898))</f>
        <v>104.383966244726</v>
      </c>
      <c r="I904" s="66" t="n">
        <f aca="false">IF(COUNT(I889:I898)=0,"N/M",MAX(I889:I898))</f>
        <v>97.2579867389994</v>
      </c>
      <c r="J904" s="54"/>
      <c r="K904" s="54"/>
      <c r="L904" s="54"/>
    </row>
    <row r="906" customFormat="false" ht="16.5" hidden="false" customHeight="true" outlineLevel="0" collapsed="false">
      <c r="A906" s="49" t="s">
        <v>380</v>
      </c>
      <c r="B906" s="49"/>
      <c r="C906" s="49"/>
      <c r="D906" s="49"/>
      <c r="E906" s="49"/>
      <c r="F906" s="49"/>
      <c r="G906" s="49"/>
      <c r="H906" s="49"/>
      <c r="I906" s="49"/>
      <c r="J906" s="49"/>
      <c r="K906" s="49"/>
      <c r="L906" s="49"/>
    </row>
    <row r="907" customFormat="false" ht="15" hidden="false" customHeight="false" outlineLevel="0" collapsed="false">
      <c r="A907" s="16" t="s">
        <v>52</v>
      </c>
      <c r="B907" s="63" t="n">
        <f aca="false">Tiger!D151</f>
        <v>-1.07473982970672</v>
      </c>
      <c r="C907" s="63" t="n">
        <f aca="false">Tiger!E151</f>
        <v>-1.09082308420057</v>
      </c>
      <c r="D907" s="63" t="n">
        <f aca="false">Tiger!F151</f>
        <v>3.25733207190161</v>
      </c>
      <c r="E907" s="63" t="n">
        <f aca="false">Tiger!G151</f>
        <v>2.26963103122044</v>
      </c>
      <c r="F907" s="63" t="n">
        <f aca="false">Tiger!H151</f>
        <v>1.29990539262062</v>
      </c>
      <c r="G907" s="63" t="n">
        <f aca="false">Tiger!I151</f>
        <v>2.63576158940397</v>
      </c>
      <c r="H907" s="63" t="n">
        <f aca="false">Tiger!J151</f>
        <v>2.12677388836329</v>
      </c>
      <c r="I907" s="64" t="n">
        <f aca="false">Tiger!K151</f>
        <v>1.34626300851466</v>
      </c>
      <c r="J907" s="25" t="str">
        <f aca="false">IF(AND(ISNUMBER(I907),ISNUMBER(I$919)),IF(I907&gt;I$919,"Above",IF(I907&lt;I$919,"Below","At median")),"-")</f>
        <v>Below</v>
      </c>
      <c r="K907" s="25" t="s">
        <v>327</v>
      </c>
      <c r="L907" s="25" t="s">
        <v>327</v>
      </c>
    </row>
    <row r="908" customFormat="false" ht="15" hidden="false" customHeight="false" outlineLevel="0" collapsed="false">
      <c r="A908" s="16" t="s">
        <v>54</v>
      </c>
      <c r="B908" s="63" t="n">
        <f aca="false">Allcargo!D151</f>
        <v>4.62555962555963</v>
      </c>
      <c r="C908" s="63" t="n">
        <f aca="false">Allcargo!E151</f>
        <v>4.87372812372812</v>
      </c>
      <c r="D908" s="63" t="n">
        <f aca="false">Allcargo!F151</f>
        <v>11.8364875864876</v>
      </c>
      <c r="E908" s="63" t="n">
        <f aca="false">Allcargo!G151</f>
        <v>9.23483923483924</v>
      </c>
      <c r="F908" s="63" t="n">
        <f aca="false">Allcargo!H151</f>
        <v>5.59340659340659</v>
      </c>
      <c r="G908" s="63" t="n">
        <f aca="false">Allcargo!I151</f>
        <v>1.64910954760986</v>
      </c>
      <c r="H908" s="63" t="n">
        <f aca="false">Allcargo!J151</f>
        <v>1.41540926692482</v>
      </c>
      <c r="I908" s="64" t="n">
        <f aca="false">Allcargo!K151</f>
        <v>5.60407713979369</v>
      </c>
      <c r="J908" s="25" t="str">
        <f aca="false">IF(AND(ISNUMBER(I908),ISNUMBER(I$919)),IF(I908&gt;I$919,"Above",IF(I908&lt;I$919,"Below","At median")),"-")</f>
        <v>Above</v>
      </c>
      <c r="K908" s="25" t="s">
        <v>327</v>
      </c>
      <c r="L908" s="25" t="s">
        <v>327</v>
      </c>
    </row>
    <row r="909" customFormat="false" ht="15" hidden="false" customHeight="false" outlineLevel="0" collapsed="false">
      <c r="A909" s="16" t="s">
        <v>277</v>
      </c>
      <c r="B909" s="63" t="n">
        <f aca="false">BlueDart!D151</f>
        <v>128.89029535865</v>
      </c>
      <c r="C909" s="63" t="n">
        <f aca="false">BlueDart!E151</f>
        <v>224.392405063291</v>
      </c>
      <c r="D909" s="63" t="n">
        <f aca="false">BlueDart!F151</f>
        <v>328.092827004219</v>
      </c>
      <c r="E909" s="63" t="n">
        <f aca="false">BlueDart!G151</f>
        <v>322.789029535865</v>
      </c>
      <c r="F909" s="63" t="n">
        <f aca="false">BlueDart!H151</f>
        <v>309.649789029536</v>
      </c>
      <c r="G909" s="63" t="n">
        <f aca="false">BlueDart!I151</f>
        <v>311.122362869198</v>
      </c>
      <c r="H909" s="63" t="n">
        <f aca="false">BlueDart!J151</f>
        <v>330.573839662447</v>
      </c>
      <c r="I909" s="64" t="n">
        <f aca="false">BlueDart!K151</f>
        <v>279.35864978903</v>
      </c>
      <c r="J909" s="25" t="str">
        <f aca="false">IF(AND(ISNUMBER(I909),ISNUMBER(I$919)),IF(I909&gt;I$919,"Above",IF(I909&lt;I$919,"Below","At median")),"-")</f>
        <v>Above</v>
      </c>
      <c r="K909" s="25" t="s">
        <v>327</v>
      </c>
      <c r="L909" s="25" t="s">
        <v>327</v>
      </c>
    </row>
    <row r="910" customFormat="false" ht="15" hidden="false" customHeight="false" outlineLevel="0" collapsed="false">
      <c r="A910" s="16" t="s">
        <v>58</v>
      </c>
      <c r="B910" s="63" t="n">
        <f aca="false">CONCOR!D151</f>
        <v>12.4465598739496</v>
      </c>
      <c r="C910" s="63" t="n">
        <f aca="false">CONCOR!E151</f>
        <v>13.9002100840336</v>
      </c>
      <c r="D910" s="63" t="n">
        <f aca="false">CONCOR!F151</f>
        <v>21.2255777310924</v>
      </c>
      <c r="E910" s="63" t="n">
        <f aca="false">CONCOR!G151</f>
        <v>22.936974789916</v>
      </c>
      <c r="F910" s="63" t="n">
        <f aca="false">CONCOR!H151</f>
        <v>24.6743697478992</v>
      </c>
      <c r="G910" s="63" t="n">
        <f aca="false">CONCOR!I151</f>
        <v>24.5699842436975</v>
      </c>
      <c r="H910" s="63" t="n">
        <f aca="false">CONCOR!J151</f>
        <v>24.3872111344538</v>
      </c>
      <c r="I910" s="64" t="n">
        <f aca="false">CONCOR!K151</f>
        <v>20.5915553721489</v>
      </c>
      <c r="J910" s="25" t="str">
        <f aca="false">IF(AND(ISNUMBER(I910),ISNUMBER(I$919)),IF(I910&gt;I$919,"Above",IF(I910&lt;I$919,"Below","At median")),"-")</f>
        <v>Above</v>
      </c>
      <c r="K910" s="25" t="s">
        <v>327</v>
      </c>
      <c r="L910" s="25" t="s">
        <v>327</v>
      </c>
    </row>
    <row r="911" customFormat="false" ht="15" hidden="false" customHeight="false" outlineLevel="0" collapsed="false">
      <c r="A911" s="16" t="s">
        <v>278</v>
      </c>
      <c r="B911" s="63" t="n">
        <f aca="false">JetFreight!D151</f>
        <v>-1.57327586206897</v>
      </c>
      <c r="C911" s="63" t="n">
        <f aca="false">JetFreight!E151</f>
        <v>1.00646551724138</v>
      </c>
      <c r="D911" s="63" t="n">
        <f aca="false">JetFreight!F151</f>
        <v>1.19827586206897</v>
      </c>
      <c r="E911" s="63" t="n">
        <f aca="false">JetFreight!G151</f>
        <v>0.618534482758621</v>
      </c>
      <c r="F911" s="63" t="n">
        <f aca="false">JetFreight!H151</f>
        <v>0.532327586206897</v>
      </c>
      <c r="G911" s="63" t="n">
        <f aca="false">JetFreight!I151</f>
        <v>1.25215517241379</v>
      </c>
      <c r="H911" s="63" t="n">
        <f aca="false">JetFreight!J151</f>
        <v>1.87715517241379</v>
      </c>
      <c r="I911" s="64" t="n">
        <f aca="false">JetFreight!K151</f>
        <v>0.701662561576355</v>
      </c>
      <c r="J911" s="25" t="str">
        <f aca="false">IF(AND(ISNUMBER(I911),ISNUMBER(I$919)),IF(I911&gt;I$919,"Above",IF(I911&lt;I$919,"Below","At median")),"-")</f>
        <v>Below</v>
      </c>
      <c r="K911" s="25" t="s">
        <v>327</v>
      </c>
      <c r="L911" s="25" t="s">
        <v>327</v>
      </c>
    </row>
    <row r="912" customFormat="false" ht="15" hidden="false" customHeight="false" outlineLevel="0" collapsed="false">
      <c r="A912" s="16" t="s">
        <v>62</v>
      </c>
      <c r="B912" s="63" t="n">
        <f aca="false">Patel!D151</f>
        <v>2.06338028169014</v>
      </c>
      <c r="C912" s="63" t="n">
        <f aca="false">Patel!E151</f>
        <v>0.336605890603086</v>
      </c>
      <c r="D912" s="63" t="n">
        <f aca="false">Patel!F151</f>
        <v>0.687237026647966</v>
      </c>
      <c r="E912" s="63" t="n">
        <f aca="false">Patel!G151</f>
        <v>1.1235632183908</v>
      </c>
      <c r="F912" s="63" t="n">
        <f aca="false">Patel!H151</f>
        <v>1.19827586206897</v>
      </c>
      <c r="G912" s="63" t="n">
        <f aca="false">Patel!I151</f>
        <v>1.46695402298851</v>
      </c>
      <c r="H912" s="63" t="n">
        <f aca="false">Patel!J151</f>
        <v>1.74568965517241</v>
      </c>
      <c r="I912" s="64" t="n">
        <f aca="false">Patel!K151</f>
        <v>1.2316722796517</v>
      </c>
      <c r="J912" s="25" t="str">
        <f aca="false">IF(AND(ISNUMBER(I912),ISNUMBER(I$919)),IF(I912&gt;I$919,"Above",IF(I912&lt;I$919,"Below","At median")),"-")</f>
        <v>Below</v>
      </c>
      <c r="K912" s="25" t="s">
        <v>327</v>
      </c>
      <c r="L912" s="25" t="s">
        <v>327</v>
      </c>
    </row>
    <row r="913" customFormat="false" ht="15" hidden="false" customHeight="false" outlineLevel="0" collapsed="false">
      <c r="A913" s="16" t="s">
        <v>64</v>
      </c>
      <c r="B913" s="63" t="n">
        <f aca="false">Sical!D151</f>
        <v>-3.85784548124872</v>
      </c>
      <c r="C913" s="63" t="n">
        <f aca="false">Sical!E151</f>
        <v>-184.580572443473</v>
      </c>
      <c r="D913" s="63" t="n">
        <f aca="false">Sical!F151</f>
        <v>-32.3194890361363</v>
      </c>
      <c r="E913" s="63" t="n">
        <f aca="false">Sical!G151</f>
        <v>-119.276923784273</v>
      </c>
      <c r="F913" s="63" t="n">
        <f aca="false">Sical!H151</f>
        <v>3.0697788471854</v>
      </c>
      <c r="G913" s="63" t="n">
        <f aca="false">Sical!I151</f>
        <v>1.82378273996536</v>
      </c>
      <c r="H913" s="63" t="n">
        <f aca="false">Sical!J151</f>
        <v>11.4026071697167</v>
      </c>
      <c r="I913" s="64" t="n">
        <f aca="false">Sical!K151</f>
        <v>-46.2483802840376</v>
      </c>
      <c r="J913" s="25" t="str">
        <f aca="false">IF(AND(ISNUMBER(I913),ISNUMBER(I$919)),IF(I913&gt;I$919,"Above",IF(I913&lt;I$919,"Below","At median")),"-")</f>
        <v>Below</v>
      </c>
      <c r="K913" s="25" t="s">
        <v>327</v>
      </c>
      <c r="L913" s="25" t="s">
        <v>327</v>
      </c>
    </row>
    <row r="914" customFormat="false" ht="15" hidden="false" customHeight="false" outlineLevel="0" collapsed="false">
      <c r="A914" s="16" t="s">
        <v>66</v>
      </c>
      <c r="B914" s="63" t="n">
        <f aca="false">TCI!D151</f>
        <v>29.27734375</v>
      </c>
      <c r="C914" s="63" t="n">
        <f aca="false">TCI!E151</f>
        <v>31.1206225680934</v>
      </c>
      <c r="D914" s="63" t="n">
        <f aca="false">TCI!F151</f>
        <v>52.0866752910737</v>
      </c>
      <c r="E914" s="63" t="n">
        <f aca="false">TCI!G151</f>
        <v>56.5399484536083</v>
      </c>
      <c r="F914" s="63" t="n">
        <f aca="false">TCI!H151</f>
        <v>61.6795366795367</v>
      </c>
      <c r="G914" s="63" t="n">
        <f aca="false">TCI!I151</f>
        <v>69.2180156657963</v>
      </c>
      <c r="H914" s="63" t="n">
        <f aca="false">TCI!J151</f>
        <v>76.0821382007823</v>
      </c>
      <c r="I914" s="64" t="n">
        <f aca="false">TCI!K151</f>
        <v>53.7148972298415</v>
      </c>
      <c r="J914" s="25" t="str">
        <f aca="false">IF(AND(ISNUMBER(I914),ISNUMBER(I$919)),IF(I914&gt;I$919,"Above",IF(I914&lt;I$919,"Below","At median")),"-")</f>
        <v>Above</v>
      </c>
      <c r="K914" s="25" t="s">
        <v>327</v>
      </c>
      <c r="L914" s="25" t="s">
        <v>327</v>
      </c>
    </row>
    <row r="915" customFormat="false" ht="15" hidden="false" customHeight="false" outlineLevel="0" collapsed="false">
      <c r="A915" s="16" t="s">
        <v>68</v>
      </c>
      <c r="B915" s="63" t="n">
        <f aca="false">Shreeji!D151</f>
        <v>0.805714285714286</v>
      </c>
      <c r="C915" s="63" t="n">
        <f aca="false">Shreeji!E151</f>
        <v>0.46</v>
      </c>
      <c r="D915" s="63" t="n">
        <f aca="false">Shreeji!F151</f>
        <v>1.81571428571429</v>
      </c>
      <c r="E915" s="63" t="n">
        <f aca="false">Shreeji!G151</f>
        <v>1.86552217453505</v>
      </c>
      <c r="F915" s="63" t="n">
        <f aca="false">Shreeji!H151</f>
        <v>2.95994277539342</v>
      </c>
      <c r="G915" s="63" t="n">
        <f aca="false">Shreeji!I151</f>
        <v>0.909871244635193</v>
      </c>
      <c r="H915" s="63" t="n">
        <f aca="false">Shreeji!J151</f>
        <v>1.02432045779685</v>
      </c>
      <c r="I915" s="64" t="n">
        <f aca="false">Shreeji!K151</f>
        <v>1.40586931768416</v>
      </c>
      <c r="J915" s="25" t="str">
        <f aca="false">IF(AND(ISNUMBER(I915),ISNUMBER(I$919)),IF(I915&gt;I$919,"Above",IF(I915&lt;I$919,"Below","At median")),"-")</f>
        <v>Below</v>
      </c>
      <c r="K915" s="25" t="s">
        <v>327</v>
      </c>
      <c r="L915" s="25" t="s">
        <v>327</v>
      </c>
    </row>
    <row r="916" customFormat="false" ht="15" hidden="false" customHeight="false" outlineLevel="0" collapsed="false">
      <c r="A916" s="16" t="s">
        <v>279</v>
      </c>
      <c r="B916" s="63" t="n">
        <f aca="false">MahindraLog!D151</f>
        <v>13.0640243902439</v>
      </c>
      <c r="C916" s="63" t="n">
        <f aca="false">MahindraLog!E151</f>
        <v>12.1472081218274</v>
      </c>
      <c r="D916" s="63" t="n">
        <f aca="false">MahindraLog!F151</f>
        <v>16.1214574898785</v>
      </c>
      <c r="E916" s="63" t="n">
        <f aca="false">MahindraLog!G151</f>
        <v>21.7959595959596</v>
      </c>
      <c r="F916" s="63" t="n">
        <f aca="false">MahindraLog!H151</f>
        <v>15.5808080808081</v>
      </c>
      <c r="G916" s="63" t="n">
        <f aca="false">MahindraLog!I151</f>
        <v>19.2006048387097</v>
      </c>
      <c r="H916" s="63" t="n">
        <f aca="false">MahindraLog!J151</f>
        <v>28.241935483871</v>
      </c>
      <c r="I916" s="64" t="n">
        <f aca="false">MahindraLog!K151</f>
        <v>18.0217140001855</v>
      </c>
      <c r="J916" s="25" t="str">
        <f aca="false">IF(AND(ISNUMBER(I916),ISNUMBER(I$919)),IF(I916&gt;I$919,"Above",IF(I916&lt;I$919,"Below","At median")),"-")</f>
        <v>Above</v>
      </c>
      <c r="K916" s="25" t="s">
        <v>327</v>
      </c>
      <c r="L916" s="25" t="s">
        <v>327</v>
      </c>
    </row>
    <row r="917" customFormat="false" ht="15" hidden="false" customHeight="false" outlineLevel="0" collapsed="false">
      <c r="A917" s="46" t="s">
        <v>328</v>
      </c>
      <c r="B917" s="65" t="str">
        <f aca="false">Industry!D152</f>
        <v>n.a.</v>
      </c>
      <c r="C917" s="65" t="str">
        <f aca="false">Industry!E152</f>
        <v>n.a.</v>
      </c>
      <c r="D917" s="65" t="str">
        <f aca="false">Industry!F152</f>
        <v>n.a.</v>
      </c>
      <c r="E917" s="65" t="str">
        <f aca="false">Industry!G152</f>
        <v>n.a.</v>
      </c>
      <c r="F917" s="65" t="str">
        <f aca="false">Industry!H152</f>
        <v>n.a.</v>
      </c>
      <c r="G917" s="65" t="str">
        <f aca="false">Industry!I152</f>
        <v>n.a.</v>
      </c>
      <c r="H917" s="65" t="str">
        <f aca="false">Industry!J152</f>
        <v>n.a.</v>
      </c>
      <c r="I917" s="65" t="str">
        <f aca="false">Industry!K152</f>
        <v>n.a.</v>
      </c>
      <c r="J917" s="47"/>
      <c r="K917" s="47"/>
      <c r="L917" s="47"/>
    </row>
    <row r="918" customFormat="false" ht="15" hidden="false" customHeight="false" outlineLevel="0" collapsed="false">
      <c r="A918" s="52" t="s">
        <v>329</v>
      </c>
      <c r="B918" s="66" t="n">
        <f aca="false">IF(COUNT(B907:B916)=0,"N/M",AVERAGE(B907:B916))</f>
        <v>18.4667016392783</v>
      </c>
      <c r="C918" s="66" t="n">
        <f aca="false">IF(COUNT(C907:C916)=0,"N/M",AVERAGE(C907:C916))</f>
        <v>10.2565849841145</v>
      </c>
      <c r="D918" s="66" t="n">
        <f aca="false">IF(COUNT(D907:D916)=0,"N/M",AVERAGE(D907:D916))</f>
        <v>40.4002095312948</v>
      </c>
      <c r="E918" s="66" t="n">
        <f aca="false">IF(COUNT(E907:E916)=0,"N/M",AVERAGE(E907:E916))</f>
        <v>31.989707873282</v>
      </c>
      <c r="F918" s="66" t="n">
        <f aca="false">IF(COUNT(F907:F916)=0,"N/M",AVERAGE(F907:F916))</f>
        <v>42.6238140594662</v>
      </c>
      <c r="G918" s="66" t="n">
        <f aca="false">IF(COUNT(G907:G916)=0,"N/M",AVERAGE(G907:G916))</f>
        <v>43.3848601934418</v>
      </c>
      <c r="H918" s="66" t="n">
        <f aca="false">IF(COUNT(H907:H916)=0,"N/M",AVERAGE(H907:H916))</f>
        <v>47.8877080091942</v>
      </c>
      <c r="I918" s="66" t="n">
        <f aca="false">IF(COUNT(I907:I916)=0,"N/M",AVERAGE(I907:I916))</f>
        <v>33.5727980414388</v>
      </c>
      <c r="J918" s="54"/>
      <c r="K918" s="54"/>
      <c r="L918" s="54"/>
    </row>
    <row r="919" customFormat="false" ht="15" hidden="false" customHeight="false" outlineLevel="0" collapsed="false">
      <c r="A919" s="28" t="s">
        <v>281</v>
      </c>
      <c r="B919" s="67" t="n">
        <f aca="false">IF(COUNT(B907:B916)=0,"N/M",MEDIAN(B907:B916))</f>
        <v>3.34446995362488</v>
      </c>
      <c r="C919" s="67" t="n">
        <f aca="false">IF(COUNT(C907:C916)=0,"N/M",MEDIAN(C907:C916))</f>
        <v>2.94009682048475</v>
      </c>
      <c r="D919" s="67" t="n">
        <f aca="false">IF(COUNT(D907:D916)=0,"N/M",MEDIAN(D907:D916))</f>
        <v>7.5469098291946</v>
      </c>
      <c r="E919" s="67" t="n">
        <f aca="false">IF(COUNT(E907:E916)=0,"N/M",MEDIAN(E907:E916))</f>
        <v>5.75223513302984</v>
      </c>
      <c r="F919" s="67" t="n">
        <f aca="false">IF(COUNT(F907:F916)=0,"N/M",MEDIAN(F907:F916))</f>
        <v>4.331592720296</v>
      </c>
      <c r="G919" s="67" t="n">
        <f aca="false">IF(COUNT(G907:G916)=0,"N/M",MEDIAN(G907:G916))</f>
        <v>2.22977216468467</v>
      </c>
      <c r="H919" s="67" t="n">
        <f aca="false">IF(COUNT(H907:H916)=0,"N/M",MEDIAN(H907:H916))</f>
        <v>6.76469052904001</v>
      </c>
      <c r="I919" s="67" t="n">
        <f aca="false">IF(COUNT(I907:I916)=0,"N/M",MEDIAN(I907:I916))</f>
        <v>3.50497322873892</v>
      </c>
      <c r="J919" s="54"/>
      <c r="K919" s="54"/>
      <c r="L919" s="54"/>
    </row>
    <row r="920" customFormat="false" ht="15" hidden="false" customHeight="false" outlineLevel="0" collapsed="false">
      <c r="A920" s="52" t="s">
        <v>330</v>
      </c>
      <c r="B920" s="66" t="n">
        <f aca="false">IF(COUNT(B907:B916)&lt;2,"N/M",STDEV(B907:B916))</f>
        <v>40.0417583922123</v>
      </c>
      <c r="C920" s="66" t="n">
        <f aca="false">IF(COUNT(C907:C916)&lt;2,"N/M",STDEV(C907:C916))</f>
        <v>97.0140359089192</v>
      </c>
      <c r="D920" s="66" t="n">
        <f aca="false">IF(COUNT(D907:D916)&lt;2,"N/M",STDEV(D907:D916))</f>
        <v>103.251068928929</v>
      </c>
      <c r="E920" s="66" t="n">
        <f aca="false">IF(COUNT(E907:E916)&lt;2,"N/M",STDEV(E907:E916))</f>
        <v>111.793371453882</v>
      </c>
      <c r="F920" s="66" t="n">
        <f aca="false">IF(COUNT(F907:F916)&lt;2,"N/M",STDEV(F907:F916))</f>
        <v>95.698559107137</v>
      </c>
      <c r="G920" s="66" t="n">
        <f aca="false">IF(COUNT(G907:G916)&lt;2,"N/M",STDEV(G907:G916))</f>
        <v>96.4685818049865</v>
      </c>
      <c r="H920" s="66" t="n">
        <f aca="false">IF(COUNT(H907:H916)&lt;2,"N/M",STDEV(H907:H916))</f>
        <v>102.019463721703</v>
      </c>
      <c r="I920" s="66" t="n">
        <f aca="false">IF(COUNT(I907:I916)&lt;2,"N/M",STDEV(I907:I916))</f>
        <v>89.8023314720017</v>
      </c>
      <c r="J920" s="54"/>
      <c r="K920" s="54"/>
      <c r="L920" s="54"/>
    </row>
    <row r="921" customFormat="false" ht="15" hidden="false" customHeight="false" outlineLevel="0" collapsed="false">
      <c r="A921" s="52" t="s">
        <v>269</v>
      </c>
      <c r="B921" s="66" t="n">
        <f aca="false">IF(COUNT(B907:B916)=0,"N/M",MIN(B907:B916))</f>
        <v>-3.85784548124872</v>
      </c>
      <c r="C921" s="66" t="n">
        <f aca="false">IF(COUNT(C907:C916)=0,"N/M",MIN(C907:C916))</f>
        <v>-184.580572443473</v>
      </c>
      <c r="D921" s="66" t="n">
        <f aca="false">IF(COUNT(D907:D916)=0,"N/M",MIN(D907:D916))</f>
        <v>-32.3194890361363</v>
      </c>
      <c r="E921" s="66" t="n">
        <f aca="false">IF(COUNT(E907:E916)=0,"N/M",MIN(E907:E916))</f>
        <v>-119.276923784273</v>
      </c>
      <c r="F921" s="66" t="n">
        <f aca="false">IF(COUNT(F907:F916)=0,"N/M",MIN(F907:F916))</f>
        <v>0.532327586206897</v>
      </c>
      <c r="G921" s="66" t="n">
        <f aca="false">IF(COUNT(G907:G916)=0,"N/M",MIN(G907:G916))</f>
        <v>0.909871244635193</v>
      </c>
      <c r="H921" s="66" t="n">
        <f aca="false">IF(COUNT(H907:H916)=0,"N/M",MIN(H907:H916))</f>
        <v>1.02432045779685</v>
      </c>
      <c r="I921" s="66" t="n">
        <f aca="false">IF(COUNT(I907:I916)=0,"N/M",MIN(I907:I916))</f>
        <v>-46.2483802840376</v>
      </c>
      <c r="J921" s="54"/>
      <c r="K921" s="54"/>
      <c r="L921" s="54"/>
    </row>
    <row r="922" customFormat="false" ht="15" hidden="false" customHeight="false" outlineLevel="0" collapsed="false">
      <c r="A922" s="52" t="s">
        <v>270</v>
      </c>
      <c r="B922" s="66" t="n">
        <f aca="false">IF(COUNT(B907:B916)=0,"N/M",MAX(B907:B916))</f>
        <v>128.89029535865</v>
      </c>
      <c r="C922" s="66" t="n">
        <f aca="false">IF(COUNT(C907:C916)=0,"N/M",MAX(C907:C916))</f>
        <v>224.392405063291</v>
      </c>
      <c r="D922" s="66" t="n">
        <f aca="false">IF(COUNT(D907:D916)=0,"N/M",MAX(D907:D916))</f>
        <v>328.092827004219</v>
      </c>
      <c r="E922" s="66" t="n">
        <f aca="false">IF(COUNT(E907:E916)=0,"N/M",MAX(E907:E916))</f>
        <v>322.789029535865</v>
      </c>
      <c r="F922" s="66" t="n">
        <f aca="false">IF(COUNT(F907:F916)=0,"N/M",MAX(F907:F916))</f>
        <v>309.649789029536</v>
      </c>
      <c r="G922" s="66" t="n">
        <f aca="false">IF(COUNT(G907:G916)=0,"N/M",MAX(G907:G916))</f>
        <v>311.122362869198</v>
      </c>
      <c r="H922" s="66" t="n">
        <f aca="false">IF(COUNT(H907:H916)=0,"N/M",MAX(H907:H916))</f>
        <v>330.573839662447</v>
      </c>
      <c r="I922" s="66" t="n">
        <f aca="false">IF(COUNT(I907:I916)=0,"N/M",MAX(I907:I916))</f>
        <v>279.35864978903</v>
      </c>
      <c r="J922" s="54"/>
      <c r="K922" s="54"/>
      <c r="L922" s="54"/>
    </row>
    <row r="924" customFormat="false" ht="16.5" hidden="false" customHeight="true" outlineLevel="0" collapsed="false">
      <c r="A924" s="49" t="s">
        <v>381</v>
      </c>
      <c r="B924" s="49"/>
      <c r="C924" s="49"/>
      <c r="D924" s="49"/>
      <c r="E924" s="49"/>
      <c r="F924" s="49"/>
      <c r="G924" s="49"/>
      <c r="H924" s="49"/>
      <c r="I924" s="49"/>
      <c r="J924" s="49"/>
      <c r="K924" s="49"/>
      <c r="L924" s="49"/>
    </row>
    <row r="925" customFormat="false" ht="15" hidden="false" customHeight="false" outlineLevel="0" collapsed="false">
      <c r="A925" s="16" t="s">
        <v>52</v>
      </c>
      <c r="B925" s="63" t="n">
        <f aca="false">Tiger!D152</f>
        <v>4.98580889309366</v>
      </c>
      <c r="C925" s="63" t="n">
        <f aca="false">Tiger!E152</f>
        <v>3.97161778618732</v>
      </c>
      <c r="D925" s="63" t="n">
        <f aca="false">Tiger!F152</f>
        <v>7.04162724692526</v>
      </c>
      <c r="E925" s="63" t="n">
        <f aca="false">Tiger!G152</f>
        <v>9.23651844843898</v>
      </c>
      <c r="F925" s="63" t="n">
        <f aca="false">Tiger!H152</f>
        <v>10.4853358561968</v>
      </c>
      <c r="G925" s="63" t="n">
        <f aca="false">Tiger!I152</f>
        <v>13.0842005676443</v>
      </c>
      <c r="H925" s="63" t="n">
        <f aca="false">Tiger!J152</f>
        <v>15.1352885525071</v>
      </c>
      <c r="I925" s="64" t="n">
        <f aca="false">Tiger!K152</f>
        <v>9.13434247871334</v>
      </c>
      <c r="J925" s="25" t="str">
        <f aca="false">IF(AND(ISNUMBER(I925),ISNUMBER(I$937)),IF(I925&gt;I$937,"Above",IF(I925&lt;I$937,"Below","At median")),"-")</f>
        <v>Below</v>
      </c>
      <c r="K925" s="25" t="s">
        <v>327</v>
      </c>
      <c r="L925" s="25" t="s">
        <v>327</v>
      </c>
    </row>
    <row r="926" customFormat="false" ht="15" hidden="false" customHeight="false" outlineLevel="0" collapsed="false">
      <c r="A926" s="16" t="s">
        <v>54</v>
      </c>
      <c r="B926" s="63" t="n">
        <f aca="false">Allcargo!D152</f>
        <v>21.8325193325193</v>
      </c>
      <c r="C926" s="63" t="n">
        <f aca="false">Allcargo!E152</f>
        <v>23.2350427350427</v>
      </c>
      <c r="D926" s="63" t="n">
        <f aca="false">Allcargo!F152</f>
        <v>32.1709401709402</v>
      </c>
      <c r="E926" s="63" t="n">
        <f aca="false">Allcargo!G152</f>
        <v>28.6347171347171</v>
      </c>
      <c r="F926" s="63" t="n">
        <f aca="false">Allcargo!H152</f>
        <v>25.6576109076109</v>
      </c>
      <c r="G926" s="63" t="n">
        <f aca="false">Allcargo!I152</f>
        <v>3.7522249625779</v>
      </c>
      <c r="H926" s="63" t="n">
        <f aca="false">Allcargo!J152</f>
        <v>3.83228735478702</v>
      </c>
      <c r="I926" s="64" t="n">
        <f aca="false">Allcargo!K152</f>
        <v>19.8736203711707</v>
      </c>
      <c r="J926" s="25" t="str">
        <f aca="false">IF(AND(ISNUMBER(I926),ISNUMBER(I$937)),IF(I926&gt;I$937,"Above",IF(I926&lt;I$937,"Below","At median")),"-")</f>
        <v>Above</v>
      </c>
      <c r="K926" s="25" t="s">
        <v>327</v>
      </c>
      <c r="L926" s="25" t="s">
        <v>327</v>
      </c>
    </row>
    <row r="927" customFormat="false" ht="15" hidden="false" customHeight="false" outlineLevel="0" collapsed="false">
      <c r="A927" s="16" t="s">
        <v>277</v>
      </c>
      <c r="B927" s="63" t="n">
        <f aca="false">BlueDart!D152</f>
        <v>207.101265822785</v>
      </c>
      <c r="C927" s="63" t="n">
        <f aca="false">BlueDart!E152</f>
        <v>249.772151898734</v>
      </c>
      <c r="D927" s="63" t="n">
        <f aca="false">BlueDart!F152</f>
        <v>367.928270042194</v>
      </c>
      <c r="E927" s="63" t="n">
        <f aca="false">BlueDart!G152</f>
        <v>497.704641350211</v>
      </c>
      <c r="F927" s="63" t="n">
        <f aca="false">BlueDart!H152</f>
        <v>576.907172995781</v>
      </c>
      <c r="G927" s="63" t="n">
        <f aca="false">BlueDart!I152</f>
        <v>657.822784810127</v>
      </c>
      <c r="H927" s="63" t="n">
        <f aca="false">BlueDart!J152</f>
        <v>749.717299578059</v>
      </c>
      <c r="I927" s="64" t="n">
        <f aca="false">BlueDart!K152</f>
        <v>472.42194092827</v>
      </c>
      <c r="J927" s="25" t="str">
        <f aca="false">IF(AND(ISNUMBER(I927),ISNUMBER(I$937)),IF(I927&gt;I$937,"Above",IF(I927&lt;I$937,"Below","At median")),"-")</f>
        <v>Above</v>
      </c>
      <c r="K927" s="25" t="s">
        <v>327</v>
      </c>
      <c r="L927" s="25" t="s">
        <v>327</v>
      </c>
    </row>
    <row r="928" customFormat="false" ht="15" hidden="false" customHeight="false" outlineLevel="0" collapsed="false">
      <c r="A928" s="16" t="s">
        <v>58</v>
      </c>
      <c r="B928" s="63" t="n">
        <f aca="false">CONCOR!D152</f>
        <v>131.907825630252</v>
      </c>
      <c r="C928" s="63" t="n">
        <f aca="false">CONCOR!E152</f>
        <v>133.761292016807</v>
      </c>
      <c r="D928" s="63" t="n">
        <f aca="false">CONCOR!F152</f>
        <v>141.223082983193</v>
      </c>
      <c r="E928" s="63" t="n">
        <f aca="false">CONCOR!G152</f>
        <v>147.400603991597</v>
      </c>
      <c r="F928" s="63" t="n">
        <f aca="false">CONCOR!H152</f>
        <v>155.241727941176</v>
      </c>
      <c r="G928" s="63" t="n">
        <f aca="false">CONCOR!I152</f>
        <v>162.571691176471</v>
      </c>
      <c r="H928" s="63" t="n">
        <f aca="false">CONCOR!J152</f>
        <v>169.936318277311</v>
      </c>
      <c r="I928" s="64" t="n">
        <f aca="false">CONCOR!K152</f>
        <v>148.863220288115</v>
      </c>
      <c r="J928" s="25" t="str">
        <f aca="false">IF(AND(ISNUMBER(I928),ISNUMBER(I$937)),IF(I928&gt;I$937,"Above",IF(I928&lt;I$937,"Below","At median")),"-")</f>
        <v>Above</v>
      </c>
      <c r="K928" s="25" t="s">
        <v>327</v>
      </c>
      <c r="L928" s="25" t="s">
        <v>327</v>
      </c>
    </row>
    <row r="929" customFormat="false" ht="15" hidden="false" customHeight="false" outlineLevel="0" collapsed="false">
      <c r="A929" s="16" t="s">
        <v>278</v>
      </c>
      <c r="B929" s="63" t="n">
        <f aca="false">JetFreight!D152</f>
        <v>3.7198275862069</v>
      </c>
      <c r="C929" s="63" t="n">
        <f aca="false">JetFreight!E152</f>
        <v>4.64008620689655</v>
      </c>
      <c r="D929" s="63" t="n">
        <f aca="false">JetFreight!F152</f>
        <v>5.25215517241379</v>
      </c>
      <c r="E929" s="63" t="n">
        <f aca="false">JetFreight!G152</f>
        <v>13.4137931034483</v>
      </c>
      <c r="F929" s="63" t="n">
        <f aca="false">JetFreight!H152</f>
        <v>13.4655172413793</v>
      </c>
      <c r="G929" s="63" t="n">
        <f aca="false">JetFreight!I152</f>
        <v>14.239224137931</v>
      </c>
      <c r="H929" s="63" t="n">
        <f aca="false">JetFreight!J152</f>
        <v>15.6875</v>
      </c>
      <c r="I929" s="64" t="n">
        <f aca="false">JetFreight!K152</f>
        <v>10.0597290640394</v>
      </c>
      <c r="J929" s="25" t="str">
        <f aca="false">IF(AND(ISNUMBER(I929),ISNUMBER(I$937)),IF(I929&gt;I$937,"Above",IF(I929&lt;I$937,"Below","At median")),"-")</f>
        <v>Below</v>
      </c>
      <c r="K929" s="25" t="s">
        <v>327</v>
      </c>
      <c r="L929" s="25" t="s">
        <v>327</v>
      </c>
    </row>
    <row r="930" customFormat="false" ht="15" hidden="false" customHeight="false" outlineLevel="0" collapsed="false">
      <c r="A930" s="16" t="s">
        <v>62</v>
      </c>
      <c r="B930" s="63" t="n">
        <f aca="false">Patel!D152</f>
        <v>16.7647887323944</v>
      </c>
      <c r="C930" s="63" t="n">
        <f aca="false">Patel!E152</f>
        <v>16.3562412342216</v>
      </c>
      <c r="D930" s="63" t="n">
        <f aca="false">Patel!F152</f>
        <v>16.4460028050491</v>
      </c>
      <c r="E930" s="63" t="n">
        <f aca="false">Patel!G152</f>
        <v>16.9094827586207</v>
      </c>
      <c r="F930" s="63" t="n">
        <f aca="false">Patel!H152</f>
        <v>17.1451149425287</v>
      </c>
      <c r="G930" s="63" t="n">
        <f aca="false">Patel!I152</f>
        <v>17.4798850574713</v>
      </c>
      <c r="H930" s="63" t="n">
        <f aca="false">Patel!J152</f>
        <v>17.7471264367816</v>
      </c>
      <c r="I930" s="64" t="n">
        <f aca="false">Patel!K152</f>
        <v>16.9783774238668</v>
      </c>
      <c r="J930" s="25" t="str">
        <f aca="false">IF(AND(ISNUMBER(I930),ISNUMBER(I$937)),IF(I930&gt;I$937,"Above",IF(I930&lt;I$937,"Below","At median")),"-")</f>
        <v>Below</v>
      </c>
      <c r="K930" s="25" t="s">
        <v>327</v>
      </c>
      <c r="L930" s="25" t="s">
        <v>327</v>
      </c>
    </row>
    <row r="931" customFormat="false" ht="15" hidden="false" customHeight="false" outlineLevel="0" collapsed="false">
      <c r="A931" s="16" t="s">
        <v>64</v>
      </c>
      <c r="B931" s="63" t="n">
        <f aca="false">Sical!D152</f>
        <v>83.9708996516156</v>
      </c>
      <c r="C931" s="63" t="n">
        <f aca="false">Sical!E152</f>
        <v>-114.058337318123</v>
      </c>
      <c r="D931" s="63" t="n">
        <f aca="false">Sical!F152</f>
        <v>-158.974315185464</v>
      </c>
      <c r="E931" s="63" t="n">
        <f aca="false">Sical!G152</f>
        <v>8.20242455823078</v>
      </c>
      <c r="F931" s="63" t="n">
        <f aca="false">Sical!H152</f>
        <v>4.40160002452145</v>
      </c>
      <c r="G931" s="63" t="n">
        <f aca="false">Sical!I152</f>
        <v>-0.731045686523931</v>
      </c>
      <c r="H931" s="63" t="n">
        <f aca="false">Sical!J152</f>
        <v>16.456505389822</v>
      </c>
      <c r="I931" s="64" t="n">
        <f aca="false">Sical!K152</f>
        <v>-22.9617526522744</v>
      </c>
      <c r="J931" s="25" t="str">
        <f aca="false">IF(AND(ISNUMBER(I931),ISNUMBER(I$937)),IF(I931&gt;I$937,"Above",IF(I931&lt;I$937,"Below","At median")),"-")</f>
        <v>Below</v>
      </c>
      <c r="K931" s="25" t="s">
        <v>327</v>
      </c>
      <c r="L931" s="25" t="s">
        <v>327</v>
      </c>
    </row>
    <row r="932" customFormat="false" ht="15" hidden="false" customHeight="false" outlineLevel="0" collapsed="false">
      <c r="A932" s="16" t="s">
        <v>66</v>
      </c>
      <c r="B932" s="63" t="n">
        <f aca="false">TCI!D152</f>
        <v>133.319010416667</v>
      </c>
      <c r="C932" s="63" t="n">
        <f aca="false">TCI!E152</f>
        <v>151.713359273671</v>
      </c>
      <c r="D932" s="63" t="n">
        <f aca="false">TCI!F152</f>
        <v>185.029754204398</v>
      </c>
      <c r="E932" s="63" t="n">
        <f aca="false">TCI!G152</f>
        <v>219.302835051546</v>
      </c>
      <c r="F932" s="63" t="n">
        <f aca="false">TCI!H152</f>
        <v>257.891891891892</v>
      </c>
      <c r="G932" s="63" t="n">
        <f aca="false">TCI!I152</f>
        <v>281.298955613577</v>
      </c>
      <c r="H932" s="63" t="n">
        <f aca="false">TCI!J152</f>
        <v>334.54889178618</v>
      </c>
      <c r="I932" s="64" t="n">
        <f aca="false">TCI!K152</f>
        <v>223.300671176847</v>
      </c>
      <c r="J932" s="25" t="str">
        <f aca="false">IF(AND(ISNUMBER(I932),ISNUMBER(I$937)),IF(I932&gt;I$937,"Above",IF(I932&lt;I$937,"Below","At median")),"-")</f>
        <v>Above</v>
      </c>
      <c r="K932" s="25" t="s">
        <v>327</v>
      </c>
      <c r="L932" s="25" t="s">
        <v>327</v>
      </c>
    </row>
    <row r="933" customFormat="false" ht="15" hidden="false" customHeight="false" outlineLevel="0" collapsed="false">
      <c r="A933" s="16" t="s">
        <v>68</v>
      </c>
      <c r="B933" s="63" t="n">
        <f aca="false">Shreeji!D152</f>
        <v>3.60714285714286</v>
      </c>
      <c r="C933" s="63" t="n">
        <f aca="false">Shreeji!E152</f>
        <v>3.45142857142857</v>
      </c>
      <c r="D933" s="63" t="n">
        <f aca="false">Shreeji!F152</f>
        <v>4.58857142857143</v>
      </c>
      <c r="E933" s="63" t="n">
        <f aca="false">Shreeji!G152</f>
        <v>5.83834048640916</v>
      </c>
      <c r="F933" s="63" t="n">
        <f aca="false">Shreeji!H152</f>
        <v>8.00429184549356</v>
      </c>
      <c r="G933" s="63" t="n">
        <f aca="false">Shreeji!I152</f>
        <v>8.12303290414879</v>
      </c>
      <c r="H933" s="63" t="n">
        <f aca="false">Shreeji!J152</f>
        <v>8.59942775393419</v>
      </c>
      <c r="I933" s="64" t="n">
        <f aca="false">Shreeji!K152</f>
        <v>6.03031940673265</v>
      </c>
      <c r="J933" s="25" t="str">
        <f aca="false">IF(AND(ISNUMBER(I933),ISNUMBER(I$937)),IF(I933&gt;I$937,"Above",IF(I933&lt;I$937,"Below","At median")),"-")</f>
        <v>Below</v>
      </c>
      <c r="K933" s="25" t="s">
        <v>327</v>
      </c>
      <c r="L933" s="25" t="s">
        <v>327</v>
      </c>
    </row>
    <row r="934" customFormat="false" ht="15" hidden="false" customHeight="false" outlineLevel="0" collapsed="false">
      <c r="A934" s="16" t="s">
        <v>279</v>
      </c>
      <c r="B934" s="63" t="n">
        <f aca="false">MahindraLog!D152</f>
        <v>55.3506097560976</v>
      </c>
      <c r="C934" s="63" t="n">
        <f aca="false">MahindraLog!E152</f>
        <v>57.6710659898477</v>
      </c>
      <c r="D934" s="63" t="n">
        <f aca="false">MahindraLog!F152</f>
        <v>55.3117408906883</v>
      </c>
      <c r="E934" s="63" t="n">
        <f aca="false">MahindraLog!G152</f>
        <v>56.7343434343434</v>
      </c>
      <c r="F934" s="63" t="n">
        <f aca="false">MahindraLog!H152</f>
        <v>49.7444444444445</v>
      </c>
      <c r="G934" s="63" t="n">
        <f aca="false">MahindraLog!I152</f>
        <v>44.1411290322581</v>
      </c>
      <c r="H934" s="63" t="n">
        <f aca="false">MahindraLog!J152</f>
        <v>118.425403225806</v>
      </c>
      <c r="I934" s="64" t="n">
        <f aca="false">MahindraLog!K152</f>
        <v>62.4826766819266</v>
      </c>
      <c r="J934" s="25" t="str">
        <f aca="false">IF(AND(ISNUMBER(I934),ISNUMBER(I$937)),IF(I934&gt;I$937,"Above",IF(I934&lt;I$937,"Below","At median")),"-")</f>
        <v>Above</v>
      </c>
      <c r="K934" s="25" t="s">
        <v>327</v>
      </c>
      <c r="L934" s="25" t="s">
        <v>327</v>
      </c>
    </row>
    <row r="935" customFormat="false" ht="15" hidden="false" customHeight="false" outlineLevel="0" collapsed="false">
      <c r="A935" s="46" t="s">
        <v>328</v>
      </c>
      <c r="B935" s="65" t="str">
        <f aca="false">Industry!D153</f>
        <v>n.a.</v>
      </c>
      <c r="C935" s="65" t="str">
        <f aca="false">Industry!E153</f>
        <v>n.a.</v>
      </c>
      <c r="D935" s="65" t="str">
        <f aca="false">Industry!F153</f>
        <v>n.a.</v>
      </c>
      <c r="E935" s="65" t="str">
        <f aca="false">Industry!G153</f>
        <v>n.a.</v>
      </c>
      <c r="F935" s="65" t="str">
        <f aca="false">Industry!H153</f>
        <v>n.a.</v>
      </c>
      <c r="G935" s="65" t="str">
        <f aca="false">Industry!I153</f>
        <v>n.a.</v>
      </c>
      <c r="H935" s="65" t="str">
        <f aca="false">Industry!J153</f>
        <v>n.a.</v>
      </c>
      <c r="I935" s="65" t="str">
        <f aca="false">Industry!K153</f>
        <v>n.a.</v>
      </c>
      <c r="J935" s="47"/>
      <c r="K935" s="47"/>
      <c r="L935" s="47"/>
    </row>
    <row r="936" customFormat="false" ht="15" hidden="false" customHeight="false" outlineLevel="0" collapsed="false">
      <c r="A936" s="52" t="s">
        <v>329</v>
      </c>
      <c r="B936" s="66" t="n">
        <f aca="false">IF(COUNT(B925:B934)=0,"N/M",AVERAGE(B925:B934))</f>
        <v>66.2559698678774</v>
      </c>
      <c r="C936" s="66" t="n">
        <f aca="false">IF(COUNT(C925:C934)=0,"N/M",AVERAGE(C925:C934))</f>
        <v>53.0513948394713</v>
      </c>
      <c r="D936" s="66" t="n">
        <f aca="false">IF(COUNT(D925:D934)=0,"N/M",AVERAGE(D925:D934))</f>
        <v>65.601782975891</v>
      </c>
      <c r="E936" s="66" t="n">
        <f aca="false">IF(COUNT(E925:E934)=0,"N/M",AVERAGE(E925:E934))</f>
        <v>100.337770031756</v>
      </c>
      <c r="F936" s="66" t="n">
        <f aca="false">IF(COUNT(F925:F934)=0,"N/M",AVERAGE(F925:F934))</f>
        <v>111.894470809102</v>
      </c>
      <c r="G936" s="66" t="n">
        <f aca="false">IF(COUNT(G925:G934)=0,"N/M",AVERAGE(G925:G934))</f>
        <v>120.178208257568</v>
      </c>
      <c r="H936" s="66" t="n">
        <f aca="false">IF(COUNT(H925:H934)=0,"N/M",AVERAGE(H925:H934))</f>
        <v>145.008604835519</v>
      </c>
      <c r="I936" s="66" t="n">
        <f aca="false">IF(COUNT(I925:I934)=0,"N/M",AVERAGE(I925:I934))</f>
        <v>94.6183145167408</v>
      </c>
      <c r="J936" s="54"/>
      <c r="K936" s="54"/>
      <c r="L936" s="54"/>
    </row>
    <row r="937" customFormat="false" ht="15" hidden="false" customHeight="false" outlineLevel="0" collapsed="false">
      <c r="A937" s="28" t="s">
        <v>281</v>
      </c>
      <c r="B937" s="67" t="n">
        <f aca="false">IF(COUNT(B925:B934)=0,"N/M",MEDIAN(B925:B934))</f>
        <v>38.5915645443085</v>
      </c>
      <c r="C937" s="67" t="n">
        <f aca="false">IF(COUNT(C925:C934)=0,"N/M",MEDIAN(C925:C934))</f>
        <v>19.7956419846322</v>
      </c>
      <c r="D937" s="67" t="n">
        <f aca="false">IF(COUNT(D925:D934)=0,"N/M",MEDIAN(D925:D934))</f>
        <v>24.3084714879946</v>
      </c>
      <c r="E937" s="67" t="n">
        <f aca="false">IF(COUNT(E925:E934)=0,"N/M",MEDIAN(E925:E934))</f>
        <v>22.7720999466689</v>
      </c>
      <c r="F937" s="67" t="n">
        <f aca="false">IF(COUNT(F925:F934)=0,"N/M",MEDIAN(F925:F934))</f>
        <v>21.4013629250698</v>
      </c>
      <c r="G937" s="67" t="n">
        <f aca="false">IF(COUNT(G925:G934)=0,"N/M",MEDIAN(G925:G934))</f>
        <v>15.8595545977011</v>
      </c>
      <c r="H937" s="67" t="n">
        <f aca="false">IF(COUNT(H925:H934)=0,"N/M",MEDIAN(H925:H934))</f>
        <v>17.1018159133018</v>
      </c>
      <c r="I937" s="67" t="n">
        <f aca="false">IF(COUNT(I925:I934)=0,"N/M",MEDIAN(I925:I934))</f>
        <v>18.4259988975188</v>
      </c>
      <c r="J937" s="54"/>
      <c r="K937" s="54"/>
      <c r="L937" s="54"/>
    </row>
    <row r="938" customFormat="false" ht="15" hidden="false" customHeight="false" outlineLevel="0" collapsed="false">
      <c r="A938" s="52" t="s">
        <v>330</v>
      </c>
      <c r="B938" s="66" t="n">
        <f aca="false">IF(COUNT(B925:B934)&lt;2,"N/M",STDEV(B925:B934))</f>
        <v>70.7815558151752</v>
      </c>
      <c r="C938" s="66" t="n">
        <f aca="false">IF(COUNT(C925:C934)&lt;2,"N/M",STDEV(C925:C934))</f>
        <v>101.293038070255</v>
      </c>
      <c r="D938" s="66" t="n">
        <f aca="false">IF(COUNT(D925:D934)&lt;2,"N/M",STDEV(D925:D934))</f>
        <v>139.940911464282</v>
      </c>
      <c r="E938" s="66" t="n">
        <f aca="false">IF(COUNT(E925:E934)&lt;2,"N/M",STDEV(E925:E934))</f>
        <v>156.895284631018</v>
      </c>
      <c r="F938" s="66" t="n">
        <f aca="false">IF(COUNT(F925:F934)&lt;2,"N/M",STDEV(F925:F934))</f>
        <v>183.190206308306</v>
      </c>
      <c r="G938" s="66" t="n">
        <f aca="false">IF(COUNT(G925:G934)&lt;2,"N/M",STDEV(G925:G934))</f>
        <v>209.912677813778</v>
      </c>
      <c r="H938" s="66" t="n">
        <f aca="false">IF(COUNT(H925:H934)&lt;2,"N/M",STDEV(H925:H934))</f>
        <v>237.528139194701</v>
      </c>
      <c r="I938" s="66" t="n">
        <f aca="false">IF(COUNT(I925:I934)&lt;2,"N/M",STDEV(I925:I934))</f>
        <v>153.121315782776</v>
      </c>
      <c r="J938" s="54"/>
      <c r="K938" s="54"/>
      <c r="L938" s="54"/>
    </row>
    <row r="939" customFormat="false" ht="15" hidden="false" customHeight="false" outlineLevel="0" collapsed="false">
      <c r="A939" s="52" t="s">
        <v>269</v>
      </c>
      <c r="B939" s="66" t="n">
        <f aca="false">IF(COUNT(B925:B934)=0,"N/M",MIN(B925:B934))</f>
        <v>3.60714285714286</v>
      </c>
      <c r="C939" s="66" t="n">
        <f aca="false">IF(COUNT(C925:C934)=0,"N/M",MIN(C925:C934))</f>
        <v>-114.058337318123</v>
      </c>
      <c r="D939" s="66" t="n">
        <f aca="false">IF(COUNT(D925:D934)=0,"N/M",MIN(D925:D934))</f>
        <v>-158.974315185464</v>
      </c>
      <c r="E939" s="66" t="n">
        <f aca="false">IF(COUNT(E925:E934)=0,"N/M",MIN(E925:E934))</f>
        <v>5.83834048640916</v>
      </c>
      <c r="F939" s="66" t="n">
        <f aca="false">IF(COUNT(F925:F934)=0,"N/M",MIN(F925:F934))</f>
        <v>4.40160002452145</v>
      </c>
      <c r="G939" s="66" t="n">
        <f aca="false">IF(COUNT(G925:G934)=0,"N/M",MIN(G925:G934))</f>
        <v>-0.731045686523931</v>
      </c>
      <c r="H939" s="66" t="n">
        <f aca="false">IF(COUNT(H925:H934)=0,"N/M",MIN(H925:H934))</f>
        <v>3.83228735478702</v>
      </c>
      <c r="I939" s="66" t="n">
        <f aca="false">IF(COUNT(I925:I934)=0,"N/M",MIN(I925:I934))</f>
        <v>-22.9617526522744</v>
      </c>
      <c r="J939" s="54"/>
      <c r="K939" s="54"/>
      <c r="L939" s="54"/>
    </row>
    <row r="940" customFormat="false" ht="15" hidden="false" customHeight="false" outlineLevel="0" collapsed="false">
      <c r="A940" s="52" t="s">
        <v>270</v>
      </c>
      <c r="B940" s="66" t="n">
        <f aca="false">IF(COUNT(B925:B934)=0,"N/M",MAX(B925:B934))</f>
        <v>207.101265822785</v>
      </c>
      <c r="C940" s="66" t="n">
        <f aca="false">IF(COUNT(C925:C934)=0,"N/M",MAX(C925:C934))</f>
        <v>249.772151898734</v>
      </c>
      <c r="D940" s="66" t="n">
        <f aca="false">IF(COUNT(D925:D934)=0,"N/M",MAX(D925:D934))</f>
        <v>367.928270042194</v>
      </c>
      <c r="E940" s="66" t="n">
        <f aca="false">IF(COUNT(E925:E934)=0,"N/M",MAX(E925:E934))</f>
        <v>497.704641350211</v>
      </c>
      <c r="F940" s="66" t="n">
        <f aca="false">IF(COUNT(F925:F934)=0,"N/M",MAX(F925:F934))</f>
        <v>576.907172995781</v>
      </c>
      <c r="G940" s="66" t="n">
        <f aca="false">IF(COUNT(G925:G934)=0,"N/M",MAX(G925:G934))</f>
        <v>657.822784810127</v>
      </c>
      <c r="H940" s="66" t="n">
        <f aca="false">IF(COUNT(H925:H934)=0,"N/M",MAX(H925:H934))</f>
        <v>749.717299578059</v>
      </c>
      <c r="I940" s="66" t="n">
        <f aca="false">IF(COUNT(I925:I934)=0,"N/M",MAX(I925:I934))</f>
        <v>472.42194092827</v>
      </c>
      <c r="J940" s="54"/>
      <c r="K940" s="54"/>
      <c r="L940" s="54"/>
    </row>
    <row r="942" customFormat="false" ht="16.5" hidden="false" customHeight="true" outlineLevel="0" collapsed="false">
      <c r="A942" s="49" t="s">
        <v>382</v>
      </c>
      <c r="B942" s="49"/>
      <c r="C942" s="49"/>
      <c r="D942" s="49"/>
      <c r="E942" s="49"/>
      <c r="F942" s="49"/>
      <c r="G942" s="49"/>
      <c r="H942" s="49"/>
      <c r="I942" s="49"/>
      <c r="J942" s="49"/>
      <c r="K942" s="49"/>
      <c r="L942" s="49"/>
    </row>
    <row r="943" customFormat="false" ht="15" hidden="false" customHeight="false" outlineLevel="0" collapsed="false">
      <c r="A943" s="16" t="s">
        <v>52</v>
      </c>
      <c r="B943" s="63" t="n">
        <f aca="false">Tiger!D153</f>
        <v>0</v>
      </c>
      <c r="C943" s="63" t="n">
        <f aca="false">Tiger!E153</f>
        <v>0</v>
      </c>
      <c r="D943" s="63" t="n">
        <f aca="false">Tiger!F153</f>
        <v>0.100283822138127</v>
      </c>
      <c r="E943" s="63" t="n">
        <f aca="false">Tiger!G153</f>
        <v>0</v>
      </c>
      <c r="F943" s="63" t="n">
        <f aca="false">Tiger!H153</f>
        <v>0</v>
      </c>
      <c r="G943" s="63" t="n">
        <f aca="false">Tiger!I153</f>
        <v>0</v>
      </c>
      <c r="H943" s="63" t="n">
        <f aca="false">Tiger!J153</f>
        <v>0</v>
      </c>
      <c r="I943" s="64" t="n">
        <f aca="false">Tiger!K153</f>
        <v>0.0143262603054467</v>
      </c>
      <c r="J943" s="25" t="str">
        <f aca="false">IF(AND(ISNUMBER(I943),ISNUMBER(I$955)),IF(I943&gt;I$955,"Above",IF(I943&lt;I$955,"Below","At median")),"-")</f>
        <v>Below</v>
      </c>
      <c r="K943" s="25" t="s">
        <v>327</v>
      </c>
      <c r="L943" s="25" t="s">
        <v>327</v>
      </c>
    </row>
    <row r="944" customFormat="false" ht="15" hidden="false" customHeight="false" outlineLevel="0" collapsed="false">
      <c r="A944" s="16" t="s">
        <v>54</v>
      </c>
      <c r="B944" s="63" t="n">
        <f aca="false">Allcargo!D153</f>
        <v>0.75</v>
      </c>
      <c r="C944" s="63" t="n">
        <f aca="false">Allcargo!E153</f>
        <v>0.5</v>
      </c>
      <c r="D944" s="63" t="n">
        <f aca="false">Allcargo!F153</f>
        <v>0.75</v>
      </c>
      <c r="E944" s="63" t="n">
        <f aca="false">Allcargo!G153</f>
        <v>0.812474562474562</v>
      </c>
      <c r="F944" s="63" t="n">
        <f aca="false">Allcargo!H153</f>
        <v>1</v>
      </c>
      <c r="G944" s="63" t="n">
        <f aca="false">Allcargo!I153</f>
        <v>2.10311541496804</v>
      </c>
      <c r="H944" s="63" t="n">
        <f aca="false">Allcargo!J153</f>
        <v>0</v>
      </c>
      <c r="I944" s="64" t="n">
        <f aca="false">Allcargo!K153</f>
        <v>0.8450842824918</v>
      </c>
      <c r="J944" s="25" t="str">
        <f aca="false">IF(AND(ISNUMBER(I944),ISNUMBER(I$955)),IF(I944&gt;I$955,"Above",IF(I944&lt;I$955,"Below","At median")),"-")</f>
        <v>Above</v>
      </c>
      <c r="K944" s="25" t="s">
        <v>327</v>
      </c>
      <c r="L944" s="25" t="s">
        <v>327</v>
      </c>
    </row>
    <row r="945" customFormat="false" ht="15" hidden="false" customHeight="false" outlineLevel="0" collapsed="false">
      <c r="A945" s="16" t="s">
        <v>277</v>
      </c>
      <c r="B945" s="63" t="n">
        <f aca="false">BlueDart!D153</f>
        <v>0</v>
      </c>
      <c r="C945" s="63" t="n">
        <f aca="false">BlueDart!E153</f>
        <v>15.0379746835443</v>
      </c>
      <c r="D945" s="63" t="n">
        <f aca="false">BlueDart!F153</f>
        <v>60.1518987341772</v>
      </c>
      <c r="E945" s="63" t="n">
        <f aca="false">BlueDart!G153</f>
        <v>30.0759493670886</v>
      </c>
      <c r="F945" s="63" t="n">
        <f aca="false">BlueDart!H153</f>
        <v>25.0632911392405</v>
      </c>
      <c r="G945" s="63" t="n">
        <f aca="false">BlueDart!I153</f>
        <v>25.0632911392405</v>
      </c>
      <c r="H945" s="63" t="n">
        <f aca="false">BlueDart!J153</f>
        <v>25.0632911392405</v>
      </c>
      <c r="I945" s="64" t="n">
        <f aca="false">BlueDart!K153</f>
        <v>25.7793851717902</v>
      </c>
      <c r="J945" s="25" t="str">
        <f aca="false">IF(AND(ISNUMBER(I945),ISNUMBER(I$955)),IF(I945&gt;I$955,"Above",IF(I945&lt;I$955,"Below","At median")),"-")</f>
        <v>Above</v>
      </c>
      <c r="K945" s="25" t="s">
        <v>327</v>
      </c>
      <c r="L945" s="25" t="s">
        <v>327</v>
      </c>
    </row>
    <row r="946" customFormat="false" ht="15" hidden="false" customHeight="false" outlineLevel="0" collapsed="false">
      <c r="A946" s="16" t="s">
        <v>58</v>
      </c>
      <c r="B946" s="63" t="n">
        <f aca="false">CONCOR!D153</f>
        <v>2.88012079831933</v>
      </c>
      <c r="C946" s="63" t="n">
        <f aca="false">CONCOR!E153</f>
        <v>4.00013130252101</v>
      </c>
      <c r="D946" s="63" t="n">
        <f aca="false">CONCOR!F153</f>
        <v>7.20023634453782</v>
      </c>
      <c r="E946" s="63" t="n">
        <f aca="false">CONCOR!G153</f>
        <v>8.80028886554622</v>
      </c>
      <c r="F946" s="63" t="n">
        <f aca="false">CONCOR!H153</f>
        <v>9.20036764705882</v>
      </c>
      <c r="G946" s="63" t="n">
        <f aca="false">CONCOR!I153</f>
        <v>9.20036764705882</v>
      </c>
      <c r="H946" s="63" t="n">
        <f aca="false">CONCOR!J153</f>
        <v>8.60018382352941</v>
      </c>
      <c r="I946" s="64" t="n">
        <f aca="false">CONCOR!K153</f>
        <v>7.12595663265306</v>
      </c>
      <c r="J946" s="25" t="str">
        <f aca="false">IF(AND(ISNUMBER(I946),ISNUMBER(I$955)),IF(I946&gt;I$955,"Above",IF(I946&lt;I$955,"Below","At median")),"-")</f>
        <v>Above</v>
      </c>
      <c r="K946" s="25" t="s">
        <v>327</v>
      </c>
      <c r="L946" s="25" t="s">
        <v>327</v>
      </c>
    </row>
    <row r="947" customFormat="false" ht="15" hidden="false" customHeight="false" outlineLevel="0" collapsed="false">
      <c r="A947" s="16" t="s">
        <v>278</v>
      </c>
      <c r="B947" s="63" t="n">
        <f aca="false">JetFreight!D153</f>
        <v>0</v>
      </c>
      <c r="C947" s="63" t="n">
        <f aca="false">JetFreight!E153</f>
        <v>0</v>
      </c>
      <c r="D947" s="63" t="n">
        <f aca="false">JetFreight!F153</f>
        <v>0.0258620689655172</v>
      </c>
      <c r="E947" s="63" t="n">
        <f aca="false">JetFreight!G153</f>
        <v>0</v>
      </c>
      <c r="F947" s="63" t="n">
        <f aca="false">JetFreight!H153</f>
        <v>0</v>
      </c>
      <c r="G947" s="63" t="n">
        <f aca="false">JetFreight!I153</f>
        <v>0</v>
      </c>
      <c r="H947" s="63" t="n">
        <f aca="false">JetFreight!J153</f>
        <v>0</v>
      </c>
      <c r="I947" s="64" t="n">
        <f aca="false">JetFreight!K153</f>
        <v>0.00369458128078818</v>
      </c>
      <c r="J947" s="25" t="str">
        <f aca="false">IF(AND(ISNUMBER(I947),ISNUMBER(I$955)),IF(I947&gt;I$955,"Above",IF(I947&lt;I$955,"Below","At median")),"-")</f>
        <v>Below</v>
      </c>
      <c r="K947" s="25" t="s">
        <v>327</v>
      </c>
      <c r="L947" s="25" t="s">
        <v>327</v>
      </c>
    </row>
    <row r="948" customFormat="false" ht="15" hidden="false" customHeight="false" outlineLevel="0" collapsed="false">
      <c r="A948" s="16" t="s">
        <v>62</v>
      </c>
      <c r="B948" s="63" t="n">
        <f aca="false">Patel!D153</f>
        <v>0.023943661971831</v>
      </c>
      <c r="C948" s="63" t="n">
        <f aca="false">Patel!E153</f>
        <v>0.0364656381486676</v>
      </c>
      <c r="D948" s="63" t="n">
        <f aca="false">Patel!F153</f>
        <v>0.0504908835904628</v>
      </c>
      <c r="E948" s="63" t="n">
        <f aca="false">Patel!G153</f>
        <v>0.0933908045977012</v>
      </c>
      <c r="F948" s="63" t="n">
        <f aca="false">Patel!H153</f>
        <v>0.0933908045977012</v>
      </c>
      <c r="G948" s="63" t="n">
        <f aca="false">Patel!I153</f>
        <v>0.300287356321839</v>
      </c>
      <c r="H948" s="63" t="n">
        <f aca="false">Patel!J153</f>
        <v>0.199712643678161</v>
      </c>
      <c r="I948" s="64" t="n">
        <f aca="false">Patel!K153</f>
        <v>0.113954541843766</v>
      </c>
      <c r="J948" s="25" t="str">
        <f aca="false">IF(AND(ISNUMBER(I948),ISNUMBER(I$955)),IF(I948&gt;I$955,"Above",IF(I948&lt;I$955,"Below","At median")),"-")</f>
        <v>Below</v>
      </c>
      <c r="K948" s="25" t="s">
        <v>327</v>
      </c>
      <c r="L948" s="25" t="s">
        <v>327</v>
      </c>
    </row>
    <row r="949" customFormat="false" ht="15" hidden="false" customHeight="false" outlineLevel="0" collapsed="false">
      <c r="A949" s="16" t="s">
        <v>64</v>
      </c>
      <c r="B949" s="63" t="n">
        <f aca="false">Sical!D153</f>
        <v>0</v>
      </c>
      <c r="C949" s="63" t="n">
        <f aca="false">Sical!E153</f>
        <v>0</v>
      </c>
      <c r="D949" s="63" t="n">
        <f aca="false">Sical!F153</f>
        <v>0</v>
      </c>
      <c r="E949" s="63" t="n">
        <f aca="false">Sical!G153</f>
        <v>0</v>
      </c>
      <c r="F949" s="63" t="n">
        <f aca="false">Sical!H153</f>
        <v>0</v>
      </c>
      <c r="G949" s="63" t="n">
        <f aca="false">Sical!I153</f>
        <v>0</v>
      </c>
      <c r="H949" s="63" t="n">
        <f aca="false">Sical!J153</f>
        <v>0</v>
      </c>
      <c r="I949" s="64" t="n">
        <f aca="false">Sical!K153</f>
        <v>0</v>
      </c>
      <c r="J949" s="25" t="str">
        <f aca="false">IF(AND(ISNUMBER(I949),ISNUMBER(I$955)),IF(I949&gt;I$955,"Above",IF(I949&lt;I$955,"Below","At median")),"-")</f>
        <v>Below</v>
      </c>
      <c r="K949" s="25" t="s">
        <v>327</v>
      </c>
      <c r="L949" s="25" t="s">
        <v>327</v>
      </c>
    </row>
    <row r="950" customFormat="false" ht="15" hidden="false" customHeight="false" outlineLevel="0" collapsed="false">
      <c r="A950" s="16" t="s">
        <v>66</v>
      </c>
      <c r="B950" s="63" t="n">
        <f aca="false">TCI!D153</f>
        <v>2.00130208333333</v>
      </c>
      <c r="C950" s="63" t="n">
        <f aca="false">TCI!E153</f>
        <v>2.50064850843061</v>
      </c>
      <c r="D950" s="63" t="n">
        <f aca="false">TCI!F153</f>
        <v>4.0025873221216</v>
      </c>
      <c r="E950" s="63" t="n">
        <f aca="false">TCI!G153</f>
        <v>6.99484536082474</v>
      </c>
      <c r="F950" s="63" t="n">
        <f aca="false">TCI!H153</f>
        <v>7.003861003861</v>
      </c>
      <c r="G950" s="63" t="n">
        <f aca="false">TCI!I153</f>
        <v>8</v>
      </c>
      <c r="H950" s="63" t="n">
        <f aca="false">TCI!J153</f>
        <v>10.006518904824</v>
      </c>
      <c r="I950" s="64" t="n">
        <f aca="false">TCI!K153</f>
        <v>5.78710902619933</v>
      </c>
      <c r="J950" s="25" t="str">
        <f aca="false">IF(AND(ISNUMBER(I950),ISNUMBER(I$955)),IF(I950&gt;I$955,"Above",IF(I950&lt;I$955,"Below","At median")),"-")</f>
        <v>Above</v>
      </c>
      <c r="K950" s="25" t="s">
        <v>327</v>
      </c>
      <c r="L950" s="25" t="s">
        <v>327</v>
      </c>
    </row>
    <row r="951" customFormat="false" ht="15" hidden="false" customHeight="false" outlineLevel="0" collapsed="false">
      <c r="A951" s="16" t="s">
        <v>68</v>
      </c>
      <c r="B951" s="63" t="n">
        <f aca="false">Shreeji!D153</f>
        <v>0.0742857142857143</v>
      </c>
      <c r="C951" s="63" t="n">
        <f aca="false">Shreeji!E153</f>
        <v>0.15</v>
      </c>
      <c r="D951" s="63" t="n">
        <f aca="false">Shreeji!F153</f>
        <v>0.3</v>
      </c>
      <c r="E951" s="63" t="n">
        <f aca="false">Shreeji!G153</f>
        <v>0.150214592274678</v>
      </c>
      <c r="F951" s="63" t="n">
        <f aca="false">Shreeji!H153</f>
        <v>0.100143061516452</v>
      </c>
      <c r="G951" s="63" t="n">
        <f aca="false">Shreeji!I153</f>
        <v>0</v>
      </c>
      <c r="H951" s="63" t="n">
        <f aca="false">Shreeji!J153</f>
        <v>0</v>
      </c>
      <c r="I951" s="64" t="n">
        <f aca="false">Shreeji!K153</f>
        <v>0.110663338296692</v>
      </c>
      <c r="J951" s="25" t="str">
        <f aca="false">IF(AND(ISNUMBER(I951),ISNUMBER(I$955)),IF(I951&gt;I$955,"Above",IF(I951&lt;I$955,"Below","At median")),"-")</f>
        <v>Below</v>
      </c>
      <c r="K951" s="25" t="s">
        <v>327</v>
      </c>
      <c r="L951" s="25" t="s">
        <v>327</v>
      </c>
    </row>
    <row r="952" customFormat="false" ht="15" hidden="false" customHeight="false" outlineLevel="0" collapsed="false">
      <c r="A952" s="16" t="s">
        <v>279</v>
      </c>
      <c r="B952" s="63" t="n">
        <f aca="false">MahindraLog!D153</f>
        <v>1.09044715447154</v>
      </c>
      <c r="C952" s="63" t="n">
        <f aca="false">MahindraLog!E153</f>
        <v>1.81928934010152</v>
      </c>
      <c r="D952" s="63" t="n">
        <f aca="false">MahindraLog!F153</f>
        <v>1.45445344129555</v>
      </c>
      <c r="E952" s="63" t="n">
        <f aca="false">MahindraLog!G153</f>
        <v>1.81818181818182</v>
      </c>
      <c r="F952" s="63" t="n">
        <f aca="false">MahindraLog!H153</f>
        <v>1.81919191919192</v>
      </c>
      <c r="G952" s="63" t="n">
        <f aca="false">MahindraLog!I153</f>
        <v>1.81754032258065</v>
      </c>
      <c r="H952" s="63" t="n">
        <f aca="false">MahindraLog!J153</f>
        <v>2.5</v>
      </c>
      <c r="I952" s="64" t="n">
        <f aca="false">MahindraLog!K153</f>
        <v>1.75987199940329</v>
      </c>
      <c r="J952" s="25" t="str">
        <f aca="false">IF(AND(ISNUMBER(I952),ISNUMBER(I$955)),IF(I952&gt;I$955,"Above",IF(I952&lt;I$955,"Below","At median")),"-")</f>
        <v>Above</v>
      </c>
      <c r="K952" s="25" t="s">
        <v>327</v>
      </c>
      <c r="L952" s="25" t="s">
        <v>327</v>
      </c>
    </row>
    <row r="953" customFormat="false" ht="15" hidden="false" customHeight="false" outlineLevel="0" collapsed="false">
      <c r="A953" s="46" t="s">
        <v>328</v>
      </c>
      <c r="B953" s="65" t="str">
        <f aca="false">Industry!D154</f>
        <v>n.a.</v>
      </c>
      <c r="C953" s="65" t="str">
        <f aca="false">Industry!E154</f>
        <v>n.a.</v>
      </c>
      <c r="D953" s="65" t="str">
        <f aca="false">Industry!F154</f>
        <v>n.a.</v>
      </c>
      <c r="E953" s="65" t="str">
        <f aca="false">Industry!G154</f>
        <v>n.a.</v>
      </c>
      <c r="F953" s="65" t="str">
        <f aca="false">Industry!H154</f>
        <v>n.a.</v>
      </c>
      <c r="G953" s="65" t="str">
        <f aca="false">Industry!I154</f>
        <v>n.a.</v>
      </c>
      <c r="H953" s="65" t="str">
        <f aca="false">Industry!J154</f>
        <v>n.a.</v>
      </c>
      <c r="I953" s="65" t="str">
        <f aca="false">Industry!K154</f>
        <v>n.a.</v>
      </c>
      <c r="J953" s="47"/>
      <c r="K953" s="47"/>
      <c r="L953" s="47"/>
    </row>
    <row r="954" customFormat="false" ht="15" hidden="false" customHeight="false" outlineLevel="0" collapsed="false">
      <c r="A954" s="52" t="s">
        <v>329</v>
      </c>
      <c r="B954" s="66" t="n">
        <f aca="false">IF(COUNT(B943:B952)=0,"N/M",AVERAGE(B943:B952))</f>
        <v>0.682009941238175</v>
      </c>
      <c r="C954" s="66" t="n">
        <f aca="false">IF(COUNT(C943:C952)=0,"N/M",AVERAGE(C943:C952))</f>
        <v>2.40445094727461</v>
      </c>
      <c r="D954" s="66" t="n">
        <f aca="false">IF(COUNT(D943:D952)=0,"N/M",AVERAGE(D943:D952))</f>
        <v>7.40358126168263</v>
      </c>
      <c r="E954" s="66" t="n">
        <f aca="false">IF(COUNT(E943:E952)=0,"N/M",AVERAGE(E943:E952))</f>
        <v>4.87453453709883</v>
      </c>
      <c r="F954" s="66" t="n">
        <f aca="false">IF(COUNT(F943:F952)=0,"N/M",AVERAGE(F943:F952))</f>
        <v>4.42802455754664</v>
      </c>
      <c r="G954" s="66" t="n">
        <f aca="false">IF(COUNT(G943:G952)=0,"N/M",AVERAGE(G943:G952))</f>
        <v>4.64846018801699</v>
      </c>
      <c r="H954" s="66" t="n">
        <f aca="false">IF(COUNT(H943:H952)=0,"N/M",AVERAGE(H943:H952))</f>
        <v>4.63697065112721</v>
      </c>
      <c r="I954" s="66" t="n">
        <f aca="false">IF(COUNT(I943:I952)=0,"N/M",AVERAGE(I943:I952))</f>
        <v>4.15400458342644</v>
      </c>
      <c r="J954" s="54"/>
      <c r="K954" s="54"/>
      <c r="L954" s="54"/>
    </row>
    <row r="955" customFormat="false" ht="15" hidden="false" customHeight="false" outlineLevel="0" collapsed="false">
      <c r="A955" s="28" t="s">
        <v>281</v>
      </c>
      <c r="B955" s="67" t="n">
        <f aca="false">IF(COUNT(B943:B952)=0,"N/M",MEDIAN(B943:B952))</f>
        <v>0.0491146881287726</v>
      </c>
      <c r="C955" s="67" t="n">
        <f aca="false">IF(COUNT(C943:C952)=0,"N/M",MEDIAN(C943:C952))</f>
        <v>0.325</v>
      </c>
      <c r="D955" s="67" t="n">
        <f aca="false">IF(COUNT(D943:D952)=0,"N/M",MEDIAN(D943:D952))</f>
        <v>0.525</v>
      </c>
      <c r="E955" s="67" t="n">
        <f aca="false">IF(COUNT(E943:E952)=0,"N/M",MEDIAN(E943:E952))</f>
        <v>0.48134457737462</v>
      </c>
      <c r="F955" s="67" t="n">
        <f aca="false">IF(COUNT(F943:F952)=0,"N/M",MEDIAN(F943:F952))</f>
        <v>0.550071530758226</v>
      </c>
      <c r="G955" s="67" t="n">
        <f aca="false">IF(COUNT(G943:G952)=0,"N/M",MEDIAN(G943:G952))</f>
        <v>1.05891383945124</v>
      </c>
      <c r="H955" s="67" t="n">
        <f aca="false">IF(COUNT(H943:H952)=0,"N/M",MEDIAN(H943:H952))</f>
        <v>0.0998563218390805</v>
      </c>
      <c r="I955" s="67" t="n">
        <f aca="false">IF(COUNT(I943:I952)=0,"N/M",MEDIAN(I943:I952))</f>
        <v>0.479519412167783</v>
      </c>
      <c r="J955" s="54"/>
      <c r="K955" s="54"/>
      <c r="L955" s="54"/>
    </row>
    <row r="956" customFormat="false" ht="15" hidden="false" customHeight="false" outlineLevel="0" collapsed="false">
      <c r="A956" s="52" t="s">
        <v>330</v>
      </c>
      <c r="B956" s="66" t="n">
        <f aca="false">IF(COUNT(B943:B952)&lt;2,"N/M",STDEV(B943:B952))</f>
        <v>1.02233919709108</v>
      </c>
      <c r="C956" s="66" t="n">
        <f aca="false">IF(COUNT(C943:C952)&lt;2,"N/M",STDEV(C943:C952))</f>
        <v>4.64476737666902</v>
      </c>
      <c r="D956" s="66" t="n">
        <f aca="false">IF(COUNT(D943:D952)&lt;2,"N/M",STDEV(D943:D952))</f>
        <v>18.680846057647</v>
      </c>
      <c r="E956" s="66" t="n">
        <f aca="false">IF(COUNT(E943:E952)&lt;2,"N/M",STDEV(E943:E952))</f>
        <v>9.41229687897489</v>
      </c>
      <c r="F956" s="66" t="n">
        <f aca="false">IF(COUNT(F943:F952)&lt;2,"N/M",STDEV(F943:F952))</f>
        <v>7.9590869899647</v>
      </c>
      <c r="G956" s="66" t="n">
        <f aca="false">IF(COUNT(G943:G952)&lt;2,"N/M",STDEV(G943:G952))</f>
        <v>7.94809708983393</v>
      </c>
      <c r="H956" s="66" t="n">
        <f aca="false">IF(COUNT(H943:H952)&lt;2,"N/M",STDEV(H943:H952))</f>
        <v>8.12087202533846</v>
      </c>
      <c r="I956" s="66" t="n">
        <f aca="false">IF(COUNT(I943:I952)&lt;2,"N/M",STDEV(I943:I952))</f>
        <v>8.02860037379093</v>
      </c>
      <c r="J956" s="54"/>
      <c r="K956" s="54"/>
      <c r="L956" s="54"/>
    </row>
    <row r="957" customFormat="false" ht="15" hidden="false" customHeight="false" outlineLevel="0" collapsed="false">
      <c r="A957" s="52" t="s">
        <v>269</v>
      </c>
      <c r="B957" s="66" t="n">
        <f aca="false">IF(COUNT(B943:B952)=0,"N/M",MIN(B943:B952))</f>
        <v>0</v>
      </c>
      <c r="C957" s="66" t="n">
        <f aca="false">IF(COUNT(C943:C952)=0,"N/M",MIN(C943:C952))</f>
        <v>0</v>
      </c>
      <c r="D957" s="66" t="n">
        <f aca="false">IF(COUNT(D943:D952)=0,"N/M",MIN(D943:D952))</f>
        <v>0</v>
      </c>
      <c r="E957" s="66" t="n">
        <f aca="false">IF(COUNT(E943:E952)=0,"N/M",MIN(E943:E952))</f>
        <v>0</v>
      </c>
      <c r="F957" s="66" t="n">
        <f aca="false">IF(COUNT(F943:F952)=0,"N/M",MIN(F943:F952))</f>
        <v>0</v>
      </c>
      <c r="G957" s="66" t="n">
        <f aca="false">IF(COUNT(G943:G952)=0,"N/M",MIN(G943:G952))</f>
        <v>0</v>
      </c>
      <c r="H957" s="66" t="n">
        <f aca="false">IF(COUNT(H943:H952)=0,"N/M",MIN(H943:H952))</f>
        <v>0</v>
      </c>
      <c r="I957" s="66" t="n">
        <f aca="false">IF(COUNT(I943:I952)=0,"N/M",MIN(I943:I952))</f>
        <v>0</v>
      </c>
      <c r="J957" s="54"/>
      <c r="K957" s="54"/>
      <c r="L957" s="54"/>
    </row>
    <row r="958" customFormat="false" ht="15" hidden="false" customHeight="false" outlineLevel="0" collapsed="false">
      <c r="A958" s="52" t="s">
        <v>270</v>
      </c>
      <c r="B958" s="66" t="n">
        <f aca="false">IF(COUNT(B943:B952)=0,"N/M",MAX(B943:B952))</f>
        <v>2.88012079831933</v>
      </c>
      <c r="C958" s="66" t="n">
        <f aca="false">IF(COUNT(C943:C952)=0,"N/M",MAX(C943:C952))</f>
        <v>15.0379746835443</v>
      </c>
      <c r="D958" s="66" t="n">
        <f aca="false">IF(COUNT(D943:D952)=0,"N/M",MAX(D943:D952))</f>
        <v>60.1518987341772</v>
      </c>
      <c r="E958" s="66" t="n">
        <f aca="false">IF(COUNT(E943:E952)=0,"N/M",MAX(E943:E952))</f>
        <v>30.0759493670886</v>
      </c>
      <c r="F958" s="66" t="n">
        <f aca="false">IF(COUNT(F943:F952)=0,"N/M",MAX(F943:F952))</f>
        <v>25.0632911392405</v>
      </c>
      <c r="G958" s="66" t="n">
        <f aca="false">IF(COUNT(G943:G952)=0,"N/M",MAX(G943:G952))</f>
        <v>25.0632911392405</v>
      </c>
      <c r="H958" s="66" t="n">
        <f aca="false">IF(COUNT(H943:H952)=0,"N/M",MAX(H943:H952))</f>
        <v>25.0632911392405</v>
      </c>
      <c r="I958" s="66" t="n">
        <f aca="false">IF(COUNT(I943:I952)=0,"N/M",MAX(I943:I952))</f>
        <v>25.7793851717902</v>
      </c>
      <c r="J958" s="54"/>
      <c r="K958" s="54"/>
      <c r="L958" s="54"/>
    </row>
    <row r="960" customFormat="false" ht="16.5" hidden="false" customHeight="true" outlineLevel="0" collapsed="false">
      <c r="A960" s="49" t="s">
        <v>383</v>
      </c>
      <c r="B960" s="49"/>
      <c r="C960" s="49"/>
      <c r="D960" s="49"/>
      <c r="E960" s="49"/>
      <c r="F960" s="49"/>
      <c r="G960" s="49"/>
      <c r="H960" s="49"/>
      <c r="I960" s="49"/>
      <c r="J960" s="49"/>
      <c r="K960" s="49"/>
      <c r="L960" s="49"/>
    </row>
    <row r="961" customFormat="false" ht="15" hidden="false" customHeight="false" outlineLevel="0" collapsed="false">
      <c r="A961" s="16" t="s">
        <v>52</v>
      </c>
      <c r="B961" s="27" t="n">
        <f aca="false">Tiger!D154</f>
        <v>0</v>
      </c>
      <c r="C961" s="27" t="n">
        <f aca="false">Tiger!E154</f>
        <v>0</v>
      </c>
      <c r="D961" s="27" t="n">
        <f aca="false">Tiger!F154</f>
        <v>0.0315194766577461</v>
      </c>
      <c r="E961" s="27" t="n">
        <f aca="false">Tiger!G154</f>
        <v>0</v>
      </c>
      <c r="F961" s="27" t="n">
        <f aca="false">Tiger!H154</f>
        <v>0</v>
      </c>
      <c r="G961" s="27" t="n">
        <f aca="false">Tiger!I154</f>
        <v>0</v>
      </c>
      <c r="H961" s="27" t="n">
        <f aca="false">Tiger!J154</f>
        <v>0</v>
      </c>
      <c r="I961" s="61" t="n">
        <f aca="false">Tiger!K154</f>
        <v>0.00450278237967801</v>
      </c>
      <c r="J961" s="25" t="str">
        <f aca="false">IF(AND(ISNUMBER(I961),ISNUMBER(I$973)),IF(I961&gt;I$973,"Above",IF(I961&lt;I$973,"Below","At median")),"-")</f>
        <v>Below</v>
      </c>
      <c r="K961" s="25" t="s">
        <v>327</v>
      </c>
      <c r="L961" s="25" t="s">
        <v>327</v>
      </c>
    </row>
    <row r="962" customFormat="false" ht="15" hidden="false" customHeight="false" outlineLevel="0" collapsed="false">
      <c r="A962" s="16" t="s">
        <v>54</v>
      </c>
      <c r="B962" s="27" t="n">
        <f aca="false">Allcargo!D154</f>
        <v>0.330538116591928</v>
      </c>
      <c r="C962" s="27" t="n">
        <f aca="false">Allcargo!E154</f>
        <v>0.284210526315789</v>
      </c>
      <c r="D962" s="27" t="n">
        <f aca="false">Allcargo!F154</f>
        <v>0.0796245084906883</v>
      </c>
      <c r="E962" s="27" t="n">
        <f aca="false">Allcargo!G154</f>
        <v>0.126828570974761</v>
      </c>
      <c r="F962" s="27" t="n">
        <f aca="false">Allcargo!H154</f>
        <v>0.656513026052104</v>
      </c>
      <c r="G962" s="27" t="n">
        <f aca="false">Allcargo!I154</f>
        <v>4.84615384615385</v>
      </c>
      <c r="H962" s="27" t="n">
        <f aca="false">Allcargo!J154</f>
        <v>0</v>
      </c>
      <c r="I962" s="61" t="n">
        <f aca="false">Allcargo!K154</f>
        <v>0.903409799225588</v>
      </c>
      <c r="J962" s="25" t="str">
        <f aca="false">IF(AND(ISNUMBER(I962),ISNUMBER(I$973)),IF(I962&gt;I$973,"Above",IF(I962&lt;I$973,"Below","At median")),"-")</f>
        <v>Above</v>
      </c>
      <c r="K962" s="25" t="s">
        <v>327</v>
      </c>
      <c r="L962" s="25" t="s">
        <v>327</v>
      </c>
    </row>
    <row r="963" customFormat="false" ht="15" hidden="false" customHeight="false" outlineLevel="0" collapsed="false">
      <c r="A963" s="16" t="s">
        <v>277</v>
      </c>
      <c r="B963" s="27" t="n">
        <f aca="false">BlueDart!D154</f>
        <v>0</v>
      </c>
      <c r="C963" s="27" t="n">
        <f aca="false">BlueDart!E154</f>
        <v>0.350063844416069</v>
      </c>
      <c r="D963" s="27" t="n">
        <f aca="false">BlueDart!F154</f>
        <v>0.372988671149368</v>
      </c>
      <c r="E963" s="27" t="n">
        <f aca="false">BlueDart!G154</f>
        <v>0.192373087199417</v>
      </c>
      <c r="F963" s="27" t="n">
        <f aca="false">BlueDart!H154</f>
        <v>0.197335636689811</v>
      </c>
      <c r="G963" s="27" t="n">
        <f aca="false">BlueDart!I154</f>
        <v>0.235322082243879</v>
      </c>
      <c r="H963" s="27" t="n">
        <f aca="false">BlueDart!J154</f>
        <v>0.240106714095153</v>
      </c>
      <c r="I963" s="61" t="n">
        <f aca="false">BlueDart!K154</f>
        <v>0.226884290827671</v>
      </c>
      <c r="J963" s="25" t="str">
        <f aca="false">IF(AND(ISNUMBER(I963),ISNUMBER(I$973)),IF(I963&gt;I$973,"Above",IF(I963&lt;I$973,"Below","At median")),"-")</f>
        <v>Above</v>
      </c>
      <c r="K963" s="25" t="s">
        <v>327</v>
      </c>
      <c r="L963" s="25" t="s">
        <v>327</v>
      </c>
    </row>
    <row r="964" customFormat="false" ht="15" hidden="false" customHeight="false" outlineLevel="0" collapsed="false">
      <c r="A964" s="16" t="s">
        <v>58</v>
      </c>
      <c r="B964" s="27" t="n">
        <f aca="false">CONCOR!D154</f>
        <v>0.543591395717684</v>
      </c>
      <c r="C964" s="27" t="n">
        <f aca="false">CONCOR!E154</f>
        <v>0.602956893480584</v>
      </c>
      <c r="D964" s="27" t="n">
        <f aca="false">CONCOR!F154</f>
        <v>0.519722875123209</v>
      </c>
      <c r="E964" s="27" t="n">
        <f aca="false">CONCOR!G154</f>
        <v>0.570957601778732</v>
      </c>
      <c r="F964" s="27" t="n">
        <f aca="false">CONCOR!H154</f>
        <v>0.555850831753385</v>
      </c>
      <c r="G964" s="27" t="n">
        <f aca="false">CONCOR!I154</f>
        <v>0.54317408392183</v>
      </c>
      <c r="H964" s="27" t="n">
        <f aca="false">CONCOR!J154</f>
        <v>0.527452085682075</v>
      </c>
      <c r="I964" s="61" t="n">
        <f aca="false">CONCOR!K154</f>
        <v>0.551957966779643</v>
      </c>
      <c r="J964" s="25" t="str">
        <f aca="false">IF(AND(ISNUMBER(I964),ISNUMBER(I$973)),IF(I964&gt;I$973,"Above",IF(I964&lt;I$973,"Below","At median")),"-")</f>
        <v>Above</v>
      </c>
      <c r="K964" s="25" t="s">
        <v>327</v>
      </c>
      <c r="L964" s="25" t="s">
        <v>327</v>
      </c>
    </row>
    <row r="965" customFormat="false" ht="15" hidden="false" customHeight="false" outlineLevel="0" collapsed="false">
      <c r="A965" s="16" t="s">
        <v>278</v>
      </c>
      <c r="B965" s="27" t="n">
        <f aca="false">JetFreight!D154</f>
        <v>0</v>
      </c>
      <c r="C965" s="27" t="n">
        <f aca="false">JetFreight!E154</f>
        <v>0</v>
      </c>
      <c r="D965" s="27" t="n">
        <f aca="false">JetFreight!F154</f>
        <v>0.0425531914893617</v>
      </c>
      <c r="E965" s="27" t="n">
        <f aca="false">JetFreight!G154</f>
        <v>0</v>
      </c>
      <c r="F965" s="27" t="n">
        <f aca="false">JetFreight!H154</f>
        <v>0</v>
      </c>
      <c r="G965" s="27" t="n">
        <f aca="false">JetFreight!I154</f>
        <v>0</v>
      </c>
      <c r="H965" s="27" t="n">
        <f aca="false">JetFreight!J154</f>
        <v>0</v>
      </c>
      <c r="I965" s="61" t="n">
        <f aca="false">JetFreight!K154</f>
        <v>0.0060790273556231</v>
      </c>
      <c r="J965" s="25" t="str">
        <f aca="false">IF(AND(ISNUMBER(I965),ISNUMBER(I$973)),IF(I965&gt;I$973,"Above",IF(I965&lt;I$973,"Below","At median")),"-")</f>
        <v>Below</v>
      </c>
      <c r="K965" s="25" t="s">
        <v>327</v>
      </c>
      <c r="L965" s="25" t="s">
        <v>327</v>
      </c>
    </row>
    <row r="966" customFormat="false" ht="15" hidden="false" customHeight="false" outlineLevel="0" collapsed="false">
      <c r="A966" s="16" t="s">
        <v>62</v>
      </c>
      <c r="B966" s="27" t="n">
        <f aca="false">Patel!D154</f>
        <v>0.015828677839851</v>
      </c>
      <c r="C966" s="27" t="n">
        <f aca="false">Patel!E154</f>
        <v>5.2</v>
      </c>
      <c r="D966" s="27" t="n">
        <f aca="false">Patel!F154</f>
        <v>0.158590308370044</v>
      </c>
      <c r="E966" s="27" t="n">
        <f aca="false">Patel!G154</f>
        <v>0.13265306122449</v>
      </c>
      <c r="F966" s="27" t="n">
        <f aca="false">Patel!H154</f>
        <v>0.117328519855596</v>
      </c>
      <c r="G966" s="27" t="n">
        <f aca="false">Patel!I154</f>
        <v>0.275</v>
      </c>
      <c r="H966" s="27" t="n">
        <f aca="false">Patel!J154</f>
        <v>0.144791666666667</v>
      </c>
      <c r="I966" s="61" t="n">
        <f aca="false">Patel!K154</f>
        <v>0.863456033422378</v>
      </c>
      <c r="J966" s="25" t="str">
        <f aca="false">IF(AND(ISNUMBER(I966),ISNUMBER(I$973)),IF(I966&gt;I$973,"Above",IF(I966&lt;I$973,"Below","At median")),"-")</f>
        <v>Above</v>
      </c>
      <c r="K966" s="25" t="s">
        <v>327</v>
      </c>
      <c r="L966" s="25" t="s">
        <v>327</v>
      </c>
    </row>
    <row r="967" customFormat="false" ht="15" hidden="false" customHeight="false" outlineLevel="0" collapsed="false">
      <c r="A967" s="16" t="s">
        <v>64</v>
      </c>
      <c r="B967" s="27" t="n">
        <f aca="false">Sical!D154</f>
        <v>0</v>
      </c>
      <c r="C967" s="27" t="n">
        <f aca="false">Sical!E154</f>
        <v>0</v>
      </c>
      <c r="D967" s="27" t="n">
        <f aca="false">Sical!F154</f>
        <v>0</v>
      </c>
      <c r="E967" s="27" t="n">
        <f aca="false">Sical!G154</f>
        <v>0</v>
      </c>
      <c r="F967" s="27" t="n">
        <f aca="false">Sical!H154</f>
        <v>0</v>
      </c>
      <c r="G967" s="27" t="n">
        <f aca="false">Sical!I154</f>
        <v>0</v>
      </c>
      <c r="H967" s="27" t="n">
        <f aca="false">Sical!J154</f>
        <v>0</v>
      </c>
      <c r="I967" s="61" t="n">
        <f aca="false">Sical!K154</f>
        <v>0</v>
      </c>
      <c r="J967" s="25" t="str">
        <f aca="false">IF(AND(ISNUMBER(I967),ISNUMBER(I$973)),IF(I967&gt;I$973,"Above",IF(I967&lt;I$973,"Below","At median")),"-")</f>
        <v>Below</v>
      </c>
      <c r="K967" s="25" t="s">
        <v>327</v>
      </c>
      <c r="L967" s="25" t="s">
        <v>327</v>
      </c>
    </row>
    <row r="968" customFormat="false" ht="15" hidden="false" customHeight="false" outlineLevel="0" collapsed="false">
      <c r="A968" s="16" t="s">
        <v>66</v>
      </c>
      <c r="B968" s="27" t="n">
        <f aca="false">TCI!D154</f>
        <v>0.107965720708064</v>
      </c>
      <c r="C968" s="27" t="n">
        <f aca="false">TCI!E154</f>
        <v>0.131040576361041</v>
      </c>
      <c r="D968" s="27" t="n">
        <f aca="false">TCI!F154</f>
        <v>0.106833327578468</v>
      </c>
      <c r="E968" s="27" t="n">
        <f aca="false">TCI!G154</f>
        <v>0.171046826747337</v>
      </c>
      <c r="F968" s="27" t="n">
        <f aca="false">TCI!H154</f>
        <v>0.155131128848347</v>
      </c>
      <c r="G968" s="27" t="n">
        <f aca="false">TCI!I154</f>
        <v>0.148600805082691</v>
      </c>
      <c r="H968" s="27" t="n">
        <f aca="false">TCI!J154</f>
        <v>0.168219178082192</v>
      </c>
      <c r="I968" s="61" t="n">
        <f aca="false">TCI!K154</f>
        <v>0.141262509058306</v>
      </c>
      <c r="J968" s="25" t="str">
        <f aca="false">IF(AND(ISNUMBER(I968),ISNUMBER(I$973)),IF(I968&gt;I$973,"Above",IF(I968&lt;I$973,"Below","At median")),"-")</f>
        <v>Below</v>
      </c>
      <c r="K968" s="25" t="s">
        <v>327</v>
      </c>
      <c r="L968" s="25" t="s">
        <v>327</v>
      </c>
    </row>
    <row r="969" customFormat="false" ht="15" hidden="false" customHeight="false" outlineLevel="0" collapsed="false">
      <c r="A969" s="16" t="s">
        <v>68</v>
      </c>
      <c r="B969" s="27" t="n">
        <f aca="false">Shreeji!D154</f>
        <v>0.353741496598639</v>
      </c>
      <c r="C969" s="27" t="str">
        <f aca="false">Shreeji!E154</f>
        <v>N/M</v>
      </c>
      <c r="D969" s="27" t="n">
        <f aca="false">Shreeji!F154</f>
        <v>0.23728813559322</v>
      </c>
      <c r="E969" s="27" t="n">
        <f aca="false">Shreeji!G154</f>
        <v>0.108471074380165</v>
      </c>
      <c r="F969" s="27" t="n">
        <f aca="false">Shreeji!H154</f>
        <v>0.042997542997543</v>
      </c>
      <c r="G969" s="27" t="n">
        <f aca="false">Shreeji!I154</f>
        <v>0</v>
      </c>
      <c r="H969" s="27" t="n">
        <f aca="false">Shreeji!J154</f>
        <v>0</v>
      </c>
      <c r="I969" s="61" t="n">
        <f aca="false">Shreeji!K154</f>
        <v>0.123749708261595</v>
      </c>
      <c r="J969" s="25" t="str">
        <f aca="false">IF(AND(ISNUMBER(I969),ISNUMBER(I$973)),IF(I969&gt;I$973,"Above",IF(I969&lt;I$973,"Below","At median")),"-")</f>
        <v>Below</v>
      </c>
      <c r="K969" s="25" t="s">
        <v>327</v>
      </c>
      <c r="L969" s="25" t="s">
        <v>327</v>
      </c>
    </row>
    <row r="970" customFormat="false" ht="15" hidden="false" customHeight="false" outlineLevel="0" collapsed="false">
      <c r="A970" s="16" t="s">
        <v>279</v>
      </c>
      <c r="B970" s="27" t="n">
        <f aca="false">MahindraLog!D154</f>
        <v>0.19466618287373</v>
      </c>
      <c r="C970" s="27" t="n">
        <f aca="false">MahindraLog!E154</f>
        <v>0.597333333333333</v>
      </c>
      <c r="D970" s="27" t="n">
        <f aca="false">MahindraLog!F154</f>
        <v>0.818337129840547</v>
      </c>
      <c r="E970" s="27" t="n">
        <f aca="false">MahindraLog!G154</f>
        <v>0.684931506849315</v>
      </c>
      <c r="F970" s="27" t="str">
        <f aca="false">MahindraLog!H154</f>
        <v>N/M</v>
      </c>
      <c r="G970" s="27" t="str">
        <f aca="false">MahindraLog!I154</f>
        <v>N/M</v>
      </c>
      <c r="H970" s="27" t="n">
        <f aca="false">MahindraLog!J154</f>
        <v>10.8296943231441</v>
      </c>
      <c r="I970" s="61" t="n">
        <f aca="false">MahindraLog!K154</f>
        <v>2.62499249520821</v>
      </c>
      <c r="J970" s="25" t="str">
        <f aca="false">IF(AND(ISNUMBER(I970),ISNUMBER(I$973)),IF(I970&gt;I$973,"Above",IF(I970&lt;I$973,"Below","At median")),"-")</f>
        <v>Above</v>
      </c>
      <c r="K970" s="25" t="s">
        <v>327</v>
      </c>
      <c r="L970" s="25" t="s">
        <v>327</v>
      </c>
    </row>
    <row r="971" customFormat="false" ht="15" hidden="false" customHeight="false" outlineLevel="0" collapsed="false">
      <c r="A971" s="46" t="s">
        <v>328</v>
      </c>
      <c r="B971" s="42" t="n">
        <f aca="false">Industry!D155</f>
        <v>0.479966986794718</v>
      </c>
      <c r="C971" s="42" t="str">
        <f aca="false">Industry!E155</f>
        <v>N/M</v>
      </c>
      <c r="D971" s="42" t="n">
        <f aca="false">Industry!F155</f>
        <v>0.331081603502932</v>
      </c>
      <c r="E971" s="42" t="n">
        <f aca="false">Industry!G155</f>
        <v>0.520086899948883</v>
      </c>
      <c r="F971" s="42" t="n">
        <f aca="false">Industry!H155</f>
        <v>0.462814841294666</v>
      </c>
      <c r="G971" s="42" t="n">
        <f aca="false">Industry!I155</f>
        <v>0.578828828828829</v>
      </c>
      <c r="H971" s="42" t="n">
        <f aca="false">Industry!J155</f>
        <v>0.399459456817638</v>
      </c>
      <c r="I971" s="42" t="n">
        <f aca="false">Industry!K155</f>
        <v>0.462039769531278</v>
      </c>
      <c r="J971" s="47"/>
      <c r="K971" s="47"/>
      <c r="L971" s="47"/>
    </row>
    <row r="972" customFormat="false" ht="15" hidden="false" customHeight="false" outlineLevel="0" collapsed="false">
      <c r="A972" s="52" t="s">
        <v>329</v>
      </c>
      <c r="B972" s="62" t="n">
        <f aca="false">IF(COUNT(B961:B970)=0,"N/M",AVERAGE(B961:B970))</f>
        <v>0.15463315903299</v>
      </c>
      <c r="C972" s="62" t="n">
        <f aca="false">IF(COUNT(C961:C970)=0,"N/M",AVERAGE(C961:C970))</f>
        <v>0.796178352656313</v>
      </c>
      <c r="D972" s="62" t="n">
        <f aca="false">IF(COUNT(D961:D970)=0,"N/M",AVERAGE(D961:D970))</f>
        <v>0.236745762429265</v>
      </c>
      <c r="E972" s="62" t="n">
        <f aca="false">IF(COUNT(E961:E970)=0,"N/M",AVERAGE(E961:E970))</f>
        <v>0.198726172915422</v>
      </c>
      <c r="F972" s="62" t="n">
        <f aca="false">IF(COUNT(F961:F970)=0,"N/M",AVERAGE(F961:F970))</f>
        <v>0.191684076244087</v>
      </c>
      <c r="G972" s="62" t="n">
        <f aca="false">IF(COUNT(G961:G970)=0,"N/M",AVERAGE(G961:G970))</f>
        <v>0.67202786860025</v>
      </c>
      <c r="H972" s="62" t="n">
        <f aca="false">IF(COUNT(H961:H970)=0,"N/M",AVERAGE(H961:H970))</f>
        <v>1.19102639676702</v>
      </c>
      <c r="I972" s="62" t="n">
        <f aca="false">IF(COUNT(I961:I970)=0,"N/M",AVERAGE(I961:I970))</f>
        <v>0.544629461251869</v>
      </c>
      <c r="J972" s="54"/>
      <c r="K972" s="54"/>
      <c r="L972" s="54"/>
    </row>
    <row r="973" customFormat="false" ht="15" hidden="false" customHeight="false" outlineLevel="0" collapsed="false">
      <c r="A973" s="28" t="s">
        <v>281</v>
      </c>
      <c r="B973" s="30" t="n">
        <f aca="false">IF(COUNT(B961:B970)=0,"N/M",MEDIAN(B961:B970))</f>
        <v>0.0618971992739575</v>
      </c>
      <c r="C973" s="30" t="n">
        <f aca="false">IF(COUNT(C961:C970)=0,"N/M",MEDIAN(C961:C970))</f>
        <v>0.284210526315789</v>
      </c>
      <c r="D973" s="30" t="n">
        <f aca="false">IF(COUNT(D961:D970)=0,"N/M",MEDIAN(D961:D970))</f>
        <v>0.132711817974256</v>
      </c>
      <c r="E973" s="30" t="n">
        <f aca="false">IF(COUNT(E961:E970)=0,"N/M",MEDIAN(E961:E970))</f>
        <v>0.129740816099626</v>
      </c>
      <c r="F973" s="30" t="n">
        <f aca="false">IF(COUNT(F961:F970)=0,"N/M",MEDIAN(F961:F970))</f>
        <v>0.117328519855596</v>
      </c>
      <c r="G973" s="30" t="n">
        <f aca="false">IF(COUNT(G961:G970)=0,"N/M",MEDIAN(G961:G970))</f>
        <v>0.148600805082691</v>
      </c>
      <c r="H973" s="30" t="n">
        <f aca="false">IF(COUNT(H961:H970)=0,"N/M",MEDIAN(H961:H970))</f>
        <v>0.0723958333333333</v>
      </c>
      <c r="I973" s="30" t="n">
        <f aca="false">IF(COUNT(I961:I970)=0,"N/M",MEDIAN(I961:I970))</f>
        <v>0.184073399942988</v>
      </c>
      <c r="J973" s="54"/>
      <c r="K973" s="54"/>
      <c r="L973" s="54"/>
    </row>
    <row r="974" customFormat="false" ht="15" hidden="false" customHeight="false" outlineLevel="0" collapsed="false">
      <c r="A974" s="52" t="s">
        <v>330</v>
      </c>
      <c r="B974" s="62" t="n">
        <f aca="false">IF(COUNT(B961:B970)&lt;2,"N/M",STDEV(B961:B970))</f>
        <v>0.194527354932657</v>
      </c>
      <c r="C974" s="62" t="n">
        <f aca="false">IF(COUNT(C961:C970)&lt;2,"N/M",STDEV(C961:C970))</f>
        <v>1.66867298902636</v>
      </c>
      <c r="D974" s="62" t="n">
        <f aca="false">IF(COUNT(D961:D970)&lt;2,"N/M",STDEV(D961:D970))</f>
        <v>0.262559354660241</v>
      </c>
      <c r="E974" s="62" t="n">
        <f aca="false">IF(COUNT(E961:E970)&lt;2,"N/M",STDEV(E961:E970))</f>
        <v>0.238494246553379</v>
      </c>
      <c r="F974" s="62" t="n">
        <f aca="false">IF(COUNT(F961:F970)&lt;2,"N/M",STDEV(F961:F970))</f>
        <v>0.246960580277487</v>
      </c>
      <c r="G974" s="62" t="n">
        <f aca="false">IF(COUNT(G961:G970)&lt;2,"N/M",STDEV(G961:G970))</f>
        <v>1.57594161385028</v>
      </c>
      <c r="H974" s="62" t="n">
        <f aca="false">IF(COUNT(H961:H970)&lt;2,"N/M",STDEV(H961:H970))</f>
        <v>3.39086943308769</v>
      </c>
      <c r="I974" s="62" t="n">
        <f aca="false">IF(COUNT(I961:I970)&lt;2,"N/M",STDEV(I961:I970))</f>
        <v>0.808121214859479</v>
      </c>
      <c r="J974" s="54"/>
      <c r="K974" s="54"/>
      <c r="L974" s="54"/>
    </row>
    <row r="975" customFormat="false" ht="15" hidden="false" customHeight="false" outlineLevel="0" collapsed="false">
      <c r="A975" s="52" t="s">
        <v>269</v>
      </c>
      <c r="B975" s="62" t="n">
        <f aca="false">IF(COUNT(B961:B970)=0,"N/M",MIN(B961:B970))</f>
        <v>0</v>
      </c>
      <c r="C975" s="62" t="n">
        <f aca="false">IF(COUNT(C961:C970)=0,"N/M",MIN(C961:C970))</f>
        <v>0</v>
      </c>
      <c r="D975" s="62" t="n">
        <f aca="false">IF(COUNT(D961:D970)=0,"N/M",MIN(D961:D970))</f>
        <v>0</v>
      </c>
      <c r="E975" s="62" t="n">
        <f aca="false">IF(COUNT(E961:E970)=0,"N/M",MIN(E961:E970))</f>
        <v>0</v>
      </c>
      <c r="F975" s="62" t="n">
        <f aca="false">IF(COUNT(F961:F970)=0,"N/M",MIN(F961:F970))</f>
        <v>0</v>
      </c>
      <c r="G975" s="62" t="n">
        <f aca="false">IF(COUNT(G961:G970)=0,"N/M",MIN(G961:G970))</f>
        <v>0</v>
      </c>
      <c r="H975" s="62" t="n">
        <f aca="false">IF(COUNT(H961:H970)=0,"N/M",MIN(H961:H970))</f>
        <v>0</v>
      </c>
      <c r="I975" s="62" t="n">
        <f aca="false">IF(COUNT(I961:I970)=0,"N/M",MIN(I961:I970))</f>
        <v>0</v>
      </c>
      <c r="J975" s="54"/>
      <c r="K975" s="54"/>
      <c r="L975" s="54"/>
    </row>
    <row r="976" customFormat="false" ht="15" hidden="false" customHeight="false" outlineLevel="0" collapsed="false">
      <c r="A976" s="52" t="s">
        <v>270</v>
      </c>
      <c r="B976" s="62" t="n">
        <f aca="false">IF(COUNT(B961:B970)=0,"N/M",MAX(B961:B970))</f>
        <v>0.543591395717684</v>
      </c>
      <c r="C976" s="62" t="n">
        <f aca="false">IF(COUNT(C961:C970)=0,"N/M",MAX(C961:C970))</f>
        <v>5.2</v>
      </c>
      <c r="D976" s="62" t="n">
        <f aca="false">IF(COUNT(D961:D970)=0,"N/M",MAX(D961:D970))</f>
        <v>0.818337129840547</v>
      </c>
      <c r="E976" s="62" t="n">
        <f aca="false">IF(COUNT(E961:E970)=0,"N/M",MAX(E961:E970))</f>
        <v>0.684931506849315</v>
      </c>
      <c r="F976" s="62" t="n">
        <f aca="false">IF(COUNT(F961:F970)=0,"N/M",MAX(F961:F970))</f>
        <v>0.656513026052104</v>
      </c>
      <c r="G976" s="62" t="n">
        <f aca="false">IF(COUNT(G961:G970)=0,"N/M",MAX(G961:G970))</f>
        <v>4.84615384615385</v>
      </c>
      <c r="H976" s="62" t="n">
        <f aca="false">IF(COUNT(H961:H970)=0,"N/M",MAX(H961:H970))</f>
        <v>10.8296943231441</v>
      </c>
      <c r="I976" s="62" t="n">
        <f aca="false">IF(COUNT(I961:I970)=0,"N/M",MAX(I961:I970))</f>
        <v>2.62499249520821</v>
      </c>
      <c r="J976" s="54"/>
      <c r="K976" s="54"/>
      <c r="L976" s="54"/>
    </row>
    <row r="978" customFormat="false" ht="16.5" hidden="false" customHeight="true" outlineLevel="0" collapsed="false">
      <c r="A978" s="49" t="s">
        <v>384</v>
      </c>
      <c r="B978" s="49"/>
      <c r="C978" s="49"/>
      <c r="D978" s="49"/>
      <c r="E978" s="49"/>
      <c r="F978" s="49"/>
      <c r="G978" s="49"/>
      <c r="H978" s="49"/>
      <c r="I978" s="49"/>
      <c r="J978" s="49"/>
      <c r="K978" s="49"/>
      <c r="L978" s="49"/>
    </row>
    <row r="979" customFormat="false" ht="15" hidden="false" customHeight="false" outlineLevel="0" collapsed="false">
      <c r="A979" s="16" t="s">
        <v>52</v>
      </c>
      <c r="B979" s="27" t="n">
        <f aca="false">Tiger!D155</f>
        <v>1</v>
      </c>
      <c r="C979" s="27" t="n">
        <f aca="false">Tiger!E155</f>
        <v>1</v>
      </c>
      <c r="D979" s="27" t="n">
        <f aca="false">Tiger!F155</f>
        <v>0.968480523342254</v>
      </c>
      <c r="E979" s="27" t="n">
        <f aca="false">Tiger!G155</f>
        <v>1</v>
      </c>
      <c r="F979" s="27" t="n">
        <f aca="false">Tiger!H155</f>
        <v>1</v>
      </c>
      <c r="G979" s="27" t="n">
        <f aca="false">Tiger!I155</f>
        <v>1</v>
      </c>
      <c r="H979" s="27" t="n">
        <f aca="false">Tiger!J155</f>
        <v>1</v>
      </c>
      <c r="I979" s="61" t="n">
        <f aca="false">Tiger!K155</f>
        <v>0.995497217620322</v>
      </c>
      <c r="J979" s="25" t="str">
        <f aca="false">IF(AND(ISNUMBER(I979),ISNUMBER(I$991)),IF(I979&gt;I$991,"Above",IF(I979&lt;I$991,"Below","At median")),"-")</f>
        <v>Above</v>
      </c>
      <c r="K979" s="25" t="s">
        <v>327</v>
      </c>
      <c r="L979" s="25" t="s">
        <v>327</v>
      </c>
    </row>
    <row r="980" customFormat="false" ht="15" hidden="false" customHeight="false" outlineLevel="0" collapsed="false">
      <c r="A980" s="16" t="s">
        <v>54</v>
      </c>
      <c r="B980" s="27" t="n">
        <f aca="false">Allcargo!D155</f>
        <v>0.669461883408072</v>
      </c>
      <c r="C980" s="27" t="n">
        <f aca="false">Allcargo!E155</f>
        <v>0.715789473684211</v>
      </c>
      <c r="D980" s="27" t="n">
        <f aca="false">Allcargo!F155</f>
        <v>0.920375491509312</v>
      </c>
      <c r="E980" s="27" t="n">
        <f aca="false">Allcargo!G155</f>
        <v>0.873171429025239</v>
      </c>
      <c r="F980" s="27" t="n">
        <f aca="false">Allcargo!H155</f>
        <v>0.343486973947896</v>
      </c>
      <c r="G980" s="27" t="n">
        <f aca="false">Allcargo!I155</f>
        <v>-3.84615384615385</v>
      </c>
      <c r="H980" s="27" t="n">
        <f aca="false">Allcargo!J155</f>
        <v>1</v>
      </c>
      <c r="I980" s="61" t="n">
        <f aca="false">Allcargo!K155</f>
        <v>0.0965902007744117</v>
      </c>
      <c r="J980" s="25" t="str">
        <f aca="false">IF(AND(ISNUMBER(I980),ISNUMBER(I$991)),IF(I980&gt;I$991,"Above",IF(I980&lt;I$991,"Below","At median")),"-")</f>
        <v>Below</v>
      </c>
      <c r="K980" s="25" t="s">
        <v>327</v>
      </c>
      <c r="L980" s="25" t="s">
        <v>327</v>
      </c>
    </row>
    <row r="981" customFormat="false" ht="15" hidden="false" customHeight="false" outlineLevel="0" collapsed="false">
      <c r="A981" s="16" t="s">
        <v>277</v>
      </c>
      <c r="B981" s="27" t="n">
        <f aca="false">BlueDart!D155</f>
        <v>1</v>
      </c>
      <c r="C981" s="27" t="n">
        <f aca="false">BlueDart!E155</f>
        <v>0.649936155583931</v>
      </c>
      <c r="D981" s="27" t="n">
        <f aca="false">BlueDart!F155</f>
        <v>0.627011328850632</v>
      </c>
      <c r="E981" s="27" t="n">
        <f aca="false">BlueDart!G155</f>
        <v>0.807626912800583</v>
      </c>
      <c r="F981" s="27" t="n">
        <f aca="false">BlueDart!H155</f>
        <v>0.802664363310189</v>
      </c>
      <c r="G981" s="27" t="n">
        <f aca="false">BlueDart!I155</f>
        <v>0.764677917756121</v>
      </c>
      <c r="H981" s="27" t="n">
        <f aca="false">BlueDart!J155</f>
        <v>0.759893285904847</v>
      </c>
      <c r="I981" s="61" t="n">
        <f aca="false">BlueDart!K155</f>
        <v>0.773115709172329</v>
      </c>
      <c r="J981" s="25" t="str">
        <f aca="false">IF(AND(ISNUMBER(I981),ISNUMBER(I$991)),IF(I981&gt;I$991,"Above",IF(I981&lt;I$991,"Below","At median")),"-")</f>
        <v>Below</v>
      </c>
      <c r="K981" s="25" t="s">
        <v>327</v>
      </c>
      <c r="L981" s="25" t="s">
        <v>327</v>
      </c>
    </row>
    <row r="982" customFormat="false" ht="15" hidden="false" customHeight="false" outlineLevel="0" collapsed="false">
      <c r="A982" s="16" t="s">
        <v>58</v>
      </c>
      <c r="B982" s="27" t="n">
        <f aca="false">CONCOR!D155</f>
        <v>0.456408604282316</v>
      </c>
      <c r="C982" s="27" t="n">
        <f aca="false">CONCOR!E155</f>
        <v>0.397043106519416</v>
      </c>
      <c r="D982" s="27" t="n">
        <f aca="false">CONCOR!F155</f>
        <v>0.480277124876791</v>
      </c>
      <c r="E982" s="27" t="n">
        <f aca="false">CONCOR!G155</f>
        <v>0.429042398221268</v>
      </c>
      <c r="F982" s="27" t="n">
        <f aca="false">CONCOR!H155</f>
        <v>0.444149168246615</v>
      </c>
      <c r="G982" s="27" t="n">
        <f aca="false">CONCOR!I155</f>
        <v>0.45682591607817</v>
      </c>
      <c r="H982" s="27" t="n">
        <f aca="false">CONCOR!J155</f>
        <v>0.472547914317926</v>
      </c>
      <c r="I982" s="61" t="n">
        <f aca="false">CONCOR!K155</f>
        <v>0.448042033220357</v>
      </c>
      <c r="J982" s="25" t="str">
        <f aca="false">IF(AND(ISNUMBER(I982),ISNUMBER(I$991)),IF(I982&gt;I$991,"Above",IF(I982&lt;I$991,"Below","At median")),"-")</f>
        <v>Below</v>
      </c>
      <c r="K982" s="25" t="s">
        <v>327</v>
      </c>
      <c r="L982" s="25" t="s">
        <v>327</v>
      </c>
    </row>
    <row r="983" customFormat="false" ht="15" hidden="false" customHeight="false" outlineLevel="0" collapsed="false">
      <c r="A983" s="16" t="s">
        <v>278</v>
      </c>
      <c r="B983" s="27" t="n">
        <f aca="false">JetFreight!D155</f>
        <v>1</v>
      </c>
      <c r="C983" s="27" t="n">
        <f aca="false">JetFreight!E155</f>
        <v>1</v>
      </c>
      <c r="D983" s="27" t="n">
        <f aca="false">JetFreight!F155</f>
        <v>0.957446808510638</v>
      </c>
      <c r="E983" s="27" t="n">
        <f aca="false">JetFreight!G155</f>
        <v>1</v>
      </c>
      <c r="F983" s="27" t="n">
        <f aca="false">JetFreight!H155</f>
        <v>1</v>
      </c>
      <c r="G983" s="27" t="n">
        <f aca="false">JetFreight!I155</f>
        <v>1</v>
      </c>
      <c r="H983" s="27" t="n">
        <f aca="false">JetFreight!J155</f>
        <v>1</v>
      </c>
      <c r="I983" s="61" t="n">
        <f aca="false">JetFreight!K155</f>
        <v>0.993920972644377</v>
      </c>
      <c r="J983" s="25" t="str">
        <f aca="false">IF(AND(ISNUMBER(I983),ISNUMBER(I$991)),IF(I983&gt;I$991,"Above",IF(I983&lt;I$991,"Below","At median")),"-")</f>
        <v>Above</v>
      </c>
      <c r="K983" s="25" t="s">
        <v>327</v>
      </c>
      <c r="L983" s="25" t="s">
        <v>327</v>
      </c>
    </row>
    <row r="984" customFormat="false" ht="15" hidden="false" customHeight="false" outlineLevel="0" collapsed="false">
      <c r="A984" s="16" t="s">
        <v>62</v>
      </c>
      <c r="B984" s="27" t="n">
        <f aca="false">Patel!D155</f>
        <v>0.984171322160149</v>
      </c>
      <c r="C984" s="27" t="n">
        <f aca="false">Patel!E155</f>
        <v>-4.2</v>
      </c>
      <c r="D984" s="27" t="n">
        <f aca="false">Patel!F155</f>
        <v>0.841409691629956</v>
      </c>
      <c r="E984" s="27" t="n">
        <f aca="false">Patel!G155</f>
        <v>0.86734693877551</v>
      </c>
      <c r="F984" s="27" t="n">
        <f aca="false">Patel!H155</f>
        <v>0.882671480144404</v>
      </c>
      <c r="G984" s="27" t="n">
        <f aca="false">Patel!I155</f>
        <v>0.725</v>
      </c>
      <c r="H984" s="27" t="n">
        <f aca="false">Patel!J155</f>
        <v>0.855208333333333</v>
      </c>
      <c r="I984" s="61" t="n">
        <f aca="false">Patel!K155</f>
        <v>0.136543966577622</v>
      </c>
      <c r="J984" s="25" t="str">
        <f aca="false">IF(AND(ISNUMBER(I984),ISNUMBER(I$991)),IF(I984&gt;I$991,"Above",IF(I984&lt;I$991,"Below","At median")),"-")</f>
        <v>Below</v>
      </c>
      <c r="K984" s="25" t="s">
        <v>327</v>
      </c>
      <c r="L984" s="25" t="s">
        <v>327</v>
      </c>
    </row>
    <row r="985" customFormat="false" ht="15" hidden="false" customHeight="false" outlineLevel="0" collapsed="false">
      <c r="A985" s="16" t="s">
        <v>64</v>
      </c>
      <c r="B985" s="27" t="n">
        <f aca="false">Sical!D155</f>
        <v>1</v>
      </c>
      <c r="C985" s="27" t="n">
        <f aca="false">Sical!E155</f>
        <v>1</v>
      </c>
      <c r="D985" s="27" t="n">
        <f aca="false">Sical!F155</f>
        <v>1</v>
      </c>
      <c r="E985" s="27" t="n">
        <f aca="false">Sical!G155</f>
        <v>1</v>
      </c>
      <c r="F985" s="27" t="n">
        <f aca="false">Sical!H155</f>
        <v>1</v>
      </c>
      <c r="G985" s="27" t="n">
        <f aca="false">Sical!I155</f>
        <v>1</v>
      </c>
      <c r="H985" s="27" t="n">
        <f aca="false">Sical!J155</f>
        <v>1</v>
      </c>
      <c r="I985" s="61" t="n">
        <f aca="false">Sical!K155</f>
        <v>1</v>
      </c>
      <c r="J985" s="25" t="str">
        <f aca="false">IF(AND(ISNUMBER(I985),ISNUMBER(I$991)),IF(I985&gt;I$991,"Above",IF(I985&lt;I$991,"Below","At median")),"-")</f>
        <v>Above</v>
      </c>
      <c r="K985" s="25" t="s">
        <v>327</v>
      </c>
      <c r="L985" s="25" t="s">
        <v>327</v>
      </c>
    </row>
    <row r="986" customFormat="false" ht="15" hidden="false" customHeight="false" outlineLevel="0" collapsed="false">
      <c r="A986" s="16" t="s">
        <v>66</v>
      </c>
      <c r="B986" s="27" t="n">
        <f aca="false">TCI!D155</f>
        <v>0.892034279291936</v>
      </c>
      <c r="C986" s="27" t="n">
        <f aca="false">TCI!E155</f>
        <v>0.868959423638959</v>
      </c>
      <c r="D986" s="27" t="n">
        <f aca="false">TCI!F155</f>
        <v>0.893166672421532</v>
      </c>
      <c r="E986" s="27" t="n">
        <f aca="false">TCI!G155</f>
        <v>0.828953173252663</v>
      </c>
      <c r="F986" s="27" t="n">
        <f aca="false">TCI!H155</f>
        <v>0.844868871151653</v>
      </c>
      <c r="G986" s="27" t="n">
        <f aca="false">TCI!I155</f>
        <v>0.851399194917309</v>
      </c>
      <c r="H986" s="27" t="n">
        <f aca="false">TCI!J155</f>
        <v>0.831780821917808</v>
      </c>
      <c r="I986" s="61" t="n">
        <f aca="false">TCI!K155</f>
        <v>0.858737490941694</v>
      </c>
      <c r="J986" s="25" t="str">
        <f aca="false">IF(AND(ISNUMBER(I986),ISNUMBER(I$991)),IF(I986&gt;I$991,"Above",IF(I986&lt;I$991,"Below","At median")),"-")</f>
        <v>Above</v>
      </c>
      <c r="K986" s="25" t="s">
        <v>327</v>
      </c>
      <c r="L986" s="25" t="s">
        <v>327</v>
      </c>
    </row>
    <row r="987" customFormat="false" ht="15" hidden="false" customHeight="false" outlineLevel="0" collapsed="false">
      <c r="A987" s="16" t="s">
        <v>68</v>
      </c>
      <c r="B987" s="27" t="n">
        <f aca="false">Shreeji!D155</f>
        <v>0.646258503401361</v>
      </c>
      <c r="C987" s="27" t="str">
        <f aca="false">Shreeji!E155</f>
        <v>N/M</v>
      </c>
      <c r="D987" s="27" t="n">
        <f aca="false">Shreeji!F155</f>
        <v>0.76271186440678</v>
      </c>
      <c r="E987" s="27" t="n">
        <f aca="false">Shreeji!G155</f>
        <v>0.891528925619835</v>
      </c>
      <c r="F987" s="27" t="n">
        <f aca="false">Shreeji!H155</f>
        <v>0.957002457002457</v>
      </c>
      <c r="G987" s="27" t="n">
        <f aca="false">Shreeji!I155</f>
        <v>1</v>
      </c>
      <c r="H987" s="27" t="n">
        <f aca="false">Shreeji!J155</f>
        <v>1</v>
      </c>
      <c r="I987" s="61" t="n">
        <f aca="false">Shreeji!K155</f>
        <v>0.876250291738405</v>
      </c>
      <c r="J987" s="25" t="str">
        <f aca="false">IF(AND(ISNUMBER(I987),ISNUMBER(I$991)),IF(I987&gt;I$991,"Above",IF(I987&lt;I$991,"Below","At median")),"-")</f>
        <v>Above</v>
      </c>
      <c r="K987" s="25" t="s">
        <v>327</v>
      </c>
      <c r="L987" s="25" t="s">
        <v>327</v>
      </c>
    </row>
    <row r="988" customFormat="false" ht="15" hidden="false" customHeight="false" outlineLevel="0" collapsed="false">
      <c r="A988" s="16" t="s">
        <v>279</v>
      </c>
      <c r="B988" s="27" t="n">
        <f aca="false">MahindraLog!D155</f>
        <v>0.80533381712627</v>
      </c>
      <c r="C988" s="27" t="n">
        <f aca="false">MahindraLog!E155</f>
        <v>0.402666666666667</v>
      </c>
      <c r="D988" s="27" t="n">
        <f aca="false">MahindraLog!F155</f>
        <v>0.181662870159453</v>
      </c>
      <c r="E988" s="27" t="n">
        <f aca="false">MahindraLog!G155</f>
        <v>0.315068493150685</v>
      </c>
      <c r="F988" s="27" t="str">
        <f aca="false">MahindraLog!H155</f>
        <v>N/M</v>
      </c>
      <c r="G988" s="27" t="str">
        <f aca="false">MahindraLog!I155</f>
        <v>N/M</v>
      </c>
      <c r="H988" s="27" t="n">
        <f aca="false">MahindraLog!J155</f>
        <v>-9.8296943231441</v>
      </c>
      <c r="I988" s="61" t="n">
        <f aca="false">MahindraLog!K155</f>
        <v>-1.62499249520821</v>
      </c>
      <c r="J988" s="25" t="str">
        <f aca="false">IF(AND(ISNUMBER(I988),ISNUMBER(I$991)),IF(I988&gt;I$991,"Above",IF(I988&lt;I$991,"Below","At median")),"-")</f>
        <v>Below</v>
      </c>
      <c r="K988" s="25" t="s">
        <v>327</v>
      </c>
      <c r="L988" s="25" t="s">
        <v>327</v>
      </c>
    </row>
    <row r="989" customFormat="false" ht="15" hidden="false" customHeight="false" outlineLevel="0" collapsed="false">
      <c r="A989" s="46" t="s">
        <v>328</v>
      </c>
      <c r="B989" s="42" t="n">
        <f aca="false">Industry!D156</f>
        <v>0.520033013205282</v>
      </c>
      <c r="C989" s="42" t="str">
        <f aca="false">Industry!E156</f>
        <v>N/M</v>
      </c>
      <c r="D989" s="42" t="n">
        <f aca="false">Industry!F156</f>
        <v>0.668918396497068</v>
      </c>
      <c r="E989" s="42" t="n">
        <f aca="false">Industry!G156</f>
        <v>0.479913100051118</v>
      </c>
      <c r="F989" s="42" t="n">
        <f aca="false">Industry!H156</f>
        <v>0.537185158705334</v>
      </c>
      <c r="G989" s="42" t="n">
        <f aca="false">Industry!I156</f>
        <v>0.421171171171171</v>
      </c>
      <c r="H989" s="42" t="n">
        <f aca="false">Industry!J156</f>
        <v>0.600540543182363</v>
      </c>
      <c r="I989" s="42" t="n">
        <f aca="false">Industry!K156</f>
        <v>0.537960230468722</v>
      </c>
      <c r="J989" s="47"/>
      <c r="K989" s="47"/>
      <c r="L989" s="47"/>
    </row>
    <row r="990" customFormat="false" ht="15" hidden="false" customHeight="false" outlineLevel="0" collapsed="false">
      <c r="A990" s="52" t="s">
        <v>329</v>
      </c>
      <c r="B990" s="62" t="n">
        <f aca="false">IF(COUNT(B979:B988)=0,"N/M",AVERAGE(B979:B988))</f>
        <v>0.84536684096701</v>
      </c>
      <c r="C990" s="62" t="n">
        <f aca="false">IF(COUNT(C979:C988)=0,"N/M",AVERAGE(C979:C988))</f>
        <v>0.203821647343687</v>
      </c>
      <c r="D990" s="62" t="n">
        <f aca="false">IF(COUNT(D979:D988)=0,"N/M",AVERAGE(D979:D988))</f>
        <v>0.763254237570735</v>
      </c>
      <c r="E990" s="62" t="n">
        <f aca="false">IF(COUNT(E979:E988)=0,"N/M",AVERAGE(E979:E988))</f>
        <v>0.801273827084578</v>
      </c>
      <c r="F990" s="62" t="n">
        <f aca="false">IF(COUNT(F979:F988)=0,"N/M",AVERAGE(F979:F988))</f>
        <v>0.808315923755913</v>
      </c>
      <c r="G990" s="62" t="n">
        <f aca="false">IF(COUNT(G979:G988)=0,"N/M",AVERAGE(G979:G988))</f>
        <v>0.32797213139975</v>
      </c>
      <c r="H990" s="62" t="n">
        <f aca="false">IF(COUNT(H979:H988)=0,"N/M",AVERAGE(H979:H988))</f>
        <v>-0.191026396767019</v>
      </c>
      <c r="I990" s="62" t="n">
        <f aca="false">IF(COUNT(I979:I988)=0,"N/M",AVERAGE(I979:I988))</f>
        <v>0.455370538748131</v>
      </c>
      <c r="J990" s="54"/>
      <c r="K990" s="54"/>
      <c r="L990" s="54"/>
    </row>
    <row r="991" customFormat="false" ht="15" hidden="false" customHeight="false" outlineLevel="0" collapsed="false">
      <c r="A991" s="28" t="s">
        <v>281</v>
      </c>
      <c r="B991" s="30" t="n">
        <f aca="false">IF(COUNT(B979:B988)=0,"N/M",MEDIAN(B979:B988))</f>
        <v>0.938102800726043</v>
      </c>
      <c r="C991" s="30" t="n">
        <f aca="false">IF(COUNT(C979:C988)=0,"N/M",MEDIAN(C979:C988))</f>
        <v>0.715789473684211</v>
      </c>
      <c r="D991" s="30" t="n">
        <f aca="false">IF(COUNT(D979:D988)=0,"N/M",MEDIAN(D979:D988))</f>
        <v>0.867288182025744</v>
      </c>
      <c r="E991" s="30" t="n">
        <f aca="false">IF(COUNT(E979:E988)=0,"N/M",MEDIAN(E979:E988))</f>
        <v>0.870259183900374</v>
      </c>
      <c r="F991" s="30" t="n">
        <f aca="false">IF(COUNT(F979:F988)=0,"N/M",MEDIAN(F979:F988))</f>
        <v>0.882671480144404</v>
      </c>
      <c r="G991" s="30" t="n">
        <f aca="false">IF(COUNT(G979:G988)=0,"N/M",MEDIAN(G979:G988))</f>
        <v>0.851399194917309</v>
      </c>
      <c r="H991" s="30" t="n">
        <f aca="false">IF(COUNT(H979:H988)=0,"N/M",MEDIAN(H979:H988))</f>
        <v>0.927604166666667</v>
      </c>
      <c r="I991" s="30" t="n">
        <f aca="false">IF(COUNT(I979:I988)=0,"N/M",MEDIAN(I979:I988))</f>
        <v>0.815926600057012</v>
      </c>
      <c r="J991" s="54"/>
      <c r="K991" s="54"/>
      <c r="L991" s="54"/>
    </row>
    <row r="992" customFormat="false" ht="15" hidden="false" customHeight="false" outlineLevel="0" collapsed="false">
      <c r="A992" s="52" t="s">
        <v>330</v>
      </c>
      <c r="B992" s="62" t="n">
        <f aca="false">IF(COUNT(B979:B988)&lt;2,"N/M",STDEV(B979:B988))</f>
        <v>0.194527354932657</v>
      </c>
      <c r="C992" s="62" t="n">
        <f aca="false">IF(COUNT(C979:C988)&lt;2,"N/M",STDEV(C979:C988))</f>
        <v>1.66867298902636</v>
      </c>
      <c r="D992" s="62" t="n">
        <f aca="false">IF(COUNT(D979:D988)&lt;2,"N/M",STDEV(D979:D988))</f>
        <v>0.262559354660241</v>
      </c>
      <c r="E992" s="62" t="n">
        <f aca="false">IF(COUNT(E979:E988)&lt;2,"N/M",STDEV(E979:E988))</f>
        <v>0.238494246553379</v>
      </c>
      <c r="F992" s="62" t="n">
        <f aca="false">IF(COUNT(F979:F988)&lt;2,"N/M",STDEV(F979:F988))</f>
        <v>0.246960580277487</v>
      </c>
      <c r="G992" s="62" t="n">
        <f aca="false">IF(COUNT(G979:G988)&lt;2,"N/M",STDEV(G979:G988))</f>
        <v>1.57594161385028</v>
      </c>
      <c r="H992" s="62" t="n">
        <f aca="false">IF(COUNT(H979:H988)&lt;2,"N/M",STDEV(H979:H988))</f>
        <v>3.39086943308769</v>
      </c>
      <c r="I992" s="62" t="n">
        <f aca="false">IF(COUNT(I979:I988)&lt;2,"N/M",STDEV(I979:I988))</f>
        <v>0.808121214859479</v>
      </c>
      <c r="J992" s="54"/>
      <c r="K992" s="54"/>
      <c r="L992" s="54"/>
    </row>
    <row r="993" customFormat="false" ht="15" hidden="false" customHeight="false" outlineLevel="0" collapsed="false">
      <c r="A993" s="52" t="s">
        <v>269</v>
      </c>
      <c r="B993" s="62" t="n">
        <f aca="false">IF(COUNT(B979:B988)=0,"N/M",MIN(B979:B988))</f>
        <v>0.456408604282316</v>
      </c>
      <c r="C993" s="62" t="n">
        <f aca="false">IF(COUNT(C979:C988)=0,"N/M",MIN(C979:C988))</f>
        <v>-4.2</v>
      </c>
      <c r="D993" s="62" t="n">
        <f aca="false">IF(COUNT(D979:D988)=0,"N/M",MIN(D979:D988))</f>
        <v>0.181662870159453</v>
      </c>
      <c r="E993" s="62" t="n">
        <f aca="false">IF(COUNT(E979:E988)=0,"N/M",MIN(E979:E988))</f>
        <v>0.315068493150685</v>
      </c>
      <c r="F993" s="62" t="n">
        <f aca="false">IF(COUNT(F979:F988)=0,"N/M",MIN(F979:F988))</f>
        <v>0.343486973947896</v>
      </c>
      <c r="G993" s="62" t="n">
        <f aca="false">IF(COUNT(G979:G988)=0,"N/M",MIN(G979:G988))</f>
        <v>-3.84615384615385</v>
      </c>
      <c r="H993" s="62" t="n">
        <f aca="false">IF(COUNT(H979:H988)=0,"N/M",MIN(H979:H988))</f>
        <v>-9.8296943231441</v>
      </c>
      <c r="I993" s="62" t="n">
        <f aca="false">IF(COUNT(I979:I988)=0,"N/M",MIN(I979:I988))</f>
        <v>-1.62499249520821</v>
      </c>
      <c r="J993" s="54"/>
      <c r="K993" s="54"/>
      <c r="L993" s="54"/>
    </row>
    <row r="994" customFormat="false" ht="15" hidden="false" customHeight="false" outlineLevel="0" collapsed="false">
      <c r="A994" s="52" t="s">
        <v>270</v>
      </c>
      <c r="B994" s="62" t="n">
        <f aca="false">IF(COUNT(B979:B988)=0,"N/M",MAX(B979:B988))</f>
        <v>1</v>
      </c>
      <c r="C994" s="62" t="n">
        <f aca="false">IF(COUNT(C979:C988)=0,"N/M",MAX(C979:C988))</f>
        <v>1</v>
      </c>
      <c r="D994" s="62" t="n">
        <f aca="false">IF(COUNT(D979:D988)=0,"N/M",MAX(D979:D988))</f>
        <v>1</v>
      </c>
      <c r="E994" s="62" t="n">
        <f aca="false">IF(COUNT(E979:E988)=0,"N/M",MAX(E979:E988))</f>
        <v>1</v>
      </c>
      <c r="F994" s="62" t="n">
        <f aca="false">IF(COUNT(F979:F988)=0,"N/M",MAX(F979:F988))</f>
        <v>1</v>
      </c>
      <c r="G994" s="62" t="n">
        <f aca="false">IF(COUNT(G979:G988)=0,"N/M",MAX(G979:G988))</f>
        <v>1</v>
      </c>
      <c r="H994" s="62" t="n">
        <f aca="false">IF(COUNT(H979:H988)=0,"N/M",MAX(H979:H988))</f>
        <v>1</v>
      </c>
      <c r="I994" s="62" t="n">
        <f aca="false">IF(COUNT(I979:I988)=0,"N/M",MAX(I979:I988))</f>
        <v>1</v>
      </c>
      <c r="J994" s="54"/>
      <c r="K994" s="54"/>
      <c r="L994" s="54"/>
    </row>
    <row r="996" customFormat="false" ht="16.5" hidden="false" customHeight="true" outlineLevel="0" collapsed="false">
      <c r="A996" s="49" t="s">
        <v>385</v>
      </c>
      <c r="B996" s="49"/>
      <c r="C996" s="49"/>
      <c r="D996" s="49"/>
      <c r="E996" s="49"/>
      <c r="F996" s="49"/>
      <c r="G996" s="49"/>
      <c r="H996" s="49"/>
      <c r="I996" s="49"/>
      <c r="J996" s="49"/>
      <c r="K996" s="49"/>
      <c r="L996" s="49"/>
    </row>
    <row r="997" customFormat="false" ht="15" hidden="false" customHeight="false" outlineLevel="0" collapsed="false">
      <c r="A997" s="16" t="s">
        <v>52</v>
      </c>
      <c r="B997" s="27" t="n">
        <f aca="false">Tiger!D156</f>
        <v>-0.390453197824347</v>
      </c>
      <c r="C997" s="27" t="n">
        <f aca="false">Tiger!E156</f>
        <v>-0.277128219774727</v>
      </c>
      <c r="D997" s="27" t="n">
        <f aca="false">Tiger!F156</f>
        <v>0.150646125397781</v>
      </c>
      <c r="E997" s="27" t="n">
        <f aca="false">Tiger!G156</f>
        <v>0.0604414333968476</v>
      </c>
      <c r="F997" s="27" t="n">
        <f aca="false">Tiger!H156</f>
        <v>0.0266546007979927</v>
      </c>
      <c r="G997" s="27" t="n">
        <f aca="false">Tiger!I156</f>
        <v>0.0537967435144152</v>
      </c>
      <c r="H997" s="27" t="n">
        <f aca="false">Tiger!J156</f>
        <v>0.0851862261155952</v>
      </c>
      <c r="I997" s="61" t="n">
        <f aca="false">Tiger!K156</f>
        <v>-0.0415508983394918</v>
      </c>
      <c r="J997" s="25" t="str">
        <f aca="false">IF(AND(ISNUMBER(I997),ISNUMBER(I$1009)),IF(I997&gt;I$1009,"Above",IF(I997&lt;I$1009,"Below","At median")),"-")</f>
        <v>Below</v>
      </c>
      <c r="K997" s="25" t="s">
        <v>327</v>
      </c>
      <c r="L997" s="25" t="s">
        <v>327</v>
      </c>
    </row>
    <row r="998" customFormat="false" ht="15" hidden="false" customHeight="false" outlineLevel="0" collapsed="false">
      <c r="A998" s="16" t="s">
        <v>54</v>
      </c>
      <c r="B998" s="27" t="str">
        <f aca="false">Allcargo!D156</f>
        <v>N/C</v>
      </c>
      <c r="C998" s="27" t="str">
        <f aca="false">Allcargo!E156</f>
        <v>N/C</v>
      </c>
      <c r="D998" s="27" t="str">
        <f aca="false">Allcargo!F156</f>
        <v>N/C</v>
      </c>
      <c r="E998" s="27" t="str">
        <f aca="false">Allcargo!G156</f>
        <v>N/C</v>
      </c>
      <c r="F998" s="27" t="str">
        <f aca="false">Allcargo!H156</f>
        <v>N/C</v>
      </c>
      <c r="G998" s="27" t="str">
        <f aca="false">Allcargo!I156</f>
        <v>N/C</v>
      </c>
      <c r="H998" s="27" t="n">
        <f aca="false">Allcargo!J156</f>
        <v>0.00743895131615506</v>
      </c>
      <c r="I998" s="61" t="n">
        <f aca="false">Allcargo!K156</f>
        <v>0.00743895131615506</v>
      </c>
      <c r="J998" s="25" t="str">
        <f aca="false">IF(AND(ISNUMBER(I998),ISNUMBER(I$1009)),IF(I998&gt;I$1009,"Above",IF(I998&lt;I$1009,"Below","At median")),"-")</f>
        <v>Below</v>
      </c>
      <c r="K998" s="25" t="s">
        <v>327</v>
      </c>
      <c r="L998" s="25" t="s">
        <v>327</v>
      </c>
    </row>
    <row r="999" customFormat="false" ht="15" hidden="false" customHeight="false" outlineLevel="0" collapsed="false">
      <c r="A999" s="16" t="s">
        <v>277</v>
      </c>
      <c r="B999" s="27" t="n">
        <f aca="false">BlueDart!D156</f>
        <v>-0.00803185341733202</v>
      </c>
      <c r="C999" s="27" t="n">
        <f aca="false">BlueDart!E156</f>
        <v>0.00770633453356409</v>
      </c>
      <c r="D999" s="27" t="n">
        <f aca="false">BlueDart!F156</f>
        <v>0.0235010444379165</v>
      </c>
      <c r="E999" s="27" t="n">
        <f aca="false">BlueDart!G156</f>
        <v>0.0251638548760088</v>
      </c>
      <c r="F999" s="27" t="n">
        <f aca="false">BlueDart!H156</f>
        <v>0.0205384000224073</v>
      </c>
      <c r="G999" s="27" t="n">
        <f aca="false">BlueDart!I156</f>
        <v>0.0173562012733519</v>
      </c>
      <c r="H999" s="27" t="n">
        <f aca="false">BlueDart!J156</f>
        <v>0.021989459920945</v>
      </c>
      <c r="I999" s="61" t="n">
        <f aca="false">BlueDart!K156</f>
        <v>0.0154604916638374</v>
      </c>
      <c r="J999" s="25" t="str">
        <f aca="false">IF(AND(ISNUMBER(I999),ISNUMBER(I$1009)),IF(I999&gt;I$1009,"Above",IF(I999&lt;I$1009,"Below","At median")),"-")</f>
        <v>Above</v>
      </c>
      <c r="K999" s="25" t="s">
        <v>327</v>
      </c>
      <c r="L999" s="25" t="s">
        <v>327</v>
      </c>
    </row>
    <row r="1000" customFormat="false" ht="15" hidden="false" customHeight="false" outlineLevel="0" collapsed="false">
      <c r="A1000" s="16" t="s">
        <v>58</v>
      </c>
      <c r="B1000" s="27" t="n">
        <f aca="false">CONCOR!D156</f>
        <v>0.0199695436745481</v>
      </c>
      <c r="C1000" s="27" t="n">
        <f aca="false">CONCOR!E156</f>
        <v>0.0138674564725556</v>
      </c>
      <c r="D1000" s="27" t="n">
        <f aca="false">CONCOR!F156</f>
        <v>0.0257643226895757</v>
      </c>
      <c r="E1000" s="27" t="n">
        <f aca="false">CONCOR!G156</f>
        <v>0.0332038109298006</v>
      </c>
      <c r="F1000" s="27" t="n">
        <f aca="false">CONCOR!H156</f>
        <v>0.0234551985259584</v>
      </c>
      <c r="G1000" s="27" t="n">
        <f aca="false">CONCOR!I156</f>
        <v>0.0306140769820074</v>
      </c>
      <c r="H1000" s="27" t="n">
        <f aca="false">CONCOR!J156</f>
        <v>0.0383379897926723</v>
      </c>
      <c r="I1000" s="61" t="n">
        <f aca="false">CONCOR!K156</f>
        <v>0.0264589141524454</v>
      </c>
      <c r="J1000" s="25" t="str">
        <f aca="false">IF(AND(ISNUMBER(I1000),ISNUMBER(I$1009)),IF(I1000&gt;I$1009,"Above",IF(I1000&lt;I$1009,"Below","At median")),"-")</f>
        <v>Above</v>
      </c>
      <c r="K1000" s="25" t="s">
        <v>327</v>
      </c>
      <c r="L1000" s="25" t="s">
        <v>327</v>
      </c>
    </row>
    <row r="1001" customFormat="false" ht="15" hidden="false" customHeight="false" outlineLevel="0" collapsed="false">
      <c r="A1001" s="16" t="s">
        <v>278</v>
      </c>
      <c r="B1001" s="27" t="n">
        <f aca="false">JetFreight!D156</f>
        <v>-0.325173020883924</v>
      </c>
      <c r="C1001" s="27" t="n">
        <f aca="false">JetFreight!E156</f>
        <v>0.0752361997026522</v>
      </c>
      <c r="D1001" s="27" t="n">
        <f aca="false">JetFreight!F156</f>
        <v>0.0208995399136745</v>
      </c>
      <c r="E1001" s="27" t="n">
        <f aca="false">JetFreight!G156</f>
        <v>0.0010958503798948</v>
      </c>
      <c r="F1001" s="27" t="n">
        <f aca="false">JetFreight!H156</f>
        <v>0.00450076166735909</v>
      </c>
      <c r="G1001" s="27" t="n">
        <f aca="false">JetFreight!I156</f>
        <v>0.0697811901340996</v>
      </c>
      <c r="H1001" s="27" t="n">
        <f aca="false">JetFreight!J156</f>
        <v>0.0859037069976149</v>
      </c>
      <c r="I1001" s="61" t="n">
        <f aca="false">JetFreight!K156</f>
        <v>-0.00967939601266131</v>
      </c>
      <c r="J1001" s="25" t="str">
        <f aca="false">IF(AND(ISNUMBER(I1001),ISNUMBER(I$1009)),IF(I1001&gt;I$1009,"Above",IF(I1001&lt;I$1009,"Below","At median")),"-")</f>
        <v>Below</v>
      </c>
      <c r="K1001" s="25" t="s">
        <v>327</v>
      </c>
      <c r="L1001" s="25" t="s">
        <v>327</v>
      </c>
    </row>
    <row r="1002" customFormat="false" ht="15" hidden="false" customHeight="false" outlineLevel="0" collapsed="false">
      <c r="A1002" s="16" t="s">
        <v>62</v>
      </c>
      <c r="B1002" s="27" t="n">
        <f aca="false">Patel!D156</f>
        <v>0.319129969691567</v>
      </c>
      <c r="C1002" s="27" t="n">
        <f aca="false">Patel!E156</f>
        <v>0.000740509263030371</v>
      </c>
      <c r="D1002" s="27" t="n">
        <f aca="false">Patel!F156</f>
        <v>0.0251281035145029</v>
      </c>
      <c r="E1002" s="27" t="n">
        <f aca="false">Patel!G156</f>
        <v>0.0651873137505322</v>
      </c>
      <c r="F1002" s="27" t="n">
        <f aca="false">Patel!H156</f>
        <v>0.0404254449717752</v>
      </c>
      <c r="G1002" s="27" t="n">
        <f aca="false">Patel!I156</f>
        <v>0.0817330855530319</v>
      </c>
      <c r="H1002" s="27" t="n">
        <f aca="false">Patel!J156</f>
        <v>0.166986724555398</v>
      </c>
      <c r="I1002" s="61" t="n">
        <f aca="false">Patel!K156</f>
        <v>0.0999044501856911</v>
      </c>
      <c r="J1002" s="25" t="str">
        <f aca="false">IF(AND(ISNUMBER(I1002),ISNUMBER(I$1009)),IF(I1002&gt;I$1009,"Above",IF(I1002&lt;I$1009,"Below","At median")),"-")</f>
        <v>Above</v>
      </c>
      <c r="K1002" s="25" t="s">
        <v>327</v>
      </c>
      <c r="L1002" s="25" t="s">
        <v>327</v>
      </c>
    </row>
    <row r="1003" customFormat="false" ht="15" hidden="false" customHeight="false" outlineLevel="0" collapsed="false">
      <c r="A1003" s="16" t="s">
        <v>64</v>
      </c>
      <c r="B1003" s="27" t="n">
        <f aca="false">Sical!D156</f>
        <v>-3.45556467942858</v>
      </c>
      <c r="C1003" s="27" t="n">
        <f aca="false">Sical!E156</f>
        <v>-22.840742441723</v>
      </c>
      <c r="D1003" s="27" t="n">
        <f aca="false">Sical!F156</f>
        <v>-4.56140166502896</v>
      </c>
      <c r="E1003" s="27" t="n">
        <f aca="false">Sical!G156</f>
        <v>-19.9079213875588</v>
      </c>
      <c r="F1003" s="27" t="n">
        <f aca="false">Sical!H156</f>
        <v>-0.0294644827142144</v>
      </c>
      <c r="G1003" s="27" t="n">
        <f aca="false">Sical!I156</f>
        <v>-0.0578500856218221</v>
      </c>
      <c r="H1003" s="27" t="n">
        <f aca="false">Sical!J156</f>
        <v>0.0980318475394703</v>
      </c>
      <c r="I1003" s="61" t="n">
        <f aca="false">Sical!K156</f>
        <v>-7.25070184207655</v>
      </c>
      <c r="J1003" s="25" t="str">
        <f aca="false">IF(AND(ISNUMBER(I1003),ISNUMBER(I$1009)),IF(I1003&gt;I$1009,"Above",IF(I1003&lt;I$1009,"Below","At median")),"-")</f>
        <v>Below</v>
      </c>
      <c r="K1003" s="25" t="s">
        <v>327</v>
      </c>
      <c r="L1003" s="25" t="s">
        <v>327</v>
      </c>
    </row>
    <row r="1004" customFormat="false" ht="15" hidden="false" customHeight="false" outlineLevel="0" collapsed="false">
      <c r="A1004" s="16" t="s">
        <v>66</v>
      </c>
      <c r="B1004" s="27" t="n">
        <f aca="false">TCI!D156</f>
        <v>0.0985719666755296</v>
      </c>
      <c r="C1004" s="27" t="n">
        <f aca="false">TCI!E156</f>
        <v>0.0744993522510952</v>
      </c>
      <c r="D1004" s="27" t="n">
        <f aca="false">TCI!F156</f>
        <v>0.0625366683056063</v>
      </c>
      <c r="E1004" s="27" t="n">
        <f aca="false">TCI!G156</f>
        <v>0.0652378238763775</v>
      </c>
      <c r="F1004" s="27" t="n">
        <f aca="false">TCI!H156</f>
        <v>0.055628394711687</v>
      </c>
      <c r="G1004" s="27" t="n">
        <f aca="false">TCI!I156</f>
        <v>0.0488303937763095</v>
      </c>
      <c r="H1004" s="27" t="n">
        <f aca="false">TCI!J156</f>
        <v>0.0644474610172317</v>
      </c>
      <c r="I1004" s="61" t="n">
        <f aca="false">TCI!K156</f>
        <v>0.0671074372305481</v>
      </c>
      <c r="J1004" s="25" t="str">
        <f aca="false">IF(AND(ISNUMBER(I1004),ISNUMBER(I$1009)),IF(I1004&gt;I$1009,"Above",IF(I1004&lt;I$1009,"Below","At median")),"-")</f>
        <v>Above</v>
      </c>
      <c r="K1004" s="25" t="s">
        <v>327</v>
      </c>
      <c r="L1004" s="25" t="s">
        <v>327</v>
      </c>
    </row>
    <row r="1005" customFormat="false" ht="15" hidden="false" customHeight="false" outlineLevel="0" collapsed="false">
      <c r="A1005" s="16" t="s">
        <v>68</v>
      </c>
      <c r="B1005" s="27" t="n">
        <f aca="false">Shreeji!D156</f>
        <v>0.0465631929046563</v>
      </c>
      <c r="C1005" s="27" t="n">
        <f aca="false">Shreeji!E156</f>
        <v>-0.0188744588744589</v>
      </c>
      <c r="D1005" s="27" t="n">
        <f aca="false">Shreeji!F156</f>
        <v>0.0415610030994646</v>
      </c>
      <c r="E1005" s="27" t="n">
        <f aca="false">Shreeji!G156</f>
        <v>0.0277800497343246</v>
      </c>
      <c r="F1005" s="27" t="n">
        <f aca="false">Shreeji!H156</f>
        <v>0.0895096651744724</v>
      </c>
      <c r="G1005" s="27" t="n">
        <f aca="false">Shreeji!I156</f>
        <v>0.0247326689459518</v>
      </c>
      <c r="H1005" s="27" t="n">
        <f aca="false">Shreeji!J156</f>
        <v>0.0768833999980536</v>
      </c>
      <c r="I1005" s="61" t="n">
        <f aca="false">Shreeji!K156</f>
        <v>0.0411650744260664</v>
      </c>
      <c r="J1005" s="25" t="str">
        <f aca="false">IF(AND(ISNUMBER(I1005),ISNUMBER(I$1009)),IF(I1005&gt;I$1009,"Above",IF(I1005&lt;I$1009,"Below","At median")),"-")</f>
        <v>Above</v>
      </c>
      <c r="K1005" s="25" t="s">
        <v>327</v>
      </c>
      <c r="L1005" s="25" t="s">
        <v>327</v>
      </c>
    </row>
    <row r="1006" customFormat="false" ht="15" hidden="false" customHeight="false" outlineLevel="0" collapsed="false">
      <c r="A1006" s="16" t="s">
        <v>279</v>
      </c>
      <c r="B1006" s="27" t="n">
        <f aca="false">MahindraLog!D156</f>
        <v>0.0270819281389488</v>
      </c>
      <c r="C1006" s="27" t="n">
        <f aca="false">MahindraLog!E156</f>
        <v>0.00575656853252404</v>
      </c>
      <c r="D1006" s="27" t="n">
        <f aca="false">MahindraLog!F156</f>
        <v>0.00385956120569527</v>
      </c>
      <c r="E1006" s="27" t="n">
        <f aca="false">MahindraLog!G156</f>
        <v>0.0082100190348729</v>
      </c>
      <c r="F1006" s="27" t="n">
        <f aca="false">MahindraLog!H156</f>
        <v>-0.0148190741029506</v>
      </c>
      <c r="G1006" s="27" t="n">
        <f aca="false">MahindraLog!I156</f>
        <v>-0.0151374352447122</v>
      </c>
      <c r="H1006" s="27" t="n">
        <f aca="false">MahindraLog!J156</f>
        <v>0.000693650162841191</v>
      </c>
      <c r="I1006" s="61" t="n">
        <f aca="false">MahindraLog!K156</f>
        <v>0.00223503110388849</v>
      </c>
      <c r="J1006" s="25" t="str">
        <f aca="false">IF(AND(ISNUMBER(I1006),ISNUMBER(I$1009)),IF(I1006&gt;I$1009,"Above",IF(I1006&lt;I$1009,"Below","At median")),"-")</f>
        <v>Below</v>
      </c>
      <c r="K1006" s="25" t="s">
        <v>327</v>
      </c>
      <c r="L1006" s="25" t="s">
        <v>327</v>
      </c>
    </row>
    <row r="1007" customFormat="false" ht="15" hidden="false" customHeight="false" outlineLevel="0" collapsed="false">
      <c r="A1007" s="46" t="s">
        <v>328</v>
      </c>
      <c r="B1007" s="42" t="n">
        <f aca="false">Industry!D157</f>
        <v>0.015262178554475</v>
      </c>
      <c r="C1007" s="42" t="n">
        <f aca="false">Industry!E157</f>
        <v>-0.00676742265849692</v>
      </c>
      <c r="D1007" s="42" t="n">
        <f aca="false">Industry!F157</f>
        <v>0.0228210696648743</v>
      </c>
      <c r="E1007" s="42" t="n">
        <f aca="false">Industry!G157</f>
        <v>0.0184923200261273</v>
      </c>
      <c r="F1007" s="42" t="n">
        <f aca="false">Industry!H157</f>
        <v>0.0232401630692641</v>
      </c>
      <c r="G1007" s="42" t="n">
        <f aca="false">Industry!I157</f>
        <v>0.0281566493892956</v>
      </c>
      <c r="H1007" s="42" t="n">
        <f aca="false">Industry!J157</f>
        <v>0.0365174257047344</v>
      </c>
      <c r="I1007" s="42" t="n">
        <f aca="false">Industry!K157</f>
        <v>0.0196746262500391</v>
      </c>
      <c r="J1007" s="47"/>
      <c r="K1007" s="47"/>
      <c r="L1007" s="47"/>
    </row>
    <row r="1008" customFormat="false" ht="15" hidden="false" customHeight="false" outlineLevel="0" collapsed="false">
      <c r="A1008" s="52" t="s">
        <v>329</v>
      </c>
      <c r="B1008" s="62" t="n">
        <f aca="false">IF(COUNT(B997:B1006)=0,"N/M",AVERAGE(B997:B1006))</f>
        <v>-0.407545127829882</v>
      </c>
      <c r="C1008" s="62" t="n">
        <f aca="false">IF(COUNT(C997:C1006)=0,"N/M",AVERAGE(C997:C1006))</f>
        <v>-2.55099318884631</v>
      </c>
      <c r="D1008" s="62" t="n">
        <f aca="false">IF(COUNT(D997:D1006)=0,"N/M",AVERAGE(D997:D1006))</f>
        <v>-0.467500588496083</v>
      </c>
      <c r="E1008" s="62" t="n">
        <f aca="false">IF(COUNT(E997:E1006)=0,"N/M",AVERAGE(E997:E1006))</f>
        <v>-2.18017791462001</v>
      </c>
      <c r="F1008" s="62" t="n">
        <f aca="false">IF(COUNT(F997:F1006)=0,"N/M",AVERAGE(F997:F1006))</f>
        <v>0.0240476565616097</v>
      </c>
      <c r="G1008" s="62" t="n">
        <f aca="false">IF(COUNT(G997:G1006)=0,"N/M",AVERAGE(G997:G1006))</f>
        <v>0.0282063154791814</v>
      </c>
      <c r="H1008" s="62" t="n">
        <f aca="false">IF(COUNT(H997:H1006)=0,"N/M",AVERAGE(H997:H1006))</f>
        <v>0.0645899417415977</v>
      </c>
      <c r="I1008" s="62" t="n">
        <f aca="false">IF(COUNT(I997:I1006)=0,"N/M",AVERAGE(I997:I1006))</f>
        <v>-0.704216178635008</v>
      </c>
      <c r="J1008" s="54"/>
      <c r="K1008" s="54"/>
      <c r="L1008" s="54"/>
    </row>
    <row r="1009" customFormat="false" ht="15" hidden="false" customHeight="false" outlineLevel="0" collapsed="false">
      <c r="A1009" s="28" t="s">
        <v>281</v>
      </c>
      <c r="B1009" s="30" t="n">
        <f aca="false">IF(COUNT(B997:B1006)=0,"N/M",MEDIAN(B997:B1006))</f>
        <v>0.0199695436745481</v>
      </c>
      <c r="C1009" s="30" t="n">
        <f aca="false">IF(COUNT(C997:C1006)=0,"N/M",MEDIAN(C997:C1006))</f>
        <v>0.00575656853252404</v>
      </c>
      <c r="D1009" s="30" t="n">
        <f aca="false">IF(COUNT(D997:D1006)=0,"N/M",MEDIAN(D997:D1006))</f>
        <v>0.0251281035145029</v>
      </c>
      <c r="E1009" s="30" t="n">
        <f aca="false">IF(COUNT(E997:E1006)=0,"N/M",MEDIAN(E997:E1006))</f>
        <v>0.0277800497343246</v>
      </c>
      <c r="F1009" s="30" t="n">
        <f aca="false">IF(COUNT(F997:F1006)=0,"N/M",MEDIAN(F997:F1006))</f>
        <v>0.0234551985259584</v>
      </c>
      <c r="G1009" s="30" t="n">
        <f aca="false">IF(COUNT(G997:G1006)=0,"N/M",MEDIAN(G997:G1006))</f>
        <v>0.0306140769820074</v>
      </c>
      <c r="H1009" s="30" t="n">
        <f aca="false">IF(COUNT(H997:H1006)=0,"N/M",MEDIAN(H997:H1006))</f>
        <v>0.0706654305076426</v>
      </c>
      <c r="I1009" s="30" t="n">
        <f aca="false">IF(COUNT(I997:I1006)=0,"N/M",MEDIAN(I997:I1006))</f>
        <v>0.0114497214899962</v>
      </c>
      <c r="J1009" s="54"/>
      <c r="K1009" s="54"/>
      <c r="L1009" s="54"/>
    </row>
    <row r="1010" customFormat="false" ht="15" hidden="false" customHeight="false" outlineLevel="0" collapsed="false">
      <c r="A1010" s="52" t="s">
        <v>330</v>
      </c>
      <c r="B1010" s="62" t="n">
        <f aca="false">IF(COUNT(B997:B1006)&lt;2,"N/M",STDEV(B997:B1006))</f>
        <v>1.16292768429696</v>
      </c>
      <c r="C1010" s="62" t="n">
        <f aca="false">IF(COUNT(C997:C1006)&lt;2,"N/M",STDEV(C997:C1006))</f>
        <v>7.60936981094907</v>
      </c>
      <c r="D1010" s="62" t="n">
        <f aca="false">IF(COUNT(D997:D1006)&lt;2,"N/M",STDEV(D997:D1006))</f>
        <v>1.53582248170447</v>
      </c>
      <c r="E1010" s="62" t="n">
        <f aca="false">IF(COUNT(E997:E1006)&lt;2,"N/M",STDEV(E997:E1006))</f>
        <v>6.64794598818099</v>
      </c>
      <c r="F1010" s="62" t="n">
        <f aca="false">IF(COUNT(F997:F1006)&lt;2,"N/M",STDEV(F997:F1006))</f>
        <v>0.0359279913431184</v>
      </c>
      <c r="G1010" s="62" t="n">
        <f aca="false">IF(COUNT(G997:G1006)&lt;2,"N/M",STDEV(G997:G1006))</f>
        <v>0.0434364209808244</v>
      </c>
      <c r="H1010" s="62" t="n">
        <f aca="false">IF(COUNT(H997:H1006)&lt;2,"N/M",STDEV(H997:H1006))</f>
        <v>0.0499844786427419</v>
      </c>
      <c r="I1010" s="62" t="n">
        <f aca="false">IF(COUNT(I997:I1006)&lt;2,"N/M",STDEV(I997:I1006))</f>
        <v>2.30054272372103</v>
      </c>
      <c r="J1010" s="54"/>
      <c r="K1010" s="54"/>
      <c r="L1010" s="54"/>
    </row>
    <row r="1011" customFormat="false" ht="15" hidden="false" customHeight="false" outlineLevel="0" collapsed="false">
      <c r="A1011" s="52" t="s">
        <v>269</v>
      </c>
      <c r="B1011" s="62" t="n">
        <f aca="false">IF(COUNT(B997:B1006)=0,"N/M",MIN(B997:B1006))</f>
        <v>-3.45556467942858</v>
      </c>
      <c r="C1011" s="62" t="n">
        <f aca="false">IF(COUNT(C997:C1006)=0,"N/M",MIN(C997:C1006))</f>
        <v>-22.840742441723</v>
      </c>
      <c r="D1011" s="62" t="n">
        <f aca="false">IF(COUNT(D997:D1006)=0,"N/M",MIN(D997:D1006))</f>
        <v>-4.56140166502896</v>
      </c>
      <c r="E1011" s="62" t="n">
        <f aca="false">IF(COUNT(E997:E1006)=0,"N/M",MIN(E997:E1006))</f>
        <v>-19.9079213875588</v>
      </c>
      <c r="F1011" s="62" t="n">
        <f aca="false">IF(COUNT(F997:F1006)=0,"N/M",MIN(F997:F1006))</f>
        <v>-0.0294644827142144</v>
      </c>
      <c r="G1011" s="62" t="n">
        <f aca="false">IF(COUNT(G997:G1006)=0,"N/M",MIN(G997:G1006))</f>
        <v>-0.0578500856218221</v>
      </c>
      <c r="H1011" s="62" t="n">
        <f aca="false">IF(COUNT(H997:H1006)=0,"N/M",MIN(H997:H1006))</f>
        <v>0.000693650162841191</v>
      </c>
      <c r="I1011" s="62" t="n">
        <f aca="false">IF(COUNT(I997:I1006)=0,"N/M",MIN(I997:I1006))</f>
        <v>-7.25070184207655</v>
      </c>
      <c r="J1011" s="54"/>
      <c r="K1011" s="54"/>
      <c r="L1011" s="54"/>
    </row>
    <row r="1012" customFormat="false" ht="15" hidden="false" customHeight="false" outlineLevel="0" collapsed="false">
      <c r="A1012" s="52" t="s">
        <v>270</v>
      </c>
      <c r="B1012" s="62" t="n">
        <f aca="false">IF(COUNT(B997:B1006)=0,"N/M",MAX(B997:B1006))</f>
        <v>0.319129969691567</v>
      </c>
      <c r="C1012" s="62" t="n">
        <f aca="false">IF(COUNT(C997:C1006)=0,"N/M",MAX(C997:C1006))</f>
        <v>0.0752361997026522</v>
      </c>
      <c r="D1012" s="62" t="n">
        <f aca="false">IF(COUNT(D997:D1006)=0,"N/M",MAX(D997:D1006))</f>
        <v>0.150646125397781</v>
      </c>
      <c r="E1012" s="62" t="n">
        <f aca="false">IF(COUNT(E997:E1006)=0,"N/M",MAX(E997:E1006))</f>
        <v>0.0652378238763775</v>
      </c>
      <c r="F1012" s="62" t="n">
        <f aca="false">IF(COUNT(F997:F1006)=0,"N/M",MAX(F997:F1006))</f>
        <v>0.0895096651744724</v>
      </c>
      <c r="G1012" s="62" t="n">
        <f aca="false">IF(COUNT(G997:G1006)=0,"N/M",MAX(G997:G1006))</f>
        <v>0.0817330855530319</v>
      </c>
      <c r="H1012" s="62" t="n">
        <f aca="false">IF(COUNT(H997:H1006)=0,"N/M",MAX(H997:H1006))</f>
        <v>0.166986724555398</v>
      </c>
      <c r="I1012" s="62" t="n">
        <f aca="false">IF(COUNT(I997:I1006)=0,"N/M",MAX(I997:I1006))</f>
        <v>0.0999044501856911</v>
      </c>
      <c r="J1012" s="54"/>
      <c r="K1012" s="54"/>
      <c r="L1012" s="54"/>
    </row>
    <row r="1014" customFormat="false" ht="16.5" hidden="false" customHeight="true" outlineLevel="0" collapsed="false">
      <c r="A1014" s="49" t="s">
        <v>386</v>
      </c>
      <c r="B1014" s="49"/>
      <c r="C1014" s="49"/>
      <c r="D1014" s="49"/>
      <c r="E1014" s="49"/>
      <c r="F1014" s="49"/>
      <c r="G1014" s="49"/>
      <c r="H1014" s="49"/>
      <c r="I1014" s="49"/>
      <c r="J1014" s="49"/>
      <c r="K1014" s="49"/>
      <c r="L1014" s="49"/>
    </row>
    <row r="1015" customFormat="false" ht="15" hidden="false" customHeight="false" outlineLevel="0" collapsed="false">
      <c r="A1015" s="16" t="s">
        <v>52</v>
      </c>
      <c r="B1015" s="27" t="n">
        <f aca="false">Tiger!D157</f>
        <v>0</v>
      </c>
      <c r="C1015" s="27" t="n">
        <f aca="false">Tiger!E157</f>
        <v>0</v>
      </c>
      <c r="D1015" s="27" t="n">
        <f aca="false">Tiger!F157</f>
        <v>0.00474828703305525</v>
      </c>
      <c r="E1015" s="27" t="n">
        <f aca="false">Tiger!G157</f>
        <v>0</v>
      </c>
      <c r="F1015" s="27" t="n">
        <f aca="false">Tiger!H157</f>
        <v>0</v>
      </c>
      <c r="G1015" s="27" t="n">
        <f aca="false">Tiger!I157</f>
        <v>0</v>
      </c>
      <c r="H1015" s="27" t="n">
        <f aca="false">Tiger!J157</f>
        <v>0</v>
      </c>
      <c r="I1015" s="61" t="n">
        <f aca="false">Tiger!K157</f>
        <v>0.000678326719007892</v>
      </c>
      <c r="J1015" s="25" t="str">
        <f aca="false">IF(AND(ISNUMBER(I1015),ISNUMBER(I$1027)),IF(I1015&gt;I$1027,"Above",IF(I1015&lt;I$1027,"Below","At median")),"-")</f>
        <v>Below</v>
      </c>
      <c r="K1015" s="25" t="s">
        <v>327</v>
      </c>
      <c r="L1015" s="25" t="s">
        <v>327</v>
      </c>
    </row>
    <row r="1016" customFormat="false" ht="15" hidden="false" customHeight="false" outlineLevel="0" collapsed="false">
      <c r="A1016" s="16" t="s">
        <v>54</v>
      </c>
      <c r="B1016" s="27" t="str">
        <f aca="false">Allcargo!D157</f>
        <v>N/C</v>
      </c>
      <c r="C1016" s="27" t="str">
        <f aca="false">Allcargo!E157</f>
        <v>N/C</v>
      </c>
      <c r="D1016" s="27" t="str">
        <f aca="false">Allcargo!F157</f>
        <v>N/C</v>
      </c>
      <c r="E1016" s="27" t="str">
        <f aca="false">Allcargo!G157</f>
        <v>N/C</v>
      </c>
      <c r="F1016" s="27" t="str">
        <f aca="false">Allcargo!H157</f>
        <v>N/C</v>
      </c>
      <c r="G1016" s="27" t="str">
        <f aca="false">Allcargo!I157</f>
        <v>N/C</v>
      </c>
      <c r="H1016" s="27" t="n">
        <f aca="false">Allcargo!J157</f>
        <v>0</v>
      </c>
      <c r="I1016" s="61" t="n">
        <f aca="false">Allcargo!K157</f>
        <v>0</v>
      </c>
      <c r="J1016" s="25" t="str">
        <f aca="false">IF(AND(ISNUMBER(I1016),ISNUMBER(I$1027)),IF(I1016&gt;I$1027,"Above",IF(I1016&lt;I$1027,"Below","At median")),"-")</f>
        <v>Below</v>
      </c>
      <c r="K1016" s="25" t="s">
        <v>327</v>
      </c>
      <c r="L1016" s="25" t="s">
        <v>327</v>
      </c>
    </row>
    <row r="1017" customFormat="false" ht="15" hidden="false" customHeight="false" outlineLevel="0" collapsed="false">
      <c r="A1017" s="16" t="s">
        <v>277</v>
      </c>
      <c r="B1017" s="27" t="n">
        <f aca="false">BlueDart!D157</f>
        <v>0</v>
      </c>
      <c r="C1017" s="27" t="n">
        <f aca="false">BlueDart!E157</f>
        <v>0.00269770909317576</v>
      </c>
      <c r="D1017" s="27" t="n">
        <f aca="false">BlueDart!F157</f>
        <v>0.00876562333552074</v>
      </c>
      <c r="E1017" s="27" t="n">
        <f aca="false">BlueDart!G157</f>
        <v>0.00484084844833591</v>
      </c>
      <c r="F1017" s="27" t="n">
        <f aca="false">BlueDart!H157</f>
        <v>0.00405295824501177</v>
      </c>
      <c r="G1017" s="27" t="n">
        <f aca="false">BlueDart!I157</f>
        <v>0.00408429742348904</v>
      </c>
      <c r="H1017" s="27" t="n">
        <f aca="false">BlueDart!J157</f>
        <v>0.00527981696634517</v>
      </c>
      <c r="I1017" s="61" t="n">
        <f aca="false">BlueDart!K157</f>
        <v>0.00424589335883977</v>
      </c>
      <c r="J1017" s="25" t="str">
        <f aca="false">IF(AND(ISNUMBER(I1017),ISNUMBER(I$1027)),IF(I1017&gt;I$1027,"Above",IF(I1017&lt;I$1027,"Below","At median")),"-")</f>
        <v>Below</v>
      </c>
      <c r="K1017" s="25" t="s">
        <v>327</v>
      </c>
      <c r="L1017" s="25" t="s">
        <v>327</v>
      </c>
    </row>
    <row r="1018" customFormat="false" ht="15" hidden="false" customHeight="false" outlineLevel="0" collapsed="false">
      <c r="A1018" s="16" t="s">
        <v>58</v>
      </c>
      <c r="B1018" s="27" t="n">
        <f aca="false">CONCOR!D157</f>
        <v>0.0108552721178928</v>
      </c>
      <c r="C1018" s="27" t="n">
        <f aca="false">CONCOR!E157</f>
        <v>0.00836147847516933</v>
      </c>
      <c r="D1018" s="27" t="n">
        <f aca="false">CONCOR!F157</f>
        <v>0.0133903078638284</v>
      </c>
      <c r="E1018" s="27" t="n">
        <f aca="false">CONCOR!G157</f>
        <v>0.0189579682583934</v>
      </c>
      <c r="F1018" s="27" t="n">
        <f aca="false">CONCOR!H157</f>
        <v>0.0130375916095948</v>
      </c>
      <c r="G1018" s="27" t="n">
        <f aca="false">CONCOR!I157</f>
        <v>0.0166287732198142</v>
      </c>
      <c r="H1018" s="27" t="n">
        <f aca="false">CONCOR!J157</f>
        <v>0.0202214526770031</v>
      </c>
      <c r="I1018" s="61" t="n">
        <f aca="false">CONCOR!K157</f>
        <v>0.0144932634602423</v>
      </c>
      <c r="J1018" s="25" t="str">
        <f aca="false">IF(AND(ISNUMBER(I1018),ISNUMBER(I$1027)),IF(I1018&gt;I$1027,"Above",IF(I1018&lt;I$1027,"Below","At median")),"-")</f>
        <v>Above</v>
      </c>
      <c r="K1018" s="25" t="s">
        <v>327</v>
      </c>
      <c r="L1018" s="25" t="s">
        <v>327</v>
      </c>
    </row>
    <row r="1019" customFormat="false" ht="15" hidden="false" customHeight="false" outlineLevel="0" collapsed="false">
      <c r="A1019" s="16" t="s">
        <v>278</v>
      </c>
      <c r="B1019" s="27" t="n">
        <f aca="false">JetFreight!D157</f>
        <v>0</v>
      </c>
      <c r="C1019" s="27" t="n">
        <f aca="false">JetFreight!E157</f>
        <v>0</v>
      </c>
      <c r="D1019" s="27" t="n">
        <f aca="false">JetFreight!F157</f>
        <v>0.00088934212398615</v>
      </c>
      <c r="E1019" s="27" t="n">
        <f aca="false">JetFreight!G157</f>
        <v>0</v>
      </c>
      <c r="F1019" s="27" t="n">
        <f aca="false">JetFreight!H157</f>
        <v>0</v>
      </c>
      <c r="G1019" s="27" t="n">
        <f aca="false">JetFreight!I157</f>
        <v>0</v>
      </c>
      <c r="H1019" s="27" t="n">
        <f aca="false">JetFreight!J157</f>
        <v>0</v>
      </c>
      <c r="I1019" s="61" t="n">
        <f aca="false">JetFreight!K157</f>
        <v>0.000127048874855164</v>
      </c>
      <c r="J1019" s="25" t="str">
        <f aca="false">IF(AND(ISNUMBER(I1019),ISNUMBER(I$1027)),IF(I1019&gt;I$1027,"Above",IF(I1019&lt;I$1027,"Below","At median")),"-")</f>
        <v>Below</v>
      </c>
      <c r="K1019" s="25" t="s">
        <v>327</v>
      </c>
      <c r="L1019" s="25" t="s">
        <v>327</v>
      </c>
    </row>
    <row r="1020" customFormat="false" ht="15" hidden="false" customHeight="false" outlineLevel="0" collapsed="false">
      <c r="A1020" s="16" t="s">
        <v>62</v>
      </c>
      <c r="B1020" s="27" t="n">
        <f aca="false">Patel!D157</f>
        <v>0.00505140547928924</v>
      </c>
      <c r="C1020" s="27" t="n">
        <f aca="false">Patel!E157</f>
        <v>0.00385064816775793</v>
      </c>
      <c r="D1020" s="27" t="n">
        <f aca="false">Patel!F157</f>
        <v>0.0039850736851194</v>
      </c>
      <c r="E1020" s="27" t="n">
        <f aca="false">Patel!G157</f>
        <v>0.00864729672200936</v>
      </c>
      <c r="F1020" s="27" t="n">
        <f aca="false">Patel!H157</f>
        <v>0.00474305762304221</v>
      </c>
      <c r="G1020" s="27" t="n">
        <f aca="false">Patel!I157</f>
        <v>0.0224765985270838</v>
      </c>
      <c r="H1020" s="27" t="n">
        <f aca="false">Patel!J157</f>
        <v>0.0241782861595836</v>
      </c>
      <c r="I1020" s="61" t="n">
        <f aca="false">Patel!K157</f>
        <v>0.0104189094805551</v>
      </c>
      <c r="J1020" s="25" t="str">
        <f aca="false">IF(AND(ISNUMBER(I1020),ISNUMBER(I$1027)),IF(I1020&gt;I$1027,"Above",IF(I1020&lt;I$1027,"Below","At median")),"-")</f>
        <v>Above</v>
      </c>
      <c r="K1020" s="25" t="s">
        <v>327</v>
      </c>
      <c r="L1020" s="25" t="s">
        <v>327</v>
      </c>
    </row>
    <row r="1021" customFormat="false" ht="15" hidden="false" customHeight="false" outlineLevel="0" collapsed="false">
      <c r="A1021" s="16" t="s">
        <v>64</v>
      </c>
      <c r="B1021" s="27" t="n">
        <f aca="false">Sical!D157</f>
        <v>0</v>
      </c>
      <c r="C1021" s="27" t="n">
        <f aca="false">Sical!E157</f>
        <v>0</v>
      </c>
      <c r="D1021" s="27" t="n">
        <f aca="false">Sical!F157</f>
        <v>0</v>
      </c>
      <c r="E1021" s="27" t="n">
        <f aca="false">Sical!G157</f>
        <v>0</v>
      </c>
      <c r="F1021" s="27" t="n">
        <f aca="false">Sical!H157</f>
        <v>0</v>
      </c>
      <c r="G1021" s="27" t="n">
        <f aca="false">Sical!I157</f>
        <v>0</v>
      </c>
      <c r="H1021" s="27" t="n">
        <f aca="false">Sical!J157</f>
        <v>0</v>
      </c>
      <c r="I1021" s="61" t="n">
        <f aca="false">Sical!K157</f>
        <v>0</v>
      </c>
      <c r="J1021" s="25" t="str">
        <f aca="false">IF(AND(ISNUMBER(I1021),ISNUMBER(I$1027)),IF(I1021&gt;I$1027,"Above",IF(I1021&lt;I$1027,"Below","At median")),"-")</f>
        <v>Below</v>
      </c>
      <c r="K1021" s="25" t="s">
        <v>327</v>
      </c>
      <c r="L1021" s="25" t="s">
        <v>327</v>
      </c>
    </row>
    <row r="1022" customFormat="false" ht="15" hidden="false" customHeight="false" outlineLevel="0" collapsed="false">
      <c r="A1022" s="16" t="s">
        <v>66</v>
      </c>
      <c r="B1022" s="27" t="n">
        <f aca="false">TCI!D157</f>
        <v>0.0106423934237348</v>
      </c>
      <c r="C1022" s="27" t="n">
        <f aca="false">TCI!E157</f>
        <v>0.00976243805750775</v>
      </c>
      <c r="D1022" s="27" t="n">
        <f aca="false">TCI!F157</f>
        <v>0.00668100037075881</v>
      </c>
      <c r="E1022" s="27" t="n">
        <f aca="false">TCI!G157</f>
        <v>0.011158722757956</v>
      </c>
      <c r="F1022" s="27" t="n">
        <f aca="false">TCI!H157</f>
        <v>0.0086296956676454</v>
      </c>
      <c r="G1022" s="27" t="n">
        <f aca="false">TCI!I157</f>
        <v>0.0072562358276644</v>
      </c>
      <c r="H1022" s="27" t="n">
        <f aca="false">TCI!J157</f>
        <v>0.0108412989218028</v>
      </c>
      <c r="I1022" s="61" t="n">
        <f aca="false">TCI!K157</f>
        <v>0.00928168357529572</v>
      </c>
      <c r="J1022" s="25" t="str">
        <f aca="false">IF(AND(ISNUMBER(I1022),ISNUMBER(I$1027)),IF(I1022&gt;I$1027,"Above",IF(I1022&lt;I$1027,"Below","At median")),"-")</f>
        <v>Above</v>
      </c>
      <c r="K1022" s="25" t="s">
        <v>327</v>
      </c>
      <c r="L1022" s="25" t="s">
        <v>327</v>
      </c>
    </row>
    <row r="1023" customFormat="false" ht="15" hidden="false" customHeight="false" outlineLevel="0" collapsed="false">
      <c r="A1023" s="16" t="s">
        <v>68</v>
      </c>
      <c r="B1023" s="27" t="n">
        <f aca="false">Shreeji!D157</f>
        <v>0.0164713335445043</v>
      </c>
      <c r="C1023" s="27" t="n">
        <f aca="false">Shreeji!E157</f>
        <v>0.0181818181818182</v>
      </c>
      <c r="D1023" s="27" t="n">
        <f aca="false">Shreeji!F157</f>
        <v>0.00986193293885601</v>
      </c>
      <c r="E1023" s="27" t="n">
        <f aca="false">Shreeji!G157</f>
        <v>0.00301333184101661</v>
      </c>
      <c r="F1023" s="27" t="n">
        <f aca="false">Shreeji!H157</f>
        <v>0.00384869567703505</v>
      </c>
      <c r="G1023" s="27" t="n">
        <f aca="false">Shreeji!I157</f>
        <v>0</v>
      </c>
      <c r="H1023" s="27" t="n">
        <f aca="false">Shreeji!J157</f>
        <v>0</v>
      </c>
      <c r="I1023" s="61" t="n">
        <f aca="false">Shreeji!K157</f>
        <v>0.00733958745474716</v>
      </c>
      <c r="J1023" s="25" t="str">
        <f aca="false">IF(AND(ISNUMBER(I1023),ISNUMBER(I$1027)),IF(I1023&gt;I$1027,"Above",IF(I1023&lt;I$1027,"Below","At median")),"-")</f>
        <v>Above</v>
      </c>
      <c r="K1023" s="25" t="s">
        <v>327</v>
      </c>
      <c r="L1023" s="25" t="s">
        <v>327</v>
      </c>
    </row>
    <row r="1024" customFormat="false" ht="15" hidden="false" customHeight="false" outlineLevel="0" collapsed="false">
      <c r="A1024" s="16" t="s">
        <v>279</v>
      </c>
      <c r="B1024" s="27" t="n">
        <f aca="false">MahindraLog!D157</f>
        <v>0.00527193557566982</v>
      </c>
      <c r="C1024" s="27" t="n">
        <f aca="false">MahindraLog!E157</f>
        <v>0.00343859027009436</v>
      </c>
      <c r="D1024" s="27" t="n">
        <f aca="false">MahindraLog!F157</f>
        <v>0.00315842223951259</v>
      </c>
      <c r="E1024" s="27" t="n">
        <f aca="false">MahindraLog!G157</f>
        <v>0.00562330070881705</v>
      </c>
      <c r="F1024" s="27" t="n">
        <f aca="false">MahindraLog!H157</f>
        <v>0.00487562156730253</v>
      </c>
      <c r="G1024" s="27" t="n">
        <f aca="false">MahindraLog!I157</f>
        <v>0.00761305320675482</v>
      </c>
      <c r="H1024" s="27" t="n">
        <f aca="false">MahindraLog!J157</f>
        <v>0.00751201923076923</v>
      </c>
      <c r="I1024" s="61" t="n">
        <f aca="false">MahindraLog!K157</f>
        <v>0.00535613468556006</v>
      </c>
      <c r="J1024" s="25" t="str">
        <f aca="false">IF(AND(ISNUMBER(I1024),ISNUMBER(I$1027)),IF(I1024&gt;I$1027,"Above",IF(I1024&lt;I$1027,"Below","At median")),"-")</f>
        <v>Above</v>
      </c>
      <c r="K1024" s="25" t="s">
        <v>327</v>
      </c>
      <c r="L1024" s="25" t="s">
        <v>327</v>
      </c>
    </row>
    <row r="1025" customFormat="false" ht="15" hidden="false" customHeight="false" outlineLevel="0" collapsed="false">
      <c r="A1025" s="46" t="s">
        <v>328</v>
      </c>
      <c r="B1025" s="42" t="n">
        <f aca="false">Industry!D158</f>
        <v>0.00847233339963572</v>
      </c>
      <c r="C1025" s="42" t="n">
        <f aca="false">Industry!E158</f>
        <v>0.00663551808826297</v>
      </c>
      <c r="D1025" s="42" t="n">
        <f aca="false">Industry!F158</f>
        <v>0.0110239630618269</v>
      </c>
      <c r="E1025" s="42" t="n">
        <f aca="false">Industry!G158</f>
        <v>0.0138106857198781</v>
      </c>
      <c r="F1025" s="42" t="n">
        <f aca="false">Industry!H158</f>
        <v>0.0103944449880648</v>
      </c>
      <c r="G1025" s="42" t="n">
        <f aca="false">Industry!I158</f>
        <v>0.0122575377450037</v>
      </c>
      <c r="H1025" s="42" t="n">
        <f aca="false">Industry!J158</f>
        <v>0.0145872310363916</v>
      </c>
      <c r="I1025" s="42" t="n">
        <f aca="false">Industry!K158</f>
        <v>0.0110259591484377</v>
      </c>
      <c r="J1025" s="47"/>
      <c r="K1025" s="47"/>
      <c r="L1025" s="47"/>
    </row>
    <row r="1026" customFormat="false" ht="15" hidden="false" customHeight="false" outlineLevel="0" collapsed="false">
      <c r="A1026" s="52" t="s">
        <v>329</v>
      </c>
      <c r="B1026" s="62" t="n">
        <f aca="false">IF(COUNT(B1015:B1024)=0,"N/M",AVERAGE(B1015:B1024))</f>
        <v>0.00536581557123233</v>
      </c>
      <c r="C1026" s="62" t="n">
        <f aca="false">IF(COUNT(C1015:C1024)=0,"N/M",AVERAGE(C1015:C1024))</f>
        <v>0.0051436313606137</v>
      </c>
      <c r="D1026" s="62" t="n">
        <f aca="false">IF(COUNT(D1015:D1024)=0,"N/M",AVERAGE(D1015:D1024))</f>
        <v>0.00571999884340415</v>
      </c>
      <c r="E1026" s="62" t="n">
        <f aca="false">IF(COUNT(E1015:E1024)=0,"N/M",AVERAGE(E1015:E1024))</f>
        <v>0.00580460763739204</v>
      </c>
      <c r="F1026" s="62" t="n">
        <f aca="false">IF(COUNT(F1015:F1024)=0,"N/M",AVERAGE(F1015:F1024))</f>
        <v>0.00435418004329241</v>
      </c>
      <c r="G1026" s="62" t="n">
        <f aca="false">IF(COUNT(G1015:G1024)=0,"N/M",AVERAGE(G1015:G1024))</f>
        <v>0.00645099535608959</v>
      </c>
      <c r="H1026" s="62" t="n">
        <f aca="false">IF(COUNT(H1015:H1024)=0,"N/M",AVERAGE(H1015:H1024))</f>
        <v>0.00680328739555039</v>
      </c>
      <c r="I1026" s="62" t="n">
        <f aca="false">IF(COUNT(I1015:I1024)=0,"N/M",AVERAGE(I1015:I1024))</f>
        <v>0.00519408476091031</v>
      </c>
      <c r="J1026" s="54"/>
      <c r="K1026" s="54"/>
      <c r="L1026" s="54"/>
    </row>
    <row r="1027" customFormat="false" ht="15" hidden="false" customHeight="false" outlineLevel="0" collapsed="false">
      <c r="A1027" s="28" t="s">
        <v>281</v>
      </c>
      <c r="B1027" s="30" t="n">
        <f aca="false">IF(COUNT(B1015:B1024)=0,"N/M",MEDIAN(B1015:B1024))</f>
        <v>0.00505140547928924</v>
      </c>
      <c r="C1027" s="30" t="n">
        <f aca="false">IF(COUNT(C1015:C1024)=0,"N/M",MEDIAN(C1015:C1024))</f>
        <v>0.00343859027009436</v>
      </c>
      <c r="D1027" s="30" t="n">
        <f aca="false">IF(COUNT(D1015:D1024)=0,"N/M",MEDIAN(D1015:D1024))</f>
        <v>0.00474828703305525</v>
      </c>
      <c r="E1027" s="30" t="n">
        <f aca="false">IF(COUNT(E1015:E1024)=0,"N/M",MEDIAN(E1015:E1024))</f>
        <v>0.00484084844833591</v>
      </c>
      <c r="F1027" s="30" t="n">
        <f aca="false">IF(COUNT(F1015:F1024)=0,"N/M",MEDIAN(F1015:F1024))</f>
        <v>0.00405295824501177</v>
      </c>
      <c r="G1027" s="30" t="n">
        <f aca="false">IF(COUNT(G1015:G1024)=0,"N/M",MEDIAN(G1015:G1024))</f>
        <v>0.00408429742348904</v>
      </c>
      <c r="H1027" s="30" t="n">
        <f aca="false">IF(COUNT(H1015:H1024)=0,"N/M",MEDIAN(H1015:H1024))</f>
        <v>0.00263990848317258</v>
      </c>
      <c r="I1027" s="30" t="n">
        <f aca="false">IF(COUNT(I1015:I1024)=0,"N/M",MEDIAN(I1015:I1024))</f>
        <v>0.00480101402219991</v>
      </c>
      <c r="J1027" s="54"/>
      <c r="K1027" s="54"/>
      <c r="L1027" s="54"/>
    </row>
    <row r="1028" customFormat="false" ht="15" hidden="false" customHeight="false" outlineLevel="0" collapsed="false">
      <c r="A1028" s="52" t="s">
        <v>330</v>
      </c>
      <c r="B1028" s="62" t="n">
        <f aca="false">IF(COUNT(B1015:B1024)&lt;2,"N/M",STDEV(B1015:B1024))</f>
        <v>0.00608876537775989</v>
      </c>
      <c r="C1028" s="62" t="n">
        <f aca="false">IF(COUNT(C1015:C1024)&lt;2,"N/M",STDEV(C1015:C1024))</f>
        <v>0.00603753434832817</v>
      </c>
      <c r="D1028" s="62" t="n">
        <f aca="false">IF(COUNT(D1015:D1024)&lt;2,"N/M",STDEV(D1015:D1024))</f>
        <v>0.00436975551313594</v>
      </c>
      <c r="E1028" s="62" t="n">
        <f aca="false">IF(COUNT(E1015:E1024)&lt;2,"N/M",STDEV(E1015:E1024))</f>
        <v>0.00632051876433656</v>
      </c>
      <c r="F1028" s="62" t="n">
        <f aca="false">IF(COUNT(F1015:F1024)&lt;2,"N/M",STDEV(F1015:F1024))</f>
        <v>0.00434924846788761</v>
      </c>
      <c r="G1028" s="62" t="n">
        <f aca="false">IF(COUNT(G1015:G1024)&lt;2,"N/M",STDEV(G1015:G1024))</f>
        <v>0.00817365075520258</v>
      </c>
      <c r="H1028" s="62" t="n">
        <f aca="false">IF(COUNT(H1015:H1024)&lt;2,"N/M",STDEV(H1015:H1024))</f>
        <v>0.00902151834074679</v>
      </c>
      <c r="I1028" s="62" t="n">
        <f aca="false">IF(COUNT(I1015:I1024)&lt;2,"N/M",STDEV(I1015:I1024))</f>
        <v>0.00512113753849241</v>
      </c>
      <c r="J1028" s="54"/>
      <c r="K1028" s="54"/>
      <c r="L1028" s="54"/>
    </row>
    <row r="1029" customFormat="false" ht="15" hidden="false" customHeight="false" outlineLevel="0" collapsed="false">
      <c r="A1029" s="52" t="s">
        <v>269</v>
      </c>
      <c r="B1029" s="62" t="n">
        <f aca="false">IF(COUNT(B1015:B1024)=0,"N/M",MIN(B1015:B1024))</f>
        <v>0</v>
      </c>
      <c r="C1029" s="62" t="n">
        <f aca="false">IF(COUNT(C1015:C1024)=0,"N/M",MIN(C1015:C1024))</f>
        <v>0</v>
      </c>
      <c r="D1029" s="62" t="n">
        <f aca="false">IF(COUNT(D1015:D1024)=0,"N/M",MIN(D1015:D1024))</f>
        <v>0</v>
      </c>
      <c r="E1029" s="62" t="n">
        <f aca="false">IF(COUNT(E1015:E1024)=0,"N/M",MIN(E1015:E1024))</f>
        <v>0</v>
      </c>
      <c r="F1029" s="62" t="n">
        <f aca="false">IF(COUNT(F1015:F1024)=0,"N/M",MIN(F1015:F1024))</f>
        <v>0</v>
      </c>
      <c r="G1029" s="62" t="n">
        <f aca="false">IF(COUNT(G1015:G1024)=0,"N/M",MIN(G1015:G1024))</f>
        <v>0</v>
      </c>
      <c r="H1029" s="62" t="n">
        <f aca="false">IF(COUNT(H1015:H1024)=0,"N/M",MIN(H1015:H1024))</f>
        <v>0</v>
      </c>
      <c r="I1029" s="62" t="n">
        <f aca="false">IF(COUNT(I1015:I1024)=0,"N/M",MIN(I1015:I1024))</f>
        <v>0</v>
      </c>
      <c r="J1029" s="54"/>
      <c r="K1029" s="54"/>
      <c r="L1029" s="54"/>
    </row>
    <row r="1030" customFormat="false" ht="15" hidden="false" customHeight="false" outlineLevel="0" collapsed="false">
      <c r="A1030" s="52" t="s">
        <v>270</v>
      </c>
      <c r="B1030" s="62" t="n">
        <f aca="false">IF(COUNT(B1015:B1024)=0,"N/M",MAX(B1015:B1024))</f>
        <v>0.0164713335445043</v>
      </c>
      <c r="C1030" s="62" t="n">
        <f aca="false">IF(COUNT(C1015:C1024)=0,"N/M",MAX(C1015:C1024))</f>
        <v>0.0181818181818182</v>
      </c>
      <c r="D1030" s="62" t="n">
        <f aca="false">IF(COUNT(D1015:D1024)=0,"N/M",MAX(D1015:D1024))</f>
        <v>0.0133903078638284</v>
      </c>
      <c r="E1030" s="62" t="n">
        <f aca="false">IF(COUNT(E1015:E1024)=0,"N/M",MAX(E1015:E1024))</f>
        <v>0.0189579682583934</v>
      </c>
      <c r="F1030" s="62" t="n">
        <f aca="false">IF(COUNT(F1015:F1024)=0,"N/M",MAX(F1015:F1024))</f>
        <v>0.0130375916095948</v>
      </c>
      <c r="G1030" s="62" t="n">
        <f aca="false">IF(COUNT(G1015:G1024)=0,"N/M",MAX(G1015:G1024))</f>
        <v>0.0224765985270838</v>
      </c>
      <c r="H1030" s="62" t="n">
        <f aca="false">IF(COUNT(H1015:H1024)=0,"N/M",MAX(H1015:H1024))</f>
        <v>0.0241782861595836</v>
      </c>
      <c r="I1030" s="62" t="n">
        <f aca="false">IF(COUNT(I1015:I1024)=0,"N/M",MAX(I1015:I1024))</f>
        <v>0.0144932634602423</v>
      </c>
      <c r="J1030" s="54"/>
      <c r="K1030" s="54"/>
      <c r="L1030" s="54"/>
    </row>
    <row r="1032" customFormat="false" ht="16.5" hidden="false" customHeight="true" outlineLevel="0" collapsed="false">
      <c r="A1032" s="49" t="s">
        <v>387</v>
      </c>
      <c r="B1032" s="49"/>
      <c r="C1032" s="49"/>
      <c r="D1032" s="49"/>
      <c r="E1032" s="49"/>
      <c r="F1032" s="49"/>
      <c r="G1032" s="49"/>
      <c r="H1032" s="49"/>
      <c r="I1032" s="49"/>
      <c r="J1032" s="49"/>
      <c r="K1032" s="49"/>
      <c r="L1032" s="49"/>
    </row>
    <row r="1033" customFormat="false" ht="15" hidden="false" customHeight="false" outlineLevel="0" collapsed="false">
      <c r="A1033" s="16" t="s">
        <v>52</v>
      </c>
      <c r="B1033" s="36" t="str">
        <f aca="false">Tiger!D158</f>
        <v>N/M</v>
      </c>
      <c r="C1033" s="36" t="str">
        <f aca="false">Tiger!E158</f>
        <v>N/M</v>
      </c>
      <c r="D1033" s="36" t="n">
        <f aca="false">Tiger!F158</f>
        <v>6.63807314897413</v>
      </c>
      <c r="E1033" s="36" t="n">
        <f aca="false">Tiger!G158</f>
        <v>16.5449418354158</v>
      </c>
      <c r="F1033" s="36" t="n">
        <f aca="false">Tiger!H158</f>
        <v>37.516975308642</v>
      </c>
      <c r="G1033" s="36" t="n">
        <f aca="false">Tiger!I158</f>
        <v>18.58848574602</v>
      </c>
      <c r="H1033" s="36" t="n">
        <f aca="false">Tiger!J158</f>
        <v>11.7389869888476</v>
      </c>
      <c r="I1033" s="59" t="n">
        <f aca="false">Tiger!K158</f>
        <v>18.2054926055799</v>
      </c>
      <c r="J1033" s="25" t="str">
        <f aca="false">IF(AND(ISNUMBER(I1033),ISNUMBER(I$1045)),IF(I1033&gt;I$1045,"Above",IF(I1033&lt;I$1045,"Below","At median")),"-")</f>
        <v>Below</v>
      </c>
      <c r="K1033" s="25" t="s">
        <v>327</v>
      </c>
      <c r="L1033" s="25" t="s">
        <v>327</v>
      </c>
    </row>
    <row r="1034" customFormat="false" ht="15" hidden="false" customHeight="false" outlineLevel="0" collapsed="false">
      <c r="A1034" s="16" t="s">
        <v>54</v>
      </c>
      <c r="B1034" s="36" t="str">
        <f aca="false">Allcargo!D158</f>
        <v>N/C</v>
      </c>
      <c r="C1034" s="36" t="str">
        <f aca="false">Allcargo!E158</f>
        <v>N/C</v>
      </c>
      <c r="D1034" s="36" t="str">
        <f aca="false">Allcargo!F158</f>
        <v>N/C</v>
      </c>
      <c r="E1034" s="36" t="str">
        <f aca="false">Allcargo!G158</f>
        <v>N/C</v>
      </c>
      <c r="F1034" s="36" t="str">
        <f aca="false">Allcargo!H158</f>
        <v>N/C</v>
      </c>
      <c r="G1034" s="36" t="str">
        <f aca="false">Allcargo!I158</f>
        <v>N/C</v>
      </c>
      <c r="H1034" s="36" t="n">
        <f aca="false">Allcargo!J158</f>
        <v>134.42755</v>
      </c>
      <c r="I1034" s="59" t="n">
        <f aca="false">Allcargo!K158</f>
        <v>134.42755</v>
      </c>
      <c r="J1034" s="25" t="str">
        <f aca="false">IF(AND(ISNUMBER(I1034),ISNUMBER(I$1045)),IF(I1034&gt;I$1045,"Above",IF(I1034&lt;I$1045,"Below","At median")),"-")</f>
        <v>Above</v>
      </c>
      <c r="K1034" s="25" t="s">
        <v>327</v>
      </c>
      <c r="L1034" s="25" t="s">
        <v>327</v>
      </c>
    </row>
    <row r="1035" customFormat="false" ht="15" hidden="false" customHeight="false" outlineLevel="0" collapsed="false">
      <c r="A1035" s="16" t="s">
        <v>277</v>
      </c>
      <c r="B1035" s="36" t="str">
        <f aca="false">BlueDart!D158</f>
        <v>N/M</v>
      </c>
      <c r="C1035" s="36" t="n">
        <f aca="false">BlueDart!E158</f>
        <v>129.763377860721</v>
      </c>
      <c r="D1035" s="36" t="n">
        <f aca="false">BlueDart!F158</f>
        <v>42.5513003322781</v>
      </c>
      <c r="E1035" s="36" t="n">
        <f aca="false">BlueDart!G158</f>
        <v>39.739539308558</v>
      </c>
      <c r="F1035" s="36" t="n">
        <f aca="false">BlueDart!H158</f>
        <v>48.6892844091558</v>
      </c>
      <c r="G1035" s="36" t="n">
        <f aca="false">BlueDart!I158</f>
        <v>57.6162942714524</v>
      </c>
      <c r="H1035" s="36" t="n">
        <f aca="false">BlueDart!J158</f>
        <v>45.4763329156393</v>
      </c>
      <c r="I1035" s="59" t="n">
        <f aca="false">BlueDart!K158</f>
        <v>60.6393548496341</v>
      </c>
      <c r="J1035" s="25" t="str">
        <f aca="false">IF(AND(ISNUMBER(I1035),ISNUMBER(I$1045)),IF(I1035&gt;I$1045,"Above",IF(I1035&lt;I$1045,"Below","At median")),"-")</f>
        <v>Above</v>
      </c>
      <c r="K1035" s="25" t="s">
        <v>327</v>
      </c>
      <c r="L1035" s="25" t="s">
        <v>327</v>
      </c>
    </row>
    <row r="1036" customFormat="false" ht="15" hidden="false" customHeight="false" outlineLevel="0" collapsed="false">
      <c r="A1036" s="16" t="s">
        <v>58</v>
      </c>
      <c r="B1036" s="36" t="n">
        <f aca="false">CONCOR!D158</f>
        <v>50.0762569389374</v>
      </c>
      <c r="C1036" s="36" t="n">
        <f aca="false">CONCOR!E158</f>
        <v>72.1112773621502</v>
      </c>
      <c r="D1036" s="36" t="n">
        <f aca="false">CONCOR!F158</f>
        <v>38.8133626506938</v>
      </c>
      <c r="E1036" s="36" t="n">
        <f aca="false">CONCOR!G158</f>
        <v>30.117024883505</v>
      </c>
      <c r="F1036" s="36" t="n">
        <f aca="false">CONCOR!H158</f>
        <v>42.6344717949532</v>
      </c>
      <c r="G1036" s="36" t="n">
        <f aca="false">CONCOR!I158</f>
        <v>32.6647117464206</v>
      </c>
      <c r="H1036" s="36" t="n">
        <f aca="false">CONCOR!J158</f>
        <v>26.0837880496054</v>
      </c>
      <c r="I1036" s="59" t="n">
        <f aca="false">CONCOR!K158</f>
        <v>41.7858419180379</v>
      </c>
      <c r="J1036" s="25" t="str">
        <f aca="false">IF(AND(ISNUMBER(I1036),ISNUMBER(I$1045)),IF(I1036&gt;I$1045,"Above",IF(I1036&lt;I$1045,"Below","At median")),"-")</f>
        <v>Below</v>
      </c>
      <c r="K1036" s="25" t="s">
        <v>327</v>
      </c>
      <c r="L1036" s="25" t="s">
        <v>327</v>
      </c>
    </row>
    <row r="1037" customFormat="false" ht="15" hidden="false" customHeight="false" outlineLevel="0" collapsed="false">
      <c r="A1037" s="16" t="s">
        <v>278</v>
      </c>
      <c r="B1037" s="36" t="str">
        <f aca="false">JetFreight!D158</f>
        <v>N/M</v>
      </c>
      <c r="C1037" s="36" t="n">
        <f aca="false">JetFreight!E158</f>
        <v>13.2914741035857</v>
      </c>
      <c r="D1037" s="36" t="n">
        <f aca="false">JetFreight!F158</f>
        <v>47.8479432624114</v>
      </c>
      <c r="E1037" s="36" t="n">
        <f aca="false">JetFreight!G158</f>
        <v>912.533333333333</v>
      </c>
      <c r="F1037" s="36" t="n">
        <f aca="false">JetFreight!H158</f>
        <v>222.184615384615</v>
      </c>
      <c r="G1037" s="36" t="n">
        <f aca="false">JetFreight!I158</f>
        <v>14.330509383378</v>
      </c>
      <c r="H1037" s="36" t="n">
        <f aca="false">JetFreight!J158</f>
        <v>11.6409411764706</v>
      </c>
      <c r="I1037" s="59" t="n">
        <f aca="false">JetFreight!K158</f>
        <v>203.638136107299</v>
      </c>
      <c r="J1037" s="25" t="str">
        <f aca="false">IF(AND(ISNUMBER(I1037),ISNUMBER(I$1045)),IF(I1037&gt;I$1045,"Above",IF(I1037&lt;I$1045,"Below","At median")),"-")</f>
        <v>Above</v>
      </c>
      <c r="K1037" s="25" t="s">
        <v>327</v>
      </c>
      <c r="L1037" s="25" t="s">
        <v>327</v>
      </c>
    </row>
    <row r="1038" customFormat="false" ht="15" hidden="false" customHeight="false" outlineLevel="0" collapsed="false">
      <c r="A1038" s="16" t="s">
        <v>62</v>
      </c>
      <c r="B1038" s="36" t="n">
        <f aca="false">Patel!D158</f>
        <v>3.13351955307263</v>
      </c>
      <c r="C1038" s="36" t="n">
        <f aca="false">Patel!E158</f>
        <v>1350.422</v>
      </c>
      <c r="D1038" s="36" t="n">
        <f aca="false">Patel!F158</f>
        <v>39.7960792951542</v>
      </c>
      <c r="E1038" s="36" t="n">
        <f aca="false">Patel!G158</f>
        <v>15.3404081632653</v>
      </c>
      <c r="F1038" s="36" t="n">
        <f aca="false">Patel!H158</f>
        <v>24.7368953068592</v>
      </c>
      <c r="G1038" s="36" t="n">
        <f aca="false">Patel!I158</f>
        <v>12.2349473684211</v>
      </c>
      <c r="H1038" s="36" t="n">
        <f aca="false">Patel!J158</f>
        <v>5.9885</v>
      </c>
      <c r="I1038" s="59" t="n">
        <f aca="false">Patel!K158</f>
        <v>207.37890709811</v>
      </c>
      <c r="J1038" s="25" t="str">
        <f aca="false">IF(AND(ISNUMBER(I1038),ISNUMBER(I$1045)),IF(I1038&gt;I$1045,"Above",IF(I1038&lt;I$1045,"Below","At median")),"-")</f>
        <v>Above</v>
      </c>
      <c r="K1038" s="25" t="s">
        <v>327</v>
      </c>
      <c r="L1038" s="25" t="s">
        <v>327</v>
      </c>
    </row>
    <row r="1039" customFormat="false" ht="15" hidden="false" customHeight="false" outlineLevel="0" collapsed="false">
      <c r="A1039" s="16" t="s">
        <v>64</v>
      </c>
      <c r="B1039" s="36" t="str">
        <f aca="false">Sical!D158</f>
        <v>N/M</v>
      </c>
      <c r="C1039" s="36" t="str">
        <f aca="false">Sical!E158</f>
        <v>N/M</v>
      </c>
      <c r="D1039" s="36" t="str">
        <f aca="false">Sical!F158</f>
        <v>N/M</v>
      </c>
      <c r="E1039" s="36" t="str">
        <f aca="false">Sical!G158</f>
        <v>N/M</v>
      </c>
      <c r="F1039" s="36" t="str">
        <f aca="false">Sical!H158</f>
        <v>N/M</v>
      </c>
      <c r="G1039" s="36" t="str">
        <f aca="false">Sical!I158</f>
        <v>N/M</v>
      </c>
      <c r="H1039" s="36" t="n">
        <f aca="false">Sical!J158</f>
        <v>10.2007666396104</v>
      </c>
      <c r="I1039" s="59" t="n">
        <f aca="false">Sical!K158</f>
        <v>10.2007666396104</v>
      </c>
      <c r="J1039" s="25" t="str">
        <f aca="false">IF(AND(ISNUMBER(I1039),ISNUMBER(I$1045)),IF(I1039&gt;I$1045,"Above",IF(I1039&lt;I$1045,"Below","At median")),"-")</f>
        <v>Below</v>
      </c>
      <c r="K1039" s="25" t="s">
        <v>327</v>
      </c>
      <c r="L1039" s="25" t="s">
        <v>327</v>
      </c>
    </row>
    <row r="1040" customFormat="false" ht="15" hidden="false" customHeight="false" outlineLevel="0" collapsed="false">
      <c r="A1040" s="16" t="s">
        <v>66</v>
      </c>
      <c r="B1040" s="36" t="n">
        <f aca="false">TCI!D158</f>
        <v>10.1448721550997</v>
      </c>
      <c r="C1040" s="36" t="n">
        <f aca="false">TCI!E158</f>
        <v>13.4229354992184</v>
      </c>
      <c r="D1040" s="36" t="n">
        <f aca="false">TCI!F158</f>
        <v>15.9906184178723</v>
      </c>
      <c r="E1040" s="36" t="n">
        <f aca="false">TCI!G158</f>
        <v>15.3285309132161</v>
      </c>
      <c r="F1040" s="36" t="n">
        <f aca="false">TCI!H158</f>
        <v>17.9764310148233</v>
      </c>
      <c r="G1040" s="36" t="n">
        <f aca="false">TCI!I158</f>
        <v>20.4790484504583</v>
      </c>
      <c r="H1040" s="36" t="n">
        <f aca="false">TCI!J158</f>
        <v>15.5165150684932</v>
      </c>
      <c r="I1040" s="59" t="n">
        <f aca="false">TCI!K158</f>
        <v>15.5512787884545</v>
      </c>
      <c r="J1040" s="25" t="str">
        <f aca="false">IF(AND(ISNUMBER(I1040),ISNUMBER(I$1045)),IF(I1040&gt;I$1045,"Above",IF(I1040&lt;I$1045,"Below","At median")),"-")</f>
        <v>Below</v>
      </c>
      <c r="K1040" s="25" t="s">
        <v>327</v>
      </c>
      <c r="L1040" s="25" t="s">
        <v>327</v>
      </c>
    </row>
    <row r="1041" customFormat="false" ht="15" hidden="false" customHeight="false" outlineLevel="0" collapsed="false">
      <c r="A1041" s="16" t="s">
        <v>68</v>
      </c>
      <c r="B1041" s="36" t="n">
        <f aca="false">Shreeji!D158</f>
        <v>21.4761904761905</v>
      </c>
      <c r="C1041" s="36" t="str">
        <f aca="false">Shreeji!E158</f>
        <v>N/M</v>
      </c>
      <c r="D1041" s="36" t="n">
        <f aca="false">Shreeji!F158</f>
        <v>24.0610169491525</v>
      </c>
      <c r="E1041" s="36" t="n">
        <f aca="false">Shreeji!G158</f>
        <v>35.997055785124</v>
      </c>
      <c r="F1041" s="36" t="n">
        <f aca="false">Shreeji!H158</f>
        <v>11.1719778869779</v>
      </c>
      <c r="G1041" s="36" t="n">
        <f aca="false">Shreeji!I158</f>
        <v>40.4323529411765</v>
      </c>
      <c r="H1041" s="36" t="n">
        <f aca="false">Shreeji!J158</f>
        <v>13.0067088607595</v>
      </c>
      <c r="I1041" s="59" t="n">
        <f aca="false">Shreeji!K158</f>
        <v>24.3575504832301</v>
      </c>
      <c r="J1041" s="25" t="str">
        <f aca="false">IF(AND(ISNUMBER(I1041),ISNUMBER(I$1045)),IF(I1041&gt;I$1045,"Above",IF(I1041&lt;I$1045,"Below","At median")),"-")</f>
        <v>Below</v>
      </c>
      <c r="K1041" s="25" t="s">
        <v>327</v>
      </c>
      <c r="L1041" s="25" t="s">
        <v>327</v>
      </c>
    </row>
    <row r="1042" customFormat="false" ht="15" hidden="false" customHeight="false" outlineLevel="0" collapsed="false">
      <c r="A1042" s="16" t="s">
        <v>279</v>
      </c>
      <c r="B1042" s="36" t="n">
        <f aca="false">MahindraLog!D158</f>
        <v>36.924992743106</v>
      </c>
      <c r="C1042" s="36" t="n">
        <f aca="false">MahindraLog!E158</f>
        <v>173.7146</v>
      </c>
      <c r="D1042" s="36" t="n">
        <f aca="false">MahindraLog!F158</f>
        <v>259.096810933941</v>
      </c>
      <c r="E1042" s="36" t="n">
        <f aca="false">MahindraLog!G158</f>
        <v>121.802397260274</v>
      </c>
      <c r="F1042" s="36" t="str">
        <f aca="false">MahindraLog!H158</f>
        <v>N/M</v>
      </c>
      <c r="G1042" s="36" t="str">
        <f aca="false">MahindraLog!I158</f>
        <v>N/M</v>
      </c>
      <c r="H1042" s="36" t="n">
        <f aca="false">MahindraLog!J158</f>
        <v>1441.64890829694</v>
      </c>
      <c r="I1042" s="59" t="n">
        <f aca="false">MahindraLog!K158</f>
        <v>406.637541846853</v>
      </c>
      <c r="J1042" s="25" t="str">
        <f aca="false">IF(AND(ISNUMBER(I1042),ISNUMBER(I$1045)),IF(I1042&gt;I$1045,"Above",IF(I1042&lt;I$1045,"Below","At median")),"-")</f>
        <v>Above</v>
      </c>
      <c r="K1042" s="25" t="s">
        <v>327</v>
      </c>
      <c r="L1042" s="25" t="s">
        <v>327</v>
      </c>
    </row>
    <row r="1043" customFormat="false" ht="15" hidden="false" customHeight="false" outlineLevel="0" collapsed="false">
      <c r="A1043" s="46" t="s">
        <v>328</v>
      </c>
      <c r="B1043" s="37" t="n">
        <f aca="false">Industry!D159</f>
        <v>65.5214454758683</v>
      </c>
      <c r="C1043" s="37" t="str">
        <f aca="false">Industry!E159</f>
        <v>N/M</v>
      </c>
      <c r="D1043" s="37" t="n">
        <f aca="false">Industry!F159</f>
        <v>43.8191554859139</v>
      </c>
      <c r="E1043" s="37" t="n">
        <f aca="false">Industry!G159</f>
        <v>54.0765030340773</v>
      </c>
      <c r="F1043" s="37" t="n">
        <f aca="false">Industry!H159</f>
        <v>43.0289579732999</v>
      </c>
      <c r="G1043" s="37" t="n">
        <f aca="false">Industry!I159</f>
        <v>35.5155894500776</v>
      </c>
      <c r="H1043" s="37" t="n">
        <f aca="false">Industry!J159</f>
        <v>27.3841866095822</v>
      </c>
      <c r="I1043" s="37" t="n">
        <f aca="false">Industry!K159</f>
        <v>44.8909730048032</v>
      </c>
      <c r="J1043" s="47"/>
      <c r="K1043" s="47"/>
      <c r="L1043" s="47"/>
    </row>
    <row r="1044" customFormat="false" ht="15" hidden="false" customHeight="false" outlineLevel="0" collapsed="false">
      <c r="A1044" s="52" t="s">
        <v>329</v>
      </c>
      <c r="B1044" s="60" t="n">
        <f aca="false">IF(COUNT(B1033:B1042)=0,"N/M",AVERAGE(B1033:B1042))</f>
        <v>24.3511663732812</v>
      </c>
      <c r="C1044" s="60" t="n">
        <f aca="false">IF(COUNT(C1033:C1042)=0,"N/M",AVERAGE(C1033:C1042))</f>
        <v>292.120944137613</v>
      </c>
      <c r="D1044" s="60" t="n">
        <f aca="false">IF(COUNT(D1033:D1042)=0,"N/M",AVERAGE(D1033:D1042))</f>
        <v>59.3494006238096</v>
      </c>
      <c r="E1044" s="60" t="n">
        <f aca="false">IF(COUNT(E1033:E1042)=0,"N/M",AVERAGE(E1033:E1042))</f>
        <v>148.425403935336</v>
      </c>
      <c r="F1044" s="60" t="n">
        <f aca="false">IF(COUNT(F1033:F1042)=0,"N/M",AVERAGE(F1033:F1042))</f>
        <v>57.8443787294324</v>
      </c>
      <c r="G1044" s="60" t="n">
        <f aca="false">IF(COUNT(G1033:G1042)=0,"N/M",AVERAGE(G1033:G1042))</f>
        <v>28.0494785581895</v>
      </c>
      <c r="H1044" s="60" t="n">
        <f aca="false">IF(COUNT(H1033:H1042)=0,"N/M",AVERAGE(H1033:H1042))</f>
        <v>171.572899799637</v>
      </c>
      <c r="I1044" s="60" t="n">
        <f aca="false">IF(COUNT(I1033:I1042)=0,"N/M",AVERAGE(I1033:I1042))</f>
        <v>112.282242033681</v>
      </c>
      <c r="J1044" s="54"/>
      <c r="K1044" s="54"/>
      <c r="L1044" s="54"/>
    </row>
    <row r="1045" customFormat="false" ht="15" hidden="false" customHeight="false" outlineLevel="0" collapsed="false">
      <c r="A1045" s="28" t="s">
        <v>281</v>
      </c>
      <c r="B1045" s="38" t="n">
        <f aca="false">IF(COUNT(B1033:B1042)=0,"N/M",MEDIAN(B1033:B1042))</f>
        <v>21.4761904761905</v>
      </c>
      <c r="C1045" s="38" t="n">
        <f aca="false">IF(COUNT(C1033:C1042)=0,"N/M",MEDIAN(C1033:C1042))</f>
        <v>100.937327611436</v>
      </c>
      <c r="D1045" s="38" t="n">
        <f aca="false">IF(COUNT(D1033:D1042)=0,"N/M",MEDIAN(D1033:D1042))</f>
        <v>39.304720972924</v>
      </c>
      <c r="E1045" s="38" t="n">
        <f aca="false">IF(COUNT(E1033:E1042)=0,"N/M",MEDIAN(E1033:E1042))</f>
        <v>33.0570403343145</v>
      </c>
      <c r="F1045" s="38" t="n">
        <f aca="false">IF(COUNT(F1033:F1042)=0,"N/M",MEDIAN(F1033:F1042))</f>
        <v>37.516975308642</v>
      </c>
      <c r="G1045" s="38" t="n">
        <f aca="false">IF(COUNT(G1033:G1042)=0,"N/M",MEDIAN(G1033:G1042))</f>
        <v>20.4790484504583</v>
      </c>
      <c r="H1045" s="38" t="n">
        <f aca="false">IF(COUNT(H1033:H1042)=0,"N/M",MEDIAN(H1033:H1042))</f>
        <v>14.2616119646263</v>
      </c>
      <c r="I1045" s="38" t="n">
        <f aca="false">IF(COUNT(I1033:I1042)=0,"N/M",MEDIAN(I1033:I1042))</f>
        <v>51.212598383836</v>
      </c>
      <c r="J1045" s="54"/>
      <c r="K1045" s="54"/>
      <c r="L1045" s="54"/>
    </row>
    <row r="1046" customFormat="false" ht="15" hidden="false" customHeight="false" outlineLevel="0" collapsed="false">
      <c r="A1046" s="52" t="s">
        <v>330</v>
      </c>
      <c r="B1046" s="60" t="n">
        <f aca="false">IF(COUNT(B1033:B1042)&lt;2,"N/M",STDEV(B1033:B1042))</f>
        <v>19.2363861769773</v>
      </c>
      <c r="C1046" s="60" t="n">
        <f aca="false">IF(COUNT(C1033:C1042)&lt;2,"N/M",STDEV(C1033:C1042))</f>
        <v>522.341626400184</v>
      </c>
      <c r="D1046" s="60" t="n">
        <f aca="false">IF(COUNT(D1033:D1042)&lt;2,"N/M",STDEV(D1033:D1042))</f>
        <v>81.9592990557511</v>
      </c>
      <c r="E1046" s="60" t="n">
        <f aca="false">IF(COUNT(E1033:E1042)&lt;2,"N/M",STDEV(E1033:E1042))</f>
        <v>310.722242855542</v>
      </c>
      <c r="F1046" s="60" t="n">
        <f aca="false">IF(COUNT(F1033:F1042)&lt;2,"N/M",STDEV(F1033:F1042))</f>
        <v>73.71108628584</v>
      </c>
      <c r="G1046" s="60" t="n">
        <f aca="false">IF(COUNT(G1033:G1042)&lt;2,"N/M",STDEV(G1033:G1042))</f>
        <v>16.5023425396123</v>
      </c>
      <c r="H1046" s="60" t="n">
        <f aca="false">IF(COUNT(H1033:H1042)&lt;2,"N/M",STDEV(H1033:H1042))</f>
        <v>447.911371715088</v>
      </c>
      <c r="I1046" s="60" t="n">
        <f aca="false">IF(COUNT(I1033:I1042)&lt;2,"N/M",STDEV(I1033:I1042))</f>
        <v>128.461042751636</v>
      </c>
      <c r="J1046" s="54"/>
      <c r="K1046" s="54"/>
      <c r="L1046" s="54"/>
    </row>
    <row r="1047" customFormat="false" ht="15" hidden="false" customHeight="false" outlineLevel="0" collapsed="false">
      <c r="A1047" s="52" t="s">
        <v>269</v>
      </c>
      <c r="B1047" s="60" t="n">
        <f aca="false">IF(COUNT(B1033:B1042)=0,"N/M",MIN(B1033:B1042))</f>
        <v>3.13351955307263</v>
      </c>
      <c r="C1047" s="60" t="n">
        <f aca="false">IF(COUNT(C1033:C1042)=0,"N/M",MIN(C1033:C1042))</f>
        <v>13.2914741035857</v>
      </c>
      <c r="D1047" s="60" t="n">
        <f aca="false">IF(COUNT(D1033:D1042)=0,"N/M",MIN(D1033:D1042))</f>
        <v>6.63807314897413</v>
      </c>
      <c r="E1047" s="60" t="n">
        <f aca="false">IF(COUNT(E1033:E1042)=0,"N/M",MIN(E1033:E1042))</f>
        <v>15.3285309132161</v>
      </c>
      <c r="F1047" s="60" t="n">
        <f aca="false">IF(COUNT(F1033:F1042)=0,"N/M",MIN(F1033:F1042))</f>
        <v>11.1719778869779</v>
      </c>
      <c r="G1047" s="60" t="n">
        <f aca="false">IF(COUNT(G1033:G1042)=0,"N/M",MIN(G1033:G1042))</f>
        <v>12.2349473684211</v>
      </c>
      <c r="H1047" s="60" t="n">
        <f aca="false">IF(COUNT(H1033:H1042)=0,"N/M",MIN(H1033:H1042))</f>
        <v>5.9885</v>
      </c>
      <c r="I1047" s="60" t="n">
        <f aca="false">IF(COUNT(I1033:I1042)=0,"N/M",MIN(I1033:I1042))</f>
        <v>10.2007666396104</v>
      </c>
      <c r="J1047" s="54"/>
      <c r="K1047" s="54"/>
      <c r="L1047" s="54"/>
    </row>
    <row r="1048" customFormat="false" ht="15" hidden="false" customHeight="false" outlineLevel="0" collapsed="false">
      <c r="A1048" s="52" t="s">
        <v>270</v>
      </c>
      <c r="B1048" s="60" t="n">
        <f aca="false">IF(COUNT(B1033:B1042)=0,"N/M",MAX(B1033:B1042))</f>
        <v>50.0762569389374</v>
      </c>
      <c r="C1048" s="60" t="n">
        <f aca="false">IF(COUNT(C1033:C1042)=0,"N/M",MAX(C1033:C1042))</f>
        <v>1350.422</v>
      </c>
      <c r="D1048" s="60" t="n">
        <f aca="false">IF(COUNT(D1033:D1042)=0,"N/M",MAX(D1033:D1042))</f>
        <v>259.096810933941</v>
      </c>
      <c r="E1048" s="60" t="n">
        <f aca="false">IF(COUNT(E1033:E1042)=0,"N/M",MAX(E1033:E1042))</f>
        <v>912.533333333333</v>
      </c>
      <c r="F1048" s="60" t="n">
        <f aca="false">IF(COUNT(F1033:F1042)=0,"N/M",MAX(F1033:F1042))</f>
        <v>222.184615384615</v>
      </c>
      <c r="G1048" s="60" t="n">
        <f aca="false">IF(COUNT(G1033:G1042)=0,"N/M",MAX(G1033:G1042))</f>
        <v>57.6162942714524</v>
      </c>
      <c r="H1048" s="60" t="n">
        <f aca="false">IF(COUNT(H1033:H1042)=0,"N/M",MAX(H1033:H1042))</f>
        <v>1441.64890829694</v>
      </c>
      <c r="I1048" s="60" t="n">
        <f aca="false">IF(COUNT(I1033:I1042)=0,"N/M",MAX(I1033:I1042))</f>
        <v>406.637541846853</v>
      </c>
      <c r="J1048" s="54"/>
      <c r="K1048" s="54"/>
      <c r="L1048" s="54"/>
    </row>
    <row r="1050" customFormat="false" ht="16.5" hidden="false" customHeight="true" outlineLevel="0" collapsed="false">
      <c r="A1050" s="49" t="s">
        <v>388</v>
      </c>
      <c r="B1050" s="49"/>
      <c r="C1050" s="49"/>
      <c r="D1050" s="49"/>
      <c r="E1050" s="49"/>
      <c r="F1050" s="49"/>
      <c r="G1050" s="49"/>
      <c r="H1050" s="49"/>
      <c r="I1050" s="49"/>
      <c r="J1050" s="49"/>
      <c r="K1050" s="49"/>
      <c r="L1050" s="49"/>
    </row>
    <row r="1051" customFormat="false" ht="15" hidden="false" customHeight="false" outlineLevel="0" collapsed="false">
      <c r="A1051" s="16" t="s">
        <v>52</v>
      </c>
      <c r="B1051" s="36" t="n">
        <f aca="false">Tiger!D159</f>
        <v>0.599702087286528</v>
      </c>
      <c r="C1051" s="36" t="n">
        <f aca="false">Tiger!E159</f>
        <v>1.0675750357313</v>
      </c>
      <c r="D1051" s="36" t="n">
        <f aca="false">Tiger!F159</f>
        <v>2.99930673115679</v>
      </c>
      <c r="E1051" s="36" t="n">
        <f aca="false">Tiger!G159</f>
        <v>3.93330021509782</v>
      </c>
      <c r="F1051" s="36" t="n">
        <f aca="false">Tiger!H159</f>
        <v>4.38707931065596</v>
      </c>
      <c r="G1051" s="36" t="n">
        <f aca="false">Tiger!I159</f>
        <v>3.63033261026753</v>
      </c>
      <c r="H1051" s="36" t="n">
        <f aca="false">Tiger!J159</f>
        <v>1.57909113639205</v>
      </c>
      <c r="I1051" s="59" t="n">
        <f aca="false">Tiger!K159</f>
        <v>2.59948387522685</v>
      </c>
      <c r="J1051" s="25" t="str">
        <f aca="false">IF(AND(ISNUMBER(I1051),ISNUMBER(I$1063)),IF(I1051&gt;I$1063,"Above",IF(I1051&lt;I$1063,"Below","At median")),"-")</f>
        <v>Below</v>
      </c>
      <c r="K1051" s="25" t="s">
        <v>327</v>
      </c>
      <c r="L1051" s="25" t="s">
        <v>327</v>
      </c>
    </row>
    <row r="1052" customFormat="false" ht="15" hidden="false" customHeight="false" outlineLevel="0" collapsed="false">
      <c r="A1052" s="16" t="s">
        <v>54</v>
      </c>
      <c r="B1052" s="36" t="str">
        <f aca="false">Allcargo!D159</f>
        <v>N/C</v>
      </c>
      <c r="C1052" s="36" t="str">
        <f aca="false">Allcargo!E159</f>
        <v>N/C</v>
      </c>
      <c r="D1052" s="36" t="str">
        <f aca="false">Allcargo!F159</f>
        <v>N/C</v>
      </c>
      <c r="E1052" s="36" t="str">
        <f aca="false">Allcargo!G159</f>
        <v>N/C</v>
      </c>
      <c r="F1052" s="36" t="str">
        <f aca="false">Allcargo!H159</f>
        <v>N/C</v>
      </c>
      <c r="G1052" s="36" t="str">
        <f aca="false">Allcargo!I159</f>
        <v>N/C</v>
      </c>
      <c r="H1052" s="36" t="n">
        <f aca="false">Allcargo!J159</f>
        <v>1.87355470383275</v>
      </c>
      <c r="I1052" s="59" t="n">
        <f aca="false">Allcargo!K159</f>
        <v>1.87355470383275</v>
      </c>
      <c r="J1052" s="25" t="str">
        <f aca="false">IF(AND(ISNUMBER(I1052),ISNUMBER(I$1063)),IF(I1052&gt;I$1063,"Above",IF(I1052&lt;I$1063,"Below","At median")),"-")</f>
        <v>Below</v>
      </c>
      <c r="K1052" s="25" t="s">
        <v>327</v>
      </c>
      <c r="L1052" s="25" t="s">
        <v>327</v>
      </c>
    </row>
    <row r="1053" customFormat="false" ht="15" hidden="false" customHeight="false" outlineLevel="0" collapsed="false">
      <c r="A1053" s="16" t="s">
        <v>277</v>
      </c>
      <c r="B1053" s="36" t="n">
        <f aca="false">BlueDart!D159</f>
        <v>10.6182354379317</v>
      </c>
      <c r="C1053" s="36" t="n">
        <f aca="false">BlueDart!E159</f>
        <v>22.3177402189337</v>
      </c>
      <c r="D1053" s="36" t="n">
        <f aca="false">BlueDart!F159</f>
        <v>18.6510539111687</v>
      </c>
      <c r="E1053" s="36" t="n">
        <f aca="false">BlueDart!G159</f>
        <v>12.4832068737495</v>
      </c>
      <c r="F1053" s="36" t="n">
        <f aca="false">BlueDart!H159</f>
        <v>10.7191421591931</v>
      </c>
      <c r="G1053" s="36" t="n">
        <f aca="false">BlueDart!I159</f>
        <v>9.32850023091133</v>
      </c>
      <c r="H1053" s="36" t="n">
        <f aca="false">BlueDart!J159</f>
        <v>6.33171997321072</v>
      </c>
      <c r="I1053" s="59" t="n">
        <f aca="false">BlueDart!K159</f>
        <v>12.9213712578713</v>
      </c>
      <c r="J1053" s="25" t="str">
        <f aca="false">IF(AND(ISNUMBER(I1053),ISNUMBER(I$1063)),IF(I1053&gt;I$1063,"Above",IF(I1053&lt;I$1063,"Below","At median")),"-")</f>
        <v>Above</v>
      </c>
      <c r="K1053" s="25" t="s">
        <v>327</v>
      </c>
      <c r="L1053" s="25" t="s">
        <v>327</v>
      </c>
    </row>
    <row r="1054" customFormat="false" ht="15" hidden="false" customHeight="false" outlineLevel="0" collapsed="false">
      <c r="A1054" s="16" t="s">
        <v>58</v>
      </c>
      <c r="B1054" s="36" t="n">
        <f aca="false">CONCOR!D159</f>
        <v>2.01140454504733</v>
      </c>
      <c r="C1054" s="36" t="n">
        <f aca="false">CONCOR!E159</f>
        <v>3.57652047753763</v>
      </c>
      <c r="D1054" s="36" t="n">
        <f aca="false">CONCOR!F159</f>
        <v>3.8075928427649</v>
      </c>
      <c r="E1054" s="36" t="n">
        <f aca="false">CONCOR!G159</f>
        <v>3.14924082689963</v>
      </c>
      <c r="F1054" s="36" t="n">
        <f aca="false">CONCOR!H159</f>
        <v>4.545685038158</v>
      </c>
      <c r="G1054" s="36" t="n">
        <f aca="false">CONCOR!I159</f>
        <v>3.40329854475967</v>
      </c>
      <c r="H1054" s="36" t="n">
        <f aca="false">CONCOR!J159</f>
        <v>2.50270221404923</v>
      </c>
      <c r="I1054" s="59" t="n">
        <f aca="false">CONCOR!K159</f>
        <v>3.28520635560234</v>
      </c>
      <c r="J1054" s="25" t="str">
        <f aca="false">IF(AND(ISNUMBER(I1054),ISNUMBER(I$1063)),IF(I1054&gt;I$1063,"Above",IF(I1054&lt;I$1063,"Below","At median")),"-")</f>
        <v>Above</v>
      </c>
      <c r="K1054" s="25" t="s">
        <v>327</v>
      </c>
      <c r="L1054" s="25" t="s">
        <v>327</v>
      </c>
    </row>
    <row r="1055" customFormat="false" ht="15" hidden="false" customHeight="false" outlineLevel="0" collapsed="false">
      <c r="A1055" s="16" t="s">
        <v>278</v>
      </c>
      <c r="B1055" s="36" t="n">
        <f aca="false">JetFreight!D159</f>
        <v>1.52695249130939</v>
      </c>
      <c r="C1055" s="36" t="n">
        <f aca="false">JetFreight!E159</f>
        <v>1.54954017649791</v>
      </c>
      <c r="D1055" s="36" t="n">
        <f aca="false">JetFreight!F159</f>
        <v>5.53677472302011</v>
      </c>
      <c r="E1055" s="36" t="n">
        <f aca="false">JetFreight!G159</f>
        <v>0.879691516709512</v>
      </c>
      <c r="F1055" s="36" t="n">
        <f aca="false">JetFreight!H159</f>
        <v>0.924583866837388</v>
      </c>
      <c r="G1055" s="36" t="n">
        <f aca="false">JetFreight!I159</f>
        <v>0.809032843953383</v>
      </c>
      <c r="H1055" s="36" t="n">
        <f aca="false">JetFreight!J159</f>
        <v>1.08749003984064</v>
      </c>
      <c r="I1055" s="59" t="n">
        <f aca="false">JetFreight!K159</f>
        <v>1.75915223688119</v>
      </c>
      <c r="J1055" s="25" t="str">
        <f aca="false">IF(AND(ISNUMBER(I1055),ISNUMBER(I$1063)),IF(I1055&gt;I$1063,"Above",IF(I1055&lt;I$1063,"Below","At median")),"-")</f>
        <v>Below</v>
      </c>
      <c r="K1055" s="25" t="s">
        <v>327</v>
      </c>
      <c r="L1055" s="25" t="s">
        <v>327</v>
      </c>
    </row>
    <row r="1056" customFormat="false" ht="15" hidden="false" customHeight="false" outlineLevel="0" collapsed="false">
      <c r="A1056" s="16" t="s">
        <v>62</v>
      </c>
      <c r="B1056" s="36" t="n">
        <f aca="false">Patel!D159</f>
        <v>0.282735444845837</v>
      </c>
      <c r="C1056" s="36" t="n">
        <f aca="false">Patel!E159</f>
        <v>0.578983879265992</v>
      </c>
      <c r="D1056" s="36" t="n">
        <f aca="false">Patel!F159</f>
        <v>0.770399965887771</v>
      </c>
      <c r="E1056" s="36" t="n">
        <f aca="false">Patel!G159</f>
        <v>0.638694876370125</v>
      </c>
      <c r="F1056" s="36" t="n">
        <f aca="false">Patel!H159</f>
        <v>1.14843207910835</v>
      </c>
      <c r="G1056" s="36" t="n">
        <f aca="false">Patel!I159</f>
        <v>0.764307085319744</v>
      </c>
      <c r="H1056" s="36" t="n">
        <f aca="false">Patel!J159</f>
        <v>0.465427461139896</v>
      </c>
      <c r="I1056" s="59" t="n">
        <f aca="false">Patel!K159</f>
        <v>0.66414011313396</v>
      </c>
      <c r="J1056" s="25" t="str">
        <f aca="false">IF(AND(ISNUMBER(I1056),ISNUMBER(I$1063)),IF(I1056&gt;I$1063,"Above",IF(I1056&lt;I$1063,"Below","At median")),"-")</f>
        <v>Below</v>
      </c>
      <c r="K1056" s="25" t="s">
        <v>327</v>
      </c>
      <c r="L1056" s="25" t="s">
        <v>327</v>
      </c>
    </row>
    <row r="1057" customFormat="false" ht="15" hidden="false" customHeight="false" outlineLevel="0" collapsed="false">
      <c r="A1057" s="16" t="s">
        <v>64</v>
      </c>
      <c r="B1057" s="36" t="n">
        <f aca="false">Sical!D159</f>
        <v>0.0629980150498271</v>
      </c>
      <c r="C1057" s="36" t="str">
        <f aca="false">Sical!E159</f>
        <v>N/M</v>
      </c>
      <c r="D1057" s="36" t="str">
        <f aca="false">Sical!F159</f>
        <v>N/M</v>
      </c>
      <c r="E1057" s="36" t="n">
        <f aca="false">Sical!G159</f>
        <v>0.782695403587444</v>
      </c>
      <c r="F1057" s="36" t="n">
        <f aca="false">Sical!H159</f>
        <v>33.4310248955432</v>
      </c>
      <c r="G1057" s="36" t="str">
        <f aca="false">Sical!I159</f>
        <v>N/M</v>
      </c>
      <c r="H1057" s="36" t="n">
        <f aca="false">Sical!J159</f>
        <v>3.82888095056745</v>
      </c>
      <c r="I1057" s="59" t="n">
        <f aca="false">Sical!K159</f>
        <v>9.52639981618697</v>
      </c>
      <c r="J1057" s="25" t="str">
        <f aca="false">IF(AND(ISNUMBER(I1057),ISNUMBER(I$1063)),IF(I1057&gt;I$1063,"Above",IF(I1057&lt;I$1063,"Below","At median")),"-")</f>
        <v>Above</v>
      </c>
      <c r="K1057" s="25" t="s">
        <v>327</v>
      </c>
      <c r="L1057" s="25" t="s">
        <v>327</v>
      </c>
    </row>
    <row r="1058" customFormat="false" ht="15" hidden="false" customHeight="false" outlineLevel="0" collapsed="false">
      <c r="A1058" s="16" t="s">
        <v>66</v>
      </c>
      <c r="B1058" s="36" t="n">
        <f aca="false">TCI!D159</f>
        <v>1.41052652140367</v>
      </c>
      <c r="C1058" s="36" t="n">
        <f aca="false">TCI!E159</f>
        <v>1.6883813081875</v>
      </c>
      <c r="D1058" s="36" t="n">
        <f aca="false">TCI!F159</f>
        <v>3.23785762228375</v>
      </c>
      <c r="E1058" s="36" t="n">
        <f aca="false">TCI!G159</f>
        <v>2.85837618037478</v>
      </c>
      <c r="F1058" s="36" t="n">
        <f aca="false">TCI!H159</f>
        <v>3.1470551247118</v>
      </c>
      <c r="G1058" s="36" t="n">
        <f aca="false">TCI!I159</f>
        <v>3.91931778628611</v>
      </c>
      <c r="H1058" s="36" t="n">
        <f aca="false">TCI!J159</f>
        <v>2.758939044969</v>
      </c>
      <c r="I1058" s="59" t="n">
        <f aca="false">TCI!K159</f>
        <v>2.71720765545952</v>
      </c>
      <c r="J1058" s="25" t="str">
        <f aca="false">IF(AND(ISNUMBER(I1058),ISNUMBER(I$1063)),IF(I1058&gt;I$1063,"Above",IF(I1058&lt;I$1063,"Below","At median")),"-")</f>
        <v>Below</v>
      </c>
      <c r="K1058" s="25" t="s">
        <v>327</v>
      </c>
      <c r="L1058" s="25" t="s">
        <v>327</v>
      </c>
    </row>
    <row r="1059" customFormat="false" ht="15" hidden="false" customHeight="false" outlineLevel="0" collapsed="false">
      <c r="A1059" s="16" t="s">
        <v>68</v>
      </c>
      <c r="B1059" s="36" t="n">
        <f aca="false">Shreeji!D159</f>
        <v>1.25029702970297</v>
      </c>
      <c r="C1059" s="36" t="n">
        <f aca="false">Shreeji!E159</f>
        <v>2.39031456953642</v>
      </c>
      <c r="D1059" s="36" t="n">
        <f aca="false">Shreeji!F159</f>
        <v>6.62951432129514</v>
      </c>
      <c r="E1059" s="36" t="n">
        <f aca="false">Shreeji!G159</f>
        <v>8.53838519970596</v>
      </c>
      <c r="F1059" s="36" t="n">
        <f aca="false">Shreeji!H159</f>
        <v>3.25075603217158</v>
      </c>
      <c r="G1059" s="36" t="n">
        <f aca="false">Shreeji!I159</f>
        <v>1.0894945403311</v>
      </c>
      <c r="H1059" s="36" t="n">
        <f aca="false">Shreeji!J159</f>
        <v>0.683766428214939</v>
      </c>
      <c r="I1059" s="59" t="n">
        <f aca="false">Shreeji!K159</f>
        <v>3.40464687442259</v>
      </c>
      <c r="J1059" s="25" t="str">
        <f aca="false">IF(AND(ISNUMBER(I1059),ISNUMBER(I$1063)),IF(I1059&gt;I$1063,"Above",IF(I1059&lt;I$1063,"Below","At median")),"-")</f>
        <v>Above</v>
      </c>
      <c r="K1059" s="25" t="s">
        <v>327</v>
      </c>
      <c r="L1059" s="25" t="s">
        <v>327</v>
      </c>
    </row>
    <row r="1060" customFormat="false" ht="15" hidden="false" customHeight="false" outlineLevel="0" collapsed="false">
      <c r="A1060" s="16" t="s">
        <v>279</v>
      </c>
      <c r="B1060" s="36" t="n">
        <f aca="false">MahindraLog!D159</f>
        <v>3.73690553566511</v>
      </c>
      <c r="C1060" s="36" t="n">
        <f aca="false">MahindraLog!E159</f>
        <v>9.17409780656973</v>
      </c>
      <c r="D1060" s="36" t="n">
        <f aca="false">MahindraLog!F159</f>
        <v>8.32553798858147</v>
      </c>
      <c r="E1060" s="36" t="n">
        <f aca="false">MahindraLog!G159</f>
        <v>5.69901721651504</v>
      </c>
      <c r="F1060" s="36" t="n">
        <f aca="false">MahindraLog!H159</f>
        <v>7.5007371007371</v>
      </c>
      <c r="G1060" s="36" t="n">
        <f aca="false">MahindraLog!I159</f>
        <v>5.40856124965744</v>
      </c>
      <c r="H1060" s="36" t="n">
        <f aca="false">MahindraLog!J159</f>
        <v>2.81020786870733</v>
      </c>
      <c r="I1060" s="59" t="n">
        <f aca="false">MahindraLog!K159</f>
        <v>6.09358068091903</v>
      </c>
      <c r="J1060" s="25" t="str">
        <f aca="false">IF(AND(ISNUMBER(I1060),ISNUMBER(I$1063)),IF(I1060&gt;I$1063,"Above",IF(I1060&lt;I$1063,"Below","At median")),"-")</f>
        <v>Above</v>
      </c>
      <c r="K1060" s="25" t="s">
        <v>327</v>
      </c>
      <c r="L1060" s="25" t="s">
        <v>327</v>
      </c>
    </row>
    <row r="1061" customFormat="false" ht="15" hidden="false" customHeight="false" outlineLevel="0" collapsed="false">
      <c r="A1061" s="46" t="s">
        <v>328</v>
      </c>
      <c r="B1061" s="37" t="n">
        <f aca="false">Industry!D160</f>
        <v>2.26768239592676</v>
      </c>
      <c r="C1061" s="37" t="n">
        <f aca="false">Industry!E160</f>
        <v>4.73615125624305</v>
      </c>
      <c r="D1061" s="37" t="n">
        <f aca="false">Industry!F160</f>
        <v>5.19406740966089</v>
      </c>
      <c r="E1061" s="37" t="n">
        <f aca="false">Industry!G160</f>
        <v>3.92580224095037</v>
      </c>
      <c r="F1061" s="37" t="n">
        <f aca="false">Industry!H160</f>
        <v>4.9939753496621</v>
      </c>
      <c r="G1061" s="37" t="n">
        <f aca="false">Industry!I160</f>
        <v>4.05954374576094</v>
      </c>
      <c r="H1061" s="37" t="n">
        <f aca="false">Industry!J160</f>
        <v>2.86137986297368</v>
      </c>
      <c r="I1061" s="37" t="n">
        <f aca="false">Industry!K160</f>
        <v>4.00551460873968</v>
      </c>
      <c r="J1061" s="47"/>
      <c r="K1061" s="47"/>
      <c r="L1061" s="47"/>
    </row>
    <row r="1062" customFormat="false" ht="15" hidden="false" customHeight="false" outlineLevel="0" collapsed="false">
      <c r="A1062" s="52" t="s">
        <v>329</v>
      </c>
      <c r="B1062" s="60" t="n">
        <f aca="false">IF(COUNT(B1051:B1060)=0,"N/M",AVERAGE(B1051:B1060))</f>
        <v>2.38886190091581</v>
      </c>
      <c r="C1062" s="60" t="n">
        <f aca="false">IF(COUNT(C1051:C1060)=0,"N/M",AVERAGE(C1051:C1060))</f>
        <v>5.29289418403253</v>
      </c>
      <c r="D1062" s="60" t="n">
        <f aca="false">IF(COUNT(D1051:D1060)=0,"N/M",AVERAGE(D1051:D1060))</f>
        <v>6.24475476326983</v>
      </c>
      <c r="E1062" s="60" t="n">
        <f aca="false">IF(COUNT(E1051:E1060)=0,"N/M",AVERAGE(E1051:E1060))</f>
        <v>4.32917870100109</v>
      </c>
      <c r="F1062" s="60" t="n">
        <f aca="false">IF(COUNT(F1051:F1060)=0,"N/M",AVERAGE(F1051:F1060))</f>
        <v>7.67272173412406</v>
      </c>
      <c r="G1062" s="60" t="n">
        <f aca="false">IF(COUNT(G1051:G1060)=0,"N/M",AVERAGE(G1051:G1060))</f>
        <v>3.54410561143579</v>
      </c>
      <c r="H1062" s="60" t="n">
        <f aca="false">IF(COUNT(H1051:H1060)=0,"N/M",AVERAGE(H1051:H1060))</f>
        <v>2.3921779820924</v>
      </c>
      <c r="I1062" s="60" t="n">
        <f aca="false">IF(COUNT(I1051:I1060)=0,"N/M",AVERAGE(I1051:I1060))</f>
        <v>4.48447435695365</v>
      </c>
      <c r="J1062" s="54"/>
      <c r="K1062" s="54"/>
      <c r="L1062" s="54"/>
    </row>
    <row r="1063" customFormat="false" ht="15" hidden="false" customHeight="false" outlineLevel="0" collapsed="false">
      <c r="A1063" s="28" t="s">
        <v>281</v>
      </c>
      <c r="B1063" s="38" t="n">
        <f aca="false">IF(COUNT(B1051:B1060)=0,"N/M",MEDIAN(B1051:B1060))</f>
        <v>1.41052652140367</v>
      </c>
      <c r="C1063" s="38" t="n">
        <f aca="false">IF(COUNT(C1051:C1060)=0,"N/M",MEDIAN(C1051:C1060))</f>
        <v>2.03934793886196</v>
      </c>
      <c r="D1063" s="38" t="n">
        <f aca="false">IF(COUNT(D1051:D1060)=0,"N/M",MEDIAN(D1051:D1060))</f>
        <v>4.6721837828925</v>
      </c>
      <c r="E1063" s="38" t="n">
        <f aca="false">IF(COUNT(E1051:E1060)=0,"N/M",MEDIAN(E1051:E1060))</f>
        <v>3.14924082689963</v>
      </c>
      <c r="F1063" s="38" t="n">
        <f aca="false">IF(COUNT(F1051:F1060)=0,"N/M",MEDIAN(F1051:F1060))</f>
        <v>4.38707931065596</v>
      </c>
      <c r="G1063" s="38" t="n">
        <f aca="false">IF(COUNT(G1051:G1060)=0,"N/M",MEDIAN(G1051:G1060))</f>
        <v>3.5168155775136</v>
      </c>
      <c r="H1063" s="38" t="n">
        <f aca="false">IF(COUNT(H1051:H1060)=0,"N/M",MEDIAN(H1051:H1060))</f>
        <v>2.18812845894099</v>
      </c>
      <c r="I1063" s="38" t="n">
        <f aca="false">IF(COUNT(I1051:I1060)=0,"N/M",MEDIAN(I1051:I1060))</f>
        <v>3.00120700553093</v>
      </c>
      <c r="J1063" s="54"/>
      <c r="K1063" s="54"/>
      <c r="L1063" s="54"/>
    </row>
    <row r="1064" customFormat="false" ht="15" hidden="false" customHeight="false" outlineLevel="0" collapsed="false">
      <c r="A1064" s="52" t="s">
        <v>330</v>
      </c>
      <c r="B1064" s="60" t="n">
        <f aca="false">IF(COUNT(B1051:B1060)&lt;2,"N/M",STDEV(B1051:B1060))</f>
        <v>3.27347572777768</v>
      </c>
      <c r="C1064" s="60" t="n">
        <f aca="false">IF(COUNT(C1051:C1060)&lt;2,"N/M",STDEV(C1051:C1060))</f>
        <v>7.40038141637467</v>
      </c>
      <c r="D1064" s="60" t="n">
        <f aca="false">IF(COUNT(D1051:D1060)&lt;2,"N/M",STDEV(D1051:D1060))</f>
        <v>5.53402301421172</v>
      </c>
      <c r="E1064" s="60" t="n">
        <f aca="false">IF(COUNT(E1051:E1060)&lt;2,"N/M",STDEV(E1051:E1060))</f>
        <v>3.998288103045</v>
      </c>
      <c r="F1064" s="60" t="n">
        <f aca="false">IF(COUNT(F1051:F1060)&lt;2,"N/M",STDEV(F1051:F1060))</f>
        <v>10.1335667561823</v>
      </c>
      <c r="G1064" s="60" t="n">
        <f aca="false">IF(COUNT(G1051:G1060)&lt;2,"N/M",STDEV(G1051:G1060))</f>
        <v>2.88682921068957</v>
      </c>
      <c r="H1064" s="60" t="n">
        <f aca="false">IF(COUNT(H1051:H1060)&lt;2,"N/M",STDEV(H1051:H1060))</f>
        <v>1.73746025841291</v>
      </c>
      <c r="I1064" s="60" t="n">
        <f aca="false">IF(COUNT(I1051:I1060)&lt;2,"N/M",STDEV(I1051:I1060))</f>
        <v>3.90599812943318</v>
      </c>
      <c r="J1064" s="54"/>
      <c r="K1064" s="54"/>
      <c r="L1064" s="54"/>
    </row>
    <row r="1065" customFormat="false" ht="15" hidden="false" customHeight="false" outlineLevel="0" collapsed="false">
      <c r="A1065" s="52" t="s">
        <v>269</v>
      </c>
      <c r="B1065" s="60" t="n">
        <f aca="false">IF(COUNT(B1051:B1060)=0,"N/M",MIN(B1051:B1060))</f>
        <v>0.0629980150498271</v>
      </c>
      <c r="C1065" s="60" t="n">
        <f aca="false">IF(COUNT(C1051:C1060)=0,"N/M",MIN(C1051:C1060))</f>
        <v>0.578983879265992</v>
      </c>
      <c r="D1065" s="60" t="n">
        <f aca="false">IF(COUNT(D1051:D1060)=0,"N/M",MIN(D1051:D1060))</f>
        <v>0.770399965887771</v>
      </c>
      <c r="E1065" s="60" t="n">
        <f aca="false">IF(COUNT(E1051:E1060)=0,"N/M",MIN(E1051:E1060))</f>
        <v>0.638694876370125</v>
      </c>
      <c r="F1065" s="60" t="n">
        <f aca="false">IF(COUNT(F1051:F1060)=0,"N/M",MIN(F1051:F1060))</f>
        <v>0.924583866837388</v>
      </c>
      <c r="G1065" s="60" t="n">
        <f aca="false">IF(COUNT(G1051:G1060)=0,"N/M",MIN(G1051:G1060))</f>
        <v>0.764307085319744</v>
      </c>
      <c r="H1065" s="60" t="n">
        <f aca="false">IF(COUNT(H1051:H1060)=0,"N/M",MIN(H1051:H1060))</f>
        <v>0.465427461139896</v>
      </c>
      <c r="I1065" s="60" t="n">
        <f aca="false">IF(COUNT(I1051:I1060)=0,"N/M",MIN(I1051:I1060))</f>
        <v>0.66414011313396</v>
      </c>
      <c r="J1065" s="54"/>
      <c r="K1065" s="54"/>
      <c r="L1065" s="54"/>
    </row>
    <row r="1066" customFormat="false" ht="15" hidden="false" customHeight="false" outlineLevel="0" collapsed="false">
      <c r="A1066" s="52" t="s">
        <v>270</v>
      </c>
      <c r="B1066" s="60" t="n">
        <f aca="false">IF(COUNT(B1051:B1060)=0,"N/M",MAX(B1051:B1060))</f>
        <v>10.6182354379317</v>
      </c>
      <c r="C1066" s="60" t="n">
        <f aca="false">IF(COUNT(C1051:C1060)=0,"N/M",MAX(C1051:C1060))</f>
        <v>22.3177402189337</v>
      </c>
      <c r="D1066" s="60" t="n">
        <f aca="false">IF(COUNT(D1051:D1060)=0,"N/M",MAX(D1051:D1060))</f>
        <v>18.6510539111687</v>
      </c>
      <c r="E1066" s="60" t="n">
        <f aca="false">IF(COUNT(E1051:E1060)=0,"N/M",MAX(E1051:E1060))</f>
        <v>12.4832068737495</v>
      </c>
      <c r="F1066" s="60" t="n">
        <f aca="false">IF(COUNT(F1051:F1060)=0,"N/M",MAX(F1051:F1060))</f>
        <v>33.4310248955432</v>
      </c>
      <c r="G1066" s="60" t="n">
        <f aca="false">IF(COUNT(G1051:G1060)=0,"N/M",MAX(G1051:G1060))</f>
        <v>9.32850023091133</v>
      </c>
      <c r="H1066" s="60" t="n">
        <f aca="false">IF(COUNT(H1051:H1060)=0,"N/M",MAX(H1051:H1060))</f>
        <v>6.33171997321072</v>
      </c>
      <c r="I1066" s="60" t="n">
        <f aca="false">IF(COUNT(I1051:I1060)=0,"N/M",MAX(I1051:I1060))</f>
        <v>12.9213712578713</v>
      </c>
      <c r="J1066" s="54"/>
      <c r="K1066" s="54"/>
      <c r="L1066" s="54"/>
    </row>
    <row r="1068" customFormat="false" ht="16.5" hidden="false" customHeight="true" outlineLevel="0" collapsed="false">
      <c r="A1068" s="49" t="s">
        <v>389</v>
      </c>
      <c r="B1068" s="49"/>
      <c r="C1068" s="49"/>
      <c r="D1068" s="49"/>
      <c r="E1068" s="49"/>
      <c r="F1068" s="49"/>
      <c r="G1068" s="49"/>
      <c r="H1068" s="49"/>
      <c r="I1068" s="49"/>
      <c r="J1068" s="49"/>
      <c r="K1068" s="49"/>
      <c r="L1068" s="49"/>
    </row>
    <row r="1069" customFormat="false" ht="15" hidden="false" customHeight="false" outlineLevel="0" collapsed="false">
      <c r="A1069" s="16" t="s">
        <v>52</v>
      </c>
      <c r="B1069" s="36" t="str">
        <f aca="false">Tiger!D160</f>
        <v>N/M</v>
      </c>
      <c r="C1069" s="36" t="str">
        <f aca="false">Tiger!E160</f>
        <v>N/M</v>
      </c>
      <c r="D1069" s="36" t="n">
        <f aca="false">Tiger!F160</f>
        <v>5.09782978723404</v>
      </c>
      <c r="E1069" s="36" t="n">
        <f aca="false">Tiger!G160</f>
        <v>12.5419099848714</v>
      </c>
      <c r="F1069" s="36" t="n">
        <f aca="false">Tiger!H160</f>
        <v>29.7400651465798</v>
      </c>
      <c r="G1069" s="36" t="n">
        <f aca="false">Tiger!I160</f>
        <v>15.4454169318906</v>
      </c>
      <c r="H1069" s="36" t="n">
        <f aca="false">Tiger!J160</f>
        <v>9.69540910773788</v>
      </c>
      <c r="I1069" s="59" t="n">
        <f aca="false">Tiger!K160</f>
        <v>14.5041261916627</v>
      </c>
      <c r="J1069" s="25" t="str">
        <f aca="false">IF(AND(ISNUMBER(I1069),ISNUMBER(I$1081)),IF(I1069&gt;I$1081,"Above",IF(I1069&lt;I$1081,"Below","At median")),"-")</f>
        <v>Above</v>
      </c>
      <c r="K1069" s="25" t="s">
        <v>327</v>
      </c>
      <c r="L1069" s="25" t="s">
        <v>327</v>
      </c>
    </row>
    <row r="1070" customFormat="false" ht="15" hidden="false" customHeight="false" outlineLevel="0" collapsed="false">
      <c r="A1070" s="16" t="s">
        <v>54</v>
      </c>
      <c r="B1070" s="36" t="str">
        <f aca="false">Allcargo!D160</f>
        <v>N/C</v>
      </c>
      <c r="C1070" s="36" t="str">
        <f aca="false">Allcargo!E160</f>
        <v>N/C</v>
      </c>
      <c r="D1070" s="36" t="str">
        <f aca="false">Allcargo!F160</f>
        <v>N/C</v>
      </c>
      <c r="E1070" s="36" t="str">
        <f aca="false">Allcargo!G160</f>
        <v>N/C</v>
      </c>
      <c r="F1070" s="36" t="str">
        <f aca="false">Allcargo!H160</f>
        <v>N/C</v>
      </c>
      <c r="G1070" s="36" t="str">
        <f aca="false">Allcargo!I160</f>
        <v>N/C</v>
      </c>
      <c r="H1070" s="36" t="n">
        <f aca="false">Allcargo!J160</f>
        <v>6.96774638297872</v>
      </c>
      <c r="I1070" s="59" t="n">
        <f aca="false">Allcargo!K160</f>
        <v>6.96774638297872</v>
      </c>
      <c r="J1070" s="25" t="str">
        <f aca="false">IF(AND(ISNUMBER(I1070),ISNUMBER(I$1081)),IF(I1070&gt;I$1081,"Above",IF(I1070&lt;I$1081,"Below","At median")),"-")</f>
        <v>Below</v>
      </c>
      <c r="K1070" s="25" t="s">
        <v>327</v>
      </c>
      <c r="L1070" s="25" t="s">
        <v>327</v>
      </c>
    </row>
    <row r="1071" customFormat="false" ht="15" hidden="false" customHeight="false" outlineLevel="0" collapsed="false">
      <c r="A1071" s="16" t="s">
        <v>277</v>
      </c>
      <c r="B1071" s="36" t="n">
        <f aca="false">BlueDart!D160</f>
        <v>11.8871252186005</v>
      </c>
      <c r="C1071" s="36" t="n">
        <f aca="false">BlueDart!E160</f>
        <v>21.015663203602</v>
      </c>
      <c r="D1071" s="36" t="n">
        <f aca="false">BlueDart!F160</f>
        <v>17.1449710502895</v>
      </c>
      <c r="E1071" s="36" t="n">
        <f aca="false">BlueDart!G160</f>
        <v>16.7972947174198</v>
      </c>
      <c r="F1071" s="36" t="n">
        <f aca="false">BlueDart!H160</f>
        <v>18.2446324736225</v>
      </c>
      <c r="G1071" s="36" t="n">
        <f aca="false">BlueDart!I160</f>
        <v>17.5555029329195</v>
      </c>
      <c r="H1071" s="36" t="n">
        <f aca="false">BlueDart!J160</f>
        <v>12.7840763259209</v>
      </c>
      <c r="I1071" s="59" t="n">
        <f aca="false">BlueDart!K160</f>
        <v>16.4898951317678</v>
      </c>
      <c r="J1071" s="25" t="str">
        <f aca="false">IF(AND(ISNUMBER(I1071),ISNUMBER(I$1081)),IF(I1071&gt;I$1081,"Above",IF(I1071&lt;I$1081,"Below","At median")),"-")</f>
        <v>Above</v>
      </c>
      <c r="K1071" s="25" t="s">
        <v>327</v>
      </c>
      <c r="L1071" s="25" t="s">
        <v>327</v>
      </c>
    </row>
    <row r="1072" customFormat="false" ht="15" hidden="false" customHeight="false" outlineLevel="0" collapsed="false">
      <c r="A1072" s="16" t="s">
        <v>58</v>
      </c>
      <c r="B1072" s="36" t="n">
        <f aca="false">CONCOR!D160</f>
        <v>10.6746179362775</v>
      </c>
      <c r="C1072" s="36" t="n">
        <f aca="false">CONCOR!E160</f>
        <v>33.0966249439082</v>
      </c>
      <c r="D1072" s="36" t="n">
        <f aca="false">CONCOR!F160</f>
        <v>22.1737834792705</v>
      </c>
      <c r="E1072" s="36" t="n">
        <f aca="false">CONCOR!G160</f>
        <v>17.6839019166934</v>
      </c>
      <c r="F1072" s="36" t="n">
        <f aca="false">CONCOR!H160</f>
        <v>26.2356274633937</v>
      </c>
      <c r="G1072" s="36" t="n">
        <f aca="false">CONCOR!I160</f>
        <v>20.3813269361299</v>
      </c>
      <c r="H1072" s="36" t="n">
        <f aca="false">CONCOR!J160</f>
        <v>15.3066119344854</v>
      </c>
      <c r="I1072" s="59" t="n">
        <f aca="false">CONCOR!K160</f>
        <v>20.7932135157369</v>
      </c>
      <c r="J1072" s="25" t="str">
        <f aca="false">IF(AND(ISNUMBER(I1072),ISNUMBER(I$1081)),IF(I1072&gt;I$1081,"Above",IF(I1072&lt;I$1081,"Below","At median")),"-")</f>
        <v>Above</v>
      </c>
      <c r="K1072" s="25" t="s">
        <v>327</v>
      </c>
      <c r="L1072" s="25" t="s">
        <v>327</v>
      </c>
    </row>
    <row r="1073" customFormat="false" ht="15" hidden="false" customHeight="false" outlineLevel="0" collapsed="false">
      <c r="A1073" s="16" t="s">
        <v>278</v>
      </c>
      <c r="B1073" s="36" t="str">
        <f aca="false">JetFreight!D160</f>
        <v>N/M</v>
      </c>
      <c r="C1073" s="36" t="n">
        <f aca="false">JetFreight!E160</f>
        <v>6.57804511278191</v>
      </c>
      <c r="D1073" s="36" t="n">
        <f aca="false">JetFreight!F160</f>
        <v>16.4722820037106</v>
      </c>
      <c r="E1073" s="36" t="n">
        <f aca="false">JetFreight!G160</f>
        <v>13.3914999999999</v>
      </c>
      <c r="F1073" s="36" t="n">
        <f aca="false">JetFreight!H160</f>
        <v>16.9658206429781</v>
      </c>
      <c r="G1073" s="36" t="n">
        <f aca="false">JetFreight!I160</f>
        <v>7.3835178696566</v>
      </c>
      <c r="H1073" s="36" t="n">
        <f aca="false">JetFreight!J160</f>
        <v>8.36803862401931</v>
      </c>
      <c r="I1073" s="59" t="n">
        <f aca="false">JetFreight!K160</f>
        <v>11.5265340421911</v>
      </c>
      <c r="J1073" s="25" t="str">
        <f aca="false">IF(AND(ISNUMBER(I1073),ISNUMBER(I$1081)),IF(I1073&gt;I$1081,"Above",IF(I1073&lt;I$1081,"Below","At median")),"-")</f>
        <v>Below</v>
      </c>
      <c r="K1073" s="25" t="s">
        <v>327</v>
      </c>
      <c r="L1073" s="25" t="s">
        <v>327</v>
      </c>
    </row>
    <row r="1074" customFormat="false" ht="15" hidden="false" customHeight="false" outlineLevel="0" collapsed="false">
      <c r="A1074" s="16" t="s">
        <v>62</v>
      </c>
      <c r="B1074" s="36" t="n">
        <f aca="false">Patel!D160</f>
        <v>10.0746600741656</v>
      </c>
      <c r="C1074" s="36" t="n">
        <f aca="false">Patel!E160</f>
        <v>20.5340618955512</v>
      </c>
      <c r="D1074" s="36" t="n">
        <f aca="false">Patel!F160</f>
        <v>15.1686736020807</v>
      </c>
      <c r="E1074" s="36" t="n">
        <f aca="false">Patel!G160</f>
        <v>7.97170542635664</v>
      </c>
      <c r="F1074" s="36" t="n">
        <f aca="false">Patel!H160</f>
        <v>14.1552087912088</v>
      </c>
      <c r="G1074" s="36" t="n">
        <f aca="false">Patel!I160</f>
        <v>8.79405221339387</v>
      </c>
      <c r="H1074" s="36" t="n">
        <f aca="false">Patel!J160</f>
        <v>3.55058823529414</v>
      </c>
      <c r="I1074" s="59" t="n">
        <f aca="false">Patel!K160</f>
        <v>11.464135748293</v>
      </c>
      <c r="J1074" s="25" t="str">
        <f aca="false">IF(AND(ISNUMBER(I1074),ISNUMBER(I$1081)),IF(I1074&gt;I$1081,"Above",IF(I1074&lt;I$1081,"Below","At median")),"-")</f>
        <v>Below</v>
      </c>
      <c r="K1074" s="25" t="s">
        <v>327</v>
      </c>
      <c r="L1074" s="25" t="s">
        <v>327</v>
      </c>
    </row>
    <row r="1075" customFormat="false" ht="15" hidden="false" customHeight="false" outlineLevel="0" collapsed="false">
      <c r="A1075" s="16" t="s">
        <v>64</v>
      </c>
      <c r="B1075" s="36" t="str">
        <f aca="false">Sical!D160</f>
        <v>N/M</v>
      </c>
      <c r="C1075" s="36" t="str">
        <f aca="false">Sical!E160</f>
        <v>N/M</v>
      </c>
      <c r="D1075" s="36" t="str">
        <f aca="false">Sical!F160</f>
        <v>N/M</v>
      </c>
      <c r="E1075" s="36" t="n">
        <f aca="false">Sical!G160</f>
        <v>16.0529125770207</v>
      </c>
      <c r="F1075" s="36" t="n">
        <f aca="false">Sical!H160</f>
        <v>81.2095804216868</v>
      </c>
      <c r="G1075" s="36" t="n">
        <f aca="false">Sical!I160</f>
        <v>45.0343837598884</v>
      </c>
      <c r="H1075" s="36" t="n">
        <f aca="false">Sical!J160</f>
        <v>11.7693281409602</v>
      </c>
      <c r="I1075" s="59" t="n">
        <f aca="false">Sical!K160</f>
        <v>38.516551224889</v>
      </c>
      <c r="J1075" s="25" t="str">
        <f aca="false">IF(AND(ISNUMBER(I1075),ISNUMBER(I$1081)),IF(I1075&gt;I$1081,"Above",IF(I1075&lt;I$1081,"Below","At median")),"-")</f>
        <v>Above</v>
      </c>
      <c r="K1075" s="25" t="s">
        <v>327</v>
      </c>
      <c r="L1075" s="25" t="s">
        <v>327</v>
      </c>
    </row>
    <row r="1076" customFormat="false" ht="15" hidden="false" customHeight="false" outlineLevel="0" collapsed="false">
      <c r="A1076" s="16" t="s">
        <v>66</v>
      </c>
      <c r="B1076" s="36" t="n">
        <f aca="false">TCI!D160</f>
        <v>7.6224072233267</v>
      </c>
      <c r="C1076" s="36" t="n">
        <f aca="false">TCI!E160</f>
        <v>8.48941715458902</v>
      </c>
      <c r="D1076" s="36" t="n">
        <f aca="false">TCI!F160</f>
        <v>11.2979214724522</v>
      </c>
      <c r="E1076" s="36" t="n">
        <f aca="false">TCI!G160</f>
        <v>11.2176364106542</v>
      </c>
      <c r="F1076" s="36" t="n">
        <f aca="false">TCI!H160</f>
        <v>15.5733093402719</v>
      </c>
      <c r="G1076" s="36" t="n">
        <f aca="false">TCI!I160</f>
        <v>18.596744206157</v>
      </c>
      <c r="H1076" s="36" t="n">
        <f aca="false">TCI!J160</f>
        <v>14.0242003853564</v>
      </c>
      <c r="I1076" s="59" t="n">
        <f aca="false">TCI!K160</f>
        <v>12.4030908846868</v>
      </c>
      <c r="J1076" s="25" t="str">
        <f aca="false">IF(AND(ISNUMBER(I1076),ISNUMBER(I$1081)),IF(I1076&gt;I$1081,"Above",IF(I1076&lt;I$1081,"Below","At median")),"-")</f>
        <v>Below</v>
      </c>
      <c r="K1076" s="25" t="s">
        <v>327</v>
      </c>
      <c r="L1076" s="25" t="s">
        <v>327</v>
      </c>
    </row>
    <row r="1077" customFormat="false" ht="15" hidden="false" customHeight="false" outlineLevel="0" collapsed="false">
      <c r="A1077" s="16" t="s">
        <v>68</v>
      </c>
      <c r="B1077" s="36" t="n">
        <f aca="false">Shreeji!D160</f>
        <v>8.1646408839779</v>
      </c>
      <c r="C1077" s="36" t="n">
        <f aca="false">Shreeji!E160</f>
        <v>14.0337552742616</v>
      </c>
      <c r="D1077" s="36" t="n">
        <f aca="false">Shreeji!F160</f>
        <v>15.1711549970078</v>
      </c>
      <c r="E1077" s="36" t="n">
        <f aca="false">Shreeji!G160</f>
        <v>19.749949057565</v>
      </c>
      <c r="F1077" s="36" t="n">
        <f aca="false">Shreeji!H160</f>
        <v>11.8696927966102</v>
      </c>
      <c r="G1077" s="36" t="n">
        <f aca="false">Shreeji!I160</f>
        <v>10.6132483370288</v>
      </c>
      <c r="H1077" s="36" t="n">
        <f aca="false">Shreeji!J160</f>
        <v>9.64918709677419</v>
      </c>
      <c r="I1077" s="59" t="n">
        <f aca="false">Shreeji!K160</f>
        <v>12.7502326347465</v>
      </c>
      <c r="J1077" s="25" t="str">
        <f aca="false">IF(AND(ISNUMBER(I1077),ISNUMBER(I$1081)),IF(I1077&gt;I$1081,"Above",IF(I1077&lt;I$1081,"Below","At median")),"-")</f>
        <v>Below</v>
      </c>
      <c r="K1077" s="25" t="s">
        <v>327</v>
      </c>
      <c r="L1077" s="25" t="s">
        <v>327</v>
      </c>
    </row>
    <row r="1078" customFormat="false" ht="15" hidden="false" customHeight="false" outlineLevel="0" collapsed="false">
      <c r="A1078" s="16" t="s">
        <v>279</v>
      </c>
      <c r="B1078" s="36" t="n">
        <f aca="false">MahindraLog!D160</f>
        <v>13.4848283695104</v>
      </c>
      <c r="C1078" s="36" t="n">
        <f aca="false">MahindraLog!E160</f>
        <v>39.2274131274133</v>
      </c>
      <c r="D1078" s="36" t="n">
        <f aca="false">MahindraLog!F160</f>
        <v>26.1327294423954</v>
      </c>
      <c r="E1078" s="36" t="n">
        <f aca="false">MahindraLog!G160</f>
        <v>15.0326397969387</v>
      </c>
      <c r="F1078" s="36" t="n">
        <f aca="false">MahindraLog!H160</f>
        <v>18.863985469642</v>
      </c>
      <c r="G1078" s="36" t="n">
        <f aca="false">MahindraLog!I160</f>
        <v>11.1154077147579</v>
      </c>
      <c r="H1078" s="36" t="n">
        <f aca="false">MahindraLog!J160</f>
        <v>9.90384371700105</v>
      </c>
      <c r="I1078" s="59" t="n">
        <f aca="false">MahindraLog!K160</f>
        <v>19.1086925196655</v>
      </c>
      <c r="J1078" s="25" t="str">
        <f aca="false">IF(AND(ISNUMBER(I1078),ISNUMBER(I$1081)),IF(I1078&gt;I$1081,"Above",IF(I1078&lt;I$1081,"Below","At median")),"-")</f>
        <v>Above</v>
      </c>
      <c r="K1078" s="25" t="s">
        <v>327</v>
      </c>
      <c r="L1078" s="25" t="s">
        <v>327</v>
      </c>
    </row>
    <row r="1079" customFormat="false" ht="15" hidden="false" customHeight="false" outlineLevel="0" collapsed="false">
      <c r="A1079" s="46" t="s">
        <v>328</v>
      </c>
      <c r="B1079" s="37" t="n">
        <f aca="false">Industry!D161</f>
        <v>11.460666161347</v>
      </c>
      <c r="C1079" s="37" t="n">
        <f aca="false">Industry!E161</f>
        <v>27.2601488976256</v>
      </c>
      <c r="D1079" s="37" t="n">
        <f aca="false">Industry!F161</f>
        <v>20.0877543076527</v>
      </c>
      <c r="E1079" s="37" t="n">
        <f aca="false">Industry!G161</f>
        <v>16.4150006302369</v>
      </c>
      <c r="F1079" s="37" t="n">
        <f aca="false">Industry!H161</f>
        <v>22.7199394131802</v>
      </c>
      <c r="G1079" s="37" t="n">
        <f aca="false">Industry!I161</f>
        <v>18.7492886395308</v>
      </c>
      <c r="H1079" s="37" t="n">
        <f aca="false">Industry!J161</f>
        <v>13.4432476717447</v>
      </c>
      <c r="I1079" s="37" t="n">
        <f aca="false">Industry!K161</f>
        <v>18.590863674474</v>
      </c>
      <c r="J1079" s="47"/>
      <c r="K1079" s="47"/>
      <c r="L1079" s="47"/>
    </row>
    <row r="1080" customFormat="false" ht="15" hidden="false" customHeight="false" outlineLevel="0" collapsed="false">
      <c r="A1080" s="52" t="s">
        <v>329</v>
      </c>
      <c r="B1080" s="60" t="n">
        <f aca="false">IF(COUNT(B1069:B1078)=0,"N/M",AVERAGE(B1069:B1078))</f>
        <v>10.3180466176431</v>
      </c>
      <c r="C1080" s="60" t="n">
        <f aca="false">IF(COUNT(C1069:C1078)=0,"N/M",AVERAGE(C1069:C1078))</f>
        <v>20.4249972445867</v>
      </c>
      <c r="D1080" s="60" t="n">
        <f aca="false">IF(COUNT(D1069:D1078)=0,"N/M",AVERAGE(D1069:D1078))</f>
        <v>16.0824182293051</v>
      </c>
      <c r="E1080" s="60" t="n">
        <f aca="false">IF(COUNT(E1069:E1078)=0,"N/M",AVERAGE(E1069:E1078))</f>
        <v>14.4932722097244</v>
      </c>
      <c r="F1080" s="60" t="n">
        <f aca="false">IF(COUNT(F1069:F1078)=0,"N/M",AVERAGE(F1069:F1078))</f>
        <v>25.8731025051104</v>
      </c>
      <c r="G1080" s="60" t="n">
        <f aca="false">IF(COUNT(G1069:G1078)=0,"N/M",AVERAGE(G1069:G1078))</f>
        <v>17.2132889890914</v>
      </c>
      <c r="H1080" s="60" t="n">
        <f aca="false">IF(COUNT(H1069:H1078)=0,"N/M",AVERAGE(H1069:H1078))</f>
        <v>10.2019029950528</v>
      </c>
      <c r="I1080" s="60" t="n">
        <f aca="false">IF(COUNT(I1069:I1078)=0,"N/M",AVERAGE(I1069:I1078))</f>
        <v>16.4524218276618</v>
      </c>
      <c r="J1080" s="54"/>
      <c r="K1080" s="54"/>
      <c r="L1080" s="54"/>
    </row>
    <row r="1081" customFormat="false" ht="15" hidden="false" customHeight="false" outlineLevel="0" collapsed="false">
      <c r="A1081" s="28" t="s">
        <v>281</v>
      </c>
      <c r="B1081" s="38" t="n">
        <f aca="false">IF(COUNT(B1069:B1078)=0,"N/M",MEDIAN(B1069:B1078))</f>
        <v>10.3746390052215</v>
      </c>
      <c r="C1081" s="38" t="n">
        <f aca="false">IF(COUNT(C1069:C1078)=0,"N/M",MEDIAN(C1069:C1078))</f>
        <v>20.5340618955512</v>
      </c>
      <c r="D1081" s="38" t="n">
        <f aca="false">IF(COUNT(D1069:D1078)=0,"N/M",MEDIAN(D1069:D1078))</f>
        <v>15.8217185003592</v>
      </c>
      <c r="E1081" s="38" t="n">
        <f aca="false">IF(COUNT(E1069:E1078)=0,"N/M",MEDIAN(E1069:E1078))</f>
        <v>15.0326397969387</v>
      </c>
      <c r="F1081" s="38" t="n">
        <f aca="false">IF(COUNT(F1069:F1078)=0,"N/M",MEDIAN(F1069:F1078))</f>
        <v>18.2446324736225</v>
      </c>
      <c r="G1081" s="38" t="n">
        <f aca="false">IF(COUNT(G1069:G1078)=0,"N/M",MEDIAN(G1069:G1078))</f>
        <v>15.4454169318906</v>
      </c>
      <c r="H1081" s="38" t="n">
        <f aca="false">IF(COUNT(H1069:H1078)=0,"N/M",MEDIAN(H1069:H1078))</f>
        <v>9.79962641236946</v>
      </c>
      <c r="I1081" s="38" t="n">
        <f aca="false">IF(COUNT(I1069:I1078)=0,"N/M",MEDIAN(I1069:I1078))</f>
        <v>13.6271794132046</v>
      </c>
      <c r="J1081" s="54"/>
      <c r="K1081" s="54"/>
      <c r="L1081" s="54"/>
    </row>
    <row r="1082" customFormat="false" ht="15" hidden="false" customHeight="false" outlineLevel="0" collapsed="false">
      <c r="A1082" s="52" t="s">
        <v>330</v>
      </c>
      <c r="B1082" s="60" t="n">
        <f aca="false">IF(COUNT(B1069:B1078)&lt;2,"N/M",STDEV(B1069:B1078))</f>
        <v>2.21722901084815</v>
      </c>
      <c r="C1082" s="60" t="n">
        <f aca="false">IF(COUNT(C1069:C1078)&lt;2,"N/M",STDEV(C1069:C1078))</f>
        <v>12.1758360582391</v>
      </c>
      <c r="D1082" s="60" t="n">
        <f aca="false">IF(COUNT(D1069:D1078)&lt;2,"N/M",STDEV(D1069:D1078))</f>
        <v>6.37643452463572</v>
      </c>
      <c r="E1082" s="60" t="n">
        <f aca="false">IF(COUNT(E1069:E1078)&lt;2,"N/M",STDEV(E1069:E1078))</f>
        <v>3.60775249164562</v>
      </c>
      <c r="F1082" s="60" t="n">
        <f aca="false">IF(COUNT(F1069:F1078)&lt;2,"N/M",STDEV(F1069:F1078))</f>
        <v>21.5155810264044</v>
      </c>
      <c r="G1082" s="60" t="n">
        <f aca="false">IF(COUNT(G1069:G1078)&lt;2,"N/M",STDEV(G1069:G1078))</f>
        <v>11.3878161306373</v>
      </c>
      <c r="H1082" s="60" t="n">
        <f aca="false">IF(COUNT(H1069:H1078)&lt;2,"N/M",STDEV(H1069:H1078))</f>
        <v>3.47220930638943</v>
      </c>
      <c r="I1082" s="60" t="n">
        <f aca="false">IF(COUNT(I1069:I1078)&lt;2,"N/M",STDEV(I1069:I1078))</f>
        <v>8.72882221494682</v>
      </c>
      <c r="J1082" s="54"/>
      <c r="K1082" s="54"/>
      <c r="L1082" s="54"/>
    </row>
    <row r="1083" customFormat="false" ht="15" hidden="false" customHeight="false" outlineLevel="0" collapsed="false">
      <c r="A1083" s="52" t="s">
        <v>269</v>
      </c>
      <c r="B1083" s="60" t="n">
        <f aca="false">IF(COUNT(B1069:B1078)=0,"N/M",MIN(B1069:B1078))</f>
        <v>7.6224072233267</v>
      </c>
      <c r="C1083" s="60" t="n">
        <f aca="false">IF(COUNT(C1069:C1078)=0,"N/M",MIN(C1069:C1078))</f>
        <v>6.57804511278191</v>
      </c>
      <c r="D1083" s="60" t="n">
        <f aca="false">IF(COUNT(D1069:D1078)=0,"N/M",MIN(D1069:D1078))</f>
        <v>5.09782978723404</v>
      </c>
      <c r="E1083" s="60" t="n">
        <f aca="false">IF(COUNT(E1069:E1078)=0,"N/M",MIN(E1069:E1078))</f>
        <v>7.97170542635664</v>
      </c>
      <c r="F1083" s="60" t="n">
        <f aca="false">IF(COUNT(F1069:F1078)=0,"N/M",MIN(F1069:F1078))</f>
        <v>11.8696927966102</v>
      </c>
      <c r="G1083" s="60" t="n">
        <f aca="false">IF(COUNT(G1069:G1078)=0,"N/M",MIN(G1069:G1078))</f>
        <v>7.3835178696566</v>
      </c>
      <c r="H1083" s="60" t="n">
        <f aca="false">IF(COUNT(H1069:H1078)=0,"N/M",MIN(H1069:H1078))</f>
        <v>3.55058823529414</v>
      </c>
      <c r="I1083" s="60" t="n">
        <f aca="false">IF(COUNT(I1069:I1078)=0,"N/M",MIN(I1069:I1078))</f>
        <v>6.96774638297872</v>
      </c>
      <c r="J1083" s="54"/>
      <c r="K1083" s="54"/>
      <c r="L1083" s="54"/>
    </row>
    <row r="1084" customFormat="false" ht="15" hidden="false" customHeight="false" outlineLevel="0" collapsed="false">
      <c r="A1084" s="52" t="s">
        <v>270</v>
      </c>
      <c r="B1084" s="60" t="n">
        <f aca="false">IF(COUNT(B1069:B1078)=0,"N/M",MAX(B1069:B1078))</f>
        <v>13.4848283695104</v>
      </c>
      <c r="C1084" s="60" t="n">
        <f aca="false">IF(COUNT(C1069:C1078)=0,"N/M",MAX(C1069:C1078))</f>
        <v>39.2274131274133</v>
      </c>
      <c r="D1084" s="60" t="n">
        <f aca="false">IF(COUNT(D1069:D1078)=0,"N/M",MAX(D1069:D1078))</f>
        <v>26.1327294423954</v>
      </c>
      <c r="E1084" s="60" t="n">
        <f aca="false">IF(COUNT(E1069:E1078)=0,"N/M",MAX(E1069:E1078))</f>
        <v>19.749949057565</v>
      </c>
      <c r="F1084" s="60" t="n">
        <f aca="false">IF(COUNT(F1069:F1078)=0,"N/M",MAX(F1069:F1078))</f>
        <v>81.2095804216868</v>
      </c>
      <c r="G1084" s="60" t="n">
        <f aca="false">IF(COUNT(G1069:G1078)=0,"N/M",MAX(G1069:G1078))</f>
        <v>45.0343837598884</v>
      </c>
      <c r="H1084" s="60" t="n">
        <f aca="false">IF(COUNT(H1069:H1078)=0,"N/M",MAX(H1069:H1078))</f>
        <v>15.3066119344854</v>
      </c>
      <c r="I1084" s="60" t="n">
        <f aca="false">IF(COUNT(I1069:I1078)=0,"N/M",MAX(I1069:I1078))</f>
        <v>38.516551224889</v>
      </c>
      <c r="J1084" s="54"/>
      <c r="K1084" s="54"/>
      <c r="L1084" s="54"/>
    </row>
  </sheetData>
  <mergeCells count="62">
    <mergeCell ref="A1:L1"/>
    <mergeCell ref="A2:L2"/>
    <mergeCell ref="A6:L6"/>
    <mergeCell ref="A24:L24"/>
    <mergeCell ref="A42:L42"/>
    <mergeCell ref="A60:L60"/>
    <mergeCell ref="A78:L78"/>
    <mergeCell ref="A96:L96"/>
    <mergeCell ref="A114:L114"/>
    <mergeCell ref="A132:L132"/>
    <mergeCell ref="A150:L150"/>
    <mergeCell ref="A168:L168"/>
    <mergeCell ref="A186:L186"/>
    <mergeCell ref="A204:L204"/>
    <mergeCell ref="A222:L222"/>
    <mergeCell ref="A240:L240"/>
    <mergeCell ref="A258:L258"/>
    <mergeCell ref="A276:L276"/>
    <mergeCell ref="A294:L294"/>
    <mergeCell ref="A312:L312"/>
    <mergeCell ref="A330:L330"/>
    <mergeCell ref="A348:L348"/>
    <mergeCell ref="A366:L366"/>
    <mergeCell ref="A384:L384"/>
    <mergeCell ref="A402:L402"/>
    <mergeCell ref="A420:L420"/>
    <mergeCell ref="A438:L438"/>
    <mergeCell ref="A456:L456"/>
    <mergeCell ref="A474:L474"/>
    <mergeCell ref="A492:L492"/>
    <mergeCell ref="A510:L510"/>
    <mergeCell ref="A528:L528"/>
    <mergeCell ref="A546:L546"/>
    <mergeCell ref="A564:L564"/>
    <mergeCell ref="A582:L582"/>
    <mergeCell ref="A600:L600"/>
    <mergeCell ref="A618:L618"/>
    <mergeCell ref="A636:L636"/>
    <mergeCell ref="A654:L654"/>
    <mergeCell ref="A672:L672"/>
    <mergeCell ref="A690:L690"/>
    <mergeCell ref="A708:L708"/>
    <mergeCell ref="A726:L726"/>
    <mergeCell ref="A744:L744"/>
    <mergeCell ref="A762:L762"/>
    <mergeCell ref="A780:L780"/>
    <mergeCell ref="A798:L798"/>
    <mergeCell ref="A816:L816"/>
    <mergeCell ref="A834:L834"/>
    <mergeCell ref="A852:L852"/>
    <mergeCell ref="A870:L870"/>
    <mergeCell ref="A888:L888"/>
    <mergeCell ref="A906:L906"/>
    <mergeCell ref="A924:L924"/>
    <mergeCell ref="A942:L942"/>
    <mergeCell ref="A960:L960"/>
    <mergeCell ref="A978:L978"/>
    <mergeCell ref="A996:L996"/>
    <mergeCell ref="A1014:L1014"/>
    <mergeCell ref="A1032:L1032"/>
    <mergeCell ref="A1050:L1050"/>
    <mergeCell ref="A1068:L1068"/>
  </mergeCells>
  <conditionalFormatting sqref="K7:K16">
    <cfRule type="expression" priority="2" aboveAverage="0" equalAverage="0" bottom="0" percent="0" rank="0" text="" dxfId="0">
      <formula>K7="Better"</formula>
    </cfRule>
    <cfRule type="expression" priority="3" aboveAverage="0" equalAverage="0" bottom="0" percent="0" rank="0" text="" dxfId="1">
      <formula>K7="Weaker"</formula>
    </cfRule>
  </conditionalFormatting>
  <conditionalFormatting sqref="K25:K34">
    <cfRule type="expression" priority="4" aboveAverage="0" equalAverage="0" bottom="0" percent="0" rank="0" text="" dxfId="0">
      <formula>K25="Better"</formula>
    </cfRule>
    <cfRule type="expression" priority="5" aboveAverage="0" equalAverage="0" bottom="0" percent="0" rank="0" text="" dxfId="1">
      <formula>K25="Weaker"</formula>
    </cfRule>
  </conditionalFormatting>
  <conditionalFormatting sqref="K43:K52">
    <cfRule type="expression" priority="6" aboveAverage="0" equalAverage="0" bottom="0" percent="0" rank="0" text="" dxfId="0">
      <formula>K43="Better"</formula>
    </cfRule>
    <cfRule type="expression" priority="7" aboveAverage="0" equalAverage="0" bottom="0" percent="0" rank="0" text="" dxfId="1">
      <formula>K43="Weaker"</formula>
    </cfRule>
  </conditionalFormatting>
  <conditionalFormatting sqref="K61:K70">
    <cfRule type="expression" priority="8" aboveAverage="0" equalAverage="0" bottom="0" percent="0" rank="0" text="" dxfId="0">
      <formula>K61="Better"</formula>
    </cfRule>
    <cfRule type="expression" priority="9" aboveAverage="0" equalAverage="0" bottom="0" percent="0" rank="0" text="" dxfId="1">
      <formula>K61="Weaker"</formula>
    </cfRule>
  </conditionalFormatting>
  <conditionalFormatting sqref="K79:K88">
    <cfRule type="expression" priority="10" aboveAverage="0" equalAverage="0" bottom="0" percent="0" rank="0" text="" dxfId="0">
      <formula>K79="Better"</formula>
    </cfRule>
    <cfRule type="expression" priority="11" aboveAverage="0" equalAverage="0" bottom="0" percent="0" rank="0" text="" dxfId="1">
      <formula>K79="Weaker"</formula>
    </cfRule>
  </conditionalFormatting>
  <conditionalFormatting sqref="K97:K106">
    <cfRule type="expression" priority="12" aboveAverage="0" equalAverage="0" bottom="0" percent="0" rank="0" text="" dxfId="0">
      <formula>K97="Better"</formula>
    </cfRule>
    <cfRule type="expression" priority="13" aboveAverage="0" equalAverage="0" bottom="0" percent="0" rank="0" text="" dxfId="1">
      <formula>K97="Weaker"</formula>
    </cfRule>
  </conditionalFormatting>
  <conditionalFormatting sqref="K115:K124">
    <cfRule type="expression" priority="14" aboveAverage="0" equalAverage="0" bottom="0" percent="0" rank="0" text="" dxfId="0">
      <formula>K115="Better"</formula>
    </cfRule>
    <cfRule type="expression" priority="15" aboveAverage="0" equalAverage="0" bottom="0" percent="0" rank="0" text="" dxfId="1">
      <formula>K115="Weaker"</formula>
    </cfRule>
  </conditionalFormatting>
  <conditionalFormatting sqref="K133:K142">
    <cfRule type="expression" priority="16" aboveAverage="0" equalAverage="0" bottom="0" percent="0" rank="0" text="" dxfId="0">
      <formula>K133="Better"</formula>
    </cfRule>
    <cfRule type="expression" priority="17" aboveAverage="0" equalAverage="0" bottom="0" percent="0" rank="0" text="" dxfId="1">
      <formula>K133="Weaker"</formula>
    </cfRule>
  </conditionalFormatting>
  <conditionalFormatting sqref="K151:K160">
    <cfRule type="expression" priority="18" aboveAverage="0" equalAverage="0" bottom="0" percent="0" rank="0" text="" dxfId="0">
      <formula>K151="Better"</formula>
    </cfRule>
    <cfRule type="expression" priority="19" aboveAverage="0" equalAverage="0" bottom="0" percent="0" rank="0" text="" dxfId="1">
      <formula>K151="Weaker"</formula>
    </cfRule>
  </conditionalFormatting>
  <conditionalFormatting sqref="K169:K178">
    <cfRule type="expression" priority="20" aboveAverage="0" equalAverage="0" bottom="0" percent="0" rank="0" text="" dxfId="0">
      <formula>K169="Better"</formula>
    </cfRule>
    <cfRule type="expression" priority="21" aboveAverage="0" equalAverage="0" bottom="0" percent="0" rank="0" text="" dxfId="1">
      <formula>K169="Weaker"</formula>
    </cfRule>
  </conditionalFormatting>
  <conditionalFormatting sqref="K187:K196">
    <cfRule type="expression" priority="22" aboveAverage="0" equalAverage="0" bottom="0" percent="0" rank="0" text="" dxfId="0">
      <formula>K187="Better"</formula>
    </cfRule>
    <cfRule type="expression" priority="23" aboveAverage="0" equalAverage="0" bottom="0" percent="0" rank="0" text="" dxfId="1">
      <formula>K187="Weaker"</formula>
    </cfRule>
  </conditionalFormatting>
  <conditionalFormatting sqref="K205:K214">
    <cfRule type="expression" priority="24" aboveAverage="0" equalAverage="0" bottom="0" percent="0" rank="0" text="" dxfId="0">
      <formula>K205="Better"</formula>
    </cfRule>
    <cfRule type="expression" priority="25" aboveAverage="0" equalAverage="0" bottom="0" percent="0" rank="0" text="" dxfId="1">
      <formula>K205="Weaker"</formula>
    </cfRule>
  </conditionalFormatting>
  <conditionalFormatting sqref="K223:K232">
    <cfRule type="expression" priority="26" aboveAverage="0" equalAverage="0" bottom="0" percent="0" rank="0" text="" dxfId="0">
      <formula>K223="Better"</formula>
    </cfRule>
    <cfRule type="expression" priority="27" aboveAverage="0" equalAverage="0" bottom="0" percent="0" rank="0" text="" dxfId="1">
      <formula>K223="Weaker"</formula>
    </cfRule>
  </conditionalFormatting>
  <conditionalFormatting sqref="K241:K250">
    <cfRule type="expression" priority="28" aboveAverage="0" equalAverage="0" bottom="0" percent="0" rank="0" text="" dxfId="0">
      <formula>K241="Better"</formula>
    </cfRule>
    <cfRule type="expression" priority="29" aboveAverage="0" equalAverage="0" bottom="0" percent="0" rank="0" text="" dxfId="1">
      <formula>K241="Weaker"</formula>
    </cfRule>
  </conditionalFormatting>
  <conditionalFormatting sqref="K259:K268">
    <cfRule type="expression" priority="30" aboveAverage="0" equalAverage="0" bottom="0" percent="0" rank="0" text="" dxfId="0">
      <formula>K259="Better"</formula>
    </cfRule>
    <cfRule type="expression" priority="31" aboveAverage="0" equalAverage="0" bottom="0" percent="0" rank="0" text="" dxfId="1">
      <formula>K259="Weaker"</formula>
    </cfRule>
  </conditionalFormatting>
  <conditionalFormatting sqref="K277:K286">
    <cfRule type="expression" priority="32" aboveAverage="0" equalAverage="0" bottom="0" percent="0" rank="0" text="" dxfId="0">
      <formula>K277="Better"</formula>
    </cfRule>
    <cfRule type="expression" priority="33" aboveAverage="0" equalAverage="0" bottom="0" percent="0" rank="0" text="" dxfId="1">
      <formula>K277="Weaker"</formula>
    </cfRule>
  </conditionalFormatting>
  <conditionalFormatting sqref="K295:K304">
    <cfRule type="expression" priority="34" aboveAverage="0" equalAverage="0" bottom="0" percent="0" rank="0" text="" dxfId="0">
      <formula>K295="Better"</formula>
    </cfRule>
    <cfRule type="expression" priority="35" aboveAverage="0" equalAverage="0" bottom="0" percent="0" rank="0" text="" dxfId="1">
      <formula>K295="Weaker"</formula>
    </cfRule>
  </conditionalFormatting>
  <conditionalFormatting sqref="K313:K322">
    <cfRule type="expression" priority="36" aboveAverage="0" equalAverage="0" bottom="0" percent="0" rank="0" text="" dxfId="0">
      <formula>K313="Better"</formula>
    </cfRule>
    <cfRule type="expression" priority="37" aboveAverage="0" equalAverage="0" bottom="0" percent="0" rank="0" text="" dxfId="1">
      <formula>K313="Weaker"</formula>
    </cfRule>
  </conditionalFormatting>
  <conditionalFormatting sqref="K331:K340">
    <cfRule type="expression" priority="38" aboveAverage="0" equalAverage="0" bottom="0" percent="0" rank="0" text="" dxfId="0">
      <formula>K331="Better"</formula>
    </cfRule>
    <cfRule type="expression" priority="39" aboveAverage="0" equalAverage="0" bottom="0" percent="0" rank="0" text="" dxfId="1">
      <formula>K331="Weaker"</formula>
    </cfRule>
  </conditionalFormatting>
  <conditionalFormatting sqref="K349:K358">
    <cfRule type="expression" priority="40" aboveAverage="0" equalAverage="0" bottom="0" percent="0" rank="0" text="" dxfId="0">
      <formula>K349="Better"</formula>
    </cfRule>
    <cfRule type="expression" priority="41" aboveAverage="0" equalAverage="0" bottom="0" percent="0" rank="0" text="" dxfId="1">
      <formula>K349="Weaker"</formula>
    </cfRule>
  </conditionalFormatting>
  <conditionalFormatting sqref="K367:K376">
    <cfRule type="expression" priority="42" aboveAverage="0" equalAverage="0" bottom="0" percent="0" rank="0" text="" dxfId="0">
      <formula>K367="Better"</formula>
    </cfRule>
    <cfRule type="expression" priority="43" aboveAverage="0" equalAverage="0" bottom="0" percent="0" rank="0" text="" dxfId="1">
      <formula>K367="Weaker"</formula>
    </cfRule>
  </conditionalFormatting>
  <conditionalFormatting sqref="K385:K394">
    <cfRule type="expression" priority="44" aboveAverage="0" equalAverage="0" bottom="0" percent="0" rank="0" text="" dxfId="0">
      <formula>K385="Better"</formula>
    </cfRule>
    <cfRule type="expression" priority="45" aboveAverage="0" equalAverage="0" bottom="0" percent="0" rank="0" text="" dxfId="1">
      <formula>K385="Weaker"</formula>
    </cfRule>
  </conditionalFormatting>
  <conditionalFormatting sqref="K403:K412">
    <cfRule type="expression" priority="46" aboveAverage="0" equalAverage="0" bottom="0" percent="0" rank="0" text="" dxfId="0">
      <formula>K403="Better"</formula>
    </cfRule>
    <cfRule type="expression" priority="47" aboveAverage="0" equalAverage="0" bottom="0" percent="0" rank="0" text="" dxfId="1">
      <formula>K403="Weaker"</formula>
    </cfRule>
  </conditionalFormatting>
  <conditionalFormatting sqref="K421:K430">
    <cfRule type="expression" priority="48" aboveAverage="0" equalAverage="0" bottom="0" percent="0" rank="0" text="" dxfId="0">
      <formula>K421="Better"</formula>
    </cfRule>
    <cfRule type="expression" priority="49" aboveAverage="0" equalAverage="0" bottom="0" percent="0" rank="0" text="" dxfId="1">
      <formula>K421="Weaker"</formula>
    </cfRule>
  </conditionalFormatting>
  <conditionalFormatting sqref="K439:K448">
    <cfRule type="expression" priority="50" aboveAverage="0" equalAverage="0" bottom="0" percent="0" rank="0" text="" dxfId="0">
      <formula>K439="Better"</formula>
    </cfRule>
    <cfRule type="expression" priority="51" aboveAverage="0" equalAverage="0" bottom="0" percent="0" rank="0" text="" dxfId="1">
      <formula>K439="Weaker"</formula>
    </cfRule>
  </conditionalFormatting>
  <conditionalFormatting sqref="K457:K466">
    <cfRule type="expression" priority="52" aboveAverage="0" equalAverage="0" bottom="0" percent="0" rank="0" text="" dxfId="0">
      <formula>K457="Better"</formula>
    </cfRule>
    <cfRule type="expression" priority="53" aboveAverage="0" equalAverage="0" bottom="0" percent="0" rank="0" text="" dxfId="1">
      <formula>K457="Weaker"</formula>
    </cfRule>
  </conditionalFormatting>
  <conditionalFormatting sqref="K475:K484">
    <cfRule type="expression" priority="54" aboveAverage="0" equalAverage="0" bottom="0" percent="0" rank="0" text="" dxfId="0">
      <formula>K475="Better"</formula>
    </cfRule>
    <cfRule type="expression" priority="55" aboveAverage="0" equalAverage="0" bottom="0" percent="0" rank="0" text="" dxfId="1">
      <formula>K475="Weaker"</formula>
    </cfRule>
  </conditionalFormatting>
  <conditionalFormatting sqref="K493:K502">
    <cfRule type="expression" priority="56" aboveAverage="0" equalAverage="0" bottom="0" percent="0" rank="0" text="" dxfId="0">
      <formula>K493="Better"</formula>
    </cfRule>
    <cfRule type="expression" priority="57" aboveAverage="0" equalAverage="0" bottom="0" percent="0" rank="0" text="" dxfId="1">
      <formula>K493="Weaker"</formula>
    </cfRule>
  </conditionalFormatting>
  <conditionalFormatting sqref="K511:K520">
    <cfRule type="expression" priority="58" aboveAverage="0" equalAverage="0" bottom="0" percent="0" rank="0" text="" dxfId="0">
      <formula>K511="Better"</formula>
    </cfRule>
    <cfRule type="expression" priority="59" aboveAverage="0" equalAverage="0" bottom="0" percent="0" rank="0" text="" dxfId="1">
      <formula>K511="Weaker"</formula>
    </cfRule>
  </conditionalFormatting>
  <conditionalFormatting sqref="K529:K538">
    <cfRule type="expression" priority="60" aboveAverage="0" equalAverage="0" bottom="0" percent="0" rank="0" text="" dxfId="0">
      <formula>K529="Better"</formula>
    </cfRule>
    <cfRule type="expression" priority="61" aboveAverage="0" equalAverage="0" bottom="0" percent="0" rank="0" text="" dxfId="1">
      <formula>K529="Weaker"</formula>
    </cfRule>
  </conditionalFormatting>
  <conditionalFormatting sqref="K547:K556">
    <cfRule type="expression" priority="62" aboveAverage="0" equalAverage="0" bottom="0" percent="0" rank="0" text="" dxfId="0">
      <formula>K547="Better"</formula>
    </cfRule>
    <cfRule type="expression" priority="63" aboveAverage="0" equalAverage="0" bottom="0" percent="0" rank="0" text="" dxfId="1">
      <formula>K547="Weaker"</formula>
    </cfRule>
  </conditionalFormatting>
  <conditionalFormatting sqref="K565:K574">
    <cfRule type="expression" priority="64" aboveAverage="0" equalAverage="0" bottom="0" percent="0" rank="0" text="" dxfId="0">
      <formula>K565="Better"</formula>
    </cfRule>
    <cfRule type="expression" priority="65" aboveAverage="0" equalAverage="0" bottom="0" percent="0" rank="0" text="" dxfId="1">
      <formula>K565="Weaker"</formula>
    </cfRule>
  </conditionalFormatting>
  <conditionalFormatting sqref="K583:K592">
    <cfRule type="expression" priority="66" aboveAverage="0" equalAverage="0" bottom="0" percent="0" rank="0" text="" dxfId="0">
      <formula>K583="Better"</formula>
    </cfRule>
    <cfRule type="expression" priority="67" aboveAverage="0" equalAverage="0" bottom="0" percent="0" rank="0" text="" dxfId="1">
      <formula>K583="Weaker"</formula>
    </cfRule>
  </conditionalFormatting>
  <conditionalFormatting sqref="K601:K610">
    <cfRule type="expression" priority="68" aboveAverage="0" equalAverage="0" bottom="0" percent="0" rank="0" text="" dxfId="0">
      <formula>K601="Better"</formula>
    </cfRule>
    <cfRule type="expression" priority="69" aboveAverage="0" equalAverage="0" bottom="0" percent="0" rank="0" text="" dxfId="1">
      <formula>K601="Weaker"</formula>
    </cfRule>
  </conditionalFormatting>
  <conditionalFormatting sqref="K619:K628">
    <cfRule type="expression" priority="70" aboveAverage="0" equalAverage="0" bottom="0" percent="0" rank="0" text="" dxfId="0">
      <formula>K619="Better"</formula>
    </cfRule>
    <cfRule type="expression" priority="71" aboveAverage="0" equalAverage="0" bottom="0" percent="0" rank="0" text="" dxfId="1">
      <formula>K619="Weaker"</formula>
    </cfRule>
  </conditionalFormatting>
  <conditionalFormatting sqref="K637:K646">
    <cfRule type="expression" priority="72" aboveAverage="0" equalAverage="0" bottom="0" percent="0" rank="0" text="" dxfId="0">
      <formula>K637="Better"</formula>
    </cfRule>
    <cfRule type="expression" priority="73" aboveAverage="0" equalAverage="0" bottom="0" percent="0" rank="0" text="" dxfId="1">
      <formula>K637="Weaker"</formula>
    </cfRule>
  </conditionalFormatting>
  <conditionalFormatting sqref="K655:K664">
    <cfRule type="expression" priority="74" aboveAverage="0" equalAverage="0" bottom="0" percent="0" rank="0" text="" dxfId="0">
      <formula>K655="Better"</formula>
    </cfRule>
    <cfRule type="expression" priority="75" aboveAverage="0" equalAverage="0" bottom="0" percent="0" rank="0" text="" dxfId="1">
      <formula>K655="Weaker"</formula>
    </cfRule>
  </conditionalFormatting>
  <conditionalFormatting sqref="K673:K682">
    <cfRule type="expression" priority="76" aboveAverage="0" equalAverage="0" bottom="0" percent="0" rank="0" text="" dxfId="0">
      <formula>K673="Better"</formula>
    </cfRule>
    <cfRule type="expression" priority="77" aboveAverage="0" equalAverage="0" bottom="0" percent="0" rank="0" text="" dxfId="1">
      <formula>K673="Weaker"</formula>
    </cfRule>
  </conditionalFormatting>
  <conditionalFormatting sqref="K691:K700">
    <cfRule type="expression" priority="78" aboveAverage="0" equalAverage="0" bottom="0" percent="0" rank="0" text="" dxfId="0">
      <formula>K691="Better"</formula>
    </cfRule>
    <cfRule type="expression" priority="79" aboveAverage="0" equalAverage="0" bottom="0" percent="0" rank="0" text="" dxfId="1">
      <formula>K691="Weaker"</formula>
    </cfRule>
  </conditionalFormatting>
  <conditionalFormatting sqref="K709:K718">
    <cfRule type="expression" priority="80" aboveAverage="0" equalAverage="0" bottom="0" percent="0" rank="0" text="" dxfId="0">
      <formula>K709="Better"</formula>
    </cfRule>
    <cfRule type="expression" priority="81" aboveAverage="0" equalAverage="0" bottom="0" percent="0" rank="0" text="" dxfId="1">
      <formula>K709="Weaker"</formula>
    </cfRule>
  </conditionalFormatting>
  <conditionalFormatting sqref="K727:K736">
    <cfRule type="expression" priority="82" aboveAverage="0" equalAverage="0" bottom="0" percent="0" rank="0" text="" dxfId="0">
      <formula>K727="Better"</formula>
    </cfRule>
    <cfRule type="expression" priority="83" aboveAverage="0" equalAverage="0" bottom="0" percent="0" rank="0" text="" dxfId="1">
      <formula>K727="Weaker"</formula>
    </cfRule>
  </conditionalFormatting>
  <conditionalFormatting sqref="K745:K754">
    <cfRule type="expression" priority="84" aboveAverage="0" equalAverage="0" bottom="0" percent="0" rank="0" text="" dxfId="0">
      <formula>K745="Better"</formula>
    </cfRule>
    <cfRule type="expression" priority="85" aboveAverage="0" equalAverage="0" bottom="0" percent="0" rank="0" text="" dxfId="1">
      <formula>K745="Weaker"</formula>
    </cfRule>
  </conditionalFormatting>
  <conditionalFormatting sqref="K763:K772">
    <cfRule type="expression" priority="86" aboveAverage="0" equalAverage="0" bottom="0" percent="0" rank="0" text="" dxfId="0">
      <formula>K763="Better"</formula>
    </cfRule>
    <cfRule type="expression" priority="87" aboveAverage="0" equalAverage="0" bottom="0" percent="0" rank="0" text="" dxfId="1">
      <formula>K763="Weaker"</formula>
    </cfRule>
  </conditionalFormatting>
  <conditionalFormatting sqref="K781:K790">
    <cfRule type="expression" priority="88" aboveAverage="0" equalAverage="0" bottom="0" percent="0" rank="0" text="" dxfId="0">
      <formula>K781="Better"</formula>
    </cfRule>
    <cfRule type="expression" priority="89" aboveAverage="0" equalAverage="0" bottom="0" percent="0" rank="0" text="" dxfId="1">
      <formula>K781="Weaker"</formula>
    </cfRule>
  </conditionalFormatting>
  <conditionalFormatting sqref="K799:K808">
    <cfRule type="expression" priority="90" aboveAverage="0" equalAverage="0" bottom="0" percent="0" rank="0" text="" dxfId="0">
      <formula>K799="Better"</formula>
    </cfRule>
    <cfRule type="expression" priority="91" aboveAverage="0" equalAverage="0" bottom="0" percent="0" rank="0" text="" dxfId="1">
      <formula>K799="Weaker"</formula>
    </cfRule>
  </conditionalFormatting>
  <conditionalFormatting sqref="K817:K826">
    <cfRule type="expression" priority="92" aboveAverage="0" equalAverage="0" bottom="0" percent="0" rank="0" text="" dxfId="0">
      <formula>K817="Better"</formula>
    </cfRule>
    <cfRule type="expression" priority="93" aboveAverage="0" equalAverage="0" bottom="0" percent="0" rank="0" text="" dxfId="1">
      <formula>K817="Weaker"</formula>
    </cfRule>
  </conditionalFormatting>
  <conditionalFormatting sqref="K835:K844">
    <cfRule type="expression" priority="94" aboveAverage="0" equalAverage="0" bottom="0" percent="0" rank="0" text="" dxfId="0">
      <formula>K835="Better"</formula>
    </cfRule>
    <cfRule type="expression" priority="95" aboveAverage="0" equalAverage="0" bottom="0" percent="0" rank="0" text="" dxfId="1">
      <formula>K835="Weaker"</formula>
    </cfRule>
  </conditionalFormatting>
  <conditionalFormatting sqref="K853:K862">
    <cfRule type="expression" priority="96" aboveAverage="0" equalAverage="0" bottom="0" percent="0" rank="0" text="" dxfId="0">
      <formula>K853="Better"</formula>
    </cfRule>
    <cfRule type="expression" priority="97" aboveAverage="0" equalAverage="0" bottom="0" percent="0" rank="0" text="" dxfId="1">
      <formula>K853="Weaker"</formula>
    </cfRule>
  </conditionalFormatting>
  <conditionalFormatting sqref="K871:K880">
    <cfRule type="expression" priority="98" aboveAverage="0" equalAverage="0" bottom="0" percent="0" rank="0" text="" dxfId="0">
      <formula>K871="Better"</formula>
    </cfRule>
    <cfRule type="expression" priority="99" aboveAverage="0" equalAverage="0" bottom="0" percent="0" rank="0" text="" dxfId="1">
      <formula>K871="Weaker"</formula>
    </cfRule>
  </conditionalFormatting>
  <conditionalFormatting sqref="K889:K898">
    <cfRule type="expression" priority="100" aboveAverage="0" equalAverage="0" bottom="0" percent="0" rank="0" text="" dxfId="0">
      <formula>K889="Better"</formula>
    </cfRule>
    <cfRule type="expression" priority="101" aboveAverage="0" equalAverage="0" bottom="0" percent="0" rank="0" text="" dxfId="1">
      <formula>K889="Weaker"</formula>
    </cfRule>
  </conditionalFormatting>
  <conditionalFormatting sqref="K907:K916">
    <cfRule type="expression" priority="102" aboveAverage="0" equalAverage="0" bottom="0" percent="0" rank="0" text="" dxfId="0">
      <formula>K907="Better"</formula>
    </cfRule>
    <cfRule type="expression" priority="103" aboveAverage="0" equalAverage="0" bottom="0" percent="0" rank="0" text="" dxfId="1">
      <formula>K907="Weaker"</formula>
    </cfRule>
  </conditionalFormatting>
  <conditionalFormatting sqref="K925:K934">
    <cfRule type="expression" priority="104" aboveAverage="0" equalAverage="0" bottom="0" percent="0" rank="0" text="" dxfId="0">
      <formula>K925="Better"</formula>
    </cfRule>
    <cfRule type="expression" priority="105" aboveAverage="0" equalAverage="0" bottom="0" percent="0" rank="0" text="" dxfId="1">
      <formula>K925="Weaker"</formula>
    </cfRule>
  </conditionalFormatting>
  <conditionalFormatting sqref="K943:K952">
    <cfRule type="expression" priority="106" aboveAverage="0" equalAverage="0" bottom="0" percent="0" rank="0" text="" dxfId="0">
      <formula>K943="Better"</formula>
    </cfRule>
    <cfRule type="expression" priority="107" aboveAverage="0" equalAverage="0" bottom="0" percent="0" rank="0" text="" dxfId="1">
      <formula>K943="Weaker"</formula>
    </cfRule>
  </conditionalFormatting>
  <conditionalFormatting sqref="K961:K970">
    <cfRule type="expression" priority="108" aboveAverage="0" equalAverage="0" bottom="0" percent="0" rank="0" text="" dxfId="0">
      <formula>K961="Better"</formula>
    </cfRule>
    <cfRule type="expression" priority="109" aboveAverage="0" equalAverage="0" bottom="0" percent="0" rank="0" text="" dxfId="1">
      <formula>K961="Weaker"</formula>
    </cfRule>
  </conditionalFormatting>
  <conditionalFormatting sqref="K979:K988">
    <cfRule type="expression" priority="110" aboveAverage="0" equalAverage="0" bottom="0" percent="0" rank="0" text="" dxfId="0">
      <formula>K979="Better"</formula>
    </cfRule>
    <cfRule type="expression" priority="111" aboveAverage="0" equalAverage="0" bottom="0" percent="0" rank="0" text="" dxfId="1">
      <formula>K979="Weaker"</formula>
    </cfRule>
  </conditionalFormatting>
  <conditionalFormatting sqref="K997:K1006">
    <cfRule type="expression" priority="112" aboveAverage="0" equalAverage="0" bottom="0" percent="0" rank="0" text="" dxfId="0">
      <formula>K997="Better"</formula>
    </cfRule>
    <cfRule type="expression" priority="113" aboveAverage="0" equalAverage="0" bottom="0" percent="0" rank="0" text="" dxfId="1">
      <formula>K997="Weaker"</formula>
    </cfRule>
  </conditionalFormatting>
  <conditionalFormatting sqref="K1015:K1024">
    <cfRule type="expression" priority="114" aboveAverage="0" equalAverage="0" bottom="0" percent="0" rank="0" text="" dxfId="0">
      <formula>K1015="Better"</formula>
    </cfRule>
    <cfRule type="expression" priority="115" aboveAverage="0" equalAverage="0" bottom="0" percent="0" rank="0" text="" dxfId="1">
      <formula>K1015="Weaker"</formula>
    </cfRule>
  </conditionalFormatting>
  <conditionalFormatting sqref="K1033:K1042">
    <cfRule type="expression" priority="116" aboveAverage="0" equalAverage="0" bottom="0" percent="0" rank="0" text="" dxfId="0">
      <formula>K1033="Better"</formula>
    </cfRule>
    <cfRule type="expression" priority="117" aboveAverage="0" equalAverage="0" bottom="0" percent="0" rank="0" text="" dxfId="1">
      <formula>K1033="Weaker"</formula>
    </cfRule>
  </conditionalFormatting>
  <conditionalFormatting sqref="K1051:K1060">
    <cfRule type="expression" priority="118" aboveAverage="0" equalAverage="0" bottom="0" percent="0" rank="0" text="" dxfId="0">
      <formula>K1051="Better"</formula>
    </cfRule>
    <cfRule type="expression" priority="119" aboveAverage="0" equalAverage="0" bottom="0" percent="0" rank="0" text="" dxfId="1">
      <formula>K1051="Weaker"</formula>
    </cfRule>
  </conditionalFormatting>
  <conditionalFormatting sqref="K1069:K1078">
    <cfRule type="expression" priority="120" aboveAverage="0" equalAverage="0" bottom="0" percent="0" rank="0" text="" dxfId="0">
      <formula>K1069="Better"</formula>
    </cfRule>
    <cfRule type="expression" priority="121" aboveAverage="0" equalAverage="0" bottom="0" percent="0" rank="0" text="" dxfId="1">
      <formula>K1069="Weaker"</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B6CB0"/>
    <pageSetUpPr fitToPage="false"/>
  </sheetPr>
  <dimension ref="A1:AE9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9" min="2" style="0" width="12"/>
    <col collapsed="false" customWidth="true" hidden="false" outlineLevel="0" max="10" min="10" style="0" width="21"/>
    <col collapsed="false" customWidth="true" hidden="false" outlineLevel="0" max="31" min="11" style="0" width="12"/>
  </cols>
  <sheetData>
    <row r="1" customFormat="false" ht="24" hidden="false" customHeight="true" outlineLevel="0" collapsed="false">
      <c r="A1" s="1" t="s">
        <v>390</v>
      </c>
      <c r="B1" s="1"/>
      <c r="C1" s="1"/>
      <c r="D1" s="1"/>
      <c r="E1" s="1"/>
      <c r="F1" s="1"/>
      <c r="G1" s="1"/>
      <c r="H1" s="1"/>
      <c r="I1" s="1"/>
      <c r="J1" s="1"/>
      <c r="K1" s="1"/>
      <c r="L1" s="1"/>
      <c r="M1" s="1"/>
    </row>
    <row r="2" customFormat="false" ht="30" hidden="false" customHeight="true" outlineLevel="0" collapsed="false">
      <c r="A2" s="11" t="s">
        <v>391</v>
      </c>
      <c r="B2" s="11"/>
      <c r="C2" s="11"/>
      <c r="D2" s="11"/>
      <c r="E2" s="11"/>
      <c r="F2" s="11"/>
      <c r="G2" s="11"/>
      <c r="H2" s="11"/>
      <c r="I2" s="11"/>
      <c r="J2" s="11"/>
      <c r="K2" s="11"/>
      <c r="L2" s="11"/>
      <c r="M2" s="11"/>
    </row>
    <row r="4" customFormat="false" ht="19.5" hidden="false" customHeight="true" outlineLevel="0" collapsed="false">
      <c r="A4" s="3" t="s">
        <v>392</v>
      </c>
      <c r="B4" s="3"/>
      <c r="C4" s="3"/>
      <c r="D4" s="3"/>
      <c r="E4" s="3"/>
      <c r="F4" s="3"/>
      <c r="G4" s="3"/>
      <c r="H4" s="3"/>
      <c r="I4" s="3"/>
      <c r="J4" s="3"/>
      <c r="K4" s="3"/>
      <c r="L4" s="3"/>
      <c r="M4" s="3"/>
    </row>
    <row r="5" customFormat="false" ht="30" hidden="false" customHeight="true" outlineLevel="0" collapsed="false">
      <c r="A5" s="7" t="s">
        <v>393</v>
      </c>
      <c r="B5" s="7" t="s">
        <v>394</v>
      </c>
      <c r="C5" s="7" t="s">
        <v>268</v>
      </c>
      <c r="D5" s="7" t="s">
        <v>267</v>
      </c>
      <c r="E5" s="7" t="s">
        <v>395</v>
      </c>
      <c r="F5" s="7" t="s">
        <v>396</v>
      </c>
      <c r="G5" s="7" t="s">
        <v>269</v>
      </c>
      <c r="H5" s="7" t="s">
        <v>397</v>
      </c>
      <c r="I5" s="7" t="s">
        <v>398</v>
      </c>
      <c r="J5" s="7" t="s">
        <v>270</v>
      </c>
      <c r="K5" s="7" t="s">
        <v>399</v>
      </c>
      <c r="L5" s="7" t="s">
        <v>400</v>
      </c>
      <c r="M5" s="7" t="s">
        <v>401</v>
      </c>
    </row>
    <row r="6" customFormat="false" ht="15" hidden="false" customHeight="false" outlineLevel="0" collapsed="false">
      <c r="A6" s="16" t="s">
        <v>402</v>
      </c>
      <c r="B6" s="68" t="n">
        <f aca="false">COUNT(Panel!$C$2:$C$71)</f>
        <v>70</v>
      </c>
      <c r="C6" s="69" t="n">
        <f aca="false">AVERAGE(Panel!$C$2:$C$71)</f>
        <v>3331.39285714286</v>
      </c>
      <c r="D6" s="69" t="n">
        <f aca="false">MEDIAN(Panel!$C$2:$C$71)</f>
        <v>1483.42</v>
      </c>
      <c r="E6" s="69" t="n">
        <f aca="false">STDEV(Panel!$C$2:$C$71)</f>
        <v>4086.33641792018</v>
      </c>
      <c r="F6" s="70" t="n">
        <f aca="false">IF(ABS(C6)&gt;0,E6/ABS(C6),"N/M")</f>
        <v>1.22661499053126</v>
      </c>
      <c r="G6" s="69" t="n">
        <f aca="false">MIN(Panel!$C$2:$C$71)</f>
        <v>108.23</v>
      </c>
      <c r="H6" s="69" t="n">
        <f aca="false">QUARTILE(Panel!$C$2:$C$71,1)</f>
        <v>343.715</v>
      </c>
      <c r="I6" s="69" t="n">
        <f aca="false">QUARTILE(Panel!$C$2:$C$71,3)</f>
        <v>5243.9275</v>
      </c>
      <c r="J6" s="69" t="n">
        <f aca="false">MAX(Panel!$C$2:$C$71)</f>
        <v>19062.06</v>
      </c>
      <c r="K6" s="70" t="n">
        <f aca="false">SKEW(Panel!$C$2:$C$71)</f>
        <v>1.83133905648196</v>
      </c>
      <c r="L6" s="70" t="n">
        <f aca="false">KURT(Panel!$C$2:$C$71)</f>
        <v>4.05931856482983</v>
      </c>
      <c r="M6" s="69" t="n">
        <f aca="false">MEDIAN(Panel!$C$2:$C$64)</f>
        <v>2802.39</v>
      </c>
    </row>
    <row r="7" customFormat="false" ht="15" hidden="false" customHeight="false" outlineLevel="0" collapsed="false">
      <c r="A7" s="16" t="s">
        <v>403</v>
      </c>
      <c r="B7" s="68" t="n">
        <f aca="false">COUNT(Panel!$D$2:$D$71)</f>
        <v>70</v>
      </c>
      <c r="C7" s="69" t="n">
        <f aca="false">AVERAGE(Panel!$D$2:$D$71)</f>
        <v>2896.46414285714</v>
      </c>
      <c r="D7" s="69" t="n">
        <f aca="false">MEDIAN(Panel!$D$2:$D$71)</f>
        <v>1685.125</v>
      </c>
      <c r="E7" s="69" t="n">
        <f aca="false">STDEV(Panel!$D$2:$D$71)</f>
        <v>4078.11118477322</v>
      </c>
      <c r="F7" s="70" t="n">
        <f aca="false">IF(ABS(C7)&gt;0,E7/ABS(C7),"N/M")</f>
        <v>1.40796190929209</v>
      </c>
      <c r="G7" s="69" t="n">
        <f aca="false">MIN(Panel!$D$2:$D$71)</f>
        <v>79.35</v>
      </c>
      <c r="H7" s="69" t="n">
        <f aca="false">QUARTILE(Panel!$D$2:$D$71,1)</f>
        <v>168.73</v>
      </c>
      <c r="I7" s="69" t="n">
        <f aca="false">QUARTILE(Panel!$D$2:$D$71,3)</f>
        <v>3062.265</v>
      </c>
      <c r="J7" s="69" t="n">
        <f aca="false">MAX(Panel!$D$2:$D$71)</f>
        <v>15175.78</v>
      </c>
      <c r="K7" s="70" t="n">
        <f aca="false">SKEW(Panel!$D$2:$D$71)</f>
        <v>1.86754856367897</v>
      </c>
      <c r="L7" s="70" t="n">
        <f aca="false">KURT(Panel!$D$2:$D$71)</f>
        <v>2.48466767817226</v>
      </c>
      <c r="M7" s="69" t="n">
        <f aca="false">MEDIAN(Panel!$D$2:$D$64)</f>
        <v>1736</v>
      </c>
    </row>
    <row r="8" customFormat="false" ht="15" hidden="false" customHeight="false" outlineLevel="0" collapsed="false">
      <c r="A8" s="16" t="s">
        <v>404</v>
      </c>
      <c r="B8" s="68" t="n">
        <f aca="false">COUNT(Panel!$E$2:$E$71)</f>
        <v>70</v>
      </c>
      <c r="C8" s="71" t="n">
        <f aca="false">AVERAGE(Panel!$E$2:$E$71)</f>
        <v>0.342974140814244</v>
      </c>
      <c r="D8" s="71" t="n">
        <f aca="false">MEDIAN(Panel!$E$2:$E$71)</f>
        <v>0.338636370858146</v>
      </c>
      <c r="E8" s="71" t="n">
        <f aca="false">STDEV(Panel!$E$2:$E$71)</f>
        <v>0.162875509738</v>
      </c>
      <c r="F8" s="70" t="n">
        <f aca="false">IF(ABS(C8)&gt;0,E8/ABS(C8),"N/M")</f>
        <v>0.474891516168893</v>
      </c>
      <c r="G8" s="71" t="n">
        <f aca="false">MIN(Panel!$E$2:$E$71)</f>
        <v>0.03739243012718</v>
      </c>
      <c r="H8" s="71" t="n">
        <f aca="false">QUARTILE(Panel!$E$2:$E$71,1)</f>
        <v>0.24938430008717</v>
      </c>
      <c r="I8" s="71" t="n">
        <f aca="false">QUARTILE(Panel!$E$2:$E$71,3)</f>
        <v>0.452986475436424</v>
      </c>
      <c r="J8" s="71" t="n">
        <f aca="false">MAX(Panel!$E$2:$E$71)</f>
        <v>0.763369944893507</v>
      </c>
      <c r="K8" s="70" t="n">
        <f aca="false">SKEW(Panel!$E$2:$E$71)</f>
        <v>0.224370374342857</v>
      </c>
      <c r="L8" s="70" t="n">
        <f aca="false">KURT(Panel!$E$2:$E$71)</f>
        <v>0.00704438877188984</v>
      </c>
      <c r="M8" s="71" t="n">
        <f aca="false">MEDIAN(Panel!$E$2:$E$64)</f>
        <v>0.324990011516134</v>
      </c>
    </row>
    <row r="9" customFormat="false" ht="15" hidden="false" customHeight="false" outlineLevel="0" collapsed="false">
      <c r="A9" s="16" t="s">
        <v>95</v>
      </c>
      <c r="B9" s="68" t="n">
        <f aca="false">COUNT(Panel!$F$2:$F$71)</f>
        <v>70</v>
      </c>
      <c r="C9" s="72" t="n">
        <f aca="false">AVERAGE(Panel!$F$2:$F$71)</f>
        <v>3.00858205131232</v>
      </c>
      <c r="D9" s="72" t="n">
        <f aca="false">MEDIAN(Panel!$F$2:$F$71)</f>
        <v>2.6540416507686</v>
      </c>
      <c r="E9" s="72" t="n">
        <f aca="false">STDEV(Panel!$F$2:$F$71)</f>
        <v>2.02927959648795</v>
      </c>
      <c r="F9" s="70" t="n">
        <f aca="false">IF(ABS(C9)&gt;0,E9/ABS(C9),"N/M")</f>
        <v>0.6744970095141</v>
      </c>
      <c r="G9" s="72" t="n">
        <f aca="false">MIN(Panel!$F$2:$F$71)</f>
        <v>0.430409645350067</v>
      </c>
      <c r="H9" s="72" t="n">
        <f aca="false">QUARTILE(Panel!$F$2:$F$71,1)</f>
        <v>1.37326574961997</v>
      </c>
      <c r="I9" s="72" t="n">
        <f aca="false">QUARTILE(Panel!$F$2:$F$71,3)</f>
        <v>4.4971895811636</v>
      </c>
      <c r="J9" s="72" t="n">
        <f aca="false">MAX(Panel!$F$2:$F$71)</f>
        <v>10.61872909699</v>
      </c>
      <c r="K9" s="70" t="n">
        <f aca="false">SKEW(Panel!$F$2:$F$71)</f>
        <v>1.23603505320347</v>
      </c>
      <c r="L9" s="70" t="n">
        <f aca="false">KURT(Panel!$F$2:$F$71)</f>
        <v>1.97618159502899</v>
      </c>
      <c r="M9" s="72" t="n">
        <f aca="false">MEDIAN(Panel!$F$2:$F$64)</f>
        <v>2.85593743568636</v>
      </c>
    </row>
    <row r="10" customFormat="false" ht="15" hidden="false" customHeight="false" outlineLevel="0" collapsed="false">
      <c r="A10" s="16" t="s">
        <v>405</v>
      </c>
      <c r="B10" s="68" t="n">
        <f aca="false">COUNT(Panel!$G$2:$G$71)</f>
        <v>70</v>
      </c>
      <c r="C10" s="72" t="n">
        <f aca="false">AVERAGE(Panel!$G$2:$G$71)</f>
        <v>2.14908736460807</v>
      </c>
      <c r="D10" s="72" t="n">
        <f aca="false">MEDIAN(Panel!$G$2:$G$71)</f>
        <v>1.69646455093947</v>
      </c>
      <c r="E10" s="72" t="n">
        <f aca="false">STDEV(Panel!$G$2:$G$71)</f>
        <v>1.66022656479804</v>
      </c>
      <c r="F10" s="70" t="n">
        <f aca="false">IF(ABS(C10)&gt;0,E10/ABS(C10),"N/M")</f>
        <v>0.772526325425032</v>
      </c>
      <c r="G10" s="72" t="n">
        <f aca="false">MIN(Panel!$G$2:$G$71)</f>
        <v>0.244509271663259</v>
      </c>
      <c r="H10" s="72" t="n">
        <f aca="false">QUARTILE(Panel!$G$2:$G$71,1)</f>
        <v>0.864243229092405</v>
      </c>
      <c r="I10" s="72" t="n">
        <f aca="false">QUARTILE(Panel!$G$2:$G$71,3)</f>
        <v>3.09042574461804</v>
      </c>
      <c r="J10" s="72" t="n">
        <f aca="false">MAX(Panel!$G$2:$G$71)</f>
        <v>7.94230769230769</v>
      </c>
      <c r="K10" s="70" t="n">
        <f aca="false">SKEW(Panel!$G$2:$G$71)</f>
        <v>1.28738112989836</v>
      </c>
      <c r="L10" s="70" t="n">
        <f aca="false">KURT(Panel!$G$2:$G$71)</f>
        <v>1.55361814627478</v>
      </c>
      <c r="M10" s="72" t="n">
        <f aca="false">MEDIAN(Panel!$G$2:$G$64)</f>
        <v>1.87848383500557</v>
      </c>
    </row>
    <row r="11" customFormat="false" ht="15" hidden="false" customHeight="false" outlineLevel="0" collapsed="false">
      <c r="A11" s="16" t="s">
        <v>406</v>
      </c>
      <c r="B11" s="68" t="n">
        <f aca="false">COUNT(Panel!$H$2:$H$71)</f>
        <v>67</v>
      </c>
      <c r="C11" s="72" t="n">
        <f aca="false">AVERAGE(Panel!$H$2:$H$71)</f>
        <v>1.15663041019615</v>
      </c>
      <c r="D11" s="72" t="n">
        <f aca="false">MEDIAN(Panel!$H$2:$H$71)</f>
        <v>0.666611212776576</v>
      </c>
      <c r="E11" s="72" t="n">
        <f aca="false">STDEV(Panel!$H$2:$H$71)</f>
        <v>2.39973994556401</v>
      </c>
      <c r="F11" s="70" t="n">
        <f aca="false">IF(ABS(C11)&gt;0,E11/ABS(C11),"N/M")</f>
        <v>2.07476815792613</v>
      </c>
      <c r="G11" s="72" t="n">
        <f aca="false">MIN(Panel!$H$2:$H$71)</f>
        <v>0</v>
      </c>
      <c r="H11" s="72" t="n">
        <f aca="false">QUARTILE(Panel!$H$2:$H$71,1)</f>
        <v>0.161937466782348</v>
      </c>
      <c r="I11" s="72" t="n">
        <f aca="false">QUARTILE(Panel!$H$2:$H$71,3)</f>
        <v>1.16687833565422</v>
      </c>
      <c r="J11" s="72" t="n">
        <f aca="false">MAX(Panel!$H$2:$H$71)</f>
        <v>17.6619080779944</v>
      </c>
      <c r="K11" s="70" t="n">
        <f aca="false">SKEW(Panel!$H$2:$H$71)</f>
        <v>5.62862523010215</v>
      </c>
      <c r="L11" s="70" t="n">
        <f aca="false">KURT(Panel!$H$2:$H$71)</f>
        <v>35.9609852065622</v>
      </c>
      <c r="M11" s="72" t="n">
        <f aca="false">MEDIAN(Panel!$H$2:$H$64)</f>
        <v>0.642661368842264</v>
      </c>
    </row>
    <row r="12" customFormat="false" ht="15" hidden="false" customHeight="false" outlineLevel="0" collapsed="false">
      <c r="A12" s="16" t="s">
        <v>113</v>
      </c>
      <c r="B12" s="68" t="n">
        <f aca="false">COUNT(Panel!$I$2:$I$71)</f>
        <v>70</v>
      </c>
      <c r="C12" s="73" t="n">
        <f aca="false">AVERAGE(Panel!$I$2:$I$71)</f>
        <v>6.36129617679986</v>
      </c>
      <c r="D12" s="73" t="n">
        <f aca="false">MEDIAN(Panel!$I$2:$I$71)</f>
        <v>2.33124499110097</v>
      </c>
      <c r="E12" s="73" t="n">
        <f aca="false">STDEV(Panel!$I$2:$I$71)</f>
        <v>8.57067008785544</v>
      </c>
      <c r="F12" s="70" t="n">
        <f aca="false">IF(ABS(C12)&gt;0,E12/ABS(C12),"N/M")</f>
        <v>1.34731505178353</v>
      </c>
      <c r="G12" s="73" t="n">
        <f aca="false">MIN(Panel!$I$2:$I$71)</f>
        <v>-5.29591836734693</v>
      </c>
      <c r="H12" s="73" t="n">
        <f aca="false">QUARTILE(Panel!$I$2:$I$71,1)</f>
        <v>0.677577281971231</v>
      </c>
      <c r="I12" s="73" t="n">
        <f aca="false">QUARTILE(Panel!$I$2:$I$71,3)</f>
        <v>9.83822653705878</v>
      </c>
      <c r="J12" s="73" t="n">
        <f aca="false">MAX(Panel!$I$2:$I$71)</f>
        <v>30.9531568228106</v>
      </c>
      <c r="K12" s="70" t="n">
        <f aca="false">SKEW(Panel!$I$2:$I$71)</f>
        <v>1.1726496646779</v>
      </c>
      <c r="L12" s="70" t="n">
        <f aca="false">KURT(Panel!$I$2:$I$71)</f>
        <v>0.246815812959339</v>
      </c>
      <c r="M12" s="73" t="n">
        <f aca="false">MEDIAN(Panel!$I$2:$I$64)</f>
        <v>3.11138014527845</v>
      </c>
    </row>
    <row r="13" customFormat="false" ht="15" hidden="false" customHeight="false" outlineLevel="0" collapsed="false">
      <c r="A13" s="16" t="s">
        <v>407</v>
      </c>
      <c r="B13" s="68" t="n">
        <f aca="false">COUNT(Panel!$J$2:$J$71)</f>
        <v>70</v>
      </c>
      <c r="C13" s="74" t="n">
        <f aca="false">AVERAGE(Panel!$J$2:$J$71)</f>
        <v>66.8315888847962</v>
      </c>
      <c r="D13" s="74" t="n">
        <f aca="false">MEDIAN(Panel!$J$2:$J$71)</f>
        <v>61.710309936215</v>
      </c>
      <c r="E13" s="74" t="n">
        <f aca="false">STDEV(Panel!$J$2:$J$71)</f>
        <v>32.4653695714575</v>
      </c>
      <c r="F13" s="70" t="n">
        <f aca="false">IF(ABS(C13)&gt;0,E13/ABS(C13),"N/M")</f>
        <v>0.485778807794336</v>
      </c>
      <c r="G13" s="74" t="n">
        <f aca="false">MIN(Panel!$J$2:$J$71)</f>
        <v>8.66720765008043</v>
      </c>
      <c r="H13" s="74" t="n">
        <f aca="false">QUARTILE(Panel!$J$2:$J$71,1)</f>
        <v>46.4434263977403</v>
      </c>
      <c r="I13" s="74" t="n">
        <f aca="false">QUARTILE(Panel!$J$2:$J$71,3)</f>
        <v>90.4850372659388</v>
      </c>
      <c r="J13" s="74" t="n">
        <f aca="false">MAX(Panel!$J$2:$J$71)</f>
        <v>154.23157873836</v>
      </c>
      <c r="K13" s="70" t="n">
        <f aca="false">SKEW(Panel!$J$2:$J$71)</f>
        <v>0.411819237123991</v>
      </c>
      <c r="L13" s="70" t="n">
        <f aca="false">KURT(Panel!$J$2:$J$71)</f>
        <v>0.0659674101486245</v>
      </c>
      <c r="M13" s="74" t="n">
        <f aca="false">MEDIAN(Panel!$J$2:$J$64)</f>
        <v>58.9041740504437</v>
      </c>
    </row>
    <row r="14" customFormat="false" ht="15" hidden="false" customHeight="false" outlineLevel="0" collapsed="false">
      <c r="A14" s="16" t="s">
        <v>408</v>
      </c>
      <c r="B14" s="68" t="n">
        <f aca="false">COUNT(Panel!$K$2:$K$71)</f>
        <v>70</v>
      </c>
      <c r="C14" s="73" t="n">
        <f aca="false">AVERAGE(Panel!$K$2:$K$71)</f>
        <v>1.70416197723422</v>
      </c>
      <c r="D14" s="73" t="n">
        <f aca="false">MEDIAN(Panel!$K$2:$K$71)</f>
        <v>1.61553422265139</v>
      </c>
      <c r="E14" s="73" t="n">
        <f aca="false">STDEV(Panel!$K$2:$K$71)</f>
        <v>0.930787383215998</v>
      </c>
      <c r="F14" s="70" t="n">
        <f aca="false">IF(ABS(C14)&gt;0,E14/ABS(C14),"N/M")</f>
        <v>0.546184808516047</v>
      </c>
      <c r="G14" s="73" t="n">
        <f aca="false">MIN(Panel!$K$2:$K$71)</f>
        <v>0.222837542635956</v>
      </c>
      <c r="H14" s="73" t="n">
        <f aca="false">QUARTILE(Panel!$K$2:$K$71,1)</f>
        <v>1.18969814476338</v>
      </c>
      <c r="I14" s="73" t="n">
        <f aca="false">QUARTILE(Panel!$K$2:$K$71,3)</f>
        <v>2.15991082973209</v>
      </c>
      <c r="J14" s="73" t="n">
        <f aca="false">MAX(Panel!$K$2:$K$71)</f>
        <v>5.07307216494845</v>
      </c>
      <c r="K14" s="70" t="n">
        <f aca="false">SKEW(Panel!$K$2:$K$71)</f>
        <v>0.894629118667555</v>
      </c>
      <c r="L14" s="70" t="n">
        <f aca="false">KURT(Panel!$K$2:$K$71)</f>
        <v>1.93308489017413</v>
      </c>
      <c r="M14" s="73" t="n">
        <f aca="false">MEDIAN(Panel!$K$2:$K$64)</f>
        <v>1.78138734951271</v>
      </c>
    </row>
    <row r="15" customFormat="false" ht="15" hidden="false" customHeight="false" outlineLevel="0" collapsed="false">
      <c r="A15" s="16" t="s">
        <v>298</v>
      </c>
      <c r="B15" s="68" t="n">
        <f aca="false">COUNT(Panel!$L$2:$L$71)</f>
        <v>70</v>
      </c>
      <c r="C15" s="71" t="n">
        <f aca="false">AVERAGE(Panel!$L$2:$L$71)</f>
        <v>0.0813915727529525</v>
      </c>
      <c r="D15" s="71" t="n">
        <f aca="false">MEDIAN(Panel!$L$2:$L$71)</f>
        <v>0.0635277002805462</v>
      </c>
      <c r="E15" s="71" t="n">
        <f aca="false">STDEV(Panel!$L$2:$L$71)</f>
        <v>0.0747280088249488</v>
      </c>
      <c r="F15" s="70" t="n">
        <f aca="false">IF(ABS(C15)&gt;0,E15/ABS(C15),"N/M")</f>
        <v>0.918129559331288</v>
      </c>
      <c r="G15" s="71" t="n">
        <f aca="false">MIN(Panel!$L$2:$L$71)</f>
        <v>-0.112248115343824</v>
      </c>
      <c r="H15" s="71" t="n">
        <f aca="false">QUARTILE(Panel!$L$2:$L$71,1)</f>
        <v>0.0338827813127167</v>
      </c>
      <c r="I15" s="71" t="n">
        <f aca="false">QUARTILE(Panel!$L$2:$L$71,3)</f>
        <v>0.110730742138186</v>
      </c>
      <c r="J15" s="71" t="n">
        <f aca="false">MAX(Panel!$L$2:$L$71)</f>
        <v>0.259441033831679</v>
      </c>
      <c r="K15" s="70" t="n">
        <f aca="false">SKEW(Panel!$L$2:$L$71)</f>
        <v>0.477222328830602</v>
      </c>
      <c r="L15" s="70" t="n">
        <f aca="false">KURT(Panel!$L$2:$L$71)</f>
        <v>0.204842745113105</v>
      </c>
      <c r="M15" s="71" t="n">
        <f aca="false">MEDIAN(Panel!$L$2:$L$64)</f>
        <v>0.0631662804412222</v>
      </c>
    </row>
    <row r="16" customFormat="false" ht="15" hidden="false" customHeight="false" outlineLevel="0" collapsed="false">
      <c r="A16" s="16" t="s">
        <v>299</v>
      </c>
      <c r="B16" s="68" t="n">
        <f aca="false">COUNT(Panel!$M$2:$M$71)</f>
        <v>70</v>
      </c>
      <c r="C16" s="71" t="n">
        <f aca="false">AVERAGE(Panel!$M$2:$M$71)</f>
        <v>0.0339389806635656</v>
      </c>
      <c r="D16" s="71" t="n">
        <f aca="false">MEDIAN(Panel!$M$2:$M$71)</f>
        <v>0.0325565583767068</v>
      </c>
      <c r="E16" s="71" t="n">
        <f aca="false">STDEV(Panel!$M$2:$M$71)</f>
        <v>0.0766249513737975</v>
      </c>
      <c r="F16" s="70" t="n">
        <f aca="false">IF(ABS(C16)&gt;0,E16/ABS(C16),"N/M")</f>
        <v>2.25772695218441</v>
      </c>
      <c r="G16" s="71" t="n">
        <f aca="false">MIN(Panel!$M$2:$M$71)</f>
        <v>-0.316249605870382</v>
      </c>
      <c r="H16" s="71" t="n">
        <f aca="false">QUARTILE(Panel!$M$2:$M$71,1)</f>
        <v>0.0134024574154782</v>
      </c>
      <c r="I16" s="71" t="n">
        <f aca="false">QUARTILE(Panel!$M$2:$M$71,3)</f>
        <v>0.0751273480971704</v>
      </c>
      <c r="J16" s="71" t="n">
        <f aca="false">MAX(Panel!$M$2:$M$71)</f>
        <v>0.176073883621964</v>
      </c>
      <c r="K16" s="70" t="n">
        <f aca="false">SKEW(Panel!$M$2:$M$71)</f>
        <v>-1.65667065237524</v>
      </c>
      <c r="L16" s="70" t="n">
        <f aca="false">KURT(Panel!$M$2:$M$71)</f>
        <v>6.19196938213782</v>
      </c>
      <c r="M16" s="71" t="n">
        <f aca="false">MEDIAN(Panel!$M$2:$M$64)</f>
        <v>0.0400865476374196</v>
      </c>
    </row>
    <row r="17" customFormat="false" ht="15" hidden="false" customHeight="false" outlineLevel="0" collapsed="false">
      <c r="A17" s="16" t="s">
        <v>300</v>
      </c>
      <c r="B17" s="68" t="n">
        <f aca="false">COUNT(Panel!$N$2:$N$71)</f>
        <v>70</v>
      </c>
      <c r="C17" s="71" t="n">
        <f aca="false">AVERAGE(Panel!$N$2:$N$71)</f>
        <v>-0.0431197847999492</v>
      </c>
      <c r="D17" s="71" t="n">
        <f aca="false">MEDIAN(Panel!$N$2:$N$71)</f>
        <v>0.0245288466145017</v>
      </c>
      <c r="E17" s="71" t="n">
        <f aca="false">STDEV(Panel!$N$2:$N$71)</f>
        <v>0.39058514750121</v>
      </c>
      <c r="F17" s="70" t="n">
        <f aca="false">IF(ABS(C17)&gt;0,E17/ABS(C17),"N/M")</f>
        <v>9.05814231943176</v>
      </c>
      <c r="G17" s="71" t="n">
        <f aca="false">MIN(Panel!$N$2:$N$71)</f>
        <v>-2.3024442547108</v>
      </c>
      <c r="H17" s="71" t="n">
        <f aca="false">QUARTILE(Panel!$N$2:$N$71,1)</f>
        <v>0.00397564374388308</v>
      </c>
      <c r="I17" s="71" t="n">
        <f aca="false">QUARTILE(Panel!$N$2:$N$71,3)</f>
        <v>0.0545171364779979</v>
      </c>
      <c r="J17" s="71" t="n">
        <f aca="false">MAX(Panel!$N$2:$N$71)</f>
        <v>0.145675519823977</v>
      </c>
      <c r="K17" s="70" t="n">
        <f aca="false">SKEW(Panel!$N$2:$N$71)</f>
        <v>-5.22187521523557</v>
      </c>
      <c r="L17" s="70" t="n">
        <f aca="false">KURT(Panel!$N$2:$N$71)</f>
        <v>27.5437510407032</v>
      </c>
      <c r="M17" s="71" t="n">
        <f aca="false">MEDIAN(Panel!$N$2:$N$64)</f>
        <v>0.0309144814484327</v>
      </c>
    </row>
    <row r="18" customFormat="false" ht="15" hidden="false" customHeight="false" outlineLevel="0" collapsed="false">
      <c r="A18" s="16" t="s">
        <v>409</v>
      </c>
      <c r="B18" s="68" t="n">
        <f aca="false">COUNT(Panel!$O$2:$O$71)</f>
        <v>70</v>
      </c>
      <c r="C18" s="71" t="n">
        <f aca="false">AVERAGE(Panel!$O$2:$O$71)</f>
        <v>0.0202635088298387</v>
      </c>
      <c r="D18" s="71" t="n">
        <f aca="false">MEDIAN(Panel!$O$2:$O$71)</f>
        <v>0.0362364505708849</v>
      </c>
      <c r="E18" s="71" t="n">
        <f aca="false">STDEV(Panel!$O$2:$O$71)</f>
        <v>0.171785710584248</v>
      </c>
      <c r="F18" s="70" t="n">
        <f aca="false">IF(ABS(C18)&gt;0,E18/ABS(C18),"N/M")</f>
        <v>8.47758954418042</v>
      </c>
      <c r="G18" s="71" t="n">
        <f aca="false">MIN(Panel!$O$2:$O$71)</f>
        <v>-1.05161347271787</v>
      </c>
      <c r="H18" s="71" t="n">
        <f aca="false">QUARTILE(Panel!$O$2:$O$71,1)</f>
        <v>0.00567851091589045</v>
      </c>
      <c r="I18" s="71" t="n">
        <f aca="false">QUARTILE(Panel!$O$2:$O$71,3)</f>
        <v>0.0871517202725529</v>
      </c>
      <c r="J18" s="71" t="n">
        <f aca="false">MAX(Panel!$O$2:$O$71)</f>
        <v>0.277360824742268</v>
      </c>
      <c r="K18" s="70" t="n">
        <f aca="false">SKEW(Panel!$O$2:$O$71)</f>
        <v>-4.51503159403737</v>
      </c>
      <c r="L18" s="70" t="n">
        <f aca="false">KURT(Panel!$O$2:$O$71)</f>
        <v>25.1294779707819</v>
      </c>
      <c r="M18" s="71" t="n">
        <f aca="false">MEDIAN(Panel!$O$2:$O$64)</f>
        <v>0.0407124640927605</v>
      </c>
    </row>
    <row r="19" customFormat="false" ht="15" hidden="false" customHeight="false" outlineLevel="0" collapsed="false">
      <c r="A19" s="16" t="s">
        <v>410</v>
      </c>
      <c r="B19" s="68" t="n">
        <f aca="false">COUNT(Panel!$P$2:$P$71)</f>
        <v>70</v>
      </c>
      <c r="C19" s="71" t="n">
        <f aca="false">AVERAGE(Panel!$P$2:$P$71)</f>
        <v>0.062648883680393</v>
      </c>
      <c r="D19" s="71" t="n">
        <f aca="false">MEDIAN(Panel!$P$2:$P$71)</f>
        <v>0.0594188598125419</v>
      </c>
      <c r="E19" s="71" t="n">
        <f aca="false">STDEV(Panel!$P$2:$P$71)</f>
        <v>0.0898470769341632</v>
      </c>
      <c r="F19" s="70" t="n">
        <f aca="false">IF(ABS(C19)&gt;0,E19/ABS(C19),"N/M")</f>
        <v>1.43413691762687</v>
      </c>
      <c r="G19" s="71" t="n">
        <f aca="false">MIN(Panel!$P$2:$P$71)</f>
        <v>-0.182297154899894</v>
      </c>
      <c r="H19" s="71" t="n">
        <f aca="false">QUARTILE(Panel!$P$2:$P$71,1)</f>
        <v>0.0295808225276018</v>
      </c>
      <c r="I19" s="71" t="n">
        <f aca="false">QUARTILE(Panel!$P$2:$P$71,3)</f>
        <v>0.107398963818303</v>
      </c>
      <c r="J19" s="71" t="n">
        <f aca="false">MAX(Panel!$P$2:$P$71)</f>
        <v>0.444823138463344</v>
      </c>
      <c r="K19" s="70" t="n">
        <f aca="false">SKEW(Panel!$P$2:$P$71)</f>
        <v>0.500574482985766</v>
      </c>
      <c r="L19" s="70" t="n">
        <f aca="false">KURT(Panel!$P$2:$P$71)</f>
        <v>4.66745961954496</v>
      </c>
      <c r="M19" s="71" t="n">
        <f aca="false">MEDIAN(Panel!$P$2:$P$64)</f>
        <v>0.0724849883559436</v>
      </c>
    </row>
    <row r="20" customFormat="false" ht="15" hidden="false" customHeight="false" outlineLevel="0" collapsed="false">
      <c r="A20" s="16" t="s">
        <v>411</v>
      </c>
      <c r="B20" s="68" t="n">
        <f aca="false">COUNT(Panel!$Q$2:$Q$71)</f>
        <v>67</v>
      </c>
      <c r="C20" s="71" t="n">
        <f aca="false">AVERAGE(Panel!$Q$2:$Q$71)</f>
        <v>-0.158103052093907</v>
      </c>
      <c r="D20" s="71" t="n">
        <f aca="false">MEDIAN(Panel!$Q$2:$Q$71)</f>
        <v>0.0959485719363176</v>
      </c>
      <c r="E20" s="71" t="n">
        <f aca="false">STDEV(Panel!$Q$2:$Q$71)</f>
        <v>1.92344503775604</v>
      </c>
      <c r="F20" s="70" t="n">
        <f aca="false">IF(ABS(C20)&gt;0,E20/ABS(C20),"N/M")</f>
        <v>12.1657679107522</v>
      </c>
      <c r="G20" s="71" t="n">
        <f aca="false">MIN(Panel!$Q$2:$Q$71)</f>
        <v>-15.5818385650224</v>
      </c>
      <c r="H20" s="71" t="n">
        <f aca="false">QUARTILE(Panel!$Q$2:$Q$71,1)</f>
        <v>0.0295395156108512</v>
      </c>
      <c r="I20" s="71" t="n">
        <f aca="false">QUARTILE(Panel!$Q$2:$Q$71,3)</f>
        <v>0.173526798408593</v>
      </c>
      <c r="J20" s="71" t="n">
        <f aca="false">MAX(Panel!$Q$2:$Q$71)</f>
        <v>0.451833937928255</v>
      </c>
      <c r="K20" s="70" t="n">
        <f aca="false">SKEW(Panel!$Q$2:$Q$71)</f>
        <v>-8.0497001387126</v>
      </c>
      <c r="L20" s="70" t="n">
        <f aca="false">KURT(Panel!$Q$2:$Q$71)</f>
        <v>65.4699676893447</v>
      </c>
      <c r="M20" s="71" t="n">
        <f aca="false">MEDIAN(Panel!$Q$2:$Q$64)</f>
        <v>0.0981000506715138</v>
      </c>
    </row>
    <row r="21" customFormat="false" ht="15" hidden="false" customHeight="false" outlineLevel="0" collapsed="false">
      <c r="A21" s="16" t="s">
        <v>412</v>
      </c>
      <c r="B21" s="68" t="n">
        <f aca="false">COUNT(Panel!$R$2:$R$71)</f>
        <v>51</v>
      </c>
      <c r="C21" s="73" t="n">
        <f aca="false">AVERAGE(Panel!$R$2:$R$71)</f>
        <v>114.77776337598</v>
      </c>
      <c r="D21" s="73" t="n">
        <f aca="false">MEDIAN(Panel!$R$2:$R$71)</f>
        <v>30.117024883505</v>
      </c>
      <c r="E21" s="73" t="n">
        <f aca="false">STDEV(Panel!$R$2:$R$71)</f>
        <v>293.231045527706</v>
      </c>
      <c r="F21" s="70" t="n">
        <f aca="false">IF(ABS(C21)&gt;0,E21/ABS(C21),"N/M")</f>
        <v>2.55477225642709</v>
      </c>
      <c r="G21" s="73" t="n">
        <f aca="false">MIN(Panel!$R$2:$R$71)</f>
        <v>3.13351955307263</v>
      </c>
      <c r="H21" s="73" t="n">
        <f aca="false">QUARTILE(Panel!$R$2:$R$71,1)</f>
        <v>14.8295201482971</v>
      </c>
      <c r="I21" s="73" t="n">
        <f aca="false">QUARTILE(Panel!$R$2:$R$71,3)</f>
        <v>48.2686138357836</v>
      </c>
      <c r="J21" s="73" t="n">
        <f aca="false">MAX(Panel!$R$2:$R$71)</f>
        <v>1441.64890829694</v>
      </c>
      <c r="K21" s="70" t="n">
        <f aca="false">SKEW(Panel!$R$2:$R$71)</f>
        <v>3.88292528584027</v>
      </c>
      <c r="L21" s="70" t="n">
        <f aca="false">KURT(Panel!$R$2:$R$71)</f>
        <v>14.6226951690544</v>
      </c>
      <c r="M21" s="73" t="n">
        <f aca="false">MEDIAN(Panel!$R$2:$R$64)</f>
        <v>31.3908683149628</v>
      </c>
    </row>
    <row r="22" customFormat="false" ht="15" hidden="false" customHeight="false" outlineLevel="0" collapsed="false">
      <c r="A22" s="16" t="s">
        <v>413</v>
      </c>
      <c r="B22" s="68" t="n">
        <f aca="false">COUNT(Panel!$S$2:$S$71)</f>
        <v>61</v>
      </c>
      <c r="C22" s="73" t="n">
        <f aca="false">AVERAGE(Panel!$S$2:$S$71)</f>
        <v>4.49332257893767</v>
      </c>
      <c r="D22" s="73" t="n">
        <f aca="false">MEDIAN(Panel!$S$2:$S$71)</f>
        <v>2.99930673115679</v>
      </c>
      <c r="E22" s="73" t="n">
        <f aca="false">STDEV(Panel!$S$2:$S$71)</f>
        <v>5.6722439884222</v>
      </c>
      <c r="F22" s="70" t="n">
        <f aca="false">IF(ABS(C22)&gt;0,E22/ABS(C22),"N/M")</f>
        <v>1.26237186152864</v>
      </c>
      <c r="G22" s="73" t="n">
        <f aca="false">MIN(Panel!$S$2:$S$71)</f>
        <v>0.0629980150498271</v>
      </c>
      <c r="H22" s="73" t="n">
        <f aca="false">QUARTILE(Panel!$S$2:$S$71,1)</f>
        <v>1.0894945403311</v>
      </c>
      <c r="I22" s="73" t="n">
        <f aca="false">QUARTILE(Panel!$S$2:$S$71,3)</f>
        <v>5.40856124965744</v>
      </c>
      <c r="J22" s="73" t="n">
        <f aca="false">MAX(Panel!$S$2:$S$71)</f>
        <v>33.4310248955432</v>
      </c>
      <c r="K22" s="70" t="n">
        <f aca="false">SKEW(Panel!$S$2:$S$71)</f>
        <v>3.11054053186328</v>
      </c>
      <c r="L22" s="70" t="n">
        <f aca="false">KURT(Panel!$S$2:$S$71)</f>
        <v>12.0592661151379</v>
      </c>
      <c r="M22" s="73" t="n">
        <f aca="false">MEDIAN(Panel!$S$2:$S$64)</f>
        <v>2.99930673115679</v>
      </c>
    </row>
    <row r="23" customFormat="false" ht="15" hidden="false" customHeight="false" outlineLevel="0" collapsed="false">
      <c r="A23" s="16" t="s">
        <v>311</v>
      </c>
      <c r="B23" s="68" t="n">
        <f aca="false">COUNT(Panel!$T$2:$T$71)</f>
        <v>58</v>
      </c>
      <c r="C23" s="73" t="n">
        <f aca="false">AVERAGE(Panel!$T$2:$T$71)</f>
        <v>16.4444587851426</v>
      </c>
      <c r="D23" s="73" t="n">
        <f aca="false">MEDIAN(Panel!$T$2:$T$71)</f>
        <v>14.0944820327352</v>
      </c>
      <c r="E23" s="73" t="n">
        <f aca="false">STDEV(Panel!$T$2:$T$71)</f>
        <v>11.6368174118147</v>
      </c>
      <c r="F23" s="70" t="n">
        <f aca="false">IF(ABS(C23)&gt;0,E23/ABS(C23),"N/M")</f>
        <v>0.707643684955351</v>
      </c>
      <c r="G23" s="73" t="n">
        <f aca="false">MIN(Panel!$T$2:$T$71)</f>
        <v>3.55058823529414</v>
      </c>
      <c r="H23" s="73" t="n">
        <f aca="false">QUARTILE(Panel!$T$2:$T$71,1)</f>
        <v>10.2093071398814</v>
      </c>
      <c r="I23" s="73" t="n">
        <f aca="false">QUARTILE(Panel!$T$2:$T$71,3)</f>
        <v>18.1044498343902</v>
      </c>
      <c r="J23" s="73" t="n">
        <f aca="false">MAX(Panel!$T$2:$T$71)</f>
        <v>81.2095804216868</v>
      </c>
      <c r="K23" s="70" t="n">
        <f aca="false">SKEW(Panel!$T$2:$T$71)</f>
        <v>3.50729870795902</v>
      </c>
      <c r="L23" s="70" t="n">
        <f aca="false">KURT(Panel!$T$2:$T$71)</f>
        <v>16.7874331288127</v>
      </c>
      <c r="M23" s="73" t="n">
        <f aca="false">MEDIAN(Panel!$T$2:$T$64)</f>
        <v>14.028977829809</v>
      </c>
    </row>
    <row r="25" customFormat="false" ht="25.5" hidden="false" customHeight="true" outlineLevel="0" collapsed="false">
      <c r="A25" s="18" t="s">
        <v>414</v>
      </c>
      <c r="B25" s="18"/>
      <c r="C25" s="18"/>
      <c r="D25" s="18"/>
      <c r="E25" s="18"/>
      <c r="F25" s="18"/>
      <c r="G25" s="18"/>
      <c r="H25" s="18"/>
      <c r="I25" s="18"/>
      <c r="J25" s="18"/>
      <c r="K25" s="18"/>
      <c r="L25" s="18"/>
      <c r="M25" s="18"/>
    </row>
    <row r="27" customFormat="false" ht="19.5" hidden="false" customHeight="true" outlineLevel="0" collapsed="false">
      <c r="A27" s="3" t="s">
        <v>415</v>
      </c>
      <c r="B27" s="3"/>
      <c r="C27" s="3"/>
      <c r="D27" s="3"/>
      <c r="E27" s="3"/>
      <c r="F27" s="3"/>
      <c r="G27" s="3"/>
      <c r="H27" s="3"/>
      <c r="I27" s="3"/>
      <c r="J27" s="3"/>
      <c r="K27" s="3"/>
      <c r="L27" s="3"/>
    </row>
    <row r="28" customFormat="false" ht="31.5" hidden="false" customHeight="true" outlineLevel="0" collapsed="false">
      <c r="A28" s="7"/>
      <c r="B28" s="7" t="s">
        <v>95</v>
      </c>
      <c r="C28" s="7" t="s">
        <v>406</v>
      </c>
      <c r="D28" s="7" t="s">
        <v>113</v>
      </c>
      <c r="E28" s="7" t="s">
        <v>416</v>
      </c>
      <c r="F28" s="7" t="s">
        <v>408</v>
      </c>
      <c r="G28" s="7" t="s">
        <v>417</v>
      </c>
      <c r="H28" s="7" t="s">
        <v>418</v>
      </c>
      <c r="I28" s="7" t="s">
        <v>419</v>
      </c>
      <c r="J28" s="7" t="s">
        <v>300</v>
      </c>
      <c r="K28" s="7" t="s">
        <v>410</v>
      </c>
      <c r="L28" s="7" t="s">
        <v>411</v>
      </c>
    </row>
    <row r="29" customFormat="false" ht="15" hidden="false" customHeight="false" outlineLevel="0" collapsed="false">
      <c r="A29" s="12" t="s">
        <v>95</v>
      </c>
      <c r="B29" s="70" t="n">
        <f aca="false">CORREL(Panel!$F$2:$F$64,Panel!$F$2:$F$64)</f>
        <v>1</v>
      </c>
      <c r="C29" s="70" t="n">
        <f aca="false">CORREL(Panel!$F$2:$F$64,Panel!$H$2:$H$64)</f>
        <v>-0.224851669867894</v>
      </c>
      <c r="D29" s="70" t="n">
        <f aca="false">CORREL(Panel!$F$2:$F$64,Panel!$I$2:$I$64)</f>
        <v>0.0380659572096065</v>
      </c>
      <c r="E29" s="70" t="n">
        <f aca="false">CORREL(Panel!$F$2:$F$64,Panel!$J$2:$J$64)</f>
        <v>0.480193109800485</v>
      </c>
      <c r="F29" s="70" t="n">
        <f aca="false">CORREL(Panel!$F$2:$F$64,Panel!$K$2:$K$64)</f>
        <v>-0.120285585626994</v>
      </c>
      <c r="G29" s="70" t="n">
        <f aca="false">CORREL(Panel!$F$2:$F$64,Panel!$E$2:$E$64)</f>
        <v>-0.394642702303281</v>
      </c>
      <c r="H29" s="70" t="n">
        <f aca="false">CORREL(Panel!$F$2:$F$64,Panel!$L$2:$L$64)</f>
        <v>-0.158738406083449</v>
      </c>
      <c r="I29" s="70" t="n">
        <f aca="false">CORREL(Panel!$F$2:$F$64,Panel!$M$2:$M$64)</f>
        <v>0.0131480047042263</v>
      </c>
      <c r="J29" s="70" t="n">
        <f aca="false">CORREL(Panel!$F$2:$F$64,Panel!$N$2:$N$64)</f>
        <v>0.0704871404045335</v>
      </c>
      <c r="K29" s="70" t="n">
        <f aca="false">CORREL(Panel!$F$2:$F$64,Panel!$P$2:$P$64)</f>
        <v>-0.164420483822357</v>
      </c>
      <c r="L29" s="70" t="n">
        <f aca="false">CORREL(Panel!$F$2:$F$64,Panel!$Q$2:$Q$64)</f>
        <v>-0.0709663736974771</v>
      </c>
    </row>
    <row r="30" customFormat="false" ht="15" hidden="false" customHeight="false" outlineLevel="0" collapsed="false">
      <c r="A30" s="12" t="s">
        <v>406</v>
      </c>
      <c r="B30" s="70" t="n">
        <f aca="false">CORREL(Panel!$H$2:$H$64,Panel!$F$2:$F$64)</f>
        <v>-0.224851669867894</v>
      </c>
      <c r="C30" s="70" t="n">
        <f aca="false">CORREL(Panel!$H$2:$H$64,Panel!$H$2:$H$64)</f>
        <v>1</v>
      </c>
      <c r="D30" s="70" t="n">
        <f aca="false">CORREL(Panel!$H$2:$H$64,Panel!$I$2:$I$64)</f>
        <v>-0.621986846599729</v>
      </c>
      <c r="E30" s="70" t="n">
        <f aca="false">CORREL(Panel!$H$2:$H$64,Panel!$J$2:$J$64)</f>
        <v>0.159382670896716</v>
      </c>
      <c r="F30" s="70" t="n">
        <f aca="false">CORREL(Panel!$H$2:$H$64,Panel!$K$2:$K$64)</f>
        <v>0.200579076836924</v>
      </c>
      <c r="G30" s="70" t="n">
        <f aca="false">CORREL(Panel!$H$2:$H$64,Panel!$E$2:$E$64)</f>
        <v>0.0914108619717379</v>
      </c>
      <c r="H30" s="70" t="n">
        <f aca="false">CORREL(Panel!$H$2:$H$64,Panel!$L$2:$L$64)</f>
        <v>-0.163245798257431</v>
      </c>
      <c r="I30" s="70" t="n">
        <f aca="false">CORREL(Panel!$H$2:$H$64,Panel!$M$2:$M$64)</f>
        <v>-0.349815102415965</v>
      </c>
      <c r="J30" s="70" t="n">
        <f aca="false">CORREL(Panel!$H$2:$H$64,Panel!$N$2:$N$64)</f>
        <v>-0.49373223797227</v>
      </c>
      <c r="K30" s="70" t="n">
        <f aca="false">CORREL(Panel!$H$2:$H$64,Panel!$P$2:$P$64)</f>
        <v>-0.229243030246122</v>
      </c>
      <c r="L30" s="70" t="n">
        <f aca="false">CORREL(Panel!$H$2:$H$64,Panel!$Q$2:$Q$64)</f>
        <v>-0.255425912652661</v>
      </c>
    </row>
    <row r="31" customFormat="false" ht="15" hidden="false" customHeight="false" outlineLevel="0" collapsed="false">
      <c r="A31" s="12" t="s">
        <v>113</v>
      </c>
      <c r="B31" s="70" t="n">
        <f aca="false">CORREL(Panel!$I$2:$I$64,Panel!$F$2:$F$64)</f>
        <v>0.0380659572096065</v>
      </c>
      <c r="C31" s="70" t="n">
        <f aca="false">CORREL(Panel!$I$2:$I$64,Panel!$H$2:$H$64)</f>
        <v>-0.621986846599729</v>
      </c>
      <c r="D31" s="70" t="n">
        <f aca="false">CORREL(Panel!$I$2:$I$64,Panel!$I$2:$I$64)</f>
        <v>1</v>
      </c>
      <c r="E31" s="70" t="n">
        <f aca="false">CORREL(Panel!$I$2:$I$64,Panel!$J$2:$J$64)</f>
        <v>-0.457233826182344</v>
      </c>
      <c r="F31" s="70" t="n">
        <f aca="false">CORREL(Panel!$I$2:$I$64,Panel!$K$2:$K$64)</f>
        <v>-0.110764082598386</v>
      </c>
      <c r="G31" s="70" t="n">
        <f aca="false">CORREL(Panel!$I$2:$I$64,Panel!$E$2:$E$64)</f>
        <v>0.105078981769217</v>
      </c>
      <c r="H31" s="70" t="n">
        <f aca="false">CORREL(Panel!$I$2:$I$64,Panel!$L$2:$L$64)</f>
        <v>0.516785287137434</v>
      </c>
      <c r="I31" s="70" t="n">
        <f aca="false">CORREL(Panel!$I$2:$I$64,Panel!$M$2:$M$64)</f>
        <v>0.692233595635895</v>
      </c>
      <c r="J31" s="70" t="n">
        <f aca="false">CORREL(Panel!$I$2:$I$64,Panel!$N$2:$N$64)</f>
        <v>0.751830038202187</v>
      </c>
      <c r="K31" s="70" t="n">
        <f aca="false">CORREL(Panel!$I$2:$I$64,Panel!$P$2:$P$64)</f>
        <v>0.574885981981149</v>
      </c>
      <c r="L31" s="70" t="n">
        <f aca="false">CORREL(Panel!$I$2:$I$64,Panel!$Q$2:$Q$64)</f>
        <v>0.460542916210601</v>
      </c>
    </row>
    <row r="32" customFormat="false" ht="15" hidden="false" customHeight="false" outlineLevel="0" collapsed="false">
      <c r="A32" s="12" t="s">
        <v>416</v>
      </c>
      <c r="B32" s="70" t="n">
        <f aca="false">CORREL(Panel!$J$2:$J$64,Panel!$F$2:$F$64)</f>
        <v>0.480193109800485</v>
      </c>
      <c r="C32" s="70" t="n">
        <f aca="false">CORREL(Panel!$J$2:$J$64,Panel!$H$2:$H$64)</f>
        <v>0.159382670896716</v>
      </c>
      <c r="D32" s="70" t="n">
        <f aca="false">CORREL(Panel!$J$2:$J$64,Panel!$I$2:$I$64)</f>
        <v>-0.457233826182344</v>
      </c>
      <c r="E32" s="70" t="n">
        <f aca="false">CORREL(Panel!$J$2:$J$64,Panel!$J$2:$J$64)</f>
        <v>1</v>
      </c>
      <c r="F32" s="70" t="n">
        <f aca="false">CORREL(Panel!$J$2:$J$64,Panel!$K$2:$K$64)</f>
        <v>0.0594973093727065</v>
      </c>
      <c r="G32" s="70" t="n">
        <f aca="false">CORREL(Panel!$J$2:$J$64,Panel!$E$2:$E$64)</f>
        <v>-0.416857732570289</v>
      </c>
      <c r="H32" s="70" t="n">
        <f aca="false">CORREL(Panel!$J$2:$J$64,Panel!$L$2:$L$64)</f>
        <v>-0.559893213831435</v>
      </c>
      <c r="I32" s="70" t="n">
        <f aca="false">CORREL(Panel!$J$2:$J$64,Panel!$M$2:$M$64)</f>
        <v>-0.521595927448341</v>
      </c>
      <c r="J32" s="70" t="n">
        <f aca="false">CORREL(Panel!$J$2:$J$64,Panel!$N$2:$N$64)</f>
        <v>-0.489559819799625</v>
      </c>
      <c r="K32" s="70" t="n">
        <f aca="false">CORREL(Panel!$J$2:$J$64,Panel!$P$2:$P$64)</f>
        <v>-0.246341469775544</v>
      </c>
      <c r="L32" s="70" t="n">
        <f aca="false">CORREL(Panel!$J$2:$J$64,Panel!$Q$2:$Q$64)</f>
        <v>-0.133650660659566</v>
      </c>
    </row>
    <row r="33" customFormat="false" ht="15" hidden="false" customHeight="false" outlineLevel="0" collapsed="false">
      <c r="A33" s="12" t="s">
        <v>408</v>
      </c>
      <c r="B33" s="70" t="n">
        <f aca="false">CORREL(Panel!$K$2:$K$64,Panel!$F$2:$F$64)</f>
        <v>-0.120285585626994</v>
      </c>
      <c r="C33" s="70" t="n">
        <f aca="false">CORREL(Panel!$K$2:$K$64,Panel!$H$2:$H$64)</f>
        <v>0.200579076836924</v>
      </c>
      <c r="D33" s="70" t="n">
        <f aca="false">CORREL(Panel!$K$2:$K$64,Panel!$I$2:$I$64)</f>
        <v>-0.110764082598386</v>
      </c>
      <c r="E33" s="70" t="n">
        <f aca="false">CORREL(Panel!$K$2:$K$64,Panel!$J$2:$J$64)</f>
        <v>0.0594973093727065</v>
      </c>
      <c r="F33" s="70" t="n">
        <f aca="false">CORREL(Panel!$K$2:$K$64,Panel!$K$2:$K$64)</f>
        <v>1</v>
      </c>
      <c r="G33" s="70" t="n">
        <f aca="false">CORREL(Panel!$K$2:$K$64,Panel!$E$2:$E$64)</f>
        <v>-0.634447175984873</v>
      </c>
      <c r="H33" s="70" t="n">
        <f aca="false">CORREL(Panel!$K$2:$K$64,Panel!$L$2:$L$64)</f>
        <v>-0.623820559965539</v>
      </c>
      <c r="I33" s="70" t="n">
        <f aca="false">CORREL(Panel!$K$2:$K$64,Panel!$M$2:$M$64)</f>
        <v>-0.493932261640216</v>
      </c>
      <c r="J33" s="70" t="n">
        <f aca="false">CORREL(Panel!$K$2:$K$64,Panel!$N$2:$N$64)</f>
        <v>-0.442705521110542</v>
      </c>
      <c r="K33" s="70" t="n">
        <f aca="false">CORREL(Panel!$K$2:$K$64,Panel!$P$2:$P$64)</f>
        <v>0.215657089188599</v>
      </c>
      <c r="L33" s="70" t="n">
        <f aca="false">CORREL(Panel!$K$2:$K$64,Panel!$Q$2:$Q$64)</f>
        <v>0.0125485452270653</v>
      </c>
    </row>
    <row r="34" customFormat="false" ht="15" hidden="false" customHeight="false" outlineLevel="0" collapsed="false">
      <c r="A34" s="12" t="s">
        <v>417</v>
      </c>
      <c r="B34" s="70" t="n">
        <f aca="false">CORREL(Panel!$E$2:$E$64,Panel!$F$2:$F$64)</f>
        <v>-0.394642702303281</v>
      </c>
      <c r="C34" s="70" t="n">
        <f aca="false">CORREL(Panel!$E$2:$E$64,Panel!$H$2:$H$64)</f>
        <v>0.0914108619717379</v>
      </c>
      <c r="D34" s="70" t="n">
        <f aca="false">CORREL(Panel!$E$2:$E$64,Panel!$I$2:$I$64)</f>
        <v>0.105078981769217</v>
      </c>
      <c r="E34" s="70" t="n">
        <f aca="false">CORREL(Panel!$E$2:$E$64,Panel!$J$2:$J$64)</f>
        <v>-0.416857732570289</v>
      </c>
      <c r="F34" s="70" t="n">
        <f aca="false">CORREL(Panel!$E$2:$E$64,Panel!$K$2:$K$64)</f>
        <v>-0.634447175984873</v>
      </c>
      <c r="G34" s="70" t="n">
        <f aca="false">CORREL(Panel!$E$2:$E$64,Panel!$E$2:$E$64)</f>
        <v>1</v>
      </c>
      <c r="H34" s="70" t="n">
        <f aca="false">CORREL(Panel!$E$2:$E$64,Panel!$L$2:$L$64)</f>
        <v>0.702013052039703</v>
      </c>
      <c r="I34" s="70" t="n">
        <f aca="false">CORREL(Panel!$E$2:$E$64,Panel!$M$2:$M$64)</f>
        <v>0.469127077569506</v>
      </c>
      <c r="J34" s="70" t="n">
        <f aca="false">CORREL(Panel!$E$2:$E$64,Panel!$N$2:$N$64)</f>
        <v>0.377412546275474</v>
      </c>
      <c r="K34" s="70" t="n">
        <f aca="false">CORREL(Panel!$E$2:$E$64,Panel!$P$2:$P$64)</f>
        <v>0.118453782311934</v>
      </c>
      <c r="L34" s="70" t="n">
        <f aca="false">CORREL(Panel!$E$2:$E$64,Panel!$Q$2:$Q$64)</f>
        <v>0.152338064148157</v>
      </c>
    </row>
    <row r="35" customFormat="false" ht="15" hidden="false" customHeight="false" outlineLevel="0" collapsed="false">
      <c r="A35" s="12" t="s">
        <v>418</v>
      </c>
      <c r="B35" s="70" t="n">
        <f aca="false">CORREL(Panel!$L$2:$L$64,Panel!$F$2:$F$64)</f>
        <v>-0.158738406083449</v>
      </c>
      <c r="C35" s="70" t="n">
        <f aca="false">CORREL(Panel!$L$2:$L$64,Panel!$H$2:$H$64)</f>
        <v>-0.163245798257431</v>
      </c>
      <c r="D35" s="70" t="n">
        <f aca="false">CORREL(Panel!$L$2:$L$64,Panel!$I$2:$I$64)</f>
        <v>0.516785287137434</v>
      </c>
      <c r="E35" s="70" t="n">
        <f aca="false">CORREL(Panel!$L$2:$L$64,Panel!$J$2:$J$64)</f>
        <v>-0.559893213831435</v>
      </c>
      <c r="F35" s="70" t="n">
        <f aca="false">CORREL(Panel!$L$2:$L$64,Panel!$K$2:$K$64)</f>
        <v>-0.623820559965539</v>
      </c>
      <c r="G35" s="70" t="n">
        <f aca="false">CORREL(Panel!$L$2:$L$64,Panel!$E$2:$E$64)</f>
        <v>0.702013052039703</v>
      </c>
      <c r="H35" s="70" t="n">
        <f aca="false">CORREL(Panel!$L$2:$L$64,Panel!$L$2:$L$64)</f>
        <v>1</v>
      </c>
      <c r="I35" s="70" t="n">
        <f aca="false">CORREL(Panel!$L$2:$L$64,Panel!$M$2:$M$64)</f>
        <v>0.918524913495439</v>
      </c>
      <c r="J35" s="70" t="n">
        <f aca="false">CORREL(Panel!$L$2:$L$64,Panel!$N$2:$N$64)</f>
        <v>0.788215565094387</v>
      </c>
      <c r="K35" s="70" t="n">
        <f aca="false">CORREL(Panel!$L$2:$L$64,Panel!$P$2:$P$64)</f>
        <v>0.419094402803108</v>
      </c>
      <c r="L35" s="70" t="n">
        <f aca="false">CORREL(Panel!$L$2:$L$64,Panel!$Q$2:$Q$64)</f>
        <v>0.434161304530034</v>
      </c>
    </row>
    <row r="36" customFormat="false" ht="15" hidden="false" customHeight="false" outlineLevel="0" collapsed="false">
      <c r="A36" s="12" t="s">
        <v>419</v>
      </c>
      <c r="B36" s="70" t="n">
        <f aca="false">CORREL(Panel!$M$2:$M$64,Panel!$F$2:$F$64)</f>
        <v>0.0131480047042263</v>
      </c>
      <c r="C36" s="70" t="n">
        <f aca="false">CORREL(Panel!$M$2:$M$64,Panel!$H$2:$H$64)</f>
        <v>-0.349815102415965</v>
      </c>
      <c r="D36" s="70" t="n">
        <f aca="false">CORREL(Panel!$M$2:$M$64,Panel!$I$2:$I$64)</f>
        <v>0.692233595635895</v>
      </c>
      <c r="E36" s="70" t="n">
        <f aca="false">CORREL(Panel!$M$2:$M$64,Panel!$J$2:$J$64)</f>
        <v>-0.521595927448341</v>
      </c>
      <c r="F36" s="70" t="n">
        <f aca="false">CORREL(Panel!$M$2:$M$64,Panel!$K$2:$K$64)</f>
        <v>-0.493932261640216</v>
      </c>
      <c r="G36" s="70" t="n">
        <f aca="false">CORREL(Panel!$M$2:$M$64,Panel!$E$2:$E$64)</f>
        <v>0.469127077569506</v>
      </c>
      <c r="H36" s="70" t="n">
        <f aca="false">CORREL(Panel!$M$2:$M$64,Panel!$L$2:$L$64)</f>
        <v>0.918524913495439</v>
      </c>
      <c r="I36" s="70" t="n">
        <f aca="false">CORREL(Panel!$M$2:$M$64,Panel!$M$2:$M$64)</f>
        <v>1</v>
      </c>
      <c r="J36" s="70" t="n">
        <f aca="false">CORREL(Panel!$M$2:$M$64,Panel!$N$2:$N$64)</f>
        <v>0.912272139759223</v>
      </c>
      <c r="K36" s="70" t="n">
        <f aca="false">CORREL(Panel!$M$2:$M$64,Panel!$P$2:$P$64)</f>
        <v>0.536295162029032</v>
      </c>
      <c r="L36" s="70" t="n">
        <f aca="false">CORREL(Panel!$M$2:$M$64,Panel!$Q$2:$Q$64)</f>
        <v>0.546947623874277</v>
      </c>
    </row>
    <row r="37" customFormat="false" ht="15" hidden="false" customHeight="false" outlineLevel="0" collapsed="false">
      <c r="A37" s="12" t="s">
        <v>300</v>
      </c>
      <c r="B37" s="70" t="n">
        <f aca="false">CORREL(Panel!$N$2:$N$64,Panel!$F$2:$F$64)</f>
        <v>0.0704871404045335</v>
      </c>
      <c r="C37" s="70" t="n">
        <f aca="false">CORREL(Panel!$N$2:$N$64,Panel!$H$2:$H$64)</f>
        <v>-0.49373223797227</v>
      </c>
      <c r="D37" s="70" t="n">
        <f aca="false">CORREL(Panel!$N$2:$N$64,Panel!$I$2:$I$64)</f>
        <v>0.751830038202187</v>
      </c>
      <c r="E37" s="70" t="n">
        <f aca="false">CORREL(Panel!$N$2:$N$64,Panel!$J$2:$J$64)</f>
        <v>-0.489559819799625</v>
      </c>
      <c r="F37" s="70" t="n">
        <f aca="false">CORREL(Panel!$N$2:$N$64,Panel!$K$2:$K$64)</f>
        <v>-0.442705521110542</v>
      </c>
      <c r="G37" s="70" t="n">
        <f aca="false">CORREL(Panel!$N$2:$N$64,Panel!$E$2:$E$64)</f>
        <v>0.377412546275474</v>
      </c>
      <c r="H37" s="70" t="n">
        <f aca="false">CORREL(Panel!$N$2:$N$64,Panel!$L$2:$L$64)</f>
        <v>0.788215565094387</v>
      </c>
      <c r="I37" s="70" t="n">
        <f aca="false">CORREL(Panel!$N$2:$N$64,Panel!$M$2:$M$64)</f>
        <v>0.912272139759223</v>
      </c>
      <c r="J37" s="70" t="n">
        <f aca="false">CORREL(Panel!$N$2:$N$64,Panel!$N$2:$N$64)</f>
        <v>1</v>
      </c>
      <c r="K37" s="70" t="n">
        <f aca="false">CORREL(Panel!$N$2:$N$64,Panel!$P$2:$P$64)</f>
        <v>0.525976003442168</v>
      </c>
      <c r="L37" s="70" t="n">
        <f aca="false">CORREL(Panel!$N$2:$N$64,Panel!$Q$2:$Q$64)</f>
        <v>0.593757313326768</v>
      </c>
    </row>
    <row r="38" customFormat="false" ht="15" hidden="false" customHeight="false" outlineLevel="0" collapsed="false">
      <c r="A38" s="12" t="s">
        <v>410</v>
      </c>
      <c r="B38" s="70" t="n">
        <f aca="false">CORREL(Panel!$P$2:$P$64,Panel!$F$2:$F$64)</f>
        <v>-0.164420483822357</v>
      </c>
      <c r="C38" s="70" t="n">
        <f aca="false">CORREL(Panel!$P$2:$P$64,Panel!$H$2:$H$64)</f>
        <v>-0.229243030246122</v>
      </c>
      <c r="D38" s="70" t="n">
        <f aca="false">CORREL(Panel!$P$2:$P$64,Panel!$I$2:$I$64)</f>
        <v>0.574885981981149</v>
      </c>
      <c r="E38" s="70" t="n">
        <f aca="false">CORREL(Panel!$P$2:$P$64,Panel!$J$2:$J$64)</f>
        <v>-0.246341469775544</v>
      </c>
      <c r="F38" s="70" t="n">
        <f aca="false">CORREL(Panel!$P$2:$P$64,Panel!$K$2:$K$64)</f>
        <v>0.215657089188599</v>
      </c>
      <c r="G38" s="70" t="n">
        <f aca="false">CORREL(Panel!$P$2:$P$64,Panel!$E$2:$E$64)</f>
        <v>0.118453782311934</v>
      </c>
      <c r="H38" s="70" t="n">
        <f aca="false">CORREL(Panel!$P$2:$P$64,Panel!$L$2:$L$64)</f>
        <v>0.419094402803108</v>
      </c>
      <c r="I38" s="70" t="n">
        <f aca="false">CORREL(Panel!$P$2:$P$64,Panel!$M$2:$M$64)</f>
        <v>0.536295162029032</v>
      </c>
      <c r="J38" s="70" t="n">
        <f aca="false">CORREL(Panel!$P$2:$P$64,Panel!$N$2:$N$64)</f>
        <v>0.525976003442168</v>
      </c>
      <c r="K38" s="70" t="n">
        <f aca="false">CORREL(Panel!$P$2:$P$64,Panel!$P$2:$P$64)</f>
        <v>1</v>
      </c>
      <c r="L38" s="70" t="n">
        <f aca="false">CORREL(Panel!$P$2:$P$64,Panel!$Q$2:$Q$64)</f>
        <v>0.85468293424488</v>
      </c>
    </row>
    <row r="39" customFormat="false" ht="15" hidden="false" customHeight="false" outlineLevel="0" collapsed="false">
      <c r="A39" s="12" t="s">
        <v>411</v>
      </c>
      <c r="B39" s="70" t="n">
        <f aca="false">CORREL(Panel!$Q$2:$Q$64,Panel!$F$2:$F$64)</f>
        <v>-0.0709663736974771</v>
      </c>
      <c r="C39" s="70" t="n">
        <f aca="false">CORREL(Panel!$Q$2:$Q$64,Panel!$H$2:$H$64)</f>
        <v>-0.255425912652661</v>
      </c>
      <c r="D39" s="70" t="n">
        <f aca="false">CORREL(Panel!$Q$2:$Q$64,Panel!$I$2:$I$64)</f>
        <v>0.460542916210601</v>
      </c>
      <c r="E39" s="70" t="n">
        <f aca="false">CORREL(Panel!$Q$2:$Q$64,Panel!$J$2:$J$64)</f>
        <v>-0.133650660659566</v>
      </c>
      <c r="F39" s="70" t="n">
        <f aca="false">CORREL(Panel!$Q$2:$Q$64,Panel!$K$2:$K$64)</f>
        <v>0.0125485452270653</v>
      </c>
      <c r="G39" s="70" t="n">
        <f aca="false">CORREL(Panel!$Q$2:$Q$64,Panel!$E$2:$E$64)</f>
        <v>0.152338064148157</v>
      </c>
      <c r="H39" s="70" t="n">
        <f aca="false">CORREL(Panel!$Q$2:$Q$64,Panel!$L$2:$L$64)</f>
        <v>0.434161304530034</v>
      </c>
      <c r="I39" s="70" t="n">
        <f aca="false">CORREL(Panel!$Q$2:$Q$64,Panel!$M$2:$M$64)</f>
        <v>0.546947623874277</v>
      </c>
      <c r="J39" s="70" t="n">
        <f aca="false">CORREL(Panel!$Q$2:$Q$64,Panel!$N$2:$N$64)</f>
        <v>0.593757313326768</v>
      </c>
      <c r="K39" s="70" t="n">
        <f aca="false">CORREL(Panel!$Q$2:$Q$64,Panel!$P$2:$P$64)</f>
        <v>0.85468293424488</v>
      </c>
      <c r="L39" s="70" t="n">
        <f aca="false">CORREL(Panel!$Q$2:$Q$64,Panel!$Q$2:$Q$64)</f>
        <v>1</v>
      </c>
    </row>
    <row r="41" customFormat="false" ht="15" hidden="false" customHeight="true" outlineLevel="0" collapsed="false">
      <c r="A41" s="75" t="s">
        <v>420</v>
      </c>
      <c r="B41" s="75"/>
      <c r="C41" s="75"/>
      <c r="D41" s="75"/>
      <c r="E41" s="75"/>
      <c r="F41" s="75"/>
      <c r="G41" s="75"/>
      <c r="H41" s="75"/>
      <c r="I41" s="75"/>
      <c r="J41" s="75"/>
      <c r="K41" s="75"/>
      <c r="L41" s="75"/>
    </row>
    <row r="42" customFormat="false" ht="15" hidden="false" customHeight="true" outlineLevel="0" collapsed="false">
      <c r="A42" s="76" t="s">
        <v>421</v>
      </c>
      <c r="B42" s="76"/>
      <c r="C42" s="76"/>
      <c r="D42" s="76"/>
      <c r="E42" s="76"/>
      <c r="F42" s="76"/>
      <c r="G42" s="76"/>
      <c r="H42" s="76"/>
      <c r="I42" s="76"/>
      <c r="J42" s="76"/>
      <c r="K42" s="76"/>
      <c r="L42" s="76"/>
    </row>
    <row r="43" customFormat="false" ht="27.75" hidden="false" customHeight="true" outlineLevel="0" collapsed="false">
      <c r="A43" s="76" t="s">
        <v>422</v>
      </c>
      <c r="B43" s="76"/>
      <c r="C43" s="76"/>
      <c r="D43" s="76"/>
      <c r="E43" s="76"/>
      <c r="F43" s="76"/>
      <c r="G43" s="76"/>
      <c r="H43" s="76"/>
      <c r="I43" s="76"/>
      <c r="J43" s="76"/>
      <c r="K43" s="76"/>
      <c r="L43" s="76"/>
    </row>
    <row r="44" customFormat="false" ht="27.75" hidden="false" customHeight="true" outlineLevel="0" collapsed="false">
      <c r="A44" s="76" t="s">
        <v>423</v>
      </c>
      <c r="B44" s="76"/>
      <c r="C44" s="76"/>
      <c r="D44" s="76"/>
      <c r="E44" s="76"/>
      <c r="F44" s="76"/>
      <c r="G44" s="76"/>
      <c r="H44" s="76"/>
      <c r="I44" s="76"/>
      <c r="J44" s="76"/>
      <c r="K44" s="76"/>
      <c r="L44" s="76"/>
    </row>
    <row r="45" customFormat="false" ht="27.75" hidden="false" customHeight="true" outlineLevel="0" collapsed="false">
      <c r="A45" s="76" t="s">
        <v>424</v>
      </c>
      <c r="B45" s="76"/>
      <c r="C45" s="76"/>
      <c r="D45" s="76"/>
      <c r="E45" s="76"/>
      <c r="F45" s="76"/>
      <c r="G45" s="76"/>
      <c r="H45" s="76"/>
      <c r="I45" s="76"/>
      <c r="J45" s="76"/>
      <c r="K45" s="76"/>
      <c r="L45" s="76"/>
    </row>
    <row r="47" customFormat="false" ht="19.5" hidden="false" customHeight="true" outlineLevel="0" collapsed="false">
      <c r="A47" s="3" t="s">
        <v>425</v>
      </c>
      <c r="B47" s="3"/>
      <c r="C47" s="3"/>
      <c r="D47" s="3"/>
      <c r="E47" s="3"/>
      <c r="F47" s="3"/>
      <c r="G47" s="3"/>
      <c r="H47" s="3"/>
      <c r="I47" s="3"/>
      <c r="J47" s="3"/>
      <c r="K47" s="3"/>
    </row>
    <row r="48" customFormat="false" ht="31.5" hidden="false" customHeight="true" outlineLevel="0" collapsed="false">
      <c r="A48" s="7" t="s">
        <v>91</v>
      </c>
      <c r="B48" s="7" t="s">
        <v>426</v>
      </c>
      <c r="C48" s="7" t="s">
        <v>427</v>
      </c>
      <c r="D48" s="7" t="s">
        <v>428</v>
      </c>
      <c r="E48" s="7" t="s">
        <v>429</v>
      </c>
      <c r="F48" s="7" t="s">
        <v>430</v>
      </c>
      <c r="G48" s="7" t="s">
        <v>431</v>
      </c>
      <c r="H48" s="7" t="s">
        <v>432</v>
      </c>
      <c r="I48" s="7" t="s">
        <v>433</v>
      </c>
      <c r="J48" s="7" t="s">
        <v>434</v>
      </c>
    </row>
    <row r="49" customFormat="false" ht="15" hidden="false" customHeight="false" outlineLevel="0" collapsed="false">
      <c r="A49" s="16" t="s">
        <v>298</v>
      </c>
      <c r="B49" s="71" t="n">
        <f aca="false">AVERAGE(B70:B78)</f>
        <v>0.0755061978649363</v>
      </c>
      <c r="C49" s="71" t="n">
        <f aca="false">AVERAGE(C70:C78)</f>
        <v>0.0877979894255514</v>
      </c>
      <c r="D49" s="71" t="n">
        <f aca="false">AVERAGE(D70:D78)</f>
        <v>0.0122917915606152</v>
      </c>
      <c r="E49" s="71" t="n">
        <f aca="false">STDEV(D70:D78)</f>
        <v>0.0409596388493402</v>
      </c>
      <c r="F49" s="68" t="n">
        <f aca="false">COUNT(D70:D78)</f>
        <v>9</v>
      </c>
      <c r="G49" s="70" t="n">
        <f aca="false">IF(E49&gt;0,D49/(E49/SQRT(F49)),"N/M")</f>
        <v>0.900285640151329</v>
      </c>
      <c r="H49" s="68" t="n">
        <f aca="false">F49-1</f>
        <v>8</v>
      </c>
      <c r="I49" s="77" t="n">
        <f aca="false">TTEST(B70:B78,C70:C78,2,1)</f>
        <v>0.394261090610695</v>
      </c>
      <c r="J49" s="25" t="str">
        <f aca="false">IF(I49&lt;0.05,"Significant change","No significant change")</f>
        <v>No significant change</v>
      </c>
    </row>
    <row r="50" customFormat="false" ht="15" hidden="false" customHeight="false" outlineLevel="0" collapsed="false">
      <c r="A50" s="16" t="s">
        <v>299</v>
      </c>
      <c r="B50" s="71" t="n">
        <f aca="false">AVERAGE(E70:E78)</f>
        <v>0.0385683206326148</v>
      </c>
      <c r="C50" s="71" t="n">
        <f aca="false">AVERAGE(F70:F78)</f>
        <v>0.048909263210317</v>
      </c>
      <c r="D50" s="71" t="n">
        <f aca="false">AVERAGE(G70:G78)</f>
        <v>0.0103409425777022</v>
      </c>
      <c r="E50" s="71" t="n">
        <f aca="false">STDEV(G70:G78)</f>
        <v>0.0368967620945285</v>
      </c>
      <c r="F50" s="68" t="n">
        <f aca="false">COUNT(G70:G78)</f>
        <v>9</v>
      </c>
      <c r="G50" s="70" t="n">
        <f aca="false">IF(E50&gt;0,D50/(E50/SQRT(F50)),"N/M")</f>
        <v>0.840800817525043</v>
      </c>
      <c r="H50" s="68" t="n">
        <f aca="false">F50-1</f>
        <v>8</v>
      </c>
      <c r="I50" s="77" t="n">
        <f aca="false">TTEST(E70:E78,F70:F78,2,1)</f>
        <v>0.424875313850871</v>
      </c>
      <c r="J50" s="25" t="str">
        <f aca="false">IF(I50&lt;0.05,"Significant change","No significant change")</f>
        <v>No significant change</v>
      </c>
    </row>
    <row r="51" customFormat="false" ht="15" hidden="false" customHeight="false" outlineLevel="0" collapsed="false">
      <c r="A51" s="16" t="s">
        <v>300</v>
      </c>
      <c r="B51" s="71" t="n">
        <f aca="false">AVERAGE(H70:H78)</f>
        <v>0.0135536236952752</v>
      </c>
      <c r="C51" s="71" t="n">
        <f aca="false">AVERAGE(I70:I78)</f>
        <v>0.0408134824414669</v>
      </c>
      <c r="D51" s="71" t="n">
        <f aca="false">AVERAGE(J70:J78)</f>
        <v>0.0272598587461918</v>
      </c>
      <c r="E51" s="71" t="n">
        <f aca="false">STDEV(J70:J78)</f>
        <v>0.0394896488328323</v>
      </c>
      <c r="F51" s="68" t="n">
        <f aca="false">COUNT(J70:J78)</f>
        <v>9</v>
      </c>
      <c r="G51" s="70" t="n">
        <f aca="false">IF(E51&gt;0,D51/(E51/SQRT(F51)),"N/M")</f>
        <v>2.07091171118702</v>
      </c>
      <c r="H51" s="68" t="n">
        <f aca="false">F51-1</f>
        <v>8</v>
      </c>
      <c r="I51" s="77" t="n">
        <f aca="false">TTEST(H70:H78,I70:I78,2,1)</f>
        <v>0.0721268232763588</v>
      </c>
      <c r="J51" s="25" t="str">
        <f aca="false">IF(I51&lt;0.05,"Significant change","No significant change")</f>
        <v>No significant change</v>
      </c>
    </row>
    <row r="52" customFormat="false" ht="15" hidden="false" customHeight="false" outlineLevel="0" collapsed="false">
      <c r="A52" s="16" t="s">
        <v>435</v>
      </c>
      <c r="B52" s="71" t="n">
        <f aca="false">AVERAGE(K70:K78)</f>
        <v>0.00440021385601967</v>
      </c>
      <c r="C52" s="71" t="n">
        <f aca="false">AVERAGE(L70:L78)</f>
        <v>0.0533727204809312</v>
      </c>
      <c r="D52" s="71" t="n">
        <f aca="false">AVERAGE(M70:M78)</f>
        <v>0.0489725066249115</v>
      </c>
      <c r="E52" s="71" t="n">
        <f aca="false">STDEV(M70:M78)</f>
        <v>0.0781575952257673</v>
      </c>
      <c r="F52" s="68" t="n">
        <f aca="false">COUNT(M70:M78)</f>
        <v>9</v>
      </c>
      <c r="G52" s="70" t="n">
        <f aca="false">IF(E52&gt;0,D52/(E52/SQRT(F52)),"N/M")</f>
        <v>1.87975998302335</v>
      </c>
      <c r="H52" s="68" t="n">
        <f aca="false">F52-1</f>
        <v>8</v>
      </c>
      <c r="I52" s="77" t="n">
        <f aca="false">TTEST(K70:K78,L70:L78,2,1)</f>
        <v>0.0969413043721171</v>
      </c>
      <c r="J52" s="25" t="str">
        <f aca="false">IF(I52&lt;0.05,"Significant change","No significant change")</f>
        <v>No significant change</v>
      </c>
    </row>
    <row r="53" customFormat="false" ht="15" hidden="false" customHeight="false" outlineLevel="0" collapsed="false">
      <c r="A53" s="16" t="s">
        <v>410</v>
      </c>
      <c r="B53" s="71" t="n">
        <f aca="false">AVERAGE(N70:N78)</f>
        <v>0.0352595475943872</v>
      </c>
      <c r="C53" s="71" t="n">
        <f aca="false">AVERAGE(O70:O78)</f>
        <v>0.0679161940577927</v>
      </c>
      <c r="D53" s="71" t="n">
        <f aca="false">AVERAGE(P70:P78)</f>
        <v>0.0326566464634055</v>
      </c>
      <c r="E53" s="71" t="n">
        <f aca="false">STDEV(P70:P78)</f>
        <v>0.08492496312187</v>
      </c>
      <c r="F53" s="68" t="n">
        <f aca="false">COUNT(P70:P78)</f>
        <v>9</v>
      </c>
      <c r="G53" s="70" t="n">
        <f aca="false">IF(E53&gt;0,D53/(E53/SQRT(F53)),"N/M")</f>
        <v>1.15360591030963</v>
      </c>
      <c r="H53" s="68" t="n">
        <f aca="false">F53-1</f>
        <v>8</v>
      </c>
      <c r="I53" s="77" t="n">
        <f aca="false">TTEST(N70:N78,O70:O78,2,1)</f>
        <v>0.281960244925737</v>
      </c>
      <c r="J53" s="25" t="str">
        <f aca="false">IF(I53&lt;0.05,"Significant change","No significant change")</f>
        <v>No significant change</v>
      </c>
    </row>
    <row r="54" customFormat="false" ht="15" hidden="false" customHeight="false" outlineLevel="0" collapsed="false">
      <c r="A54" s="16" t="s">
        <v>408</v>
      </c>
      <c r="B54" s="73" t="n">
        <f aca="false">AVERAGE(Q70:Q78)</f>
        <v>1.8397683139886</v>
      </c>
      <c r="C54" s="73" t="n">
        <f aca="false">AVERAGE(R70:R78)</f>
        <v>1.7282519030734</v>
      </c>
      <c r="D54" s="73" t="n">
        <f aca="false">AVERAGE(S70:S78)</f>
        <v>-0.111516410915207</v>
      </c>
      <c r="E54" s="73" t="n">
        <f aca="false">STDEV(S70:S78)</f>
        <v>0.547995499217934</v>
      </c>
      <c r="F54" s="68" t="n">
        <f aca="false">COUNT(S70:S78)</f>
        <v>9</v>
      </c>
      <c r="G54" s="70" t="n">
        <f aca="false">IF(E54&gt;0,D54/(E54/SQRT(F54)),"N/M")</f>
        <v>-0.610496314701619</v>
      </c>
      <c r="H54" s="68" t="n">
        <f aca="false">F54-1</f>
        <v>8</v>
      </c>
      <c r="I54" s="77" t="n">
        <f aca="false">TTEST(Q70:Q78,R70:R78,2,1)</f>
        <v>0.558473584244992</v>
      </c>
      <c r="J54" s="25" t="str">
        <f aca="false">IF(I54&lt;0.05,"Significant change","No significant change")</f>
        <v>No significant change</v>
      </c>
    </row>
    <row r="55" customFormat="false" ht="15" hidden="false" customHeight="false" outlineLevel="0" collapsed="false">
      <c r="A55" s="16" t="s">
        <v>291</v>
      </c>
      <c r="B55" s="74" t="n">
        <f aca="false">AVERAGE(T70:T78)</f>
        <v>63.748754481519</v>
      </c>
      <c r="C55" s="74" t="n">
        <f aca="false">AVERAGE(U70:U78)</f>
        <v>68.8153796237</v>
      </c>
      <c r="D55" s="74" t="n">
        <f aca="false">AVERAGE(V70:V78)</f>
        <v>5.06662514218103</v>
      </c>
      <c r="E55" s="74" t="n">
        <f aca="false">STDEV(V70:V78)</f>
        <v>18.018604719486</v>
      </c>
      <c r="F55" s="68" t="n">
        <f aca="false">COUNT(V70:V78)</f>
        <v>9</v>
      </c>
      <c r="G55" s="70" t="n">
        <f aca="false">IF(E55&gt;0,D55/(E55/SQRT(F55)),"N/M")</f>
        <v>0.843565618047296</v>
      </c>
      <c r="H55" s="68" t="n">
        <f aca="false">F55-1</f>
        <v>8</v>
      </c>
      <c r="I55" s="77" t="n">
        <f aca="false">TTEST(T70:T78,U70:U78,2,1)</f>
        <v>0.4234163204584</v>
      </c>
      <c r="J55" s="25" t="str">
        <f aca="false">IF(I55&lt;0.05,"Significant change","No significant change")</f>
        <v>No significant change</v>
      </c>
    </row>
    <row r="56" customFormat="false" ht="15" hidden="false" customHeight="false" outlineLevel="0" collapsed="false">
      <c r="A56" s="16" t="s">
        <v>406</v>
      </c>
      <c r="B56" s="72" t="n">
        <f aca="false">AVERAGE(W70:W78)</f>
        <v>0.864980850740881</v>
      </c>
      <c r="C56" s="72" t="n">
        <f aca="false">AVERAGE(X70:X78)</f>
        <v>0.516791779103059</v>
      </c>
      <c r="D56" s="72" t="n">
        <f aca="false">AVERAGE(Y70:Y78)</f>
        <v>-0.348189071637822</v>
      </c>
      <c r="E56" s="72" t="n">
        <f aca="false">STDEV(Y70:Y78)</f>
        <v>0.546073497314317</v>
      </c>
      <c r="F56" s="68" t="n">
        <f aca="false">COUNT(Y70:Y78)</f>
        <v>9</v>
      </c>
      <c r="G56" s="70" t="n">
        <f aca="false">IF(E56&gt;0,D56/(E56/SQRT(F56)),"N/M")</f>
        <v>-1.91286927501669</v>
      </c>
      <c r="H56" s="68" t="n">
        <f aca="false">F56-1</f>
        <v>8</v>
      </c>
      <c r="I56" s="77" t="n">
        <f aca="false">TTEST(W70:W78,X70:X78,2,1)</f>
        <v>0.0921228633444033</v>
      </c>
      <c r="J56" s="25" t="str">
        <f aca="false">IF(I56&lt;0.05,"Significant change","No significant change")</f>
        <v>No significant change</v>
      </c>
    </row>
    <row r="57" customFormat="false" ht="15" hidden="false" customHeight="false" outlineLevel="0" collapsed="false">
      <c r="A57" s="16" t="s">
        <v>113</v>
      </c>
      <c r="B57" s="73" t="n">
        <f aca="false">AVERAGE(Z70:Z78)</f>
        <v>4.20992825384983</v>
      </c>
      <c r="C57" s="73" t="n">
        <f aca="false">AVERAGE(AA70:AA78)</f>
        <v>7.90726756209041</v>
      </c>
      <c r="D57" s="73" t="n">
        <f aca="false">AVERAGE(AB70:AB78)</f>
        <v>3.69733930824058</v>
      </c>
      <c r="E57" s="73" t="n">
        <f aca="false">STDEV(AB70:AB78)</f>
        <v>9.12294867114567</v>
      </c>
      <c r="F57" s="68" t="n">
        <f aca="false">COUNT(AB70:AB78)</f>
        <v>9</v>
      </c>
      <c r="G57" s="70" t="n">
        <f aca="false">IF(E57&gt;0,D57/(E57/SQRT(F57)),"N/M")</f>
        <v>1.21583693217566</v>
      </c>
      <c r="H57" s="68" t="n">
        <f aca="false">F57-1</f>
        <v>8</v>
      </c>
      <c r="I57" s="77" t="n">
        <f aca="false">TTEST(Z70:Z78,AA70:AA78,2,1)</f>
        <v>0.258703891635665</v>
      </c>
      <c r="J57" s="25" t="str">
        <f aca="false">IF(I57&lt;0.05,"Significant change","No significant change")</f>
        <v>No significant change</v>
      </c>
    </row>
    <row r="58" customFormat="false" ht="15" hidden="false" customHeight="false" outlineLevel="0" collapsed="false">
      <c r="A58" s="16" t="s">
        <v>95</v>
      </c>
      <c r="B58" s="72" t="n">
        <f aca="false">AVERAGE(AC70:AC78)</f>
        <v>3.28653110093618</v>
      </c>
      <c r="C58" s="72" t="n">
        <f aca="false">AVERAGE(AD70:AD78)</f>
        <v>3.1463133312204</v>
      </c>
      <c r="D58" s="72" t="n">
        <f aca="false">AVERAGE(AE70:AE78)</f>
        <v>-0.140217769715779</v>
      </c>
      <c r="E58" s="72" t="n">
        <f aca="false">STDEV(AE70:AE78)</f>
        <v>1.43563174737424</v>
      </c>
      <c r="F58" s="68" t="n">
        <f aca="false">COUNT(AE70:AE78)</f>
        <v>9</v>
      </c>
      <c r="G58" s="70" t="n">
        <f aca="false">IF(E58&gt;0,D58/(E58/SQRT(F58)),"N/M")</f>
        <v>-0.293009199550447</v>
      </c>
      <c r="H58" s="68" t="n">
        <f aca="false">F58-1</f>
        <v>8</v>
      </c>
      <c r="I58" s="77" t="n">
        <f aca="false">TTEST(AC70:AC78,AD70:AD78,2,1)</f>
        <v>0.776971662812367</v>
      </c>
      <c r="J58" s="25" t="str">
        <f aca="false">IF(I58&lt;0.05,"Significant change","No significant change")</f>
        <v>No significant change</v>
      </c>
    </row>
    <row r="60" customFormat="false" ht="15" hidden="false" customHeight="true" outlineLevel="0" collapsed="false">
      <c r="A60" s="75" t="s">
        <v>436</v>
      </c>
      <c r="B60" s="75"/>
      <c r="C60" s="75"/>
      <c r="D60" s="75"/>
      <c r="E60" s="75"/>
      <c r="F60" s="75"/>
      <c r="G60" s="75"/>
      <c r="H60" s="75"/>
      <c r="I60" s="75"/>
      <c r="J60" s="75"/>
      <c r="K60" s="75"/>
    </row>
    <row r="61" customFormat="false" ht="15" hidden="false" customHeight="true" outlineLevel="0" collapsed="false">
      <c r="A61" s="76" t="s">
        <v>437</v>
      </c>
      <c r="B61" s="76"/>
      <c r="C61" s="76"/>
      <c r="D61" s="76"/>
      <c r="E61" s="76"/>
      <c r="F61" s="76"/>
      <c r="G61" s="76"/>
      <c r="H61" s="76"/>
      <c r="I61" s="76"/>
      <c r="J61" s="76"/>
      <c r="K61" s="76"/>
    </row>
    <row r="62" customFormat="false" ht="27.75" hidden="false" customHeight="true" outlineLevel="0" collapsed="false">
      <c r="A62" s="76" t="s">
        <v>438</v>
      </c>
      <c r="B62" s="76"/>
      <c r="C62" s="76"/>
      <c r="D62" s="76"/>
      <c r="E62" s="76"/>
      <c r="F62" s="76"/>
      <c r="G62" s="76"/>
      <c r="H62" s="76"/>
      <c r="I62" s="76"/>
      <c r="J62" s="76"/>
      <c r="K62" s="76"/>
    </row>
    <row r="63" customFormat="false" ht="15" hidden="false" customHeight="true" outlineLevel="0" collapsed="false">
      <c r="A63" s="76" t="s">
        <v>439</v>
      </c>
      <c r="B63" s="76"/>
      <c r="C63" s="76"/>
      <c r="D63" s="76"/>
      <c r="E63" s="76"/>
      <c r="F63" s="76"/>
      <c r="G63" s="76"/>
      <c r="H63" s="76"/>
      <c r="I63" s="76"/>
      <c r="J63" s="76"/>
      <c r="K63" s="76"/>
    </row>
    <row r="68" customFormat="false" ht="16.5" hidden="false" customHeight="true" outlineLevel="0" collapsed="false">
      <c r="A68" s="49" t="s">
        <v>440</v>
      </c>
      <c r="B68" s="49"/>
      <c r="C68" s="49"/>
      <c r="D68" s="49"/>
      <c r="E68" s="49"/>
      <c r="F68" s="49"/>
      <c r="G68" s="49"/>
      <c r="H68" s="49"/>
      <c r="I68" s="49"/>
      <c r="J68" s="49"/>
      <c r="K68" s="49"/>
    </row>
    <row r="69" customFormat="false" ht="54" hidden="false" customHeight="true" outlineLevel="0" collapsed="false">
      <c r="A69" s="7" t="s">
        <v>441</v>
      </c>
      <c r="B69" s="7" t="s">
        <v>442</v>
      </c>
      <c r="C69" s="7" t="s">
        <v>443</v>
      </c>
      <c r="D69" s="7" t="s">
        <v>444</v>
      </c>
      <c r="E69" s="7" t="s">
        <v>445</v>
      </c>
      <c r="F69" s="7" t="s">
        <v>446</v>
      </c>
      <c r="G69" s="7" t="s">
        <v>447</v>
      </c>
      <c r="H69" s="7" t="s">
        <v>448</v>
      </c>
      <c r="I69" s="7" t="s">
        <v>449</v>
      </c>
      <c r="J69" s="7" t="s">
        <v>450</v>
      </c>
      <c r="K69" s="7" t="s">
        <v>451</v>
      </c>
      <c r="L69" s="7" t="s">
        <v>452</v>
      </c>
      <c r="M69" s="7" t="s">
        <v>453</v>
      </c>
      <c r="N69" s="7" t="s">
        <v>454</v>
      </c>
      <c r="O69" s="7" t="s">
        <v>455</v>
      </c>
      <c r="P69" s="7" t="s">
        <v>456</v>
      </c>
      <c r="Q69" s="7" t="s">
        <v>457</v>
      </c>
      <c r="R69" s="7" t="s">
        <v>458</v>
      </c>
      <c r="S69" s="7" t="s">
        <v>459</v>
      </c>
      <c r="T69" s="7" t="s">
        <v>460</v>
      </c>
      <c r="U69" s="7" t="s">
        <v>461</v>
      </c>
      <c r="V69" s="7" t="s">
        <v>462</v>
      </c>
      <c r="W69" s="7" t="s">
        <v>463</v>
      </c>
      <c r="X69" s="7" t="s">
        <v>464</v>
      </c>
      <c r="Y69" s="7" t="s">
        <v>465</v>
      </c>
      <c r="Z69" s="7" t="s">
        <v>466</v>
      </c>
      <c r="AA69" s="7" t="s">
        <v>467</v>
      </c>
      <c r="AB69" s="7" t="s">
        <v>468</v>
      </c>
      <c r="AC69" s="7" t="s">
        <v>469</v>
      </c>
      <c r="AD69" s="7" t="s">
        <v>470</v>
      </c>
      <c r="AE69" s="7" t="s">
        <v>471</v>
      </c>
    </row>
    <row r="70" customFormat="false" ht="15" hidden="false" customHeight="false" outlineLevel="0" collapsed="false">
      <c r="A70" s="16" t="s">
        <v>52</v>
      </c>
      <c r="B70" s="27" t="n">
        <f aca="false">Tiger!D130</f>
        <v>-0.027829375082924</v>
      </c>
      <c r="C70" s="27" t="n">
        <f aca="false">Tiger!J130</f>
        <v>0.0471526832163681</v>
      </c>
      <c r="D70" s="62" t="n">
        <f aca="false">C70-B70</f>
        <v>0.0749820582992921</v>
      </c>
      <c r="E70" s="27" t="n">
        <f aca="false">Tiger!D131</f>
        <v>-0.0310800053071512</v>
      </c>
      <c r="F70" s="27" t="n">
        <f aca="false">Tiger!J131</f>
        <v>0.0454767640794665</v>
      </c>
      <c r="G70" s="62" t="n">
        <f aca="false">F70-E70</f>
        <v>0.0765567693866176</v>
      </c>
      <c r="H70" s="27" t="n">
        <f aca="false">Tiger!D133</f>
        <v>-0.0409314050683296</v>
      </c>
      <c r="I70" s="27" t="n">
        <f aca="false">Tiger!J133</f>
        <v>0.0375685206522119</v>
      </c>
      <c r="J70" s="62" t="n">
        <f aca="false">I70-H70</f>
        <v>0.0784999257205414</v>
      </c>
      <c r="K70" s="27" t="n">
        <f aca="false">Tiger!D142</f>
        <v>-0.117400818190467</v>
      </c>
      <c r="L70" s="27" t="n">
        <f aca="false">Tiger!J142</f>
        <v>0.0819434924986673</v>
      </c>
      <c r="M70" s="62" t="n">
        <f aca="false">L70-K70</f>
        <v>0.199344310689134</v>
      </c>
      <c r="N70" s="27" t="n">
        <f aca="false">Tiger!D146</f>
        <v>-0.104845026295177</v>
      </c>
      <c r="O70" s="27" t="n">
        <f aca="false">Tiger!J146</f>
        <v>0.0913563837931597</v>
      </c>
      <c r="P70" s="62" t="n">
        <f aca="false">O70-N70</f>
        <v>0.196201410088336</v>
      </c>
      <c r="Q70" s="36" t="n">
        <f aca="false">Tiger!D124</f>
        <v>2.86823327942156</v>
      </c>
      <c r="R70" s="36" t="n">
        <f aca="false">Tiger!J124</f>
        <v>2.18117432031072</v>
      </c>
      <c r="S70" s="60" t="n">
        <f aca="false">R70-Q70</f>
        <v>-0.687058959110843</v>
      </c>
      <c r="T70" s="39" t="n">
        <f aca="false">Tiger!D119</f>
        <v>79.3246649860687</v>
      </c>
      <c r="U70" s="39" t="n">
        <f aca="false">Tiger!J119</f>
        <v>102.608061869348</v>
      </c>
      <c r="V70" s="58" t="n">
        <f aca="false">U70-T70</f>
        <v>23.2833968832794</v>
      </c>
      <c r="W70" s="33" t="n">
        <f aca="false">Tiger!D101</f>
        <v>0.695825426944972</v>
      </c>
      <c r="X70" s="33" t="n">
        <f aca="false">Tiger!J101</f>
        <v>0.316914614326791</v>
      </c>
      <c r="Y70" s="56" t="n">
        <f aca="false">X70-W70</f>
        <v>-0.378910812618181</v>
      </c>
      <c r="Z70" s="36" t="n">
        <f aca="false">Tiger!D109</f>
        <v>-2.11036036036034</v>
      </c>
      <c r="AA70" s="36" t="n">
        <f aca="false">Tiger!J109</f>
        <v>4.94307400379507</v>
      </c>
      <c r="AB70" s="60" t="n">
        <f aca="false">AA70-Z70</f>
        <v>7.05343436415541</v>
      </c>
      <c r="AC70" s="33" t="n">
        <f aca="false">Tiger!D95</f>
        <v>6.04701397712834</v>
      </c>
      <c r="AD70" s="33" t="n">
        <f aca="false">Tiger!J95</f>
        <v>4.61705814401232</v>
      </c>
      <c r="AE70" s="56" t="n">
        <f aca="false">AD70-AC70</f>
        <v>-1.42995583311601</v>
      </c>
    </row>
    <row r="71" customFormat="false" ht="15" hidden="false" customHeight="false" outlineLevel="0" collapsed="false">
      <c r="A71" s="16" t="s">
        <v>54</v>
      </c>
      <c r="B71" s="27" t="n">
        <f aca="false">Allcargo!D130</f>
        <v>0.0701243084897852</v>
      </c>
      <c r="C71" s="27" t="n">
        <f aca="false">Allcargo!J130</f>
        <v>0.114188532555879</v>
      </c>
      <c r="D71" s="62" t="n">
        <f aca="false">C71-B71</f>
        <v>0.0440642240660943</v>
      </c>
      <c r="E71" s="27" t="n">
        <f aca="false">Allcargo!D131</f>
        <v>0.0385979766520015</v>
      </c>
      <c r="F71" s="27" t="n">
        <f aca="false">Allcargo!J131</f>
        <v>0.0150631681243926</v>
      </c>
      <c r="G71" s="62" t="n">
        <f aca="false">F71-E71</f>
        <v>-0.0235348085276089</v>
      </c>
      <c r="H71" s="27" t="n">
        <f aca="false">Allcargo!D133</f>
        <v>0.0303556649387986</v>
      </c>
      <c r="I71" s="27" t="n">
        <f aca="false">Allcargo!J133</f>
        <v>0.00388726919339164</v>
      </c>
      <c r="J71" s="62" t="n">
        <f aca="false">I71-H71</f>
        <v>-0.026468395745407</v>
      </c>
      <c r="K71" s="27" t="n">
        <f aca="false">Allcargo!D142</f>
        <v>0.0420680105792558</v>
      </c>
      <c r="L71" s="27" t="n">
        <f aca="false">Allcargo!J142</f>
        <v>0.00460829493087558</v>
      </c>
      <c r="M71" s="62" t="n">
        <f aca="false">L71-K71</f>
        <v>-0.0374597156483802</v>
      </c>
      <c r="N71" s="27" t="n">
        <f aca="false">Allcargo!D146</f>
        <v>0.0580269965210272</v>
      </c>
      <c r="O71" s="27" t="n">
        <f aca="false">Allcargo!J146</f>
        <v>0.0244672454617206</v>
      </c>
      <c r="P71" s="62" t="n">
        <f aca="false">O71-N71</f>
        <v>-0.0335597510593066</v>
      </c>
      <c r="Q71" s="36" t="n">
        <f aca="false">Allcargo!D124</f>
        <v>1.38583722886884</v>
      </c>
      <c r="R71" s="36" t="n">
        <f aca="false">Allcargo!J124</f>
        <v>1.18548387096774</v>
      </c>
      <c r="S71" s="60" t="n">
        <f aca="false">R71-Q71</f>
        <v>-0.2003533579011</v>
      </c>
      <c r="T71" s="39" t="n">
        <f aca="false">Allcargo!D119</f>
        <v>57.1425450298384</v>
      </c>
      <c r="U71" s="39" t="n">
        <f aca="false">Allcargo!J119</f>
        <v>76.0860058309038</v>
      </c>
      <c r="V71" s="58" t="n">
        <f aca="false">U71-T71</f>
        <v>18.9434608010654</v>
      </c>
      <c r="W71" s="33" t="n">
        <f aca="false">Allcargo!D101</f>
        <v>0.7472340028895</v>
      </c>
      <c r="X71" s="33" t="n">
        <f aca="false">Allcargo!J101</f>
        <v>1.20731707317073</v>
      </c>
      <c r="Y71" s="56" t="n">
        <f aca="false">X71-W71</f>
        <v>0.460083070281232</v>
      </c>
      <c r="Z71" s="36" t="n">
        <f aca="false">Allcargo!D109</f>
        <v>3.79635828089436</v>
      </c>
      <c r="AA71" s="36" t="n">
        <f aca="false">Allcargo!J109</f>
        <v>0.5</v>
      </c>
      <c r="AB71" s="60" t="n">
        <f aca="false">AA71-Z71</f>
        <v>-3.29635828089436</v>
      </c>
      <c r="AC71" s="33" t="n">
        <f aca="false">Allcargo!D95</f>
        <v>1.645685933372</v>
      </c>
      <c r="AD71" s="33" t="n">
        <f aca="false">Allcargo!J95</f>
        <v>2.02558635394456</v>
      </c>
      <c r="AE71" s="56" t="n">
        <f aca="false">AD71-AC71</f>
        <v>0.379900420572568</v>
      </c>
    </row>
    <row r="72" customFormat="false" ht="15" hidden="false" customHeight="false" outlineLevel="0" collapsed="false">
      <c r="A72" s="16" t="s">
        <v>277</v>
      </c>
      <c r="B72" s="27" t="n">
        <f aca="false">BlueDart!D130</f>
        <v>0.149477344234724</v>
      </c>
      <c r="C72" s="27" t="n">
        <f aca="false">BlueDart!J130</f>
        <v>0.154808431364886</v>
      </c>
      <c r="D72" s="62" t="n">
        <f aca="false">C72-B72</f>
        <v>0.00533108713016164</v>
      </c>
      <c r="E72" s="27" t="n">
        <f aca="false">BlueDart!D131</f>
        <v>0.0400865476374196</v>
      </c>
      <c r="F72" s="27" t="n">
        <f aca="false">BlueDart!J131</f>
        <v>0.0675131251547011</v>
      </c>
      <c r="G72" s="62" t="n">
        <f aca="false">F72-E72</f>
        <v>0.0274265775172814</v>
      </c>
      <c r="H72" s="27" t="n">
        <f aca="false">BlueDart!D133</f>
        <v>-0.0131837121629666</v>
      </c>
      <c r="I72" s="27" t="n">
        <f aca="false">BlueDart!J133</f>
        <v>0.040285757090189</v>
      </c>
      <c r="J72" s="62" t="n">
        <f aca="false">I72-H72</f>
        <v>0.0534694692531556</v>
      </c>
      <c r="K72" s="27" t="n">
        <f aca="false">BlueDart!D142</f>
        <v>-0.0158513172194684</v>
      </c>
      <c r="L72" s="27" t="n">
        <f aca="false">BlueDart!J142</f>
        <v>0.0599464482595684</v>
      </c>
      <c r="M72" s="62" t="n">
        <f aca="false">L72-K72</f>
        <v>0.0757977654790368</v>
      </c>
      <c r="N72" s="27" t="n">
        <f aca="false">BlueDart!D146</f>
        <v>0.124682856107285</v>
      </c>
      <c r="O72" s="27" t="n">
        <f aca="false">BlueDart!J146</f>
        <v>0.107545302368686</v>
      </c>
      <c r="P72" s="62" t="n">
        <f aca="false">O72-N72</f>
        <v>-0.0171375537385989</v>
      </c>
      <c r="Q72" s="36" t="n">
        <f aca="false">BlueDart!D124</f>
        <v>1.20234096615028</v>
      </c>
      <c r="R72" s="36" t="n">
        <f aca="false">BlueDart!J124</f>
        <v>1.48803082254019</v>
      </c>
      <c r="S72" s="60" t="n">
        <f aca="false">R72-Q72</f>
        <v>0.285689856389913</v>
      </c>
      <c r="T72" s="39" t="n">
        <f aca="false">BlueDart!D119</f>
        <v>60.7231672403965</v>
      </c>
      <c r="U72" s="39" t="n">
        <f aca="false">BlueDart!J119</f>
        <v>54.5787004468415</v>
      </c>
      <c r="V72" s="58" t="n">
        <f aca="false">U72-T72</f>
        <v>-6.14446679355496</v>
      </c>
      <c r="W72" s="33" t="n">
        <f aca="false">BlueDart!D101</f>
        <v>1.07980359798708</v>
      </c>
      <c r="X72" s="33" t="n">
        <f aca="false">BlueDart!J101</f>
        <v>0.642661368842264</v>
      </c>
      <c r="Y72" s="56" t="n">
        <f aca="false">X72-W72</f>
        <v>-0.437142229144819</v>
      </c>
      <c r="Z72" s="36" t="n">
        <f aca="false">BlueDart!D109</f>
        <v>1.08434145510309</v>
      </c>
      <c r="AA72" s="36" t="n">
        <f aca="false">BlueDart!J109</f>
        <v>4.84107893507708</v>
      </c>
      <c r="AB72" s="60" t="n">
        <f aca="false">AA72-Z72</f>
        <v>3.75673747997399</v>
      </c>
      <c r="AC72" s="33" t="n">
        <f aca="false">BlueDart!D95</f>
        <v>0.591236820662239</v>
      </c>
      <c r="AD72" s="33" t="n">
        <f aca="false">BlueDart!J95</f>
        <v>1.36741383306294</v>
      </c>
      <c r="AE72" s="56" t="n">
        <f aca="false">AD72-AC72</f>
        <v>0.776177012400702</v>
      </c>
    </row>
    <row r="73" customFormat="false" ht="15" hidden="false" customHeight="false" outlineLevel="0" collapsed="false">
      <c r="A73" s="16" t="s">
        <v>58</v>
      </c>
      <c r="B73" s="27" t="n">
        <f aca="false">CONCOR!D130</f>
        <v>0.259441033831679</v>
      </c>
      <c r="C73" s="27" t="n">
        <f aca="false">CONCOR!J130</f>
        <v>0.214927464238785</v>
      </c>
      <c r="D73" s="62" t="n">
        <f aca="false">C73-B73</f>
        <v>-0.0445135695928946</v>
      </c>
      <c r="E73" s="27" t="n">
        <f aca="false">CONCOR!D131</f>
        <v>0.176073883621964</v>
      </c>
      <c r="F73" s="27" t="n">
        <f aca="false">CONCOR!J131</f>
        <v>0.147130125994469</v>
      </c>
      <c r="G73" s="62" t="n">
        <f aca="false">F73-E73</f>
        <v>-0.0289437576274952</v>
      </c>
      <c r="H73" s="27" t="n">
        <f aca="false">CONCOR!D133</f>
        <v>0.0617922382994884</v>
      </c>
      <c r="I73" s="27" t="n">
        <f aca="false">CONCOR!J133</f>
        <v>0.13677763006156</v>
      </c>
      <c r="J73" s="62" t="n">
        <f aca="false">I73-H73</f>
        <v>0.0749853917620715</v>
      </c>
      <c r="K73" s="27" t="n">
        <f aca="false">CONCOR!D142</f>
        <v>0.0342292149471191</v>
      </c>
      <c r="L73" s="27" t="n">
        <f aca="false">CONCOR!J142</f>
        <v>0.081827754487743</v>
      </c>
      <c r="M73" s="62" t="n">
        <f aca="false">L73-K73</f>
        <v>0.0475985395406239</v>
      </c>
      <c r="N73" s="27" t="n">
        <f aca="false">CONCOR!D146</f>
        <v>0.0847982243681524</v>
      </c>
      <c r="O73" s="27" t="n">
        <f aca="false">CONCOR!J146</f>
        <v>0.0724849883559436</v>
      </c>
      <c r="P73" s="62" t="n">
        <f aca="false">O73-N73</f>
        <v>-0.0123132360122088</v>
      </c>
      <c r="Q73" s="36" t="n">
        <f aca="false">CONCOR!D124</f>
        <v>0.553940363532721</v>
      </c>
      <c r="R73" s="36" t="n">
        <f aca="false">CONCOR!J124</f>
        <v>0.598253928298908</v>
      </c>
      <c r="S73" s="60" t="n">
        <f aca="false">R73-Q73</f>
        <v>0.0443135647661869</v>
      </c>
      <c r="T73" s="39" t="n">
        <f aca="false">CONCOR!D119</f>
        <v>9.20175582326611</v>
      </c>
      <c r="U73" s="39" t="n">
        <f aca="false">CONCOR!J119</f>
        <v>19.4975531365342</v>
      </c>
      <c r="V73" s="58" t="n">
        <f aca="false">U73-T73</f>
        <v>10.2957973132681</v>
      </c>
      <c r="W73" s="33" t="n">
        <f aca="false">CONCOR!D101</f>
        <v>0.00696787808204179</v>
      </c>
      <c r="X73" s="33" t="n">
        <f aca="false">CONCOR!J101</f>
        <v>0.0745281961931179</v>
      </c>
      <c r="Y73" s="56" t="n">
        <f aca="false">X73-W73</f>
        <v>0.0675603181110762</v>
      </c>
      <c r="Z73" s="36" t="n">
        <f aca="false">CONCOR!D109</f>
        <v>24.7590439276486</v>
      </c>
      <c r="AA73" s="36" t="n">
        <f aca="false">CONCOR!J109</f>
        <v>17.0099325098688</v>
      </c>
      <c r="AB73" s="60" t="n">
        <f aca="false">AA73-Z73</f>
        <v>-7.74911141777977</v>
      </c>
      <c r="AC73" s="33" t="n">
        <f aca="false">CONCOR!D95</f>
        <v>2.5701337988593</v>
      </c>
      <c r="AD73" s="33" t="n">
        <f aca="false">CONCOR!J95</f>
        <v>4.75113881752124</v>
      </c>
      <c r="AE73" s="56" t="n">
        <f aca="false">AD73-AC73</f>
        <v>2.18100501866194</v>
      </c>
    </row>
    <row r="74" customFormat="false" ht="15" hidden="false" customHeight="false" outlineLevel="0" collapsed="false">
      <c r="A74" s="16" t="s">
        <v>278</v>
      </c>
      <c r="B74" s="27" t="n">
        <f aca="false">JetFreight!D130</f>
        <v>-0.0117085862966177</v>
      </c>
      <c r="C74" s="27" t="n">
        <f aca="false">JetFreight!J130</f>
        <v>0.0373130967393262</v>
      </c>
      <c r="D74" s="62" t="n">
        <f aca="false">C74-B74</f>
        <v>0.0490216830359439</v>
      </c>
      <c r="E74" s="27" t="n">
        <f aca="false">JetFreight!D131</f>
        <v>-0.0159450263526588</v>
      </c>
      <c r="F74" s="27" t="n">
        <f aca="false">JetFreight!J131</f>
        <v>0.0330120698973158</v>
      </c>
      <c r="G74" s="62" t="n">
        <f aca="false">F74-E74</f>
        <v>0.0489570962499746</v>
      </c>
      <c r="H74" s="27" t="n">
        <f aca="false">JetFreight!D133</f>
        <v>-0.0285876309293482</v>
      </c>
      <c r="I74" s="27" t="n">
        <f aca="false">JetFreight!J133</f>
        <v>0.0153125562961629</v>
      </c>
      <c r="J74" s="62" t="n">
        <f aca="false">I74-H74</f>
        <v>0.0439001872255111</v>
      </c>
      <c r="K74" s="27" t="n">
        <f aca="false">JetFreight!D142</f>
        <v>-0.0975970846145086</v>
      </c>
      <c r="L74" s="27" t="n">
        <f aca="false">JetFreight!J142</f>
        <v>0.0350352929053532</v>
      </c>
      <c r="M74" s="62" t="n">
        <f aca="false">L74-K74</f>
        <v>0.132632377519862</v>
      </c>
      <c r="N74" s="27" t="n">
        <f aca="false">JetFreight!D146</f>
        <v>-0.0876420975430885</v>
      </c>
      <c r="O74" s="27" t="n">
        <f aca="false">JetFreight!J146</f>
        <v>0.0649408252757728</v>
      </c>
      <c r="P74" s="62" t="n">
        <f aca="false">O74-N74</f>
        <v>0.152582922818861</v>
      </c>
      <c r="Q74" s="36" t="n">
        <f aca="false">JetFreight!D124</f>
        <v>3.41396196332992</v>
      </c>
      <c r="R74" s="36" t="n">
        <f aca="false">JetFreight!J124</f>
        <v>2.28801071667783</v>
      </c>
      <c r="S74" s="60" t="n">
        <f aca="false">R74-Q74</f>
        <v>-1.12595124665209</v>
      </c>
      <c r="T74" s="39" t="n">
        <f aca="false">JetFreight!D119</f>
        <v>62.801721262259</v>
      </c>
      <c r="U74" s="39" t="n">
        <f aca="false">JetFreight!J119</f>
        <v>79.817037470726</v>
      </c>
      <c r="V74" s="58" t="n">
        <f aca="false">U74-T74</f>
        <v>17.015316208467</v>
      </c>
      <c r="W74" s="33" t="n">
        <f aca="false">JetFreight!D101</f>
        <v>2.15990730011588</v>
      </c>
      <c r="X74" s="33" t="n">
        <f aca="false">JetFreight!J101</f>
        <v>1.01758483308147</v>
      </c>
      <c r="Y74" s="56" t="n">
        <f aca="false">X74-W74</f>
        <v>-1.14232246703441</v>
      </c>
      <c r="Z74" s="36" t="n">
        <f aca="false">JetFreight!D109</f>
        <v>-1.04366812227075</v>
      </c>
      <c r="AA74" s="36" t="n">
        <f aca="false">JetFreight!J109</f>
        <v>2.09428571428571</v>
      </c>
      <c r="AB74" s="60" t="n">
        <f aca="false">AA74-Z74</f>
        <v>3.13795383655647</v>
      </c>
      <c r="AC74" s="33" t="n">
        <f aca="false">JetFreight!D95</f>
        <v>2.17703636910129</v>
      </c>
      <c r="AD74" s="33" t="n">
        <f aca="false">JetFreight!J95</f>
        <v>3.58818547533347</v>
      </c>
      <c r="AE74" s="56" t="n">
        <f aca="false">AD74-AC74</f>
        <v>1.41114910623218</v>
      </c>
    </row>
    <row r="75" customFormat="false" ht="15" hidden="false" customHeight="false" outlineLevel="0" collapsed="false">
      <c r="A75" s="16" t="s">
        <v>62</v>
      </c>
      <c r="B75" s="27" t="n">
        <f aca="false">Patel!D130</f>
        <v>0.0232866066031491</v>
      </c>
      <c r="C75" s="27" t="n">
        <f aca="false">Patel!J130</f>
        <v>0.0290362322898582</v>
      </c>
      <c r="D75" s="62" t="n">
        <f aca="false">C75-B75</f>
        <v>0.00574962568670907</v>
      </c>
      <c r="E75" s="27" t="n">
        <f aca="false">Patel!D131</f>
        <v>0.0120318931521834</v>
      </c>
      <c r="F75" s="27" t="n">
        <f aca="false">Patel!J131</f>
        <v>0.0218961751694012</v>
      </c>
      <c r="G75" s="62" t="n">
        <f aca="false">F75-E75</f>
        <v>0.00986428201721782</v>
      </c>
      <c r="H75" s="27" t="n">
        <f aca="false">Patel!D133</f>
        <v>0.0309144814484327</v>
      </c>
      <c r="I75" s="27" t="n">
        <f aca="false">Patel!J133</f>
        <v>0.0268802150417203</v>
      </c>
      <c r="J75" s="62" t="n">
        <f aca="false">I75-H75</f>
        <v>-0.00403426640671235</v>
      </c>
      <c r="K75" s="27" t="n">
        <f aca="false">Patel!D142</f>
        <v>0.0522907639125566</v>
      </c>
      <c r="L75" s="27" t="n">
        <f aca="false">Patel!J142</f>
        <v>0.0587803085966201</v>
      </c>
      <c r="M75" s="62" t="n">
        <f aca="false">L75-K75</f>
        <v>0.00648954468406353</v>
      </c>
      <c r="N75" s="27" t="n">
        <f aca="false">Patel!D146</f>
        <v>0.0194482464061436</v>
      </c>
      <c r="O75" s="27" t="n">
        <f aca="false">Patel!J146</f>
        <v>0.0560478457985823</v>
      </c>
      <c r="P75" s="62" t="n">
        <f aca="false">O75-N75</f>
        <v>0.0365995993924387</v>
      </c>
      <c r="Q75" s="36" t="n">
        <f aca="false">Patel!D124</f>
        <v>1.69146501777107</v>
      </c>
      <c r="R75" s="36" t="n">
        <f aca="false">Patel!J124</f>
        <v>2.18674993877051</v>
      </c>
      <c r="S75" s="60" t="n">
        <f aca="false">R75-Q75</f>
        <v>0.495284920999442</v>
      </c>
      <c r="T75" s="39" t="n">
        <f aca="false">Patel!D119</f>
        <v>93.2540801934314</v>
      </c>
      <c r="U75" s="39" t="n">
        <f aca="false">Patel!J119</f>
        <v>74.2795542364339</v>
      </c>
      <c r="V75" s="58" t="n">
        <f aca="false">U75-T75</f>
        <v>-18.9745259569975</v>
      </c>
      <c r="W75" s="33" t="n">
        <f aca="false">Patel!D101</f>
        <v>0.510123498277745</v>
      </c>
      <c r="X75" s="33" t="n">
        <f aca="false">Patel!J101</f>
        <v>0.0506800518134715</v>
      </c>
      <c r="Y75" s="56" t="n">
        <f aca="false">X75-W75</f>
        <v>-0.459443446464274</v>
      </c>
      <c r="Z75" s="36" t="n">
        <f aca="false">Patel!D109</f>
        <v>0.56562922868742</v>
      </c>
      <c r="AA75" s="36" t="n">
        <f aca="false">Patel!J109</f>
        <v>22.342857142857</v>
      </c>
      <c r="AB75" s="60" t="n">
        <f aca="false">AA75-Z75</f>
        <v>21.7772279141696</v>
      </c>
      <c r="AC75" s="33" t="n">
        <f aca="false">Patel!D95</f>
        <v>5.51911076443058</v>
      </c>
      <c r="AD75" s="33" t="n">
        <f aca="false">Patel!J95</f>
        <v>3.3649373881932</v>
      </c>
      <c r="AE75" s="56" t="n">
        <f aca="false">AD75-AC75</f>
        <v>-2.15417337623737</v>
      </c>
    </row>
    <row r="76" customFormat="false" ht="15" hidden="false" customHeight="false" outlineLevel="0" collapsed="false">
      <c r="A76" s="16" t="s">
        <v>66</v>
      </c>
      <c r="B76" s="27" t="n">
        <f aca="false">TCI!D130</f>
        <v>0.0888352515232685</v>
      </c>
      <c r="C76" s="27" t="n">
        <f aca="false">TCI!J130</f>
        <v>0.105557103545621</v>
      </c>
      <c r="D76" s="62" t="n">
        <f aca="false">C76-B76</f>
        <v>0.0167218520223521</v>
      </c>
      <c r="E76" s="27" t="n">
        <f aca="false">TCI!D131</f>
        <v>0.0584839431313102</v>
      </c>
      <c r="F76" s="27" t="n">
        <f aca="false">TCI!J131</f>
        <v>0.0796661222713287</v>
      </c>
      <c r="G76" s="62" t="n">
        <f aca="false">F76-E76</f>
        <v>0.0211821791400185</v>
      </c>
      <c r="H76" s="27" t="n">
        <f aca="false">TCI!D133</f>
        <v>0.0523798310422983</v>
      </c>
      <c r="I76" s="27" t="n">
        <f aca="false">TCI!J133</f>
        <v>0.0927946599088426</v>
      </c>
      <c r="J76" s="62" t="n">
        <f aca="false">I76-H76</f>
        <v>0.0404148288665443</v>
      </c>
      <c r="K76" s="27" t="n">
        <f aca="false">TCI!D142</f>
        <v>0.0845709668987477</v>
      </c>
      <c r="L76" s="27" t="n">
        <f aca="false">TCI!J142</f>
        <v>0.131036285203885</v>
      </c>
      <c r="M76" s="62" t="n">
        <f aca="false">L76-K76</f>
        <v>0.0464653183051376</v>
      </c>
      <c r="N76" s="27" t="n">
        <f aca="false">TCI!D146</f>
        <v>0.098929422417488</v>
      </c>
      <c r="O76" s="27" t="n">
        <f aca="false">TCI!J146</f>
        <v>0.125188537034692</v>
      </c>
      <c r="P76" s="62" t="n">
        <f aca="false">O76-N76</f>
        <v>0.0262591146172037</v>
      </c>
      <c r="Q76" s="36" t="n">
        <f aca="false">TCI!D124</f>
        <v>1.61457120452439</v>
      </c>
      <c r="R76" s="36" t="n">
        <f aca="false">TCI!J124</f>
        <v>1.41211019397678</v>
      </c>
      <c r="S76" s="60" t="n">
        <f aca="false">R76-Q76</f>
        <v>-0.202461010547609</v>
      </c>
      <c r="T76" s="39" t="n">
        <f aca="false">TCI!D119</f>
        <v>65.4433299973508</v>
      </c>
      <c r="U76" s="39" t="n">
        <f aca="false">TCI!J119</f>
        <v>60.6030788505462</v>
      </c>
      <c r="V76" s="58" t="n">
        <f aca="false">U76-T76</f>
        <v>-4.84025114680465</v>
      </c>
      <c r="W76" s="33" t="n">
        <f aca="false">TCI!D101</f>
        <v>0.41220248268857</v>
      </c>
      <c r="X76" s="33" t="n">
        <f aca="false">TCI!J101</f>
        <v>0.121746382487851</v>
      </c>
      <c r="Y76" s="56" t="n">
        <f aca="false">X76-W76</f>
        <v>-0.290456100200719</v>
      </c>
      <c r="Z76" s="36" t="n">
        <f aca="false">TCI!D109</f>
        <v>4.63141025641026</v>
      </c>
      <c r="AA76" s="36" t="n">
        <f aca="false">TCI!J109</f>
        <v>17.1873628784555</v>
      </c>
      <c r="AB76" s="60" t="n">
        <f aca="false">AA76-Z76</f>
        <v>12.5559526220452</v>
      </c>
      <c r="AC76" s="33" t="n">
        <f aca="false">TCI!D95</f>
        <v>3.17916420928469</v>
      </c>
      <c r="AD76" s="33" t="n">
        <f aca="false">TCI!J95</f>
        <v>2.41828094188609</v>
      </c>
      <c r="AE76" s="56" t="n">
        <f aca="false">AD76-AC76</f>
        <v>-0.760883267398599</v>
      </c>
    </row>
    <row r="77" customFormat="false" ht="15" hidden="false" customHeight="false" outlineLevel="0" collapsed="false">
      <c r="A77" s="16" t="s">
        <v>68</v>
      </c>
      <c r="B77" s="27" t="n">
        <f aca="false">Shreeji!D130</f>
        <v>0.0822727272727273</v>
      </c>
      <c r="C77" s="27" t="n">
        <f aca="false">Shreeji!J130</f>
        <v>0.0330786631951855</v>
      </c>
      <c r="D77" s="62" t="n">
        <f aca="false">C77-B77</f>
        <v>-0.0491940640775418</v>
      </c>
      <c r="E77" s="27" t="n">
        <f aca="false">Shreeji!D131</f>
        <v>0.0443636363636363</v>
      </c>
      <c r="F77" s="27" t="n">
        <f aca="false">Shreeji!J131</f>
        <v>0.0160058047718639</v>
      </c>
      <c r="G77" s="62" t="n">
        <f aca="false">F77-E77</f>
        <v>-0.0283578315917724</v>
      </c>
      <c r="H77" s="27" t="n">
        <f aca="false">Shreeji!D133</f>
        <v>0.0133636363636364</v>
      </c>
      <c r="I77" s="27" t="n">
        <f aca="false">Shreeji!J133</f>
        <v>0.013487558154424</v>
      </c>
      <c r="J77" s="62" t="n">
        <f aca="false">I77-H77</f>
        <v>0.000123921790787641</v>
      </c>
      <c r="K77" s="27" t="n">
        <f aca="false">Shreeji!D142</f>
        <v>0.0185255198487713</v>
      </c>
      <c r="L77" s="27" t="n">
        <f aca="false">Shreeji!J142</f>
        <v>0.0264390896921017</v>
      </c>
      <c r="M77" s="62" t="n">
        <f aca="false">L77-K77</f>
        <v>0.00791356984333047</v>
      </c>
      <c r="N77" s="27" t="n">
        <f aca="false">Shreeji!D146</f>
        <v>0.0460684836497212</v>
      </c>
      <c r="O77" s="27" t="n">
        <f aca="false">Shreeji!J146</f>
        <v>0.0332267087781319</v>
      </c>
      <c r="P77" s="62" t="n">
        <f aca="false">O77-N77</f>
        <v>-0.0128417748715893</v>
      </c>
      <c r="Q77" s="36" t="n">
        <f aca="false">Shreeji!D124</f>
        <v>1.38626339004411</v>
      </c>
      <c r="R77" s="36" t="n">
        <f aca="false">Shreeji!J124</f>
        <v>1.96025769745649</v>
      </c>
      <c r="S77" s="60" t="n">
        <f aca="false">R77-Q77</f>
        <v>0.573994307412384</v>
      </c>
      <c r="T77" s="39" t="n">
        <f aca="false">Shreeji!D119</f>
        <v>89.5245454545455</v>
      </c>
      <c r="U77" s="39" t="n">
        <f aca="false">Shreeji!J119</f>
        <v>115.90763583593</v>
      </c>
      <c r="V77" s="58" t="n">
        <f aca="false">U77-T77</f>
        <v>26.3830903813844</v>
      </c>
      <c r="W77" s="33" t="n">
        <f aca="false">Shreeji!D101</f>
        <v>1.80316831683168</v>
      </c>
      <c r="X77" s="33" t="n">
        <f aca="false">Shreeji!J101</f>
        <v>0.666611212776576</v>
      </c>
      <c r="Y77" s="56" t="n">
        <f aca="false">X77-W77</f>
        <v>-1.13655710405511</v>
      </c>
      <c r="Z77" s="36" t="n">
        <f aca="false">Shreeji!D109</f>
        <v>1.38243626062323</v>
      </c>
      <c r="AA77" s="36" t="n">
        <f aca="false">Shreeji!J109</f>
        <v>0.901442307692308</v>
      </c>
      <c r="AB77" s="60" t="n">
        <f aca="false">AA77-Z77</f>
        <v>-0.480993952930921</v>
      </c>
      <c r="AC77" s="33" t="n">
        <f aca="false">Shreeji!D95</f>
        <v>6.11435239206534</v>
      </c>
      <c r="AD77" s="33" t="n">
        <f aca="false">Shreeji!J95</f>
        <v>4.77197518097208</v>
      </c>
      <c r="AE77" s="56" t="n">
        <f aca="false">AD77-AC77</f>
        <v>-1.34237721109327</v>
      </c>
    </row>
    <row r="78" customFormat="false" ht="15" hidden="false" customHeight="false" outlineLevel="0" collapsed="false">
      <c r="A78" s="16" t="s">
        <v>279</v>
      </c>
      <c r="B78" s="27" t="n">
        <f aca="false">MahindraLog!D130</f>
        <v>0.0456564702086345</v>
      </c>
      <c r="C78" s="27" t="n">
        <f aca="false">MahindraLog!J130</f>
        <v>0.0541196976840541</v>
      </c>
      <c r="D78" s="62" t="n">
        <f aca="false">C78-B78</f>
        <v>0.00846322747541964</v>
      </c>
      <c r="E78" s="27" t="n">
        <f aca="false">MahindraLog!D131</f>
        <v>0.0245020367948281</v>
      </c>
      <c r="F78" s="27" t="n">
        <f aca="false">MahindraLog!J131</f>
        <v>0.0144200134299144</v>
      </c>
      <c r="G78" s="62" t="n">
        <f aca="false">F78-E78</f>
        <v>-0.0100820233649136</v>
      </c>
      <c r="H78" s="27" t="n">
        <f aca="false">MahindraLog!D133</f>
        <v>0.0158795093254666</v>
      </c>
      <c r="I78" s="27" t="n">
        <f aca="false">MahindraLog!J133</f>
        <v>0.000327175574700327</v>
      </c>
      <c r="J78" s="62" t="n">
        <f aca="false">I78-H78</f>
        <v>-0.0155523337507662</v>
      </c>
      <c r="K78" s="27" t="n">
        <f aca="false">MahindraLog!D142</f>
        <v>0.0387666685421707</v>
      </c>
      <c r="L78" s="27" t="n">
        <f aca="false">MahindraLog!J142</f>
        <v>0.000737517753566011</v>
      </c>
      <c r="M78" s="62" t="n">
        <f aca="false">L78-K78</f>
        <v>-0.0380291507886047</v>
      </c>
      <c r="N78" s="27" t="n">
        <f aca="false">MahindraLog!D146</f>
        <v>0.0778688227179318</v>
      </c>
      <c r="O78" s="27" t="n">
        <f aca="false">MahindraLog!J146</f>
        <v>0.0359879096534451</v>
      </c>
      <c r="P78" s="62" t="n">
        <f aca="false">O78-N78</f>
        <v>-0.0418809130644867</v>
      </c>
      <c r="Q78" s="36" t="n">
        <f aca="false">MahindraLog!D124</f>
        <v>2.44130141225454</v>
      </c>
      <c r="R78" s="36" t="n">
        <f aca="false">MahindraLog!J124</f>
        <v>2.25419563866139</v>
      </c>
      <c r="S78" s="60" t="n">
        <f aca="false">R78-Q78</f>
        <v>-0.187105773593154</v>
      </c>
      <c r="T78" s="39" t="n">
        <f aca="false">MahindraLog!D119</f>
        <v>56.3229803465144</v>
      </c>
      <c r="U78" s="39" t="n">
        <f aca="false">MahindraLog!J119</f>
        <v>35.9607889360365</v>
      </c>
      <c r="V78" s="58" t="n">
        <f aca="false">U78-T78</f>
        <v>-20.3621914104779</v>
      </c>
      <c r="W78" s="33" t="n">
        <f aca="false">MahindraLog!D101</f>
        <v>0.369595152850454</v>
      </c>
      <c r="X78" s="33" t="n">
        <f aca="false">MahindraLog!J101</f>
        <v>0.553082279235261</v>
      </c>
      <c r="Y78" s="56" t="n">
        <f aca="false">X78-W78</f>
        <v>0.183487126384807</v>
      </c>
      <c r="Z78" s="36" t="n">
        <f aca="false">MahindraLog!D109</f>
        <v>4.82416335791262</v>
      </c>
      <c r="AA78" s="36" t="n">
        <f aca="false">MahindraLog!J109</f>
        <v>1.34537456678219</v>
      </c>
      <c r="AB78" s="60" t="n">
        <f aca="false">AA78-Z78</f>
        <v>-3.47878879113043</v>
      </c>
      <c r="AC78" s="33" t="n">
        <f aca="false">MahindraLog!D95</f>
        <v>1.73504564352188</v>
      </c>
      <c r="AD78" s="33" t="n">
        <f aca="false">MahindraLog!J95</f>
        <v>1.41224384605773</v>
      </c>
      <c r="AE78" s="56" t="n">
        <f aca="false">AD78-AC78</f>
        <v>-0.322801797464147</v>
      </c>
    </row>
    <row r="80" customFormat="false" ht="19.5" hidden="false" customHeight="true" outlineLevel="0" collapsed="false">
      <c r="A80" s="3" t="s">
        <v>472</v>
      </c>
      <c r="B80" s="3"/>
      <c r="C80" s="3"/>
      <c r="D80" s="3"/>
      <c r="E80" s="3"/>
      <c r="F80" s="3"/>
      <c r="G80" s="3"/>
      <c r="H80" s="3"/>
      <c r="I80" s="3"/>
      <c r="J80" s="3"/>
      <c r="K80" s="3"/>
    </row>
    <row r="81" customFormat="false" ht="42" hidden="false" customHeight="true" outlineLevel="0" collapsed="false">
      <c r="A81" s="7" t="s">
        <v>441</v>
      </c>
      <c r="B81" s="7" t="s">
        <v>473</v>
      </c>
      <c r="C81" s="7" t="s">
        <v>230</v>
      </c>
      <c r="D81" s="7" t="s">
        <v>233</v>
      </c>
      <c r="E81" s="7" t="s">
        <v>474</v>
      </c>
      <c r="F81" s="7" t="s">
        <v>475</v>
      </c>
      <c r="G81" s="7" t="s">
        <v>476</v>
      </c>
      <c r="H81" s="7" t="s">
        <v>477</v>
      </c>
      <c r="I81" s="7" t="s">
        <v>478</v>
      </c>
      <c r="J81" s="7" t="s">
        <v>479</v>
      </c>
      <c r="K81" s="7" t="s">
        <v>480</v>
      </c>
    </row>
    <row r="82" customFormat="false" ht="15" hidden="false" customHeight="false" outlineLevel="0" collapsed="false">
      <c r="A82" s="16" t="s">
        <v>52</v>
      </c>
      <c r="B82" s="26" t="n">
        <f aca="false">Tiger!D7</f>
        <v>301.48</v>
      </c>
      <c r="C82" s="26" t="n">
        <f aca="false">Tiger!J7</f>
        <v>572.82</v>
      </c>
      <c r="D82" s="71" t="n">
        <f aca="false">(C82/B82)^(1/6)-1</f>
        <v>0.112909742792013</v>
      </c>
      <c r="E82" s="27" t="n">
        <f aca="false">Tiger!K146</f>
        <v>0.0947121090363094</v>
      </c>
      <c r="F82" s="71" t="n">
        <f aca="false">STDEV(Tiger!D146:J146)</f>
        <v>0.204378391382162</v>
      </c>
      <c r="G82" s="70" t="n">
        <f aca="false">IF(ABS(E82)&gt;0,F82/ABS(E82),"N/M")</f>
        <v>2.15789082791737</v>
      </c>
      <c r="H82" s="27" t="n">
        <f aca="false">Tiger!K130</f>
        <v>0.0296294891022505</v>
      </c>
      <c r="I82" s="71" t="n">
        <f aca="false">STDEV(Tiger!D130:J130)</f>
        <v>0.0500359369570314</v>
      </c>
      <c r="J82" s="33" t="n">
        <f aca="false">Tiger!K101</f>
        <v>0.246617868662109</v>
      </c>
      <c r="K82" s="68" t="n">
        <f aca="false">COUNTIF(Tiger!D30:J30,"&lt;0")</f>
        <v>2</v>
      </c>
    </row>
    <row r="83" customFormat="false" ht="15" hidden="false" customHeight="false" outlineLevel="0" collapsed="false">
      <c r="A83" s="16" t="s">
        <v>54</v>
      </c>
      <c r="B83" s="26" t="n">
        <f aca="false">Allcargo!D7</f>
        <v>7346.24</v>
      </c>
      <c r="C83" s="26" t="n">
        <f aca="false">Allcargo!J7</f>
        <v>2058</v>
      </c>
      <c r="D83" s="71" t="n">
        <f aca="false">(C83/B83)^(1/6)-1</f>
        <v>-0.191096509123018</v>
      </c>
      <c r="E83" s="27" t="n">
        <f aca="false">Allcargo!K146</f>
        <v>0.0670701522478528</v>
      </c>
      <c r="F83" s="71" t="n">
        <f aca="false">STDEV(Allcargo!D146:J146)</f>
        <v>0.061725631118186</v>
      </c>
      <c r="G83" s="70" t="n">
        <f aca="false">IF(ABS(E83)&gt;0,F83/ABS(E83),"N/M")</f>
        <v>0.920314462535935</v>
      </c>
      <c r="H83" s="27" t="n">
        <f aca="false">Allcargo!K130</f>
        <v>0.0736079812006185</v>
      </c>
      <c r="I83" s="71" t="n">
        <f aca="false">STDEV(Allcargo!D130:J130)</f>
        <v>0.0265141191049812</v>
      </c>
      <c r="J83" s="33" t="n">
        <f aca="false">Allcargo!K101</f>
        <v>0.876121631518016</v>
      </c>
      <c r="K83" s="68" t="n">
        <f aca="false">COUNTIF(Allcargo!D30:J30,"&lt;0")</f>
        <v>0</v>
      </c>
    </row>
    <row r="84" customFormat="false" ht="15" hidden="false" customHeight="false" outlineLevel="0" collapsed="false">
      <c r="A84" s="16" t="s">
        <v>277</v>
      </c>
      <c r="B84" s="26" t="n">
        <f aca="false">BlueDart!D7</f>
        <v>3175.13</v>
      </c>
      <c r="C84" s="26" t="n">
        <f aca="false">BlueDart!J7</f>
        <v>6140.88</v>
      </c>
      <c r="D84" s="71" t="n">
        <f aca="false">(C84/B84)^(1/6)-1</f>
        <v>0.116207277972064</v>
      </c>
      <c r="E84" s="27" t="n">
        <f aca="false">BlueDart!K146</f>
        <v>0.138332113655419</v>
      </c>
      <c r="F84" s="71" t="n">
        <f aca="false">STDEV(BlueDart!D146:J146)</f>
        <v>0.0491605428483664</v>
      </c>
      <c r="G84" s="70" t="n">
        <f aca="false">IF(ABS(E84)&gt;0,F84/ABS(E84),"N/M")</f>
        <v>0.355380551553082</v>
      </c>
      <c r="H84" s="27" t="n">
        <f aca="false">BlueDart!K130</f>
        <v>0.176589920097321</v>
      </c>
      <c r="I84" s="71" t="n">
        <f aca="false">STDEV(BlueDart!D130:J130)</f>
        <v>0.0303887311697073</v>
      </c>
      <c r="J84" s="33" t="n">
        <f aca="false">BlueDart!K101</f>
        <v>1.12807548770916</v>
      </c>
      <c r="K84" s="68" t="n">
        <f aca="false">COUNTIF(BlueDart!D30:J30,"&lt;0")</f>
        <v>1</v>
      </c>
    </row>
    <row r="85" customFormat="false" ht="15" hidden="false" customHeight="false" outlineLevel="0" collapsed="false">
      <c r="A85" s="16" t="s">
        <v>58</v>
      </c>
      <c r="B85" s="26" t="n">
        <f aca="false">CONCOR!D7</f>
        <v>6530.27</v>
      </c>
      <c r="C85" s="26" t="n">
        <f aca="false">CONCOR!J7</f>
        <v>9078.97</v>
      </c>
      <c r="D85" s="71" t="n">
        <f aca="false">(C85/B85)^(1/6)-1</f>
        <v>0.0564547671940603</v>
      </c>
      <c r="E85" s="27" t="n">
        <f aca="false">CONCOR!K146</f>
        <v>0.0722517146118656</v>
      </c>
      <c r="F85" s="71" t="n">
        <f aca="false">STDEV(CONCOR!D146:J146)</f>
        <v>0.0174409520849409</v>
      </c>
      <c r="G85" s="70" t="n">
        <f aca="false">IF(ABS(E85)&gt;0,F85/ABS(E85),"N/M")</f>
        <v>0.24139153207136</v>
      </c>
      <c r="H85" s="27" t="n">
        <f aca="false">CONCOR!K130</f>
        <v>0.219710191657969</v>
      </c>
      <c r="I85" s="71" t="n">
        <f aca="false">STDEV(CONCOR!D130:J130)</f>
        <v>0.0289497698342975</v>
      </c>
      <c r="J85" s="33" t="n">
        <f aca="false">CONCOR!K101</f>
        <v>0.0627363663295786</v>
      </c>
      <c r="K85" s="68" t="n">
        <f aca="false">COUNTIF(CONCOR!D30:J30,"&lt;0")</f>
        <v>0</v>
      </c>
    </row>
    <row r="86" customFormat="false" ht="15" hidden="false" customHeight="false" outlineLevel="0" collapsed="false">
      <c r="A86" s="16" t="s">
        <v>278</v>
      </c>
      <c r="B86" s="26" t="n">
        <f aca="false">JetFreight!D7</f>
        <v>299.78</v>
      </c>
      <c r="C86" s="26" t="n">
        <f aca="false">JetFreight!J7</f>
        <v>444.08</v>
      </c>
      <c r="D86" s="71" t="n">
        <f aca="false">(C86/B86)^(1/6)-1</f>
        <v>0.0676848816292732</v>
      </c>
      <c r="E86" s="27" t="n">
        <f aca="false">JetFreight!K146</f>
        <v>0.0366164757463595</v>
      </c>
      <c r="F86" s="71" t="n">
        <f aca="false">STDEV(JetFreight!D146:J146)</f>
        <v>0.0588959134076088</v>
      </c>
      <c r="G86" s="70" t="n">
        <f aca="false">IF(ABS(E86)&gt;0,F86/ABS(E86),"N/M")</f>
        <v>1.60845390516493</v>
      </c>
      <c r="H86" s="27" t="n">
        <f aca="false">JetFreight!K130</f>
        <v>0.0204533994732436</v>
      </c>
      <c r="I86" s="71" t="n">
        <f aca="false">STDEV(JetFreight!D130:J130)</f>
        <v>0.0160608383080924</v>
      </c>
      <c r="J86" s="33" t="n">
        <f aca="false">JetFreight!K101</f>
        <v>1.35508447694488</v>
      </c>
      <c r="K86" s="68" t="n">
        <f aca="false">COUNTIF(JetFreight!D30:J30,"&lt;0")</f>
        <v>1</v>
      </c>
    </row>
    <row r="87" customFormat="false" ht="15" hidden="false" customHeight="false" outlineLevel="0" collapsed="false">
      <c r="A87" s="16" t="s">
        <v>62</v>
      </c>
      <c r="B87" s="26" t="n">
        <f aca="false">Patel!D7</f>
        <v>347.41</v>
      </c>
      <c r="C87" s="26" t="n">
        <f aca="false">Patel!J7</f>
        <v>357.14</v>
      </c>
      <c r="D87" s="71" t="n">
        <f aca="false">(C87/B87)^(1/6)-1</f>
        <v>0.00461431717758476</v>
      </c>
      <c r="E87" s="27" t="n">
        <f aca="false">Patel!K146</f>
        <v>0.0363685048149608</v>
      </c>
      <c r="F87" s="71" t="n">
        <f aca="false">STDEV(Patel!D146:J146)</f>
        <v>0.0167937345953962</v>
      </c>
      <c r="G87" s="70" t="n">
        <f aca="false">IF(ABS(E87)&gt;0,F87/ABS(E87),"N/M")</f>
        <v>0.461765879043998</v>
      </c>
      <c r="H87" s="27" t="n">
        <f aca="false">Patel!K130</f>
        <v>0.0290875003340588</v>
      </c>
      <c r="I87" s="71" t="n">
        <f aca="false">STDEV(Patel!D130:J130)</f>
        <v>0.00500501928488848</v>
      </c>
      <c r="J87" s="33" t="n">
        <f aca="false">Patel!K101</f>
        <v>0.296341736249049</v>
      </c>
      <c r="K87" s="68" t="n">
        <f aca="false">COUNTIF(Patel!D30:J30,"&lt;0")</f>
        <v>0</v>
      </c>
    </row>
    <row r="88" customFormat="false" ht="15" hidden="false" customHeight="false" outlineLevel="0" collapsed="false">
      <c r="A88" s="16" t="s">
        <v>64</v>
      </c>
      <c r="B88" s="26" t="n">
        <f aca="false">Sical!D7</f>
        <v>1005.84</v>
      </c>
      <c r="C88" s="26" t="n">
        <f aca="false">Sical!J7</f>
        <v>385.68</v>
      </c>
      <c r="D88" s="71" t="n">
        <f aca="false">(C88/B88)^(1/6)-1</f>
        <v>-0.147653132647043</v>
      </c>
      <c r="E88" s="27" t="n">
        <f aca="false">Sical!K146</f>
        <v>-0.0610790754385789</v>
      </c>
      <c r="F88" s="71" t="n">
        <f aca="false">STDEV(Sical!D146:J146)</f>
        <v>0.0663613733546146</v>
      </c>
      <c r="G88" s="70" t="n">
        <f aca="false">IF(ABS(E88)&gt;0,F88/ABS(E88),"N/M")</f>
        <v>1.08648293835665</v>
      </c>
      <c r="H88" s="27" t="n">
        <f aca="false">Sical!K130</f>
        <v>0.0417206117780169</v>
      </c>
      <c r="I88" s="71" t="n">
        <f aca="false">STDEV(Sical!D130:J130)</f>
        <v>0.102044127014939</v>
      </c>
      <c r="J88" s="33" t="n">
        <f aca="false">Sical!K101</f>
        <v>8.24788366174122</v>
      </c>
      <c r="K88" s="68" t="n">
        <f aca="false">COUNTIF(Sical!D30:J30,"&lt;0")</f>
        <v>6</v>
      </c>
    </row>
    <row r="89" customFormat="false" ht="15" hidden="false" customHeight="false" outlineLevel="0" collapsed="false">
      <c r="A89" s="16" t="s">
        <v>66</v>
      </c>
      <c r="B89" s="26" t="n">
        <f aca="false">TCI!D7</f>
        <v>2717.84</v>
      </c>
      <c r="C89" s="26" t="n">
        <f aca="false">TCI!J7</f>
        <v>4916.77</v>
      </c>
      <c r="D89" s="71" t="n">
        <f aca="false">(C89/B89)^(1/6)-1</f>
        <v>0.103848150926249</v>
      </c>
      <c r="E89" s="27" t="n">
        <f aca="false">TCI!K146</f>
        <v>0.127819581714764</v>
      </c>
      <c r="F89" s="71" t="n">
        <f aca="false">STDEV(TCI!D146:J146)</f>
        <v>0.0266453480049315</v>
      </c>
      <c r="G89" s="70" t="n">
        <f aca="false">IF(ABS(E89)&gt;0,F89/ABS(E89),"N/M")</f>
        <v>0.208460610240393</v>
      </c>
      <c r="H89" s="27" t="n">
        <f aca="false">TCI!K130</f>
        <v>0.104606363976023</v>
      </c>
      <c r="I89" s="71" t="n">
        <f aca="false">STDEV(TCI!D130:J130)</f>
        <v>0.012309610412808</v>
      </c>
      <c r="J89" s="33" t="n">
        <f aca="false">TCI!K101</f>
        <v>0.159776229534098</v>
      </c>
      <c r="K89" s="68" t="n">
        <f aca="false">COUNTIF(TCI!D30:J30,"&lt;0")</f>
        <v>0</v>
      </c>
    </row>
    <row r="90" customFormat="false" ht="15" hidden="false" customHeight="false" outlineLevel="0" collapsed="false">
      <c r="A90" s="16" t="s">
        <v>68</v>
      </c>
      <c r="B90" s="26" t="n">
        <f aca="false">Shreeji!D7</f>
        <v>110</v>
      </c>
      <c r="C90" s="26" t="n">
        <f aca="false">Shreeji!J7</f>
        <v>234.29</v>
      </c>
      <c r="D90" s="71" t="n">
        <f aca="false">(C90/B90)^(1/6)-1</f>
        <v>0.134297159525222</v>
      </c>
      <c r="E90" s="27" t="n">
        <f aca="false">Shreeji!K146</f>
        <v>0.0735789897651031</v>
      </c>
      <c r="F90" s="71" t="n">
        <f aca="false">STDEV(Shreeji!D146:J146)</f>
        <v>0.0469531598751036</v>
      </c>
      <c r="G90" s="70" t="n">
        <f aca="false">IF(ABS(E90)&gt;0,F90/ABS(E90),"N/M")</f>
        <v>0.638132706428819</v>
      </c>
      <c r="H90" s="27" t="n">
        <f aca="false">Shreeji!K130</f>
        <v>0.0721030232812661</v>
      </c>
      <c r="I90" s="71" t="n">
        <f aca="false">STDEV(Shreeji!D130:J130)</f>
        <v>0.0278261937088038</v>
      </c>
      <c r="J90" s="33" t="n">
        <f aca="false">Shreeji!K101</f>
        <v>1.21796894224654</v>
      </c>
      <c r="K90" s="68" t="n">
        <f aca="false">COUNTIF(Shreeji!D30:J30,"&lt;0")</f>
        <v>1</v>
      </c>
    </row>
    <row r="91" customFormat="false" ht="15" hidden="false" customHeight="false" outlineLevel="0" collapsed="false">
      <c r="A91" s="16" t="s">
        <v>279</v>
      </c>
      <c r="B91" s="26" t="n">
        <f aca="false">MahindraLog!D7</f>
        <v>3471.14</v>
      </c>
      <c r="C91" s="26" t="n">
        <f aca="false">MahindraLog!J7</f>
        <v>6999.3</v>
      </c>
      <c r="D91" s="71" t="n">
        <f aca="false">(C91/B91)^(1/6)-1</f>
        <v>0.123993361855835</v>
      </c>
      <c r="E91" s="27" t="n">
        <f aca="false">MahindraLog!K146</f>
        <v>0.0408182706498748</v>
      </c>
      <c r="F91" s="71" t="n">
        <f aca="false">STDEV(MahindraLog!D146:J146)</f>
        <v>0.0185396729540215</v>
      </c>
      <c r="G91" s="70" t="n">
        <f aca="false">IF(ABS(E91)&gt;0,F91/ABS(E91),"N/M")</f>
        <v>0.454200353391954</v>
      </c>
      <c r="H91" s="27" t="n">
        <f aca="false">MahindraLog!K130</f>
        <v>0.046407246628758</v>
      </c>
      <c r="I91" s="71" t="n">
        <f aca="false">STDEV(MahindraLog!D130:J130)</f>
        <v>0.00461800918717196</v>
      </c>
      <c r="J91" s="33" t="n">
        <f aca="false">MahindraLog!K101</f>
        <v>1.01480623740329</v>
      </c>
      <c r="K91" s="68" t="n">
        <f aca="false">COUNTIF(MahindraLog!D30:J30,"&lt;0")</f>
        <v>2</v>
      </c>
    </row>
    <row r="92" customFormat="false" ht="15" hidden="false" customHeight="false" outlineLevel="0" collapsed="false">
      <c r="A92" s="46" t="s">
        <v>328</v>
      </c>
      <c r="B92" s="78" t="n">
        <f aca="false">Industry!D7</f>
        <v>25305.13</v>
      </c>
      <c r="C92" s="78" t="n">
        <f aca="false">Industry!J7</f>
        <v>31187.93</v>
      </c>
      <c r="D92" s="79" t="n">
        <f aca="false">(C92/B92)^(1/6)-1</f>
        <v>0.035451264975801</v>
      </c>
      <c r="E92" s="80" t="n">
        <f aca="false">Industry!K147</f>
        <v>0.0752709202064833</v>
      </c>
      <c r="F92" s="79" t="n">
        <f aca="false">STDEV(Industry!D147:J147)</f>
        <v>0.0213183465657968</v>
      </c>
      <c r="G92" s="81" t="n">
        <f aca="false">IF(ABS(E92)&gt;0,F92/ABS(E92),"N/M")</f>
        <v>0.283221548339204</v>
      </c>
      <c r="H92" s="80" t="n">
        <f aca="false">Industry!K131</f>
        <v>0.117406437069754</v>
      </c>
      <c r="I92" s="79" t="n">
        <f aca="false">STDEV(Industry!D131:J131)</f>
        <v>0.0127436534395819</v>
      </c>
      <c r="J92" s="82" t="n">
        <f aca="false">Industry!K102</f>
        <v>0.309637219356156</v>
      </c>
      <c r="K92" s="83" t="n">
        <f aca="false">COUNTIF(Industry!D30:J30,"&lt;0")</f>
        <v>1</v>
      </c>
    </row>
    <row r="94" customFormat="false" ht="25.5" hidden="false" customHeight="true" outlineLevel="0" collapsed="false">
      <c r="A94" s="18" t="s">
        <v>481</v>
      </c>
      <c r="B94" s="18"/>
      <c r="C94" s="18"/>
      <c r="D94" s="18"/>
      <c r="E94" s="18"/>
      <c r="F94" s="18"/>
      <c r="G94" s="18"/>
      <c r="H94" s="18"/>
      <c r="I94" s="18"/>
      <c r="J94" s="18"/>
      <c r="K94" s="18"/>
    </row>
  </sheetData>
  <mergeCells count="18">
    <mergeCell ref="A1:M1"/>
    <mergeCell ref="A2:M2"/>
    <mergeCell ref="A4:M4"/>
    <mergeCell ref="A25:M25"/>
    <mergeCell ref="A27:L27"/>
    <mergeCell ref="A41:L41"/>
    <mergeCell ref="A42:L42"/>
    <mergeCell ref="A43:L43"/>
    <mergeCell ref="A44:L44"/>
    <mergeCell ref="A45:L45"/>
    <mergeCell ref="A47:K47"/>
    <mergeCell ref="A60:K60"/>
    <mergeCell ref="A61:K61"/>
    <mergeCell ref="A62:K62"/>
    <mergeCell ref="A63:K63"/>
    <mergeCell ref="A68:K68"/>
    <mergeCell ref="A80:K80"/>
    <mergeCell ref="A94:K94"/>
  </mergeCells>
  <conditionalFormatting sqref="B29:L39">
    <cfRule type="expression" priority="2" aboveAverage="0" equalAverage="0" bottom="0" percent="0" rank="0" text="" dxfId="0">
      <formula>AND(ISNUMBER(B29),B29&gt;=0.5,B29&lt;0.9999)</formula>
    </cfRule>
    <cfRule type="expression" priority="3" aboveAverage="0" equalAverage="0" bottom="0" percent="0" rank="0" text="" dxfId="1">
      <formula>AND(ISNUMBER(B29),B29&lt;=-0.5)</formula>
    </cfRule>
  </conditionalFormatting>
  <conditionalFormatting sqref="J49:J58">
    <cfRule type="expression" priority="4" aboveAverage="0" equalAverage="0" bottom="0" percent="0" rank="0" text="" dxfId="0">
      <formula>J49="Significant change"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B6CB0"/>
    <pageSetUpPr fitToPage="false"/>
  </sheetPr>
  <dimension ref="A1:T7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20" min="3" style="0" width="12"/>
  </cols>
  <sheetData>
    <row r="1" customFormat="false" ht="42" hidden="false" customHeight="true" outlineLevel="0" collapsed="false">
      <c r="A1" s="7" t="s">
        <v>441</v>
      </c>
      <c r="B1" s="7" t="s">
        <v>482</v>
      </c>
      <c r="C1" s="7" t="s">
        <v>402</v>
      </c>
      <c r="D1" s="7" t="s">
        <v>403</v>
      </c>
      <c r="E1" s="7" t="s">
        <v>404</v>
      </c>
      <c r="F1" s="7" t="s">
        <v>95</v>
      </c>
      <c r="G1" s="7" t="s">
        <v>405</v>
      </c>
      <c r="H1" s="7" t="s">
        <v>406</v>
      </c>
      <c r="I1" s="7" t="s">
        <v>113</v>
      </c>
      <c r="J1" s="7" t="s">
        <v>407</v>
      </c>
      <c r="K1" s="7" t="s">
        <v>408</v>
      </c>
      <c r="L1" s="7" t="s">
        <v>298</v>
      </c>
      <c r="M1" s="7" t="s">
        <v>299</v>
      </c>
      <c r="N1" s="7" t="s">
        <v>300</v>
      </c>
      <c r="O1" s="7" t="s">
        <v>409</v>
      </c>
      <c r="P1" s="7" t="s">
        <v>410</v>
      </c>
      <c r="Q1" s="7" t="s">
        <v>411</v>
      </c>
      <c r="R1" s="7" t="s">
        <v>412</v>
      </c>
      <c r="S1" s="7" t="s">
        <v>413</v>
      </c>
      <c r="T1" s="7" t="s">
        <v>311</v>
      </c>
    </row>
    <row r="2" customFormat="false" ht="15" hidden="false" customHeight="false" outlineLevel="0" collapsed="false">
      <c r="A2" s="16" t="s">
        <v>52</v>
      </c>
      <c r="B2" s="19" t="n">
        <v>2020</v>
      </c>
      <c r="C2" s="26" t="n">
        <f aca="false">Tiger!D7</f>
        <v>301.48</v>
      </c>
      <c r="D2" s="26" t="n">
        <f aca="false">Tiger!D49</f>
        <v>105.11</v>
      </c>
      <c r="E2" s="27" t="n">
        <f aca="false">Tiger!D45/Tiger!D49</f>
        <v>0.0917134430596518</v>
      </c>
      <c r="F2" s="33" t="n">
        <f aca="false">Tiger!D95</f>
        <v>6.04701397712834</v>
      </c>
      <c r="G2" s="33" t="n">
        <f aca="false">Tiger!D96</f>
        <v>4.54637865311309</v>
      </c>
      <c r="H2" s="33" t="n">
        <f aca="false">Tiger!D101</f>
        <v>0.695825426944972</v>
      </c>
      <c r="I2" s="36" t="n">
        <f aca="false">Tiger!D109</f>
        <v>-2.11036036036034</v>
      </c>
      <c r="J2" s="39" t="n">
        <f aca="false">Tiger!D119</f>
        <v>79.3246649860687</v>
      </c>
      <c r="K2" s="36" t="n">
        <f aca="false">Tiger!D124</f>
        <v>2.86823327942156</v>
      </c>
      <c r="L2" s="27" t="n">
        <f aca="false">Tiger!D130</f>
        <v>-0.027829375082924</v>
      </c>
      <c r="M2" s="27" t="n">
        <f aca="false">Tiger!D131</f>
        <v>-0.0310800053071512</v>
      </c>
      <c r="N2" s="27" t="n">
        <f aca="false">Tiger!D133</f>
        <v>-0.0409314050683296</v>
      </c>
      <c r="O2" s="27" t="n">
        <f aca="false">Tiger!D142</f>
        <v>-0.117400818190467</v>
      </c>
      <c r="P2" s="27" t="n">
        <f aca="false">Tiger!D146</f>
        <v>-0.104845026295177</v>
      </c>
      <c r="Q2" s="27" t="n">
        <f aca="false">Tiger!D147</f>
        <v>-0.23415559772296</v>
      </c>
      <c r="R2" s="36" t="str">
        <f aca="false">Tiger!D158</f>
        <v>N/M</v>
      </c>
      <c r="S2" s="36" t="n">
        <f aca="false">Tiger!D159</f>
        <v>0.599702087286528</v>
      </c>
      <c r="T2" s="36" t="str">
        <f aca="false">Tiger!D160</f>
        <v>N/M</v>
      </c>
    </row>
    <row r="3" customFormat="false" ht="15" hidden="false" customHeight="false" outlineLevel="0" collapsed="false">
      <c r="A3" s="16" t="s">
        <v>52</v>
      </c>
      <c r="B3" s="19" t="n">
        <v>2021</v>
      </c>
      <c r="C3" s="26" t="n">
        <f aca="false">Tiger!E7</f>
        <v>167.87</v>
      </c>
      <c r="D3" s="26" t="n">
        <f aca="false">Tiger!E49</f>
        <v>83.85</v>
      </c>
      <c r="E3" s="27" t="n">
        <f aca="false">Tiger!E45/Tiger!E49</f>
        <v>0.102802623732856</v>
      </c>
      <c r="F3" s="33" t="n">
        <f aca="false">Tiger!E95</f>
        <v>2.78966926793014</v>
      </c>
      <c r="G3" s="33" t="n">
        <f aca="false">Tiger!E96</f>
        <v>1.87848383500557</v>
      </c>
      <c r="H3" s="33" t="n">
        <f aca="false">Tiger!E101</f>
        <v>0.356360171510243</v>
      </c>
      <c r="I3" s="36" t="n">
        <f aca="false">Tiger!E109</f>
        <v>-5.29591836734693</v>
      </c>
      <c r="J3" s="39" t="n">
        <f aca="false">Tiger!E119</f>
        <v>93.8645976052898</v>
      </c>
      <c r="K3" s="36" t="n">
        <f aca="false">Tiger!E124</f>
        <v>2.00202742993441</v>
      </c>
      <c r="L3" s="27" t="n">
        <f aca="false">Tiger!E130</f>
        <v>-0.0565318401143741</v>
      </c>
      <c r="M3" s="27" t="n">
        <f aca="false">Tiger!E131</f>
        <v>-0.0618335616846368</v>
      </c>
      <c r="N3" s="27" t="n">
        <f aca="false">Tiger!E133</f>
        <v>-0.0739858223625425</v>
      </c>
      <c r="O3" s="27" t="n">
        <f aca="false">Tiger!E142</f>
        <v>-0.148121645796064</v>
      </c>
      <c r="P3" s="27" t="n">
        <f aca="false">Tiger!E146</f>
        <v>-0.182297154899894</v>
      </c>
      <c r="Q3" s="27" t="n">
        <f aca="false">Tiger!E147</f>
        <v>-0.295855169128156</v>
      </c>
      <c r="R3" s="36" t="str">
        <f aca="false">Tiger!E158</f>
        <v>N/M</v>
      </c>
      <c r="S3" s="36" t="n">
        <f aca="false">Tiger!E159</f>
        <v>1.0675750357313</v>
      </c>
      <c r="T3" s="36" t="str">
        <f aca="false">Tiger!E160</f>
        <v>N/M</v>
      </c>
    </row>
    <row r="4" customFormat="false" ht="15" hidden="false" customHeight="false" outlineLevel="0" collapsed="false">
      <c r="A4" s="16" t="s">
        <v>52</v>
      </c>
      <c r="B4" s="19" t="n">
        <v>2022</v>
      </c>
      <c r="C4" s="26" t="n">
        <f aca="false">Tiger!F7</f>
        <v>615.11</v>
      </c>
      <c r="D4" s="26" t="n">
        <f aca="false">Tiger!F49</f>
        <v>121.25</v>
      </c>
      <c r="E4" s="27" t="n">
        <f aca="false">Tiger!F45/Tiger!F49</f>
        <v>0.0647422680412371</v>
      </c>
      <c r="F4" s="33" t="n">
        <f aca="false">Tiger!F95</f>
        <v>2.3105510465613</v>
      </c>
      <c r="G4" s="33" t="n">
        <f aca="false">Tiger!F96</f>
        <v>2.14053823152499</v>
      </c>
      <c r="H4" s="33" t="n">
        <f aca="false">Tiger!F101</f>
        <v>0</v>
      </c>
      <c r="I4" s="36" t="n">
        <f aca="false">Tiger!F109</f>
        <v>24.3708609271523</v>
      </c>
      <c r="J4" s="39" t="n">
        <f aca="false">Tiger!F119</f>
        <v>40.7421436816179</v>
      </c>
      <c r="K4" s="36" t="n">
        <f aca="false">Tiger!F124</f>
        <v>5.07307216494845</v>
      </c>
      <c r="L4" s="27" t="n">
        <f aca="false">Tiger!F130</f>
        <v>0.0611272780478289</v>
      </c>
      <c r="M4" s="27" t="n">
        <f aca="false">Tiger!F131</f>
        <v>0.0598266976638325</v>
      </c>
      <c r="N4" s="27" t="n">
        <f aca="false">Tiger!F133</f>
        <v>0.0546731478922469</v>
      </c>
      <c r="O4" s="27" t="n">
        <f aca="false">Tiger!F142</f>
        <v>0.277360824742268</v>
      </c>
      <c r="P4" s="27" t="n">
        <f aca="false">Tiger!F146</f>
        <v>0.444823138463344</v>
      </c>
      <c r="Q4" s="27" t="n">
        <f aca="false">Tiger!F147</f>
        <v>0.451833937928255</v>
      </c>
      <c r="R4" s="36" t="n">
        <f aca="false">Tiger!F158</f>
        <v>6.63807314897413</v>
      </c>
      <c r="S4" s="36" t="n">
        <f aca="false">Tiger!F159</f>
        <v>2.99930673115679</v>
      </c>
      <c r="T4" s="36" t="n">
        <f aca="false">Tiger!F160</f>
        <v>5.09782978723404</v>
      </c>
    </row>
    <row r="5" customFormat="false" ht="15" hidden="false" customHeight="false" outlineLevel="0" collapsed="false">
      <c r="A5" s="16" t="s">
        <v>52</v>
      </c>
      <c r="B5" s="19" t="n">
        <v>2023</v>
      </c>
      <c r="C5" s="26" t="n">
        <f aca="false">Tiger!G7</f>
        <v>433.35</v>
      </c>
      <c r="D5" s="26" t="n">
        <f aca="false">Tiger!G49</f>
        <v>119.51</v>
      </c>
      <c r="E5" s="27" t="n">
        <f aca="false">Tiger!G45/Tiger!G49</f>
        <v>0.0628399297129947</v>
      </c>
      <c r="F5" s="33" t="n">
        <f aca="false">Tiger!G95</f>
        <v>4.86837294332724</v>
      </c>
      <c r="G5" s="33" t="n">
        <f aca="false">Tiger!G96</f>
        <v>4.64808043875686</v>
      </c>
      <c r="H5" s="33" t="n">
        <f aca="false">Tiger!G101</f>
        <v>0</v>
      </c>
      <c r="I5" s="36" t="n">
        <f aca="false">Tiger!G109</f>
        <v>24.9126213592233</v>
      </c>
      <c r="J5" s="39" t="n">
        <f aca="false">Tiger!G119</f>
        <v>41.5241721472251</v>
      </c>
      <c r="K5" s="36" t="n">
        <f aca="false">Tiger!G124</f>
        <v>3.62605639695423</v>
      </c>
      <c r="L5" s="27" t="n">
        <f aca="false">Tiger!G130</f>
        <v>0.0610130379600785</v>
      </c>
      <c r="M5" s="27" t="n">
        <f aca="false">Tiger!G131</f>
        <v>0.0592131071881851</v>
      </c>
      <c r="N5" s="27" t="n">
        <f aca="false">Tiger!G133</f>
        <v>0.0535594784815969</v>
      </c>
      <c r="O5" s="27" t="n">
        <f aca="false">Tiger!G142</f>
        <v>0.194209689565727</v>
      </c>
      <c r="P5" s="27" t="n">
        <f aca="false">Tiger!G146</f>
        <v>0.194647805184533</v>
      </c>
      <c r="Q5" s="27" t="n">
        <f aca="false">Tiger!G147</f>
        <v>0.237734302980641</v>
      </c>
      <c r="R5" s="36" t="n">
        <f aca="false">Tiger!G158</f>
        <v>16.5449418354158</v>
      </c>
      <c r="S5" s="36" t="n">
        <f aca="false">Tiger!G159</f>
        <v>3.93330021509782</v>
      </c>
      <c r="T5" s="36" t="n">
        <f aca="false">Tiger!G160</f>
        <v>12.5419099848714</v>
      </c>
    </row>
    <row r="6" customFormat="false" ht="15" hidden="false" customHeight="false" outlineLevel="0" collapsed="false">
      <c r="A6" s="16" t="s">
        <v>52</v>
      </c>
      <c r="B6" s="19" t="n">
        <v>2024</v>
      </c>
      <c r="C6" s="26" t="n">
        <f aca="false">Tiger!H7</f>
        <v>240.26</v>
      </c>
      <c r="D6" s="26" t="n">
        <f aca="false">Tiger!H49</f>
        <v>143.58</v>
      </c>
      <c r="E6" s="27" t="n">
        <f aca="false">Tiger!H45/Tiger!H49</f>
        <v>0.0630310628221201</v>
      </c>
      <c r="F6" s="33" t="n">
        <f aca="false">Tiger!H95</f>
        <v>5.95412844036697</v>
      </c>
      <c r="G6" s="33" t="n">
        <f aca="false">Tiger!H96</f>
        <v>5.38580395943988</v>
      </c>
      <c r="H6" s="33" t="n">
        <f aca="false">Tiger!H101</f>
        <v>0.108634846160787</v>
      </c>
      <c r="I6" s="36" t="n">
        <f aca="false">Tiger!H109</f>
        <v>19.1710526315789</v>
      </c>
      <c r="J6" s="39" t="n">
        <f aca="false">Tiger!H119</f>
        <v>106.024098892866</v>
      </c>
      <c r="K6" s="36" t="n">
        <f aca="false">Tiger!H124</f>
        <v>1.67335283465664</v>
      </c>
      <c r="L6" s="27" t="n">
        <f aca="false">Tiger!H130</f>
        <v>0.0638891201198701</v>
      </c>
      <c r="M6" s="27" t="n">
        <f aca="false">Tiger!H131</f>
        <v>0.060642637143095</v>
      </c>
      <c r="N6" s="27" t="n">
        <f aca="false">Tiger!H133</f>
        <v>0.0539415633064181</v>
      </c>
      <c r="O6" s="27" t="n">
        <f aca="false">Tiger!H142</f>
        <v>0.0902632678646051</v>
      </c>
      <c r="P6" s="27" t="n">
        <f aca="false">Tiger!H146</f>
        <v>0.0868071761930129</v>
      </c>
      <c r="Q6" s="27" t="n">
        <f aca="false">Tiger!H147</f>
        <v>0.116935847694668</v>
      </c>
      <c r="R6" s="36" t="n">
        <f aca="false">Tiger!H158</f>
        <v>37.516975308642</v>
      </c>
      <c r="S6" s="36" t="n">
        <f aca="false">Tiger!H159</f>
        <v>4.38707931065596</v>
      </c>
      <c r="T6" s="36" t="n">
        <f aca="false">Tiger!H160</f>
        <v>29.7400651465798</v>
      </c>
    </row>
    <row r="7" customFormat="false" ht="15" hidden="false" customHeight="false" outlineLevel="0" collapsed="false">
      <c r="A7" s="16" t="s">
        <v>52</v>
      </c>
      <c r="B7" s="19" t="n">
        <v>2025</v>
      </c>
      <c r="C7" s="26" t="n">
        <f aca="false">Tiger!I7</f>
        <v>536.31</v>
      </c>
      <c r="D7" s="26" t="n">
        <f aca="false">Tiger!I49</f>
        <v>195.69</v>
      </c>
      <c r="E7" s="27" t="n">
        <f aca="false">Tiger!I45/Tiger!I49</f>
        <v>0.0454289948387756</v>
      </c>
      <c r="F7" s="33" t="n">
        <f aca="false">Tiger!I95</f>
        <v>7.59582790091265</v>
      </c>
      <c r="G7" s="33" t="n">
        <f aca="false">Tiger!I96</f>
        <v>6.6857887874837</v>
      </c>
      <c r="H7" s="33" t="n">
        <f aca="false">Tiger!I101</f>
        <v>0.248590021691974</v>
      </c>
      <c r="I7" s="36" t="n">
        <f aca="false">Tiger!I109</f>
        <v>9.12537313432833</v>
      </c>
      <c r="J7" s="39" t="n">
        <f aca="false">Tiger!I119</f>
        <v>69.8815983293245</v>
      </c>
      <c r="K7" s="36" t="n">
        <f aca="false">Tiger!I124</f>
        <v>2.74061014870458</v>
      </c>
      <c r="L7" s="27" t="n">
        <f aca="false">Tiger!I130</f>
        <v>0.0585855195689059</v>
      </c>
      <c r="M7" s="27" t="n">
        <f aca="false">Tiger!I131</f>
        <v>0.0570006153157687</v>
      </c>
      <c r="N7" s="27" t="n">
        <f aca="false">Tiger!I133</f>
        <v>0.0503626633849826</v>
      </c>
      <c r="O7" s="27" t="n">
        <f aca="false">Tiger!I142</f>
        <v>0.138024426388676</v>
      </c>
      <c r="P7" s="27" t="n">
        <f aca="false">Tiger!I146</f>
        <v>0.132492440815188</v>
      </c>
      <c r="Q7" s="27" t="n">
        <f aca="false">Tiger!I147</f>
        <v>0.19530007230658</v>
      </c>
      <c r="R7" s="36" t="n">
        <f aca="false">Tiger!I158</f>
        <v>18.58848574602</v>
      </c>
      <c r="S7" s="36" t="n">
        <f aca="false">Tiger!I159</f>
        <v>3.63033261026753</v>
      </c>
      <c r="T7" s="36" t="n">
        <f aca="false">Tiger!I160</f>
        <v>15.4454169318906</v>
      </c>
    </row>
    <row r="8" customFormat="false" ht="15" hidden="false" customHeight="false" outlineLevel="0" collapsed="false">
      <c r="A8" s="16" t="s">
        <v>52</v>
      </c>
      <c r="B8" s="19" t="n">
        <v>2026</v>
      </c>
      <c r="C8" s="26" t="n">
        <f aca="false">Tiger!J7</f>
        <v>572.82</v>
      </c>
      <c r="D8" s="26" t="n">
        <f aca="false">Tiger!J49</f>
        <v>262.62</v>
      </c>
      <c r="E8" s="27" t="n">
        <f aca="false">Tiger!J45/Tiger!J49</f>
        <v>0.03739243012718</v>
      </c>
      <c r="F8" s="33" t="n">
        <f aca="false">Tiger!J95</f>
        <v>4.61705814401232</v>
      </c>
      <c r="G8" s="33" t="n">
        <f aca="false">Tiger!J96</f>
        <v>3.89834424335772</v>
      </c>
      <c r="H8" s="33" t="n">
        <f aca="false">Tiger!J101</f>
        <v>0.316914614326791</v>
      </c>
      <c r="I8" s="36" t="n">
        <f aca="false">Tiger!J109</f>
        <v>4.94307400379507</v>
      </c>
      <c r="J8" s="39" t="n">
        <f aca="false">Tiger!J119</f>
        <v>102.608061869348</v>
      </c>
      <c r="K8" s="36" t="n">
        <f aca="false">Tiger!J124</f>
        <v>2.18117432031072</v>
      </c>
      <c r="L8" s="27" t="n">
        <f aca="false">Tiger!J130</f>
        <v>0.0471526832163681</v>
      </c>
      <c r="M8" s="27" t="n">
        <f aca="false">Tiger!J131</f>
        <v>0.0454767640794665</v>
      </c>
      <c r="N8" s="27" t="n">
        <f aca="false">Tiger!J133</f>
        <v>0.0375685206522119</v>
      </c>
      <c r="O8" s="27" t="n">
        <f aca="false">Tiger!J142</f>
        <v>0.0819434924986673</v>
      </c>
      <c r="P8" s="27" t="n">
        <f aca="false">Tiger!J146</f>
        <v>0.0913563837931597</v>
      </c>
      <c r="Q8" s="27" t="n">
        <f aca="false">Tiger!J147</f>
        <v>0.134516814601825</v>
      </c>
      <c r="R8" s="36" t="n">
        <f aca="false">Tiger!J158</f>
        <v>11.7389869888476</v>
      </c>
      <c r="S8" s="36" t="n">
        <f aca="false">Tiger!J159</f>
        <v>1.57909113639205</v>
      </c>
      <c r="T8" s="36" t="n">
        <f aca="false">Tiger!J160</f>
        <v>9.69540910773788</v>
      </c>
    </row>
    <row r="9" customFormat="false" ht="15" hidden="false" customHeight="false" outlineLevel="0" collapsed="false">
      <c r="A9" s="16" t="s">
        <v>54</v>
      </c>
      <c r="B9" s="19" t="n">
        <v>2020</v>
      </c>
      <c r="C9" s="26" t="n">
        <f aca="false">Allcargo!D7</f>
        <v>7346.24</v>
      </c>
      <c r="D9" s="26" t="n">
        <f aca="false">Allcargo!D49</f>
        <v>5300.94</v>
      </c>
      <c r="E9" s="27" t="n">
        <f aca="false">Allcargo!D45/Allcargo!D49</f>
        <v>0.371253023048742</v>
      </c>
      <c r="F9" s="33" t="n">
        <f aca="false">Allcargo!D95</f>
        <v>1.645685933372</v>
      </c>
      <c r="G9" s="33" t="n">
        <f aca="false">Allcargo!D96</f>
        <v>1.11984663960307</v>
      </c>
      <c r="H9" s="33" t="n">
        <f aca="false">Allcargo!D101</f>
        <v>0.7472340028895</v>
      </c>
      <c r="I9" s="36" t="n">
        <f aca="false">Allcargo!D109</f>
        <v>3.79635828089436</v>
      </c>
      <c r="J9" s="39" t="n">
        <f aca="false">Allcargo!D119</f>
        <v>57.1425450298384</v>
      </c>
      <c r="K9" s="36" t="n">
        <f aca="false">Allcargo!D124</f>
        <v>1.38583722886884</v>
      </c>
      <c r="L9" s="27" t="n">
        <f aca="false">Allcargo!D130</f>
        <v>0.0701243084897852</v>
      </c>
      <c r="M9" s="27" t="n">
        <f aca="false">Allcargo!D131</f>
        <v>0.0385979766520015</v>
      </c>
      <c r="N9" s="27" t="n">
        <f aca="false">Allcargo!D133</f>
        <v>0.0303556649387986</v>
      </c>
      <c r="O9" s="27" t="n">
        <f aca="false">Allcargo!D142</f>
        <v>0.0420680105792558</v>
      </c>
      <c r="P9" s="27" t="n">
        <f aca="false">Allcargo!D146</f>
        <v>0.0580269965210272</v>
      </c>
      <c r="Q9" s="27" t="n">
        <f aca="false">Allcargo!D147</f>
        <v>0.103928787808175</v>
      </c>
      <c r="R9" s="36" t="str">
        <f aca="false">Allcargo!D158</f>
        <v>N/C</v>
      </c>
      <c r="S9" s="36" t="str">
        <f aca="false">Allcargo!D159</f>
        <v>N/C</v>
      </c>
      <c r="T9" s="36" t="str">
        <f aca="false">Allcargo!D160</f>
        <v>N/C</v>
      </c>
    </row>
    <row r="10" customFormat="false" ht="15" hidden="false" customHeight="false" outlineLevel="0" collapsed="false">
      <c r="A10" s="16" t="s">
        <v>54</v>
      </c>
      <c r="B10" s="19" t="n">
        <v>2021</v>
      </c>
      <c r="C10" s="26" t="n">
        <f aca="false">Allcargo!E7</f>
        <v>10498.1</v>
      </c>
      <c r="D10" s="26" t="n">
        <f aca="false">Allcargo!E49</f>
        <v>7313.27</v>
      </c>
      <c r="E10" s="27" t="n">
        <f aca="false">Allcargo!E45/Allcargo!E49</f>
        <v>0.432714777384125</v>
      </c>
      <c r="F10" s="33" t="n">
        <f aca="false">Allcargo!E95</f>
        <v>1.28933732745011</v>
      </c>
      <c r="G10" s="33" t="n">
        <f aca="false">Allcargo!E96</f>
        <v>0.862553805880527</v>
      </c>
      <c r="H10" s="33" t="n">
        <f aca="false">Allcargo!E101</f>
        <v>0.904459742329891</v>
      </c>
      <c r="I10" s="36" t="n">
        <f aca="false">Allcargo!E109</f>
        <v>2.35253054101222</v>
      </c>
      <c r="J10" s="39" t="n">
        <f aca="false">Allcargo!E119</f>
        <v>75.6451643630752</v>
      </c>
      <c r="K10" s="36" t="n">
        <f aca="false">Allcargo!E124</f>
        <v>1.43548645134119</v>
      </c>
      <c r="L10" s="27" t="n">
        <f aca="false">Allcargo!E130</f>
        <v>0.0612577514026348</v>
      </c>
      <c r="M10" s="27" t="n">
        <f aca="false">Allcargo!E131</f>
        <v>0.0321010468560978</v>
      </c>
      <c r="N10" s="27" t="n">
        <f aca="false">Allcargo!E133</f>
        <v>0.0164696468884846</v>
      </c>
      <c r="O10" s="27" t="n">
        <f aca="false">Allcargo!E142</f>
        <v>0.0236419549667932</v>
      </c>
      <c r="P10" s="27" t="n">
        <f aca="false">Allcargo!E146</f>
        <v>0.0504123378041854</v>
      </c>
      <c r="Q10" s="27" t="n">
        <f aca="false">Allcargo!E147</f>
        <v>0.0757157746306174</v>
      </c>
      <c r="R10" s="36" t="str">
        <f aca="false">Allcargo!E158</f>
        <v>N/C</v>
      </c>
      <c r="S10" s="36" t="str">
        <f aca="false">Allcargo!E159</f>
        <v>N/C</v>
      </c>
      <c r="T10" s="36" t="str">
        <f aca="false">Allcargo!E160</f>
        <v>N/C</v>
      </c>
    </row>
    <row r="11" customFormat="false" ht="15" hidden="false" customHeight="false" outlineLevel="0" collapsed="false">
      <c r="A11" s="16" t="s">
        <v>54</v>
      </c>
      <c r="B11" s="19" t="n">
        <v>2022</v>
      </c>
      <c r="C11" s="26" t="n">
        <f aca="false">Allcargo!F7</f>
        <v>19062.06</v>
      </c>
      <c r="D11" s="26" t="n">
        <f aca="false">Allcargo!F49</f>
        <v>9604</v>
      </c>
      <c r="E11" s="27" t="n">
        <f aca="false">Allcargo!F45/Allcargo!F49</f>
        <v>0.363573511037068</v>
      </c>
      <c r="F11" s="33" t="n">
        <f aca="false">Allcargo!F95</f>
        <v>1.34371249936363</v>
      </c>
      <c r="G11" s="33" t="n">
        <f aca="false">Allcargo!F96</f>
        <v>0.90198136695653</v>
      </c>
      <c r="H11" s="33" t="n">
        <f aca="false">Allcargo!F101</f>
        <v>0.732917742017105</v>
      </c>
      <c r="I11" s="36" t="n">
        <f aca="false">Allcargo!F109</f>
        <v>10.8480407442054</v>
      </c>
      <c r="J11" s="39" t="n">
        <f aca="false">Allcargo!F119</f>
        <v>58.9041740504437</v>
      </c>
      <c r="K11" s="36" t="n">
        <f aca="false">Allcargo!F124</f>
        <v>1.9848042482299</v>
      </c>
      <c r="L11" s="27" t="n">
        <f aca="false">Allcargo!F130</f>
        <v>0.0672151908030925</v>
      </c>
      <c r="M11" s="27" t="n">
        <f aca="false">Allcargo!F131</f>
        <v>0.0547522146084945</v>
      </c>
      <c r="N11" s="27" t="n">
        <f aca="false">Allcargo!F133</f>
        <v>0.0485634815964277</v>
      </c>
      <c r="O11" s="27" t="n">
        <f aca="false">Allcargo!F142</f>
        <v>0.0963890045814244</v>
      </c>
      <c r="P11" s="27" t="n">
        <f aca="false">Allcargo!F146</f>
        <v>0.150409355196737</v>
      </c>
      <c r="Q11" s="27" t="n">
        <f aca="false">Allcargo!F147</f>
        <v>0.292786296240069</v>
      </c>
      <c r="R11" s="36" t="str">
        <f aca="false">Allcargo!F158</f>
        <v>N/C</v>
      </c>
      <c r="S11" s="36" t="str">
        <f aca="false">Allcargo!F159</f>
        <v>N/C</v>
      </c>
      <c r="T11" s="36" t="str">
        <f aca="false">Allcargo!F160</f>
        <v>N/C</v>
      </c>
    </row>
    <row r="12" customFormat="false" ht="15" hidden="false" customHeight="false" outlineLevel="0" collapsed="false">
      <c r="A12" s="16" t="s">
        <v>54</v>
      </c>
      <c r="B12" s="19" t="n">
        <v>2023</v>
      </c>
      <c r="C12" s="26" t="n">
        <f aca="false">Allcargo!G7</f>
        <v>18050.77</v>
      </c>
      <c r="D12" s="26" t="n">
        <f aca="false">Allcargo!G49</f>
        <v>7230.85</v>
      </c>
      <c r="E12" s="27" t="n">
        <f aca="false">Allcargo!G45/Allcargo!G49</f>
        <v>0.294831174758154</v>
      </c>
      <c r="F12" s="33" t="n">
        <f aca="false">Allcargo!G95</f>
        <v>1.39082149929104</v>
      </c>
      <c r="G12" s="33" t="n">
        <f aca="false">Allcargo!G96</f>
        <v>1.03388186449108</v>
      </c>
      <c r="H12" s="33" t="n">
        <f aca="false">Allcargo!G101</f>
        <v>0.419121461719411</v>
      </c>
      <c r="I12" s="36" t="n">
        <f aca="false">Allcargo!G109</f>
        <v>10.0758443379689</v>
      </c>
      <c r="J12" s="39" t="n">
        <f aca="false">Allcargo!G119</f>
        <v>41.2108874025873</v>
      </c>
      <c r="K12" s="36" t="n">
        <f aca="false">Allcargo!G124</f>
        <v>2.49635520028766</v>
      </c>
      <c r="L12" s="27" t="n">
        <f aca="false">Allcargo!G130</f>
        <v>0.0631662804412222</v>
      </c>
      <c r="M12" s="27" t="n">
        <f aca="false">Allcargo!G131</f>
        <v>0.0477647213941566</v>
      </c>
      <c r="N12" s="27" t="n">
        <f aca="false">Allcargo!G133</f>
        <v>0.0348788445035863</v>
      </c>
      <c r="O12" s="27" t="n">
        <f aca="false">Allcargo!G142</f>
        <v>0.0870699848565521</v>
      </c>
      <c r="P12" s="27" t="n">
        <f aca="false">Allcargo!G146</f>
        <v>0.157503498773281</v>
      </c>
      <c r="Q12" s="27" t="n">
        <f aca="false">Allcargo!G147</f>
        <v>0.223717406599342</v>
      </c>
      <c r="R12" s="36" t="str">
        <f aca="false">Allcargo!G158</f>
        <v>N/C</v>
      </c>
      <c r="S12" s="36" t="str">
        <f aca="false">Allcargo!G159</f>
        <v>N/C</v>
      </c>
      <c r="T12" s="36" t="str">
        <f aca="false">Allcargo!G160</f>
        <v>N/C</v>
      </c>
    </row>
    <row r="13" customFormat="false" ht="15" hidden="false" customHeight="false" outlineLevel="0" collapsed="false">
      <c r="A13" s="16" t="s">
        <v>54</v>
      </c>
      <c r="B13" s="19" t="n">
        <v>2024</v>
      </c>
      <c r="C13" s="26" t="n">
        <f aca="false">Allcargo!H7</f>
        <v>12968.68</v>
      </c>
      <c r="D13" s="26" t="n">
        <f aca="false">Allcargo!H49</f>
        <v>7163.48</v>
      </c>
      <c r="E13" s="27" t="n">
        <f aca="false">Allcargo!H45/Allcargo!H49</f>
        <v>0.395666631302105</v>
      </c>
      <c r="F13" s="33" t="n">
        <f aca="false">Allcargo!H95</f>
        <v>1.44451320058232</v>
      </c>
      <c r="G13" s="33" t="n">
        <f aca="false">Allcargo!H96</f>
        <v>0.99669493617006</v>
      </c>
      <c r="H13" s="33" t="n">
        <f aca="false">Allcargo!H101</f>
        <v>0.73212168319698</v>
      </c>
      <c r="I13" s="36" t="n">
        <f aca="false">Allcargo!H109</f>
        <v>0.506521427547649</v>
      </c>
      <c r="J13" s="39" t="n">
        <f aca="false">Allcargo!H119</f>
        <v>62.6974526320335</v>
      </c>
      <c r="K13" s="36" t="n">
        <f aca="false">Allcargo!H124</f>
        <v>1.81038824705311</v>
      </c>
      <c r="L13" s="27" t="n">
        <f aca="false">Allcargo!H130</f>
        <v>0.0362951356653105</v>
      </c>
      <c r="M13" s="27" t="n">
        <f aca="false">Allcargo!H131</f>
        <v>0.00545005351354177</v>
      </c>
      <c r="N13" s="27" t="n">
        <f aca="false">Allcargo!H133</f>
        <v>0.0115431948355577</v>
      </c>
      <c r="O13" s="27" t="n">
        <f aca="false">Allcargo!H142</f>
        <v>0.0208976642637377</v>
      </c>
      <c r="P13" s="27" t="n">
        <f aca="false">Allcargo!H146</f>
        <v>0.0137795992155467</v>
      </c>
      <c r="Q13" s="27" t="n">
        <f aca="false">Allcargo!H147</f>
        <v>0.0593663622339518</v>
      </c>
      <c r="R13" s="36" t="str">
        <f aca="false">Allcargo!H158</f>
        <v>N/C</v>
      </c>
      <c r="S13" s="36" t="str">
        <f aca="false">Allcargo!H159</f>
        <v>N/C</v>
      </c>
      <c r="T13" s="36" t="str">
        <f aca="false">Allcargo!H160</f>
        <v>N/C</v>
      </c>
    </row>
    <row r="14" customFormat="false" ht="15" hidden="false" customHeight="false" outlineLevel="0" collapsed="false">
      <c r="A14" s="16" t="s">
        <v>54</v>
      </c>
      <c r="B14" s="19" t="n">
        <v>2025</v>
      </c>
      <c r="C14" s="26" t="n">
        <f aca="false">Allcargo!I7</f>
        <v>1961</v>
      </c>
      <c r="D14" s="26" t="n">
        <f aca="false">Allcargo!I49</f>
        <v>1741</v>
      </c>
      <c r="E14" s="27" t="n">
        <f aca="false">Allcargo!I45/Allcargo!I49</f>
        <v>0.435956346927053</v>
      </c>
      <c r="F14" s="33" t="n">
        <f aca="false">Allcargo!I95</f>
        <v>2.45226130653266</v>
      </c>
      <c r="G14" s="33" t="n">
        <f aca="false">Allcargo!I96</f>
        <v>1.33668341708543</v>
      </c>
      <c r="H14" s="33" t="n">
        <f aca="false">Allcargo!I101</f>
        <v>1.38967971530249</v>
      </c>
      <c r="I14" s="36" t="n">
        <f aca="false">Allcargo!I109</f>
        <v>0.266666666666667</v>
      </c>
      <c r="J14" s="39" t="n">
        <f aca="false">Allcargo!I119</f>
        <v>69.7985721570627</v>
      </c>
      <c r="K14" s="36" t="n">
        <f aca="false">Allcargo!I124</f>
        <v>1.12636415852958</v>
      </c>
      <c r="L14" s="27" t="n">
        <f aca="false">Allcargo!I130</f>
        <v>0.103008669046405</v>
      </c>
      <c r="M14" s="27" t="n">
        <f aca="false">Allcargo!I131</f>
        <v>0.0101988781234064</v>
      </c>
      <c r="N14" s="27" t="n">
        <f aca="false">Allcargo!I133</f>
        <v>0.0331463539010709</v>
      </c>
      <c r="O14" s="27" t="n">
        <f aca="false">Allcargo!I142</f>
        <v>0.0373348650201034</v>
      </c>
      <c r="P14" s="27" t="n">
        <f aca="false">Allcargo!I146</f>
        <v>0.0148920327624721</v>
      </c>
      <c r="Q14" s="27" t="n">
        <f aca="false">Allcargo!I147</f>
        <v>0.115658362989324</v>
      </c>
      <c r="R14" s="36" t="str">
        <f aca="false">Allcargo!I158</f>
        <v>N/C</v>
      </c>
      <c r="S14" s="36" t="str">
        <f aca="false">Allcargo!I159</f>
        <v>N/C</v>
      </c>
      <c r="T14" s="36" t="str">
        <f aca="false">Allcargo!I160</f>
        <v>N/C</v>
      </c>
    </row>
    <row r="15" customFormat="false" ht="15" hidden="false" customHeight="false" outlineLevel="0" collapsed="false">
      <c r="A15" s="16" t="s">
        <v>54</v>
      </c>
      <c r="B15" s="19" t="n">
        <v>2026</v>
      </c>
      <c r="C15" s="26" t="n">
        <f aca="false">Allcargo!J7</f>
        <v>2058</v>
      </c>
      <c r="D15" s="26" t="n">
        <f aca="false">Allcargo!J49</f>
        <v>1736</v>
      </c>
      <c r="E15" s="27" t="n">
        <f aca="false">Allcargo!J45/Allcargo!J49</f>
        <v>0.451036866359447</v>
      </c>
      <c r="F15" s="33" t="n">
        <f aca="false">Allcargo!J95</f>
        <v>2.02558635394456</v>
      </c>
      <c r="G15" s="33" t="n">
        <f aca="false">Allcargo!J96</f>
        <v>1.19402985074627</v>
      </c>
      <c r="H15" s="33" t="n">
        <f aca="false">Allcargo!J101</f>
        <v>1.20731707317073</v>
      </c>
      <c r="I15" s="36" t="n">
        <f aca="false">Allcargo!J109</f>
        <v>0.5</v>
      </c>
      <c r="J15" s="39" t="n">
        <f aca="false">Allcargo!J119</f>
        <v>76.0860058309038</v>
      </c>
      <c r="K15" s="36" t="n">
        <f aca="false">Allcargo!J124</f>
        <v>1.18548387096774</v>
      </c>
      <c r="L15" s="27" t="n">
        <f aca="false">Allcargo!J130</f>
        <v>0.114188532555879</v>
      </c>
      <c r="M15" s="27" t="n">
        <f aca="false">Allcargo!J131</f>
        <v>0.0150631681243926</v>
      </c>
      <c r="N15" s="27" t="n">
        <f aca="false">Allcargo!J133</f>
        <v>0.00388726919339164</v>
      </c>
      <c r="O15" s="27" t="n">
        <f aca="false">Allcargo!J142</f>
        <v>0.00460829493087558</v>
      </c>
      <c r="P15" s="27" t="n">
        <f aca="false">Allcargo!J146</f>
        <v>0.0244672454617206</v>
      </c>
      <c r="Q15" s="27" t="n">
        <f aca="false">Allcargo!J147</f>
        <v>0.0139372822299652</v>
      </c>
      <c r="R15" s="36" t="n">
        <f aca="false">Allcargo!J158</f>
        <v>134.42755</v>
      </c>
      <c r="S15" s="36" t="n">
        <f aca="false">Allcargo!J159</f>
        <v>1.87355470383275</v>
      </c>
      <c r="T15" s="36" t="n">
        <f aca="false">Allcargo!J160</f>
        <v>6.96774638297872</v>
      </c>
    </row>
    <row r="16" customFormat="false" ht="15" hidden="false" customHeight="false" outlineLevel="0" collapsed="false">
      <c r="A16" s="16" t="s">
        <v>277</v>
      </c>
      <c r="B16" s="19" t="n">
        <v>2020</v>
      </c>
      <c r="C16" s="26" t="n">
        <f aca="false">BlueDart!D7</f>
        <v>3175.13</v>
      </c>
      <c r="D16" s="26" t="n">
        <f aca="false">BlueDart!D49</f>
        <v>2640.79</v>
      </c>
      <c r="E16" s="27" t="n">
        <f aca="false">BlueDart!D45/BlueDart!D49</f>
        <v>0.630485574392511</v>
      </c>
      <c r="F16" s="33" t="n">
        <f aca="false">BlueDart!D95</f>
        <v>0.591236820662239</v>
      </c>
      <c r="G16" s="33" t="n">
        <f aca="false">BlueDart!D96</f>
        <v>0.38780587174992</v>
      </c>
      <c r="H16" s="33" t="n">
        <f aca="false">BlueDart!D101</f>
        <v>1.07980359798708</v>
      </c>
      <c r="I16" s="36" t="n">
        <f aca="false">BlueDart!D109</f>
        <v>1.08434145510309</v>
      </c>
      <c r="J16" s="39" t="n">
        <f aca="false">BlueDart!D119</f>
        <v>60.7231672403965</v>
      </c>
      <c r="K16" s="36" t="n">
        <f aca="false">BlueDart!D124</f>
        <v>1.20234096615028</v>
      </c>
      <c r="L16" s="27" t="n">
        <f aca="false">BlueDart!D130</f>
        <v>0.149477344234724</v>
      </c>
      <c r="M16" s="27" t="n">
        <f aca="false">BlueDart!D131</f>
        <v>0.0400865476374196</v>
      </c>
      <c r="N16" s="27" t="n">
        <f aca="false">BlueDart!D133</f>
        <v>-0.0131837121629666</v>
      </c>
      <c r="O16" s="27" t="n">
        <f aca="false">BlueDart!D142</f>
        <v>-0.0158513172194684</v>
      </c>
      <c r="P16" s="27" t="n">
        <f aca="false">BlueDart!D146</f>
        <v>0.124682856107285</v>
      </c>
      <c r="Q16" s="27" t="n">
        <f aca="false">BlueDart!D147</f>
        <v>-0.0852841105881874</v>
      </c>
      <c r="R16" s="36" t="str">
        <f aca="false">BlueDart!D158</f>
        <v>N/M</v>
      </c>
      <c r="S16" s="36" t="n">
        <f aca="false">BlueDart!D159</f>
        <v>10.6182354379317</v>
      </c>
      <c r="T16" s="36" t="n">
        <f aca="false">BlueDart!D160</f>
        <v>11.8871252186005</v>
      </c>
    </row>
    <row r="17" customFormat="false" ht="15" hidden="false" customHeight="false" outlineLevel="0" collapsed="false">
      <c r="A17" s="16" t="s">
        <v>277</v>
      </c>
      <c r="B17" s="19" t="n">
        <v>2021</v>
      </c>
      <c r="C17" s="26" t="n">
        <f aca="false">BlueDart!E7</f>
        <v>3288.13</v>
      </c>
      <c r="D17" s="26" t="n">
        <f aca="false">BlueDart!E49</f>
        <v>2897.43</v>
      </c>
      <c r="E17" s="27" t="n">
        <f aca="false">BlueDart!E45/BlueDart!E49</f>
        <v>0.546408368795795</v>
      </c>
      <c r="F17" s="33" t="n">
        <f aca="false">BlueDart!E95</f>
        <v>1.47768472654854</v>
      </c>
      <c r="G17" s="33" t="n">
        <f aca="false">BlueDart!E96</f>
        <v>1.05760098044222</v>
      </c>
      <c r="H17" s="33" t="n">
        <f aca="false">BlueDart!E101</f>
        <v>2.57137306574769</v>
      </c>
      <c r="I17" s="36" t="n">
        <f aca="false">BlueDart!E109</f>
        <v>2.30995944118973</v>
      </c>
      <c r="J17" s="39" t="n">
        <f aca="false">BlueDart!E119</f>
        <v>57.4918874862004</v>
      </c>
      <c r="K17" s="36" t="n">
        <f aca="false">BlueDart!E124</f>
        <v>1.13484363729236</v>
      </c>
      <c r="L17" s="27" t="n">
        <f aca="false">BlueDart!E130</f>
        <v>0.208717416890451</v>
      </c>
      <c r="M17" s="27" t="n">
        <f aca="false">BlueDart!E131</f>
        <v>0.0779439985645336</v>
      </c>
      <c r="N17" s="27" t="n">
        <f aca="false">BlueDart!E133</f>
        <v>0.030962887720376</v>
      </c>
      <c r="O17" s="27" t="n">
        <f aca="false">BlueDart!E142</f>
        <v>0.0351380361216664</v>
      </c>
      <c r="P17" s="27" t="n">
        <f aca="false">BlueDart!E146</f>
        <v>0.0882914020034665</v>
      </c>
      <c r="Q17" s="27" t="n">
        <f aca="false">BlueDart!E147</f>
        <v>0.171987972160281</v>
      </c>
      <c r="R17" s="36" t="n">
        <f aca="false">BlueDart!E158</f>
        <v>129.763377860721</v>
      </c>
      <c r="S17" s="36" t="n">
        <f aca="false">BlueDart!E159</f>
        <v>22.3177402189337</v>
      </c>
      <c r="T17" s="36" t="n">
        <f aca="false">BlueDart!E160</f>
        <v>21.015663203602</v>
      </c>
    </row>
    <row r="18" customFormat="false" ht="15" hidden="false" customHeight="false" outlineLevel="0" collapsed="false">
      <c r="A18" s="16" t="s">
        <v>277</v>
      </c>
      <c r="B18" s="19" t="n">
        <v>2022</v>
      </c>
      <c r="C18" s="26" t="n">
        <f aca="false">BlueDart!F7</f>
        <v>4410.49</v>
      </c>
      <c r="D18" s="26" t="n">
        <f aca="false">BlueDart!F49</f>
        <v>2828.76</v>
      </c>
      <c r="E18" s="27" t="n">
        <f aca="false">BlueDart!F45/BlueDart!F49</f>
        <v>0.507950480069006</v>
      </c>
      <c r="F18" s="33" t="n">
        <f aca="false">BlueDart!F95</f>
        <v>1.25205707037257</v>
      </c>
      <c r="G18" s="33" t="n">
        <f aca="false">BlueDart!F96</f>
        <v>0.858008823232267</v>
      </c>
      <c r="H18" s="33" t="n">
        <f aca="false">BlueDart!F101</f>
        <v>1.22242227548481</v>
      </c>
      <c r="I18" s="36" t="n">
        <f aca="false">BlueDart!F109</f>
        <v>6.95228239622858</v>
      </c>
      <c r="J18" s="39" t="n">
        <f aca="false">BlueDart!F119</f>
        <v>48.000029475183</v>
      </c>
      <c r="K18" s="36" t="n">
        <f aca="false">BlueDart!F124</f>
        <v>1.55916019740098</v>
      </c>
      <c r="L18" s="27" t="n">
        <f aca="false">BlueDart!F130</f>
        <v>0.226734444472156</v>
      </c>
      <c r="M18" s="27" t="n">
        <f aca="false">BlueDart!F131</f>
        <v>0.137091343592208</v>
      </c>
      <c r="N18" s="27" t="n">
        <f aca="false">BlueDart!F133</f>
        <v>0.0866593054286485</v>
      </c>
      <c r="O18" s="27" t="n">
        <f aca="false">BlueDart!F142</f>
        <v>0.135115739758764</v>
      </c>
      <c r="P18" s="27" t="n">
        <f aca="false">BlueDart!F146</f>
        <v>0.232779620526051</v>
      </c>
      <c r="Q18" s="27" t="n">
        <f aca="false">BlueDart!F147</f>
        <v>0.438319246780353</v>
      </c>
      <c r="R18" s="36" t="n">
        <f aca="false">BlueDart!F158</f>
        <v>42.5513003322781</v>
      </c>
      <c r="S18" s="36" t="n">
        <f aca="false">BlueDart!F159</f>
        <v>18.6510539111687</v>
      </c>
      <c r="T18" s="36" t="n">
        <f aca="false">BlueDart!F160</f>
        <v>17.1449710502895</v>
      </c>
    </row>
    <row r="19" customFormat="false" ht="15" hidden="false" customHeight="false" outlineLevel="0" collapsed="false">
      <c r="A19" s="16" t="s">
        <v>277</v>
      </c>
      <c r="B19" s="19" t="n">
        <v>2023</v>
      </c>
      <c r="C19" s="26" t="n">
        <f aca="false">BlueDart!G7</f>
        <v>5172.22</v>
      </c>
      <c r="D19" s="26" t="n">
        <f aca="false">BlueDart!G49</f>
        <v>3223.04</v>
      </c>
      <c r="E19" s="27" t="n">
        <f aca="false">BlueDart!G45/BlueDart!G49</f>
        <v>0.445861670969023</v>
      </c>
      <c r="F19" s="33" t="n">
        <f aca="false">BlueDart!G95</f>
        <v>1.27386444863214</v>
      </c>
      <c r="G19" s="33" t="n">
        <f aca="false">BlueDart!G96</f>
        <v>0.792969003833907</v>
      </c>
      <c r="H19" s="33" t="n">
        <f aca="false">BlueDart!G101</f>
        <v>0.949625284004205</v>
      </c>
      <c r="I19" s="36" t="n">
        <f aca="false">BlueDart!G109</f>
        <v>8.12460732984293</v>
      </c>
      <c r="J19" s="39" t="n">
        <f aca="false">BlueDart!G119</f>
        <v>44.9286573270279</v>
      </c>
      <c r="K19" s="36" t="n">
        <f aca="false">BlueDart!G124</f>
        <v>1.60476444598888</v>
      </c>
      <c r="L19" s="27" t="n">
        <f aca="false">BlueDart!G130</f>
        <v>0.18127805855126</v>
      </c>
      <c r="M19" s="27" t="n">
        <f aca="false">BlueDart!G131</f>
        <v>0.105009067673069</v>
      </c>
      <c r="N19" s="27" t="n">
        <f aca="false">BlueDart!G133</f>
        <v>0.0716384840552026</v>
      </c>
      <c r="O19" s="27" t="n">
        <f aca="false">BlueDart!G142</f>
        <v>0.11496289217633</v>
      </c>
      <c r="P19" s="27" t="n">
        <f aca="false">BlueDart!G146</f>
        <v>0.172195311497691</v>
      </c>
      <c r="Q19" s="27" t="n">
        <f aca="false">BlueDart!G147</f>
        <v>0.314125606158229</v>
      </c>
      <c r="R19" s="36" t="n">
        <f aca="false">BlueDart!G158</f>
        <v>39.739539308558</v>
      </c>
      <c r="S19" s="36" t="n">
        <f aca="false">BlueDart!G159</f>
        <v>12.4832068737495</v>
      </c>
      <c r="T19" s="36" t="n">
        <f aca="false">BlueDart!G160</f>
        <v>16.7972947174198</v>
      </c>
    </row>
    <row r="20" customFormat="false" ht="15" hidden="false" customHeight="false" outlineLevel="0" collapsed="false">
      <c r="A20" s="16" t="s">
        <v>277</v>
      </c>
      <c r="B20" s="19" t="n">
        <v>2024</v>
      </c>
      <c r="C20" s="26" t="n">
        <f aca="false">BlueDart!H7</f>
        <v>5267.83</v>
      </c>
      <c r="D20" s="26" t="n">
        <f aca="false">BlueDart!H49</f>
        <v>3460.9</v>
      </c>
      <c r="E20" s="27" t="n">
        <f aca="false">BlueDart!H45/BlueDart!H49</f>
        <v>0.526608685602011</v>
      </c>
      <c r="F20" s="33" t="n">
        <f aca="false">BlueDart!H95</f>
        <v>1.231747462476</v>
      </c>
      <c r="G20" s="33" t="n">
        <f aca="false">BlueDart!H96</f>
        <v>0.81971822706431</v>
      </c>
      <c r="H20" s="33" t="n">
        <f aca="false">BlueDart!H101</f>
        <v>0.784738932324998</v>
      </c>
      <c r="I20" s="36" t="n">
        <f aca="false">BlueDart!H109</f>
        <v>5.3822700486805</v>
      </c>
      <c r="J20" s="39" t="n">
        <f aca="false">BlueDart!H119</f>
        <v>46.4530840972469</v>
      </c>
      <c r="K20" s="36" t="n">
        <f aca="false">BlueDart!H124</f>
        <v>1.52209829813054</v>
      </c>
      <c r="L20" s="27" t="n">
        <f aca="false">BlueDart!H130</f>
        <v>0.16192625806072</v>
      </c>
      <c r="M20" s="27" t="n">
        <f aca="false">BlueDart!H131</f>
        <v>0.0797558007756515</v>
      </c>
      <c r="N20" s="27" t="n">
        <f aca="false">BlueDart!H133</f>
        <v>0.0571411757782616</v>
      </c>
      <c r="O20" s="27" t="n">
        <f aca="false">BlueDart!H142</f>
        <v>0.0869744864052703</v>
      </c>
      <c r="P20" s="27" t="n">
        <f aca="false">BlueDart!H146</f>
        <v>0.131972994574245</v>
      </c>
      <c r="Q20" s="27" t="n">
        <f aca="false">BlueDart!H147</f>
        <v>0.220154029562559</v>
      </c>
      <c r="R20" s="36" t="n">
        <f aca="false">BlueDart!H158</f>
        <v>48.6892844091558</v>
      </c>
      <c r="S20" s="36" t="n">
        <f aca="false">BlueDart!H159</f>
        <v>10.7191421591931</v>
      </c>
      <c r="T20" s="36" t="n">
        <f aca="false">BlueDart!H160</f>
        <v>18.2446324736225</v>
      </c>
    </row>
    <row r="21" customFormat="false" ht="15" hidden="false" customHeight="false" outlineLevel="0" collapsed="false">
      <c r="A21" s="16" t="s">
        <v>277</v>
      </c>
      <c r="B21" s="19" t="n">
        <v>2025</v>
      </c>
      <c r="C21" s="26" t="n">
        <f aca="false">BlueDart!I7</f>
        <v>5720.18</v>
      </c>
      <c r="D21" s="26" t="n">
        <f aca="false">BlueDart!I49</f>
        <v>3662.76</v>
      </c>
      <c r="E21" s="27" t="n">
        <f aca="false">BlueDart!I45/BlueDart!I49</f>
        <v>0.495140276731208</v>
      </c>
      <c r="F21" s="33" t="n">
        <f aca="false">BlueDart!I95</f>
        <v>1.26416711496904</v>
      </c>
      <c r="G21" s="33" t="n">
        <f aca="false">BlueDart!I96</f>
        <v>0.869311498728037</v>
      </c>
      <c r="H21" s="33" t="n">
        <f aca="false">BlueDart!I101</f>
        <v>0.645903889573071</v>
      </c>
      <c r="I21" s="36" t="n">
        <f aca="false">BlueDart!I109</f>
        <v>4.74960553465227</v>
      </c>
      <c r="J21" s="39" t="n">
        <f aca="false">BlueDart!I119</f>
        <v>50.1597589586342</v>
      </c>
      <c r="K21" s="36" t="n">
        <f aca="false">BlueDart!I124</f>
        <v>1.56171302515043</v>
      </c>
      <c r="L21" s="27" t="n">
        <f aca="false">BlueDart!I130</f>
        <v>0.153187487107049</v>
      </c>
      <c r="M21" s="27" t="n">
        <f aca="false">BlueDart!I131</f>
        <v>0.0684104346366723</v>
      </c>
      <c r="N21" s="27" t="n">
        <f aca="false">BlueDart!I133</f>
        <v>0.0441279819865808</v>
      </c>
      <c r="O21" s="27" t="n">
        <f aca="false">BlueDart!I142</f>
        <v>0.068915244242047</v>
      </c>
      <c r="P21" s="27" t="n">
        <f aca="false">BlueDart!I146</f>
        <v>0.110857308510507</v>
      </c>
      <c r="Q21" s="27" t="n">
        <f aca="false">BlueDart!I147</f>
        <v>0.161907327586207</v>
      </c>
      <c r="R21" s="36" t="n">
        <f aca="false">BlueDart!I158</f>
        <v>57.6162942714524</v>
      </c>
      <c r="S21" s="36" t="n">
        <f aca="false">BlueDart!I159</f>
        <v>9.32850023091133</v>
      </c>
      <c r="T21" s="36" t="n">
        <f aca="false">BlueDart!I160</f>
        <v>17.5555029329195</v>
      </c>
    </row>
    <row r="22" customFormat="false" ht="15" hidden="false" customHeight="false" outlineLevel="0" collapsed="false">
      <c r="A22" s="16" t="s">
        <v>277</v>
      </c>
      <c r="B22" s="19" t="n">
        <v>2026</v>
      </c>
      <c r="C22" s="26" t="n">
        <f aca="false">BlueDart!J7</f>
        <v>6140.88</v>
      </c>
      <c r="D22" s="26" t="n">
        <f aca="false">BlueDart!J49</f>
        <v>4126.85</v>
      </c>
      <c r="E22" s="27" t="n">
        <f aca="false">BlueDart!J45/BlueDart!J49</f>
        <v>0.493204259907678</v>
      </c>
      <c r="F22" s="33" t="n">
        <f aca="false">BlueDart!J95</f>
        <v>1.36741383306294</v>
      </c>
      <c r="G22" s="33" t="n">
        <f aca="false">BlueDart!J96</f>
        <v>0.957876700989968</v>
      </c>
      <c r="H22" s="33" t="n">
        <f aca="false">BlueDart!J101</f>
        <v>0.642661368842264</v>
      </c>
      <c r="I22" s="36" t="n">
        <f aca="false">BlueDart!J109</f>
        <v>4.84107893507708</v>
      </c>
      <c r="J22" s="39" t="n">
        <f aca="false">BlueDart!J119</f>
        <v>54.5787004468415</v>
      </c>
      <c r="K22" s="36" t="n">
        <f aca="false">BlueDart!J124</f>
        <v>1.48803082254019</v>
      </c>
      <c r="L22" s="27" t="n">
        <f aca="false">BlueDart!J130</f>
        <v>0.154808431364886</v>
      </c>
      <c r="M22" s="27" t="n">
        <f aca="false">BlueDart!J131</f>
        <v>0.0675131251547011</v>
      </c>
      <c r="N22" s="27" t="n">
        <f aca="false">BlueDart!J133</f>
        <v>0.040285757090189</v>
      </c>
      <c r="O22" s="27" t="n">
        <f aca="false">BlueDart!J142</f>
        <v>0.0599464482595684</v>
      </c>
      <c r="P22" s="27" t="n">
        <f aca="false">BlueDart!J146</f>
        <v>0.107545302368686</v>
      </c>
      <c r="Q22" s="27" t="n">
        <f aca="false">BlueDart!J147</f>
        <v>0.139231102581564</v>
      </c>
      <c r="R22" s="36" t="n">
        <f aca="false">BlueDart!J158</f>
        <v>45.4763329156393</v>
      </c>
      <c r="S22" s="36" t="n">
        <f aca="false">BlueDart!J159</f>
        <v>6.33171997321072</v>
      </c>
      <c r="T22" s="36" t="n">
        <f aca="false">BlueDart!J160</f>
        <v>12.7840763259209</v>
      </c>
    </row>
    <row r="23" customFormat="false" ht="15" hidden="false" customHeight="false" outlineLevel="0" collapsed="false">
      <c r="A23" s="16" t="s">
        <v>58</v>
      </c>
      <c r="B23" s="19" t="n">
        <v>2020</v>
      </c>
      <c r="C23" s="26" t="n">
        <f aca="false">CONCOR!D7</f>
        <v>6530.27</v>
      </c>
      <c r="D23" s="26" t="n">
        <f aca="false">CONCOR!D49</f>
        <v>11788.76</v>
      </c>
      <c r="E23" s="27" t="n">
        <f aca="false">CONCOR!D45/CONCOR!D49</f>
        <v>0.45363634512875</v>
      </c>
      <c r="F23" s="33" t="n">
        <f aca="false">CONCOR!D95</f>
        <v>2.5701337988593</v>
      </c>
      <c r="G23" s="33" t="n">
        <f aca="false">CONCOR!D96</f>
        <v>1.40868437100188</v>
      </c>
      <c r="H23" s="33" t="n">
        <f aca="false">CONCOR!D101</f>
        <v>0.00696787808204179</v>
      </c>
      <c r="I23" s="36" t="n">
        <f aca="false">CONCOR!D109</f>
        <v>24.7590439276486</v>
      </c>
      <c r="J23" s="39" t="n">
        <f aca="false">CONCOR!D119</f>
        <v>9.20175582326611</v>
      </c>
      <c r="K23" s="36" t="n">
        <f aca="false">CONCOR!D124</f>
        <v>0.553940363532721</v>
      </c>
      <c r="L23" s="27" t="n">
        <f aca="false">CONCOR!D130</f>
        <v>0.259441033831679</v>
      </c>
      <c r="M23" s="27" t="n">
        <f aca="false">CONCOR!D131</f>
        <v>0.176073883621964</v>
      </c>
      <c r="N23" s="27" t="n">
        <f aca="false">CONCOR!D133</f>
        <v>0.0617922382994884</v>
      </c>
      <c r="O23" s="27" t="n">
        <f aca="false">CONCOR!D142</f>
        <v>0.0342292149471191</v>
      </c>
      <c r="P23" s="27" t="n">
        <f aca="false">CONCOR!D146</f>
        <v>0.0847982243681524</v>
      </c>
      <c r="Q23" s="27" t="n">
        <f aca="false">CONCOR!D147</f>
        <v>0.0401668309095072</v>
      </c>
      <c r="R23" s="36" t="n">
        <f aca="false">CONCOR!D158</f>
        <v>50.0762569389374</v>
      </c>
      <c r="S23" s="36" t="n">
        <f aca="false">CONCOR!D159</f>
        <v>2.01140454504733</v>
      </c>
      <c r="T23" s="36" t="n">
        <f aca="false">CONCOR!D160</f>
        <v>10.6746179362775</v>
      </c>
    </row>
    <row r="24" customFormat="false" ht="15" hidden="false" customHeight="false" outlineLevel="0" collapsed="false">
      <c r="A24" s="16" t="s">
        <v>58</v>
      </c>
      <c r="B24" s="19" t="n">
        <v>2021</v>
      </c>
      <c r="C24" s="26" t="n">
        <f aca="false">CONCOR!E7</f>
        <v>6427.08</v>
      </c>
      <c r="D24" s="26" t="n">
        <f aca="false">CONCOR!E49</f>
        <v>12410.45</v>
      </c>
      <c r="E24" s="27" t="n">
        <f aca="false">CONCOR!E45/CONCOR!E49</f>
        <v>0.456283212937484</v>
      </c>
      <c r="F24" s="33" t="n">
        <f aca="false">CONCOR!E95</f>
        <v>3.04206604188607</v>
      </c>
      <c r="G24" s="33" t="n">
        <f aca="false">CONCOR!E96</f>
        <v>1.76891338834602</v>
      </c>
      <c r="H24" s="33" t="n">
        <f aca="false">CONCOR!E101</f>
        <v>0.0709641257806319</v>
      </c>
      <c r="I24" s="36" t="n">
        <f aca="false">CONCOR!E109</f>
        <v>11.3800967519005</v>
      </c>
      <c r="J24" s="39" t="n">
        <f aca="false">CONCOR!E119</f>
        <v>9.14504720650747</v>
      </c>
      <c r="K24" s="36" t="n">
        <f aca="false">CONCOR!E124</f>
        <v>0.517876467009657</v>
      </c>
      <c r="L24" s="27" t="n">
        <f aca="false">CONCOR!E130</f>
        <v>0.162965141246102</v>
      </c>
      <c r="M24" s="27" t="n">
        <f aca="false">CONCOR!E131</f>
        <v>0.0768638324091188</v>
      </c>
      <c r="N24" s="27" t="n">
        <f aca="false">CONCOR!E133</f>
        <v>0.0786142385033328</v>
      </c>
      <c r="O24" s="27" t="n">
        <f aca="false">CONCOR!E142</f>
        <v>0.0407124640927605</v>
      </c>
      <c r="P24" s="27" t="n">
        <f aca="false">CONCOR!E146</f>
        <v>0.0336532772493816</v>
      </c>
      <c r="Q24" s="27" t="n">
        <f aca="false">CONCOR!E147</f>
        <v>0.0495972420454568</v>
      </c>
      <c r="R24" s="36" t="n">
        <f aca="false">CONCOR!E158</f>
        <v>72.1112773621502</v>
      </c>
      <c r="S24" s="36" t="n">
        <f aca="false">CONCOR!E159</f>
        <v>3.57652047753763</v>
      </c>
      <c r="T24" s="36" t="n">
        <f aca="false">CONCOR!E160</f>
        <v>33.0966249439082</v>
      </c>
    </row>
    <row r="25" customFormat="false" ht="15" hidden="false" customHeight="false" outlineLevel="0" collapsed="false">
      <c r="A25" s="16" t="s">
        <v>58</v>
      </c>
      <c r="B25" s="19" t="n">
        <v>2022</v>
      </c>
      <c r="C25" s="26" t="n">
        <f aca="false">CONCOR!F7</f>
        <v>7652.73</v>
      </c>
      <c r="D25" s="26" t="n">
        <f aca="false">CONCOR!F49</f>
        <v>13002.26</v>
      </c>
      <c r="E25" s="27" t="n">
        <f aca="false">CONCOR!F45/CONCOR!F49</f>
        <v>0.440131946292414</v>
      </c>
      <c r="F25" s="33" t="n">
        <f aca="false">CONCOR!F95</f>
        <v>3.51790688288574</v>
      </c>
      <c r="G25" s="33" t="n">
        <f aca="false">CONCOR!F96</f>
        <v>2.05074664390676</v>
      </c>
      <c r="H25" s="33" t="n">
        <f aca="false">CONCOR!F101</f>
        <v>0.0683628452287424</v>
      </c>
      <c r="I25" s="36" t="n">
        <f aca="false">CONCOR!F109</f>
        <v>18.8900381922342</v>
      </c>
      <c r="J25" s="39" t="n">
        <f aca="false">CONCOR!F119</f>
        <v>8.66720765008043</v>
      </c>
      <c r="K25" s="36" t="n">
        <f aca="false">CONCOR!F124</f>
        <v>0.588569217966723</v>
      </c>
      <c r="L25" s="27" t="n">
        <f aca="false">CONCOR!F130</f>
        <v>0.228476635135435</v>
      </c>
      <c r="M25" s="27" t="n">
        <f aca="false">CONCOR!F131</f>
        <v>0.15511458002569</v>
      </c>
      <c r="N25" s="27" t="n">
        <f aca="false">CONCOR!F133</f>
        <v>0.137874980562492</v>
      </c>
      <c r="O25" s="27" t="n">
        <f aca="false">CONCOR!F142</f>
        <v>0.0811489694868431</v>
      </c>
      <c r="P25" s="27" t="n">
        <f aca="false">CONCOR!F146</f>
        <v>0.0779535012691091</v>
      </c>
      <c r="Q25" s="27" t="n">
        <f aca="false">CONCOR!F147</f>
        <v>0.0981000506715138</v>
      </c>
      <c r="R25" s="36" t="n">
        <f aca="false">CONCOR!F158</f>
        <v>38.8133626506938</v>
      </c>
      <c r="S25" s="36" t="n">
        <f aca="false">CONCOR!F159</f>
        <v>3.8075928427649</v>
      </c>
      <c r="T25" s="36" t="n">
        <f aca="false">CONCOR!F160</f>
        <v>22.1737834792705</v>
      </c>
    </row>
    <row r="26" customFormat="false" ht="15" hidden="false" customHeight="false" outlineLevel="0" collapsed="false">
      <c r="A26" s="16" t="s">
        <v>58</v>
      </c>
      <c r="B26" s="19" t="n">
        <v>2023</v>
      </c>
      <c r="C26" s="26" t="n">
        <f aca="false">CONCOR!G7</f>
        <v>8169.12</v>
      </c>
      <c r="D26" s="26" t="n">
        <f aca="false">CONCOR!G49</f>
        <v>13465.06</v>
      </c>
      <c r="E26" s="27" t="n">
        <f aca="false">CONCOR!G45/CONCOR!G49</f>
        <v>0.417427772323332</v>
      </c>
      <c r="F26" s="33" t="n">
        <f aca="false">CONCOR!G95</f>
        <v>3.96768671382302</v>
      </c>
      <c r="G26" s="33" t="n">
        <f aca="false">CONCOR!G96</f>
        <v>2.27207800655989</v>
      </c>
      <c r="H26" s="33" t="n">
        <f aca="false">CONCOR!G101</f>
        <v>0.0693602279701729</v>
      </c>
      <c r="I26" s="36" t="n">
        <f aca="false">CONCOR!G109</f>
        <v>20.0183982683983</v>
      </c>
      <c r="J26" s="39" t="n">
        <f aca="false">CONCOR!G119</f>
        <v>9.65097831835008</v>
      </c>
      <c r="K26" s="36" t="n">
        <f aca="false">CONCOR!G124</f>
        <v>0.606690204128314</v>
      </c>
      <c r="L26" s="27" t="n">
        <f aca="false">CONCOR!G130</f>
        <v>0.228641518303073</v>
      </c>
      <c r="M26" s="27" t="n">
        <f aca="false">CONCOR!G131</f>
        <v>0.158498100162563</v>
      </c>
      <c r="N26" s="27" t="n">
        <f aca="false">CONCOR!G133</f>
        <v>0.143696016217169</v>
      </c>
      <c r="O26" s="27" t="n">
        <f aca="false">CONCOR!G142</f>
        <v>0.0871789654112199</v>
      </c>
      <c r="P26" s="27" t="n">
        <f aca="false">CONCOR!G146</f>
        <v>0.0809672396708169</v>
      </c>
      <c r="Q26" s="27" t="n">
        <f aca="false">CONCOR!G147</f>
        <v>0.104566796988784</v>
      </c>
      <c r="R26" s="36" t="n">
        <f aca="false">CONCOR!G158</f>
        <v>30.117024883505</v>
      </c>
      <c r="S26" s="36" t="n">
        <f aca="false">CONCOR!G159</f>
        <v>3.14924082689963</v>
      </c>
      <c r="T26" s="36" t="n">
        <f aca="false">CONCOR!G160</f>
        <v>17.6839019166934</v>
      </c>
    </row>
    <row r="27" customFormat="false" ht="15" hidden="false" customHeight="false" outlineLevel="0" collapsed="false">
      <c r="A27" s="16" t="s">
        <v>58</v>
      </c>
      <c r="B27" s="19" t="n">
        <v>2024</v>
      </c>
      <c r="C27" s="26" t="n">
        <f aca="false">CONCOR!H7</f>
        <v>8653.41</v>
      </c>
      <c r="D27" s="26" t="n">
        <f aca="false">CONCOR!H49</f>
        <v>14038.16</v>
      </c>
      <c r="E27" s="27" t="n">
        <f aca="false">CONCOR!H45/CONCOR!H49</f>
        <v>0.42845786057432</v>
      </c>
      <c r="F27" s="33" t="n">
        <f aca="false">CONCOR!H95</f>
        <v>4.71983545543585</v>
      </c>
      <c r="G27" s="33" t="n">
        <f aca="false">CONCOR!H96</f>
        <v>2.84405093046033</v>
      </c>
      <c r="H27" s="33" t="n">
        <f aca="false">CONCOR!H101</f>
        <v>0.0793946821548463</v>
      </c>
      <c r="I27" s="36" t="n">
        <f aca="false">CONCOR!H109</f>
        <v>18.6821413634462</v>
      </c>
      <c r="J27" s="39" t="n">
        <f aca="false">CONCOR!H119</f>
        <v>14.0724812530552</v>
      </c>
      <c r="K27" s="36" t="n">
        <f aca="false">CONCOR!H124</f>
        <v>0.616420528046411</v>
      </c>
      <c r="L27" s="27" t="n">
        <f aca="false">CONCOR!H130</f>
        <v>0.226347763482835</v>
      </c>
      <c r="M27" s="27" t="n">
        <f aca="false">CONCOR!H131</f>
        <v>0.154860338294383</v>
      </c>
      <c r="N27" s="27" t="n">
        <f aca="false">CONCOR!H133</f>
        <v>0.145675519823977</v>
      </c>
      <c r="O27" s="27" t="n">
        <f aca="false">CONCOR!H142</f>
        <v>0.0897973808533312</v>
      </c>
      <c r="P27" s="27" t="n">
        <f aca="false">CONCOR!H146</f>
        <v>0.0794265155541402</v>
      </c>
      <c r="Q27" s="27" t="n">
        <f aca="false">CONCOR!H147</f>
        <v>0.106619945006475</v>
      </c>
      <c r="R27" s="36" t="n">
        <f aca="false">CONCOR!H158</f>
        <v>42.6344717949532</v>
      </c>
      <c r="S27" s="36" t="n">
        <f aca="false">CONCOR!H159</f>
        <v>4.545685038158</v>
      </c>
      <c r="T27" s="36" t="n">
        <f aca="false">CONCOR!H160</f>
        <v>26.2356274633937</v>
      </c>
    </row>
    <row r="28" customFormat="false" ht="15" hidden="false" customHeight="false" outlineLevel="0" collapsed="false">
      <c r="A28" s="16" t="s">
        <v>58</v>
      </c>
      <c r="B28" s="19" t="n">
        <v>2025</v>
      </c>
      <c r="C28" s="26" t="n">
        <f aca="false">CONCOR!I7</f>
        <v>8887.02</v>
      </c>
      <c r="D28" s="26" t="n">
        <f aca="false">CONCOR!I49</f>
        <v>14477.26</v>
      </c>
      <c r="E28" s="27" t="n">
        <f aca="false">CONCOR!I45/CONCOR!I49</f>
        <v>0.454400211089668</v>
      </c>
      <c r="F28" s="33" t="n">
        <f aca="false">CONCOR!I95</f>
        <v>4.799123418183</v>
      </c>
      <c r="G28" s="33" t="n">
        <f aca="false">CONCOR!I96</f>
        <v>3.29170244827195</v>
      </c>
      <c r="H28" s="33" t="n">
        <f aca="false">CONCOR!I101</f>
        <v>0.0695766088974968</v>
      </c>
      <c r="I28" s="36" t="n">
        <f aca="false">CONCOR!I109</f>
        <v>18.3356443719413</v>
      </c>
      <c r="J28" s="39" t="n">
        <f aca="false">CONCOR!I119</f>
        <v>16.4276326597667</v>
      </c>
      <c r="K28" s="36" t="n">
        <f aca="false">CONCOR!I124</f>
        <v>0.613860633849223</v>
      </c>
      <c r="L28" s="27" t="n">
        <f aca="false">CONCOR!I130</f>
        <v>0.217171785367874</v>
      </c>
      <c r="M28" s="27" t="n">
        <f aca="false">CONCOR!I131</f>
        <v>0.151768534334344</v>
      </c>
      <c r="N28" s="27" t="n">
        <f aca="false">CONCOR!I133</f>
        <v>0.14515664418444</v>
      </c>
      <c r="O28" s="27" t="n">
        <f aca="false">CONCOR!I142</f>
        <v>0.0891059496064863</v>
      </c>
      <c r="P28" s="27" t="n">
        <f aca="false">CONCOR!I146</f>
        <v>0.0764782558155156</v>
      </c>
      <c r="Q28" s="27" t="n">
        <f aca="false">CONCOR!I147</f>
        <v>0.104188843642026</v>
      </c>
      <c r="R28" s="36" t="n">
        <f aca="false">CONCOR!I158</f>
        <v>32.6647117464206</v>
      </c>
      <c r="S28" s="36" t="n">
        <f aca="false">CONCOR!I159</f>
        <v>3.40329854475967</v>
      </c>
      <c r="T28" s="36" t="n">
        <f aca="false">CONCOR!I160</f>
        <v>20.3813269361299</v>
      </c>
    </row>
    <row r="29" customFormat="false" ht="15" hidden="false" customHeight="false" outlineLevel="0" collapsed="false">
      <c r="A29" s="16" t="s">
        <v>58</v>
      </c>
      <c r="B29" s="19" t="n">
        <v>2026</v>
      </c>
      <c r="C29" s="26" t="n">
        <f aca="false">CONCOR!J7</f>
        <v>9078.97</v>
      </c>
      <c r="D29" s="26" t="n">
        <f aca="false">CONCOR!J49</f>
        <v>15175.78</v>
      </c>
      <c r="E29" s="27" t="n">
        <f aca="false">CONCOR!J45/CONCOR!J49</f>
        <v>0.472628095557527</v>
      </c>
      <c r="F29" s="33" t="n">
        <f aca="false">CONCOR!J95</f>
        <v>4.75113881752124</v>
      </c>
      <c r="G29" s="33" t="n">
        <f aca="false">CONCOR!J96</f>
        <v>3.13060542534243</v>
      </c>
      <c r="H29" s="33" t="n">
        <f aca="false">CONCOR!J101</f>
        <v>0.0745281961931179</v>
      </c>
      <c r="I29" s="36" t="n">
        <f aca="false">CONCOR!J109</f>
        <v>17.0099325098688</v>
      </c>
      <c r="J29" s="39" t="n">
        <f aca="false">CONCOR!J119</f>
        <v>19.4975531365342</v>
      </c>
      <c r="K29" s="36" t="n">
        <f aca="false">CONCOR!J124</f>
        <v>0.598253928298908</v>
      </c>
      <c r="L29" s="27" t="n">
        <f aca="false">CONCOR!J130</f>
        <v>0.214927464238785</v>
      </c>
      <c r="M29" s="27" t="n">
        <f aca="false">CONCOR!J131</f>
        <v>0.147130125994469</v>
      </c>
      <c r="N29" s="27" t="n">
        <f aca="false">CONCOR!J133</f>
        <v>0.13677763006156</v>
      </c>
      <c r="O29" s="27" t="n">
        <f aca="false">CONCOR!J142</f>
        <v>0.081827754487743</v>
      </c>
      <c r="P29" s="27" t="n">
        <f aca="false">CONCOR!J146</f>
        <v>0.0724849883559436</v>
      </c>
      <c r="Q29" s="27" t="n">
        <f aca="false">CONCOR!J147</f>
        <v>0.0959485719363176</v>
      </c>
      <c r="R29" s="36" t="n">
        <f aca="false">CONCOR!J158</f>
        <v>26.0837880496054</v>
      </c>
      <c r="S29" s="36" t="n">
        <f aca="false">CONCOR!J159</f>
        <v>2.50270221404923</v>
      </c>
      <c r="T29" s="36" t="n">
        <f aca="false">CONCOR!J160</f>
        <v>15.3066119344854</v>
      </c>
    </row>
    <row r="30" customFormat="false" ht="15" hidden="false" customHeight="false" outlineLevel="0" collapsed="false">
      <c r="A30" s="16" t="s">
        <v>278</v>
      </c>
      <c r="B30" s="19" t="n">
        <v>2020</v>
      </c>
      <c r="C30" s="26" t="n">
        <f aca="false">JetFreight!D7</f>
        <v>299.78</v>
      </c>
      <c r="D30" s="26" t="n">
        <f aca="false">JetFreight!D49</f>
        <v>87.81</v>
      </c>
      <c r="E30" s="27" t="n">
        <f aca="false">JetFreight!D45/JetFreight!D49</f>
        <v>0.163421022662567</v>
      </c>
      <c r="F30" s="33" t="n">
        <f aca="false">JetFreight!D95</f>
        <v>2.17703636910129</v>
      </c>
      <c r="G30" s="33" t="n">
        <f aca="false">JetFreight!D96</f>
        <v>1.65374211000902</v>
      </c>
      <c r="H30" s="33" t="n">
        <f aca="false">JetFreight!D101</f>
        <v>2.15990730011588</v>
      </c>
      <c r="I30" s="36" t="n">
        <f aca="false">JetFreight!D109</f>
        <v>-1.04366812227075</v>
      </c>
      <c r="J30" s="39" t="n">
        <f aca="false">JetFreight!D119</f>
        <v>62.801721262259</v>
      </c>
      <c r="K30" s="36" t="n">
        <f aca="false">JetFreight!D124</f>
        <v>3.41396196332992</v>
      </c>
      <c r="L30" s="27" t="n">
        <f aca="false">JetFreight!D130</f>
        <v>-0.0117085862966177</v>
      </c>
      <c r="M30" s="27" t="n">
        <f aca="false">JetFreight!D131</f>
        <v>-0.0159450263526588</v>
      </c>
      <c r="N30" s="27" t="n">
        <f aca="false">JetFreight!D133</f>
        <v>-0.0285876309293482</v>
      </c>
      <c r="O30" s="27" t="n">
        <f aca="false">JetFreight!D142</f>
        <v>-0.0975970846145086</v>
      </c>
      <c r="P30" s="27" t="n">
        <f aca="false">JetFreight!D146</f>
        <v>-0.0876420975430885</v>
      </c>
      <c r="Q30" s="27" t="n">
        <f aca="false">JetFreight!D147</f>
        <v>-0.496523754345307</v>
      </c>
      <c r="R30" s="36" t="str">
        <f aca="false">JetFreight!D158</f>
        <v>N/M</v>
      </c>
      <c r="S30" s="36" t="n">
        <f aca="false">JetFreight!D159</f>
        <v>1.52695249130939</v>
      </c>
      <c r="T30" s="36" t="str">
        <f aca="false">JetFreight!D160</f>
        <v>N/M</v>
      </c>
    </row>
    <row r="31" customFormat="false" ht="15" hidden="false" customHeight="false" outlineLevel="0" collapsed="false">
      <c r="A31" s="16" t="s">
        <v>278</v>
      </c>
      <c r="B31" s="19" t="n">
        <v>2021</v>
      </c>
      <c r="C31" s="26" t="n">
        <f aca="false">JetFreight!E7</f>
        <v>346.79</v>
      </c>
      <c r="D31" s="26" t="n">
        <f aca="false">JetFreight!E49</f>
        <v>98.17</v>
      </c>
      <c r="E31" s="27" t="n">
        <f aca="false">JetFreight!E45/JetFreight!E49</f>
        <v>0.290822043394112</v>
      </c>
      <c r="F31" s="33" t="n">
        <f aca="false">JetFreight!E95</f>
        <v>1.52183454026772</v>
      </c>
      <c r="G31" s="33" t="n">
        <f aca="false">JetFreight!E96</f>
        <v>0.938775510204082</v>
      </c>
      <c r="H31" s="33" t="n">
        <f aca="false">JetFreight!E101</f>
        <v>1.44310264746865</v>
      </c>
      <c r="I31" s="36" t="n">
        <f aca="false">JetFreight!E109</f>
        <v>1.84278350515465</v>
      </c>
      <c r="J31" s="39" t="n">
        <f aca="false">JetFreight!E119</f>
        <v>41.6688774186107</v>
      </c>
      <c r="K31" s="36" t="n">
        <f aca="false">JetFreight!E124</f>
        <v>3.53254558419069</v>
      </c>
      <c r="L31" s="27" t="n">
        <f aca="false">JetFreight!E130</f>
        <v>0.0268462181723812</v>
      </c>
      <c r="M31" s="27" t="n">
        <f aca="false">JetFreight!E131</f>
        <v>0.0206176648692294</v>
      </c>
      <c r="N31" s="27" t="n">
        <f aca="false">JetFreight!E133</f>
        <v>0.00723780962542172</v>
      </c>
      <c r="O31" s="27" t="n">
        <f aca="false">JetFreight!E142</f>
        <v>0.0255678924314964</v>
      </c>
      <c r="P31" s="27" t="n">
        <f aca="false">JetFreight!E146</f>
        <v>0.0884316349809893</v>
      </c>
      <c r="Q31" s="27" t="n">
        <f aca="false">JetFreight!E147</f>
        <v>0.11658151416628</v>
      </c>
      <c r="R31" s="36" t="n">
        <f aca="false">JetFreight!E158</f>
        <v>13.2914741035857</v>
      </c>
      <c r="S31" s="36" t="n">
        <f aca="false">JetFreight!E159</f>
        <v>1.54954017649791</v>
      </c>
      <c r="T31" s="36" t="n">
        <f aca="false">JetFreight!E160</f>
        <v>6.57804511278191</v>
      </c>
    </row>
    <row r="32" customFormat="false" ht="15" hidden="false" customHeight="false" outlineLevel="0" collapsed="false">
      <c r="A32" s="16" t="s">
        <v>278</v>
      </c>
      <c r="B32" s="19" t="n">
        <v>2022</v>
      </c>
      <c r="C32" s="26" t="n">
        <f aca="false">JetFreight!F7</f>
        <v>456.76</v>
      </c>
      <c r="D32" s="26" t="n">
        <f aca="false">JetFreight!F49</f>
        <v>110.01</v>
      </c>
      <c r="E32" s="27" t="n">
        <f aca="false">JetFreight!F45/JetFreight!F49</f>
        <v>0.283246977547496</v>
      </c>
      <c r="F32" s="33" t="n">
        <f aca="false">JetFreight!F95</f>
        <v>2.15819829717111</v>
      </c>
      <c r="G32" s="33" t="n">
        <f aca="false">JetFreight!F96</f>
        <v>1.33177698434496</v>
      </c>
      <c r="H32" s="33" t="n">
        <f aca="false">JetFreight!F101</f>
        <v>2.0201066885515</v>
      </c>
      <c r="I32" s="36" t="n">
        <f aca="false">JetFreight!F109</f>
        <v>1.99009900990098</v>
      </c>
      <c r="J32" s="39" t="n">
        <f aca="false">JetFreight!F119</f>
        <v>33.4825729048078</v>
      </c>
      <c r="K32" s="36" t="n">
        <f aca="false">JetFreight!F124</f>
        <v>4.15198618307427</v>
      </c>
      <c r="L32" s="27" t="n">
        <f aca="false">JetFreight!F130</f>
        <v>0.023601015850775</v>
      </c>
      <c r="M32" s="27" t="n">
        <f aca="false">JetFreight!F131</f>
        <v>0.0176022418775724</v>
      </c>
      <c r="N32" s="27" t="n">
        <f aca="false">JetFreight!F133</f>
        <v>0.00617392065855154</v>
      </c>
      <c r="O32" s="27" t="n">
        <f aca="false">JetFreight!F142</f>
        <v>0.0256340332697028</v>
      </c>
      <c r="P32" s="27" t="n">
        <f aca="false">JetFreight!F146</f>
        <v>0.0710666086956519</v>
      </c>
      <c r="Q32" s="27" t="n">
        <f aca="false">JetFreight!F147</f>
        <v>0.115716044316783</v>
      </c>
      <c r="R32" s="36" t="n">
        <f aca="false">JetFreight!F158</f>
        <v>47.8479432624114</v>
      </c>
      <c r="S32" s="36" t="n">
        <f aca="false">JetFreight!F159</f>
        <v>5.53677472302011</v>
      </c>
      <c r="T32" s="36" t="n">
        <f aca="false">JetFreight!F160</f>
        <v>16.4722820037106</v>
      </c>
    </row>
    <row r="33" customFormat="false" ht="15" hidden="false" customHeight="false" outlineLevel="0" collapsed="false">
      <c r="A33" s="16" t="s">
        <v>278</v>
      </c>
      <c r="B33" s="19" t="n">
        <v>2023</v>
      </c>
      <c r="C33" s="26" t="n">
        <f aca="false">JetFreight!G7</f>
        <v>416.69</v>
      </c>
      <c r="D33" s="26" t="n">
        <f aca="false">JetFreight!G49</f>
        <v>153.86</v>
      </c>
      <c r="E33" s="27" t="n">
        <f aca="false">JetFreight!G45/JetFreight!G49</f>
        <v>0.198557129858313</v>
      </c>
      <c r="F33" s="33" t="n">
        <f aca="false">JetFreight!G95</f>
        <v>4.00130081300813</v>
      </c>
      <c r="G33" s="33" t="n">
        <f aca="false">JetFreight!G96</f>
        <v>1.73918699186992</v>
      </c>
      <c r="H33" s="33" t="n">
        <f aca="false">JetFreight!G101</f>
        <v>0.977988431876607</v>
      </c>
      <c r="I33" s="36" t="n">
        <f aca="false">JetFreight!G109</f>
        <v>1.02772277227724</v>
      </c>
      <c r="J33" s="39" t="n">
        <f aca="false">JetFreight!G119</f>
        <v>39.4090330941467</v>
      </c>
      <c r="K33" s="36" t="n">
        <f aca="false">JetFreight!G124</f>
        <v>2.70824125828675</v>
      </c>
      <c r="L33" s="27" t="n">
        <f aca="false">JetFreight!G130</f>
        <v>0.019198924860208</v>
      </c>
      <c r="M33" s="27" t="n">
        <f aca="false">JetFreight!G131</f>
        <v>0.01245530250306</v>
      </c>
      <c r="N33" s="27" t="n">
        <f aca="false">JetFreight!G133</f>
        <v>0.000143991936451559</v>
      </c>
      <c r="O33" s="27" t="n">
        <f aca="false">JetFreight!G142</f>
        <v>0.000389964903158716</v>
      </c>
      <c r="P33" s="27" t="n">
        <f aca="false">JetFreight!G146</f>
        <v>0.0274259312809685</v>
      </c>
      <c r="Q33" s="27" t="n">
        <f aca="false">JetFreight!G147</f>
        <v>0.00096401028277635</v>
      </c>
      <c r="R33" s="36" t="n">
        <f aca="false">JetFreight!G158</f>
        <v>912.533333333333</v>
      </c>
      <c r="S33" s="36" t="n">
        <f aca="false">JetFreight!G159</f>
        <v>0.879691516709512</v>
      </c>
      <c r="T33" s="36" t="n">
        <f aca="false">JetFreight!G160</f>
        <v>13.3914999999999</v>
      </c>
    </row>
    <row r="34" customFormat="false" ht="15" hidden="false" customHeight="false" outlineLevel="0" collapsed="false">
      <c r="A34" s="16" t="s">
        <v>278</v>
      </c>
      <c r="B34" s="19" t="n">
        <v>2024</v>
      </c>
      <c r="C34" s="26" t="n">
        <f aca="false">JetFreight!H7</f>
        <v>387.77</v>
      </c>
      <c r="D34" s="26" t="n">
        <f aca="false">JetFreight!H49</f>
        <v>170.56</v>
      </c>
      <c r="E34" s="27" t="n">
        <f aca="false">JetFreight!H45/JetFreight!H49</f>
        <v>0.159240150093809</v>
      </c>
      <c r="F34" s="33" t="n">
        <f aca="false">JetFreight!H95</f>
        <v>2.73794950267789</v>
      </c>
      <c r="G34" s="33" t="n">
        <f aca="false">JetFreight!H96</f>
        <v>1.577467482785</v>
      </c>
      <c r="H34" s="33" t="n">
        <f aca="false">JetFreight!H101</f>
        <v>0.893085787451985</v>
      </c>
      <c r="I34" s="36" t="n">
        <f aca="false">JetFreight!H109</f>
        <v>0.622895622895618</v>
      </c>
      <c r="J34" s="39" t="n">
        <f aca="false">JetFreight!H119</f>
        <v>65.1083116280269</v>
      </c>
      <c r="K34" s="36" t="n">
        <f aca="false">JetFreight!H124</f>
        <v>2.2735107879925</v>
      </c>
      <c r="L34" s="27" t="n">
        <f aca="false">JetFreight!H130</f>
        <v>0.0152409933723598</v>
      </c>
      <c r="M34" s="27" t="n">
        <f aca="false">JetFreight!H131</f>
        <v>0.00954173865951458</v>
      </c>
      <c r="N34" s="27" t="n">
        <f aca="false">JetFreight!H133</f>
        <v>0.000670500554452382</v>
      </c>
      <c r="O34" s="27" t="n">
        <f aca="false">JetFreight!H142</f>
        <v>0.00152439024390244</v>
      </c>
      <c r="P34" s="27" t="n">
        <f aca="false">JetFreight!H146</f>
        <v>0.0312817044301654</v>
      </c>
      <c r="Q34" s="27" t="n">
        <f aca="false">JetFreight!H147</f>
        <v>0.00416133162612036</v>
      </c>
      <c r="R34" s="36" t="n">
        <f aca="false">JetFreight!H158</f>
        <v>222.184615384615</v>
      </c>
      <c r="S34" s="36" t="n">
        <f aca="false">JetFreight!H159</f>
        <v>0.924583866837388</v>
      </c>
      <c r="T34" s="36" t="n">
        <f aca="false">JetFreight!H160</f>
        <v>16.9658206429781</v>
      </c>
    </row>
    <row r="35" customFormat="false" ht="15" hidden="false" customHeight="false" outlineLevel="0" collapsed="false">
      <c r="A35" s="16" t="s">
        <v>278</v>
      </c>
      <c r="B35" s="19" t="n">
        <v>2025</v>
      </c>
      <c r="C35" s="26" t="n">
        <f aca="false">JetFreight!I7</f>
        <v>436.63</v>
      </c>
      <c r="D35" s="26" t="n">
        <f aca="false">JetFreight!I49</f>
        <v>182.43</v>
      </c>
      <c r="E35" s="27" t="n">
        <f aca="false">JetFreight!I45/JetFreight!I49</f>
        <v>0.144548593981253</v>
      </c>
      <c r="F35" s="33" t="n">
        <f aca="false">JetFreight!I95</f>
        <v>2.99500192233756</v>
      </c>
      <c r="G35" s="33" t="n">
        <f aca="false">JetFreight!I96</f>
        <v>1.73933102652826</v>
      </c>
      <c r="H35" s="33" t="n">
        <f aca="false">JetFreight!I101</f>
        <v>0.97381565006811</v>
      </c>
      <c r="I35" s="36" t="n">
        <f aca="false">JetFreight!I109</f>
        <v>1.76666666666667</v>
      </c>
      <c r="J35" s="39" t="n">
        <f aca="false">JetFreight!I119</f>
        <v>65.2457458259854</v>
      </c>
      <c r="K35" s="36" t="n">
        <f aca="false">JetFreight!I124</f>
        <v>2.39341117140821</v>
      </c>
      <c r="L35" s="27" t="n">
        <f aca="false">JetFreight!I130</f>
        <v>0.032682133614273</v>
      </c>
      <c r="M35" s="27" t="n">
        <f aca="false">JetFreight!I131</f>
        <v>0.0279183748253671</v>
      </c>
      <c r="N35" s="27" t="n">
        <f aca="false">JetFreight!I133</f>
        <v>0.00854270205895152</v>
      </c>
      <c r="O35" s="27" t="n">
        <f aca="false">JetFreight!I142</f>
        <v>0.0204461985419065</v>
      </c>
      <c r="P35" s="27" t="n">
        <f aca="false">JetFreight!I146</f>
        <v>0.0608107231040566</v>
      </c>
      <c r="Q35" s="27" t="n">
        <f aca="false">JetFreight!I147</f>
        <v>0.0564552747086424</v>
      </c>
      <c r="R35" s="36" t="n">
        <f aca="false">JetFreight!I158</f>
        <v>14.330509383378</v>
      </c>
      <c r="S35" s="36" t="n">
        <f aca="false">JetFreight!I159</f>
        <v>0.809032843953383</v>
      </c>
      <c r="T35" s="36" t="n">
        <f aca="false">JetFreight!I160</f>
        <v>7.3835178696566</v>
      </c>
    </row>
    <row r="36" customFormat="false" ht="15" hidden="false" customHeight="false" outlineLevel="0" collapsed="false">
      <c r="A36" s="16" t="s">
        <v>278</v>
      </c>
      <c r="B36" s="19" t="n">
        <v>2026</v>
      </c>
      <c r="C36" s="26" t="n">
        <f aca="false">JetFreight!J7</f>
        <v>444.08</v>
      </c>
      <c r="D36" s="26" t="n">
        <f aca="false">JetFreight!J49</f>
        <v>194.09</v>
      </c>
      <c r="E36" s="27" t="n">
        <f aca="false">JetFreight!J45/JetFreight!J49</f>
        <v>0.125508784584471</v>
      </c>
      <c r="F36" s="33" t="n">
        <f aca="false">JetFreight!J95</f>
        <v>3.58818547533347</v>
      </c>
      <c r="G36" s="33" t="n">
        <f aca="false">JetFreight!J96</f>
        <v>2.36459877196697</v>
      </c>
      <c r="H36" s="33" t="n">
        <f aca="false">JetFreight!J101</f>
        <v>1.01758483308147</v>
      </c>
      <c r="I36" s="36" t="n">
        <f aca="false">JetFreight!J109</f>
        <v>2.09428571428571</v>
      </c>
      <c r="J36" s="39" t="n">
        <f aca="false">JetFreight!J119</f>
        <v>79.817037470726</v>
      </c>
      <c r="K36" s="36" t="n">
        <f aca="false">JetFreight!J124</f>
        <v>2.28801071667783</v>
      </c>
      <c r="L36" s="27" t="n">
        <f aca="false">JetFreight!J130</f>
        <v>0.0373130967393262</v>
      </c>
      <c r="M36" s="27" t="n">
        <f aca="false">JetFreight!J131</f>
        <v>0.0330120698973158</v>
      </c>
      <c r="N36" s="27" t="n">
        <f aca="false">JetFreight!J133</f>
        <v>0.0153125562961629</v>
      </c>
      <c r="O36" s="27" t="n">
        <f aca="false">JetFreight!J142</f>
        <v>0.0350352929053532</v>
      </c>
      <c r="P36" s="27" t="n">
        <f aca="false">JetFreight!J146</f>
        <v>0.0649408252757728</v>
      </c>
      <c r="Q36" s="27" t="n">
        <f aca="false">JetFreight!J147</f>
        <v>0.0934194257452947</v>
      </c>
      <c r="R36" s="36" t="n">
        <f aca="false">JetFreight!J158</f>
        <v>11.6409411764706</v>
      </c>
      <c r="S36" s="36" t="n">
        <f aca="false">JetFreight!J159</f>
        <v>1.08749003984064</v>
      </c>
      <c r="T36" s="36" t="n">
        <f aca="false">JetFreight!J160</f>
        <v>8.36803862401931</v>
      </c>
    </row>
    <row r="37" customFormat="false" ht="15" hidden="false" customHeight="false" outlineLevel="0" collapsed="false">
      <c r="A37" s="16" t="s">
        <v>62</v>
      </c>
      <c r="B37" s="19" t="n">
        <v>2020</v>
      </c>
      <c r="C37" s="26" t="n">
        <f aca="false">Patel!D7</f>
        <v>347.41</v>
      </c>
      <c r="D37" s="26" t="n">
        <f aca="false">Patel!D49</f>
        <v>205.39</v>
      </c>
      <c r="E37" s="27" t="n">
        <f aca="false">Patel!D45/Patel!D49</f>
        <v>0.24879497541263</v>
      </c>
      <c r="F37" s="33" t="n">
        <f aca="false">Patel!D95</f>
        <v>5.51911076443058</v>
      </c>
      <c r="G37" s="33" t="n">
        <f aca="false">Patel!D96</f>
        <v>3.96372854914197</v>
      </c>
      <c r="H37" s="33" t="n">
        <f aca="false">Patel!D101</f>
        <v>0.510123498277745</v>
      </c>
      <c r="I37" s="36" t="n">
        <f aca="false">Patel!D109</f>
        <v>0.56562922868742</v>
      </c>
      <c r="J37" s="39" t="n">
        <f aca="false">Patel!D119</f>
        <v>93.2540801934314</v>
      </c>
      <c r="K37" s="36" t="n">
        <f aca="false">Patel!D124</f>
        <v>1.69146501777107</v>
      </c>
      <c r="L37" s="27" t="n">
        <f aca="false">Patel!D130</f>
        <v>0.0232866066031491</v>
      </c>
      <c r="M37" s="27" t="n">
        <f aca="false">Patel!D131</f>
        <v>0.0120318931521834</v>
      </c>
      <c r="N37" s="27" t="n">
        <f aca="false">Patel!D133</f>
        <v>0.0309144814484327</v>
      </c>
      <c r="O37" s="27" t="n">
        <f aca="false">Patel!D142</f>
        <v>0.0522907639125566</v>
      </c>
      <c r="P37" s="27" t="n">
        <f aca="false">Patel!D146</f>
        <v>0.0194482464061436</v>
      </c>
      <c r="Q37" s="27" t="n">
        <f aca="false">Patel!D147</f>
        <v>0.0902293539443838</v>
      </c>
      <c r="R37" s="36" t="n">
        <f aca="false">Patel!D158</f>
        <v>3.13351955307263</v>
      </c>
      <c r="S37" s="36" t="n">
        <f aca="false">Patel!D159</f>
        <v>0.282735444845837</v>
      </c>
      <c r="T37" s="36" t="n">
        <f aca="false">Patel!D160</f>
        <v>10.0746600741656</v>
      </c>
    </row>
    <row r="38" customFormat="false" ht="15" hidden="false" customHeight="false" outlineLevel="0" collapsed="false">
      <c r="A38" s="16" t="s">
        <v>62</v>
      </c>
      <c r="B38" s="19" t="n">
        <v>2021</v>
      </c>
      <c r="C38" s="26" t="n">
        <f aca="false">Patel!E7</f>
        <v>212.25</v>
      </c>
      <c r="D38" s="26" t="n">
        <f aca="false">Patel!E49</f>
        <v>190.3</v>
      </c>
      <c r="E38" s="27" t="n">
        <f aca="false">Patel!E45/Patel!E49</f>
        <v>0.279190751445087</v>
      </c>
      <c r="F38" s="33" t="n">
        <f aca="false">Patel!E95</f>
        <v>10.61872909699</v>
      </c>
      <c r="G38" s="33" t="n">
        <f aca="false">Patel!E96</f>
        <v>7.94230769230769</v>
      </c>
      <c r="H38" s="33" t="n">
        <f aca="false">Patel!E101</f>
        <v>0.529240267535586</v>
      </c>
      <c r="I38" s="36" t="n">
        <f aca="false">Patel!E109</f>
        <v>0.371541501976287</v>
      </c>
      <c r="J38" s="39" t="n">
        <f aca="false">Patel!E119</f>
        <v>123.66148409894</v>
      </c>
      <c r="K38" s="36" t="n">
        <f aca="false">Patel!E124</f>
        <v>1.11534419337888</v>
      </c>
      <c r="L38" s="27" t="n">
        <f aca="false">Patel!E130</f>
        <v>0.0243580683156656</v>
      </c>
      <c r="M38" s="27" t="n">
        <f aca="false">Patel!E131</f>
        <v>0.0132862190812722</v>
      </c>
      <c r="N38" s="27" t="n">
        <f aca="false">Patel!E133</f>
        <v>0.000235571260306243</v>
      </c>
      <c r="O38" s="27" t="n">
        <f aca="false">Patel!E142</f>
        <v>0.000262743037309511</v>
      </c>
      <c r="P38" s="27" t="n">
        <f aca="false">Patel!E146</f>
        <v>0.0102869754401705</v>
      </c>
      <c r="Q38" s="27" t="n">
        <f aca="false">Patel!E147</f>
        <v>0.000428742925741725</v>
      </c>
      <c r="R38" s="36" t="n">
        <f aca="false">Patel!E158</f>
        <v>1350.422</v>
      </c>
      <c r="S38" s="36" t="n">
        <f aca="false">Patel!E159</f>
        <v>0.578983879265992</v>
      </c>
      <c r="T38" s="36" t="n">
        <f aca="false">Patel!E160</f>
        <v>20.5340618955512</v>
      </c>
    </row>
    <row r="39" customFormat="false" ht="15" hidden="false" customHeight="false" outlineLevel="0" collapsed="false">
      <c r="A39" s="16" t="s">
        <v>62</v>
      </c>
      <c r="B39" s="19" t="n">
        <v>2022</v>
      </c>
      <c r="C39" s="26" t="n">
        <f aca="false">Patel!F7</f>
        <v>234.32</v>
      </c>
      <c r="D39" s="26" t="n">
        <f aca="false">Patel!F49</f>
        <v>179.05</v>
      </c>
      <c r="E39" s="27" t="n">
        <f aca="false">Patel!F45/Patel!F49</f>
        <v>0.317844177604021</v>
      </c>
      <c r="F39" s="33" t="n">
        <f aca="false">Patel!F95</f>
        <v>8.40622737146995</v>
      </c>
      <c r="G39" s="33" t="n">
        <f aca="false">Patel!F96</f>
        <v>6.22809558291093</v>
      </c>
      <c r="H39" s="33" t="n">
        <f aca="false">Patel!F101</f>
        <v>0.409176189663995</v>
      </c>
      <c r="I39" s="36" t="n">
        <f aca="false">Patel!F109</f>
        <v>0.947565543071155</v>
      </c>
      <c r="J39" s="39" t="n">
        <f aca="false">Patel!F119</f>
        <v>100.222345510413</v>
      </c>
      <c r="K39" s="36" t="n">
        <f aca="false">Patel!F124</f>
        <v>1.30868472493717</v>
      </c>
      <c r="L39" s="27" t="n">
        <f aca="false">Patel!F130</f>
        <v>0.0328183680437008</v>
      </c>
      <c r="M39" s="27" t="n">
        <f aca="false">Patel!F131</f>
        <v>0.0215944008193922</v>
      </c>
      <c r="N39" s="27" t="n">
        <f aca="false">Patel!F133</f>
        <v>0.00968760669170365</v>
      </c>
      <c r="O39" s="27" t="n">
        <f aca="false">Patel!F142</f>
        <v>0.0126780228986317</v>
      </c>
      <c r="P39" s="27" t="n">
        <f aca="false">Patel!F146</f>
        <v>0.030622125393367</v>
      </c>
      <c r="Q39" s="27" t="n">
        <f aca="false">Patel!F147</f>
        <v>0.0193586900903974</v>
      </c>
      <c r="R39" s="36" t="n">
        <f aca="false">Patel!F158</f>
        <v>39.7960792951542</v>
      </c>
      <c r="S39" s="36" t="n">
        <f aca="false">Patel!F159</f>
        <v>0.770399965887771</v>
      </c>
      <c r="T39" s="36" t="n">
        <f aca="false">Patel!F160</f>
        <v>15.1686736020807</v>
      </c>
    </row>
    <row r="40" customFormat="false" ht="15" hidden="false" customHeight="false" outlineLevel="0" collapsed="false">
      <c r="A40" s="16" t="s">
        <v>62</v>
      </c>
      <c r="B40" s="19" t="n">
        <v>2023</v>
      </c>
      <c r="C40" s="26" t="n">
        <f aca="false">Patel!G7</f>
        <v>278.28</v>
      </c>
      <c r="D40" s="26" t="n">
        <f aca="false">Patel!G49</f>
        <v>172.15</v>
      </c>
      <c r="E40" s="27" t="n">
        <f aca="false">Patel!G45/Patel!G49</f>
        <v>0.319953528899216</v>
      </c>
      <c r="F40" s="33" t="n">
        <f aca="false">Patel!G95</f>
        <v>4.81551724137931</v>
      </c>
      <c r="G40" s="33" t="n">
        <f aca="false">Patel!G96</f>
        <v>4.225</v>
      </c>
      <c r="H40" s="33" t="n">
        <f aca="false">Patel!G101</f>
        <v>0.265613051236299</v>
      </c>
      <c r="I40" s="36" t="n">
        <f aca="false">Patel!G109</f>
        <v>1.55136268343814</v>
      </c>
      <c r="J40" s="39" t="n">
        <f aca="false">Patel!G119</f>
        <v>96.876886589047</v>
      </c>
      <c r="K40" s="36" t="n">
        <f aca="false">Patel!G124</f>
        <v>1.61649724077839</v>
      </c>
      <c r="L40" s="27" t="n">
        <f aca="false">Patel!G130</f>
        <v>0.0370849504096591</v>
      </c>
      <c r="M40" s="27" t="n">
        <f aca="false">Patel!G131</f>
        <v>0.0265919218053757</v>
      </c>
      <c r="N40" s="27" t="n">
        <f aca="false">Patel!G133</f>
        <v>0.0176081644386948</v>
      </c>
      <c r="O40" s="27" t="n">
        <f aca="false">Patel!G142</f>
        <v>0.0284635492303224</v>
      </c>
      <c r="P40" s="27" t="n">
        <f aca="false">Patel!G146</f>
        <v>0.0496811010406172</v>
      </c>
      <c r="Q40" s="27" t="n">
        <f aca="false">Patel!G147</f>
        <v>0.0416348032967967</v>
      </c>
      <c r="R40" s="36" t="n">
        <f aca="false">Patel!G158</f>
        <v>15.3404081632653</v>
      </c>
      <c r="S40" s="36" t="n">
        <f aca="false">Patel!G159</f>
        <v>0.638694876370125</v>
      </c>
      <c r="T40" s="36" t="n">
        <f aca="false">Patel!G160</f>
        <v>7.97170542635664</v>
      </c>
    </row>
    <row r="41" customFormat="false" ht="15" hidden="false" customHeight="false" outlineLevel="0" collapsed="false">
      <c r="A41" s="16" t="s">
        <v>62</v>
      </c>
      <c r="B41" s="19" t="n">
        <v>2024</v>
      </c>
      <c r="C41" s="26" t="n">
        <f aca="false">Patel!H7</f>
        <v>290.55</v>
      </c>
      <c r="D41" s="26" t="n">
        <f aca="false">Patel!H49</f>
        <v>192.04</v>
      </c>
      <c r="E41" s="27" t="n">
        <f aca="false">Patel!H45/Patel!H49</f>
        <v>0.25255155176005</v>
      </c>
      <c r="F41" s="33" t="n">
        <f aca="false">Patel!H95</f>
        <v>2.85593743568636</v>
      </c>
      <c r="G41" s="33" t="n">
        <f aca="false">Patel!H96</f>
        <v>2.5336488989504</v>
      </c>
      <c r="H41" s="33" t="n">
        <f aca="false">Patel!H101</f>
        <v>0.202128551076846</v>
      </c>
      <c r="I41" s="36" t="n">
        <f aca="false">Patel!H109</f>
        <v>2.43243243243244</v>
      </c>
      <c r="J41" s="39" t="n">
        <f aca="false">Patel!H119</f>
        <v>114.016176217519</v>
      </c>
      <c r="K41" s="36" t="n">
        <f aca="false">Patel!H124</f>
        <v>1.51296604873985</v>
      </c>
      <c r="L41" s="27" t="n">
        <f aca="false">Patel!H130</f>
        <v>0.0313199105145415</v>
      </c>
      <c r="M41" s="27" t="n">
        <f aca="false">Patel!H131</f>
        <v>0.0216830149716057</v>
      </c>
      <c r="N41" s="27" t="n">
        <f aca="false">Patel!H133</f>
        <v>0.0190672861813801</v>
      </c>
      <c r="O41" s="27" t="n">
        <f aca="false">Patel!H142</f>
        <v>0.0288481566340346</v>
      </c>
      <c r="P41" s="27" t="n">
        <f aca="false">Patel!H146</f>
        <v>0.0428352618324097</v>
      </c>
      <c r="Q41" s="27" t="n">
        <f aca="false">Patel!H147</f>
        <v>0.0464258778178161</v>
      </c>
      <c r="R41" s="36" t="n">
        <f aca="false">Patel!H158</f>
        <v>24.7368953068592</v>
      </c>
      <c r="S41" s="36" t="n">
        <f aca="false">Patel!H159</f>
        <v>1.14843207910835</v>
      </c>
      <c r="T41" s="36" t="n">
        <f aca="false">Patel!H160</f>
        <v>14.1552087912088</v>
      </c>
    </row>
    <row r="42" customFormat="false" ht="15" hidden="false" customHeight="false" outlineLevel="0" collapsed="false">
      <c r="A42" s="16" t="s">
        <v>62</v>
      </c>
      <c r="B42" s="19" t="n">
        <v>2025</v>
      </c>
      <c r="C42" s="26" t="n">
        <f aca="false">Patel!I7</f>
        <v>342.69</v>
      </c>
      <c r="D42" s="26" t="n">
        <f aca="false">Patel!I49</f>
        <v>168.12</v>
      </c>
      <c r="E42" s="27" t="n">
        <f aca="false">Patel!I45/Patel!I49</f>
        <v>0.280335474660957</v>
      </c>
      <c r="F42" s="33" t="n">
        <f aca="false">Patel!I95</f>
        <v>3.49146451033243</v>
      </c>
      <c r="G42" s="33" t="n">
        <f aca="false">Patel!I96</f>
        <v>2.87720874513327</v>
      </c>
      <c r="H42" s="33" t="n">
        <f aca="false">Patel!I101</f>
        <v>0.107430544139405</v>
      </c>
      <c r="I42" s="36" t="n">
        <f aca="false">Patel!I109</f>
        <v>5.2542372881356</v>
      </c>
      <c r="J42" s="39" t="n">
        <f aca="false">Patel!I119</f>
        <v>71.8837725057632</v>
      </c>
      <c r="K42" s="36" t="n">
        <f aca="false">Patel!I124</f>
        <v>2.03836545324768</v>
      </c>
      <c r="L42" s="27" t="n">
        <f aca="false">Patel!I130</f>
        <v>0.0257083661618372</v>
      </c>
      <c r="M42" s="27" t="n">
        <f aca="false">Patel!I131</f>
        <v>0.0180921532580466</v>
      </c>
      <c r="N42" s="27" t="n">
        <f aca="false">Patel!I133</f>
        <v>0.022177478187283</v>
      </c>
      <c r="O42" s="27" t="n">
        <f aca="false">Patel!I142</f>
        <v>0.0452058053771116</v>
      </c>
      <c r="P42" s="27" t="n">
        <f aca="false">Patel!I146</f>
        <v>0.0456579777934352</v>
      </c>
      <c r="Q42" s="27" t="n">
        <f aca="false">Patel!I147</f>
        <v>0.062469176393227</v>
      </c>
      <c r="R42" s="36" t="n">
        <f aca="false">Patel!I158</f>
        <v>12.2349473684211</v>
      </c>
      <c r="S42" s="36" t="n">
        <f aca="false">Patel!I159</f>
        <v>0.764307085319744</v>
      </c>
      <c r="T42" s="36" t="n">
        <f aca="false">Patel!I160</f>
        <v>8.79405221339387</v>
      </c>
    </row>
    <row r="43" customFormat="false" ht="15" hidden="false" customHeight="false" outlineLevel="0" collapsed="false">
      <c r="A43" s="16" t="s">
        <v>62</v>
      </c>
      <c r="B43" s="19" t="n">
        <v>2026</v>
      </c>
      <c r="C43" s="26" t="n">
        <f aca="false">Patel!J7</f>
        <v>357.14</v>
      </c>
      <c r="D43" s="26" t="n">
        <f aca="false">Patel!J49</f>
        <v>163.32</v>
      </c>
      <c r="E43" s="27" t="n">
        <f aca="false">Patel!J45/Patel!J49</f>
        <v>0.280737203036983</v>
      </c>
      <c r="F43" s="33" t="n">
        <f aca="false">Patel!J95</f>
        <v>3.3649373881932</v>
      </c>
      <c r="G43" s="33" t="n">
        <f aca="false">Patel!J96</f>
        <v>2.96988670244484</v>
      </c>
      <c r="H43" s="33" t="n">
        <f aca="false">Patel!J101</f>
        <v>0.0506800518134715</v>
      </c>
      <c r="I43" s="36" t="n">
        <f aca="false">Patel!J109</f>
        <v>22.342857142857</v>
      </c>
      <c r="J43" s="39" t="n">
        <f aca="false">Patel!J119</f>
        <v>74.2795542364339</v>
      </c>
      <c r="K43" s="36" t="n">
        <f aca="false">Patel!J124</f>
        <v>2.18674993877051</v>
      </c>
      <c r="L43" s="27" t="n">
        <f aca="false">Patel!J130</f>
        <v>0.0290362322898582</v>
      </c>
      <c r="M43" s="27" t="n">
        <f aca="false">Patel!J131</f>
        <v>0.0218961751694012</v>
      </c>
      <c r="N43" s="27" t="n">
        <f aca="false">Patel!J133</f>
        <v>0.0268802150417203</v>
      </c>
      <c r="O43" s="27" t="n">
        <f aca="false">Patel!J142</f>
        <v>0.0587803085966201</v>
      </c>
      <c r="P43" s="27" t="n">
        <f aca="false">Patel!J146</f>
        <v>0.0560478457985823</v>
      </c>
      <c r="Q43" s="27" t="n">
        <f aca="false">Patel!J147</f>
        <v>0.077720207253886</v>
      </c>
      <c r="R43" s="36" t="n">
        <f aca="false">Patel!J158</f>
        <v>5.9885</v>
      </c>
      <c r="S43" s="36" t="n">
        <f aca="false">Patel!J159</f>
        <v>0.465427461139896</v>
      </c>
      <c r="T43" s="36" t="n">
        <f aca="false">Patel!J160</f>
        <v>3.55058823529414</v>
      </c>
    </row>
    <row r="44" customFormat="false" ht="15" hidden="false" customHeight="false" outlineLevel="0" collapsed="false">
      <c r="A44" s="16" t="s">
        <v>66</v>
      </c>
      <c r="B44" s="19" t="n">
        <v>2020</v>
      </c>
      <c r="C44" s="26" t="n">
        <f aca="false">TCI!D7</f>
        <v>2717.84</v>
      </c>
      <c r="D44" s="26" t="n">
        <f aca="false">TCI!D49</f>
        <v>1683.32</v>
      </c>
      <c r="E44" s="27" t="n">
        <f aca="false">TCI!D45/TCI!D49</f>
        <v>0.458451156048761</v>
      </c>
      <c r="F44" s="33" t="n">
        <f aca="false">TCI!D95</f>
        <v>3.17916420928469</v>
      </c>
      <c r="G44" s="33" t="n">
        <f aca="false">TCI!D96</f>
        <v>2.16201870418738</v>
      </c>
      <c r="H44" s="33" t="n">
        <f aca="false">TCI!D101</f>
        <v>0.41220248268857</v>
      </c>
      <c r="I44" s="36" t="n">
        <f aca="false">TCI!D109</f>
        <v>4.63141025641026</v>
      </c>
      <c r="J44" s="39" t="n">
        <f aca="false">TCI!D119</f>
        <v>65.4433299973508</v>
      </c>
      <c r="K44" s="36" t="n">
        <f aca="false">TCI!D124</f>
        <v>1.61457120452439</v>
      </c>
      <c r="L44" s="27" t="n">
        <f aca="false">TCI!D130</f>
        <v>0.0888352515232685</v>
      </c>
      <c r="M44" s="27" t="n">
        <f aca="false">TCI!D131</f>
        <v>0.0584839431313102</v>
      </c>
      <c r="N44" s="27" t="n">
        <f aca="false">TCI!D133</f>
        <v>0.0523798310422983</v>
      </c>
      <c r="O44" s="27" t="n">
        <f aca="false">TCI!D142</f>
        <v>0.0845709668987477</v>
      </c>
      <c r="P44" s="27" t="n">
        <f aca="false">TCI!D146</f>
        <v>0.098929422417488</v>
      </c>
      <c r="Q44" s="27" t="n">
        <f aca="false">TCI!D147</f>
        <v>0.139038373262753</v>
      </c>
      <c r="R44" s="36" t="n">
        <f aca="false">TCI!D158</f>
        <v>10.1448721550997</v>
      </c>
      <c r="S44" s="36" t="n">
        <f aca="false">TCI!D159</f>
        <v>1.41052652140367</v>
      </c>
      <c r="T44" s="36" t="n">
        <f aca="false">TCI!D160</f>
        <v>7.6224072233267</v>
      </c>
    </row>
    <row r="45" customFormat="false" ht="15" hidden="false" customHeight="false" outlineLevel="0" collapsed="false">
      <c r="A45" s="16" t="s">
        <v>66</v>
      </c>
      <c r="B45" s="19" t="n">
        <v>2021</v>
      </c>
      <c r="C45" s="26" t="n">
        <f aca="false">TCI!E7</f>
        <v>2802.39</v>
      </c>
      <c r="D45" s="26" t="n">
        <f aca="false">TCI!E49</f>
        <v>1738.81</v>
      </c>
      <c r="E45" s="27" t="n">
        <f aca="false">TCI!E45/TCI!E49</f>
        <v>0.462747511228944</v>
      </c>
      <c r="F45" s="33" t="n">
        <f aca="false">TCI!E95</f>
        <v>2.86790368897725</v>
      </c>
      <c r="G45" s="33" t="n">
        <f aca="false">TCI!E96</f>
        <v>2.02691259848318</v>
      </c>
      <c r="H45" s="33" t="n">
        <f aca="false">TCI!E101</f>
        <v>0.254319446700464</v>
      </c>
      <c r="I45" s="36" t="n">
        <f aca="false">TCI!E109</f>
        <v>6.37490636704118</v>
      </c>
      <c r="J45" s="39" t="n">
        <f aca="false">TCI!E119</f>
        <v>66.5608998033821</v>
      </c>
      <c r="K45" s="36" t="n">
        <f aca="false">TCI!E124</f>
        <v>1.61167120041868</v>
      </c>
      <c r="L45" s="27" t="n">
        <f aca="false">TCI!E130</f>
        <v>0.0938556018255844</v>
      </c>
      <c r="M45" s="27" t="n">
        <f aca="false">TCI!E131</f>
        <v>0.0607374419691761</v>
      </c>
      <c r="N45" s="27" t="n">
        <f aca="false">TCI!E133</f>
        <v>0.0525016146931726</v>
      </c>
      <c r="O45" s="27" t="n">
        <f aca="false">TCI!E142</f>
        <v>0.0846153403764644</v>
      </c>
      <c r="P45" s="27" t="n">
        <f aca="false">TCI!E146</f>
        <v>0.100145516552332</v>
      </c>
      <c r="Q45" s="27" t="n">
        <f aca="false">TCI!E147</f>
        <v>0.125783313812825</v>
      </c>
      <c r="R45" s="36" t="n">
        <f aca="false">TCI!E158</f>
        <v>13.4229354992184</v>
      </c>
      <c r="S45" s="36" t="n">
        <f aca="false">TCI!E159</f>
        <v>1.6883813081875</v>
      </c>
      <c r="T45" s="36" t="n">
        <f aca="false">TCI!E160</f>
        <v>8.48941715458902</v>
      </c>
    </row>
    <row r="46" customFormat="false" ht="15" hidden="false" customHeight="false" outlineLevel="0" collapsed="false">
      <c r="A46" s="16" t="s">
        <v>66</v>
      </c>
      <c r="B46" s="19" t="n">
        <v>2022</v>
      </c>
      <c r="C46" s="26" t="n">
        <f aca="false">TCI!F7</f>
        <v>3258.81</v>
      </c>
      <c r="D46" s="26" t="n">
        <f aca="false">TCI!F49</f>
        <v>1827.03</v>
      </c>
      <c r="E46" s="27" t="n">
        <f aca="false">TCI!F45/TCI!F49</f>
        <v>0.438608014099385</v>
      </c>
      <c r="F46" s="33" t="n">
        <f aca="false">TCI!F95</f>
        <v>2.74747105017969</v>
      </c>
      <c r="G46" s="33" t="n">
        <f aca="false">TCI!F96</f>
        <v>1.93897244775722</v>
      </c>
      <c r="H46" s="33" t="n">
        <f aca="false">TCI!F101</f>
        <v>0.0672805324831502</v>
      </c>
      <c r="I46" s="36" t="n">
        <f aca="false">TCI!F109</f>
        <v>23.2899454403741</v>
      </c>
      <c r="J46" s="39" t="n">
        <f aca="false">TCI!F119</f>
        <v>56.9260711732197</v>
      </c>
      <c r="K46" s="36" t="n">
        <f aca="false">TCI!F124</f>
        <v>1.78366529285233</v>
      </c>
      <c r="L46" s="27" t="n">
        <f aca="false">TCI!F130</f>
        <v>0.126374351373661</v>
      </c>
      <c r="M46" s="27" t="n">
        <f aca="false">TCI!F131</f>
        <v>0.0916929799528048</v>
      </c>
      <c r="N46" s="27" t="n">
        <f aca="false">TCI!F133</f>
        <v>0.0888698635391447</v>
      </c>
      <c r="O46" s="27" t="n">
        <f aca="false">TCI!F142</f>
        <v>0.158514091175295</v>
      </c>
      <c r="P46" s="27" t="n">
        <f aca="false">TCI!F146</f>
        <v>0.173445952510303</v>
      </c>
      <c r="Q46" s="27" t="n">
        <f aca="false">TCI!F147</f>
        <v>0.202484828145538</v>
      </c>
      <c r="R46" s="36" t="n">
        <f aca="false">TCI!F158</f>
        <v>15.9906184178723</v>
      </c>
      <c r="S46" s="36" t="n">
        <f aca="false">TCI!F159</f>
        <v>3.23785762228375</v>
      </c>
      <c r="T46" s="36" t="n">
        <f aca="false">TCI!F160</f>
        <v>11.2979214724522</v>
      </c>
    </row>
    <row r="47" customFormat="false" ht="15" hidden="false" customHeight="false" outlineLevel="0" collapsed="false">
      <c r="A47" s="16" t="s">
        <v>66</v>
      </c>
      <c r="B47" s="19" t="n">
        <v>2023</v>
      </c>
      <c r="C47" s="26" t="n">
        <f aca="false">TCI!G7</f>
        <v>3782.57</v>
      </c>
      <c r="D47" s="26" t="n">
        <f aca="false">TCI!G49</f>
        <v>2100.91</v>
      </c>
      <c r="E47" s="27" t="n">
        <f aca="false">TCI!G45/TCI!G49</f>
        <v>0.376627271039692</v>
      </c>
      <c r="F47" s="33" t="n">
        <f aca="false">TCI!G95</f>
        <v>3.24742066720911</v>
      </c>
      <c r="G47" s="33" t="n">
        <f aca="false">TCI!G96</f>
        <v>2.42633034987795</v>
      </c>
      <c r="H47" s="33" t="n">
        <f aca="false">TCI!G101</f>
        <v>0.0539843341422855</v>
      </c>
      <c r="I47" s="36" t="n">
        <f aca="false">TCI!G109</f>
        <v>30.9531568228106</v>
      </c>
      <c r="J47" s="39" t="n">
        <f aca="false">TCI!G119</f>
        <v>54.1251450733232</v>
      </c>
      <c r="K47" s="36" t="n">
        <f aca="false">TCI!G124</f>
        <v>1.80044361728965</v>
      </c>
      <c r="L47" s="27" t="n">
        <f aca="false">TCI!G130</f>
        <v>0.112455288335708</v>
      </c>
      <c r="M47" s="27" t="n">
        <f aca="false">TCI!G131</f>
        <v>0.0803580634330628</v>
      </c>
      <c r="N47" s="27" t="n">
        <f aca="false">TCI!G133</f>
        <v>0.0838953409983159</v>
      </c>
      <c r="O47" s="27" t="n">
        <f aca="false">TCI!G142</f>
        <v>0.151048831220757</v>
      </c>
      <c r="P47" s="27" t="n">
        <f aca="false">TCI!G146</f>
        <v>0.149241329248945</v>
      </c>
      <c r="Q47" s="27" t="n">
        <f aca="false">TCI!G147</f>
        <v>0.186474241827723</v>
      </c>
      <c r="R47" s="36" t="n">
        <f aca="false">TCI!G158</f>
        <v>15.3285309132161</v>
      </c>
      <c r="S47" s="36" t="n">
        <f aca="false">TCI!G159</f>
        <v>2.85837618037478</v>
      </c>
      <c r="T47" s="36" t="n">
        <f aca="false">TCI!G160</f>
        <v>11.2176364106542</v>
      </c>
    </row>
    <row r="48" customFormat="false" ht="15" hidden="false" customHeight="false" outlineLevel="0" collapsed="false">
      <c r="A48" s="16" t="s">
        <v>66</v>
      </c>
      <c r="B48" s="19" t="n">
        <v>2024</v>
      </c>
      <c r="C48" s="26" t="n">
        <f aca="false">TCI!H7</f>
        <v>4024.26</v>
      </c>
      <c r="D48" s="26" t="n">
        <f aca="false">TCI!H49</f>
        <v>2501.4</v>
      </c>
      <c r="E48" s="27" t="n">
        <f aca="false">TCI!H45/TCI!H49</f>
        <v>0.34451906932118</v>
      </c>
      <c r="F48" s="33" t="n">
        <f aca="false">TCI!H95</f>
        <v>3.25103652517275</v>
      </c>
      <c r="G48" s="33" t="n">
        <f aca="false">TCI!H96</f>
        <v>2.29098387627509</v>
      </c>
      <c r="H48" s="33" t="n">
        <f aca="false">TCI!H101</f>
        <v>0.0966553882085217</v>
      </c>
      <c r="I48" s="36" t="n">
        <f aca="false">TCI!H109</f>
        <v>21.309721175584</v>
      </c>
      <c r="J48" s="39" t="n">
        <f aca="false">TCI!H119</f>
        <v>54.4770839856272</v>
      </c>
      <c r="K48" s="36" t="n">
        <f aca="false">TCI!H124</f>
        <v>1.60880307028064</v>
      </c>
      <c r="L48" s="27" t="n">
        <f aca="false">TCI!H130</f>
        <v>0.102187731409004</v>
      </c>
      <c r="M48" s="27" t="n">
        <f aca="false">TCI!H131</f>
        <v>0.070268819609071</v>
      </c>
      <c r="N48" s="27" t="n">
        <f aca="false">TCI!H133</f>
        <v>0.0871713060289345</v>
      </c>
      <c r="O48" s="27" t="n">
        <f aca="false">TCI!H142</f>
        <v>0.140241464779723</v>
      </c>
      <c r="P48" s="27" t="n">
        <f aca="false">TCI!H146</f>
        <v>0.117531583443093</v>
      </c>
      <c r="Q48" s="27" t="n">
        <f aca="false">TCI!H147</f>
        <v>0.175065624656905</v>
      </c>
      <c r="R48" s="36" t="n">
        <f aca="false">TCI!H158</f>
        <v>17.9764310148233</v>
      </c>
      <c r="S48" s="36" t="n">
        <f aca="false">TCI!H159</f>
        <v>3.1470551247118</v>
      </c>
      <c r="T48" s="36" t="n">
        <f aca="false">TCI!H160</f>
        <v>15.5733093402719</v>
      </c>
    </row>
    <row r="49" customFormat="false" ht="15" hidden="false" customHeight="false" outlineLevel="0" collapsed="false">
      <c r="A49" s="16" t="s">
        <v>66</v>
      </c>
      <c r="B49" s="19" t="n">
        <v>2025</v>
      </c>
      <c r="C49" s="26" t="n">
        <f aca="false">TCI!I7</f>
        <v>4491.78</v>
      </c>
      <c r="D49" s="26" t="n">
        <f aca="false">TCI!I49</f>
        <v>2934.03</v>
      </c>
      <c r="E49" s="27" t="n">
        <f aca="false">TCI!I45/TCI!I49</f>
        <v>0.328456082589476</v>
      </c>
      <c r="F49" s="33" t="n">
        <f aca="false">TCI!I95</f>
        <v>2.4267053701016</v>
      </c>
      <c r="G49" s="33" t="n">
        <f aca="false">TCI!I96</f>
        <v>1.50130251944475</v>
      </c>
      <c r="H49" s="33" t="n">
        <f aca="false">TCI!I101</f>
        <v>0.112245040027845</v>
      </c>
      <c r="I49" s="36" t="n">
        <f aca="false">TCI!I109</f>
        <v>17.0997023809524</v>
      </c>
      <c r="J49" s="39" t="n">
        <f aca="false">TCI!I119</f>
        <v>58.6637034761275</v>
      </c>
      <c r="K49" s="36" t="n">
        <f aca="false">TCI!I124</f>
        <v>1.53092504166624</v>
      </c>
      <c r="L49" s="27" t="n">
        <f aca="false">TCI!I130</f>
        <v>0.102979219819314</v>
      </c>
      <c r="M49" s="27" t="n">
        <f aca="false">TCI!I131</f>
        <v>0.0767468575932036</v>
      </c>
      <c r="N49" s="27" t="n">
        <f aca="false">TCI!I133</f>
        <v>0.0918077020691129</v>
      </c>
      <c r="O49" s="27" t="n">
        <f aca="false">TCI!I142</f>
        <v>0.140550710115439</v>
      </c>
      <c r="P49" s="27" t="n">
        <f aca="false">TCI!I146</f>
        <v>0.130254730796497</v>
      </c>
      <c r="Q49" s="27" t="n">
        <f aca="false">TCI!I147</f>
        <v>0.191381830838844</v>
      </c>
      <c r="R49" s="36" t="n">
        <f aca="false">TCI!I158</f>
        <v>20.4790484504583</v>
      </c>
      <c r="S49" s="36" t="n">
        <f aca="false">TCI!I159</f>
        <v>3.91931778628611</v>
      </c>
      <c r="T49" s="36" t="n">
        <f aca="false">TCI!I160</f>
        <v>18.596744206157</v>
      </c>
    </row>
    <row r="50" customFormat="false" ht="15" hidden="false" customHeight="false" outlineLevel="0" collapsed="false">
      <c r="A50" s="16" t="s">
        <v>66</v>
      </c>
      <c r="B50" s="19" t="n">
        <v>2026</v>
      </c>
      <c r="C50" s="26" t="n">
        <f aca="false">TCI!J7</f>
        <v>4916.77</v>
      </c>
      <c r="D50" s="26" t="n">
        <f aca="false">TCI!J49</f>
        <v>3481.86</v>
      </c>
      <c r="E50" s="27" t="n">
        <f aca="false">TCI!J45/TCI!J49</f>
        <v>0.342543927670843</v>
      </c>
      <c r="F50" s="33" t="n">
        <f aca="false">TCI!J95</f>
        <v>2.41828094188609</v>
      </c>
      <c r="G50" s="33" t="n">
        <f aca="false">TCI!J96</f>
        <v>1.54044111554841</v>
      </c>
      <c r="H50" s="33" t="n">
        <f aca="false">TCI!J101</f>
        <v>0.121746382487851</v>
      </c>
      <c r="I50" s="36" t="n">
        <f aca="false">TCI!J109</f>
        <v>17.1873628784555</v>
      </c>
      <c r="J50" s="39" t="n">
        <f aca="false">TCI!J119</f>
        <v>60.6030788505462</v>
      </c>
      <c r="K50" s="36" t="n">
        <f aca="false">TCI!J124</f>
        <v>1.41211019397678</v>
      </c>
      <c r="L50" s="27" t="n">
        <f aca="false">TCI!J130</f>
        <v>0.105557103545621</v>
      </c>
      <c r="M50" s="27" t="n">
        <f aca="false">TCI!J131</f>
        <v>0.0796661222713287</v>
      </c>
      <c r="N50" s="27" t="n">
        <f aca="false">TCI!J133</f>
        <v>0.0927946599088426</v>
      </c>
      <c r="O50" s="27" t="n">
        <f aca="false">TCI!J142</f>
        <v>0.131036285203885</v>
      </c>
      <c r="P50" s="27" t="n">
        <f aca="false">TCI!J146</f>
        <v>0.125188537034692</v>
      </c>
      <c r="Q50" s="27" t="n">
        <f aca="false">TCI!J147</f>
        <v>0.177806616549558</v>
      </c>
      <c r="R50" s="36" t="n">
        <f aca="false">TCI!J158</f>
        <v>15.5165150684932</v>
      </c>
      <c r="S50" s="36" t="n">
        <f aca="false">TCI!J159</f>
        <v>2.758939044969</v>
      </c>
      <c r="T50" s="36" t="n">
        <f aca="false">TCI!J160</f>
        <v>14.0242003853564</v>
      </c>
    </row>
    <row r="51" customFormat="false" ht="15" hidden="false" customHeight="false" outlineLevel="0" collapsed="false">
      <c r="A51" s="16" t="s">
        <v>68</v>
      </c>
      <c r="B51" s="19" t="n">
        <v>2020</v>
      </c>
      <c r="C51" s="26" t="n">
        <f aca="false">Shreeji!D7</f>
        <v>110</v>
      </c>
      <c r="D51" s="26" t="n">
        <f aca="false">Shreeji!D49</f>
        <v>79.35</v>
      </c>
      <c r="E51" s="27" t="n">
        <f aca="false">Shreeji!D45/Shreeji!D49</f>
        <v>0.334845620667927</v>
      </c>
      <c r="F51" s="33" t="n">
        <f aca="false">Shreeji!D95</f>
        <v>6.11435239206534</v>
      </c>
      <c r="G51" s="33" t="n">
        <f aca="false">Shreeji!D96</f>
        <v>3.52275379229872</v>
      </c>
      <c r="H51" s="33" t="n">
        <f aca="false">Shreeji!D101</f>
        <v>1.80316831683168</v>
      </c>
      <c r="I51" s="36" t="n">
        <f aca="false">Shreeji!D109</f>
        <v>1.38243626062323</v>
      </c>
      <c r="J51" s="39" t="n">
        <f aca="false">Shreeji!D119</f>
        <v>89.5245454545455</v>
      </c>
      <c r="K51" s="36" t="n">
        <f aca="false">Shreeji!D124</f>
        <v>1.38626339004411</v>
      </c>
      <c r="L51" s="27" t="n">
        <f aca="false">Shreeji!D130</f>
        <v>0.0822727272727273</v>
      </c>
      <c r="M51" s="27" t="n">
        <f aca="false">Shreeji!D131</f>
        <v>0.0443636363636363</v>
      </c>
      <c r="N51" s="27" t="n">
        <f aca="false">Shreeji!D133</f>
        <v>0.0133636363636364</v>
      </c>
      <c r="O51" s="27" t="n">
        <f aca="false">Shreeji!D142</f>
        <v>0.0185255198487713</v>
      </c>
      <c r="P51" s="27" t="n">
        <f aca="false">Shreeji!D146</f>
        <v>0.0460684836497212</v>
      </c>
      <c r="Q51" s="27" t="n">
        <f aca="false">Shreeji!D147</f>
        <v>0.0582178217821782</v>
      </c>
      <c r="R51" s="36" t="n">
        <f aca="false">Shreeji!D158</f>
        <v>21.4761904761905</v>
      </c>
      <c r="S51" s="36" t="n">
        <f aca="false">Shreeji!D159</f>
        <v>1.25029702970297</v>
      </c>
      <c r="T51" s="36" t="n">
        <f aca="false">Shreeji!D160</f>
        <v>8.1646408839779</v>
      </c>
    </row>
    <row r="52" customFormat="false" ht="15" hidden="false" customHeight="false" outlineLevel="0" collapsed="false">
      <c r="A52" s="16" t="s">
        <v>68</v>
      </c>
      <c r="B52" s="19" t="n">
        <v>2021</v>
      </c>
      <c r="C52" s="26" t="n">
        <f aca="false">Shreeji!E7</f>
        <v>108.23</v>
      </c>
      <c r="D52" s="26" t="n">
        <f aca="false">Shreeji!E49</f>
        <v>81.98</v>
      </c>
      <c r="E52" s="27" t="n">
        <f aca="false">Shreeji!E45/Shreeji!E49</f>
        <v>0.301414979263235</v>
      </c>
      <c r="F52" s="33" t="n">
        <f aca="false">Shreeji!E95</f>
        <v>5.47098646034816</v>
      </c>
      <c r="G52" s="33" t="n">
        <f aca="false">Shreeji!E96</f>
        <v>4.05222437137331</v>
      </c>
      <c r="H52" s="33" t="n">
        <f aca="false">Shreeji!E101</f>
        <v>1.96523178807947</v>
      </c>
      <c r="I52" s="36" t="n">
        <f aca="false">Shreeji!E109</f>
        <v>0.665083135391924</v>
      </c>
      <c r="J52" s="39" t="n">
        <f aca="false">Shreeji!E119</f>
        <v>122.925713757738</v>
      </c>
      <c r="K52" s="36" t="n">
        <f aca="false">Shreeji!E124</f>
        <v>1.32020004879239</v>
      </c>
      <c r="L52" s="27" t="n">
        <f aca="false">Shreeji!E130</f>
        <v>0.0656934306569343</v>
      </c>
      <c r="M52" s="27" t="n">
        <f aca="false">Shreeji!E131</f>
        <v>0.0258708306384551</v>
      </c>
      <c r="N52" s="27" t="n">
        <f aca="false">Shreeji!E133</f>
        <v>-0.0100711447842558</v>
      </c>
      <c r="O52" s="27" t="n">
        <f aca="false">Shreeji!E142</f>
        <v>-0.0132959258355697</v>
      </c>
      <c r="P52" s="27" t="n">
        <f aca="false">Shreeji!E146</f>
        <v>0.0390843104410944</v>
      </c>
      <c r="Q52" s="27" t="n">
        <f aca="false">Shreeji!E147</f>
        <v>-0.0451158940397351</v>
      </c>
      <c r="R52" s="36" t="str">
        <f aca="false">Shreeji!E158</f>
        <v>N/M</v>
      </c>
      <c r="S52" s="36" t="n">
        <f aca="false">Shreeji!E159</f>
        <v>2.39031456953642</v>
      </c>
      <c r="T52" s="36" t="n">
        <f aca="false">Shreeji!E160</f>
        <v>14.0337552742616</v>
      </c>
    </row>
    <row r="53" customFormat="false" ht="15" hidden="false" customHeight="false" outlineLevel="0" collapsed="false">
      <c r="A53" s="16" t="s">
        <v>68</v>
      </c>
      <c r="B53" s="19" t="n">
        <v>2022</v>
      </c>
      <c r="C53" s="26" t="n">
        <f aca="false">Shreeji!F7</f>
        <v>163.74</v>
      </c>
      <c r="D53" s="26" t="n">
        <f aca="false">Shreeji!F49</f>
        <v>89.59</v>
      </c>
      <c r="E53" s="27" t="n">
        <f aca="false">Shreeji!F45/Shreeji!F49</f>
        <v>0.227480745618931</v>
      </c>
      <c r="F53" s="33" t="n">
        <f aca="false">Shreeji!F95</f>
        <v>5.46867565424267</v>
      </c>
      <c r="G53" s="33" t="n">
        <f aca="false">Shreeji!F96</f>
        <v>3.88183980967486</v>
      </c>
      <c r="H53" s="33" t="n">
        <f aca="false">Shreeji!F101</f>
        <v>1.39663760896638</v>
      </c>
      <c r="I53" s="36" t="n">
        <f aca="false">Shreeji!F109</f>
        <v>3.11138014527845</v>
      </c>
      <c r="J53" s="39" t="n">
        <f aca="false">Shreeji!F119</f>
        <v>99.55356052278</v>
      </c>
      <c r="K53" s="36" t="n">
        <f aca="false">Shreeji!F124</f>
        <v>1.82765933697957</v>
      </c>
      <c r="L53" s="27" t="n">
        <f aca="false">Shreeji!F130</f>
        <v>0.102052033711982</v>
      </c>
      <c r="M53" s="27" t="n">
        <f aca="false">Shreeji!F131</f>
        <v>0.0784780749969463</v>
      </c>
      <c r="N53" s="27" t="n">
        <f aca="false">Shreeji!F133</f>
        <v>0.054049102235251</v>
      </c>
      <c r="O53" s="27" t="n">
        <f aca="false">Shreeji!F142</f>
        <v>0.0987833463556201</v>
      </c>
      <c r="P53" s="27" t="n">
        <f aca="false">Shreeji!F146</f>
        <v>0.125053392692797</v>
      </c>
      <c r="Q53" s="27" t="n">
        <f aca="false">Shreeji!F147</f>
        <v>0.275529265255293</v>
      </c>
      <c r="R53" s="36" t="n">
        <f aca="false">Shreeji!F158</f>
        <v>24.0610169491525</v>
      </c>
      <c r="S53" s="36" t="n">
        <f aca="false">Shreeji!F159</f>
        <v>6.62951432129514</v>
      </c>
      <c r="T53" s="36" t="n">
        <f aca="false">Shreeji!F160</f>
        <v>15.1711549970078</v>
      </c>
    </row>
    <row r="54" customFormat="false" ht="15" hidden="false" customHeight="false" outlineLevel="0" collapsed="false">
      <c r="A54" s="16" t="s">
        <v>68</v>
      </c>
      <c r="B54" s="19" t="n">
        <v>2023</v>
      </c>
      <c r="C54" s="26" t="n">
        <f aca="false">Shreeji!G7</f>
        <v>186.44</v>
      </c>
      <c r="D54" s="26" t="n">
        <f aca="false">Shreeji!G49</f>
        <v>104.66</v>
      </c>
      <c r="E54" s="27" t="n">
        <f aca="false">Shreeji!G45/Shreeji!G49</f>
        <v>0.192623733995796</v>
      </c>
      <c r="F54" s="33" t="n">
        <f aca="false">Shreeji!G95</f>
        <v>4.13758389261745</v>
      </c>
      <c r="G54" s="33" t="n">
        <f aca="false">Shreeji!G96</f>
        <v>3.47651006711409</v>
      </c>
      <c r="H54" s="33" t="n">
        <f aca="false">Shreeji!G101</f>
        <v>1.12643959813771</v>
      </c>
      <c r="I54" s="36" t="n">
        <f aca="false">Shreeji!G109</f>
        <v>4.3854447439353</v>
      </c>
      <c r="J54" s="39" t="n">
        <f aca="false">Shreeji!G119</f>
        <v>108.517217335336</v>
      </c>
      <c r="K54" s="36" t="n">
        <f aca="false">Shreeji!G124</f>
        <v>1.78138734951271</v>
      </c>
      <c r="L54" s="27" t="n">
        <f aca="false">Shreeji!G130</f>
        <v>0.10528856468569</v>
      </c>
      <c r="M54" s="27" t="n">
        <f aca="false">Shreeji!G131</f>
        <v>0.0872666809697488</v>
      </c>
      <c r="N54" s="27" t="n">
        <f aca="false">Shreeji!G133</f>
        <v>0.0519201888006865</v>
      </c>
      <c r="O54" s="27" t="n">
        <f aca="false">Shreeji!G142</f>
        <v>0.0924899675138544</v>
      </c>
      <c r="P54" s="27" t="n">
        <f aca="false">Shreeji!G146</f>
        <v>0.135881482640875</v>
      </c>
      <c r="Q54" s="27" t="n">
        <f aca="false">Shreeji!G147</f>
        <v>0.237196765498652</v>
      </c>
      <c r="R54" s="36" t="n">
        <f aca="false">Shreeji!G158</f>
        <v>35.997055785124</v>
      </c>
      <c r="S54" s="36" t="n">
        <f aca="false">Shreeji!G159</f>
        <v>8.53838519970596</v>
      </c>
      <c r="T54" s="36" t="n">
        <f aca="false">Shreeji!G160</f>
        <v>19.749949057565</v>
      </c>
    </row>
    <row r="55" customFormat="false" ht="15" hidden="false" customHeight="false" outlineLevel="0" collapsed="false">
      <c r="A55" s="16" t="s">
        <v>68</v>
      </c>
      <c r="B55" s="19" t="n">
        <v>2024</v>
      </c>
      <c r="C55" s="26" t="n">
        <f aca="false">Shreeji!H7</f>
        <v>250.5</v>
      </c>
      <c r="D55" s="26" t="n">
        <f aca="false">Shreeji!H49</f>
        <v>120.4</v>
      </c>
      <c r="E55" s="27" t="n">
        <f aca="false">Shreeji!H45/Shreeji!H49</f>
        <v>0.275913621262459</v>
      </c>
      <c r="F55" s="33" t="n">
        <f aca="false">Shreeji!H95</f>
        <v>4.7823629169022</v>
      </c>
      <c r="G55" s="33" t="n">
        <f aca="false">Shreeji!H96</f>
        <v>3.92425098925947</v>
      </c>
      <c r="H55" s="33" t="n">
        <f aca="false">Shreeji!H101</f>
        <v>0.835746201966041</v>
      </c>
      <c r="I55" s="36" t="n">
        <f aca="false">Shreeji!H109</f>
        <v>2.91733870967742</v>
      </c>
      <c r="J55" s="39" t="n">
        <f aca="false">Shreeji!H119</f>
        <v>94.5357285429142</v>
      </c>
      <c r="K55" s="36" t="n">
        <f aca="false">Shreeji!H124</f>
        <v>2.08056478405316</v>
      </c>
      <c r="L55" s="27" t="n">
        <f aca="false">Shreeji!H130</f>
        <v>0.0753692614770459</v>
      </c>
      <c r="M55" s="27" t="n">
        <f aca="false">Shreeji!H131</f>
        <v>0.0577644710578842</v>
      </c>
      <c r="N55" s="27" t="n">
        <f aca="false">Shreeji!H133</f>
        <v>0.0649900199600799</v>
      </c>
      <c r="O55" s="27" t="n">
        <f aca="false">Shreeji!H142</f>
        <v>0.135215946843854</v>
      </c>
      <c r="P55" s="27" t="n">
        <f aca="false">Shreeji!H146</f>
        <v>0.106959948167153</v>
      </c>
      <c r="Q55" s="27" t="n">
        <f aca="false">Shreeji!H147</f>
        <v>0.290974084003575</v>
      </c>
      <c r="R55" s="36" t="n">
        <f aca="false">Shreeji!H158</f>
        <v>11.1719778869779</v>
      </c>
      <c r="S55" s="36" t="n">
        <f aca="false">Shreeji!H159</f>
        <v>3.25075603217158</v>
      </c>
      <c r="T55" s="36" t="n">
        <f aca="false">Shreeji!H160</f>
        <v>11.8696927966102</v>
      </c>
    </row>
    <row r="56" customFormat="false" ht="15" hidden="false" customHeight="false" outlineLevel="0" collapsed="false">
      <c r="A56" s="16" t="s">
        <v>68</v>
      </c>
      <c r="B56" s="19" t="n">
        <v>2025</v>
      </c>
      <c r="C56" s="26" t="n">
        <f aca="false">Shreeji!I7</f>
        <v>220.18</v>
      </c>
      <c r="D56" s="26" t="n">
        <f aca="false">Shreeji!I49</f>
        <v>114.99</v>
      </c>
      <c r="E56" s="27" t="n">
        <f aca="false">Shreeji!I45/Shreeji!I49</f>
        <v>0.251152274110792</v>
      </c>
      <c r="F56" s="33" t="n">
        <f aca="false">Shreeji!I95</f>
        <v>4.93693693693694</v>
      </c>
      <c r="G56" s="33" t="n">
        <f aca="false">Shreeji!I96</f>
        <v>4.13213213213213</v>
      </c>
      <c r="H56" s="33" t="n">
        <f aca="false">Shreeji!I101</f>
        <v>0.731947868967947</v>
      </c>
      <c r="I56" s="36" t="n">
        <f aca="false">Shreeji!I109</f>
        <v>0.956621004566212</v>
      </c>
      <c r="J56" s="39" t="n">
        <f aca="false">Shreeji!I119</f>
        <v>101.304160232537</v>
      </c>
      <c r="K56" s="36" t="n">
        <f aca="false">Shreeji!I124</f>
        <v>1.91477519784329</v>
      </c>
      <c r="L56" s="27" t="n">
        <f aca="false">Shreeji!I130</f>
        <v>0.0409664819692979</v>
      </c>
      <c r="M56" s="27" t="n">
        <f aca="false">Shreeji!I131</f>
        <v>0.0190298846398402</v>
      </c>
      <c r="N56" s="27" t="n">
        <f aca="false">Shreeji!I133</f>
        <v>0.00694886002361704</v>
      </c>
      <c r="O56" s="27" t="n">
        <f aca="false">Shreeji!I142</f>
        <v>0.0133055048265067</v>
      </c>
      <c r="P56" s="27" t="n">
        <f aca="false">Shreeji!I146</f>
        <v>0.0287786019859493</v>
      </c>
      <c r="Q56" s="27" t="n">
        <f aca="false">Shreeji!I147</f>
        <v>0.0269461077844311</v>
      </c>
      <c r="R56" s="36" t="n">
        <f aca="false">Shreeji!I158</f>
        <v>40.4323529411765</v>
      </c>
      <c r="S56" s="36" t="n">
        <f aca="false">Shreeji!I159</f>
        <v>1.0894945403311</v>
      </c>
      <c r="T56" s="36" t="n">
        <f aca="false">Shreeji!I160</f>
        <v>10.6132483370288</v>
      </c>
    </row>
    <row r="57" customFormat="false" ht="15" hidden="false" customHeight="false" outlineLevel="0" collapsed="false">
      <c r="A57" s="16" t="s">
        <v>68</v>
      </c>
      <c r="B57" s="19" t="n">
        <v>2026</v>
      </c>
      <c r="C57" s="26" t="n">
        <f aca="false">Shreeji!J7</f>
        <v>234.29</v>
      </c>
      <c r="D57" s="26" t="n">
        <f aca="false">Shreeji!J49</f>
        <v>119.52</v>
      </c>
      <c r="E57" s="27" t="n">
        <f aca="false">Shreeji!J45/Shreeji!J49</f>
        <v>0.208668005354752</v>
      </c>
      <c r="F57" s="33" t="n">
        <f aca="false">Shreeji!J95</f>
        <v>4.77197518097208</v>
      </c>
      <c r="G57" s="33" t="n">
        <f aca="false">Shreeji!J96</f>
        <v>4.17735263702172</v>
      </c>
      <c r="H57" s="33" t="n">
        <f aca="false">Shreeji!J101</f>
        <v>0.666611212776576</v>
      </c>
      <c r="I57" s="36" t="n">
        <f aca="false">Shreeji!J109</f>
        <v>0.901442307692308</v>
      </c>
      <c r="J57" s="39" t="n">
        <f aca="false">Shreeji!J119</f>
        <v>115.90763583593</v>
      </c>
      <c r="K57" s="36" t="n">
        <f aca="false">Shreeji!J124</f>
        <v>1.96025769745649</v>
      </c>
      <c r="L57" s="27" t="n">
        <f aca="false">Shreeji!J130</f>
        <v>0.0330786631951855</v>
      </c>
      <c r="M57" s="27" t="n">
        <f aca="false">Shreeji!J131</f>
        <v>0.0160058047718639</v>
      </c>
      <c r="N57" s="27" t="n">
        <f aca="false">Shreeji!J133</f>
        <v>0.013487558154424</v>
      </c>
      <c r="O57" s="27" t="n">
        <f aca="false">Shreeji!J142</f>
        <v>0.0264390896921017</v>
      </c>
      <c r="P57" s="27" t="n">
        <f aca="false">Shreeji!J146</f>
        <v>0.0332267087781319</v>
      </c>
      <c r="Q57" s="27" t="n">
        <f aca="false">Shreeji!J147</f>
        <v>0.0525702878056896</v>
      </c>
      <c r="R57" s="36" t="n">
        <f aca="false">Shreeji!J158</f>
        <v>13.0067088607595</v>
      </c>
      <c r="S57" s="36" t="n">
        <f aca="false">Shreeji!J159</f>
        <v>0.683766428214939</v>
      </c>
      <c r="T57" s="36" t="n">
        <f aca="false">Shreeji!J160</f>
        <v>9.64918709677419</v>
      </c>
    </row>
    <row r="58" customFormat="false" ht="15" hidden="false" customHeight="false" outlineLevel="0" collapsed="false">
      <c r="A58" s="16" t="s">
        <v>279</v>
      </c>
      <c r="B58" s="19" t="n">
        <v>2020</v>
      </c>
      <c r="C58" s="26" t="n">
        <f aca="false">MahindraLog!D7</f>
        <v>3471.14</v>
      </c>
      <c r="D58" s="26" t="n">
        <f aca="false">MahindraLog!D49</f>
        <v>1421.84</v>
      </c>
      <c r="E58" s="27" t="n">
        <f aca="false">MahindraLog!D45/MahindraLog!D49</f>
        <v>0.162437405052608</v>
      </c>
      <c r="F58" s="33" t="n">
        <f aca="false">MahindraLog!D95</f>
        <v>1.73504564352188</v>
      </c>
      <c r="G58" s="33" t="n">
        <f aca="false">MahindraLog!D96</f>
        <v>0.93973871487964</v>
      </c>
      <c r="H58" s="33" t="n">
        <f aca="false">MahindraLog!D101</f>
        <v>0.369595152850454</v>
      </c>
      <c r="I58" s="36" t="n">
        <f aca="false">MahindraLog!D109</f>
        <v>4.82416335791262</v>
      </c>
      <c r="J58" s="39" t="n">
        <f aca="false">MahindraLog!D119</f>
        <v>56.3229803465144</v>
      </c>
      <c r="K58" s="36" t="n">
        <f aca="false">MahindraLog!D124</f>
        <v>2.44130141225454</v>
      </c>
      <c r="L58" s="27" t="n">
        <f aca="false">MahindraLog!D130</f>
        <v>0.0456564702086345</v>
      </c>
      <c r="M58" s="27" t="n">
        <f aca="false">MahindraLog!D131</f>
        <v>0.0245020367948281</v>
      </c>
      <c r="N58" s="27" t="n">
        <f aca="false">MahindraLog!D133</f>
        <v>0.0158795093254666</v>
      </c>
      <c r="O58" s="27" t="n">
        <f aca="false">MahindraLog!D142</f>
        <v>0.0387666685421707</v>
      </c>
      <c r="P58" s="27" t="n">
        <f aca="false">MahindraLog!D146</f>
        <v>0.0778688227179318</v>
      </c>
      <c r="Q58" s="27" t="n">
        <f aca="false">MahindraLog!D147</f>
        <v>0.101202607178922</v>
      </c>
      <c r="R58" s="36" t="n">
        <f aca="false">MahindraLog!D158</f>
        <v>36.924992743106</v>
      </c>
      <c r="S58" s="36" t="n">
        <f aca="false">MahindraLog!D159</f>
        <v>3.73690553566511</v>
      </c>
      <c r="T58" s="36" t="n">
        <f aca="false">MahindraLog!D160</f>
        <v>13.4848283695104</v>
      </c>
    </row>
    <row r="59" customFormat="false" ht="15" hidden="false" customHeight="false" outlineLevel="0" collapsed="false">
      <c r="A59" s="16" t="s">
        <v>279</v>
      </c>
      <c r="B59" s="19" t="n">
        <v>2021</v>
      </c>
      <c r="C59" s="26" t="n">
        <f aca="false">MahindraLog!E7</f>
        <v>3263.72</v>
      </c>
      <c r="D59" s="26" t="n">
        <f aca="false">MahindraLog!E49</f>
        <v>1686.93</v>
      </c>
      <c r="E59" s="27" t="n">
        <f aca="false">MahindraLog!E45/MahindraLog!E49</f>
        <v>0.213832227774715</v>
      </c>
      <c r="F59" s="33" t="n">
        <f aca="false">MahindraLog!E95</f>
        <v>1.49293022051119</v>
      </c>
      <c r="G59" s="33" t="n">
        <f aca="false">MahindraLog!E96</f>
        <v>0.80454208314202</v>
      </c>
      <c r="H59" s="33" t="n">
        <f aca="false">MahindraLog!E101</f>
        <v>0.474386508467416</v>
      </c>
      <c r="I59" s="36" t="n">
        <f aca="false">MahindraLog!E109</f>
        <v>2.24141363862615</v>
      </c>
      <c r="J59" s="39" t="n">
        <f aca="false">MahindraLog!E119</f>
        <v>54.3073547975929</v>
      </c>
      <c r="K59" s="36" t="n">
        <f aca="false">MahindraLog!E124</f>
        <v>1.9347097982726</v>
      </c>
      <c r="L59" s="27" t="n">
        <f aca="false">MahindraLog!E130</f>
        <v>0.041265794859853</v>
      </c>
      <c r="M59" s="27" t="n">
        <f aca="false">MahindraLog!E131</f>
        <v>0.0137971394604927</v>
      </c>
      <c r="N59" s="27" t="n">
        <f aca="false">MahindraLog!E133</f>
        <v>0.00919196499699729</v>
      </c>
      <c r="O59" s="27" t="n">
        <f aca="false">MahindraLog!E142</f>
        <v>0.0177837847450694</v>
      </c>
      <c r="P59" s="27" t="n">
        <f aca="false">MahindraLog!E146</f>
        <v>0.0400217071569648</v>
      </c>
      <c r="Q59" s="27" t="n">
        <f aca="false">MahindraLog!E147</f>
        <v>0.0528113227475971</v>
      </c>
      <c r="R59" s="36" t="n">
        <f aca="false">MahindraLog!E158</f>
        <v>173.7146</v>
      </c>
      <c r="S59" s="36" t="n">
        <f aca="false">MahindraLog!E159</f>
        <v>9.17409780656973</v>
      </c>
      <c r="T59" s="36" t="n">
        <f aca="false">MahindraLog!E160</f>
        <v>39.2274131274133</v>
      </c>
    </row>
    <row r="60" customFormat="false" ht="15" hidden="false" customHeight="false" outlineLevel="0" collapsed="false">
      <c r="A60" s="16" t="s">
        <v>279</v>
      </c>
      <c r="B60" s="19" t="n">
        <v>2022</v>
      </c>
      <c r="C60" s="26" t="n">
        <f aca="false">MahindraLog!F7</f>
        <v>4140.76</v>
      </c>
      <c r="D60" s="26" t="n">
        <f aca="false">MahindraLog!F49</f>
        <v>1975.44</v>
      </c>
      <c r="E60" s="27" t="n">
        <f aca="false">MahindraLog!F45/MahindraLog!F49</f>
        <v>0.253386587291945</v>
      </c>
      <c r="F60" s="33" t="n">
        <f aca="false">MahindraLog!F95</f>
        <v>1.30859002084673</v>
      </c>
      <c r="G60" s="33" t="n">
        <f aca="false">MahindraLog!F96</f>
        <v>0.607117111851462</v>
      </c>
      <c r="H60" s="33" t="n">
        <f aca="false">MahindraLog!F101</f>
        <v>0.736385595081247</v>
      </c>
      <c r="I60" s="36" t="n">
        <f aca="false">MahindraLog!F109</f>
        <v>1.42991281019449</v>
      </c>
      <c r="J60" s="39" t="n">
        <f aca="false">MahindraLog!F119</f>
        <v>43.0955911475188</v>
      </c>
      <c r="K60" s="36" t="n">
        <f aca="false">MahindraLog!F124</f>
        <v>2.09612035799619</v>
      </c>
      <c r="L60" s="27" t="n">
        <f aca="false">MahindraLog!F130</f>
        <v>0.0445232276200503</v>
      </c>
      <c r="M60" s="27" t="n">
        <f aca="false">MahindraLog!F131</f>
        <v>0.0102976265226673</v>
      </c>
      <c r="N60" s="27" t="n">
        <f aca="false">MahindraLog!F133</f>
        <v>0.00424076739535737</v>
      </c>
      <c r="O60" s="27" t="n">
        <f aca="false">MahindraLog!F142</f>
        <v>0.00888915887093508</v>
      </c>
      <c r="P60" s="27" t="n">
        <f aca="false">MahindraLog!F146</f>
        <v>0.0292337215723467</v>
      </c>
      <c r="Q60" s="27" t="n">
        <f aca="false">MahindraLog!F147</f>
        <v>0.0321329234372713</v>
      </c>
      <c r="R60" s="36" t="n">
        <f aca="false">MahindraLog!F158</f>
        <v>259.096810933941</v>
      </c>
      <c r="S60" s="36" t="n">
        <f aca="false">MahindraLog!F159</f>
        <v>8.32553798858147</v>
      </c>
      <c r="T60" s="36" t="n">
        <f aca="false">MahindraLog!F160</f>
        <v>26.1327294423954</v>
      </c>
    </row>
    <row r="61" customFormat="false" ht="15" hidden="false" customHeight="false" outlineLevel="0" collapsed="false">
      <c r="A61" s="16" t="s">
        <v>279</v>
      </c>
      <c r="B61" s="19" t="n">
        <v>2023</v>
      </c>
      <c r="C61" s="26" t="n">
        <f aca="false">MahindraLog!G7</f>
        <v>5128.29</v>
      </c>
      <c r="D61" s="26" t="n">
        <f aca="false">MahindraLog!G49</f>
        <v>2552.94</v>
      </c>
      <c r="E61" s="27" t="n">
        <f aca="false">MahindraLog!G45/MahindraLog!G49</f>
        <v>0.324990011516134</v>
      </c>
      <c r="F61" s="33" t="n">
        <f aca="false">MahindraLog!G95</f>
        <v>1.39956965831907</v>
      </c>
      <c r="G61" s="33" t="n">
        <f aca="false">MahindraLog!G96</f>
        <v>0.672923039698588</v>
      </c>
      <c r="H61" s="33" t="n">
        <f aca="false">MahindraLog!G101</f>
        <v>1.48494667687432</v>
      </c>
      <c r="I61" s="36" t="n">
        <f aca="false">MahindraLog!G109</f>
        <v>1.36746170254023</v>
      </c>
      <c r="J61" s="39" t="n">
        <f aca="false">MahindraLog!G119</f>
        <v>46.4402071645714</v>
      </c>
      <c r="K61" s="36" t="n">
        <f aca="false">MahindraLog!G124</f>
        <v>2.00877811464429</v>
      </c>
      <c r="L61" s="27" t="n">
        <f aca="false">MahindraLog!G130</f>
        <v>0.0507030608643426</v>
      </c>
      <c r="M61" s="27" t="n">
        <f aca="false">MahindraLog!G131</f>
        <v>0.0137511724180964</v>
      </c>
      <c r="N61" s="27" t="n">
        <f aca="false">MahindraLog!G133</f>
        <v>0.00512451518927362</v>
      </c>
      <c r="O61" s="27" t="n">
        <f aca="false">MahindraLog!G142</f>
        <v>0.0102940139603751</v>
      </c>
      <c r="P61" s="27" t="n">
        <f aca="false">MahindraLog!G146</f>
        <v>0.040110596360175</v>
      </c>
      <c r="Q61" s="27" t="n">
        <f aca="false">MahindraLog!G147</f>
        <v>0.0467890398276568</v>
      </c>
      <c r="R61" s="36" t="n">
        <f aca="false">MahindraLog!G158</f>
        <v>121.802397260274</v>
      </c>
      <c r="S61" s="36" t="n">
        <f aca="false">MahindraLog!G159</f>
        <v>5.69901721651504</v>
      </c>
      <c r="T61" s="36" t="n">
        <f aca="false">MahindraLog!G160</f>
        <v>15.0326397969387</v>
      </c>
    </row>
    <row r="62" customFormat="false" ht="15" hidden="false" customHeight="false" outlineLevel="0" collapsed="false">
      <c r="A62" s="16" t="s">
        <v>279</v>
      </c>
      <c r="B62" s="19" t="n">
        <v>2024</v>
      </c>
      <c r="C62" s="26" t="n">
        <f aca="false">MahindraLog!H7</f>
        <v>5505.97</v>
      </c>
      <c r="D62" s="26" t="n">
        <f aca="false">MahindraLog!H49</f>
        <v>2477.2</v>
      </c>
      <c r="E62" s="27" t="n">
        <f aca="false">MahindraLog!H45/MahindraLog!H49</f>
        <v>0.337554497012756</v>
      </c>
      <c r="F62" s="33" t="n">
        <f aca="false">MahindraLog!H95</f>
        <v>1.29986992548818</v>
      </c>
      <c r="G62" s="33" t="n">
        <f aca="false">MahindraLog!H96</f>
        <v>0.620640095066804</v>
      </c>
      <c r="H62" s="33" t="n">
        <f aca="false">MahindraLog!H101</f>
        <v>1.50118788961764</v>
      </c>
      <c r="I62" s="36" t="n">
        <f aca="false">MahindraLog!H109</f>
        <v>0.326437793427227</v>
      </c>
      <c r="J62" s="39" t="n">
        <f aca="false">MahindraLog!H119</f>
        <v>46.5301300225028</v>
      </c>
      <c r="K62" s="36" t="n">
        <f aca="false">MahindraLog!H124</f>
        <v>2.22265864685936</v>
      </c>
      <c r="L62" s="27" t="n">
        <f aca="false">MahindraLog!H130</f>
        <v>0.0419980493900257</v>
      </c>
      <c r="M62" s="27" t="n">
        <f aca="false">MahindraLog!H131</f>
        <v>0.00404106814966296</v>
      </c>
      <c r="N62" s="27" t="n">
        <f aca="false">MahindraLog!H133</f>
        <v>-0.00994193575337316</v>
      </c>
      <c r="O62" s="27" t="n">
        <f aca="false">MahindraLog!H142</f>
        <v>-0.022097529468755</v>
      </c>
      <c r="P62" s="27" t="n">
        <f aca="false">MahindraLog!H146</f>
        <v>0.0180635838150287</v>
      </c>
      <c r="Q62" s="27" t="n">
        <f aca="false">MahindraLog!H147</f>
        <v>-0.111153978922574</v>
      </c>
      <c r="R62" s="36" t="str">
        <f aca="false">MahindraLog!H158</f>
        <v>N/M</v>
      </c>
      <c r="S62" s="36" t="n">
        <f aca="false">MahindraLog!H159</f>
        <v>7.5007371007371</v>
      </c>
      <c r="T62" s="36" t="n">
        <f aca="false">MahindraLog!H160</f>
        <v>18.863985469642</v>
      </c>
    </row>
    <row r="63" customFormat="false" ht="15" hidden="false" customHeight="false" outlineLevel="0" collapsed="false">
      <c r="A63" s="16" t="s">
        <v>279</v>
      </c>
      <c r="B63" s="19" t="n">
        <v>2025</v>
      </c>
      <c r="C63" s="26" t="n">
        <f aca="false">MahindraLog!I7</f>
        <v>6104.83</v>
      </c>
      <c r="D63" s="26" t="n">
        <f aca="false">MahindraLog!I49</f>
        <v>2578.8</v>
      </c>
      <c r="E63" s="27" t="n">
        <f aca="false">MahindraLog!I45/MahindraLog!I49</f>
        <v>0.360462230494804</v>
      </c>
      <c r="F63" s="33" t="n">
        <f aca="false">MahindraLog!I95</f>
        <v>1.24266983193674</v>
      </c>
      <c r="G63" s="33" t="n">
        <f aca="false">MahindraLog!I96</f>
        <v>0.551095005266716</v>
      </c>
      <c r="H63" s="33" t="n">
        <f aca="false">MahindraLog!I101</f>
        <v>1.98405955969672</v>
      </c>
      <c r="I63" s="36" t="n">
        <f aca="false">MahindraLog!I109</f>
        <v>0.715059721709153</v>
      </c>
      <c r="J63" s="39" t="n">
        <f aca="false">MahindraLog!I119</f>
        <v>37.3739317884364</v>
      </c>
      <c r="K63" s="36" t="n">
        <f aca="false">MahindraLog!I124</f>
        <v>2.36731425469211</v>
      </c>
      <c r="L63" s="27" t="n">
        <f aca="false">MahindraLog!I130</f>
        <v>0.0465844257743459</v>
      </c>
      <c r="M63" s="27" t="n">
        <f aca="false">MahindraLog!I131</f>
        <v>0.00951214038720166</v>
      </c>
      <c r="N63" s="27" t="n">
        <f aca="false">MahindraLog!I133</f>
        <v>-0.00587239939523296</v>
      </c>
      <c r="O63" s="27" t="n">
        <f aca="false">MahindraLog!I142</f>
        <v>-0.0139018147975803</v>
      </c>
      <c r="P63" s="27" t="n">
        <f aca="false">MahindraLog!I146</f>
        <v>0.0444415532732312</v>
      </c>
      <c r="Q63" s="27" t="n">
        <f aca="false">MahindraLog!I147</f>
        <v>-0.081871745683749</v>
      </c>
      <c r="R63" s="36" t="str">
        <f aca="false">MahindraLog!I158</f>
        <v>N/M</v>
      </c>
      <c r="S63" s="36" t="n">
        <f aca="false">MahindraLog!I159</f>
        <v>5.40856124965744</v>
      </c>
      <c r="T63" s="36" t="n">
        <f aca="false">MahindraLog!I160</f>
        <v>11.1154077147579</v>
      </c>
    </row>
    <row r="64" customFormat="false" ht="15" hidden="false" customHeight="false" outlineLevel="0" collapsed="false">
      <c r="A64" s="16" t="s">
        <v>279</v>
      </c>
      <c r="B64" s="19" t="n">
        <v>2026</v>
      </c>
      <c r="C64" s="26" t="n">
        <f aca="false">MahindraLog!J7</f>
        <v>6999.3</v>
      </c>
      <c r="D64" s="26" t="n">
        <f aca="false">MahindraLog!J49</f>
        <v>3105.01</v>
      </c>
      <c r="E64" s="27" t="n">
        <f aca="false">MahindraLog!J45/MahindraLog!J49</f>
        <v>0.369551144762819</v>
      </c>
      <c r="F64" s="33" t="n">
        <f aca="false">MahindraLog!J95</f>
        <v>1.41224384605773</v>
      </c>
      <c r="G64" s="33" t="n">
        <f aca="false">MahindraLog!J96</f>
        <v>0.694380232412845</v>
      </c>
      <c r="H64" s="33" t="n">
        <f aca="false">MahindraLog!J101</f>
        <v>0.553082279235261</v>
      </c>
      <c r="I64" s="36" t="n">
        <f aca="false">MahindraLog!J109</f>
        <v>1.34537456678219</v>
      </c>
      <c r="J64" s="39" t="n">
        <f aca="false">MahindraLog!J119</f>
        <v>35.9607889360365</v>
      </c>
      <c r="K64" s="36" t="n">
        <f aca="false">MahindraLog!J124</f>
        <v>2.25419563866139</v>
      </c>
      <c r="L64" s="27" t="n">
        <f aca="false">MahindraLog!J130</f>
        <v>0.0541196976840541</v>
      </c>
      <c r="M64" s="27" t="n">
        <f aca="false">MahindraLog!J131</f>
        <v>0.0144200134299144</v>
      </c>
      <c r="N64" s="27" t="n">
        <f aca="false">MahindraLog!J133</f>
        <v>0.000327175574700327</v>
      </c>
      <c r="O64" s="27" t="n">
        <f aca="false">MahindraLog!J142</f>
        <v>0.000737517753566011</v>
      </c>
      <c r="P64" s="27" t="n">
        <f aca="false">MahindraLog!J146</f>
        <v>0.0359879096534451</v>
      </c>
      <c r="Q64" s="27" t="n">
        <f aca="false">MahindraLog!J147</f>
        <v>0.00194930114574644</v>
      </c>
      <c r="R64" s="36" t="n">
        <f aca="false">MahindraLog!J158</f>
        <v>1441.64890829694</v>
      </c>
      <c r="S64" s="36" t="n">
        <f aca="false">MahindraLog!J159</f>
        <v>2.81020786870733</v>
      </c>
      <c r="T64" s="36" t="n">
        <f aca="false">MahindraLog!J160</f>
        <v>9.90384371700105</v>
      </c>
    </row>
    <row r="65" customFormat="false" ht="15" hidden="false" customHeight="false" outlineLevel="0" collapsed="false">
      <c r="A65" s="16" t="s">
        <v>64</v>
      </c>
      <c r="B65" s="19" t="n">
        <v>2020</v>
      </c>
      <c r="C65" s="26" t="n">
        <f aca="false">Sical!D7</f>
        <v>1005.84</v>
      </c>
      <c r="D65" s="26" t="n">
        <f aca="false">Sical!D49</f>
        <v>2766.94</v>
      </c>
      <c r="E65" s="27" t="n">
        <f aca="false">Sical!D45/Sical!D49</f>
        <v>0.339718244703535</v>
      </c>
      <c r="F65" s="33" t="n">
        <f aca="false">Sical!D95</f>
        <v>0.538800590367373</v>
      </c>
      <c r="G65" s="33" t="n">
        <f aca="false">Sical!D96</f>
        <v>0.29196076265826</v>
      </c>
      <c r="H65" s="33" t="n">
        <f aca="false">Sical!D101</f>
        <v>2.60168802115111</v>
      </c>
      <c r="I65" s="36" t="n">
        <f aca="false">Sical!D109</f>
        <v>-1.94364660970732</v>
      </c>
      <c r="J65" s="39" t="n">
        <f aca="false">Sical!D119</f>
        <v>87.283713115406</v>
      </c>
      <c r="K65" s="36" t="n">
        <f aca="false">Sical!D124</f>
        <v>0.363520712411545</v>
      </c>
      <c r="L65" s="27" t="n">
        <f aca="false">Sical!D130</f>
        <v>-0.0223395371033165</v>
      </c>
      <c r="M65" s="27" t="n">
        <f aca="false">Sical!D131</f>
        <v>-0.106299212598425</v>
      </c>
      <c r="N65" s="27" t="n">
        <f aca="false">Sical!D133</f>
        <v>-0.106418515867335</v>
      </c>
      <c r="O65" s="27" t="n">
        <f aca="false">Sical!D142</f>
        <v>-0.0386853347018728</v>
      </c>
      <c r="P65" s="27" t="n">
        <f aca="false">Sical!D146</f>
        <v>-0.060374375335272</v>
      </c>
      <c r="Q65" s="27" t="n">
        <f aca="false">Sical!D147</f>
        <v>-0.217693715680293</v>
      </c>
      <c r="R65" s="36" t="str">
        <f aca="false">Sical!D158</f>
        <v>N/M</v>
      </c>
      <c r="S65" s="36" t="n">
        <f aca="false">Sical!D159</f>
        <v>0.0629980150498271</v>
      </c>
      <c r="T65" s="36" t="str">
        <f aca="false">Sical!D160</f>
        <v>N/M</v>
      </c>
    </row>
    <row r="66" customFormat="false" ht="15" hidden="false" customHeight="false" outlineLevel="0" collapsed="false">
      <c r="A66" s="16" t="s">
        <v>64</v>
      </c>
      <c r="B66" s="19" t="n">
        <v>2021</v>
      </c>
      <c r="C66" s="26" t="n">
        <f aca="false">Sical!E7</f>
        <v>503.63</v>
      </c>
      <c r="D66" s="26" t="n">
        <f aca="false">Sical!E49</f>
        <v>1731.06</v>
      </c>
      <c r="E66" s="27" t="n">
        <f aca="false">Sical!E45/Sical!E49</f>
        <v>0.48494564024355</v>
      </c>
      <c r="F66" s="33" t="n">
        <f aca="false">Sical!E95</f>
        <v>0.430409645350067</v>
      </c>
      <c r="G66" s="33" t="n">
        <f aca="false">Sical!E96</f>
        <v>0.244509271663259</v>
      </c>
      <c r="H66" s="33" t="str">
        <f aca="false">Sical!E101</f>
        <v>N/M</v>
      </c>
      <c r="I66" s="36" t="n">
        <f aca="false">Sical!E109</f>
        <v>-0.633666211653136</v>
      </c>
      <c r="J66" s="39" t="n">
        <f aca="false">Sical!E119</f>
        <v>154.23157873836</v>
      </c>
      <c r="K66" s="36" t="n">
        <f aca="false">Sical!E124</f>
        <v>0.290937344748305</v>
      </c>
      <c r="L66" s="27" t="n">
        <f aca="false">Sical!E130</f>
        <v>-0.0187637749935467</v>
      </c>
      <c r="M66" s="27" t="n">
        <f aca="false">Sical!E131</f>
        <v>-0.175128566606437</v>
      </c>
      <c r="N66" s="27" t="n">
        <f aca="false">Sical!E133</f>
        <v>-2.3024442547108</v>
      </c>
      <c r="O66" s="27" t="n">
        <f aca="false">Sical!E142</f>
        <v>-0.669867017896549</v>
      </c>
      <c r="P66" s="27" t="n">
        <f aca="false">Sical!E146</f>
        <v>-0.1478823647765</v>
      </c>
      <c r="Q66" s="27" t="str">
        <f aca="false">Sical!E147</f>
        <v>N/M</v>
      </c>
      <c r="R66" s="36" t="str">
        <f aca="false">Sical!E158</f>
        <v>N/M</v>
      </c>
      <c r="S66" s="36" t="str">
        <f aca="false">Sical!E159</f>
        <v>N/M</v>
      </c>
      <c r="T66" s="36" t="str">
        <f aca="false">Sical!E160</f>
        <v>N/M</v>
      </c>
    </row>
    <row r="67" customFormat="false" ht="15" hidden="false" customHeight="false" outlineLevel="0" collapsed="false">
      <c r="A67" s="16" t="s">
        <v>64</v>
      </c>
      <c r="B67" s="19" t="n">
        <v>2022</v>
      </c>
      <c r="C67" s="26" t="n">
        <f aca="false">Sical!F7</f>
        <v>348.87</v>
      </c>
      <c r="D67" s="26" t="n">
        <f aca="false">Sical!F49</f>
        <v>1565.58</v>
      </c>
      <c r="E67" s="27" t="n">
        <f aca="false">Sical!F45/Sical!F49</f>
        <v>0.487998058227622</v>
      </c>
      <c r="F67" s="33" t="n">
        <f aca="false">Sical!F95</f>
        <v>0.537716727382289</v>
      </c>
      <c r="G67" s="33" t="n">
        <f aca="false">Sical!F96</f>
        <v>0.312621545372374</v>
      </c>
      <c r="H67" s="33" t="str">
        <f aca="false">Sical!F101</f>
        <v>N/M</v>
      </c>
      <c r="I67" s="36" t="n">
        <f aca="false">Sical!F109</f>
        <v>-5.17010309278351</v>
      </c>
      <c r="J67" s="39" t="n">
        <f aca="false">Sical!F119</f>
        <v>148.303809441912</v>
      </c>
      <c r="K67" s="36" t="n">
        <f aca="false">Sical!F124</f>
        <v>0.222837542635956</v>
      </c>
      <c r="L67" s="27" t="n">
        <f aca="false">Sical!F130</f>
        <v>-0.112248115343824</v>
      </c>
      <c r="M67" s="27" t="n">
        <f aca="false">Sical!F131</f>
        <v>-0.316249605870382</v>
      </c>
      <c r="N67" s="27" t="n">
        <f aca="false">Sical!F133</f>
        <v>-0.746467165419784</v>
      </c>
      <c r="O67" s="27" t="n">
        <f aca="false">Sical!F142</f>
        <v>-0.166340908800572</v>
      </c>
      <c r="P67" s="27" t="n">
        <f aca="false">Sical!F146</f>
        <v>-0.132068470193919</v>
      </c>
      <c r="Q67" s="27" t="str">
        <f aca="false">Sical!F147</f>
        <v>N/M</v>
      </c>
      <c r="R67" s="36" t="str">
        <f aca="false">Sical!F158</f>
        <v>N/M</v>
      </c>
      <c r="S67" s="36" t="str">
        <f aca="false">Sical!F159</f>
        <v>N/M</v>
      </c>
      <c r="T67" s="36" t="str">
        <f aca="false">Sical!F160</f>
        <v>N/M</v>
      </c>
    </row>
    <row r="68" customFormat="false" ht="15" hidden="false" customHeight="false" outlineLevel="0" collapsed="false">
      <c r="A68" s="16" t="s">
        <v>64</v>
      </c>
      <c r="B68" s="19" t="n">
        <v>2023</v>
      </c>
      <c r="C68" s="26" t="n">
        <f aca="false">Sical!G7</f>
        <v>392.11</v>
      </c>
      <c r="D68" s="26" t="n">
        <f aca="false">Sical!G49</f>
        <v>793.01</v>
      </c>
      <c r="E68" s="27" t="n">
        <f aca="false">Sical!G45/Sical!G49</f>
        <v>0.763369944893507</v>
      </c>
      <c r="F68" s="33" t="n">
        <f aca="false">Sical!G95</f>
        <v>0.730763221623311</v>
      </c>
      <c r="G68" s="33" t="n">
        <f aca="false">Sical!G96</f>
        <v>0.535583157565815</v>
      </c>
      <c r="H68" s="33" t="n">
        <f aca="false">Sical!G101</f>
        <v>9.03344544095665</v>
      </c>
      <c r="I68" s="36" t="n">
        <f aca="false">Sical!G109</f>
        <v>-1.4496644295302</v>
      </c>
      <c r="J68" s="39" t="n">
        <f aca="false">Sical!G119</f>
        <v>50.8808752645941</v>
      </c>
      <c r="K68" s="36" t="n">
        <f aca="false">Sical!G124</f>
        <v>0.494457825248105</v>
      </c>
      <c r="L68" s="27" t="n">
        <f aca="false">Sical!G130</f>
        <v>0.0703629083675499</v>
      </c>
      <c r="M68" s="27" t="n">
        <f aca="false">Sical!G131</f>
        <v>-0.0716125577006453</v>
      </c>
      <c r="N68" s="27" t="n">
        <f aca="false">Sical!G133</f>
        <v>-2.12680115273775</v>
      </c>
      <c r="O68" s="27" t="n">
        <f aca="false">Sical!G142</f>
        <v>-1.05161347271787</v>
      </c>
      <c r="P68" s="27" t="n">
        <f aca="false">Sical!G146</f>
        <v>-0.0522914765638094</v>
      </c>
      <c r="Q68" s="27" t="n">
        <f aca="false">Sical!G147</f>
        <v>-15.5818385650224</v>
      </c>
      <c r="R68" s="36" t="str">
        <f aca="false">Sical!G158</f>
        <v>N/M</v>
      </c>
      <c r="S68" s="36" t="n">
        <f aca="false">Sical!G159</f>
        <v>0.782695403587444</v>
      </c>
      <c r="T68" s="36" t="n">
        <f aca="false">Sical!G160</f>
        <v>16.0529125770207</v>
      </c>
    </row>
    <row r="69" customFormat="false" ht="15" hidden="false" customHeight="false" outlineLevel="0" collapsed="false">
      <c r="A69" s="16" t="s">
        <v>64</v>
      </c>
      <c r="B69" s="19" t="n">
        <v>2024</v>
      </c>
      <c r="C69" s="26" t="n">
        <f aca="false">Sical!H7</f>
        <v>221.09</v>
      </c>
      <c r="D69" s="26" t="n">
        <f aca="false">Sical!H49</f>
        <v>767.54</v>
      </c>
      <c r="E69" s="27" t="n">
        <f aca="false">Sical!H45/Sical!H49</f>
        <v>0.726059879615395</v>
      </c>
      <c r="F69" s="33" t="n">
        <f aca="false">Sical!H95</f>
        <v>0.861424191389213</v>
      </c>
      <c r="G69" s="33" t="n">
        <f aca="false">Sical!H96</f>
        <v>0.705488621151272</v>
      </c>
      <c r="H69" s="33" t="n">
        <f aca="false">Sical!H101</f>
        <v>17.6619080779944</v>
      </c>
      <c r="I69" s="36" t="n">
        <f aca="false">Sical!H109</f>
        <v>-0.809596733027055</v>
      </c>
      <c r="J69" s="39" t="n">
        <f aca="false">Sical!H119</f>
        <v>72.7391559998191</v>
      </c>
      <c r="K69" s="36" t="n">
        <f aca="false">Sical!H124</f>
        <v>0.288050134194961</v>
      </c>
      <c r="L69" s="27" t="n">
        <f aca="false">Sical!H130</f>
        <v>0.0750825455696775</v>
      </c>
      <c r="M69" s="27" t="n">
        <f aca="false">Sical!H131</f>
        <v>-0.143470984666878</v>
      </c>
      <c r="N69" s="27" t="n">
        <f aca="false">Sical!H133</f>
        <v>-0.12795694061242</v>
      </c>
      <c r="O69" s="27" t="n">
        <f aca="false">Sical!H142</f>
        <v>-0.0368580139145843</v>
      </c>
      <c r="P69" s="27" t="n">
        <f aca="false">Sical!H146</f>
        <v>-0.0591824169263205</v>
      </c>
      <c r="Q69" s="27" t="n">
        <f aca="false">Sical!H147</f>
        <v>-0.985027855153203</v>
      </c>
      <c r="R69" s="36" t="str">
        <f aca="false">Sical!H158</f>
        <v>N/M</v>
      </c>
      <c r="S69" s="36" t="n">
        <f aca="false">Sical!H159</f>
        <v>33.4310248955432</v>
      </c>
      <c r="T69" s="36" t="n">
        <f aca="false">Sical!H160</f>
        <v>81.2095804216868</v>
      </c>
    </row>
    <row r="70" customFormat="false" ht="15" hidden="false" customHeight="false" outlineLevel="0" collapsed="false">
      <c r="A70" s="16" t="s">
        <v>64</v>
      </c>
      <c r="B70" s="19" t="n">
        <v>2025</v>
      </c>
      <c r="C70" s="26" t="n">
        <f aca="false">Sical!I7</f>
        <v>221.82</v>
      </c>
      <c r="D70" s="26" t="n">
        <f aca="false">Sical!I49</f>
        <v>858.91</v>
      </c>
      <c r="E70" s="27" t="n">
        <f aca="false">Sical!I45/Sical!I49</f>
        <v>0.700841764562061</v>
      </c>
      <c r="F70" s="33" t="n">
        <f aca="false">Sical!I95</f>
        <v>0.79756135688604</v>
      </c>
      <c r="G70" s="33" t="n">
        <f aca="false">Sical!I96</f>
        <v>0.619978114741285</v>
      </c>
      <c r="H70" s="33" t="str">
        <f aca="false">Sical!I101</f>
        <v>N/M</v>
      </c>
      <c r="I70" s="36" t="n">
        <f aca="false">Sical!I109</f>
        <v>-0.375491329479769</v>
      </c>
      <c r="J70" s="39" t="n">
        <f aca="false">Sical!I119</f>
        <v>118.688350915156</v>
      </c>
      <c r="K70" s="36" t="n">
        <f aca="false">Sical!I124</f>
        <v>0.258257558999197</v>
      </c>
      <c r="L70" s="27" t="n">
        <f aca="false">Sical!I130</f>
        <v>0.0968803534397258</v>
      </c>
      <c r="M70" s="27" t="n">
        <f aca="false">Sical!I131</f>
        <v>-0.0732125146515193</v>
      </c>
      <c r="N70" s="27" t="n">
        <f aca="false">Sical!I133</f>
        <v>-0.116445766837977</v>
      </c>
      <c r="O70" s="27" t="n">
        <f aca="false">Sical!I142</f>
        <v>-0.0300729994993655</v>
      </c>
      <c r="P70" s="27" t="n">
        <f aca="false">Sical!I146</f>
        <v>-0.0269306667993301</v>
      </c>
      <c r="Q70" s="27" t="str">
        <f aca="false">Sical!I147</f>
        <v>N/M</v>
      </c>
      <c r="R70" s="36" t="str">
        <f aca="false">Sical!I158</f>
        <v>N/M</v>
      </c>
      <c r="S70" s="36" t="str">
        <f aca="false">Sical!I159</f>
        <v>N/M</v>
      </c>
      <c r="T70" s="36" t="n">
        <f aca="false">Sical!I160</f>
        <v>45.0343837598884</v>
      </c>
    </row>
    <row r="71" customFormat="false" ht="15" hidden="false" customHeight="false" outlineLevel="0" collapsed="false">
      <c r="A71" s="16" t="s">
        <v>64</v>
      </c>
      <c r="B71" s="19" t="n">
        <v>2026</v>
      </c>
      <c r="C71" s="26" t="n">
        <f aca="false">Sical!J7</f>
        <v>385.68</v>
      </c>
      <c r="D71" s="26" t="n">
        <f aca="false">Sical!J49</f>
        <v>906.73</v>
      </c>
      <c r="E71" s="27" t="n">
        <f aca="false">Sical!J45/Sical!J49</f>
        <v>0.612630000110287</v>
      </c>
      <c r="F71" s="33" t="n">
        <f aca="false">Sical!J95</f>
        <v>1.14025965081442</v>
      </c>
      <c r="G71" s="33" t="n">
        <f aca="false">Sical!J96</f>
        <v>0.557594958504081</v>
      </c>
      <c r="H71" s="33" t="n">
        <f aca="false">Sical!J101</f>
        <v>3.69449310686267</v>
      </c>
      <c r="I71" s="36" t="n">
        <f aca="false">Sical!J109</f>
        <v>0.508608719800056</v>
      </c>
      <c r="J71" s="39" t="n">
        <f aca="false">Sical!J119</f>
        <v>90.8052012030699</v>
      </c>
      <c r="K71" s="36" t="n">
        <f aca="false">Sical!J124</f>
        <v>0.425352640808179</v>
      </c>
      <c r="L71" s="27" t="n">
        <f aca="false">Sical!J130</f>
        <v>0.203069902509853</v>
      </c>
      <c r="M71" s="27" t="n">
        <f aca="false">Sical!J131</f>
        <v>0.0949751088985689</v>
      </c>
      <c r="N71" s="27" t="n">
        <f aca="false">Sical!J133</f>
        <v>0.127774320680357</v>
      </c>
      <c r="O71" s="27" t="n">
        <f aca="false">Sical!J142</f>
        <v>0.0543491447288609</v>
      </c>
      <c r="P71" s="27" t="n">
        <f aca="false">Sical!J146</f>
        <v>0.0511762425250984</v>
      </c>
      <c r="Q71" s="27" t="n">
        <f aca="false">Sical!J147</f>
        <v>0.37535227359281</v>
      </c>
      <c r="R71" s="36" t="n">
        <f aca="false">Sical!J158</f>
        <v>10.2007666396104</v>
      </c>
      <c r="S71" s="36" t="n">
        <f aca="false">Sical!J159</f>
        <v>3.82888095056745</v>
      </c>
      <c r="T71" s="36" t="n">
        <f aca="false">Sical!J160</f>
        <v>11.7693281409602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8A169"/>
    <pageSetUpPr fitToPage="true"/>
  </sheetPr>
  <dimension ref="A1:L178"/>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50"/>
    <col collapsed="false" customWidth="true" hidden="false" outlineLevel="0" max="3" min="3" style="0" width="15"/>
    <col collapsed="false" customWidth="true" hidden="false" outlineLevel="0" max="10" min="4" style="0" width="11.5"/>
    <col collapsed="false" customWidth="true" hidden="false" outlineLevel="0" max="12" min="11" style="0" width="12"/>
  </cols>
  <sheetData>
    <row r="1" customFormat="false" ht="24" hidden="false" customHeight="true" outlineLevel="0" collapsed="false">
      <c r="A1" s="1" t="s">
        <v>483</v>
      </c>
      <c r="B1" s="1"/>
      <c r="C1" s="1"/>
      <c r="D1" s="1"/>
      <c r="E1" s="1"/>
      <c r="F1" s="1"/>
      <c r="G1" s="1"/>
      <c r="H1" s="1"/>
      <c r="I1" s="1"/>
      <c r="J1" s="1"/>
      <c r="K1" s="1"/>
      <c r="L1" s="1"/>
    </row>
    <row r="2" customFormat="false" ht="18" hidden="false" customHeight="true" outlineLevel="0" collapsed="false">
      <c r="A2" s="2" t="s">
        <v>484</v>
      </c>
      <c r="B2" s="2"/>
      <c r="C2" s="2"/>
      <c r="D2" s="2"/>
      <c r="E2" s="2"/>
      <c r="F2" s="2"/>
      <c r="G2" s="2"/>
      <c r="H2" s="2"/>
      <c r="I2" s="2"/>
      <c r="J2" s="2"/>
      <c r="K2" s="2"/>
      <c r="L2" s="2"/>
    </row>
    <row r="3" customFormat="false" ht="18" hidden="false" customHeight="true" outlineLevel="0" collapsed="false">
      <c r="A3" s="84" t="s">
        <v>485</v>
      </c>
      <c r="B3" s="84"/>
      <c r="C3" s="84"/>
      <c r="D3" s="84"/>
      <c r="E3" s="84"/>
      <c r="F3" s="84"/>
      <c r="G3" s="84"/>
      <c r="H3" s="84"/>
      <c r="I3" s="84"/>
      <c r="J3" s="84"/>
      <c r="K3" s="84"/>
      <c r="L3" s="84"/>
    </row>
    <row r="5" customFormat="false" ht="30" hidden="false" customHeight="true" outlineLevel="0" collapsed="false">
      <c r="A5" s="7" t="s">
        <v>486</v>
      </c>
      <c r="B5" s="7" t="s">
        <v>487</v>
      </c>
      <c r="C5" s="7" t="s">
        <v>488</v>
      </c>
      <c r="D5" s="7" t="s">
        <v>154</v>
      </c>
      <c r="E5" s="7" t="s">
        <v>185</v>
      </c>
      <c r="F5" s="7" t="s">
        <v>188</v>
      </c>
      <c r="G5" s="7" t="s">
        <v>144</v>
      </c>
      <c r="H5" s="7" t="s">
        <v>147</v>
      </c>
      <c r="I5" s="7" t="s">
        <v>157</v>
      </c>
      <c r="J5" s="7" t="s">
        <v>198</v>
      </c>
      <c r="K5" s="7" t="s">
        <v>322</v>
      </c>
      <c r="L5" s="7" t="s">
        <v>489</v>
      </c>
    </row>
    <row r="6" customFormat="false" ht="19.5" hidden="false" customHeight="true" outlineLevel="0" collapsed="false">
      <c r="A6" s="85" t="s">
        <v>490</v>
      </c>
      <c r="B6" s="86"/>
      <c r="C6" s="86"/>
      <c r="D6" s="86"/>
      <c r="E6" s="86"/>
      <c r="F6" s="86"/>
      <c r="G6" s="86"/>
      <c r="H6" s="86"/>
      <c r="I6" s="86"/>
      <c r="J6" s="86"/>
      <c r="K6" s="86"/>
      <c r="L6" s="86"/>
    </row>
    <row r="7" customFormat="false" ht="15" hidden="false" customHeight="false" outlineLevel="0" collapsed="false">
      <c r="A7" s="16" t="s">
        <v>491</v>
      </c>
      <c r="B7" s="87" t="s">
        <v>492</v>
      </c>
      <c r="C7" s="17" t="s">
        <v>493</v>
      </c>
      <c r="D7" s="26" t="n">
        <f aca="false">SUM(Tiger:MahindraLog!D7)</f>
        <v>25305.13</v>
      </c>
      <c r="E7" s="26" t="n">
        <f aca="false">SUM(Tiger:MahindraLog!E7)</f>
        <v>27618.19</v>
      </c>
      <c r="F7" s="26" t="n">
        <f aca="false">SUM(Tiger:MahindraLog!F7)</f>
        <v>40343.65</v>
      </c>
      <c r="G7" s="26" t="n">
        <f aca="false">SUM(Tiger:MahindraLog!G7)</f>
        <v>42009.84</v>
      </c>
      <c r="H7" s="26" t="n">
        <f aca="false">SUM(Tiger:MahindraLog!H7)</f>
        <v>37810.32</v>
      </c>
      <c r="I7" s="26" t="n">
        <f aca="false">SUM(Tiger:MahindraLog!I7)</f>
        <v>28922.44</v>
      </c>
      <c r="J7" s="26" t="n">
        <f aca="false">SUM(Tiger:MahindraLog!J7)</f>
        <v>31187.93</v>
      </c>
      <c r="K7" s="53" t="n">
        <f aca="false">AVERAGE(D7:J7)</f>
        <v>33313.9285714286</v>
      </c>
      <c r="L7" s="53" t="n">
        <f aca="false">J7-D7</f>
        <v>5882.8</v>
      </c>
    </row>
    <row r="8" customFormat="false" ht="16.5" hidden="false" customHeight="true" outlineLevel="0" collapsed="false">
      <c r="A8" s="88" t="s">
        <v>494</v>
      </c>
      <c r="B8" s="89"/>
      <c r="C8" s="89"/>
      <c r="D8" s="89"/>
      <c r="E8" s="89"/>
      <c r="F8" s="89"/>
      <c r="G8" s="89"/>
      <c r="H8" s="89"/>
      <c r="I8" s="89"/>
      <c r="J8" s="89"/>
      <c r="K8" s="89"/>
      <c r="L8" s="89"/>
    </row>
    <row r="9" customFormat="false" ht="15" hidden="false" customHeight="false" outlineLevel="0" collapsed="false">
      <c r="A9" s="16" t="s">
        <v>495</v>
      </c>
      <c r="B9" s="87" t="s">
        <v>496</v>
      </c>
      <c r="C9" s="17" t="s">
        <v>493</v>
      </c>
      <c r="D9" s="26" t="n">
        <f aca="false">SUM(Tiger:MahindraLog!D9)</f>
        <v>284.13</v>
      </c>
      <c r="E9" s="26" t="n">
        <f aca="false">SUM(Tiger:MahindraLog!E9)</f>
        <v>0</v>
      </c>
      <c r="F9" s="26" t="n">
        <f aca="false">SUM(Tiger:MahindraLog!F9)</f>
        <v>9.81</v>
      </c>
      <c r="G9" s="26" t="n">
        <f aca="false">SUM(Tiger:MahindraLog!G9)</f>
        <v>17.94</v>
      </c>
      <c r="H9" s="26" t="n">
        <f aca="false">SUM(Tiger:MahindraLog!H9)</f>
        <v>55.68</v>
      </c>
      <c r="I9" s="26" t="n">
        <f aca="false">SUM(Tiger:MahindraLog!I9)</f>
        <v>21.36</v>
      </c>
      <c r="J9" s="26" t="n">
        <f aca="false">SUM(Tiger:MahindraLog!J9)</f>
        <v>0.41</v>
      </c>
      <c r="K9" s="53" t="n">
        <f aca="false">AVERAGE(D9:J9)</f>
        <v>55.6185714285714</v>
      </c>
      <c r="L9" s="53" t="n">
        <f aca="false">J9-D9</f>
        <v>-283.72</v>
      </c>
    </row>
    <row r="10" customFormat="false" ht="15" hidden="false" customHeight="false" outlineLevel="0" collapsed="false">
      <c r="A10" s="16" t="s">
        <v>497</v>
      </c>
      <c r="B10" s="87" t="s">
        <v>498</v>
      </c>
      <c r="C10" s="17" t="s">
        <v>493</v>
      </c>
      <c r="D10" s="26" t="n">
        <f aca="false">SUM(Tiger:MahindraLog!D10)</f>
        <v>0.04</v>
      </c>
      <c r="E10" s="26" t="n">
        <f aca="false">SUM(Tiger:MahindraLog!E10)</f>
        <v>-3.5</v>
      </c>
      <c r="F10" s="26" t="n">
        <f aca="false">SUM(Tiger:MahindraLog!F10)</f>
        <v>-0.12</v>
      </c>
      <c r="G10" s="26" t="n">
        <f aca="false">SUM(Tiger:MahindraLog!G10)</f>
        <v>-0.81</v>
      </c>
      <c r="H10" s="26" t="n">
        <f aca="false">SUM(Tiger:MahindraLog!H10)</f>
        <v>-1.24</v>
      </c>
      <c r="I10" s="26" t="n">
        <f aca="false">SUM(Tiger:MahindraLog!I10)</f>
        <v>-0.83</v>
      </c>
      <c r="J10" s="26" t="n">
        <f aca="false">SUM(Tiger:MahindraLog!J10)</f>
        <v>-1.13</v>
      </c>
      <c r="K10" s="53" t="n">
        <f aca="false">AVERAGE(D10:J10)</f>
        <v>-1.08428571428571</v>
      </c>
      <c r="L10" s="53" t="n">
        <f aca="false">J10-D10</f>
        <v>-1.17</v>
      </c>
    </row>
    <row r="11" customFormat="false" ht="15" hidden="false" customHeight="false" outlineLevel="0" collapsed="false">
      <c r="A11" s="16" t="s">
        <v>499</v>
      </c>
      <c r="B11" s="87" t="s">
        <v>500</v>
      </c>
      <c r="C11" s="17" t="s">
        <v>493</v>
      </c>
      <c r="D11" s="26" t="n">
        <f aca="false">SUM(Tiger:MahindraLog!D11)</f>
        <v>402.68</v>
      </c>
      <c r="E11" s="26" t="n">
        <f aca="false">SUM(Tiger:MahindraLog!E11)</f>
        <v>253.51</v>
      </c>
      <c r="F11" s="26" t="n">
        <f aca="false">SUM(Tiger:MahindraLog!F11)</f>
        <v>394.79</v>
      </c>
      <c r="G11" s="26" t="n">
        <f aca="false">SUM(Tiger:MahindraLog!G11)</f>
        <v>589.75</v>
      </c>
      <c r="H11" s="26" t="n">
        <f aca="false">SUM(Tiger:MahindraLog!H11)</f>
        <v>489.81</v>
      </c>
      <c r="I11" s="26" t="n">
        <f aca="false">SUM(Tiger:MahindraLog!I11)</f>
        <v>546.46</v>
      </c>
      <c r="J11" s="26" t="n">
        <f aca="false">SUM(Tiger:MahindraLog!J11)</f>
        <v>506.37</v>
      </c>
      <c r="K11" s="53" t="n">
        <f aca="false">AVERAGE(D11:J11)</f>
        <v>454.767142857143</v>
      </c>
      <c r="L11" s="53" t="n">
        <f aca="false">J11-D11</f>
        <v>103.69</v>
      </c>
    </row>
    <row r="12" customFormat="false" ht="15" hidden="false" customHeight="false" outlineLevel="0" collapsed="false">
      <c r="A12" s="16" t="s">
        <v>501</v>
      </c>
      <c r="B12" s="87" t="s">
        <v>502</v>
      </c>
      <c r="C12" s="17" t="s">
        <v>493</v>
      </c>
      <c r="D12" s="26" t="n">
        <f aca="false">SUM(Tiger:MahindraLog!D12)</f>
        <v>17707.69</v>
      </c>
      <c r="E12" s="26" t="n">
        <f aca="false">SUM(Tiger:MahindraLog!E12)</f>
        <v>19854.74</v>
      </c>
      <c r="F12" s="26" t="n">
        <f aca="false">SUM(Tiger:MahindraLog!F12)</f>
        <v>30303.7</v>
      </c>
      <c r="G12" s="26" t="n">
        <f aca="false">SUM(Tiger:MahindraLog!G12)</f>
        <v>31150.56</v>
      </c>
      <c r="H12" s="26" t="n">
        <f aca="false">SUM(Tiger:MahindraLog!H12)</f>
        <v>27453.74</v>
      </c>
      <c r="I12" s="26" t="n">
        <f aca="false">SUM(Tiger:MahindraLog!I12)</f>
        <v>20767.36</v>
      </c>
      <c r="J12" s="26" t="n">
        <f aca="false">SUM(Tiger:MahindraLog!J12)</f>
        <v>22486.28</v>
      </c>
      <c r="K12" s="53" t="n">
        <f aca="false">AVERAGE(D12:J12)</f>
        <v>24246.2957142857</v>
      </c>
      <c r="L12" s="53" t="n">
        <f aca="false">J12-D12</f>
        <v>4778.59</v>
      </c>
    </row>
    <row r="13" customFormat="false" ht="15" hidden="false" customHeight="false" outlineLevel="0" collapsed="false">
      <c r="A13" s="12" t="s">
        <v>503</v>
      </c>
      <c r="B13" s="87" t="s">
        <v>504</v>
      </c>
      <c r="C13" s="17" t="s">
        <v>493</v>
      </c>
      <c r="D13" s="29" t="n">
        <f aca="false">D9+D11+D12-D10</f>
        <v>18394.46</v>
      </c>
      <c r="E13" s="29" t="n">
        <f aca="false">E9+E11+E12-E10</f>
        <v>20111.75</v>
      </c>
      <c r="F13" s="29" t="n">
        <f aca="false">F9+F11+F12-F10</f>
        <v>30708.42</v>
      </c>
      <c r="G13" s="29" t="n">
        <f aca="false">G9+G11+G12-G10</f>
        <v>31759.06</v>
      </c>
      <c r="H13" s="29" t="n">
        <f aca="false">H9+H11+H12-H10</f>
        <v>28000.47</v>
      </c>
      <c r="I13" s="29" t="n">
        <f aca="false">I9+I11+I12-I10</f>
        <v>21336.01</v>
      </c>
      <c r="J13" s="29" t="n">
        <f aca="false">J9+J11+J12-J10</f>
        <v>22994.19</v>
      </c>
      <c r="K13" s="29" t="n">
        <f aca="false">AVERAGE(D13:J13)</f>
        <v>24757.7657142857</v>
      </c>
      <c r="L13" s="29" t="n">
        <f aca="false">J13-D13</f>
        <v>4599.73</v>
      </c>
    </row>
    <row r="14" customFormat="false" ht="15" hidden="false" customHeight="false" outlineLevel="0" collapsed="false">
      <c r="A14" s="12" t="s">
        <v>505</v>
      </c>
      <c r="B14" s="87" t="s">
        <v>506</v>
      </c>
      <c r="C14" s="17" t="s">
        <v>493</v>
      </c>
      <c r="D14" s="29" t="n">
        <f aca="false">D7-D13</f>
        <v>6910.67</v>
      </c>
      <c r="E14" s="29" t="n">
        <f aca="false">E7-E13</f>
        <v>7506.44000000001</v>
      </c>
      <c r="F14" s="29" t="n">
        <f aca="false">F7-F13</f>
        <v>9635.23</v>
      </c>
      <c r="G14" s="29" t="n">
        <f aca="false">G7-G13</f>
        <v>10250.78</v>
      </c>
      <c r="H14" s="29" t="n">
        <f aca="false">H7-H13</f>
        <v>9809.85</v>
      </c>
      <c r="I14" s="29" t="n">
        <f aca="false">I7-I13</f>
        <v>7586.43</v>
      </c>
      <c r="J14" s="29" t="n">
        <f aca="false">J7-J13</f>
        <v>8193.74</v>
      </c>
      <c r="K14" s="29" t="n">
        <f aca="false">AVERAGE(D14:J14)</f>
        <v>8556.16285714286</v>
      </c>
      <c r="L14" s="29" t="n">
        <f aca="false">J14-D14</f>
        <v>1283.07</v>
      </c>
    </row>
    <row r="15" customFormat="false" ht="16.5" hidden="false" customHeight="true" outlineLevel="0" collapsed="false">
      <c r="A15" s="88" t="s">
        <v>507</v>
      </c>
      <c r="B15" s="89"/>
      <c r="C15" s="89"/>
      <c r="D15" s="89"/>
      <c r="E15" s="89"/>
      <c r="F15" s="89"/>
      <c r="G15" s="89"/>
      <c r="H15" s="89"/>
      <c r="I15" s="89"/>
      <c r="J15" s="89"/>
      <c r="K15" s="89"/>
      <c r="L15" s="89"/>
    </row>
    <row r="16" customFormat="false" ht="15" hidden="false" customHeight="false" outlineLevel="0" collapsed="false">
      <c r="A16" s="16" t="s">
        <v>508</v>
      </c>
      <c r="B16" s="87" t="s">
        <v>509</v>
      </c>
      <c r="C16" s="17" t="s">
        <v>493</v>
      </c>
      <c r="D16" s="26" t="n">
        <f aca="false">SUM(Tiger:MahindraLog!D16)</f>
        <v>2824.58</v>
      </c>
      <c r="E16" s="26" t="n">
        <f aca="false">SUM(Tiger:MahindraLog!E16)</f>
        <v>3010.2</v>
      </c>
      <c r="F16" s="26" t="n">
        <f aca="false">SUM(Tiger:MahindraLog!F16)</f>
        <v>3357.45</v>
      </c>
      <c r="G16" s="26" t="n">
        <f aca="false">SUM(Tiger:MahindraLog!G16)</f>
        <v>3804.17</v>
      </c>
      <c r="H16" s="26" t="n">
        <f aca="false">SUM(Tiger:MahindraLog!H16)</f>
        <v>4027.98</v>
      </c>
      <c r="I16" s="26" t="n">
        <f aca="false">SUM(Tiger:MahindraLog!I16)</f>
        <v>2423.15</v>
      </c>
      <c r="J16" s="26" t="n">
        <f aca="false">SUM(Tiger:MahindraLog!J16)</f>
        <v>2580.12</v>
      </c>
      <c r="K16" s="53" t="n">
        <f aca="false">AVERAGE(D16:J16)</f>
        <v>3146.80714285714</v>
      </c>
      <c r="L16" s="53" t="n">
        <f aca="false">J16-D16</f>
        <v>-244.46</v>
      </c>
    </row>
    <row r="17" customFormat="false" ht="15" hidden="false" customHeight="false" outlineLevel="0" collapsed="false">
      <c r="A17" s="16" t="s">
        <v>510</v>
      </c>
      <c r="B17" s="87" t="s">
        <v>511</v>
      </c>
      <c r="C17" s="17" t="s">
        <v>493</v>
      </c>
      <c r="D17" s="26" t="n">
        <f aca="false">SUM(Tiger:MahindraLog!D17)</f>
        <v>927.3</v>
      </c>
      <c r="E17" s="26" t="n">
        <f aca="false">SUM(Tiger:MahindraLog!E17)</f>
        <v>1545.35</v>
      </c>
      <c r="F17" s="26" t="n">
        <f aca="false">SUM(Tiger:MahindraLog!F17)</f>
        <v>1528.29</v>
      </c>
      <c r="G17" s="26" t="n">
        <f aca="false">SUM(Tiger:MahindraLog!G17)</f>
        <v>1610.76</v>
      </c>
      <c r="H17" s="26" t="n">
        <f aca="false">SUM(Tiger:MahindraLog!H17)</f>
        <v>1675.53</v>
      </c>
      <c r="I17" s="26" t="n">
        <f aca="false">SUM(Tiger:MahindraLog!I17)</f>
        <v>1299.43</v>
      </c>
      <c r="J17" s="26" t="n">
        <f aca="false">SUM(Tiger:MahindraLog!J17)</f>
        <v>1435.17</v>
      </c>
      <c r="K17" s="53" t="n">
        <f aca="false">AVERAGE(D17:J17)</f>
        <v>1431.69</v>
      </c>
      <c r="L17" s="53" t="n">
        <f aca="false">J17-D17</f>
        <v>507.87</v>
      </c>
    </row>
    <row r="18" customFormat="false" ht="15" hidden="false" customHeight="false" outlineLevel="0" collapsed="false">
      <c r="A18" s="16" t="s">
        <v>512</v>
      </c>
      <c r="B18" s="87" t="s">
        <v>513</v>
      </c>
      <c r="C18" s="17" t="s">
        <v>493</v>
      </c>
      <c r="D18" s="26" t="n">
        <f aca="false">SUM(Tiger:MahindraLog!D18)</f>
        <v>92.12</v>
      </c>
      <c r="E18" s="26" t="n">
        <f aca="false">SUM(Tiger:MahindraLog!E18)</f>
        <v>173.77</v>
      </c>
      <c r="F18" s="26" t="n">
        <f aca="false">SUM(Tiger:MahindraLog!F18)</f>
        <v>89.94</v>
      </c>
      <c r="G18" s="26" t="n">
        <f aca="false">SUM(Tiger:MahindraLog!G18)</f>
        <v>112.87</v>
      </c>
      <c r="H18" s="26" t="n">
        <f aca="false">SUM(Tiger:MahindraLog!H18)</f>
        <v>115.65</v>
      </c>
      <c r="I18" s="26" t="n">
        <f aca="false">SUM(Tiger:MahindraLog!I18)</f>
        <v>23.62</v>
      </c>
      <c r="J18" s="26" t="n">
        <f aca="false">SUM(Tiger:MahindraLog!J18)</f>
        <v>3.64999999999999</v>
      </c>
      <c r="K18" s="53" t="n">
        <f aca="false">AVERAGE(D18:J18)</f>
        <v>87.3742857142857</v>
      </c>
      <c r="L18" s="53" t="n">
        <f aca="false">J18-D18</f>
        <v>-88.47</v>
      </c>
    </row>
    <row r="19" customFormat="false" ht="15" hidden="false" customHeight="false" outlineLevel="0" collapsed="false">
      <c r="A19" s="12" t="s">
        <v>507</v>
      </c>
      <c r="B19" s="87" t="s">
        <v>514</v>
      </c>
      <c r="C19" s="17" t="s">
        <v>493</v>
      </c>
      <c r="D19" s="29" t="n">
        <f aca="false">D16+D17+D18</f>
        <v>3844</v>
      </c>
      <c r="E19" s="29" t="n">
        <f aca="false">E16+E17+E18</f>
        <v>4729.32</v>
      </c>
      <c r="F19" s="29" t="n">
        <f aca="false">F16+F17+F18</f>
        <v>4975.68</v>
      </c>
      <c r="G19" s="29" t="n">
        <f aca="false">G16+G17+G18</f>
        <v>5527.8</v>
      </c>
      <c r="H19" s="29" t="n">
        <f aca="false">H16+H17+H18</f>
        <v>5819.16</v>
      </c>
      <c r="I19" s="29" t="n">
        <f aca="false">I16+I17+I18</f>
        <v>3746.2</v>
      </c>
      <c r="J19" s="29" t="n">
        <f aca="false">J16+J17+J18</f>
        <v>4018.94</v>
      </c>
      <c r="K19" s="29" t="n">
        <f aca="false">AVERAGE(D19:J19)</f>
        <v>4665.87142857143</v>
      </c>
      <c r="L19" s="29" t="n">
        <f aca="false">J19-D19</f>
        <v>174.94</v>
      </c>
    </row>
    <row r="20" customFormat="false" ht="15" hidden="false" customHeight="false" outlineLevel="0" collapsed="false">
      <c r="A20" s="12" t="s">
        <v>515</v>
      </c>
      <c r="B20" s="87" t="s">
        <v>516</v>
      </c>
      <c r="C20" s="17" t="s">
        <v>493</v>
      </c>
      <c r="D20" s="29" t="n">
        <f aca="false">D13+D19</f>
        <v>22238.46</v>
      </c>
      <c r="E20" s="29" t="n">
        <f aca="false">E13+E19</f>
        <v>24841.07</v>
      </c>
      <c r="F20" s="29" t="n">
        <f aca="false">F13+F19</f>
        <v>35684.1</v>
      </c>
      <c r="G20" s="29" t="n">
        <f aca="false">G13+G19</f>
        <v>37286.86</v>
      </c>
      <c r="H20" s="29" t="n">
        <f aca="false">H13+H19</f>
        <v>33819.63</v>
      </c>
      <c r="I20" s="29" t="n">
        <f aca="false">I13+I19</f>
        <v>25082.21</v>
      </c>
      <c r="J20" s="29" t="n">
        <f aca="false">J13+J19</f>
        <v>27013.13</v>
      </c>
      <c r="K20" s="29" t="n">
        <f aca="false">AVERAGE(D20:J20)</f>
        <v>29423.6371428571</v>
      </c>
      <c r="L20" s="29" t="n">
        <f aca="false">J20-D20</f>
        <v>4774.67</v>
      </c>
    </row>
    <row r="21" customFormat="false" ht="15" hidden="false" customHeight="false" outlineLevel="0" collapsed="false">
      <c r="A21" s="12" t="s">
        <v>517</v>
      </c>
      <c r="B21" s="87" t="s">
        <v>518</v>
      </c>
      <c r="C21" s="17" t="s">
        <v>493</v>
      </c>
      <c r="D21" s="29" t="n">
        <f aca="false">D7-D20</f>
        <v>3066.67</v>
      </c>
      <c r="E21" s="29" t="n">
        <f aca="false">E7-E20</f>
        <v>2777.12000000001</v>
      </c>
      <c r="F21" s="29" t="n">
        <f aca="false">F7-F20</f>
        <v>4659.55</v>
      </c>
      <c r="G21" s="29" t="n">
        <f aca="false">G7-G20</f>
        <v>4722.98</v>
      </c>
      <c r="H21" s="29" t="n">
        <f aca="false">H7-H20</f>
        <v>3990.69</v>
      </c>
      <c r="I21" s="29" t="n">
        <f aca="false">I7-I20</f>
        <v>3840.23</v>
      </c>
      <c r="J21" s="29" t="n">
        <f aca="false">J7-J20</f>
        <v>4174.8</v>
      </c>
      <c r="K21" s="29" t="n">
        <f aca="false">AVERAGE(D21:J21)</f>
        <v>3890.29142857143</v>
      </c>
      <c r="L21" s="29" t="n">
        <f aca="false">J21-D21</f>
        <v>1108.13</v>
      </c>
    </row>
    <row r="22" customFormat="false" ht="15" hidden="false" customHeight="false" outlineLevel="0" collapsed="false">
      <c r="A22" s="16" t="s">
        <v>519</v>
      </c>
      <c r="B22" s="87" t="s">
        <v>520</v>
      </c>
      <c r="C22" s="17" t="s">
        <v>493</v>
      </c>
      <c r="D22" s="26" t="n">
        <f aca="false">SUM(Tiger:MahindraLog!D22)</f>
        <v>1374.04</v>
      </c>
      <c r="E22" s="26" t="n">
        <f aca="false">SUM(Tiger:MahindraLog!E22)</f>
        <v>1560.39</v>
      </c>
      <c r="F22" s="26" t="n">
        <f aca="false">SUM(Tiger:MahindraLog!F22)</f>
        <v>1530.3</v>
      </c>
      <c r="G22" s="26" t="n">
        <f aca="false">SUM(Tiger:MahindraLog!G22)</f>
        <v>1621.95</v>
      </c>
      <c r="H22" s="26" t="n">
        <f aca="false">SUM(Tiger:MahindraLog!H22)</f>
        <v>1847.45</v>
      </c>
      <c r="I22" s="26" t="n">
        <f aca="false">SUM(Tiger:MahindraLog!I22)</f>
        <v>1640.43</v>
      </c>
      <c r="J22" s="26" t="n">
        <f aca="false">SUM(Tiger:MahindraLog!J22)</f>
        <v>1811.88</v>
      </c>
      <c r="K22" s="53" t="n">
        <f aca="false">AVERAGE(D22:J22)</f>
        <v>1626.63428571429</v>
      </c>
      <c r="L22" s="53" t="n">
        <f aca="false">J22-D22</f>
        <v>437.84</v>
      </c>
    </row>
    <row r="23" customFormat="false" ht="15" hidden="false" customHeight="false" outlineLevel="0" collapsed="false">
      <c r="A23" s="12" t="s">
        <v>521</v>
      </c>
      <c r="B23" s="87" t="s">
        <v>522</v>
      </c>
      <c r="C23" s="17" t="s">
        <v>493</v>
      </c>
      <c r="D23" s="29" t="n">
        <f aca="false">D21-D22</f>
        <v>1692.63</v>
      </c>
      <c r="E23" s="29" t="n">
        <f aca="false">E21-E22</f>
        <v>1216.73000000001</v>
      </c>
      <c r="F23" s="29" t="n">
        <f aca="false">F21-F22</f>
        <v>3129.25</v>
      </c>
      <c r="G23" s="29" t="n">
        <f aca="false">G21-G22</f>
        <v>3101.03</v>
      </c>
      <c r="H23" s="29" t="n">
        <f aca="false">H21-H22</f>
        <v>2143.24</v>
      </c>
      <c r="I23" s="29" t="n">
        <f aca="false">I21-I22</f>
        <v>2199.8</v>
      </c>
      <c r="J23" s="29" t="n">
        <f aca="false">J21-J22</f>
        <v>2362.92</v>
      </c>
      <c r="K23" s="29" t="n">
        <f aca="false">AVERAGE(D23:J23)</f>
        <v>2263.65714285714</v>
      </c>
      <c r="L23" s="29" t="n">
        <f aca="false">J23-D23</f>
        <v>670.290000000001</v>
      </c>
    </row>
    <row r="24" customFormat="false" ht="15" hidden="false" customHeight="false" outlineLevel="0" collapsed="false">
      <c r="A24" s="16" t="s">
        <v>523</v>
      </c>
      <c r="B24" s="87" t="s">
        <v>524</v>
      </c>
      <c r="C24" s="17" t="s">
        <v>493</v>
      </c>
      <c r="D24" s="26" t="n">
        <f aca="false">SUM(Tiger:MahindraLog!D24)</f>
        <v>-415.51</v>
      </c>
      <c r="E24" s="26" t="n">
        <f aca="false">SUM(Tiger:MahindraLog!E24)</f>
        <v>-705.13</v>
      </c>
      <c r="F24" s="26" t="n">
        <f aca="false">SUM(Tiger:MahindraLog!F24)</f>
        <v>484.72</v>
      </c>
      <c r="G24" s="26" t="n">
        <f aca="false">SUM(Tiger:MahindraLog!G24)</f>
        <v>-200.64</v>
      </c>
      <c r="H24" s="26" t="n">
        <f aca="false">SUM(Tiger:MahindraLog!H24)</f>
        <v>889.55</v>
      </c>
      <c r="I24" s="26" t="n">
        <f aca="false">SUM(Tiger:MahindraLog!I24)</f>
        <v>749.23</v>
      </c>
      <c r="J24" s="26" t="n">
        <f aca="false">SUM(Tiger:MahindraLog!J24)</f>
        <v>676.12</v>
      </c>
      <c r="K24" s="53" t="n">
        <f aca="false">AVERAGE(D24:J24)</f>
        <v>211.191428571429</v>
      </c>
      <c r="L24" s="53" t="n">
        <f aca="false">J24-D24</f>
        <v>1091.63</v>
      </c>
    </row>
    <row r="25" customFormat="false" ht="15" hidden="false" customHeight="false" outlineLevel="0" collapsed="false">
      <c r="A25" s="16" t="s">
        <v>525</v>
      </c>
      <c r="B25" s="87" t="s">
        <v>526</v>
      </c>
      <c r="C25" s="17" t="s">
        <v>493</v>
      </c>
      <c r="D25" s="26" t="n">
        <f aca="false">SUM(Tiger:MahindraLog!D25)</f>
        <v>365.41</v>
      </c>
      <c r="E25" s="26" t="n">
        <f aca="false">SUM(Tiger:MahindraLog!E25)</f>
        <v>501.23</v>
      </c>
      <c r="F25" s="26" t="n">
        <f aca="false">SUM(Tiger:MahindraLog!F25)</f>
        <v>325.03</v>
      </c>
      <c r="G25" s="26" t="n">
        <f aca="false">SUM(Tiger:MahindraLog!G25)</f>
        <v>312.42</v>
      </c>
      <c r="H25" s="26" t="n">
        <f aca="false">SUM(Tiger:MahindraLog!H25)</f>
        <v>424.19</v>
      </c>
      <c r="I25" s="26" t="n">
        <f aca="false">SUM(Tiger:MahindraLog!I25)</f>
        <v>391.38</v>
      </c>
      <c r="J25" s="26" t="n">
        <f aca="false">SUM(Tiger:MahindraLog!J25)</f>
        <v>412.78</v>
      </c>
      <c r="K25" s="53" t="n">
        <f aca="false">AVERAGE(D25:J25)</f>
        <v>390.348571428571</v>
      </c>
      <c r="L25" s="53" t="n">
        <f aca="false">J25-D25</f>
        <v>47.37</v>
      </c>
    </row>
    <row r="26" customFormat="false" ht="15" hidden="false" customHeight="false" outlineLevel="0" collapsed="false">
      <c r="A26" s="12" t="s">
        <v>527</v>
      </c>
      <c r="B26" s="87" t="s">
        <v>528</v>
      </c>
      <c r="C26" s="17" t="s">
        <v>493</v>
      </c>
      <c r="D26" s="90" t="n">
        <f aca="false">D23+D24-D25</f>
        <v>911.710000000002</v>
      </c>
      <c r="E26" s="90" t="n">
        <f aca="false">E23+E24-E25</f>
        <v>10.3700000000062</v>
      </c>
      <c r="F26" s="90" t="n">
        <f aca="false">F23+F24-F25</f>
        <v>3288.94</v>
      </c>
      <c r="G26" s="90" t="n">
        <f aca="false">G23+G24-G25</f>
        <v>2587.97</v>
      </c>
      <c r="H26" s="90" t="n">
        <f aca="false">H23+H24-H25</f>
        <v>2608.6</v>
      </c>
      <c r="I26" s="90" t="n">
        <f aca="false">I23+I24-I25</f>
        <v>2557.65</v>
      </c>
      <c r="J26" s="90" t="n">
        <f aca="false">J23+J24-J25</f>
        <v>2626.26</v>
      </c>
      <c r="K26" s="91" t="n">
        <f aca="false">AVERAGE(D26:J26)</f>
        <v>2084.5</v>
      </c>
      <c r="L26" s="91" t="n">
        <f aca="false">J26-D26</f>
        <v>1714.55</v>
      </c>
    </row>
    <row r="27" customFormat="false" ht="15" hidden="false" customHeight="false" outlineLevel="0" collapsed="false">
      <c r="A27" s="16" t="s">
        <v>529</v>
      </c>
      <c r="B27" s="87" t="s">
        <v>530</v>
      </c>
      <c r="C27" s="17" t="s">
        <v>493</v>
      </c>
      <c r="D27" s="26" t="n">
        <f aca="false">SUM(Tiger:MahindraLog!D27)</f>
        <v>233.02</v>
      </c>
      <c r="E27" s="26" t="n">
        <f aca="false">SUM(Tiger:MahindraLog!E27)</f>
        <v>313.11</v>
      </c>
      <c r="F27" s="26" t="n">
        <f aca="false">SUM(Tiger:MahindraLog!F27)</f>
        <v>791.72</v>
      </c>
      <c r="G27" s="26" t="n">
        <f aca="false">SUM(Tiger:MahindraLog!G27)</f>
        <v>838.81</v>
      </c>
      <c r="H27" s="26" t="n">
        <f aca="false">SUM(Tiger:MahindraLog!H27)</f>
        <v>596.39</v>
      </c>
      <c r="I27" s="26" t="n">
        <f aca="false">SUM(Tiger:MahindraLog!I27)</f>
        <v>547.23</v>
      </c>
      <c r="J27" s="26" t="n">
        <f aca="false">SUM(Tiger:MahindraLog!J27)</f>
        <v>564.44</v>
      </c>
      <c r="K27" s="53" t="n">
        <f aca="false">AVERAGE(D27:J27)</f>
        <v>554.96</v>
      </c>
      <c r="L27" s="53" t="n">
        <f aca="false">J27-D27</f>
        <v>331.42</v>
      </c>
    </row>
    <row r="28" customFormat="false" ht="15" hidden="false" customHeight="false" outlineLevel="0" collapsed="false">
      <c r="A28" s="16" t="s">
        <v>531</v>
      </c>
      <c r="B28" s="87" t="s">
        <v>532</v>
      </c>
      <c r="C28" s="17" t="s">
        <v>493</v>
      </c>
      <c r="D28" s="69" t="n">
        <f aca="false">D26-D27</f>
        <v>678.690000000002</v>
      </c>
      <c r="E28" s="69" t="n">
        <f aca="false">E26-E27</f>
        <v>-302.739999999994</v>
      </c>
      <c r="F28" s="69" t="n">
        <f aca="false">F26-F27</f>
        <v>2497.22</v>
      </c>
      <c r="G28" s="69" t="n">
        <f aca="false">G26-G27</f>
        <v>1749.16</v>
      </c>
      <c r="H28" s="69" t="n">
        <f aca="false">H26-H27</f>
        <v>2012.21</v>
      </c>
      <c r="I28" s="69" t="n">
        <f aca="false">I26-I27</f>
        <v>2010.42</v>
      </c>
      <c r="J28" s="69" t="n">
        <f aca="false">J26-J27</f>
        <v>2061.82</v>
      </c>
      <c r="K28" s="53" t="n">
        <f aca="false">AVERAGE(D28:J28)</f>
        <v>1529.54</v>
      </c>
      <c r="L28" s="53" t="n">
        <f aca="false">J28-D28</f>
        <v>1383.13</v>
      </c>
    </row>
    <row r="29" customFormat="false" ht="15" hidden="false" customHeight="false" outlineLevel="0" collapsed="false">
      <c r="A29" s="16" t="s">
        <v>533</v>
      </c>
      <c r="B29" s="87" t="s">
        <v>534</v>
      </c>
      <c r="C29" s="17" t="s">
        <v>493</v>
      </c>
      <c r="D29" s="69" t="n">
        <f aca="false">D30-D28</f>
        <v>-12.290000000002</v>
      </c>
      <c r="E29" s="69" t="n">
        <f aca="false">E30-E28</f>
        <v>89.3099999999938</v>
      </c>
      <c r="F29" s="69" t="n">
        <f aca="false">F30-F28</f>
        <v>-39.8500000000022</v>
      </c>
      <c r="G29" s="69" t="n">
        <f aca="false">G30-G28</f>
        <v>-27.6400000000037</v>
      </c>
      <c r="H29" s="69" t="n">
        <f aca="false">H30-H28</f>
        <v>1.90000000000441</v>
      </c>
      <c r="I29" s="69" t="n">
        <f aca="false">I30-I28</f>
        <v>-12.4199999999996</v>
      </c>
      <c r="J29" s="69" t="n">
        <f aca="false">J30-J28</f>
        <v>-15.730000000003</v>
      </c>
      <c r="K29" s="53" t="n">
        <f aca="false">AVERAGE(D29:J29)</f>
        <v>-2.38857142857318</v>
      </c>
      <c r="L29" s="53" t="n">
        <f aca="false">J29-D29</f>
        <v>-3.44000000000096</v>
      </c>
    </row>
    <row r="30" customFormat="false" ht="15" hidden="false" customHeight="false" outlineLevel="0" collapsed="false">
      <c r="A30" s="16" t="s">
        <v>535</v>
      </c>
      <c r="B30" s="87" t="s">
        <v>536</v>
      </c>
      <c r="C30" s="17" t="s">
        <v>493</v>
      </c>
      <c r="D30" s="26" t="n">
        <f aca="false">SUM(Tiger:MahindraLog!D30)</f>
        <v>666.4</v>
      </c>
      <c r="E30" s="26" t="n">
        <f aca="false">SUM(Tiger:MahindraLog!E30)</f>
        <v>-213.43</v>
      </c>
      <c r="F30" s="26" t="n">
        <f aca="false">SUM(Tiger:MahindraLog!F30)</f>
        <v>2457.37</v>
      </c>
      <c r="G30" s="26" t="n">
        <f aca="false">SUM(Tiger:MahindraLog!G30)</f>
        <v>1721.52</v>
      </c>
      <c r="H30" s="26" t="n">
        <f aca="false">SUM(Tiger:MahindraLog!H30)</f>
        <v>2014.11</v>
      </c>
      <c r="I30" s="26" t="n">
        <f aca="false">SUM(Tiger:MahindraLog!I30)</f>
        <v>1998</v>
      </c>
      <c r="J30" s="26" t="n">
        <f aca="false">SUM(Tiger:MahindraLog!J30)</f>
        <v>2046.09</v>
      </c>
      <c r="K30" s="53" t="n">
        <f aca="false">AVERAGE(D30:J30)</f>
        <v>1527.15142857143</v>
      </c>
      <c r="L30" s="53" t="n">
        <f aca="false">J30-D30</f>
        <v>1379.69</v>
      </c>
    </row>
    <row r="31" customFormat="false" ht="15" hidden="false" customHeight="false" outlineLevel="0" collapsed="false">
      <c r="A31" s="16" t="s">
        <v>537</v>
      </c>
      <c r="B31" s="87" t="s">
        <v>538</v>
      </c>
      <c r="C31" s="17" t="s">
        <v>493</v>
      </c>
      <c r="D31" s="26" t="n">
        <f aca="false">SUM(Tiger:MahindraLog!D31)</f>
        <v>319.85</v>
      </c>
      <c r="E31" s="26" t="n">
        <f aca="false">SUM(Tiger:MahindraLog!E31)</f>
        <v>427.94</v>
      </c>
      <c r="F31" s="26" t="n">
        <f aca="false">SUM(Tiger:MahindraLog!F31)</f>
        <v>813.59</v>
      </c>
      <c r="G31" s="26" t="n">
        <f aca="false">SUM(Tiger:MahindraLog!G31)</f>
        <v>895.34</v>
      </c>
      <c r="H31" s="26" t="n">
        <f aca="false">SUM(Tiger:MahindraLog!H31)</f>
        <v>932.16</v>
      </c>
      <c r="I31" s="26" t="n">
        <f aca="false">SUM(Tiger:MahindraLog!I31)</f>
        <v>1156.5</v>
      </c>
      <c r="J31" s="26" t="n">
        <f aca="false">SUM(Tiger:MahindraLog!J31)</f>
        <v>817.33</v>
      </c>
      <c r="K31" s="53" t="n">
        <f aca="false">AVERAGE(D31:J31)</f>
        <v>766.101428571429</v>
      </c>
      <c r="L31" s="53" t="n">
        <f aca="false">J31-D31</f>
        <v>497.48</v>
      </c>
    </row>
    <row r="32" customFormat="false" ht="15" hidden="false" customHeight="false" outlineLevel="0" collapsed="false">
      <c r="A32" s="16" t="s">
        <v>539</v>
      </c>
      <c r="B32" s="87" t="s">
        <v>540</v>
      </c>
      <c r="C32" s="17" t="s">
        <v>493</v>
      </c>
      <c r="D32" s="26" t="n">
        <f aca="false">SUM(Tiger:MahindraLog!D32)</f>
        <v>0</v>
      </c>
      <c r="E32" s="26" t="n">
        <f aca="false">SUM(Tiger:MahindraLog!E32)</f>
        <v>0</v>
      </c>
      <c r="F32" s="26" t="n">
        <f aca="false">SUM(Tiger:MahindraLog!F32)</f>
        <v>0</v>
      </c>
      <c r="G32" s="26" t="n">
        <f aca="false">SUM(Tiger:MahindraLog!G32)</f>
        <v>0</v>
      </c>
      <c r="H32" s="26" t="n">
        <f aca="false">SUM(Tiger:MahindraLog!H32)</f>
        <v>0</v>
      </c>
      <c r="I32" s="26" t="n">
        <f aca="false">SUM(Tiger:MahindraLog!I32)</f>
        <v>0</v>
      </c>
      <c r="J32" s="26" t="n">
        <f aca="false">SUM(Tiger:MahindraLog!J32)</f>
        <v>0</v>
      </c>
      <c r="K32" s="53" t="n">
        <f aca="false">AVERAGE(D32:J32)</f>
        <v>0</v>
      </c>
      <c r="L32" s="53" t="n">
        <f aca="false">J32-D32</f>
        <v>0</v>
      </c>
    </row>
    <row r="34" customFormat="false" ht="19.5" hidden="false" customHeight="true" outlineLevel="0" collapsed="false">
      <c r="A34" s="85" t="s">
        <v>541</v>
      </c>
      <c r="B34" s="86"/>
      <c r="C34" s="86"/>
      <c r="D34" s="86"/>
      <c r="E34" s="86"/>
      <c r="F34" s="86"/>
      <c r="G34" s="86"/>
      <c r="H34" s="86"/>
      <c r="I34" s="86"/>
      <c r="J34" s="86"/>
      <c r="K34" s="86"/>
      <c r="L34" s="86"/>
    </row>
    <row r="35" customFormat="false" ht="16.5" hidden="false" customHeight="true" outlineLevel="0" collapsed="false">
      <c r="A35" s="88" t="s">
        <v>542</v>
      </c>
      <c r="B35" s="89"/>
      <c r="C35" s="89"/>
      <c r="D35" s="89"/>
      <c r="E35" s="89"/>
      <c r="F35" s="89"/>
      <c r="G35" s="89"/>
      <c r="H35" s="89"/>
      <c r="I35" s="89"/>
      <c r="J35" s="89"/>
      <c r="K35" s="89"/>
      <c r="L35" s="89"/>
    </row>
    <row r="36" customFormat="false" ht="15" hidden="false" customHeight="false" outlineLevel="0" collapsed="false">
      <c r="A36" s="16" t="s">
        <v>543</v>
      </c>
      <c r="B36" s="87" t="s">
        <v>544</v>
      </c>
      <c r="C36" s="17" t="s">
        <v>493</v>
      </c>
      <c r="D36" s="26" t="n">
        <f aca="false">SUM(Tiger:MahindraLog!D36)</f>
        <v>572.19</v>
      </c>
      <c r="E36" s="26" t="n">
        <f aca="false">SUM(Tiger:MahindraLog!E36)</f>
        <v>581.87</v>
      </c>
      <c r="F36" s="26" t="n">
        <f aca="false">SUM(Tiger:MahindraLog!F36)</f>
        <v>592.12</v>
      </c>
      <c r="G36" s="26" t="n">
        <f aca="false">SUM(Tiger:MahindraLog!G36)</f>
        <v>639.49</v>
      </c>
      <c r="H36" s="26" t="n">
        <f aca="false">SUM(Tiger:MahindraLog!H36)</f>
        <v>790.15</v>
      </c>
      <c r="I36" s="26" t="n">
        <f aca="false">SUM(Tiger:MahindraLog!I36)</f>
        <v>898.45</v>
      </c>
      <c r="J36" s="26" t="n">
        <f aca="false">SUM(Tiger:MahindraLog!J36)</f>
        <v>1016.26</v>
      </c>
      <c r="K36" s="53" t="n">
        <f aca="false">AVERAGE(D36:J36)</f>
        <v>727.218571428571</v>
      </c>
      <c r="L36" s="53" t="n">
        <f aca="false">J36-D36</f>
        <v>444.07</v>
      </c>
    </row>
    <row r="37" customFormat="false" ht="15" hidden="false" customHeight="false" outlineLevel="0" collapsed="false">
      <c r="A37" s="16" t="s">
        <v>545</v>
      </c>
      <c r="B37" s="87" t="s">
        <v>540</v>
      </c>
      <c r="C37" s="17" t="s">
        <v>493</v>
      </c>
      <c r="D37" s="26" t="n">
        <f aca="false">SUM(Tiger:MahindraLog!D37)</f>
        <v>0</v>
      </c>
      <c r="E37" s="26" t="n">
        <f aca="false">SUM(Tiger:MahindraLog!E37)</f>
        <v>0</v>
      </c>
      <c r="F37" s="26" t="n">
        <f aca="false">SUM(Tiger:MahindraLog!F37)</f>
        <v>0</v>
      </c>
      <c r="G37" s="26" t="n">
        <f aca="false">SUM(Tiger:MahindraLog!G37)</f>
        <v>0</v>
      </c>
      <c r="H37" s="26" t="n">
        <f aca="false">SUM(Tiger:MahindraLog!H37)</f>
        <v>0</v>
      </c>
      <c r="I37" s="26" t="n">
        <f aca="false">SUM(Tiger:MahindraLog!I37)</f>
        <v>0</v>
      </c>
      <c r="J37" s="26" t="n">
        <f aca="false">SUM(Tiger:MahindraLog!J37)</f>
        <v>0</v>
      </c>
      <c r="K37" s="53" t="n">
        <f aca="false">AVERAGE(D37:J37)</f>
        <v>0</v>
      </c>
      <c r="L37" s="53" t="n">
        <f aca="false">J37-D37</f>
        <v>0</v>
      </c>
    </row>
    <row r="38" customFormat="false" ht="15" hidden="false" customHeight="false" outlineLevel="0" collapsed="false">
      <c r="A38" s="16" t="s">
        <v>546</v>
      </c>
      <c r="B38" s="87" t="s">
        <v>547</v>
      </c>
      <c r="C38" s="17" t="s">
        <v>493</v>
      </c>
      <c r="D38" s="26" t="n">
        <f aca="false">SUM(Tiger:MahindraLog!D38)</f>
        <v>14384.92</v>
      </c>
      <c r="E38" s="26" t="n">
        <f aca="false">SUM(Tiger:MahindraLog!E38)</f>
        <v>13755.07</v>
      </c>
      <c r="F38" s="26" t="n">
        <f aca="false">SUM(Tiger:MahindraLog!F38)</f>
        <v>15491.23</v>
      </c>
      <c r="G38" s="26" t="n">
        <f aca="false">SUM(Tiger:MahindraLog!G38)</f>
        <v>17215.67</v>
      </c>
      <c r="H38" s="26" t="n">
        <f aca="false">SUM(Tiger:MahindraLog!H38)</f>
        <v>17795.56</v>
      </c>
      <c r="I38" s="26" t="n">
        <f aca="false">SUM(Tiger:MahindraLog!I38)</f>
        <v>16574.72</v>
      </c>
      <c r="J38" s="26" t="n">
        <f aca="false">SUM(Tiger:MahindraLog!J38)</f>
        <v>18565.38</v>
      </c>
      <c r="K38" s="53" t="n">
        <f aca="false">AVERAGE(D38:J38)</f>
        <v>16254.65</v>
      </c>
      <c r="L38" s="53" t="n">
        <f aca="false">J38-D38</f>
        <v>4180.46</v>
      </c>
    </row>
    <row r="39" customFormat="false" ht="15" hidden="false" customHeight="false" outlineLevel="0" collapsed="false">
      <c r="A39" s="12" t="s">
        <v>548</v>
      </c>
      <c r="B39" s="87" t="s">
        <v>549</v>
      </c>
      <c r="C39" s="17" t="s">
        <v>493</v>
      </c>
      <c r="D39" s="29" t="n">
        <f aca="false">D36+D38</f>
        <v>14957.11</v>
      </c>
      <c r="E39" s="29" t="n">
        <f aca="false">E36+E38</f>
        <v>14336.94</v>
      </c>
      <c r="F39" s="29" t="n">
        <f aca="false">F36+F38</f>
        <v>16083.35</v>
      </c>
      <c r="G39" s="29" t="n">
        <f aca="false">G36+G38</f>
        <v>17855.16</v>
      </c>
      <c r="H39" s="29" t="n">
        <f aca="false">H36+H38</f>
        <v>18585.71</v>
      </c>
      <c r="I39" s="29" t="n">
        <f aca="false">I36+I38</f>
        <v>17473.17</v>
      </c>
      <c r="J39" s="29" t="n">
        <f aca="false">J36+J38</f>
        <v>19581.64</v>
      </c>
      <c r="K39" s="29" t="n">
        <f aca="false">AVERAGE(D39:J39)</f>
        <v>16981.8685714286</v>
      </c>
      <c r="L39" s="29" t="n">
        <f aca="false">J39-D39</f>
        <v>4624.53</v>
      </c>
    </row>
    <row r="40" customFormat="false" ht="15" hidden="false" customHeight="false" outlineLevel="0" collapsed="false">
      <c r="A40" s="12" t="s">
        <v>550</v>
      </c>
      <c r="B40" s="87" t="s">
        <v>551</v>
      </c>
      <c r="C40" s="17" t="s">
        <v>493</v>
      </c>
      <c r="D40" s="29" t="n">
        <f aca="false">D39+D37</f>
        <v>14957.11</v>
      </c>
      <c r="E40" s="29" t="n">
        <f aca="false">E39+E37</f>
        <v>14336.94</v>
      </c>
      <c r="F40" s="29" t="n">
        <f aca="false">F39+F37</f>
        <v>16083.35</v>
      </c>
      <c r="G40" s="29" t="n">
        <f aca="false">G39+G37</f>
        <v>17855.16</v>
      </c>
      <c r="H40" s="29" t="n">
        <f aca="false">H39+H37</f>
        <v>18585.71</v>
      </c>
      <c r="I40" s="29" t="n">
        <f aca="false">I39+I37</f>
        <v>17473.17</v>
      </c>
      <c r="J40" s="29" t="n">
        <f aca="false">J39+J37</f>
        <v>19581.64</v>
      </c>
      <c r="K40" s="29" t="n">
        <f aca="false">AVERAGE(D40:J40)</f>
        <v>16981.8685714286</v>
      </c>
      <c r="L40" s="29" t="n">
        <f aca="false">J40-D40</f>
        <v>4624.53</v>
      </c>
    </row>
    <row r="41" customFormat="false" ht="15" hidden="false" customHeight="false" outlineLevel="0" collapsed="false">
      <c r="A41" s="16" t="s">
        <v>552</v>
      </c>
      <c r="B41" s="87" t="s">
        <v>553</v>
      </c>
      <c r="C41" s="17" t="s">
        <v>493</v>
      </c>
      <c r="D41" s="26" t="n">
        <f aca="false">SUM(Tiger:MahindraLog!D41)</f>
        <v>4286.14</v>
      </c>
      <c r="E41" s="26" t="n">
        <f aca="false">SUM(Tiger:MahindraLog!E41)</f>
        <v>6296.94</v>
      </c>
      <c r="F41" s="26" t="n">
        <f aca="false">SUM(Tiger:MahindraLog!F41)</f>
        <v>6525.54</v>
      </c>
      <c r="G41" s="26" t="n">
        <f aca="false">SUM(Tiger:MahindraLog!G41)</f>
        <v>4625.77</v>
      </c>
      <c r="H41" s="26" t="n">
        <f aca="false">SUM(Tiger:MahindraLog!H41)</f>
        <v>5436.73</v>
      </c>
      <c r="I41" s="26" t="n">
        <f aca="false">SUM(Tiger:MahindraLog!I41)</f>
        <v>4521.24</v>
      </c>
      <c r="J41" s="26" t="n">
        <f aca="false">SUM(Tiger:MahindraLog!J41)</f>
        <v>4417.77</v>
      </c>
      <c r="K41" s="53" t="n">
        <f aca="false">AVERAGE(D41:J41)</f>
        <v>5158.59</v>
      </c>
      <c r="L41" s="53" t="n">
        <f aca="false">J41-D41</f>
        <v>131.63</v>
      </c>
    </row>
    <row r="42" customFormat="false" ht="15" hidden="false" customHeight="false" outlineLevel="0" collapsed="false">
      <c r="A42" s="16" t="s">
        <v>554</v>
      </c>
      <c r="B42" s="87" t="s">
        <v>555</v>
      </c>
      <c r="C42" s="17" t="s">
        <v>493</v>
      </c>
      <c r="D42" s="26" t="n">
        <f aca="false">SUM(Tiger:MahindraLog!D42)</f>
        <v>6837</v>
      </c>
      <c r="E42" s="26" t="n">
        <f aca="false">SUM(Tiger:MahindraLog!E42)</f>
        <v>7598.37</v>
      </c>
      <c r="F42" s="26" t="n">
        <f aca="false">SUM(Tiger:MahindraLog!F42)</f>
        <v>8694.08</v>
      </c>
      <c r="G42" s="26" t="n">
        <f aca="false">SUM(Tiger:MahindraLog!G42)</f>
        <v>7435.06</v>
      </c>
      <c r="H42" s="26" t="n">
        <f aca="false">SUM(Tiger:MahindraLog!H42)</f>
        <v>7012.82</v>
      </c>
      <c r="I42" s="26" t="n">
        <f aca="false">SUM(Tiger:MahindraLog!I42)</f>
        <v>4919.58</v>
      </c>
      <c r="J42" s="26" t="n">
        <f aca="false">SUM(Tiger:MahindraLog!J42)</f>
        <v>5272.37</v>
      </c>
      <c r="K42" s="53" t="n">
        <f aca="false">AVERAGE(D42:J42)</f>
        <v>6824.18285714286</v>
      </c>
      <c r="L42" s="53" t="n">
        <f aca="false">J42-D42</f>
        <v>-1564.63</v>
      </c>
    </row>
    <row r="43" customFormat="false" ht="15" hidden="false" customHeight="false" outlineLevel="0" collapsed="false">
      <c r="A43" s="12" t="s">
        <v>556</v>
      </c>
      <c r="B43" s="87" t="s">
        <v>557</v>
      </c>
      <c r="C43" s="17" t="s">
        <v>493</v>
      </c>
      <c r="D43" s="90" t="n">
        <f aca="false">D40+D41+D42</f>
        <v>26080.25</v>
      </c>
      <c r="E43" s="90" t="n">
        <f aca="false">E40+E41+E42</f>
        <v>28232.25</v>
      </c>
      <c r="F43" s="90" t="n">
        <f aca="false">F40+F41+F42</f>
        <v>31302.97</v>
      </c>
      <c r="G43" s="90" t="n">
        <f aca="false">G40+G41+G42</f>
        <v>29915.99</v>
      </c>
      <c r="H43" s="90" t="n">
        <f aca="false">H40+H41+H42</f>
        <v>31035.26</v>
      </c>
      <c r="I43" s="90" t="n">
        <f aca="false">I40+I41+I42</f>
        <v>26913.99</v>
      </c>
      <c r="J43" s="90" t="n">
        <f aca="false">J40+J41+J42</f>
        <v>29271.78</v>
      </c>
      <c r="K43" s="91" t="n">
        <f aca="false">AVERAGE(D43:J43)</f>
        <v>28964.6414285714</v>
      </c>
      <c r="L43" s="91" t="n">
        <f aca="false">J43-D43</f>
        <v>3191.53</v>
      </c>
    </row>
    <row r="44" customFormat="false" ht="16.5" hidden="false" customHeight="true" outlineLevel="0" collapsed="false">
      <c r="A44" s="88" t="s">
        <v>558</v>
      </c>
      <c r="B44" s="89"/>
      <c r="C44" s="89"/>
      <c r="D44" s="89"/>
      <c r="E44" s="89"/>
      <c r="F44" s="89"/>
      <c r="G44" s="89"/>
      <c r="H44" s="89"/>
      <c r="I44" s="89"/>
      <c r="J44" s="89"/>
      <c r="K44" s="89"/>
      <c r="L44" s="89"/>
    </row>
    <row r="45" customFormat="false" ht="15" hidden="false" customHeight="false" outlineLevel="0" collapsed="false">
      <c r="A45" s="16" t="s">
        <v>559</v>
      </c>
      <c r="B45" s="87" t="s">
        <v>560</v>
      </c>
      <c r="C45" s="17" t="s">
        <v>493</v>
      </c>
      <c r="D45" s="26" t="n">
        <f aca="false">SUM(Tiger:MahindraLog!D45)</f>
        <v>11025.1</v>
      </c>
      <c r="E45" s="26" t="n">
        <f aca="false">SUM(Tiger:MahindraLog!E45)</f>
        <v>12530.25</v>
      </c>
      <c r="F45" s="26" t="n">
        <f aca="false">SUM(Tiger:MahindraLog!F45)</f>
        <v>12833.54</v>
      </c>
      <c r="G45" s="26" t="n">
        <f aca="false">SUM(Tiger:MahindraLog!G45)</f>
        <v>11529.2</v>
      </c>
      <c r="H45" s="26" t="n">
        <f aca="false">SUM(Tiger:MahindraLog!H45)</f>
        <v>13044.83</v>
      </c>
      <c r="I45" s="26" t="n">
        <f aca="false">SUM(Tiger:MahindraLog!I45)</f>
        <v>11757.54</v>
      </c>
      <c r="J45" s="26" t="n">
        <f aca="false">SUM(Tiger:MahindraLog!J45)</f>
        <v>12991.49</v>
      </c>
      <c r="K45" s="53" t="n">
        <f aca="false">AVERAGE(D45:J45)</f>
        <v>12244.5642857143</v>
      </c>
      <c r="L45" s="53" t="n">
        <f aca="false">J45-D45</f>
        <v>1966.39</v>
      </c>
    </row>
    <row r="46" customFormat="false" ht="15" hidden="false" customHeight="false" outlineLevel="0" collapsed="false">
      <c r="A46" s="16" t="s">
        <v>561</v>
      </c>
      <c r="B46" s="87" t="s">
        <v>562</v>
      </c>
      <c r="C46" s="17" t="s">
        <v>493</v>
      </c>
      <c r="D46" s="26" t="n">
        <f aca="false">SUM(Tiger:MahindraLog!D46)</f>
        <v>2554.61</v>
      </c>
      <c r="E46" s="26" t="n">
        <f aca="false">SUM(Tiger:MahindraLog!E46)</f>
        <v>1335.9</v>
      </c>
      <c r="F46" s="26" t="n">
        <f aca="false">SUM(Tiger:MahindraLog!F46)</f>
        <v>1257.08</v>
      </c>
      <c r="G46" s="26" t="n">
        <f aca="false">SUM(Tiger:MahindraLog!G46)</f>
        <v>1327.89</v>
      </c>
      <c r="H46" s="26" t="n">
        <f aca="false">SUM(Tiger:MahindraLog!H46)</f>
        <v>1148.78</v>
      </c>
      <c r="I46" s="26" t="n">
        <f aca="false">SUM(Tiger:MahindraLog!I46)</f>
        <v>1287.22</v>
      </c>
      <c r="J46" s="26" t="n">
        <f aca="false">SUM(Tiger:MahindraLog!J46)</f>
        <v>1307.85</v>
      </c>
      <c r="K46" s="53" t="n">
        <f aca="false">AVERAGE(D46:J46)</f>
        <v>1459.90428571429</v>
      </c>
      <c r="L46" s="53" t="n">
        <f aca="false">J46-D46</f>
        <v>-1246.76</v>
      </c>
    </row>
    <row r="47" customFormat="false" ht="15" hidden="false" customHeight="false" outlineLevel="0" collapsed="false">
      <c r="A47" s="16" t="s">
        <v>563</v>
      </c>
      <c r="B47" s="87" t="s">
        <v>564</v>
      </c>
      <c r="C47" s="17" t="s">
        <v>493</v>
      </c>
      <c r="D47" s="26" t="n">
        <f aca="false">SUM(Tiger:MahindraLog!D47)</f>
        <v>1864.33</v>
      </c>
      <c r="E47" s="26" t="n">
        <f aca="false">SUM(Tiger:MahindraLog!E47)</f>
        <v>1959.24</v>
      </c>
      <c r="F47" s="26" t="n">
        <f aca="false">SUM(Tiger:MahindraLog!F47)</f>
        <v>2303.76</v>
      </c>
      <c r="G47" s="26" t="n">
        <f aca="false">SUM(Tiger:MahindraLog!G47)</f>
        <v>2366.32</v>
      </c>
      <c r="H47" s="26" t="n">
        <f aca="false">SUM(Tiger:MahindraLog!H47)</f>
        <v>2226.1</v>
      </c>
      <c r="I47" s="26" t="n">
        <f aca="false">SUM(Tiger:MahindraLog!I47)</f>
        <v>1964.58</v>
      </c>
      <c r="J47" s="26" t="n">
        <f aca="false">SUM(Tiger:MahindraLog!J47)</f>
        <v>2128.65</v>
      </c>
      <c r="K47" s="53" t="n">
        <f aca="false">AVERAGE(D47:J47)</f>
        <v>2116.14</v>
      </c>
      <c r="L47" s="53" t="n">
        <f aca="false">J47-D47</f>
        <v>264.32</v>
      </c>
    </row>
    <row r="48" customFormat="false" ht="15" hidden="false" customHeight="false" outlineLevel="0" collapsed="false">
      <c r="A48" s="16" t="s">
        <v>565</v>
      </c>
      <c r="B48" s="87" t="s">
        <v>566</v>
      </c>
      <c r="C48" s="17" t="s">
        <v>493</v>
      </c>
      <c r="D48" s="26" t="n">
        <f aca="false">SUM(Tiger:MahindraLog!D48)</f>
        <v>10636.21</v>
      </c>
      <c r="E48" s="26" t="n">
        <f aca="false">SUM(Tiger:MahindraLog!E48)</f>
        <v>12406.86</v>
      </c>
      <c r="F48" s="26" t="n">
        <f aca="false">SUM(Tiger:MahindraLog!F48)</f>
        <v>14908.59</v>
      </c>
      <c r="G48" s="26" t="n">
        <f aca="false">SUM(Tiger:MahindraLog!G48)</f>
        <v>14692.58</v>
      </c>
      <c r="H48" s="26" t="n">
        <f aca="false">SUM(Tiger:MahindraLog!H48)</f>
        <v>14615.55</v>
      </c>
      <c r="I48" s="26" t="n">
        <f aca="false">SUM(Tiger:MahindraLog!I48)</f>
        <v>11904.65</v>
      </c>
      <c r="J48" s="26" t="n">
        <f aca="false">SUM(Tiger:MahindraLog!J48)</f>
        <v>12843.79</v>
      </c>
      <c r="K48" s="53" t="n">
        <f aca="false">AVERAGE(D48:J48)</f>
        <v>13144.0328571429</v>
      </c>
      <c r="L48" s="53" t="n">
        <f aca="false">J48-D48</f>
        <v>2207.58</v>
      </c>
    </row>
    <row r="49" customFormat="false" ht="15" hidden="false" customHeight="false" outlineLevel="0" collapsed="false">
      <c r="A49" s="12" t="s">
        <v>567</v>
      </c>
      <c r="B49" s="87" t="s">
        <v>568</v>
      </c>
      <c r="C49" s="17" t="s">
        <v>493</v>
      </c>
      <c r="D49" s="90" t="n">
        <f aca="false">D45+D46+D47+D48</f>
        <v>26080.25</v>
      </c>
      <c r="E49" s="90" t="n">
        <f aca="false">E45+E46+E47+E48</f>
        <v>28232.25</v>
      </c>
      <c r="F49" s="90" t="n">
        <f aca="false">F45+F46+F47+F48</f>
        <v>31302.97</v>
      </c>
      <c r="G49" s="90" t="n">
        <f aca="false">G45+G46+G47+G48</f>
        <v>29915.99</v>
      </c>
      <c r="H49" s="90" t="n">
        <f aca="false">H45+H46+H47+H48</f>
        <v>31035.26</v>
      </c>
      <c r="I49" s="90" t="n">
        <f aca="false">I45+I46+I47+I48</f>
        <v>26913.99</v>
      </c>
      <c r="J49" s="90" t="n">
        <f aca="false">J45+J46+J47+J48</f>
        <v>29271.78</v>
      </c>
      <c r="K49" s="91" t="n">
        <f aca="false">AVERAGE(D49:J49)</f>
        <v>28964.6414285714</v>
      </c>
      <c r="L49" s="91" t="n">
        <f aca="false">J49-D49</f>
        <v>3191.53</v>
      </c>
    </row>
    <row r="50" customFormat="false" ht="15" hidden="false" customHeight="false" outlineLevel="0" collapsed="false">
      <c r="A50" s="16" t="s">
        <v>569</v>
      </c>
      <c r="B50" s="87" t="s">
        <v>570</v>
      </c>
      <c r="C50" s="17" t="s">
        <v>493</v>
      </c>
      <c r="D50" s="26" t="n">
        <f aca="false">SUM(Tiger:MahindraLog!D50)</f>
        <v>3339.25</v>
      </c>
      <c r="E50" s="26" t="n">
        <f aca="false">SUM(Tiger:MahindraLog!E50)</f>
        <v>4255.22</v>
      </c>
      <c r="F50" s="26" t="n">
        <f aca="false">SUM(Tiger:MahindraLog!F50)</f>
        <v>5196.45</v>
      </c>
      <c r="G50" s="26" t="n">
        <f aca="false">SUM(Tiger:MahindraLog!G50)</f>
        <v>4382.35</v>
      </c>
      <c r="H50" s="26" t="n">
        <f aca="false">SUM(Tiger:MahindraLog!H50)</f>
        <v>4872.93</v>
      </c>
      <c r="I50" s="26" t="n">
        <f aca="false">SUM(Tiger:MahindraLog!I50)</f>
        <v>3289.56</v>
      </c>
      <c r="J50" s="26" t="n">
        <f aca="false">SUM(Tiger:MahindraLog!J50)</f>
        <v>3839.35</v>
      </c>
      <c r="K50" s="53" t="n">
        <f aca="false">AVERAGE(D50:J50)</f>
        <v>4167.87285714286</v>
      </c>
      <c r="L50" s="53" t="n">
        <f aca="false">J50-D50</f>
        <v>500.1</v>
      </c>
    </row>
    <row r="51" customFormat="false" ht="15" hidden="false" customHeight="false" outlineLevel="0" collapsed="false">
      <c r="A51" s="16" t="s">
        <v>571</v>
      </c>
      <c r="B51" s="87" t="s">
        <v>570</v>
      </c>
      <c r="C51" s="17" t="s">
        <v>493</v>
      </c>
      <c r="D51" s="26" t="n">
        <f aca="false">SUM(Tiger:MahindraLog!D51)</f>
        <v>87.75</v>
      </c>
      <c r="E51" s="26" t="n">
        <f aca="false">SUM(Tiger:MahindraLog!E51)</f>
        <v>93.07</v>
      </c>
      <c r="F51" s="26" t="n">
        <f aca="false">SUM(Tiger:MahindraLog!F51)</f>
        <v>99.41</v>
      </c>
      <c r="G51" s="26" t="n">
        <f aca="false">SUM(Tiger:MahindraLog!G51)</f>
        <v>87.18</v>
      </c>
      <c r="H51" s="26" t="n">
        <f aca="false">SUM(Tiger:MahindraLog!H51)</f>
        <v>117.85</v>
      </c>
      <c r="I51" s="26" t="n">
        <f aca="false">SUM(Tiger:MahindraLog!I51)</f>
        <v>110.31</v>
      </c>
      <c r="J51" s="26" t="n">
        <f aca="false">SUM(Tiger:MahindraLog!J51)</f>
        <v>123.15</v>
      </c>
      <c r="K51" s="53" t="n">
        <f aca="false">AVERAGE(D51:J51)</f>
        <v>102.674285714286</v>
      </c>
      <c r="L51" s="53" t="n">
        <f aca="false">J51-D51</f>
        <v>35.4</v>
      </c>
    </row>
    <row r="52" customFormat="false" ht="15" hidden="false" customHeight="false" outlineLevel="0" collapsed="false">
      <c r="A52" s="16" t="s">
        <v>572</v>
      </c>
      <c r="B52" s="87" t="s">
        <v>570</v>
      </c>
      <c r="C52" s="17" t="s">
        <v>493</v>
      </c>
      <c r="D52" s="26" t="n">
        <f aca="false">SUM(Tiger:MahindraLog!D52)</f>
        <v>3080.69</v>
      </c>
      <c r="E52" s="26" t="n">
        <f aca="false">SUM(Tiger:MahindraLog!E52)</f>
        <v>3525.54</v>
      </c>
      <c r="F52" s="26" t="n">
        <f aca="false">SUM(Tiger:MahindraLog!F52)</f>
        <v>4105.93</v>
      </c>
      <c r="G52" s="26" t="n">
        <f aca="false">SUM(Tiger:MahindraLog!G52)</f>
        <v>4991.45</v>
      </c>
      <c r="H52" s="26" t="n">
        <f aca="false">SUM(Tiger:MahindraLog!H52)</f>
        <v>4399.04</v>
      </c>
      <c r="I52" s="26" t="n">
        <f aca="false">SUM(Tiger:MahindraLog!I52)</f>
        <v>4334.65</v>
      </c>
      <c r="J52" s="26" t="n">
        <f aca="false">SUM(Tiger:MahindraLog!J52)</f>
        <v>4325.41</v>
      </c>
      <c r="K52" s="53" t="n">
        <f aca="false">AVERAGE(D52:J52)</f>
        <v>4108.95857142857</v>
      </c>
      <c r="L52" s="53" t="n">
        <f aca="false">J52-D52</f>
        <v>1244.72</v>
      </c>
    </row>
    <row r="53" customFormat="false" ht="15" hidden="false" customHeight="false" outlineLevel="0" collapsed="false">
      <c r="A53" s="16" t="s">
        <v>573</v>
      </c>
      <c r="B53" s="87" t="s">
        <v>574</v>
      </c>
      <c r="C53" s="17" t="s">
        <v>493</v>
      </c>
      <c r="D53" s="92" t="n">
        <f aca="false">D49-D43</f>
        <v>0</v>
      </c>
      <c r="E53" s="92" t="n">
        <f aca="false">E49-E43</f>
        <v>0</v>
      </c>
      <c r="F53" s="92" t="n">
        <f aca="false">F49-F43</f>
        <v>0</v>
      </c>
      <c r="G53" s="92" t="n">
        <f aca="false">G49-G43</f>
        <v>0</v>
      </c>
      <c r="H53" s="92" t="n">
        <f aca="false">H49-H43</f>
        <v>0</v>
      </c>
      <c r="I53" s="92" t="n">
        <f aca="false">I49-I43</f>
        <v>0</v>
      </c>
      <c r="J53" s="92" t="n">
        <f aca="false">J49-J43</f>
        <v>0</v>
      </c>
      <c r="K53" s="53"/>
      <c r="L53" s="53"/>
    </row>
    <row r="55" customFormat="false" ht="19.5" hidden="false" customHeight="true" outlineLevel="0" collapsed="false">
      <c r="A55" s="85" t="s">
        <v>575</v>
      </c>
      <c r="B55" s="86"/>
      <c r="C55" s="86"/>
      <c r="D55" s="86"/>
      <c r="E55" s="86"/>
      <c r="F55" s="86"/>
      <c r="G55" s="86"/>
      <c r="H55" s="86"/>
      <c r="I55" s="86"/>
      <c r="J55" s="86"/>
      <c r="K55" s="86"/>
      <c r="L55" s="86"/>
    </row>
    <row r="56" customFormat="false" ht="16.5" hidden="false" customHeight="true" outlineLevel="0" collapsed="false">
      <c r="A56" s="88" t="s">
        <v>576</v>
      </c>
      <c r="B56" s="89"/>
      <c r="C56" s="89"/>
      <c r="D56" s="89"/>
      <c r="E56" s="89"/>
      <c r="F56" s="89"/>
      <c r="G56" s="89"/>
      <c r="H56" s="89"/>
      <c r="I56" s="89"/>
      <c r="J56" s="89"/>
      <c r="K56" s="89"/>
      <c r="L56" s="89"/>
    </row>
    <row r="57" customFormat="false" ht="15" hidden="false" customHeight="false" outlineLevel="0" collapsed="false">
      <c r="A57" s="16" t="s">
        <v>527</v>
      </c>
      <c r="B57" s="87" t="s">
        <v>577</v>
      </c>
      <c r="C57" s="17" t="s">
        <v>493</v>
      </c>
      <c r="D57" s="69" t="n">
        <f aca="false">D26</f>
        <v>911.710000000002</v>
      </c>
      <c r="E57" s="69" t="n">
        <f aca="false">E26</f>
        <v>10.3700000000062</v>
      </c>
      <c r="F57" s="69" t="n">
        <f aca="false">F26</f>
        <v>3288.94</v>
      </c>
      <c r="G57" s="69" t="n">
        <f aca="false">G26</f>
        <v>2587.97</v>
      </c>
      <c r="H57" s="69" t="n">
        <f aca="false">H26</f>
        <v>2608.6</v>
      </c>
      <c r="I57" s="69" t="n">
        <f aca="false">I26</f>
        <v>2557.65</v>
      </c>
      <c r="J57" s="69" t="n">
        <f aca="false">J26</f>
        <v>2626.26</v>
      </c>
      <c r="K57" s="53" t="n">
        <f aca="false">AVERAGE(D57:J57)</f>
        <v>2084.5</v>
      </c>
      <c r="L57" s="53" t="n">
        <f aca="false">J57-D57</f>
        <v>1714.55</v>
      </c>
    </row>
    <row r="58" customFormat="false" ht="15" hidden="false" customHeight="false" outlineLevel="0" collapsed="false">
      <c r="A58" s="16" t="s">
        <v>578</v>
      </c>
      <c r="B58" s="87" t="s">
        <v>579</v>
      </c>
      <c r="C58" s="17" t="s">
        <v>493</v>
      </c>
      <c r="D58" s="69" t="n">
        <f aca="false">D22</f>
        <v>1374.04</v>
      </c>
      <c r="E58" s="69" t="n">
        <f aca="false">E22</f>
        <v>1560.39</v>
      </c>
      <c r="F58" s="69" t="n">
        <f aca="false">F22</f>
        <v>1530.3</v>
      </c>
      <c r="G58" s="69" t="n">
        <f aca="false">G22</f>
        <v>1621.95</v>
      </c>
      <c r="H58" s="69" t="n">
        <f aca="false">H22</f>
        <v>1847.45</v>
      </c>
      <c r="I58" s="69" t="n">
        <f aca="false">I22</f>
        <v>1640.43</v>
      </c>
      <c r="J58" s="69" t="n">
        <f aca="false">J22</f>
        <v>1811.88</v>
      </c>
      <c r="K58" s="53" t="n">
        <f aca="false">AVERAGE(D58:J58)</f>
        <v>1626.63428571429</v>
      </c>
      <c r="L58" s="53" t="n">
        <f aca="false">J58-D58</f>
        <v>437.84</v>
      </c>
    </row>
    <row r="59" customFormat="false" ht="15" hidden="false" customHeight="false" outlineLevel="0" collapsed="false">
      <c r="A59" s="16" t="s">
        <v>580</v>
      </c>
      <c r="B59" s="87" t="s">
        <v>581</v>
      </c>
      <c r="C59" s="17" t="s">
        <v>493</v>
      </c>
      <c r="D59" s="69" t="n">
        <f aca="false">D25</f>
        <v>365.41</v>
      </c>
      <c r="E59" s="69" t="n">
        <f aca="false">E25</f>
        <v>501.23</v>
      </c>
      <c r="F59" s="69" t="n">
        <f aca="false">F25</f>
        <v>325.03</v>
      </c>
      <c r="G59" s="69" t="n">
        <f aca="false">G25</f>
        <v>312.42</v>
      </c>
      <c r="H59" s="69" t="n">
        <f aca="false">H25</f>
        <v>424.19</v>
      </c>
      <c r="I59" s="69" t="n">
        <f aca="false">I25</f>
        <v>391.38</v>
      </c>
      <c r="J59" s="69" t="n">
        <f aca="false">J25</f>
        <v>412.78</v>
      </c>
      <c r="K59" s="53" t="n">
        <f aca="false">AVERAGE(D59:J59)</f>
        <v>390.348571428571</v>
      </c>
      <c r="L59" s="53" t="n">
        <f aca="false">J59-D59</f>
        <v>47.37</v>
      </c>
    </row>
    <row r="60" customFormat="false" ht="15" hidden="false" customHeight="false" outlineLevel="0" collapsed="false">
      <c r="A60" s="16" t="s">
        <v>582</v>
      </c>
      <c r="B60" s="87" t="s">
        <v>583</v>
      </c>
      <c r="C60" s="17" t="s">
        <v>493</v>
      </c>
      <c r="D60" s="69" t="n">
        <f aca="false">-D24</f>
        <v>415.51</v>
      </c>
      <c r="E60" s="69" t="n">
        <f aca="false">-E24</f>
        <v>705.13</v>
      </c>
      <c r="F60" s="69" t="n">
        <f aca="false">-F24</f>
        <v>-484.72</v>
      </c>
      <c r="G60" s="69" t="n">
        <f aca="false">-G24</f>
        <v>200.64</v>
      </c>
      <c r="H60" s="69" t="n">
        <f aca="false">-H24</f>
        <v>-889.55</v>
      </c>
      <c r="I60" s="69" t="n">
        <f aca="false">-I24</f>
        <v>-749.23</v>
      </c>
      <c r="J60" s="69" t="n">
        <f aca="false">-J24</f>
        <v>-676.12</v>
      </c>
      <c r="K60" s="53" t="n">
        <f aca="false">AVERAGE(D60:J60)</f>
        <v>-211.191428571429</v>
      </c>
      <c r="L60" s="53" t="n">
        <f aca="false">J60-D60</f>
        <v>-1091.63</v>
      </c>
    </row>
    <row r="61" customFormat="false" ht="15" hidden="false" customHeight="false" outlineLevel="0" collapsed="false">
      <c r="A61" s="12" t="s">
        <v>584</v>
      </c>
      <c r="B61" s="87" t="s">
        <v>585</v>
      </c>
      <c r="C61" s="17" t="s">
        <v>493</v>
      </c>
      <c r="D61" s="29" t="n">
        <f aca="false">D57+D58+D59+D60</f>
        <v>3066.67</v>
      </c>
      <c r="E61" s="29" t="n">
        <f aca="false">E57+E58+E59+E60</f>
        <v>2777.12000000001</v>
      </c>
      <c r="F61" s="29" t="n">
        <f aca="false">F57+F58+F59+F60</f>
        <v>4659.55</v>
      </c>
      <c r="G61" s="29" t="n">
        <f aca="false">G57+G58+G59+G60</f>
        <v>4722.98</v>
      </c>
      <c r="H61" s="29" t="n">
        <f aca="false">H57+H58+H59+H60</f>
        <v>3990.69</v>
      </c>
      <c r="I61" s="29" t="n">
        <f aca="false">I57+I58+I59+I60</f>
        <v>3840.23</v>
      </c>
      <c r="J61" s="29" t="n">
        <f aca="false">J57+J58+J59+J60</f>
        <v>4174.8</v>
      </c>
      <c r="K61" s="29" t="n">
        <f aca="false">AVERAGE(D61:J61)</f>
        <v>3890.29142857143</v>
      </c>
      <c r="L61" s="29" t="n">
        <f aca="false">J61-D61</f>
        <v>1108.13</v>
      </c>
    </row>
    <row r="62" customFormat="false" ht="15" hidden="false" customHeight="false" outlineLevel="0" collapsed="false">
      <c r="A62" s="16" t="s">
        <v>586</v>
      </c>
      <c r="B62" s="87" t="s">
        <v>587</v>
      </c>
      <c r="C62" s="17" t="s">
        <v>493</v>
      </c>
      <c r="D62" s="69" t="n">
        <f aca="false">D63-D61</f>
        <v>2527.24</v>
      </c>
      <c r="E62" s="69" t="n">
        <f aca="false">E63-E61</f>
        <v>135.499999999994</v>
      </c>
      <c r="F62" s="69" t="n">
        <f aca="false">F63-F61</f>
        <v>-905.040000000002</v>
      </c>
      <c r="G62" s="69" t="n">
        <f aca="false">G63-G61</f>
        <v>-547.330000000005</v>
      </c>
      <c r="H62" s="69" t="n">
        <f aca="false">H63-H61</f>
        <v>-1354.31999999999</v>
      </c>
      <c r="I62" s="69" t="n">
        <f aca="false">I63-I61</f>
        <v>-401.69</v>
      </c>
      <c r="J62" s="69" t="n">
        <f aca="false">J63-J61</f>
        <v>-834.370000000003</v>
      </c>
      <c r="K62" s="53" t="n">
        <f aca="false">AVERAGE(D62:J62)</f>
        <v>-197.144285714287</v>
      </c>
      <c r="L62" s="53" t="n">
        <f aca="false">J62-D62</f>
        <v>-3361.61</v>
      </c>
    </row>
    <row r="63" customFormat="false" ht="15" hidden="false" customHeight="false" outlineLevel="0" collapsed="false">
      <c r="A63" s="16" t="s">
        <v>588</v>
      </c>
      <c r="B63" s="87" t="s">
        <v>589</v>
      </c>
      <c r="C63" s="17" t="s">
        <v>493</v>
      </c>
      <c r="D63" s="26" t="n">
        <f aca="false">SUM(Tiger:MahindraLog!D63)</f>
        <v>5593.91</v>
      </c>
      <c r="E63" s="26" t="n">
        <f aca="false">SUM(Tiger:MahindraLog!E63)</f>
        <v>2912.62</v>
      </c>
      <c r="F63" s="26" t="n">
        <f aca="false">SUM(Tiger:MahindraLog!F63)</f>
        <v>3754.51</v>
      </c>
      <c r="G63" s="26" t="n">
        <f aca="false">SUM(Tiger:MahindraLog!G63)</f>
        <v>4175.65</v>
      </c>
      <c r="H63" s="26" t="n">
        <f aca="false">SUM(Tiger:MahindraLog!H63)</f>
        <v>2636.37</v>
      </c>
      <c r="I63" s="26" t="n">
        <f aca="false">SUM(Tiger:MahindraLog!I63)</f>
        <v>3438.54</v>
      </c>
      <c r="J63" s="26" t="n">
        <f aca="false">SUM(Tiger:MahindraLog!J63)</f>
        <v>3340.43</v>
      </c>
      <c r="K63" s="53" t="n">
        <f aca="false">AVERAGE(D63:J63)</f>
        <v>3693.14714285714</v>
      </c>
      <c r="L63" s="53" t="n">
        <f aca="false">J63-D63</f>
        <v>-2253.48</v>
      </c>
    </row>
    <row r="64" customFormat="false" ht="16.5" hidden="false" customHeight="true" outlineLevel="0" collapsed="false">
      <c r="A64" s="88" t="s">
        <v>590</v>
      </c>
      <c r="B64" s="89"/>
      <c r="C64" s="89"/>
      <c r="D64" s="89"/>
      <c r="E64" s="89"/>
      <c r="F64" s="89"/>
      <c r="G64" s="89"/>
      <c r="H64" s="89"/>
      <c r="I64" s="89"/>
      <c r="J64" s="89"/>
      <c r="K64" s="89"/>
      <c r="L64" s="89"/>
    </row>
    <row r="65" customFormat="false" ht="15" hidden="false" customHeight="false" outlineLevel="0" collapsed="false">
      <c r="A65" s="16" t="s">
        <v>591</v>
      </c>
      <c r="B65" s="87" t="s">
        <v>592</v>
      </c>
      <c r="C65" s="17" t="s">
        <v>493</v>
      </c>
      <c r="D65" s="26" t="n">
        <f aca="false">SUM(Tiger:MahindraLog!D65)</f>
        <v>-4377.39</v>
      </c>
      <c r="E65" s="26" t="n">
        <f aca="false">SUM(Tiger:MahindraLog!E65)</f>
        <v>-692.62</v>
      </c>
      <c r="F65" s="26" t="n">
        <f aca="false">SUM(Tiger:MahindraLog!F65)</f>
        <v>-1900.07</v>
      </c>
      <c r="G65" s="26" t="n">
        <f aca="false">SUM(Tiger:MahindraLog!G65)</f>
        <v>-1923.15</v>
      </c>
      <c r="H65" s="26" t="n">
        <f aca="false">SUM(Tiger:MahindraLog!H65)</f>
        <v>-1854.84</v>
      </c>
      <c r="I65" s="26" t="n">
        <f aca="false">SUM(Tiger:MahindraLog!I65)</f>
        <v>-1093.56</v>
      </c>
      <c r="J65" s="26" t="n">
        <f aca="false">SUM(Tiger:MahindraLog!J65)</f>
        <v>-1145.27</v>
      </c>
      <c r="K65" s="53" t="n">
        <f aca="false">AVERAGE(D65:J65)</f>
        <v>-1855.27142857143</v>
      </c>
      <c r="L65" s="53" t="n">
        <f aca="false">J65-D65</f>
        <v>3232.12</v>
      </c>
    </row>
    <row r="66" customFormat="false" ht="16.5" hidden="false" customHeight="true" outlineLevel="0" collapsed="false">
      <c r="A66" s="88" t="s">
        <v>593</v>
      </c>
      <c r="B66" s="89"/>
      <c r="C66" s="89"/>
      <c r="D66" s="89"/>
      <c r="E66" s="89"/>
      <c r="F66" s="89"/>
      <c r="G66" s="89"/>
      <c r="H66" s="89"/>
      <c r="I66" s="89"/>
      <c r="J66" s="89"/>
      <c r="K66" s="89"/>
      <c r="L66" s="89"/>
    </row>
    <row r="67" customFormat="false" ht="15" hidden="false" customHeight="false" outlineLevel="0" collapsed="false">
      <c r="A67" s="16" t="s">
        <v>594</v>
      </c>
      <c r="B67" s="87" t="s">
        <v>595</v>
      </c>
      <c r="C67" s="17" t="s">
        <v>493</v>
      </c>
      <c r="D67" s="69" t="n">
        <f aca="false">-D25</f>
        <v>-365.41</v>
      </c>
      <c r="E67" s="69" t="n">
        <f aca="false">-E25</f>
        <v>-501.23</v>
      </c>
      <c r="F67" s="69" t="n">
        <f aca="false">-F25</f>
        <v>-325.03</v>
      </c>
      <c r="G67" s="69" t="n">
        <f aca="false">-G25</f>
        <v>-312.42</v>
      </c>
      <c r="H67" s="69" t="n">
        <f aca="false">-H25</f>
        <v>-424.19</v>
      </c>
      <c r="I67" s="69" t="n">
        <f aca="false">-I25</f>
        <v>-391.38</v>
      </c>
      <c r="J67" s="69" t="n">
        <f aca="false">-J25</f>
        <v>-412.78</v>
      </c>
      <c r="K67" s="53" t="n">
        <f aca="false">AVERAGE(D67:J67)</f>
        <v>-390.348571428571</v>
      </c>
      <c r="L67" s="53" t="n">
        <f aca="false">J67-D67</f>
        <v>-47.37</v>
      </c>
    </row>
    <row r="68" customFormat="false" ht="15" hidden="false" customHeight="false" outlineLevel="0" collapsed="false">
      <c r="A68" s="16" t="s">
        <v>596</v>
      </c>
      <c r="B68" s="87" t="s">
        <v>597</v>
      </c>
      <c r="C68" s="17" t="s">
        <v>493</v>
      </c>
      <c r="D68" s="69" t="n">
        <f aca="false">-D31</f>
        <v>-319.85</v>
      </c>
      <c r="E68" s="69" t="n">
        <f aca="false">-E31</f>
        <v>-427.94</v>
      </c>
      <c r="F68" s="69" t="n">
        <f aca="false">-F31</f>
        <v>-813.59</v>
      </c>
      <c r="G68" s="69" t="n">
        <f aca="false">-G31</f>
        <v>-895.34</v>
      </c>
      <c r="H68" s="69" t="n">
        <f aca="false">-H31</f>
        <v>-932.16</v>
      </c>
      <c r="I68" s="69" t="n">
        <f aca="false">-I31</f>
        <v>-1156.5</v>
      </c>
      <c r="J68" s="69" t="n">
        <f aca="false">-J31</f>
        <v>-817.33</v>
      </c>
      <c r="K68" s="53" t="n">
        <f aca="false">AVERAGE(D68:J68)</f>
        <v>-766.101428571429</v>
      </c>
      <c r="L68" s="53" t="n">
        <f aca="false">J68-D68</f>
        <v>-497.48</v>
      </c>
    </row>
    <row r="69" customFormat="false" ht="15" hidden="false" customHeight="false" outlineLevel="0" collapsed="false">
      <c r="A69" s="16" t="s">
        <v>598</v>
      </c>
      <c r="B69" s="87" t="s">
        <v>599</v>
      </c>
      <c r="C69" s="17" t="s">
        <v>493</v>
      </c>
      <c r="D69" s="69" t="n">
        <f aca="false">D70-D67-D68</f>
        <v>-642.81</v>
      </c>
      <c r="E69" s="69" t="n">
        <f aca="false">E70-E67-E68</f>
        <v>-462.9</v>
      </c>
      <c r="F69" s="69" t="n">
        <f aca="false">F70-F67-F68</f>
        <v>-657.22</v>
      </c>
      <c r="G69" s="69" t="n">
        <f aca="false">G70-G67-G68</f>
        <v>-636.32</v>
      </c>
      <c r="H69" s="69" t="n">
        <f aca="false">H70-H67-H68</f>
        <v>-179.34</v>
      </c>
      <c r="I69" s="69" t="n">
        <f aca="false">I70-I67-I68</f>
        <v>-670.33</v>
      </c>
      <c r="J69" s="69" t="n">
        <f aca="false">J70-J67-J68</f>
        <v>-532.21</v>
      </c>
      <c r="K69" s="53" t="n">
        <f aca="false">AVERAGE(D69:J69)</f>
        <v>-540.161428571429</v>
      </c>
      <c r="L69" s="53" t="n">
        <f aca="false">J69-D69</f>
        <v>110.6</v>
      </c>
    </row>
    <row r="70" customFormat="false" ht="15" hidden="false" customHeight="false" outlineLevel="0" collapsed="false">
      <c r="A70" s="16" t="s">
        <v>600</v>
      </c>
      <c r="B70" s="87" t="s">
        <v>601</v>
      </c>
      <c r="C70" s="17" t="s">
        <v>493</v>
      </c>
      <c r="D70" s="26" t="n">
        <f aca="false">SUM(Tiger:MahindraLog!D70)</f>
        <v>-1328.07</v>
      </c>
      <c r="E70" s="26" t="n">
        <f aca="false">SUM(Tiger:MahindraLog!E70)</f>
        <v>-1392.07</v>
      </c>
      <c r="F70" s="26" t="n">
        <f aca="false">SUM(Tiger:MahindraLog!F70)</f>
        <v>-1795.84</v>
      </c>
      <c r="G70" s="26" t="n">
        <f aca="false">SUM(Tiger:MahindraLog!G70)</f>
        <v>-1844.08</v>
      </c>
      <c r="H70" s="26" t="n">
        <f aca="false">SUM(Tiger:MahindraLog!H70)</f>
        <v>-1535.69</v>
      </c>
      <c r="I70" s="26" t="n">
        <f aca="false">SUM(Tiger:MahindraLog!I70)</f>
        <v>-2218.21</v>
      </c>
      <c r="J70" s="26" t="n">
        <f aca="false">SUM(Tiger:MahindraLog!J70)</f>
        <v>-1762.32</v>
      </c>
      <c r="K70" s="53" t="n">
        <f aca="false">AVERAGE(D70:J70)</f>
        <v>-1696.61142857143</v>
      </c>
      <c r="L70" s="53" t="n">
        <f aca="false">J70-D70</f>
        <v>-434.25</v>
      </c>
    </row>
    <row r="71" customFormat="false" ht="15" hidden="false" customHeight="false" outlineLevel="0" collapsed="false">
      <c r="A71" s="12" t="s">
        <v>602</v>
      </c>
      <c r="B71" s="87" t="s">
        <v>603</v>
      </c>
      <c r="C71" s="17" t="s">
        <v>493</v>
      </c>
      <c r="D71" s="90" t="n">
        <f aca="false">D63+D65+D70</f>
        <v>-111.549999999999</v>
      </c>
      <c r="E71" s="90" t="n">
        <f aca="false">E63+E65+E70</f>
        <v>827.93</v>
      </c>
      <c r="F71" s="90" t="n">
        <f aca="false">F63+F65+F70</f>
        <v>58.6000000000004</v>
      </c>
      <c r="G71" s="90" t="n">
        <f aca="false">G63+G65+G70</f>
        <v>408.42</v>
      </c>
      <c r="H71" s="90" t="n">
        <f aca="false">H63+H65+H70</f>
        <v>-754.16</v>
      </c>
      <c r="I71" s="90" t="n">
        <f aca="false">I63+I65+I70</f>
        <v>126.77</v>
      </c>
      <c r="J71" s="90" t="n">
        <f aca="false">J63+J65+J70</f>
        <v>432.84</v>
      </c>
      <c r="K71" s="91" t="n">
        <f aca="false">AVERAGE(D71:J71)</f>
        <v>141.264285714286</v>
      </c>
      <c r="L71" s="91" t="n">
        <f aca="false">J71-D71</f>
        <v>544.389999999999</v>
      </c>
    </row>
    <row r="72" customFormat="false" ht="15" hidden="false" customHeight="false" outlineLevel="0" collapsed="false">
      <c r="A72" s="12" t="s">
        <v>604</v>
      </c>
      <c r="B72" s="87" t="s">
        <v>605</v>
      </c>
      <c r="C72" s="17" t="s">
        <v>493</v>
      </c>
      <c r="D72" s="29" t="n">
        <f aca="false">D63+D65</f>
        <v>1216.52</v>
      </c>
      <c r="E72" s="29" t="n">
        <f aca="false">E63+E65</f>
        <v>2220</v>
      </c>
      <c r="F72" s="29" t="n">
        <f aca="false">F63+F65</f>
        <v>1854.44</v>
      </c>
      <c r="G72" s="29" t="n">
        <f aca="false">G63+G65</f>
        <v>2252.5</v>
      </c>
      <c r="H72" s="29" t="n">
        <f aca="false">H63+H65</f>
        <v>781.53</v>
      </c>
      <c r="I72" s="29" t="n">
        <f aca="false">I63+I65</f>
        <v>2344.98</v>
      </c>
      <c r="J72" s="29" t="n">
        <f aca="false">J63+J65</f>
        <v>2195.16</v>
      </c>
      <c r="K72" s="29" t="n">
        <f aca="false">AVERAGE(D72:J72)</f>
        <v>1837.87571428571</v>
      </c>
      <c r="L72" s="29" t="n">
        <f aca="false">J72-D72</f>
        <v>978.639999999999</v>
      </c>
    </row>
    <row r="73" customFormat="false" ht="15" hidden="false" customHeight="false" outlineLevel="0" collapsed="false">
      <c r="A73" s="16" t="s">
        <v>606</v>
      </c>
      <c r="B73" s="87" t="s">
        <v>607</v>
      </c>
      <c r="C73" s="17" t="s">
        <v>493</v>
      </c>
      <c r="D73" s="69" t="n">
        <f aca="false">D52</f>
        <v>3080.69</v>
      </c>
      <c r="E73" s="69" t="n">
        <f aca="false">E52</f>
        <v>3525.54</v>
      </c>
      <c r="F73" s="69" t="n">
        <f aca="false">F52</f>
        <v>4105.93</v>
      </c>
      <c r="G73" s="69" t="n">
        <f aca="false">G52</f>
        <v>4991.45</v>
      </c>
      <c r="H73" s="69" t="n">
        <f aca="false">H52</f>
        <v>4399.04</v>
      </c>
      <c r="I73" s="69" t="n">
        <f aca="false">I52</f>
        <v>4334.65</v>
      </c>
      <c r="J73" s="69" t="n">
        <f aca="false">J52</f>
        <v>4325.41</v>
      </c>
      <c r="K73" s="53" t="n">
        <f aca="false">AVERAGE(D73:J73)</f>
        <v>4108.95857142857</v>
      </c>
      <c r="L73" s="53" t="n">
        <f aca="false">J73-D73</f>
        <v>1244.72</v>
      </c>
    </row>
    <row r="74" customFormat="false" ht="16.5" hidden="false" customHeight="true" outlineLevel="0" collapsed="false">
      <c r="A74" s="88" t="s">
        <v>608</v>
      </c>
      <c r="B74" s="89"/>
      <c r="C74" s="89"/>
      <c r="D74" s="89"/>
      <c r="E74" s="89"/>
      <c r="F74" s="89"/>
      <c r="G74" s="89"/>
      <c r="H74" s="89"/>
      <c r="I74" s="89"/>
      <c r="J74" s="89"/>
      <c r="K74" s="89"/>
      <c r="L74" s="89"/>
    </row>
    <row r="75" customFormat="false" ht="15" hidden="false" customHeight="false" outlineLevel="0" collapsed="false">
      <c r="A75" s="16" t="s">
        <v>609</v>
      </c>
      <c r="B75" s="87" t="s">
        <v>610</v>
      </c>
      <c r="C75" s="17" t="s">
        <v>493</v>
      </c>
      <c r="D75" s="69" t="n">
        <f aca="false">-D65</f>
        <v>4377.39</v>
      </c>
      <c r="E75" s="69" t="n">
        <f aca="false">-E65</f>
        <v>692.62</v>
      </c>
      <c r="F75" s="69" t="n">
        <f aca="false">-F65</f>
        <v>1900.07</v>
      </c>
      <c r="G75" s="69" t="n">
        <f aca="false">-G65</f>
        <v>1923.15</v>
      </c>
      <c r="H75" s="69" t="n">
        <f aca="false">-H65</f>
        <v>1854.84</v>
      </c>
      <c r="I75" s="69" t="n">
        <f aca="false">-I65</f>
        <v>1093.56</v>
      </c>
      <c r="J75" s="69" t="n">
        <f aca="false">-J65</f>
        <v>1145.27</v>
      </c>
      <c r="K75" s="53" t="n">
        <f aca="false">AVERAGE(D75:J75)</f>
        <v>1855.27142857143</v>
      </c>
      <c r="L75" s="53" t="n">
        <f aca="false">J75-D75</f>
        <v>-3232.12</v>
      </c>
    </row>
    <row r="76" customFormat="false" ht="15" hidden="false" customHeight="false" outlineLevel="0" collapsed="false">
      <c r="A76" s="16" t="s">
        <v>611</v>
      </c>
      <c r="B76" s="87" t="s">
        <v>612</v>
      </c>
      <c r="C76" s="17" t="s">
        <v>493</v>
      </c>
      <c r="D76" s="26" t="n">
        <f aca="false">SUM(Tiger:MahindraLog!D76)</f>
        <v>1545.66</v>
      </c>
      <c r="E76" s="26" t="n">
        <f aca="false">SUM(Tiger:MahindraLog!E76)</f>
        <v>506.73</v>
      </c>
      <c r="F76" s="26" t="n">
        <f aca="false">SUM(Tiger:MahindraLog!F76)</f>
        <v>844.56</v>
      </c>
      <c r="G76" s="26" t="n">
        <f aca="false">SUM(Tiger:MahindraLog!G76)</f>
        <v>968.19</v>
      </c>
      <c r="H76" s="26" t="n">
        <f aca="false">SUM(Tiger:MahindraLog!H76)</f>
        <v>533.53</v>
      </c>
      <c r="I76" s="26" t="n">
        <f aca="false">SUM(Tiger:MahindraLog!I76)</f>
        <v>742.1</v>
      </c>
      <c r="J76" s="26" t="n">
        <f aca="false">SUM(Tiger:MahindraLog!J76)</f>
        <v>828.46</v>
      </c>
      <c r="K76" s="53" t="n">
        <f aca="false">AVERAGE(D76:J76)</f>
        <v>852.747142857143</v>
      </c>
      <c r="L76" s="53" t="n">
        <f aca="false">J76-D76</f>
        <v>-717.2</v>
      </c>
    </row>
    <row r="77" customFormat="false" ht="15" hidden="false" customHeight="false" outlineLevel="0" collapsed="false">
      <c r="A77" s="16" t="s">
        <v>613</v>
      </c>
      <c r="B77" s="87" t="s">
        <v>614</v>
      </c>
      <c r="C77" s="17" t="s">
        <v>615</v>
      </c>
      <c r="D77" s="71" t="n">
        <f aca="false">IF(D26&gt;0,MIN(MAX(D27/D26,0),Setup!$C$11),0)</f>
        <v>0.255585657720108</v>
      </c>
      <c r="E77" s="71" t="n">
        <f aca="false">IF(E26&gt;0,MIN(MAX(E27/E26,0),Setup!$C$11),0)</f>
        <v>0.34944</v>
      </c>
      <c r="F77" s="71" t="n">
        <f aca="false">IF(F26&gt;0,MIN(MAX(F27/F26,0),Setup!$C$11),0)</f>
        <v>0.24072193472669</v>
      </c>
      <c r="G77" s="71" t="n">
        <f aca="false">IF(G26&gt;0,MIN(MAX(G27/G26,0),Setup!$C$11),0)</f>
        <v>0.324118904005842</v>
      </c>
      <c r="H77" s="71" t="n">
        <f aca="false">IF(H26&gt;0,MIN(MAX(H27/H26,0),Setup!$C$11),0)</f>
        <v>0.228624549566818</v>
      </c>
      <c r="I77" s="71" t="n">
        <f aca="false">IF(I26&gt;0,MIN(MAX(I27/I26,0),Setup!$C$11),0)</f>
        <v>0.213958125623131</v>
      </c>
      <c r="J77" s="71" t="n">
        <f aca="false">IF(J26&gt;0,MIN(MAX(J27/J26,0),Setup!$C$11),0)</f>
        <v>0.214921599536984</v>
      </c>
      <c r="K77" s="62" t="n">
        <f aca="false">AVERAGE(D77:J77)</f>
        <v>0.261052967311367</v>
      </c>
      <c r="L77" s="62" t="n">
        <f aca="false">J77-D77</f>
        <v>-0.0406640581831239</v>
      </c>
    </row>
    <row r="79" customFormat="false" ht="19.5" hidden="false" customHeight="true" outlineLevel="0" collapsed="false">
      <c r="A79" s="85" t="s">
        <v>616</v>
      </c>
      <c r="B79" s="86"/>
      <c r="C79" s="86"/>
      <c r="D79" s="86"/>
      <c r="E79" s="86"/>
      <c r="F79" s="86"/>
      <c r="G79" s="86"/>
      <c r="H79" s="86"/>
      <c r="I79" s="86"/>
      <c r="J79" s="86"/>
      <c r="K79" s="86"/>
      <c r="L79" s="86"/>
    </row>
    <row r="80" customFormat="false" ht="15" hidden="false" customHeight="false" outlineLevel="0" collapsed="false">
      <c r="A80" s="16" t="s">
        <v>617</v>
      </c>
      <c r="B80" s="87" t="s">
        <v>618</v>
      </c>
      <c r="C80" s="17" t="s">
        <v>493</v>
      </c>
      <c r="D80" s="26" t="n">
        <f aca="false">Tiger!D82*Tiger!D84+Allcargo!D82*Allcargo!D84+BlueDart!D82*BlueDart!D84+CONCOR!D82*CONCOR!D84+JetFreight!D82*JetFreight!D84+Patel!D82*Patel!D84+Sical!D82*Sical!D84+TCI!D82*TCI!D84+Shreeji!D82*Shreeji!D84+MahindraLog!D82*MahindraLog!D84</f>
        <v>29052.208924</v>
      </c>
      <c r="E80" s="26" t="n">
        <f aca="false">Tiger!E82*Tiger!E84+Allcargo!E82*Allcargo!E84+BlueDart!E82*BlueDart!E84+CONCOR!E82*CONCOR!E84+JetFreight!E82*JetFreight!E84+Patel!E82*Patel!E84+Sical!E82*Sical!E84+TCI!E82*TCI!E84+Shreeji!E82*Shreeji!E84+MahindraLog!E82*MahindraLog!E84</f>
        <v>57086.725552</v>
      </c>
      <c r="F80" s="26" t="n">
        <f aca="false">Tiger!F82*Tiger!F84+Allcargo!F82*Allcargo!F84+BlueDart!F82*BlueDart!F84+CONCOR!F82*CONCOR!F84+JetFreight!F82*JetFreight!F84+Patel!F82*Patel!F84+Sical!F82*Sical!F84+TCI!F82*TCI!F84+Shreeji!F82*Shreeji!F84+MahindraLog!F82*MahindraLog!F84</f>
        <v>67115.6095</v>
      </c>
      <c r="G80" s="26" t="n">
        <f aca="false">Tiger!G82*Tiger!G84+Allcargo!G82*Allcargo!G84+BlueDart!G82*BlueDart!G84+CONCOR!G82*CONCOR!G84+JetFreight!G82*JetFreight!G84+Patel!G82*Patel!G84+Sical!G82*Sical!G84+TCI!G82*TCI!G84+Shreeji!G82*Shreeji!G84+MahindraLog!G82*MahindraLog!G84</f>
        <v>59047.755958</v>
      </c>
      <c r="H80" s="26" t="n">
        <f aca="false">Tiger!H82*Tiger!H84+Allcargo!H82*Allcargo!H84+BlueDart!H82*BlueDart!H84+CONCOR!H82*CONCOR!H84+JetFreight!H82*JetFreight!H84+Patel!H82*Patel!H84+Sical!H82*Sical!H84+TCI!H82*TCI!H84+Shreeji!H82*Shreeji!H84+MahindraLog!H82*MahindraLog!H84</f>
        <v>80223.619535</v>
      </c>
      <c r="I80" s="26" t="n">
        <f aca="false">Tiger!I82*Tiger!I84+Allcargo!I82*Allcargo!I84+BlueDart!I82*BlueDart!I84+CONCOR!I82*CONCOR!I84+JetFreight!I82*JetFreight!I84+Patel!I82*Patel!I84+Sical!I82*Sical!I84+TCI!I82*TCI!I84+Shreeji!I82*Shreeji!I84+MahindraLog!I82*MahindraLog!I84</f>
        <v>68651.634407</v>
      </c>
      <c r="J80" s="26" t="n">
        <f aca="false">Tiger!J82*Tiger!J84+Allcargo!J82*Allcargo!J84+BlueDart!J82*BlueDart!J84+CONCOR!J82*CONCOR!J84+JetFreight!J82*JetFreight!J84+Patel!J82*Patel!J84+Sical!J82*Sical!J84+TCI!J82*TCI!J84+Shreeji!J82*Shreeji!J84+MahindraLog!J82*MahindraLog!J84</f>
        <v>56030.51038</v>
      </c>
      <c r="K80" s="53" t="n">
        <f aca="false">AVERAGE(D80:J80)</f>
        <v>59601.1520365714</v>
      </c>
      <c r="L80" s="53" t="n">
        <f aca="false">J80-D80</f>
        <v>26978.301456</v>
      </c>
    </row>
    <row r="81" customFormat="false" ht="15" hidden="false" customHeight="false" outlineLevel="0" collapsed="false">
      <c r="A81" s="16" t="s">
        <v>619</v>
      </c>
      <c r="B81" s="87" t="s">
        <v>620</v>
      </c>
      <c r="C81" s="17" t="s">
        <v>493</v>
      </c>
      <c r="D81" s="26" t="n">
        <f aca="false">Tiger!D83*Tiger!D84+Allcargo!D83*Allcargo!D84+BlueDart!D83*BlueDart!D84+CONCOR!D83*CONCOR!D84+JetFreight!D83*JetFreight!D84+Patel!D83*Patel!D84+Sical!D83*Sical!D84+TCI!D83*TCI!D84+Shreeji!D83*Shreeji!D84+MahindraLog!D83*MahindraLog!D84</f>
        <v>29242.118924</v>
      </c>
      <c r="E81" s="26" t="n">
        <f aca="false">Tiger!E83*Tiger!E84+Allcargo!E83*Allcargo!E84+BlueDart!E83*BlueDart!E84+CONCOR!E83*CONCOR!E84+JetFreight!E83*JetFreight!E84+Patel!E83*Patel!E84+Sical!E83*Sical!E84+TCI!E83*TCI!E84+Shreeji!E83*Shreeji!E84+MahindraLog!E83*MahindraLog!E84</f>
        <v>58173.975552</v>
      </c>
      <c r="F81" s="26" t="n">
        <f aca="false">Tiger!F83*Tiger!F84+Allcargo!F83*Allcargo!F84+BlueDart!F83*BlueDart!F84+CONCOR!F83*CONCOR!F84+JetFreight!F83*JetFreight!F84+Patel!F83*Patel!F84+Sical!F83*Sical!F84+TCI!F83*TCI!F84+Shreeji!F83*Shreeji!F84+MahindraLog!F83*MahindraLog!F84</f>
        <v>67862.2595</v>
      </c>
      <c r="G81" s="26" t="n">
        <f aca="false">Tiger!G83*Tiger!G84+Allcargo!G83*Allcargo!G84+BlueDart!G83*BlueDart!G84+CONCOR!G83*CONCOR!G84+JetFreight!G83*JetFreight!G84+Patel!G83*Patel!G84+Sical!G83*Sical!G84+TCI!G83*TCI!G84+Shreeji!G83*Shreeji!G84+MahindraLog!G83*MahindraLog!G84</f>
        <v>58811.335958</v>
      </c>
      <c r="H81" s="26" t="n">
        <f aca="false">Tiger!H83*Tiger!H84+Allcargo!H83*Allcargo!H84+BlueDart!H83*BlueDart!H84+CONCOR!H83*CONCOR!H84+JetFreight!H83*JetFreight!H84+Patel!H83*Patel!H84+Sical!H83*Sical!H84+TCI!H83*TCI!H84+Shreeji!H83*Shreeji!H84+MahindraLog!H83*MahindraLog!H84</f>
        <v>79973.959535</v>
      </c>
      <c r="I81" s="26" t="n">
        <f aca="false">Tiger!I83*Tiger!I84+Allcargo!I83*Allcargo!I84+BlueDart!I83*BlueDart!I84+CONCOR!I83*CONCOR!I84+JetFreight!I83*JetFreight!I84+Patel!I83*Patel!I84+Sical!I83*Sical!I84+TCI!I83*TCI!I84+Shreeji!I83*Shreeji!I84+MahindraLog!I83*MahindraLog!I84</f>
        <v>68214.224407</v>
      </c>
      <c r="J81" s="26" t="n">
        <f aca="false">Tiger!J83*Tiger!J84+Allcargo!J83*Allcargo!J84+BlueDart!J83*BlueDart!J84+CONCOR!J83*CONCOR!J84+JetFreight!J83*JetFreight!J84+Patel!J83*Patel!J84+Sical!J83*Sical!J84+TCI!J83*TCI!J84+Shreeji!J83*Shreeji!J84+MahindraLog!J83*MahindraLog!J84</f>
        <v>56122.87038</v>
      </c>
      <c r="K81" s="53" t="n">
        <f aca="false">AVERAGE(D81:J81)</f>
        <v>59771.5348937143</v>
      </c>
      <c r="L81" s="53" t="n">
        <f aca="false">J81-D81</f>
        <v>26880.751456</v>
      </c>
    </row>
    <row r="82" customFormat="false" ht="15" hidden="false" customHeight="false" outlineLevel="0" collapsed="false">
      <c r="A82" s="16" t="s">
        <v>621</v>
      </c>
      <c r="B82" s="87" t="s">
        <v>622</v>
      </c>
      <c r="C82" s="17" t="s">
        <v>493</v>
      </c>
      <c r="D82" s="26" t="n">
        <f aca="false">Tiger!D30*Tiger!D84+Allcargo!D30*Allcargo!D84+BlueDart!D30*BlueDart!D84+CONCOR!D30*CONCOR!D84+JetFreight!D30*JetFreight!D84+Patel!D30*Patel!D84+Sical!D30*Sical!D84+TCI!D30*TCI!D84+Shreeji!D30*Shreeji!D84+MahindraLog!D30*MahindraLog!D84</f>
        <v>443.4</v>
      </c>
      <c r="E82" s="26" t="n">
        <f aca="false">Tiger!E30*Tiger!E84+Allcargo!E30*Allcargo!E84+BlueDart!E30*BlueDart!E84+CONCOR!E30*CONCOR!E84+JetFreight!E30*JetFreight!E84+Patel!E30*Patel!E84+Sical!E30*Sical!E84+TCI!E30*TCI!E84+Shreeji!E30*Shreeji!E84+MahindraLog!E30*MahindraLog!E84</f>
        <v>-386.33</v>
      </c>
      <c r="F82" s="26" t="n">
        <f aca="false">Tiger!F30*Tiger!F84+Allcargo!F30*Allcargo!F84+BlueDart!F30*BlueDart!F84+CONCOR!F30*CONCOR!F84+JetFreight!F30*JetFreight!F84+Patel!F30*Patel!F84+Sical!F30*Sical!F84+TCI!F30*TCI!F84+Shreeji!F30*Shreeji!F84+MahindraLog!F30*MahindraLog!F84</f>
        <v>1531.65</v>
      </c>
      <c r="G82" s="26" t="n">
        <f aca="false">Tiger!G30*Tiger!G84+Allcargo!G30*Allcargo!G84+BlueDart!G30*BlueDart!G84+CONCOR!G30*CONCOR!G84+JetFreight!G30*JetFreight!G84+Patel!G30*Patel!G84+Sical!G30*Sical!G84+TCI!G30*TCI!G84+Shreeji!G30*Shreeji!G84+MahindraLog!G30*MahindraLog!G84</f>
        <v>1091.93</v>
      </c>
      <c r="H82" s="26" t="n">
        <f aca="false">Tiger!H30*Tiger!H84+Allcargo!H30*Allcargo!H84+BlueDart!H30*BlueDart!H84+CONCOR!H30*CONCOR!H84+JetFreight!H30*JetFreight!H84+Patel!H30*Patel!H84+Sical!H30*Sical!H84+TCI!H30*TCI!H84+Shreeji!H30*Shreeji!H84+MahindraLog!H30*MahindraLog!H84</f>
        <v>1864.41</v>
      </c>
      <c r="I82" s="26" t="n">
        <f aca="false">Tiger!I30*Tiger!I84+Allcargo!I30*Allcargo!I84+BlueDart!I30*BlueDart!I84+CONCOR!I30*CONCOR!I84+JetFreight!I30*JetFreight!I84+Patel!I30*Patel!I84+Sical!I30*Sical!I84+TCI!I30*TCI!I84+Shreeji!I30*Shreeji!I84+MahindraLog!I30*MahindraLog!I84</f>
        <v>1933</v>
      </c>
      <c r="J82" s="26" t="n">
        <f aca="false">Tiger!J30*Tiger!J84+Allcargo!J30*Allcargo!J84+BlueDart!J30*BlueDart!J84+CONCOR!J30*CONCOR!J84+JetFreight!J30*JetFreight!J84+Patel!J30*Patel!J84+Sical!J30*Sical!J84+TCI!J30*TCI!J84+Shreeji!J30*Shreeji!J84+MahindraLog!J30*MahindraLog!J84</f>
        <v>2046.09</v>
      </c>
      <c r="K82" s="53" t="n">
        <f aca="false">AVERAGE(D82:J82)</f>
        <v>1217.73571428571</v>
      </c>
      <c r="L82" s="53" t="n">
        <f aca="false">J82-D82</f>
        <v>1602.69</v>
      </c>
    </row>
    <row r="83" customFormat="false" ht="15" hidden="false" customHeight="false" outlineLevel="0" collapsed="false">
      <c r="A83" s="16" t="s">
        <v>623</v>
      </c>
      <c r="B83" s="87" t="s">
        <v>624</v>
      </c>
      <c r="C83" s="17" t="s">
        <v>493</v>
      </c>
      <c r="D83" s="26" t="n">
        <f aca="false">Tiger!D39*Tiger!D84+Allcargo!D39*Allcargo!D84+BlueDart!D39*BlueDart!D84+CONCOR!D39*CONCOR!D84+JetFreight!D39*JetFreight!D84+Patel!D39*Patel!D84+Sical!D39*Sical!D84+TCI!D39*TCI!D84+Shreeji!D39*Shreeji!D84+MahindraLog!D39*MahindraLog!D84</f>
        <v>12811.41</v>
      </c>
      <c r="E83" s="26" t="n">
        <f aca="false">Tiger!E39*Tiger!E84+Allcargo!E39*Allcargo!E84+BlueDart!E39*BlueDart!E84+CONCOR!E39*CONCOR!E84+JetFreight!E39*JetFreight!E84+Patel!E39*Patel!E84+Sical!E39*Sical!E84+TCI!E39*TCI!E84+Shreeji!E39*Shreeji!E84+MahindraLog!E39*MahindraLog!E84</f>
        <v>12053.4</v>
      </c>
      <c r="F83" s="26" t="n">
        <f aca="false">Tiger!F39*Tiger!F84+Allcargo!F39*Allcargo!F84+BlueDart!F39*BlueDart!F84+CONCOR!F39*CONCOR!F84+JetFreight!F39*JetFreight!F84+Patel!F39*Patel!F84+Sical!F39*Sical!F84+TCI!F39*TCI!F84+Shreeji!F39*Shreeji!F84+MahindraLog!F39*MahindraLog!F84</f>
        <v>12921.59</v>
      </c>
      <c r="G83" s="26" t="n">
        <f aca="false">Tiger!G39*Tiger!G84+Allcargo!G39*Allcargo!G84+BlueDart!G39*BlueDart!G84+CONCOR!G39*CONCOR!G84+JetFreight!G39*JetFreight!G84+Patel!G39*Patel!G84+Sical!G39*Sical!G84+TCI!G39*TCI!G84+Shreeji!G39*Shreeji!G84+MahindraLog!G39*MahindraLog!G84</f>
        <v>15040.94</v>
      </c>
      <c r="H83" s="26" t="n">
        <f aca="false">Tiger!H39*Tiger!H84+Allcargo!H39*Allcargo!H84+BlueDart!H39*BlueDart!H84+CONCOR!H39*CONCOR!H84+JetFreight!H39*JetFreight!H84+Patel!H39*Patel!H84+Sical!H39*Sical!H84+TCI!H39*TCI!H84+Shreeji!H39*Shreeji!H84+MahindraLog!H39*MahindraLog!H84</f>
        <v>16064.08</v>
      </c>
      <c r="I83" s="26" t="n">
        <f aca="false">Tiger!I39*Tiger!I84+Allcargo!I39*Allcargo!I84+BlueDart!I39*BlueDart!I84+CONCOR!I39*CONCOR!I84+JetFreight!I39*JetFreight!I84+Patel!I39*Patel!I84+Sical!I39*Sical!I84+TCI!I39*TCI!I84+Shreeji!I39*Shreeji!I84+MahindraLog!I39*MahindraLog!I84</f>
        <v>16911.17</v>
      </c>
      <c r="J83" s="26" t="n">
        <f aca="false">Tiger!J39*Tiger!J84+Allcargo!J39*Allcargo!J84+BlueDart!J39*BlueDart!J84+CONCOR!J39*CONCOR!J84+JetFreight!J39*JetFreight!J84+Patel!J39*Patel!J84+Sical!J39*Sical!J84+TCI!J39*TCI!J84+Shreeji!J39*Shreeji!J84+MahindraLog!J39*MahindraLog!J84</f>
        <v>19581.64</v>
      </c>
      <c r="K83" s="53" t="n">
        <f aca="false">AVERAGE(D83:J83)</f>
        <v>15054.89</v>
      </c>
      <c r="L83" s="53" t="n">
        <f aca="false">J83-D83</f>
        <v>6770.23</v>
      </c>
    </row>
    <row r="84" customFormat="false" ht="15" hidden="false" customHeight="false" outlineLevel="0" collapsed="false">
      <c r="A84" s="16" t="s">
        <v>625</v>
      </c>
      <c r="B84" s="87" t="s">
        <v>626</v>
      </c>
      <c r="C84" s="17" t="s">
        <v>493</v>
      </c>
      <c r="D84" s="26" t="n">
        <f aca="false">Tiger!D21*Tiger!D84+Allcargo!D21*Allcargo!D84+BlueDart!D21*BlueDart!D84+CONCOR!D21*CONCOR!D84+JetFreight!D21*JetFreight!D84+Patel!D21*Patel!D84+Sical!D21*Sical!D84+TCI!D21*TCI!D84+Shreeji!D21*Shreeji!D84+MahindraLog!D21*MahindraLog!D84</f>
        <v>2551.52</v>
      </c>
      <c r="E84" s="26" t="n">
        <f aca="false">Tiger!E21*Tiger!E84+Allcargo!E21*Allcargo!E84+BlueDart!E21*BlueDart!E84+CONCOR!E21*CONCOR!E84+JetFreight!E21*JetFreight!E84+Patel!E21*Patel!E84+Sical!E21*Sical!E84+TCI!E21*TCI!E84+Shreeji!E21*Shreeji!E84+MahindraLog!E21*MahindraLog!E84</f>
        <v>2134.03</v>
      </c>
      <c r="F84" s="26" t="n">
        <f aca="false">Tiger!F21*Tiger!F84+Allcargo!F21*Allcargo!F84+BlueDart!F21*BlueDart!F84+CONCOR!F21*CONCOR!F84+JetFreight!F21*JetFreight!F84+Patel!F21*Patel!F84+Sical!F21*Sical!F84+TCI!F21*TCI!F84+Shreeji!F21*Shreeji!F84+MahindraLog!F21*MahindraLog!F84</f>
        <v>3378.29</v>
      </c>
      <c r="G84" s="26" t="n">
        <f aca="false">Tiger!G21*Tiger!G84+Allcargo!G21*Allcargo!G84+BlueDart!G21*BlueDart!G84+CONCOR!G21*CONCOR!G84+JetFreight!G21*JetFreight!G84+Patel!G21*Patel!G84+Sical!G21*Sical!G84+TCI!G21*TCI!G84+Shreeji!G21*Shreeji!G84+MahindraLog!G21*MahindraLog!G84</f>
        <v>3582.78</v>
      </c>
      <c r="H84" s="26" t="n">
        <f aca="false">Tiger!H21*Tiger!H84+Allcargo!H21*Allcargo!H84+BlueDart!H21*BlueDart!H84+CONCOR!H21*CONCOR!H84+JetFreight!H21*JetFreight!H84+Patel!H21*Patel!H84+Sical!H21*Sical!H84+TCI!H21*TCI!H84+Shreeji!H21*Shreeji!H84+MahindraLog!H21*MahindraLog!H84</f>
        <v>3519.99</v>
      </c>
      <c r="I84" s="26" t="n">
        <f aca="false">Tiger!I21*Tiger!I84+Allcargo!I21*Allcargo!I84+BlueDart!I21*BlueDart!I84+CONCOR!I21*CONCOR!I84+JetFreight!I21*JetFreight!I84+Patel!I21*Patel!I84+Sical!I21*Sical!I84+TCI!I21*TCI!I84+Shreeji!I21*Shreeji!I84+MahindraLog!I21*MahindraLog!I84</f>
        <v>3638.23</v>
      </c>
      <c r="J84" s="26" t="n">
        <f aca="false">Tiger!J21*Tiger!J84+Allcargo!J21*Allcargo!J84+BlueDart!J21*BlueDart!J84+CONCOR!J21*CONCOR!J84+JetFreight!J21*JetFreight!J84+Patel!J21*Patel!J84+Sical!J21*Sical!J84+TCI!J21*TCI!J84+Shreeji!J21*Shreeji!J84+MahindraLog!J21*MahindraLog!J84</f>
        <v>4174.8</v>
      </c>
      <c r="K84" s="53" t="n">
        <f aca="false">AVERAGE(D84:J84)</f>
        <v>3282.80571428571</v>
      </c>
      <c r="L84" s="53" t="n">
        <f aca="false">J84-D84</f>
        <v>1623.28</v>
      </c>
    </row>
    <row r="85" customFormat="false" ht="15" hidden="false" customHeight="false" outlineLevel="0" collapsed="false">
      <c r="A85" s="16" t="s">
        <v>627</v>
      </c>
      <c r="B85" s="87" t="s">
        <v>628</v>
      </c>
      <c r="C85" s="17" t="s">
        <v>493</v>
      </c>
      <c r="D85" s="26" t="n">
        <f aca="false">Tiger!D31*Tiger!D84+Allcargo!D31*Allcargo!D84+BlueDart!D31*BlueDart!D84+CONCOR!D31*CONCOR!D84+JetFreight!D31*JetFreight!D84+Patel!D31*Patel!D84+Sical!D31*Sical!D84+TCI!D31*TCI!D84+Shreeji!D31*Shreeji!D84+MahindraLog!D31*MahindraLog!D84</f>
        <v>246.14</v>
      </c>
      <c r="E85" s="26" t="n">
        <f aca="false">Tiger!E31*Tiger!E84+Allcargo!E31*Allcargo!E84+BlueDart!E31*BlueDart!E84+CONCOR!E31*CONCOR!E84+JetFreight!E31*JetFreight!E84+Patel!E31*Patel!E84+Sical!E31*Sical!E84+TCI!E31*TCI!E84+Shreeji!E31*Shreeji!E84+MahindraLog!E31*MahindraLog!E84</f>
        <v>378.8</v>
      </c>
      <c r="F85" s="26" t="n">
        <f aca="false">Tiger!F31*Tiger!F84+Allcargo!F31*Allcargo!F84+BlueDart!F31*BlueDart!F84+CONCOR!F31*CONCOR!F84+JetFreight!F31*JetFreight!F84+Patel!F31*Patel!F84+Sical!F31*Sical!F84+TCI!F31*TCI!F84+Shreeji!F31*Shreeji!F84+MahindraLog!F31*MahindraLog!F84</f>
        <v>739.88</v>
      </c>
      <c r="G85" s="26" t="n">
        <f aca="false">Tiger!G31*Tiger!G84+Allcargo!G31*Allcargo!G84+BlueDart!G31*BlueDart!G84+CONCOR!G31*CONCOR!G84+JetFreight!G31*JetFreight!G84+Patel!G31*Patel!G84+Sical!G31*Sical!G84+TCI!G31*TCI!G84+Shreeji!G31*Shreeji!G84+MahindraLog!G31*MahindraLog!G84</f>
        <v>815.49</v>
      </c>
      <c r="H85" s="26" t="n">
        <f aca="false">Tiger!H31*Tiger!H84+Allcargo!H31*Allcargo!H84+BlueDart!H31*BlueDart!H84+CONCOR!H31*CONCOR!H84+JetFreight!H31*JetFreight!H84+Patel!H31*Patel!H84+Sical!H31*Sical!H84+TCI!H31*TCI!H84+Shreeji!H31*Shreeji!H84+MahindraLog!H31*MahindraLog!H84</f>
        <v>833.88</v>
      </c>
      <c r="I85" s="26" t="n">
        <f aca="false">Tiger!I31*Tiger!I84+Allcargo!I31*Allcargo!I84+BlueDart!I31*BlueDart!I84+CONCOR!I31*CONCOR!I84+JetFreight!I31*JetFreight!I84+Patel!I31*Patel!I84+Sical!I31*Sical!I84+TCI!I31*TCI!I84+Shreeji!I31*Shreeji!I84+MahindraLog!I31*MahindraLog!I84</f>
        <v>841.5</v>
      </c>
      <c r="J85" s="26" t="n">
        <f aca="false">Tiger!J31*Tiger!J84+Allcargo!J31*Allcargo!J84+BlueDart!J31*BlueDart!J84+CONCOR!J31*CONCOR!J84+JetFreight!J31*JetFreight!J84+Patel!J31*Patel!J84+Sical!J31*Sical!J84+TCI!J31*TCI!J84+Shreeji!J31*Shreeji!J84+MahindraLog!J31*MahindraLog!J84</f>
        <v>817.33</v>
      </c>
      <c r="K85" s="53" t="n">
        <f aca="false">AVERAGE(D85:J85)</f>
        <v>667.574285714286</v>
      </c>
      <c r="L85" s="53" t="n">
        <f aca="false">J85-D85</f>
        <v>571.19</v>
      </c>
    </row>
    <row r="87" customFormat="false" ht="19.5" hidden="false" customHeight="true" outlineLevel="0" collapsed="false">
      <c r="A87" s="85" t="s">
        <v>629</v>
      </c>
      <c r="B87" s="86"/>
      <c r="C87" s="86"/>
      <c r="D87" s="86"/>
      <c r="E87" s="86"/>
      <c r="F87" s="86"/>
      <c r="G87" s="86"/>
      <c r="H87" s="86"/>
      <c r="I87" s="86"/>
      <c r="J87" s="86"/>
      <c r="K87" s="86"/>
      <c r="L87" s="86"/>
    </row>
    <row r="88" customFormat="false" ht="15" hidden="false" customHeight="false" outlineLevel="0" collapsed="false">
      <c r="A88" s="16" t="s">
        <v>630</v>
      </c>
      <c r="B88" s="87" t="s">
        <v>631</v>
      </c>
      <c r="C88" s="17" t="s">
        <v>493</v>
      </c>
      <c r="D88" s="69" t="n">
        <f aca="false">D48</f>
        <v>10636.21</v>
      </c>
      <c r="E88" s="69" t="n">
        <f aca="false">E48</f>
        <v>12406.86</v>
      </c>
      <c r="F88" s="69" t="n">
        <f aca="false">F48</f>
        <v>14908.59</v>
      </c>
      <c r="G88" s="69" t="n">
        <f aca="false">G48</f>
        <v>14692.58</v>
      </c>
      <c r="H88" s="69" t="n">
        <f aca="false">H48</f>
        <v>14615.55</v>
      </c>
      <c r="I88" s="69" t="n">
        <f aca="false">I48</f>
        <v>11904.65</v>
      </c>
      <c r="J88" s="69" t="n">
        <f aca="false">J48</f>
        <v>12843.79</v>
      </c>
      <c r="K88" s="53" t="n">
        <f aca="false">AVERAGE(D88:J88)</f>
        <v>13144.0328571429</v>
      </c>
      <c r="L88" s="53" t="n">
        <f aca="false">J88-D88</f>
        <v>2207.58</v>
      </c>
    </row>
    <row r="89" customFormat="false" ht="15" hidden="false" customHeight="false" outlineLevel="0" collapsed="false">
      <c r="A89" s="16" t="s">
        <v>632</v>
      </c>
      <c r="B89" s="87" t="s">
        <v>633</v>
      </c>
      <c r="C89" s="17" t="s">
        <v>493</v>
      </c>
      <c r="D89" s="69" t="n">
        <f aca="false">D42</f>
        <v>6837</v>
      </c>
      <c r="E89" s="69" t="n">
        <f aca="false">E42</f>
        <v>7598.37</v>
      </c>
      <c r="F89" s="69" t="n">
        <f aca="false">F42</f>
        <v>8694.08</v>
      </c>
      <c r="G89" s="69" t="n">
        <f aca="false">G42</f>
        <v>7435.06</v>
      </c>
      <c r="H89" s="69" t="n">
        <f aca="false">H42</f>
        <v>7012.82</v>
      </c>
      <c r="I89" s="69" t="n">
        <f aca="false">I42</f>
        <v>4919.58</v>
      </c>
      <c r="J89" s="69" t="n">
        <f aca="false">J42</f>
        <v>5272.37</v>
      </c>
      <c r="K89" s="53" t="n">
        <f aca="false">AVERAGE(D89:J89)</f>
        <v>6824.18285714286</v>
      </c>
      <c r="L89" s="53" t="n">
        <f aca="false">J89-D89</f>
        <v>-1564.63</v>
      </c>
    </row>
    <row r="90" customFormat="false" ht="15" hidden="false" customHeight="false" outlineLevel="0" collapsed="false">
      <c r="A90" s="16" t="s">
        <v>634</v>
      </c>
      <c r="B90" s="87" t="s">
        <v>635</v>
      </c>
      <c r="C90" s="17" t="s">
        <v>493</v>
      </c>
      <c r="D90" s="69" t="n">
        <f aca="false">D50+D52</f>
        <v>6419.94</v>
      </c>
      <c r="E90" s="69" t="n">
        <f aca="false">E50+E52</f>
        <v>7780.76</v>
      </c>
      <c r="F90" s="69" t="n">
        <f aca="false">F50+F52</f>
        <v>9302.38</v>
      </c>
      <c r="G90" s="69" t="n">
        <f aca="false">G50+G52</f>
        <v>9373.8</v>
      </c>
      <c r="H90" s="69" t="n">
        <f aca="false">H50+H52</f>
        <v>9271.97</v>
      </c>
      <c r="I90" s="69" t="n">
        <f aca="false">I50+I52</f>
        <v>7624.21</v>
      </c>
      <c r="J90" s="69" t="n">
        <f aca="false">J50+J52</f>
        <v>8164.76</v>
      </c>
      <c r="K90" s="53" t="n">
        <f aca="false">AVERAGE(D90:J90)</f>
        <v>8276.83142857143</v>
      </c>
      <c r="L90" s="53" t="n">
        <f aca="false">J90-D90</f>
        <v>1744.82</v>
      </c>
    </row>
    <row r="91" customFormat="false" ht="15" hidden="false" customHeight="false" outlineLevel="0" collapsed="false">
      <c r="A91" s="16" t="s">
        <v>636</v>
      </c>
      <c r="B91" s="87" t="s">
        <v>637</v>
      </c>
      <c r="C91" s="17" t="s">
        <v>493</v>
      </c>
      <c r="D91" s="69" t="n">
        <f aca="false">D40+D41</f>
        <v>19243.25</v>
      </c>
      <c r="E91" s="69" t="n">
        <f aca="false">E40+E41</f>
        <v>20633.88</v>
      </c>
      <c r="F91" s="69" t="n">
        <f aca="false">F40+F41</f>
        <v>22608.89</v>
      </c>
      <c r="G91" s="69" t="n">
        <f aca="false">G40+G41</f>
        <v>22480.93</v>
      </c>
      <c r="H91" s="69" t="n">
        <f aca="false">H40+H41</f>
        <v>24022.44</v>
      </c>
      <c r="I91" s="69" t="n">
        <f aca="false">I40+I41</f>
        <v>21994.41</v>
      </c>
      <c r="J91" s="69" t="n">
        <f aca="false">J40+J41</f>
        <v>23999.41</v>
      </c>
      <c r="K91" s="53" t="n">
        <f aca="false">AVERAGE(D91:J91)</f>
        <v>22140.4585714286</v>
      </c>
      <c r="L91" s="53" t="n">
        <f aca="false">J91-D91</f>
        <v>4756.16</v>
      </c>
    </row>
    <row r="93" customFormat="false" ht="19.5" hidden="false" customHeight="true" outlineLevel="0" collapsed="false">
      <c r="A93" s="85" t="s">
        <v>638</v>
      </c>
      <c r="B93" s="86"/>
      <c r="C93" s="86"/>
      <c r="D93" s="86"/>
      <c r="E93" s="86"/>
      <c r="F93" s="86"/>
      <c r="G93" s="86"/>
      <c r="H93" s="86"/>
      <c r="I93" s="86"/>
      <c r="J93" s="86"/>
      <c r="K93" s="86"/>
      <c r="L93" s="86"/>
    </row>
    <row r="94" customFormat="false" ht="16.5" hidden="false" customHeight="true" outlineLevel="0" collapsed="false">
      <c r="A94" s="88" t="s">
        <v>639</v>
      </c>
      <c r="B94" s="89"/>
      <c r="C94" s="89"/>
      <c r="D94" s="89"/>
      <c r="E94" s="89"/>
      <c r="F94" s="89"/>
      <c r="G94" s="89"/>
      <c r="H94" s="89"/>
      <c r="I94" s="89"/>
      <c r="J94" s="89"/>
      <c r="K94" s="89"/>
      <c r="L94" s="89"/>
    </row>
    <row r="95" customFormat="false" ht="15" hidden="false" customHeight="false" outlineLevel="0" collapsed="false">
      <c r="A95" s="16" t="s">
        <v>640</v>
      </c>
      <c r="B95" s="87" t="s">
        <v>641</v>
      </c>
      <c r="C95" s="17" t="s">
        <v>493</v>
      </c>
      <c r="D95" s="69" t="n">
        <f aca="false">D88-D89</f>
        <v>3799.21</v>
      </c>
      <c r="E95" s="69" t="n">
        <f aca="false">E88-E89</f>
        <v>4808.49</v>
      </c>
      <c r="F95" s="69" t="n">
        <f aca="false">F88-F89</f>
        <v>6214.51</v>
      </c>
      <c r="G95" s="69" t="n">
        <f aca="false">G88-G89</f>
        <v>7257.52</v>
      </c>
      <c r="H95" s="69" t="n">
        <f aca="false">H88-H89</f>
        <v>7602.73</v>
      </c>
      <c r="I95" s="69" t="n">
        <f aca="false">I88-I89</f>
        <v>6985.07</v>
      </c>
      <c r="J95" s="69" t="n">
        <f aca="false">J88-J89</f>
        <v>7571.42</v>
      </c>
      <c r="K95" s="53" t="n">
        <f aca="false">AVERAGE(D95:J95)</f>
        <v>6319.85</v>
      </c>
      <c r="L95" s="53" t="n">
        <f aca="false">J95-D95</f>
        <v>3772.21</v>
      </c>
    </row>
    <row r="96" customFormat="false" ht="15" hidden="false" customHeight="false" outlineLevel="0" collapsed="false">
      <c r="A96" s="16" t="s">
        <v>642</v>
      </c>
      <c r="B96" s="87" t="s">
        <v>643</v>
      </c>
      <c r="C96" s="17" t="s">
        <v>644</v>
      </c>
      <c r="D96" s="72" t="n">
        <f aca="false">IF(D89&gt;0,D88/D89,"N/M")</f>
        <v>1.55568377943542</v>
      </c>
      <c r="E96" s="72" t="n">
        <f aca="false">IF(E89&gt;0,E88/E89,"N/M")</f>
        <v>1.63283177839458</v>
      </c>
      <c r="F96" s="72" t="n">
        <f aca="false">IF(F89&gt;0,F88/F89,"N/M")</f>
        <v>1.71479788545769</v>
      </c>
      <c r="G96" s="72" t="n">
        <f aca="false">IF(G89&gt;0,G88/G89,"N/M")</f>
        <v>1.97612124179227</v>
      </c>
      <c r="H96" s="72" t="n">
        <f aca="false">IF(H89&gt;0,H88/H89,"N/M")</f>
        <v>2.08411879956993</v>
      </c>
      <c r="I96" s="72" t="n">
        <f aca="false">IF(I89&gt;0,I88/I89,"N/M")</f>
        <v>2.41985088157932</v>
      </c>
      <c r="J96" s="72" t="n">
        <f aca="false">IF(J89&gt;0,J88/J89,"N/M")</f>
        <v>2.43605627070938</v>
      </c>
      <c r="K96" s="56" t="n">
        <f aca="false">IF(COUNT(D96:J96)=0,"N/M",AVERAGE(D96:J96))</f>
        <v>1.9742086624198</v>
      </c>
      <c r="L96" s="60" t="n">
        <f aca="false">IF(COUNT(D96,J96)=2,J96-D96,"-")</f>
        <v>0.880372491273953</v>
      </c>
    </row>
    <row r="97" customFormat="false" ht="15" hidden="false" customHeight="false" outlineLevel="0" collapsed="false">
      <c r="A97" s="16" t="s">
        <v>645</v>
      </c>
      <c r="B97" s="87" t="s">
        <v>646</v>
      </c>
      <c r="C97" s="17" t="s">
        <v>647</v>
      </c>
      <c r="D97" s="72" t="n">
        <f aca="false">IF(D89&gt;0,D90/D89,"N/M")</f>
        <v>0.938999561211057</v>
      </c>
      <c r="E97" s="72" t="n">
        <f aca="false">IF(E89&gt;0,E90/E89,"N/M")</f>
        <v>1.0240038324009</v>
      </c>
      <c r="F97" s="72" t="n">
        <f aca="false">IF(F89&gt;0,F90/F89,"N/M")</f>
        <v>1.06996715006073</v>
      </c>
      <c r="G97" s="72" t="n">
        <f aca="false">IF(G89&gt;0,G90/G89,"N/M")</f>
        <v>1.26075647002176</v>
      </c>
      <c r="H97" s="72" t="n">
        <f aca="false">IF(H89&gt;0,H90/H89,"N/M")</f>
        <v>1.3221457273964</v>
      </c>
      <c r="I97" s="72" t="n">
        <f aca="false">IF(I89&gt;0,I90/I89,"N/M")</f>
        <v>1.54976847617073</v>
      </c>
      <c r="J97" s="72" t="n">
        <f aca="false">IF(J89&gt;0,J90/J89,"N/M")</f>
        <v>1.54859389610365</v>
      </c>
      <c r="K97" s="56" t="n">
        <f aca="false">IF(COUNT(D97:J97)=0,"N/M",AVERAGE(D97:J97))</f>
        <v>1.24489073048075</v>
      </c>
      <c r="L97" s="60" t="n">
        <f aca="false">IF(COUNT(D97,J97)=2,J97-D97,"-")</f>
        <v>0.609594334892593</v>
      </c>
    </row>
    <row r="98" customFormat="false" ht="15" hidden="false" customHeight="false" outlineLevel="0" collapsed="false">
      <c r="A98" s="16" t="s">
        <v>648</v>
      </c>
      <c r="B98" s="87" t="s">
        <v>649</v>
      </c>
      <c r="C98" s="17" t="s">
        <v>650</v>
      </c>
      <c r="D98" s="72" t="n">
        <f aca="false">IF(D89&gt;0,D52/D89,"N/M")</f>
        <v>0.450590902442592</v>
      </c>
      <c r="E98" s="72" t="n">
        <f aca="false">IF(E89&gt;0,E52/E89,"N/M")</f>
        <v>0.463986354968237</v>
      </c>
      <c r="F98" s="72" t="n">
        <f aca="false">IF(F89&gt;0,F52/F89,"N/M")</f>
        <v>0.472267335934337</v>
      </c>
      <c r="G98" s="72" t="n">
        <f aca="false">IF(G89&gt;0,G52/G89,"N/M")</f>
        <v>0.67133957224286</v>
      </c>
      <c r="H98" s="72" t="n">
        <f aca="false">IF(H89&gt;0,H52/H89,"N/M")</f>
        <v>0.627285457205518</v>
      </c>
      <c r="I98" s="72" t="n">
        <f aca="false">IF(I89&gt;0,I52/I89,"N/M")</f>
        <v>0.88110163875778</v>
      </c>
      <c r="J98" s="72" t="n">
        <f aca="false">IF(J89&gt;0,J52/J89,"N/M")</f>
        <v>0.820391967938517</v>
      </c>
      <c r="K98" s="56" t="n">
        <f aca="false">IF(COUNT(D98:J98)=0,"N/M",AVERAGE(D98:J98))</f>
        <v>0.626709032784263</v>
      </c>
      <c r="L98" s="60" t="n">
        <f aca="false">IF(COUNT(D98,J98)=2,J98-D98,"-")</f>
        <v>0.369801065495926</v>
      </c>
    </row>
    <row r="99" customFormat="false" ht="15" hidden="false" customHeight="false" outlineLevel="0" collapsed="false">
      <c r="A99" s="16" t="s">
        <v>651</v>
      </c>
      <c r="B99" s="87" t="s">
        <v>652</v>
      </c>
      <c r="C99" s="17" t="s">
        <v>653</v>
      </c>
      <c r="D99" s="74" t="n">
        <f aca="false">IF(D20&gt;0,D90/(D20/Setup!$C$8),"N/M")</f>
        <v>105.370520260845</v>
      </c>
      <c r="E99" s="74" t="n">
        <f aca="false">IF(E20&gt;0,E90/(E20/Setup!$C$8),"N/M")</f>
        <v>114.325888538618</v>
      </c>
      <c r="F99" s="74" t="n">
        <f aca="false">IF(F20&gt;0,F90/(F20/Setup!$C$8),"N/M")</f>
        <v>95.1507450096822</v>
      </c>
      <c r="G99" s="74" t="n">
        <f aca="false">IF(G20&gt;0,G90/(G20/Setup!$C$8),"N/M")</f>
        <v>91.759858566798</v>
      </c>
      <c r="H99" s="74" t="n">
        <f aca="false">IF(H20&gt;0,H90/(H20/Setup!$C$8),"N/M")</f>
        <v>100.068186730606</v>
      </c>
      <c r="I99" s="74" t="n">
        <f aca="false">IF(I20&gt;0,I90/(I20/Setup!$C$8),"N/M")</f>
        <v>110.948622549608</v>
      </c>
      <c r="J99" s="74" t="n">
        <f aca="false">IF(J20&gt;0,J90/(J20/Setup!$C$8),"N/M")</f>
        <v>110.321810171572</v>
      </c>
      <c r="K99" s="58" t="n">
        <f aca="false">IF(COUNT(D99:J99)=0,"N/M",AVERAGE(D99:J99))</f>
        <v>103.992233118247</v>
      </c>
      <c r="L99" s="58" t="n">
        <f aca="false">IF(COUNT(D99,J99)=2,J99-D99,"-")</f>
        <v>4.95128991072673</v>
      </c>
    </row>
    <row r="100" customFormat="false" ht="15" hidden="false" customHeight="false" outlineLevel="0" collapsed="false">
      <c r="A100" s="16" t="s">
        <v>654</v>
      </c>
      <c r="B100" s="87" t="s">
        <v>655</v>
      </c>
      <c r="C100" s="17" t="s">
        <v>97</v>
      </c>
      <c r="D100" s="72" t="n">
        <f aca="false">IF(D89&gt;0,D63/D89,"N/M")</f>
        <v>0.818181951148164</v>
      </c>
      <c r="E100" s="72" t="n">
        <f aca="false">IF(E89&gt;0,E63/E89,"N/M")</f>
        <v>0.383321686098466</v>
      </c>
      <c r="F100" s="72" t="n">
        <f aca="false">IF(F89&gt;0,F63/F89,"N/M")</f>
        <v>0.431846727888402</v>
      </c>
      <c r="G100" s="72" t="n">
        <f aca="false">IF(G89&gt;0,G63/G89,"N/M")</f>
        <v>0.561616180636067</v>
      </c>
      <c r="H100" s="72" t="n">
        <f aca="false">IF(H89&gt;0,H63/H89,"N/M")</f>
        <v>0.375935786174463</v>
      </c>
      <c r="I100" s="72" t="n">
        <f aca="false">IF(I89&gt;0,I63/I89,"N/M")</f>
        <v>0.698949910358201</v>
      </c>
      <c r="J100" s="72" t="n">
        <f aca="false">IF(J89&gt;0,J63/J89,"N/M")</f>
        <v>0.633572757602369</v>
      </c>
      <c r="K100" s="56" t="n">
        <f aca="false">IF(COUNT(D100:J100)=0,"N/M",AVERAGE(D100:J100))</f>
        <v>0.557632142843733</v>
      </c>
      <c r="L100" s="60" t="n">
        <f aca="false">IF(COUNT(D100,J100)=2,J100-D100,"-")</f>
        <v>-0.184609193545796</v>
      </c>
    </row>
    <row r="101" customFormat="false" ht="16.5" hidden="false" customHeight="true" outlineLevel="0" collapsed="false">
      <c r="A101" s="88" t="s">
        <v>656</v>
      </c>
      <c r="B101" s="89"/>
      <c r="C101" s="89"/>
      <c r="D101" s="89"/>
      <c r="E101" s="89"/>
      <c r="F101" s="89"/>
      <c r="G101" s="89"/>
      <c r="H101" s="89"/>
      <c r="I101" s="89"/>
      <c r="J101" s="89"/>
      <c r="K101" s="89"/>
      <c r="L101" s="89"/>
    </row>
    <row r="102" customFormat="false" ht="15" hidden="false" customHeight="false" outlineLevel="0" collapsed="false">
      <c r="A102" s="16" t="s">
        <v>657</v>
      </c>
      <c r="B102" s="87" t="s">
        <v>658</v>
      </c>
      <c r="C102" s="17" t="s">
        <v>97</v>
      </c>
      <c r="D102" s="72" t="n">
        <f aca="false">IF(D40&gt;0,D41/D40,"N/M")</f>
        <v>0.28656204306848</v>
      </c>
      <c r="E102" s="72" t="n">
        <f aca="false">IF(E40&gt;0,E41/E40,"N/M")</f>
        <v>0.439210877634977</v>
      </c>
      <c r="F102" s="72" t="n">
        <f aca="false">IF(F40&gt;0,F41/F40,"N/M")</f>
        <v>0.405732636546491</v>
      </c>
      <c r="G102" s="72" t="n">
        <f aca="false">IF(G40&gt;0,G41/G40,"N/M")</f>
        <v>0.259071887342371</v>
      </c>
      <c r="H102" s="72" t="n">
        <f aca="false">IF(H40&gt;0,H41/H40,"N/M")</f>
        <v>0.292522050543132</v>
      </c>
      <c r="I102" s="72" t="n">
        <f aca="false">IF(I40&gt;0,I41/I40,"N/M")</f>
        <v>0.258753277167223</v>
      </c>
      <c r="J102" s="72" t="n">
        <f aca="false">IF(J40&gt;0,J41/J40,"N/M")</f>
        <v>0.225607763190417</v>
      </c>
      <c r="K102" s="56" t="n">
        <f aca="false">IF(COUNT(D102:J102)=0,"N/M",AVERAGE(D102:J102))</f>
        <v>0.309637219356156</v>
      </c>
      <c r="L102" s="60" t="n">
        <f aca="false">IF(COUNT(D102,J102)=2,J102-D102,"-")</f>
        <v>-0.0609542798780633</v>
      </c>
    </row>
    <row r="103" customFormat="false" ht="15" hidden="false" customHeight="false" outlineLevel="0" collapsed="false">
      <c r="A103" s="16" t="s">
        <v>659</v>
      </c>
      <c r="B103" s="87" t="s">
        <v>660</v>
      </c>
      <c r="C103" s="17" t="s">
        <v>97</v>
      </c>
      <c r="D103" s="72" t="n">
        <f aca="false">IF(D40&gt;0,(D41+D42)/D40,"N/M")</f>
        <v>0.743669064411507</v>
      </c>
      <c r="E103" s="72" t="n">
        <f aca="false">IF(E40&gt;0,(E41+E42)/E40,"N/M")</f>
        <v>0.969196355707703</v>
      </c>
      <c r="F103" s="72" t="n">
        <f aca="false">IF(F40&gt;0,(F41+F42)/F40,"N/M")</f>
        <v>0.946296635962035</v>
      </c>
      <c r="G103" s="72" t="n">
        <f aca="false">IF(G40&gt;0,(G41+G42)/G40,"N/M")</f>
        <v>0.675481485464146</v>
      </c>
      <c r="H103" s="72" t="n">
        <f aca="false">IF(H40&gt;0,(H41+H42)/H40,"N/M")</f>
        <v>0.669845273599986</v>
      </c>
      <c r="I103" s="72" t="n">
        <f aca="false">IF(I40&gt;0,(I41+I42)/I40,"N/M")</f>
        <v>0.540303791470008</v>
      </c>
      <c r="J103" s="72" t="n">
        <f aca="false">IF(J40&gt;0,(J41+J42)/J40,"N/M")</f>
        <v>0.494858449036955</v>
      </c>
      <c r="K103" s="56" t="n">
        <f aca="false">IF(COUNT(D103:J103)=0,"N/M",AVERAGE(D103:J103))</f>
        <v>0.719950150807477</v>
      </c>
      <c r="L103" s="60" t="n">
        <f aca="false">IF(COUNT(D103,J103)=2,J103-D103,"-")</f>
        <v>-0.248810615374552</v>
      </c>
    </row>
    <row r="104" customFormat="false" ht="15" hidden="false" customHeight="false" outlineLevel="0" collapsed="false">
      <c r="A104" s="16" t="s">
        <v>661</v>
      </c>
      <c r="B104" s="87" t="s">
        <v>662</v>
      </c>
      <c r="C104" s="17" t="s">
        <v>663</v>
      </c>
      <c r="D104" s="72" t="n">
        <f aca="false">IF(D49&gt;0,D41/D49,"N/M")</f>
        <v>0.164344283509552</v>
      </c>
      <c r="E104" s="72" t="n">
        <f aca="false">IF(E49&gt;0,E41/E49,"N/M")</f>
        <v>0.223040671572404</v>
      </c>
      <c r="F104" s="72" t="n">
        <f aca="false">IF(F49&gt;0,F41/F49,"N/M")</f>
        <v>0.208463925308046</v>
      </c>
      <c r="G104" s="72" t="n">
        <f aca="false">IF(G49&gt;0,G41/G49,"N/M")</f>
        <v>0.154625335815395</v>
      </c>
      <c r="H104" s="72" t="n">
        <f aca="false">IF(H49&gt;0,H41/H49,"N/M")</f>
        <v>0.175179134958109</v>
      </c>
      <c r="I104" s="72" t="n">
        <f aca="false">IF(I49&gt;0,I41/I49,"N/M")</f>
        <v>0.16798846993701</v>
      </c>
      <c r="J104" s="72" t="n">
        <f aca="false">IF(J49&gt;0,J41/J49,"N/M")</f>
        <v>0.150922492585009</v>
      </c>
      <c r="K104" s="56" t="n">
        <f aca="false">IF(COUNT(D104:J104)=0,"N/M",AVERAGE(D104:J104))</f>
        <v>0.177794901955075</v>
      </c>
      <c r="L104" s="60" t="n">
        <f aca="false">IF(COUNT(D104,J104)=2,J104-D104,"-")</f>
        <v>-0.0134217909245438</v>
      </c>
    </row>
    <row r="105" customFormat="false" ht="15" hidden="false" customHeight="false" outlineLevel="0" collapsed="false">
      <c r="A105" s="16" t="s">
        <v>664</v>
      </c>
      <c r="B105" s="87" t="s">
        <v>665</v>
      </c>
      <c r="C105" s="17" t="s">
        <v>663</v>
      </c>
      <c r="D105" s="72" t="n">
        <f aca="false">IF(D91&gt;0,D41/D91,"N/M")</f>
        <v>0.222734725163369</v>
      </c>
      <c r="E105" s="72" t="n">
        <f aca="false">IF(E91&gt;0,E41/E91,"N/M")</f>
        <v>0.30517479019942</v>
      </c>
      <c r="F105" s="72" t="n">
        <f aca="false">IF(F91&gt;0,F41/F91,"N/M")</f>
        <v>0.288627172762573</v>
      </c>
      <c r="G105" s="72" t="n">
        <f aca="false">IF(G91&gt;0,G41/G91,"N/M")</f>
        <v>0.20576417434688</v>
      </c>
      <c r="H105" s="72" t="n">
        <f aca="false">IF(H91&gt;0,H41/H91,"N/M")</f>
        <v>0.226318808580644</v>
      </c>
      <c r="I105" s="72" t="n">
        <f aca="false">IF(I91&gt;0,I41/I91,"N/M")</f>
        <v>0.205563140816235</v>
      </c>
      <c r="J105" s="72" t="n">
        <f aca="false">IF(J91&gt;0,J41/J91,"N/M")</f>
        <v>0.1840782752576</v>
      </c>
      <c r="K105" s="56" t="n">
        <f aca="false">IF(COUNT(D105:J105)=0,"N/M",AVERAGE(D105:J105))</f>
        <v>0.23403729816096</v>
      </c>
      <c r="L105" s="60" t="n">
        <f aca="false">IF(COUNT(D105,J105)=2,J105-D105,"-")</f>
        <v>-0.0386564499057689</v>
      </c>
    </row>
    <row r="106" customFormat="false" ht="15" hidden="false" customHeight="false" outlineLevel="0" collapsed="false">
      <c r="A106" s="16" t="s">
        <v>666</v>
      </c>
      <c r="B106" s="87" t="s">
        <v>667</v>
      </c>
      <c r="C106" s="17" t="s">
        <v>668</v>
      </c>
      <c r="D106" s="72" t="n">
        <f aca="false">IF(D49&gt;0,D40/D49,"N/M")</f>
        <v>0.573503321478897</v>
      </c>
      <c r="E106" s="72" t="n">
        <f aca="false">IF(E49&gt;0,E40/E49,"N/M")</f>
        <v>0.507821374491937</v>
      </c>
      <c r="F106" s="72" t="n">
        <f aca="false">IF(F49&gt;0,F40/F49,"N/M")</f>
        <v>0.513796294728583</v>
      </c>
      <c r="G106" s="72" t="n">
        <f aca="false">IF(G49&gt;0,G40/G49,"N/M")</f>
        <v>0.596843360356786</v>
      </c>
      <c r="H106" s="72" t="n">
        <f aca="false">IF(H49&gt;0,H40/H49,"N/M")</f>
        <v>0.598857879714879</v>
      </c>
      <c r="I106" s="72" t="n">
        <f aca="false">IF(I49&gt;0,I40/I49,"N/M")</f>
        <v>0.649222579037891</v>
      </c>
      <c r="J106" s="72" t="n">
        <f aca="false">IF(J49&gt;0,J40/J49,"N/M")</f>
        <v>0.668959660123163</v>
      </c>
      <c r="K106" s="56" t="n">
        <f aca="false">IF(COUNT(D106:J106)=0,"N/M",AVERAGE(D106:J106))</f>
        <v>0.587000638561734</v>
      </c>
      <c r="L106" s="60" t="n">
        <f aca="false">IF(COUNT(D106,J106)=2,J106-D106,"-")</f>
        <v>0.095456338644266</v>
      </c>
    </row>
    <row r="107" customFormat="false" ht="15" hidden="false" customHeight="false" outlineLevel="0" collapsed="false">
      <c r="A107" s="16" t="s">
        <v>669</v>
      </c>
      <c r="B107" s="87" t="s">
        <v>670</v>
      </c>
      <c r="C107" s="17" t="s">
        <v>97</v>
      </c>
      <c r="D107" s="72" t="n">
        <f aca="false">IF(D39&gt;0,(D41+D37)/D39,"N/M")</f>
        <v>0.28656204306848</v>
      </c>
      <c r="E107" s="72" t="n">
        <f aca="false">IF(E39&gt;0,(E41+E37)/E39,"N/M")</f>
        <v>0.439210877634977</v>
      </c>
      <c r="F107" s="72" t="n">
        <f aca="false">IF(F39&gt;0,(F41+F37)/F39,"N/M")</f>
        <v>0.405732636546491</v>
      </c>
      <c r="G107" s="72" t="n">
        <f aca="false">IF(G39&gt;0,(G41+G37)/G39,"N/M")</f>
        <v>0.259071887342371</v>
      </c>
      <c r="H107" s="72" t="n">
        <f aca="false">IF(H39&gt;0,(H41+H37)/H39,"N/M")</f>
        <v>0.292522050543132</v>
      </c>
      <c r="I107" s="72" t="n">
        <f aca="false">IF(I39&gt;0,(I41+I37)/I39,"N/M")</f>
        <v>0.258753277167223</v>
      </c>
      <c r="J107" s="72" t="n">
        <f aca="false">IF(J39&gt;0,(J41+J37)/J39,"N/M")</f>
        <v>0.225607763190417</v>
      </c>
      <c r="K107" s="56" t="n">
        <f aca="false">IF(COUNT(D107:J107)=0,"N/M",AVERAGE(D107:J107))</f>
        <v>0.309637219356156</v>
      </c>
      <c r="L107" s="60" t="n">
        <f aca="false">IF(COUNT(D107,J107)=2,J107-D107,"-")</f>
        <v>-0.0609542798780633</v>
      </c>
    </row>
    <row r="108" customFormat="false" ht="15" hidden="false" customHeight="false" outlineLevel="0" collapsed="false">
      <c r="A108" s="16" t="s">
        <v>671</v>
      </c>
      <c r="B108" s="87" t="s">
        <v>672</v>
      </c>
      <c r="C108" s="17" t="s">
        <v>97</v>
      </c>
      <c r="D108" s="72" t="n">
        <f aca="false">IF(D21&gt;0,D41/D21,"N/M")</f>
        <v>1.39765282863823</v>
      </c>
      <c r="E108" s="72" t="n">
        <f aca="false">IF(E21&gt;0,E41/E21,"N/M")</f>
        <v>2.26743532868583</v>
      </c>
      <c r="F108" s="72" t="n">
        <f aca="false">IF(F21&gt;0,F41/F21,"N/M")</f>
        <v>1.40046571020807</v>
      </c>
      <c r="G108" s="72" t="n">
        <f aca="false">IF(G21&gt;0,G41/G21,"N/M")</f>
        <v>0.979417655802057</v>
      </c>
      <c r="H108" s="72" t="n">
        <f aca="false">IF(H21&gt;0,H41/H21,"N/M")</f>
        <v>1.3623533774861</v>
      </c>
      <c r="I108" s="72" t="n">
        <f aca="false">IF(I21&gt;0,I41/I21,"N/M")</f>
        <v>1.17733573249519</v>
      </c>
      <c r="J108" s="72" t="n">
        <f aca="false">IF(J21&gt;0,J41/J21,"N/M")</f>
        <v>1.05819919517103</v>
      </c>
      <c r="K108" s="56" t="n">
        <f aca="false">IF(COUNT(D108:J108)=0,"N/M",AVERAGE(D108:J108))</f>
        <v>1.3775514040695</v>
      </c>
      <c r="L108" s="60" t="n">
        <f aca="false">IF(COUNT(D108,J108)=2,J108-D108,"-")</f>
        <v>-0.339453633467204</v>
      </c>
    </row>
    <row r="109" customFormat="false" ht="16.5" hidden="false" customHeight="true" outlineLevel="0" collapsed="false">
      <c r="A109" s="88" t="s">
        <v>673</v>
      </c>
      <c r="B109" s="89"/>
      <c r="C109" s="89"/>
      <c r="D109" s="89"/>
      <c r="E109" s="89"/>
      <c r="F109" s="89"/>
      <c r="G109" s="89"/>
      <c r="H109" s="89"/>
      <c r="I109" s="89"/>
      <c r="J109" s="89"/>
      <c r="K109" s="89"/>
      <c r="L109" s="89"/>
    </row>
    <row r="110" customFormat="false" ht="15" hidden="false" customHeight="false" outlineLevel="0" collapsed="false">
      <c r="A110" s="16" t="s">
        <v>674</v>
      </c>
      <c r="B110" s="87" t="s">
        <v>675</v>
      </c>
      <c r="C110" s="17" t="s">
        <v>676</v>
      </c>
      <c r="D110" s="73" t="n">
        <f aca="false">IF(D25&gt;0,D23/D25,"N/M")</f>
        <v>4.63213924085275</v>
      </c>
      <c r="E110" s="73" t="n">
        <f aca="false">IF(E25&gt;0,E23/E25,"N/M")</f>
        <v>2.42748837858868</v>
      </c>
      <c r="F110" s="73" t="n">
        <f aca="false">IF(F25&gt;0,F23/F25,"N/M")</f>
        <v>9.62757283943022</v>
      </c>
      <c r="G110" s="73" t="n">
        <f aca="false">IF(G25&gt;0,G23/G25,"N/M")</f>
        <v>9.92583701427567</v>
      </c>
      <c r="H110" s="73" t="n">
        <f aca="false">IF(H25&gt;0,H23/H25,"N/M")</f>
        <v>5.05254720761922</v>
      </c>
      <c r="I110" s="73" t="n">
        <f aca="false">IF(I25&gt;0,I23/I25,"N/M")</f>
        <v>5.62062445704942</v>
      </c>
      <c r="J110" s="73" t="n">
        <f aca="false">IF(J25&gt;0,J23/J25,"N/M")</f>
        <v>5.72440525219246</v>
      </c>
      <c r="K110" s="60" t="n">
        <f aca="false">IF(COUNT(D110:J110)=0,"N/M",AVERAGE(D110:J110))</f>
        <v>6.14437348428691</v>
      </c>
      <c r="L110" s="60" t="n">
        <f aca="false">IF(COUNT(D110,J110)=2,J110-D110,"-")</f>
        <v>1.09226601133971</v>
      </c>
    </row>
    <row r="111" customFormat="false" ht="15" hidden="false" customHeight="false" outlineLevel="0" collapsed="false">
      <c r="A111" s="16" t="s">
        <v>677</v>
      </c>
      <c r="B111" s="87" t="s">
        <v>678</v>
      </c>
      <c r="C111" s="17" t="s">
        <v>115</v>
      </c>
      <c r="D111" s="73" t="n">
        <f aca="false">IF(D31&gt;0,D30/D31,"N/M")</f>
        <v>2.08347662967016</v>
      </c>
      <c r="E111" s="73" t="n">
        <f aca="false">IF(E31&gt;0,E30/E31,"N/M")</f>
        <v>-0.498738140860868</v>
      </c>
      <c r="F111" s="73" t="n">
        <f aca="false">IF(F31&gt;0,F30/F31,"N/M")</f>
        <v>3.02040339728856</v>
      </c>
      <c r="G111" s="73" t="n">
        <f aca="false">IF(G31&gt;0,G30/G31,"N/M")</f>
        <v>1.92275560122412</v>
      </c>
      <c r="H111" s="73" t="n">
        <f aca="false">IF(H31&gt;0,H30/H31,"N/M")</f>
        <v>2.16069129763131</v>
      </c>
      <c r="I111" s="73" t="n">
        <f aca="false">IF(I31&gt;0,I30/I31,"N/M")</f>
        <v>1.72762645914397</v>
      </c>
      <c r="J111" s="73" t="n">
        <f aca="false">IF(J31&gt;0,J30/J31,"N/M")</f>
        <v>2.50338296648844</v>
      </c>
      <c r="K111" s="60" t="n">
        <f aca="false">IF(COUNT(D111:J111)=0,"N/M",AVERAGE(D111:J111))</f>
        <v>1.84565688722653</v>
      </c>
      <c r="L111" s="60" t="n">
        <f aca="false">IF(COUNT(D111,J111)=2,J111-D111,"-")</f>
        <v>0.419906336818287</v>
      </c>
    </row>
    <row r="112" customFormat="false" ht="15" hidden="false" customHeight="false" outlineLevel="0" collapsed="false">
      <c r="A112" s="16" t="s">
        <v>679</v>
      </c>
      <c r="B112" s="87" t="s">
        <v>680</v>
      </c>
      <c r="C112" s="17" t="s">
        <v>115</v>
      </c>
      <c r="D112" s="73" t="n">
        <f aca="false">IF(D25+D76&gt;0,D21/(D25+D76/(1-D77)),"N/M")</f>
        <v>1.25592931434779</v>
      </c>
      <c r="E112" s="73" t="n">
        <f aca="false">IF(E25+E76&gt;0,E21/(E25+E76/(1-E77)),"N/M")</f>
        <v>2.16938170485554</v>
      </c>
      <c r="F112" s="73" t="n">
        <f aca="false">IF(F25+F76&gt;0,F21/(F25+F76/(1-F77)),"N/M")</f>
        <v>3.24176488546235</v>
      </c>
      <c r="G112" s="73" t="n">
        <f aca="false">IF(G25+G76&gt;0,G21/(G25+G76/(1-G77)),"N/M")</f>
        <v>2.70672507956797</v>
      </c>
      <c r="H112" s="73" t="n">
        <f aca="false">IF(H25+H76&gt;0,H21/(H25+H76/(1-H77)),"N/M")</f>
        <v>3.5763658968866</v>
      </c>
      <c r="I112" s="73" t="n">
        <f aca="false">IF(I25+I76&gt;0,I21/(I25+I76/(1-I77)),"N/M")</f>
        <v>2.8755487205119</v>
      </c>
      <c r="J112" s="73" t="n">
        <f aca="false">IF(J25+J76&gt;0,J21/(J25+J76/(1-J77)),"N/M")</f>
        <v>2.84379624480954</v>
      </c>
      <c r="K112" s="60" t="n">
        <f aca="false">IF(COUNT(D112:J112)=0,"N/M",AVERAGE(D112:J112))</f>
        <v>2.66707312092024</v>
      </c>
      <c r="L112" s="60" t="n">
        <f aca="false">IF(COUNT(D112,J112)=2,J112-D112,"-")</f>
        <v>1.58786693046176</v>
      </c>
    </row>
    <row r="113" customFormat="false" ht="15" hidden="false" customHeight="false" outlineLevel="0" collapsed="false">
      <c r="A113" s="16" t="s">
        <v>681</v>
      </c>
      <c r="B113" s="87" t="s">
        <v>682</v>
      </c>
      <c r="C113" s="17" t="s">
        <v>115</v>
      </c>
      <c r="D113" s="73" t="n">
        <f aca="false">IF(D25+D76&gt;0,(D63+D27)/(D25+D76/(1-D77)),"N/M")</f>
        <v>2.38637094948349</v>
      </c>
      <c r="E113" s="73" t="n">
        <f aca="false">IF(E25+E76&gt;0,(E63+E27)/(E25+E76/(1-E77)),"N/M")</f>
        <v>2.51981896598045</v>
      </c>
      <c r="F113" s="73" t="n">
        <f aca="false">IF(F25+F76&gt;0,(F63+F27)/(F25+F76/(1-F77)),"N/M")</f>
        <v>3.16292534155348</v>
      </c>
      <c r="G113" s="73" t="n">
        <f aca="false">IF(G25+G76&gt;0,(G63+G27)/(G25+G76/(1-G77)),"N/M")</f>
        <v>2.8737713567473</v>
      </c>
      <c r="H113" s="73" t="n">
        <f aca="false">IF(H25+H76&gt;0,(H63+H27)/(H25+H76/(1-H77)),"N/M")</f>
        <v>2.8971262154713</v>
      </c>
      <c r="I113" s="73" t="n">
        <f aca="false">IF(I25+I76&gt;0,(I63+I27)/(I25+I76/(1-I77)),"N/M")</f>
        <v>2.98452848494874</v>
      </c>
      <c r="J113" s="73" t="n">
        <f aca="false">IF(J25+J76&gt;0,(J63+J27)/(J25+J76/(1-J77)),"N/M")</f>
        <v>2.6599249407084</v>
      </c>
      <c r="K113" s="60" t="n">
        <f aca="false">IF(COUNT(D113:J113)=0,"N/M",AVERAGE(D113:J113))</f>
        <v>2.78349517927045</v>
      </c>
      <c r="L113" s="60" t="n">
        <f aca="false">IF(COUNT(D113,J113)=2,J113-D113,"-")</f>
        <v>0.273553991224908</v>
      </c>
    </row>
    <row r="114" customFormat="false" ht="15" hidden="false" customHeight="false" outlineLevel="0" collapsed="false">
      <c r="A114" s="16" t="s">
        <v>683</v>
      </c>
      <c r="B114" s="87" t="s">
        <v>684</v>
      </c>
      <c r="C114" s="17" t="s">
        <v>685</v>
      </c>
      <c r="D114" s="73" t="n">
        <f aca="false">IF(D75&gt;0,D63/D75,"N/M")</f>
        <v>1.27790989607963</v>
      </c>
      <c r="E114" s="73" t="n">
        <f aca="false">IF(E75&gt;0,E63/E75,"N/M")</f>
        <v>4.20522075597008</v>
      </c>
      <c r="F114" s="73" t="n">
        <f aca="false">IF(F75&gt;0,F63/F75,"N/M")</f>
        <v>1.97598509528596</v>
      </c>
      <c r="G114" s="73" t="n">
        <f aca="false">IF(G75&gt;0,G63/G75,"N/M")</f>
        <v>2.17125549229129</v>
      </c>
      <c r="H114" s="73" t="n">
        <f aca="false">IF(H75&gt;0,H63/H75,"N/M")</f>
        <v>1.42134631558517</v>
      </c>
      <c r="I114" s="73" t="n">
        <f aca="false">IF(I75&gt;0,I63/I75,"N/M")</f>
        <v>3.14435421924723</v>
      </c>
      <c r="J114" s="73" t="n">
        <f aca="false">IF(J75&gt;0,J63/J75,"N/M")</f>
        <v>2.9167183284291</v>
      </c>
      <c r="K114" s="60" t="n">
        <f aca="false">IF(COUNT(D114:J114)=0,"N/M",AVERAGE(D114:J114))</f>
        <v>2.44468430041264</v>
      </c>
      <c r="L114" s="60" t="n">
        <f aca="false">IF(COUNT(D114,J114)=2,J114-D114,"-")</f>
        <v>1.63880843234948</v>
      </c>
    </row>
    <row r="115" customFormat="false" ht="15" hidden="false" customHeight="false" outlineLevel="0" collapsed="false">
      <c r="A115" s="16" t="s">
        <v>686</v>
      </c>
      <c r="B115" s="87" t="s">
        <v>687</v>
      </c>
      <c r="C115" s="17" t="s">
        <v>688</v>
      </c>
      <c r="D115" s="73" t="n">
        <f aca="false">IF(D25+D76&gt;0,(D30+D25+D22)/(D25+D76),"N/M")</f>
        <v>1.25890208103314</v>
      </c>
      <c r="E115" s="73" t="n">
        <f aca="false">IF(E25+E76&gt;0,(E30+E25+E22)/(E25+E76),"N/M")</f>
        <v>1.83359458708679</v>
      </c>
      <c r="F115" s="73" t="n">
        <f aca="false">IF(F25+F76&gt;0,(F30+F25+F22)/(F25+F76),"N/M")</f>
        <v>3.68736052804829</v>
      </c>
      <c r="G115" s="73" t="n">
        <f aca="false">IF(G25+G76&gt;0,(G30+G25+G22)/(G25+G76),"N/M")</f>
        <v>2.85480357017359</v>
      </c>
      <c r="H115" s="73" t="n">
        <f aca="false">IF(H25+H76&gt;0,(H30+H25+H22)/(H25+H76),"N/M")</f>
        <v>4.47495092511381</v>
      </c>
      <c r="I115" s="73" t="n">
        <f aca="false">IF(I25+I76&gt;0,(I30+I25+I22)/(I25+I76),"N/M")</f>
        <v>3.55525461410876</v>
      </c>
      <c r="J115" s="73" t="n">
        <f aca="false">IF(J25+J76&gt;0,(J30+J25+J22)/(J25+J76),"N/M")</f>
        <v>3.44071251329316</v>
      </c>
      <c r="K115" s="60" t="n">
        <f aca="false">IF(COUNT(D115:J115)=0,"N/M",AVERAGE(D115:J115))</f>
        <v>3.01508268840822</v>
      </c>
      <c r="L115" s="60" t="n">
        <f aca="false">IF(COUNT(D115,J115)=2,J115-D115,"-")</f>
        <v>2.18181043226002</v>
      </c>
    </row>
    <row r="116" customFormat="false" ht="16.5" hidden="false" customHeight="true" outlineLevel="0" collapsed="false">
      <c r="A116" s="88" t="s">
        <v>689</v>
      </c>
      <c r="B116" s="89"/>
      <c r="C116" s="89"/>
      <c r="D116" s="89"/>
      <c r="E116" s="89"/>
      <c r="F116" s="89"/>
      <c r="G116" s="89"/>
      <c r="H116" s="89"/>
      <c r="I116" s="89"/>
      <c r="J116" s="89"/>
      <c r="K116" s="89"/>
      <c r="L116" s="89"/>
    </row>
    <row r="117" customFormat="false" ht="15" hidden="false" customHeight="false" outlineLevel="0" collapsed="false">
      <c r="A117" s="16" t="s">
        <v>690</v>
      </c>
      <c r="B117" s="87" t="s">
        <v>691</v>
      </c>
      <c r="C117" s="17" t="s">
        <v>692</v>
      </c>
      <c r="D117" s="73" t="n">
        <f aca="false">IF(D51&gt;0,D13/D51,"N/M")</f>
        <v>209.623475783476</v>
      </c>
      <c r="E117" s="73" t="n">
        <f aca="false">IF(E51&gt;0,E13/E51,"N/M")</f>
        <v>216.092725905233</v>
      </c>
      <c r="F117" s="73" t="n">
        <f aca="false">IF(F51&gt;0,F13/F51,"N/M")</f>
        <v>308.906749823961</v>
      </c>
      <c r="G117" s="73" t="n">
        <f aca="false">IF(G51&gt;0,G13/G51,"N/M")</f>
        <v>364.292957100252</v>
      </c>
      <c r="H117" s="73" t="n">
        <f aca="false">IF(H51&gt;0,H13/H51,"N/M")</f>
        <v>237.594145099703</v>
      </c>
      <c r="I117" s="73" t="n">
        <f aca="false">IF(I51&gt;0,I13/I51,"N/M")</f>
        <v>193.41863838274</v>
      </c>
      <c r="J117" s="73" t="n">
        <f aca="false">IF(J51&gt;0,J13/J51,"N/M")</f>
        <v>186.716930572473</v>
      </c>
      <c r="K117" s="60" t="n">
        <f aca="false">IF(COUNT(D117:J117)=0,"N/M",AVERAGE(D117:J117))</f>
        <v>245.235088952548</v>
      </c>
      <c r="L117" s="60" t="n">
        <f aca="false">IF(COUNT(D117,J117)=2,J117-D117,"-")</f>
        <v>-22.9065452110032</v>
      </c>
    </row>
    <row r="118" customFormat="false" ht="15" hidden="false" customHeight="false" outlineLevel="0" collapsed="false">
      <c r="A118" s="16" t="s">
        <v>693</v>
      </c>
      <c r="B118" s="87" t="s">
        <v>694</v>
      </c>
      <c r="C118" s="17" t="s">
        <v>653</v>
      </c>
      <c r="D118" s="74" t="n">
        <f aca="false">IF(D13&gt;0,D51/D13*Setup!$C$8,"N/M")</f>
        <v>1.74121719256776</v>
      </c>
      <c r="E118" s="74" t="n">
        <f aca="false">IF(E13&gt;0,E51/E13*Setup!$C$8,"N/M")</f>
        <v>1.68908971123846</v>
      </c>
      <c r="F118" s="74" t="n">
        <f aca="false">IF(F13&gt;0,F51/F13*Setup!$C$8,"N/M")</f>
        <v>1.18158635318913</v>
      </c>
      <c r="G118" s="74" t="n">
        <f aca="false">IF(G13&gt;0,G51/G13*Setup!$C$8,"N/M")</f>
        <v>1.00194086348903</v>
      </c>
      <c r="H118" s="74" t="n">
        <f aca="false">IF(H13&gt;0,H51/H13*Setup!$C$8,"N/M")</f>
        <v>1.53623314180083</v>
      </c>
      <c r="I118" s="74" t="n">
        <f aca="false">IF(I13&gt;0,I51/I13*Setup!$C$8,"N/M")</f>
        <v>1.88709838437459</v>
      </c>
      <c r="J118" s="74" t="n">
        <f aca="false">IF(J13&gt;0,J51/J13*Setup!$C$8,"N/M")</f>
        <v>1.9548307637712</v>
      </c>
      <c r="K118" s="58" t="n">
        <f aca="false">IF(COUNT(D118:J118)=0,"N/M",AVERAGE(D118:J118))</f>
        <v>1.57028520149014</v>
      </c>
      <c r="L118" s="58" t="n">
        <f aca="false">IF(COUNT(D118,J118)=2,J118-D118,"-")</f>
        <v>0.213613571203434</v>
      </c>
    </row>
    <row r="119" customFormat="false" ht="15" hidden="false" customHeight="false" outlineLevel="0" collapsed="false">
      <c r="A119" s="16" t="s">
        <v>695</v>
      </c>
      <c r="B119" s="87" t="s">
        <v>696</v>
      </c>
      <c r="C119" s="17" t="s">
        <v>692</v>
      </c>
      <c r="D119" s="73" t="n">
        <f aca="false">IF(D50&gt;0,D7/D50,"N/M")</f>
        <v>7.57808789398817</v>
      </c>
      <c r="E119" s="73" t="n">
        <f aca="false">IF(E50&gt;0,E7/E50,"N/M")</f>
        <v>6.49042587692293</v>
      </c>
      <c r="F119" s="73" t="n">
        <f aca="false">IF(F50&gt;0,F7/F50,"N/M")</f>
        <v>7.76369444524628</v>
      </c>
      <c r="G119" s="73" t="n">
        <f aca="false">IF(G50&gt;0,G7/G50,"N/M")</f>
        <v>9.58614442023116</v>
      </c>
      <c r="H119" s="73" t="n">
        <f aca="false">IF(H50&gt;0,H7/H50,"N/M")</f>
        <v>7.75925777714845</v>
      </c>
      <c r="I119" s="73" t="n">
        <f aca="false">IF(I50&gt;0,I7/I50,"N/M")</f>
        <v>8.79219105290677</v>
      </c>
      <c r="J119" s="73" t="n">
        <f aca="false">IF(J50&gt;0,J7/J50,"N/M")</f>
        <v>8.12323179704898</v>
      </c>
      <c r="K119" s="60" t="n">
        <f aca="false">IF(COUNT(D119:J119)=0,"N/M",AVERAGE(D119:J119))</f>
        <v>8.01329046621325</v>
      </c>
      <c r="L119" s="60" t="n">
        <f aca="false">IF(COUNT(D119,J119)=2,J119-D119,"-")</f>
        <v>0.545143903060807</v>
      </c>
    </row>
    <row r="120" customFormat="false" ht="15" hidden="false" customHeight="false" outlineLevel="0" collapsed="false">
      <c r="A120" s="16" t="s">
        <v>697</v>
      </c>
      <c r="B120" s="87" t="s">
        <v>698</v>
      </c>
      <c r="C120" s="17" t="s">
        <v>653</v>
      </c>
      <c r="D120" s="74" t="n">
        <f aca="false">IF(D7&gt;0,D50/D7*Setup!$C$8,"N/M")</f>
        <v>48.1651842926711</v>
      </c>
      <c r="E120" s="74" t="n">
        <f aca="false">IF(E7&gt;0,E50/E7*Setup!$C$8,"N/M")</f>
        <v>56.236679521721</v>
      </c>
      <c r="F120" s="74" t="n">
        <f aca="false">IF(F7&gt;0,F50/F7*Setup!$C$8,"N/M")</f>
        <v>47.0136998015797</v>
      </c>
      <c r="G120" s="74" t="n">
        <f aca="false">IF(G7&gt;0,G50/G7*Setup!$C$8,"N/M")</f>
        <v>38.0757877202103</v>
      </c>
      <c r="H120" s="74" t="n">
        <f aca="false">IF(H7&gt;0,H50/H7*Setup!$C$8,"N/M")</f>
        <v>47.0405817776734</v>
      </c>
      <c r="I120" s="74" t="n">
        <f aca="false">IF(I7&gt;0,I50/I7*Setup!$C$8,"N/M")</f>
        <v>41.5141115341582</v>
      </c>
      <c r="J120" s="74" t="n">
        <f aca="false">IF(J7&gt;0,J50/J7*Setup!$C$8,"N/M")</f>
        <v>44.9328554347788</v>
      </c>
      <c r="K120" s="58" t="n">
        <f aca="false">IF(COUNT(D120:J120)=0,"N/M",AVERAGE(D120:J120))</f>
        <v>46.1398428689704</v>
      </c>
      <c r="L120" s="58" t="n">
        <f aca="false">IF(COUNT(D120,J120)=2,J120-D120,"-")</f>
        <v>-3.23232885789231</v>
      </c>
    </row>
    <row r="121" customFormat="false" ht="15" hidden="false" customHeight="false" outlineLevel="0" collapsed="false">
      <c r="A121" s="16" t="s">
        <v>699</v>
      </c>
      <c r="B121" s="87" t="s">
        <v>700</v>
      </c>
      <c r="C121" s="17" t="s">
        <v>692</v>
      </c>
      <c r="D121" s="73" t="n">
        <f aca="false">IF(D42&gt;0,D13/D42,"N/M")</f>
        <v>2.69042855053386</v>
      </c>
      <c r="E121" s="73" t="n">
        <f aca="false">IF(E42&gt;0,E13/E42,"N/M")</f>
        <v>2.64685057453112</v>
      </c>
      <c r="F121" s="73" t="n">
        <f aca="false">IF(F42&gt;0,F13/F42,"N/M")</f>
        <v>3.53210690492841</v>
      </c>
      <c r="G121" s="73" t="n">
        <f aca="false">IF(G42&gt;0,G13/G42,"N/M")</f>
        <v>4.27152706232364</v>
      </c>
      <c r="H121" s="73" t="n">
        <f aca="false">IF(H42&gt;0,H13/H42,"N/M")</f>
        <v>3.99275469782484</v>
      </c>
      <c r="I121" s="73" t="n">
        <f aca="false">IF(I42&gt;0,I13/I42,"N/M")</f>
        <v>4.33695762646405</v>
      </c>
      <c r="J121" s="73" t="n">
        <f aca="false">IF(J42&gt;0,J13/J42,"N/M")</f>
        <v>4.36126258210255</v>
      </c>
      <c r="K121" s="60" t="n">
        <f aca="false">IF(COUNT(D121:J121)=0,"N/M",AVERAGE(D121:J121))</f>
        <v>3.69026971410121</v>
      </c>
      <c r="L121" s="60" t="n">
        <f aca="false">IF(COUNT(D121,J121)=2,J121-D121,"-")</f>
        <v>1.67083403156869</v>
      </c>
    </row>
    <row r="122" customFormat="false" ht="15" hidden="false" customHeight="false" outlineLevel="0" collapsed="false">
      <c r="A122" s="16" t="s">
        <v>701</v>
      </c>
      <c r="B122" s="87" t="s">
        <v>702</v>
      </c>
      <c r="C122" s="17" t="s">
        <v>653</v>
      </c>
      <c r="D122" s="74" t="n">
        <f aca="false">IF(D13&gt;0,D42/D13*Setup!$C$8,"N/M")</f>
        <v>135.666119038015</v>
      </c>
      <c r="E122" s="74" t="n">
        <f aca="false">IF(E13&gt;0,E42/E13*Setup!$C$8,"N/M")</f>
        <v>137.899737715515</v>
      </c>
      <c r="F122" s="74" t="n">
        <f aca="false">IF(F13&gt;0,F42/F13*Setup!$C$8,"N/M")</f>
        <v>103.337755573227</v>
      </c>
      <c r="G122" s="74" t="n">
        <f aca="false">IF(G13&gt;0,G42/G13*Setup!$C$8,"N/M")</f>
        <v>85.4495347154481</v>
      </c>
      <c r="H122" s="74" t="n">
        <f aca="false">IF(H13&gt;0,H42/H13*Setup!$C$8,"N/M")</f>
        <v>91.4155833812789</v>
      </c>
      <c r="I122" s="74" t="n">
        <f aca="false">IF(I13&gt;0,I42/I13*Setup!$C$8,"N/M")</f>
        <v>84.1603795648765</v>
      </c>
      <c r="J122" s="74" t="n">
        <f aca="false">IF(J13&gt;0,J42/J13*Setup!$C$8,"N/M")</f>
        <v>83.6913607306889</v>
      </c>
      <c r="K122" s="58" t="n">
        <f aca="false">IF(COUNT(D122:J122)=0,"N/M",AVERAGE(D122:J122))</f>
        <v>103.08863867415</v>
      </c>
      <c r="L122" s="58" t="n">
        <f aca="false">IF(COUNT(D122,J122)=2,J122-D122,"-")</f>
        <v>-51.9747583073258</v>
      </c>
    </row>
    <row r="123" customFormat="false" ht="15" hidden="false" customHeight="false" outlineLevel="0" collapsed="false">
      <c r="A123" s="16" t="s">
        <v>703</v>
      </c>
      <c r="B123" s="87" t="s">
        <v>704</v>
      </c>
      <c r="C123" s="17" t="s">
        <v>653</v>
      </c>
      <c r="D123" s="74" t="n">
        <f aca="false">IF(COUNT(D118,D120,D122)=3,D118+D120-D122,"N/M")</f>
        <v>-85.7597175527759</v>
      </c>
      <c r="E123" s="74" t="n">
        <f aca="false">IF(COUNT(E118,E120,E122)=3,E118+E120-E122,"N/M")</f>
        <v>-79.9739684825552</v>
      </c>
      <c r="F123" s="74" t="n">
        <f aca="false">IF(COUNT(F118,F120,F122)=3,F118+F120-F122,"N/M")</f>
        <v>-55.1424694184584</v>
      </c>
      <c r="G123" s="74" t="n">
        <f aca="false">IF(COUNT(G118,G120,G122)=3,G118+G120-G122,"N/M")</f>
        <v>-46.3718061317488</v>
      </c>
      <c r="H123" s="74" t="n">
        <f aca="false">IF(COUNT(H118,H120,H122)=3,H118+H120-H122,"N/M")</f>
        <v>-42.8387684618047</v>
      </c>
      <c r="I123" s="74" t="n">
        <f aca="false">IF(COUNT(I118,I120,I122)=3,I118+I120-I122,"N/M")</f>
        <v>-40.7591696463436</v>
      </c>
      <c r="J123" s="74" t="n">
        <f aca="false">IF(COUNT(J118,J120,J122)=3,J118+J120-J122,"N/M")</f>
        <v>-36.803674532139</v>
      </c>
      <c r="K123" s="58" t="n">
        <f aca="false">IF(COUNT(D123:J123)=0,"N/M",AVERAGE(D123:J123))</f>
        <v>-55.3785106036894</v>
      </c>
      <c r="L123" s="58" t="n">
        <f aca="false">IF(COUNT(D123,J123)=2,J123-D123,"-")</f>
        <v>48.9560430206369</v>
      </c>
    </row>
    <row r="124" customFormat="false" ht="15" hidden="false" customHeight="false" outlineLevel="0" collapsed="false">
      <c r="A124" s="16" t="s">
        <v>705</v>
      </c>
      <c r="B124" s="87" t="s">
        <v>706</v>
      </c>
      <c r="C124" s="17" t="s">
        <v>692</v>
      </c>
      <c r="D124" s="73" t="n">
        <f aca="false">IF(D45&gt;0,D7/D45,"N/M")</f>
        <v>2.29522906821707</v>
      </c>
      <c r="E124" s="73" t="n">
        <f aca="false">IF(E45&gt;0,E7/E45,"N/M")</f>
        <v>2.20412122663155</v>
      </c>
      <c r="F124" s="73" t="n">
        <f aca="false">IF(F45&gt;0,F7/F45,"N/M")</f>
        <v>3.14361041458553</v>
      </c>
      <c r="G124" s="73" t="n">
        <f aca="false">IF(G45&gt;0,G7/G45,"N/M")</f>
        <v>3.64377753877112</v>
      </c>
      <c r="H124" s="73" t="n">
        <f aca="false">IF(H45&gt;0,H7/H45,"N/M")</f>
        <v>2.89849081973472</v>
      </c>
      <c r="I124" s="73" t="n">
        <f aca="false">IF(I45&gt;0,I7/I45,"N/M")</f>
        <v>2.45990572857928</v>
      </c>
      <c r="J124" s="73" t="n">
        <f aca="false">IF(J45&gt;0,J7/J45,"N/M")</f>
        <v>2.40064303632609</v>
      </c>
      <c r="K124" s="60" t="n">
        <f aca="false">IF(COUNT(D124:J124)=0,"N/M",AVERAGE(D124:J124))</f>
        <v>2.72082540469219</v>
      </c>
      <c r="L124" s="60" t="n">
        <f aca="false">IF(COUNT(D124,J124)=2,J124-D124,"-")</f>
        <v>0.105413968109019</v>
      </c>
    </row>
    <row r="125" customFormat="false" ht="15" hidden="false" customHeight="false" outlineLevel="0" collapsed="false">
      <c r="A125" s="16" t="s">
        <v>707</v>
      </c>
      <c r="B125" s="87" t="s">
        <v>708</v>
      </c>
      <c r="C125" s="17" t="s">
        <v>692</v>
      </c>
      <c r="D125" s="73" t="n">
        <f aca="false">IF(D49&gt;0,D7/D49,"N/M")</f>
        <v>0.970279426002435</v>
      </c>
      <c r="E125" s="73" t="n">
        <f aca="false">IF(E49&gt;0,E7/E49,"N/M")</f>
        <v>0.978249696712094</v>
      </c>
      <c r="F125" s="73" t="n">
        <f aca="false">IF(F49&gt;0,F7/F49,"N/M")</f>
        <v>1.2888122117486</v>
      </c>
      <c r="G125" s="73" t="n">
        <f aca="false">IF(G49&gt;0,G7/G49,"N/M")</f>
        <v>1.40426039719896</v>
      </c>
      <c r="H125" s="73" t="n">
        <f aca="false">IF(H49&gt;0,H7/H49,"N/M")</f>
        <v>1.21830202163604</v>
      </c>
      <c r="I125" s="73" t="n">
        <f aca="false">IF(I49&gt;0,I7/I49,"N/M")</f>
        <v>1.07462475835058</v>
      </c>
      <c r="J125" s="73" t="n">
        <f aca="false">IF(J49&gt;0,J7/J49,"N/M")</f>
        <v>1.06546065869585</v>
      </c>
      <c r="K125" s="60" t="n">
        <f aca="false">IF(COUNT(D125:J125)=0,"N/M",AVERAGE(D125:J125))</f>
        <v>1.14285559576351</v>
      </c>
      <c r="L125" s="60" t="n">
        <f aca="false">IF(COUNT(D125,J125)=2,J125-D125,"-")</f>
        <v>0.0951812326934148</v>
      </c>
    </row>
    <row r="126" customFormat="false" ht="15" hidden="false" customHeight="false" outlineLevel="0" collapsed="false">
      <c r="A126" s="16" t="s">
        <v>709</v>
      </c>
      <c r="B126" s="87" t="s">
        <v>710</v>
      </c>
      <c r="C126" s="17" t="s">
        <v>692</v>
      </c>
      <c r="D126" s="73" t="n">
        <f aca="false">IF(D91&gt;0,D7/D91,"N/M")</f>
        <v>1.31501331635768</v>
      </c>
      <c r="E126" s="73" t="n">
        <f aca="false">IF(E91&gt;0,E7/E91,"N/M")</f>
        <v>1.33848747787619</v>
      </c>
      <c r="F126" s="73" t="n">
        <f aca="false">IF(F91&gt;0,F7/F91,"N/M")</f>
        <v>1.78441533396819</v>
      </c>
      <c r="G126" s="73" t="n">
        <f aca="false">IF(G91&gt;0,G7/G91,"N/M")</f>
        <v>1.86868781674068</v>
      </c>
      <c r="H126" s="73" t="n">
        <f aca="false">IF(H91&gt;0,H7/H91,"N/M")</f>
        <v>1.57395834894374</v>
      </c>
      <c r="I126" s="73" t="n">
        <f aca="false">IF(I91&gt;0,I7/I91,"N/M")</f>
        <v>1.31499049076561</v>
      </c>
      <c r="J126" s="73" t="n">
        <f aca="false">IF(J91&gt;0,J7/J91,"N/M")</f>
        <v>1.29952903008866</v>
      </c>
      <c r="K126" s="60" t="n">
        <f aca="false">IF(COUNT(D126:J126)=0,"N/M",AVERAGE(D126:J126))</f>
        <v>1.49929740210582</v>
      </c>
      <c r="L126" s="60" t="n">
        <f aca="false">IF(COUNT(D126,J126)=2,J126-D126,"-")</f>
        <v>-0.0154842862690272</v>
      </c>
    </row>
    <row r="127" customFormat="false" ht="15" hidden="false" customHeight="false" outlineLevel="0" collapsed="false">
      <c r="A127" s="16" t="s">
        <v>711</v>
      </c>
      <c r="B127" s="87" t="s">
        <v>712</v>
      </c>
      <c r="C127" s="17" t="s">
        <v>692</v>
      </c>
      <c r="D127" s="73" t="n">
        <f aca="false">IF(D88&gt;0,D7/D88,"N/M")</f>
        <v>2.37914915181253</v>
      </c>
      <c r="E127" s="73" t="n">
        <f aca="false">IF(E88&gt;0,E7/E88,"N/M")</f>
        <v>2.2260418832807</v>
      </c>
      <c r="F127" s="73" t="n">
        <f aca="false">IF(F88&gt;0,F7/F88,"N/M")</f>
        <v>2.70606744165612</v>
      </c>
      <c r="G127" s="73" t="n">
        <f aca="false">IF(G88&gt;0,G7/G88,"N/M")</f>
        <v>2.85925548814436</v>
      </c>
      <c r="H127" s="73" t="n">
        <f aca="false">IF(H88&gt;0,H7/H88,"N/M")</f>
        <v>2.58699262087297</v>
      </c>
      <c r="I127" s="73" t="n">
        <f aca="false">IF(I88&gt;0,I7/I88,"N/M")</f>
        <v>2.4295077973733</v>
      </c>
      <c r="J127" s="73" t="n">
        <f aca="false">IF(J88&gt;0,J7/J88,"N/M")</f>
        <v>2.42824976116863</v>
      </c>
      <c r="K127" s="60" t="n">
        <f aca="false">IF(COUNT(D127:J127)=0,"N/M",AVERAGE(D127:J127))</f>
        <v>2.5164663063298</v>
      </c>
      <c r="L127" s="60" t="n">
        <f aca="false">IF(COUNT(D127,J127)=2,J127-D127,"-")</f>
        <v>0.0491006093560924</v>
      </c>
    </row>
    <row r="128" customFormat="false" ht="15" hidden="false" customHeight="false" outlineLevel="0" collapsed="false">
      <c r="A128" s="16" t="s">
        <v>713</v>
      </c>
      <c r="B128" s="87" t="s">
        <v>714</v>
      </c>
      <c r="C128" s="17" t="s">
        <v>692</v>
      </c>
      <c r="D128" s="73" t="n">
        <f aca="false">IF(D95&gt;0,D7/D95,"N/M")</f>
        <v>6.66062944664812</v>
      </c>
      <c r="E128" s="73" t="n">
        <f aca="false">IF(E95&gt;0,E7/E95,"N/M")</f>
        <v>5.74363053682133</v>
      </c>
      <c r="F128" s="73" t="n">
        <f aca="false">IF(F95&gt;0,F7/F95,"N/M")</f>
        <v>6.49184730574092</v>
      </c>
      <c r="G128" s="73" t="n">
        <f aca="false">IF(G95&gt;0,G7/G95,"N/M")</f>
        <v>5.78845666288209</v>
      </c>
      <c r="H128" s="73" t="n">
        <f aca="false">IF(H95&gt;0,H7/H95,"N/M")</f>
        <v>4.97325565948021</v>
      </c>
      <c r="I128" s="73" t="n">
        <f aca="false">IF(I95&gt;0,I7/I95,"N/M")</f>
        <v>4.14060846920647</v>
      </c>
      <c r="J128" s="73" t="n">
        <f aca="false">IF(J95&gt;0,J7/J95,"N/M")</f>
        <v>4.11916522924366</v>
      </c>
      <c r="K128" s="60" t="n">
        <f aca="false">IF(COUNT(D128:J128)=0,"N/M",AVERAGE(D128:J128))</f>
        <v>5.41679904428897</v>
      </c>
      <c r="L128" s="60" t="n">
        <f aca="false">IF(COUNT(D128,J128)=2,J128-D128,"-")</f>
        <v>-2.54146421740446</v>
      </c>
    </row>
    <row r="129" customFormat="false" ht="16.5" hidden="false" customHeight="true" outlineLevel="0" collapsed="false">
      <c r="A129" s="88" t="s">
        <v>715</v>
      </c>
      <c r="B129" s="89"/>
      <c r="C129" s="89"/>
      <c r="D129" s="89"/>
      <c r="E129" s="89"/>
      <c r="F129" s="89"/>
      <c r="G129" s="89"/>
      <c r="H129" s="89"/>
      <c r="I129" s="89"/>
      <c r="J129" s="89"/>
      <c r="K129" s="89"/>
      <c r="L129" s="89"/>
    </row>
    <row r="130" customFormat="false" ht="15" hidden="false" customHeight="false" outlineLevel="0" collapsed="false">
      <c r="A130" s="16" t="s">
        <v>716</v>
      </c>
      <c r="B130" s="87" t="s">
        <v>717</v>
      </c>
      <c r="C130" s="17" t="s">
        <v>615</v>
      </c>
      <c r="D130" s="71" t="n">
        <f aca="false">IF(D7&gt;0,D14/D7,"N/M")</f>
        <v>0.273093637535156</v>
      </c>
      <c r="E130" s="71" t="n">
        <f aca="false">IF(E7&gt;0,E14/E7,"N/M")</f>
        <v>0.271793336203423</v>
      </c>
      <c r="F130" s="71" t="n">
        <f aca="false">IF(F7&gt;0,F14/F7,"N/M")</f>
        <v>0.238828911117363</v>
      </c>
      <c r="G130" s="71" t="n">
        <f aca="false">IF(G7&gt;0,G14/G7,"N/M")</f>
        <v>0.244009022648027</v>
      </c>
      <c r="H130" s="71" t="n">
        <f aca="false">IF(H7&gt;0,H14/H7,"N/M")</f>
        <v>0.259449007572536</v>
      </c>
      <c r="I130" s="71" t="n">
        <f aca="false">IF(I7&gt;0,I14/I7,"N/M")</f>
        <v>0.262302558152078</v>
      </c>
      <c r="J130" s="71" t="n">
        <f aca="false">IF(J7&gt;0,J14/J7,"N/M")</f>
        <v>0.262721507967986</v>
      </c>
      <c r="K130" s="62" t="n">
        <f aca="false">IF(COUNT(D130:J130)=0,"N/M",AVERAGE(D130:J130))</f>
        <v>0.258885425885224</v>
      </c>
      <c r="L130" s="62" t="n">
        <f aca="false">IF(COUNT(D130,J130)=2,J130-D130,"-")</f>
        <v>-0.0103721295671696</v>
      </c>
    </row>
    <row r="131" customFormat="false" ht="15" hidden="false" customHeight="false" outlineLevel="0" collapsed="false">
      <c r="A131" s="16" t="s">
        <v>718</v>
      </c>
      <c r="B131" s="87" t="s">
        <v>719</v>
      </c>
      <c r="C131" s="17" t="s">
        <v>615</v>
      </c>
      <c r="D131" s="71" t="n">
        <f aca="false">IF(D7&gt;0,D21/D7,"N/M")</f>
        <v>0.12118768012652</v>
      </c>
      <c r="E131" s="71" t="n">
        <f aca="false">IF(E7&gt;0,E21/E7,"N/M")</f>
        <v>0.100554018927381</v>
      </c>
      <c r="F131" s="71" t="n">
        <f aca="false">IF(F7&gt;0,F21/F7,"N/M")</f>
        <v>0.115496490773641</v>
      </c>
      <c r="G131" s="71" t="n">
        <f aca="false">IF(G7&gt;0,G21/G7,"N/M")</f>
        <v>0.112425565058091</v>
      </c>
      <c r="H131" s="71" t="n">
        <f aca="false">IF(H7&gt;0,H21/H7,"N/M")</f>
        <v>0.105544994065112</v>
      </c>
      <c r="I131" s="71" t="n">
        <f aca="false">IF(I7&gt;0,I21/I7,"N/M")</f>
        <v>0.132776833489844</v>
      </c>
      <c r="J131" s="71" t="n">
        <f aca="false">IF(J7&gt;0,J21/J7,"N/M")</f>
        <v>0.133859477047691</v>
      </c>
      <c r="K131" s="62" t="n">
        <f aca="false">IF(COUNT(D131:J131)=0,"N/M",AVERAGE(D131:J131))</f>
        <v>0.117406437069754</v>
      </c>
      <c r="L131" s="62" t="n">
        <f aca="false">IF(COUNT(D131,J131)=2,J131-D131,"-")</f>
        <v>0.0126717969211714</v>
      </c>
    </row>
    <row r="132" customFormat="false" ht="15" hidden="false" customHeight="false" outlineLevel="0" collapsed="false">
      <c r="A132" s="16" t="s">
        <v>720</v>
      </c>
      <c r="B132" s="87" t="s">
        <v>721</v>
      </c>
      <c r="C132" s="17" t="s">
        <v>615</v>
      </c>
      <c r="D132" s="71" t="n">
        <f aca="false">IF(D7&gt;0,D23/D7,"N/M")</f>
        <v>0.0668888087119095</v>
      </c>
      <c r="E132" s="71" t="n">
        <f aca="false">IF(E7&gt;0,E23/E7,"N/M")</f>
        <v>0.0440553852370487</v>
      </c>
      <c r="F132" s="71" t="n">
        <f aca="false">IF(F7&gt;0,F23/F7,"N/M")</f>
        <v>0.0775648708037077</v>
      </c>
      <c r="G132" s="71" t="n">
        <f aca="false">IF(G7&gt;0,G23/G7,"N/M")</f>
        <v>0.0738167534082492</v>
      </c>
      <c r="H132" s="71" t="n">
        <f aca="false">IF(H7&gt;0,H23/H7,"N/M")</f>
        <v>0.0566839952690164</v>
      </c>
      <c r="I132" s="71" t="n">
        <f aca="false">IF(I7&gt;0,I23/I7,"N/M")</f>
        <v>0.0760585898008605</v>
      </c>
      <c r="J132" s="71" t="n">
        <f aca="false">IF(J7&gt;0,J23/J7,"N/M")</f>
        <v>0.0757639253390656</v>
      </c>
      <c r="K132" s="62" t="n">
        <f aca="false">IF(COUNT(D132:J132)=0,"N/M",AVERAGE(D132:J132))</f>
        <v>0.0672617612242654</v>
      </c>
      <c r="L132" s="62" t="n">
        <f aca="false">IF(COUNT(D132,J132)=2,J132-D132,"-")</f>
        <v>0.00887511662715607</v>
      </c>
    </row>
    <row r="133" customFormat="false" ht="15" hidden="false" customHeight="false" outlineLevel="0" collapsed="false">
      <c r="A133" s="16" t="s">
        <v>722</v>
      </c>
      <c r="B133" s="87" t="s">
        <v>723</v>
      </c>
      <c r="C133" s="17" t="s">
        <v>615</v>
      </c>
      <c r="D133" s="71" t="n">
        <f aca="false">IF(D7&gt;0,D26/D7,"N/M")</f>
        <v>0.0360286629628064</v>
      </c>
      <c r="E133" s="71" t="n">
        <f aca="false">IF(E7&gt;0,E26/E7,"N/M")</f>
        <v>0.000375477176455307</v>
      </c>
      <c r="F133" s="71" t="n">
        <f aca="false">IF(F7&gt;0,F26/F7,"N/M")</f>
        <v>0.0815231145421895</v>
      </c>
      <c r="G133" s="71" t="n">
        <f aca="false">IF(G7&gt;0,G26/G7,"N/M")</f>
        <v>0.0616039004195208</v>
      </c>
      <c r="H133" s="71" t="n">
        <f aca="false">IF(H7&gt;0,H26/H7,"N/M")</f>
        <v>0.0689917461687707</v>
      </c>
      <c r="I133" s="71" t="n">
        <f aca="false">IF(I7&gt;0,I26/I7,"N/M")</f>
        <v>0.0884313356687748</v>
      </c>
      <c r="J133" s="71" t="n">
        <f aca="false">IF(J7&gt;0,J26/J7,"N/M")</f>
        <v>0.0842075764566614</v>
      </c>
      <c r="K133" s="62" t="n">
        <f aca="false">IF(COUNT(D133:J133)=0,"N/M",AVERAGE(D133:J133))</f>
        <v>0.0601659733421684</v>
      </c>
      <c r="L133" s="62" t="n">
        <f aca="false">IF(COUNT(D133,J133)=2,J133-D133,"-")</f>
        <v>0.0481789134938549</v>
      </c>
    </row>
    <row r="134" customFormat="false" ht="15" hidden="false" customHeight="false" outlineLevel="0" collapsed="false">
      <c r="A134" s="16" t="s">
        <v>724</v>
      </c>
      <c r="B134" s="87" t="s">
        <v>725</v>
      </c>
      <c r="C134" s="17" t="s">
        <v>615</v>
      </c>
      <c r="D134" s="71" t="n">
        <f aca="false">IF(D7&gt;0,D30/D7,"N/M")</f>
        <v>0.0263345811699051</v>
      </c>
      <c r="E134" s="71" t="n">
        <f aca="false">IF(E7&gt;0,E30/E7,"N/M")</f>
        <v>-0.00772787789496705</v>
      </c>
      <c r="F134" s="71" t="n">
        <f aca="false">IF(F7&gt;0,F30/F7,"N/M")</f>
        <v>0.0609109488110273</v>
      </c>
      <c r="G134" s="71" t="n">
        <f aca="false">IF(G7&gt;0,G30/G7,"N/M")</f>
        <v>0.0409789706411641</v>
      </c>
      <c r="H134" s="71" t="n">
        <f aca="false">IF(H7&gt;0,H30/H7,"N/M")</f>
        <v>0.0532687901080975</v>
      </c>
      <c r="I134" s="71" t="n">
        <f aca="false">IF(I7&gt;0,I30/I7,"N/M")</f>
        <v>0.0690813084926445</v>
      </c>
      <c r="J134" s="71" t="n">
        <f aca="false">IF(J7&gt;0,J30/J7,"N/M")</f>
        <v>0.0656051876479138</v>
      </c>
      <c r="K134" s="62" t="n">
        <f aca="false">IF(COUNT(D134:J134)=0,"N/M",AVERAGE(D134:J134))</f>
        <v>0.0440645584251122</v>
      </c>
      <c r="L134" s="62" t="n">
        <f aca="false">IF(COUNT(D134,J134)=2,J134-D134,"-")</f>
        <v>0.0392706064780087</v>
      </c>
    </row>
    <row r="135" customFormat="false" ht="16.5" hidden="false" customHeight="true" outlineLevel="0" collapsed="false">
      <c r="A135" s="88" t="s">
        <v>726</v>
      </c>
      <c r="B135" s="89"/>
      <c r="C135" s="89"/>
      <c r="D135" s="89"/>
      <c r="E135" s="89"/>
      <c r="F135" s="89"/>
      <c r="G135" s="89"/>
      <c r="H135" s="89"/>
      <c r="I135" s="89"/>
      <c r="J135" s="89"/>
      <c r="K135" s="89"/>
      <c r="L135" s="89"/>
    </row>
    <row r="136" customFormat="false" ht="15" hidden="false" customHeight="false" outlineLevel="0" collapsed="false">
      <c r="A136" s="16" t="s">
        <v>727</v>
      </c>
      <c r="B136" s="87" t="s">
        <v>728</v>
      </c>
      <c r="C136" s="17" t="s">
        <v>615</v>
      </c>
      <c r="D136" s="71" t="n">
        <f aca="false">IF(D7&gt;0,D13/D7,"N/M")</f>
        <v>0.726906362464844</v>
      </c>
      <c r="E136" s="71" t="n">
        <f aca="false">IF(E7&gt;0,E13/E7,"N/M")</f>
        <v>0.728206663796577</v>
      </c>
      <c r="F136" s="71" t="n">
        <f aca="false">IF(F7&gt;0,F13/F7,"N/M")</f>
        <v>0.761171088882637</v>
      </c>
      <c r="G136" s="71" t="n">
        <f aca="false">IF(G7&gt;0,G13/G7,"N/M")</f>
        <v>0.755990977351973</v>
      </c>
      <c r="H136" s="71" t="n">
        <f aca="false">IF(H7&gt;0,H13/H7,"N/M")</f>
        <v>0.740550992427464</v>
      </c>
      <c r="I136" s="71" t="n">
        <f aca="false">IF(I7&gt;0,I13/I7,"N/M")</f>
        <v>0.737697441847922</v>
      </c>
      <c r="J136" s="71" t="n">
        <f aca="false">IF(J7&gt;0,J13/J7,"N/M")</f>
        <v>0.737278492032014</v>
      </c>
      <c r="K136" s="62" t="n">
        <f aca="false">IF(COUNT(D136:J136)=0,"N/M",AVERAGE(D136:J136))</f>
        <v>0.741114574114776</v>
      </c>
      <c r="L136" s="62" t="n">
        <f aca="false">IF(COUNT(D136,J136)=2,J136-D136,"-")</f>
        <v>0.0103721295671696</v>
      </c>
    </row>
    <row r="137" customFormat="false" ht="15" hidden="false" customHeight="false" outlineLevel="0" collapsed="false">
      <c r="A137" s="16" t="s">
        <v>729</v>
      </c>
      <c r="B137" s="87" t="s">
        <v>730</v>
      </c>
      <c r="C137" s="17" t="s">
        <v>615</v>
      </c>
      <c r="D137" s="71" t="n">
        <f aca="false">IF(D7&gt;0,D19/D7,"N/M")</f>
        <v>0.151905957408636</v>
      </c>
      <c r="E137" s="71" t="n">
        <f aca="false">IF(E7&gt;0,E19/E7,"N/M")</f>
        <v>0.171239317276042</v>
      </c>
      <c r="F137" s="71" t="n">
        <f aca="false">IF(F7&gt;0,F19/F7,"N/M")</f>
        <v>0.123332420343722</v>
      </c>
      <c r="G137" s="71" t="n">
        <f aca="false">IF(G7&gt;0,G19/G7,"N/M")</f>
        <v>0.131583457589936</v>
      </c>
      <c r="H137" s="71" t="n">
        <f aca="false">IF(H7&gt;0,H19/H7,"N/M")</f>
        <v>0.153904013507423</v>
      </c>
      <c r="I137" s="71" t="n">
        <f aca="false">IF(I7&gt;0,I19/I7,"N/M")</f>
        <v>0.129525724662235</v>
      </c>
      <c r="J137" s="71" t="n">
        <f aca="false">IF(J7&gt;0,J19/J7,"N/M")</f>
        <v>0.128862030920295</v>
      </c>
      <c r="K137" s="62" t="n">
        <f aca="false">IF(COUNT(D137:J137)=0,"N/M",AVERAGE(D137:J137))</f>
        <v>0.14147898881547</v>
      </c>
      <c r="L137" s="62" t="n">
        <f aca="false">IF(COUNT(D137,J137)=2,J137-D137,"-")</f>
        <v>-0.023043926488341</v>
      </c>
    </row>
    <row r="138" customFormat="false" ht="15" hidden="false" customHeight="false" outlineLevel="0" collapsed="false">
      <c r="A138" s="16" t="s">
        <v>731</v>
      </c>
      <c r="B138" s="87" t="s">
        <v>732</v>
      </c>
      <c r="C138" s="17" t="s">
        <v>615</v>
      </c>
      <c r="D138" s="71" t="n">
        <f aca="false">IF(D7&gt;0,D16/D7,"N/M")</f>
        <v>0.111620845259439</v>
      </c>
      <c r="E138" s="71" t="n">
        <f aca="false">IF(E7&gt;0,E16/E7,"N/M")</f>
        <v>0.108993384432506</v>
      </c>
      <c r="F138" s="71" t="n">
        <f aca="false">IF(F7&gt;0,F16/F7,"N/M")</f>
        <v>0.0832212752192724</v>
      </c>
      <c r="G138" s="71" t="n">
        <f aca="false">IF(G7&gt;0,G16/G7,"N/M")</f>
        <v>0.090554260620845</v>
      </c>
      <c r="H138" s="71" t="n">
        <f aca="false">IF(H7&gt;0,H16/H7,"N/M")</f>
        <v>0.106531232742807</v>
      </c>
      <c r="I138" s="71" t="n">
        <f aca="false">IF(I7&gt;0,I16/I7,"N/M")</f>
        <v>0.08378096730428</v>
      </c>
      <c r="J138" s="71" t="n">
        <f aca="false">IF(J7&gt;0,J16/J7,"N/M")</f>
        <v>0.0827281579764992</v>
      </c>
      <c r="K138" s="62" t="n">
        <f aca="false">IF(COUNT(D138:J138)=0,"N/M",AVERAGE(D138:J138))</f>
        <v>0.0953471605079499</v>
      </c>
      <c r="L138" s="62" t="n">
        <f aca="false">IF(COUNT(D138,J138)=2,J138-D138,"-")</f>
        <v>-0.0288926872829402</v>
      </c>
    </row>
    <row r="139" customFormat="false" ht="15" hidden="false" customHeight="false" outlineLevel="0" collapsed="false">
      <c r="A139" s="16" t="s">
        <v>733</v>
      </c>
      <c r="B139" s="87" t="s">
        <v>734</v>
      </c>
      <c r="C139" s="17" t="s">
        <v>615</v>
      </c>
      <c r="D139" s="71" t="n">
        <f aca="false">IF(D7&gt;0,D17/D7,"N/M")</f>
        <v>0.0366447435757097</v>
      </c>
      <c r="E139" s="71" t="n">
        <f aca="false">IF(E7&gt;0,E17/E7,"N/M")</f>
        <v>0.0559540650563994</v>
      </c>
      <c r="F139" s="71" t="n">
        <f aca="false">IF(F7&gt;0,F17/F7,"N/M")</f>
        <v>0.0378817980029075</v>
      </c>
      <c r="G139" s="71" t="n">
        <f aca="false">IF(G7&gt;0,G17/G7,"N/M")</f>
        <v>0.0383424454842009</v>
      </c>
      <c r="H139" s="71" t="n">
        <f aca="false">IF(H7&gt;0,H17/H7,"N/M")</f>
        <v>0.0443140920256692</v>
      </c>
      <c r="I139" s="71" t="n">
        <f aca="false">IF(I7&gt;0,I17/I7,"N/M")</f>
        <v>0.0449280904377362</v>
      </c>
      <c r="J139" s="71" t="n">
        <f aca="false">IF(J7&gt;0,J17/J7,"N/M")</f>
        <v>0.0460168404892534</v>
      </c>
      <c r="K139" s="62" t="n">
        <f aca="false">IF(COUNT(D139:J139)=0,"N/M",AVERAGE(D139:J139))</f>
        <v>0.0434402964388395</v>
      </c>
      <c r="L139" s="62" t="n">
        <f aca="false">IF(COUNT(D139,J139)=2,J139-D139,"-")</f>
        <v>0.00937209691354363</v>
      </c>
    </row>
    <row r="140" customFormat="false" ht="15" hidden="false" customHeight="false" outlineLevel="0" collapsed="false">
      <c r="A140" s="16" t="s">
        <v>735</v>
      </c>
      <c r="B140" s="87" t="s">
        <v>736</v>
      </c>
      <c r="C140" s="17" t="s">
        <v>615</v>
      </c>
      <c r="D140" s="71" t="n">
        <f aca="false">IF(D7&gt;0,D25/D7,"N/M")</f>
        <v>0.0144401550199505</v>
      </c>
      <c r="E140" s="71" t="n">
        <f aca="false">IF(E7&gt;0,E25/E7,"N/M")</f>
        <v>0.018148546302274</v>
      </c>
      <c r="F140" s="71" t="n">
        <f aca="false">IF(F7&gt;0,F25/F7,"N/M")</f>
        <v>0.00805653429969772</v>
      </c>
      <c r="G140" s="71" t="n">
        <f aca="false">IF(G7&gt;0,G25/G7,"N/M")</f>
        <v>0.00743682908575705</v>
      </c>
      <c r="H140" s="71" t="n">
        <f aca="false">IF(H7&gt;0,H25/H7,"N/M")</f>
        <v>0.0112188947356172</v>
      </c>
      <c r="I140" s="71" t="n">
        <f aca="false">IF(I7&gt;0,I25/I7,"N/M")</f>
        <v>0.0135320533122378</v>
      </c>
      <c r="J140" s="71" t="n">
        <f aca="false">IF(J7&gt;0,J25/J7,"N/M")</f>
        <v>0.0132352483797418</v>
      </c>
      <c r="K140" s="62" t="n">
        <f aca="false">IF(COUNT(D140:J140)=0,"N/M",AVERAGE(D140:J140))</f>
        <v>0.012295465876468</v>
      </c>
      <c r="L140" s="62" t="n">
        <f aca="false">IF(COUNT(D140,J140)=2,J140-D140,"-")</f>
        <v>-0.00120490664020872</v>
      </c>
    </row>
    <row r="141" customFormat="false" ht="15" hidden="false" customHeight="false" outlineLevel="0" collapsed="false">
      <c r="A141" s="16" t="s">
        <v>737</v>
      </c>
      <c r="B141" s="87" t="s">
        <v>738</v>
      </c>
      <c r="C141" s="17" t="s">
        <v>615</v>
      </c>
      <c r="D141" s="71" t="n">
        <f aca="false">IF(D7&gt;0,D20/D7,"N/M")</f>
        <v>0.87881231987348</v>
      </c>
      <c r="E141" s="71" t="n">
        <f aca="false">IF(E7&gt;0,E20/E7,"N/M")</f>
        <v>0.899445981072619</v>
      </c>
      <c r="F141" s="71" t="n">
        <f aca="false">IF(F7&gt;0,F20/F7,"N/M")</f>
        <v>0.884503509226359</v>
      </c>
      <c r="G141" s="71" t="n">
        <f aca="false">IF(G7&gt;0,G20/G7,"N/M")</f>
        <v>0.887574434941909</v>
      </c>
      <c r="H141" s="71" t="n">
        <f aca="false">IF(H7&gt;0,H20/H7,"N/M")</f>
        <v>0.894455005934888</v>
      </c>
      <c r="I141" s="71" t="n">
        <f aca="false">IF(I7&gt;0,I20/I7,"N/M")</f>
        <v>0.867223166510156</v>
      </c>
      <c r="J141" s="71" t="n">
        <f aca="false">IF(J7&gt;0,J20/J7,"N/M")</f>
        <v>0.866140522952309</v>
      </c>
      <c r="K141" s="62" t="n">
        <f aca="false">IF(COUNT(D141:J141)=0,"N/M",AVERAGE(D141:J141))</f>
        <v>0.882593562930246</v>
      </c>
      <c r="L141" s="62" t="n">
        <f aca="false">IF(COUNT(D141,J141)=2,J141-D141,"-")</f>
        <v>-0.0126717969211714</v>
      </c>
    </row>
    <row r="142" customFormat="false" ht="16.5" hidden="false" customHeight="true" outlineLevel="0" collapsed="false">
      <c r="A142" s="88" t="s">
        <v>739</v>
      </c>
      <c r="B142" s="89"/>
      <c r="C142" s="89"/>
      <c r="D142" s="89"/>
      <c r="E142" s="89"/>
      <c r="F142" s="89"/>
      <c r="G142" s="89"/>
      <c r="H142" s="89"/>
      <c r="I142" s="89"/>
      <c r="J142" s="89"/>
      <c r="K142" s="89"/>
      <c r="L142" s="89"/>
    </row>
    <row r="143" customFormat="false" ht="15" hidden="false" customHeight="false" outlineLevel="0" collapsed="false">
      <c r="A143" s="16" t="s">
        <v>740</v>
      </c>
      <c r="B143" s="87" t="s">
        <v>741</v>
      </c>
      <c r="C143" s="17" t="s">
        <v>615</v>
      </c>
      <c r="D143" s="71" t="n">
        <f aca="false">IF(D49&gt;0,D30/D49,"N/M")</f>
        <v>0.02555190230155</v>
      </c>
      <c r="E143" s="71" t="n">
        <f aca="false">IF(E49&gt;0,E30/E49,"N/M")</f>
        <v>-0.0075597942069796</v>
      </c>
      <c r="F143" s="71" t="n">
        <f aca="false">IF(F49&gt;0,F30/F49,"N/M")</f>
        <v>0.0785027746568457</v>
      </c>
      <c r="G143" s="71" t="n">
        <f aca="false">IF(G49&gt;0,G30/G49,"N/M")</f>
        <v>0.0575451455893654</v>
      </c>
      <c r="H143" s="71" t="n">
        <f aca="false">IF(H49&gt;0,H30/H49,"N/M")</f>
        <v>0.0648974746788008</v>
      </c>
      <c r="I143" s="71" t="n">
        <f aca="false">IF(I49&gt;0,I30/I49,"N/M")</f>
        <v>0.0742364844454501</v>
      </c>
      <c r="J143" s="71" t="n">
        <f aca="false">IF(J49&gt;0,J30/J49,"N/M")</f>
        <v>0.0698997464452111</v>
      </c>
      <c r="K143" s="62" t="n">
        <f aca="false">IF(COUNT(D143:J143)=0,"N/M",AVERAGE(D143:J143))</f>
        <v>0.0518676762728919</v>
      </c>
      <c r="L143" s="62" t="n">
        <f aca="false">IF(COUNT(D143,J143)=2,J143-D143,"-")</f>
        <v>0.044347844143661</v>
      </c>
    </row>
    <row r="144" customFormat="false" ht="15" hidden="false" customHeight="false" outlineLevel="0" collapsed="false">
      <c r="A144" s="16" t="s">
        <v>742</v>
      </c>
      <c r="B144" s="87" t="s">
        <v>743</v>
      </c>
      <c r="C144" s="17" t="s">
        <v>615</v>
      </c>
      <c r="D144" s="71" t="n">
        <f aca="false">IF(D49&gt;0,(D30+D25*(1-D77))/D49,"N/M")</f>
        <v>0.0359818807263157</v>
      </c>
      <c r="E144" s="71" t="n">
        <f aca="false">IF(E49&gt;0,(E30+E25*(1-E77))/E49,"N/M")</f>
        <v>0.00399012437195052</v>
      </c>
      <c r="F144" s="71" t="n">
        <f aca="false">IF(F49&gt;0,(F30+F25*(1-F77))/F49,"N/M")</f>
        <v>0.0863866319890983</v>
      </c>
      <c r="G144" s="71" t="n">
        <f aca="false">IF(G49&gt;0,(G30+G25*(1-G77))/G49,"N/M")</f>
        <v>0.0646035371722779</v>
      </c>
      <c r="H144" s="71" t="n">
        <f aca="false">IF(H49&gt;0,(H30+H25*(1-H77))/H49,"N/M")</f>
        <v>0.0754406359836925</v>
      </c>
      <c r="I144" s="71" t="n">
        <f aca="false">IF(I49&gt;0,(I30+I25*(1-I77))/I49,"N/M")</f>
        <v>0.0856670106808251</v>
      </c>
      <c r="J144" s="71" t="n">
        <f aca="false">IF(J49&gt;0,(J30+J25*(1-J77))/J49,"N/M")</f>
        <v>0.0809706366385346</v>
      </c>
      <c r="K144" s="62" t="n">
        <f aca="false">IF(COUNT(D144:J144)=0,"N/M",AVERAGE(D144:J144))</f>
        <v>0.0618629225089564</v>
      </c>
      <c r="L144" s="62" t="n">
        <f aca="false">IF(COUNT(D144,J144)=2,J144-D144,"-")</f>
        <v>0.0449887559122189</v>
      </c>
    </row>
    <row r="145" customFormat="false" ht="15" hidden="false" customHeight="false" outlineLevel="0" collapsed="false">
      <c r="A145" s="16" t="s">
        <v>744</v>
      </c>
      <c r="B145" s="87" t="s">
        <v>745</v>
      </c>
      <c r="C145" s="17" t="s">
        <v>615</v>
      </c>
      <c r="D145" s="71" t="n">
        <f aca="false">IF(D49&gt;0,D23/D49,"N/M")</f>
        <v>0.0649008349229782</v>
      </c>
      <c r="E145" s="71" t="n">
        <f aca="false">IF(E49&gt;0,E23/E49,"N/M")</f>
        <v>0.0430971672466773</v>
      </c>
      <c r="F145" s="71" t="n">
        <f aca="false">IF(F49&gt;0,F23/F49,"N/M")</f>
        <v>0.0999665526945208</v>
      </c>
      <c r="G145" s="71" t="n">
        <f aca="false">IF(G49&gt;0,G23/G49,"N/M")</f>
        <v>0.103657943461005</v>
      </c>
      <c r="H145" s="71" t="n">
        <f aca="false">IF(H49&gt;0,H23/H49,"N/M")</f>
        <v>0.0690582260306502</v>
      </c>
      <c r="I145" s="71" t="n">
        <f aca="false">IF(I49&gt;0,I23/I49,"N/M")</f>
        <v>0.0817344436852358</v>
      </c>
      <c r="J145" s="71" t="n">
        <f aca="false">IF(J49&gt;0,J23/J49,"N/M")</f>
        <v>0.080723481797144</v>
      </c>
      <c r="K145" s="62" t="n">
        <f aca="false">IF(COUNT(D145:J145)=0,"N/M",AVERAGE(D145:J145))</f>
        <v>0.0775912356911731</v>
      </c>
      <c r="L145" s="62" t="n">
        <f aca="false">IF(COUNT(D145,J145)=2,J145-D145,"-")</f>
        <v>0.0158226468741658</v>
      </c>
    </row>
    <row r="146" customFormat="false" ht="15" hidden="false" customHeight="false" outlineLevel="0" collapsed="false">
      <c r="A146" s="16" t="s">
        <v>746</v>
      </c>
      <c r="B146" s="87" t="s">
        <v>747</v>
      </c>
      <c r="C146" s="17" t="s">
        <v>615</v>
      </c>
      <c r="D146" s="71" t="n">
        <f aca="false">IF(D91&gt;0,D23/D91,"N/M")</f>
        <v>0.0879596741714628</v>
      </c>
      <c r="E146" s="71" t="n">
        <f aca="false">IF(E91&gt;0,E23/E91,"N/M")</f>
        <v>0.0589675814728013</v>
      </c>
      <c r="F146" s="71" t="n">
        <f aca="false">IF(F91&gt;0,F23/F91,"N/M")</f>
        <v>0.138407944839397</v>
      </c>
      <c r="G146" s="71" t="n">
        <f aca="false">IF(G91&gt;0,G23/G91,"N/M")</f>
        <v>0.137940467765346</v>
      </c>
      <c r="H146" s="71" t="n">
        <f aca="false">IF(H91&gt;0,H23/H91,"N/M")</f>
        <v>0.0892182476051556</v>
      </c>
      <c r="I146" s="71" t="n">
        <f aca="false">IF(I91&gt;0,I23/I91,"N/M")</f>
        <v>0.100016322329174</v>
      </c>
      <c r="J146" s="71" t="n">
        <f aca="false">IF(J91&gt;0,J23/J91,"N/M")</f>
        <v>0.0984574204115852</v>
      </c>
      <c r="K146" s="62" t="n">
        <f aca="false">IF(COUNT(D146:J146)=0,"N/M",AVERAGE(D146:J146))</f>
        <v>0.101566808370703</v>
      </c>
      <c r="L146" s="62" t="n">
        <f aca="false">IF(COUNT(D146,J146)=2,J146-D146,"-")</f>
        <v>0.0104977462401224</v>
      </c>
    </row>
    <row r="147" customFormat="false" ht="15" hidden="false" customHeight="false" outlineLevel="0" collapsed="false">
      <c r="A147" s="16" t="s">
        <v>748</v>
      </c>
      <c r="B147" s="87" t="s">
        <v>749</v>
      </c>
      <c r="C147" s="17" t="s">
        <v>615</v>
      </c>
      <c r="D147" s="71" t="n">
        <f aca="false">IF(D91&gt;0,D23*(1-D77)/D91,"N/M")</f>
        <v>0.0654784429955031</v>
      </c>
      <c r="E147" s="71" t="n">
        <f aca="false">IF(E91&gt;0,E23*(1-E77)/E91,"N/M")</f>
        <v>0.0383619498029456</v>
      </c>
      <c r="F147" s="71" t="n">
        <f aca="false">IF(F91&gt;0,F23*(1-F77)/F91,"N/M")</f>
        <v>0.105090116576113</v>
      </c>
      <c r="G147" s="71" t="n">
        <f aca="false">IF(G91&gt;0,G23*(1-G77)/G91,"N/M")</f>
        <v>0.093231354535189</v>
      </c>
      <c r="H147" s="71" t="n">
        <f aca="false">IF(H91&gt;0,H23*(1-H77)/H91,"N/M")</f>
        <v>0.0688207659332861</v>
      </c>
      <c r="I147" s="71" t="n">
        <f aca="false">IF(I91&gt;0,I23*(1-I77)/I91,"N/M")</f>
        <v>0.0786170174719048</v>
      </c>
      <c r="J147" s="71" t="n">
        <f aca="false">IF(J91&gt;0,J23*(1-J77)/J91,"N/M")</f>
        <v>0.0772967941304421</v>
      </c>
      <c r="K147" s="62" t="n">
        <f aca="false">IF(COUNT(D147:J147)=0,"N/M",AVERAGE(D147:J147))</f>
        <v>0.0752709202064833</v>
      </c>
      <c r="L147" s="62" t="n">
        <f aca="false">IF(COUNT(D147,J147)=2,J147-D147,"-")</f>
        <v>0.011818351134939</v>
      </c>
    </row>
    <row r="148" customFormat="false" ht="15" hidden="false" customHeight="false" outlineLevel="0" collapsed="false">
      <c r="A148" s="16" t="s">
        <v>750</v>
      </c>
      <c r="B148" s="87" t="s">
        <v>751</v>
      </c>
      <c r="C148" s="17" t="s">
        <v>615</v>
      </c>
      <c r="D148" s="71" t="n">
        <f aca="false">IF(D40&gt;0,D30/D40,"N/M")</f>
        <v>0.044554061580078</v>
      </c>
      <c r="E148" s="71" t="n">
        <f aca="false">IF(E40&gt;0,E30/E40,"N/M")</f>
        <v>-0.0148867192022844</v>
      </c>
      <c r="F148" s="71" t="n">
        <f aca="false">IF(F40&gt;0,F30/F40,"N/M")</f>
        <v>0.152789686228304</v>
      </c>
      <c r="G148" s="71" t="n">
        <f aca="false">IF(G40&gt;0,G30/G40,"N/M")</f>
        <v>0.0964158260133205</v>
      </c>
      <c r="H148" s="71" t="n">
        <f aca="false">IF(H40&gt;0,H30/H40,"N/M")</f>
        <v>0.10836874136097</v>
      </c>
      <c r="I148" s="71" t="n">
        <f aca="false">IF(I40&gt;0,I30/I40,"N/M")</f>
        <v>0.114346738456731</v>
      </c>
      <c r="J148" s="71" t="n">
        <f aca="false">IF(J40&gt;0,J30/J40,"N/M")</f>
        <v>0.104490226559165</v>
      </c>
      <c r="K148" s="62" t="n">
        <f aca="false">IF(COUNT(D148:J148)=0,"N/M",AVERAGE(D148:J148))</f>
        <v>0.0865826515708978</v>
      </c>
      <c r="L148" s="62" t="n">
        <f aca="false">IF(COUNT(D148,J148)=2,J148-D148,"-")</f>
        <v>0.0599361649790866</v>
      </c>
    </row>
    <row r="149" customFormat="false" ht="15" hidden="false" customHeight="false" outlineLevel="0" collapsed="false">
      <c r="A149" s="16" t="s">
        <v>752</v>
      </c>
      <c r="B149" s="87" t="s">
        <v>753</v>
      </c>
      <c r="C149" s="17" t="s">
        <v>615</v>
      </c>
      <c r="D149" s="71" t="n">
        <f aca="false">IF(D39&gt;0,(D30-D32)/D39,"N/M")</f>
        <v>0.044554061580078</v>
      </c>
      <c r="E149" s="71" t="n">
        <f aca="false">IF(E39&gt;0,(E30-E32)/E39,"N/M")</f>
        <v>-0.0148867192022844</v>
      </c>
      <c r="F149" s="71" t="n">
        <f aca="false">IF(F39&gt;0,(F30-F32)/F39,"N/M")</f>
        <v>0.152789686228304</v>
      </c>
      <c r="G149" s="71" t="n">
        <f aca="false">IF(G39&gt;0,(G30-G32)/G39,"N/M")</f>
        <v>0.0964158260133205</v>
      </c>
      <c r="H149" s="71" t="n">
        <f aca="false">IF(H39&gt;0,(H30-H32)/H39,"N/M")</f>
        <v>0.10836874136097</v>
      </c>
      <c r="I149" s="71" t="n">
        <f aca="false">IF(I39&gt;0,(I30-I32)/I39,"N/M")</f>
        <v>0.114346738456731</v>
      </c>
      <c r="J149" s="71" t="n">
        <f aca="false">IF(J39&gt;0,(J30-J32)/J39,"N/M")</f>
        <v>0.104490226559165</v>
      </c>
      <c r="K149" s="62" t="n">
        <f aca="false">IF(COUNT(D149:J149)=0,"N/M",AVERAGE(D149:J149))</f>
        <v>0.0865826515708978</v>
      </c>
      <c r="L149" s="62" t="n">
        <f aca="false">IF(COUNT(D149,J149)=2,J149-D149,"-")</f>
        <v>0.0599361649790866</v>
      </c>
    </row>
    <row r="150" customFormat="false" ht="16.5" hidden="false" customHeight="true" outlineLevel="0" collapsed="false">
      <c r="A150" s="88" t="s">
        <v>754</v>
      </c>
      <c r="B150" s="89"/>
      <c r="C150" s="89"/>
      <c r="D150" s="89"/>
      <c r="E150" s="89"/>
      <c r="F150" s="89"/>
      <c r="G150" s="89"/>
      <c r="H150" s="89"/>
      <c r="I150" s="89"/>
      <c r="J150" s="89"/>
      <c r="K150" s="89"/>
      <c r="L150" s="89"/>
    </row>
    <row r="151" customFormat="false" ht="15" hidden="false" customHeight="false" outlineLevel="0" collapsed="false">
      <c r="A151" s="16" t="s">
        <v>755</v>
      </c>
      <c r="B151" s="87" t="s">
        <v>756</v>
      </c>
      <c r="C151" s="17" t="s">
        <v>757</v>
      </c>
      <c r="D151" s="93" t="s">
        <v>758</v>
      </c>
      <c r="E151" s="93" t="s">
        <v>758</v>
      </c>
      <c r="F151" s="93" t="s">
        <v>758</v>
      </c>
      <c r="G151" s="93" t="s">
        <v>758</v>
      </c>
      <c r="H151" s="93" t="s">
        <v>758</v>
      </c>
      <c r="I151" s="93" t="s">
        <v>758</v>
      </c>
      <c r="J151" s="93" t="s">
        <v>758</v>
      </c>
      <c r="K151" s="66" t="s">
        <v>758</v>
      </c>
      <c r="L151" s="66" t="s">
        <v>758</v>
      </c>
    </row>
    <row r="152" customFormat="false" ht="15" hidden="false" customHeight="false" outlineLevel="0" collapsed="false">
      <c r="A152" s="16" t="s">
        <v>759</v>
      </c>
      <c r="B152" s="87" t="s">
        <v>760</v>
      </c>
      <c r="C152" s="17" t="s">
        <v>757</v>
      </c>
      <c r="D152" s="93" t="s">
        <v>758</v>
      </c>
      <c r="E152" s="93" t="s">
        <v>758</v>
      </c>
      <c r="F152" s="93" t="s">
        <v>758</v>
      </c>
      <c r="G152" s="93" t="s">
        <v>758</v>
      </c>
      <c r="H152" s="93" t="s">
        <v>758</v>
      </c>
      <c r="I152" s="93" t="s">
        <v>758</v>
      </c>
      <c r="J152" s="93" t="s">
        <v>758</v>
      </c>
      <c r="K152" s="66" t="s">
        <v>758</v>
      </c>
      <c r="L152" s="66" t="s">
        <v>758</v>
      </c>
    </row>
    <row r="153" customFormat="false" ht="15" hidden="false" customHeight="false" outlineLevel="0" collapsed="false">
      <c r="A153" s="16" t="s">
        <v>761</v>
      </c>
      <c r="B153" s="87" t="s">
        <v>762</v>
      </c>
      <c r="C153" s="17" t="s">
        <v>757</v>
      </c>
      <c r="D153" s="93" t="s">
        <v>758</v>
      </c>
      <c r="E153" s="93" t="s">
        <v>758</v>
      </c>
      <c r="F153" s="93" t="s">
        <v>758</v>
      </c>
      <c r="G153" s="93" t="s">
        <v>758</v>
      </c>
      <c r="H153" s="93" t="s">
        <v>758</v>
      </c>
      <c r="I153" s="93" t="s">
        <v>758</v>
      </c>
      <c r="J153" s="93" t="s">
        <v>758</v>
      </c>
      <c r="K153" s="66" t="s">
        <v>758</v>
      </c>
      <c r="L153" s="66" t="s">
        <v>758</v>
      </c>
    </row>
    <row r="154" customFormat="false" ht="15" hidden="false" customHeight="false" outlineLevel="0" collapsed="false">
      <c r="A154" s="16" t="s">
        <v>763</v>
      </c>
      <c r="B154" s="87" t="s">
        <v>764</v>
      </c>
      <c r="C154" s="17" t="s">
        <v>757</v>
      </c>
      <c r="D154" s="93" t="s">
        <v>758</v>
      </c>
      <c r="E154" s="93" t="s">
        <v>758</v>
      </c>
      <c r="F154" s="93" t="s">
        <v>758</v>
      </c>
      <c r="G154" s="93" t="s">
        <v>758</v>
      </c>
      <c r="H154" s="93" t="s">
        <v>758</v>
      </c>
      <c r="I154" s="93" t="s">
        <v>758</v>
      </c>
      <c r="J154" s="93" t="s">
        <v>758</v>
      </c>
      <c r="K154" s="66" t="s">
        <v>758</v>
      </c>
      <c r="L154" s="66" t="s">
        <v>758</v>
      </c>
    </row>
    <row r="155" customFormat="false" ht="15" hidden="false" customHeight="false" outlineLevel="0" collapsed="false">
      <c r="A155" s="16" t="s">
        <v>765</v>
      </c>
      <c r="B155" s="87" t="s">
        <v>766</v>
      </c>
      <c r="C155" s="17" t="s">
        <v>615</v>
      </c>
      <c r="D155" s="71" t="n">
        <f aca="false">IF(D31=0,0,IF(D30&gt;0,D31/D30,"N/M"))</f>
        <v>0.479966986794718</v>
      </c>
      <c r="E155" s="71" t="str">
        <f aca="false">IF(E31=0,0,IF(E30&gt;0,E31/E30,"N/M"))</f>
        <v>N/M</v>
      </c>
      <c r="F155" s="71" t="n">
        <f aca="false">IF(F31=0,0,IF(F30&gt;0,F31/F30,"N/M"))</f>
        <v>0.331081603502932</v>
      </c>
      <c r="G155" s="71" t="n">
        <f aca="false">IF(G31=0,0,IF(G30&gt;0,G31/G30,"N/M"))</f>
        <v>0.520086899948883</v>
      </c>
      <c r="H155" s="71" t="n">
        <f aca="false">IF(H31=0,0,IF(H30&gt;0,H31/H30,"N/M"))</f>
        <v>0.462814841294666</v>
      </c>
      <c r="I155" s="71" t="n">
        <f aca="false">IF(I31=0,0,IF(I30&gt;0,I31/I30,"N/M"))</f>
        <v>0.578828828828829</v>
      </c>
      <c r="J155" s="71" t="n">
        <f aca="false">IF(J31=0,0,IF(J30&gt;0,J31/J30,"N/M"))</f>
        <v>0.399459456817638</v>
      </c>
      <c r="K155" s="62" t="n">
        <f aca="false">IF(COUNT(D155:J155)=0,"N/M",AVERAGE(D155:J155))</f>
        <v>0.462039769531278</v>
      </c>
      <c r="L155" s="62" t="n">
        <f aca="false">IF(COUNT(D155,J155)=2,J155-D155,"-")</f>
        <v>-0.0805075299770804</v>
      </c>
    </row>
    <row r="156" customFormat="false" ht="15" hidden="false" customHeight="false" outlineLevel="0" collapsed="false">
      <c r="A156" s="16" t="s">
        <v>767</v>
      </c>
      <c r="B156" s="87" t="s">
        <v>768</v>
      </c>
      <c r="C156" s="17" t="s">
        <v>615</v>
      </c>
      <c r="D156" s="71" t="n">
        <f aca="false">IF(ISNUMBER(D155),1-D155,"N/M")</f>
        <v>0.520033013205282</v>
      </c>
      <c r="E156" s="71" t="str">
        <f aca="false">IF(ISNUMBER(E155),1-E155,"N/M")</f>
        <v>N/M</v>
      </c>
      <c r="F156" s="71" t="n">
        <f aca="false">IF(ISNUMBER(F155),1-F155,"N/M")</f>
        <v>0.668918396497068</v>
      </c>
      <c r="G156" s="71" t="n">
        <f aca="false">IF(ISNUMBER(G155),1-G155,"N/M")</f>
        <v>0.479913100051118</v>
      </c>
      <c r="H156" s="71" t="n">
        <f aca="false">IF(ISNUMBER(H155),1-H155,"N/M")</f>
        <v>0.537185158705334</v>
      </c>
      <c r="I156" s="71" t="n">
        <f aca="false">IF(ISNUMBER(I155),1-I155,"N/M")</f>
        <v>0.421171171171171</v>
      </c>
      <c r="J156" s="71" t="n">
        <f aca="false">IF(ISNUMBER(J155),1-J155,"N/M")</f>
        <v>0.600540543182363</v>
      </c>
      <c r="K156" s="62" t="n">
        <f aca="false">IF(COUNT(D156:J156)=0,"N/M",AVERAGE(D156:J156))</f>
        <v>0.537960230468722</v>
      </c>
      <c r="L156" s="62" t="n">
        <f aca="false">IF(COUNT(D156,J156)=2,J156-D156,"-")</f>
        <v>0.0805075299770804</v>
      </c>
    </row>
    <row r="157" customFormat="false" ht="15" hidden="false" customHeight="false" outlineLevel="0" collapsed="false">
      <c r="A157" s="16" t="s">
        <v>769</v>
      </c>
      <c r="B157" s="87" t="s">
        <v>770</v>
      </c>
      <c r="C157" s="17" t="s">
        <v>615</v>
      </c>
      <c r="D157" s="71" t="n">
        <f aca="false">IF(D80&gt;0,D82/D80,"N/M")</f>
        <v>0.015262178554475</v>
      </c>
      <c r="E157" s="71" t="n">
        <f aca="false">IF(E80&gt;0,E82/E80,"N/M")</f>
        <v>-0.00676742265849692</v>
      </c>
      <c r="F157" s="71" t="n">
        <f aca="false">IF(F80&gt;0,F82/F80,"N/M")</f>
        <v>0.0228210696648743</v>
      </c>
      <c r="G157" s="71" t="n">
        <f aca="false">IF(G80&gt;0,G82/G80,"N/M")</f>
        <v>0.0184923200261273</v>
      </c>
      <c r="H157" s="71" t="n">
        <f aca="false">IF(H80&gt;0,H82/H80,"N/M")</f>
        <v>0.0232401630692641</v>
      </c>
      <c r="I157" s="71" t="n">
        <f aca="false">IF(I80&gt;0,I82/I80,"N/M")</f>
        <v>0.0281566493892956</v>
      </c>
      <c r="J157" s="71" t="n">
        <f aca="false">IF(J80&gt;0,J82/J80,"N/M")</f>
        <v>0.0365174257047344</v>
      </c>
      <c r="K157" s="62" t="n">
        <f aca="false">IF(COUNT(D157:J157)=0,"N/M",AVERAGE(D157:J157))</f>
        <v>0.0196746262500391</v>
      </c>
      <c r="L157" s="62" t="n">
        <f aca="false">IF(COUNT(D157,J157)=2,J157-D157,"-")</f>
        <v>0.0212552471502594</v>
      </c>
    </row>
    <row r="158" customFormat="false" ht="15" hidden="false" customHeight="false" outlineLevel="0" collapsed="false">
      <c r="A158" s="16" t="s">
        <v>771</v>
      </c>
      <c r="B158" s="87" t="s">
        <v>772</v>
      </c>
      <c r="C158" s="17" t="s">
        <v>615</v>
      </c>
      <c r="D158" s="71" t="n">
        <f aca="false">IF(D80&gt;0,D85/D80,"N/M")</f>
        <v>0.00847233339963572</v>
      </c>
      <c r="E158" s="71" t="n">
        <f aca="false">IF(E80&gt;0,E85/E80,"N/M")</f>
        <v>0.00663551808826297</v>
      </c>
      <c r="F158" s="71" t="n">
        <f aca="false">IF(F80&gt;0,F85/F80,"N/M")</f>
        <v>0.0110239630618269</v>
      </c>
      <c r="G158" s="71" t="n">
        <f aca="false">IF(G80&gt;0,G85/G80,"N/M")</f>
        <v>0.0138106857198781</v>
      </c>
      <c r="H158" s="71" t="n">
        <f aca="false">IF(H80&gt;0,H85/H80,"N/M")</f>
        <v>0.0103944449880648</v>
      </c>
      <c r="I158" s="71" t="n">
        <f aca="false">IF(I80&gt;0,I85/I80,"N/M")</f>
        <v>0.0122575377450037</v>
      </c>
      <c r="J158" s="71" t="n">
        <f aca="false">IF(J80&gt;0,J85/J80,"N/M")</f>
        <v>0.0145872310363916</v>
      </c>
      <c r="K158" s="62" t="n">
        <f aca="false">IF(COUNT(D158:J158)=0,"N/M",AVERAGE(D158:J158))</f>
        <v>0.0110259591484377</v>
      </c>
      <c r="L158" s="62" t="n">
        <f aca="false">IF(COUNT(D158,J158)=2,J158-D158,"-")</f>
        <v>0.00611489763675593</v>
      </c>
    </row>
    <row r="159" customFormat="false" ht="15" hidden="false" customHeight="false" outlineLevel="0" collapsed="false">
      <c r="A159" s="16" t="s">
        <v>773</v>
      </c>
      <c r="B159" s="87" t="s">
        <v>774</v>
      </c>
      <c r="C159" s="17" t="s">
        <v>115</v>
      </c>
      <c r="D159" s="73" t="n">
        <f aca="false">IF(D82&gt;0,D80/D82,"N/M")</f>
        <v>65.5214454758683</v>
      </c>
      <c r="E159" s="73" t="str">
        <f aca="false">IF(E82&gt;0,E80/E82,"N/M")</f>
        <v>N/M</v>
      </c>
      <c r="F159" s="73" t="n">
        <f aca="false">IF(F82&gt;0,F80/F82,"N/M")</f>
        <v>43.8191554859139</v>
      </c>
      <c r="G159" s="73" t="n">
        <f aca="false">IF(G82&gt;0,G80/G82,"N/M")</f>
        <v>54.0765030340773</v>
      </c>
      <c r="H159" s="73" t="n">
        <f aca="false">IF(H82&gt;0,H80/H82,"N/M")</f>
        <v>43.0289579732999</v>
      </c>
      <c r="I159" s="73" t="n">
        <f aca="false">IF(I82&gt;0,I80/I82,"N/M")</f>
        <v>35.5155894500776</v>
      </c>
      <c r="J159" s="73" t="n">
        <f aca="false">IF(J82&gt;0,J80/J82,"N/M")</f>
        <v>27.3841866095822</v>
      </c>
      <c r="K159" s="60" t="n">
        <f aca="false">IF(COUNT(D159:J159)=0,"N/M",AVERAGE(D159:J159))</f>
        <v>44.8909730048032</v>
      </c>
      <c r="L159" s="60" t="n">
        <f aca="false">IF(COUNT(D159,J159)=2,J159-D159,"-")</f>
        <v>-38.1372588662861</v>
      </c>
    </row>
    <row r="160" customFormat="false" ht="15" hidden="false" customHeight="false" outlineLevel="0" collapsed="false">
      <c r="A160" s="16" t="s">
        <v>775</v>
      </c>
      <c r="B160" s="87" t="s">
        <v>776</v>
      </c>
      <c r="C160" s="17" t="s">
        <v>115</v>
      </c>
      <c r="D160" s="73" t="n">
        <f aca="false">IF(D83&gt;0,D80/D83,"N/M")</f>
        <v>2.26768239592676</v>
      </c>
      <c r="E160" s="73" t="n">
        <f aca="false">IF(E83&gt;0,E80/E83,"N/M")</f>
        <v>4.73615125624305</v>
      </c>
      <c r="F160" s="73" t="n">
        <f aca="false">IF(F83&gt;0,F80/F83,"N/M")</f>
        <v>5.19406740966089</v>
      </c>
      <c r="G160" s="73" t="n">
        <f aca="false">IF(G83&gt;0,G80/G83,"N/M")</f>
        <v>3.92580224095037</v>
      </c>
      <c r="H160" s="73" t="n">
        <f aca="false">IF(H83&gt;0,H80/H83,"N/M")</f>
        <v>4.9939753496621</v>
      </c>
      <c r="I160" s="73" t="n">
        <f aca="false">IF(I83&gt;0,I80/I83,"N/M")</f>
        <v>4.05954374576094</v>
      </c>
      <c r="J160" s="73" t="n">
        <f aca="false">IF(J83&gt;0,J80/J83,"N/M")</f>
        <v>2.86137986297368</v>
      </c>
      <c r="K160" s="60" t="n">
        <f aca="false">IF(COUNT(D160:J160)=0,"N/M",AVERAGE(D160:J160))</f>
        <v>4.00551460873968</v>
      </c>
      <c r="L160" s="60" t="n">
        <f aca="false">IF(COUNT(D160,J160)=2,J160-D160,"-")</f>
        <v>0.593697467046928</v>
      </c>
    </row>
    <row r="161" customFormat="false" ht="15" hidden="false" customHeight="false" outlineLevel="0" collapsed="false">
      <c r="A161" s="16" t="s">
        <v>777</v>
      </c>
      <c r="B161" s="87" t="s">
        <v>778</v>
      </c>
      <c r="C161" s="17" t="s">
        <v>115</v>
      </c>
      <c r="D161" s="73" t="n">
        <f aca="false">IF(D84&gt;0,D81/D84,"N/M")</f>
        <v>11.460666161347</v>
      </c>
      <c r="E161" s="73" t="n">
        <f aca="false">IF(E84&gt;0,E81/E84,"N/M")</f>
        <v>27.2601488976256</v>
      </c>
      <c r="F161" s="73" t="n">
        <f aca="false">IF(F84&gt;0,F81/F84,"N/M")</f>
        <v>20.0877543076527</v>
      </c>
      <c r="G161" s="73" t="n">
        <f aca="false">IF(G84&gt;0,G81/G84,"N/M")</f>
        <v>16.4150006302369</v>
      </c>
      <c r="H161" s="73" t="n">
        <f aca="false">IF(H84&gt;0,H81/H84,"N/M")</f>
        <v>22.7199394131802</v>
      </c>
      <c r="I161" s="73" t="n">
        <f aca="false">IF(I84&gt;0,I81/I84,"N/M")</f>
        <v>18.7492886395308</v>
      </c>
      <c r="J161" s="73" t="n">
        <f aca="false">IF(J84&gt;0,J81/J84,"N/M")</f>
        <v>13.4432476717447</v>
      </c>
      <c r="K161" s="60" t="n">
        <f aca="false">IF(COUNT(D161:J161)=0,"N/M",AVERAGE(D161:J161))</f>
        <v>18.590863674474</v>
      </c>
      <c r="L161" s="60" t="n">
        <f aca="false">IF(COUNT(D161,J161)=2,J161-D161,"-")</f>
        <v>1.98258151039779</v>
      </c>
    </row>
    <row r="163" customFormat="false" ht="19.5" hidden="false" customHeight="true" outlineLevel="0" collapsed="false">
      <c r="A163" s="85" t="s">
        <v>779</v>
      </c>
      <c r="B163" s="86"/>
      <c r="C163" s="86"/>
      <c r="D163" s="86"/>
      <c r="E163" s="86"/>
      <c r="F163" s="86"/>
      <c r="G163" s="86"/>
      <c r="H163" s="86"/>
      <c r="I163" s="86"/>
      <c r="J163" s="86"/>
      <c r="K163" s="86"/>
      <c r="L163" s="86"/>
    </row>
    <row r="164" customFormat="false" ht="16.5" hidden="false" customHeight="true" outlineLevel="0" collapsed="false">
      <c r="A164" s="88" t="s">
        <v>780</v>
      </c>
      <c r="B164" s="89"/>
      <c r="C164" s="89"/>
      <c r="D164" s="89"/>
      <c r="E164" s="89"/>
      <c r="F164" s="89"/>
      <c r="G164" s="89"/>
      <c r="H164" s="89"/>
      <c r="I164" s="89"/>
      <c r="J164" s="89"/>
      <c r="K164" s="89"/>
      <c r="L164" s="89"/>
    </row>
    <row r="165" customFormat="false" ht="15" hidden="false" customHeight="false" outlineLevel="0" collapsed="false">
      <c r="A165" s="16" t="s">
        <v>300</v>
      </c>
      <c r="B165" s="87" t="s">
        <v>725</v>
      </c>
      <c r="C165" s="17" t="s">
        <v>615</v>
      </c>
      <c r="D165" s="71" t="n">
        <f aca="false">IF(D7&gt;0,D30/D7,"N/M")</f>
        <v>0.0263345811699051</v>
      </c>
      <c r="E165" s="71" t="n">
        <f aca="false">IF(E7&gt;0,E30/E7,"N/M")</f>
        <v>-0.00772787789496705</v>
      </c>
      <c r="F165" s="71" t="n">
        <f aca="false">IF(F7&gt;0,F30/F7,"N/M")</f>
        <v>0.0609109488110273</v>
      </c>
      <c r="G165" s="71" t="n">
        <f aca="false">IF(G7&gt;0,G30/G7,"N/M")</f>
        <v>0.0409789706411641</v>
      </c>
      <c r="H165" s="71" t="n">
        <f aca="false">IF(H7&gt;0,H30/H7,"N/M")</f>
        <v>0.0532687901080975</v>
      </c>
      <c r="I165" s="71" t="n">
        <f aca="false">IF(I7&gt;0,I30/I7,"N/M")</f>
        <v>0.0690813084926445</v>
      </c>
      <c r="J165" s="71" t="n">
        <f aca="false">IF(J7&gt;0,J30/J7,"N/M")</f>
        <v>0.0656051876479138</v>
      </c>
      <c r="K165" s="62" t="n">
        <f aca="false">IF(COUNT(D165:J165)=0,"N/M",AVERAGE(D165:J165))</f>
        <v>0.0440645584251122</v>
      </c>
      <c r="L165" s="62" t="n">
        <f aca="false">IF(COUNT(D165,J165)=2,J165-D165,"-")</f>
        <v>0.0392706064780087</v>
      </c>
    </row>
    <row r="166" customFormat="false" ht="15" hidden="false" customHeight="false" outlineLevel="0" collapsed="false">
      <c r="A166" s="16" t="s">
        <v>781</v>
      </c>
      <c r="B166" s="87" t="s">
        <v>708</v>
      </c>
      <c r="C166" s="17" t="s">
        <v>692</v>
      </c>
      <c r="D166" s="73" t="n">
        <f aca="false">IF(D49&gt;0,D7/D49,"N/M")</f>
        <v>0.970279426002435</v>
      </c>
      <c r="E166" s="73" t="n">
        <f aca="false">IF(E49&gt;0,E7/E49,"N/M")</f>
        <v>0.978249696712094</v>
      </c>
      <c r="F166" s="73" t="n">
        <f aca="false">IF(F49&gt;0,F7/F49,"N/M")</f>
        <v>1.2888122117486</v>
      </c>
      <c r="G166" s="73" t="n">
        <f aca="false">IF(G49&gt;0,G7/G49,"N/M")</f>
        <v>1.40426039719896</v>
      </c>
      <c r="H166" s="73" t="n">
        <f aca="false">IF(H49&gt;0,H7/H49,"N/M")</f>
        <v>1.21830202163604</v>
      </c>
      <c r="I166" s="73" t="n">
        <f aca="false">IF(I49&gt;0,I7/I49,"N/M")</f>
        <v>1.07462475835058</v>
      </c>
      <c r="J166" s="73" t="n">
        <f aca="false">IF(J49&gt;0,J7/J49,"N/M")</f>
        <v>1.06546065869585</v>
      </c>
      <c r="K166" s="60" t="n">
        <f aca="false">IF(COUNT(D166:J166)=0,"N/M",AVERAGE(D166:J166))</f>
        <v>1.14285559576351</v>
      </c>
      <c r="L166" s="60" t="n">
        <f aca="false">IF(COUNT(D166,J166)=2,J166-D166,"-")</f>
        <v>0.0951812326934148</v>
      </c>
    </row>
    <row r="167" customFormat="false" ht="15" hidden="false" customHeight="false" outlineLevel="0" collapsed="false">
      <c r="A167" s="16" t="s">
        <v>782</v>
      </c>
      <c r="B167" s="87" t="s">
        <v>783</v>
      </c>
      <c r="C167" s="17" t="s">
        <v>692</v>
      </c>
      <c r="D167" s="73" t="n">
        <f aca="false">IF(D40&gt;0,D49/D40,"N/M")</f>
        <v>1.74366906441151</v>
      </c>
      <c r="E167" s="73" t="n">
        <f aca="false">IF(E40&gt;0,E49/E40,"N/M")</f>
        <v>1.9691963557077</v>
      </c>
      <c r="F167" s="73" t="n">
        <f aca="false">IF(F40&gt;0,F49/F40,"N/M")</f>
        <v>1.94629663596204</v>
      </c>
      <c r="G167" s="73" t="n">
        <f aca="false">IF(G40&gt;0,G49/G40,"N/M")</f>
        <v>1.67548148546415</v>
      </c>
      <c r="H167" s="73" t="n">
        <f aca="false">IF(H40&gt;0,H49/H40,"N/M")</f>
        <v>1.66984527359999</v>
      </c>
      <c r="I167" s="73" t="n">
        <f aca="false">IF(I40&gt;0,I49/I40,"N/M")</f>
        <v>1.54030379147001</v>
      </c>
      <c r="J167" s="73" t="n">
        <f aca="false">IF(J40&gt;0,J49/J40,"N/M")</f>
        <v>1.49485844903696</v>
      </c>
      <c r="K167" s="60" t="n">
        <f aca="false">IF(COUNT(D167:J167)=0,"N/M",AVERAGE(D167:J167))</f>
        <v>1.71995015080748</v>
      </c>
      <c r="L167" s="60" t="n">
        <f aca="false">IF(COUNT(D167,J167)=2,J167-D167,"-")</f>
        <v>-0.248810615374552</v>
      </c>
    </row>
    <row r="168" customFormat="false" ht="15" hidden="false" customHeight="false" outlineLevel="0" collapsed="false">
      <c r="A168" s="12" t="s">
        <v>303</v>
      </c>
      <c r="B168" s="87" t="s">
        <v>741</v>
      </c>
      <c r="C168" s="17" t="s">
        <v>615</v>
      </c>
      <c r="D168" s="30" t="n">
        <f aca="false">IF(D49&gt;0,D30/D49,"N/M")</f>
        <v>0.02555190230155</v>
      </c>
      <c r="E168" s="30" t="n">
        <f aca="false">IF(E49&gt;0,E30/E49,"N/M")</f>
        <v>-0.0075597942069796</v>
      </c>
      <c r="F168" s="30" t="n">
        <f aca="false">IF(F49&gt;0,F30/F49,"N/M")</f>
        <v>0.0785027746568457</v>
      </c>
      <c r="G168" s="30" t="n">
        <f aca="false">IF(G49&gt;0,G30/G49,"N/M")</f>
        <v>0.0575451455893654</v>
      </c>
      <c r="H168" s="30" t="n">
        <f aca="false">IF(H49&gt;0,H30/H49,"N/M")</f>
        <v>0.0648974746788008</v>
      </c>
      <c r="I168" s="30" t="n">
        <f aca="false">IF(I49&gt;0,I30/I49,"N/M")</f>
        <v>0.0742364844454501</v>
      </c>
      <c r="J168" s="30" t="n">
        <f aca="false">IF(J49&gt;0,J30/J49,"N/M")</f>
        <v>0.0698997464452111</v>
      </c>
      <c r="K168" s="30" t="n">
        <f aca="false">IF(COUNT(D168:J168)=0,"N/M",AVERAGE(D168:J168))</f>
        <v>0.0518676762728919</v>
      </c>
      <c r="L168" s="30" t="n">
        <f aca="false">IF(COUNT(D168,J168)=2,J168-D168,"-")</f>
        <v>0.044347844143661</v>
      </c>
    </row>
    <row r="169" customFormat="false" ht="15" hidden="false" customHeight="false" outlineLevel="0" collapsed="false">
      <c r="A169" s="12" t="s">
        <v>784</v>
      </c>
      <c r="B169" s="87" t="s">
        <v>751</v>
      </c>
      <c r="C169" s="17" t="s">
        <v>615</v>
      </c>
      <c r="D169" s="30" t="n">
        <f aca="false">IF(D40&gt;0,D30/D40,"N/M")</f>
        <v>0.044554061580078</v>
      </c>
      <c r="E169" s="30" t="n">
        <f aca="false">IF(E40&gt;0,E30/E40,"N/M")</f>
        <v>-0.0148867192022844</v>
      </c>
      <c r="F169" s="30" t="n">
        <f aca="false">IF(F40&gt;0,F30/F40,"N/M")</f>
        <v>0.152789686228304</v>
      </c>
      <c r="G169" s="30" t="n">
        <f aca="false">IF(G40&gt;0,G30/G40,"N/M")</f>
        <v>0.0964158260133205</v>
      </c>
      <c r="H169" s="30" t="n">
        <f aca="false">IF(H40&gt;0,H30/H40,"N/M")</f>
        <v>0.10836874136097</v>
      </c>
      <c r="I169" s="30" t="n">
        <f aca="false">IF(I40&gt;0,I30/I40,"N/M")</f>
        <v>0.114346738456731</v>
      </c>
      <c r="J169" s="30" t="n">
        <f aca="false">IF(J40&gt;0,J30/J40,"N/M")</f>
        <v>0.104490226559165</v>
      </c>
      <c r="K169" s="30" t="n">
        <f aca="false">IF(COUNT(D169:J169)=0,"N/M",AVERAGE(D169:J169))</f>
        <v>0.0865826515708978</v>
      </c>
      <c r="L169" s="30" t="n">
        <f aca="false">IF(COUNT(D169,J169)=2,J169-D169,"-")</f>
        <v>0.0599361649790866</v>
      </c>
    </row>
    <row r="170" customFormat="false" ht="15" hidden="false" customHeight="false" outlineLevel="0" collapsed="false">
      <c r="A170" s="16" t="s">
        <v>785</v>
      </c>
      <c r="B170" s="87" t="s">
        <v>786</v>
      </c>
      <c r="C170" s="17" t="s">
        <v>615</v>
      </c>
      <c r="D170" s="94" t="n">
        <f aca="false">IF(COUNT(D165,D166,D167,D169)=4,D165*D166*D167-D169,"-")</f>
        <v>0</v>
      </c>
      <c r="E170" s="94" t="n">
        <f aca="false">IF(COUNT(E165,E166,E167,E169)=4,E165*E166*E167-E169,"-")</f>
        <v>0</v>
      </c>
      <c r="F170" s="94" t="n">
        <f aca="false">IF(COUNT(F165,F166,F167,F169)=4,F165*F166*F167-F169,"-")</f>
        <v>0</v>
      </c>
      <c r="G170" s="94" t="n">
        <f aca="false">IF(COUNT(G165,G166,G167,G169)=4,G165*G166*G167-G169,"-")</f>
        <v>0</v>
      </c>
      <c r="H170" s="94" t="n">
        <f aca="false">IF(COUNT(H165,H166,H167,H169)=4,H165*H166*H167-H169,"-")</f>
        <v>0</v>
      </c>
      <c r="I170" s="94" t="n">
        <f aca="false">IF(COUNT(I165,I166,I167,I169)=4,I165*I166*I167-I169,"-")</f>
        <v>0</v>
      </c>
      <c r="J170" s="94" t="n">
        <f aca="false">IF(COUNT(J165,J166,J167,J169)=4,J165*J166*J167-J169,"-")</f>
        <v>0</v>
      </c>
      <c r="K170" s="62"/>
      <c r="L170" s="62"/>
    </row>
    <row r="171" customFormat="false" ht="16.5" hidden="false" customHeight="true" outlineLevel="0" collapsed="false">
      <c r="A171" s="88" t="s">
        <v>787</v>
      </c>
      <c r="B171" s="89"/>
      <c r="C171" s="89"/>
      <c r="D171" s="89"/>
      <c r="E171" s="89"/>
      <c r="F171" s="89"/>
      <c r="G171" s="89"/>
      <c r="H171" s="89"/>
      <c r="I171" s="89"/>
      <c r="J171" s="89"/>
      <c r="K171" s="89"/>
      <c r="L171" s="89"/>
    </row>
    <row r="172" customFormat="false" ht="15" hidden="false" customHeight="false" outlineLevel="0" collapsed="false">
      <c r="A172" s="16" t="s">
        <v>788</v>
      </c>
      <c r="B172" s="87" t="s">
        <v>789</v>
      </c>
      <c r="C172" s="17" t="s">
        <v>97</v>
      </c>
      <c r="D172" s="73" t="n">
        <f aca="false">IF(D26&lt;&gt;0,D30/D26,"N/M")</f>
        <v>0.730934178631362</v>
      </c>
      <c r="E172" s="73" t="n">
        <f aca="false">IF(E26&lt;&gt;0,E30/E26,"N/M")</f>
        <v>-20.5814850530253</v>
      </c>
      <c r="F172" s="73" t="n">
        <f aca="false">IF(F26&lt;&gt;0,F30/F26,"N/M")</f>
        <v>0.747161699514129</v>
      </c>
      <c r="G172" s="73" t="n">
        <f aca="false">IF(G26&lt;&gt;0,G30/G26,"N/M")</f>
        <v>0.665200910366039</v>
      </c>
      <c r="H172" s="73" t="n">
        <f aca="false">IF(H26&lt;&gt;0,H30/H26,"N/M")</f>
        <v>0.772103810473052</v>
      </c>
      <c r="I172" s="73" t="n">
        <f aca="false">IF(I26&lt;&gt;0,I30/I26,"N/M")</f>
        <v>0.7811858542021</v>
      </c>
      <c r="J172" s="73" t="n">
        <f aca="false">IF(J26&lt;&gt;0,J30/J26,"N/M")</f>
        <v>0.779088894473509</v>
      </c>
      <c r="K172" s="60" t="n">
        <f aca="false">IF(COUNT(D172:J172)=0,"N/M",AVERAGE(D172:J172))</f>
        <v>-2.3008299579093</v>
      </c>
      <c r="L172" s="60" t="n">
        <f aca="false">IF(COUNT(D172,J172)=2,J172-D172,"-")</f>
        <v>0.0481547158421475</v>
      </c>
    </row>
    <row r="173" customFormat="false" ht="15" hidden="false" customHeight="false" outlineLevel="0" collapsed="false">
      <c r="A173" s="16" t="s">
        <v>790</v>
      </c>
      <c r="B173" s="87" t="s">
        <v>791</v>
      </c>
      <c r="C173" s="17" t="s">
        <v>97</v>
      </c>
      <c r="D173" s="73" t="n">
        <f aca="false">IF(D23&lt;&gt;0,D26/D23,"N/M")</f>
        <v>0.538635141761638</v>
      </c>
      <c r="E173" s="73" t="n">
        <f aca="false">IF(E23&lt;&gt;0,E26/E23,"N/M")</f>
        <v>0.00852284401634393</v>
      </c>
      <c r="F173" s="73" t="n">
        <f aca="false">IF(F23&lt;&gt;0,F26/F23,"N/M")</f>
        <v>1.05103139729967</v>
      </c>
      <c r="G173" s="73" t="n">
        <f aca="false">IF(G23&lt;&gt;0,G26/G23,"N/M")</f>
        <v>0.834551745710296</v>
      </c>
      <c r="H173" s="73" t="n">
        <f aca="false">IF(H23&lt;&gt;0,H26/H23,"N/M")</f>
        <v>1.21712920624848</v>
      </c>
      <c r="I173" s="73" t="n">
        <f aca="false">IF(I23&lt;&gt;0,I26/I23,"N/M")</f>
        <v>1.16267387944359</v>
      </c>
      <c r="J173" s="73" t="n">
        <f aca="false">IF(J23&lt;&gt;0,J26/J23,"N/M")</f>
        <v>1.11144685389264</v>
      </c>
      <c r="K173" s="60" t="n">
        <f aca="false">IF(COUNT(D173:J173)=0,"N/M",AVERAGE(D173:J173))</f>
        <v>0.846284438338952</v>
      </c>
      <c r="L173" s="60" t="n">
        <f aca="false">IF(COUNT(D173,J173)=2,J173-D173,"-")</f>
        <v>0.572811712131004</v>
      </c>
    </row>
    <row r="174" customFormat="false" ht="15" hidden="false" customHeight="false" outlineLevel="0" collapsed="false">
      <c r="A174" s="16" t="s">
        <v>792</v>
      </c>
      <c r="B174" s="87" t="s">
        <v>793</v>
      </c>
      <c r="C174" s="17" t="s">
        <v>615</v>
      </c>
      <c r="D174" s="71" t="n">
        <f aca="false">IF(D7&gt;0,D23/D7,"N/M")</f>
        <v>0.0668888087119095</v>
      </c>
      <c r="E174" s="71" t="n">
        <f aca="false">IF(E7&gt;0,E23/E7,"N/M")</f>
        <v>0.0440553852370487</v>
      </c>
      <c r="F174" s="71" t="n">
        <f aca="false">IF(F7&gt;0,F23/F7,"N/M")</f>
        <v>0.0775648708037077</v>
      </c>
      <c r="G174" s="71" t="n">
        <f aca="false">IF(G7&gt;0,G23/G7,"N/M")</f>
        <v>0.0738167534082492</v>
      </c>
      <c r="H174" s="71" t="n">
        <f aca="false">IF(H7&gt;0,H23/H7,"N/M")</f>
        <v>0.0566839952690164</v>
      </c>
      <c r="I174" s="71" t="n">
        <f aca="false">IF(I7&gt;0,I23/I7,"N/M")</f>
        <v>0.0760585898008605</v>
      </c>
      <c r="J174" s="71" t="n">
        <f aca="false">IF(J7&gt;0,J23/J7,"N/M")</f>
        <v>0.0757639253390656</v>
      </c>
      <c r="K174" s="62" t="n">
        <f aca="false">IF(COUNT(D174:J174)=0,"N/M",AVERAGE(D174:J174))</f>
        <v>0.0672617612242654</v>
      </c>
      <c r="L174" s="62" t="n">
        <f aca="false">IF(COUNT(D174,J174)=2,J174-D174,"-")</f>
        <v>0.00887511662715607</v>
      </c>
    </row>
    <row r="175" customFormat="false" ht="15" hidden="false" customHeight="false" outlineLevel="0" collapsed="false">
      <c r="A175" s="16" t="s">
        <v>781</v>
      </c>
      <c r="B175" s="87" t="s">
        <v>708</v>
      </c>
      <c r="C175" s="17" t="s">
        <v>692</v>
      </c>
      <c r="D175" s="73" t="n">
        <f aca="false">IF(D49&gt;0,D7/D49,"N/M")</f>
        <v>0.970279426002435</v>
      </c>
      <c r="E175" s="73" t="n">
        <f aca="false">IF(E49&gt;0,E7/E49,"N/M")</f>
        <v>0.978249696712094</v>
      </c>
      <c r="F175" s="73" t="n">
        <f aca="false">IF(F49&gt;0,F7/F49,"N/M")</f>
        <v>1.2888122117486</v>
      </c>
      <c r="G175" s="73" t="n">
        <f aca="false">IF(G49&gt;0,G7/G49,"N/M")</f>
        <v>1.40426039719896</v>
      </c>
      <c r="H175" s="73" t="n">
        <f aca="false">IF(H49&gt;0,H7/H49,"N/M")</f>
        <v>1.21830202163604</v>
      </c>
      <c r="I175" s="73" t="n">
        <f aca="false">IF(I49&gt;0,I7/I49,"N/M")</f>
        <v>1.07462475835058</v>
      </c>
      <c r="J175" s="73" t="n">
        <f aca="false">IF(J49&gt;0,J7/J49,"N/M")</f>
        <v>1.06546065869585</v>
      </c>
      <c r="K175" s="60" t="n">
        <f aca="false">IF(COUNT(D175:J175)=0,"N/M",AVERAGE(D175:J175))</f>
        <v>1.14285559576351</v>
      </c>
      <c r="L175" s="60" t="n">
        <f aca="false">IF(COUNT(D175,J175)=2,J175-D175,"-")</f>
        <v>0.0951812326934148</v>
      </c>
    </row>
    <row r="176" customFormat="false" ht="15" hidden="false" customHeight="false" outlineLevel="0" collapsed="false">
      <c r="A176" s="16" t="s">
        <v>782</v>
      </c>
      <c r="B176" s="87" t="s">
        <v>783</v>
      </c>
      <c r="C176" s="17" t="s">
        <v>692</v>
      </c>
      <c r="D176" s="73" t="n">
        <f aca="false">IF(D40&gt;0,D49/D40,"N/M")</f>
        <v>1.74366906441151</v>
      </c>
      <c r="E176" s="73" t="n">
        <f aca="false">IF(E40&gt;0,E49/E40,"N/M")</f>
        <v>1.9691963557077</v>
      </c>
      <c r="F176" s="73" t="n">
        <f aca="false">IF(F40&gt;0,F49/F40,"N/M")</f>
        <v>1.94629663596204</v>
      </c>
      <c r="G176" s="73" t="n">
        <f aca="false">IF(G40&gt;0,G49/G40,"N/M")</f>
        <v>1.67548148546415</v>
      </c>
      <c r="H176" s="73" t="n">
        <f aca="false">IF(H40&gt;0,H49/H40,"N/M")</f>
        <v>1.66984527359999</v>
      </c>
      <c r="I176" s="73" t="n">
        <f aca="false">IF(I40&gt;0,I49/I40,"N/M")</f>
        <v>1.54030379147001</v>
      </c>
      <c r="J176" s="73" t="n">
        <f aca="false">IF(J40&gt;0,J49/J40,"N/M")</f>
        <v>1.49485844903696</v>
      </c>
      <c r="K176" s="60" t="n">
        <f aca="false">IF(COUNT(D176:J176)=0,"N/M",AVERAGE(D176:J176))</f>
        <v>1.71995015080748</v>
      </c>
      <c r="L176" s="60" t="n">
        <f aca="false">IF(COUNT(D176,J176)=2,J176-D176,"-")</f>
        <v>-0.248810615374552</v>
      </c>
    </row>
    <row r="177" customFormat="false" ht="15" hidden="false" customHeight="false" outlineLevel="0" collapsed="false">
      <c r="A177" s="12" t="s">
        <v>784</v>
      </c>
      <c r="B177" s="87" t="s">
        <v>751</v>
      </c>
      <c r="C177" s="17" t="s">
        <v>615</v>
      </c>
      <c r="D177" s="30" t="n">
        <f aca="false">IF(D40&gt;0,D30/D40,"N/M")</f>
        <v>0.044554061580078</v>
      </c>
      <c r="E177" s="30" t="n">
        <f aca="false">IF(E40&gt;0,E30/E40,"N/M")</f>
        <v>-0.0148867192022844</v>
      </c>
      <c r="F177" s="30" t="n">
        <f aca="false">IF(F40&gt;0,F30/F40,"N/M")</f>
        <v>0.152789686228304</v>
      </c>
      <c r="G177" s="30" t="n">
        <f aca="false">IF(G40&gt;0,G30/G40,"N/M")</f>
        <v>0.0964158260133205</v>
      </c>
      <c r="H177" s="30" t="n">
        <f aca="false">IF(H40&gt;0,H30/H40,"N/M")</f>
        <v>0.10836874136097</v>
      </c>
      <c r="I177" s="30" t="n">
        <f aca="false">IF(I40&gt;0,I30/I40,"N/M")</f>
        <v>0.114346738456731</v>
      </c>
      <c r="J177" s="30" t="n">
        <f aca="false">IF(J40&gt;0,J30/J40,"N/M")</f>
        <v>0.104490226559165</v>
      </c>
      <c r="K177" s="30" t="n">
        <f aca="false">IF(COUNT(D177:J177)=0,"N/M",AVERAGE(D177:J177))</f>
        <v>0.0865826515708978</v>
      </c>
      <c r="L177" s="30" t="n">
        <f aca="false">IF(COUNT(D177,J177)=2,J177-D177,"-")</f>
        <v>0.0599361649790866</v>
      </c>
    </row>
    <row r="178" customFormat="false" ht="15" hidden="false" customHeight="false" outlineLevel="0" collapsed="false">
      <c r="A178" s="16" t="s">
        <v>794</v>
      </c>
      <c r="B178" s="87" t="s">
        <v>786</v>
      </c>
      <c r="C178" s="17" t="s">
        <v>615</v>
      </c>
      <c r="D178" s="94" t="n">
        <f aca="false">IF(COUNT(D172,D173,D174,D175,D176,D177)=6,D172*D173*D174*D175*D176-D177,"-")</f>
        <v>0</v>
      </c>
      <c r="E178" s="94" t="n">
        <f aca="false">IF(COUNT(E172,E173,E174,E175,E176,E177)=6,E172*E173*E174*E175*E176-E177,"-")</f>
        <v>0</v>
      </c>
      <c r="F178" s="94" t="n">
        <f aca="false">IF(COUNT(F172,F173,F174,F175,F176,F177)=6,F172*F173*F174*F175*F176-F177,"-")</f>
        <v>0</v>
      </c>
      <c r="G178" s="94" t="n">
        <f aca="false">IF(COUNT(G172,G173,G174,G175,G176,G177)=6,G172*G173*G174*G175*G176-G177,"-")</f>
        <v>0</v>
      </c>
      <c r="H178" s="94" t="n">
        <f aca="false">IF(COUNT(H172,H173,H174,H175,H176,H177)=6,H172*H173*H174*H175*H176-H177,"-")</f>
        <v>0</v>
      </c>
      <c r="I178" s="94" t="n">
        <f aca="false">IF(COUNT(I172,I173,I174,I175,I176,I177)=6,I172*I173*I174*I175*I176-I177,"-")</f>
        <v>0</v>
      </c>
      <c r="J178" s="94" t="n">
        <f aca="false">IF(COUNT(J172,J173,J174,J175,J176,J177)=6,J172*J173*J174*J175*J176-J177,"-")</f>
        <v>0</v>
      </c>
      <c r="K178" s="62"/>
      <c r="L178" s="62"/>
    </row>
  </sheetData>
  <mergeCells count="3">
    <mergeCell ref="A1:L1"/>
    <mergeCell ref="A2:L2"/>
    <mergeCell ref="A3:L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18096"/>
    <pageSetUpPr fitToPage="true"/>
  </sheetPr>
  <dimension ref="A1:L177"/>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50"/>
    <col collapsed="false" customWidth="true" hidden="false" outlineLevel="0" max="3" min="3" style="0" width="15"/>
    <col collapsed="false" customWidth="true" hidden="false" outlineLevel="0" max="10" min="4" style="0" width="11.5"/>
    <col collapsed="false" customWidth="true" hidden="false" outlineLevel="0" max="12" min="11" style="0" width="12"/>
  </cols>
  <sheetData>
    <row r="1" customFormat="false" ht="24" hidden="false" customHeight="true" outlineLevel="0" collapsed="false">
      <c r="A1" s="1" t="s">
        <v>795</v>
      </c>
      <c r="B1" s="1"/>
      <c r="C1" s="1"/>
      <c r="D1" s="1"/>
      <c r="E1" s="1"/>
      <c r="F1" s="1"/>
      <c r="G1" s="1"/>
      <c r="H1" s="1"/>
      <c r="I1" s="1"/>
      <c r="J1" s="1"/>
      <c r="K1" s="1"/>
      <c r="L1" s="1"/>
    </row>
    <row r="2" customFormat="false" ht="18" hidden="false" customHeight="true" outlineLevel="0" collapsed="false">
      <c r="A2" s="2" t="s">
        <v>796</v>
      </c>
      <c r="B2" s="2"/>
      <c r="C2" s="2"/>
      <c r="D2" s="2"/>
      <c r="E2" s="2"/>
      <c r="F2" s="2"/>
      <c r="G2" s="2"/>
      <c r="H2" s="2"/>
      <c r="I2" s="2"/>
      <c r="J2" s="2"/>
      <c r="K2" s="2"/>
      <c r="L2" s="2"/>
    </row>
    <row r="3" customFormat="false" ht="18" hidden="false" customHeight="true" outlineLevel="0" collapsed="false">
      <c r="A3" s="95" t="s">
        <v>797</v>
      </c>
      <c r="B3" s="95"/>
      <c r="C3" s="95"/>
      <c r="D3" s="95"/>
      <c r="E3" s="95"/>
      <c r="F3" s="95"/>
      <c r="G3" s="95"/>
      <c r="H3" s="95"/>
      <c r="I3" s="95"/>
      <c r="J3" s="95"/>
      <c r="K3" s="95"/>
      <c r="L3" s="95"/>
    </row>
    <row r="5" customFormat="false" ht="30" hidden="false" customHeight="true" outlineLevel="0" collapsed="false">
      <c r="A5" s="7" t="s">
        <v>486</v>
      </c>
      <c r="B5" s="7" t="s">
        <v>487</v>
      </c>
      <c r="C5" s="7" t="s">
        <v>488</v>
      </c>
      <c r="D5" s="7" t="s">
        <v>154</v>
      </c>
      <c r="E5" s="7" t="s">
        <v>185</v>
      </c>
      <c r="F5" s="7" t="s">
        <v>188</v>
      </c>
      <c r="G5" s="7" t="s">
        <v>144</v>
      </c>
      <c r="H5" s="7" t="s">
        <v>147</v>
      </c>
      <c r="I5" s="7" t="s">
        <v>157</v>
      </c>
      <c r="J5" s="7" t="s">
        <v>198</v>
      </c>
      <c r="K5" s="7" t="s">
        <v>322</v>
      </c>
      <c r="L5" s="7" t="s">
        <v>489</v>
      </c>
    </row>
    <row r="6" customFormat="false" ht="19.5" hidden="false" customHeight="true" outlineLevel="0" collapsed="false">
      <c r="A6" s="85" t="s">
        <v>490</v>
      </c>
      <c r="B6" s="86"/>
      <c r="C6" s="86"/>
      <c r="D6" s="86"/>
      <c r="E6" s="86"/>
      <c r="F6" s="86"/>
      <c r="G6" s="86"/>
      <c r="H6" s="86"/>
      <c r="I6" s="86"/>
      <c r="J6" s="86"/>
      <c r="K6" s="86"/>
      <c r="L6" s="86"/>
    </row>
    <row r="7" customFormat="false" ht="15" hidden="false" customHeight="false" outlineLevel="0" collapsed="false">
      <c r="A7" s="16" t="s">
        <v>491</v>
      </c>
      <c r="B7" s="87" t="s">
        <v>492</v>
      </c>
      <c r="C7" s="17" t="s">
        <v>493</v>
      </c>
      <c r="D7" s="96" t="n">
        <v>301.48</v>
      </c>
      <c r="E7" s="96" t="n">
        <v>167.87</v>
      </c>
      <c r="F7" s="96" t="n">
        <v>615.11</v>
      </c>
      <c r="G7" s="96" t="n">
        <v>433.35</v>
      </c>
      <c r="H7" s="96" t="n">
        <v>240.26</v>
      </c>
      <c r="I7" s="96" t="n">
        <v>536.31</v>
      </c>
      <c r="J7" s="96" t="n">
        <v>572.82</v>
      </c>
      <c r="K7" s="53" t="n">
        <f aca="false">AVERAGE(D7:J7)</f>
        <v>409.6</v>
      </c>
      <c r="L7" s="53" t="n">
        <f aca="false">J7-D7</f>
        <v>271.34</v>
      </c>
    </row>
    <row r="8" customFormat="false" ht="16.5" hidden="false" customHeight="true" outlineLevel="0" collapsed="false">
      <c r="A8" s="88" t="s">
        <v>494</v>
      </c>
      <c r="B8" s="89"/>
      <c r="C8" s="89"/>
      <c r="D8" s="89"/>
      <c r="E8" s="89"/>
      <c r="F8" s="89"/>
      <c r="G8" s="89"/>
      <c r="H8" s="89"/>
      <c r="I8" s="89"/>
      <c r="J8" s="89"/>
      <c r="K8" s="89"/>
      <c r="L8" s="89"/>
    </row>
    <row r="9" customFormat="false" ht="15" hidden="false" customHeight="false" outlineLevel="0" collapsed="false">
      <c r="A9" s="16" t="s">
        <v>495</v>
      </c>
      <c r="B9" s="87" t="s">
        <v>496</v>
      </c>
      <c r="C9" s="17" t="s">
        <v>493</v>
      </c>
      <c r="D9" s="96" t="n">
        <v>0</v>
      </c>
      <c r="E9" s="96" t="n">
        <v>0</v>
      </c>
      <c r="F9" s="96" t="n">
        <v>0</v>
      </c>
      <c r="G9" s="96" t="n">
        <v>0</v>
      </c>
      <c r="H9" s="96" t="n">
        <v>0</v>
      </c>
      <c r="I9" s="96" t="n">
        <v>0</v>
      </c>
      <c r="J9" s="96" t="n">
        <v>0</v>
      </c>
      <c r="K9" s="53" t="n">
        <f aca="false">AVERAGE(D9:J9)</f>
        <v>0</v>
      </c>
      <c r="L9" s="53" t="n">
        <f aca="false">J9-D9</f>
        <v>0</v>
      </c>
    </row>
    <row r="10" customFormat="false" ht="15" hidden="false" customHeight="false" outlineLevel="0" collapsed="false">
      <c r="A10" s="16" t="s">
        <v>497</v>
      </c>
      <c r="B10" s="87" t="s">
        <v>498</v>
      </c>
      <c r="C10" s="17" t="s">
        <v>493</v>
      </c>
      <c r="D10" s="96" t="n">
        <v>0</v>
      </c>
      <c r="E10" s="96" t="n">
        <v>0</v>
      </c>
      <c r="F10" s="96" t="n">
        <v>0</v>
      </c>
      <c r="G10" s="96" t="n">
        <v>0</v>
      </c>
      <c r="H10" s="96" t="n">
        <v>0</v>
      </c>
      <c r="I10" s="96" t="n">
        <v>0</v>
      </c>
      <c r="J10" s="96" t="n">
        <v>0</v>
      </c>
      <c r="K10" s="53" t="n">
        <f aca="false">AVERAGE(D10:J10)</f>
        <v>0</v>
      </c>
      <c r="L10" s="53" t="n">
        <f aca="false">J10-D10</f>
        <v>0</v>
      </c>
    </row>
    <row r="11" customFormat="false" ht="15" hidden="false" customHeight="false" outlineLevel="0" collapsed="false">
      <c r="A11" s="16" t="s">
        <v>499</v>
      </c>
      <c r="B11" s="87" t="s">
        <v>500</v>
      </c>
      <c r="C11" s="17" t="s">
        <v>493</v>
      </c>
      <c r="D11" s="96" t="n">
        <v>0.33</v>
      </c>
      <c r="E11" s="96" t="n">
        <v>0.26</v>
      </c>
      <c r="F11" s="96" t="n">
        <v>0.24</v>
      </c>
      <c r="G11" s="96" t="n">
        <v>0.38</v>
      </c>
      <c r="H11" s="96" t="n">
        <v>0.22</v>
      </c>
      <c r="I11" s="96" t="n">
        <v>0.23</v>
      </c>
      <c r="J11" s="96" t="n">
        <v>0.2</v>
      </c>
      <c r="K11" s="53" t="n">
        <f aca="false">AVERAGE(D11:J11)</f>
        <v>0.265714285714286</v>
      </c>
      <c r="L11" s="53" t="n">
        <f aca="false">J11-D11</f>
        <v>-0.13</v>
      </c>
    </row>
    <row r="12" customFormat="false" ht="15" hidden="false" customHeight="false" outlineLevel="0" collapsed="false">
      <c r="A12" s="16" t="s">
        <v>501</v>
      </c>
      <c r="B12" s="87" t="s">
        <v>502</v>
      </c>
      <c r="C12" s="17" t="s">
        <v>493</v>
      </c>
      <c r="D12" s="96" t="n">
        <v>278.28</v>
      </c>
      <c r="E12" s="96" t="n">
        <v>154.81</v>
      </c>
      <c r="F12" s="96" t="n">
        <v>559.97</v>
      </c>
      <c r="G12" s="96" t="n">
        <v>385.68</v>
      </c>
      <c r="H12" s="96" t="n">
        <v>205.59</v>
      </c>
      <c r="I12" s="96" t="n">
        <v>480.06</v>
      </c>
      <c r="J12" s="96" t="n">
        <v>514.72</v>
      </c>
      <c r="K12" s="53" t="n">
        <f aca="false">AVERAGE(D12:J12)</f>
        <v>368.444285714286</v>
      </c>
      <c r="L12" s="53" t="n">
        <f aca="false">J12-D12</f>
        <v>236.44</v>
      </c>
    </row>
    <row r="13" customFormat="false" ht="15" hidden="false" customHeight="false" outlineLevel="0" collapsed="false">
      <c r="A13" s="12" t="s">
        <v>503</v>
      </c>
      <c r="B13" s="87" t="s">
        <v>504</v>
      </c>
      <c r="C13" s="17" t="s">
        <v>493</v>
      </c>
      <c r="D13" s="29" t="n">
        <f aca="false">D9+D11+D12-D10</f>
        <v>278.61</v>
      </c>
      <c r="E13" s="29" t="n">
        <f aca="false">E9+E11+E12-E10</f>
        <v>155.07</v>
      </c>
      <c r="F13" s="29" t="n">
        <f aca="false">F9+F11+F12-F10</f>
        <v>560.21</v>
      </c>
      <c r="G13" s="29" t="n">
        <f aca="false">G9+G11+G12-G10</f>
        <v>386.06</v>
      </c>
      <c r="H13" s="29" t="n">
        <f aca="false">H9+H11+H12-H10</f>
        <v>205.81</v>
      </c>
      <c r="I13" s="29" t="n">
        <f aca="false">I9+I11+I12-I10</f>
        <v>480.29</v>
      </c>
      <c r="J13" s="29" t="n">
        <f aca="false">J9+J11+J12-J10</f>
        <v>514.92</v>
      </c>
      <c r="K13" s="29" t="n">
        <f aca="false">AVERAGE(D13:J13)</f>
        <v>368.71</v>
      </c>
      <c r="L13" s="29" t="n">
        <f aca="false">J13-D13</f>
        <v>236.31</v>
      </c>
    </row>
    <row r="14" customFormat="false" ht="15" hidden="false" customHeight="false" outlineLevel="0" collapsed="false">
      <c r="A14" s="12" t="s">
        <v>505</v>
      </c>
      <c r="B14" s="87" t="s">
        <v>506</v>
      </c>
      <c r="C14" s="17" t="s">
        <v>493</v>
      </c>
      <c r="D14" s="29" t="n">
        <f aca="false">D7-D13</f>
        <v>22.8700000000001</v>
      </c>
      <c r="E14" s="29" t="n">
        <f aca="false">E7-E13</f>
        <v>12.8</v>
      </c>
      <c r="F14" s="29" t="n">
        <f aca="false">F7-F13</f>
        <v>54.9</v>
      </c>
      <c r="G14" s="29" t="n">
        <f aca="false">G7-G13</f>
        <v>47.29</v>
      </c>
      <c r="H14" s="29" t="n">
        <f aca="false">H7-H13</f>
        <v>34.45</v>
      </c>
      <c r="I14" s="29" t="n">
        <f aca="false">I7-I13</f>
        <v>56.0199999999999</v>
      </c>
      <c r="J14" s="29" t="n">
        <f aca="false">J7-J13</f>
        <v>57.9</v>
      </c>
      <c r="K14" s="29" t="n">
        <f aca="false">AVERAGE(D14:J14)</f>
        <v>40.89</v>
      </c>
      <c r="L14" s="29" t="n">
        <f aca="false">J14-D14</f>
        <v>35.0299999999999</v>
      </c>
    </row>
    <row r="15" customFormat="false" ht="16.5" hidden="false" customHeight="true" outlineLevel="0" collapsed="false">
      <c r="A15" s="88" t="s">
        <v>507</v>
      </c>
      <c r="B15" s="89"/>
      <c r="C15" s="89"/>
      <c r="D15" s="89"/>
      <c r="E15" s="89"/>
      <c r="F15" s="89"/>
      <c r="G15" s="89"/>
      <c r="H15" s="89"/>
      <c r="I15" s="89"/>
      <c r="J15" s="89"/>
      <c r="K15" s="89"/>
      <c r="L15" s="89"/>
    </row>
    <row r="16" customFormat="false" ht="15" hidden="false" customHeight="false" outlineLevel="0" collapsed="false">
      <c r="A16" s="16" t="s">
        <v>508</v>
      </c>
      <c r="B16" s="87" t="s">
        <v>509</v>
      </c>
      <c r="C16" s="17" t="s">
        <v>493</v>
      </c>
      <c r="D16" s="96" t="n">
        <v>20.62</v>
      </c>
      <c r="E16" s="96" t="n">
        <v>9.74</v>
      </c>
      <c r="F16" s="96" t="n">
        <v>10.29</v>
      </c>
      <c r="G16" s="96" t="n">
        <v>11.87</v>
      </c>
      <c r="H16" s="96" t="n">
        <v>13.83</v>
      </c>
      <c r="I16" s="96" t="n">
        <v>17.01</v>
      </c>
      <c r="J16" s="96" t="n">
        <v>21.95</v>
      </c>
      <c r="K16" s="53" t="n">
        <f aca="false">AVERAGE(D16:J16)</f>
        <v>15.0442857142857</v>
      </c>
      <c r="L16" s="53" t="n">
        <f aca="false">J16-D16</f>
        <v>1.33</v>
      </c>
    </row>
    <row r="17" customFormat="false" ht="15" hidden="false" customHeight="false" outlineLevel="0" collapsed="false">
      <c r="A17" s="16" t="s">
        <v>510</v>
      </c>
      <c r="B17" s="87" t="s">
        <v>511</v>
      </c>
      <c r="C17" s="17" t="s">
        <v>493</v>
      </c>
      <c r="D17" s="96" t="n">
        <v>4.29</v>
      </c>
      <c r="E17" s="96" t="n">
        <v>4.19</v>
      </c>
      <c r="F17" s="96" t="n">
        <v>2.76</v>
      </c>
      <c r="G17" s="96" t="n">
        <v>7.66</v>
      </c>
      <c r="H17" s="96" t="n">
        <v>4.11</v>
      </c>
      <c r="I17" s="96" t="n">
        <v>6.04</v>
      </c>
      <c r="J17" s="96" t="n">
        <v>7.08</v>
      </c>
      <c r="K17" s="53" t="n">
        <f aca="false">AVERAGE(D17:J17)</f>
        <v>5.16142857142857</v>
      </c>
      <c r="L17" s="53" t="n">
        <f aca="false">J17-D17</f>
        <v>2.79</v>
      </c>
    </row>
    <row r="18" customFormat="false" ht="15" hidden="false" customHeight="false" outlineLevel="0" collapsed="false">
      <c r="A18" s="16" t="s">
        <v>512</v>
      </c>
      <c r="B18" s="87" t="s">
        <v>513</v>
      </c>
      <c r="C18" s="17" t="s">
        <v>493</v>
      </c>
      <c r="D18" s="96" t="n">
        <v>6.35</v>
      </c>
      <c r="E18" s="96" t="n">
        <v>8.36</v>
      </c>
      <c r="F18" s="96" t="n">
        <v>4.25</v>
      </c>
      <c r="G18" s="96" t="n">
        <v>1.32</v>
      </c>
      <c r="H18" s="96" t="n">
        <v>1.16</v>
      </c>
      <c r="I18" s="96" t="n">
        <v>1.55</v>
      </c>
      <c r="J18" s="96" t="n">
        <v>1.86</v>
      </c>
      <c r="K18" s="53" t="n">
        <f aca="false">AVERAGE(D18:J18)</f>
        <v>3.55</v>
      </c>
      <c r="L18" s="53" t="n">
        <f aca="false">J18-D18</f>
        <v>-4.49</v>
      </c>
    </row>
    <row r="19" customFormat="false" ht="15" hidden="false" customHeight="false" outlineLevel="0" collapsed="false">
      <c r="A19" s="12" t="s">
        <v>507</v>
      </c>
      <c r="B19" s="87" t="s">
        <v>514</v>
      </c>
      <c r="C19" s="17" t="s">
        <v>493</v>
      </c>
      <c r="D19" s="29" t="n">
        <f aca="false">D16+D17+D18</f>
        <v>31.26</v>
      </c>
      <c r="E19" s="29" t="n">
        <f aca="false">E16+E17+E18</f>
        <v>22.29</v>
      </c>
      <c r="F19" s="29" t="n">
        <f aca="false">F16+F17+F18</f>
        <v>17.3</v>
      </c>
      <c r="G19" s="29" t="n">
        <f aca="false">G16+G17+G18</f>
        <v>20.85</v>
      </c>
      <c r="H19" s="29" t="n">
        <f aca="false">H16+H17+H18</f>
        <v>19.1</v>
      </c>
      <c r="I19" s="29" t="n">
        <f aca="false">I16+I17+I18</f>
        <v>24.6</v>
      </c>
      <c r="J19" s="29" t="n">
        <f aca="false">J16+J17+J18</f>
        <v>30.89</v>
      </c>
      <c r="K19" s="29" t="n">
        <f aca="false">AVERAGE(D19:J19)</f>
        <v>23.7557142857143</v>
      </c>
      <c r="L19" s="29" t="n">
        <f aca="false">J19-D19</f>
        <v>-0.369999999999997</v>
      </c>
    </row>
    <row r="20" customFormat="false" ht="15" hidden="false" customHeight="false" outlineLevel="0" collapsed="false">
      <c r="A20" s="12" t="s">
        <v>515</v>
      </c>
      <c r="B20" s="87" t="s">
        <v>516</v>
      </c>
      <c r="C20" s="17" t="s">
        <v>493</v>
      </c>
      <c r="D20" s="29" t="n">
        <f aca="false">D13+D19</f>
        <v>309.87</v>
      </c>
      <c r="E20" s="29" t="n">
        <f aca="false">E13+E19</f>
        <v>177.36</v>
      </c>
      <c r="F20" s="29" t="n">
        <f aca="false">F13+F19</f>
        <v>577.51</v>
      </c>
      <c r="G20" s="29" t="n">
        <f aca="false">G13+G19</f>
        <v>406.91</v>
      </c>
      <c r="H20" s="29" t="n">
        <f aca="false">H13+H19</f>
        <v>224.91</v>
      </c>
      <c r="I20" s="29" t="n">
        <f aca="false">I13+I19</f>
        <v>504.89</v>
      </c>
      <c r="J20" s="29" t="n">
        <f aca="false">J13+J19</f>
        <v>545.81</v>
      </c>
      <c r="K20" s="29" t="n">
        <f aca="false">AVERAGE(D20:J20)</f>
        <v>392.465714285714</v>
      </c>
      <c r="L20" s="29" t="n">
        <f aca="false">J20-D20</f>
        <v>235.94</v>
      </c>
    </row>
    <row r="21" customFormat="false" ht="15" hidden="false" customHeight="false" outlineLevel="0" collapsed="false">
      <c r="A21" s="12" t="s">
        <v>517</v>
      </c>
      <c r="B21" s="87" t="s">
        <v>518</v>
      </c>
      <c r="C21" s="17" t="s">
        <v>493</v>
      </c>
      <c r="D21" s="29" t="n">
        <f aca="false">D7-D20</f>
        <v>-8.38999999999993</v>
      </c>
      <c r="E21" s="29" t="n">
        <f aca="false">E7-E20</f>
        <v>-9.48999999999998</v>
      </c>
      <c r="F21" s="29" t="n">
        <f aca="false">F7-F20</f>
        <v>37.6</v>
      </c>
      <c r="G21" s="29" t="n">
        <f aca="false">G7-G20</f>
        <v>26.44</v>
      </c>
      <c r="H21" s="29" t="n">
        <f aca="false">H7-H20</f>
        <v>15.35</v>
      </c>
      <c r="I21" s="29" t="n">
        <f aca="false">I7-I20</f>
        <v>31.4199999999999</v>
      </c>
      <c r="J21" s="29" t="n">
        <f aca="false">J7-J20</f>
        <v>27.01</v>
      </c>
      <c r="K21" s="29" t="n">
        <f aca="false">AVERAGE(D21:J21)</f>
        <v>17.1342857142857</v>
      </c>
      <c r="L21" s="29" t="n">
        <f aca="false">J21-D21</f>
        <v>35.3999999999999</v>
      </c>
    </row>
    <row r="22" customFormat="false" ht="15" hidden="false" customHeight="false" outlineLevel="0" collapsed="false">
      <c r="A22" s="16" t="s">
        <v>519</v>
      </c>
      <c r="B22" s="87" t="s">
        <v>520</v>
      </c>
      <c r="C22" s="17" t="s">
        <v>493</v>
      </c>
      <c r="D22" s="96" t="n">
        <v>0.98</v>
      </c>
      <c r="E22" s="96" t="n">
        <v>0.89</v>
      </c>
      <c r="F22" s="96" t="n">
        <v>0.8</v>
      </c>
      <c r="G22" s="96" t="n">
        <v>0.78</v>
      </c>
      <c r="H22" s="96" t="n">
        <v>0.78</v>
      </c>
      <c r="I22" s="96" t="n">
        <v>0.85</v>
      </c>
      <c r="J22" s="96" t="n">
        <v>0.96</v>
      </c>
      <c r="K22" s="53" t="n">
        <f aca="false">AVERAGE(D22:J22)</f>
        <v>0.862857142857143</v>
      </c>
      <c r="L22" s="53" t="n">
        <f aca="false">J22-D22</f>
        <v>-0.02</v>
      </c>
    </row>
    <row r="23" customFormat="false" ht="15" hidden="false" customHeight="false" outlineLevel="0" collapsed="false">
      <c r="A23" s="12" t="s">
        <v>521</v>
      </c>
      <c r="B23" s="87" t="s">
        <v>522</v>
      </c>
      <c r="C23" s="17" t="s">
        <v>493</v>
      </c>
      <c r="D23" s="29" t="n">
        <f aca="false">D21-D22</f>
        <v>-9.36999999999993</v>
      </c>
      <c r="E23" s="29" t="n">
        <f aca="false">E21-E22</f>
        <v>-10.38</v>
      </c>
      <c r="F23" s="29" t="n">
        <f aca="false">F21-F22</f>
        <v>36.8</v>
      </c>
      <c r="G23" s="29" t="n">
        <f aca="false">G21-G22</f>
        <v>25.66</v>
      </c>
      <c r="H23" s="29" t="n">
        <f aca="false">H21-H22</f>
        <v>14.57</v>
      </c>
      <c r="I23" s="29" t="n">
        <f aca="false">I21-I22</f>
        <v>30.5699999999999</v>
      </c>
      <c r="J23" s="29" t="n">
        <f aca="false">J21-J22</f>
        <v>26.05</v>
      </c>
      <c r="K23" s="29" t="n">
        <f aca="false">AVERAGE(D23:J23)</f>
        <v>16.2714285714286</v>
      </c>
      <c r="L23" s="29" t="n">
        <f aca="false">J23-D23</f>
        <v>35.4199999999999</v>
      </c>
    </row>
    <row r="24" customFormat="false" ht="15" hidden="false" customHeight="false" outlineLevel="0" collapsed="false">
      <c r="A24" s="16" t="s">
        <v>523</v>
      </c>
      <c r="B24" s="87" t="s">
        <v>524</v>
      </c>
      <c r="C24" s="17" t="s">
        <v>493</v>
      </c>
      <c r="D24" s="96" t="n">
        <v>1.7</v>
      </c>
      <c r="E24" s="96" t="n">
        <v>0.22</v>
      </c>
      <c r="F24" s="96" t="n">
        <v>2.09</v>
      </c>
      <c r="G24" s="96" t="n">
        <v>6.71</v>
      </c>
      <c r="H24" s="96" t="n">
        <v>3.88</v>
      </c>
      <c r="I24" s="96" t="n">
        <v>8.87</v>
      </c>
      <c r="J24" s="96" t="n">
        <v>8.36</v>
      </c>
      <c r="K24" s="53" t="n">
        <f aca="false">AVERAGE(D24:J24)</f>
        <v>4.54714285714286</v>
      </c>
      <c r="L24" s="53" t="n">
        <f aca="false">J24-D24</f>
        <v>6.66</v>
      </c>
    </row>
    <row r="25" customFormat="false" ht="15" hidden="false" customHeight="false" outlineLevel="0" collapsed="false">
      <c r="A25" s="16" t="s">
        <v>525</v>
      </c>
      <c r="B25" s="87" t="s">
        <v>526</v>
      </c>
      <c r="C25" s="17" t="s">
        <v>493</v>
      </c>
      <c r="D25" s="96" t="n">
        <v>4.44</v>
      </c>
      <c r="E25" s="96" t="n">
        <v>1.96</v>
      </c>
      <c r="F25" s="96" t="n">
        <v>1.51</v>
      </c>
      <c r="G25" s="96" t="n">
        <v>1.03</v>
      </c>
      <c r="H25" s="96" t="n">
        <v>0.76</v>
      </c>
      <c r="I25" s="96" t="n">
        <v>3.35</v>
      </c>
      <c r="J25" s="96" t="n">
        <v>5.27</v>
      </c>
      <c r="K25" s="53" t="n">
        <f aca="false">AVERAGE(D25:J25)</f>
        <v>2.61714285714286</v>
      </c>
      <c r="L25" s="53" t="n">
        <f aca="false">J25-D25</f>
        <v>0.829999999999999</v>
      </c>
    </row>
    <row r="26" customFormat="false" ht="15" hidden="false" customHeight="false" outlineLevel="0" collapsed="false">
      <c r="A26" s="12" t="s">
        <v>527</v>
      </c>
      <c r="B26" s="87" t="s">
        <v>528</v>
      </c>
      <c r="C26" s="17" t="s">
        <v>493</v>
      </c>
      <c r="D26" s="90" t="n">
        <f aca="false">D23+D24-D25</f>
        <v>-12.1099999999999</v>
      </c>
      <c r="E26" s="90" t="n">
        <f aca="false">E23+E24-E25</f>
        <v>-12.12</v>
      </c>
      <c r="F26" s="90" t="n">
        <f aca="false">F23+F24-F25</f>
        <v>37.38</v>
      </c>
      <c r="G26" s="90" t="n">
        <f aca="false">G23+G24-G25</f>
        <v>31.34</v>
      </c>
      <c r="H26" s="90" t="n">
        <f aca="false">H23+H24-H25</f>
        <v>17.69</v>
      </c>
      <c r="I26" s="90" t="n">
        <f aca="false">I23+I24-I25</f>
        <v>36.0899999999999</v>
      </c>
      <c r="J26" s="90" t="n">
        <f aca="false">J23+J24-J25</f>
        <v>29.14</v>
      </c>
      <c r="K26" s="91" t="n">
        <f aca="false">AVERAGE(D26:J26)</f>
        <v>18.2014285714286</v>
      </c>
      <c r="L26" s="91" t="n">
        <f aca="false">J26-D26</f>
        <v>41.2499999999999</v>
      </c>
    </row>
    <row r="27" customFormat="false" ht="15" hidden="false" customHeight="false" outlineLevel="0" collapsed="false">
      <c r="A27" s="16" t="s">
        <v>529</v>
      </c>
      <c r="B27" s="87" t="s">
        <v>530</v>
      </c>
      <c r="C27" s="17" t="s">
        <v>493</v>
      </c>
      <c r="D27" s="96" t="n">
        <v>0.22</v>
      </c>
      <c r="E27" s="96" t="n">
        <v>0.3</v>
      </c>
      <c r="F27" s="96" t="n">
        <v>3.75</v>
      </c>
      <c r="G27" s="96" t="n">
        <v>8.13</v>
      </c>
      <c r="H27" s="96" t="n">
        <v>4.74</v>
      </c>
      <c r="I27" s="96" t="n">
        <v>9.08</v>
      </c>
      <c r="J27" s="96" t="n">
        <v>7.61</v>
      </c>
      <c r="K27" s="53" t="n">
        <f aca="false">AVERAGE(D27:J27)</f>
        <v>4.83285714285714</v>
      </c>
      <c r="L27" s="53" t="n">
        <f aca="false">J27-D27</f>
        <v>7.39</v>
      </c>
    </row>
    <row r="28" customFormat="false" ht="15" hidden="false" customHeight="false" outlineLevel="0" collapsed="false">
      <c r="A28" s="16" t="s">
        <v>531</v>
      </c>
      <c r="B28" s="87" t="s">
        <v>532</v>
      </c>
      <c r="C28" s="17" t="s">
        <v>493</v>
      </c>
      <c r="D28" s="69" t="n">
        <f aca="false">D26-D27</f>
        <v>-12.3299999999999</v>
      </c>
      <c r="E28" s="69" t="n">
        <f aca="false">E26-E27</f>
        <v>-12.42</v>
      </c>
      <c r="F28" s="69" t="n">
        <f aca="false">F26-F27</f>
        <v>33.63</v>
      </c>
      <c r="G28" s="69" t="n">
        <f aca="false">G26-G27</f>
        <v>23.21</v>
      </c>
      <c r="H28" s="69" t="n">
        <f aca="false">H26-H27</f>
        <v>12.95</v>
      </c>
      <c r="I28" s="69" t="n">
        <f aca="false">I26-I27</f>
        <v>27.0099999999999</v>
      </c>
      <c r="J28" s="69" t="n">
        <f aca="false">J26-J27</f>
        <v>21.53</v>
      </c>
      <c r="K28" s="53" t="n">
        <f aca="false">AVERAGE(D28:J28)</f>
        <v>13.3685714285714</v>
      </c>
      <c r="L28" s="53" t="n">
        <f aca="false">J28-D28</f>
        <v>33.8599999999999</v>
      </c>
    </row>
    <row r="29" customFormat="false" ht="15" hidden="false" customHeight="false" outlineLevel="0" collapsed="false">
      <c r="A29" s="16" t="s">
        <v>533</v>
      </c>
      <c r="B29" s="87" t="s">
        <v>534</v>
      </c>
      <c r="C29" s="17" t="s">
        <v>493</v>
      </c>
      <c r="D29" s="69" t="n">
        <f aca="false">D30-D28</f>
        <v>-0.0100000000000691</v>
      </c>
      <c r="E29" s="69" t="n">
        <f aca="false">E30-E28</f>
        <v>0</v>
      </c>
      <c r="F29" s="69" t="n">
        <f aca="false">F30-F28</f>
        <v>0</v>
      </c>
      <c r="G29" s="69" t="n">
        <f aca="false">G30-G28</f>
        <v>0</v>
      </c>
      <c r="H29" s="69" t="n">
        <f aca="false">H30-H28</f>
        <v>0.0100000000000069</v>
      </c>
      <c r="I29" s="69" t="n">
        <f aca="false">I30-I28</f>
        <v>1.03028696685215E-013</v>
      </c>
      <c r="J29" s="69" t="n">
        <f aca="false">J30-J28</f>
        <v>-0.00999999999999091</v>
      </c>
      <c r="K29" s="53" t="n">
        <f aca="false">AVERAGE(D29:J29)</f>
        <v>-0.00142857142856429</v>
      </c>
      <c r="L29" s="53" t="n">
        <f aca="false">J29-D29</f>
        <v>7.8159700933611E-014</v>
      </c>
    </row>
    <row r="30" customFormat="false" ht="15" hidden="false" customHeight="false" outlineLevel="0" collapsed="false">
      <c r="A30" s="16" t="s">
        <v>535</v>
      </c>
      <c r="B30" s="87" t="s">
        <v>536</v>
      </c>
      <c r="C30" s="17" t="s">
        <v>493</v>
      </c>
      <c r="D30" s="96" t="n">
        <v>-12.34</v>
      </c>
      <c r="E30" s="96" t="n">
        <v>-12.42</v>
      </c>
      <c r="F30" s="96" t="n">
        <v>33.63</v>
      </c>
      <c r="G30" s="96" t="n">
        <v>23.21</v>
      </c>
      <c r="H30" s="96" t="n">
        <v>12.96</v>
      </c>
      <c r="I30" s="96" t="n">
        <v>27.01</v>
      </c>
      <c r="J30" s="96" t="n">
        <v>21.52</v>
      </c>
      <c r="K30" s="53" t="n">
        <f aca="false">AVERAGE(D30:J30)</f>
        <v>13.3671428571429</v>
      </c>
      <c r="L30" s="53" t="n">
        <f aca="false">J30-D30</f>
        <v>33.86</v>
      </c>
    </row>
    <row r="31" customFormat="false" ht="15" hidden="false" customHeight="false" outlineLevel="0" collapsed="false">
      <c r="A31" s="16" t="s">
        <v>537</v>
      </c>
      <c r="B31" s="87" t="s">
        <v>538</v>
      </c>
      <c r="C31" s="17" t="s">
        <v>493</v>
      </c>
      <c r="D31" s="96" t="n">
        <v>0</v>
      </c>
      <c r="E31" s="96" t="n">
        <v>0</v>
      </c>
      <c r="F31" s="96" t="n">
        <v>1.06</v>
      </c>
      <c r="G31" s="96" t="n">
        <v>0</v>
      </c>
      <c r="H31" s="96" t="n">
        <v>0</v>
      </c>
      <c r="I31" s="96" t="n">
        <v>0</v>
      </c>
      <c r="J31" s="96" t="n">
        <v>0</v>
      </c>
      <c r="K31" s="53" t="n">
        <f aca="false">AVERAGE(D31:J31)</f>
        <v>0.151428571428571</v>
      </c>
      <c r="L31" s="53" t="n">
        <f aca="false">J31-D31</f>
        <v>0</v>
      </c>
    </row>
    <row r="32" customFormat="false" ht="15" hidden="false" customHeight="false" outlineLevel="0" collapsed="false">
      <c r="A32" s="16" t="s">
        <v>539</v>
      </c>
      <c r="B32" s="87" t="s">
        <v>540</v>
      </c>
      <c r="C32" s="17" t="s">
        <v>493</v>
      </c>
      <c r="D32" s="96" t="n">
        <v>0</v>
      </c>
      <c r="E32" s="96" t="n">
        <v>0</v>
      </c>
      <c r="F32" s="96" t="n">
        <v>0</v>
      </c>
      <c r="G32" s="96" t="n">
        <v>0</v>
      </c>
      <c r="H32" s="96" t="n">
        <v>0</v>
      </c>
      <c r="I32" s="96" t="n">
        <v>0</v>
      </c>
      <c r="J32" s="96" t="n">
        <v>0</v>
      </c>
      <c r="K32" s="53" t="n">
        <f aca="false">AVERAGE(D32:J32)</f>
        <v>0</v>
      </c>
      <c r="L32" s="53" t="n">
        <f aca="false">J32-D32</f>
        <v>0</v>
      </c>
    </row>
    <row r="34" customFormat="false" ht="19.5" hidden="false" customHeight="true" outlineLevel="0" collapsed="false">
      <c r="A34" s="85" t="s">
        <v>541</v>
      </c>
      <c r="B34" s="86"/>
      <c r="C34" s="86"/>
      <c r="D34" s="86"/>
      <c r="E34" s="86"/>
      <c r="F34" s="86"/>
      <c r="G34" s="86"/>
      <c r="H34" s="86"/>
      <c r="I34" s="86"/>
      <c r="J34" s="86"/>
      <c r="K34" s="86"/>
      <c r="L34" s="86"/>
    </row>
    <row r="35" customFormat="false" ht="16.5" hidden="false" customHeight="true" outlineLevel="0" collapsed="false">
      <c r="A35" s="88" t="s">
        <v>542</v>
      </c>
      <c r="B35" s="89"/>
      <c r="C35" s="89"/>
      <c r="D35" s="89"/>
      <c r="E35" s="89"/>
      <c r="F35" s="89"/>
      <c r="G35" s="89"/>
      <c r="H35" s="89"/>
      <c r="I35" s="89"/>
      <c r="J35" s="89"/>
      <c r="K35" s="89"/>
      <c r="L35" s="89"/>
    </row>
    <row r="36" customFormat="false" ht="15" hidden="false" customHeight="false" outlineLevel="0" collapsed="false">
      <c r="A36" s="16" t="s">
        <v>543</v>
      </c>
      <c r="B36" s="87" t="s">
        <v>544</v>
      </c>
      <c r="C36" s="17" t="s">
        <v>493</v>
      </c>
      <c r="D36" s="96" t="n">
        <v>10.57</v>
      </c>
      <c r="E36" s="96" t="n">
        <v>10.57</v>
      </c>
      <c r="F36" s="96" t="n">
        <v>10.57</v>
      </c>
      <c r="G36" s="96" t="n">
        <v>10.57</v>
      </c>
      <c r="H36" s="96" t="n">
        <v>10.57</v>
      </c>
      <c r="I36" s="96" t="n">
        <v>10.57</v>
      </c>
      <c r="J36" s="96" t="n">
        <v>10.57</v>
      </c>
      <c r="K36" s="53" t="n">
        <f aca="false">AVERAGE(D36:J36)</f>
        <v>10.57</v>
      </c>
      <c r="L36" s="53" t="n">
        <f aca="false">J36-D36</f>
        <v>0</v>
      </c>
    </row>
    <row r="37" customFormat="false" ht="15" hidden="false" customHeight="false" outlineLevel="0" collapsed="false">
      <c r="A37" s="16" t="s">
        <v>545</v>
      </c>
      <c r="B37" s="87" t="s">
        <v>540</v>
      </c>
      <c r="C37" s="17" t="s">
        <v>493</v>
      </c>
      <c r="D37" s="96" t="n">
        <v>0</v>
      </c>
      <c r="E37" s="96" t="n">
        <v>0</v>
      </c>
      <c r="F37" s="96" t="n">
        <v>0</v>
      </c>
      <c r="G37" s="96" t="n">
        <v>0</v>
      </c>
      <c r="H37" s="96" t="n">
        <v>0</v>
      </c>
      <c r="I37" s="96" t="n">
        <v>0</v>
      </c>
      <c r="J37" s="96" t="n">
        <v>0</v>
      </c>
      <c r="K37" s="53" t="n">
        <f aca="false">AVERAGE(D37:J37)</f>
        <v>0</v>
      </c>
      <c r="L37" s="53" t="n">
        <f aca="false">J37-D37</f>
        <v>0</v>
      </c>
    </row>
    <row r="38" customFormat="false" ht="15" hidden="false" customHeight="false" outlineLevel="0" collapsed="false">
      <c r="A38" s="16" t="s">
        <v>546</v>
      </c>
      <c r="B38" s="87" t="s">
        <v>547</v>
      </c>
      <c r="C38" s="17" t="s">
        <v>493</v>
      </c>
      <c r="D38" s="96" t="n">
        <v>42.13</v>
      </c>
      <c r="E38" s="96" t="n">
        <v>31.41</v>
      </c>
      <c r="F38" s="96" t="n">
        <v>63.86</v>
      </c>
      <c r="G38" s="96" t="n">
        <v>87.06</v>
      </c>
      <c r="H38" s="96" t="n">
        <v>100.26</v>
      </c>
      <c r="I38" s="96" t="n">
        <v>127.73</v>
      </c>
      <c r="J38" s="96" t="n">
        <v>149.41</v>
      </c>
      <c r="K38" s="53" t="n">
        <f aca="false">AVERAGE(D38:J38)</f>
        <v>85.98</v>
      </c>
      <c r="L38" s="53" t="n">
        <f aca="false">J38-D38</f>
        <v>107.28</v>
      </c>
    </row>
    <row r="39" customFormat="false" ht="15" hidden="false" customHeight="false" outlineLevel="0" collapsed="false">
      <c r="A39" s="12" t="s">
        <v>548</v>
      </c>
      <c r="B39" s="87" t="s">
        <v>549</v>
      </c>
      <c r="C39" s="17" t="s">
        <v>493</v>
      </c>
      <c r="D39" s="29" t="n">
        <f aca="false">D36+D38</f>
        <v>52.7</v>
      </c>
      <c r="E39" s="29" t="n">
        <f aca="false">E36+E38</f>
        <v>41.98</v>
      </c>
      <c r="F39" s="29" t="n">
        <f aca="false">F36+F38</f>
        <v>74.43</v>
      </c>
      <c r="G39" s="29" t="n">
        <f aca="false">G36+G38</f>
        <v>97.63</v>
      </c>
      <c r="H39" s="29" t="n">
        <f aca="false">H36+H38</f>
        <v>110.83</v>
      </c>
      <c r="I39" s="29" t="n">
        <f aca="false">I36+I38</f>
        <v>138.3</v>
      </c>
      <c r="J39" s="29" t="n">
        <f aca="false">J36+J38</f>
        <v>159.98</v>
      </c>
      <c r="K39" s="29" t="n">
        <f aca="false">AVERAGE(D39:J39)</f>
        <v>96.55</v>
      </c>
      <c r="L39" s="29" t="n">
        <f aca="false">J39-D39</f>
        <v>107.28</v>
      </c>
    </row>
    <row r="40" customFormat="false" ht="15" hidden="false" customHeight="false" outlineLevel="0" collapsed="false">
      <c r="A40" s="12" t="s">
        <v>550</v>
      </c>
      <c r="B40" s="87" t="s">
        <v>551</v>
      </c>
      <c r="C40" s="17" t="s">
        <v>493</v>
      </c>
      <c r="D40" s="29" t="n">
        <f aca="false">D39+D37</f>
        <v>52.7</v>
      </c>
      <c r="E40" s="29" t="n">
        <f aca="false">E39+E37</f>
        <v>41.98</v>
      </c>
      <c r="F40" s="29" t="n">
        <f aca="false">F39+F37</f>
        <v>74.43</v>
      </c>
      <c r="G40" s="29" t="n">
        <f aca="false">G39+G37</f>
        <v>97.63</v>
      </c>
      <c r="H40" s="29" t="n">
        <f aca="false">H39+H37</f>
        <v>110.83</v>
      </c>
      <c r="I40" s="29" t="n">
        <f aca="false">I39+I37</f>
        <v>138.3</v>
      </c>
      <c r="J40" s="29" t="n">
        <f aca="false">J39+J37</f>
        <v>159.98</v>
      </c>
      <c r="K40" s="29" t="n">
        <f aca="false">AVERAGE(D40:J40)</f>
        <v>96.55</v>
      </c>
      <c r="L40" s="29" t="n">
        <f aca="false">J40-D40</f>
        <v>107.28</v>
      </c>
    </row>
    <row r="41" customFormat="false" ht="15" hidden="false" customHeight="false" outlineLevel="0" collapsed="false">
      <c r="A41" s="16" t="s">
        <v>552</v>
      </c>
      <c r="B41" s="87" t="s">
        <v>553</v>
      </c>
      <c r="C41" s="17" t="s">
        <v>493</v>
      </c>
      <c r="D41" s="96" t="n">
        <v>36.67</v>
      </c>
      <c r="E41" s="96" t="n">
        <v>14.96</v>
      </c>
      <c r="F41" s="96" t="n">
        <v>0</v>
      </c>
      <c r="G41" s="96" t="n">
        <v>0</v>
      </c>
      <c r="H41" s="96" t="n">
        <v>12.04</v>
      </c>
      <c r="I41" s="96" t="n">
        <v>34.38</v>
      </c>
      <c r="J41" s="96" t="n">
        <v>50.7</v>
      </c>
      <c r="K41" s="53" t="n">
        <f aca="false">AVERAGE(D41:J41)</f>
        <v>21.25</v>
      </c>
      <c r="L41" s="53" t="n">
        <f aca="false">J41-D41</f>
        <v>14.03</v>
      </c>
    </row>
    <row r="42" customFormat="false" ht="15" hidden="false" customHeight="false" outlineLevel="0" collapsed="false">
      <c r="A42" s="16" t="s">
        <v>554</v>
      </c>
      <c r="B42" s="87" t="s">
        <v>555</v>
      </c>
      <c r="C42" s="17" t="s">
        <v>493</v>
      </c>
      <c r="D42" s="96" t="n">
        <v>15.74</v>
      </c>
      <c r="E42" s="96" t="n">
        <v>26.91</v>
      </c>
      <c r="F42" s="96" t="n">
        <v>46.82</v>
      </c>
      <c r="G42" s="96" t="n">
        <v>21.88</v>
      </c>
      <c r="H42" s="96" t="n">
        <v>20.71</v>
      </c>
      <c r="I42" s="96" t="n">
        <v>23.01</v>
      </c>
      <c r="J42" s="96" t="n">
        <v>51.94</v>
      </c>
      <c r="K42" s="53" t="n">
        <f aca="false">AVERAGE(D42:J42)</f>
        <v>29.5728571428571</v>
      </c>
      <c r="L42" s="53" t="n">
        <f aca="false">J42-D42</f>
        <v>36.2</v>
      </c>
    </row>
    <row r="43" customFormat="false" ht="15" hidden="false" customHeight="false" outlineLevel="0" collapsed="false">
      <c r="A43" s="12" t="s">
        <v>556</v>
      </c>
      <c r="B43" s="87" t="s">
        <v>557</v>
      </c>
      <c r="C43" s="17" t="s">
        <v>493</v>
      </c>
      <c r="D43" s="90" t="n">
        <f aca="false">D40+D41+D42</f>
        <v>105.11</v>
      </c>
      <c r="E43" s="90" t="n">
        <f aca="false">E40+E41+E42</f>
        <v>83.85</v>
      </c>
      <c r="F43" s="90" t="n">
        <f aca="false">F40+F41+F42</f>
        <v>121.25</v>
      </c>
      <c r="G43" s="90" t="n">
        <f aca="false">G40+G41+G42</f>
        <v>119.51</v>
      </c>
      <c r="H43" s="90" t="n">
        <f aca="false">H40+H41+H42</f>
        <v>143.58</v>
      </c>
      <c r="I43" s="90" t="n">
        <f aca="false">I40+I41+I42</f>
        <v>195.69</v>
      </c>
      <c r="J43" s="90" t="n">
        <f aca="false">J40+J41+J42</f>
        <v>262.62</v>
      </c>
      <c r="K43" s="91" t="n">
        <f aca="false">AVERAGE(D43:J43)</f>
        <v>147.372857142857</v>
      </c>
      <c r="L43" s="91" t="n">
        <f aca="false">J43-D43</f>
        <v>157.51</v>
      </c>
    </row>
    <row r="44" customFormat="false" ht="16.5" hidden="false" customHeight="true" outlineLevel="0" collapsed="false">
      <c r="A44" s="88" t="s">
        <v>558</v>
      </c>
      <c r="B44" s="89"/>
      <c r="C44" s="89"/>
      <c r="D44" s="89"/>
      <c r="E44" s="89"/>
      <c r="F44" s="89"/>
      <c r="G44" s="89"/>
      <c r="H44" s="89"/>
      <c r="I44" s="89"/>
      <c r="J44" s="89"/>
      <c r="K44" s="89"/>
      <c r="L44" s="89"/>
    </row>
    <row r="45" customFormat="false" ht="15" hidden="false" customHeight="false" outlineLevel="0" collapsed="false">
      <c r="A45" s="16" t="s">
        <v>559</v>
      </c>
      <c r="B45" s="87" t="s">
        <v>560</v>
      </c>
      <c r="C45" s="17" t="s">
        <v>493</v>
      </c>
      <c r="D45" s="96" t="n">
        <v>9.64</v>
      </c>
      <c r="E45" s="96" t="n">
        <v>8.62</v>
      </c>
      <c r="F45" s="96" t="n">
        <v>7.85</v>
      </c>
      <c r="G45" s="96" t="n">
        <v>7.51</v>
      </c>
      <c r="H45" s="96" t="n">
        <v>9.05</v>
      </c>
      <c r="I45" s="96" t="n">
        <v>8.89</v>
      </c>
      <c r="J45" s="96" t="n">
        <v>9.82</v>
      </c>
      <c r="K45" s="53" t="n">
        <f aca="false">AVERAGE(D45:J45)</f>
        <v>8.76857142857143</v>
      </c>
      <c r="L45" s="53" t="n">
        <f aca="false">J45-D45</f>
        <v>0.18</v>
      </c>
    </row>
    <row r="46" customFormat="false" ht="15" hidden="false" customHeight="false" outlineLevel="0" collapsed="false">
      <c r="A46" s="16" t="s">
        <v>561</v>
      </c>
      <c r="B46" s="87" t="s">
        <v>562</v>
      </c>
      <c r="C46" s="17" t="s">
        <v>493</v>
      </c>
      <c r="D46" s="96" t="n">
        <v>0</v>
      </c>
      <c r="E46" s="96" t="n">
        <v>0</v>
      </c>
      <c r="F46" s="96" t="n">
        <v>0</v>
      </c>
      <c r="G46" s="96" t="n">
        <v>0</v>
      </c>
      <c r="H46" s="96" t="n">
        <v>0</v>
      </c>
      <c r="I46" s="96" t="n">
        <v>0</v>
      </c>
      <c r="J46" s="96" t="n">
        <v>0</v>
      </c>
      <c r="K46" s="53" t="n">
        <f aca="false">AVERAGE(D46:J46)</f>
        <v>0</v>
      </c>
      <c r="L46" s="53" t="n">
        <f aca="false">J46-D46</f>
        <v>0</v>
      </c>
    </row>
    <row r="47" customFormat="false" ht="15" hidden="false" customHeight="false" outlineLevel="0" collapsed="false">
      <c r="A47" s="16" t="s">
        <v>563</v>
      </c>
      <c r="B47" s="87" t="s">
        <v>564</v>
      </c>
      <c r="C47" s="17" t="s">
        <v>493</v>
      </c>
      <c r="D47" s="96" t="n">
        <v>0.29</v>
      </c>
      <c r="E47" s="96" t="n">
        <v>0.16</v>
      </c>
      <c r="F47" s="96" t="n">
        <v>5.22</v>
      </c>
      <c r="G47" s="96" t="n">
        <v>5.48</v>
      </c>
      <c r="H47" s="96" t="n">
        <v>11.22</v>
      </c>
      <c r="I47" s="96" t="n">
        <v>12.02</v>
      </c>
      <c r="J47" s="96" t="n">
        <v>12.99</v>
      </c>
      <c r="K47" s="53" t="n">
        <f aca="false">AVERAGE(D47:J47)</f>
        <v>6.76857142857143</v>
      </c>
      <c r="L47" s="53" t="n">
        <f aca="false">J47-D47</f>
        <v>12.7</v>
      </c>
    </row>
    <row r="48" customFormat="false" ht="15" hidden="false" customHeight="false" outlineLevel="0" collapsed="false">
      <c r="A48" s="16" t="s">
        <v>565</v>
      </c>
      <c r="B48" s="87" t="s">
        <v>566</v>
      </c>
      <c r="C48" s="17" t="s">
        <v>493</v>
      </c>
      <c r="D48" s="96" t="n">
        <v>95.18</v>
      </c>
      <c r="E48" s="96" t="n">
        <v>75.07</v>
      </c>
      <c r="F48" s="96" t="n">
        <v>108.18</v>
      </c>
      <c r="G48" s="96" t="n">
        <v>106.52</v>
      </c>
      <c r="H48" s="96" t="n">
        <v>123.31</v>
      </c>
      <c r="I48" s="96" t="n">
        <v>174.78</v>
      </c>
      <c r="J48" s="96" t="n">
        <v>239.81</v>
      </c>
      <c r="K48" s="53" t="n">
        <f aca="false">AVERAGE(D48:J48)</f>
        <v>131.835714285714</v>
      </c>
      <c r="L48" s="53" t="n">
        <f aca="false">J48-D48</f>
        <v>144.63</v>
      </c>
    </row>
    <row r="49" customFormat="false" ht="15" hidden="false" customHeight="false" outlineLevel="0" collapsed="false">
      <c r="A49" s="12" t="s">
        <v>567</v>
      </c>
      <c r="B49" s="87" t="s">
        <v>568</v>
      </c>
      <c r="C49" s="17" t="s">
        <v>493</v>
      </c>
      <c r="D49" s="90" t="n">
        <f aca="false">D45+D46+D47+D48</f>
        <v>105.11</v>
      </c>
      <c r="E49" s="90" t="n">
        <f aca="false">E45+E46+E47+E48</f>
        <v>83.85</v>
      </c>
      <c r="F49" s="90" t="n">
        <f aca="false">F45+F46+F47+F48</f>
        <v>121.25</v>
      </c>
      <c r="G49" s="90" t="n">
        <f aca="false">G45+G46+G47+G48</f>
        <v>119.51</v>
      </c>
      <c r="H49" s="90" t="n">
        <f aca="false">H45+H46+H47+H48</f>
        <v>143.58</v>
      </c>
      <c r="I49" s="90" t="n">
        <f aca="false">I45+I46+I47+I48</f>
        <v>195.69</v>
      </c>
      <c r="J49" s="90" t="n">
        <f aca="false">J45+J46+J47+J48</f>
        <v>262.62</v>
      </c>
      <c r="K49" s="91" t="n">
        <f aca="false">AVERAGE(D49:J49)</f>
        <v>147.372857142857</v>
      </c>
      <c r="L49" s="91" t="n">
        <f aca="false">J49-D49</f>
        <v>157.51</v>
      </c>
    </row>
    <row r="50" customFormat="false" ht="15" hidden="false" customHeight="false" outlineLevel="0" collapsed="false">
      <c r="A50" s="16" t="s">
        <v>569</v>
      </c>
      <c r="B50" s="87" t="s">
        <v>570</v>
      </c>
      <c r="C50" s="17" t="s">
        <v>493</v>
      </c>
      <c r="D50" s="96" t="n">
        <v>65.52</v>
      </c>
      <c r="E50" s="96" t="n">
        <v>43.17</v>
      </c>
      <c r="F50" s="96" t="n">
        <v>68.66</v>
      </c>
      <c r="G50" s="96" t="n">
        <v>49.3</v>
      </c>
      <c r="H50" s="96" t="n">
        <v>69.79</v>
      </c>
      <c r="I50" s="96" t="n">
        <v>102.68</v>
      </c>
      <c r="J50" s="96" t="n">
        <v>161.03</v>
      </c>
      <c r="K50" s="53" t="n">
        <f aca="false">AVERAGE(D50:J50)</f>
        <v>80.0214285714286</v>
      </c>
      <c r="L50" s="53" t="n">
        <f aca="false">J50-D50</f>
        <v>95.51</v>
      </c>
    </row>
    <row r="51" customFormat="false" ht="15" hidden="false" customHeight="false" outlineLevel="0" collapsed="false">
      <c r="A51" s="16" t="s">
        <v>571</v>
      </c>
      <c r="B51" s="87" t="s">
        <v>570</v>
      </c>
      <c r="C51" s="17" t="s">
        <v>493</v>
      </c>
      <c r="D51" s="96" t="n">
        <v>0</v>
      </c>
      <c r="E51" s="96" t="n">
        <v>0</v>
      </c>
      <c r="F51" s="96" t="n">
        <v>0</v>
      </c>
      <c r="G51" s="96" t="n">
        <v>0</v>
      </c>
      <c r="H51" s="96" t="n">
        <v>0</v>
      </c>
      <c r="I51" s="96" t="n">
        <v>0</v>
      </c>
      <c r="J51" s="96" t="n">
        <v>0</v>
      </c>
      <c r="K51" s="53" t="n">
        <f aca="false">AVERAGE(D51:J51)</f>
        <v>0</v>
      </c>
      <c r="L51" s="53" t="n">
        <f aca="false">J51-D51</f>
        <v>0</v>
      </c>
    </row>
    <row r="52" customFormat="false" ht="15" hidden="false" customHeight="false" outlineLevel="0" collapsed="false">
      <c r="A52" s="16" t="s">
        <v>572</v>
      </c>
      <c r="B52" s="87" t="s">
        <v>570</v>
      </c>
      <c r="C52" s="17" t="s">
        <v>493</v>
      </c>
      <c r="D52" s="96" t="n">
        <v>6.04</v>
      </c>
      <c r="E52" s="96" t="n">
        <v>7.38</v>
      </c>
      <c r="F52" s="96" t="n">
        <v>31.56</v>
      </c>
      <c r="G52" s="96" t="n">
        <v>52.4</v>
      </c>
      <c r="H52" s="96" t="n">
        <v>41.75</v>
      </c>
      <c r="I52" s="96" t="n">
        <v>51.16</v>
      </c>
      <c r="J52" s="96" t="n">
        <v>41.45</v>
      </c>
      <c r="K52" s="53" t="n">
        <f aca="false">AVERAGE(D52:J52)</f>
        <v>33.1057142857143</v>
      </c>
      <c r="L52" s="53" t="n">
        <f aca="false">J52-D52</f>
        <v>35.41</v>
      </c>
    </row>
    <row r="53" customFormat="false" ht="15" hidden="false" customHeight="false" outlineLevel="0" collapsed="false">
      <c r="A53" s="16" t="s">
        <v>573</v>
      </c>
      <c r="B53" s="87" t="s">
        <v>574</v>
      </c>
      <c r="C53" s="17" t="s">
        <v>493</v>
      </c>
      <c r="D53" s="92" t="n">
        <f aca="false">D49-D43</f>
        <v>0</v>
      </c>
      <c r="E53" s="92" t="n">
        <f aca="false">E49-E43</f>
        <v>0</v>
      </c>
      <c r="F53" s="92" t="n">
        <f aca="false">F49-F43</f>
        <v>0</v>
      </c>
      <c r="G53" s="92" t="n">
        <f aca="false">G49-G43</f>
        <v>0</v>
      </c>
      <c r="H53" s="92" t="n">
        <f aca="false">H49-H43</f>
        <v>0</v>
      </c>
      <c r="I53" s="92" t="n">
        <f aca="false">I49-I43</f>
        <v>0</v>
      </c>
      <c r="J53" s="92" t="n">
        <f aca="false">J49-J43</f>
        <v>0</v>
      </c>
      <c r="K53" s="53"/>
      <c r="L53" s="53"/>
    </row>
    <row r="55" customFormat="false" ht="19.5" hidden="false" customHeight="true" outlineLevel="0" collapsed="false">
      <c r="A55" s="85" t="s">
        <v>575</v>
      </c>
      <c r="B55" s="86"/>
      <c r="C55" s="86"/>
      <c r="D55" s="86"/>
      <c r="E55" s="86"/>
      <c r="F55" s="86"/>
      <c r="G55" s="86"/>
      <c r="H55" s="86"/>
      <c r="I55" s="86"/>
      <c r="J55" s="86"/>
      <c r="K55" s="86"/>
      <c r="L55" s="86"/>
    </row>
    <row r="56" customFormat="false" ht="16.5" hidden="false" customHeight="true" outlineLevel="0" collapsed="false">
      <c r="A56" s="88" t="s">
        <v>576</v>
      </c>
      <c r="B56" s="89"/>
      <c r="C56" s="89"/>
      <c r="D56" s="89"/>
      <c r="E56" s="89"/>
      <c r="F56" s="89"/>
      <c r="G56" s="89"/>
      <c r="H56" s="89"/>
      <c r="I56" s="89"/>
      <c r="J56" s="89"/>
      <c r="K56" s="89"/>
      <c r="L56" s="89"/>
    </row>
    <row r="57" customFormat="false" ht="15" hidden="false" customHeight="false" outlineLevel="0" collapsed="false">
      <c r="A57" s="16" t="s">
        <v>527</v>
      </c>
      <c r="B57" s="87" t="s">
        <v>577</v>
      </c>
      <c r="C57" s="17" t="s">
        <v>493</v>
      </c>
      <c r="D57" s="69" t="n">
        <f aca="false">D26</f>
        <v>-12.1099999999999</v>
      </c>
      <c r="E57" s="69" t="n">
        <f aca="false">E26</f>
        <v>-12.12</v>
      </c>
      <c r="F57" s="69" t="n">
        <f aca="false">F26</f>
        <v>37.38</v>
      </c>
      <c r="G57" s="69" t="n">
        <f aca="false">G26</f>
        <v>31.34</v>
      </c>
      <c r="H57" s="69" t="n">
        <f aca="false">H26</f>
        <v>17.69</v>
      </c>
      <c r="I57" s="69" t="n">
        <f aca="false">I26</f>
        <v>36.0899999999999</v>
      </c>
      <c r="J57" s="69" t="n">
        <f aca="false">J26</f>
        <v>29.14</v>
      </c>
      <c r="K57" s="53" t="n">
        <f aca="false">AVERAGE(D57:J57)</f>
        <v>18.2014285714286</v>
      </c>
      <c r="L57" s="53" t="n">
        <f aca="false">J57-D57</f>
        <v>41.2499999999999</v>
      </c>
    </row>
    <row r="58" customFormat="false" ht="15" hidden="false" customHeight="false" outlineLevel="0" collapsed="false">
      <c r="A58" s="16" t="s">
        <v>578</v>
      </c>
      <c r="B58" s="87" t="s">
        <v>579</v>
      </c>
      <c r="C58" s="17" t="s">
        <v>493</v>
      </c>
      <c r="D58" s="69" t="n">
        <f aca="false">D22</f>
        <v>0.98</v>
      </c>
      <c r="E58" s="69" t="n">
        <f aca="false">E22</f>
        <v>0.89</v>
      </c>
      <c r="F58" s="69" t="n">
        <f aca="false">F22</f>
        <v>0.8</v>
      </c>
      <c r="G58" s="69" t="n">
        <f aca="false">G22</f>
        <v>0.78</v>
      </c>
      <c r="H58" s="69" t="n">
        <f aca="false">H22</f>
        <v>0.78</v>
      </c>
      <c r="I58" s="69" t="n">
        <f aca="false">I22</f>
        <v>0.85</v>
      </c>
      <c r="J58" s="69" t="n">
        <f aca="false">J22</f>
        <v>0.96</v>
      </c>
      <c r="K58" s="53" t="n">
        <f aca="false">AVERAGE(D58:J58)</f>
        <v>0.862857142857143</v>
      </c>
      <c r="L58" s="53" t="n">
        <f aca="false">J58-D58</f>
        <v>-0.02</v>
      </c>
    </row>
    <row r="59" customFormat="false" ht="15" hidden="false" customHeight="false" outlineLevel="0" collapsed="false">
      <c r="A59" s="16" t="s">
        <v>580</v>
      </c>
      <c r="B59" s="87" t="s">
        <v>581</v>
      </c>
      <c r="C59" s="17" t="s">
        <v>493</v>
      </c>
      <c r="D59" s="69" t="n">
        <f aca="false">D25</f>
        <v>4.44</v>
      </c>
      <c r="E59" s="69" t="n">
        <f aca="false">E25</f>
        <v>1.96</v>
      </c>
      <c r="F59" s="69" t="n">
        <f aca="false">F25</f>
        <v>1.51</v>
      </c>
      <c r="G59" s="69" t="n">
        <f aca="false">G25</f>
        <v>1.03</v>
      </c>
      <c r="H59" s="69" t="n">
        <f aca="false">H25</f>
        <v>0.76</v>
      </c>
      <c r="I59" s="69" t="n">
        <f aca="false">I25</f>
        <v>3.35</v>
      </c>
      <c r="J59" s="69" t="n">
        <f aca="false">J25</f>
        <v>5.27</v>
      </c>
      <c r="K59" s="53" t="n">
        <f aca="false">AVERAGE(D59:J59)</f>
        <v>2.61714285714286</v>
      </c>
      <c r="L59" s="53" t="n">
        <f aca="false">J59-D59</f>
        <v>0.829999999999999</v>
      </c>
    </row>
    <row r="60" customFormat="false" ht="15" hidden="false" customHeight="false" outlineLevel="0" collapsed="false">
      <c r="A60" s="16" t="s">
        <v>582</v>
      </c>
      <c r="B60" s="87" t="s">
        <v>583</v>
      </c>
      <c r="C60" s="17" t="s">
        <v>493</v>
      </c>
      <c r="D60" s="69" t="n">
        <f aca="false">-D24</f>
        <v>-1.7</v>
      </c>
      <c r="E60" s="69" t="n">
        <f aca="false">-E24</f>
        <v>-0.22</v>
      </c>
      <c r="F60" s="69" t="n">
        <f aca="false">-F24</f>
        <v>-2.09</v>
      </c>
      <c r="G60" s="69" t="n">
        <f aca="false">-G24</f>
        <v>-6.71</v>
      </c>
      <c r="H60" s="69" t="n">
        <f aca="false">-H24</f>
        <v>-3.88</v>
      </c>
      <c r="I60" s="69" t="n">
        <f aca="false">-I24</f>
        <v>-8.87</v>
      </c>
      <c r="J60" s="69" t="n">
        <f aca="false">-J24</f>
        <v>-8.36</v>
      </c>
      <c r="K60" s="53" t="n">
        <f aca="false">AVERAGE(D60:J60)</f>
        <v>-4.54714285714286</v>
      </c>
      <c r="L60" s="53" t="n">
        <f aca="false">J60-D60</f>
        <v>-6.66</v>
      </c>
    </row>
    <row r="61" customFormat="false" ht="15" hidden="false" customHeight="false" outlineLevel="0" collapsed="false">
      <c r="A61" s="12" t="s">
        <v>584</v>
      </c>
      <c r="B61" s="87" t="s">
        <v>585</v>
      </c>
      <c r="C61" s="17" t="s">
        <v>493</v>
      </c>
      <c r="D61" s="29" t="n">
        <f aca="false">D57+D58+D59+D60</f>
        <v>-8.38999999999993</v>
      </c>
      <c r="E61" s="29" t="n">
        <f aca="false">E57+E58+E59+E60</f>
        <v>-9.48999999999998</v>
      </c>
      <c r="F61" s="29" t="n">
        <f aca="false">F57+F58+F59+F60</f>
        <v>37.6</v>
      </c>
      <c r="G61" s="29" t="n">
        <f aca="false">G57+G58+G59+G60</f>
        <v>26.44</v>
      </c>
      <c r="H61" s="29" t="n">
        <f aca="false">H57+H58+H59+H60</f>
        <v>15.35</v>
      </c>
      <c r="I61" s="29" t="n">
        <f aca="false">I57+I58+I59+I60</f>
        <v>31.4199999999999</v>
      </c>
      <c r="J61" s="29" t="n">
        <f aca="false">J57+J58+J59+J60</f>
        <v>27.01</v>
      </c>
      <c r="K61" s="29" t="n">
        <f aca="false">AVERAGE(D61:J61)</f>
        <v>17.1342857142857</v>
      </c>
      <c r="L61" s="29" t="n">
        <f aca="false">J61-D61</f>
        <v>35.3999999999999</v>
      </c>
    </row>
    <row r="62" customFormat="false" ht="15" hidden="false" customHeight="false" outlineLevel="0" collapsed="false">
      <c r="A62" s="16" t="s">
        <v>586</v>
      </c>
      <c r="B62" s="87" t="s">
        <v>587</v>
      </c>
      <c r="C62" s="17" t="s">
        <v>493</v>
      </c>
      <c r="D62" s="69" t="n">
        <f aca="false">D63-D61</f>
        <v>10.5099999999999</v>
      </c>
      <c r="E62" s="69" t="n">
        <f aca="false">E63-E61</f>
        <v>35.6</v>
      </c>
      <c r="F62" s="69" t="n">
        <f aca="false">F63-F61</f>
        <v>6.61999999999998</v>
      </c>
      <c r="G62" s="69" t="n">
        <f aca="false">G63-G61</f>
        <v>-9.55</v>
      </c>
      <c r="H62" s="69" t="n">
        <f aca="false">H63-H61</f>
        <v>-32.55</v>
      </c>
      <c r="I62" s="69" t="n">
        <f aca="false">I63-I61</f>
        <v>-49.6199999999999</v>
      </c>
      <c r="J62" s="69" t="n">
        <f aca="false">J63-J61</f>
        <v>-44.63</v>
      </c>
      <c r="K62" s="53" t="n">
        <f aca="false">AVERAGE(D62:J62)</f>
        <v>-11.9457142857143</v>
      </c>
      <c r="L62" s="53" t="n">
        <f aca="false">J62-D62</f>
        <v>-55.1399999999999</v>
      </c>
    </row>
    <row r="63" customFormat="false" ht="15" hidden="false" customHeight="false" outlineLevel="0" collapsed="false">
      <c r="A63" s="16" t="s">
        <v>588</v>
      </c>
      <c r="B63" s="87" t="s">
        <v>589</v>
      </c>
      <c r="C63" s="17" t="s">
        <v>493</v>
      </c>
      <c r="D63" s="96" t="n">
        <v>2.12</v>
      </c>
      <c r="E63" s="96" t="n">
        <v>26.11</v>
      </c>
      <c r="F63" s="96" t="n">
        <v>44.22</v>
      </c>
      <c r="G63" s="96" t="n">
        <v>16.89</v>
      </c>
      <c r="H63" s="96" t="n">
        <v>-17.2</v>
      </c>
      <c r="I63" s="96" t="n">
        <v>-18.2</v>
      </c>
      <c r="J63" s="96" t="n">
        <v>-17.62</v>
      </c>
      <c r="K63" s="53" t="n">
        <f aca="false">AVERAGE(D63:J63)</f>
        <v>5.18857142857143</v>
      </c>
      <c r="L63" s="53" t="n">
        <f aca="false">J63-D63</f>
        <v>-19.74</v>
      </c>
    </row>
    <row r="64" customFormat="false" ht="16.5" hidden="false" customHeight="true" outlineLevel="0" collapsed="false">
      <c r="A64" s="88" t="s">
        <v>590</v>
      </c>
      <c r="B64" s="89"/>
      <c r="C64" s="89"/>
      <c r="D64" s="89"/>
      <c r="E64" s="89"/>
      <c r="F64" s="89"/>
      <c r="G64" s="89"/>
      <c r="H64" s="89"/>
      <c r="I64" s="89"/>
      <c r="J64" s="89"/>
      <c r="K64" s="89"/>
      <c r="L64" s="89"/>
    </row>
    <row r="65" customFormat="false" ht="15" hidden="false" customHeight="false" outlineLevel="0" collapsed="false">
      <c r="A65" s="16" t="s">
        <v>591</v>
      </c>
      <c r="B65" s="87" t="s">
        <v>592</v>
      </c>
      <c r="C65" s="17" t="s">
        <v>493</v>
      </c>
      <c r="D65" s="96" t="n">
        <v>1.24</v>
      </c>
      <c r="E65" s="96" t="n">
        <v>-1.38</v>
      </c>
      <c r="F65" s="96" t="n">
        <v>-2.8</v>
      </c>
      <c r="G65" s="96" t="n">
        <v>4.4</v>
      </c>
      <c r="H65" s="96" t="n">
        <v>-5.34</v>
      </c>
      <c r="I65" s="96" t="n">
        <v>7.07</v>
      </c>
      <c r="J65" s="96" t="n">
        <v>5.49</v>
      </c>
      <c r="K65" s="53" t="n">
        <f aca="false">AVERAGE(D65:J65)</f>
        <v>1.24</v>
      </c>
      <c r="L65" s="53" t="n">
        <f aca="false">J65-D65</f>
        <v>4.25</v>
      </c>
    </row>
    <row r="66" customFormat="false" ht="16.5" hidden="false" customHeight="true" outlineLevel="0" collapsed="false">
      <c r="A66" s="88" t="s">
        <v>593</v>
      </c>
      <c r="B66" s="89"/>
      <c r="C66" s="89"/>
      <c r="D66" s="89"/>
      <c r="E66" s="89"/>
      <c r="F66" s="89"/>
      <c r="G66" s="89"/>
      <c r="H66" s="89"/>
      <c r="I66" s="89"/>
      <c r="J66" s="89"/>
      <c r="K66" s="89"/>
      <c r="L66" s="89"/>
    </row>
    <row r="67" customFormat="false" ht="15" hidden="false" customHeight="false" outlineLevel="0" collapsed="false">
      <c r="A67" s="16" t="s">
        <v>594</v>
      </c>
      <c r="B67" s="87" t="s">
        <v>595</v>
      </c>
      <c r="C67" s="17" t="s">
        <v>493</v>
      </c>
      <c r="D67" s="69" t="n">
        <f aca="false">-D25</f>
        <v>-4.44</v>
      </c>
      <c r="E67" s="69" t="n">
        <f aca="false">-E25</f>
        <v>-1.96</v>
      </c>
      <c r="F67" s="69" t="n">
        <f aca="false">-F25</f>
        <v>-1.51</v>
      </c>
      <c r="G67" s="69" t="n">
        <f aca="false">-G25</f>
        <v>-1.03</v>
      </c>
      <c r="H67" s="69" t="n">
        <f aca="false">-H25</f>
        <v>-0.76</v>
      </c>
      <c r="I67" s="69" t="n">
        <f aca="false">-I25</f>
        <v>-3.35</v>
      </c>
      <c r="J67" s="69" t="n">
        <f aca="false">-J25</f>
        <v>-5.27</v>
      </c>
      <c r="K67" s="53" t="n">
        <f aca="false">AVERAGE(D67:J67)</f>
        <v>-2.61714285714286</v>
      </c>
      <c r="L67" s="53" t="n">
        <f aca="false">J67-D67</f>
        <v>-0.829999999999999</v>
      </c>
    </row>
    <row r="68" customFormat="false" ht="15" hidden="false" customHeight="false" outlineLevel="0" collapsed="false">
      <c r="A68" s="16" t="s">
        <v>596</v>
      </c>
      <c r="B68" s="87" t="s">
        <v>597</v>
      </c>
      <c r="C68" s="17" t="s">
        <v>493</v>
      </c>
      <c r="D68" s="69" t="n">
        <f aca="false">-D31</f>
        <v>-0</v>
      </c>
      <c r="E68" s="69" t="n">
        <f aca="false">-E31</f>
        <v>-0</v>
      </c>
      <c r="F68" s="69" t="n">
        <f aca="false">-F31</f>
        <v>-1.06</v>
      </c>
      <c r="G68" s="69" t="n">
        <f aca="false">-G31</f>
        <v>-0</v>
      </c>
      <c r="H68" s="69" t="n">
        <f aca="false">-H31</f>
        <v>-0</v>
      </c>
      <c r="I68" s="69" t="n">
        <f aca="false">-I31</f>
        <v>-0</v>
      </c>
      <c r="J68" s="69" t="n">
        <f aca="false">-J31</f>
        <v>-0</v>
      </c>
      <c r="K68" s="53" t="n">
        <f aca="false">AVERAGE(D68:J68)</f>
        <v>-0.151428571428571</v>
      </c>
      <c r="L68" s="53" t="n">
        <f aca="false">J68-D68</f>
        <v>0</v>
      </c>
    </row>
    <row r="69" customFormat="false" ht="15" hidden="false" customHeight="false" outlineLevel="0" collapsed="false">
      <c r="A69" s="16" t="s">
        <v>598</v>
      </c>
      <c r="B69" s="87" t="s">
        <v>599</v>
      </c>
      <c r="C69" s="17" t="s">
        <v>493</v>
      </c>
      <c r="D69" s="69" t="n">
        <f aca="false">D70-D67-D68</f>
        <v>0.44</v>
      </c>
      <c r="E69" s="69" t="n">
        <f aca="false">E70-E67-E68</f>
        <v>0.19</v>
      </c>
      <c r="F69" s="69" t="n">
        <f aca="false">F70-F67-F68</f>
        <v>0.42</v>
      </c>
      <c r="G69" s="69" t="n">
        <f aca="false">G70-G67-G68</f>
        <v>0.43</v>
      </c>
      <c r="H69" s="69" t="n">
        <f aca="false">H70-H67-H68</f>
        <v>11.9</v>
      </c>
      <c r="I69" s="69" t="n">
        <f aca="false">I70-I67-I68</f>
        <v>22.94</v>
      </c>
      <c r="J69" s="69" t="n">
        <f aca="false">J70-J67-J68</f>
        <v>17.13</v>
      </c>
      <c r="K69" s="53" t="n">
        <f aca="false">AVERAGE(D69:J69)</f>
        <v>7.63571428571429</v>
      </c>
      <c r="L69" s="53" t="n">
        <f aca="false">J69-D69</f>
        <v>16.69</v>
      </c>
    </row>
    <row r="70" customFormat="false" ht="15" hidden="false" customHeight="false" outlineLevel="0" collapsed="false">
      <c r="A70" s="16" t="s">
        <v>600</v>
      </c>
      <c r="B70" s="87" t="s">
        <v>601</v>
      </c>
      <c r="C70" s="17" t="s">
        <v>493</v>
      </c>
      <c r="D70" s="96" t="n">
        <v>-4</v>
      </c>
      <c r="E70" s="96" t="n">
        <v>-1.77</v>
      </c>
      <c r="F70" s="96" t="n">
        <v>-2.15</v>
      </c>
      <c r="G70" s="96" t="n">
        <v>-0.6</v>
      </c>
      <c r="H70" s="96" t="n">
        <v>11.14</v>
      </c>
      <c r="I70" s="96" t="n">
        <v>19.59</v>
      </c>
      <c r="J70" s="96" t="n">
        <v>11.86</v>
      </c>
      <c r="K70" s="53" t="n">
        <f aca="false">AVERAGE(D70:J70)</f>
        <v>4.86714285714286</v>
      </c>
      <c r="L70" s="53" t="n">
        <f aca="false">J70-D70</f>
        <v>15.86</v>
      </c>
    </row>
    <row r="71" customFormat="false" ht="15" hidden="false" customHeight="false" outlineLevel="0" collapsed="false">
      <c r="A71" s="12" t="s">
        <v>602</v>
      </c>
      <c r="B71" s="87" t="s">
        <v>603</v>
      </c>
      <c r="C71" s="17" t="s">
        <v>493</v>
      </c>
      <c r="D71" s="90" t="n">
        <f aca="false">D63+D65+D70</f>
        <v>-0.64</v>
      </c>
      <c r="E71" s="90" t="n">
        <f aca="false">E63+E65+E70</f>
        <v>22.96</v>
      </c>
      <c r="F71" s="90" t="n">
        <f aca="false">F63+F65+F70</f>
        <v>39.27</v>
      </c>
      <c r="G71" s="90" t="n">
        <f aca="false">G63+G65+G70</f>
        <v>20.69</v>
      </c>
      <c r="H71" s="90" t="n">
        <f aca="false">H63+H65+H70</f>
        <v>-11.4</v>
      </c>
      <c r="I71" s="90" t="n">
        <f aca="false">I63+I65+I70</f>
        <v>8.46</v>
      </c>
      <c r="J71" s="90" t="n">
        <f aca="false">J63+J65+J70</f>
        <v>-0.270000000000001</v>
      </c>
      <c r="K71" s="91" t="n">
        <f aca="false">AVERAGE(D71:J71)</f>
        <v>11.2957142857143</v>
      </c>
      <c r="L71" s="91" t="n">
        <f aca="false">J71-D71</f>
        <v>0.369999999999998</v>
      </c>
    </row>
    <row r="72" customFormat="false" ht="15" hidden="false" customHeight="false" outlineLevel="0" collapsed="false">
      <c r="A72" s="12" t="s">
        <v>604</v>
      </c>
      <c r="B72" s="87" t="s">
        <v>605</v>
      </c>
      <c r="C72" s="17" t="s">
        <v>493</v>
      </c>
      <c r="D72" s="29" t="n">
        <f aca="false">D63+D65</f>
        <v>3.36</v>
      </c>
      <c r="E72" s="29" t="n">
        <f aca="false">E63+E65</f>
        <v>24.73</v>
      </c>
      <c r="F72" s="29" t="n">
        <f aca="false">F63+F65</f>
        <v>41.42</v>
      </c>
      <c r="G72" s="29" t="n">
        <f aca="false">G63+G65</f>
        <v>21.29</v>
      </c>
      <c r="H72" s="29" t="n">
        <f aca="false">H63+H65</f>
        <v>-22.54</v>
      </c>
      <c r="I72" s="29" t="n">
        <f aca="false">I63+I65</f>
        <v>-11.13</v>
      </c>
      <c r="J72" s="29" t="n">
        <f aca="false">J63+J65</f>
        <v>-12.13</v>
      </c>
      <c r="K72" s="29" t="n">
        <f aca="false">AVERAGE(D72:J72)</f>
        <v>6.42857142857143</v>
      </c>
      <c r="L72" s="29" t="n">
        <f aca="false">J72-D72</f>
        <v>-15.49</v>
      </c>
    </row>
    <row r="73" customFormat="false" ht="15" hidden="false" customHeight="false" outlineLevel="0" collapsed="false">
      <c r="A73" s="16" t="s">
        <v>606</v>
      </c>
      <c r="B73" s="87" t="s">
        <v>607</v>
      </c>
      <c r="C73" s="17" t="s">
        <v>493</v>
      </c>
      <c r="D73" s="69" t="n">
        <f aca="false">D52</f>
        <v>6.04</v>
      </c>
      <c r="E73" s="69" t="n">
        <f aca="false">E52</f>
        <v>7.38</v>
      </c>
      <c r="F73" s="69" t="n">
        <f aca="false">F52</f>
        <v>31.56</v>
      </c>
      <c r="G73" s="69" t="n">
        <f aca="false">G52</f>
        <v>52.4</v>
      </c>
      <c r="H73" s="69" t="n">
        <f aca="false">H52</f>
        <v>41.75</v>
      </c>
      <c r="I73" s="69" t="n">
        <f aca="false">I52</f>
        <v>51.16</v>
      </c>
      <c r="J73" s="69" t="n">
        <f aca="false">J52</f>
        <v>41.45</v>
      </c>
      <c r="K73" s="53" t="n">
        <f aca="false">AVERAGE(D73:J73)</f>
        <v>33.1057142857143</v>
      </c>
      <c r="L73" s="53" t="n">
        <f aca="false">J73-D73</f>
        <v>35.41</v>
      </c>
    </row>
    <row r="74" customFormat="false" ht="16.5" hidden="false" customHeight="true" outlineLevel="0" collapsed="false">
      <c r="A74" s="88" t="s">
        <v>608</v>
      </c>
      <c r="B74" s="89"/>
      <c r="C74" s="89"/>
      <c r="D74" s="89"/>
      <c r="E74" s="89"/>
      <c r="F74" s="89"/>
      <c r="G74" s="89"/>
      <c r="H74" s="89"/>
      <c r="I74" s="89"/>
      <c r="J74" s="89"/>
      <c r="K74" s="89"/>
      <c r="L74" s="89"/>
    </row>
    <row r="75" customFormat="false" ht="15" hidden="false" customHeight="false" outlineLevel="0" collapsed="false">
      <c r="A75" s="16" t="s">
        <v>609</v>
      </c>
      <c r="B75" s="87" t="s">
        <v>610</v>
      </c>
      <c r="C75" s="17" t="s">
        <v>493</v>
      </c>
      <c r="D75" s="69" t="n">
        <f aca="false">-D65</f>
        <v>-1.24</v>
      </c>
      <c r="E75" s="69" t="n">
        <f aca="false">-E65</f>
        <v>1.38</v>
      </c>
      <c r="F75" s="69" t="n">
        <f aca="false">-F65</f>
        <v>2.8</v>
      </c>
      <c r="G75" s="69" t="n">
        <f aca="false">-G65</f>
        <v>-4.4</v>
      </c>
      <c r="H75" s="69" t="n">
        <f aca="false">-H65</f>
        <v>5.34</v>
      </c>
      <c r="I75" s="69" t="n">
        <f aca="false">-I65</f>
        <v>-7.07</v>
      </c>
      <c r="J75" s="69" t="n">
        <f aca="false">-J65</f>
        <v>-5.49</v>
      </c>
      <c r="K75" s="53" t="n">
        <f aca="false">AVERAGE(D75:J75)</f>
        <v>-1.24</v>
      </c>
      <c r="L75" s="53" t="n">
        <f aca="false">J75-D75</f>
        <v>-4.25</v>
      </c>
    </row>
    <row r="76" customFormat="false" ht="15" hidden="false" customHeight="false" outlineLevel="0" collapsed="false">
      <c r="A76" s="16" t="s">
        <v>611</v>
      </c>
      <c r="B76" s="87" t="s">
        <v>798</v>
      </c>
      <c r="C76" s="17" t="s">
        <v>493</v>
      </c>
      <c r="D76" s="69" t="n">
        <f aca="false">MAX(-D69,0)</f>
        <v>0</v>
      </c>
      <c r="E76" s="69" t="n">
        <f aca="false">MAX(-E69,0)</f>
        <v>0</v>
      </c>
      <c r="F76" s="69" t="n">
        <f aca="false">MAX(-F69,0)</f>
        <v>0</v>
      </c>
      <c r="G76" s="69" t="n">
        <f aca="false">MAX(-G69,0)</f>
        <v>0</v>
      </c>
      <c r="H76" s="69" t="n">
        <f aca="false">MAX(-H69,0)</f>
        <v>0</v>
      </c>
      <c r="I76" s="69" t="n">
        <f aca="false">MAX(-I69,0)</f>
        <v>0</v>
      </c>
      <c r="J76" s="69" t="n">
        <f aca="false">MAX(-J69,0)</f>
        <v>0</v>
      </c>
      <c r="K76" s="53" t="n">
        <f aca="false">AVERAGE(D76:J76)</f>
        <v>0</v>
      </c>
      <c r="L76" s="53" t="n">
        <f aca="false">J76-D76</f>
        <v>0</v>
      </c>
    </row>
    <row r="77" customFormat="false" ht="15" hidden="false" customHeight="false" outlineLevel="0" collapsed="false">
      <c r="A77" s="16" t="s">
        <v>613</v>
      </c>
      <c r="B77" s="87" t="s">
        <v>614</v>
      </c>
      <c r="C77" s="17" t="s">
        <v>615</v>
      </c>
      <c r="D77" s="71" t="n">
        <f aca="false">IF(D26&gt;0,MIN(MAX(D27/D26,0),Setup!$C$11),0)</f>
        <v>0</v>
      </c>
      <c r="E77" s="71" t="n">
        <f aca="false">IF(E26&gt;0,MIN(MAX(E27/E26,0),Setup!$C$11),0)</f>
        <v>0</v>
      </c>
      <c r="F77" s="71" t="n">
        <f aca="false">IF(F26&gt;0,MIN(MAX(F27/F26,0),Setup!$C$11),0)</f>
        <v>0.100321027287319</v>
      </c>
      <c r="G77" s="71" t="n">
        <f aca="false">IF(G26&gt;0,MIN(MAX(G27/G26,0),Setup!$C$11),0)</f>
        <v>0.259412890874282</v>
      </c>
      <c r="H77" s="71" t="n">
        <f aca="false">IF(H26&gt;0,MIN(MAX(H27/H26,0),Setup!$C$11),0)</f>
        <v>0.267947993216507</v>
      </c>
      <c r="I77" s="71" t="n">
        <f aca="false">IF(I26&gt;0,MIN(MAX(I27/I26,0),Setup!$C$11),0)</f>
        <v>0.251593239124412</v>
      </c>
      <c r="J77" s="71" t="n">
        <f aca="false">IF(J26&gt;0,MIN(MAX(J27/J26,0),Setup!$C$11),0)</f>
        <v>0.261153054221002</v>
      </c>
      <c r="K77" s="62" t="n">
        <f aca="false">AVERAGE(D77:J77)</f>
        <v>0.162918314960503</v>
      </c>
      <c r="L77" s="62" t="n">
        <f aca="false">J77-D77</f>
        <v>0.261153054221002</v>
      </c>
    </row>
    <row r="79" customFormat="false" ht="19.5" hidden="false" customHeight="true" outlineLevel="0" collapsed="false">
      <c r="A79" s="85" t="s">
        <v>799</v>
      </c>
      <c r="B79" s="86"/>
      <c r="C79" s="86"/>
      <c r="D79" s="86"/>
      <c r="E79" s="86"/>
      <c r="F79" s="86"/>
      <c r="G79" s="86"/>
      <c r="H79" s="86"/>
      <c r="I79" s="86"/>
      <c r="J79" s="86"/>
      <c r="K79" s="86"/>
      <c r="L79" s="86"/>
    </row>
    <row r="80" customFormat="false" ht="15" hidden="false" customHeight="false" outlineLevel="0" collapsed="false">
      <c r="A80" s="16" t="s">
        <v>800</v>
      </c>
      <c r="B80" s="87" t="s">
        <v>801</v>
      </c>
      <c r="C80" s="17" t="s">
        <v>757</v>
      </c>
      <c r="D80" s="97" t="n">
        <v>2.99</v>
      </c>
      <c r="E80" s="97" t="n">
        <v>4.24</v>
      </c>
      <c r="F80" s="97" t="n">
        <v>21.12</v>
      </c>
      <c r="G80" s="97" t="n">
        <v>36.33</v>
      </c>
      <c r="H80" s="97" t="n">
        <v>46</v>
      </c>
      <c r="I80" s="97" t="n">
        <v>47.5</v>
      </c>
      <c r="J80" s="97" t="n">
        <v>23.9</v>
      </c>
      <c r="K80" s="66" t="n">
        <f aca="false">AVERAGE(D80:J80)</f>
        <v>26.0114285714286</v>
      </c>
      <c r="L80" s="66" t="n">
        <f aca="false">J80-D80</f>
        <v>20.91</v>
      </c>
    </row>
    <row r="81" customFormat="false" ht="15" hidden="false" customHeight="false" outlineLevel="0" collapsed="false">
      <c r="A81" s="16" t="s">
        <v>802</v>
      </c>
      <c r="B81" s="87" t="s">
        <v>803</v>
      </c>
      <c r="C81" s="17" t="s">
        <v>804</v>
      </c>
      <c r="D81" s="97" t="n">
        <v>10.57</v>
      </c>
      <c r="E81" s="97" t="n">
        <v>10.57</v>
      </c>
      <c r="F81" s="97" t="n">
        <v>10.57</v>
      </c>
      <c r="G81" s="97" t="n">
        <v>10.57</v>
      </c>
      <c r="H81" s="97" t="n">
        <v>10.57</v>
      </c>
      <c r="I81" s="97" t="n">
        <v>10.57</v>
      </c>
      <c r="J81" s="97" t="n">
        <v>10.57</v>
      </c>
      <c r="K81" s="66" t="n">
        <f aca="false">AVERAGE(D81:J81)</f>
        <v>10.57</v>
      </c>
      <c r="L81" s="66" t="n">
        <f aca="false">J81-D81</f>
        <v>0</v>
      </c>
    </row>
    <row r="82" customFormat="false" ht="15" hidden="false" customHeight="false" outlineLevel="0" collapsed="false">
      <c r="A82" s="16" t="s">
        <v>805</v>
      </c>
      <c r="B82" s="87" t="s">
        <v>806</v>
      </c>
      <c r="C82" s="17" t="s">
        <v>493</v>
      </c>
      <c r="D82" s="69" t="n">
        <f aca="false">D80*D81</f>
        <v>31.6043</v>
      </c>
      <c r="E82" s="69" t="n">
        <f aca="false">E80*E81</f>
        <v>44.8168</v>
      </c>
      <c r="F82" s="69" t="n">
        <f aca="false">F80*F81</f>
        <v>223.2384</v>
      </c>
      <c r="G82" s="69" t="n">
        <f aca="false">G80*G81</f>
        <v>384.0081</v>
      </c>
      <c r="H82" s="69" t="n">
        <f aca="false">H80*H81</f>
        <v>486.22</v>
      </c>
      <c r="I82" s="69" t="n">
        <f aca="false">I80*I81</f>
        <v>502.075</v>
      </c>
      <c r="J82" s="69" t="n">
        <f aca="false">J80*J81</f>
        <v>252.623</v>
      </c>
      <c r="K82" s="53" t="n">
        <f aca="false">AVERAGE(D82:J82)</f>
        <v>274.9408</v>
      </c>
      <c r="L82" s="53" t="n">
        <f aca="false">J82-D82</f>
        <v>221.0187</v>
      </c>
    </row>
    <row r="83" customFormat="false" ht="15" hidden="false" customHeight="false" outlineLevel="0" collapsed="false">
      <c r="A83" s="16" t="s">
        <v>807</v>
      </c>
      <c r="B83" s="87" t="s">
        <v>808</v>
      </c>
      <c r="C83" s="17" t="s">
        <v>493</v>
      </c>
      <c r="D83" s="69" t="n">
        <f aca="false">D82+D41-D52</f>
        <v>62.2343</v>
      </c>
      <c r="E83" s="69" t="n">
        <f aca="false">E82+E41-E52</f>
        <v>52.3968</v>
      </c>
      <c r="F83" s="69" t="n">
        <f aca="false">F82+F41-F52</f>
        <v>191.6784</v>
      </c>
      <c r="G83" s="69" t="n">
        <f aca="false">G82+G41-G52</f>
        <v>331.6081</v>
      </c>
      <c r="H83" s="69" t="n">
        <f aca="false">H82+H41-H52</f>
        <v>456.51</v>
      </c>
      <c r="I83" s="69" t="n">
        <f aca="false">I82+I41-I52</f>
        <v>485.295</v>
      </c>
      <c r="J83" s="69" t="n">
        <f aca="false">J82+J41-J52</f>
        <v>261.873</v>
      </c>
      <c r="K83" s="53" t="n">
        <f aca="false">AVERAGE(D83:J83)</f>
        <v>263.085085714286</v>
      </c>
      <c r="L83" s="53" t="n">
        <f aca="false">J83-D83</f>
        <v>199.6387</v>
      </c>
    </row>
    <row r="84" customFormat="false" ht="15" hidden="false" customHeight="false" outlineLevel="0" collapsed="false">
      <c r="A84" s="16" t="s">
        <v>809</v>
      </c>
      <c r="B84" s="87" t="s">
        <v>810</v>
      </c>
      <c r="C84" s="17" t="s">
        <v>811</v>
      </c>
      <c r="D84" s="98" t="n">
        <v>1</v>
      </c>
      <c r="E84" s="98" t="n">
        <v>1</v>
      </c>
      <c r="F84" s="98" t="n">
        <v>1</v>
      </c>
      <c r="G84" s="98" t="n">
        <v>1</v>
      </c>
      <c r="H84" s="98" t="n">
        <v>1</v>
      </c>
      <c r="I84" s="98" t="n">
        <v>1</v>
      </c>
      <c r="J84" s="98" t="n">
        <v>1</v>
      </c>
      <c r="K84" s="99"/>
      <c r="L84" s="99"/>
    </row>
    <row r="86" customFormat="false" ht="19.5" hidden="false" customHeight="true" outlineLevel="0" collapsed="false">
      <c r="A86" s="85" t="s">
        <v>629</v>
      </c>
      <c r="B86" s="86"/>
      <c r="C86" s="86"/>
      <c r="D86" s="86"/>
      <c r="E86" s="86"/>
      <c r="F86" s="86"/>
      <c r="G86" s="86"/>
      <c r="H86" s="86"/>
      <c r="I86" s="86"/>
      <c r="J86" s="86"/>
      <c r="K86" s="86"/>
      <c r="L86" s="86"/>
    </row>
    <row r="87" customFormat="false" ht="15" hidden="false" customHeight="false" outlineLevel="0" collapsed="false">
      <c r="A87" s="16" t="s">
        <v>630</v>
      </c>
      <c r="B87" s="87" t="s">
        <v>631</v>
      </c>
      <c r="C87" s="17" t="s">
        <v>493</v>
      </c>
      <c r="D87" s="69" t="n">
        <f aca="false">D48</f>
        <v>95.18</v>
      </c>
      <c r="E87" s="69" t="n">
        <f aca="false">E48</f>
        <v>75.07</v>
      </c>
      <c r="F87" s="69" t="n">
        <f aca="false">F48</f>
        <v>108.18</v>
      </c>
      <c r="G87" s="69" t="n">
        <f aca="false">G48</f>
        <v>106.52</v>
      </c>
      <c r="H87" s="69" t="n">
        <f aca="false">H48</f>
        <v>123.31</v>
      </c>
      <c r="I87" s="69" t="n">
        <f aca="false">I48</f>
        <v>174.78</v>
      </c>
      <c r="J87" s="69" t="n">
        <f aca="false">J48</f>
        <v>239.81</v>
      </c>
      <c r="K87" s="53" t="n">
        <f aca="false">AVERAGE(D87:J87)</f>
        <v>131.835714285714</v>
      </c>
      <c r="L87" s="53" t="n">
        <f aca="false">J87-D87</f>
        <v>144.63</v>
      </c>
    </row>
    <row r="88" customFormat="false" ht="15" hidden="false" customHeight="false" outlineLevel="0" collapsed="false">
      <c r="A88" s="16" t="s">
        <v>632</v>
      </c>
      <c r="B88" s="87" t="s">
        <v>633</v>
      </c>
      <c r="C88" s="17" t="s">
        <v>493</v>
      </c>
      <c r="D88" s="69" t="n">
        <f aca="false">D42</f>
        <v>15.74</v>
      </c>
      <c r="E88" s="69" t="n">
        <f aca="false">E42</f>
        <v>26.91</v>
      </c>
      <c r="F88" s="69" t="n">
        <f aca="false">F42</f>
        <v>46.82</v>
      </c>
      <c r="G88" s="69" t="n">
        <f aca="false">G42</f>
        <v>21.88</v>
      </c>
      <c r="H88" s="69" t="n">
        <f aca="false">H42</f>
        <v>20.71</v>
      </c>
      <c r="I88" s="69" t="n">
        <f aca="false">I42</f>
        <v>23.01</v>
      </c>
      <c r="J88" s="69" t="n">
        <f aca="false">J42</f>
        <v>51.94</v>
      </c>
      <c r="K88" s="53" t="n">
        <f aca="false">AVERAGE(D88:J88)</f>
        <v>29.5728571428571</v>
      </c>
      <c r="L88" s="53" t="n">
        <f aca="false">J88-D88</f>
        <v>36.2</v>
      </c>
    </row>
    <row r="89" customFormat="false" ht="15" hidden="false" customHeight="false" outlineLevel="0" collapsed="false">
      <c r="A89" s="16" t="s">
        <v>634</v>
      </c>
      <c r="B89" s="87" t="s">
        <v>635</v>
      </c>
      <c r="C89" s="17" t="s">
        <v>493</v>
      </c>
      <c r="D89" s="69" t="n">
        <f aca="false">D50+D52</f>
        <v>71.56</v>
      </c>
      <c r="E89" s="69" t="n">
        <f aca="false">E50+E52</f>
        <v>50.55</v>
      </c>
      <c r="F89" s="69" t="n">
        <f aca="false">F50+F52</f>
        <v>100.22</v>
      </c>
      <c r="G89" s="69" t="n">
        <f aca="false">G50+G52</f>
        <v>101.7</v>
      </c>
      <c r="H89" s="69" t="n">
        <f aca="false">H50+H52</f>
        <v>111.54</v>
      </c>
      <c r="I89" s="69" t="n">
        <f aca="false">I50+I52</f>
        <v>153.84</v>
      </c>
      <c r="J89" s="69" t="n">
        <f aca="false">J50+J52</f>
        <v>202.48</v>
      </c>
      <c r="K89" s="53" t="n">
        <f aca="false">AVERAGE(D89:J89)</f>
        <v>113.127142857143</v>
      </c>
      <c r="L89" s="53" t="n">
        <f aca="false">J89-D89</f>
        <v>130.92</v>
      </c>
    </row>
    <row r="90" customFormat="false" ht="15" hidden="false" customHeight="false" outlineLevel="0" collapsed="false">
      <c r="A90" s="16" t="s">
        <v>636</v>
      </c>
      <c r="B90" s="87" t="s">
        <v>637</v>
      </c>
      <c r="C90" s="17" t="s">
        <v>493</v>
      </c>
      <c r="D90" s="69" t="n">
        <f aca="false">D40+D41</f>
        <v>89.37</v>
      </c>
      <c r="E90" s="69" t="n">
        <f aca="false">E40+E41</f>
        <v>56.94</v>
      </c>
      <c r="F90" s="69" t="n">
        <f aca="false">F40+F41</f>
        <v>74.43</v>
      </c>
      <c r="G90" s="69" t="n">
        <f aca="false">G40+G41</f>
        <v>97.63</v>
      </c>
      <c r="H90" s="69" t="n">
        <f aca="false">H40+H41</f>
        <v>122.87</v>
      </c>
      <c r="I90" s="69" t="n">
        <f aca="false">I40+I41</f>
        <v>172.68</v>
      </c>
      <c r="J90" s="69" t="n">
        <f aca="false">J40+J41</f>
        <v>210.68</v>
      </c>
      <c r="K90" s="53" t="n">
        <f aca="false">AVERAGE(D90:J90)</f>
        <v>117.8</v>
      </c>
      <c r="L90" s="53" t="n">
        <f aca="false">J90-D90</f>
        <v>121.31</v>
      </c>
    </row>
    <row r="92" customFormat="false" ht="19.5" hidden="false" customHeight="true" outlineLevel="0" collapsed="false">
      <c r="A92" s="85" t="s">
        <v>638</v>
      </c>
      <c r="B92" s="86"/>
      <c r="C92" s="86"/>
      <c r="D92" s="86"/>
      <c r="E92" s="86"/>
      <c r="F92" s="86"/>
      <c r="G92" s="86"/>
      <c r="H92" s="86"/>
      <c r="I92" s="86"/>
      <c r="J92" s="86"/>
      <c r="K92" s="86"/>
      <c r="L92" s="86"/>
    </row>
    <row r="93" customFormat="false" ht="16.5" hidden="false" customHeight="true" outlineLevel="0" collapsed="false">
      <c r="A93" s="88" t="s">
        <v>639</v>
      </c>
      <c r="B93" s="89"/>
      <c r="C93" s="89"/>
      <c r="D93" s="89"/>
      <c r="E93" s="89"/>
      <c r="F93" s="89"/>
      <c r="G93" s="89"/>
      <c r="H93" s="89"/>
      <c r="I93" s="89"/>
      <c r="J93" s="89"/>
      <c r="K93" s="89"/>
      <c r="L93" s="89"/>
    </row>
    <row r="94" customFormat="false" ht="15" hidden="false" customHeight="false" outlineLevel="0" collapsed="false">
      <c r="A94" s="16" t="s">
        <v>640</v>
      </c>
      <c r="B94" s="87" t="s">
        <v>641</v>
      </c>
      <c r="C94" s="17" t="s">
        <v>493</v>
      </c>
      <c r="D94" s="69" t="n">
        <f aca="false">D87-D88</f>
        <v>79.44</v>
      </c>
      <c r="E94" s="69" t="n">
        <f aca="false">E87-E88</f>
        <v>48.16</v>
      </c>
      <c r="F94" s="69" t="n">
        <f aca="false">F87-F88</f>
        <v>61.36</v>
      </c>
      <c r="G94" s="69" t="n">
        <f aca="false">G87-G88</f>
        <v>84.64</v>
      </c>
      <c r="H94" s="69" t="n">
        <f aca="false">H87-H88</f>
        <v>102.6</v>
      </c>
      <c r="I94" s="69" t="n">
        <f aca="false">I87-I88</f>
        <v>151.77</v>
      </c>
      <c r="J94" s="69" t="n">
        <f aca="false">J87-J88</f>
        <v>187.87</v>
      </c>
      <c r="K94" s="53" t="n">
        <f aca="false">AVERAGE(D94:J94)</f>
        <v>102.262857142857</v>
      </c>
      <c r="L94" s="53" t="n">
        <f aca="false">J94-D94</f>
        <v>108.43</v>
      </c>
    </row>
    <row r="95" customFormat="false" ht="15" hidden="false" customHeight="false" outlineLevel="0" collapsed="false">
      <c r="A95" s="16" t="s">
        <v>642</v>
      </c>
      <c r="B95" s="87" t="s">
        <v>643</v>
      </c>
      <c r="C95" s="17" t="s">
        <v>644</v>
      </c>
      <c r="D95" s="72" t="n">
        <f aca="false">IF(D88&gt;0,D87/D88,"N/M")</f>
        <v>6.04701397712834</v>
      </c>
      <c r="E95" s="72" t="n">
        <f aca="false">IF(E88&gt;0,E87/E88,"N/M")</f>
        <v>2.78966926793014</v>
      </c>
      <c r="F95" s="72" t="n">
        <f aca="false">IF(F88&gt;0,F87/F88,"N/M")</f>
        <v>2.3105510465613</v>
      </c>
      <c r="G95" s="72" t="n">
        <f aca="false">IF(G88&gt;0,G87/G88,"N/M")</f>
        <v>4.86837294332724</v>
      </c>
      <c r="H95" s="72" t="n">
        <f aca="false">IF(H88&gt;0,H87/H88,"N/M")</f>
        <v>5.95412844036697</v>
      </c>
      <c r="I95" s="72" t="n">
        <f aca="false">IF(I88&gt;0,I87/I88,"N/M")</f>
        <v>7.59582790091265</v>
      </c>
      <c r="J95" s="72" t="n">
        <f aca="false">IF(J88&gt;0,J87/J88,"N/M")</f>
        <v>4.61705814401232</v>
      </c>
      <c r="K95" s="56" t="n">
        <f aca="false">IF(COUNT(D95:J95)=0,"N/M",AVERAGE(D95:J95))</f>
        <v>4.88323167431985</v>
      </c>
      <c r="L95" s="60" t="n">
        <f aca="false">IF(COUNT(D95,J95)=2,J95-D95,"-")</f>
        <v>-1.42995583311601</v>
      </c>
    </row>
    <row r="96" customFormat="false" ht="15" hidden="false" customHeight="false" outlineLevel="0" collapsed="false">
      <c r="A96" s="16" t="s">
        <v>645</v>
      </c>
      <c r="B96" s="87" t="s">
        <v>646</v>
      </c>
      <c r="C96" s="17" t="s">
        <v>647</v>
      </c>
      <c r="D96" s="72" t="n">
        <f aca="false">IF(D88&gt;0,D89/D88,"N/M")</f>
        <v>4.54637865311309</v>
      </c>
      <c r="E96" s="72" t="n">
        <f aca="false">IF(E88&gt;0,E89/E88,"N/M")</f>
        <v>1.87848383500557</v>
      </c>
      <c r="F96" s="72" t="n">
        <f aca="false">IF(F88&gt;0,F89/F88,"N/M")</f>
        <v>2.14053823152499</v>
      </c>
      <c r="G96" s="72" t="n">
        <f aca="false">IF(G88&gt;0,G89/G88,"N/M")</f>
        <v>4.64808043875686</v>
      </c>
      <c r="H96" s="72" t="n">
        <f aca="false">IF(H88&gt;0,H89/H88,"N/M")</f>
        <v>5.38580395943988</v>
      </c>
      <c r="I96" s="72" t="n">
        <f aca="false">IF(I88&gt;0,I89/I88,"N/M")</f>
        <v>6.6857887874837</v>
      </c>
      <c r="J96" s="72" t="n">
        <f aca="false">IF(J88&gt;0,J89/J88,"N/M")</f>
        <v>3.89834424335772</v>
      </c>
      <c r="K96" s="56" t="n">
        <f aca="false">IF(COUNT(D96:J96)=0,"N/M",AVERAGE(D96:J96))</f>
        <v>4.16905973552597</v>
      </c>
      <c r="L96" s="60" t="n">
        <f aca="false">IF(COUNT(D96,J96)=2,J96-D96,"-")</f>
        <v>-0.648034409755367</v>
      </c>
    </row>
    <row r="97" customFormat="false" ht="15" hidden="false" customHeight="false" outlineLevel="0" collapsed="false">
      <c r="A97" s="16" t="s">
        <v>648</v>
      </c>
      <c r="B97" s="87" t="s">
        <v>649</v>
      </c>
      <c r="C97" s="17" t="s">
        <v>650</v>
      </c>
      <c r="D97" s="72" t="n">
        <f aca="false">IF(D88&gt;0,D52/D88,"N/M")</f>
        <v>0.383735705209657</v>
      </c>
      <c r="E97" s="72" t="n">
        <f aca="false">IF(E88&gt;0,E52/E88,"N/M")</f>
        <v>0.274247491638796</v>
      </c>
      <c r="F97" s="72" t="n">
        <f aca="false">IF(F88&gt;0,F52/F88,"N/M")</f>
        <v>0.674070909867578</v>
      </c>
      <c r="G97" s="72" t="n">
        <f aca="false">IF(G88&gt;0,G52/G88,"N/M")</f>
        <v>2.39488117001828</v>
      </c>
      <c r="H97" s="72" t="n">
        <f aca="false">IF(H88&gt;0,H52/H88,"N/M")</f>
        <v>2.01593433124095</v>
      </c>
      <c r="I97" s="72" t="n">
        <f aca="false">IF(I88&gt;0,I52/I88,"N/M")</f>
        <v>2.22338113863538</v>
      </c>
      <c r="J97" s="72" t="n">
        <f aca="false">IF(J88&gt;0,J52/J88,"N/M")</f>
        <v>0.79803619561032</v>
      </c>
      <c r="K97" s="56" t="n">
        <f aca="false">IF(COUNT(D97:J97)=0,"N/M",AVERAGE(D97:J97))</f>
        <v>1.25204099174585</v>
      </c>
      <c r="L97" s="60" t="n">
        <f aca="false">IF(COUNT(D97,J97)=2,J97-D97,"-")</f>
        <v>0.414300490400663</v>
      </c>
    </row>
    <row r="98" customFormat="false" ht="15" hidden="false" customHeight="false" outlineLevel="0" collapsed="false">
      <c r="A98" s="16" t="s">
        <v>651</v>
      </c>
      <c r="B98" s="87" t="s">
        <v>652</v>
      </c>
      <c r="C98" s="17" t="s">
        <v>653</v>
      </c>
      <c r="D98" s="74" t="n">
        <f aca="false">IF(D20&gt;0,D89/(D20/Setup!$C$8),"N/M")</f>
        <v>84.2914770710298</v>
      </c>
      <c r="E98" s="74" t="n">
        <f aca="false">IF(E20&gt;0,E89/(E20/Setup!$C$8),"N/M")</f>
        <v>104.029939106901</v>
      </c>
      <c r="F98" s="74" t="n">
        <f aca="false">IF(F20&gt;0,F89/(F20/Setup!$C$8),"N/M")</f>
        <v>63.3414140014892</v>
      </c>
      <c r="G98" s="74" t="n">
        <f aca="false">IF(G20&gt;0,G89/(G20/Setup!$C$8),"N/M")</f>
        <v>91.2253323830822</v>
      </c>
      <c r="H98" s="74" t="n">
        <f aca="false">IF(H20&gt;0,H89/(H20/Setup!$C$8),"N/M")</f>
        <v>181.015072695745</v>
      </c>
      <c r="I98" s="74" t="n">
        <f aca="false">IF(I20&gt;0,I89/(I20/Setup!$C$8),"N/M")</f>
        <v>111.215512289806</v>
      </c>
      <c r="J98" s="74" t="n">
        <f aca="false">IF(J20&gt;0,J89/(J20/Setup!$C$8),"N/M")</f>
        <v>135.404627984097</v>
      </c>
      <c r="K98" s="58" t="n">
        <f aca="false">IF(COUNT(D98:J98)=0,"N/M",AVERAGE(D98:J98))</f>
        <v>110.074767933164</v>
      </c>
      <c r="L98" s="58" t="n">
        <f aca="false">IF(COUNT(D98,J98)=2,J98-D98,"-")</f>
        <v>51.1131509130672</v>
      </c>
    </row>
    <row r="99" customFormat="false" ht="15" hidden="false" customHeight="false" outlineLevel="0" collapsed="false">
      <c r="A99" s="16" t="s">
        <v>654</v>
      </c>
      <c r="B99" s="87" t="s">
        <v>655</v>
      </c>
      <c r="C99" s="17" t="s">
        <v>97</v>
      </c>
      <c r="D99" s="72" t="n">
        <f aca="false">IF(D88&gt;0,D63/D88,"N/M")</f>
        <v>0.134688691232529</v>
      </c>
      <c r="E99" s="72" t="n">
        <f aca="false">IF(E88&gt;0,E63/E88,"N/M")</f>
        <v>0.970271274619101</v>
      </c>
      <c r="F99" s="72" t="n">
        <f aca="false">IF(F88&gt;0,F63/F88,"N/M")</f>
        <v>0.944468175993165</v>
      </c>
      <c r="G99" s="72" t="n">
        <f aca="false">IF(G88&gt;0,G63/G88,"N/M")</f>
        <v>0.771937842778794</v>
      </c>
      <c r="H99" s="72" t="n">
        <f aca="false">IF(H88&gt;0,H63/H88,"N/M")</f>
        <v>-0.830516658619025</v>
      </c>
      <c r="I99" s="72" t="n">
        <f aca="false">IF(I88&gt;0,I63/I88,"N/M")</f>
        <v>-0.790960451977401</v>
      </c>
      <c r="J99" s="72" t="n">
        <f aca="false">IF(J88&gt;0,J63/J88,"N/M")</f>
        <v>-0.339237581825183</v>
      </c>
      <c r="K99" s="56" t="n">
        <f aca="false">IF(COUNT(D99:J99)=0,"N/M",AVERAGE(D99:J99))</f>
        <v>0.122950184600283</v>
      </c>
      <c r="L99" s="60" t="n">
        <f aca="false">IF(COUNT(D99,J99)=2,J99-D99,"-")</f>
        <v>-0.473926273057712</v>
      </c>
    </row>
    <row r="100" customFormat="false" ht="16.5" hidden="false" customHeight="true" outlineLevel="0" collapsed="false">
      <c r="A100" s="88" t="s">
        <v>656</v>
      </c>
      <c r="B100" s="89"/>
      <c r="C100" s="89"/>
      <c r="D100" s="89"/>
      <c r="E100" s="89"/>
      <c r="F100" s="89"/>
      <c r="G100" s="89"/>
      <c r="H100" s="89"/>
      <c r="I100" s="89"/>
      <c r="J100" s="89"/>
      <c r="K100" s="89"/>
      <c r="L100" s="89"/>
    </row>
    <row r="101" customFormat="false" ht="15" hidden="false" customHeight="false" outlineLevel="0" collapsed="false">
      <c r="A101" s="16" t="s">
        <v>657</v>
      </c>
      <c r="B101" s="87" t="s">
        <v>658</v>
      </c>
      <c r="C101" s="17" t="s">
        <v>97</v>
      </c>
      <c r="D101" s="72" t="n">
        <f aca="false">IF(D40&gt;0,D41/D40,"N/M")</f>
        <v>0.695825426944972</v>
      </c>
      <c r="E101" s="72" t="n">
        <f aca="false">IF(E40&gt;0,E41/E40,"N/M")</f>
        <v>0.356360171510243</v>
      </c>
      <c r="F101" s="72" t="n">
        <f aca="false">IF(F40&gt;0,F41/F40,"N/M")</f>
        <v>0</v>
      </c>
      <c r="G101" s="72" t="n">
        <f aca="false">IF(G40&gt;0,G41/G40,"N/M")</f>
        <v>0</v>
      </c>
      <c r="H101" s="72" t="n">
        <f aca="false">IF(H40&gt;0,H41/H40,"N/M")</f>
        <v>0.108634846160787</v>
      </c>
      <c r="I101" s="72" t="n">
        <f aca="false">IF(I40&gt;0,I41/I40,"N/M")</f>
        <v>0.248590021691974</v>
      </c>
      <c r="J101" s="72" t="n">
        <f aca="false">IF(J40&gt;0,J41/J40,"N/M")</f>
        <v>0.316914614326791</v>
      </c>
      <c r="K101" s="56" t="n">
        <f aca="false">IF(COUNT(D101:J101)=0,"N/M",AVERAGE(D101:J101))</f>
        <v>0.246617868662109</v>
      </c>
      <c r="L101" s="60" t="n">
        <f aca="false">IF(COUNT(D101,J101)=2,J101-D101,"-")</f>
        <v>-0.378910812618181</v>
      </c>
    </row>
    <row r="102" customFormat="false" ht="15" hidden="false" customHeight="false" outlineLevel="0" collapsed="false">
      <c r="A102" s="16" t="s">
        <v>659</v>
      </c>
      <c r="B102" s="87" t="s">
        <v>660</v>
      </c>
      <c r="C102" s="17" t="s">
        <v>97</v>
      </c>
      <c r="D102" s="72" t="n">
        <f aca="false">IF(D40&gt;0,(D41+D42)/D40,"N/M")</f>
        <v>0.99449715370019</v>
      </c>
      <c r="E102" s="72" t="n">
        <f aca="false">IF(E40&gt;0,(E41+E42)/E40,"N/M")</f>
        <v>0.997379704621248</v>
      </c>
      <c r="F102" s="72" t="n">
        <f aca="false">IF(F40&gt;0,(F41+F42)/F40,"N/M")</f>
        <v>0.629047427112723</v>
      </c>
      <c r="G102" s="72" t="n">
        <f aca="false">IF(G40&gt;0,(G41+G42)/G40,"N/M")</f>
        <v>0.224111441155383</v>
      </c>
      <c r="H102" s="72" t="n">
        <f aca="false">IF(H40&gt;0,(H41+H42)/H40,"N/M")</f>
        <v>0.295497608950645</v>
      </c>
      <c r="I102" s="72" t="n">
        <f aca="false">IF(I40&gt;0,(I41+I42)/I40,"N/M")</f>
        <v>0.414967462039046</v>
      </c>
      <c r="J102" s="72" t="n">
        <f aca="false">IF(J40&gt;0,(J41+J42)/J40,"N/M")</f>
        <v>0.641580197524691</v>
      </c>
      <c r="K102" s="56" t="n">
        <f aca="false">IF(COUNT(D102:J102)=0,"N/M",AVERAGE(D102:J102))</f>
        <v>0.599582999300561</v>
      </c>
      <c r="L102" s="60" t="n">
        <f aca="false">IF(COUNT(D102,J102)=2,J102-D102,"-")</f>
        <v>-0.352916956175499</v>
      </c>
    </row>
    <row r="103" customFormat="false" ht="15" hidden="false" customHeight="false" outlineLevel="0" collapsed="false">
      <c r="A103" s="16" t="s">
        <v>661</v>
      </c>
      <c r="B103" s="87" t="s">
        <v>662</v>
      </c>
      <c r="C103" s="17" t="s">
        <v>663</v>
      </c>
      <c r="D103" s="72" t="n">
        <f aca="false">IF(D49&gt;0,D41/D49,"N/M")</f>
        <v>0.348872609647036</v>
      </c>
      <c r="E103" s="72" t="n">
        <f aca="false">IF(E49&gt;0,E41/E49,"N/M")</f>
        <v>0.178413834227788</v>
      </c>
      <c r="F103" s="72" t="n">
        <f aca="false">IF(F49&gt;0,F41/F49,"N/M")</f>
        <v>0</v>
      </c>
      <c r="G103" s="72" t="n">
        <f aca="false">IF(G49&gt;0,G41/G49,"N/M")</f>
        <v>0</v>
      </c>
      <c r="H103" s="72" t="n">
        <f aca="false">IF(H49&gt;0,H41/H49,"N/M")</f>
        <v>0.0838556902075498</v>
      </c>
      <c r="I103" s="72" t="n">
        <f aca="false">IF(I49&gt;0,I41/I49,"N/M")</f>
        <v>0.17568603403342</v>
      </c>
      <c r="J103" s="72" t="n">
        <f aca="false">IF(J49&gt;0,J41/J49,"N/M")</f>
        <v>0.193054603609778</v>
      </c>
      <c r="K103" s="56" t="n">
        <f aca="false">IF(COUNT(D103:J103)=0,"N/M",AVERAGE(D103:J103))</f>
        <v>0.139983253103653</v>
      </c>
      <c r="L103" s="60" t="n">
        <f aca="false">IF(COUNT(D103,J103)=2,J103-D103,"-")</f>
        <v>-0.155818006037258</v>
      </c>
    </row>
    <row r="104" customFormat="false" ht="15" hidden="false" customHeight="false" outlineLevel="0" collapsed="false">
      <c r="A104" s="16" t="s">
        <v>664</v>
      </c>
      <c r="B104" s="87" t="s">
        <v>665</v>
      </c>
      <c r="C104" s="17" t="s">
        <v>663</v>
      </c>
      <c r="D104" s="72" t="n">
        <f aca="false">IF(D90&gt;0,D41/D90,"N/M")</f>
        <v>0.410316661071948</v>
      </c>
      <c r="E104" s="72" t="n">
        <f aca="false">IF(E90&gt;0,E41/E90,"N/M")</f>
        <v>0.262732701088866</v>
      </c>
      <c r="F104" s="72" t="n">
        <f aca="false">IF(F90&gt;0,F41/F90,"N/M")</f>
        <v>0</v>
      </c>
      <c r="G104" s="72" t="n">
        <f aca="false">IF(G90&gt;0,G41/G90,"N/M")</f>
        <v>0</v>
      </c>
      <c r="H104" s="72" t="n">
        <f aca="false">IF(H90&gt;0,H41/H90,"N/M")</f>
        <v>0.0979897452592171</v>
      </c>
      <c r="I104" s="72" t="n">
        <f aca="false">IF(I90&gt;0,I41/I90,"N/M")</f>
        <v>0.19909659485754</v>
      </c>
      <c r="J104" s="72" t="n">
        <f aca="false">IF(J90&gt;0,J41/J90,"N/M")</f>
        <v>0.240649325992026</v>
      </c>
      <c r="K104" s="56" t="n">
        <f aca="false">IF(COUNT(D104:J104)=0,"N/M",AVERAGE(D104:J104))</f>
        <v>0.1729692897528</v>
      </c>
      <c r="L104" s="60" t="n">
        <f aca="false">IF(COUNT(D104,J104)=2,J104-D104,"-")</f>
        <v>-0.169667335079922</v>
      </c>
    </row>
    <row r="105" customFormat="false" ht="15" hidden="false" customHeight="false" outlineLevel="0" collapsed="false">
      <c r="A105" s="16" t="s">
        <v>666</v>
      </c>
      <c r="B105" s="87" t="s">
        <v>667</v>
      </c>
      <c r="C105" s="17" t="s">
        <v>668</v>
      </c>
      <c r="D105" s="72" t="n">
        <f aca="false">IF(D49&gt;0,D40/D49,"N/M")</f>
        <v>0.501379507182951</v>
      </c>
      <c r="E105" s="72" t="n">
        <f aca="false">IF(E49&gt;0,E40/E49,"N/M")</f>
        <v>0.500655933214073</v>
      </c>
      <c r="F105" s="72" t="n">
        <f aca="false">IF(F49&gt;0,F40/F49,"N/M")</f>
        <v>0.613855670103093</v>
      </c>
      <c r="G105" s="72" t="n">
        <f aca="false">IF(G49&gt;0,G40/G49,"N/M")</f>
        <v>0.816919086268932</v>
      </c>
      <c r="H105" s="72" t="n">
        <f aca="false">IF(H49&gt;0,H40/H49,"N/M")</f>
        <v>0.771904164925477</v>
      </c>
      <c r="I105" s="72" t="n">
        <f aca="false">IF(I49&gt;0,I40/I49,"N/M")</f>
        <v>0.706730032193776</v>
      </c>
      <c r="J105" s="72" t="n">
        <f aca="false">IF(J49&gt;0,J40/J49,"N/M")</f>
        <v>0.609169141725687</v>
      </c>
      <c r="K105" s="56" t="n">
        <f aca="false">IF(COUNT(D105:J105)=0,"N/M",AVERAGE(D105:J105))</f>
        <v>0.645801933659141</v>
      </c>
      <c r="L105" s="60" t="n">
        <f aca="false">IF(COUNT(D105,J105)=2,J105-D105,"-")</f>
        <v>0.107789634542736</v>
      </c>
    </row>
    <row r="106" customFormat="false" ht="15" hidden="false" customHeight="false" outlineLevel="0" collapsed="false">
      <c r="A106" s="16" t="s">
        <v>669</v>
      </c>
      <c r="B106" s="87" t="s">
        <v>670</v>
      </c>
      <c r="C106" s="17" t="s">
        <v>97</v>
      </c>
      <c r="D106" s="72" t="n">
        <f aca="false">IF(D39&gt;0,(D41+D37)/D39,"N/M")</f>
        <v>0.695825426944972</v>
      </c>
      <c r="E106" s="72" t="n">
        <f aca="false">IF(E39&gt;0,(E41+E37)/E39,"N/M")</f>
        <v>0.356360171510243</v>
      </c>
      <c r="F106" s="72" t="n">
        <f aca="false">IF(F39&gt;0,(F41+F37)/F39,"N/M")</f>
        <v>0</v>
      </c>
      <c r="G106" s="72" t="n">
        <f aca="false">IF(G39&gt;0,(G41+G37)/G39,"N/M")</f>
        <v>0</v>
      </c>
      <c r="H106" s="72" t="n">
        <f aca="false">IF(H39&gt;0,(H41+H37)/H39,"N/M")</f>
        <v>0.108634846160787</v>
      </c>
      <c r="I106" s="72" t="n">
        <f aca="false">IF(I39&gt;0,(I41+I37)/I39,"N/M")</f>
        <v>0.248590021691974</v>
      </c>
      <c r="J106" s="72" t="n">
        <f aca="false">IF(J39&gt;0,(J41+J37)/J39,"N/M")</f>
        <v>0.316914614326791</v>
      </c>
      <c r="K106" s="56" t="n">
        <f aca="false">IF(COUNT(D106:J106)=0,"N/M",AVERAGE(D106:J106))</f>
        <v>0.246617868662109</v>
      </c>
      <c r="L106" s="60" t="n">
        <f aca="false">IF(COUNT(D106,J106)=2,J106-D106,"-")</f>
        <v>-0.378910812618181</v>
      </c>
    </row>
    <row r="107" customFormat="false" ht="15" hidden="false" customHeight="false" outlineLevel="0" collapsed="false">
      <c r="A107" s="16" t="s">
        <v>671</v>
      </c>
      <c r="B107" s="87" t="s">
        <v>672</v>
      </c>
      <c r="C107" s="17" t="s">
        <v>97</v>
      </c>
      <c r="D107" s="72" t="str">
        <f aca="false">IF(D21&gt;0,D41/D21,"N/M")</f>
        <v>N/M</v>
      </c>
      <c r="E107" s="72" t="str">
        <f aca="false">IF(E21&gt;0,E41/E21,"N/M")</f>
        <v>N/M</v>
      </c>
      <c r="F107" s="72" t="n">
        <f aca="false">IF(F21&gt;0,F41/F21,"N/M")</f>
        <v>0</v>
      </c>
      <c r="G107" s="72" t="n">
        <f aca="false">IF(G21&gt;0,G41/G21,"N/M")</f>
        <v>0</v>
      </c>
      <c r="H107" s="72" t="n">
        <f aca="false">IF(H21&gt;0,H41/H21,"N/M")</f>
        <v>0.784364820846906</v>
      </c>
      <c r="I107" s="72" t="n">
        <f aca="false">IF(I21&gt;0,I41/I21,"N/M")</f>
        <v>1.09420751113941</v>
      </c>
      <c r="J107" s="72" t="n">
        <f aca="false">IF(J21&gt;0,J41/J21,"N/M")</f>
        <v>1.87708256201407</v>
      </c>
      <c r="K107" s="56" t="n">
        <f aca="false">IF(COUNT(D107:J107)=0,"N/M",AVERAGE(D107:J107))</f>
        <v>0.751130978800076</v>
      </c>
      <c r="L107" s="60" t="str">
        <f aca="false">IF(COUNT(D107,J107)=2,J107-D107,"-")</f>
        <v>-</v>
      </c>
    </row>
    <row r="108" customFormat="false" ht="16.5" hidden="false" customHeight="true" outlineLevel="0" collapsed="false">
      <c r="A108" s="88" t="s">
        <v>673</v>
      </c>
      <c r="B108" s="89"/>
      <c r="C108" s="89"/>
      <c r="D108" s="89"/>
      <c r="E108" s="89"/>
      <c r="F108" s="89"/>
      <c r="G108" s="89"/>
      <c r="H108" s="89"/>
      <c r="I108" s="89"/>
      <c r="J108" s="89"/>
      <c r="K108" s="89"/>
      <c r="L108" s="89"/>
    </row>
    <row r="109" customFormat="false" ht="15" hidden="false" customHeight="false" outlineLevel="0" collapsed="false">
      <c r="A109" s="16" t="s">
        <v>674</v>
      </c>
      <c r="B109" s="87" t="s">
        <v>675</v>
      </c>
      <c r="C109" s="17" t="s">
        <v>676</v>
      </c>
      <c r="D109" s="73" t="n">
        <f aca="false">IF(D25&gt;0,D23/D25,"N/M")</f>
        <v>-2.11036036036034</v>
      </c>
      <c r="E109" s="73" t="n">
        <f aca="false">IF(E25&gt;0,E23/E25,"N/M")</f>
        <v>-5.29591836734693</v>
      </c>
      <c r="F109" s="73" t="n">
        <f aca="false">IF(F25&gt;0,F23/F25,"N/M")</f>
        <v>24.3708609271523</v>
      </c>
      <c r="G109" s="73" t="n">
        <f aca="false">IF(G25&gt;0,G23/G25,"N/M")</f>
        <v>24.9126213592233</v>
      </c>
      <c r="H109" s="73" t="n">
        <f aca="false">IF(H25&gt;0,H23/H25,"N/M")</f>
        <v>19.1710526315789</v>
      </c>
      <c r="I109" s="73" t="n">
        <f aca="false">IF(I25&gt;0,I23/I25,"N/M")</f>
        <v>9.12537313432833</v>
      </c>
      <c r="J109" s="73" t="n">
        <f aca="false">IF(J25&gt;0,J23/J25,"N/M")</f>
        <v>4.94307400379507</v>
      </c>
      <c r="K109" s="60" t="n">
        <f aca="false">IF(COUNT(D109:J109)=0,"N/M",AVERAGE(D109:J109))</f>
        <v>10.7309576183387</v>
      </c>
      <c r="L109" s="60" t="n">
        <f aca="false">IF(COUNT(D109,J109)=2,J109-D109,"-")</f>
        <v>7.05343436415541</v>
      </c>
    </row>
    <row r="110" customFormat="false" ht="15" hidden="false" customHeight="false" outlineLevel="0" collapsed="false">
      <c r="A110" s="16" t="s">
        <v>677</v>
      </c>
      <c r="B110" s="87" t="s">
        <v>678</v>
      </c>
      <c r="C110" s="17" t="s">
        <v>115</v>
      </c>
      <c r="D110" s="73" t="str">
        <f aca="false">IF(D31&gt;0,D30/D31,"N/M")</f>
        <v>N/M</v>
      </c>
      <c r="E110" s="73" t="str">
        <f aca="false">IF(E31&gt;0,E30/E31,"N/M")</f>
        <v>N/M</v>
      </c>
      <c r="F110" s="73" t="n">
        <f aca="false">IF(F31&gt;0,F30/F31,"N/M")</f>
        <v>31.7264150943396</v>
      </c>
      <c r="G110" s="73" t="str">
        <f aca="false">IF(G31&gt;0,G30/G31,"N/M")</f>
        <v>N/M</v>
      </c>
      <c r="H110" s="73" t="str">
        <f aca="false">IF(H31&gt;0,H30/H31,"N/M")</f>
        <v>N/M</v>
      </c>
      <c r="I110" s="73" t="str">
        <f aca="false">IF(I31&gt;0,I30/I31,"N/M")</f>
        <v>N/M</v>
      </c>
      <c r="J110" s="73" t="str">
        <f aca="false">IF(J31&gt;0,J30/J31,"N/M")</f>
        <v>N/M</v>
      </c>
      <c r="K110" s="60" t="n">
        <f aca="false">IF(COUNT(D110:J110)=0,"N/M",AVERAGE(D110:J110))</f>
        <v>31.7264150943396</v>
      </c>
      <c r="L110" s="60" t="str">
        <f aca="false">IF(COUNT(D110,J110)=2,J110-D110,"-")</f>
        <v>-</v>
      </c>
    </row>
    <row r="111" customFormat="false" ht="15" hidden="false" customHeight="false" outlineLevel="0" collapsed="false">
      <c r="A111" s="16" t="s">
        <v>679</v>
      </c>
      <c r="B111" s="87" t="s">
        <v>680</v>
      </c>
      <c r="C111" s="17" t="s">
        <v>115</v>
      </c>
      <c r="D111" s="73" t="n">
        <f aca="false">IF(D25+D76&gt;0,D21/(D25+D76/(1-D77)),"N/M")</f>
        <v>-1.88963963963962</v>
      </c>
      <c r="E111" s="73" t="n">
        <f aca="false">IF(E25+E76&gt;0,E21/(E25+E76/(1-E77)),"N/M")</f>
        <v>-4.84183673469387</v>
      </c>
      <c r="F111" s="73" t="n">
        <f aca="false">IF(F25+F76&gt;0,F21/(F25+F76/(1-F77)),"N/M")</f>
        <v>24.9006622516556</v>
      </c>
      <c r="G111" s="73" t="n">
        <f aca="false">IF(G25+G76&gt;0,G21/(G25+G76/(1-G77)),"N/M")</f>
        <v>25.6699029126214</v>
      </c>
      <c r="H111" s="73" t="n">
        <f aca="false">IF(H25+H76&gt;0,H21/(H25+H76/(1-H77)),"N/M")</f>
        <v>20.1973684210526</v>
      </c>
      <c r="I111" s="73" t="n">
        <f aca="false">IF(I25+I76&gt;0,I21/(I25+I76/(1-I77)),"N/M")</f>
        <v>9.37910447761191</v>
      </c>
      <c r="J111" s="73" t="n">
        <f aca="false">IF(J25+J76&gt;0,J21/(J25+J76/(1-J77)),"N/M")</f>
        <v>5.12523719165085</v>
      </c>
      <c r="K111" s="60" t="n">
        <f aca="false">IF(COUNT(D111:J111)=0,"N/M",AVERAGE(D111:J111))</f>
        <v>11.2201141257513</v>
      </c>
      <c r="L111" s="60" t="n">
        <f aca="false">IF(COUNT(D111,J111)=2,J111-D111,"-")</f>
        <v>7.01487683129048</v>
      </c>
    </row>
    <row r="112" customFormat="false" ht="15" hidden="false" customHeight="false" outlineLevel="0" collapsed="false">
      <c r="A112" s="16" t="s">
        <v>681</v>
      </c>
      <c r="B112" s="87" t="s">
        <v>682</v>
      </c>
      <c r="C112" s="17" t="s">
        <v>115</v>
      </c>
      <c r="D112" s="73" t="n">
        <f aca="false">IF(D25+D76&gt;0,(D63+D27)/(D25+D76/(1-D77)),"N/M")</f>
        <v>0.527027027027027</v>
      </c>
      <c r="E112" s="73" t="n">
        <f aca="false">IF(E25+E76&gt;0,(E63+E27)/(E25+E76/(1-E77)),"N/M")</f>
        <v>13.4744897959184</v>
      </c>
      <c r="F112" s="73" t="n">
        <f aca="false">IF(F25+F76&gt;0,(F63+F27)/(F25+F76/(1-F77)),"N/M")</f>
        <v>31.7682119205298</v>
      </c>
      <c r="G112" s="73" t="n">
        <f aca="false">IF(G25+G76&gt;0,(G63+G27)/(G25+G76/(1-G77)),"N/M")</f>
        <v>24.2912621359223</v>
      </c>
      <c r="H112" s="73" t="n">
        <f aca="false">IF(H25+H76&gt;0,(H63+H27)/(H25+H76/(1-H77)),"N/M")</f>
        <v>-16.3947368421053</v>
      </c>
      <c r="I112" s="73" t="n">
        <f aca="false">IF(I25+I76&gt;0,(I63+I27)/(I25+I76/(1-I77)),"N/M")</f>
        <v>-2.72238805970149</v>
      </c>
      <c r="J112" s="73" t="n">
        <f aca="false">IF(J25+J76&gt;0,(J63+J27)/(J25+J76/(1-J77)),"N/M")</f>
        <v>-1.89943074003795</v>
      </c>
      <c r="K112" s="60" t="n">
        <f aca="false">IF(COUNT(D112:J112)=0,"N/M",AVERAGE(D112:J112))</f>
        <v>7.00634789107898</v>
      </c>
      <c r="L112" s="60" t="n">
        <f aca="false">IF(COUNT(D112,J112)=2,J112-D112,"-")</f>
        <v>-2.42645776706498</v>
      </c>
    </row>
    <row r="113" customFormat="false" ht="15" hidden="false" customHeight="false" outlineLevel="0" collapsed="false">
      <c r="A113" s="16" t="s">
        <v>683</v>
      </c>
      <c r="B113" s="87" t="s">
        <v>684</v>
      </c>
      <c r="C113" s="17" t="s">
        <v>685</v>
      </c>
      <c r="D113" s="73" t="str">
        <f aca="false">IF(D75&gt;0,D63/D75,"N/M")</f>
        <v>N/M</v>
      </c>
      <c r="E113" s="73" t="n">
        <f aca="false">IF(E75&gt;0,E63/E75,"N/M")</f>
        <v>18.9202898550725</v>
      </c>
      <c r="F113" s="73" t="n">
        <f aca="false">IF(F75&gt;0,F63/F75,"N/M")</f>
        <v>15.7928571428571</v>
      </c>
      <c r="G113" s="73" t="str">
        <f aca="false">IF(G75&gt;0,G63/G75,"N/M")</f>
        <v>N/M</v>
      </c>
      <c r="H113" s="73" t="n">
        <f aca="false">IF(H75&gt;0,H63/H75,"N/M")</f>
        <v>-3.22097378277154</v>
      </c>
      <c r="I113" s="73" t="str">
        <f aca="false">IF(I75&gt;0,I63/I75,"N/M")</f>
        <v>N/M</v>
      </c>
      <c r="J113" s="73" t="str">
        <f aca="false">IF(J75&gt;0,J63/J75,"N/M")</f>
        <v>N/M</v>
      </c>
      <c r="K113" s="60" t="n">
        <f aca="false">IF(COUNT(D113:J113)=0,"N/M",AVERAGE(D113:J113))</f>
        <v>10.4973910717194</v>
      </c>
      <c r="L113" s="60" t="str">
        <f aca="false">IF(COUNT(D113,J113)=2,J113-D113,"-")</f>
        <v>-</v>
      </c>
    </row>
    <row r="114" customFormat="false" ht="15" hidden="false" customHeight="false" outlineLevel="0" collapsed="false">
      <c r="A114" s="16" t="s">
        <v>686</v>
      </c>
      <c r="B114" s="87" t="s">
        <v>687</v>
      </c>
      <c r="C114" s="17" t="s">
        <v>688</v>
      </c>
      <c r="D114" s="73" t="n">
        <f aca="false">IF(D25+D76&gt;0,(D30+D25+D22)/(D25+D76),"N/M")</f>
        <v>-1.55855855855856</v>
      </c>
      <c r="E114" s="73" t="n">
        <f aca="false">IF(E25+E76&gt;0,(E30+E25+E22)/(E25+E76),"N/M")</f>
        <v>-4.88265306122449</v>
      </c>
      <c r="F114" s="73" t="n">
        <f aca="false">IF(F25+F76&gt;0,(F30+F25+F22)/(F25+F76),"N/M")</f>
        <v>23.8013245033113</v>
      </c>
      <c r="G114" s="73" t="n">
        <f aca="false">IF(G25+G76&gt;0,(G30+G25+G22)/(G25+G76),"N/M")</f>
        <v>24.2912621359223</v>
      </c>
      <c r="H114" s="73" t="n">
        <f aca="false">IF(H25+H76&gt;0,(H30+H25+H22)/(H25+H76),"N/M")</f>
        <v>19.0789473684211</v>
      </c>
      <c r="I114" s="73" t="n">
        <f aca="false">IF(I25+I76&gt;0,(I30+I25+I22)/(I25+I76),"N/M")</f>
        <v>9.31641791044776</v>
      </c>
      <c r="J114" s="73" t="n">
        <f aca="false">IF(J25+J76&gt;0,(J30+J25+J22)/(J25+J76),"N/M")</f>
        <v>5.26565464895636</v>
      </c>
      <c r="K114" s="60" t="n">
        <f aca="false">IF(COUNT(D114:J114)=0,"N/M",AVERAGE(D114:J114))</f>
        <v>10.7589135638965</v>
      </c>
      <c r="L114" s="60" t="n">
        <f aca="false">IF(COUNT(D114,J114)=2,J114-D114,"-")</f>
        <v>6.82421320751492</v>
      </c>
    </row>
    <row r="115" customFormat="false" ht="16.5" hidden="false" customHeight="true" outlineLevel="0" collapsed="false">
      <c r="A115" s="88" t="s">
        <v>689</v>
      </c>
      <c r="B115" s="89"/>
      <c r="C115" s="89"/>
      <c r="D115" s="89"/>
      <c r="E115" s="89"/>
      <c r="F115" s="89"/>
      <c r="G115" s="89"/>
      <c r="H115" s="89"/>
      <c r="I115" s="89"/>
      <c r="J115" s="89"/>
      <c r="K115" s="89"/>
      <c r="L115" s="89"/>
    </row>
    <row r="116" customFormat="false" ht="15" hidden="false" customHeight="false" outlineLevel="0" collapsed="false">
      <c r="A116" s="16" t="s">
        <v>690</v>
      </c>
      <c r="B116" s="87" t="s">
        <v>691</v>
      </c>
      <c r="C116" s="17" t="s">
        <v>692</v>
      </c>
      <c r="D116" s="73" t="str">
        <f aca="false">IF(D51&gt;0,D13/D51,"N/M")</f>
        <v>N/M</v>
      </c>
      <c r="E116" s="73" t="str">
        <f aca="false">IF(E51&gt;0,E13/E51,"N/M")</f>
        <v>N/M</v>
      </c>
      <c r="F116" s="73" t="str">
        <f aca="false">IF(F51&gt;0,F13/F51,"N/M")</f>
        <v>N/M</v>
      </c>
      <c r="G116" s="73" t="str">
        <f aca="false">IF(G51&gt;0,G13/G51,"N/M")</f>
        <v>N/M</v>
      </c>
      <c r="H116" s="73" t="str">
        <f aca="false">IF(H51&gt;0,H13/H51,"N/M")</f>
        <v>N/M</v>
      </c>
      <c r="I116" s="73" t="str">
        <f aca="false">IF(I51&gt;0,I13/I51,"N/M")</f>
        <v>N/M</v>
      </c>
      <c r="J116" s="73" t="str">
        <f aca="false">IF(J51&gt;0,J13/J51,"N/M")</f>
        <v>N/M</v>
      </c>
      <c r="K116" s="60" t="str">
        <f aca="false">IF(COUNT(D116:J116)=0,"N/M",AVERAGE(D116:J116))</f>
        <v>N/M</v>
      </c>
      <c r="L116" s="60" t="str">
        <f aca="false">IF(COUNT(D116,J116)=2,J116-D116,"-")</f>
        <v>-</v>
      </c>
    </row>
    <row r="117" customFormat="false" ht="15" hidden="false" customHeight="false" outlineLevel="0" collapsed="false">
      <c r="A117" s="16" t="s">
        <v>693</v>
      </c>
      <c r="B117" s="87" t="s">
        <v>694</v>
      </c>
      <c r="C117" s="17" t="s">
        <v>653</v>
      </c>
      <c r="D117" s="74" t="n">
        <f aca="false">IF(D13&gt;0,D51/D13*Setup!$C$8,"N/M")</f>
        <v>0</v>
      </c>
      <c r="E117" s="74" t="n">
        <f aca="false">IF(E13&gt;0,E51/E13*Setup!$C$8,"N/M")</f>
        <v>0</v>
      </c>
      <c r="F117" s="74" t="n">
        <f aca="false">IF(F13&gt;0,F51/F13*Setup!$C$8,"N/M")</f>
        <v>0</v>
      </c>
      <c r="G117" s="74" t="n">
        <f aca="false">IF(G13&gt;0,G51/G13*Setup!$C$8,"N/M")</f>
        <v>0</v>
      </c>
      <c r="H117" s="74" t="n">
        <f aca="false">IF(H13&gt;0,H51/H13*Setup!$C$8,"N/M")</f>
        <v>0</v>
      </c>
      <c r="I117" s="74" t="n">
        <f aca="false">IF(I13&gt;0,I51/I13*Setup!$C$8,"N/M")</f>
        <v>0</v>
      </c>
      <c r="J117" s="74" t="n">
        <f aca="false">IF(J13&gt;0,J51/J13*Setup!$C$8,"N/M")</f>
        <v>0</v>
      </c>
      <c r="K117" s="58" t="n">
        <f aca="false">IF(COUNT(D117:J117)=0,"N/M",AVERAGE(D117:J117))</f>
        <v>0</v>
      </c>
      <c r="L117" s="58" t="n">
        <f aca="false">IF(COUNT(D117,J117)=2,J117-D117,"-")</f>
        <v>0</v>
      </c>
    </row>
    <row r="118" customFormat="false" ht="15" hidden="false" customHeight="false" outlineLevel="0" collapsed="false">
      <c r="A118" s="16" t="s">
        <v>695</v>
      </c>
      <c r="B118" s="87" t="s">
        <v>696</v>
      </c>
      <c r="C118" s="17" t="s">
        <v>692</v>
      </c>
      <c r="D118" s="73" t="n">
        <f aca="false">IF(D50&gt;0,D7/D50,"N/M")</f>
        <v>4.6013431013431</v>
      </c>
      <c r="E118" s="73" t="n">
        <f aca="false">IF(E50&gt;0,E7/E50,"N/M")</f>
        <v>3.88858003242993</v>
      </c>
      <c r="F118" s="73" t="n">
        <f aca="false">IF(F50&gt;0,F7/F50,"N/M")</f>
        <v>8.95878240605884</v>
      </c>
      <c r="G118" s="73" t="n">
        <f aca="false">IF(G50&gt;0,G7/G50,"N/M")</f>
        <v>8.79006085192698</v>
      </c>
      <c r="H118" s="73" t="n">
        <f aca="false">IF(H50&gt;0,H7/H50,"N/M")</f>
        <v>3.44261355495057</v>
      </c>
      <c r="I118" s="73" t="n">
        <f aca="false">IF(I50&gt;0,I7/I50,"N/M")</f>
        <v>5.2231203739774</v>
      </c>
      <c r="J118" s="73" t="n">
        <f aca="false">IF(J50&gt;0,J7/J50,"N/M")</f>
        <v>3.55722536173384</v>
      </c>
      <c r="K118" s="60" t="n">
        <f aca="false">IF(COUNT(D118:J118)=0,"N/M",AVERAGE(D118:J118))</f>
        <v>5.49453224034581</v>
      </c>
      <c r="L118" s="60" t="n">
        <f aca="false">IF(COUNT(D118,J118)=2,J118-D118,"-")</f>
        <v>-1.04411773960926</v>
      </c>
    </row>
    <row r="119" customFormat="false" ht="15" hidden="false" customHeight="false" outlineLevel="0" collapsed="false">
      <c r="A119" s="16" t="s">
        <v>697</v>
      </c>
      <c r="B119" s="87" t="s">
        <v>698</v>
      </c>
      <c r="C119" s="17" t="s">
        <v>653</v>
      </c>
      <c r="D119" s="74" t="n">
        <f aca="false">IF(D7&gt;0,D50/D7*Setup!$C$8,"N/M")</f>
        <v>79.3246649860687</v>
      </c>
      <c r="E119" s="74" t="n">
        <f aca="false">IF(E7&gt;0,E50/E7*Setup!$C$8,"N/M")</f>
        <v>93.8645976052898</v>
      </c>
      <c r="F119" s="74" t="n">
        <f aca="false">IF(F7&gt;0,F50/F7*Setup!$C$8,"N/M")</f>
        <v>40.7421436816179</v>
      </c>
      <c r="G119" s="74" t="n">
        <f aca="false">IF(G7&gt;0,G50/G7*Setup!$C$8,"N/M")</f>
        <v>41.5241721472251</v>
      </c>
      <c r="H119" s="74" t="n">
        <f aca="false">IF(H7&gt;0,H50/H7*Setup!$C$8,"N/M")</f>
        <v>106.024098892866</v>
      </c>
      <c r="I119" s="74" t="n">
        <f aca="false">IF(I7&gt;0,I50/I7*Setup!$C$8,"N/M")</f>
        <v>69.8815983293245</v>
      </c>
      <c r="J119" s="74" t="n">
        <f aca="false">IF(J7&gt;0,J50/J7*Setup!$C$8,"N/M")</f>
        <v>102.608061869348</v>
      </c>
      <c r="K119" s="58" t="n">
        <f aca="false">IF(COUNT(D119:J119)=0,"N/M",AVERAGE(D119:J119))</f>
        <v>76.2813339302486</v>
      </c>
      <c r="L119" s="58" t="n">
        <f aca="false">IF(COUNT(D119,J119)=2,J119-D119,"-")</f>
        <v>23.2833968832794</v>
      </c>
    </row>
    <row r="120" customFormat="false" ht="15" hidden="false" customHeight="false" outlineLevel="0" collapsed="false">
      <c r="A120" s="16" t="s">
        <v>699</v>
      </c>
      <c r="B120" s="87" t="s">
        <v>700</v>
      </c>
      <c r="C120" s="17" t="s">
        <v>692</v>
      </c>
      <c r="D120" s="73" t="n">
        <f aca="false">IF(D42&gt;0,D13/D42,"N/M")</f>
        <v>17.7007623888183</v>
      </c>
      <c r="E120" s="73" t="n">
        <f aca="false">IF(E42&gt;0,E13/E42,"N/M")</f>
        <v>5.76254180602007</v>
      </c>
      <c r="F120" s="73" t="n">
        <f aca="false">IF(F42&gt;0,F13/F42,"N/M")</f>
        <v>11.9651858180265</v>
      </c>
      <c r="G120" s="73" t="n">
        <f aca="false">IF(G42&gt;0,G13/G42,"N/M")</f>
        <v>17.6444241316271</v>
      </c>
      <c r="H120" s="73" t="n">
        <f aca="false">IF(H42&gt;0,H13/H42,"N/M")</f>
        <v>9.93771125060357</v>
      </c>
      <c r="I120" s="73" t="n">
        <f aca="false">IF(I42&gt;0,I13/I42,"N/M")</f>
        <v>20.8730986527597</v>
      </c>
      <c r="J120" s="73" t="n">
        <f aca="false">IF(J42&gt;0,J13/J42,"N/M")</f>
        <v>9.91374663072777</v>
      </c>
      <c r="K120" s="60" t="n">
        <f aca="false">IF(COUNT(D120:J120)=0,"N/M",AVERAGE(D120:J120))</f>
        <v>13.399638668369</v>
      </c>
      <c r="L120" s="60" t="n">
        <f aca="false">IF(COUNT(D120,J120)=2,J120-D120,"-")</f>
        <v>-7.78701575809053</v>
      </c>
    </row>
    <row r="121" customFormat="false" ht="15" hidden="false" customHeight="false" outlineLevel="0" collapsed="false">
      <c r="A121" s="16" t="s">
        <v>701</v>
      </c>
      <c r="B121" s="87" t="s">
        <v>702</v>
      </c>
      <c r="C121" s="17" t="s">
        <v>653</v>
      </c>
      <c r="D121" s="74" t="n">
        <f aca="false">IF(D13&gt;0,D42/D13*Setup!$C$8,"N/M")</f>
        <v>20.6205807401027</v>
      </c>
      <c r="E121" s="74" t="n">
        <f aca="false">IF(E13&gt;0,E42/E13*Setup!$C$8,"N/M")</f>
        <v>63.3401044689495</v>
      </c>
      <c r="F121" s="74" t="n">
        <f aca="false">IF(F13&gt;0,F42/F13*Setup!$C$8,"N/M")</f>
        <v>30.5051677049678</v>
      </c>
      <c r="G121" s="74" t="n">
        <f aca="false">IF(G13&gt;0,G42/G13*Setup!$C$8,"N/M")</f>
        <v>20.6864217997203</v>
      </c>
      <c r="H121" s="74" t="n">
        <f aca="false">IF(H13&gt;0,H42/H13*Setup!$C$8,"N/M")</f>
        <v>36.7287789708955</v>
      </c>
      <c r="I121" s="74" t="n">
        <f aca="false">IF(I13&gt;0,I42/I13*Setup!$C$8,"N/M")</f>
        <v>17.4866226654729</v>
      </c>
      <c r="J121" s="74" t="n">
        <f aca="false">IF(J13&gt;0,J42/J13*Setup!$C$8,"N/M")</f>
        <v>36.8175638934203</v>
      </c>
      <c r="K121" s="58" t="n">
        <f aca="false">IF(COUNT(D121:J121)=0,"N/M",AVERAGE(D121:J121))</f>
        <v>32.312177177647</v>
      </c>
      <c r="L121" s="58" t="n">
        <f aca="false">IF(COUNT(D121,J121)=2,J121-D121,"-")</f>
        <v>16.1969831533177</v>
      </c>
    </row>
    <row r="122" customFormat="false" ht="15" hidden="false" customHeight="false" outlineLevel="0" collapsed="false">
      <c r="A122" s="16" t="s">
        <v>703</v>
      </c>
      <c r="B122" s="87" t="s">
        <v>704</v>
      </c>
      <c r="C122" s="17" t="s">
        <v>653</v>
      </c>
      <c r="D122" s="74" t="n">
        <f aca="false">IF(COUNT(D117,D119,D121)=3,D117+D119-D121,"N/M")</f>
        <v>58.7040842459661</v>
      </c>
      <c r="E122" s="74" t="n">
        <f aca="false">IF(COUNT(E117,E119,E121)=3,E117+E119-E121,"N/M")</f>
        <v>30.5244931363403</v>
      </c>
      <c r="F122" s="74" t="n">
        <f aca="false">IF(COUNT(F117,F119,F121)=3,F117+F119-F121,"N/M")</f>
        <v>10.2369759766501</v>
      </c>
      <c r="G122" s="74" t="n">
        <f aca="false">IF(COUNT(G117,G119,G121)=3,G117+G119-G121,"N/M")</f>
        <v>20.8377503475049</v>
      </c>
      <c r="H122" s="74" t="n">
        <f aca="false">IF(COUNT(H117,H119,H121)=3,H117+H119-H121,"N/M")</f>
        <v>69.2953199219706</v>
      </c>
      <c r="I122" s="74" t="n">
        <f aca="false">IF(COUNT(I117,I119,I121)=3,I117+I119-I121,"N/M")</f>
        <v>52.3949756638515</v>
      </c>
      <c r="J122" s="74" t="n">
        <f aca="false">IF(COUNT(J117,J119,J121)=3,J117+J119-J121,"N/M")</f>
        <v>65.7904979759278</v>
      </c>
      <c r="K122" s="58" t="n">
        <f aca="false">IF(COUNT(D122:J122)=0,"N/M",AVERAGE(D122:J122))</f>
        <v>43.9691567526016</v>
      </c>
      <c r="L122" s="58" t="n">
        <f aca="false">IF(COUNT(D122,J122)=2,J122-D122,"-")</f>
        <v>7.08641372996172</v>
      </c>
    </row>
    <row r="123" customFormat="false" ht="15" hidden="false" customHeight="false" outlineLevel="0" collapsed="false">
      <c r="A123" s="16" t="s">
        <v>705</v>
      </c>
      <c r="B123" s="87" t="s">
        <v>706</v>
      </c>
      <c r="C123" s="17" t="s">
        <v>692</v>
      </c>
      <c r="D123" s="73" t="n">
        <f aca="false">IF(D45&gt;0,D7/D45,"N/M")</f>
        <v>31.2738589211618</v>
      </c>
      <c r="E123" s="73" t="n">
        <f aca="false">IF(E45&gt;0,E7/E45,"N/M")</f>
        <v>19.4744779582367</v>
      </c>
      <c r="F123" s="73" t="n">
        <f aca="false">IF(F45&gt;0,F7/F45,"N/M")</f>
        <v>78.3579617834395</v>
      </c>
      <c r="G123" s="73" t="n">
        <f aca="false">IF(G45&gt;0,G7/G45,"N/M")</f>
        <v>57.7030625832224</v>
      </c>
      <c r="H123" s="73" t="n">
        <f aca="false">IF(H45&gt;0,H7/H45,"N/M")</f>
        <v>26.5480662983425</v>
      </c>
      <c r="I123" s="73" t="n">
        <f aca="false">IF(I45&gt;0,I7/I45,"N/M")</f>
        <v>60.3273340832396</v>
      </c>
      <c r="J123" s="73" t="n">
        <f aca="false">IF(J45&gt;0,J7/J45,"N/M")</f>
        <v>58.3319755600815</v>
      </c>
      <c r="K123" s="60" t="n">
        <f aca="false">IF(COUNT(D123:J123)=0,"N/M",AVERAGE(D123:J123))</f>
        <v>47.4309624553891</v>
      </c>
      <c r="L123" s="60" t="n">
        <f aca="false">IF(COUNT(D123,J123)=2,J123-D123,"-")</f>
        <v>27.0581166389196</v>
      </c>
    </row>
    <row r="124" customFormat="false" ht="15" hidden="false" customHeight="false" outlineLevel="0" collapsed="false">
      <c r="A124" s="16" t="s">
        <v>707</v>
      </c>
      <c r="B124" s="87" t="s">
        <v>708</v>
      </c>
      <c r="C124" s="17" t="s">
        <v>692</v>
      </c>
      <c r="D124" s="73" t="n">
        <f aca="false">IF(D49&gt;0,D7/D49,"N/M")</f>
        <v>2.86823327942156</v>
      </c>
      <c r="E124" s="73" t="n">
        <f aca="false">IF(E49&gt;0,E7/E49,"N/M")</f>
        <v>2.00202742993441</v>
      </c>
      <c r="F124" s="73" t="n">
        <f aca="false">IF(F49&gt;0,F7/F49,"N/M")</f>
        <v>5.07307216494845</v>
      </c>
      <c r="G124" s="73" t="n">
        <f aca="false">IF(G49&gt;0,G7/G49,"N/M")</f>
        <v>3.62605639695423</v>
      </c>
      <c r="H124" s="73" t="n">
        <f aca="false">IF(H49&gt;0,H7/H49,"N/M")</f>
        <v>1.67335283465664</v>
      </c>
      <c r="I124" s="73" t="n">
        <f aca="false">IF(I49&gt;0,I7/I49,"N/M")</f>
        <v>2.74061014870458</v>
      </c>
      <c r="J124" s="73" t="n">
        <f aca="false">IF(J49&gt;0,J7/J49,"N/M")</f>
        <v>2.18117432031072</v>
      </c>
      <c r="K124" s="60" t="n">
        <f aca="false">IF(COUNT(D124:J124)=0,"N/M",AVERAGE(D124:J124))</f>
        <v>2.88064665356151</v>
      </c>
      <c r="L124" s="60" t="n">
        <f aca="false">IF(COUNT(D124,J124)=2,J124-D124,"-")</f>
        <v>-0.687058959110843</v>
      </c>
    </row>
    <row r="125" customFormat="false" ht="15" hidden="false" customHeight="false" outlineLevel="0" collapsed="false">
      <c r="A125" s="16" t="s">
        <v>709</v>
      </c>
      <c r="B125" s="87" t="s">
        <v>710</v>
      </c>
      <c r="C125" s="17" t="s">
        <v>692</v>
      </c>
      <c r="D125" s="73" t="n">
        <f aca="false">IF(D90&gt;0,D7/D90,"N/M")</f>
        <v>3.37339151840662</v>
      </c>
      <c r="E125" s="73" t="n">
        <f aca="false">IF(E90&gt;0,E7/E90,"N/M")</f>
        <v>2.94819107832806</v>
      </c>
      <c r="F125" s="73" t="n">
        <f aca="false">IF(F90&gt;0,F7/F90,"N/M")</f>
        <v>8.26427515786645</v>
      </c>
      <c r="G125" s="73" t="n">
        <f aca="false">IF(G90&gt;0,G7/G90,"N/M")</f>
        <v>4.43869712178634</v>
      </c>
      <c r="H125" s="73" t="n">
        <f aca="false">IF(H90&gt;0,H7/H90,"N/M")</f>
        <v>1.95540001627737</v>
      </c>
      <c r="I125" s="73" t="n">
        <f aca="false">IF(I90&gt;0,I7/I90,"N/M")</f>
        <v>3.10580264072272</v>
      </c>
      <c r="J125" s="73" t="n">
        <f aca="false">IF(J90&gt;0,J7/J90,"N/M")</f>
        <v>2.71891019555724</v>
      </c>
      <c r="K125" s="60" t="n">
        <f aca="false">IF(COUNT(D125:J125)=0,"N/M",AVERAGE(D125:J125))</f>
        <v>3.82923824699212</v>
      </c>
      <c r="L125" s="60" t="n">
        <f aca="false">IF(COUNT(D125,J125)=2,J125-D125,"-")</f>
        <v>-0.654481322849381</v>
      </c>
    </row>
    <row r="126" customFormat="false" ht="15" hidden="false" customHeight="false" outlineLevel="0" collapsed="false">
      <c r="A126" s="16" t="s">
        <v>711</v>
      </c>
      <c r="B126" s="87" t="s">
        <v>712</v>
      </c>
      <c r="C126" s="17" t="s">
        <v>692</v>
      </c>
      <c r="D126" s="73" t="n">
        <f aca="false">IF(D87&gt;0,D7/D87,"N/M")</f>
        <v>3.16747215801639</v>
      </c>
      <c r="E126" s="73" t="n">
        <f aca="false">IF(E87&gt;0,E7/E87,"N/M")</f>
        <v>2.23617956573864</v>
      </c>
      <c r="F126" s="73" t="n">
        <f aca="false">IF(F87&gt;0,F7/F87,"N/M")</f>
        <v>5.6859863190978</v>
      </c>
      <c r="G126" s="73" t="n">
        <f aca="false">IF(G87&gt;0,G7/G87,"N/M")</f>
        <v>4.06825009387908</v>
      </c>
      <c r="H126" s="73" t="n">
        <f aca="false">IF(H87&gt;0,H7/H87,"N/M")</f>
        <v>1.94842267456005</v>
      </c>
      <c r="I126" s="73" t="n">
        <f aca="false">IF(I87&gt;0,I7/I87,"N/M")</f>
        <v>3.06848609680741</v>
      </c>
      <c r="J126" s="73" t="n">
        <f aca="false">IF(J87&gt;0,J7/J87,"N/M")</f>
        <v>2.38864100746424</v>
      </c>
      <c r="K126" s="60" t="n">
        <f aca="false">IF(COUNT(D126:J126)=0,"N/M",AVERAGE(D126:J126))</f>
        <v>3.22334827365195</v>
      </c>
      <c r="L126" s="60" t="n">
        <f aca="false">IF(COUNT(D126,J126)=2,J126-D126,"-")</f>
        <v>-0.778831150552147</v>
      </c>
    </row>
    <row r="127" customFormat="false" ht="15" hidden="false" customHeight="false" outlineLevel="0" collapsed="false">
      <c r="A127" s="16" t="s">
        <v>713</v>
      </c>
      <c r="B127" s="87" t="s">
        <v>714</v>
      </c>
      <c r="C127" s="17" t="s">
        <v>692</v>
      </c>
      <c r="D127" s="73" t="n">
        <f aca="false">IF(D94&gt;0,D7/D94,"N/M")</f>
        <v>3.79506545820745</v>
      </c>
      <c r="E127" s="73" t="n">
        <f aca="false">IF(E94&gt;0,E7/E94,"N/M")</f>
        <v>3.48567275747508</v>
      </c>
      <c r="F127" s="73" t="n">
        <f aca="false">IF(F94&gt;0,F7/F94,"N/M")</f>
        <v>10.0246088657106</v>
      </c>
      <c r="G127" s="73" t="n">
        <f aca="false">IF(G94&gt;0,G7/G94,"N/M")</f>
        <v>5.11991965973535</v>
      </c>
      <c r="H127" s="73" t="n">
        <f aca="false">IF(H94&gt;0,H7/H94,"N/M")</f>
        <v>2.34171539961014</v>
      </c>
      <c r="I127" s="73" t="n">
        <f aca="false">IF(I94&gt;0,I7/I94,"N/M")</f>
        <v>3.53370231271002</v>
      </c>
      <c r="J127" s="73" t="n">
        <f aca="false">IF(J94&gt;0,J7/J94,"N/M")</f>
        <v>3.04902326076542</v>
      </c>
      <c r="K127" s="60" t="n">
        <f aca="false">IF(COUNT(D127:J127)=0,"N/M",AVERAGE(D127:J127))</f>
        <v>4.47852967345915</v>
      </c>
      <c r="L127" s="60" t="n">
        <f aca="false">IF(COUNT(D127,J127)=2,J127-D127,"-")</f>
        <v>-0.746042197442029</v>
      </c>
    </row>
    <row r="128" customFormat="false" ht="16.5" hidden="false" customHeight="true" outlineLevel="0" collapsed="false">
      <c r="A128" s="88" t="s">
        <v>715</v>
      </c>
      <c r="B128" s="89"/>
      <c r="C128" s="89"/>
      <c r="D128" s="89"/>
      <c r="E128" s="89"/>
      <c r="F128" s="89"/>
      <c r="G128" s="89"/>
      <c r="H128" s="89"/>
      <c r="I128" s="89"/>
      <c r="J128" s="89"/>
      <c r="K128" s="89"/>
      <c r="L128" s="89"/>
    </row>
    <row r="129" customFormat="false" ht="15" hidden="false" customHeight="false" outlineLevel="0" collapsed="false">
      <c r="A129" s="16" t="s">
        <v>716</v>
      </c>
      <c r="B129" s="87" t="s">
        <v>717</v>
      </c>
      <c r="C129" s="17" t="s">
        <v>615</v>
      </c>
      <c r="D129" s="71" t="n">
        <f aca="false">IF(D7&gt;0,D14/D7,"N/M")</f>
        <v>0.0758590951306888</v>
      </c>
      <c r="E129" s="71" t="n">
        <f aca="false">IF(E7&gt;0,E14/E7,"N/M")</f>
        <v>0.0762494787633288</v>
      </c>
      <c r="F129" s="71" t="n">
        <f aca="false">IF(F7&gt;0,F14/F7,"N/M")</f>
        <v>0.0892523288517501</v>
      </c>
      <c r="G129" s="71" t="n">
        <f aca="false">IF(G7&gt;0,G14/G7,"N/M")</f>
        <v>0.109126572054921</v>
      </c>
      <c r="H129" s="71" t="n">
        <f aca="false">IF(H7&gt;0,H14/H7,"N/M")</f>
        <v>0.143386331474236</v>
      </c>
      <c r="I129" s="71" t="n">
        <f aca="false">IF(I7&gt;0,I14/I7,"N/M")</f>
        <v>0.104454513247935</v>
      </c>
      <c r="J129" s="71" t="n">
        <f aca="false">IF(J7&gt;0,J14/J7,"N/M")</f>
        <v>0.10107887294438</v>
      </c>
      <c r="K129" s="62" t="n">
        <f aca="false">IF(COUNT(D129:J129)=0,"N/M",AVERAGE(D129:J129))</f>
        <v>0.0999153132096057</v>
      </c>
      <c r="L129" s="62" t="n">
        <f aca="false">IF(COUNT(D129,J129)=2,J129-D129,"-")</f>
        <v>0.0252197778136916</v>
      </c>
    </row>
    <row r="130" customFormat="false" ht="15" hidden="false" customHeight="false" outlineLevel="0" collapsed="false">
      <c r="A130" s="16" t="s">
        <v>718</v>
      </c>
      <c r="B130" s="87" t="s">
        <v>719</v>
      </c>
      <c r="C130" s="17" t="s">
        <v>615</v>
      </c>
      <c r="D130" s="71" t="n">
        <f aca="false">IF(D7&gt;0,D21/D7,"N/M")</f>
        <v>-0.027829375082924</v>
      </c>
      <c r="E130" s="71" t="n">
        <f aca="false">IF(E7&gt;0,E21/E7,"N/M")</f>
        <v>-0.0565318401143741</v>
      </c>
      <c r="F130" s="71" t="n">
        <f aca="false">IF(F7&gt;0,F21/F7,"N/M")</f>
        <v>0.0611272780478289</v>
      </c>
      <c r="G130" s="71" t="n">
        <f aca="false">IF(G7&gt;0,G21/G7,"N/M")</f>
        <v>0.0610130379600785</v>
      </c>
      <c r="H130" s="71" t="n">
        <f aca="false">IF(H7&gt;0,H21/H7,"N/M")</f>
        <v>0.0638891201198701</v>
      </c>
      <c r="I130" s="71" t="n">
        <f aca="false">IF(I7&gt;0,I21/I7,"N/M")</f>
        <v>0.0585855195689059</v>
      </c>
      <c r="J130" s="71" t="n">
        <f aca="false">IF(J7&gt;0,J21/J7,"N/M")</f>
        <v>0.0471526832163681</v>
      </c>
      <c r="K130" s="62" t="n">
        <f aca="false">IF(COUNT(D130:J130)=0,"N/M",AVERAGE(D130:J130))</f>
        <v>0.0296294891022505</v>
      </c>
      <c r="L130" s="62" t="n">
        <f aca="false">IF(COUNT(D130,J130)=2,J130-D130,"-")</f>
        <v>0.0749820582992921</v>
      </c>
    </row>
    <row r="131" customFormat="false" ht="15" hidden="false" customHeight="false" outlineLevel="0" collapsed="false">
      <c r="A131" s="16" t="s">
        <v>720</v>
      </c>
      <c r="B131" s="87" t="s">
        <v>721</v>
      </c>
      <c r="C131" s="17" t="s">
        <v>615</v>
      </c>
      <c r="D131" s="71" t="n">
        <f aca="false">IF(D7&gt;0,D23/D7,"N/M")</f>
        <v>-0.0310800053071512</v>
      </c>
      <c r="E131" s="71" t="n">
        <f aca="false">IF(E7&gt;0,E23/E7,"N/M")</f>
        <v>-0.0618335616846368</v>
      </c>
      <c r="F131" s="71" t="n">
        <f aca="false">IF(F7&gt;0,F23/F7,"N/M")</f>
        <v>0.0598266976638325</v>
      </c>
      <c r="G131" s="71" t="n">
        <f aca="false">IF(G7&gt;0,G23/G7,"N/M")</f>
        <v>0.0592131071881851</v>
      </c>
      <c r="H131" s="71" t="n">
        <f aca="false">IF(H7&gt;0,H23/H7,"N/M")</f>
        <v>0.060642637143095</v>
      </c>
      <c r="I131" s="71" t="n">
        <f aca="false">IF(I7&gt;0,I23/I7,"N/M")</f>
        <v>0.0570006153157687</v>
      </c>
      <c r="J131" s="71" t="n">
        <f aca="false">IF(J7&gt;0,J23/J7,"N/M")</f>
        <v>0.0454767640794665</v>
      </c>
      <c r="K131" s="62" t="n">
        <f aca="false">IF(COUNT(D131:J131)=0,"N/M",AVERAGE(D131:J131))</f>
        <v>0.0270351791997943</v>
      </c>
      <c r="L131" s="62" t="n">
        <f aca="false">IF(COUNT(D131,J131)=2,J131-D131,"-")</f>
        <v>0.0765567693866176</v>
      </c>
    </row>
    <row r="132" customFormat="false" ht="15" hidden="false" customHeight="false" outlineLevel="0" collapsed="false">
      <c r="A132" s="16" t="s">
        <v>722</v>
      </c>
      <c r="B132" s="87" t="s">
        <v>723</v>
      </c>
      <c r="C132" s="17" t="s">
        <v>615</v>
      </c>
      <c r="D132" s="71" t="n">
        <f aca="false">IF(D7&gt;0,D26/D7,"N/M")</f>
        <v>-0.0401685020565209</v>
      </c>
      <c r="E132" s="71" t="n">
        <f aca="false">IF(E7&gt;0,E26/E7,"N/M")</f>
        <v>-0.0721987252040268</v>
      </c>
      <c r="F132" s="71" t="n">
        <f aca="false">IF(F7&gt;0,F26/F7,"N/M")</f>
        <v>0.0607696184422299</v>
      </c>
      <c r="G132" s="71" t="n">
        <f aca="false">IF(G7&gt;0,G26/G7,"N/M")</f>
        <v>0.0723202953732549</v>
      </c>
      <c r="H132" s="71" t="n">
        <f aca="false">IF(H7&gt;0,H26/H7,"N/M")</f>
        <v>0.0736285690501956</v>
      </c>
      <c r="I132" s="71" t="n">
        <f aca="false">IF(I7&gt;0,I26/I7,"N/M")</f>
        <v>0.0672931699949654</v>
      </c>
      <c r="J132" s="71" t="n">
        <f aca="false">IF(J7&gt;0,J26/J7,"N/M")</f>
        <v>0.0508711288013687</v>
      </c>
      <c r="K132" s="62" t="n">
        <f aca="false">IF(COUNT(D132:J132)=0,"N/M",AVERAGE(D132:J132))</f>
        <v>0.0303593649144952</v>
      </c>
      <c r="L132" s="62" t="n">
        <f aca="false">IF(COUNT(D132,J132)=2,J132-D132,"-")</f>
        <v>0.0910396308578896</v>
      </c>
    </row>
    <row r="133" customFormat="false" ht="15" hidden="false" customHeight="false" outlineLevel="0" collapsed="false">
      <c r="A133" s="16" t="s">
        <v>724</v>
      </c>
      <c r="B133" s="87" t="s">
        <v>725</v>
      </c>
      <c r="C133" s="17" t="s">
        <v>615</v>
      </c>
      <c r="D133" s="71" t="n">
        <f aca="false">IF(D7&gt;0,D30/D7,"N/M")</f>
        <v>-0.0409314050683296</v>
      </c>
      <c r="E133" s="71" t="n">
        <f aca="false">IF(E7&gt;0,E30/E7,"N/M")</f>
        <v>-0.0739858223625425</v>
      </c>
      <c r="F133" s="71" t="n">
        <f aca="false">IF(F7&gt;0,F30/F7,"N/M")</f>
        <v>0.0546731478922469</v>
      </c>
      <c r="G133" s="71" t="n">
        <f aca="false">IF(G7&gt;0,G30/G7,"N/M")</f>
        <v>0.0535594784815969</v>
      </c>
      <c r="H133" s="71" t="n">
        <f aca="false">IF(H7&gt;0,H30/H7,"N/M")</f>
        <v>0.0539415633064181</v>
      </c>
      <c r="I133" s="71" t="n">
        <f aca="false">IF(I7&gt;0,I30/I7,"N/M")</f>
        <v>0.0503626633849826</v>
      </c>
      <c r="J133" s="71" t="n">
        <f aca="false">IF(J7&gt;0,J30/J7,"N/M")</f>
        <v>0.0375685206522119</v>
      </c>
      <c r="K133" s="62" t="n">
        <f aca="false">IF(COUNT(D133:J133)=0,"N/M",AVERAGE(D133:J133))</f>
        <v>0.0193125923266549</v>
      </c>
      <c r="L133" s="62" t="n">
        <f aca="false">IF(COUNT(D133,J133)=2,J133-D133,"-")</f>
        <v>0.0784999257205414</v>
      </c>
    </row>
    <row r="134" customFormat="false" ht="16.5" hidden="false" customHeight="true" outlineLevel="0" collapsed="false">
      <c r="A134" s="88" t="s">
        <v>726</v>
      </c>
      <c r="B134" s="89"/>
      <c r="C134" s="89"/>
      <c r="D134" s="89"/>
      <c r="E134" s="89"/>
      <c r="F134" s="89"/>
      <c r="G134" s="89"/>
      <c r="H134" s="89"/>
      <c r="I134" s="89"/>
      <c r="J134" s="89"/>
      <c r="K134" s="89"/>
      <c r="L134" s="89"/>
    </row>
    <row r="135" customFormat="false" ht="15" hidden="false" customHeight="false" outlineLevel="0" collapsed="false">
      <c r="A135" s="16" t="s">
        <v>727</v>
      </c>
      <c r="B135" s="87" t="s">
        <v>728</v>
      </c>
      <c r="C135" s="17" t="s">
        <v>615</v>
      </c>
      <c r="D135" s="71" t="n">
        <f aca="false">IF(D7&gt;0,D13/D7,"N/M")</f>
        <v>0.924140904869311</v>
      </c>
      <c r="E135" s="71" t="n">
        <f aca="false">IF(E7&gt;0,E13/E7,"N/M")</f>
        <v>0.923750521236671</v>
      </c>
      <c r="F135" s="71" t="n">
        <f aca="false">IF(F7&gt;0,F13/F7,"N/M")</f>
        <v>0.91074767114825</v>
      </c>
      <c r="G135" s="71" t="n">
        <f aca="false">IF(G7&gt;0,G13/G7,"N/M")</f>
        <v>0.890873427945079</v>
      </c>
      <c r="H135" s="71" t="n">
        <f aca="false">IF(H7&gt;0,H13/H7,"N/M")</f>
        <v>0.856613668525764</v>
      </c>
      <c r="I135" s="71" t="n">
        <f aca="false">IF(I7&gt;0,I13/I7,"N/M")</f>
        <v>0.895545486752065</v>
      </c>
      <c r="J135" s="71" t="n">
        <f aca="false">IF(J7&gt;0,J13/J7,"N/M")</f>
        <v>0.89892112705562</v>
      </c>
      <c r="K135" s="62" t="n">
        <f aca="false">IF(COUNT(D135:J135)=0,"N/M",AVERAGE(D135:J135))</f>
        <v>0.900084686790394</v>
      </c>
      <c r="L135" s="62" t="n">
        <f aca="false">IF(COUNT(D135,J135)=2,J135-D135,"-")</f>
        <v>-0.0252197778136916</v>
      </c>
    </row>
    <row r="136" customFormat="false" ht="15" hidden="false" customHeight="false" outlineLevel="0" collapsed="false">
      <c r="A136" s="16" t="s">
        <v>729</v>
      </c>
      <c r="B136" s="87" t="s">
        <v>730</v>
      </c>
      <c r="C136" s="17" t="s">
        <v>615</v>
      </c>
      <c r="D136" s="71" t="n">
        <f aca="false">IF(D7&gt;0,D19/D7,"N/M")</f>
        <v>0.103688470213613</v>
      </c>
      <c r="E136" s="71" t="n">
        <f aca="false">IF(E7&gt;0,E19/E7,"N/M")</f>
        <v>0.132781318877703</v>
      </c>
      <c r="F136" s="71" t="n">
        <f aca="false">IF(F7&gt;0,F19/F7,"N/M")</f>
        <v>0.0281250508039212</v>
      </c>
      <c r="G136" s="71" t="n">
        <f aca="false">IF(G7&gt;0,G19/G7,"N/M")</f>
        <v>0.0481135340948425</v>
      </c>
      <c r="H136" s="71" t="n">
        <f aca="false">IF(H7&gt;0,H19/H7,"N/M")</f>
        <v>0.0794972113543661</v>
      </c>
      <c r="I136" s="71" t="n">
        <f aca="false">IF(I7&gt;0,I19/I7,"N/M")</f>
        <v>0.0458689936790289</v>
      </c>
      <c r="J136" s="71" t="n">
        <f aca="false">IF(J7&gt;0,J19/J7,"N/M")</f>
        <v>0.0539261897280123</v>
      </c>
      <c r="K136" s="62" t="n">
        <f aca="false">IF(COUNT(D136:J136)=0,"N/M",AVERAGE(D136:J136))</f>
        <v>0.0702858241073553</v>
      </c>
      <c r="L136" s="62" t="n">
        <f aca="false">IF(COUNT(D136,J136)=2,J136-D136,"-")</f>
        <v>-0.0497622804856005</v>
      </c>
    </row>
    <row r="137" customFormat="false" ht="15" hidden="false" customHeight="false" outlineLevel="0" collapsed="false">
      <c r="A137" s="16" t="s">
        <v>731</v>
      </c>
      <c r="B137" s="87" t="s">
        <v>732</v>
      </c>
      <c r="C137" s="17" t="s">
        <v>615</v>
      </c>
      <c r="D137" s="71" t="n">
        <f aca="false">IF(D7&gt;0,D16/D7,"N/M")</f>
        <v>0.0683959134934324</v>
      </c>
      <c r="E137" s="71" t="n">
        <f aca="false">IF(E7&gt;0,E16/E7,"N/M")</f>
        <v>0.0580210877464705</v>
      </c>
      <c r="F137" s="71" t="n">
        <f aca="false">IF(F7&gt;0,F16/F7,"N/M")</f>
        <v>0.0167287151891532</v>
      </c>
      <c r="G137" s="71" t="n">
        <f aca="false">IF(G7&gt;0,G16/G7,"N/M")</f>
        <v>0.0273912541825314</v>
      </c>
      <c r="H137" s="71" t="n">
        <f aca="false">IF(H7&gt;0,H16/H7,"N/M")</f>
        <v>0.0575626404728211</v>
      </c>
      <c r="I137" s="71" t="n">
        <f aca="false">IF(I7&gt;0,I16/I7,"N/M")</f>
        <v>0.0317167309951334</v>
      </c>
      <c r="J137" s="71" t="n">
        <f aca="false">IF(J7&gt;0,J16/J7,"N/M")</f>
        <v>0.0383191927656157</v>
      </c>
      <c r="K137" s="62" t="n">
        <f aca="false">IF(COUNT(D137:J137)=0,"N/M",AVERAGE(D137:J137))</f>
        <v>0.0425907906921654</v>
      </c>
      <c r="L137" s="62" t="n">
        <f aca="false">IF(COUNT(D137,J137)=2,J137-D137,"-")</f>
        <v>-0.0300767207278167</v>
      </c>
    </row>
    <row r="138" customFormat="false" ht="15" hidden="false" customHeight="false" outlineLevel="0" collapsed="false">
      <c r="A138" s="16" t="s">
        <v>733</v>
      </c>
      <c r="B138" s="87" t="s">
        <v>734</v>
      </c>
      <c r="C138" s="17" t="s">
        <v>615</v>
      </c>
      <c r="D138" s="71" t="n">
        <f aca="false">IF(D7&gt;0,D17/D7,"N/M")</f>
        <v>0.0142297996550352</v>
      </c>
      <c r="E138" s="71" t="n">
        <f aca="false">IF(E7&gt;0,E17/E7,"N/M")</f>
        <v>0.0249597903139334</v>
      </c>
      <c r="F138" s="71" t="n">
        <f aca="false">IF(F7&gt;0,F17/F7,"N/M")</f>
        <v>0.00448700232478744</v>
      </c>
      <c r="G138" s="71" t="n">
        <f aca="false">IF(G7&gt;0,G17/G7,"N/M")</f>
        <v>0.0176762432214146</v>
      </c>
      <c r="H138" s="71" t="n">
        <f aca="false">IF(H7&gt;0,H17/H7,"N/M")</f>
        <v>0.0171064679930076</v>
      </c>
      <c r="I138" s="71" t="n">
        <f aca="false">IF(I7&gt;0,I17/I7,"N/M")</f>
        <v>0.0112621431634689</v>
      </c>
      <c r="J138" s="71" t="n">
        <f aca="false">IF(J7&gt;0,J17/J7,"N/M")</f>
        <v>0.0123599036346496</v>
      </c>
      <c r="K138" s="62" t="n">
        <f aca="false">IF(COUNT(D138:J138)=0,"N/M",AVERAGE(D138:J138))</f>
        <v>0.0145830500437567</v>
      </c>
      <c r="L138" s="62" t="n">
        <f aca="false">IF(COUNT(D138,J138)=2,J138-D138,"-")</f>
        <v>-0.00186989602038553</v>
      </c>
    </row>
    <row r="139" customFormat="false" ht="15" hidden="false" customHeight="false" outlineLevel="0" collapsed="false">
      <c r="A139" s="16" t="s">
        <v>735</v>
      </c>
      <c r="B139" s="87" t="s">
        <v>736</v>
      </c>
      <c r="C139" s="17" t="s">
        <v>615</v>
      </c>
      <c r="D139" s="71" t="n">
        <f aca="false">IF(D7&gt;0,D25/D7,"N/M")</f>
        <v>0.0147273450975189</v>
      </c>
      <c r="E139" s="71" t="n">
        <f aca="false">IF(E7&gt;0,E25/E7,"N/M")</f>
        <v>0.0116757014356347</v>
      </c>
      <c r="F139" s="71" t="n">
        <f aca="false">IF(F7&gt;0,F25/F7,"N/M")</f>
        <v>0.00245484547479313</v>
      </c>
      <c r="G139" s="71" t="n">
        <f aca="false">IF(G7&gt;0,G25/G7,"N/M")</f>
        <v>0.00237683166032076</v>
      </c>
      <c r="H139" s="71" t="n">
        <f aca="false">IF(H7&gt;0,H25/H7,"N/M")</f>
        <v>0.00316323982352452</v>
      </c>
      <c r="I139" s="71" t="n">
        <f aca="false">IF(I7&gt;0,I25/I7,"N/M")</f>
        <v>0.00624638735059947</v>
      </c>
      <c r="J139" s="71" t="n">
        <f aca="false">IF(J7&gt;0,J25/J7,"N/M")</f>
        <v>0.00920009776194965</v>
      </c>
      <c r="K139" s="62" t="n">
        <f aca="false">IF(COUNT(D139:J139)=0,"N/M",AVERAGE(D139:J139))</f>
        <v>0.00712063551490588</v>
      </c>
      <c r="L139" s="62" t="n">
        <f aca="false">IF(COUNT(D139,J139)=2,J139-D139,"-")</f>
        <v>-0.00552724733556926</v>
      </c>
    </row>
    <row r="140" customFormat="false" ht="15" hidden="false" customHeight="false" outlineLevel="0" collapsed="false">
      <c r="A140" s="16" t="s">
        <v>737</v>
      </c>
      <c r="B140" s="87" t="s">
        <v>738</v>
      </c>
      <c r="C140" s="17" t="s">
        <v>615</v>
      </c>
      <c r="D140" s="71" t="n">
        <f aca="false">IF(D7&gt;0,D20/D7,"N/M")</f>
        <v>1.02782937508292</v>
      </c>
      <c r="E140" s="71" t="n">
        <f aca="false">IF(E7&gt;0,E20/E7,"N/M")</f>
        <v>1.05653184011437</v>
      </c>
      <c r="F140" s="71" t="n">
        <f aca="false">IF(F7&gt;0,F20/F7,"N/M")</f>
        <v>0.938872721952171</v>
      </c>
      <c r="G140" s="71" t="n">
        <f aca="false">IF(G7&gt;0,G20/G7,"N/M")</f>
        <v>0.938986962039922</v>
      </c>
      <c r="H140" s="71" t="n">
        <f aca="false">IF(H7&gt;0,H20/H7,"N/M")</f>
        <v>0.93611087988013</v>
      </c>
      <c r="I140" s="71" t="n">
        <f aca="false">IF(I7&gt;0,I20/I7,"N/M")</f>
        <v>0.941414480431094</v>
      </c>
      <c r="J140" s="71" t="n">
        <f aca="false">IF(J7&gt;0,J20/J7,"N/M")</f>
        <v>0.952847316783632</v>
      </c>
      <c r="K140" s="62" t="n">
        <f aca="false">IF(COUNT(D140:J140)=0,"N/M",AVERAGE(D140:J140))</f>
        <v>0.97037051089775</v>
      </c>
      <c r="L140" s="62" t="n">
        <f aca="false">IF(COUNT(D140,J140)=2,J140-D140,"-")</f>
        <v>-0.0749820582992921</v>
      </c>
    </row>
    <row r="141" customFormat="false" ht="16.5" hidden="false" customHeight="true" outlineLevel="0" collapsed="false">
      <c r="A141" s="88" t="s">
        <v>739</v>
      </c>
      <c r="B141" s="89"/>
      <c r="C141" s="89"/>
      <c r="D141" s="89"/>
      <c r="E141" s="89"/>
      <c r="F141" s="89"/>
      <c r="G141" s="89"/>
      <c r="H141" s="89"/>
      <c r="I141" s="89"/>
      <c r="J141" s="89"/>
      <c r="K141" s="89"/>
      <c r="L141" s="89"/>
    </row>
    <row r="142" customFormat="false" ht="15" hidden="false" customHeight="false" outlineLevel="0" collapsed="false">
      <c r="A142" s="16" t="s">
        <v>740</v>
      </c>
      <c r="B142" s="87" t="s">
        <v>741</v>
      </c>
      <c r="C142" s="17" t="s">
        <v>615</v>
      </c>
      <c r="D142" s="71" t="n">
        <f aca="false">IF(D49&gt;0,D30/D49,"N/M")</f>
        <v>-0.117400818190467</v>
      </c>
      <c r="E142" s="71" t="n">
        <f aca="false">IF(E49&gt;0,E30/E49,"N/M")</f>
        <v>-0.148121645796064</v>
      </c>
      <c r="F142" s="71" t="n">
        <f aca="false">IF(F49&gt;0,F30/F49,"N/M")</f>
        <v>0.277360824742268</v>
      </c>
      <c r="G142" s="71" t="n">
        <f aca="false">IF(G49&gt;0,G30/G49,"N/M")</f>
        <v>0.194209689565727</v>
      </c>
      <c r="H142" s="71" t="n">
        <f aca="false">IF(H49&gt;0,H30/H49,"N/M")</f>
        <v>0.0902632678646051</v>
      </c>
      <c r="I142" s="71" t="n">
        <f aca="false">IF(I49&gt;0,I30/I49,"N/M")</f>
        <v>0.138024426388676</v>
      </c>
      <c r="J142" s="71" t="n">
        <f aca="false">IF(J49&gt;0,J30/J49,"N/M")</f>
        <v>0.0819434924986673</v>
      </c>
      <c r="K142" s="62" t="n">
        <f aca="false">IF(COUNT(D142:J142)=0,"N/M",AVERAGE(D142:J142))</f>
        <v>0.0737541767247731</v>
      </c>
      <c r="L142" s="62" t="n">
        <f aca="false">IF(COUNT(D142,J142)=2,J142-D142,"-")</f>
        <v>0.199344310689134</v>
      </c>
    </row>
    <row r="143" customFormat="false" ht="15" hidden="false" customHeight="false" outlineLevel="0" collapsed="false">
      <c r="A143" s="16" t="s">
        <v>742</v>
      </c>
      <c r="B143" s="87" t="s">
        <v>743</v>
      </c>
      <c r="C143" s="17" t="s">
        <v>615</v>
      </c>
      <c r="D143" s="71" t="n">
        <f aca="false">IF(D49&gt;0,(D30+D25*(1-D77))/D49,"N/M")</f>
        <v>-0.0751593568642375</v>
      </c>
      <c r="E143" s="71" t="n">
        <f aca="false">IF(E49&gt;0,(E30+E25*(1-E77))/E49,"N/M")</f>
        <v>-0.124746571258199</v>
      </c>
      <c r="F143" s="71" t="n">
        <f aca="false">IF(F49&gt;0,(F30+F25*(1-F77))/F49,"N/M")</f>
        <v>0.288565074216875</v>
      </c>
      <c r="G143" s="71" t="n">
        <f aca="false">IF(G49&gt;0,(G30+G25*(1-G77))/G49,"N/M")</f>
        <v>0.200592458559112</v>
      </c>
      <c r="H143" s="71" t="n">
        <f aca="false">IF(H49&gt;0,(H30+H25*(1-H77))/H49,"N/M")</f>
        <v>0.0941381774979486</v>
      </c>
      <c r="I143" s="71" t="n">
        <f aca="false">IF(I49&gt;0,(I30+I25*(1-I77))/I49,"N/M")</f>
        <v>0.150836336291753</v>
      </c>
      <c r="J143" s="71" t="n">
        <f aca="false">IF(J49&gt;0,(J30+J25*(1-J77))/J49,"N/M")</f>
        <v>0.0967699467072398</v>
      </c>
      <c r="K143" s="62" t="n">
        <f aca="false">IF(COUNT(D143:J143)=0,"N/M",AVERAGE(D143:J143))</f>
        <v>0.090142295021499</v>
      </c>
      <c r="L143" s="62" t="n">
        <f aca="false">IF(COUNT(D143,J143)=2,J143-D143,"-")</f>
        <v>0.171929303571477</v>
      </c>
    </row>
    <row r="144" customFormat="false" ht="15" hidden="false" customHeight="false" outlineLevel="0" collapsed="false">
      <c r="A144" s="16" t="s">
        <v>744</v>
      </c>
      <c r="B144" s="87" t="s">
        <v>745</v>
      </c>
      <c r="C144" s="17" t="s">
        <v>615</v>
      </c>
      <c r="D144" s="71" t="n">
        <f aca="false">IF(D49&gt;0,D23/D49,"N/M")</f>
        <v>-0.0891447055465696</v>
      </c>
      <c r="E144" s="71" t="n">
        <f aca="false">IF(E49&gt;0,E23/E49,"N/M")</f>
        <v>-0.123792486583184</v>
      </c>
      <c r="F144" s="71" t="n">
        <f aca="false">IF(F49&gt;0,F23/F49,"N/M")</f>
        <v>0.303505154639176</v>
      </c>
      <c r="G144" s="71" t="n">
        <f aca="false">IF(G49&gt;0,G23/G49,"N/M")</f>
        <v>0.214710066103255</v>
      </c>
      <c r="H144" s="71" t="n">
        <f aca="false">IF(H49&gt;0,H23/H49,"N/M")</f>
        <v>0.101476528764452</v>
      </c>
      <c r="I144" s="71" t="n">
        <f aca="false">IF(I49&gt;0,I23/I49,"N/M")</f>
        <v>0.156216464816802</v>
      </c>
      <c r="J144" s="71" t="n">
        <f aca="false">IF(J49&gt;0,J23/J49,"N/M")</f>
        <v>0.0991927499809611</v>
      </c>
      <c r="K144" s="62" t="n">
        <f aca="false">IF(COUNT(D144:J144)=0,"N/M",AVERAGE(D144:J144))</f>
        <v>0.094594824596413</v>
      </c>
      <c r="L144" s="62" t="n">
        <f aca="false">IF(COUNT(D144,J144)=2,J144-D144,"-")</f>
        <v>0.188337455527531</v>
      </c>
    </row>
    <row r="145" customFormat="false" ht="15" hidden="false" customHeight="false" outlineLevel="0" collapsed="false">
      <c r="A145" s="16" t="s">
        <v>746</v>
      </c>
      <c r="B145" s="87" t="s">
        <v>747</v>
      </c>
      <c r="C145" s="17" t="s">
        <v>615</v>
      </c>
      <c r="D145" s="71" t="n">
        <f aca="false">IF(D90&gt;0,D23/D90,"N/M")</f>
        <v>-0.104845026295177</v>
      </c>
      <c r="E145" s="71" t="n">
        <f aca="false">IF(E90&gt;0,E23/E90,"N/M")</f>
        <v>-0.182297154899894</v>
      </c>
      <c r="F145" s="71" t="n">
        <f aca="false">IF(F90&gt;0,F23/F90,"N/M")</f>
        <v>0.494424291280398</v>
      </c>
      <c r="G145" s="71" t="n">
        <f aca="false">IF(G90&gt;0,G23/G90,"N/M")</f>
        <v>0.262829048448223</v>
      </c>
      <c r="H145" s="71" t="n">
        <f aca="false">IF(H90&gt;0,H23/H90,"N/M")</f>
        <v>0.11858061365671</v>
      </c>
      <c r="I145" s="71" t="n">
        <f aca="false">IF(I90&gt;0,I23/I90,"N/M")</f>
        <v>0.177032661570535</v>
      </c>
      <c r="J145" s="71" t="n">
        <f aca="false">IF(J90&gt;0,J23/J90,"N/M")</f>
        <v>0.123647237516613</v>
      </c>
      <c r="K145" s="62" t="n">
        <f aca="false">IF(COUNT(D145:J145)=0,"N/M",AVERAGE(D145:J145))</f>
        <v>0.127053095896773</v>
      </c>
      <c r="L145" s="62" t="n">
        <f aca="false">IF(COUNT(D145,J145)=2,J145-D145,"-")</f>
        <v>0.228492263811789</v>
      </c>
    </row>
    <row r="146" customFormat="false" ht="15" hidden="false" customHeight="false" outlineLevel="0" collapsed="false">
      <c r="A146" s="16" t="s">
        <v>748</v>
      </c>
      <c r="B146" s="87" t="s">
        <v>749</v>
      </c>
      <c r="C146" s="17" t="s">
        <v>615</v>
      </c>
      <c r="D146" s="71" t="n">
        <f aca="false">IF(D90&gt;0,D23*(1-D77)/D90,"N/M")</f>
        <v>-0.104845026295177</v>
      </c>
      <c r="E146" s="71" t="n">
        <f aca="false">IF(E90&gt;0,E23*(1-E77)/E90,"N/M")</f>
        <v>-0.182297154899894</v>
      </c>
      <c r="F146" s="71" t="n">
        <f aca="false">IF(F90&gt;0,F23*(1-F77)/F90,"N/M")</f>
        <v>0.444823138463344</v>
      </c>
      <c r="G146" s="71" t="n">
        <f aca="false">IF(G90&gt;0,G23*(1-G77)/G90,"N/M")</f>
        <v>0.194647805184533</v>
      </c>
      <c r="H146" s="71" t="n">
        <f aca="false">IF(H90&gt;0,H23*(1-H77)/H90,"N/M")</f>
        <v>0.0868071761930129</v>
      </c>
      <c r="I146" s="71" t="n">
        <f aca="false">IF(I90&gt;0,I23*(1-I77)/I90,"N/M")</f>
        <v>0.132492440815188</v>
      </c>
      <c r="J146" s="71" t="n">
        <f aca="false">IF(J90&gt;0,J23*(1-J77)/J90,"N/M")</f>
        <v>0.0913563837931597</v>
      </c>
      <c r="K146" s="62" t="n">
        <f aca="false">IF(COUNT(D146:J146)=0,"N/M",AVERAGE(D146:J146))</f>
        <v>0.0947121090363094</v>
      </c>
      <c r="L146" s="62" t="n">
        <f aca="false">IF(COUNT(D146,J146)=2,J146-D146,"-")</f>
        <v>0.196201410088336</v>
      </c>
    </row>
    <row r="147" customFormat="false" ht="15" hidden="false" customHeight="false" outlineLevel="0" collapsed="false">
      <c r="A147" s="16" t="s">
        <v>750</v>
      </c>
      <c r="B147" s="87" t="s">
        <v>751</v>
      </c>
      <c r="C147" s="17" t="s">
        <v>615</v>
      </c>
      <c r="D147" s="71" t="n">
        <f aca="false">IF(D40&gt;0,D30/D40,"N/M")</f>
        <v>-0.23415559772296</v>
      </c>
      <c r="E147" s="71" t="n">
        <f aca="false">IF(E40&gt;0,E30/E40,"N/M")</f>
        <v>-0.295855169128156</v>
      </c>
      <c r="F147" s="71" t="n">
        <f aca="false">IF(F40&gt;0,F30/F40,"N/M")</f>
        <v>0.451833937928255</v>
      </c>
      <c r="G147" s="71" t="n">
        <f aca="false">IF(G40&gt;0,G30/G40,"N/M")</f>
        <v>0.237734302980641</v>
      </c>
      <c r="H147" s="71" t="n">
        <f aca="false">IF(H40&gt;0,H30/H40,"N/M")</f>
        <v>0.116935847694668</v>
      </c>
      <c r="I147" s="71" t="n">
        <f aca="false">IF(I40&gt;0,I30/I40,"N/M")</f>
        <v>0.19530007230658</v>
      </c>
      <c r="J147" s="71" t="n">
        <f aca="false">IF(J40&gt;0,J30/J40,"N/M")</f>
        <v>0.134516814601825</v>
      </c>
      <c r="K147" s="62" t="n">
        <f aca="false">IF(COUNT(D147:J147)=0,"N/M",AVERAGE(D147:J147))</f>
        <v>0.0866157440944075</v>
      </c>
      <c r="L147" s="62" t="n">
        <f aca="false">IF(COUNT(D147,J147)=2,J147-D147,"-")</f>
        <v>0.368672412324785</v>
      </c>
    </row>
    <row r="148" customFormat="false" ht="15" hidden="false" customHeight="false" outlineLevel="0" collapsed="false">
      <c r="A148" s="16" t="s">
        <v>752</v>
      </c>
      <c r="B148" s="87" t="s">
        <v>753</v>
      </c>
      <c r="C148" s="17" t="s">
        <v>615</v>
      </c>
      <c r="D148" s="71" t="n">
        <f aca="false">IF(D39&gt;0,(D30-D32)/D39,"N/M")</f>
        <v>-0.23415559772296</v>
      </c>
      <c r="E148" s="71" t="n">
        <f aca="false">IF(E39&gt;0,(E30-E32)/E39,"N/M")</f>
        <v>-0.295855169128156</v>
      </c>
      <c r="F148" s="71" t="n">
        <f aca="false">IF(F39&gt;0,(F30-F32)/F39,"N/M")</f>
        <v>0.451833937928255</v>
      </c>
      <c r="G148" s="71" t="n">
        <f aca="false">IF(G39&gt;0,(G30-G32)/G39,"N/M")</f>
        <v>0.237734302980641</v>
      </c>
      <c r="H148" s="71" t="n">
        <f aca="false">IF(H39&gt;0,(H30-H32)/H39,"N/M")</f>
        <v>0.116935847694668</v>
      </c>
      <c r="I148" s="71" t="n">
        <f aca="false">IF(I39&gt;0,(I30-I32)/I39,"N/M")</f>
        <v>0.19530007230658</v>
      </c>
      <c r="J148" s="71" t="n">
        <f aca="false">IF(J39&gt;0,(J30-J32)/J39,"N/M")</f>
        <v>0.134516814601825</v>
      </c>
      <c r="K148" s="62" t="n">
        <f aca="false">IF(COUNT(D148:J148)=0,"N/M",AVERAGE(D148:J148))</f>
        <v>0.0866157440944075</v>
      </c>
      <c r="L148" s="62" t="n">
        <f aca="false">IF(COUNT(D148,J148)=2,J148-D148,"-")</f>
        <v>0.368672412324785</v>
      </c>
    </row>
    <row r="149" customFormat="false" ht="16.5" hidden="false" customHeight="true" outlineLevel="0" collapsed="false">
      <c r="A149" s="88" t="s">
        <v>754</v>
      </c>
      <c r="B149" s="89"/>
      <c r="C149" s="89"/>
      <c r="D149" s="89"/>
      <c r="E149" s="89"/>
      <c r="F149" s="89"/>
      <c r="G149" s="89"/>
      <c r="H149" s="89"/>
      <c r="I149" s="89"/>
      <c r="J149" s="89"/>
      <c r="K149" s="89"/>
      <c r="L149" s="89"/>
    </row>
    <row r="150" customFormat="false" ht="15" hidden="false" customHeight="false" outlineLevel="0" collapsed="false">
      <c r="A150" s="16" t="s">
        <v>755</v>
      </c>
      <c r="B150" s="87" t="s">
        <v>756</v>
      </c>
      <c r="C150" s="17" t="s">
        <v>757</v>
      </c>
      <c r="D150" s="93" t="n">
        <f aca="false">IF(D81&gt;0,(D30-D32)/D81,"N/M")</f>
        <v>-1.1674550614948</v>
      </c>
      <c r="E150" s="93" t="n">
        <f aca="false">IF(E81&gt;0,(E30-E32)/E81,"N/M")</f>
        <v>-1.17502365184484</v>
      </c>
      <c r="F150" s="93" t="n">
        <f aca="false">IF(F81&gt;0,(F30-F32)/F81,"N/M")</f>
        <v>3.18164616840114</v>
      </c>
      <c r="G150" s="93" t="n">
        <f aca="false">IF(G81&gt;0,(G30-G32)/G81,"N/M")</f>
        <v>2.19583727530747</v>
      </c>
      <c r="H150" s="93" t="n">
        <f aca="false">IF(H81&gt;0,(H30-H32)/H81,"N/M")</f>
        <v>1.22611163670766</v>
      </c>
      <c r="I150" s="93" t="n">
        <f aca="false">IF(I81&gt;0,(I30-I32)/I81,"N/M")</f>
        <v>2.55534531693472</v>
      </c>
      <c r="J150" s="93" t="n">
        <f aca="false">IF(J81&gt;0,(J30-J32)/J81,"N/M")</f>
        <v>2.03595080416272</v>
      </c>
      <c r="K150" s="66" t="n">
        <f aca="false">IF(COUNT(D150:J150)=0,"N/M",AVERAGE(D150:J150))</f>
        <v>1.26463035545344</v>
      </c>
      <c r="L150" s="66" t="n">
        <f aca="false">IF(COUNT(D150,J150)=2,J150-D150,"-")</f>
        <v>3.20340586565752</v>
      </c>
    </row>
    <row r="151" customFormat="false" ht="15" hidden="false" customHeight="false" outlineLevel="0" collapsed="false">
      <c r="A151" s="16" t="s">
        <v>759</v>
      </c>
      <c r="B151" s="87" t="s">
        <v>760</v>
      </c>
      <c r="C151" s="17" t="s">
        <v>757</v>
      </c>
      <c r="D151" s="93" t="n">
        <f aca="false">IF(D81&gt;0,(D30+D22)/D81,"N/M")</f>
        <v>-1.07473982970672</v>
      </c>
      <c r="E151" s="93" t="n">
        <f aca="false">IF(E81&gt;0,(E30+E22)/E81,"N/M")</f>
        <v>-1.09082308420057</v>
      </c>
      <c r="F151" s="93" t="n">
        <f aca="false">IF(F81&gt;0,(F30+F22)/F81,"N/M")</f>
        <v>3.25733207190161</v>
      </c>
      <c r="G151" s="93" t="n">
        <f aca="false">IF(G81&gt;0,(G30+G22)/G81,"N/M")</f>
        <v>2.26963103122044</v>
      </c>
      <c r="H151" s="93" t="n">
        <f aca="false">IF(H81&gt;0,(H30+H22)/H81,"N/M")</f>
        <v>1.29990539262062</v>
      </c>
      <c r="I151" s="93" t="n">
        <f aca="false">IF(I81&gt;0,(I30+I22)/I81,"N/M")</f>
        <v>2.63576158940397</v>
      </c>
      <c r="J151" s="93" t="n">
        <f aca="false">IF(J81&gt;0,(J30+J22)/J81,"N/M")</f>
        <v>2.12677388836329</v>
      </c>
      <c r="K151" s="66" t="n">
        <f aca="false">IF(COUNT(D151:J151)=0,"N/M",AVERAGE(D151:J151))</f>
        <v>1.34626300851466</v>
      </c>
      <c r="L151" s="66" t="n">
        <f aca="false">IF(COUNT(D151,J151)=2,J151-D151,"-")</f>
        <v>3.20151371807001</v>
      </c>
    </row>
    <row r="152" customFormat="false" ht="15" hidden="false" customHeight="false" outlineLevel="0" collapsed="false">
      <c r="A152" s="16" t="s">
        <v>761</v>
      </c>
      <c r="B152" s="87" t="s">
        <v>762</v>
      </c>
      <c r="C152" s="17" t="s">
        <v>757</v>
      </c>
      <c r="D152" s="93" t="n">
        <f aca="false">IF(D81&gt;0,D39/D81,"N/M")</f>
        <v>4.98580889309366</v>
      </c>
      <c r="E152" s="93" t="n">
        <f aca="false">IF(E81&gt;0,E39/E81,"N/M")</f>
        <v>3.97161778618732</v>
      </c>
      <c r="F152" s="93" t="n">
        <f aca="false">IF(F81&gt;0,F39/F81,"N/M")</f>
        <v>7.04162724692526</v>
      </c>
      <c r="G152" s="93" t="n">
        <f aca="false">IF(G81&gt;0,G39/G81,"N/M")</f>
        <v>9.23651844843898</v>
      </c>
      <c r="H152" s="93" t="n">
        <f aca="false">IF(H81&gt;0,H39/H81,"N/M")</f>
        <v>10.4853358561968</v>
      </c>
      <c r="I152" s="93" t="n">
        <f aca="false">IF(I81&gt;0,I39/I81,"N/M")</f>
        <v>13.0842005676443</v>
      </c>
      <c r="J152" s="93" t="n">
        <f aca="false">IF(J81&gt;0,J39/J81,"N/M")</f>
        <v>15.1352885525071</v>
      </c>
      <c r="K152" s="66" t="n">
        <f aca="false">IF(COUNT(D152:J152)=0,"N/M",AVERAGE(D152:J152))</f>
        <v>9.13434247871334</v>
      </c>
      <c r="L152" s="66" t="n">
        <f aca="false">IF(COUNT(D152,J152)=2,J152-D152,"-")</f>
        <v>10.1494796594134</v>
      </c>
    </row>
    <row r="153" customFormat="false" ht="15" hidden="false" customHeight="false" outlineLevel="0" collapsed="false">
      <c r="A153" s="16" t="s">
        <v>763</v>
      </c>
      <c r="B153" s="87" t="s">
        <v>764</v>
      </c>
      <c r="C153" s="17" t="s">
        <v>757</v>
      </c>
      <c r="D153" s="93" t="n">
        <f aca="false">IF(D81&gt;0,D31/D81,"N/M")</f>
        <v>0</v>
      </c>
      <c r="E153" s="93" t="n">
        <f aca="false">IF(E81&gt;0,E31/E81,"N/M")</f>
        <v>0</v>
      </c>
      <c r="F153" s="93" t="n">
        <f aca="false">IF(F81&gt;0,F31/F81,"N/M")</f>
        <v>0.100283822138127</v>
      </c>
      <c r="G153" s="93" t="n">
        <f aca="false">IF(G81&gt;0,G31/G81,"N/M")</f>
        <v>0</v>
      </c>
      <c r="H153" s="93" t="n">
        <f aca="false">IF(H81&gt;0,H31/H81,"N/M")</f>
        <v>0</v>
      </c>
      <c r="I153" s="93" t="n">
        <f aca="false">IF(I81&gt;0,I31/I81,"N/M")</f>
        <v>0</v>
      </c>
      <c r="J153" s="93" t="n">
        <f aca="false">IF(J81&gt;0,J31/J81,"N/M")</f>
        <v>0</v>
      </c>
      <c r="K153" s="66" t="n">
        <f aca="false">IF(COUNT(D153:J153)=0,"N/M",AVERAGE(D153:J153))</f>
        <v>0.0143262603054467</v>
      </c>
      <c r="L153" s="66" t="n">
        <f aca="false">IF(COUNT(D153,J153)=2,J153-D153,"-")</f>
        <v>0</v>
      </c>
    </row>
    <row r="154" customFormat="false" ht="15" hidden="false" customHeight="false" outlineLevel="0" collapsed="false">
      <c r="A154" s="16" t="s">
        <v>765</v>
      </c>
      <c r="B154" s="87" t="s">
        <v>812</v>
      </c>
      <c r="C154" s="17" t="s">
        <v>615</v>
      </c>
      <c r="D154" s="71" t="n">
        <f aca="false">IF(D31=0,0,IF(D150&gt;0,D153/D150,"N/M"))</f>
        <v>0</v>
      </c>
      <c r="E154" s="71" t="n">
        <f aca="false">IF(E31=0,0,IF(E150&gt;0,E153/E150,"N/M"))</f>
        <v>0</v>
      </c>
      <c r="F154" s="71" t="n">
        <f aca="false">IF(F31=0,0,IF(F150&gt;0,F153/F150,"N/M"))</f>
        <v>0.0315194766577461</v>
      </c>
      <c r="G154" s="71" t="n">
        <f aca="false">IF(G31=0,0,IF(G150&gt;0,G153/G150,"N/M"))</f>
        <v>0</v>
      </c>
      <c r="H154" s="71" t="n">
        <f aca="false">IF(H31=0,0,IF(H150&gt;0,H153/H150,"N/M"))</f>
        <v>0</v>
      </c>
      <c r="I154" s="71" t="n">
        <f aca="false">IF(I31=0,0,IF(I150&gt;0,I153/I150,"N/M"))</f>
        <v>0</v>
      </c>
      <c r="J154" s="71" t="n">
        <f aca="false">IF(J31=0,0,IF(J150&gt;0,J153/J150,"N/M"))</f>
        <v>0</v>
      </c>
      <c r="K154" s="62" t="n">
        <f aca="false">IF(COUNT(D154:J154)=0,"N/M",AVERAGE(D154:J154))</f>
        <v>0.00450278237967801</v>
      </c>
      <c r="L154" s="62" t="n">
        <f aca="false">IF(COUNT(D154,J154)=2,J154-D154,"-")</f>
        <v>0</v>
      </c>
    </row>
    <row r="155" customFormat="false" ht="15" hidden="false" customHeight="false" outlineLevel="0" collapsed="false">
      <c r="A155" s="16" t="s">
        <v>767</v>
      </c>
      <c r="B155" s="87" t="s">
        <v>768</v>
      </c>
      <c r="C155" s="17" t="s">
        <v>615</v>
      </c>
      <c r="D155" s="71" t="n">
        <f aca="false">IF(ISNUMBER(D154),1-D154,"N/M")</f>
        <v>1</v>
      </c>
      <c r="E155" s="71" t="n">
        <f aca="false">IF(ISNUMBER(E154),1-E154,"N/M")</f>
        <v>1</v>
      </c>
      <c r="F155" s="71" t="n">
        <f aca="false">IF(ISNUMBER(F154),1-F154,"N/M")</f>
        <v>0.968480523342254</v>
      </c>
      <c r="G155" s="71" t="n">
        <f aca="false">IF(ISNUMBER(G154),1-G154,"N/M")</f>
        <v>1</v>
      </c>
      <c r="H155" s="71" t="n">
        <f aca="false">IF(ISNUMBER(H154),1-H154,"N/M")</f>
        <v>1</v>
      </c>
      <c r="I155" s="71" t="n">
        <f aca="false">IF(ISNUMBER(I154),1-I154,"N/M")</f>
        <v>1</v>
      </c>
      <c r="J155" s="71" t="n">
        <f aca="false">IF(ISNUMBER(J154),1-J154,"N/M")</f>
        <v>1</v>
      </c>
      <c r="K155" s="62" t="n">
        <f aca="false">IF(COUNT(D155:J155)=0,"N/M",AVERAGE(D155:J155))</f>
        <v>0.995497217620322</v>
      </c>
      <c r="L155" s="62" t="n">
        <f aca="false">IF(COUNT(D155,J155)=2,J155-D155,"-")</f>
        <v>0</v>
      </c>
    </row>
    <row r="156" customFormat="false" ht="15" hidden="false" customHeight="false" outlineLevel="0" collapsed="false">
      <c r="A156" s="16" t="s">
        <v>769</v>
      </c>
      <c r="B156" s="87" t="s">
        <v>813</v>
      </c>
      <c r="C156" s="17" t="s">
        <v>615</v>
      </c>
      <c r="D156" s="71" t="n">
        <f aca="false">IF(D84=0,"N/C",IF(D80&gt;0,D150/D80,"N/M"))</f>
        <v>-0.390453197824347</v>
      </c>
      <c r="E156" s="71" t="n">
        <f aca="false">IF(E84=0,"N/C",IF(E80&gt;0,E150/E80,"N/M"))</f>
        <v>-0.277128219774727</v>
      </c>
      <c r="F156" s="71" t="n">
        <f aca="false">IF(F84=0,"N/C",IF(F80&gt;0,F150/F80,"N/M"))</f>
        <v>0.150646125397781</v>
      </c>
      <c r="G156" s="71" t="n">
        <f aca="false">IF(G84=0,"N/C",IF(G80&gt;0,G150/G80,"N/M"))</f>
        <v>0.0604414333968476</v>
      </c>
      <c r="H156" s="71" t="n">
        <f aca="false">IF(H84=0,"N/C",IF(H80&gt;0,H150/H80,"N/M"))</f>
        <v>0.0266546007979927</v>
      </c>
      <c r="I156" s="71" t="n">
        <f aca="false">IF(I84=0,"N/C",IF(I80&gt;0,I150/I80,"N/M"))</f>
        <v>0.0537967435144152</v>
      </c>
      <c r="J156" s="71" t="n">
        <f aca="false">IF(J84=0,"N/C",IF(J80&gt;0,J150/J80,"N/M"))</f>
        <v>0.0851862261155952</v>
      </c>
      <c r="K156" s="62" t="n">
        <f aca="false">IF(COUNT(D156:J156)=0,"N/M",AVERAGE(D156:J156))</f>
        <v>-0.0415508983394918</v>
      </c>
      <c r="L156" s="62" t="n">
        <f aca="false">IF(COUNT(D156,J156)=2,J156-D156,"-")</f>
        <v>0.475639423939942</v>
      </c>
    </row>
    <row r="157" customFormat="false" ht="15" hidden="false" customHeight="false" outlineLevel="0" collapsed="false">
      <c r="A157" s="16" t="s">
        <v>771</v>
      </c>
      <c r="B157" s="87" t="s">
        <v>814</v>
      </c>
      <c r="C157" s="17" t="s">
        <v>615</v>
      </c>
      <c r="D157" s="71" t="n">
        <f aca="false">IF(D84=0,"N/C",IF(D80&gt;0,D153/D80,"N/M"))</f>
        <v>0</v>
      </c>
      <c r="E157" s="71" t="n">
        <f aca="false">IF(E84=0,"N/C",IF(E80&gt;0,E153/E80,"N/M"))</f>
        <v>0</v>
      </c>
      <c r="F157" s="71" t="n">
        <f aca="false">IF(F84=0,"N/C",IF(F80&gt;0,F153/F80,"N/M"))</f>
        <v>0.00474828703305525</v>
      </c>
      <c r="G157" s="71" t="n">
        <f aca="false">IF(G84=0,"N/C",IF(G80&gt;0,G153/G80,"N/M"))</f>
        <v>0</v>
      </c>
      <c r="H157" s="71" t="n">
        <f aca="false">IF(H84=0,"N/C",IF(H80&gt;0,H153/H80,"N/M"))</f>
        <v>0</v>
      </c>
      <c r="I157" s="71" t="n">
        <f aca="false">IF(I84=0,"N/C",IF(I80&gt;0,I153/I80,"N/M"))</f>
        <v>0</v>
      </c>
      <c r="J157" s="71" t="n">
        <f aca="false">IF(J84=0,"N/C",IF(J80&gt;0,J153/J80,"N/M"))</f>
        <v>0</v>
      </c>
      <c r="K157" s="62" t="n">
        <f aca="false">IF(COUNT(D157:J157)=0,"N/M",AVERAGE(D157:J157))</f>
        <v>0.000678326719007892</v>
      </c>
      <c r="L157" s="62" t="n">
        <f aca="false">IF(COUNT(D157,J157)=2,J157-D157,"-")</f>
        <v>0</v>
      </c>
    </row>
    <row r="158" customFormat="false" ht="15" hidden="false" customHeight="false" outlineLevel="0" collapsed="false">
      <c r="A158" s="16" t="s">
        <v>773</v>
      </c>
      <c r="B158" s="87" t="s">
        <v>815</v>
      </c>
      <c r="C158" s="17" t="s">
        <v>115</v>
      </c>
      <c r="D158" s="73" t="str">
        <f aca="false">IF(D84=0,"N/C",IF(D150&gt;0,D80/D150,"N/M"))</f>
        <v>N/M</v>
      </c>
      <c r="E158" s="73" t="str">
        <f aca="false">IF(E84=0,"N/C",IF(E150&gt;0,E80/E150,"N/M"))</f>
        <v>N/M</v>
      </c>
      <c r="F158" s="73" t="n">
        <f aca="false">IF(F84=0,"N/C",IF(F150&gt;0,F80/F150,"N/M"))</f>
        <v>6.63807314897413</v>
      </c>
      <c r="G158" s="73" t="n">
        <f aca="false">IF(G84=0,"N/C",IF(G150&gt;0,G80/G150,"N/M"))</f>
        <v>16.5449418354158</v>
      </c>
      <c r="H158" s="73" t="n">
        <f aca="false">IF(H84=0,"N/C",IF(H150&gt;0,H80/H150,"N/M"))</f>
        <v>37.516975308642</v>
      </c>
      <c r="I158" s="73" t="n">
        <f aca="false">IF(I84=0,"N/C",IF(I150&gt;0,I80/I150,"N/M"))</f>
        <v>18.58848574602</v>
      </c>
      <c r="J158" s="73" t="n">
        <f aca="false">IF(J84=0,"N/C",IF(J150&gt;0,J80/J150,"N/M"))</f>
        <v>11.7389869888476</v>
      </c>
      <c r="K158" s="60" t="n">
        <f aca="false">IF(COUNT(D158:J158)=0,"N/M",AVERAGE(D158:J158))</f>
        <v>18.2054926055799</v>
      </c>
      <c r="L158" s="60" t="str">
        <f aca="false">IF(COUNT(D158,J158)=2,J158-D158,"-")</f>
        <v>-</v>
      </c>
    </row>
    <row r="159" customFormat="false" ht="15" hidden="false" customHeight="false" outlineLevel="0" collapsed="false">
      <c r="A159" s="16" t="s">
        <v>775</v>
      </c>
      <c r="B159" s="87" t="s">
        <v>816</v>
      </c>
      <c r="C159" s="17" t="s">
        <v>115</v>
      </c>
      <c r="D159" s="73" t="n">
        <f aca="false">IF(D84=0,"N/C",IF(D152&gt;0,D80/D152,"N/M"))</f>
        <v>0.599702087286528</v>
      </c>
      <c r="E159" s="73" t="n">
        <f aca="false">IF(E84=0,"N/C",IF(E152&gt;0,E80/E152,"N/M"))</f>
        <v>1.0675750357313</v>
      </c>
      <c r="F159" s="73" t="n">
        <f aca="false">IF(F84=0,"N/C",IF(F152&gt;0,F80/F152,"N/M"))</f>
        <v>2.99930673115679</v>
      </c>
      <c r="G159" s="73" t="n">
        <f aca="false">IF(G84=0,"N/C",IF(G152&gt;0,G80/G152,"N/M"))</f>
        <v>3.93330021509782</v>
      </c>
      <c r="H159" s="73" t="n">
        <f aca="false">IF(H84=0,"N/C",IF(H152&gt;0,H80/H152,"N/M"))</f>
        <v>4.38707931065596</v>
      </c>
      <c r="I159" s="73" t="n">
        <f aca="false">IF(I84=0,"N/C",IF(I152&gt;0,I80/I152,"N/M"))</f>
        <v>3.63033261026753</v>
      </c>
      <c r="J159" s="73" t="n">
        <f aca="false">IF(J84=0,"N/C",IF(J152&gt;0,J80/J152,"N/M"))</f>
        <v>1.57909113639205</v>
      </c>
      <c r="K159" s="60" t="n">
        <f aca="false">IF(COUNT(D159:J159)=0,"N/M",AVERAGE(D159:J159))</f>
        <v>2.59948387522685</v>
      </c>
      <c r="L159" s="60" t="n">
        <f aca="false">IF(COUNT(D159,J159)=2,J159-D159,"-")</f>
        <v>0.979389049105522</v>
      </c>
    </row>
    <row r="160" customFormat="false" ht="15" hidden="false" customHeight="false" outlineLevel="0" collapsed="false">
      <c r="A160" s="16" t="s">
        <v>777</v>
      </c>
      <c r="B160" s="87" t="s">
        <v>817</v>
      </c>
      <c r="C160" s="17" t="s">
        <v>115</v>
      </c>
      <c r="D160" s="73" t="str">
        <f aca="false">IF(D84=0,"N/C",IF(D21&gt;0,D83/D21,"N/M"))</f>
        <v>N/M</v>
      </c>
      <c r="E160" s="73" t="str">
        <f aca="false">IF(E84=0,"N/C",IF(E21&gt;0,E83/E21,"N/M"))</f>
        <v>N/M</v>
      </c>
      <c r="F160" s="73" t="n">
        <f aca="false">IF(F84=0,"N/C",IF(F21&gt;0,F83/F21,"N/M"))</f>
        <v>5.09782978723404</v>
      </c>
      <c r="G160" s="73" t="n">
        <f aca="false">IF(G84=0,"N/C",IF(G21&gt;0,G83/G21,"N/M"))</f>
        <v>12.5419099848714</v>
      </c>
      <c r="H160" s="73" t="n">
        <f aca="false">IF(H84=0,"N/C",IF(H21&gt;0,H83/H21,"N/M"))</f>
        <v>29.7400651465798</v>
      </c>
      <c r="I160" s="73" t="n">
        <f aca="false">IF(I84=0,"N/C",IF(I21&gt;0,I83/I21,"N/M"))</f>
        <v>15.4454169318906</v>
      </c>
      <c r="J160" s="73" t="n">
        <f aca="false">IF(J84=0,"N/C",IF(J21&gt;0,J83/J21,"N/M"))</f>
        <v>9.69540910773788</v>
      </c>
      <c r="K160" s="60" t="n">
        <f aca="false">IF(COUNT(D160:J160)=0,"N/M",AVERAGE(D160:J160))</f>
        <v>14.5041261916627</v>
      </c>
      <c r="L160" s="60" t="str">
        <f aca="false">IF(COUNT(D160,J160)=2,J160-D160,"-")</f>
        <v>-</v>
      </c>
    </row>
    <row r="162" customFormat="false" ht="19.5" hidden="false" customHeight="true" outlineLevel="0" collapsed="false">
      <c r="A162" s="85" t="s">
        <v>779</v>
      </c>
      <c r="B162" s="86"/>
      <c r="C162" s="86"/>
      <c r="D162" s="86"/>
      <c r="E162" s="86"/>
      <c r="F162" s="86"/>
      <c r="G162" s="86"/>
      <c r="H162" s="86"/>
      <c r="I162" s="86"/>
      <c r="J162" s="86"/>
      <c r="K162" s="86"/>
      <c r="L162" s="86"/>
    </row>
    <row r="163" customFormat="false" ht="16.5" hidden="false" customHeight="true" outlineLevel="0" collapsed="false">
      <c r="A163" s="88" t="s">
        <v>780</v>
      </c>
      <c r="B163" s="89"/>
      <c r="C163" s="89"/>
      <c r="D163" s="89"/>
      <c r="E163" s="89"/>
      <c r="F163" s="89"/>
      <c r="G163" s="89"/>
      <c r="H163" s="89"/>
      <c r="I163" s="89"/>
      <c r="J163" s="89"/>
      <c r="K163" s="89"/>
      <c r="L163" s="89"/>
    </row>
    <row r="164" customFormat="false" ht="15" hidden="false" customHeight="false" outlineLevel="0" collapsed="false">
      <c r="A164" s="16" t="s">
        <v>300</v>
      </c>
      <c r="B164" s="87" t="s">
        <v>725</v>
      </c>
      <c r="C164" s="17" t="s">
        <v>615</v>
      </c>
      <c r="D164" s="71" t="n">
        <f aca="false">IF(D7&gt;0,D30/D7,"N/M")</f>
        <v>-0.0409314050683296</v>
      </c>
      <c r="E164" s="71" t="n">
        <f aca="false">IF(E7&gt;0,E30/E7,"N/M")</f>
        <v>-0.0739858223625425</v>
      </c>
      <c r="F164" s="71" t="n">
        <f aca="false">IF(F7&gt;0,F30/F7,"N/M")</f>
        <v>0.0546731478922469</v>
      </c>
      <c r="G164" s="71" t="n">
        <f aca="false">IF(G7&gt;0,G30/G7,"N/M")</f>
        <v>0.0535594784815969</v>
      </c>
      <c r="H164" s="71" t="n">
        <f aca="false">IF(H7&gt;0,H30/H7,"N/M")</f>
        <v>0.0539415633064181</v>
      </c>
      <c r="I164" s="71" t="n">
        <f aca="false">IF(I7&gt;0,I30/I7,"N/M")</f>
        <v>0.0503626633849826</v>
      </c>
      <c r="J164" s="71" t="n">
        <f aca="false">IF(J7&gt;0,J30/J7,"N/M")</f>
        <v>0.0375685206522119</v>
      </c>
      <c r="K164" s="62" t="n">
        <f aca="false">IF(COUNT(D164:J164)=0,"N/M",AVERAGE(D164:J164))</f>
        <v>0.0193125923266549</v>
      </c>
      <c r="L164" s="62" t="n">
        <f aca="false">IF(COUNT(D164,J164)=2,J164-D164,"-")</f>
        <v>0.0784999257205414</v>
      </c>
    </row>
    <row r="165" customFormat="false" ht="15" hidden="false" customHeight="false" outlineLevel="0" collapsed="false">
      <c r="A165" s="16" t="s">
        <v>781</v>
      </c>
      <c r="B165" s="87" t="s">
        <v>708</v>
      </c>
      <c r="C165" s="17" t="s">
        <v>692</v>
      </c>
      <c r="D165" s="73" t="n">
        <f aca="false">IF(D49&gt;0,D7/D49,"N/M")</f>
        <v>2.86823327942156</v>
      </c>
      <c r="E165" s="73" t="n">
        <f aca="false">IF(E49&gt;0,E7/E49,"N/M")</f>
        <v>2.00202742993441</v>
      </c>
      <c r="F165" s="73" t="n">
        <f aca="false">IF(F49&gt;0,F7/F49,"N/M")</f>
        <v>5.07307216494845</v>
      </c>
      <c r="G165" s="73" t="n">
        <f aca="false">IF(G49&gt;0,G7/G49,"N/M")</f>
        <v>3.62605639695423</v>
      </c>
      <c r="H165" s="73" t="n">
        <f aca="false">IF(H49&gt;0,H7/H49,"N/M")</f>
        <v>1.67335283465664</v>
      </c>
      <c r="I165" s="73" t="n">
        <f aca="false">IF(I49&gt;0,I7/I49,"N/M")</f>
        <v>2.74061014870458</v>
      </c>
      <c r="J165" s="73" t="n">
        <f aca="false">IF(J49&gt;0,J7/J49,"N/M")</f>
        <v>2.18117432031072</v>
      </c>
      <c r="K165" s="60" t="n">
        <f aca="false">IF(COUNT(D165:J165)=0,"N/M",AVERAGE(D165:J165))</f>
        <v>2.88064665356151</v>
      </c>
      <c r="L165" s="60" t="n">
        <f aca="false">IF(COUNT(D165,J165)=2,J165-D165,"-")</f>
        <v>-0.687058959110843</v>
      </c>
    </row>
    <row r="166" customFormat="false" ht="15" hidden="false" customHeight="false" outlineLevel="0" collapsed="false">
      <c r="A166" s="16" t="s">
        <v>782</v>
      </c>
      <c r="B166" s="87" t="s">
        <v>783</v>
      </c>
      <c r="C166" s="17" t="s">
        <v>692</v>
      </c>
      <c r="D166" s="73" t="n">
        <f aca="false">IF(D40&gt;0,D49/D40,"N/M")</f>
        <v>1.99449715370019</v>
      </c>
      <c r="E166" s="73" t="n">
        <f aca="false">IF(E40&gt;0,E49/E40,"N/M")</f>
        <v>1.99737970462125</v>
      </c>
      <c r="F166" s="73" t="n">
        <f aca="false">IF(F40&gt;0,F49/F40,"N/M")</f>
        <v>1.62904742711272</v>
      </c>
      <c r="G166" s="73" t="n">
        <f aca="false">IF(G40&gt;0,G49/G40,"N/M")</f>
        <v>1.22411144115538</v>
      </c>
      <c r="H166" s="73" t="n">
        <f aca="false">IF(H40&gt;0,H49/H40,"N/M")</f>
        <v>1.29549760895065</v>
      </c>
      <c r="I166" s="73" t="n">
        <f aca="false">IF(I40&gt;0,I49/I40,"N/M")</f>
        <v>1.41496746203905</v>
      </c>
      <c r="J166" s="73" t="n">
        <f aca="false">IF(J40&gt;0,J49/J40,"N/M")</f>
        <v>1.64158019752469</v>
      </c>
      <c r="K166" s="60" t="n">
        <f aca="false">IF(COUNT(D166:J166)=0,"N/M",AVERAGE(D166:J166))</f>
        <v>1.59958299930056</v>
      </c>
      <c r="L166" s="60" t="n">
        <f aca="false">IF(COUNT(D166,J166)=2,J166-D166,"-")</f>
        <v>-0.352916956175499</v>
      </c>
    </row>
    <row r="167" customFormat="false" ht="15" hidden="false" customHeight="false" outlineLevel="0" collapsed="false">
      <c r="A167" s="12" t="s">
        <v>303</v>
      </c>
      <c r="B167" s="87" t="s">
        <v>741</v>
      </c>
      <c r="C167" s="17" t="s">
        <v>615</v>
      </c>
      <c r="D167" s="30" t="n">
        <f aca="false">IF(D49&gt;0,D30/D49,"N/M")</f>
        <v>-0.117400818190467</v>
      </c>
      <c r="E167" s="30" t="n">
        <f aca="false">IF(E49&gt;0,E30/E49,"N/M")</f>
        <v>-0.148121645796064</v>
      </c>
      <c r="F167" s="30" t="n">
        <f aca="false">IF(F49&gt;0,F30/F49,"N/M")</f>
        <v>0.277360824742268</v>
      </c>
      <c r="G167" s="30" t="n">
        <f aca="false">IF(G49&gt;0,G30/G49,"N/M")</f>
        <v>0.194209689565727</v>
      </c>
      <c r="H167" s="30" t="n">
        <f aca="false">IF(H49&gt;0,H30/H49,"N/M")</f>
        <v>0.0902632678646051</v>
      </c>
      <c r="I167" s="30" t="n">
        <f aca="false">IF(I49&gt;0,I30/I49,"N/M")</f>
        <v>0.138024426388676</v>
      </c>
      <c r="J167" s="30" t="n">
        <f aca="false">IF(J49&gt;0,J30/J49,"N/M")</f>
        <v>0.0819434924986673</v>
      </c>
      <c r="K167" s="30" t="n">
        <f aca="false">IF(COUNT(D167:J167)=0,"N/M",AVERAGE(D167:J167))</f>
        <v>0.0737541767247731</v>
      </c>
      <c r="L167" s="30" t="n">
        <f aca="false">IF(COUNT(D167,J167)=2,J167-D167,"-")</f>
        <v>0.199344310689134</v>
      </c>
    </row>
    <row r="168" customFormat="false" ht="15" hidden="false" customHeight="false" outlineLevel="0" collapsed="false">
      <c r="A168" s="12" t="s">
        <v>784</v>
      </c>
      <c r="B168" s="87" t="s">
        <v>751</v>
      </c>
      <c r="C168" s="17" t="s">
        <v>615</v>
      </c>
      <c r="D168" s="30" t="n">
        <f aca="false">IF(D40&gt;0,D30/D40,"N/M")</f>
        <v>-0.23415559772296</v>
      </c>
      <c r="E168" s="30" t="n">
        <f aca="false">IF(E40&gt;0,E30/E40,"N/M")</f>
        <v>-0.295855169128156</v>
      </c>
      <c r="F168" s="30" t="n">
        <f aca="false">IF(F40&gt;0,F30/F40,"N/M")</f>
        <v>0.451833937928255</v>
      </c>
      <c r="G168" s="30" t="n">
        <f aca="false">IF(G40&gt;0,G30/G40,"N/M")</f>
        <v>0.237734302980641</v>
      </c>
      <c r="H168" s="30" t="n">
        <f aca="false">IF(H40&gt;0,H30/H40,"N/M")</f>
        <v>0.116935847694668</v>
      </c>
      <c r="I168" s="30" t="n">
        <f aca="false">IF(I40&gt;0,I30/I40,"N/M")</f>
        <v>0.19530007230658</v>
      </c>
      <c r="J168" s="30" t="n">
        <f aca="false">IF(J40&gt;0,J30/J40,"N/M")</f>
        <v>0.134516814601825</v>
      </c>
      <c r="K168" s="30" t="n">
        <f aca="false">IF(COUNT(D168:J168)=0,"N/M",AVERAGE(D168:J168))</f>
        <v>0.0866157440944075</v>
      </c>
      <c r="L168" s="30" t="n">
        <f aca="false">IF(COUNT(D168,J168)=2,J168-D168,"-")</f>
        <v>0.368672412324785</v>
      </c>
    </row>
    <row r="169" customFormat="false" ht="15" hidden="false" customHeight="false" outlineLevel="0" collapsed="false">
      <c r="A169" s="16" t="s">
        <v>785</v>
      </c>
      <c r="B169" s="87" t="s">
        <v>786</v>
      </c>
      <c r="C169" s="17" t="s">
        <v>615</v>
      </c>
      <c r="D169" s="94" t="n">
        <f aca="false">IF(COUNT(D164,D165,D166,D168)=4,D164*D165*D166-D168,"-")</f>
        <v>0</v>
      </c>
      <c r="E169" s="94" t="n">
        <f aca="false">IF(COUNT(E164,E165,E166,E168)=4,E164*E165*E166-E168,"-")</f>
        <v>0</v>
      </c>
      <c r="F169" s="94" t="n">
        <f aca="false">IF(COUNT(F164,F165,F166,F168)=4,F164*F165*F166-F168,"-")</f>
        <v>0</v>
      </c>
      <c r="G169" s="94" t="n">
        <f aca="false">IF(COUNT(G164,G165,G166,G168)=4,G164*G165*G166-G168,"-")</f>
        <v>0</v>
      </c>
      <c r="H169" s="94" t="n">
        <f aca="false">IF(COUNT(H164,H165,H166,H168)=4,H164*H165*H166-H168,"-")</f>
        <v>0</v>
      </c>
      <c r="I169" s="94" t="n">
        <f aca="false">IF(COUNT(I164,I165,I166,I168)=4,I164*I165*I166-I168,"-")</f>
        <v>0</v>
      </c>
      <c r="J169" s="94" t="n">
        <f aca="false">IF(COUNT(J164,J165,J166,J168)=4,J164*J165*J166-J168,"-")</f>
        <v>0</v>
      </c>
      <c r="K169" s="62"/>
      <c r="L169" s="62"/>
    </row>
    <row r="170" customFormat="false" ht="16.5" hidden="false" customHeight="true" outlineLevel="0" collapsed="false">
      <c r="A170" s="88" t="s">
        <v>787</v>
      </c>
      <c r="B170" s="89"/>
      <c r="C170" s="89"/>
      <c r="D170" s="89"/>
      <c r="E170" s="89"/>
      <c r="F170" s="89"/>
      <c r="G170" s="89"/>
      <c r="H170" s="89"/>
      <c r="I170" s="89"/>
      <c r="J170" s="89"/>
      <c r="K170" s="89"/>
      <c r="L170" s="89"/>
    </row>
    <row r="171" customFormat="false" ht="15" hidden="false" customHeight="false" outlineLevel="0" collapsed="false">
      <c r="A171" s="16" t="s">
        <v>788</v>
      </c>
      <c r="B171" s="87" t="s">
        <v>789</v>
      </c>
      <c r="C171" s="17" t="s">
        <v>97</v>
      </c>
      <c r="D171" s="73" t="n">
        <f aca="false">IF(D26&lt;&gt;0,D30/D26,"N/M")</f>
        <v>1.01899256812552</v>
      </c>
      <c r="E171" s="73" t="n">
        <f aca="false">IF(E26&lt;&gt;0,E30/E26,"N/M")</f>
        <v>1.02475247524753</v>
      </c>
      <c r="F171" s="73" t="n">
        <f aca="false">IF(F26&lt;&gt;0,F30/F26,"N/M")</f>
        <v>0.89967897271268</v>
      </c>
      <c r="G171" s="73" t="n">
        <f aca="false">IF(G26&lt;&gt;0,G30/G26,"N/M")</f>
        <v>0.740587109125718</v>
      </c>
      <c r="H171" s="73" t="n">
        <f aca="false">IF(H26&lt;&gt;0,H30/H26,"N/M")</f>
        <v>0.732617297908423</v>
      </c>
      <c r="I171" s="73" t="n">
        <f aca="false">IF(I26&lt;&gt;0,I30/I26,"N/M")</f>
        <v>0.748406760875591</v>
      </c>
      <c r="J171" s="73" t="n">
        <f aca="false">IF(J26&lt;&gt;0,J30/J26,"N/M")</f>
        <v>0.73850377487989</v>
      </c>
      <c r="K171" s="60" t="n">
        <f aca="false">IF(COUNT(D171:J171)=0,"N/M",AVERAGE(D171:J171))</f>
        <v>0.843362708410764</v>
      </c>
      <c r="L171" s="60" t="n">
        <f aca="false">IF(COUNT(D171,J171)=2,J171-D171,"-")</f>
        <v>-0.280488793245632</v>
      </c>
    </row>
    <row r="172" customFormat="false" ht="15" hidden="false" customHeight="false" outlineLevel="0" collapsed="false">
      <c r="A172" s="16" t="s">
        <v>790</v>
      </c>
      <c r="B172" s="87" t="s">
        <v>791</v>
      </c>
      <c r="C172" s="17" t="s">
        <v>97</v>
      </c>
      <c r="D172" s="73" t="n">
        <f aca="false">IF(D23&lt;&gt;0,D26/D23,"N/M")</f>
        <v>1.29242262540022</v>
      </c>
      <c r="E172" s="73" t="n">
        <f aca="false">IF(E23&lt;&gt;0,E26/E23,"N/M")</f>
        <v>1.16763005780347</v>
      </c>
      <c r="F172" s="73" t="n">
        <f aca="false">IF(F23&lt;&gt;0,F26/F23,"N/M")</f>
        <v>1.01576086956522</v>
      </c>
      <c r="G172" s="73" t="n">
        <f aca="false">IF(G23&lt;&gt;0,G26/G23,"N/M")</f>
        <v>1.22135619641465</v>
      </c>
      <c r="H172" s="73" t="n">
        <f aca="false">IF(H23&lt;&gt;0,H26/H23,"N/M")</f>
        <v>1.21413864104324</v>
      </c>
      <c r="I172" s="73" t="n">
        <f aca="false">IF(I23&lt;&gt;0,I26/I23,"N/M")</f>
        <v>1.18056918547596</v>
      </c>
      <c r="J172" s="73" t="n">
        <f aca="false">IF(J23&lt;&gt;0,J26/J23,"N/M")</f>
        <v>1.11861804222649</v>
      </c>
      <c r="K172" s="60" t="n">
        <f aca="false">IF(COUNT(D172:J172)=0,"N/M",AVERAGE(D172:J172))</f>
        <v>1.17292794541846</v>
      </c>
      <c r="L172" s="60" t="n">
        <f aca="false">IF(COUNT(D172,J172)=2,J172-D172,"-")</f>
        <v>-0.173804583173728</v>
      </c>
    </row>
    <row r="173" customFormat="false" ht="15" hidden="false" customHeight="false" outlineLevel="0" collapsed="false">
      <c r="A173" s="16" t="s">
        <v>792</v>
      </c>
      <c r="B173" s="87" t="s">
        <v>793</v>
      </c>
      <c r="C173" s="17" t="s">
        <v>615</v>
      </c>
      <c r="D173" s="71" t="n">
        <f aca="false">IF(D7&gt;0,D23/D7,"N/M")</f>
        <v>-0.0310800053071512</v>
      </c>
      <c r="E173" s="71" t="n">
        <f aca="false">IF(E7&gt;0,E23/E7,"N/M")</f>
        <v>-0.0618335616846368</v>
      </c>
      <c r="F173" s="71" t="n">
        <f aca="false">IF(F7&gt;0,F23/F7,"N/M")</f>
        <v>0.0598266976638325</v>
      </c>
      <c r="G173" s="71" t="n">
        <f aca="false">IF(G7&gt;0,G23/G7,"N/M")</f>
        <v>0.0592131071881851</v>
      </c>
      <c r="H173" s="71" t="n">
        <f aca="false">IF(H7&gt;0,H23/H7,"N/M")</f>
        <v>0.060642637143095</v>
      </c>
      <c r="I173" s="71" t="n">
        <f aca="false">IF(I7&gt;0,I23/I7,"N/M")</f>
        <v>0.0570006153157687</v>
      </c>
      <c r="J173" s="71" t="n">
        <f aca="false">IF(J7&gt;0,J23/J7,"N/M")</f>
        <v>0.0454767640794665</v>
      </c>
      <c r="K173" s="62" t="n">
        <f aca="false">IF(COUNT(D173:J173)=0,"N/M",AVERAGE(D173:J173))</f>
        <v>0.0270351791997943</v>
      </c>
      <c r="L173" s="62" t="n">
        <f aca="false">IF(COUNT(D173,J173)=2,J173-D173,"-")</f>
        <v>0.0765567693866176</v>
      </c>
    </row>
    <row r="174" customFormat="false" ht="15" hidden="false" customHeight="false" outlineLevel="0" collapsed="false">
      <c r="A174" s="16" t="s">
        <v>781</v>
      </c>
      <c r="B174" s="87" t="s">
        <v>708</v>
      </c>
      <c r="C174" s="17" t="s">
        <v>692</v>
      </c>
      <c r="D174" s="73" t="n">
        <f aca="false">IF(D49&gt;0,D7/D49,"N/M")</f>
        <v>2.86823327942156</v>
      </c>
      <c r="E174" s="73" t="n">
        <f aca="false">IF(E49&gt;0,E7/E49,"N/M")</f>
        <v>2.00202742993441</v>
      </c>
      <c r="F174" s="73" t="n">
        <f aca="false">IF(F49&gt;0,F7/F49,"N/M")</f>
        <v>5.07307216494845</v>
      </c>
      <c r="G174" s="73" t="n">
        <f aca="false">IF(G49&gt;0,G7/G49,"N/M")</f>
        <v>3.62605639695423</v>
      </c>
      <c r="H174" s="73" t="n">
        <f aca="false">IF(H49&gt;0,H7/H49,"N/M")</f>
        <v>1.67335283465664</v>
      </c>
      <c r="I174" s="73" t="n">
        <f aca="false">IF(I49&gt;0,I7/I49,"N/M")</f>
        <v>2.74061014870458</v>
      </c>
      <c r="J174" s="73" t="n">
        <f aca="false">IF(J49&gt;0,J7/J49,"N/M")</f>
        <v>2.18117432031072</v>
      </c>
      <c r="K174" s="60" t="n">
        <f aca="false">IF(COUNT(D174:J174)=0,"N/M",AVERAGE(D174:J174))</f>
        <v>2.88064665356151</v>
      </c>
      <c r="L174" s="60" t="n">
        <f aca="false">IF(COUNT(D174,J174)=2,J174-D174,"-")</f>
        <v>-0.687058959110843</v>
      </c>
    </row>
    <row r="175" customFormat="false" ht="15" hidden="false" customHeight="false" outlineLevel="0" collapsed="false">
      <c r="A175" s="16" t="s">
        <v>782</v>
      </c>
      <c r="B175" s="87" t="s">
        <v>783</v>
      </c>
      <c r="C175" s="17" t="s">
        <v>692</v>
      </c>
      <c r="D175" s="73" t="n">
        <f aca="false">IF(D40&gt;0,D49/D40,"N/M")</f>
        <v>1.99449715370019</v>
      </c>
      <c r="E175" s="73" t="n">
        <f aca="false">IF(E40&gt;0,E49/E40,"N/M")</f>
        <v>1.99737970462125</v>
      </c>
      <c r="F175" s="73" t="n">
        <f aca="false">IF(F40&gt;0,F49/F40,"N/M")</f>
        <v>1.62904742711272</v>
      </c>
      <c r="G175" s="73" t="n">
        <f aca="false">IF(G40&gt;0,G49/G40,"N/M")</f>
        <v>1.22411144115538</v>
      </c>
      <c r="H175" s="73" t="n">
        <f aca="false">IF(H40&gt;0,H49/H40,"N/M")</f>
        <v>1.29549760895065</v>
      </c>
      <c r="I175" s="73" t="n">
        <f aca="false">IF(I40&gt;0,I49/I40,"N/M")</f>
        <v>1.41496746203905</v>
      </c>
      <c r="J175" s="73" t="n">
        <f aca="false">IF(J40&gt;0,J49/J40,"N/M")</f>
        <v>1.64158019752469</v>
      </c>
      <c r="K175" s="60" t="n">
        <f aca="false">IF(COUNT(D175:J175)=0,"N/M",AVERAGE(D175:J175))</f>
        <v>1.59958299930056</v>
      </c>
      <c r="L175" s="60" t="n">
        <f aca="false">IF(COUNT(D175,J175)=2,J175-D175,"-")</f>
        <v>-0.352916956175499</v>
      </c>
    </row>
    <row r="176" customFormat="false" ht="15" hidden="false" customHeight="false" outlineLevel="0" collapsed="false">
      <c r="A176" s="12" t="s">
        <v>784</v>
      </c>
      <c r="B176" s="87" t="s">
        <v>751</v>
      </c>
      <c r="C176" s="17" t="s">
        <v>615</v>
      </c>
      <c r="D176" s="30" t="n">
        <f aca="false">IF(D40&gt;0,D30/D40,"N/M")</f>
        <v>-0.23415559772296</v>
      </c>
      <c r="E176" s="30" t="n">
        <f aca="false">IF(E40&gt;0,E30/E40,"N/M")</f>
        <v>-0.295855169128156</v>
      </c>
      <c r="F176" s="30" t="n">
        <f aca="false">IF(F40&gt;0,F30/F40,"N/M")</f>
        <v>0.451833937928255</v>
      </c>
      <c r="G176" s="30" t="n">
        <f aca="false">IF(G40&gt;0,G30/G40,"N/M")</f>
        <v>0.237734302980641</v>
      </c>
      <c r="H176" s="30" t="n">
        <f aca="false">IF(H40&gt;0,H30/H40,"N/M")</f>
        <v>0.116935847694668</v>
      </c>
      <c r="I176" s="30" t="n">
        <f aca="false">IF(I40&gt;0,I30/I40,"N/M")</f>
        <v>0.19530007230658</v>
      </c>
      <c r="J176" s="30" t="n">
        <f aca="false">IF(J40&gt;0,J30/J40,"N/M")</f>
        <v>0.134516814601825</v>
      </c>
      <c r="K176" s="30" t="n">
        <f aca="false">IF(COUNT(D176:J176)=0,"N/M",AVERAGE(D176:J176))</f>
        <v>0.0866157440944075</v>
      </c>
      <c r="L176" s="30" t="n">
        <f aca="false">IF(COUNT(D176,J176)=2,J176-D176,"-")</f>
        <v>0.368672412324785</v>
      </c>
    </row>
    <row r="177" customFormat="false" ht="15" hidden="false" customHeight="false" outlineLevel="0" collapsed="false">
      <c r="A177" s="16" t="s">
        <v>794</v>
      </c>
      <c r="B177" s="87" t="s">
        <v>786</v>
      </c>
      <c r="C177" s="17" t="s">
        <v>615</v>
      </c>
      <c r="D177" s="94" t="n">
        <f aca="false">IF(COUNT(D171,D172,D173,D174,D175,D176)=6,D171*D172*D173*D174*D175-D176,"-")</f>
        <v>0</v>
      </c>
      <c r="E177" s="94" t="n">
        <f aca="false">IF(COUNT(E171,E172,E173,E174,E175,E176)=6,E171*E172*E173*E174*E175-E176,"-")</f>
        <v>0</v>
      </c>
      <c r="F177" s="94" t="n">
        <f aca="false">IF(COUNT(F171,F172,F173,F174,F175,F176)=6,F171*F172*F173*F174*F175-F176,"-")</f>
        <v>0</v>
      </c>
      <c r="G177" s="94" t="n">
        <f aca="false">IF(COUNT(G171,G172,G173,G174,G175,G176)=6,G171*G172*G173*G174*G175-G176,"-")</f>
        <v>0</v>
      </c>
      <c r="H177" s="94" t="n">
        <f aca="false">IF(COUNT(H171,H172,H173,H174,H175,H176)=6,H171*H172*H173*H174*H175-H176,"-")</f>
        <v>0</v>
      </c>
      <c r="I177" s="94" t="n">
        <f aca="false">IF(COUNT(I171,I172,I173,I174,I175,I176)=6,I171*I172*I173*I174*I175-I176,"-")</f>
        <v>0</v>
      </c>
      <c r="J177" s="94" t="n">
        <f aca="false">IF(COUNT(J171,J172,J173,J174,J175,J176)=6,J171*J172*J173*J174*J175-J176,"-")</f>
        <v>0</v>
      </c>
      <c r="K177" s="62"/>
      <c r="L177" s="62"/>
    </row>
  </sheetData>
  <mergeCells count="3">
    <mergeCell ref="A1:L1"/>
    <mergeCell ref="A2:L2"/>
    <mergeCell ref="A3:L3"/>
  </mergeCells>
  <hyperlinks>
    <hyperlink ref="A3" r:id="rId1" display="Source: annual reports FY2020-FY2026 (consolidated) - https://www.tigerlogistics.in/Annual_Report.php   (full list of documents on the Sources sheet)"/>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18096"/>
    <pageSetUpPr fitToPage="true"/>
  </sheetPr>
  <dimension ref="A1:L177"/>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50"/>
    <col collapsed="false" customWidth="true" hidden="false" outlineLevel="0" max="3" min="3" style="0" width="15"/>
    <col collapsed="false" customWidth="true" hidden="false" outlineLevel="0" max="10" min="4" style="0" width="11.5"/>
    <col collapsed="false" customWidth="true" hidden="false" outlineLevel="0" max="12" min="11" style="0" width="12"/>
  </cols>
  <sheetData>
    <row r="1" customFormat="false" ht="24" hidden="false" customHeight="true" outlineLevel="0" collapsed="false">
      <c r="A1" s="1" t="s">
        <v>818</v>
      </c>
      <c r="B1" s="1"/>
      <c r="C1" s="1"/>
      <c r="D1" s="1"/>
      <c r="E1" s="1"/>
      <c r="F1" s="1"/>
      <c r="G1" s="1"/>
      <c r="H1" s="1"/>
      <c r="I1" s="1"/>
      <c r="J1" s="1"/>
      <c r="K1" s="1"/>
      <c r="L1" s="1"/>
    </row>
    <row r="2" customFormat="false" ht="18" hidden="false" customHeight="true" outlineLevel="0" collapsed="false">
      <c r="A2" s="2" t="s">
        <v>819</v>
      </c>
      <c r="B2" s="2"/>
      <c r="C2" s="2"/>
      <c r="D2" s="2"/>
      <c r="E2" s="2"/>
      <c r="F2" s="2"/>
      <c r="G2" s="2"/>
      <c r="H2" s="2"/>
      <c r="I2" s="2"/>
      <c r="J2" s="2"/>
      <c r="K2" s="2"/>
      <c r="L2" s="2"/>
    </row>
    <row r="3" customFormat="false" ht="18" hidden="false" customHeight="true" outlineLevel="0" collapsed="false">
      <c r="A3" s="95" t="s">
        <v>820</v>
      </c>
      <c r="B3" s="95"/>
      <c r="C3" s="95"/>
      <c r="D3" s="95"/>
      <c r="E3" s="95"/>
      <c r="F3" s="95"/>
      <c r="G3" s="95"/>
      <c r="H3" s="95"/>
      <c r="I3" s="95"/>
      <c r="J3" s="95"/>
      <c r="K3" s="95"/>
      <c r="L3" s="95"/>
    </row>
    <row r="5" customFormat="false" ht="30" hidden="false" customHeight="true" outlineLevel="0" collapsed="false">
      <c r="A5" s="7" t="s">
        <v>486</v>
      </c>
      <c r="B5" s="7" t="s">
        <v>487</v>
      </c>
      <c r="C5" s="7" t="s">
        <v>488</v>
      </c>
      <c r="D5" s="7" t="s">
        <v>154</v>
      </c>
      <c r="E5" s="7" t="s">
        <v>185</v>
      </c>
      <c r="F5" s="7" t="s">
        <v>188</v>
      </c>
      <c r="G5" s="7" t="s">
        <v>144</v>
      </c>
      <c r="H5" s="7" t="s">
        <v>147</v>
      </c>
      <c r="I5" s="7" t="s">
        <v>157</v>
      </c>
      <c r="J5" s="7" t="s">
        <v>198</v>
      </c>
      <c r="K5" s="7" t="s">
        <v>322</v>
      </c>
      <c r="L5" s="7" t="s">
        <v>489</v>
      </c>
    </row>
    <row r="6" customFormat="false" ht="19.5" hidden="false" customHeight="true" outlineLevel="0" collapsed="false">
      <c r="A6" s="85" t="s">
        <v>490</v>
      </c>
      <c r="B6" s="86"/>
      <c r="C6" s="86"/>
      <c r="D6" s="86"/>
      <c r="E6" s="86"/>
      <c r="F6" s="86"/>
      <c r="G6" s="86"/>
      <c r="H6" s="86"/>
      <c r="I6" s="86"/>
      <c r="J6" s="86"/>
      <c r="K6" s="86"/>
      <c r="L6" s="86"/>
    </row>
    <row r="7" customFormat="false" ht="15" hidden="false" customHeight="false" outlineLevel="0" collapsed="false">
      <c r="A7" s="16" t="s">
        <v>491</v>
      </c>
      <c r="B7" s="87" t="s">
        <v>492</v>
      </c>
      <c r="C7" s="17" t="s">
        <v>493</v>
      </c>
      <c r="D7" s="96" t="n">
        <v>7346.24</v>
      </c>
      <c r="E7" s="96" t="n">
        <v>10498.1</v>
      </c>
      <c r="F7" s="96" t="n">
        <v>19062.06</v>
      </c>
      <c r="G7" s="96" t="n">
        <v>18050.77</v>
      </c>
      <c r="H7" s="96" t="n">
        <v>12968.68</v>
      </c>
      <c r="I7" s="96" t="n">
        <v>1961</v>
      </c>
      <c r="J7" s="96" t="n">
        <v>2058</v>
      </c>
      <c r="K7" s="53" t="n">
        <f aca="false">AVERAGE(D7:J7)</f>
        <v>10277.8357142857</v>
      </c>
      <c r="L7" s="53" t="n">
        <f aca="false">J7-D7</f>
        <v>-5288.24</v>
      </c>
    </row>
    <row r="8" customFormat="false" ht="16.5" hidden="false" customHeight="true" outlineLevel="0" collapsed="false">
      <c r="A8" s="88" t="s">
        <v>494</v>
      </c>
      <c r="B8" s="89"/>
      <c r="C8" s="89"/>
      <c r="D8" s="89"/>
      <c r="E8" s="89"/>
      <c r="F8" s="89"/>
      <c r="G8" s="89"/>
      <c r="H8" s="89"/>
      <c r="I8" s="89"/>
      <c r="J8" s="89"/>
      <c r="K8" s="89"/>
      <c r="L8" s="89"/>
    </row>
    <row r="9" customFormat="false" ht="15" hidden="false" customHeight="false" outlineLevel="0" collapsed="false">
      <c r="A9" s="16" t="s">
        <v>495</v>
      </c>
      <c r="B9" s="87" t="s">
        <v>496</v>
      </c>
      <c r="C9" s="17" t="s">
        <v>493</v>
      </c>
      <c r="D9" s="96" t="n">
        <v>0</v>
      </c>
      <c r="E9" s="96" t="n">
        <v>0</v>
      </c>
      <c r="F9" s="96" t="n">
        <v>0</v>
      </c>
      <c r="G9" s="96" t="n">
        <v>0</v>
      </c>
      <c r="H9" s="96" t="n">
        <v>0</v>
      </c>
      <c r="I9" s="96" t="n">
        <v>0</v>
      </c>
      <c r="J9" s="96" t="n">
        <v>0</v>
      </c>
      <c r="K9" s="53" t="n">
        <f aca="false">AVERAGE(D9:J9)</f>
        <v>0</v>
      </c>
      <c r="L9" s="53" t="n">
        <f aca="false">J9-D9</f>
        <v>0</v>
      </c>
    </row>
    <row r="10" customFormat="false" ht="15" hidden="false" customHeight="false" outlineLevel="0" collapsed="false">
      <c r="A10" s="16" t="s">
        <v>497</v>
      </c>
      <c r="B10" s="87" t="s">
        <v>498</v>
      </c>
      <c r="C10" s="17" t="s">
        <v>493</v>
      </c>
      <c r="D10" s="96" t="n">
        <v>0</v>
      </c>
      <c r="E10" s="96" t="n">
        <v>-3.35</v>
      </c>
      <c r="F10" s="96" t="n">
        <v>-0.53</v>
      </c>
      <c r="G10" s="96" t="n">
        <v>-0.36</v>
      </c>
      <c r="H10" s="96" t="n">
        <v>0</v>
      </c>
      <c r="I10" s="96" t="n">
        <v>0</v>
      </c>
      <c r="J10" s="96" t="n">
        <v>0</v>
      </c>
      <c r="K10" s="53" t="n">
        <f aca="false">AVERAGE(D10:J10)</f>
        <v>-0.605714285714286</v>
      </c>
      <c r="L10" s="53" t="n">
        <f aca="false">J10-D10</f>
        <v>0</v>
      </c>
    </row>
    <row r="11" customFormat="false" ht="15" hidden="false" customHeight="false" outlineLevel="0" collapsed="false">
      <c r="A11" s="16" t="s">
        <v>499</v>
      </c>
      <c r="B11" s="87" t="s">
        <v>500</v>
      </c>
      <c r="C11" s="17" t="s">
        <v>493</v>
      </c>
      <c r="D11" s="96" t="n">
        <v>26.38</v>
      </c>
      <c r="E11" s="96" t="n">
        <v>35.29</v>
      </c>
      <c r="F11" s="96" t="n">
        <v>17.93</v>
      </c>
      <c r="G11" s="96" t="n">
        <v>20.39</v>
      </c>
      <c r="H11" s="96" t="n">
        <v>23.54</v>
      </c>
      <c r="I11" s="96" t="n">
        <v>9</v>
      </c>
      <c r="J11" s="96" t="n">
        <v>10</v>
      </c>
      <c r="K11" s="53" t="n">
        <f aca="false">AVERAGE(D11:J11)</f>
        <v>20.3614285714286</v>
      </c>
      <c r="L11" s="53" t="n">
        <f aca="false">J11-D11</f>
        <v>-16.38</v>
      </c>
    </row>
    <row r="12" customFormat="false" ht="15" hidden="false" customHeight="false" outlineLevel="0" collapsed="false">
      <c r="A12" s="16" t="s">
        <v>501</v>
      </c>
      <c r="B12" s="87" t="s">
        <v>502</v>
      </c>
      <c r="C12" s="17" t="s">
        <v>493</v>
      </c>
      <c r="D12" s="96" t="n">
        <v>5369.41</v>
      </c>
      <c r="E12" s="96" t="n">
        <v>8075.71</v>
      </c>
      <c r="F12" s="96" t="n">
        <v>15640.44</v>
      </c>
      <c r="G12" s="96" t="n">
        <v>14354.83</v>
      </c>
      <c r="H12" s="96" t="n">
        <v>9913.27</v>
      </c>
      <c r="I12" s="96" t="n">
        <v>1406</v>
      </c>
      <c r="J12" s="96" t="n">
        <v>1498</v>
      </c>
      <c r="K12" s="53" t="n">
        <f aca="false">AVERAGE(D12:J12)</f>
        <v>8036.80857142857</v>
      </c>
      <c r="L12" s="53" t="n">
        <f aca="false">J12-D12</f>
        <v>-3871.41</v>
      </c>
    </row>
    <row r="13" customFormat="false" ht="15" hidden="false" customHeight="false" outlineLevel="0" collapsed="false">
      <c r="A13" s="12" t="s">
        <v>503</v>
      </c>
      <c r="B13" s="87" t="s">
        <v>504</v>
      </c>
      <c r="C13" s="17" t="s">
        <v>493</v>
      </c>
      <c r="D13" s="29" t="n">
        <f aca="false">D9+D11+D12-D10</f>
        <v>5395.79</v>
      </c>
      <c r="E13" s="29" t="n">
        <f aca="false">E9+E11+E12-E10</f>
        <v>8114.35</v>
      </c>
      <c r="F13" s="29" t="n">
        <f aca="false">F9+F11+F12-F10</f>
        <v>15658.9</v>
      </c>
      <c r="G13" s="29" t="n">
        <f aca="false">G9+G11+G12-G10</f>
        <v>14375.58</v>
      </c>
      <c r="H13" s="29" t="n">
        <f aca="false">H9+H11+H12-H10</f>
        <v>9936.81</v>
      </c>
      <c r="I13" s="29" t="n">
        <f aca="false">I9+I11+I12-I10</f>
        <v>1415</v>
      </c>
      <c r="J13" s="29" t="n">
        <f aca="false">J9+J11+J12-J10</f>
        <v>1508</v>
      </c>
      <c r="K13" s="29" t="n">
        <f aca="false">AVERAGE(D13:J13)</f>
        <v>8057.77571428571</v>
      </c>
      <c r="L13" s="29" t="n">
        <f aca="false">J13-D13</f>
        <v>-3887.79</v>
      </c>
    </row>
    <row r="14" customFormat="false" ht="15" hidden="false" customHeight="false" outlineLevel="0" collapsed="false">
      <c r="A14" s="12" t="s">
        <v>505</v>
      </c>
      <c r="B14" s="87" t="s">
        <v>506</v>
      </c>
      <c r="C14" s="17" t="s">
        <v>493</v>
      </c>
      <c r="D14" s="29" t="n">
        <f aca="false">D7-D13</f>
        <v>1950.45</v>
      </c>
      <c r="E14" s="29" t="n">
        <f aca="false">E7-E13</f>
        <v>2383.75</v>
      </c>
      <c r="F14" s="29" t="n">
        <f aca="false">F7-F13</f>
        <v>3403.16</v>
      </c>
      <c r="G14" s="29" t="n">
        <f aca="false">G7-G13</f>
        <v>3675.19</v>
      </c>
      <c r="H14" s="29" t="n">
        <f aca="false">H7-H13</f>
        <v>3031.87</v>
      </c>
      <c r="I14" s="29" t="n">
        <f aca="false">I7-I13</f>
        <v>546</v>
      </c>
      <c r="J14" s="29" t="n">
        <f aca="false">J7-J13</f>
        <v>550</v>
      </c>
      <c r="K14" s="29" t="n">
        <f aca="false">AVERAGE(D14:J14)</f>
        <v>2220.06</v>
      </c>
      <c r="L14" s="29" t="n">
        <f aca="false">J14-D14</f>
        <v>-1400.45</v>
      </c>
    </row>
    <row r="15" customFormat="false" ht="16.5" hidden="false" customHeight="true" outlineLevel="0" collapsed="false">
      <c r="A15" s="88" t="s">
        <v>507</v>
      </c>
      <c r="B15" s="89"/>
      <c r="C15" s="89"/>
      <c r="D15" s="89"/>
      <c r="E15" s="89"/>
      <c r="F15" s="89"/>
      <c r="G15" s="89"/>
      <c r="H15" s="89"/>
      <c r="I15" s="89"/>
      <c r="J15" s="89"/>
      <c r="K15" s="89"/>
      <c r="L15" s="89"/>
    </row>
    <row r="16" customFormat="false" ht="15" hidden="false" customHeight="false" outlineLevel="0" collapsed="false">
      <c r="A16" s="16" t="s">
        <v>508</v>
      </c>
      <c r="B16" s="87" t="s">
        <v>509</v>
      </c>
      <c r="C16" s="17" t="s">
        <v>493</v>
      </c>
      <c r="D16" s="96" t="n">
        <v>1113.63</v>
      </c>
      <c r="E16" s="96" t="n">
        <v>1316.4</v>
      </c>
      <c r="F16" s="96" t="n">
        <v>1615.57</v>
      </c>
      <c r="G16" s="96" t="n">
        <v>1907.13</v>
      </c>
      <c r="H16" s="96" t="n">
        <v>1944.07</v>
      </c>
      <c r="I16" s="96" t="n">
        <v>224</v>
      </c>
      <c r="J16" s="96" t="n">
        <v>215</v>
      </c>
      <c r="K16" s="53" t="n">
        <f aca="false">AVERAGE(D16:J16)</f>
        <v>1190.82857142857</v>
      </c>
      <c r="L16" s="53" t="n">
        <f aca="false">J16-D16</f>
        <v>-898.63</v>
      </c>
    </row>
    <row r="17" customFormat="false" ht="15" hidden="false" customHeight="false" outlineLevel="0" collapsed="false">
      <c r="A17" s="16" t="s">
        <v>510</v>
      </c>
      <c r="B17" s="87" t="s">
        <v>511</v>
      </c>
      <c r="C17" s="17" t="s">
        <v>493</v>
      </c>
      <c r="D17" s="96" t="n">
        <v>282.66</v>
      </c>
      <c r="E17" s="96" t="n">
        <v>346.92</v>
      </c>
      <c r="F17" s="96" t="n">
        <v>438.99</v>
      </c>
      <c r="G17" s="96" t="n">
        <v>527.36</v>
      </c>
      <c r="H17" s="96" t="n">
        <v>500.81</v>
      </c>
      <c r="I17" s="96" t="n">
        <v>97</v>
      </c>
      <c r="J17" s="96" t="n">
        <v>88</v>
      </c>
      <c r="K17" s="53" t="n">
        <f aca="false">AVERAGE(D17:J17)</f>
        <v>325.962857142857</v>
      </c>
      <c r="L17" s="53" t="n">
        <f aca="false">J17-D17</f>
        <v>-194.66</v>
      </c>
    </row>
    <row r="18" customFormat="false" ht="15" hidden="false" customHeight="false" outlineLevel="0" collapsed="false">
      <c r="A18" s="16" t="s">
        <v>512</v>
      </c>
      <c r="B18" s="87" t="s">
        <v>513</v>
      </c>
      <c r="C18" s="17" t="s">
        <v>493</v>
      </c>
      <c r="D18" s="96" t="n">
        <v>39.01</v>
      </c>
      <c r="E18" s="96" t="n">
        <v>77.34</v>
      </c>
      <c r="F18" s="96" t="n">
        <v>67.34</v>
      </c>
      <c r="G18" s="96" t="n">
        <v>100.5</v>
      </c>
      <c r="H18" s="96" t="n">
        <v>116.29</v>
      </c>
      <c r="I18" s="96" t="n">
        <v>23</v>
      </c>
      <c r="J18" s="96" t="n">
        <v>12</v>
      </c>
      <c r="K18" s="53" t="n">
        <f aca="false">AVERAGE(D18:J18)</f>
        <v>62.2114285714286</v>
      </c>
      <c r="L18" s="53" t="n">
        <f aca="false">J18-D18</f>
        <v>-27.01</v>
      </c>
    </row>
    <row r="19" customFormat="false" ht="15" hidden="false" customHeight="false" outlineLevel="0" collapsed="false">
      <c r="A19" s="12" t="s">
        <v>507</v>
      </c>
      <c r="B19" s="87" t="s">
        <v>514</v>
      </c>
      <c r="C19" s="17" t="s">
        <v>493</v>
      </c>
      <c r="D19" s="29" t="n">
        <f aca="false">D16+D17+D18</f>
        <v>1435.3</v>
      </c>
      <c r="E19" s="29" t="n">
        <f aca="false">E16+E17+E18</f>
        <v>1740.66</v>
      </c>
      <c r="F19" s="29" t="n">
        <f aca="false">F16+F17+F18</f>
        <v>2121.9</v>
      </c>
      <c r="G19" s="29" t="n">
        <f aca="false">G16+G17+G18</f>
        <v>2534.99</v>
      </c>
      <c r="H19" s="29" t="n">
        <f aca="false">H16+H17+H18</f>
        <v>2561.17</v>
      </c>
      <c r="I19" s="29" t="n">
        <f aca="false">I16+I17+I18</f>
        <v>344</v>
      </c>
      <c r="J19" s="29" t="n">
        <f aca="false">J16+J17+J18</f>
        <v>315</v>
      </c>
      <c r="K19" s="29" t="n">
        <f aca="false">AVERAGE(D19:J19)</f>
        <v>1579.00285714286</v>
      </c>
      <c r="L19" s="29" t="n">
        <f aca="false">J19-D19</f>
        <v>-1120.3</v>
      </c>
    </row>
    <row r="20" customFormat="false" ht="15" hidden="false" customHeight="false" outlineLevel="0" collapsed="false">
      <c r="A20" s="12" t="s">
        <v>515</v>
      </c>
      <c r="B20" s="87" t="s">
        <v>516</v>
      </c>
      <c r="C20" s="17" t="s">
        <v>493</v>
      </c>
      <c r="D20" s="29" t="n">
        <f aca="false">D13+D19</f>
        <v>6831.09</v>
      </c>
      <c r="E20" s="29" t="n">
        <f aca="false">E13+E19</f>
        <v>9855.01</v>
      </c>
      <c r="F20" s="29" t="n">
        <f aca="false">F13+F19</f>
        <v>17780.8</v>
      </c>
      <c r="G20" s="29" t="n">
        <f aca="false">G13+G19</f>
        <v>16910.57</v>
      </c>
      <c r="H20" s="29" t="n">
        <f aca="false">H13+H19</f>
        <v>12497.98</v>
      </c>
      <c r="I20" s="29" t="n">
        <f aca="false">I13+I19</f>
        <v>1759</v>
      </c>
      <c r="J20" s="29" t="n">
        <f aca="false">J13+J19</f>
        <v>1823</v>
      </c>
      <c r="K20" s="29" t="n">
        <f aca="false">AVERAGE(D20:J20)</f>
        <v>9636.77857142857</v>
      </c>
      <c r="L20" s="29" t="n">
        <f aca="false">J20-D20</f>
        <v>-5008.09</v>
      </c>
    </row>
    <row r="21" customFormat="false" ht="15" hidden="false" customHeight="false" outlineLevel="0" collapsed="false">
      <c r="A21" s="12" t="s">
        <v>517</v>
      </c>
      <c r="B21" s="87" t="s">
        <v>518</v>
      </c>
      <c r="C21" s="17" t="s">
        <v>493</v>
      </c>
      <c r="D21" s="29" t="n">
        <f aca="false">D7-D20</f>
        <v>515.15</v>
      </c>
      <c r="E21" s="29" t="n">
        <f aca="false">E7-E20</f>
        <v>643.09</v>
      </c>
      <c r="F21" s="29" t="n">
        <f aca="false">F7-F20</f>
        <v>1281.26</v>
      </c>
      <c r="G21" s="29" t="n">
        <f aca="false">G7-G20</f>
        <v>1140.2</v>
      </c>
      <c r="H21" s="29" t="n">
        <f aca="false">H7-H20</f>
        <v>470.699999999999</v>
      </c>
      <c r="I21" s="29" t="n">
        <f aca="false">I7-I20</f>
        <v>202</v>
      </c>
      <c r="J21" s="29" t="n">
        <f aca="false">J7-J20</f>
        <v>235</v>
      </c>
      <c r="K21" s="29" t="n">
        <f aca="false">AVERAGE(D21:J21)</f>
        <v>641.057142857143</v>
      </c>
      <c r="L21" s="29" t="n">
        <f aca="false">J21-D21</f>
        <v>-280.15</v>
      </c>
    </row>
    <row r="22" customFormat="false" ht="15" hidden="false" customHeight="false" outlineLevel="0" collapsed="false">
      <c r="A22" s="16" t="s">
        <v>519</v>
      </c>
      <c r="B22" s="87" t="s">
        <v>520</v>
      </c>
      <c r="C22" s="17" t="s">
        <v>493</v>
      </c>
      <c r="D22" s="96" t="n">
        <v>231.6</v>
      </c>
      <c r="E22" s="96" t="n">
        <v>306.09</v>
      </c>
      <c r="F22" s="96" t="n">
        <v>237.57</v>
      </c>
      <c r="G22" s="96" t="n">
        <v>278.01</v>
      </c>
      <c r="H22" s="96" t="n">
        <v>400.02</v>
      </c>
      <c r="I22" s="96" t="n">
        <v>182</v>
      </c>
      <c r="J22" s="96" t="n">
        <v>204</v>
      </c>
      <c r="K22" s="53" t="n">
        <f aca="false">AVERAGE(D22:J22)</f>
        <v>262.755714285714</v>
      </c>
      <c r="L22" s="53" t="n">
        <f aca="false">J22-D22</f>
        <v>-27.6</v>
      </c>
    </row>
    <row r="23" customFormat="false" ht="15" hidden="false" customHeight="false" outlineLevel="0" collapsed="false">
      <c r="A23" s="12" t="s">
        <v>521</v>
      </c>
      <c r="B23" s="87" t="s">
        <v>522</v>
      </c>
      <c r="C23" s="17" t="s">
        <v>493</v>
      </c>
      <c r="D23" s="29" t="n">
        <f aca="false">D21-D22</f>
        <v>283.55</v>
      </c>
      <c r="E23" s="29" t="n">
        <f aca="false">E21-E22</f>
        <v>337</v>
      </c>
      <c r="F23" s="29" t="n">
        <f aca="false">F21-F22</f>
        <v>1043.69</v>
      </c>
      <c r="G23" s="29" t="n">
        <f aca="false">G21-G22</f>
        <v>862.190000000001</v>
      </c>
      <c r="H23" s="29" t="n">
        <f aca="false">H21-H22</f>
        <v>70.6799999999989</v>
      </c>
      <c r="I23" s="29" t="n">
        <f aca="false">I21-I22</f>
        <v>20</v>
      </c>
      <c r="J23" s="29" t="n">
        <f aca="false">J21-J22</f>
        <v>31</v>
      </c>
      <c r="K23" s="29" t="n">
        <f aca="false">AVERAGE(D23:J23)</f>
        <v>378.301428571428</v>
      </c>
      <c r="L23" s="29" t="n">
        <f aca="false">J23-D23</f>
        <v>-252.55</v>
      </c>
    </row>
    <row r="24" customFormat="false" ht="15" hidden="false" customHeight="false" outlineLevel="0" collapsed="false">
      <c r="A24" s="16" t="s">
        <v>523</v>
      </c>
      <c r="B24" s="87" t="s">
        <v>524</v>
      </c>
      <c r="C24" s="17" t="s">
        <v>493</v>
      </c>
      <c r="D24" s="96" t="n">
        <v>96.58</v>
      </c>
      <c r="E24" s="96" t="n">
        <v>-34.67</v>
      </c>
      <c r="F24" s="96" t="n">
        <v>274.13</v>
      </c>
      <c r="G24" s="96" t="n">
        <v>118.72</v>
      </c>
      <c r="H24" s="96" t="n">
        <v>233.27</v>
      </c>
      <c r="I24" s="96" t="n">
        <v>70</v>
      </c>
      <c r="J24" s="96" t="n">
        <v>35</v>
      </c>
      <c r="K24" s="53" t="n">
        <f aca="false">AVERAGE(D24:J24)</f>
        <v>113.29</v>
      </c>
      <c r="L24" s="53" t="n">
        <f aca="false">J24-D24</f>
        <v>-61.58</v>
      </c>
    </row>
    <row r="25" customFormat="false" ht="15" hidden="false" customHeight="false" outlineLevel="0" collapsed="false">
      <c r="A25" s="16" t="s">
        <v>525</v>
      </c>
      <c r="B25" s="87" t="s">
        <v>526</v>
      </c>
      <c r="C25" s="17" t="s">
        <v>493</v>
      </c>
      <c r="D25" s="96" t="n">
        <v>74.69</v>
      </c>
      <c r="E25" s="96" t="n">
        <v>143.25</v>
      </c>
      <c r="F25" s="96" t="n">
        <v>96.21</v>
      </c>
      <c r="G25" s="96" t="n">
        <v>85.57</v>
      </c>
      <c r="H25" s="96" t="n">
        <v>139.54</v>
      </c>
      <c r="I25" s="96" t="n">
        <v>75</v>
      </c>
      <c r="J25" s="96" t="n">
        <v>62</v>
      </c>
      <c r="K25" s="53" t="n">
        <f aca="false">AVERAGE(D25:J25)</f>
        <v>96.6085714285714</v>
      </c>
      <c r="L25" s="53" t="n">
        <f aca="false">J25-D25</f>
        <v>-12.69</v>
      </c>
    </row>
    <row r="26" customFormat="false" ht="15" hidden="false" customHeight="false" outlineLevel="0" collapsed="false">
      <c r="A26" s="12" t="s">
        <v>527</v>
      </c>
      <c r="B26" s="87" t="s">
        <v>528</v>
      </c>
      <c r="C26" s="17" t="s">
        <v>493</v>
      </c>
      <c r="D26" s="90" t="n">
        <f aca="false">D23+D24-D25</f>
        <v>305.44</v>
      </c>
      <c r="E26" s="90" t="n">
        <f aca="false">E23+E24-E25</f>
        <v>159.08</v>
      </c>
      <c r="F26" s="90" t="n">
        <f aca="false">F23+F24-F25</f>
        <v>1221.61</v>
      </c>
      <c r="G26" s="90" t="n">
        <f aca="false">G23+G24-G25</f>
        <v>895.340000000001</v>
      </c>
      <c r="H26" s="90" t="n">
        <f aca="false">H23+H24-H25</f>
        <v>164.409999999999</v>
      </c>
      <c r="I26" s="90" t="n">
        <f aca="false">I23+I24-I25</f>
        <v>15</v>
      </c>
      <c r="J26" s="90" t="n">
        <f aca="false">J23+J24-J25</f>
        <v>4</v>
      </c>
      <c r="K26" s="91" t="n">
        <f aca="false">AVERAGE(D26:J26)</f>
        <v>394.982857142857</v>
      </c>
      <c r="L26" s="91" t="n">
        <f aca="false">J26-D26</f>
        <v>-301.44</v>
      </c>
    </row>
    <row r="27" customFormat="false" ht="15" hidden="false" customHeight="false" outlineLevel="0" collapsed="false">
      <c r="A27" s="16" t="s">
        <v>529</v>
      </c>
      <c r="B27" s="87" t="s">
        <v>530</v>
      </c>
      <c r="C27" s="17" t="s">
        <v>493</v>
      </c>
      <c r="D27" s="96" t="n">
        <v>71.1</v>
      </c>
      <c r="E27" s="96" t="n">
        <v>63.97</v>
      </c>
      <c r="F27" s="96" t="n">
        <v>257.02</v>
      </c>
      <c r="G27" s="96" t="n">
        <v>242.13</v>
      </c>
      <c r="H27" s="96" t="n">
        <v>24.41</v>
      </c>
      <c r="I27" s="96" t="n">
        <v>-50</v>
      </c>
      <c r="J27" s="96" t="n">
        <v>-4</v>
      </c>
      <c r="K27" s="53" t="n">
        <f aca="false">AVERAGE(D27:J27)</f>
        <v>86.3757142857143</v>
      </c>
      <c r="L27" s="53" t="n">
        <f aca="false">J27-D27</f>
        <v>-75.1</v>
      </c>
    </row>
    <row r="28" customFormat="false" ht="15" hidden="false" customHeight="false" outlineLevel="0" collapsed="false">
      <c r="A28" s="16" t="s">
        <v>531</v>
      </c>
      <c r="B28" s="87" t="s">
        <v>532</v>
      </c>
      <c r="C28" s="17" t="s">
        <v>493</v>
      </c>
      <c r="D28" s="69" t="n">
        <f aca="false">D26-D27</f>
        <v>234.34</v>
      </c>
      <c r="E28" s="69" t="n">
        <f aca="false">E26-E27</f>
        <v>95.1100000000002</v>
      </c>
      <c r="F28" s="69" t="n">
        <f aca="false">F26-F27</f>
        <v>964.589999999998</v>
      </c>
      <c r="G28" s="69" t="n">
        <f aca="false">G26-G27</f>
        <v>653.210000000001</v>
      </c>
      <c r="H28" s="69" t="n">
        <f aca="false">H26-H27</f>
        <v>139.999999999999</v>
      </c>
      <c r="I28" s="69" t="n">
        <f aca="false">I26-I27</f>
        <v>65</v>
      </c>
      <c r="J28" s="69" t="n">
        <f aca="false">J26-J27</f>
        <v>8</v>
      </c>
      <c r="K28" s="53" t="n">
        <f aca="false">AVERAGE(D28:J28)</f>
        <v>308.607142857143</v>
      </c>
      <c r="L28" s="53" t="n">
        <f aca="false">J28-D28</f>
        <v>-226.34</v>
      </c>
    </row>
    <row r="29" customFormat="false" ht="15" hidden="false" customHeight="false" outlineLevel="0" collapsed="false">
      <c r="A29" s="16" t="s">
        <v>533</v>
      </c>
      <c r="B29" s="87" t="s">
        <v>534</v>
      </c>
      <c r="C29" s="17" t="s">
        <v>493</v>
      </c>
      <c r="D29" s="69" t="n">
        <f aca="false">D30-D28</f>
        <v>-11.3399999999996</v>
      </c>
      <c r="E29" s="69" t="n">
        <f aca="false">E30-E28</f>
        <v>77.7899999999999</v>
      </c>
      <c r="F29" s="69" t="n">
        <f aca="false">F30-F28</f>
        <v>-38.8699999999983</v>
      </c>
      <c r="G29" s="69" t="n">
        <f aca="false">G30-G28</f>
        <v>-23.6200000000008</v>
      </c>
      <c r="H29" s="69" t="n">
        <f aca="false">H30-H28</f>
        <v>9.70000000000107</v>
      </c>
      <c r="I29" s="69" t="n">
        <f aca="false">I30-I28</f>
        <v>0</v>
      </c>
      <c r="J29" s="69" t="n">
        <f aca="false">J30-J28</f>
        <v>0</v>
      </c>
      <c r="K29" s="53" t="n">
        <f aca="false">AVERAGE(D29:J29)</f>
        <v>1.95142857142889</v>
      </c>
      <c r="L29" s="53" t="n">
        <f aca="false">J29-D29</f>
        <v>11.3399999999996</v>
      </c>
    </row>
    <row r="30" customFormat="false" ht="15" hidden="false" customHeight="false" outlineLevel="0" collapsed="false">
      <c r="A30" s="16" t="s">
        <v>535</v>
      </c>
      <c r="B30" s="87" t="s">
        <v>536</v>
      </c>
      <c r="C30" s="17" t="s">
        <v>493</v>
      </c>
      <c r="D30" s="96" t="n">
        <v>223</v>
      </c>
      <c r="E30" s="96" t="n">
        <v>172.9</v>
      </c>
      <c r="F30" s="96" t="n">
        <v>925.72</v>
      </c>
      <c r="G30" s="96" t="n">
        <v>629.59</v>
      </c>
      <c r="H30" s="96" t="n">
        <v>149.7</v>
      </c>
      <c r="I30" s="96" t="n">
        <v>65</v>
      </c>
      <c r="J30" s="96" t="n">
        <v>8</v>
      </c>
      <c r="K30" s="53" t="n">
        <f aca="false">AVERAGE(D30:J30)</f>
        <v>310.558571428571</v>
      </c>
      <c r="L30" s="53" t="n">
        <f aca="false">J30-D30</f>
        <v>-215</v>
      </c>
    </row>
    <row r="31" customFormat="false" ht="15" hidden="false" customHeight="false" outlineLevel="0" collapsed="false">
      <c r="A31" s="16" t="s">
        <v>537</v>
      </c>
      <c r="B31" s="87" t="s">
        <v>538</v>
      </c>
      <c r="C31" s="17" t="s">
        <v>493</v>
      </c>
      <c r="D31" s="96" t="n">
        <v>73.71</v>
      </c>
      <c r="E31" s="96" t="n">
        <v>49.14</v>
      </c>
      <c r="F31" s="96" t="n">
        <v>73.71</v>
      </c>
      <c r="G31" s="96" t="n">
        <v>79.85</v>
      </c>
      <c r="H31" s="96" t="n">
        <v>98.28</v>
      </c>
      <c r="I31" s="96" t="n">
        <v>315</v>
      </c>
      <c r="J31" s="96" t="n">
        <v>0</v>
      </c>
      <c r="K31" s="53" t="n">
        <f aca="false">AVERAGE(D31:J31)</f>
        <v>98.5271428571429</v>
      </c>
      <c r="L31" s="53" t="n">
        <f aca="false">J31-D31</f>
        <v>-73.71</v>
      </c>
    </row>
    <row r="32" customFormat="false" ht="15" hidden="false" customHeight="false" outlineLevel="0" collapsed="false">
      <c r="A32" s="16" t="s">
        <v>539</v>
      </c>
      <c r="B32" s="87" t="s">
        <v>540</v>
      </c>
      <c r="C32" s="17" t="s">
        <v>493</v>
      </c>
      <c r="D32" s="96" t="n">
        <v>0</v>
      </c>
      <c r="E32" s="96" t="n">
        <v>0</v>
      </c>
      <c r="F32" s="96" t="n">
        <v>0</v>
      </c>
      <c r="G32" s="96" t="n">
        <v>0</v>
      </c>
      <c r="H32" s="96" t="n">
        <v>0</v>
      </c>
      <c r="I32" s="96" t="n">
        <v>0</v>
      </c>
      <c r="J32" s="96" t="n">
        <v>0</v>
      </c>
      <c r="K32" s="53" t="n">
        <f aca="false">AVERAGE(D32:J32)</f>
        <v>0</v>
      </c>
      <c r="L32" s="53" t="n">
        <f aca="false">J32-D32</f>
        <v>0</v>
      </c>
    </row>
    <row r="34" customFormat="false" ht="19.5" hidden="false" customHeight="true" outlineLevel="0" collapsed="false">
      <c r="A34" s="85" t="s">
        <v>541</v>
      </c>
      <c r="B34" s="86"/>
      <c r="C34" s="86"/>
      <c r="D34" s="86"/>
      <c r="E34" s="86"/>
      <c r="F34" s="86"/>
      <c r="G34" s="86"/>
      <c r="H34" s="86"/>
      <c r="I34" s="86"/>
      <c r="J34" s="86"/>
      <c r="K34" s="86"/>
      <c r="L34" s="86"/>
    </row>
    <row r="35" customFormat="false" ht="16.5" hidden="false" customHeight="true" outlineLevel="0" collapsed="false">
      <c r="A35" s="88" t="s">
        <v>542</v>
      </c>
      <c r="B35" s="89"/>
      <c r="C35" s="89"/>
      <c r="D35" s="89"/>
      <c r="E35" s="89"/>
      <c r="F35" s="89"/>
      <c r="G35" s="89"/>
      <c r="H35" s="89"/>
      <c r="I35" s="89"/>
      <c r="J35" s="89"/>
      <c r="K35" s="89"/>
      <c r="L35" s="89"/>
    </row>
    <row r="36" customFormat="false" ht="15" hidden="false" customHeight="false" outlineLevel="0" collapsed="false">
      <c r="A36" s="16" t="s">
        <v>543</v>
      </c>
      <c r="B36" s="87" t="s">
        <v>544</v>
      </c>
      <c r="C36" s="17" t="s">
        <v>493</v>
      </c>
      <c r="D36" s="96" t="n">
        <v>49.14</v>
      </c>
      <c r="E36" s="96" t="n">
        <v>49.14</v>
      </c>
      <c r="F36" s="96" t="n">
        <v>49.14</v>
      </c>
      <c r="G36" s="96" t="n">
        <v>49.14</v>
      </c>
      <c r="H36" s="96" t="n">
        <v>196.56</v>
      </c>
      <c r="I36" s="96" t="n">
        <v>300</v>
      </c>
      <c r="J36" s="96" t="n">
        <v>300</v>
      </c>
      <c r="K36" s="53" t="n">
        <f aca="false">AVERAGE(D36:J36)</f>
        <v>141.874285714286</v>
      </c>
      <c r="L36" s="53" t="n">
        <f aca="false">J36-D36</f>
        <v>250.86</v>
      </c>
    </row>
    <row r="37" customFormat="false" ht="15" hidden="false" customHeight="false" outlineLevel="0" collapsed="false">
      <c r="A37" s="16" t="s">
        <v>545</v>
      </c>
      <c r="B37" s="87" t="s">
        <v>540</v>
      </c>
      <c r="C37" s="17" t="s">
        <v>493</v>
      </c>
      <c r="D37" s="96" t="n">
        <v>0</v>
      </c>
      <c r="E37" s="96" t="n">
        <v>0</v>
      </c>
      <c r="F37" s="96" t="n">
        <v>0</v>
      </c>
      <c r="G37" s="96" t="n">
        <v>0</v>
      </c>
      <c r="H37" s="96" t="n">
        <v>0</v>
      </c>
      <c r="I37" s="96" t="n">
        <v>0</v>
      </c>
      <c r="J37" s="96" t="n">
        <v>0</v>
      </c>
      <c r="K37" s="53" t="n">
        <f aca="false">AVERAGE(D37:J37)</f>
        <v>0</v>
      </c>
      <c r="L37" s="53" t="n">
        <f aca="false">J37-D37</f>
        <v>0</v>
      </c>
    </row>
    <row r="38" customFormat="false" ht="15" hidden="false" customHeight="false" outlineLevel="0" collapsed="false">
      <c r="A38" s="16" t="s">
        <v>546</v>
      </c>
      <c r="B38" s="87" t="s">
        <v>547</v>
      </c>
      <c r="C38" s="17" t="s">
        <v>493</v>
      </c>
      <c r="D38" s="96" t="n">
        <v>2096.56</v>
      </c>
      <c r="E38" s="96" t="n">
        <v>2234.4</v>
      </c>
      <c r="F38" s="96" t="n">
        <v>3112.62</v>
      </c>
      <c r="G38" s="96" t="n">
        <v>2765.08</v>
      </c>
      <c r="H38" s="96" t="n">
        <v>2325.07</v>
      </c>
      <c r="I38" s="96" t="n">
        <v>262</v>
      </c>
      <c r="J38" s="96" t="n">
        <v>274</v>
      </c>
      <c r="K38" s="53" t="n">
        <f aca="false">AVERAGE(D38:J38)</f>
        <v>1867.10428571429</v>
      </c>
      <c r="L38" s="53" t="n">
        <f aca="false">J38-D38</f>
        <v>-1822.56</v>
      </c>
    </row>
    <row r="39" customFormat="false" ht="15" hidden="false" customHeight="false" outlineLevel="0" collapsed="false">
      <c r="A39" s="12" t="s">
        <v>548</v>
      </c>
      <c r="B39" s="87" t="s">
        <v>549</v>
      </c>
      <c r="C39" s="17" t="s">
        <v>493</v>
      </c>
      <c r="D39" s="29" t="n">
        <f aca="false">D36+D38</f>
        <v>2145.7</v>
      </c>
      <c r="E39" s="29" t="n">
        <f aca="false">E36+E38</f>
        <v>2283.54</v>
      </c>
      <c r="F39" s="29" t="n">
        <f aca="false">F36+F38</f>
        <v>3161.76</v>
      </c>
      <c r="G39" s="29" t="n">
        <f aca="false">G36+G38</f>
        <v>2814.22</v>
      </c>
      <c r="H39" s="29" t="n">
        <f aca="false">H36+H38</f>
        <v>2521.63</v>
      </c>
      <c r="I39" s="29" t="n">
        <f aca="false">I36+I38</f>
        <v>562</v>
      </c>
      <c r="J39" s="29" t="n">
        <f aca="false">J36+J38</f>
        <v>574</v>
      </c>
      <c r="K39" s="29" t="n">
        <f aca="false">AVERAGE(D39:J39)</f>
        <v>2008.97857142857</v>
      </c>
      <c r="L39" s="29" t="n">
        <f aca="false">J39-D39</f>
        <v>-1571.7</v>
      </c>
    </row>
    <row r="40" customFormat="false" ht="15" hidden="false" customHeight="false" outlineLevel="0" collapsed="false">
      <c r="A40" s="12" t="s">
        <v>550</v>
      </c>
      <c r="B40" s="87" t="s">
        <v>551</v>
      </c>
      <c r="C40" s="17" t="s">
        <v>493</v>
      </c>
      <c r="D40" s="29" t="n">
        <f aca="false">D39+D37</f>
        <v>2145.7</v>
      </c>
      <c r="E40" s="29" t="n">
        <f aca="false">E39+E37</f>
        <v>2283.54</v>
      </c>
      <c r="F40" s="29" t="n">
        <f aca="false">F39+F37</f>
        <v>3161.76</v>
      </c>
      <c r="G40" s="29" t="n">
        <f aca="false">G39+G37</f>
        <v>2814.22</v>
      </c>
      <c r="H40" s="29" t="n">
        <f aca="false">H39+H37</f>
        <v>2521.63</v>
      </c>
      <c r="I40" s="29" t="n">
        <f aca="false">I39+I37</f>
        <v>562</v>
      </c>
      <c r="J40" s="29" t="n">
        <f aca="false">J39+J37</f>
        <v>574</v>
      </c>
      <c r="K40" s="29" t="n">
        <f aca="false">AVERAGE(D40:J40)</f>
        <v>2008.97857142857</v>
      </c>
      <c r="L40" s="29" t="n">
        <f aca="false">J40-D40</f>
        <v>-1571.7</v>
      </c>
    </row>
    <row r="41" customFormat="false" ht="15" hidden="false" customHeight="false" outlineLevel="0" collapsed="false">
      <c r="A41" s="16" t="s">
        <v>552</v>
      </c>
      <c r="B41" s="87" t="s">
        <v>553</v>
      </c>
      <c r="C41" s="17" t="s">
        <v>493</v>
      </c>
      <c r="D41" s="96" t="n">
        <v>1603.34</v>
      </c>
      <c r="E41" s="96" t="n">
        <v>2065.37</v>
      </c>
      <c r="F41" s="96" t="n">
        <v>2317.31</v>
      </c>
      <c r="G41" s="96" t="n">
        <v>1179.5</v>
      </c>
      <c r="H41" s="96" t="n">
        <v>1846.14</v>
      </c>
      <c r="I41" s="96" t="n">
        <v>781</v>
      </c>
      <c r="J41" s="96" t="n">
        <v>693</v>
      </c>
      <c r="K41" s="53" t="n">
        <f aca="false">AVERAGE(D41:J41)</f>
        <v>1497.95142857143</v>
      </c>
      <c r="L41" s="53" t="n">
        <f aca="false">J41-D41</f>
        <v>-910.34</v>
      </c>
    </row>
    <row r="42" customFormat="false" ht="15" hidden="false" customHeight="false" outlineLevel="0" collapsed="false">
      <c r="A42" s="16" t="s">
        <v>554</v>
      </c>
      <c r="B42" s="87" t="s">
        <v>555</v>
      </c>
      <c r="C42" s="17" t="s">
        <v>493</v>
      </c>
      <c r="D42" s="96" t="n">
        <v>1551.9</v>
      </c>
      <c r="E42" s="96" t="n">
        <v>2964.36</v>
      </c>
      <c r="F42" s="96" t="n">
        <v>4124.93</v>
      </c>
      <c r="G42" s="96" t="n">
        <v>3237.13</v>
      </c>
      <c r="H42" s="96" t="n">
        <v>2795.71</v>
      </c>
      <c r="I42" s="96" t="n">
        <v>398</v>
      </c>
      <c r="J42" s="96" t="n">
        <v>469</v>
      </c>
      <c r="K42" s="53" t="n">
        <f aca="false">AVERAGE(D42:J42)</f>
        <v>2220.14714285714</v>
      </c>
      <c r="L42" s="53" t="n">
        <f aca="false">J42-D42</f>
        <v>-1082.9</v>
      </c>
    </row>
    <row r="43" customFormat="false" ht="15" hidden="false" customHeight="false" outlineLevel="0" collapsed="false">
      <c r="A43" s="12" t="s">
        <v>556</v>
      </c>
      <c r="B43" s="87" t="s">
        <v>557</v>
      </c>
      <c r="C43" s="17" t="s">
        <v>493</v>
      </c>
      <c r="D43" s="90" t="n">
        <f aca="false">D40+D41+D42</f>
        <v>5300.94</v>
      </c>
      <c r="E43" s="90" t="n">
        <f aca="false">E40+E41+E42</f>
        <v>7313.27</v>
      </c>
      <c r="F43" s="90" t="n">
        <f aca="false">F40+F41+F42</f>
        <v>9604</v>
      </c>
      <c r="G43" s="90" t="n">
        <f aca="false">G40+G41+G42</f>
        <v>7230.85</v>
      </c>
      <c r="H43" s="90" t="n">
        <f aca="false">H40+H41+H42</f>
        <v>7163.48</v>
      </c>
      <c r="I43" s="90" t="n">
        <f aca="false">I40+I41+I42</f>
        <v>1741</v>
      </c>
      <c r="J43" s="90" t="n">
        <f aca="false">J40+J41+J42</f>
        <v>1736</v>
      </c>
      <c r="K43" s="91" t="n">
        <f aca="false">AVERAGE(D43:J43)</f>
        <v>5727.07714285714</v>
      </c>
      <c r="L43" s="91" t="n">
        <f aca="false">J43-D43</f>
        <v>-3564.94</v>
      </c>
    </row>
    <row r="44" customFormat="false" ht="16.5" hidden="false" customHeight="true" outlineLevel="0" collapsed="false">
      <c r="A44" s="88" t="s">
        <v>558</v>
      </c>
      <c r="B44" s="89"/>
      <c r="C44" s="89"/>
      <c r="D44" s="89"/>
      <c r="E44" s="89"/>
      <c r="F44" s="89"/>
      <c r="G44" s="89"/>
      <c r="H44" s="89"/>
      <c r="I44" s="89"/>
      <c r="J44" s="89"/>
      <c r="K44" s="89"/>
      <c r="L44" s="89"/>
    </row>
    <row r="45" customFormat="false" ht="15" hidden="false" customHeight="false" outlineLevel="0" collapsed="false">
      <c r="A45" s="16" t="s">
        <v>559</v>
      </c>
      <c r="B45" s="87" t="s">
        <v>560</v>
      </c>
      <c r="C45" s="17" t="s">
        <v>493</v>
      </c>
      <c r="D45" s="96" t="n">
        <v>1967.99</v>
      </c>
      <c r="E45" s="96" t="n">
        <v>3164.56</v>
      </c>
      <c r="F45" s="96" t="n">
        <v>3491.76</v>
      </c>
      <c r="G45" s="96" t="n">
        <v>2131.88</v>
      </c>
      <c r="H45" s="96" t="n">
        <v>2834.35</v>
      </c>
      <c r="I45" s="96" t="n">
        <v>759</v>
      </c>
      <c r="J45" s="96" t="n">
        <v>783</v>
      </c>
      <c r="K45" s="53" t="n">
        <f aca="false">AVERAGE(D45:J45)</f>
        <v>2161.79142857143</v>
      </c>
      <c r="L45" s="53" t="n">
        <f aca="false">J45-D45</f>
        <v>-1184.99</v>
      </c>
    </row>
    <row r="46" customFormat="false" ht="15" hidden="false" customHeight="false" outlineLevel="0" collapsed="false">
      <c r="A46" s="16" t="s">
        <v>561</v>
      </c>
      <c r="B46" s="87" t="s">
        <v>562</v>
      </c>
      <c r="C46" s="17" t="s">
        <v>493</v>
      </c>
      <c r="D46" s="96" t="n">
        <v>269.25</v>
      </c>
      <c r="E46" s="96" t="n">
        <v>2.59</v>
      </c>
      <c r="F46" s="96" t="n">
        <v>2.88</v>
      </c>
      <c r="G46" s="96" t="n">
        <v>15.4</v>
      </c>
      <c r="H46" s="96" t="n">
        <v>46.82</v>
      </c>
      <c r="I46" s="96" t="n">
        <v>3</v>
      </c>
      <c r="J46" s="96" t="n">
        <v>3</v>
      </c>
      <c r="K46" s="53" t="n">
        <f aca="false">AVERAGE(D46:J46)</f>
        <v>48.9914285714286</v>
      </c>
      <c r="L46" s="53" t="n">
        <f aca="false">J46-D46</f>
        <v>-266.25</v>
      </c>
    </row>
    <row r="47" customFormat="false" ht="15" hidden="false" customHeight="false" outlineLevel="0" collapsed="false">
      <c r="A47" s="16" t="s">
        <v>563</v>
      </c>
      <c r="B47" s="87" t="s">
        <v>564</v>
      </c>
      <c r="C47" s="17" t="s">
        <v>493</v>
      </c>
      <c r="D47" s="96" t="n">
        <v>509.76</v>
      </c>
      <c r="E47" s="96" t="n">
        <v>324.06</v>
      </c>
      <c r="F47" s="96" t="n">
        <v>566.64</v>
      </c>
      <c r="G47" s="96" t="n">
        <v>581.3</v>
      </c>
      <c r="H47" s="96" t="n">
        <v>243.87</v>
      </c>
      <c r="I47" s="96" t="n">
        <v>3</v>
      </c>
      <c r="J47" s="96" t="n">
        <v>0</v>
      </c>
      <c r="K47" s="53" t="n">
        <f aca="false">AVERAGE(D47:J47)</f>
        <v>318.375714285714</v>
      </c>
      <c r="L47" s="53" t="n">
        <f aca="false">J47-D47</f>
        <v>-509.76</v>
      </c>
    </row>
    <row r="48" customFormat="false" ht="15" hidden="false" customHeight="false" outlineLevel="0" collapsed="false">
      <c r="A48" s="16" t="s">
        <v>565</v>
      </c>
      <c r="B48" s="87" t="s">
        <v>566</v>
      </c>
      <c r="C48" s="17" t="s">
        <v>493</v>
      </c>
      <c r="D48" s="96" t="n">
        <v>2553.94</v>
      </c>
      <c r="E48" s="96" t="n">
        <v>3822.06</v>
      </c>
      <c r="F48" s="96" t="n">
        <v>5542.72</v>
      </c>
      <c r="G48" s="96" t="n">
        <v>4502.27</v>
      </c>
      <c r="H48" s="96" t="n">
        <v>4038.44</v>
      </c>
      <c r="I48" s="96" t="n">
        <v>976</v>
      </c>
      <c r="J48" s="96" t="n">
        <v>950</v>
      </c>
      <c r="K48" s="53" t="n">
        <f aca="false">AVERAGE(D48:J48)</f>
        <v>3197.91857142857</v>
      </c>
      <c r="L48" s="53" t="n">
        <f aca="false">J48-D48</f>
        <v>-1603.94</v>
      </c>
    </row>
    <row r="49" customFormat="false" ht="15" hidden="false" customHeight="false" outlineLevel="0" collapsed="false">
      <c r="A49" s="12" t="s">
        <v>567</v>
      </c>
      <c r="B49" s="87" t="s">
        <v>568</v>
      </c>
      <c r="C49" s="17" t="s">
        <v>493</v>
      </c>
      <c r="D49" s="90" t="n">
        <f aca="false">D45+D46+D47+D48</f>
        <v>5300.94</v>
      </c>
      <c r="E49" s="90" t="n">
        <f aca="false">E45+E46+E47+E48</f>
        <v>7313.27</v>
      </c>
      <c r="F49" s="90" t="n">
        <f aca="false">F45+F46+F47+F48</f>
        <v>9604</v>
      </c>
      <c r="G49" s="90" t="n">
        <f aca="false">G45+G46+G47+G48</f>
        <v>7230.85</v>
      </c>
      <c r="H49" s="90" t="n">
        <f aca="false">H45+H46+H47+H48</f>
        <v>7163.48</v>
      </c>
      <c r="I49" s="90" t="n">
        <f aca="false">I45+I46+I47+I48</f>
        <v>1741</v>
      </c>
      <c r="J49" s="90" t="n">
        <f aca="false">J45+J46+J47+J48</f>
        <v>1736</v>
      </c>
      <c r="K49" s="91" t="n">
        <f aca="false">AVERAGE(D49:J49)</f>
        <v>5727.07714285714</v>
      </c>
      <c r="L49" s="91" t="n">
        <f aca="false">J49-D49</f>
        <v>-3564.94</v>
      </c>
    </row>
    <row r="50" customFormat="false" ht="15" hidden="false" customHeight="false" outlineLevel="0" collapsed="false">
      <c r="A50" s="16" t="s">
        <v>569</v>
      </c>
      <c r="B50" s="87" t="s">
        <v>570</v>
      </c>
      <c r="C50" s="17" t="s">
        <v>493</v>
      </c>
      <c r="D50" s="96" t="n">
        <v>1150.09</v>
      </c>
      <c r="E50" s="96" t="n">
        <v>2175.7</v>
      </c>
      <c r="F50" s="96" t="n">
        <v>3076.26</v>
      </c>
      <c r="G50" s="96" t="n">
        <v>2038.05</v>
      </c>
      <c r="H50" s="96" t="n">
        <v>2227.68</v>
      </c>
      <c r="I50" s="96" t="n">
        <v>375</v>
      </c>
      <c r="J50" s="96" t="n">
        <v>429</v>
      </c>
      <c r="K50" s="53" t="n">
        <f aca="false">AVERAGE(D50:J50)</f>
        <v>1638.82571428571</v>
      </c>
      <c r="L50" s="53" t="n">
        <f aca="false">J50-D50</f>
        <v>-721.09</v>
      </c>
    </row>
    <row r="51" customFormat="false" ht="15" hidden="false" customHeight="false" outlineLevel="0" collapsed="false">
      <c r="A51" s="16" t="s">
        <v>571</v>
      </c>
      <c r="B51" s="87" t="s">
        <v>570</v>
      </c>
      <c r="C51" s="17" t="s">
        <v>493</v>
      </c>
      <c r="D51" s="96" t="n">
        <v>7.76</v>
      </c>
      <c r="E51" s="96" t="n">
        <v>9.85</v>
      </c>
      <c r="F51" s="96" t="n">
        <v>7.93</v>
      </c>
      <c r="G51" s="96" t="n">
        <v>3</v>
      </c>
      <c r="H51" s="96" t="n">
        <v>3</v>
      </c>
      <c r="I51" s="96" t="n">
        <v>0</v>
      </c>
      <c r="J51" s="96" t="n">
        <v>0</v>
      </c>
      <c r="K51" s="53" t="n">
        <f aca="false">AVERAGE(D51:J51)</f>
        <v>4.50571428571429</v>
      </c>
      <c r="L51" s="53" t="n">
        <f aca="false">J51-D51</f>
        <v>-7.76</v>
      </c>
    </row>
    <row r="52" customFormat="false" ht="15" hidden="false" customHeight="false" outlineLevel="0" collapsed="false">
      <c r="A52" s="16" t="s">
        <v>572</v>
      </c>
      <c r="B52" s="87" t="s">
        <v>570</v>
      </c>
      <c r="C52" s="17" t="s">
        <v>493</v>
      </c>
      <c r="D52" s="96" t="n">
        <v>587.8</v>
      </c>
      <c r="E52" s="96" t="n">
        <v>381.22</v>
      </c>
      <c r="F52" s="96" t="n">
        <v>644.35</v>
      </c>
      <c r="G52" s="96" t="n">
        <v>1308.76</v>
      </c>
      <c r="H52" s="96" t="n">
        <v>558.79</v>
      </c>
      <c r="I52" s="96" t="n">
        <v>157</v>
      </c>
      <c r="J52" s="96" t="n">
        <v>131</v>
      </c>
      <c r="K52" s="53" t="n">
        <f aca="false">AVERAGE(D52:J52)</f>
        <v>538.417142857143</v>
      </c>
      <c r="L52" s="53" t="n">
        <f aca="false">J52-D52</f>
        <v>-456.8</v>
      </c>
    </row>
    <row r="53" customFormat="false" ht="15" hidden="false" customHeight="false" outlineLevel="0" collapsed="false">
      <c r="A53" s="16" t="s">
        <v>573</v>
      </c>
      <c r="B53" s="87" t="s">
        <v>574</v>
      </c>
      <c r="C53" s="17" t="s">
        <v>493</v>
      </c>
      <c r="D53" s="92" t="n">
        <f aca="false">D49-D43</f>
        <v>0</v>
      </c>
      <c r="E53" s="92" t="n">
        <f aca="false">E49-E43</f>
        <v>0</v>
      </c>
      <c r="F53" s="92" t="n">
        <f aca="false">F49-F43</f>
        <v>0</v>
      </c>
      <c r="G53" s="92" t="n">
        <f aca="false">G49-G43</f>
        <v>0</v>
      </c>
      <c r="H53" s="92" t="n">
        <f aca="false">H49-H43</f>
        <v>0</v>
      </c>
      <c r="I53" s="92" t="n">
        <f aca="false">I49-I43</f>
        <v>0</v>
      </c>
      <c r="J53" s="92" t="n">
        <f aca="false">J49-J43</f>
        <v>0</v>
      </c>
      <c r="K53" s="53"/>
      <c r="L53" s="53"/>
    </row>
    <row r="55" customFormat="false" ht="19.5" hidden="false" customHeight="true" outlineLevel="0" collapsed="false">
      <c r="A55" s="85" t="s">
        <v>575</v>
      </c>
      <c r="B55" s="86"/>
      <c r="C55" s="86"/>
      <c r="D55" s="86"/>
      <c r="E55" s="86"/>
      <c r="F55" s="86"/>
      <c r="G55" s="86"/>
      <c r="H55" s="86"/>
      <c r="I55" s="86"/>
      <c r="J55" s="86"/>
      <c r="K55" s="86"/>
      <c r="L55" s="86"/>
    </row>
    <row r="56" customFormat="false" ht="16.5" hidden="false" customHeight="true" outlineLevel="0" collapsed="false">
      <c r="A56" s="88" t="s">
        <v>576</v>
      </c>
      <c r="B56" s="89"/>
      <c r="C56" s="89"/>
      <c r="D56" s="89"/>
      <c r="E56" s="89"/>
      <c r="F56" s="89"/>
      <c r="G56" s="89"/>
      <c r="H56" s="89"/>
      <c r="I56" s="89"/>
      <c r="J56" s="89"/>
      <c r="K56" s="89"/>
      <c r="L56" s="89"/>
    </row>
    <row r="57" customFormat="false" ht="15" hidden="false" customHeight="false" outlineLevel="0" collapsed="false">
      <c r="A57" s="16" t="s">
        <v>527</v>
      </c>
      <c r="B57" s="87" t="s">
        <v>577</v>
      </c>
      <c r="C57" s="17" t="s">
        <v>493</v>
      </c>
      <c r="D57" s="69" t="n">
        <f aca="false">D26</f>
        <v>305.44</v>
      </c>
      <c r="E57" s="69" t="n">
        <f aca="false">E26</f>
        <v>159.08</v>
      </c>
      <c r="F57" s="69" t="n">
        <f aca="false">F26</f>
        <v>1221.61</v>
      </c>
      <c r="G57" s="69" t="n">
        <f aca="false">G26</f>
        <v>895.340000000001</v>
      </c>
      <c r="H57" s="69" t="n">
        <f aca="false">H26</f>
        <v>164.409999999999</v>
      </c>
      <c r="I57" s="69" t="n">
        <f aca="false">I26</f>
        <v>15</v>
      </c>
      <c r="J57" s="69" t="n">
        <f aca="false">J26</f>
        <v>4</v>
      </c>
      <c r="K57" s="53" t="n">
        <f aca="false">AVERAGE(D57:J57)</f>
        <v>394.982857142857</v>
      </c>
      <c r="L57" s="53" t="n">
        <f aca="false">J57-D57</f>
        <v>-301.44</v>
      </c>
    </row>
    <row r="58" customFormat="false" ht="15" hidden="false" customHeight="false" outlineLevel="0" collapsed="false">
      <c r="A58" s="16" t="s">
        <v>578</v>
      </c>
      <c r="B58" s="87" t="s">
        <v>579</v>
      </c>
      <c r="C58" s="17" t="s">
        <v>493</v>
      </c>
      <c r="D58" s="69" t="n">
        <f aca="false">D22</f>
        <v>231.6</v>
      </c>
      <c r="E58" s="69" t="n">
        <f aca="false">E22</f>
        <v>306.09</v>
      </c>
      <c r="F58" s="69" t="n">
        <f aca="false">F22</f>
        <v>237.57</v>
      </c>
      <c r="G58" s="69" t="n">
        <f aca="false">G22</f>
        <v>278.01</v>
      </c>
      <c r="H58" s="69" t="n">
        <f aca="false">H22</f>
        <v>400.02</v>
      </c>
      <c r="I58" s="69" t="n">
        <f aca="false">I22</f>
        <v>182</v>
      </c>
      <c r="J58" s="69" t="n">
        <f aca="false">J22</f>
        <v>204</v>
      </c>
      <c r="K58" s="53" t="n">
        <f aca="false">AVERAGE(D58:J58)</f>
        <v>262.755714285714</v>
      </c>
      <c r="L58" s="53" t="n">
        <f aca="false">J58-D58</f>
        <v>-27.6</v>
      </c>
    </row>
    <row r="59" customFormat="false" ht="15" hidden="false" customHeight="false" outlineLevel="0" collapsed="false">
      <c r="A59" s="16" t="s">
        <v>580</v>
      </c>
      <c r="B59" s="87" t="s">
        <v>581</v>
      </c>
      <c r="C59" s="17" t="s">
        <v>493</v>
      </c>
      <c r="D59" s="69" t="n">
        <f aca="false">D25</f>
        <v>74.69</v>
      </c>
      <c r="E59" s="69" t="n">
        <f aca="false">E25</f>
        <v>143.25</v>
      </c>
      <c r="F59" s="69" t="n">
        <f aca="false">F25</f>
        <v>96.21</v>
      </c>
      <c r="G59" s="69" t="n">
        <f aca="false">G25</f>
        <v>85.57</v>
      </c>
      <c r="H59" s="69" t="n">
        <f aca="false">H25</f>
        <v>139.54</v>
      </c>
      <c r="I59" s="69" t="n">
        <f aca="false">I25</f>
        <v>75</v>
      </c>
      <c r="J59" s="69" t="n">
        <f aca="false">J25</f>
        <v>62</v>
      </c>
      <c r="K59" s="53" t="n">
        <f aca="false">AVERAGE(D59:J59)</f>
        <v>96.6085714285714</v>
      </c>
      <c r="L59" s="53" t="n">
        <f aca="false">J59-D59</f>
        <v>-12.69</v>
      </c>
    </row>
    <row r="60" customFormat="false" ht="15" hidden="false" customHeight="false" outlineLevel="0" collapsed="false">
      <c r="A60" s="16" t="s">
        <v>582</v>
      </c>
      <c r="B60" s="87" t="s">
        <v>583</v>
      </c>
      <c r="C60" s="17" t="s">
        <v>493</v>
      </c>
      <c r="D60" s="69" t="n">
        <f aca="false">-D24</f>
        <v>-96.58</v>
      </c>
      <c r="E60" s="69" t="n">
        <f aca="false">-E24</f>
        <v>34.67</v>
      </c>
      <c r="F60" s="69" t="n">
        <f aca="false">-F24</f>
        <v>-274.13</v>
      </c>
      <c r="G60" s="69" t="n">
        <f aca="false">-G24</f>
        <v>-118.72</v>
      </c>
      <c r="H60" s="69" t="n">
        <f aca="false">-H24</f>
        <v>-233.27</v>
      </c>
      <c r="I60" s="69" t="n">
        <f aca="false">-I24</f>
        <v>-70</v>
      </c>
      <c r="J60" s="69" t="n">
        <f aca="false">-J24</f>
        <v>-35</v>
      </c>
      <c r="K60" s="53" t="n">
        <f aca="false">AVERAGE(D60:J60)</f>
        <v>-113.29</v>
      </c>
      <c r="L60" s="53" t="n">
        <f aca="false">J60-D60</f>
        <v>61.58</v>
      </c>
    </row>
    <row r="61" customFormat="false" ht="15" hidden="false" customHeight="false" outlineLevel="0" collapsed="false">
      <c r="A61" s="12" t="s">
        <v>584</v>
      </c>
      <c r="B61" s="87" t="s">
        <v>585</v>
      </c>
      <c r="C61" s="17" t="s">
        <v>493</v>
      </c>
      <c r="D61" s="29" t="n">
        <f aca="false">D57+D58+D59+D60</f>
        <v>515.15</v>
      </c>
      <c r="E61" s="29" t="n">
        <f aca="false">E57+E58+E59+E60</f>
        <v>643.09</v>
      </c>
      <c r="F61" s="29" t="n">
        <f aca="false">F57+F58+F59+F60</f>
        <v>1281.26</v>
      </c>
      <c r="G61" s="29" t="n">
        <f aca="false">G57+G58+G59+G60</f>
        <v>1140.2</v>
      </c>
      <c r="H61" s="29" t="n">
        <f aca="false">H57+H58+H59+H60</f>
        <v>470.699999999999</v>
      </c>
      <c r="I61" s="29" t="n">
        <f aca="false">I57+I58+I59+I60</f>
        <v>202</v>
      </c>
      <c r="J61" s="29" t="n">
        <f aca="false">J57+J58+J59+J60</f>
        <v>235</v>
      </c>
      <c r="K61" s="29" t="n">
        <f aca="false">AVERAGE(D61:J61)</f>
        <v>641.057142857143</v>
      </c>
      <c r="L61" s="29" t="n">
        <f aca="false">J61-D61</f>
        <v>-280.15</v>
      </c>
    </row>
    <row r="62" customFormat="false" ht="15" hidden="false" customHeight="false" outlineLevel="0" collapsed="false">
      <c r="A62" s="16" t="s">
        <v>586</v>
      </c>
      <c r="B62" s="87" t="s">
        <v>587</v>
      </c>
      <c r="C62" s="17" t="s">
        <v>493</v>
      </c>
      <c r="D62" s="69" t="n">
        <f aca="false">D63-D61</f>
        <v>-195.69</v>
      </c>
      <c r="E62" s="69" t="n">
        <f aca="false">E63-E61</f>
        <v>-313.34</v>
      </c>
      <c r="F62" s="69" t="n">
        <f aca="false">F63-F61</f>
        <v>-430.919999999998</v>
      </c>
      <c r="G62" s="69" t="n">
        <f aca="false">G63-G61</f>
        <v>442.559999999999</v>
      </c>
      <c r="H62" s="69" t="n">
        <f aca="false">H63-H61</f>
        <v>-616.429999999999</v>
      </c>
      <c r="I62" s="69" t="n">
        <f aca="false">I63-I61</f>
        <v>73</v>
      </c>
      <c r="J62" s="69" t="n">
        <f aca="false">J63-J61</f>
        <v>79</v>
      </c>
      <c r="K62" s="53" t="n">
        <f aca="false">AVERAGE(D62:J62)</f>
        <v>-137.402857142857</v>
      </c>
      <c r="L62" s="53" t="n">
        <f aca="false">J62-D62</f>
        <v>274.69</v>
      </c>
    </row>
    <row r="63" customFormat="false" ht="15" hidden="false" customHeight="false" outlineLevel="0" collapsed="false">
      <c r="A63" s="16" t="s">
        <v>588</v>
      </c>
      <c r="B63" s="87" t="s">
        <v>589</v>
      </c>
      <c r="C63" s="17" t="s">
        <v>493</v>
      </c>
      <c r="D63" s="96" t="n">
        <v>319.46</v>
      </c>
      <c r="E63" s="96" t="n">
        <v>329.75</v>
      </c>
      <c r="F63" s="96" t="n">
        <v>850.34</v>
      </c>
      <c r="G63" s="96" t="n">
        <v>1582.76</v>
      </c>
      <c r="H63" s="96" t="n">
        <v>-145.73</v>
      </c>
      <c r="I63" s="96" t="n">
        <v>275</v>
      </c>
      <c r="J63" s="96" t="n">
        <v>314</v>
      </c>
      <c r="K63" s="53" t="n">
        <f aca="false">AVERAGE(D63:J63)</f>
        <v>503.654285714286</v>
      </c>
      <c r="L63" s="53" t="n">
        <f aca="false">J63-D63</f>
        <v>-5.45999999999998</v>
      </c>
    </row>
    <row r="64" customFormat="false" ht="16.5" hidden="false" customHeight="true" outlineLevel="0" collapsed="false">
      <c r="A64" s="88" t="s">
        <v>590</v>
      </c>
      <c r="B64" s="89"/>
      <c r="C64" s="89"/>
      <c r="D64" s="89"/>
      <c r="E64" s="89"/>
      <c r="F64" s="89"/>
      <c r="G64" s="89"/>
      <c r="H64" s="89"/>
      <c r="I64" s="89"/>
      <c r="J64" s="89"/>
      <c r="K64" s="89"/>
      <c r="L64" s="89"/>
    </row>
    <row r="65" customFormat="false" ht="15" hidden="false" customHeight="false" outlineLevel="0" collapsed="false">
      <c r="A65" s="16" t="s">
        <v>591</v>
      </c>
      <c r="B65" s="87" t="s">
        <v>592</v>
      </c>
      <c r="C65" s="17" t="s">
        <v>493</v>
      </c>
      <c r="D65" s="96" t="n">
        <v>-997.97</v>
      </c>
      <c r="E65" s="96" t="n">
        <v>43.89</v>
      </c>
      <c r="F65" s="96" t="n">
        <v>-563.28</v>
      </c>
      <c r="G65" s="96" t="n">
        <v>-382.02</v>
      </c>
      <c r="H65" s="96" t="n">
        <v>-316.51</v>
      </c>
      <c r="I65" s="96" t="n">
        <v>146</v>
      </c>
      <c r="J65" s="96" t="n">
        <v>56</v>
      </c>
      <c r="K65" s="53" t="n">
        <f aca="false">AVERAGE(D65:J65)</f>
        <v>-287.698571428571</v>
      </c>
      <c r="L65" s="53" t="n">
        <f aca="false">J65-D65</f>
        <v>1053.97</v>
      </c>
    </row>
    <row r="66" customFormat="false" ht="16.5" hidden="false" customHeight="true" outlineLevel="0" collapsed="false">
      <c r="A66" s="88" t="s">
        <v>593</v>
      </c>
      <c r="B66" s="89"/>
      <c r="C66" s="89"/>
      <c r="D66" s="89"/>
      <c r="E66" s="89"/>
      <c r="F66" s="89"/>
      <c r="G66" s="89"/>
      <c r="H66" s="89"/>
      <c r="I66" s="89"/>
      <c r="J66" s="89"/>
      <c r="K66" s="89"/>
      <c r="L66" s="89"/>
    </row>
    <row r="67" customFormat="false" ht="15" hidden="false" customHeight="false" outlineLevel="0" collapsed="false">
      <c r="A67" s="16" t="s">
        <v>594</v>
      </c>
      <c r="B67" s="87" t="s">
        <v>595</v>
      </c>
      <c r="C67" s="17" t="s">
        <v>493</v>
      </c>
      <c r="D67" s="69" t="n">
        <f aca="false">-D25</f>
        <v>-74.69</v>
      </c>
      <c r="E67" s="69" t="n">
        <f aca="false">-E25</f>
        <v>-143.25</v>
      </c>
      <c r="F67" s="69" t="n">
        <f aca="false">-F25</f>
        <v>-96.21</v>
      </c>
      <c r="G67" s="69" t="n">
        <f aca="false">-G25</f>
        <v>-85.57</v>
      </c>
      <c r="H67" s="69" t="n">
        <f aca="false">-H25</f>
        <v>-139.54</v>
      </c>
      <c r="I67" s="69" t="n">
        <f aca="false">-I25</f>
        <v>-75</v>
      </c>
      <c r="J67" s="69" t="n">
        <f aca="false">-J25</f>
        <v>-62</v>
      </c>
      <c r="K67" s="53" t="n">
        <f aca="false">AVERAGE(D67:J67)</f>
        <v>-96.6085714285714</v>
      </c>
      <c r="L67" s="53" t="n">
        <f aca="false">J67-D67</f>
        <v>12.69</v>
      </c>
    </row>
    <row r="68" customFormat="false" ht="15" hidden="false" customHeight="false" outlineLevel="0" collapsed="false">
      <c r="A68" s="16" t="s">
        <v>596</v>
      </c>
      <c r="B68" s="87" t="s">
        <v>597</v>
      </c>
      <c r="C68" s="17" t="s">
        <v>493</v>
      </c>
      <c r="D68" s="69" t="n">
        <f aca="false">-D31</f>
        <v>-73.71</v>
      </c>
      <c r="E68" s="69" t="n">
        <f aca="false">-E31</f>
        <v>-49.14</v>
      </c>
      <c r="F68" s="69" t="n">
        <f aca="false">-F31</f>
        <v>-73.71</v>
      </c>
      <c r="G68" s="69" t="n">
        <f aca="false">-G31</f>
        <v>-79.85</v>
      </c>
      <c r="H68" s="69" t="n">
        <f aca="false">-H31</f>
        <v>-98.28</v>
      </c>
      <c r="I68" s="69" t="n">
        <f aca="false">-I31</f>
        <v>-315</v>
      </c>
      <c r="J68" s="69" t="n">
        <f aca="false">-J31</f>
        <v>-0</v>
      </c>
      <c r="K68" s="53" t="n">
        <f aca="false">AVERAGE(D68:J68)</f>
        <v>-98.5271428571429</v>
      </c>
      <c r="L68" s="53" t="n">
        <f aca="false">J68-D68</f>
        <v>73.71</v>
      </c>
    </row>
    <row r="69" customFormat="false" ht="15" hidden="false" customHeight="false" outlineLevel="0" collapsed="false">
      <c r="A69" s="16" t="s">
        <v>598</v>
      </c>
      <c r="B69" s="87" t="s">
        <v>599</v>
      </c>
      <c r="C69" s="17" t="s">
        <v>493</v>
      </c>
      <c r="D69" s="69" t="n">
        <f aca="false">D70-D67-D68</f>
        <v>886.67</v>
      </c>
      <c r="E69" s="69" t="n">
        <f aca="false">E70-E67-E68</f>
        <v>-123.69</v>
      </c>
      <c r="F69" s="69" t="n">
        <f aca="false">F70-F67-F68</f>
        <v>151.13</v>
      </c>
      <c r="G69" s="69" t="n">
        <f aca="false">G70-G67-G68</f>
        <v>-691.19</v>
      </c>
      <c r="H69" s="69" t="n">
        <f aca="false">H70-H67-H68</f>
        <v>191.35</v>
      </c>
      <c r="I69" s="69" t="n">
        <f aca="false">I70-I67-I68</f>
        <v>-45</v>
      </c>
      <c r="J69" s="69" t="n">
        <f aca="false">J70-J67-J68</f>
        <v>-311</v>
      </c>
      <c r="K69" s="53" t="n">
        <f aca="false">AVERAGE(D69:J69)</f>
        <v>8.32428571428573</v>
      </c>
      <c r="L69" s="53" t="n">
        <f aca="false">J69-D69</f>
        <v>-1197.67</v>
      </c>
    </row>
    <row r="70" customFormat="false" ht="15" hidden="false" customHeight="false" outlineLevel="0" collapsed="false">
      <c r="A70" s="16" t="s">
        <v>600</v>
      </c>
      <c r="B70" s="87" t="s">
        <v>601</v>
      </c>
      <c r="C70" s="17" t="s">
        <v>493</v>
      </c>
      <c r="D70" s="96" t="n">
        <v>738.27</v>
      </c>
      <c r="E70" s="96" t="n">
        <v>-316.08</v>
      </c>
      <c r="F70" s="96" t="n">
        <v>-18.79</v>
      </c>
      <c r="G70" s="96" t="n">
        <v>-856.61</v>
      </c>
      <c r="H70" s="96" t="n">
        <v>-46.47</v>
      </c>
      <c r="I70" s="96" t="n">
        <v>-435</v>
      </c>
      <c r="J70" s="96" t="n">
        <v>-373</v>
      </c>
      <c r="K70" s="53" t="n">
        <f aca="false">AVERAGE(D70:J70)</f>
        <v>-186.811428571429</v>
      </c>
      <c r="L70" s="53" t="n">
        <f aca="false">J70-D70</f>
        <v>-1111.27</v>
      </c>
    </row>
    <row r="71" customFormat="false" ht="15" hidden="false" customHeight="false" outlineLevel="0" collapsed="false">
      <c r="A71" s="12" t="s">
        <v>602</v>
      </c>
      <c r="B71" s="87" t="s">
        <v>603</v>
      </c>
      <c r="C71" s="17" t="s">
        <v>493</v>
      </c>
      <c r="D71" s="90" t="n">
        <f aca="false">D63+D65+D70</f>
        <v>59.76</v>
      </c>
      <c r="E71" s="90" t="n">
        <f aca="false">E63+E65+E70</f>
        <v>57.56</v>
      </c>
      <c r="F71" s="90" t="n">
        <f aca="false">F63+F65+F70</f>
        <v>268.27</v>
      </c>
      <c r="G71" s="90" t="n">
        <f aca="false">G63+G65+G70</f>
        <v>344.13</v>
      </c>
      <c r="H71" s="90" t="n">
        <f aca="false">H63+H65+H70</f>
        <v>-508.71</v>
      </c>
      <c r="I71" s="90" t="n">
        <f aca="false">I63+I65+I70</f>
        <v>-14</v>
      </c>
      <c r="J71" s="90" t="n">
        <f aca="false">J63+J65+J70</f>
        <v>-3</v>
      </c>
      <c r="K71" s="91" t="n">
        <f aca="false">AVERAGE(D71:J71)</f>
        <v>29.1442857142857</v>
      </c>
      <c r="L71" s="91" t="n">
        <f aca="false">J71-D71</f>
        <v>-62.76</v>
      </c>
    </row>
    <row r="72" customFormat="false" ht="15" hidden="false" customHeight="false" outlineLevel="0" collapsed="false">
      <c r="A72" s="12" t="s">
        <v>604</v>
      </c>
      <c r="B72" s="87" t="s">
        <v>605</v>
      </c>
      <c r="C72" s="17" t="s">
        <v>493</v>
      </c>
      <c r="D72" s="29" t="n">
        <f aca="false">D63+D65</f>
        <v>-678.51</v>
      </c>
      <c r="E72" s="29" t="n">
        <f aca="false">E63+E65</f>
        <v>373.64</v>
      </c>
      <c r="F72" s="29" t="n">
        <f aca="false">F63+F65</f>
        <v>287.06</v>
      </c>
      <c r="G72" s="29" t="n">
        <f aca="false">G63+G65</f>
        <v>1200.74</v>
      </c>
      <c r="H72" s="29" t="n">
        <f aca="false">H63+H65</f>
        <v>-462.24</v>
      </c>
      <c r="I72" s="29" t="n">
        <f aca="false">I63+I65</f>
        <v>421</v>
      </c>
      <c r="J72" s="29" t="n">
        <f aca="false">J63+J65</f>
        <v>370</v>
      </c>
      <c r="K72" s="29" t="n">
        <f aca="false">AVERAGE(D72:J72)</f>
        <v>215.955714285714</v>
      </c>
      <c r="L72" s="29" t="n">
        <f aca="false">J72-D72</f>
        <v>1048.51</v>
      </c>
    </row>
    <row r="73" customFormat="false" ht="15" hidden="false" customHeight="false" outlineLevel="0" collapsed="false">
      <c r="A73" s="16" t="s">
        <v>606</v>
      </c>
      <c r="B73" s="87" t="s">
        <v>607</v>
      </c>
      <c r="C73" s="17" t="s">
        <v>493</v>
      </c>
      <c r="D73" s="69" t="n">
        <f aca="false">D52</f>
        <v>587.8</v>
      </c>
      <c r="E73" s="69" t="n">
        <f aca="false">E52</f>
        <v>381.22</v>
      </c>
      <c r="F73" s="69" t="n">
        <f aca="false">F52</f>
        <v>644.35</v>
      </c>
      <c r="G73" s="69" t="n">
        <f aca="false">G52</f>
        <v>1308.76</v>
      </c>
      <c r="H73" s="69" t="n">
        <f aca="false">H52</f>
        <v>558.79</v>
      </c>
      <c r="I73" s="69" t="n">
        <f aca="false">I52</f>
        <v>157</v>
      </c>
      <c r="J73" s="69" t="n">
        <f aca="false">J52</f>
        <v>131</v>
      </c>
      <c r="K73" s="53" t="n">
        <f aca="false">AVERAGE(D73:J73)</f>
        <v>538.417142857143</v>
      </c>
      <c r="L73" s="53" t="n">
        <f aca="false">J73-D73</f>
        <v>-456.8</v>
      </c>
    </row>
    <row r="74" customFormat="false" ht="16.5" hidden="false" customHeight="true" outlineLevel="0" collapsed="false">
      <c r="A74" s="88" t="s">
        <v>608</v>
      </c>
      <c r="B74" s="89"/>
      <c r="C74" s="89"/>
      <c r="D74" s="89"/>
      <c r="E74" s="89"/>
      <c r="F74" s="89"/>
      <c r="G74" s="89"/>
      <c r="H74" s="89"/>
      <c r="I74" s="89"/>
      <c r="J74" s="89"/>
      <c r="K74" s="89"/>
      <c r="L74" s="89"/>
    </row>
    <row r="75" customFormat="false" ht="15" hidden="false" customHeight="false" outlineLevel="0" collapsed="false">
      <c r="A75" s="16" t="s">
        <v>609</v>
      </c>
      <c r="B75" s="87" t="s">
        <v>610</v>
      </c>
      <c r="C75" s="17" t="s">
        <v>493</v>
      </c>
      <c r="D75" s="69" t="n">
        <f aca="false">-D65</f>
        <v>997.97</v>
      </c>
      <c r="E75" s="69" t="n">
        <f aca="false">-E65</f>
        <v>-43.89</v>
      </c>
      <c r="F75" s="69" t="n">
        <f aca="false">-F65</f>
        <v>563.28</v>
      </c>
      <c r="G75" s="69" t="n">
        <f aca="false">-G65</f>
        <v>382.02</v>
      </c>
      <c r="H75" s="69" t="n">
        <f aca="false">-H65</f>
        <v>316.51</v>
      </c>
      <c r="I75" s="69" t="n">
        <f aca="false">-I65</f>
        <v>-146</v>
      </c>
      <c r="J75" s="69" t="n">
        <f aca="false">-J65</f>
        <v>-56</v>
      </c>
      <c r="K75" s="53" t="n">
        <f aca="false">AVERAGE(D75:J75)</f>
        <v>287.698571428571</v>
      </c>
      <c r="L75" s="53" t="n">
        <f aca="false">J75-D75</f>
        <v>-1053.97</v>
      </c>
    </row>
    <row r="76" customFormat="false" ht="15" hidden="false" customHeight="false" outlineLevel="0" collapsed="false">
      <c r="A76" s="16" t="s">
        <v>611</v>
      </c>
      <c r="B76" s="87" t="s">
        <v>798</v>
      </c>
      <c r="C76" s="17" t="s">
        <v>493</v>
      </c>
      <c r="D76" s="69" t="n">
        <f aca="false">MAX(-D69,0)</f>
        <v>0</v>
      </c>
      <c r="E76" s="69" t="n">
        <f aca="false">MAX(-E69,0)</f>
        <v>123.69</v>
      </c>
      <c r="F76" s="69" t="n">
        <f aca="false">MAX(-F69,0)</f>
        <v>0</v>
      </c>
      <c r="G76" s="69" t="n">
        <f aca="false">MAX(-G69,0)</f>
        <v>691.19</v>
      </c>
      <c r="H76" s="69" t="n">
        <f aca="false">MAX(-H69,0)</f>
        <v>0</v>
      </c>
      <c r="I76" s="69" t="n">
        <f aca="false">MAX(-I69,0)</f>
        <v>45</v>
      </c>
      <c r="J76" s="69" t="n">
        <f aca="false">MAX(-J69,0)</f>
        <v>311</v>
      </c>
      <c r="K76" s="53" t="n">
        <f aca="false">AVERAGE(D76:J76)</f>
        <v>167.268571428571</v>
      </c>
      <c r="L76" s="53" t="n">
        <f aca="false">J76-D76</f>
        <v>311</v>
      </c>
    </row>
    <row r="77" customFormat="false" ht="15" hidden="false" customHeight="false" outlineLevel="0" collapsed="false">
      <c r="A77" s="16" t="s">
        <v>613</v>
      </c>
      <c r="B77" s="87" t="s">
        <v>614</v>
      </c>
      <c r="C77" s="17" t="s">
        <v>615</v>
      </c>
      <c r="D77" s="71" t="n">
        <f aca="false">IF(D26&gt;0,MIN(MAX(D27/D26,0),Setup!$C$11),0)</f>
        <v>0.232778941854374</v>
      </c>
      <c r="E77" s="71" t="n">
        <f aca="false">IF(E26&gt;0,MIN(MAX(E27/E26,0),Setup!$C$11),0)</f>
        <v>0.34944</v>
      </c>
      <c r="F77" s="71" t="n">
        <f aca="false">IF(F26&gt;0,MIN(MAX(F27/F26,0),Setup!$C$11),0)</f>
        <v>0.210394479416508</v>
      </c>
      <c r="G77" s="71" t="n">
        <f aca="false">IF(G26&gt;0,MIN(MAX(G27/G26,0),Setup!$C$11),0)</f>
        <v>0.270433578305448</v>
      </c>
      <c r="H77" s="71" t="n">
        <f aca="false">IF(H26&gt;0,MIN(MAX(H27/H26,0),Setup!$C$11),0)</f>
        <v>0.148470287695397</v>
      </c>
      <c r="I77" s="71" t="n">
        <f aca="false">IF(I26&gt;0,MIN(MAX(I27/I26,0),Setup!$C$11),0)</f>
        <v>0</v>
      </c>
      <c r="J77" s="71" t="n">
        <f aca="false">IF(J26&gt;0,MIN(MAX(J27/J26,0),Setup!$C$11),0)</f>
        <v>0</v>
      </c>
      <c r="K77" s="62" t="n">
        <f aca="false">AVERAGE(D77:J77)</f>
        <v>0.173073898181675</v>
      </c>
      <c r="L77" s="62" t="n">
        <f aca="false">J77-D77</f>
        <v>-0.232778941854374</v>
      </c>
    </row>
    <row r="79" customFormat="false" ht="19.5" hidden="false" customHeight="true" outlineLevel="0" collapsed="false">
      <c r="A79" s="85" t="s">
        <v>799</v>
      </c>
      <c r="B79" s="86"/>
      <c r="C79" s="86"/>
      <c r="D79" s="86"/>
      <c r="E79" s="86"/>
      <c r="F79" s="86"/>
      <c r="G79" s="86"/>
      <c r="H79" s="86"/>
      <c r="I79" s="86"/>
      <c r="J79" s="86"/>
      <c r="K79" s="86"/>
      <c r="L79" s="86"/>
    </row>
    <row r="80" customFormat="false" ht="15" hidden="false" customHeight="false" outlineLevel="0" collapsed="false">
      <c r="A80" s="16" t="s">
        <v>800</v>
      </c>
      <c r="B80" s="87" t="s">
        <v>801</v>
      </c>
      <c r="C80" s="17" t="s">
        <v>757</v>
      </c>
      <c r="D80" s="97" t="n">
        <v>3.97</v>
      </c>
      <c r="E80" s="97" t="n">
        <v>8.38</v>
      </c>
      <c r="F80" s="97" t="n">
        <v>24.33</v>
      </c>
      <c r="G80" s="97" t="n">
        <v>24.14</v>
      </c>
      <c r="H80" s="97" t="n">
        <v>24.94</v>
      </c>
      <c r="I80" s="97" t="n">
        <v>9.96</v>
      </c>
      <c r="J80" s="97" t="n">
        <v>7.18</v>
      </c>
      <c r="K80" s="66" t="n">
        <f aca="false">AVERAGE(D80:J80)</f>
        <v>14.7</v>
      </c>
      <c r="L80" s="66" t="n">
        <f aca="false">J80-D80</f>
        <v>3.21</v>
      </c>
    </row>
    <row r="81" customFormat="false" ht="15" hidden="false" customHeight="false" outlineLevel="0" collapsed="false">
      <c r="A81" s="16" t="s">
        <v>802</v>
      </c>
      <c r="B81" s="87" t="s">
        <v>803</v>
      </c>
      <c r="C81" s="17" t="s">
        <v>804</v>
      </c>
      <c r="D81" s="97" t="n">
        <v>98.28</v>
      </c>
      <c r="E81" s="97" t="n">
        <v>98.28</v>
      </c>
      <c r="F81" s="97" t="n">
        <v>98.28</v>
      </c>
      <c r="G81" s="97" t="n">
        <v>98.28</v>
      </c>
      <c r="H81" s="97" t="n">
        <v>98.28</v>
      </c>
      <c r="I81" s="100" t="n">
        <v>149.7778</v>
      </c>
      <c r="J81" s="97" t="n">
        <v>149.78</v>
      </c>
      <c r="K81" s="66" t="n">
        <f aca="false">AVERAGE(D81:J81)</f>
        <v>112.993971428571</v>
      </c>
      <c r="L81" s="66" t="n">
        <f aca="false">J81-D81</f>
        <v>51.5</v>
      </c>
    </row>
    <row r="82" customFormat="false" ht="15" hidden="false" customHeight="false" outlineLevel="0" collapsed="false">
      <c r="A82" s="16" t="s">
        <v>805</v>
      </c>
      <c r="B82" s="87" t="s">
        <v>806</v>
      </c>
      <c r="C82" s="17" t="s">
        <v>493</v>
      </c>
      <c r="D82" s="69" t="n">
        <f aca="false">D80*D81</f>
        <v>390.1716</v>
      </c>
      <c r="E82" s="69" t="n">
        <f aca="false">E80*E81</f>
        <v>823.5864</v>
      </c>
      <c r="F82" s="69" t="n">
        <f aca="false">F80*F81</f>
        <v>2391.1524</v>
      </c>
      <c r="G82" s="69" t="n">
        <f aca="false">G80*G81</f>
        <v>2372.4792</v>
      </c>
      <c r="H82" s="69" t="n">
        <f aca="false">H80*H81</f>
        <v>2451.1032</v>
      </c>
      <c r="I82" s="69" t="n">
        <f aca="false">I80*I81</f>
        <v>1491.786888</v>
      </c>
      <c r="J82" s="69" t="n">
        <f aca="false">J80*J81</f>
        <v>1075.4204</v>
      </c>
      <c r="K82" s="53" t="n">
        <f aca="false">AVERAGE(D82:J82)</f>
        <v>1570.81429828571</v>
      </c>
      <c r="L82" s="53" t="n">
        <f aca="false">J82-D82</f>
        <v>685.2488</v>
      </c>
    </row>
    <row r="83" customFormat="false" ht="15" hidden="false" customHeight="false" outlineLevel="0" collapsed="false">
      <c r="A83" s="16" t="s">
        <v>807</v>
      </c>
      <c r="B83" s="87" t="s">
        <v>808</v>
      </c>
      <c r="C83" s="17" t="s">
        <v>493</v>
      </c>
      <c r="D83" s="69" t="n">
        <f aca="false">D82+D41-D52</f>
        <v>1405.7116</v>
      </c>
      <c r="E83" s="69" t="n">
        <f aca="false">E82+E41-E52</f>
        <v>2507.7364</v>
      </c>
      <c r="F83" s="69" t="n">
        <f aca="false">F82+F41-F52</f>
        <v>4064.1124</v>
      </c>
      <c r="G83" s="69" t="n">
        <f aca="false">G82+G41-G52</f>
        <v>2243.2192</v>
      </c>
      <c r="H83" s="69" t="n">
        <f aca="false">H82+H41-H52</f>
        <v>3738.4532</v>
      </c>
      <c r="I83" s="69" t="n">
        <f aca="false">I82+I41-I52</f>
        <v>2115.786888</v>
      </c>
      <c r="J83" s="69" t="n">
        <f aca="false">J82+J41-J52</f>
        <v>1637.4204</v>
      </c>
      <c r="K83" s="53" t="n">
        <f aca="false">AVERAGE(D83:J83)</f>
        <v>2530.348584</v>
      </c>
      <c r="L83" s="53" t="n">
        <f aca="false">J83-D83</f>
        <v>231.7088</v>
      </c>
    </row>
    <row r="84" customFormat="false" ht="15" hidden="false" customHeight="false" outlineLevel="0" collapsed="false">
      <c r="A84" s="16" t="s">
        <v>809</v>
      </c>
      <c r="B84" s="87" t="s">
        <v>810</v>
      </c>
      <c r="C84" s="17" t="s">
        <v>811</v>
      </c>
      <c r="D84" s="101" t="n">
        <v>0</v>
      </c>
      <c r="E84" s="101" t="n">
        <v>0</v>
      </c>
      <c r="F84" s="101" t="n">
        <v>0</v>
      </c>
      <c r="G84" s="101" t="n">
        <v>0</v>
      </c>
      <c r="H84" s="101" t="n">
        <v>0</v>
      </c>
      <c r="I84" s="101" t="n">
        <v>0</v>
      </c>
      <c r="J84" s="98" t="n">
        <v>1</v>
      </c>
      <c r="K84" s="99"/>
      <c r="L84" s="99"/>
    </row>
    <row r="86" customFormat="false" ht="19.5" hidden="false" customHeight="true" outlineLevel="0" collapsed="false">
      <c r="A86" s="85" t="s">
        <v>629</v>
      </c>
      <c r="B86" s="86"/>
      <c r="C86" s="86"/>
      <c r="D86" s="86"/>
      <c r="E86" s="86"/>
      <c r="F86" s="86"/>
      <c r="G86" s="86"/>
      <c r="H86" s="86"/>
      <c r="I86" s="86"/>
      <c r="J86" s="86"/>
      <c r="K86" s="86"/>
      <c r="L86" s="86"/>
    </row>
    <row r="87" customFormat="false" ht="15" hidden="false" customHeight="false" outlineLevel="0" collapsed="false">
      <c r="A87" s="16" t="s">
        <v>630</v>
      </c>
      <c r="B87" s="87" t="s">
        <v>631</v>
      </c>
      <c r="C87" s="17" t="s">
        <v>493</v>
      </c>
      <c r="D87" s="69" t="n">
        <f aca="false">D48</f>
        <v>2553.94</v>
      </c>
      <c r="E87" s="69" t="n">
        <f aca="false">E48</f>
        <v>3822.06</v>
      </c>
      <c r="F87" s="69" t="n">
        <f aca="false">F48</f>
        <v>5542.72</v>
      </c>
      <c r="G87" s="69" t="n">
        <f aca="false">G48</f>
        <v>4502.27</v>
      </c>
      <c r="H87" s="69" t="n">
        <f aca="false">H48</f>
        <v>4038.44</v>
      </c>
      <c r="I87" s="69" t="n">
        <f aca="false">I48</f>
        <v>976</v>
      </c>
      <c r="J87" s="69" t="n">
        <f aca="false">J48</f>
        <v>950</v>
      </c>
      <c r="K87" s="53" t="n">
        <f aca="false">AVERAGE(D87:J87)</f>
        <v>3197.91857142857</v>
      </c>
      <c r="L87" s="53" t="n">
        <f aca="false">J87-D87</f>
        <v>-1603.94</v>
      </c>
    </row>
    <row r="88" customFormat="false" ht="15" hidden="false" customHeight="false" outlineLevel="0" collapsed="false">
      <c r="A88" s="16" t="s">
        <v>632</v>
      </c>
      <c r="B88" s="87" t="s">
        <v>633</v>
      </c>
      <c r="C88" s="17" t="s">
        <v>493</v>
      </c>
      <c r="D88" s="69" t="n">
        <f aca="false">D42</f>
        <v>1551.9</v>
      </c>
      <c r="E88" s="69" t="n">
        <f aca="false">E42</f>
        <v>2964.36</v>
      </c>
      <c r="F88" s="69" t="n">
        <f aca="false">F42</f>
        <v>4124.93</v>
      </c>
      <c r="G88" s="69" t="n">
        <f aca="false">G42</f>
        <v>3237.13</v>
      </c>
      <c r="H88" s="69" t="n">
        <f aca="false">H42</f>
        <v>2795.71</v>
      </c>
      <c r="I88" s="69" t="n">
        <f aca="false">I42</f>
        <v>398</v>
      </c>
      <c r="J88" s="69" t="n">
        <f aca="false">J42</f>
        <v>469</v>
      </c>
      <c r="K88" s="53" t="n">
        <f aca="false">AVERAGE(D88:J88)</f>
        <v>2220.14714285714</v>
      </c>
      <c r="L88" s="53" t="n">
        <f aca="false">J88-D88</f>
        <v>-1082.9</v>
      </c>
    </row>
    <row r="89" customFormat="false" ht="15" hidden="false" customHeight="false" outlineLevel="0" collapsed="false">
      <c r="A89" s="16" t="s">
        <v>634</v>
      </c>
      <c r="B89" s="87" t="s">
        <v>635</v>
      </c>
      <c r="C89" s="17" t="s">
        <v>493</v>
      </c>
      <c r="D89" s="69" t="n">
        <f aca="false">D50+D52</f>
        <v>1737.89</v>
      </c>
      <c r="E89" s="69" t="n">
        <f aca="false">E50+E52</f>
        <v>2556.92</v>
      </c>
      <c r="F89" s="69" t="n">
        <f aca="false">F50+F52</f>
        <v>3720.61</v>
      </c>
      <c r="G89" s="69" t="n">
        <f aca="false">G50+G52</f>
        <v>3346.81</v>
      </c>
      <c r="H89" s="69" t="n">
        <f aca="false">H50+H52</f>
        <v>2786.47</v>
      </c>
      <c r="I89" s="69" t="n">
        <f aca="false">I50+I52</f>
        <v>532</v>
      </c>
      <c r="J89" s="69" t="n">
        <f aca="false">J50+J52</f>
        <v>560</v>
      </c>
      <c r="K89" s="53" t="n">
        <f aca="false">AVERAGE(D89:J89)</f>
        <v>2177.24285714286</v>
      </c>
      <c r="L89" s="53" t="n">
        <f aca="false">J89-D89</f>
        <v>-1177.89</v>
      </c>
    </row>
    <row r="90" customFormat="false" ht="15" hidden="false" customHeight="false" outlineLevel="0" collapsed="false">
      <c r="A90" s="16" t="s">
        <v>636</v>
      </c>
      <c r="B90" s="87" t="s">
        <v>637</v>
      </c>
      <c r="C90" s="17" t="s">
        <v>493</v>
      </c>
      <c r="D90" s="69" t="n">
        <f aca="false">D40+D41</f>
        <v>3749.04</v>
      </c>
      <c r="E90" s="69" t="n">
        <f aca="false">E40+E41</f>
        <v>4348.91</v>
      </c>
      <c r="F90" s="69" t="n">
        <f aca="false">F40+F41</f>
        <v>5479.07</v>
      </c>
      <c r="G90" s="69" t="n">
        <f aca="false">G40+G41</f>
        <v>3993.72</v>
      </c>
      <c r="H90" s="69" t="n">
        <f aca="false">H40+H41</f>
        <v>4367.77</v>
      </c>
      <c r="I90" s="69" t="n">
        <f aca="false">I40+I41</f>
        <v>1343</v>
      </c>
      <c r="J90" s="69" t="n">
        <f aca="false">J40+J41</f>
        <v>1267</v>
      </c>
      <c r="K90" s="53" t="n">
        <f aca="false">AVERAGE(D90:J90)</f>
        <v>3506.93</v>
      </c>
      <c r="L90" s="53" t="n">
        <f aca="false">J90-D90</f>
        <v>-2482.04</v>
      </c>
    </row>
    <row r="92" customFormat="false" ht="19.5" hidden="false" customHeight="true" outlineLevel="0" collapsed="false">
      <c r="A92" s="85" t="s">
        <v>638</v>
      </c>
      <c r="B92" s="86"/>
      <c r="C92" s="86"/>
      <c r="D92" s="86"/>
      <c r="E92" s="86"/>
      <c r="F92" s="86"/>
      <c r="G92" s="86"/>
      <c r="H92" s="86"/>
      <c r="I92" s="86"/>
      <c r="J92" s="86"/>
      <c r="K92" s="86"/>
      <c r="L92" s="86"/>
    </row>
    <row r="93" customFormat="false" ht="16.5" hidden="false" customHeight="true" outlineLevel="0" collapsed="false">
      <c r="A93" s="88" t="s">
        <v>639</v>
      </c>
      <c r="B93" s="89"/>
      <c r="C93" s="89"/>
      <c r="D93" s="89"/>
      <c r="E93" s="89"/>
      <c r="F93" s="89"/>
      <c r="G93" s="89"/>
      <c r="H93" s="89"/>
      <c r="I93" s="89"/>
      <c r="J93" s="89"/>
      <c r="K93" s="89"/>
      <c r="L93" s="89"/>
    </row>
    <row r="94" customFormat="false" ht="15" hidden="false" customHeight="false" outlineLevel="0" collapsed="false">
      <c r="A94" s="16" t="s">
        <v>640</v>
      </c>
      <c r="B94" s="87" t="s">
        <v>641</v>
      </c>
      <c r="C94" s="17" t="s">
        <v>493</v>
      </c>
      <c r="D94" s="69" t="n">
        <f aca="false">D87-D88</f>
        <v>1002.04</v>
      </c>
      <c r="E94" s="69" t="n">
        <f aca="false">E87-E88</f>
        <v>857.7</v>
      </c>
      <c r="F94" s="69" t="n">
        <f aca="false">F87-F88</f>
        <v>1417.79</v>
      </c>
      <c r="G94" s="69" t="n">
        <f aca="false">G87-G88</f>
        <v>1265.14</v>
      </c>
      <c r="H94" s="69" t="n">
        <f aca="false">H87-H88</f>
        <v>1242.73</v>
      </c>
      <c r="I94" s="69" t="n">
        <f aca="false">I87-I88</f>
        <v>578</v>
      </c>
      <c r="J94" s="69" t="n">
        <f aca="false">J87-J88</f>
        <v>481</v>
      </c>
      <c r="K94" s="53" t="n">
        <f aca="false">AVERAGE(D94:J94)</f>
        <v>977.771428571429</v>
      </c>
      <c r="L94" s="53" t="n">
        <f aca="false">J94-D94</f>
        <v>-521.04</v>
      </c>
    </row>
    <row r="95" customFormat="false" ht="15" hidden="false" customHeight="false" outlineLevel="0" collapsed="false">
      <c r="A95" s="16" t="s">
        <v>642</v>
      </c>
      <c r="B95" s="87" t="s">
        <v>643</v>
      </c>
      <c r="C95" s="17" t="s">
        <v>644</v>
      </c>
      <c r="D95" s="72" t="n">
        <f aca="false">IF(D88&gt;0,D87/D88,"N/M")</f>
        <v>1.645685933372</v>
      </c>
      <c r="E95" s="72" t="n">
        <f aca="false">IF(E88&gt;0,E87/E88,"N/M")</f>
        <v>1.28933732745011</v>
      </c>
      <c r="F95" s="72" t="n">
        <f aca="false">IF(F88&gt;0,F87/F88,"N/M")</f>
        <v>1.34371249936363</v>
      </c>
      <c r="G95" s="72" t="n">
        <f aca="false">IF(G88&gt;0,G87/G88,"N/M")</f>
        <v>1.39082149929104</v>
      </c>
      <c r="H95" s="72" t="n">
        <f aca="false">IF(H88&gt;0,H87/H88,"N/M")</f>
        <v>1.44451320058232</v>
      </c>
      <c r="I95" s="72" t="n">
        <f aca="false">IF(I88&gt;0,I87/I88,"N/M")</f>
        <v>2.45226130653266</v>
      </c>
      <c r="J95" s="72" t="n">
        <f aca="false">IF(J88&gt;0,J87/J88,"N/M")</f>
        <v>2.02558635394456</v>
      </c>
      <c r="K95" s="56" t="n">
        <f aca="false">IF(COUNT(D95:J95)=0,"N/M",AVERAGE(D95:J95))</f>
        <v>1.65598830293376</v>
      </c>
      <c r="L95" s="60" t="n">
        <f aca="false">IF(COUNT(D95,J95)=2,J95-D95,"-")</f>
        <v>0.379900420572568</v>
      </c>
    </row>
    <row r="96" customFormat="false" ht="15" hidden="false" customHeight="false" outlineLevel="0" collapsed="false">
      <c r="A96" s="16" t="s">
        <v>645</v>
      </c>
      <c r="B96" s="87" t="s">
        <v>646</v>
      </c>
      <c r="C96" s="17" t="s">
        <v>647</v>
      </c>
      <c r="D96" s="72" t="n">
        <f aca="false">IF(D88&gt;0,D89/D88,"N/M")</f>
        <v>1.11984663960307</v>
      </c>
      <c r="E96" s="72" t="n">
        <f aca="false">IF(E88&gt;0,E89/E88,"N/M")</f>
        <v>0.862553805880527</v>
      </c>
      <c r="F96" s="72" t="n">
        <f aca="false">IF(F88&gt;0,F89/F88,"N/M")</f>
        <v>0.90198136695653</v>
      </c>
      <c r="G96" s="72" t="n">
        <f aca="false">IF(G88&gt;0,G89/G88,"N/M")</f>
        <v>1.03388186449108</v>
      </c>
      <c r="H96" s="72" t="n">
        <f aca="false">IF(H88&gt;0,H89/H88,"N/M")</f>
        <v>0.99669493617006</v>
      </c>
      <c r="I96" s="72" t="n">
        <f aca="false">IF(I88&gt;0,I89/I88,"N/M")</f>
        <v>1.33668341708543</v>
      </c>
      <c r="J96" s="72" t="n">
        <f aca="false">IF(J88&gt;0,J89/J88,"N/M")</f>
        <v>1.19402985074627</v>
      </c>
      <c r="K96" s="56" t="n">
        <f aca="false">IF(COUNT(D96:J96)=0,"N/M",AVERAGE(D96:J96))</f>
        <v>1.06366741156185</v>
      </c>
      <c r="L96" s="60" t="n">
        <f aca="false">IF(COUNT(D96,J96)=2,J96-D96,"-")</f>
        <v>0.0741832111432015</v>
      </c>
    </row>
    <row r="97" customFormat="false" ht="15" hidden="false" customHeight="false" outlineLevel="0" collapsed="false">
      <c r="A97" s="16" t="s">
        <v>648</v>
      </c>
      <c r="B97" s="87" t="s">
        <v>649</v>
      </c>
      <c r="C97" s="17" t="s">
        <v>650</v>
      </c>
      <c r="D97" s="72" t="n">
        <f aca="false">IF(D88&gt;0,D52/D88,"N/M")</f>
        <v>0.378761518139055</v>
      </c>
      <c r="E97" s="72" t="n">
        <f aca="false">IF(E88&gt;0,E52/E88,"N/M")</f>
        <v>0.128601114574478</v>
      </c>
      <c r="F97" s="72" t="n">
        <f aca="false">IF(F88&gt;0,F52/F88,"N/M")</f>
        <v>0.156208711420557</v>
      </c>
      <c r="G97" s="72" t="n">
        <f aca="false">IF(G88&gt;0,G52/G88,"N/M")</f>
        <v>0.404296398352862</v>
      </c>
      <c r="H97" s="72" t="n">
        <f aca="false">IF(H88&gt;0,H52/H88,"N/M")</f>
        <v>0.199874092806478</v>
      </c>
      <c r="I97" s="72" t="n">
        <f aca="false">IF(I88&gt;0,I52/I88,"N/M")</f>
        <v>0.394472361809045</v>
      </c>
      <c r="J97" s="72" t="n">
        <f aca="false">IF(J88&gt;0,J52/J88,"N/M")</f>
        <v>0.279317697228145</v>
      </c>
      <c r="K97" s="56" t="n">
        <f aca="false">IF(COUNT(D97:J97)=0,"N/M",AVERAGE(D97:J97))</f>
        <v>0.277361699190089</v>
      </c>
      <c r="L97" s="60" t="n">
        <f aca="false">IF(COUNT(D97,J97)=2,J97-D97,"-")</f>
        <v>-0.0994438209109103</v>
      </c>
    </row>
    <row r="98" customFormat="false" ht="15" hidden="false" customHeight="false" outlineLevel="0" collapsed="false">
      <c r="A98" s="16" t="s">
        <v>651</v>
      </c>
      <c r="B98" s="87" t="s">
        <v>652</v>
      </c>
      <c r="C98" s="17" t="s">
        <v>653</v>
      </c>
      <c r="D98" s="74" t="n">
        <f aca="false">IF(D20&gt;0,D89/(D20/Setup!$C$8),"N/M")</f>
        <v>92.8592435467839</v>
      </c>
      <c r="E98" s="74" t="n">
        <f aca="false">IF(E20&gt;0,E89/(E20/Setup!$C$8),"N/M")</f>
        <v>94.700644646733</v>
      </c>
      <c r="F98" s="74" t="n">
        <f aca="false">IF(F20&gt;0,F89/(F20/Setup!$C$8),"N/M")</f>
        <v>76.3757901781697</v>
      </c>
      <c r="G98" s="74" t="n">
        <f aca="false">IF(G20&gt;0,G89/(G20/Setup!$C$8),"N/M")</f>
        <v>72.2379937518369</v>
      </c>
      <c r="H98" s="74" t="n">
        <f aca="false">IF(H20&gt;0,H89/(H20/Setup!$C$8),"N/M")</f>
        <v>81.378074696871</v>
      </c>
      <c r="I98" s="74" t="n">
        <f aca="false">IF(I20&gt;0,I89/(I20/Setup!$C$8),"N/M")</f>
        <v>110.392268334281</v>
      </c>
      <c r="J98" s="74" t="n">
        <f aca="false">IF(J20&gt;0,J89/(J20/Setup!$C$8),"N/M")</f>
        <v>112.122874382885</v>
      </c>
      <c r="K98" s="58" t="n">
        <f aca="false">IF(COUNT(D98:J98)=0,"N/M",AVERAGE(D98:J98))</f>
        <v>91.4381270767944</v>
      </c>
      <c r="L98" s="58" t="n">
        <f aca="false">IF(COUNT(D98,J98)=2,J98-D98,"-")</f>
        <v>19.2636308361015</v>
      </c>
    </row>
    <row r="99" customFormat="false" ht="15" hidden="false" customHeight="false" outlineLevel="0" collapsed="false">
      <c r="A99" s="16" t="s">
        <v>654</v>
      </c>
      <c r="B99" s="87" t="s">
        <v>655</v>
      </c>
      <c r="C99" s="17" t="s">
        <v>97</v>
      </c>
      <c r="D99" s="72" t="n">
        <f aca="false">IF(D88&gt;0,D63/D88,"N/M")</f>
        <v>0.205850892454411</v>
      </c>
      <c r="E99" s="72" t="n">
        <f aca="false">IF(E88&gt;0,E63/E88,"N/M")</f>
        <v>0.111238176199922</v>
      </c>
      <c r="F99" s="72" t="n">
        <f aca="false">IF(F88&gt;0,F63/F88,"N/M")</f>
        <v>0.206146528547151</v>
      </c>
      <c r="G99" s="72" t="n">
        <f aca="false">IF(G88&gt;0,G63/G88,"N/M")</f>
        <v>0.48893927645785</v>
      </c>
      <c r="H99" s="72" t="n">
        <f aca="false">IF(H88&gt;0,H63/H88,"N/M")</f>
        <v>-0.0521262934996834</v>
      </c>
      <c r="I99" s="72" t="n">
        <f aca="false">IF(I88&gt;0,I63/I88,"N/M")</f>
        <v>0.690954773869347</v>
      </c>
      <c r="J99" s="72" t="n">
        <f aca="false">IF(J88&gt;0,J63/J88,"N/M")</f>
        <v>0.669509594882729</v>
      </c>
      <c r="K99" s="56" t="n">
        <f aca="false">IF(COUNT(D99:J99)=0,"N/M",AVERAGE(D99:J99))</f>
        <v>0.331501849844532</v>
      </c>
      <c r="L99" s="60" t="n">
        <f aca="false">IF(COUNT(D99,J99)=2,J99-D99,"-")</f>
        <v>0.463658702428319</v>
      </c>
    </row>
    <row r="100" customFormat="false" ht="16.5" hidden="false" customHeight="true" outlineLevel="0" collapsed="false">
      <c r="A100" s="88" t="s">
        <v>656</v>
      </c>
      <c r="B100" s="89"/>
      <c r="C100" s="89"/>
      <c r="D100" s="89"/>
      <c r="E100" s="89"/>
      <c r="F100" s="89"/>
      <c r="G100" s="89"/>
      <c r="H100" s="89"/>
      <c r="I100" s="89"/>
      <c r="J100" s="89"/>
      <c r="K100" s="89"/>
      <c r="L100" s="89"/>
    </row>
    <row r="101" customFormat="false" ht="15" hidden="false" customHeight="false" outlineLevel="0" collapsed="false">
      <c r="A101" s="16" t="s">
        <v>657</v>
      </c>
      <c r="B101" s="87" t="s">
        <v>658</v>
      </c>
      <c r="C101" s="17" t="s">
        <v>97</v>
      </c>
      <c r="D101" s="72" t="n">
        <f aca="false">IF(D40&gt;0,D41/D40,"N/M")</f>
        <v>0.7472340028895</v>
      </c>
      <c r="E101" s="72" t="n">
        <f aca="false">IF(E40&gt;0,E41/E40,"N/M")</f>
        <v>0.904459742329891</v>
      </c>
      <c r="F101" s="72" t="n">
        <f aca="false">IF(F40&gt;0,F41/F40,"N/M")</f>
        <v>0.732917742017105</v>
      </c>
      <c r="G101" s="72" t="n">
        <f aca="false">IF(G40&gt;0,G41/G40,"N/M")</f>
        <v>0.419121461719411</v>
      </c>
      <c r="H101" s="72" t="n">
        <f aca="false">IF(H40&gt;0,H41/H40,"N/M")</f>
        <v>0.73212168319698</v>
      </c>
      <c r="I101" s="72" t="n">
        <f aca="false">IF(I40&gt;0,I41/I40,"N/M")</f>
        <v>1.38967971530249</v>
      </c>
      <c r="J101" s="72" t="n">
        <f aca="false">IF(J40&gt;0,J41/J40,"N/M")</f>
        <v>1.20731707317073</v>
      </c>
      <c r="K101" s="56" t="n">
        <f aca="false">IF(COUNT(D101:J101)=0,"N/M",AVERAGE(D101:J101))</f>
        <v>0.876121631518016</v>
      </c>
      <c r="L101" s="60" t="n">
        <f aca="false">IF(COUNT(D101,J101)=2,J101-D101,"-")</f>
        <v>0.460083070281232</v>
      </c>
    </row>
    <row r="102" customFormat="false" ht="15" hidden="false" customHeight="false" outlineLevel="0" collapsed="false">
      <c r="A102" s="16" t="s">
        <v>659</v>
      </c>
      <c r="B102" s="87" t="s">
        <v>660</v>
      </c>
      <c r="C102" s="17" t="s">
        <v>97</v>
      </c>
      <c r="D102" s="72" t="n">
        <f aca="false">IF(D40&gt;0,(D41+D42)/D40,"N/M")</f>
        <v>1.47049447732675</v>
      </c>
      <c r="E102" s="72" t="n">
        <f aca="false">IF(E40&gt;0,(E41+E42)/E40,"N/M")</f>
        <v>2.20260210024786</v>
      </c>
      <c r="F102" s="72" t="n">
        <f aca="false">IF(F40&gt;0,(F41+F42)/F40,"N/M")</f>
        <v>2.03754870704924</v>
      </c>
      <c r="G102" s="72" t="n">
        <f aca="false">IF(G40&gt;0,(G41+G42)/G40,"N/M")</f>
        <v>1.56939755953692</v>
      </c>
      <c r="H102" s="72" t="n">
        <f aca="false">IF(H40&gt;0,(H41+H42)/H40,"N/M")</f>
        <v>1.84081328347141</v>
      </c>
      <c r="I102" s="72" t="n">
        <f aca="false">IF(I40&gt;0,(I41+I42)/I40,"N/M")</f>
        <v>2.09786476868327</v>
      </c>
      <c r="J102" s="72" t="n">
        <f aca="false">IF(J40&gt;0,(J41+J42)/J40,"N/M")</f>
        <v>2.02439024390244</v>
      </c>
      <c r="K102" s="56" t="n">
        <f aca="false">IF(COUNT(D102:J102)=0,"N/M",AVERAGE(D102:J102))</f>
        <v>1.89187302003113</v>
      </c>
      <c r="L102" s="60" t="n">
        <f aca="false">IF(COUNT(D102,J102)=2,J102-D102,"-")</f>
        <v>0.553895766575693</v>
      </c>
    </row>
    <row r="103" customFormat="false" ht="15" hidden="false" customHeight="false" outlineLevel="0" collapsed="false">
      <c r="A103" s="16" t="s">
        <v>661</v>
      </c>
      <c r="B103" s="87" t="s">
        <v>662</v>
      </c>
      <c r="C103" s="17" t="s">
        <v>663</v>
      </c>
      <c r="D103" s="72" t="n">
        <f aca="false">IF(D49&gt;0,D41/D49,"N/M")</f>
        <v>0.302463336691228</v>
      </c>
      <c r="E103" s="72" t="n">
        <f aca="false">IF(E49&gt;0,E41/E49,"N/M")</f>
        <v>0.282414022728547</v>
      </c>
      <c r="F103" s="72" t="n">
        <f aca="false">IF(F49&gt;0,F41/F49,"N/M")</f>
        <v>0.241285922532278</v>
      </c>
      <c r="G103" s="72" t="n">
        <f aca="false">IF(G49&gt;0,G41/G49,"N/M")</f>
        <v>0.163120518334636</v>
      </c>
      <c r="H103" s="72" t="n">
        <f aca="false">IF(H49&gt;0,H41/H49,"N/M")</f>
        <v>0.257715523739858</v>
      </c>
      <c r="I103" s="72" t="n">
        <f aca="false">IF(I49&gt;0,I41/I49,"N/M")</f>
        <v>0.448592762780012</v>
      </c>
      <c r="J103" s="72" t="n">
        <f aca="false">IF(J49&gt;0,J41/J49,"N/M")</f>
        <v>0.399193548387097</v>
      </c>
      <c r="K103" s="56" t="n">
        <f aca="false">IF(COUNT(D103:J103)=0,"N/M",AVERAGE(D103:J103))</f>
        <v>0.299255090741951</v>
      </c>
      <c r="L103" s="60" t="n">
        <f aca="false">IF(COUNT(D103,J103)=2,J103-D103,"-")</f>
        <v>0.0967302116958684</v>
      </c>
    </row>
    <row r="104" customFormat="false" ht="15" hidden="false" customHeight="false" outlineLevel="0" collapsed="false">
      <c r="A104" s="16" t="s">
        <v>664</v>
      </c>
      <c r="B104" s="87" t="s">
        <v>665</v>
      </c>
      <c r="C104" s="17" t="s">
        <v>663</v>
      </c>
      <c r="D104" s="72" t="n">
        <f aca="false">IF(D90&gt;0,D41/D90,"N/M")</f>
        <v>0.427666816038239</v>
      </c>
      <c r="E104" s="72" t="n">
        <f aca="false">IF(E90&gt;0,E41/E90,"N/M")</f>
        <v>0.474916703265876</v>
      </c>
      <c r="F104" s="72" t="n">
        <f aca="false">IF(F90&gt;0,F41/F90,"N/M")</f>
        <v>0.422938564391402</v>
      </c>
      <c r="G104" s="72" t="n">
        <f aca="false">IF(G90&gt;0,G41/G90,"N/M")</f>
        <v>0.295338681730317</v>
      </c>
      <c r="H104" s="72" t="n">
        <f aca="false">IF(H90&gt;0,H41/H90,"N/M")</f>
        <v>0.422673355053036</v>
      </c>
      <c r="I104" s="72" t="n">
        <f aca="false">IF(I90&gt;0,I41/I90,"N/M")</f>
        <v>0.581533879374535</v>
      </c>
      <c r="J104" s="72" t="n">
        <f aca="false">IF(J90&gt;0,J41/J90,"N/M")</f>
        <v>0.546961325966851</v>
      </c>
      <c r="K104" s="56" t="n">
        <f aca="false">IF(COUNT(D104:J104)=0,"N/M",AVERAGE(D104:J104))</f>
        <v>0.453147046545751</v>
      </c>
      <c r="L104" s="60" t="n">
        <f aca="false">IF(COUNT(D104,J104)=2,J104-D104,"-")</f>
        <v>0.119294509928612</v>
      </c>
    </row>
    <row r="105" customFormat="false" ht="15" hidden="false" customHeight="false" outlineLevel="0" collapsed="false">
      <c r="A105" s="16" t="s">
        <v>666</v>
      </c>
      <c r="B105" s="87" t="s">
        <v>667</v>
      </c>
      <c r="C105" s="17" t="s">
        <v>668</v>
      </c>
      <c r="D105" s="72" t="n">
        <f aca="false">IF(D49&gt;0,D40/D49,"N/M")</f>
        <v>0.404777265918875</v>
      </c>
      <c r="E105" s="72" t="n">
        <f aca="false">IF(E49&gt;0,E40/E49,"N/M")</f>
        <v>0.312246095112036</v>
      </c>
      <c r="F105" s="72" t="n">
        <f aca="false">IF(F49&gt;0,F40/F49,"N/M")</f>
        <v>0.329212827988338</v>
      </c>
      <c r="G105" s="72" t="n">
        <f aca="false">IF(G49&gt;0,G40/G49,"N/M")</f>
        <v>0.389196290892495</v>
      </c>
      <c r="H105" s="72" t="n">
        <f aca="false">IF(H49&gt;0,H40/H49,"N/M")</f>
        <v>0.35201187132511</v>
      </c>
      <c r="I105" s="72" t="n">
        <f aca="false">IF(I49&gt;0,I40/I49,"N/M")</f>
        <v>0.322802986789202</v>
      </c>
      <c r="J105" s="72" t="n">
        <f aca="false">IF(J49&gt;0,J40/J49,"N/M")</f>
        <v>0.330645161290323</v>
      </c>
      <c r="K105" s="56" t="n">
        <f aca="false">IF(COUNT(D105:J105)=0,"N/M",AVERAGE(D105:J105))</f>
        <v>0.348698928473768</v>
      </c>
      <c r="L105" s="60" t="n">
        <f aca="false">IF(COUNT(D105,J105)=2,J105-D105,"-")</f>
        <v>-0.0741321046285521</v>
      </c>
    </row>
    <row r="106" customFormat="false" ht="15" hidden="false" customHeight="false" outlineLevel="0" collapsed="false">
      <c r="A106" s="16" t="s">
        <v>669</v>
      </c>
      <c r="B106" s="87" t="s">
        <v>670</v>
      </c>
      <c r="C106" s="17" t="s">
        <v>97</v>
      </c>
      <c r="D106" s="72" t="n">
        <f aca="false">IF(D39&gt;0,(D41+D37)/D39,"N/M")</f>
        <v>0.7472340028895</v>
      </c>
      <c r="E106" s="72" t="n">
        <f aca="false">IF(E39&gt;0,(E41+E37)/E39,"N/M")</f>
        <v>0.904459742329891</v>
      </c>
      <c r="F106" s="72" t="n">
        <f aca="false">IF(F39&gt;0,(F41+F37)/F39,"N/M")</f>
        <v>0.732917742017105</v>
      </c>
      <c r="G106" s="72" t="n">
        <f aca="false">IF(G39&gt;0,(G41+G37)/G39,"N/M")</f>
        <v>0.419121461719411</v>
      </c>
      <c r="H106" s="72" t="n">
        <f aca="false">IF(H39&gt;0,(H41+H37)/H39,"N/M")</f>
        <v>0.73212168319698</v>
      </c>
      <c r="I106" s="72" t="n">
        <f aca="false">IF(I39&gt;0,(I41+I37)/I39,"N/M")</f>
        <v>1.38967971530249</v>
      </c>
      <c r="J106" s="72" t="n">
        <f aca="false">IF(J39&gt;0,(J41+J37)/J39,"N/M")</f>
        <v>1.20731707317073</v>
      </c>
      <c r="K106" s="56" t="n">
        <f aca="false">IF(COUNT(D106:J106)=0,"N/M",AVERAGE(D106:J106))</f>
        <v>0.876121631518016</v>
      </c>
      <c r="L106" s="60" t="n">
        <f aca="false">IF(COUNT(D106,J106)=2,J106-D106,"-")</f>
        <v>0.460083070281232</v>
      </c>
    </row>
    <row r="107" customFormat="false" ht="15" hidden="false" customHeight="false" outlineLevel="0" collapsed="false">
      <c r="A107" s="16" t="s">
        <v>671</v>
      </c>
      <c r="B107" s="87" t="s">
        <v>672</v>
      </c>
      <c r="C107" s="17" t="s">
        <v>97</v>
      </c>
      <c r="D107" s="72" t="n">
        <f aca="false">IF(D21&gt;0,D41/D21,"N/M")</f>
        <v>3.11237503639717</v>
      </c>
      <c r="E107" s="72" t="n">
        <f aca="false">IF(E21&gt;0,E41/E21,"N/M")</f>
        <v>3.21163445240946</v>
      </c>
      <c r="F107" s="72" t="n">
        <f aca="false">IF(F21&gt;0,F41/F21,"N/M")</f>
        <v>1.80861807907841</v>
      </c>
      <c r="G107" s="72" t="n">
        <f aca="false">IF(G21&gt;0,G41/G21,"N/M")</f>
        <v>1.03446763725662</v>
      </c>
      <c r="H107" s="72" t="n">
        <f aca="false">IF(H21&gt;0,H41/H21,"N/M")</f>
        <v>3.92211599745062</v>
      </c>
      <c r="I107" s="72" t="n">
        <f aca="false">IF(I21&gt;0,I41/I21,"N/M")</f>
        <v>3.86633663366337</v>
      </c>
      <c r="J107" s="72" t="n">
        <f aca="false">IF(J21&gt;0,J41/J21,"N/M")</f>
        <v>2.94893617021277</v>
      </c>
      <c r="K107" s="56" t="n">
        <f aca="false">IF(COUNT(D107:J107)=0,"N/M",AVERAGE(D107:J107))</f>
        <v>2.84349771520977</v>
      </c>
      <c r="L107" s="60" t="n">
        <f aca="false">IF(COUNT(D107,J107)=2,J107-D107,"-")</f>
        <v>-0.163438866184402</v>
      </c>
    </row>
    <row r="108" customFormat="false" ht="16.5" hidden="false" customHeight="true" outlineLevel="0" collapsed="false">
      <c r="A108" s="88" t="s">
        <v>673</v>
      </c>
      <c r="B108" s="89"/>
      <c r="C108" s="89"/>
      <c r="D108" s="89"/>
      <c r="E108" s="89"/>
      <c r="F108" s="89"/>
      <c r="G108" s="89"/>
      <c r="H108" s="89"/>
      <c r="I108" s="89"/>
      <c r="J108" s="89"/>
      <c r="K108" s="89"/>
      <c r="L108" s="89"/>
    </row>
    <row r="109" customFormat="false" ht="15" hidden="false" customHeight="false" outlineLevel="0" collapsed="false">
      <c r="A109" s="16" t="s">
        <v>674</v>
      </c>
      <c r="B109" s="87" t="s">
        <v>675</v>
      </c>
      <c r="C109" s="17" t="s">
        <v>676</v>
      </c>
      <c r="D109" s="73" t="n">
        <f aca="false">IF(D25&gt;0,D23/D25,"N/M")</f>
        <v>3.79635828089436</v>
      </c>
      <c r="E109" s="73" t="n">
        <f aca="false">IF(E25&gt;0,E23/E25,"N/M")</f>
        <v>2.35253054101222</v>
      </c>
      <c r="F109" s="73" t="n">
        <f aca="false">IF(F25&gt;0,F23/F25,"N/M")</f>
        <v>10.8480407442054</v>
      </c>
      <c r="G109" s="73" t="n">
        <f aca="false">IF(G25&gt;0,G23/G25,"N/M")</f>
        <v>10.0758443379689</v>
      </c>
      <c r="H109" s="73" t="n">
        <f aca="false">IF(H25&gt;0,H23/H25,"N/M")</f>
        <v>0.506521427547649</v>
      </c>
      <c r="I109" s="73" t="n">
        <f aca="false">IF(I25&gt;0,I23/I25,"N/M")</f>
        <v>0.266666666666667</v>
      </c>
      <c r="J109" s="73" t="n">
        <f aca="false">IF(J25&gt;0,J23/J25,"N/M")</f>
        <v>0.5</v>
      </c>
      <c r="K109" s="60" t="n">
        <f aca="false">IF(COUNT(D109:J109)=0,"N/M",AVERAGE(D109:J109))</f>
        <v>4.0494231426136</v>
      </c>
      <c r="L109" s="60" t="n">
        <f aca="false">IF(COUNT(D109,J109)=2,J109-D109,"-")</f>
        <v>-3.29635828089436</v>
      </c>
    </row>
    <row r="110" customFormat="false" ht="15" hidden="false" customHeight="false" outlineLevel="0" collapsed="false">
      <c r="A110" s="16" t="s">
        <v>677</v>
      </c>
      <c r="B110" s="87" t="s">
        <v>678</v>
      </c>
      <c r="C110" s="17" t="s">
        <v>115</v>
      </c>
      <c r="D110" s="73" t="n">
        <f aca="false">IF(D31&gt;0,D30/D31,"N/M")</f>
        <v>3.02536969203636</v>
      </c>
      <c r="E110" s="73" t="n">
        <f aca="false">IF(E31&gt;0,E30/E31,"N/M")</f>
        <v>3.51851851851852</v>
      </c>
      <c r="F110" s="73" t="n">
        <f aca="false">IF(F31&gt;0,F30/F31,"N/M")</f>
        <v>12.5589472256139</v>
      </c>
      <c r="G110" s="73" t="n">
        <f aca="false">IF(G31&gt;0,G30/G31,"N/M")</f>
        <v>7.88465873512837</v>
      </c>
      <c r="H110" s="73" t="n">
        <f aca="false">IF(H31&gt;0,H30/H31,"N/M")</f>
        <v>1.52319902319902</v>
      </c>
      <c r="I110" s="73" t="n">
        <f aca="false">IF(I31&gt;0,I30/I31,"N/M")</f>
        <v>0.206349206349206</v>
      </c>
      <c r="J110" s="73" t="str">
        <f aca="false">IF(J31&gt;0,J30/J31,"N/M")</f>
        <v>N/M</v>
      </c>
      <c r="K110" s="60" t="n">
        <f aca="false">IF(COUNT(D110:J110)=0,"N/M",AVERAGE(D110:J110))</f>
        <v>4.78617373347423</v>
      </c>
      <c r="L110" s="60" t="str">
        <f aca="false">IF(COUNT(D110,J110)=2,J110-D110,"-")</f>
        <v>-</v>
      </c>
    </row>
    <row r="111" customFormat="false" ht="15" hidden="false" customHeight="false" outlineLevel="0" collapsed="false">
      <c r="A111" s="16" t="s">
        <v>679</v>
      </c>
      <c r="B111" s="87" t="s">
        <v>680</v>
      </c>
      <c r="C111" s="17" t="s">
        <v>115</v>
      </c>
      <c r="D111" s="73" t="n">
        <f aca="false">IF(D25+D76&gt;0,D21/(D25+D76/(1-D77)),"N/M")</f>
        <v>6.89717498995849</v>
      </c>
      <c r="E111" s="73" t="n">
        <f aca="false">IF(E25+E76&gt;0,E21/(E25+E76/(1-E77)),"N/M")</f>
        <v>1.92900859229357</v>
      </c>
      <c r="F111" s="73" t="n">
        <f aca="false">IF(F25+F76&gt;0,F21/(F25+F76/(1-F77)),"N/M")</f>
        <v>13.3173266812182</v>
      </c>
      <c r="G111" s="73" t="n">
        <f aca="false">IF(G25+G76&gt;0,G21/(G25+G76/(1-G77)),"N/M")</f>
        <v>1.10380926628206</v>
      </c>
      <c r="H111" s="73" t="n">
        <f aca="false">IF(H25+H76&gt;0,H21/(H25+H76/(1-H77)),"N/M")</f>
        <v>3.37322631503511</v>
      </c>
      <c r="I111" s="73" t="n">
        <f aca="false">IF(I25+I76&gt;0,I21/(I25+I76/(1-I77)),"N/M")</f>
        <v>1.68333333333333</v>
      </c>
      <c r="J111" s="73" t="n">
        <f aca="false">IF(J25+J76&gt;0,J21/(J25+J76/(1-J77)),"N/M")</f>
        <v>0.630026809651475</v>
      </c>
      <c r="K111" s="60" t="n">
        <f aca="false">IF(COUNT(D111:J111)=0,"N/M",AVERAGE(D111:J111))</f>
        <v>4.13341514111031</v>
      </c>
      <c r="L111" s="60" t="n">
        <f aca="false">IF(COUNT(D111,J111)=2,J111-D111,"-")</f>
        <v>-6.26714818030702</v>
      </c>
    </row>
    <row r="112" customFormat="false" ht="15" hidden="false" customHeight="false" outlineLevel="0" collapsed="false">
      <c r="A112" s="16" t="s">
        <v>681</v>
      </c>
      <c r="B112" s="87" t="s">
        <v>682</v>
      </c>
      <c r="C112" s="17" t="s">
        <v>115</v>
      </c>
      <c r="D112" s="73" t="n">
        <f aca="false">IF(D25+D76&gt;0,(D63+D27)/(D25+D76/(1-D77)),"N/M")</f>
        <v>5.22908019815236</v>
      </c>
      <c r="E112" s="73" t="n">
        <f aca="false">IF(E25+E76&gt;0,(E63+E27)/(E25+E76/(1-E77)),"N/M")</f>
        <v>1.18099995794962</v>
      </c>
      <c r="F112" s="73" t="n">
        <f aca="false">IF(F25+F76&gt;0,(F63+F27)/(F25+F76/(1-F77)),"N/M")</f>
        <v>11.5098222637979</v>
      </c>
      <c r="G112" s="73" t="n">
        <f aca="false">IF(G25+G76&gt;0,(G63+G27)/(G25+G76/(1-G77)),"N/M")</f>
        <v>1.76664663387605</v>
      </c>
      <c r="H112" s="73" t="n">
        <f aca="false">IF(H25+H76&gt;0,(H63+H27)/(H25+H76/(1-H77)),"N/M")</f>
        <v>-0.869428120968898</v>
      </c>
      <c r="I112" s="73" t="n">
        <f aca="false">IF(I25+I76&gt;0,(I63+I27)/(I25+I76/(1-I77)),"N/M")</f>
        <v>1.875</v>
      </c>
      <c r="J112" s="73" t="n">
        <f aca="false">IF(J25+J76&gt;0,(J63+J27)/(J25+J76/(1-J77)),"N/M")</f>
        <v>0.831099195710456</v>
      </c>
      <c r="K112" s="60" t="n">
        <f aca="false">IF(COUNT(D112:J112)=0,"N/M",AVERAGE(D112:J112))</f>
        <v>3.07474573264536</v>
      </c>
      <c r="L112" s="60" t="n">
        <f aca="false">IF(COUNT(D112,J112)=2,J112-D112,"-")</f>
        <v>-4.39798100244191</v>
      </c>
    </row>
    <row r="113" customFormat="false" ht="15" hidden="false" customHeight="false" outlineLevel="0" collapsed="false">
      <c r="A113" s="16" t="s">
        <v>683</v>
      </c>
      <c r="B113" s="87" t="s">
        <v>684</v>
      </c>
      <c r="C113" s="17" t="s">
        <v>685</v>
      </c>
      <c r="D113" s="73" t="n">
        <f aca="false">IF(D75&gt;0,D63/D75,"N/M")</f>
        <v>0.320109822940569</v>
      </c>
      <c r="E113" s="73" t="str">
        <f aca="false">IF(E75&gt;0,E63/E75,"N/M")</f>
        <v>N/M</v>
      </c>
      <c r="F113" s="73" t="n">
        <f aca="false">IF(F75&gt;0,F63/F75,"N/M")</f>
        <v>1.50962221275387</v>
      </c>
      <c r="G113" s="73" t="n">
        <f aca="false">IF(G75&gt;0,G63/G75,"N/M")</f>
        <v>4.14313386733679</v>
      </c>
      <c r="H113" s="73" t="n">
        <f aca="false">IF(H75&gt;0,H63/H75,"N/M")</f>
        <v>-0.460427790591135</v>
      </c>
      <c r="I113" s="73" t="str">
        <f aca="false">IF(I75&gt;0,I63/I75,"N/M")</f>
        <v>N/M</v>
      </c>
      <c r="J113" s="73" t="str">
        <f aca="false">IF(J75&gt;0,J63/J75,"N/M")</f>
        <v>N/M</v>
      </c>
      <c r="K113" s="60" t="n">
        <f aca="false">IF(COUNT(D113:J113)=0,"N/M",AVERAGE(D113:J113))</f>
        <v>1.37810952811002</v>
      </c>
      <c r="L113" s="60" t="str">
        <f aca="false">IF(COUNT(D113,J113)=2,J113-D113,"-")</f>
        <v>-</v>
      </c>
    </row>
    <row r="114" customFormat="false" ht="15" hidden="false" customHeight="false" outlineLevel="0" collapsed="false">
      <c r="A114" s="16" t="s">
        <v>686</v>
      </c>
      <c r="B114" s="87" t="s">
        <v>687</v>
      </c>
      <c r="C114" s="17" t="s">
        <v>688</v>
      </c>
      <c r="D114" s="73" t="n">
        <f aca="false">IF(D25+D76&gt;0,(D30+D25+D22)/(D25+D76),"N/M")</f>
        <v>7.08649082875887</v>
      </c>
      <c r="E114" s="73" t="n">
        <f aca="false">IF(E25+E76&gt;0,(E30+E25+E22)/(E25+E76),"N/M")</f>
        <v>2.33101071401813</v>
      </c>
      <c r="F114" s="73" t="n">
        <f aca="false">IF(F25+F76&gt;0,(F30+F25+F22)/(F25+F76),"N/M")</f>
        <v>13.0911547656169</v>
      </c>
      <c r="G114" s="73" t="n">
        <f aca="false">IF(G25+G76&gt;0,(G30+G25+G22)/(G25+G76),"N/M")</f>
        <v>1.27860600442865</v>
      </c>
      <c r="H114" s="73" t="n">
        <f aca="false">IF(H25+H76&gt;0,(H30+H25+H22)/(H25+H76),"N/M")</f>
        <v>4.93951555109646</v>
      </c>
      <c r="I114" s="73" t="n">
        <f aca="false">IF(I25+I76&gt;0,(I30+I25+I22)/(I25+I76),"N/M")</f>
        <v>2.68333333333333</v>
      </c>
      <c r="J114" s="73" t="n">
        <f aca="false">IF(J25+J76&gt;0,(J30+J25+J22)/(J25+J76),"N/M")</f>
        <v>0.734584450402145</v>
      </c>
      <c r="K114" s="60" t="n">
        <f aca="false">IF(COUNT(D114:J114)=0,"N/M",AVERAGE(D114:J114))</f>
        <v>4.59209937823635</v>
      </c>
      <c r="L114" s="60" t="n">
        <f aca="false">IF(COUNT(D114,J114)=2,J114-D114,"-")</f>
        <v>-6.35190637835673</v>
      </c>
    </row>
    <row r="115" customFormat="false" ht="16.5" hidden="false" customHeight="true" outlineLevel="0" collapsed="false">
      <c r="A115" s="88" t="s">
        <v>689</v>
      </c>
      <c r="B115" s="89"/>
      <c r="C115" s="89"/>
      <c r="D115" s="89"/>
      <c r="E115" s="89"/>
      <c r="F115" s="89"/>
      <c r="G115" s="89"/>
      <c r="H115" s="89"/>
      <c r="I115" s="89"/>
      <c r="J115" s="89"/>
      <c r="K115" s="89"/>
      <c r="L115" s="89"/>
    </row>
    <row r="116" customFormat="false" ht="15" hidden="false" customHeight="false" outlineLevel="0" collapsed="false">
      <c r="A116" s="16" t="s">
        <v>690</v>
      </c>
      <c r="B116" s="87" t="s">
        <v>691</v>
      </c>
      <c r="C116" s="17" t="s">
        <v>692</v>
      </c>
      <c r="D116" s="73" t="n">
        <f aca="false">IF(D51&gt;0,D13/D51,"N/M")</f>
        <v>695.333762886598</v>
      </c>
      <c r="E116" s="73" t="n">
        <f aca="false">IF(E51&gt;0,E13/E51,"N/M")</f>
        <v>823.791878172589</v>
      </c>
      <c r="F116" s="73" t="n">
        <f aca="false">IF(F51&gt;0,F13/F51,"N/M")</f>
        <v>1974.64060529634</v>
      </c>
      <c r="G116" s="73" t="n">
        <f aca="false">IF(G51&gt;0,G13/G51,"N/M")</f>
        <v>4791.86</v>
      </c>
      <c r="H116" s="73" t="n">
        <f aca="false">IF(H51&gt;0,H13/H51,"N/M")</f>
        <v>3312.27</v>
      </c>
      <c r="I116" s="73" t="str">
        <f aca="false">IF(I51&gt;0,I13/I51,"N/M")</f>
        <v>N/M</v>
      </c>
      <c r="J116" s="73" t="str">
        <f aca="false">IF(J51&gt;0,J13/J51,"N/M")</f>
        <v>N/M</v>
      </c>
      <c r="K116" s="60" t="n">
        <f aca="false">IF(COUNT(D116:J116)=0,"N/M",AVERAGE(D116:J116))</f>
        <v>2319.57924927111</v>
      </c>
      <c r="L116" s="60" t="str">
        <f aca="false">IF(COUNT(D116,J116)=2,J116-D116,"-")</f>
        <v>-</v>
      </c>
    </row>
    <row r="117" customFormat="false" ht="15" hidden="false" customHeight="false" outlineLevel="0" collapsed="false">
      <c r="A117" s="16" t="s">
        <v>693</v>
      </c>
      <c r="B117" s="87" t="s">
        <v>694</v>
      </c>
      <c r="C117" s="17" t="s">
        <v>653</v>
      </c>
      <c r="D117" s="74" t="n">
        <f aca="false">IF(D13&gt;0,D51/D13*Setup!$C$8,"N/M")</f>
        <v>0.524927767759679</v>
      </c>
      <c r="E117" s="74" t="n">
        <f aca="false">IF(E13&gt;0,E51/E13*Setup!$C$8,"N/M")</f>
        <v>0.44307307424501</v>
      </c>
      <c r="F117" s="74" t="n">
        <f aca="false">IF(F13&gt;0,F51/F13*Setup!$C$8,"N/M")</f>
        <v>0.184843762971856</v>
      </c>
      <c r="G117" s="74" t="n">
        <f aca="false">IF(G13&gt;0,G51/G13*Setup!$C$8,"N/M")</f>
        <v>0.0761708397156845</v>
      </c>
      <c r="H117" s="74" t="n">
        <f aca="false">IF(H13&gt;0,H51/H13*Setup!$C$8,"N/M")</f>
        <v>0.110196330613144</v>
      </c>
      <c r="I117" s="74" t="n">
        <f aca="false">IF(I13&gt;0,I51/I13*Setup!$C$8,"N/M")</f>
        <v>0</v>
      </c>
      <c r="J117" s="74" t="n">
        <f aca="false">IF(J13&gt;0,J51/J13*Setup!$C$8,"N/M")</f>
        <v>0</v>
      </c>
      <c r="K117" s="58" t="n">
        <f aca="false">IF(COUNT(D117:J117)=0,"N/M",AVERAGE(D117:J117))</f>
        <v>0.191315967900768</v>
      </c>
      <c r="L117" s="58" t="n">
        <f aca="false">IF(COUNT(D117,J117)=2,J117-D117,"-")</f>
        <v>-0.524927767759679</v>
      </c>
    </row>
    <row r="118" customFormat="false" ht="15" hidden="false" customHeight="false" outlineLevel="0" collapsed="false">
      <c r="A118" s="16" t="s">
        <v>695</v>
      </c>
      <c r="B118" s="87" t="s">
        <v>696</v>
      </c>
      <c r="C118" s="17" t="s">
        <v>692</v>
      </c>
      <c r="D118" s="73" t="n">
        <f aca="false">IF(D50&gt;0,D7/D50,"N/M")</f>
        <v>6.38753488857394</v>
      </c>
      <c r="E118" s="73" t="n">
        <f aca="false">IF(E50&gt;0,E7/E50,"N/M")</f>
        <v>4.82515971871122</v>
      </c>
      <c r="F118" s="73" t="n">
        <f aca="false">IF(F50&gt;0,F7/F50,"N/M")</f>
        <v>6.19650484679448</v>
      </c>
      <c r="G118" s="73" t="n">
        <f aca="false">IF(G50&gt;0,G7/G50,"N/M")</f>
        <v>8.85688280464169</v>
      </c>
      <c r="H118" s="73" t="n">
        <f aca="false">IF(H50&gt;0,H7/H50,"N/M")</f>
        <v>5.82160813043166</v>
      </c>
      <c r="I118" s="73" t="n">
        <f aca="false">IF(I50&gt;0,I7/I50,"N/M")</f>
        <v>5.22933333333333</v>
      </c>
      <c r="J118" s="73" t="n">
        <f aca="false">IF(J50&gt;0,J7/J50,"N/M")</f>
        <v>4.7972027972028</v>
      </c>
      <c r="K118" s="60" t="n">
        <f aca="false">IF(COUNT(D118:J118)=0,"N/M",AVERAGE(D118:J118))</f>
        <v>6.0163180742413</v>
      </c>
      <c r="L118" s="60" t="n">
        <f aca="false">IF(COUNT(D118,J118)=2,J118-D118,"-")</f>
        <v>-1.59033209137114</v>
      </c>
    </row>
    <row r="119" customFormat="false" ht="15" hidden="false" customHeight="false" outlineLevel="0" collapsed="false">
      <c r="A119" s="16" t="s">
        <v>697</v>
      </c>
      <c r="B119" s="87" t="s">
        <v>698</v>
      </c>
      <c r="C119" s="17" t="s">
        <v>653</v>
      </c>
      <c r="D119" s="74" t="n">
        <f aca="false">IF(D7&gt;0,D50/D7*Setup!$C$8,"N/M")</f>
        <v>57.1425450298384</v>
      </c>
      <c r="E119" s="74" t="n">
        <f aca="false">IF(E7&gt;0,E50/E7*Setup!$C$8,"N/M")</f>
        <v>75.6451643630752</v>
      </c>
      <c r="F119" s="74" t="n">
        <f aca="false">IF(F7&gt;0,F50/F7*Setup!$C$8,"N/M")</f>
        <v>58.9041740504437</v>
      </c>
      <c r="G119" s="74" t="n">
        <f aca="false">IF(G7&gt;0,G50/G7*Setup!$C$8,"N/M")</f>
        <v>41.2108874025873</v>
      </c>
      <c r="H119" s="74" t="n">
        <f aca="false">IF(H7&gt;0,H50/H7*Setup!$C$8,"N/M")</f>
        <v>62.6974526320335</v>
      </c>
      <c r="I119" s="74" t="n">
        <f aca="false">IF(I7&gt;0,I50/I7*Setup!$C$8,"N/M")</f>
        <v>69.7985721570627</v>
      </c>
      <c r="J119" s="74" t="n">
        <f aca="false">IF(J7&gt;0,J50/J7*Setup!$C$8,"N/M")</f>
        <v>76.0860058309038</v>
      </c>
      <c r="K119" s="58" t="n">
        <f aca="false">IF(COUNT(D119:J119)=0,"N/M",AVERAGE(D119:J119))</f>
        <v>63.0692573522778</v>
      </c>
      <c r="L119" s="58" t="n">
        <f aca="false">IF(COUNT(D119,J119)=2,J119-D119,"-")</f>
        <v>18.9434608010654</v>
      </c>
    </row>
    <row r="120" customFormat="false" ht="15" hidden="false" customHeight="false" outlineLevel="0" collapsed="false">
      <c r="A120" s="16" t="s">
        <v>699</v>
      </c>
      <c r="B120" s="87" t="s">
        <v>700</v>
      </c>
      <c r="C120" s="17" t="s">
        <v>692</v>
      </c>
      <c r="D120" s="73" t="n">
        <f aca="false">IF(D42&gt;0,D13/D42,"N/M")</f>
        <v>3.47689284103357</v>
      </c>
      <c r="E120" s="73" t="n">
        <f aca="false">IF(E42&gt;0,E13/E42,"N/M")</f>
        <v>2.73730248687744</v>
      </c>
      <c r="F120" s="73" t="n">
        <f aca="false">IF(F42&gt;0,F13/F42,"N/M")</f>
        <v>3.7961613894054</v>
      </c>
      <c r="G120" s="73" t="n">
        <f aca="false">IF(G42&gt;0,G13/G42,"N/M")</f>
        <v>4.4408411154325</v>
      </c>
      <c r="H120" s="73" t="n">
        <f aca="false">IF(H42&gt;0,H13/H42,"N/M")</f>
        <v>3.55430641947842</v>
      </c>
      <c r="I120" s="73" t="n">
        <f aca="false">IF(I42&gt;0,I13/I42,"N/M")</f>
        <v>3.55527638190955</v>
      </c>
      <c r="J120" s="73" t="n">
        <f aca="false">IF(J42&gt;0,J13/J42,"N/M")</f>
        <v>3.21535181236674</v>
      </c>
      <c r="K120" s="60" t="n">
        <f aca="false">IF(COUNT(D120:J120)=0,"N/M",AVERAGE(D120:J120))</f>
        <v>3.53944749235766</v>
      </c>
      <c r="L120" s="60" t="n">
        <f aca="false">IF(COUNT(D120,J120)=2,J120-D120,"-")</f>
        <v>-0.261541028666834</v>
      </c>
    </row>
    <row r="121" customFormat="false" ht="15" hidden="false" customHeight="false" outlineLevel="0" collapsed="false">
      <c r="A121" s="16" t="s">
        <v>701</v>
      </c>
      <c r="B121" s="87" t="s">
        <v>702</v>
      </c>
      <c r="C121" s="17" t="s">
        <v>653</v>
      </c>
      <c r="D121" s="74" t="n">
        <f aca="false">IF(D13&gt;0,D42/D13*Setup!$C$8,"N/M")</f>
        <v>104.978789018846</v>
      </c>
      <c r="E121" s="74" t="n">
        <f aca="false">IF(E13&gt;0,E42/E13*Setup!$C$8,"N/M")</f>
        <v>133.342954149131</v>
      </c>
      <c r="F121" s="74" t="n">
        <f aca="false">IF(F13&gt;0,F42/F13*Setup!$C$8,"N/M")</f>
        <v>96.1497582844261</v>
      </c>
      <c r="G121" s="74" t="n">
        <f aca="false">IF(G13&gt;0,G42/G13*Setup!$C$8,"N/M")</f>
        <v>82.1916367896113</v>
      </c>
      <c r="H121" s="74" t="n">
        <f aca="false">IF(H13&gt;0,H42/H13*Setup!$C$8,"N/M")</f>
        <v>102.692327819491</v>
      </c>
      <c r="I121" s="74" t="n">
        <f aca="false">IF(I13&gt;0,I42/I13*Setup!$C$8,"N/M")</f>
        <v>102.664310954064</v>
      </c>
      <c r="J121" s="74" t="n">
        <f aca="false">IF(J13&gt;0,J42/J13*Setup!$C$8,"N/M")</f>
        <v>113.517904509284</v>
      </c>
      <c r="K121" s="58" t="n">
        <f aca="false">IF(COUNT(D121:J121)=0,"N/M",AVERAGE(D121:J121))</f>
        <v>105.076811646408</v>
      </c>
      <c r="L121" s="58" t="n">
        <f aca="false">IF(COUNT(D121,J121)=2,J121-D121,"-")</f>
        <v>8.53911549043765</v>
      </c>
    </row>
    <row r="122" customFormat="false" ht="15" hidden="false" customHeight="false" outlineLevel="0" collapsed="false">
      <c r="A122" s="16" t="s">
        <v>703</v>
      </c>
      <c r="B122" s="87" t="s">
        <v>704</v>
      </c>
      <c r="C122" s="17" t="s">
        <v>653</v>
      </c>
      <c r="D122" s="74" t="n">
        <f aca="false">IF(COUNT(D117,D119,D121)=3,D117+D119-D121,"N/M")</f>
        <v>-47.3113162212481</v>
      </c>
      <c r="E122" s="74" t="n">
        <f aca="false">IF(COUNT(E117,E119,E121)=3,E117+E119-E121,"N/M")</f>
        <v>-57.2547167118106</v>
      </c>
      <c r="F122" s="74" t="n">
        <f aca="false">IF(COUNT(F117,F119,F121)=3,F117+F119-F121,"N/M")</f>
        <v>-37.0607404710106</v>
      </c>
      <c r="G122" s="74" t="n">
        <f aca="false">IF(COUNT(G117,G119,G121)=3,G117+G119-G121,"N/M")</f>
        <v>-40.9045785473083</v>
      </c>
      <c r="H122" s="74" t="n">
        <f aca="false">IF(COUNT(H117,H119,H121)=3,H117+H119-H121,"N/M")</f>
        <v>-39.8846788568447</v>
      </c>
      <c r="I122" s="74" t="n">
        <f aca="false">IF(COUNT(I117,I119,I121)=3,I117+I119-I121,"N/M")</f>
        <v>-32.8657387970009</v>
      </c>
      <c r="J122" s="74" t="n">
        <f aca="false">IF(COUNT(J117,J119,J121)=3,J117+J119-J121,"N/M")</f>
        <v>-37.43189867838</v>
      </c>
      <c r="K122" s="58" t="n">
        <f aca="false">IF(COUNT(D122:J122)=0,"N/M",AVERAGE(D122:J122))</f>
        <v>-41.816238326229</v>
      </c>
      <c r="L122" s="58" t="n">
        <f aca="false">IF(COUNT(D122,J122)=2,J122-D122,"-")</f>
        <v>9.87941754286808</v>
      </c>
    </row>
    <row r="123" customFormat="false" ht="15" hidden="false" customHeight="false" outlineLevel="0" collapsed="false">
      <c r="A123" s="16" t="s">
        <v>705</v>
      </c>
      <c r="B123" s="87" t="s">
        <v>706</v>
      </c>
      <c r="C123" s="17" t="s">
        <v>692</v>
      </c>
      <c r="D123" s="73" t="n">
        <f aca="false">IF(D45&gt;0,D7/D45,"N/M")</f>
        <v>3.73286449626268</v>
      </c>
      <c r="E123" s="73" t="n">
        <f aca="false">IF(E45&gt;0,E7/E45,"N/M")</f>
        <v>3.31739641529944</v>
      </c>
      <c r="F123" s="73" t="n">
        <f aca="false">IF(F45&gt;0,F7/F45,"N/M")</f>
        <v>5.45915526840333</v>
      </c>
      <c r="G123" s="73" t="n">
        <f aca="false">IF(G45&gt;0,G7/G45,"N/M")</f>
        <v>8.4670666266394</v>
      </c>
      <c r="H123" s="73" t="n">
        <f aca="false">IF(H45&gt;0,H7/H45,"N/M")</f>
        <v>4.57553936528657</v>
      </c>
      <c r="I123" s="73" t="n">
        <f aca="false">IF(I45&gt;0,I7/I45,"N/M")</f>
        <v>2.5836627140975</v>
      </c>
      <c r="J123" s="73" t="n">
        <f aca="false">IF(J45&gt;0,J7/J45,"N/M")</f>
        <v>2.62835249042146</v>
      </c>
      <c r="K123" s="60" t="n">
        <f aca="false">IF(COUNT(D123:J123)=0,"N/M",AVERAGE(D123:J123))</f>
        <v>4.39486248234434</v>
      </c>
      <c r="L123" s="60" t="n">
        <f aca="false">IF(COUNT(D123,J123)=2,J123-D123,"-")</f>
        <v>-1.10451200584123</v>
      </c>
    </row>
    <row r="124" customFormat="false" ht="15" hidden="false" customHeight="false" outlineLevel="0" collapsed="false">
      <c r="A124" s="16" t="s">
        <v>707</v>
      </c>
      <c r="B124" s="87" t="s">
        <v>708</v>
      </c>
      <c r="C124" s="17" t="s">
        <v>692</v>
      </c>
      <c r="D124" s="73" t="n">
        <f aca="false">IF(D49&gt;0,D7/D49,"N/M")</f>
        <v>1.38583722886884</v>
      </c>
      <c r="E124" s="73" t="n">
        <f aca="false">IF(E49&gt;0,E7/E49,"N/M")</f>
        <v>1.43548645134119</v>
      </c>
      <c r="F124" s="73" t="n">
        <f aca="false">IF(F49&gt;0,F7/F49,"N/M")</f>
        <v>1.9848042482299</v>
      </c>
      <c r="G124" s="73" t="n">
        <f aca="false">IF(G49&gt;0,G7/G49,"N/M")</f>
        <v>2.49635520028766</v>
      </c>
      <c r="H124" s="73" t="n">
        <f aca="false">IF(H49&gt;0,H7/H49,"N/M")</f>
        <v>1.81038824705311</v>
      </c>
      <c r="I124" s="73" t="n">
        <f aca="false">IF(I49&gt;0,I7/I49,"N/M")</f>
        <v>1.12636415852958</v>
      </c>
      <c r="J124" s="73" t="n">
        <f aca="false">IF(J49&gt;0,J7/J49,"N/M")</f>
        <v>1.18548387096774</v>
      </c>
      <c r="K124" s="60" t="n">
        <f aca="false">IF(COUNT(D124:J124)=0,"N/M",AVERAGE(D124:J124))</f>
        <v>1.63210277218258</v>
      </c>
      <c r="L124" s="60" t="n">
        <f aca="false">IF(COUNT(D124,J124)=2,J124-D124,"-")</f>
        <v>-0.2003533579011</v>
      </c>
    </row>
    <row r="125" customFormat="false" ht="15" hidden="false" customHeight="false" outlineLevel="0" collapsed="false">
      <c r="A125" s="16" t="s">
        <v>709</v>
      </c>
      <c r="B125" s="87" t="s">
        <v>710</v>
      </c>
      <c r="C125" s="17" t="s">
        <v>692</v>
      </c>
      <c r="D125" s="73" t="n">
        <f aca="false">IF(D90&gt;0,D7/D90,"N/M")</f>
        <v>1.95949896506839</v>
      </c>
      <c r="E125" s="73" t="n">
        <f aca="false">IF(E90&gt;0,E7/E90,"N/M")</f>
        <v>2.41396119947297</v>
      </c>
      <c r="F125" s="73" t="n">
        <f aca="false">IF(F90&gt;0,F7/F90,"N/M")</f>
        <v>3.47906852805312</v>
      </c>
      <c r="G125" s="73" t="n">
        <f aca="false">IF(G90&gt;0,G7/G90,"N/M")</f>
        <v>4.51978856805184</v>
      </c>
      <c r="H125" s="73" t="n">
        <f aca="false">IF(H90&gt;0,H7/H90,"N/M")</f>
        <v>2.96917649052033</v>
      </c>
      <c r="I125" s="73" t="n">
        <f aca="false">IF(I90&gt;0,I7/I90,"N/M")</f>
        <v>1.46016381236039</v>
      </c>
      <c r="J125" s="73" t="n">
        <f aca="false">IF(J90&gt;0,J7/J90,"N/M")</f>
        <v>1.62430939226519</v>
      </c>
      <c r="K125" s="60" t="n">
        <f aca="false">IF(COUNT(D125:J125)=0,"N/M",AVERAGE(D125:J125))</f>
        <v>2.63228099368461</v>
      </c>
      <c r="L125" s="60" t="n">
        <f aca="false">IF(COUNT(D125,J125)=2,J125-D125,"-")</f>
        <v>-0.335189572803197</v>
      </c>
    </row>
    <row r="126" customFormat="false" ht="15" hidden="false" customHeight="false" outlineLevel="0" collapsed="false">
      <c r="A126" s="16" t="s">
        <v>711</v>
      </c>
      <c r="B126" s="87" t="s">
        <v>712</v>
      </c>
      <c r="C126" s="17" t="s">
        <v>692</v>
      </c>
      <c r="D126" s="73" t="n">
        <f aca="false">IF(D87&gt;0,D7/D87,"N/M")</f>
        <v>2.87643405874844</v>
      </c>
      <c r="E126" s="73" t="n">
        <f aca="false">IF(E87&gt;0,E7/E87,"N/M")</f>
        <v>2.74671250582147</v>
      </c>
      <c r="F126" s="73" t="n">
        <f aca="false">IF(F87&gt;0,F7/F87,"N/M")</f>
        <v>3.4391165348421</v>
      </c>
      <c r="G126" s="73" t="n">
        <f aca="false">IF(G87&gt;0,G7/G87,"N/M")</f>
        <v>4.00925977340319</v>
      </c>
      <c r="H126" s="73" t="n">
        <f aca="false">IF(H87&gt;0,H7/H87,"N/M")</f>
        <v>3.21130931745922</v>
      </c>
      <c r="I126" s="73" t="n">
        <f aca="false">IF(I87&gt;0,I7/I87,"N/M")</f>
        <v>2.00922131147541</v>
      </c>
      <c r="J126" s="73" t="n">
        <f aca="false">IF(J87&gt;0,J7/J87,"N/M")</f>
        <v>2.16631578947368</v>
      </c>
      <c r="K126" s="60" t="n">
        <f aca="false">IF(COUNT(D126:J126)=0,"N/M",AVERAGE(D126:J126))</f>
        <v>2.9226241844605</v>
      </c>
      <c r="L126" s="60" t="n">
        <f aca="false">IF(COUNT(D126,J126)=2,J126-D126,"-")</f>
        <v>-0.710118269274759</v>
      </c>
    </row>
    <row r="127" customFormat="false" ht="15" hidden="false" customHeight="false" outlineLevel="0" collapsed="false">
      <c r="A127" s="16" t="s">
        <v>713</v>
      </c>
      <c r="B127" s="87" t="s">
        <v>714</v>
      </c>
      <c r="C127" s="17" t="s">
        <v>692</v>
      </c>
      <c r="D127" s="73" t="n">
        <f aca="false">IF(D94&gt;0,D7/D94,"N/M")</f>
        <v>7.33128418027224</v>
      </c>
      <c r="E127" s="73" t="n">
        <f aca="false">IF(E94&gt;0,E7/E94,"N/M")</f>
        <v>12.2398274454938</v>
      </c>
      <c r="F127" s="73" t="n">
        <f aca="false">IF(F94&gt;0,F7/F94,"N/M")</f>
        <v>13.4449107413651</v>
      </c>
      <c r="G127" s="73" t="n">
        <f aca="false">IF(G94&gt;0,G7/G94,"N/M")</f>
        <v>14.2678043536684</v>
      </c>
      <c r="H127" s="73" t="n">
        <f aca="false">IF(H94&gt;0,H7/H94,"N/M")</f>
        <v>10.4356376686811</v>
      </c>
      <c r="I127" s="73" t="n">
        <f aca="false">IF(I94&gt;0,I7/I94,"N/M")</f>
        <v>3.39273356401384</v>
      </c>
      <c r="J127" s="73" t="n">
        <f aca="false">IF(J94&gt;0,J7/J94,"N/M")</f>
        <v>4.27858627858628</v>
      </c>
      <c r="K127" s="60" t="n">
        <f aca="false">IF(COUNT(D127:J127)=0,"N/M",AVERAGE(D127:J127))</f>
        <v>9.34154060458295</v>
      </c>
      <c r="L127" s="60" t="n">
        <f aca="false">IF(COUNT(D127,J127)=2,J127-D127,"-")</f>
        <v>-3.05269790168597</v>
      </c>
    </row>
    <row r="128" customFormat="false" ht="16.5" hidden="false" customHeight="true" outlineLevel="0" collapsed="false">
      <c r="A128" s="88" t="s">
        <v>715</v>
      </c>
      <c r="B128" s="89"/>
      <c r="C128" s="89"/>
      <c r="D128" s="89"/>
      <c r="E128" s="89"/>
      <c r="F128" s="89"/>
      <c r="G128" s="89"/>
      <c r="H128" s="89"/>
      <c r="I128" s="89"/>
      <c r="J128" s="89"/>
      <c r="K128" s="89"/>
      <c r="L128" s="89"/>
    </row>
    <row r="129" customFormat="false" ht="15" hidden="false" customHeight="false" outlineLevel="0" collapsed="false">
      <c r="A129" s="16" t="s">
        <v>716</v>
      </c>
      <c r="B129" s="87" t="s">
        <v>717</v>
      </c>
      <c r="C129" s="17" t="s">
        <v>615</v>
      </c>
      <c r="D129" s="71" t="n">
        <f aca="false">IF(D7&gt;0,D14/D7,"N/M")</f>
        <v>0.265503168968071</v>
      </c>
      <c r="E129" s="71" t="n">
        <f aca="false">IF(E7&gt;0,E14/E7,"N/M")</f>
        <v>0.227064897457635</v>
      </c>
      <c r="F129" s="71" t="n">
        <f aca="false">IF(F7&gt;0,F14/F7,"N/M")</f>
        <v>0.178530547065742</v>
      </c>
      <c r="G129" s="71" t="n">
        <f aca="false">IF(G7&gt;0,G14/G7,"N/M")</f>
        <v>0.203602948793874</v>
      </c>
      <c r="H129" s="71" t="n">
        <f aca="false">IF(H7&gt;0,H14/H7,"N/M")</f>
        <v>0.233784008858265</v>
      </c>
      <c r="I129" s="71" t="n">
        <f aca="false">IF(I7&gt;0,I14/I7,"N/M")</f>
        <v>0.278429372768995</v>
      </c>
      <c r="J129" s="71" t="n">
        <f aca="false">IF(J7&gt;0,J14/J7,"N/M")</f>
        <v>0.267249757045675</v>
      </c>
      <c r="K129" s="62" t="n">
        <f aca="false">IF(COUNT(D129:J129)=0,"N/M",AVERAGE(D129:J129))</f>
        <v>0.236309242994037</v>
      </c>
      <c r="L129" s="62" t="n">
        <f aca="false">IF(COUNT(D129,J129)=2,J129-D129,"-")</f>
        <v>0.00174658807760469</v>
      </c>
    </row>
    <row r="130" customFormat="false" ht="15" hidden="false" customHeight="false" outlineLevel="0" collapsed="false">
      <c r="A130" s="16" t="s">
        <v>718</v>
      </c>
      <c r="B130" s="87" t="s">
        <v>719</v>
      </c>
      <c r="C130" s="17" t="s">
        <v>615</v>
      </c>
      <c r="D130" s="71" t="n">
        <f aca="false">IF(D7&gt;0,D21/D7,"N/M")</f>
        <v>0.0701243084897852</v>
      </c>
      <c r="E130" s="71" t="n">
        <f aca="false">IF(E7&gt;0,E21/E7,"N/M")</f>
        <v>0.0612577514026348</v>
      </c>
      <c r="F130" s="71" t="n">
        <f aca="false">IF(F7&gt;0,F21/F7,"N/M")</f>
        <v>0.0672151908030925</v>
      </c>
      <c r="G130" s="71" t="n">
        <f aca="false">IF(G7&gt;0,G21/G7,"N/M")</f>
        <v>0.0631662804412222</v>
      </c>
      <c r="H130" s="71" t="n">
        <f aca="false">IF(H7&gt;0,H21/H7,"N/M")</f>
        <v>0.0362951356653105</v>
      </c>
      <c r="I130" s="71" t="n">
        <f aca="false">IF(I7&gt;0,I21/I7,"N/M")</f>
        <v>0.103008669046405</v>
      </c>
      <c r="J130" s="71" t="n">
        <f aca="false">IF(J7&gt;0,J21/J7,"N/M")</f>
        <v>0.114188532555879</v>
      </c>
      <c r="K130" s="62" t="n">
        <f aca="false">IF(COUNT(D130:J130)=0,"N/M",AVERAGE(D130:J130))</f>
        <v>0.0736079812006185</v>
      </c>
      <c r="L130" s="62" t="n">
        <f aca="false">IF(COUNT(D130,J130)=2,J130-D130,"-")</f>
        <v>0.0440642240660943</v>
      </c>
    </row>
    <row r="131" customFormat="false" ht="15" hidden="false" customHeight="false" outlineLevel="0" collapsed="false">
      <c r="A131" s="16" t="s">
        <v>720</v>
      </c>
      <c r="B131" s="87" t="s">
        <v>721</v>
      </c>
      <c r="C131" s="17" t="s">
        <v>615</v>
      </c>
      <c r="D131" s="71" t="n">
        <f aca="false">IF(D7&gt;0,D23/D7,"N/M")</f>
        <v>0.0385979766520015</v>
      </c>
      <c r="E131" s="71" t="n">
        <f aca="false">IF(E7&gt;0,E23/E7,"N/M")</f>
        <v>0.0321010468560978</v>
      </c>
      <c r="F131" s="71" t="n">
        <f aca="false">IF(F7&gt;0,F23/F7,"N/M")</f>
        <v>0.0547522146084945</v>
      </c>
      <c r="G131" s="71" t="n">
        <f aca="false">IF(G7&gt;0,G23/G7,"N/M")</f>
        <v>0.0477647213941566</v>
      </c>
      <c r="H131" s="71" t="n">
        <f aca="false">IF(H7&gt;0,H23/H7,"N/M")</f>
        <v>0.00545005351354177</v>
      </c>
      <c r="I131" s="71" t="n">
        <f aca="false">IF(I7&gt;0,I23/I7,"N/M")</f>
        <v>0.0101988781234064</v>
      </c>
      <c r="J131" s="71" t="n">
        <f aca="false">IF(J7&gt;0,J23/J7,"N/M")</f>
        <v>0.0150631681243926</v>
      </c>
      <c r="K131" s="62" t="n">
        <f aca="false">IF(COUNT(D131:J131)=0,"N/M",AVERAGE(D131:J131))</f>
        <v>0.029132579896013</v>
      </c>
      <c r="L131" s="62" t="n">
        <f aca="false">IF(COUNT(D131,J131)=2,J131-D131,"-")</f>
        <v>-0.0235348085276089</v>
      </c>
    </row>
    <row r="132" customFormat="false" ht="15" hidden="false" customHeight="false" outlineLevel="0" collapsed="false">
      <c r="A132" s="16" t="s">
        <v>722</v>
      </c>
      <c r="B132" s="87" t="s">
        <v>723</v>
      </c>
      <c r="C132" s="17" t="s">
        <v>615</v>
      </c>
      <c r="D132" s="71" t="n">
        <f aca="false">IF(D7&gt;0,D26/D7,"N/M")</f>
        <v>0.0415777322820926</v>
      </c>
      <c r="E132" s="71" t="n">
        <f aca="false">IF(E7&gt;0,E26/E7,"N/M")</f>
        <v>0.0151532182013888</v>
      </c>
      <c r="F132" s="71" t="n">
        <f aca="false">IF(F7&gt;0,F26/F7,"N/M")</f>
        <v>0.0640859382459188</v>
      </c>
      <c r="G132" s="71" t="n">
        <f aca="false">IF(G7&gt;0,G26/G7,"N/M")</f>
        <v>0.0496012081479073</v>
      </c>
      <c r="H132" s="71" t="n">
        <f aca="false">IF(H7&gt;0,H26/H7,"N/M")</f>
        <v>0.0126774660181298</v>
      </c>
      <c r="I132" s="71" t="n">
        <f aca="false">IF(I7&gt;0,I26/I7,"N/M")</f>
        <v>0.00764915859255482</v>
      </c>
      <c r="J132" s="71" t="n">
        <f aca="false">IF(J7&gt;0,J26/J7,"N/M")</f>
        <v>0.00194363459669582</v>
      </c>
      <c r="K132" s="62" t="n">
        <f aca="false">IF(COUNT(D132:J132)=0,"N/M",AVERAGE(D132:J132))</f>
        <v>0.0275269080120983</v>
      </c>
      <c r="L132" s="62" t="n">
        <f aca="false">IF(COUNT(D132,J132)=2,J132-D132,"-")</f>
        <v>-0.0396340976853967</v>
      </c>
    </row>
    <row r="133" customFormat="false" ht="15" hidden="false" customHeight="false" outlineLevel="0" collapsed="false">
      <c r="A133" s="16" t="s">
        <v>724</v>
      </c>
      <c r="B133" s="87" t="s">
        <v>725</v>
      </c>
      <c r="C133" s="17" t="s">
        <v>615</v>
      </c>
      <c r="D133" s="71" t="n">
        <f aca="false">IF(D7&gt;0,D30/D7,"N/M")</f>
        <v>0.0303556649387986</v>
      </c>
      <c r="E133" s="71" t="n">
        <f aca="false">IF(E7&gt;0,E30/E7,"N/M")</f>
        <v>0.0164696468884846</v>
      </c>
      <c r="F133" s="71" t="n">
        <f aca="false">IF(F7&gt;0,F30/F7,"N/M")</f>
        <v>0.0485634815964277</v>
      </c>
      <c r="G133" s="71" t="n">
        <f aca="false">IF(G7&gt;0,G30/G7,"N/M")</f>
        <v>0.0348788445035863</v>
      </c>
      <c r="H133" s="71" t="n">
        <f aca="false">IF(H7&gt;0,H30/H7,"N/M")</f>
        <v>0.0115431948355577</v>
      </c>
      <c r="I133" s="71" t="n">
        <f aca="false">IF(I7&gt;0,I30/I7,"N/M")</f>
        <v>0.0331463539010709</v>
      </c>
      <c r="J133" s="71" t="n">
        <f aca="false">IF(J7&gt;0,J30/J7,"N/M")</f>
        <v>0.00388726919339164</v>
      </c>
      <c r="K133" s="62" t="n">
        <f aca="false">IF(COUNT(D133:J133)=0,"N/M",AVERAGE(D133:J133))</f>
        <v>0.0255492079796168</v>
      </c>
      <c r="L133" s="62" t="n">
        <f aca="false">IF(COUNT(D133,J133)=2,J133-D133,"-")</f>
        <v>-0.026468395745407</v>
      </c>
    </row>
    <row r="134" customFormat="false" ht="16.5" hidden="false" customHeight="true" outlineLevel="0" collapsed="false">
      <c r="A134" s="88" t="s">
        <v>726</v>
      </c>
      <c r="B134" s="89"/>
      <c r="C134" s="89"/>
      <c r="D134" s="89"/>
      <c r="E134" s="89"/>
      <c r="F134" s="89"/>
      <c r="G134" s="89"/>
      <c r="H134" s="89"/>
      <c r="I134" s="89"/>
      <c r="J134" s="89"/>
      <c r="K134" s="89"/>
      <c r="L134" s="89"/>
    </row>
    <row r="135" customFormat="false" ht="15" hidden="false" customHeight="false" outlineLevel="0" collapsed="false">
      <c r="A135" s="16" t="s">
        <v>727</v>
      </c>
      <c r="B135" s="87" t="s">
        <v>728</v>
      </c>
      <c r="C135" s="17" t="s">
        <v>615</v>
      </c>
      <c r="D135" s="71" t="n">
        <f aca="false">IF(D7&gt;0,D13/D7,"N/M")</f>
        <v>0.734496831031929</v>
      </c>
      <c r="E135" s="71" t="n">
        <f aca="false">IF(E7&gt;0,E13/E7,"N/M")</f>
        <v>0.772935102542365</v>
      </c>
      <c r="F135" s="71" t="n">
        <f aca="false">IF(F7&gt;0,F13/F7,"N/M")</f>
        <v>0.821469452934258</v>
      </c>
      <c r="G135" s="71" t="n">
        <f aca="false">IF(G7&gt;0,G13/G7,"N/M")</f>
        <v>0.796397051206126</v>
      </c>
      <c r="H135" s="71" t="n">
        <f aca="false">IF(H7&gt;0,H13/H7,"N/M")</f>
        <v>0.766215991141735</v>
      </c>
      <c r="I135" s="71" t="n">
        <f aca="false">IF(I7&gt;0,I13/I7,"N/M")</f>
        <v>0.721570627231005</v>
      </c>
      <c r="J135" s="71" t="n">
        <f aca="false">IF(J7&gt;0,J13/J7,"N/M")</f>
        <v>0.732750242954325</v>
      </c>
      <c r="K135" s="62" t="n">
        <f aca="false">IF(COUNT(D135:J135)=0,"N/M",AVERAGE(D135:J135))</f>
        <v>0.763690757005963</v>
      </c>
      <c r="L135" s="62" t="n">
        <f aca="false">IF(COUNT(D135,J135)=2,J135-D135,"-")</f>
        <v>-0.00174658807760475</v>
      </c>
    </row>
    <row r="136" customFormat="false" ht="15" hidden="false" customHeight="false" outlineLevel="0" collapsed="false">
      <c r="A136" s="16" t="s">
        <v>729</v>
      </c>
      <c r="B136" s="87" t="s">
        <v>730</v>
      </c>
      <c r="C136" s="17" t="s">
        <v>615</v>
      </c>
      <c r="D136" s="71" t="n">
        <f aca="false">IF(D7&gt;0,D19/D7,"N/M")</f>
        <v>0.195378860478286</v>
      </c>
      <c r="E136" s="71" t="n">
        <f aca="false">IF(E7&gt;0,E19/E7,"N/M")</f>
        <v>0.165807146055</v>
      </c>
      <c r="F136" s="71" t="n">
        <f aca="false">IF(F7&gt;0,F19/F7,"N/M")</f>
        <v>0.111315356262649</v>
      </c>
      <c r="G136" s="71" t="n">
        <f aca="false">IF(G7&gt;0,G19/G7,"N/M")</f>
        <v>0.140436668352652</v>
      </c>
      <c r="H136" s="71" t="n">
        <f aca="false">IF(H7&gt;0,H19/H7,"N/M")</f>
        <v>0.197488873192954</v>
      </c>
      <c r="I136" s="71" t="n">
        <f aca="false">IF(I7&gt;0,I19/I7,"N/M")</f>
        <v>0.175420703722591</v>
      </c>
      <c r="J136" s="71" t="n">
        <f aca="false">IF(J7&gt;0,J19/J7,"N/M")</f>
        <v>0.153061224489796</v>
      </c>
      <c r="K136" s="62" t="n">
        <f aca="false">IF(COUNT(D136:J136)=0,"N/M",AVERAGE(D136:J136))</f>
        <v>0.162701261793418</v>
      </c>
      <c r="L136" s="62" t="n">
        <f aca="false">IF(COUNT(D136,J136)=2,J136-D136,"-")</f>
        <v>-0.0423176359884896</v>
      </c>
    </row>
    <row r="137" customFormat="false" ht="15" hidden="false" customHeight="false" outlineLevel="0" collapsed="false">
      <c r="A137" s="16" t="s">
        <v>731</v>
      </c>
      <c r="B137" s="87" t="s">
        <v>732</v>
      </c>
      <c r="C137" s="17" t="s">
        <v>615</v>
      </c>
      <c r="D137" s="71" t="n">
        <f aca="false">IF(D7&gt;0,D16/D7,"N/M")</f>
        <v>0.151591834734504</v>
      </c>
      <c r="E137" s="71" t="n">
        <f aca="false">IF(E7&gt;0,E16/E7,"N/M")</f>
        <v>0.125394118935807</v>
      </c>
      <c r="F137" s="71" t="n">
        <f aca="false">IF(F7&gt;0,F16/F7,"N/M")</f>
        <v>0.084753169384631</v>
      </c>
      <c r="G137" s="71" t="n">
        <f aca="false">IF(G7&gt;0,G16/G7,"N/M")</f>
        <v>0.105653664635913</v>
      </c>
      <c r="H137" s="71" t="n">
        <f aca="false">IF(H7&gt;0,H16/H7,"N/M")</f>
        <v>0.149905001896878</v>
      </c>
      <c r="I137" s="71" t="n">
        <f aca="false">IF(I7&gt;0,I16/I7,"N/M")</f>
        <v>0.114227434982152</v>
      </c>
      <c r="J137" s="71" t="n">
        <f aca="false">IF(J7&gt;0,J16/J7,"N/M")</f>
        <v>0.1044703595724</v>
      </c>
      <c r="K137" s="62" t="n">
        <f aca="false">IF(COUNT(D137:J137)=0,"N/M",AVERAGE(D137:J137))</f>
        <v>0.119427940591755</v>
      </c>
      <c r="L137" s="62" t="n">
        <f aca="false">IF(COUNT(D137,J137)=2,J137-D137,"-")</f>
        <v>-0.0471214751621033</v>
      </c>
    </row>
    <row r="138" customFormat="false" ht="15" hidden="false" customHeight="false" outlineLevel="0" collapsed="false">
      <c r="A138" s="16" t="s">
        <v>733</v>
      </c>
      <c r="B138" s="87" t="s">
        <v>734</v>
      </c>
      <c r="C138" s="17" t="s">
        <v>615</v>
      </c>
      <c r="D138" s="71" t="n">
        <f aca="false">IF(D7&gt;0,D17/D7,"N/M")</f>
        <v>0.0384768262403624</v>
      </c>
      <c r="E138" s="71" t="n">
        <f aca="false">IF(E7&gt;0,E17/E7,"N/M")</f>
        <v>0.0330459797487164</v>
      </c>
      <c r="F138" s="71" t="n">
        <f aca="false">IF(F7&gt;0,F17/F7,"N/M")</f>
        <v>0.0230295151730715</v>
      </c>
      <c r="G138" s="71" t="n">
        <f aca="false">IF(G7&gt;0,G17/G7,"N/M")</f>
        <v>0.0292153741917935</v>
      </c>
      <c r="H138" s="71" t="n">
        <f aca="false">IF(H7&gt;0,H17/H7,"N/M")</f>
        <v>0.0386168831369114</v>
      </c>
      <c r="I138" s="71" t="n">
        <f aca="false">IF(I7&gt;0,I17/I7,"N/M")</f>
        <v>0.0494645588985212</v>
      </c>
      <c r="J138" s="71" t="n">
        <f aca="false">IF(J7&gt;0,J17/J7,"N/M")</f>
        <v>0.0427599611273081</v>
      </c>
      <c r="K138" s="62" t="n">
        <f aca="false">IF(COUNT(D138:J138)=0,"N/M",AVERAGE(D138:J138))</f>
        <v>0.0363727283595264</v>
      </c>
      <c r="L138" s="62" t="n">
        <f aca="false">IF(COUNT(D138,J138)=2,J138-D138,"-")</f>
        <v>0.00428313488694564</v>
      </c>
    </row>
    <row r="139" customFormat="false" ht="15" hidden="false" customHeight="false" outlineLevel="0" collapsed="false">
      <c r="A139" s="16" t="s">
        <v>735</v>
      </c>
      <c r="B139" s="87" t="s">
        <v>736</v>
      </c>
      <c r="C139" s="17" t="s">
        <v>615</v>
      </c>
      <c r="D139" s="71" t="n">
        <f aca="false">IF(D7&gt;0,D25/D7,"N/M")</f>
        <v>0.0101671058936272</v>
      </c>
      <c r="E139" s="71" t="n">
        <f aca="false">IF(E7&gt;0,E25/E7,"N/M")</f>
        <v>0.0136453262971395</v>
      </c>
      <c r="F139" s="71" t="n">
        <f aca="false">IF(F7&gt;0,F25/F7,"N/M")</f>
        <v>0.00504719846648264</v>
      </c>
      <c r="G139" s="71" t="n">
        <f aca="false">IF(G7&gt;0,G25/G7,"N/M")</f>
        <v>0.00474051799452323</v>
      </c>
      <c r="H139" s="71" t="n">
        <f aca="false">IF(H7&gt;0,H25/H7,"N/M")</f>
        <v>0.0107597689201985</v>
      </c>
      <c r="I139" s="71" t="n">
        <f aca="false">IF(I7&gt;0,I25/I7,"N/M")</f>
        <v>0.0382457929627741</v>
      </c>
      <c r="J139" s="71" t="n">
        <f aca="false">IF(J7&gt;0,J25/J7,"N/M")</f>
        <v>0.0301263362487852</v>
      </c>
      <c r="K139" s="62" t="n">
        <f aca="false">IF(COUNT(D139:J139)=0,"N/M",AVERAGE(D139:J139))</f>
        <v>0.0161045781119329</v>
      </c>
      <c r="L139" s="62" t="n">
        <f aca="false">IF(COUNT(D139,J139)=2,J139-D139,"-")</f>
        <v>0.019959230355158</v>
      </c>
    </row>
    <row r="140" customFormat="false" ht="15" hidden="false" customHeight="false" outlineLevel="0" collapsed="false">
      <c r="A140" s="16" t="s">
        <v>737</v>
      </c>
      <c r="B140" s="87" t="s">
        <v>738</v>
      </c>
      <c r="C140" s="17" t="s">
        <v>615</v>
      </c>
      <c r="D140" s="71" t="n">
        <f aca="false">IF(D7&gt;0,D20/D7,"N/M")</f>
        <v>0.929875691510215</v>
      </c>
      <c r="E140" s="71" t="n">
        <f aca="false">IF(E7&gt;0,E20/E7,"N/M")</f>
        <v>0.938742248597365</v>
      </c>
      <c r="F140" s="71" t="n">
        <f aca="false">IF(F7&gt;0,F20/F7,"N/M")</f>
        <v>0.932784809196907</v>
      </c>
      <c r="G140" s="71" t="n">
        <f aca="false">IF(G7&gt;0,G20/G7,"N/M")</f>
        <v>0.936833719558778</v>
      </c>
      <c r="H140" s="71" t="n">
        <f aca="false">IF(H7&gt;0,H20/H7,"N/M")</f>
        <v>0.96370486433469</v>
      </c>
      <c r="I140" s="71" t="n">
        <f aca="false">IF(I7&gt;0,I20/I7,"N/M")</f>
        <v>0.896991330953595</v>
      </c>
      <c r="J140" s="71" t="n">
        <f aca="false">IF(J7&gt;0,J20/J7,"N/M")</f>
        <v>0.885811467444121</v>
      </c>
      <c r="K140" s="62" t="n">
        <f aca="false">IF(COUNT(D140:J140)=0,"N/M",AVERAGE(D140:J140))</f>
        <v>0.926392018799382</v>
      </c>
      <c r="L140" s="62" t="n">
        <f aca="false">IF(COUNT(D140,J140)=2,J140-D140,"-")</f>
        <v>-0.0440642240660942</v>
      </c>
    </row>
    <row r="141" customFormat="false" ht="16.5" hidden="false" customHeight="true" outlineLevel="0" collapsed="false">
      <c r="A141" s="88" t="s">
        <v>739</v>
      </c>
      <c r="B141" s="89"/>
      <c r="C141" s="89"/>
      <c r="D141" s="89"/>
      <c r="E141" s="89"/>
      <c r="F141" s="89"/>
      <c r="G141" s="89"/>
      <c r="H141" s="89"/>
      <c r="I141" s="89"/>
      <c r="J141" s="89"/>
      <c r="K141" s="89"/>
      <c r="L141" s="89"/>
    </row>
    <row r="142" customFormat="false" ht="15" hidden="false" customHeight="false" outlineLevel="0" collapsed="false">
      <c r="A142" s="16" t="s">
        <v>740</v>
      </c>
      <c r="B142" s="87" t="s">
        <v>741</v>
      </c>
      <c r="C142" s="17" t="s">
        <v>615</v>
      </c>
      <c r="D142" s="71" t="n">
        <f aca="false">IF(D49&gt;0,D30/D49,"N/M")</f>
        <v>0.0420680105792558</v>
      </c>
      <c r="E142" s="71" t="n">
        <f aca="false">IF(E49&gt;0,E30/E49,"N/M")</f>
        <v>0.0236419549667932</v>
      </c>
      <c r="F142" s="71" t="n">
        <f aca="false">IF(F49&gt;0,F30/F49,"N/M")</f>
        <v>0.0963890045814244</v>
      </c>
      <c r="G142" s="71" t="n">
        <f aca="false">IF(G49&gt;0,G30/G49,"N/M")</f>
        <v>0.0870699848565521</v>
      </c>
      <c r="H142" s="71" t="n">
        <f aca="false">IF(H49&gt;0,H30/H49,"N/M")</f>
        <v>0.0208976642637377</v>
      </c>
      <c r="I142" s="71" t="n">
        <f aca="false">IF(I49&gt;0,I30/I49,"N/M")</f>
        <v>0.0373348650201034</v>
      </c>
      <c r="J142" s="71" t="n">
        <f aca="false">IF(J49&gt;0,J30/J49,"N/M")</f>
        <v>0.00460829493087558</v>
      </c>
      <c r="K142" s="62" t="n">
        <f aca="false">IF(COUNT(D142:J142)=0,"N/M",AVERAGE(D142:J142))</f>
        <v>0.0445728255998203</v>
      </c>
      <c r="L142" s="62" t="n">
        <f aca="false">IF(COUNT(D142,J142)=2,J142-D142,"-")</f>
        <v>-0.0374597156483802</v>
      </c>
    </row>
    <row r="143" customFormat="false" ht="15" hidden="false" customHeight="false" outlineLevel="0" collapsed="false">
      <c r="A143" s="16" t="s">
        <v>742</v>
      </c>
      <c r="B143" s="87" t="s">
        <v>743</v>
      </c>
      <c r="C143" s="17" t="s">
        <v>615</v>
      </c>
      <c r="D143" s="71" t="n">
        <f aca="false">IF(D49&gt;0,(D30+D25*(1-D77))/D49,"N/M")</f>
        <v>0.0528781198868308</v>
      </c>
      <c r="E143" s="71" t="n">
        <f aca="false">IF(E49&gt;0,(E30+E25*(1-E77))/E49,"N/M")</f>
        <v>0.0363849167335542</v>
      </c>
      <c r="F143" s="71" t="n">
        <f aca="false">IF(F49&gt;0,(F30+F25*(1-F77))/F49,"N/M")</f>
        <v>0.104299036561364</v>
      </c>
      <c r="G143" s="71" t="n">
        <f aca="false">IF(G49&gt;0,(G30+G25*(1-G77))/G49,"N/M")</f>
        <v>0.0957036861094343</v>
      </c>
      <c r="H143" s="71" t="n">
        <f aca="false">IF(H49&gt;0,(H30+H25*(1-H77))/H49,"N/M")</f>
        <v>0.0374849173941973</v>
      </c>
      <c r="I143" s="71" t="n">
        <f aca="false">IF(I49&gt;0,(I30+I25*(1-I77))/I49,"N/M")</f>
        <v>0.080413555427915</v>
      </c>
      <c r="J143" s="71" t="n">
        <f aca="false">IF(J49&gt;0,(J30+J25*(1-J77))/J49,"N/M")</f>
        <v>0.0403225806451613</v>
      </c>
      <c r="K143" s="62" t="n">
        <f aca="false">IF(COUNT(D143:J143)=0,"N/M",AVERAGE(D143:J143))</f>
        <v>0.0639266875369224</v>
      </c>
      <c r="L143" s="62" t="n">
        <f aca="false">IF(COUNT(D143,J143)=2,J143-D143,"-")</f>
        <v>-0.0125555392416695</v>
      </c>
    </row>
    <row r="144" customFormat="false" ht="15" hidden="false" customHeight="false" outlineLevel="0" collapsed="false">
      <c r="A144" s="16" t="s">
        <v>744</v>
      </c>
      <c r="B144" s="87" t="s">
        <v>745</v>
      </c>
      <c r="C144" s="17" t="s">
        <v>615</v>
      </c>
      <c r="D144" s="71" t="n">
        <f aca="false">IF(D49&gt;0,D23/D49,"N/M")</f>
        <v>0.053490513003354</v>
      </c>
      <c r="E144" s="71" t="n">
        <f aca="false">IF(E49&gt;0,E23/E49,"N/M")</f>
        <v>0.0460806178357971</v>
      </c>
      <c r="F144" s="71" t="n">
        <f aca="false">IF(F49&gt;0,F23/F49,"N/M")</f>
        <v>0.108672428154935</v>
      </c>
      <c r="G144" s="71" t="n">
        <f aca="false">IF(G49&gt;0,G23/G49,"N/M")</f>
        <v>0.119237710642594</v>
      </c>
      <c r="H144" s="71" t="n">
        <f aca="false">IF(H49&gt;0,H23/H49,"N/M")</f>
        <v>0.00986671282672653</v>
      </c>
      <c r="I144" s="71" t="n">
        <f aca="false">IF(I49&gt;0,I23/I49,"N/M")</f>
        <v>0.0114876507754164</v>
      </c>
      <c r="J144" s="71" t="n">
        <f aca="false">IF(J49&gt;0,J23/J49,"N/M")</f>
        <v>0.0178571428571429</v>
      </c>
      <c r="K144" s="62" t="n">
        <f aca="false">IF(COUNT(D144:J144)=0,"N/M",AVERAGE(D144:J144))</f>
        <v>0.0523846822994238</v>
      </c>
      <c r="L144" s="62" t="n">
        <f aca="false">IF(COUNT(D144,J144)=2,J144-D144,"-")</f>
        <v>-0.0356333701462112</v>
      </c>
    </row>
    <row r="145" customFormat="false" ht="15" hidden="false" customHeight="false" outlineLevel="0" collapsed="false">
      <c r="A145" s="16" t="s">
        <v>746</v>
      </c>
      <c r="B145" s="87" t="s">
        <v>747</v>
      </c>
      <c r="C145" s="17" t="s">
        <v>615</v>
      </c>
      <c r="D145" s="71" t="n">
        <f aca="false">IF(D90&gt;0,D23/D90,"N/M")</f>
        <v>0.0756326953033309</v>
      </c>
      <c r="E145" s="71" t="n">
        <f aca="false">IF(E90&gt;0,E23/E90,"N/M")</f>
        <v>0.0774906815730839</v>
      </c>
      <c r="F145" s="71" t="n">
        <f aca="false">IF(F90&gt;0,F23/F90,"N/M")</f>
        <v>0.190486706685623</v>
      </c>
      <c r="G145" s="71" t="n">
        <f aca="false">IF(G90&gt;0,G23/G90,"N/M")</f>
        <v>0.21588644171349</v>
      </c>
      <c r="H145" s="71" t="n">
        <f aca="false">IF(H90&gt;0,H23/H90,"N/M")</f>
        <v>0.016182170764486</v>
      </c>
      <c r="I145" s="71" t="n">
        <f aca="false">IF(I90&gt;0,I23/I90,"N/M")</f>
        <v>0.0148920327624721</v>
      </c>
      <c r="J145" s="71" t="n">
        <f aca="false">IF(J90&gt;0,J23/J90,"N/M")</f>
        <v>0.0244672454617206</v>
      </c>
      <c r="K145" s="62" t="n">
        <f aca="false">IF(COUNT(D145:J145)=0,"N/M",AVERAGE(D145:J145))</f>
        <v>0.0878625677520296</v>
      </c>
      <c r="L145" s="62" t="n">
        <f aca="false">IF(COUNT(D145,J145)=2,J145-D145,"-")</f>
        <v>-0.0511654498416103</v>
      </c>
    </row>
    <row r="146" customFormat="false" ht="15" hidden="false" customHeight="false" outlineLevel="0" collapsed="false">
      <c r="A146" s="16" t="s">
        <v>748</v>
      </c>
      <c r="B146" s="87" t="s">
        <v>749</v>
      </c>
      <c r="C146" s="17" t="s">
        <v>615</v>
      </c>
      <c r="D146" s="71" t="n">
        <f aca="false">IF(D90&gt;0,D23*(1-D77)/D90,"N/M")</f>
        <v>0.0580269965210272</v>
      </c>
      <c r="E146" s="71" t="n">
        <f aca="false">IF(E90&gt;0,E23*(1-E77)/E90,"N/M")</f>
        <v>0.0504123378041854</v>
      </c>
      <c r="F146" s="71" t="n">
        <f aca="false">IF(F90&gt;0,F23*(1-F77)/F90,"N/M")</f>
        <v>0.150409355196737</v>
      </c>
      <c r="G146" s="71" t="n">
        <f aca="false">IF(G90&gt;0,G23*(1-G77)/G90,"N/M")</f>
        <v>0.157503498773281</v>
      </c>
      <c r="H146" s="71" t="n">
        <f aca="false">IF(H90&gt;0,H23*(1-H77)/H90,"N/M")</f>
        <v>0.0137795992155467</v>
      </c>
      <c r="I146" s="71" t="n">
        <f aca="false">IF(I90&gt;0,I23*(1-I77)/I90,"N/M")</f>
        <v>0.0148920327624721</v>
      </c>
      <c r="J146" s="71" t="n">
        <f aca="false">IF(J90&gt;0,J23*(1-J77)/J90,"N/M")</f>
        <v>0.0244672454617206</v>
      </c>
      <c r="K146" s="62" t="n">
        <f aca="false">IF(COUNT(D146:J146)=0,"N/M",AVERAGE(D146:J146))</f>
        <v>0.0670701522478528</v>
      </c>
      <c r="L146" s="62" t="n">
        <f aca="false">IF(COUNT(D146,J146)=2,J146-D146,"-")</f>
        <v>-0.0335597510593066</v>
      </c>
    </row>
    <row r="147" customFormat="false" ht="15" hidden="false" customHeight="false" outlineLevel="0" collapsed="false">
      <c r="A147" s="16" t="s">
        <v>750</v>
      </c>
      <c r="B147" s="87" t="s">
        <v>751</v>
      </c>
      <c r="C147" s="17" t="s">
        <v>615</v>
      </c>
      <c r="D147" s="71" t="n">
        <f aca="false">IF(D40&gt;0,D30/D40,"N/M")</f>
        <v>0.103928787808175</v>
      </c>
      <c r="E147" s="71" t="n">
        <f aca="false">IF(E40&gt;0,E30/E40,"N/M")</f>
        <v>0.0757157746306174</v>
      </c>
      <c r="F147" s="71" t="n">
        <f aca="false">IF(F40&gt;0,F30/F40,"N/M")</f>
        <v>0.292786296240069</v>
      </c>
      <c r="G147" s="71" t="n">
        <f aca="false">IF(G40&gt;0,G30/G40,"N/M")</f>
        <v>0.223717406599342</v>
      </c>
      <c r="H147" s="71" t="n">
        <f aca="false">IF(H40&gt;0,H30/H40,"N/M")</f>
        <v>0.0593663622339518</v>
      </c>
      <c r="I147" s="71" t="n">
        <f aca="false">IF(I40&gt;0,I30/I40,"N/M")</f>
        <v>0.115658362989324</v>
      </c>
      <c r="J147" s="71" t="n">
        <f aca="false">IF(J40&gt;0,J30/J40,"N/M")</f>
        <v>0.0139372822299652</v>
      </c>
      <c r="K147" s="62" t="n">
        <f aca="false">IF(COUNT(D147:J147)=0,"N/M",AVERAGE(D147:J147))</f>
        <v>0.126444324675921</v>
      </c>
      <c r="L147" s="62" t="n">
        <f aca="false">IF(COUNT(D147,J147)=2,J147-D147,"-")</f>
        <v>-0.0899915055782093</v>
      </c>
    </row>
    <row r="148" customFormat="false" ht="15" hidden="false" customHeight="false" outlineLevel="0" collapsed="false">
      <c r="A148" s="16" t="s">
        <v>752</v>
      </c>
      <c r="B148" s="87" t="s">
        <v>753</v>
      </c>
      <c r="C148" s="17" t="s">
        <v>615</v>
      </c>
      <c r="D148" s="71" t="n">
        <f aca="false">IF(D39&gt;0,(D30-D32)/D39,"N/M")</f>
        <v>0.103928787808175</v>
      </c>
      <c r="E148" s="71" t="n">
        <f aca="false">IF(E39&gt;0,(E30-E32)/E39,"N/M")</f>
        <v>0.0757157746306174</v>
      </c>
      <c r="F148" s="71" t="n">
        <f aca="false">IF(F39&gt;0,(F30-F32)/F39,"N/M")</f>
        <v>0.292786296240069</v>
      </c>
      <c r="G148" s="71" t="n">
        <f aca="false">IF(G39&gt;0,(G30-G32)/G39,"N/M")</f>
        <v>0.223717406599342</v>
      </c>
      <c r="H148" s="71" t="n">
        <f aca="false">IF(H39&gt;0,(H30-H32)/H39,"N/M")</f>
        <v>0.0593663622339518</v>
      </c>
      <c r="I148" s="71" t="n">
        <f aca="false">IF(I39&gt;0,(I30-I32)/I39,"N/M")</f>
        <v>0.115658362989324</v>
      </c>
      <c r="J148" s="71" t="n">
        <f aca="false">IF(J39&gt;0,(J30-J32)/J39,"N/M")</f>
        <v>0.0139372822299652</v>
      </c>
      <c r="K148" s="62" t="n">
        <f aca="false">IF(COUNT(D148:J148)=0,"N/M",AVERAGE(D148:J148))</f>
        <v>0.126444324675921</v>
      </c>
      <c r="L148" s="62" t="n">
        <f aca="false">IF(COUNT(D148,J148)=2,J148-D148,"-")</f>
        <v>-0.0899915055782093</v>
      </c>
    </row>
    <row r="149" customFormat="false" ht="16.5" hidden="false" customHeight="true" outlineLevel="0" collapsed="false">
      <c r="A149" s="88" t="s">
        <v>754</v>
      </c>
      <c r="B149" s="89"/>
      <c r="C149" s="89"/>
      <c r="D149" s="89"/>
      <c r="E149" s="89"/>
      <c r="F149" s="89"/>
      <c r="G149" s="89"/>
      <c r="H149" s="89"/>
      <c r="I149" s="89"/>
      <c r="J149" s="89"/>
      <c r="K149" s="89"/>
      <c r="L149" s="89"/>
    </row>
    <row r="150" customFormat="false" ht="15" hidden="false" customHeight="false" outlineLevel="0" collapsed="false">
      <c r="A150" s="16" t="s">
        <v>755</v>
      </c>
      <c r="B150" s="87" t="s">
        <v>756</v>
      </c>
      <c r="C150" s="17" t="s">
        <v>757</v>
      </c>
      <c r="D150" s="93" t="n">
        <f aca="false">IF(D81&gt;0,(D30-D32)/D81,"N/M")</f>
        <v>2.26902726902727</v>
      </c>
      <c r="E150" s="93" t="n">
        <f aca="false">IF(E81&gt;0,(E30-E32)/E81,"N/M")</f>
        <v>1.75925925925926</v>
      </c>
      <c r="F150" s="93" t="n">
        <f aca="false">IF(F81&gt;0,(F30-F32)/F81,"N/M")</f>
        <v>9.41921041921042</v>
      </c>
      <c r="G150" s="93" t="n">
        <f aca="false">IF(G81&gt;0,(G30-G32)/G81,"N/M")</f>
        <v>6.40608465608466</v>
      </c>
      <c r="H150" s="93" t="n">
        <f aca="false">IF(H81&gt;0,(H30-H32)/H81,"N/M")</f>
        <v>1.52319902319902</v>
      </c>
      <c r="I150" s="93" t="n">
        <f aca="false">IF(I81&gt;0,(I30-I32)/I81,"N/M")</f>
        <v>0.433976196739437</v>
      </c>
      <c r="J150" s="93" t="n">
        <f aca="false">IF(J81&gt;0,(J30-J32)/J81,"N/M")</f>
        <v>0.0534116704499933</v>
      </c>
      <c r="K150" s="66" t="n">
        <f aca="false">IF(COUNT(D150:J150)=0,"N/M",AVERAGE(D150:J150))</f>
        <v>3.12345264199572</v>
      </c>
      <c r="L150" s="66" t="n">
        <f aca="false">IF(COUNT(D150,J150)=2,J150-D150,"-")</f>
        <v>-2.21561559857728</v>
      </c>
    </row>
    <row r="151" customFormat="false" ht="15" hidden="false" customHeight="false" outlineLevel="0" collapsed="false">
      <c r="A151" s="16" t="s">
        <v>759</v>
      </c>
      <c r="B151" s="87" t="s">
        <v>760</v>
      </c>
      <c r="C151" s="17" t="s">
        <v>757</v>
      </c>
      <c r="D151" s="93" t="n">
        <f aca="false">IF(D81&gt;0,(D30+D22)/D81,"N/M")</f>
        <v>4.62555962555963</v>
      </c>
      <c r="E151" s="93" t="n">
        <f aca="false">IF(E81&gt;0,(E30+E22)/E81,"N/M")</f>
        <v>4.87372812372812</v>
      </c>
      <c r="F151" s="93" t="n">
        <f aca="false">IF(F81&gt;0,(F30+F22)/F81,"N/M")</f>
        <v>11.8364875864876</v>
      </c>
      <c r="G151" s="93" t="n">
        <f aca="false">IF(G81&gt;0,(G30+G22)/G81,"N/M")</f>
        <v>9.23483923483924</v>
      </c>
      <c r="H151" s="93" t="n">
        <f aca="false">IF(H81&gt;0,(H30+H22)/H81,"N/M")</f>
        <v>5.59340659340659</v>
      </c>
      <c r="I151" s="93" t="n">
        <f aca="false">IF(I81&gt;0,(I30+I22)/I81,"N/M")</f>
        <v>1.64910954760986</v>
      </c>
      <c r="J151" s="93" t="n">
        <f aca="false">IF(J81&gt;0,(J30+J22)/J81,"N/M")</f>
        <v>1.41540926692482</v>
      </c>
      <c r="K151" s="66" t="n">
        <f aca="false">IF(COUNT(D151:J151)=0,"N/M",AVERAGE(D151:J151))</f>
        <v>5.60407713979369</v>
      </c>
      <c r="L151" s="66" t="n">
        <f aca="false">IF(COUNT(D151,J151)=2,J151-D151,"-")</f>
        <v>-3.2101503586348</v>
      </c>
    </row>
    <row r="152" customFormat="false" ht="15" hidden="false" customHeight="false" outlineLevel="0" collapsed="false">
      <c r="A152" s="16" t="s">
        <v>761</v>
      </c>
      <c r="B152" s="87" t="s">
        <v>762</v>
      </c>
      <c r="C152" s="17" t="s">
        <v>757</v>
      </c>
      <c r="D152" s="93" t="n">
        <f aca="false">IF(D81&gt;0,D39/D81,"N/M")</f>
        <v>21.8325193325193</v>
      </c>
      <c r="E152" s="93" t="n">
        <f aca="false">IF(E81&gt;0,E39/E81,"N/M")</f>
        <v>23.2350427350427</v>
      </c>
      <c r="F152" s="93" t="n">
        <f aca="false">IF(F81&gt;0,F39/F81,"N/M")</f>
        <v>32.1709401709402</v>
      </c>
      <c r="G152" s="93" t="n">
        <f aca="false">IF(G81&gt;0,G39/G81,"N/M")</f>
        <v>28.6347171347171</v>
      </c>
      <c r="H152" s="93" t="n">
        <f aca="false">IF(H81&gt;0,H39/H81,"N/M")</f>
        <v>25.6576109076109</v>
      </c>
      <c r="I152" s="93" t="n">
        <f aca="false">IF(I81&gt;0,I39/I81,"N/M")</f>
        <v>3.7522249625779</v>
      </c>
      <c r="J152" s="93" t="n">
        <f aca="false">IF(J81&gt;0,J39/J81,"N/M")</f>
        <v>3.83228735478702</v>
      </c>
      <c r="K152" s="66" t="n">
        <f aca="false">IF(COUNT(D152:J152)=0,"N/M",AVERAGE(D152:J152))</f>
        <v>19.8736203711707</v>
      </c>
      <c r="L152" s="66" t="n">
        <f aca="false">IF(COUNT(D152,J152)=2,J152-D152,"-")</f>
        <v>-18.0002319777323</v>
      </c>
    </row>
    <row r="153" customFormat="false" ht="15" hidden="false" customHeight="false" outlineLevel="0" collapsed="false">
      <c r="A153" s="16" t="s">
        <v>763</v>
      </c>
      <c r="B153" s="87" t="s">
        <v>764</v>
      </c>
      <c r="C153" s="17" t="s">
        <v>757</v>
      </c>
      <c r="D153" s="93" t="n">
        <f aca="false">IF(D81&gt;0,D31/D81,"N/M")</f>
        <v>0.75</v>
      </c>
      <c r="E153" s="93" t="n">
        <f aca="false">IF(E81&gt;0,E31/E81,"N/M")</f>
        <v>0.5</v>
      </c>
      <c r="F153" s="93" t="n">
        <f aca="false">IF(F81&gt;0,F31/F81,"N/M")</f>
        <v>0.75</v>
      </c>
      <c r="G153" s="93" t="n">
        <f aca="false">IF(G81&gt;0,G31/G81,"N/M")</f>
        <v>0.812474562474562</v>
      </c>
      <c r="H153" s="93" t="n">
        <f aca="false">IF(H81&gt;0,H31/H81,"N/M")</f>
        <v>1</v>
      </c>
      <c r="I153" s="93" t="n">
        <f aca="false">IF(I81&gt;0,I31/I81,"N/M")</f>
        <v>2.10311541496804</v>
      </c>
      <c r="J153" s="93" t="n">
        <f aca="false">IF(J81&gt;0,J31/J81,"N/M")</f>
        <v>0</v>
      </c>
      <c r="K153" s="66" t="n">
        <f aca="false">IF(COUNT(D153:J153)=0,"N/M",AVERAGE(D153:J153))</f>
        <v>0.8450842824918</v>
      </c>
      <c r="L153" s="66" t="n">
        <f aca="false">IF(COUNT(D153,J153)=2,J153-D153,"-")</f>
        <v>-0.75</v>
      </c>
    </row>
    <row r="154" customFormat="false" ht="15" hidden="false" customHeight="false" outlineLevel="0" collapsed="false">
      <c r="A154" s="16" t="s">
        <v>765</v>
      </c>
      <c r="B154" s="87" t="s">
        <v>812</v>
      </c>
      <c r="C154" s="17" t="s">
        <v>615</v>
      </c>
      <c r="D154" s="71" t="n">
        <f aca="false">IF(D31=0,0,IF(D150&gt;0,D153/D150,"N/M"))</f>
        <v>0.330538116591928</v>
      </c>
      <c r="E154" s="71" t="n">
        <f aca="false">IF(E31=0,0,IF(E150&gt;0,E153/E150,"N/M"))</f>
        <v>0.284210526315789</v>
      </c>
      <c r="F154" s="71" t="n">
        <f aca="false">IF(F31=0,0,IF(F150&gt;0,F153/F150,"N/M"))</f>
        <v>0.0796245084906883</v>
      </c>
      <c r="G154" s="71" t="n">
        <f aca="false">IF(G31=0,0,IF(G150&gt;0,G153/G150,"N/M"))</f>
        <v>0.126828570974761</v>
      </c>
      <c r="H154" s="71" t="n">
        <f aca="false">IF(H31=0,0,IF(H150&gt;0,H153/H150,"N/M"))</f>
        <v>0.656513026052104</v>
      </c>
      <c r="I154" s="71" t="n">
        <f aca="false">IF(I31=0,0,IF(I150&gt;0,I153/I150,"N/M"))</f>
        <v>4.84615384615385</v>
      </c>
      <c r="J154" s="71" t="n">
        <f aca="false">IF(J31=0,0,IF(J150&gt;0,J153/J150,"N/M"))</f>
        <v>0</v>
      </c>
      <c r="K154" s="62" t="n">
        <f aca="false">IF(COUNT(D154:J154)=0,"N/M",AVERAGE(D154:J154))</f>
        <v>0.903409799225588</v>
      </c>
      <c r="L154" s="62" t="n">
        <f aca="false">IF(COUNT(D154,J154)=2,J154-D154,"-")</f>
        <v>-0.330538116591928</v>
      </c>
    </row>
    <row r="155" customFormat="false" ht="15" hidden="false" customHeight="false" outlineLevel="0" collapsed="false">
      <c r="A155" s="16" t="s">
        <v>767</v>
      </c>
      <c r="B155" s="87" t="s">
        <v>768</v>
      </c>
      <c r="C155" s="17" t="s">
        <v>615</v>
      </c>
      <c r="D155" s="71" t="n">
        <f aca="false">IF(ISNUMBER(D154),1-D154,"N/M")</f>
        <v>0.669461883408072</v>
      </c>
      <c r="E155" s="71" t="n">
        <f aca="false">IF(ISNUMBER(E154),1-E154,"N/M")</f>
        <v>0.715789473684211</v>
      </c>
      <c r="F155" s="71" t="n">
        <f aca="false">IF(ISNUMBER(F154),1-F154,"N/M")</f>
        <v>0.920375491509312</v>
      </c>
      <c r="G155" s="71" t="n">
        <f aca="false">IF(ISNUMBER(G154),1-G154,"N/M")</f>
        <v>0.873171429025239</v>
      </c>
      <c r="H155" s="71" t="n">
        <f aca="false">IF(ISNUMBER(H154),1-H154,"N/M")</f>
        <v>0.343486973947896</v>
      </c>
      <c r="I155" s="71" t="n">
        <f aca="false">IF(ISNUMBER(I154),1-I154,"N/M")</f>
        <v>-3.84615384615385</v>
      </c>
      <c r="J155" s="71" t="n">
        <f aca="false">IF(ISNUMBER(J154),1-J154,"N/M")</f>
        <v>1</v>
      </c>
      <c r="K155" s="62" t="n">
        <f aca="false">IF(COUNT(D155:J155)=0,"N/M",AVERAGE(D155:J155))</f>
        <v>0.0965902007744117</v>
      </c>
      <c r="L155" s="62" t="n">
        <f aca="false">IF(COUNT(D155,J155)=2,J155-D155,"-")</f>
        <v>0.330538116591928</v>
      </c>
    </row>
    <row r="156" customFormat="false" ht="15" hidden="false" customHeight="false" outlineLevel="0" collapsed="false">
      <c r="A156" s="16" t="s">
        <v>769</v>
      </c>
      <c r="B156" s="87" t="s">
        <v>813</v>
      </c>
      <c r="C156" s="17" t="s">
        <v>615</v>
      </c>
      <c r="D156" s="71" t="str">
        <f aca="false">IF(D84=0,"N/C",IF(D80&gt;0,D150/D80,"N/M"))</f>
        <v>N/C</v>
      </c>
      <c r="E156" s="71" t="str">
        <f aca="false">IF(E84=0,"N/C",IF(E80&gt;0,E150/E80,"N/M"))</f>
        <v>N/C</v>
      </c>
      <c r="F156" s="71" t="str">
        <f aca="false">IF(F84=0,"N/C",IF(F80&gt;0,F150/F80,"N/M"))</f>
        <v>N/C</v>
      </c>
      <c r="G156" s="71" t="str">
        <f aca="false">IF(G84=0,"N/C",IF(G80&gt;0,G150/G80,"N/M"))</f>
        <v>N/C</v>
      </c>
      <c r="H156" s="71" t="str">
        <f aca="false">IF(H84=0,"N/C",IF(H80&gt;0,H150/H80,"N/M"))</f>
        <v>N/C</v>
      </c>
      <c r="I156" s="71" t="str">
        <f aca="false">IF(I84=0,"N/C",IF(I80&gt;0,I150/I80,"N/M"))</f>
        <v>N/C</v>
      </c>
      <c r="J156" s="71" t="n">
        <f aca="false">IF(J84=0,"N/C",IF(J80&gt;0,J150/J80,"N/M"))</f>
        <v>0.00743895131615506</v>
      </c>
      <c r="K156" s="62" t="n">
        <f aca="false">IF(COUNT(D156:J156)=0,"N/M",AVERAGE(D156:J156))</f>
        <v>0.00743895131615506</v>
      </c>
      <c r="L156" s="62" t="str">
        <f aca="false">IF(COUNT(D156,J156)=2,J156-D156,"-")</f>
        <v>-</v>
      </c>
    </row>
    <row r="157" customFormat="false" ht="15" hidden="false" customHeight="false" outlineLevel="0" collapsed="false">
      <c r="A157" s="16" t="s">
        <v>771</v>
      </c>
      <c r="B157" s="87" t="s">
        <v>814</v>
      </c>
      <c r="C157" s="17" t="s">
        <v>615</v>
      </c>
      <c r="D157" s="71" t="str">
        <f aca="false">IF(D84=0,"N/C",IF(D80&gt;0,D153/D80,"N/M"))</f>
        <v>N/C</v>
      </c>
      <c r="E157" s="71" t="str">
        <f aca="false">IF(E84=0,"N/C",IF(E80&gt;0,E153/E80,"N/M"))</f>
        <v>N/C</v>
      </c>
      <c r="F157" s="71" t="str">
        <f aca="false">IF(F84=0,"N/C",IF(F80&gt;0,F153/F80,"N/M"))</f>
        <v>N/C</v>
      </c>
      <c r="G157" s="71" t="str">
        <f aca="false">IF(G84=0,"N/C",IF(G80&gt;0,G153/G80,"N/M"))</f>
        <v>N/C</v>
      </c>
      <c r="H157" s="71" t="str">
        <f aca="false">IF(H84=0,"N/C",IF(H80&gt;0,H153/H80,"N/M"))</f>
        <v>N/C</v>
      </c>
      <c r="I157" s="71" t="str">
        <f aca="false">IF(I84=0,"N/C",IF(I80&gt;0,I153/I80,"N/M"))</f>
        <v>N/C</v>
      </c>
      <c r="J157" s="71" t="n">
        <f aca="false">IF(J84=0,"N/C",IF(J80&gt;0,J153/J80,"N/M"))</f>
        <v>0</v>
      </c>
      <c r="K157" s="62" t="n">
        <f aca="false">IF(COUNT(D157:J157)=0,"N/M",AVERAGE(D157:J157))</f>
        <v>0</v>
      </c>
      <c r="L157" s="62" t="str">
        <f aca="false">IF(COUNT(D157,J157)=2,J157-D157,"-")</f>
        <v>-</v>
      </c>
    </row>
    <row r="158" customFormat="false" ht="15" hidden="false" customHeight="false" outlineLevel="0" collapsed="false">
      <c r="A158" s="16" t="s">
        <v>773</v>
      </c>
      <c r="B158" s="87" t="s">
        <v>815</v>
      </c>
      <c r="C158" s="17" t="s">
        <v>115</v>
      </c>
      <c r="D158" s="73" t="str">
        <f aca="false">IF(D84=0,"N/C",IF(D150&gt;0,D80/D150,"N/M"))</f>
        <v>N/C</v>
      </c>
      <c r="E158" s="73" t="str">
        <f aca="false">IF(E84=0,"N/C",IF(E150&gt;0,E80/E150,"N/M"))</f>
        <v>N/C</v>
      </c>
      <c r="F158" s="73" t="str">
        <f aca="false">IF(F84=0,"N/C",IF(F150&gt;0,F80/F150,"N/M"))</f>
        <v>N/C</v>
      </c>
      <c r="G158" s="73" t="str">
        <f aca="false">IF(G84=0,"N/C",IF(G150&gt;0,G80/G150,"N/M"))</f>
        <v>N/C</v>
      </c>
      <c r="H158" s="73" t="str">
        <f aca="false">IF(H84=0,"N/C",IF(H150&gt;0,H80/H150,"N/M"))</f>
        <v>N/C</v>
      </c>
      <c r="I158" s="73" t="str">
        <f aca="false">IF(I84=0,"N/C",IF(I150&gt;0,I80/I150,"N/M"))</f>
        <v>N/C</v>
      </c>
      <c r="J158" s="73" t="n">
        <f aca="false">IF(J84=0,"N/C",IF(J150&gt;0,J80/J150,"N/M"))</f>
        <v>134.42755</v>
      </c>
      <c r="K158" s="60" t="n">
        <f aca="false">IF(COUNT(D158:J158)=0,"N/M",AVERAGE(D158:J158))</f>
        <v>134.42755</v>
      </c>
      <c r="L158" s="60" t="str">
        <f aca="false">IF(COUNT(D158,J158)=2,J158-D158,"-")</f>
        <v>-</v>
      </c>
    </row>
    <row r="159" customFormat="false" ht="15" hidden="false" customHeight="false" outlineLevel="0" collapsed="false">
      <c r="A159" s="16" t="s">
        <v>775</v>
      </c>
      <c r="B159" s="87" t="s">
        <v>816</v>
      </c>
      <c r="C159" s="17" t="s">
        <v>115</v>
      </c>
      <c r="D159" s="73" t="str">
        <f aca="false">IF(D84=0,"N/C",IF(D152&gt;0,D80/D152,"N/M"))</f>
        <v>N/C</v>
      </c>
      <c r="E159" s="73" t="str">
        <f aca="false">IF(E84=0,"N/C",IF(E152&gt;0,E80/E152,"N/M"))</f>
        <v>N/C</v>
      </c>
      <c r="F159" s="73" t="str">
        <f aca="false">IF(F84=0,"N/C",IF(F152&gt;0,F80/F152,"N/M"))</f>
        <v>N/C</v>
      </c>
      <c r="G159" s="73" t="str">
        <f aca="false">IF(G84=0,"N/C",IF(G152&gt;0,G80/G152,"N/M"))</f>
        <v>N/C</v>
      </c>
      <c r="H159" s="73" t="str">
        <f aca="false">IF(H84=0,"N/C",IF(H152&gt;0,H80/H152,"N/M"))</f>
        <v>N/C</v>
      </c>
      <c r="I159" s="73" t="str">
        <f aca="false">IF(I84=0,"N/C",IF(I152&gt;0,I80/I152,"N/M"))</f>
        <v>N/C</v>
      </c>
      <c r="J159" s="73" t="n">
        <f aca="false">IF(J84=0,"N/C",IF(J152&gt;0,J80/J152,"N/M"))</f>
        <v>1.87355470383275</v>
      </c>
      <c r="K159" s="60" t="n">
        <f aca="false">IF(COUNT(D159:J159)=0,"N/M",AVERAGE(D159:J159))</f>
        <v>1.87355470383275</v>
      </c>
      <c r="L159" s="60" t="str">
        <f aca="false">IF(COUNT(D159,J159)=2,J159-D159,"-")</f>
        <v>-</v>
      </c>
    </row>
    <row r="160" customFormat="false" ht="15" hidden="false" customHeight="false" outlineLevel="0" collapsed="false">
      <c r="A160" s="16" t="s">
        <v>777</v>
      </c>
      <c r="B160" s="87" t="s">
        <v>817</v>
      </c>
      <c r="C160" s="17" t="s">
        <v>115</v>
      </c>
      <c r="D160" s="73" t="str">
        <f aca="false">IF(D84=0,"N/C",IF(D21&gt;0,D83/D21,"N/M"))</f>
        <v>N/C</v>
      </c>
      <c r="E160" s="73" t="str">
        <f aca="false">IF(E84=0,"N/C",IF(E21&gt;0,E83/E21,"N/M"))</f>
        <v>N/C</v>
      </c>
      <c r="F160" s="73" t="str">
        <f aca="false">IF(F84=0,"N/C",IF(F21&gt;0,F83/F21,"N/M"))</f>
        <v>N/C</v>
      </c>
      <c r="G160" s="73" t="str">
        <f aca="false">IF(G84=0,"N/C",IF(G21&gt;0,G83/G21,"N/M"))</f>
        <v>N/C</v>
      </c>
      <c r="H160" s="73" t="str">
        <f aca="false">IF(H84=0,"N/C",IF(H21&gt;0,H83/H21,"N/M"))</f>
        <v>N/C</v>
      </c>
      <c r="I160" s="73" t="str">
        <f aca="false">IF(I84=0,"N/C",IF(I21&gt;0,I83/I21,"N/M"))</f>
        <v>N/C</v>
      </c>
      <c r="J160" s="73" t="n">
        <f aca="false">IF(J84=0,"N/C",IF(J21&gt;0,J83/J21,"N/M"))</f>
        <v>6.96774638297872</v>
      </c>
      <c r="K160" s="60" t="n">
        <f aca="false">IF(COUNT(D160:J160)=0,"N/M",AVERAGE(D160:J160))</f>
        <v>6.96774638297872</v>
      </c>
      <c r="L160" s="60" t="str">
        <f aca="false">IF(COUNT(D160,J160)=2,J160-D160,"-")</f>
        <v>-</v>
      </c>
    </row>
    <row r="162" customFormat="false" ht="19.5" hidden="false" customHeight="true" outlineLevel="0" collapsed="false">
      <c r="A162" s="85" t="s">
        <v>779</v>
      </c>
      <c r="B162" s="86"/>
      <c r="C162" s="86"/>
      <c r="D162" s="86"/>
      <c r="E162" s="86"/>
      <c r="F162" s="86"/>
      <c r="G162" s="86"/>
      <c r="H162" s="86"/>
      <c r="I162" s="86"/>
      <c r="J162" s="86"/>
      <c r="K162" s="86"/>
      <c r="L162" s="86"/>
    </row>
    <row r="163" customFormat="false" ht="16.5" hidden="false" customHeight="true" outlineLevel="0" collapsed="false">
      <c r="A163" s="88" t="s">
        <v>780</v>
      </c>
      <c r="B163" s="89"/>
      <c r="C163" s="89"/>
      <c r="D163" s="89"/>
      <c r="E163" s="89"/>
      <c r="F163" s="89"/>
      <c r="G163" s="89"/>
      <c r="H163" s="89"/>
      <c r="I163" s="89"/>
      <c r="J163" s="89"/>
      <c r="K163" s="89"/>
      <c r="L163" s="89"/>
    </row>
    <row r="164" customFormat="false" ht="15" hidden="false" customHeight="false" outlineLevel="0" collapsed="false">
      <c r="A164" s="16" t="s">
        <v>300</v>
      </c>
      <c r="B164" s="87" t="s">
        <v>725</v>
      </c>
      <c r="C164" s="17" t="s">
        <v>615</v>
      </c>
      <c r="D164" s="71" t="n">
        <f aca="false">IF(D7&gt;0,D30/D7,"N/M")</f>
        <v>0.0303556649387986</v>
      </c>
      <c r="E164" s="71" t="n">
        <f aca="false">IF(E7&gt;0,E30/E7,"N/M")</f>
        <v>0.0164696468884846</v>
      </c>
      <c r="F164" s="71" t="n">
        <f aca="false">IF(F7&gt;0,F30/F7,"N/M")</f>
        <v>0.0485634815964277</v>
      </c>
      <c r="G164" s="71" t="n">
        <f aca="false">IF(G7&gt;0,G30/G7,"N/M")</f>
        <v>0.0348788445035863</v>
      </c>
      <c r="H164" s="71" t="n">
        <f aca="false">IF(H7&gt;0,H30/H7,"N/M")</f>
        <v>0.0115431948355577</v>
      </c>
      <c r="I164" s="71" t="n">
        <f aca="false">IF(I7&gt;0,I30/I7,"N/M")</f>
        <v>0.0331463539010709</v>
      </c>
      <c r="J164" s="71" t="n">
        <f aca="false">IF(J7&gt;0,J30/J7,"N/M")</f>
        <v>0.00388726919339164</v>
      </c>
      <c r="K164" s="62" t="n">
        <f aca="false">IF(COUNT(D164:J164)=0,"N/M",AVERAGE(D164:J164))</f>
        <v>0.0255492079796168</v>
      </c>
      <c r="L164" s="62" t="n">
        <f aca="false">IF(COUNT(D164,J164)=2,J164-D164,"-")</f>
        <v>-0.026468395745407</v>
      </c>
    </row>
    <row r="165" customFormat="false" ht="15" hidden="false" customHeight="false" outlineLevel="0" collapsed="false">
      <c r="A165" s="16" t="s">
        <v>781</v>
      </c>
      <c r="B165" s="87" t="s">
        <v>708</v>
      </c>
      <c r="C165" s="17" t="s">
        <v>692</v>
      </c>
      <c r="D165" s="73" t="n">
        <f aca="false">IF(D49&gt;0,D7/D49,"N/M")</f>
        <v>1.38583722886884</v>
      </c>
      <c r="E165" s="73" t="n">
        <f aca="false">IF(E49&gt;0,E7/E49,"N/M")</f>
        <v>1.43548645134119</v>
      </c>
      <c r="F165" s="73" t="n">
        <f aca="false">IF(F49&gt;0,F7/F49,"N/M")</f>
        <v>1.9848042482299</v>
      </c>
      <c r="G165" s="73" t="n">
        <f aca="false">IF(G49&gt;0,G7/G49,"N/M")</f>
        <v>2.49635520028766</v>
      </c>
      <c r="H165" s="73" t="n">
        <f aca="false">IF(H49&gt;0,H7/H49,"N/M")</f>
        <v>1.81038824705311</v>
      </c>
      <c r="I165" s="73" t="n">
        <f aca="false">IF(I49&gt;0,I7/I49,"N/M")</f>
        <v>1.12636415852958</v>
      </c>
      <c r="J165" s="73" t="n">
        <f aca="false">IF(J49&gt;0,J7/J49,"N/M")</f>
        <v>1.18548387096774</v>
      </c>
      <c r="K165" s="60" t="n">
        <f aca="false">IF(COUNT(D165:J165)=0,"N/M",AVERAGE(D165:J165))</f>
        <v>1.63210277218258</v>
      </c>
      <c r="L165" s="60" t="n">
        <f aca="false">IF(COUNT(D165,J165)=2,J165-D165,"-")</f>
        <v>-0.2003533579011</v>
      </c>
    </row>
    <row r="166" customFormat="false" ht="15" hidden="false" customHeight="false" outlineLevel="0" collapsed="false">
      <c r="A166" s="16" t="s">
        <v>782</v>
      </c>
      <c r="B166" s="87" t="s">
        <v>783</v>
      </c>
      <c r="C166" s="17" t="s">
        <v>692</v>
      </c>
      <c r="D166" s="73" t="n">
        <f aca="false">IF(D40&gt;0,D49/D40,"N/M")</f>
        <v>2.47049447732675</v>
      </c>
      <c r="E166" s="73" t="n">
        <f aca="false">IF(E40&gt;0,E49/E40,"N/M")</f>
        <v>3.20260210024786</v>
      </c>
      <c r="F166" s="73" t="n">
        <f aca="false">IF(F40&gt;0,F49/F40,"N/M")</f>
        <v>3.03754870704924</v>
      </c>
      <c r="G166" s="73" t="n">
        <f aca="false">IF(G40&gt;0,G49/G40,"N/M")</f>
        <v>2.56939755953692</v>
      </c>
      <c r="H166" s="73" t="n">
        <f aca="false">IF(H40&gt;0,H49/H40,"N/M")</f>
        <v>2.84081328347141</v>
      </c>
      <c r="I166" s="73" t="n">
        <f aca="false">IF(I40&gt;0,I49/I40,"N/M")</f>
        <v>3.09786476868327</v>
      </c>
      <c r="J166" s="73" t="n">
        <f aca="false">IF(J40&gt;0,J49/J40,"N/M")</f>
        <v>3.02439024390244</v>
      </c>
      <c r="K166" s="60" t="n">
        <f aca="false">IF(COUNT(D166:J166)=0,"N/M",AVERAGE(D166:J166))</f>
        <v>2.89187302003113</v>
      </c>
      <c r="L166" s="60" t="n">
        <f aca="false">IF(COUNT(D166,J166)=2,J166-D166,"-")</f>
        <v>0.553895766575692</v>
      </c>
    </row>
    <row r="167" customFormat="false" ht="15" hidden="false" customHeight="false" outlineLevel="0" collapsed="false">
      <c r="A167" s="12" t="s">
        <v>303</v>
      </c>
      <c r="B167" s="87" t="s">
        <v>741</v>
      </c>
      <c r="C167" s="17" t="s">
        <v>615</v>
      </c>
      <c r="D167" s="30" t="n">
        <f aca="false">IF(D49&gt;0,D30/D49,"N/M")</f>
        <v>0.0420680105792558</v>
      </c>
      <c r="E167" s="30" t="n">
        <f aca="false">IF(E49&gt;0,E30/E49,"N/M")</f>
        <v>0.0236419549667932</v>
      </c>
      <c r="F167" s="30" t="n">
        <f aca="false">IF(F49&gt;0,F30/F49,"N/M")</f>
        <v>0.0963890045814244</v>
      </c>
      <c r="G167" s="30" t="n">
        <f aca="false">IF(G49&gt;0,G30/G49,"N/M")</f>
        <v>0.0870699848565521</v>
      </c>
      <c r="H167" s="30" t="n">
        <f aca="false">IF(H49&gt;0,H30/H49,"N/M")</f>
        <v>0.0208976642637377</v>
      </c>
      <c r="I167" s="30" t="n">
        <f aca="false">IF(I49&gt;0,I30/I49,"N/M")</f>
        <v>0.0373348650201034</v>
      </c>
      <c r="J167" s="30" t="n">
        <f aca="false">IF(J49&gt;0,J30/J49,"N/M")</f>
        <v>0.00460829493087558</v>
      </c>
      <c r="K167" s="30" t="n">
        <f aca="false">IF(COUNT(D167:J167)=0,"N/M",AVERAGE(D167:J167))</f>
        <v>0.0445728255998203</v>
      </c>
      <c r="L167" s="30" t="n">
        <f aca="false">IF(COUNT(D167,J167)=2,J167-D167,"-")</f>
        <v>-0.0374597156483802</v>
      </c>
    </row>
    <row r="168" customFormat="false" ht="15" hidden="false" customHeight="false" outlineLevel="0" collapsed="false">
      <c r="A168" s="12" t="s">
        <v>784</v>
      </c>
      <c r="B168" s="87" t="s">
        <v>751</v>
      </c>
      <c r="C168" s="17" t="s">
        <v>615</v>
      </c>
      <c r="D168" s="30" t="n">
        <f aca="false">IF(D40&gt;0,D30/D40,"N/M")</f>
        <v>0.103928787808175</v>
      </c>
      <c r="E168" s="30" t="n">
        <f aca="false">IF(E40&gt;0,E30/E40,"N/M")</f>
        <v>0.0757157746306174</v>
      </c>
      <c r="F168" s="30" t="n">
        <f aca="false">IF(F40&gt;0,F30/F40,"N/M")</f>
        <v>0.292786296240069</v>
      </c>
      <c r="G168" s="30" t="n">
        <f aca="false">IF(G40&gt;0,G30/G40,"N/M")</f>
        <v>0.223717406599342</v>
      </c>
      <c r="H168" s="30" t="n">
        <f aca="false">IF(H40&gt;0,H30/H40,"N/M")</f>
        <v>0.0593663622339518</v>
      </c>
      <c r="I168" s="30" t="n">
        <f aca="false">IF(I40&gt;0,I30/I40,"N/M")</f>
        <v>0.115658362989324</v>
      </c>
      <c r="J168" s="30" t="n">
        <f aca="false">IF(J40&gt;0,J30/J40,"N/M")</f>
        <v>0.0139372822299652</v>
      </c>
      <c r="K168" s="30" t="n">
        <f aca="false">IF(COUNT(D168:J168)=0,"N/M",AVERAGE(D168:J168))</f>
        <v>0.126444324675921</v>
      </c>
      <c r="L168" s="30" t="n">
        <f aca="false">IF(COUNT(D168,J168)=2,J168-D168,"-")</f>
        <v>-0.0899915055782093</v>
      </c>
    </row>
    <row r="169" customFormat="false" ht="15" hidden="false" customHeight="false" outlineLevel="0" collapsed="false">
      <c r="A169" s="16" t="s">
        <v>785</v>
      </c>
      <c r="B169" s="87" t="s">
        <v>786</v>
      </c>
      <c r="C169" s="17" t="s">
        <v>615</v>
      </c>
      <c r="D169" s="94" t="n">
        <f aca="false">IF(COUNT(D164,D165,D166,D168)=4,D164*D165*D166-D168,"-")</f>
        <v>0</v>
      </c>
      <c r="E169" s="94" t="n">
        <f aca="false">IF(COUNT(E164,E165,E166,E168)=4,E164*E165*E166-E168,"-")</f>
        <v>0</v>
      </c>
      <c r="F169" s="94" t="n">
        <f aca="false">IF(COUNT(F164,F165,F166,F168)=4,F164*F165*F166-F168,"-")</f>
        <v>0</v>
      </c>
      <c r="G169" s="94" t="n">
        <f aca="false">IF(COUNT(G164,G165,G166,G168)=4,G164*G165*G166-G168,"-")</f>
        <v>0</v>
      </c>
      <c r="H169" s="94" t="n">
        <f aca="false">IF(COUNT(H164,H165,H166,H168)=4,H164*H165*H166-H168,"-")</f>
        <v>0</v>
      </c>
      <c r="I169" s="94" t="n">
        <f aca="false">IF(COUNT(I164,I165,I166,I168)=4,I164*I165*I166-I168,"-")</f>
        <v>0</v>
      </c>
      <c r="J169" s="94" t="n">
        <f aca="false">IF(COUNT(J164,J165,J166,J168)=4,J164*J165*J166-J168,"-")</f>
        <v>0</v>
      </c>
      <c r="K169" s="62"/>
      <c r="L169" s="62"/>
    </row>
    <row r="170" customFormat="false" ht="16.5" hidden="false" customHeight="true" outlineLevel="0" collapsed="false">
      <c r="A170" s="88" t="s">
        <v>787</v>
      </c>
      <c r="B170" s="89"/>
      <c r="C170" s="89"/>
      <c r="D170" s="89"/>
      <c r="E170" s="89"/>
      <c r="F170" s="89"/>
      <c r="G170" s="89"/>
      <c r="H170" s="89"/>
      <c r="I170" s="89"/>
      <c r="J170" s="89"/>
      <c r="K170" s="89"/>
      <c r="L170" s="89"/>
    </row>
    <row r="171" customFormat="false" ht="15" hidden="false" customHeight="false" outlineLevel="0" collapsed="false">
      <c r="A171" s="16" t="s">
        <v>788</v>
      </c>
      <c r="B171" s="87" t="s">
        <v>789</v>
      </c>
      <c r="C171" s="17" t="s">
        <v>97</v>
      </c>
      <c r="D171" s="73" t="n">
        <f aca="false">IF(D26&lt;&gt;0,D30/D26,"N/M")</f>
        <v>0.730094290204296</v>
      </c>
      <c r="E171" s="73" t="n">
        <f aca="false">IF(E26&lt;&gt;0,E30/E26,"N/M")</f>
        <v>1.0868745285391</v>
      </c>
      <c r="F171" s="73" t="n">
        <f aca="false">IF(F26&lt;&gt;0,F30/F26,"N/M")</f>
        <v>0.757786855051941</v>
      </c>
      <c r="G171" s="73" t="n">
        <f aca="false">IF(G26&lt;&gt;0,G30/G26,"N/M")</f>
        <v>0.703185382089485</v>
      </c>
      <c r="H171" s="73" t="n">
        <f aca="false">IF(H26&lt;&gt;0,H30/H26,"N/M")</f>
        <v>0.910528556657144</v>
      </c>
      <c r="I171" s="73" t="n">
        <f aca="false">IF(I26&lt;&gt;0,I30/I26,"N/M")</f>
        <v>4.33333333333333</v>
      </c>
      <c r="J171" s="73" t="n">
        <f aca="false">IF(J26&lt;&gt;0,J30/J26,"N/M")</f>
        <v>2</v>
      </c>
      <c r="K171" s="60" t="n">
        <f aca="false">IF(COUNT(D171:J171)=0,"N/M",AVERAGE(D171:J171))</f>
        <v>1.50311470655361</v>
      </c>
      <c r="L171" s="60" t="n">
        <f aca="false">IF(COUNT(D171,J171)=2,J171-D171,"-")</f>
        <v>1.2699057097957</v>
      </c>
    </row>
    <row r="172" customFormat="false" ht="15" hidden="false" customHeight="false" outlineLevel="0" collapsed="false">
      <c r="A172" s="16" t="s">
        <v>790</v>
      </c>
      <c r="B172" s="87" t="s">
        <v>791</v>
      </c>
      <c r="C172" s="17" t="s">
        <v>97</v>
      </c>
      <c r="D172" s="73" t="n">
        <f aca="false">IF(D23&lt;&gt;0,D26/D23,"N/M")</f>
        <v>1.07719978839711</v>
      </c>
      <c r="E172" s="73" t="n">
        <f aca="false">IF(E23&lt;&gt;0,E26/E23,"N/M")</f>
        <v>0.472047477744807</v>
      </c>
      <c r="F172" s="73" t="n">
        <f aca="false">IF(F23&lt;&gt;0,F26/F23,"N/M")</f>
        <v>1.17047207504144</v>
      </c>
      <c r="G172" s="73" t="n">
        <f aca="false">IF(G23&lt;&gt;0,G26/G23,"N/M")</f>
        <v>1.03844860181631</v>
      </c>
      <c r="H172" s="73" t="n">
        <f aca="false">IF(H23&lt;&gt;0,H26/H23,"N/M")</f>
        <v>2.32611771363896</v>
      </c>
      <c r="I172" s="73" t="n">
        <f aca="false">IF(I23&lt;&gt;0,I26/I23,"N/M")</f>
        <v>0.75</v>
      </c>
      <c r="J172" s="73" t="n">
        <f aca="false">IF(J23&lt;&gt;0,J26/J23,"N/M")</f>
        <v>0.129032258064516</v>
      </c>
      <c r="K172" s="60" t="n">
        <f aca="false">IF(COUNT(D172:J172)=0,"N/M",AVERAGE(D172:J172))</f>
        <v>0.994759702100447</v>
      </c>
      <c r="L172" s="60" t="n">
        <f aca="false">IF(COUNT(D172,J172)=2,J172-D172,"-")</f>
        <v>-0.948167530332592</v>
      </c>
    </row>
    <row r="173" customFormat="false" ht="15" hidden="false" customHeight="false" outlineLevel="0" collapsed="false">
      <c r="A173" s="16" t="s">
        <v>792</v>
      </c>
      <c r="B173" s="87" t="s">
        <v>793</v>
      </c>
      <c r="C173" s="17" t="s">
        <v>615</v>
      </c>
      <c r="D173" s="71" t="n">
        <f aca="false">IF(D7&gt;0,D23/D7,"N/M")</f>
        <v>0.0385979766520015</v>
      </c>
      <c r="E173" s="71" t="n">
        <f aca="false">IF(E7&gt;0,E23/E7,"N/M")</f>
        <v>0.0321010468560978</v>
      </c>
      <c r="F173" s="71" t="n">
        <f aca="false">IF(F7&gt;0,F23/F7,"N/M")</f>
        <v>0.0547522146084945</v>
      </c>
      <c r="G173" s="71" t="n">
        <f aca="false">IF(G7&gt;0,G23/G7,"N/M")</f>
        <v>0.0477647213941566</v>
      </c>
      <c r="H173" s="71" t="n">
        <f aca="false">IF(H7&gt;0,H23/H7,"N/M")</f>
        <v>0.00545005351354177</v>
      </c>
      <c r="I173" s="71" t="n">
        <f aca="false">IF(I7&gt;0,I23/I7,"N/M")</f>
        <v>0.0101988781234064</v>
      </c>
      <c r="J173" s="71" t="n">
        <f aca="false">IF(J7&gt;0,J23/J7,"N/M")</f>
        <v>0.0150631681243926</v>
      </c>
      <c r="K173" s="62" t="n">
        <f aca="false">IF(COUNT(D173:J173)=0,"N/M",AVERAGE(D173:J173))</f>
        <v>0.029132579896013</v>
      </c>
      <c r="L173" s="62" t="n">
        <f aca="false">IF(COUNT(D173,J173)=2,J173-D173,"-")</f>
        <v>-0.0235348085276089</v>
      </c>
    </row>
    <row r="174" customFormat="false" ht="15" hidden="false" customHeight="false" outlineLevel="0" collapsed="false">
      <c r="A174" s="16" t="s">
        <v>781</v>
      </c>
      <c r="B174" s="87" t="s">
        <v>708</v>
      </c>
      <c r="C174" s="17" t="s">
        <v>692</v>
      </c>
      <c r="D174" s="73" t="n">
        <f aca="false">IF(D49&gt;0,D7/D49,"N/M")</f>
        <v>1.38583722886884</v>
      </c>
      <c r="E174" s="73" t="n">
        <f aca="false">IF(E49&gt;0,E7/E49,"N/M")</f>
        <v>1.43548645134119</v>
      </c>
      <c r="F174" s="73" t="n">
        <f aca="false">IF(F49&gt;0,F7/F49,"N/M")</f>
        <v>1.9848042482299</v>
      </c>
      <c r="G174" s="73" t="n">
        <f aca="false">IF(G49&gt;0,G7/G49,"N/M")</f>
        <v>2.49635520028766</v>
      </c>
      <c r="H174" s="73" t="n">
        <f aca="false">IF(H49&gt;0,H7/H49,"N/M")</f>
        <v>1.81038824705311</v>
      </c>
      <c r="I174" s="73" t="n">
        <f aca="false">IF(I49&gt;0,I7/I49,"N/M")</f>
        <v>1.12636415852958</v>
      </c>
      <c r="J174" s="73" t="n">
        <f aca="false">IF(J49&gt;0,J7/J49,"N/M")</f>
        <v>1.18548387096774</v>
      </c>
      <c r="K174" s="60" t="n">
        <f aca="false">IF(COUNT(D174:J174)=0,"N/M",AVERAGE(D174:J174))</f>
        <v>1.63210277218258</v>
      </c>
      <c r="L174" s="60" t="n">
        <f aca="false">IF(COUNT(D174,J174)=2,J174-D174,"-")</f>
        <v>-0.2003533579011</v>
      </c>
    </row>
    <row r="175" customFormat="false" ht="15" hidden="false" customHeight="false" outlineLevel="0" collapsed="false">
      <c r="A175" s="16" t="s">
        <v>782</v>
      </c>
      <c r="B175" s="87" t="s">
        <v>783</v>
      </c>
      <c r="C175" s="17" t="s">
        <v>692</v>
      </c>
      <c r="D175" s="73" t="n">
        <f aca="false">IF(D40&gt;0,D49/D40,"N/M")</f>
        <v>2.47049447732675</v>
      </c>
      <c r="E175" s="73" t="n">
        <f aca="false">IF(E40&gt;0,E49/E40,"N/M")</f>
        <v>3.20260210024786</v>
      </c>
      <c r="F175" s="73" t="n">
        <f aca="false">IF(F40&gt;0,F49/F40,"N/M")</f>
        <v>3.03754870704924</v>
      </c>
      <c r="G175" s="73" t="n">
        <f aca="false">IF(G40&gt;0,G49/G40,"N/M")</f>
        <v>2.56939755953692</v>
      </c>
      <c r="H175" s="73" t="n">
        <f aca="false">IF(H40&gt;0,H49/H40,"N/M")</f>
        <v>2.84081328347141</v>
      </c>
      <c r="I175" s="73" t="n">
        <f aca="false">IF(I40&gt;0,I49/I40,"N/M")</f>
        <v>3.09786476868327</v>
      </c>
      <c r="J175" s="73" t="n">
        <f aca="false">IF(J40&gt;0,J49/J40,"N/M")</f>
        <v>3.02439024390244</v>
      </c>
      <c r="K175" s="60" t="n">
        <f aca="false">IF(COUNT(D175:J175)=0,"N/M",AVERAGE(D175:J175))</f>
        <v>2.89187302003113</v>
      </c>
      <c r="L175" s="60" t="n">
        <f aca="false">IF(COUNT(D175,J175)=2,J175-D175,"-")</f>
        <v>0.553895766575692</v>
      </c>
    </row>
    <row r="176" customFormat="false" ht="15" hidden="false" customHeight="false" outlineLevel="0" collapsed="false">
      <c r="A176" s="12" t="s">
        <v>784</v>
      </c>
      <c r="B176" s="87" t="s">
        <v>751</v>
      </c>
      <c r="C176" s="17" t="s">
        <v>615</v>
      </c>
      <c r="D176" s="30" t="n">
        <f aca="false">IF(D40&gt;0,D30/D40,"N/M")</f>
        <v>0.103928787808175</v>
      </c>
      <c r="E176" s="30" t="n">
        <f aca="false">IF(E40&gt;0,E30/E40,"N/M")</f>
        <v>0.0757157746306174</v>
      </c>
      <c r="F176" s="30" t="n">
        <f aca="false">IF(F40&gt;0,F30/F40,"N/M")</f>
        <v>0.292786296240069</v>
      </c>
      <c r="G176" s="30" t="n">
        <f aca="false">IF(G40&gt;0,G30/G40,"N/M")</f>
        <v>0.223717406599342</v>
      </c>
      <c r="H176" s="30" t="n">
        <f aca="false">IF(H40&gt;0,H30/H40,"N/M")</f>
        <v>0.0593663622339518</v>
      </c>
      <c r="I176" s="30" t="n">
        <f aca="false">IF(I40&gt;0,I30/I40,"N/M")</f>
        <v>0.115658362989324</v>
      </c>
      <c r="J176" s="30" t="n">
        <f aca="false">IF(J40&gt;0,J30/J40,"N/M")</f>
        <v>0.0139372822299652</v>
      </c>
      <c r="K176" s="30" t="n">
        <f aca="false">IF(COUNT(D176:J176)=0,"N/M",AVERAGE(D176:J176))</f>
        <v>0.126444324675921</v>
      </c>
      <c r="L176" s="30" t="n">
        <f aca="false">IF(COUNT(D176,J176)=2,J176-D176,"-")</f>
        <v>-0.0899915055782093</v>
      </c>
    </row>
    <row r="177" customFormat="false" ht="15" hidden="false" customHeight="false" outlineLevel="0" collapsed="false">
      <c r="A177" s="16" t="s">
        <v>794</v>
      </c>
      <c r="B177" s="87" t="s">
        <v>786</v>
      </c>
      <c r="C177" s="17" t="s">
        <v>615</v>
      </c>
      <c r="D177" s="94" t="n">
        <f aca="false">IF(COUNT(D171,D172,D173,D174,D175,D176)=6,D171*D172*D173*D174*D175-D176,"-")</f>
        <v>0</v>
      </c>
      <c r="E177" s="94" t="n">
        <f aca="false">IF(COUNT(E171,E172,E173,E174,E175,E176)=6,E171*E172*E173*E174*E175-E176,"-")</f>
        <v>0</v>
      </c>
      <c r="F177" s="94" t="n">
        <f aca="false">IF(COUNT(F171,F172,F173,F174,F175,F176)=6,F171*F172*F173*F174*F175-F176,"-")</f>
        <v>0</v>
      </c>
      <c r="G177" s="94" t="n">
        <f aca="false">IF(COUNT(G171,G172,G173,G174,G175,G176)=6,G171*G172*G173*G174*G175-G176,"-")</f>
        <v>0</v>
      </c>
      <c r="H177" s="94" t="n">
        <f aca="false">IF(COUNT(H171,H172,H173,H174,H175,H176)=6,H171*H172*H173*H174*H175-H176,"-")</f>
        <v>0</v>
      </c>
      <c r="I177" s="94" t="n">
        <f aca="false">IF(COUNT(I171,I172,I173,I174,I175,I176)=6,I171*I172*I173*I174*I175-I176,"-")</f>
        <v>0</v>
      </c>
      <c r="J177" s="94" t="n">
        <f aca="false">IF(COUNT(J171,J172,J173,J174,J175,J176)=6,J171*J172*J173*J174*J175-J176,"-")</f>
        <v>0</v>
      </c>
      <c r="K177" s="62"/>
      <c r="L177" s="62"/>
    </row>
  </sheetData>
  <mergeCells count="3">
    <mergeCell ref="A1:L1"/>
    <mergeCell ref="A2:L2"/>
    <mergeCell ref="A3:L3"/>
  </mergeCells>
  <hyperlinks>
    <hyperlink ref="A3" r:id="rId2" display="Source: annual reports FY2020-FY2026 (consolidated) - https://www.allcargologistics.com/investor/logistics-annual-reports   (full list of documents on the Sources sheet)"/>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18096"/>
    <pageSetUpPr fitToPage="true"/>
  </sheetPr>
  <dimension ref="A1:L177"/>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50"/>
    <col collapsed="false" customWidth="true" hidden="false" outlineLevel="0" max="3" min="3" style="0" width="15"/>
    <col collapsed="false" customWidth="true" hidden="false" outlineLevel="0" max="10" min="4" style="0" width="11.5"/>
    <col collapsed="false" customWidth="true" hidden="false" outlineLevel="0" max="12" min="11" style="0" width="12"/>
  </cols>
  <sheetData>
    <row r="1" customFormat="false" ht="24" hidden="false" customHeight="true" outlineLevel="0" collapsed="false">
      <c r="A1" s="1" t="s">
        <v>821</v>
      </c>
      <c r="B1" s="1"/>
      <c r="C1" s="1"/>
      <c r="D1" s="1"/>
      <c r="E1" s="1"/>
      <c r="F1" s="1"/>
      <c r="G1" s="1"/>
      <c r="H1" s="1"/>
      <c r="I1" s="1"/>
      <c r="J1" s="1"/>
      <c r="K1" s="1"/>
      <c r="L1" s="1"/>
    </row>
    <row r="2" customFormat="false" ht="18" hidden="false" customHeight="true" outlineLevel="0" collapsed="false">
      <c r="A2" s="2" t="s">
        <v>822</v>
      </c>
      <c r="B2" s="2"/>
      <c r="C2" s="2"/>
      <c r="D2" s="2"/>
      <c r="E2" s="2"/>
      <c r="F2" s="2"/>
      <c r="G2" s="2"/>
      <c r="H2" s="2"/>
      <c r="I2" s="2"/>
      <c r="J2" s="2"/>
      <c r="K2" s="2"/>
      <c r="L2" s="2"/>
    </row>
    <row r="3" customFormat="false" ht="18" hidden="false" customHeight="true" outlineLevel="0" collapsed="false">
      <c r="A3" s="95" t="s">
        <v>823</v>
      </c>
      <c r="B3" s="95"/>
      <c r="C3" s="95"/>
      <c r="D3" s="95"/>
      <c r="E3" s="95"/>
      <c r="F3" s="95"/>
      <c r="G3" s="95"/>
      <c r="H3" s="95"/>
      <c r="I3" s="95"/>
      <c r="J3" s="95"/>
      <c r="K3" s="95"/>
      <c r="L3" s="95"/>
    </row>
    <row r="5" customFormat="false" ht="30" hidden="false" customHeight="true" outlineLevel="0" collapsed="false">
      <c r="A5" s="7" t="s">
        <v>486</v>
      </c>
      <c r="B5" s="7" t="s">
        <v>487</v>
      </c>
      <c r="C5" s="7" t="s">
        <v>488</v>
      </c>
      <c r="D5" s="7" t="s">
        <v>154</v>
      </c>
      <c r="E5" s="7" t="s">
        <v>185</v>
      </c>
      <c r="F5" s="7" t="s">
        <v>188</v>
      </c>
      <c r="G5" s="7" t="s">
        <v>144</v>
      </c>
      <c r="H5" s="7" t="s">
        <v>147</v>
      </c>
      <c r="I5" s="7" t="s">
        <v>157</v>
      </c>
      <c r="J5" s="7" t="s">
        <v>198</v>
      </c>
      <c r="K5" s="7" t="s">
        <v>322</v>
      </c>
      <c r="L5" s="7" t="s">
        <v>489</v>
      </c>
    </row>
    <row r="6" customFormat="false" ht="19.5" hidden="false" customHeight="true" outlineLevel="0" collapsed="false">
      <c r="A6" s="85" t="s">
        <v>490</v>
      </c>
      <c r="B6" s="86"/>
      <c r="C6" s="86"/>
      <c r="D6" s="86"/>
      <c r="E6" s="86"/>
      <c r="F6" s="86"/>
      <c r="G6" s="86"/>
      <c r="H6" s="86"/>
      <c r="I6" s="86"/>
      <c r="J6" s="86"/>
      <c r="K6" s="86"/>
      <c r="L6" s="86"/>
    </row>
    <row r="7" customFormat="false" ht="15" hidden="false" customHeight="false" outlineLevel="0" collapsed="false">
      <c r="A7" s="16" t="s">
        <v>491</v>
      </c>
      <c r="B7" s="87" t="s">
        <v>492</v>
      </c>
      <c r="C7" s="17" t="s">
        <v>493</v>
      </c>
      <c r="D7" s="96" t="n">
        <v>3175.13</v>
      </c>
      <c r="E7" s="96" t="n">
        <v>3288.13</v>
      </c>
      <c r="F7" s="96" t="n">
        <v>4410.49</v>
      </c>
      <c r="G7" s="96" t="n">
        <v>5172.22</v>
      </c>
      <c r="H7" s="96" t="n">
        <v>5267.83</v>
      </c>
      <c r="I7" s="96" t="n">
        <v>5720.18</v>
      </c>
      <c r="J7" s="96" t="n">
        <v>6140.88</v>
      </c>
      <c r="K7" s="53" t="n">
        <f aca="false">AVERAGE(D7:J7)</f>
        <v>4739.26571428571</v>
      </c>
      <c r="L7" s="53" t="n">
        <f aca="false">J7-D7</f>
        <v>2965.75</v>
      </c>
    </row>
    <row r="8" customFormat="false" ht="16.5" hidden="false" customHeight="true" outlineLevel="0" collapsed="false">
      <c r="A8" s="88" t="s">
        <v>494</v>
      </c>
      <c r="B8" s="89"/>
      <c r="C8" s="89"/>
      <c r="D8" s="89"/>
      <c r="E8" s="89"/>
      <c r="F8" s="89"/>
      <c r="G8" s="89"/>
      <c r="H8" s="89"/>
      <c r="I8" s="89"/>
      <c r="J8" s="89"/>
      <c r="K8" s="89"/>
      <c r="L8" s="89"/>
    </row>
    <row r="9" customFormat="false" ht="15" hidden="false" customHeight="false" outlineLevel="0" collapsed="false">
      <c r="A9" s="16" t="s">
        <v>495</v>
      </c>
      <c r="B9" s="87" t="s">
        <v>496</v>
      </c>
      <c r="C9" s="17" t="s">
        <v>493</v>
      </c>
      <c r="D9" s="96" t="n">
        <v>0</v>
      </c>
      <c r="E9" s="96" t="n">
        <v>0</v>
      </c>
      <c r="F9" s="96" t="n">
        <v>0</v>
      </c>
      <c r="G9" s="96" t="n">
        <v>0</v>
      </c>
      <c r="H9" s="96" t="n">
        <v>0</v>
      </c>
      <c r="I9" s="96" t="n">
        <v>0</v>
      </c>
      <c r="J9" s="96" t="n">
        <v>0</v>
      </c>
      <c r="K9" s="53" t="n">
        <f aca="false">AVERAGE(D9:J9)</f>
        <v>0</v>
      </c>
      <c r="L9" s="53" t="n">
        <f aca="false">J9-D9</f>
        <v>0</v>
      </c>
    </row>
    <row r="10" customFormat="false" ht="15" hidden="false" customHeight="false" outlineLevel="0" collapsed="false">
      <c r="A10" s="16" t="s">
        <v>497</v>
      </c>
      <c r="B10" s="87" t="s">
        <v>498</v>
      </c>
      <c r="C10" s="17" t="s">
        <v>493</v>
      </c>
      <c r="D10" s="96" t="n">
        <v>0</v>
      </c>
      <c r="E10" s="96" t="n">
        <v>0</v>
      </c>
      <c r="F10" s="96" t="n">
        <v>0</v>
      </c>
      <c r="G10" s="96" t="n">
        <v>0</v>
      </c>
      <c r="H10" s="96" t="n">
        <v>0</v>
      </c>
      <c r="I10" s="96" t="n">
        <v>0</v>
      </c>
      <c r="J10" s="96" t="n">
        <v>0</v>
      </c>
      <c r="K10" s="53" t="n">
        <f aca="false">AVERAGE(D10:J10)</f>
        <v>0</v>
      </c>
      <c r="L10" s="53" t="n">
        <f aca="false">J10-D10</f>
        <v>0</v>
      </c>
    </row>
    <row r="11" customFormat="false" ht="15" hidden="false" customHeight="false" outlineLevel="0" collapsed="false">
      <c r="A11" s="16" t="s">
        <v>499</v>
      </c>
      <c r="B11" s="87" t="s">
        <v>500</v>
      </c>
      <c r="C11" s="17" t="s">
        <v>493</v>
      </c>
      <c r="D11" s="96" t="n">
        <v>234.37</v>
      </c>
      <c r="E11" s="96" t="n">
        <v>172.22</v>
      </c>
      <c r="F11" s="96" t="n">
        <v>332.04</v>
      </c>
      <c r="G11" s="96" t="n">
        <v>516.57</v>
      </c>
      <c r="H11" s="96" t="n">
        <v>403.34</v>
      </c>
      <c r="I11" s="96" t="n">
        <v>444.62</v>
      </c>
      <c r="J11" s="96" t="n">
        <v>386.82</v>
      </c>
      <c r="K11" s="53" t="n">
        <f aca="false">AVERAGE(D11:J11)</f>
        <v>355.711428571429</v>
      </c>
      <c r="L11" s="53" t="n">
        <f aca="false">J11-D11</f>
        <v>152.45</v>
      </c>
    </row>
    <row r="12" customFormat="false" ht="15" hidden="false" customHeight="false" outlineLevel="0" collapsed="false">
      <c r="A12" s="16" t="s">
        <v>501</v>
      </c>
      <c r="B12" s="87" t="s">
        <v>502</v>
      </c>
      <c r="C12" s="17" t="s">
        <v>493</v>
      </c>
      <c r="D12" s="96" t="n">
        <v>1489.92</v>
      </c>
      <c r="E12" s="96" t="n">
        <v>1480.39</v>
      </c>
      <c r="F12" s="96" t="n">
        <v>2044.93</v>
      </c>
      <c r="G12" s="96" t="n">
        <v>2601.58</v>
      </c>
      <c r="H12" s="96" t="n">
        <v>2791.22</v>
      </c>
      <c r="I12" s="96" t="n">
        <v>3078.6</v>
      </c>
      <c r="J12" s="96" t="n">
        <v>3353.74</v>
      </c>
      <c r="K12" s="53" t="n">
        <f aca="false">AVERAGE(D12:J12)</f>
        <v>2405.76857142857</v>
      </c>
      <c r="L12" s="53" t="n">
        <f aca="false">J12-D12</f>
        <v>1863.82</v>
      </c>
    </row>
    <row r="13" customFormat="false" ht="15" hidden="false" customHeight="false" outlineLevel="0" collapsed="false">
      <c r="A13" s="12" t="s">
        <v>503</v>
      </c>
      <c r="B13" s="87" t="s">
        <v>504</v>
      </c>
      <c r="C13" s="17" t="s">
        <v>493</v>
      </c>
      <c r="D13" s="29" t="n">
        <f aca="false">D9+D11+D12-D10</f>
        <v>1724.29</v>
      </c>
      <c r="E13" s="29" t="n">
        <f aca="false">E9+E11+E12-E10</f>
        <v>1652.61</v>
      </c>
      <c r="F13" s="29" t="n">
        <f aca="false">F9+F11+F12-F10</f>
        <v>2376.97</v>
      </c>
      <c r="G13" s="29" t="n">
        <f aca="false">G9+G11+G12-G10</f>
        <v>3118.15</v>
      </c>
      <c r="H13" s="29" t="n">
        <f aca="false">H9+H11+H12-H10</f>
        <v>3194.56</v>
      </c>
      <c r="I13" s="29" t="n">
        <f aca="false">I9+I11+I12-I10</f>
        <v>3523.22</v>
      </c>
      <c r="J13" s="29" t="n">
        <f aca="false">J9+J11+J12-J10</f>
        <v>3740.56</v>
      </c>
      <c r="K13" s="29" t="n">
        <f aca="false">AVERAGE(D13:J13)</f>
        <v>2761.48</v>
      </c>
      <c r="L13" s="29" t="n">
        <f aca="false">J13-D13</f>
        <v>2016.27</v>
      </c>
    </row>
    <row r="14" customFormat="false" ht="15" hidden="false" customHeight="false" outlineLevel="0" collapsed="false">
      <c r="A14" s="12" t="s">
        <v>505</v>
      </c>
      <c r="B14" s="87" t="s">
        <v>506</v>
      </c>
      <c r="C14" s="17" t="s">
        <v>493</v>
      </c>
      <c r="D14" s="29" t="n">
        <f aca="false">D7-D13</f>
        <v>1450.84</v>
      </c>
      <c r="E14" s="29" t="n">
        <f aca="false">E7-E13</f>
        <v>1635.52</v>
      </c>
      <c r="F14" s="29" t="n">
        <f aca="false">F7-F13</f>
        <v>2033.52</v>
      </c>
      <c r="G14" s="29" t="n">
        <f aca="false">G7-G13</f>
        <v>2054.07</v>
      </c>
      <c r="H14" s="29" t="n">
        <f aca="false">H7-H13</f>
        <v>2073.27</v>
      </c>
      <c r="I14" s="29" t="n">
        <f aca="false">I7-I13</f>
        <v>2196.96</v>
      </c>
      <c r="J14" s="29" t="n">
        <f aca="false">J7-J13</f>
        <v>2400.32</v>
      </c>
      <c r="K14" s="29" t="n">
        <f aca="false">AVERAGE(D14:J14)</f>
        <v>1977.78571428571</v>
      </c>
      <c r="L14" s="29" t="n">
        <f aca="false">J14-D14</f>
        <v>949.48</v>
      </c>
    </row>
    <row r="15" customFormat="false" ht="16.5" hidden="false" customHeight="true" outlineLevel="0" collapsed="false">
      <c r="A15" s="88" t="s">
        <v>507</v>
      </c>
      <c r="B15" s="89"/>
      <c r="C15" s="89"/>
      <c r="D15" s="89"/>
      <c r="E15" s="89"/>
      <c r="F15" s="89"/>
      <c r="G15" s="89"/>
      <c r="H15" s="89"/>
      <c r="I15" s="89"/>
      <c r="J15" s="89"/>
      <c r="K15" s="89"/>
      <c r="L15" s="89"/>
    </row>
    <row r="16" customFormat="false" ht="15" hidden="false" customHeight="false" outlineLevel="0" collapsed="false">
      <c r="A16" s="16" t="s">
        <v>508</v>
      </c>
      <c r="B16" s="87" t="s">
        <v>509</v>
      </c>
      <c r="C16" s="17" t="s">
        <v>493</v>
      </c>
      <c r="D16" s="96" t="n">
        <v>733.88</v>
      </c>
      <c r="E16" s="96" t="n">
        <v>729.81</v>
      </c>
      <c r="F16" s="96" t="n">
        <v>766.33</v>
      </c>
      <c r="G16" s="96" t="n">
        <v>839.55</v>
      </c>
      <c r="H16" s="96" t="n">
        <v>908.79</v>
      </c>
      <c r="I16" s="96" t="n">
        <v>969.52</v>
      </c>
      <c r="J16" s="96" t="n">
        <v>1043.81</v>
      </c>
      <c r="K16" s="53" t="n">
        <f aca="false">AVERAGE(D16:J16)</f>
        <v>855.955714285714</v>
      </c>
      <c r="L16" s="53" t="n">
        <f aca="false">J16-D16</f>
        <v>309.93</v>
      </c>
    </row>
    <row r="17" customFormat="false" ht="15" hidden="false" customHeight="false" outlineLevel="0" collapsed="false">
      <c r="A17" s="16" t="s">
        <v>510</v>
      </c>
      <c r="B17" s="87" t="s">
        <v>511</v>
      </c>
      <c r="C17" s="17" t="s">
        <v>493</v>
      </c>
      <c r="D17" s="96" t="n">
        <v>207.12</v>
      </c>
      <c r="E17" s="96" t="n">
        <v>197.26</v>
      </c>
      <c r="F17" s="96" t="n">
        <v>248.72</v>
      </c>
      <c r="G17" s="96" t="n">
        <v>227.67</v>
      </c>
      <c r="H17" s="96" t="n">
        <v>278.88</v>
      </c>
      <c r="I17" s="96" t="n">
        <v>317.17</v>
      </c>
      <c r="J17" s="96" t="n">
        <v>357.35</v>
      </c>
      <c r="K17" s="53" t="n">
        <f aca="false">AVERAGE(D17:J17)</f>
        <v>262.024285714286</v>
      </c>
      <c r="L17" s="53" t="n">
        <f aca="false">J17-D17</f>
        <v>150.23</v>
      </c>
    </row>
    <row r="18" customFormat="false" ht="15" hidden="false" customHeight="false" outlineLevel="0" collapsed="false">
      <c r="A18" s="16" t="s">
        <v>512</v>
      </c>
      <c r="B18" s="87" t="s">
        <v>513</v>
      </c>
      <c r="C18" s="17" t="s">
        <v>493</v>
      </c>
      <c r="D18" s="96" t="n">
        <v>35.23</v>
      </c>
      <c r="E18" s="96" t="n">
        <v>22.16</v>
      </c>
      <c r="F18" s="96" t="n">
        <v>18.46</v>
      </c>
      <c r="G18" s="96" t="n">
        <v>49.24</v>
      </c>
      <c r="H18" s="96" t="n">
        <v>32.6</v>
      </c>
      <c r="I18" s="96" t="n">
        <v>34.01</v>
      </c>
      <c r="J18" s="96" t="n">
        <v>48.5</v>
      </c>
      <c r="K18" s="53" t="n">
        <f aca="false">AVERAGE(D18:J18)</f>
        <v>34.3142857142857</v>
      </c>
      <c r="L18" s="53" t="n">
        <f aca="false">J18-D18</f>
        <v>13.27</v>
      </c>
    </row>
    <row r="19" customFormat="false" ht="15" hidden="false" customHeight="false" outlineLevel="0" collapsed="false">
      <c r="A19" s="12" t="s">
        <v>507</v>
      </c>
      <c r="B19" s="87" t="s">
        <v>514</v>
      </c>
      <c r="C19" s="17" t="s">
        <v>493</v>
      </c>
      <c r="D19" s="29" t="n">
        <f aca="false">D16+D17+D18</f>
        <v>976.23</v>
      </c>
      <c r="E19" s="29" t="n">
        <f aca="false">E16+E17+E18</f>
        <v>949.23</v>
      </c>
      <c r="F19" s="29" t="n">
        <f aca="false">F16+F17+F18</f>
        <v>1033.51</v>
      </c>
      <c r="G19" s="29" t="n">
        <f aca="false">G16+G17+G18</f>
        <v>1116.46</v>
      </c>
      <c r="H19" s="29" t="n">
        <f aca="false">H16+H17+H18</f>
        <v>1220.27</v>
      </c>
      <c r="I19" s="29" t="n">
        <f aca="false">I16+I17+I18</f>
        <v>1320.7</v>
      </c>
      <c r="J19" s="29" t="n">
        <f aca="false">J16+J17+J18</f>
        <v>1449.66</v>
      </c>
      <c r="K19" s="29" t="n">
        <f aca="false">AVERAGE(D19:J19)</f>
        <v>1152.29428571429</v>
      </c>
      <c r="L19" s="29" t="n">
        <f aca="false">J19-D19</f>
        <v>473.43</v>
      </c>
    </row>
    <row r="20" customFormat="false" ht="15" hidden="false" customHeight="false" outlineLevel="0" collapsed="false">
      <c r="A20" s="12" t="s">
        <v>515</v>
      </c>
      <c r="B20" s="87" t="s">
        <v>516</v>
      </c>
      <c r="C20" s="17" t="s">
        <v>493</v>
      </c>
      <c r="D20" s="29" t="n">
        <f aca="false">D13+D19</f>
        <v>2700.52</v>
      </c>
      <c r="E20" s="29" t="n">
        <f aca="false">E13+E19</f>
        <v>2601.84</v>
      </c>
      <c r="F20" s="29" t="n">
        <f aca="false">F13+F19</f>
        <v>3410.48</v>
      </c>
      <c r="G20" s="29" t="n">
        <f aca="false">G13+G19</f>
        <v>4234.61</v>
      </c>
      <c r="H20" s="29" t="n">
        <f aca="false">H13+H19</f>
        <v>4414.83</v>
      </c>
      <c r="I20" s="29" t="n">
        <f aca="false">I13+I19</f>
        <v>4843.92</v>
      </c>
      <c r="J20" s="29" t="n">
        <f aca="false">J13+J19</f>
        <v>5190.22</v>
      </c>
      <c r="K20" s="29" t="n">
        <f aca="false">AVERAGE(D20:J20)</f>
        <v>3913.77428571429</v>
      </c>
      <c r="L20" s="29" t="n">
        <f aca="false">J20-D20</f>
        <v>2489.7</v>
      </c>
    </row>
    <row r="21" customFormat="false" ht="15" hidden="false" customHeight="false" outlineLevel="0" collapsed="false">
      <c r="A21" s="12" t="s">
        <v>517</v>
      </c>
      <c r="B21" s="87" t="s">
        <v>518</v>
      </c>
      <c r="C21" s="17" t="s">
        <v>493</v>
      </c>
      <c r="D21" s="29" t="n">
        <f aca="false">D7-D20</f>
        <v>474.61</v>
      </c>
      <c r="E21" s="29" t="n">
        <f aca="false">E7-E20</f>
        <v>686.29</v>
      </c>
      <c r="F21" s="29" t="n">
        <f aca="false">F7-F20</f>
        <v>1000.01</v>
      </c>
      <c r="G21" s="29" t="n">
        <f aca="false">G7-G20</f>
        <v>937.61</v>
      </c>
      <c r="H21" s="29" t="n">
        <f aca="false">H7-H20</f>
        <v>853</v>
      </c>
      <c r="I21" s="29" t="n">
        <f aca="false">I7-I20</f>
        <v>876.26</v>
      </c>
      <c r="J21" s="29" t="n">
        <f aca="false">J7-J20</f>
        <v>950.660000000001</v>
      </c>
      <c r="K21" s="29" t="n">
        <f aca="false">AVERAGE(D21:J21)</f>
        <v>825.491428571429</v>
      </c>
      <c r="L21" s="29" t="n">
        <f aca="false">J21-D21</f>
        <v>476.050000000001</v>
      </c>
    </row>
    <row r="22" customFormat="false" ht="15" hidden="false" customHeight="false" outlineLevel="0" collapsed="false">
      <c r="A22" s="16" t="s">
        <v>519</v>
      </c>
      <c r="B22" s="87" t="s">
        <v>520</v>
      </c>
      <c r="C22" s="17" t="s">
        <v>493</v>
      </c>
      <c r="D22" s="96" t="n">
        <v>347.33</v>
      </c>
      <c r="E22" s="96" t="n">
        <v>430</v>
      </c>
      <c r="F22" s="96" t="n">
        <v>395.37</v>
      </c>
      <c r="G22" s="96" t="n">
        <v>394.48</v>
      </c>
      <c r="H22" s="96" t="n">
        <v>432.86</v>
      </c>
      <c r="I22" s="96" t="n">
        <v>484.94</v>
      </c>
      <c r="J22" s="96" t="n">
        <v>536.07</v>
      </c>
      <c r="K22" s="53" t="n">
        <f aca="false">AVERAGE(D22:J22)</f>
        <v>431.578571428572</v>
      </c>
      <c r="L22" s="53" t="n">
        <f aca="false">J22-D22</f>
        <v>188.74</v>
      </c>
    </row>
    <row r="23" customFormat="false" ht="15" hidden="false" customHeight="false" outlineLevel="0" collapsed="false">
      <c r="A23" s="12" t="s">
        <v>521</v>
      </c>
      <c r="B23" s="87" t="s">
        <v>522</v>
      </c>
      <c r="C23" s="17" t="s">
        <v>493</v>
      </c>
      <c r="D23" s="29" t="n">
        <f aca="false">D21-D22</f>
        <v>127.28</v>
      </c>
      <c r="E23" s="29" t="n">
        <f aca="false">E21-E22</f>
        <v>256.29</v>
      </c>
      <c r="F23" s="29" t="n">
        <f aca="false">F21-F22</f>
        <v>604.639999999999</v>
      </c>
      <c r="G23" s="29" t="n">
        <f aca="false">G21-G22</f>
        <v>543.13</v>
      </c>
      <c r="H23" s="29" t="n">
        <f aca="false">H21-H22</f>
        <v>420.14</v>
      </c>
      <c r="I23" s="29" t="n">
        <f aca="false">I21-I22</f>
        <v>391.32</v>
      </c>
      <c r="J23" s="29" t="n">
        <f aca="false">J21-J22</f>
        <v>414.590000000001</v>
      </c>
      <c r="K23" s="29" t="n">
        <f aca="false">AVERAGE(D23:J23)</f>
        <v>393.912857142857</v>
      </c>
      <c r="L23" s="29" t="n">
        <f aca="false">J23-D23</f>
        <v>287.310000000001</v>
      </c>
    </row>
    <row r="24" customFormat="false" ht="15" hidden="false" customHeight="false" outlineLevel="0" collapsed="false">
      <c r="A24" s="16" t="s">
        <v>523</v>
      </c>
      <c r="B24" s="87" t="s">
        <v>524</v>
      </c>
      <c r="C24" s="17" t="s">
        <v>493</v>
      </c>
      <c r="D24" s="96" t="n">
        <v>-49.02</v>
      </c>
      <c r="E24" s="96" t="n">
        <v>-5.55</v>
      </c>
      <c r="F24" s="96" t="n">
        <v>-5.38</v>
      </c>
      <c r="G24" s="96" t="n">
        <v>31.92</v>
      </c>
      <c r="H24" s="96" t="n">
        <v>50.62</v>
      </c>
      <c r="I24" s="96" t="n">
        <v>38.31</v>
      </c>
      <c r="J24" s="96" t="n">
        <v>-2.2</v>
      </c>
      <c r="K24" s="53" t="n">
        <f aca="false">AVERAGE(D24:J24)</f>
        <v>8.38571428571428</v>
      </c>
      <c r="L24" s="53" t="n">
        <f aca="false">J24-D24</f>
        <v>46.82</v>
      </c>
    </row>
    <row r="25" customFormat="false" ht="15" hidden="false" customHeight="false" outlineLevel="0" collapsed="false">
      <c r="A25" s="16" t="s">
        <v>525</v>
      </c>
      <c r="B25" s="87" t="s">
        <v>526</v>
      </c>
      <c r="C25" s="17" t="s">
        <v>493</v>
      </c>
      <c r="D25" s="96" t="n">
        <v>117.38</v>
      </c>
      <c r="E25" s="96" t="n">
        <v>110.95</v>
      </c>
      <c r="F25" s="96" t="n">
        <v>86.97</v>
      </c>
      <c r="G25" s="96" t="n">
        <v>66.85</v>
      </c>
      <c r="H25" s="96" t="n">
        <v>78.06</v>
      </c>
      <c r="I25" s="96" t="n">
        <v>82.39</v>
      </c>
      <c r="J25" s="96" t="n">
        <v>85.64</v>
      </c>
      <c r="K25" s="53" t="n">
        <f aca="false">AVERAGE(D25:J25)</f>
        <v>89.7485714285714</v>
      </c>
      <c r="L25" s="53" t="n">
        <f aca="false">J25-D25</f>
        <v>-31.74</v>
      </c>
    </row>
    <row r="26" customFormat="false" ht="15" hidden="false" customHeight="false" outlineLevel="0" collapsed="false">
      <c r="A26" s="12" t="s">
        <v>527</v>
      </c>
      <c r="B26" s="87" t="s">
        <v>528</v>
      </c>
      <c r="C26" s="17" t="s">
        <v>493</v>
      </c>
      <c r="D26" s="90" t="n">
        <f aca="false">D23+D24-D25</f>
        <v>-39.1199999999999</v>
      </c>
      <c r="E26" s="90" t="n">
        <f aca="false">E23+E24-E25</f>
        <v>139.79</v>
      </c>
      <c r="F26" s="90" t="n">
        <f aca="false">F23+F24-F25</f>
        <v>512.289999999999</v>
      </c>
      <c r="G26" s="90" t="n">
        <f aca="false">G23+G24-G25</f>
        <v>508.2</v>
      </c>
      <c r="H26" s="90" t="n">
        <f aca="false">H23+H24-H25</f>
        <v>392.7</v>
      </c>
      <c r="I26" s="90" t="n">
        <f aca="false">I23+I24-I25</f>
        <v>347.24</v>
      </c>
      <c r="J26" s="90" t="n">
        <f aca="false">J23+J24-J25</f>
        <v>326.750000000001</v>
      </c>
      <c r="K26" s="91" t="n">
        <f aca="false">AVERAGE(D26:J26)</f>
        <v>312.55</v>
      </c>
      <c r="L26" s="91" t="n">
        <f aca="false">J26-D26</f>
        <v>365.870000000001</v>
      </c>
    </row>
    <row r="27" customFormat="false" ht="15" hidden="false" customHeight="false" outlineLevel="0" collapsed="false">
      <c r="A27" s="16" t="s">
        <v>529</v>
      </c>
      <c r="B27" s="87" t="s">
        <v>530</v>
      </c>
      <c r="C27" s="17" t="s">
        <v>493</v>
      </c>
      <c r="D27" s="96" t="n">
        <v>2.74</v>
      </c>
      <c r="E27" s="96" t="n">
        <v>37.98</v>
      </c>
      <c r="F27" s="96" t="n">
        <v>130.08</v>
      </c>
      <c r="G27" s="96" t="n">
        <v>137.67</v>
      </c>
      <c r="H27" s="96" t="n">
        <v>91.69</v>
      </c>
      <c r="I27" s="96" t="n">
        <v>94.82</v>
      </c>
      <c r="J27" s="96" t="n">
        <v>79.36</v>
      </c>
      <c r="K27" s="53" t="n">
        <f aca="false">AVERAGE(D27:J27)</f>
        <v>82.0485714285714</v>
      </c>
      <c r="L27" s="53" t="n">
        <f aca="false">J27-D27</f>
        <v>76.62</v>
      </c>
    </row>
    <row r="28" customFormat="false" ht="15" hidden="false" customHeight="false" outlineLevel="0" collapsed="false">
      <c r="A28" s="16" t="s">
        <v>531</v>
      </c>
      <c r="B28" s="87" t="s">
        <v>532</v>
      </c>
      <c r="C28" s="17" t="s">
        <v>493</v>
      </c>
      <c r="D28" s="69" t="n">
        <f aca="false">D26-D27</f>
        <v>-41.8599999999999</v>
      </c>
      <c r="E28" s="69" t="n">
        <f aca="false">E26-E27</f>
        <v>101.81</v>
      </c>
      <c r="F28" s="69" t="n">
        <f aca="false">F26-F27</f>
        <v>382.209999999999</v>
      </c>
      <c r="G28" s="69" t="n">
        <f aca="false">G26-G27</f>
        <v>370.53</v>
      </c>
      <c r="H28" s="69" t="n">
        <f aca="false">H26-H27</f>
        <v>301.01</v>
      </c>
      <c r="I28" s="69" t="n">
        <f aca="false">I26-I27</f>
        <v>252.42</v>
      </c>
      <c r="J28" s="69" t="n">
        <f aca="false">J26-J27</f>
        <v>247.390000000001</v>
      </c>
      <c r="K28" s="53" t="n">
        <f aca="false">AVERAGE(D28:J28)</f>
        <v>230.501428571429</v>
      </c>
      <c r="L28" s="53" t="n">
        <f aca="false">J28-D28</f>
        <v>289.250000000001</v>
      </c>
    </row>
    <row r="29" customFormat="false" ht="15" hidden="false" customHeight="false" outlineLevel="0" collapsed="false">
      <c r="A29" s="16" t="s">
        <v>533</v>
      </c>
      <c r="B29" s="87" t="s">
        <v>534</v>
      </c>
      <c r="C29" s="17" t="s">
        <v>493</v>
      </c>
      <c r="D29" s="69" t="n">
        <f aca="false">D30-D28</f>
        <v>0</v>
      </c>
      <c r="E29" s="69" t="n">
        <f aca="false">E30-E28</f>
        <v>0</v>
      </c>
      <c r="F29" s="69" t="n">
        <f aca="false">F30-F28</f>
        <v>0</v>
      </c>
      <c r="G29" s="69" t="n">
        <f aca="false">G30-G28</f>
        <v>0</v>
      </c>
      <c r="H29" s="69" t="n">
        <f aca="false">H30-H28</f>
        <v>0</v>
      </c>
      <c r="I29" s="69" t="n">
        <f aca="false">I30-I28</f>
        <v>0</v>
      </c>
      <c r="J29" s="69" t="n">
        <f aca="false">J30-J28</f>
        <v>0</v>
      </c>
      <c r="K29" s="53" t="n">
        <f aca="false">AVERAGE(D29:J29)</f>
        <v>0</v>
      </c>
      <c r="L29" s="53" t="n">
        <f aca="false">J29-D29</f>
        <v>0</v>
      </c>
    </row>
    <row r="30" customFormat="false" ht="15" hidden="false" customHeight="false" outlineLevel="0" collapsed="false">
      <c r="A30" s="16" t="s">
        <v>535</v>
      </c>
      <c r="B30" s="87" t="s">
        <v>536</v>
      </c>
      <c r="C30" s="17" t="s">
        <v>493</v>
      </c>
      <c r="D30" s="96" t="n">
        <v>-41.86</v>
      </c>
      <c r="E30" s="96" t="n">
        <v>101.81</v>
      </c>
      <c r="F30" s="96" t="n">
        <v>382.21</v>
      </c>
      <c r="G30" s="96" t="n">
        <v>370.53</v>
      </c>
      <c r="H30" s="96" t="n">
        <v>301.01</v>
      </c>
      <c r="I30" s="96" t="n">
        <v>252.42</v>
      </c>
      <c r="J30" s="96" t="n">
        <v>247.39</v>
      </c>
      <c r="K30" s="53" t="n">
        <f aca="false">AVERAGE(D30:J30)</f>
        <v>230.501428571429</v>
      </c>
      <c r="L30" s="53" t="n">
        <f aca="false">J30-D30</f>
        <v>289.25</v>
      </c>
    </row>
    <row r="31" customFormat="false" ht="15" hidden="false" customHeight="false" outlineLevel="0" collapsed="false">
      <c r="A31" s="16" t="s">
        <v>537</v>
      </c>
      <c r="B31" s="87" t="s">
        <v>538</v>
      </c>
      <c r="C31" s="17" t="s">
        <v>493</v>
      </c>
      <c r="D31" s="96" t="n">
        <v>0</v>
      </c>
      <c r="E31" s="96" t="n">
        <v>35.64</v>
      </c>
      <c r="F31" s="96" t="n">
        <v>142.56</v>
      </c>
      <c r="G31" s="96" t="n">
        <v>71.28</v>
      </c>
      <c r="H31" s="96" t="n">
        <v>59.4</v>
      </c>
      <c r="I31" s="96" t="n">
        <v>59.4</v>
      </c>
      <c r="J31" s="96" t="n">
        <v>59.4</v>
      </c>
      <c r="K31" s="53" t="n">
        <f aca="false">AVERAGE(D31:J31)</f>
        <v>61.0971428571429</v>
      </c>
      <c r="L31" s="53" t="n">
        <f aca="false">J31-D31</f>
        <v>59.4</v>
      </c>
    </row>
    <row r="32" customFormat="false" ht="15" hidden="false" customHeight="false" outlineLevel="0" collapsed="false">
      <c r="A32" s="16" t="s">
        <v>539</v>
      </c>
      <c r="B32" s="87" t="s">
        <v>540</v>
      </c>
      <c r="C32" s="17" t="s">
        <v>493</v>
      </c>
      <c r="D32" s="96" t="n">
        <v>0</v>
      </c>
      <c r="E32" s="96" t="n">
        <v>0</v>
      </c>
      <c r="F32" s="96" t="n">
        <v>0</v>
      </c>
      <c r="G32" s="96" t="n">
        <v>0</v>
      </c>
      <c r="H32" s="96" t="n">
        <v>0</v>
      </c>
      <c r="I32" s="96" t="n">
        <v>0</v>
      </c>
      <c r="J32" s="96" t="n">
        <v>0</v>
      </c>
      <c r="K32" s="53" t="n">
        <f aca="false">AVERAGE(D32:J32)</f>
        <v>0</v>
      </c>
      <c r="L32" s="53" t="n">
        <f aca="false">J32-D32</f>
        <v>0</v>
      </c>
    </row>
    <row r="34" customFormat="false" ht="19.5" hidden="false" customHeight="true" outlineLevel="0" collapsed="false">
      <c r="A34" s="85" t="s">
        <v>541</v>
      </c>
      <c r="B34" s="86"/>
      <c r="C34" s="86"/>
      <c r="D34" s="86"/>
      <c r="E34" s="86"/>
      <c r="F34" s="86"/>
      <c r="G34" s="86"/>
      <c r="H34" s="86"/>
      <c r="I34" s="86"/>
      <c r="J34" s="86"/>
      <c r="K34" s="86"/>
      <c r="L34" s="86"/>
    </row>
    <row r="35" customFormat="false" ht="16.5" hidden="false" customHeight="true" outlineLevel="0" collapsed="false">
      <c r="A35" s="88" t="s">
        <v>542</v>
      </c>
      <c r="B35" s="89"/>
      <c r="C35" s="89"/>
      <c r="D35" s="89"/>
      <c r="E35" s="89"/>
      <c r="F35" s="89"/>
      <c r="G35" s="89"/>
      <c r="H35" s="89"/>
      <c r="I35" s="89"/>
      <c r="J35" s="89"/>
      <c r="K35" s="89"/>
      <c r="L35" s="89"/>
    </row>
    <row r="36" customFormat="false" ht="15" hidden="false" customHeight="false" outlineLevel="0" collapsed="false">
      <c r="A36" s="16" t="s">
        <v>543</v>
      </c>
      <c r="B36" s="87" t="s">
        <v>544</v>
      </c>
      <c r="C36" s="17" t="s">
        <v>493</v>
      </c>
      <c r="D36" s="96" t="n">
        <v>23.76</v>
      </c>
      <c r="E36" s="96" t="n">
        <v>23.76</v>
      </c>
      <c r="F36" s="96" t="n">
        <v>23.76</v>
      </c>
      <c r="G36" s="96" t="n">
        <v>23.76</v>
      </c>
      <c r="H36" s="96" t="n">
        <v>23.76</v>
      </c>
      <c r="I36" s="96" t="n">
        <v>23.76</v>
      </c>
      <c r="J36" s="96" t="n">
        <v>23.76</v>
      </c>
      <c r="K36" s="53" t="n">
        <f aca="false">AVERAGE(D36:J36)</f>
        <v>23.76</v>
      </c>
      <c r="L36" s="53" t="n">
        <f aca="false">J36-D36</f>
        <v>0</v>
      </c>
    </row>
    <row r="37" customFormat="false" ht="15" hidden="false" customHeight="false" outlineLevel="0" collapsed="false">
      <c r="A37" s="16" t="s">
        <v>545</v>
      </c>
      <c r="B37" s="87" t="s">
        <v>540</v>
      </c>
      <c r="C37" s="17" t="s">
        <v>493</v>
      </c>
      <c r="D37" s="96" t="n">
        <v>0</v>
      </c>
      <c r="E37" s="96" t="n">
        <v>0</v>
      </c>
      <c r="F37" s="96" t="n">
        <v>0</v>
      </c>
      <c r="G37" s="96" t="n">
        <v>0</v>
      </c>
      <c r="H37" s="96" t="n">
        <v>0</v>
      </c>
      <c r="I37" s="96" t="n">
        <v>0</v>
      </c>
      <c r="J37" s="96" t="n">
        <v>0</v>
      </c>
      <c r="K37" s="53" t="n">
        <f aca="false">AVERAGE(D37:J37)</f>
        <v>0</v>
      </c>
      <c r="L37" s="53" t="n">
        <f aca="false">J37-D37</f>
        <v>0</v>
      </c>
    </row>
    <row r="38" customFormat="false" ht="15" hidden="false" customHeight="false" outlineLevel="0" collapsed="false">
      <c r="A38" s="16" t="s">
        <v>546</v>
      </c>
      <c r="B38" s="87" t="s">
        <v>547</v>
      </c>
      <c r="C38" s="17" t="s">
        <v>493</v>
      </c>
      <c r="D38" s="96" t="n">
        <v>467.07</v>
      </c>
      <c r="E38" s="96" t="n">
        <v>568.2</v>
      </c>
      <c r="F38" s="96" t="n">
        <v>848.23</v>
      </c>
      <c r="G38" s="96" t="n">
        <v>1155.8</v>
      </c>
      <c r="H38" s="96" t="n">
        <v>1343.51</v>
      </c>
      <c r="I38" s="96" t="n">
        <v>1535.28</v>
      </c>
      <c r="J38" s="96" t="n">
        <v>1753.07</v>
      </c>
      <c r="K38" s="53" t="n">
        <f aca="false">AVERAGE(D38:J38)</f>
        <v>1095.88</v>
      </c>
      <c r="L38" s="53" t="n">
        <f aca="false">J38-D38</f>
        <v>1286</v>
      </c>
    </row>
    <row r="39" customFormat="false" ht="15" hidden="false" customHeight="false" outlineLevel="0" collapsed="false">
      <c r="A39" s="12" t="s">
        <v>548</v>
      </c>
      <c r="B39" s="87" t="s">
        <v>549</v>
      </c>
      <c r="C39" s="17" t="s">
        <v>493</v>
      </c>
      <c r="D39" s="29" t="n">
        <f aca="false">D36+D38</f>
        <v>490.83</v>
      </c>
      <c r="E39" s="29" t="n">
        <f aca="false">E36+E38</f>
        <v>591.96</v>
      </c>
      <c r="F39" s="29" t="n">
        <f aca="false">F36+F38</f>
        <v>871.99</v>
      </c>
      <c r="G39" s="29" t="n">
        <f aca="false">G36+G38</f>
        <v>1179.56</v>
      </c>
      <c r="H39" s="29" t="n">
        <f aca="false">H36+H38</f>
        <v>1367.27</v>
      </c>
      <c r="I39" s="29" t="n">
        <f aca="false">I36+I38</f>
        <v>1559.04</v>
      </c>
      <c r="J39" s="29" t="n">
        <f aca="false">J36+J38</f>
        <v>1776.83</v>
      </c>
      <c r="K39" s="29" t="n">
        <f aca="false">AVERAGE(D39:J39)</f>
        <v>1119.64</v>
      </c>
      <c r="L39" s="29" t="n">
        <f aca="false">J39-D39</f>
        <v>1286</v>
      </c>
    </row>
    <row r="40" customFormat="false" ht="15" hidden="false" customHeight="false" outlineLevel="0" collapsed="false">
      <c r="A40" s="12" t="s">
        <v>550</v>
      </c>
      <c r="B40" s="87" t="s">
        <v>551</v>
      </c>
      <c r="C40" s="17" t="s">
        <v>493</v>
      </c>
      <c r="D40" s="29" t="n">
        <f aca="false">D39+D37</f>
        <v>490.83</v>
      </c>
      <c r="E40" s="29" t="n">
        <f aca="false">E39+E37</f>
        <v>591.96</v>
      </c>
      <c r="F40" s="29" t="n">
        <f aca="false">F39+F37</f>
        <v>871.99</v>
      </c>
      <c r="G40" s="29" t="n">
        <f aca="false">G39+G37</f>
        <v>1179.56</v>
      </c>
      <c r="H40" s="29" t="n">
        <f aca="false">H39+H37</f>
        <v>1367.27</v>
      </c>
      <c r="I40" s="29" t="n">
        <f aca="false">I39+I37</f>
        <v>1559.04</v>
      </c>
      <c r="J40" s="29" t="n">
        <f aca="false">J39+J37</f>
        <v>1776.83</v>
      </c>
      <c r="K40" s="29" t="n">
        <f aca="false">AVERAGE(D40:J40)</f>
        <v>1119.64</v>
      </c>
      <c r="L40" s="29" t="n">
        <f aca="false">J40-D40</f>
        <v>1286</v>
      </c>
    </row>
    <row r="41" customFormat="false" ht="15" hidden="false" customHeight="false" outlineLevel="0" collapsed="false">
      <c r="A41" s="16" t="s">
        <v>552</v>
      </c>
      <c r="B41" s="87" t="s">
        <v>553</v>
      </c>
      <c r="C41" s="17" t="s">
        <v>493</v>
      </c>
      <c r="D41" s="96" t="n">
        <v>530</v>
      </c>
      <c r="E41" s="96" t="n">
        <v>1522.15</v>
      </c>
      <c r="F41" s="96" t="n">
        <v>1065.94</v>
      </c>
      <c r="G41" s="96" t="n">
        <v>1120.14</v>
      </c>
      <c r="H41" s="96" t="n">
        <v>1072.95</v>
      </c>
      <c r="I41" s="96" t="n">
        <v>1006.99</v>
      </c>
      <c r="J41" s="96" t="n">
        <v>1141.9</v>
      </c>
      <c r="K41" s="53" t="n">
        <f aca="false">AVERAGE(D41:J41)</f>
        <v>1065.72428571429</v>
      </c>
      <c r="L41" s="53" t="n">
        <f aca="false">J41-D41</f>
        <v>611.9</v>
      </c>
    </row>
    <row r="42" customFormat="false" ht="15" hidden="false" customHeight="false" outlineLevel="0" collapsed="false">
      <c r="A42" s="16" t="s">
        <v>554</v>
      </c>
      <c r="B42" s="87" t="s">
        <v>555</v>
      </c>
      <c r="C42" s="17" t="s">
        <v>493</v>
      </c>
      <c r="D42" s="96" t="n">
        <v>1619.96</v>
      </c>
      <c r="E42" s="96" t="n">
        <v>783.32</v>
      </c>
      <c r="F42" s="96" t="n">
        <v>890.83</v>
      </c>
      <c r="G42" s="96" t="n">
        <v>923.34</v>
      </c>
      <c r="H42" s="96" t="n">
        <v>1020.68</v>
      </c>
      <c r="I42" s="96" t="n">
        <v>1096.73</v>
      </c>
      <c r="J42" s="96" t="n">
        <v>1208.12</v>
      </c>
      <c r="K42" s="53" t="n">
        <f aca="false">AVERAGE(D42:J42)</f>
        <v>1077.56857142857</v>
      </c>
      <c r="L42" s="53" t="n">
        <f aca="false">J42-D42</f>
        <v>-411.84</v>
      </c>
    </row>
    <row r="43" customFormat="false" ht="15" hidden="false" customHeight="false" outlineLevel="0" collapsed="false">
      <c r="A43" s="12" t="s">
        <v>556</v>
      </c>
      <c r="B43" s="87" t="s">
        <v>557</v>
      </c>
      <c r="C43" s="17" t="s">
        <v>493</v>
      </c>
      <c r="D43" s="90" t="n">
        <f aca="false">D40+D41+D42</f>
        <v>2640.79</v>
      </c>
      <c r="E43" s="90" t="n">
        <f aca="false">E40+E41+E42</f>
        <v>2897.43</v>
      </c>
      <c r="F43" s="90" t="n">
        <f aca="false">F40+F41+F42</f>
        <v>2828.76</v>
      </c>
      <c r="G43" s="90" t="n">
        <f aca="false">G40+G41+G42</f>
        <v>3223.04</v>
      </c>
      <c r="H43" s="90" t="n">
        <f aca="false">H40+H41+H42</f>
        <v>3460.9</v>
      </c>
      <c r="I43" s="90" t="n">
        <f aca="false">I40+I41+I42</f>
        <v>3662.76</v>
      </c>
      <c r="J43" s="90" t="n">
        <f aca="false">J40+J41+J42</f>
        <v>4126.85</v>
      </c>
      <c r="K43" s="91" t="n">
        <f aca="false">AVERAGE(D43:J43)</f>
        <v>3262.93285714286</v>
      </c>
      <c r="L43" s="91" t="n">
        <f aca="false">J43-D43</f>
        <v>1486.06</v>
      </c>
    </row>
    <row r="44" customFormat="false" ht="16.5" hidden="false" customHeight="true" outlineLevel="0" collapsed="false">
      <c r="A44" s="88" t="s">
        <v>558</v>
      </c>
      <c r="B44" s="89"/>
      <c r="C44" s="89"/>
      <c r="D44" s="89"/>
      <c r="E44" s="89"/>
      <c r="F44" s="89"/>
      <c r="G44" s="89"/>
      <c r="H44" s="89"/>
      <c r="I44" s="89"/>
      <c r="J44" s="89"/>
      <c r="K44" s="89"/>
      <c r="L44" s="89"/>
    </row>
    <row r="45" customFormat="false" ht="15" hidden="false" customHeight="false" outlineLevel="0" collapsed="false">
      <c r="A45" s="16" t="s">
        <v>559</v>
      </c>
      <c r="B45" s="87" t="s">
        <v>560</v>
      </c>
      <c r="C45" s="17" t="s">
        <v>493</v>
      </c>
      <c r="D45" s="96" t="n">
        <v>1664.98</v>
      </c>
      <c r="E45" s="96" t="n">
        <v>1583.18</v>
      </c>
      <c r="F45" s="96" t="n">
        <v>1436.87</v>
      </c>
      <c r="G45" s="96" t="n">
        <v>1437.03</v>
      </c>
      <c r="H45" s="96" t="n">
        <v>1822.54</v>
      </c>
      <c r="I45" s="96" t="n">
        <v>1813.58</v>
      </c>
      <c r="J45" s="96" t="n">
        <v>2035.38</v>
      </c>
      <c r="K45" s="53" t="n">
        <f aca="false">AVERAGE(D45:J45)</f>
        <v>1684.79428571429</v>
      </c>
      <c r="L45" s="53" t="n">
        <f aca="false">J45-D45</f>
        <v>370.4</v>
      </c>
    </row>
    <row r="46" customFormat="false" ht="15" hidden="false" customHeight="false" outlineLevel="0" collapsed="false">
      <c r="A46" s="16" t="s">
        <v>561</v>
      </c>
      <c r="B46" s="87" t="s">
        <v>562</v>
      </c>
      <c r="C46" s="17" t="s">
        <v>493</v>
      </c>
      <c r="D46" s="96" t="n">
        <v>18.03</v>
      </c>
      <c r="E46" s="96" t="n">
        <v>6.68</v>
      </c>
      <c r="F46" s="96" t="n">
        <v>69.13</v>
      </c>
      <c r="G46" s="96" t="n">
        <v>438.91</v>
      </c>
      <c r="H46" s="96" t="n">
        <v>73.86</v>
      </c>
      <c r="I46" s="96" t="n">
        <v>76.95</v>
      </c>
      <c r="J46" s="96" t="n">
        <v>26.91</v>
      </c>
      <c r="K46" s="53" t="n">
        <f aca="false">AVERAGE(D46:J46)</f>
        <v>101.495714285714</v>
      </c>
      <c r="L46" s="53" t="n">
        <f aca="false">J46-D46</f>
        <v>8.88</v>
      </c>
    </row>
    <row r="47" customFormat="false" ht="15" hidden="false" customHeight="false" outlineLevel="0" collapsed="false">
      <c r="A47" s="16" t="s">
        <v>563</v>
      </c>
      <c r="B47" s="87" t="s">
        <v>564</v>
      </c>
      <c r="C47" s="17" t="s">
        <v>493</v>
      </c>
      <c r="D47" s="96" t="n">
        <v>0</v>
      </c>
      <c r="E47" s="96" t="n">
        <v>150.07</v>
      </c>
      <c r="F47" s="96" t="n">
        <v>207.39</v>
      </c>
      <c r="G47" s="96" t="n">
        <v>170.89</v>
      </c>
      <c r="H47" s="96" t="n">
        <v>307.28</v>
      </c>
      <c r="I47" s="96" t="n">
        <v>385.78</v>
      </c>
      <c r="J47" s="96" t="n">
        <v>412.56</v>
      </c>
      <c r="K47" s="53" t="n">
        <f aca="false">AVERAGE(D47:J47)</f>
        <v>233.424285714286</v>
      </c>
      <c r="L47" s="53" t="n">
        <f aca="false">J47-D47</f>
        <v>412.56</v>
      </c>
    </row>
    <row r="48" customFormat="false" ht="15" hidden="false" customHeight="false" outlineLevel="0" collapsed="false">
      <c r="A48" s="16" t="s">
        <v>565</v>
      </c>
      <c r="B48" s="87" t="s">
        <v>566</v>
      </c>
      <c r="C48" s="17" t="s">
        <v>493</v>
      </c>
      <c r="D48" s="96" t="n">
        <v>957.78</v>
      </c>
      <c r="E48" s="96" t="n">
        <v>1157.5</v>
      </c>
      <c r="F48" s="96" t="n">
        <v>1115.37</v>
      </c>
      <c r="G48" s="96" t="n">
        <v>1176.21</v>
      </c>
      <c r="H48" s="96" t="n">
        <v>1257.22</v>
      </c>
      <c r="I48" s="96" t="n">
        <v>1386.45</v>
      </c>
      <c r="J48" s="96" t="n">
        <v>1652</v>
      </c>
      <c r="K48" s="53" t="n">
        <f aca="false">AVERAGE(D48:J48)</f>
        <v>1243.21857142857</v>
      </c>
      <c r="L48" s="53" t="n">
        <f aca="false">J48-D48</f>
        <v>694.22</v>
      </c>
    </row>
    <row r="49" customFormat="false" ht="15" hidden="false" customHeight="false" outlineLevel="0" collapsed="false">
      <c r="A49" s="12" t="s">
        <v>567</v>
      </c>
      <c r="B49" s="87" t="s">
        <v>568</v>
      </c>
      <c r="C49" s="17" t="s">
        <v>493</v>
      </c>
      <c r="D49" s="90" t="n">
        <f aca="false">D45+D46+D47+D48</f>
        <v>2640.79</v>
      </c>
      <c r="E49" s="90" t="n">
        <f aca="false">E45+E46+E47+E48</f>
        <v>2897.43</v>
      </c>
      <c r="F49" s="90" t="n">
        <f aca="false">F45+F46+F47+F48</f>
        <v>2828.76</v>
      </c>
      <c r="G49" s="90" t="n">
        <f aca="false">G45+G46+G47+G48</f>
        <v>3223.04</v>
      </c>
      <c r="H49" s="90" t="n">
        <f aca="false">H45+H46+H47+H48</f>
        <v>3460.9</v>
      </c>
      <c r="I49" s="90" t="n">
        <f aca="false">I45+I46+I47+I48</f>
        <v>3662.76</v>
      </c>
      <c r="J49" s="90" t="n">
        <f aca="false">J45+J46+J47+J48</f>
        <v>4126.85</v>
      </c>
      <c r="K49" s="91" t="n">
        <f aca="false">AVERAGE(D49:J49)</f>
        <v>3262.93285714286</v>
      </c>
      <c r="L49" s="91" t="n">
        <f aca="false">J49-D49</f>
        <v>1486.06</v>
      </c>
    </row>
    <row r="50" customFormat="false" ht="15" hidden="false" customHeight="false" outlineLevel="0" collapsed="false">
      <c r="A50" s="16" t="s">
        <v>569</v>
      </c>
      <c r="B50" s="87" t="s">
        <v>570</v>
      </c>
      <c r="C50" s="17" t="s">
        <v>493</v>
      </c>
      <c r="D50" s="96" t="n">
        <v>528.23</v>
      </c>
      <c r="E50" s="96" t="n">
        <v>517.92</v>
      </c>
      <c r="F50" s="96" t="n">
        <v>580.01</v>
      </c>
      <c r="G50" s="96" t="n">
        <v>636.66</v>
      </c>
      <c r="H50" s="96" t="n">
        <v>670.43</v>
      </c>
      <c r="I50" s="96" t="n">
        <v>786.09</v>
      </c>
      <c r="J50" s="96" t="n">
        <v>918.25</v>
      </c>
      <c r="K50" s="53" t="n">
        <f aca="false">AVERAGE(D50:J50)</f>
        <v>662.512857142857</v>
      </c>
      <c r="L50" s="53" t="n">
        <f aca="false">J50-D50</f>
        <v>390.02</v>
      </c>
    </row>
    <row r="51" customFormat="false" ht="15" hidden="false" customHeight="false" outlineLevel="0" collapsed="false">
      <c r="A51" s="16" t="s">
        <v>571</v>
      </c>
      <c r="B51" s="87" t="s">
        <v>570</v>
      </c>
      <c r="C51" s="17" t="s">
        <v>493</v>
      </c>
      <c r="D51" s="96" t="n">
        <v>26.99</v>
      </c>
      <c r="E51" s="96" t="n">
        <v>31.78</v>
      </c>
      <c r="F51" s="96" t="n">
        <v>34.99</v>
      </c>
      <c r="G51" s="96" t="n">
        <v>39.35</v>
      </c>
      <c r="H51" s="96" t="n">
        <v>51.83</v>
      </c>
      <c r="I51" s="96" t="n">
        <v>51.53</v>
      </c>
      <c r="J51" s="96" t="n">
        <v>55.94</v>
      </c>
      <c r="K51" s="53" t="n">
        <f aca="false">AVERAGE(D51:J51)</f>
        <v>41.7728571428572</v>
      </c>
      <c r="L51" s="53" t="n">
        <f aca="false">J51-D51</f>
        <v>28.95</v>
      </c>
    </row>
    <row r="52" customFormat="false" ht="15" hidden="false" customHeight="false" outlineLevel="0" collapsed="false">
      <c r="A52" s="16" t="s">
        <v>572</v>
      </c>
      <c r="B52" s="87" t="s">
        <v>570</v>
      </c>
      <c r="C52" s="17" t="s">
        <v>493</v>
      </c>
      <c r="D52" s="96" t="n">
        <v>100</v>
      </c>
      <c r="E52" s="96" t="n">
        <v>310.52</v>
      </c>
      <c r="F52" s="96" t="n">
        <v>184.33</v>
      </c>
      <c r="G52" s="96" t="n">
        <v>95.52</v>
      </c>
      <c r="H52" s="96" t="n">
        <v>166.24</v>
      </c>
      <c r="I52" s="96" t="n">
        <v>167.31</v>
      </c>
      <c r="J52" s="96" t="n">
        <v>238.98</v>
      </c>
      <c r="K52" s="53" t="n">
        <f aca="false">AVERAGE(D52:J52)</f>
        <v>180.414285714286</v>
      </c>
      <c r="L52" s="53" t="n">
        <f aca="false">J52-D52</f>
        <v>138.98</v>
      </c>
    </row>
    <row r="53" customFormat="false" ht="15" hidden="false" customHeight="false" outlineLevel="0" collapsed="false">
      <c r="A53" s="16" t="s">
        <v>573</v>
      </c>
      <c r="B53" s="87" t="s">
        <v>574</v>
      </c>
      <c r="C53" s="17" t="s">
        <v>493</v>
      </c>
      <c r="D53" s="92" t="n">
        <f aca="false">D49-D43</f>
        <v>0</v>
      </c>
      <c r="E53" s="92" t="n">
        <f aca="false">E49-E43</f>
        <v>0</v>
      </c>
      <c r="F53" s="92" t="n">
        <f aca="false">F49-F43</f>
        <v>0</v>
      </c>
      <c r="G53" s="92" t="n">
        <f aca="false">G49-G43</f>
        <v>0</v>
      </c>
      <c r="H53" s="92" t="n">
        <f aca="false">H49-H43</f>
        <v>0</v>
      </c>
      <c r="I53" s="92" t="n">
        <f aca="false">I49-I43</f>
        <v>0</v>
      </c>
      <c r="J53" s="92" t="n">
        <f aca="false">J49-J43</f>
        <v>0</v>
      </c>
      <c r="K53" s="53"/>
      <c r="L53" s="53"/>
    </row>
    <row r="55" customFormat="false" ht="19.5" hidden="false" customHeight="true" outlineLevel="0" collapsed="false">
      <c r="A55" s="85" t="s">
        <v>575</v>
      </c>
      <c r="B55" s="86"/>
      <c r="C55" s="86"/>
      <c r="D55" s="86"/>
      <c r="E55" s="86"/>
      <c r="F55" s="86"/>
      <c r="G55" s="86"/>
      <c r="H55" s="86"/>
      <c r="I55" s="86"/>
      <c r="J55" s="86"/>
      <c r="K55" s="86"/>
      <c r="L55" s="86"/>
    </row>
    <row r="56" customFormat="false" ht="16.5" hidden="false" customHeight="true" outlineLevel="0" collapsed="false">
      <c r="A56" s="88" t="s">
        <v>576</v>
      </c>
      <c r="B56" s="89"/>
      <c r="C56" s="89"/>
      <c r="D56" s="89"/>
      <c r="E56" s="89"/>
      <c r="F56" s="89"/>
      <c r="G56" s="89"/>
      <c r="H56" s="89"/>
      <c r="I56" s="89"/>
      <c r="J56" s="89"/>
      <c r="K56" s="89"/>
      <c r="L56" s="89"/>
    </row>
    <row r="57" customFormat="false" ht="15" hidden="false" customHeight="false" outlineLevel="0" collapsed="false">
      <c r="A57" s="16" t="s">
        <v>527</v>
      </c>
      <c r="B57" s="87" t="s">
        <v>577</v>
      </c>
      <c r="C57" s="17" t="s">
        <v>493</v>
      </c>
      <c r="D57" s="69" t="n">
        <f aca="false">D26</f>
        <v>-39.1199999999999</v>
      </c>
      <c r="E57" s="69" t="n">
        <f aca="false">E26</f>
        <v>139.79</v>
      </c>
      <c r="F57" s="69" t="n">
        <f aca="false">F26</f>
        <v>512.289999999999</v>
      </c>
      <c r="G57" s="69" t="n">
        <f aca="false">G26</f>
        <v>508.2</v>
      </c>
      <c r="H57" s="69" t="n">
        <f aca="false">H26</f>
        <v>392.7</v>
      </c>
      <c r="I57" s="69" t="n">
        <f aca="false">I26</f>
        <v>347.24</v>
      </c>
      <c r="J57" s="69" t="n">
        <f aca="false">J26</f>
        <v>326.750000000001</v>
      </c>
      <c r="K57" s="53" t="n">
        <f aca="false">AVERAGE(D57:J57)</f>
        <v>312.55</v>
      </c>
      <c r="L57" s="53" t="n">
        <f aca="false">J57-D57</f>
        <v>365.870000000001</v>
      </c>
    </row>
    <row r="58" customFormat="false" ht="15" hidden="false" customHeight="false" outlineLevel="0" collapsed="false">
      <c r="A58" s="16" t="s">
        <v>578</v>
      </c>
      <c r="B58" s="87" t="s">
        <v>579</v>
      </c>
      <c r="C58" s="17" t="s">
        <v>493</v>
      </c>
      <c r="D58" s="69" t="n">
        <f aca="false">D22</f>
        <v>347.33</v>
      </c>
      <c r="E58" s="69" t="n">
        <f aca="false">E22</f>
        <v>430</v>
      </c>
      <c r="F58" s="69" t="n">
        <f aca="false">F22</f>
        <v>395.37</v>
      </c>
      <c r="G58" s="69" t="n">
        <f aca="false">G22</f>
        <v>394.48</v>
      </c>
      <c r="H58" s="69" t="n">
        <f aca="false">H22</f>
        <v>432.86</v>
      </c>
      <c r="I58" s="69" t="n">
        <f aca="false">I22</f>
        <v>484.94</v>
      </c>
      <c r="J58" s="69" t="n">
        <f aca="false">J22</f>
        <v>536.07</v>
      </c>
      <c r="K58" s="53" t="n">
        <f aca="false">AVERAGE(D58:J58)</f>
        <v>431.578571428572</v>
      </c>
      <c r="L58" s="53" t="n">
        <f aca="false">J58-D58</f>
        <v>188.74</v>
      </c>
    </row>
    <row r="59" customFormat="false" ht="15" hidden="false" customHeight="false" outlineLevel="0" collapsed="false">
      <c r="A59" s="16" t="s">
        <v>580</v>
      </c>
      <c r="B59" s="87" t="s">
        <v>581</v>
      </c>
      <c r="C59" s="17" t="s">
        <v>493</v>
      </c>
      <c r="D59" s="69" t="n">
        <f aca="false">D25</f>
        <v>117.38</v>
      </c>
      <c r="E59" s="69" t="n">
        <f aca="false">E25</f>
        <v>110.95</v>
      </c>
      <c r="F59" s="69" t="n">
        <f aca="false">F25</f>
        <v>86.97</v>
      </c>
      <c r="G59" s="69" t="n">
        <f aca="false">G25</f>
        <v>66.85</v>
      </c>
      <c r="H59" s="69" t="n">
        <f aca="false">H25</f>
        <v>78.06</v>
      </c>
      <c r="I59" s="69" t="n">
        <f aca="false">I25</f>
        <v>82.39</v>
      </c>
      <c r="J59" s="69" t="n">
        <f aca="false">J25</f>
        <v>85.64</v>
      </c>
      <c r="K59" s="53" t="n">
        <f aca="false">AVERAGE(D59:J59)</f>
        <v>89.7485714285714</v>
      </c>
      <c r="L59" s="53" t="n">
        <f aca="false">J59-D59</f>
        <v>-31.74</v>
      </c>
    </row>
    <row r="60" customFormat="false" ht="15" hidden="false" customHeight="false" outlineLevel="0" collapsed="false">
      <c r="A60" s="16" t="s">
        <v>582</v>
      </c>
      <c r="B60" s="87" t="s">
        <v>583</v>
      </c>
      <c r="C60" s="17" t="s">
        <v>493</v>
      </c>
      <c r="D60" s="69" t="n">
        <f aca="false">-D24</f>
        <v>49.02</v>
      </c>
      <c r="E60" s="69" t="n">
        <f aca="false">-E24</f>
        <v>5.55</v>
      </c>
      <c r="F60" s="69" t="n">
        <f aca="false">-F24</f>
        <v>5.38</v>
      </c>
      <c r="G60" s="69" t="n">
        <f aca="false">-G24</f>
        <v>-31.92</v>
      </c>
      <c r="H60" s="69" t="n">
        <f aca="false">-H24</f>
        <v>-50.62</v>
      </c>
      <c r="I60" s="69" t="n">
        <f aca="false">-I24</f>
        <v>-38.31</v>
      </c>
      <c r="J60" s="69" t="n">
        <f aca="false">-J24</f>
        <v>2.2</v>
      </c>
      <c r="K60" s="53" t="n">
        <f aca="false">AVERAGE(D60:J60)</f>
        <v>-8.38571428571428</v>
      </c>
      <c r="L60" s="53" t="n">
        <f aca="false">J60-D60</f>
        <v>-46.82</v>
      </c>
    </row>
    <row r="61" customFormat="false" ht="15" hidden="false" customHeight="false" outlineLevel="0" collapsed="false">
      <c r="A61" s="12" t="s">
        <v>584</v>
      </c>
      <c r="B61" s="87" t="s">
        <v>585</v>
      </c>
      <c r="C61" s="17" t="s">
        <v>493</v>
      </c>
      <c r="D61" s="29" t="n">
        <f aca="false">D57+D58+D59+D60</f>
        <v>474.61</v>
      </c>
      <c r="E61" s="29" t="n">
        <f aca="false">E57+E58+E59+E60</f>
        <v>686.29</v>
      </c>
      <c r="F61" s="29" t="n">
        <f aca="false">F57+F58+F59+F60</f>
        <v>1000.01</v>
      </c>
      <c r="G61" s="29" t="n">
        <f aca="false">G57+G58+G59+G60</f>
        <v>937.61</v>
      </c>
      <c r="H61" s="29" t="n">
        <f aca="false">H57+H58+H59+H60</f>
        <v>853</v>
      </c>
      <c r="I61" s="29" t="n">
        <f aca="false">I57+I58+I59+I60</f>
        <v>876.26</v>
      </c>
      <c r="J61" s="29" t="n">
        <f aca="false">J57+J58+J59+J60</f>
        <v>950.660000000001</v>
      </c>
      <c r="K61" s="29" t="n">
        <f aca="false">AVERAGE(D61:J61)</f>
        <v>825.491428571429</v>
      </c>
      <c r="L61" s="29" t="n">
        <f aca="false">J61-D61</f>
        <v>476.050000000001</v>
      </c>
    </row>
    <row r="62" customFormat="false" ht="15" hidden="false" customHeight="false" outlineLevel="0" collapsed="false">
      <c r="A62" s="16" t="s">
        <v>586</v>
      </c>
      <c r="B62" s="87" t="s">
        <v>587</v>
      </c>
      <c r="C62" s="17" t="s">
        <v>493</v>
      </c>
      <c r="D62" s="69" t="n">
        <f aca="false">D63-D61</f>
        <v>-110.5</v>
      </c>
      <c r="E62" s="69" t="n">
        <f aca="false">E63-E61</f>
        <v>63.89</v>
      </c>
      <c r="F62" s="69" t="n">
        <f aca="false">F63-F61</f>
        <v>-140.219999999999</v>
      </c>
      <c r="G62" s="69" t="n">
        <f aca="false">G63-G61</f>
        <v>-220.87</v>
      </c>
      <c r="H62" s="69" t="n">
        <f aca="false">H63-H61</f>
        <v>-6.26999999999987</v>
      </c>
      <c r="I62" s="69" t="n">
        <f aca="false">I63-I61</f>
        <v>-141.14</v>
      </c>
      <c r="J62" s="69" t="n">
        <f aca="false">J63-J61</f>
        <v>-140.410000000001</v>
      </c>
      <c r="K62" s="53" t="n">
        <f aca="false">AVERAGE(D62:J62)</f>
        <v>-99.36</v>
      </c>
      <c r="L62" s="53" t="n">
        <f aca="false">J62-D62</f>
        <v>-29.9100000000008</v>
      </c>
    </row>
    <row r="63" customFormat="false" ht="15" hidden="false" customHeight="false" outlineLevel="0" collapsed="false">
      <c r="A63" s="16" t="s">
        <v>588</v>
      </c>
      <c r="B63" s="87" t="s">
        <v>589</v>
      </c>
      <c r="C63" s="17" t="s">
        <v>493</v>
      </c>
      <c r="D63" s="96" t="n">
        <v>364.11</v>
      </c>
      <c r="E63" s="96" t="n">
        <v>750.18</v>
      </c>
      <c r="F63" s="96" t="n">
        <v>859.79</v>
      </c>
      <c r="G63" s="96" t="n">
        <v>716.74</v>
      </c>
      <c r="H63" s="96" t="n">
        <v>846.73</v>
      </c>
      <c r="I63" s="96" t="n">
        <v>735.12</v>
      </c>
      <c r="J63" s="96" t="n">
        <v>810.25</v>
      </c>
      <c r="K63" s="53" t="n">
        <f aca="false">AVERAGE(D63:J63)</f>
        <v>726.131428571429</v>
      </c>
      <c r="L63" s="53" t="n">
        <f aca="false">J63-D63</f>
        <v>446.14</v>
      </c>
    </row>
    <row r="64" customFormat="false" ht="16.5" hidden="false" customHeight="true" outlineLevel="0" collapsed="false">
      <c r="A64" s="88" t="s">
        <v>590</v>
      </c>
      <c r="B64" s="89"/>
      <c r="C64" s="89"/>
      <c r="D64" s="89"/>
      <c r="E64" s="89"/>
      <c r="F64" s="89"/>
      <c r="G64" s="89"/>
      <c r="H64" s="89"/>
      <c r="I64" s="89"/>
      <c r="J64" s="89"/>
      <c r="K64" s="89"/>
      <c r="L64" s="89"/>
    </row>
    <row r="65" customFormat="false" ht="15" hidden="false" customHeight="false" outlineLevel="0" collapsed="false">
      <c r="A65" s="16" t="s">
        <v>591</v>
      </c>
      <c r="B65" s="87" t="s">
        <v>592</v>
      </c>
      <c r="C65" s="17" t="s">
        <v>493</v>
      </c>
      <c r="D65" s="96" t="n">
        <v>-192.58</v>
      </c>
      <c r="E65" s="96" t="n">
        <v>-528.98</v>
      </c>
      <c r="F65" s="96" t="n">
        <v>11.31</v>
      </c>
      <c r="G65" s="96" t="n">
        <v>-514.09</v>
      </c>
      <c r="H65" s="96" t="n">
        <v>-374.64</v>
      </c>
      <c r="I65" s="96" t="n">
        <v>-299.72</v>
      </c>
      <c r="J65" s="96" t="n">
        <v>-314.92</v>
      </c>
      <c r="K65" s="53" t="n">
        <f aca="false">AVERAGE(D65:J65)</f>
        <v>-316.231428571429</v>
      </c>
      <c r="L65" s="53" t="n">
        <f aca="false">J65-D65</f>
        <v>-122.34</v>
      </c>
    </row>
    <row r="66" customFormat="false" ht="16.5" hidden="false" customHeight="true" outlineLevel="0" collapsed="false">
      <c r="A66" s="88" t="s">
        <v>593</v>
      </c>
      <c r="B66" s="89"/>
      <c r="C66" s="89"/>
      <c r="D66" s="89"/>
      <c r="E66" s="89"/>
      <c r="F66" s="89"/>
      <c r="G66" s="89"/>
      <c r="H66" s="89"/>
      <c r="I66" s="89"/>
      <c r="J66" s="89"/>
      <c r="K66" s="89"/>
      <c r="L66" s="89"/>
    </row>
    <row r="67" customFormat="false" ht="15" hidden="false" customHeight="false" outlineLevel="0" collapsed="false">
      <c r="A67" s="16" t="s">
        <v>594</v>
      </c>
      <c r="B67" s="87" t="s">
        <v>595</v>
      </c>
      <c r="C67" s="17" t="s">
        <v>493</v>
      </c>
      <c r="D67" s="69" t="n">
        <f aca="false">-D25</f>
        <v>-117.38</v>
      </c>
      <c r="E67" s="69" t="n">
        <f aca="false">-E25</f>
        <v>-110.95</v>
      </c>
      <c r="F67" s="69" t="n">
        <f aca="false">-F25</f>
        <v>-86.97</v>
      </c>
      <c r="G67" s="69" t="n">
        <f aca="false">-G25</f>
        <v>-66.85</v>
      </c>
      <c r="H67" s="69" t="n">
        <f aca="false">-H25</f>
        <v>-78.06</v>
      </c>
      <c r="I67" s="69" t="n">
        <f aca="false">-I25</f>
        <v>-82.39</v>
      </c>
      <c r="J67" s="69" t="n">
        <f aca="false">-J25</f>
        <v>-85.64</v>
      </c>
      <c r="K67" s="53" t="n">
        <f aca="false">AVERAGE(D67:J67)</f>
        <v>-89.7485714285714</v>
      </c>
      <c r="L67" s="53" t="n">
        <f aca="false">J67-D67</f>
        <v>31.74</v>
      </c>
    </row>
    <row r="68" customFormat="false" ht="15" hidden="false" customHeight="false" outlineLevel="0" collapsed="false">
      <c r="A68" s="16" t="s">
        <v>596</v>
      </c>
      <c r="B68" s="87" t="s">
        <v>597</v>
      </c>
      <c r="C68" s="17" t="s">
        <v>493</v>
      </c>
      <c r="D68" s="69" t="n">
        <f aca="false">-D31</f>
        <v>-0</v>
      </c>
      <c r="E68" s="69" t="n">
        <f aca="false">-E31</f>
        <v>-35.64</v>
      </c>
      <c r="F68" s="69" t="n">
        <f aca="false">-F31</f>
        <v>-142.56</v>
      </c>
      <c r="G68" s="69" t="n">
        <f aca="false">-G31</f>
        <v>-71.28</v>
      </c>
      <c r="H68" s="69" t="n">
        <f aca="false">-H31</f>
        <v>-59.4</v>
      </c>
      <c r="I68" s="69" t="n">
        <f aca="false">-I31</f>
        <v>-59.4</v>
      </c>
      <c r="J68" s="69" t="n">
        <f aca="false">-J31</f>
        <v>-59.4</v>
      </c>
      <c r="K68" s="53" t="n">
        <f aca="false">AVERAGE(D68:J68)</f>
        <v>-61.0971428571429</v>
      </c>
      <c r="L68" s="53" t="n">
        <f aca="false">J68-D68</f>
        <v>-59.4</v>
      </c>
    </row>
    <row r="69" customFormat="false" ht="15" hidden="false" customHeight="false" outlineLevel="0" collapsed="false">
      <c r="A69" s="16" t="s">
        <v>598</v>
      </c>
      <c r="B69" s="87" t="s">
        <v>599</v>
      </c>
      <c r="C69" s="17" t="s">
        <v>493</v>
      </c>
      <c r="D69" s="69" t="n">
        <f aca="false">D70-D67-D68</f>
        <v>-222.71</v>
      </c>
      <c r="E69" s="69" t="n">
        <f aca="false">E70-E67-E68</f>
        <v>-88.61</v>
      </c>
      <c r="F69" s="69" t="n">
        <f aca="false">F70-F67-F68</f>
        <v>-542.53</v>
      </c>
      <c r="G69" s="69" t="n">
        <f aca="false">G70-G67-G68</f>
        <v>-153.32</v>
      </c>
      <c r="H69" s="69" t="n">
        <f aca="false">H70-H67-H68</f>
        <v>-263.77</v>
      </c>
      <c r="I69" s="69" t="n">
        <f aca="false">I70-I67-I68</f>
        <v>-291.9</v>
      </c>
      <c r="J69" s="69" t="n">
        <f aca="false">J70-J67-J68</f>
        <v>-278.61</v>
      </c>
      <c r="K69" s="53" t="n">
        <f aca="false">AVERAGE(D69:J69)</f>
        <v>-263.064285714286</v>
      </c>
      <c r="L69" s="53" t="n">
        <f aca="false">J69-D69</f>
        <v>-55.9</v>
      </c>
    </row>
    <row r="70" customFormat="false" ht="15" hidden="false" customHeight="false" outlineLevel="0" collapsed="false">
      <c r="A70" s="16" t="s">
        <v>600</v>
      </c>
      <c r="B70" s="87" t="s">
        <v>601</v>
      </c>
      <c r="C70" s="17" t="s">
        <v>493</v>
      </c>
      <c r="D70" s="96" t="n">
        <v>-340.09</v>
      </c>
      <c r="E70" s="96" t="n">
        <v>-235.2</v>
      </c>
      <c r="F70" s="96" t="n">
        <v>-772.06</v>
      </c>
      <c r="G70" s="96" t="n">
        <v>-291.45</v>
      </c>
      <c r="H70" s="96" t="n">
        <v>-401.23</v>
      </c>
      <c r="I70" s="96" t="n">
        <v>-433.69</v>
      </c>
      <c r="J70" s="96" t="n">
        <v>-423.65</v>
      </c>
      <c r="K70" s="53" t="n">
        <f aca="false">AVERAGE(D70:J70)</f>
        <v>-413.91</v>
      </c>
      <c r="L70" s="53" t="n">
        <f aca="false">J70-D70</f>
        <v>-83.56</v>
      </c>
    </row>
    <row r="71" customFormat="false" ht="15" hidden="false" customHeight="false" outlineLevel="0" collapsed="false">
      <c r="A71" s="12" t="s">
        <v>602</v>
      </c>
      <c r="B71" s="87" t="s">
        <v>603</v>
      </c>
      <c r="C71" s="17" t="s">
        <v>493</v>
      </c>
      <c r="D71" s="90" t="n">
        <f aca="false">D63+D65+D70</f>
        <v>-168.56</v>
      </c>
      <c r="E71" s="90" t="n">
        <f aca="false">E63+E65+E70</f>
        <v>-14.0000000000001</v>
      </c>
      <c r="F71" s="90" t="n">
        <f aca="false">F63+F65+F70</f>
        <v>99.04</v>
      </c>
      <c r="G71" s="90" t="n">
        <f aca="false">G63+G65+G70</f>
        <v>-88.8</v>
      </c>
      <c r="H71" s="90" t="n">
        <f aca="false">H63+H65+H70</f>
        <v>70.86</v>
      </c>
      <c r="I71" s="90" t="n">
        <f aca="false">I63+I65+I70</f>
        <v>1.70999999999998</v>
      </c>
      <c r="J71" s="90" t="n">
        <f aca="false">J63+J65+J70</f>
        <v>71.68</v>
      </c>
      <c r="K71" s="91" t="n">
        <f aca="false">AVERAGE(D71:J71)</f>
        <v>-4.01000000000001</v>
      </c>
      <c r="L71" s="91" t="n">
        <f aca="false">J71-D71</f>
        <v>240.24</v>
      </c>
    </row>
    <row r="72" customFormat="false" ht="15" hidden="false" customHeight="false" outlineLevel="0" collapsed="false">
      <c r="A72" s="12" t="s">
        <v>604</v>
      </c>
      <c r="B72" s="87" t="s">
        <v>605</v>
      </c>
      <c r="C72" s="17" t="s">
        <v>493</v>
      </c>
      <c r="D72" s="29" t="n">
        <f aca="false">D63+D65</f>
        <v>171.53</v>
      </c>
      <c r="E72" s="29" t="n">
        <f aca="false">E63+E65</f>
        <v>221.2</v>
      </c>
      <c r="F72" s="29" t="n">
        <f aca="false">F63+F65</f>
        <v>871.1</v>
      </c>
      <c r="G72" s="29" t="n">
        <f aca="false">G63+G65</f>
        <v>202.65</v>
      </c>
      <c r="H72" s="29" t="n">
        <f aca="false">H63+H65</f>
        <v>472.09</v>
      </c>
      <c r="I72" s="29" t="n">
        <f aca="false">I63+I65</f>
        <v>435.4</v>
      </c>
      <c r="J72" s="29" t="n">
        <f aca="false">J63+J65</f>
        <v>495.33</v>
      </c>
      <c r="K72" s="29" t="n">
        <f aca="false">AVERAGE(D72:J72)</f>
        <v>409.9</v>
      </c>
      <c r="L72" s="29" t="n">
        <f aca="false">J72-D72</f>
        <v>323.8</v>
      </c>
    </row>
    <row r="73" customFormat="false" ht="15" hidden="false" customHeight="false" outlineLevel="0" collapsed="false">
      <c r="A73" s="16" t="s">
        <v>606</v>
      </c>
      <c r="B73" s="87" t="s">
        <v>607</v>
      </c>
      <c r="C73" s="17" t="s">
        <v>493</v>
      </c>
      <c r="D73" s="69" t="n">
        <f aca="false">D52</f>
        <v>100</v>
      </c>
      <c r="E73" s="69" t="n">
        <f aca="false">E52</f>
        <v>310.52</v>
      </c>
      <c r="F73" s="69" t="n">
        <f aca="false">F52</f>
        <v>184.33</v>
      </c>
      <c r="G73" s="69" t="n">
        <f aca="false">G52</f>
        <v>95.52</v>
      </c>
      <c r="H73" s="69" t="n">
        <f aca="false">H52</f>
        <v>166.24</v>
      </c>
      <c r="I73" s="69" t="n">
        <f aca="false">I52</f>
        <v>167.31</v>
      </c>
      <c r="J73" s="69" t="n">
        <f aca="false">J52</f>
        <v>238.98</v>
      </c>
      <c r="K73" s="53" t="n">
        <f aca="false">AVERAGE(D73:J73)</f>
        <v>180.414285714286</v>
      </c>
      <c r="L73" s="53" t="n">
        <f aca="false">J73-D73</f>
        <v>138.98</v>
      </c>
    </row>
    <row r="74" customFormat="false" ht="16.5" hidden="false" customHeight="true" outlineLevel="0" collapsed="false">
      <c r="A74" s="88" t="s">
        <v>608</v>
      </c>
      <c r="B74" s="89"/>
      <c r="C74" s="89"/>
      <c r="D74" s="89"/>
      <c r="E74" s="89"/>
      <c r="F74" s="89"/>
      <c r="G74" s="89"/>
      <c r="H74" s="89"/>
      <c r="I74" s="89"/>
      <c r="J74" s="89"/>
      <c r="K74" s="89"/>
      <c r="L74" s="89"/>
    </row>
    <row r="75" customFormat="false" ht="15" hidden="false" customHeight="false" outlineLevel="0" collapsed="false">
      <c r="A75" s="16" t="s">
        <v>609</v>
      </c>
      <c r="B75" s="87" t="s">
        <v>610</v>
      </c>
      <c r="C75" s="17" t="s">
        <v>493</v>
      </c>
      <c r="D75" s="69" t="n">
        <f aca="false">-D65</f>
        <v>192.58</v>
      </c>
      <c r="E75" s="69" t="n">
        <f aca="false">-E65</f>
        <v>528.98</v>
      </c>
      <c r="F75" s="69" t="n">
        <f aca="false">-F65</f>
        <v>-11.31</v>
      </c>
      <c r="G75" s="69" t="n">
        <f aca="false">-G65</f>
        <v>514.09</v>
      </c>
      <c r="H75" s="69" t="n">
        <f aca="false">-H65</f>
        <v>374.64</v>
      </c>
      <c r="I75" s="69" t="n">
        <f aca="false">-I65</f>
        <v>299.72</v>
      </c>
      <c r="J75" s="69" t="n">
        <f aca="false">-J65</f>
        <v>314.92</v>
      </c>
      <c r="K75" s="53" t="n">
        <f aca="false">AVERAGE(D75:J75)</f>
        <v>316.231428571429</v>
      </c>
      <c r="L75" s="53" t="n">
        <f aca="false">J75-D75</f>
        <v>122.34</v>
      </c>
    </row>
    <row r="76" customFormat="false" ht="15" hidden="false" customHeight="false" outlineLevel="0" collapsed="false">
      <c r="A76" s="16" t="s">
        <v>611</v>
      </c>
      <c r="B76" s="87" t="s">
        <v>798</v>
      </c>
      <c r="C76" s="17" t="s">
        <v>493</v>
      </c>
      <c r="D76" s="69" t="n">
        <f aca="false">MAX(-D69,0)</f>
        <v>222.71</v>
      </c>
      <c r="E76" s="69" t="n">
        <f aca="false">MAX(-E69,0)</f>
        <v>88.61</v>
      </c>
      <c r="F76" s="69" t="n">
        <f aca="false">MAX(-F69,0)</f>
        <v>542.53</v>
      </c>
      <c r="G76" s="69" t="n">
        <f aca="false">MAX(-G69,0)</f>
        <v>153.32</v>
      </c>
      <c r="H76" s="69" t="n">
        <f aca="false">MAX(-H69,0)</f>
        <v>263.77</v>
      </c>
      <c r="I76" s="69" t="n">
        <f aca="false">MAX(-I69,0)</f>
        <v>291.9</v>
      </c>
      <c r="J76" s="69" t="n">
        <f aca="false">MAX(-J69,0)</f>
        <v>278.61</v>
      </c>
      <c r="K76" s="53" t="n">
        <f aca="false">AVERAGE(D76:J76)</f>
        <v>263.064285714286</v>
      </c>
      <c r="L76" s="53" t="n">
        <f aca="false">J76-D76</f>
        <v>55.9</v>
      </c>
    </row>
    <row r="77" customFormat="false" ht="15" hidden="false" customHeight="false" outlineLevel="0" collapsed="false">
      <c r="A77" s="16" t="s">
        <v>613</v>
      </c>
      <c r="B77" s="87" t="s">
        <v>614</v>
      </c>
      <c r="C77" s="17" t="s">
        <v>615</v>
      </c>
      <c r="D77" s="71" t="n">
        <f aca="false">IF(D26&gt;0,MIN(MAX(D27/D26,0),Setup!$C$11),0)</f>
        <v>0</v>
      </c>
      <c r="E77" s="71" t="n">
        <f aca="false">IF(E26&gt;0,MIN(MAX(E27/E26,0),Setup!$C$11),0)</f>
        <v>0.271693254166965</v>
      </c>
      <c r="F77" s="71" t="n">
        <f aca="false">IF(F26&gt;0,MIN(MAX(F27/F26,0),Setup!$C$11),0)</f>
        <v>0.253918678873295</v>
      </c>
      <c r="G77" s="71" t="n">
        <f aca="false">IF(G26&gt;0,MIN(MAX(G27/G26,0),Setup!$C$11),0)</f>
        <v>0.270897284533648</v>
      </c>
      <c r="H77" s="71" t="n">
        <f aca="false">IF(H26&gt;0,MIN(MAX(H27/H26,0),Setup!$C$11),0)</f>
        <v>0.233486121721416</v>
      </c>
      <c r="I77" s="71" t="n">
        <f aca="false">IF(I26&gt;0,MIN(MAX(I27/I26,0),Setup!$C$11),0)</f>
        <v>0.27306761893791</v>
      </c>
      <c r="J77" s="71" t="n">
        <f aca="false">IF(J26&gt;0,MIN(MAX(J27/J26,0),Setup!$C$11),0)</f>
        <v>0.242876817138485</v>
      </c>
      <c r="K77" s="62" t="n">
        <f aca="false">AVERAGE(D77:J77)</f>
        <v>0.220848539338817</v>
      </c>
      <c r="L77" s="62" t="n">
        <f aca="false">J77-D77</f>
        <v>0.242876817138485</v>
      </c>
    </row>
    <row r="79" customFormat="false" ht="19.5" hidden="false" customHeight="true" outlineLevel="0" collapsed="false">
      <c r="A79" s="85" t="s">
        <v>799</v>
      </c>
      <c r="B79" s="86"/>
      <c r="C79" s="86"/>
      <c r="D79" s="86"/>
      <c r="E79" s="86"/>
      <c r="F79" s="86"/>
      <c r="G79" s="86"/>
      <c r="H79" s="86"/>
      <c r="I79" s="86"/>
      <c r="J79" s="86"/>
      <c r="K79" s="86"/>
      <c r="L79" s="86"/>
    </row>
    <row r="80" customFormat="false" ht="15" hidden="false" customHeight="false" outlineLevel="0" collapsed="false">
      <c r="A80" s="16" t="s">
        <v>800</v>
      </c>
      <c r="B80" s="87" t="s">
        <v>801</v>
      </c>
      <c r="C80" s="17" t="s">
        <v>757</v>
      </c>
      <c r="D80" s="97" t="n">
        <v>2199.05</v>
      </c>
      <c r="E80" s="97" t="n">
        <v>5574.35</v>
      </c>
      <c r="F80" s="97" t="n">
        <v>6862.25</v>
      </c>
      <c r="G80" s="97" t="n">
        <v>6212.95</v>
      </c>
      <c r="H80" s="97" t="n">
        <v>6183.95</v>
      </c>
      <c r="I80" s="97" t="n">
        <v>6136.5</v>
      </c>
      <c r="J80" s="97" t="n">
        <v>4747</v>
      </c>
      <c r="K80" s="66" t="n">
        <f aca="false">AVERAGE(D80:J80)</f>
        <v>5416.57857142857</v>
      </c>
      <c r="L80" s="66" t="n">
        <f aca="false">J80-D80</f>
        <v>2547.95</v>
      </c>
    </row>
    <row r="81" customFormat="false" ht="15" hidden="false" customHeight="false" outlineLevel="0" collapsed="false">
      <c r="A81" s="16" t="s">
        <v>802</v>
      </c>
      <c r="B81" s="87" t="s">
        <v>803</v>
      </c>
      <c r="C81" s="17" t="s">
        <v>804</v>
      </c>
      <c r="D81" s="97" t="n">
        <v>2.37</v>
      </c>
      <c r="E81" s="97" t="n">
        <v>2.37</v>
      </c>
      <c r="F81" s="97" t="n">
        <v>2.37</v>
      </c>
      <c r="G81" s="97" t="n">
        <v>2.37</v>
      </c>
      <c r="H81" s="97" t="n">
        <v>2.37</v>
      </c>
      <c r="I81" s="97" t="n">
        <v>2.37</v>
      </c>
      <c r="J81" s="97" t="n">
        <v>2.37</v>
      </c>
      <c r="K81" s="66" t="n">
        <f aca="false">AVERAGE(D81:J81)</f>
        <v>2.37</v>
      </c>
      <c r="L81" s="66" t="n">
        <f aca="false">J81-D81</f>
        <v>0</v>
      </c>
    </row>
    <row r="82" customFormat="false" ht="15" hidden="false" customHeight="false" outlineLevel="0" collapsed="false">
      <c r="A82" s="16" t="s">
        <v>805</v>
      </c>
      <c r="B82" s="87" t="s">
        <v>806</v>
      </c>
      <c r="C82" s="17" t="s">
        <v>493</v>
      </c>
      <c r="D82" s="69" t="n">
        <f aca="false">D80*D81</f>
        <v>5211.7485</v>
      </c>
      <c r="E82" s="69" t="n">
        <f aca="false">E80*E81</f>
        <v>13211.2095</v>
      </c>
      <c r="F82" s="69" t="n">
        <f aca="false">F80*F81</f>
        <v>16263.5325</v>
      </c>
      <c r="G82" s="69" t="n">
        <f aca="false">G80*G81</f>
        <v>14724.6915</v>
      </c>
      <c r="H82" s="69" t="n">
        <f aca="false">H80*H81</f>
        <v>14655.9615</v>
      </c>
      <c r="I82" s="69" t="n">
        <f aca="false">I80*I81</f>
        <v>14543.505</v>
      </c>
      <c r="J82" s="69" t="n">
        <f aca="false">J80*J81</f>
        <v>11250.39</v>
      </c>
      <c r="K82" s="53" t="n">
        <f aca="false">AVERAGE(D82:J82)</f>
        <v>12837.2912142857</v>
      </c>
      <c r="L82" s="53" t="n">
        <f aca="false">J82-D82</f>
        <v>6038.6415</v>
      </c>
    </row>
    <row r="83" customFormat="false" ht="15" hidden="false" customHeight="false" outlineLevel="0" collapsed="false">
      <c r="A83" s="16" t="s">
        <v>807</v>
      </c>
      <c r="B83" s="87" t="s">
        <v>808</v>
      </c>
      <c r="C83" s="17" t="s">
        <v>493</v>
      </c>
      <c r="D83" s="69" t="n">
        <f aca="false">D82+D41-D52</f>
        <v>5641.7485</v>
      </c>
      <c r="E83" s="69" t="n">
        <f aca="false">E82+E41-E52</f>
        <v>14422.8395</v>
      </c>
      <c r="F83" s="69" t="n">
        <f aca="false">F82+F41-F52</f>
        <v>17145.1425</v>
      </c>
      <c r="G83" s="69" t="n">
        <f aca="false">G82+G41-G52</f>
        <v>15749.3115</v>
      </c>
      <c r="H83" s="69" t="n">
        <f aca="false">H82+H41-H52</f>
        <v>15562.6715</v>
      </c>
      <c r="I83" s="69" t="n">
        <f aca="false">I82+I41-I52</f>
        <v>15383.185</v>
      </c>
      <c r="J83" s="69" t="n">
        <f aca="false">J82+J41-J52</f>
        <v>12153.31</v>
      </c>
      <c r="K83" s="53" t="n">
        <f aca="false">AVERAGE(D83:J83)</f>
        <v>13722.6012142857</v>
      </c>
      <c r="L83" s="53" t="n">
        <f aca="false">J83-D83</f>
        <v>6511.5615</v>
      </c>
    </row>
    <row r="84" customFormat="false" ht="15" hidden="false" customHeight="false" outlineLevel="0" collapsed="false">
      <c r="A84" s="16" t="s">
        <v>809</v>
      </c>
      <c r="B84" s="87" t="s">
        <v>810</v>
      </c>
      <c r="C84" s="17" t="s">
        <v>811</v>
      </c>
      <c r="D84" s="98" t="n">
        <v>1</v>
      </c>
      <c r="E84" s="98" t="n">
        <v>1</v>
      </c>
      <c r="F84" s="98" t="n">
        <v>1</v>
      </c>
      <c r="G84" s="98" t="n">
        <v>1</v>
      </c>
      <c r="H84" s="98" t="n">
        <v>1</v>
      </c>
      <c r="I84" s="98" t="n">
        <v>1</v>
      </c>
      <c r="J84" s="98" t="n">
        <v>1</v>
      </c>
      <c r="K84" s="99"/>
      <c r="L84" s="99"/>
    </row>
    <row r="86" customFormat="false" ht="19.5" hidden="false" customHeight="true" outlineLevel="0" collapsed="false">
      <c r="A86" s="85" t="s">
        <v>629</v>
      </c>
      <c r="B86" s="86"/>
      <c r="C86" s="86"/>
      <c r="D86" s="86"/>
      <c r="E86" s="86"/>
      <c r="F86" s="86"/>
      <c r="G86" s="86"/>
      <c r="H86" s="86"/>
      <c r="I86" s="86"/>
      <c r="J86" s="86"/>
      <c r="K86" s="86"/>
      <c r="L86" s="86"/>
    </row>
    <row r="87" customFormat="false" ht="15" hidden="false" customHeight="false" outlineLevel="0" collapsed="false">
      <c r="A87" s="16" t="s">
        <v>630</v>
      </c>
      <c r="B87" s="87" t="s">
        <v>631</v>
      </c>
      <c r="C87" s="17" t="s">
        <v>493</v>
      </c>
      <c r="D87" s="69" t="n">
        <f aca="false">D48</f>
        <v>957.78</v>
      </c>
      <c r="E87" s="69" t="n">
        <f aca="false">E48</f>
        <v>1157.5</v>
      </c>
      <c r="F87" s="69" t="n">
        <f aca="false">F48</f>
        <v>1115.37</v>
      </c>
      <c r="G87" s="69" t="n">
        <f aca="false">G48</f>
        <v>1176.21</v>
      </c>
      <c r="H87" s="69" t="n">
        <f aca="false">H48</f>
        <v>1257.22</v>
      </c>
      <c r="I87" s="69" t="n">
        <f aca="false">I48</f>
        <v>1386.45</v>
      </c>
      <c r="J87" s="69" t="n">
        <f aca="false">J48</f>
        <v>1652</v>
      </c>
      <c r="K87" s="53" t="n">
        <f aca="false">AVERAGE(D87:J87)</f>
        <v>1243.21857142857</v>
      </c>
      <c r="L87" s="53" t="n">
        <f aca="false">J87-D87</f>
        <v>694.22</v>
      </c>
    </row>
    <row r="88" customFormat="false" ht="15" hidden="false" customHeight="false" outlineLevel="0" collapsed="false">
      <c r="A88" s="16" t="s">
        <v>632</v>
      </c>
      <c r="B88" s="87" t="s">
        <v>633</v>
      </c>
      <c r="C88" s="17" t="s">
        <v>493</v>
      </c>
      <c r="D88" s="69" t="n">
        <f aca="false">D42</f>
        <v>1619.96</v>
      </c>
      <c r="E88" s="69" t="n">
        <f aca="false">E42</f>
        <v>783.32</v>
      </c>
      <c r="F88" s="69" t="n">
        <f aca="false">F42</f>
        <v>890.83</v>
      </c>
      <c r="G88" s="69" t="n">
        <f aca="false">G42</f>
        <v>923.34</v>
      </c>
      <c r="H88" s="69" t="n">
        <f aca="false">H42</f>
        <v>1020.68</v>
      </c>
      <c r="I88" s="69" t="n">
        <f aca="false">I42</f>
        <v>1096.73</v>
      </c>
      <c r="J88" s="69" t="n">
        <f aca="false">J42</f>
        <v>1208.12</v>
      </c>
      <c r="K88" s="53" t="n">
        <f aca="false">AVERAGE(D88:J88)</f>
        <v>1077.56857142857</v>
      </c>
      <c r="L88" s="53" t="n">
        <f aca="false">J88-D88</f>
        <v>-411.84</v>
      </c>
    </row>
    <row r="89" customFormat="false" ht="15" hidden="false" customHeight="false" outlineLevel="0" collapsed="false">
      <c r="A89" s="16" t="s">
        <v>634</v>
      </c>
      <c r="B89" s="87" t="s">
        <v>635</v>
      </c>
      <c r="C89" s="17" t="s">
        <v>493</v>
      </c>
      <c r="D89" s="69" t="n">
        <f aca="false">D50+D52</f>
        <v>628.23</v>
      </c>
      <c r="E89" s="69" t="n">
        <f aca="false">E50+E52</f>
        <v>828.44</v>
      </c>
      <c r="F89" s="69" t="n">
        <f aca="false">F50+F52</f>
        <v>764.34</v>
      </c>
      <c r="G89" s="69" t="n">
        <f aca="false">G50+G52</f>
        <v>732.18</v>
      </c>
      <c r="H89" s="69" t="n">
        <f aca="false">H50+H52</f>
        <v>836.67</v>
      </c>
      <c r="I89" s="69" t="n">
        <f aca="false">I50+I52</f>
        <v>953.4</v>
      </c>
      <c r="J89" s="69" t="n">
        <f aca="false">J50+J52</f>
        <v>1157.23</v>
      </c>
      <c r="K89" s="53" t="n">
        <f aca="false">AVERAGE(D89:J89)</f>
        <v>842.927142857143</v>
      </c>
      <c r="L89" s="53" t="n">
        <f aca="false">J89-D89</f>
        <v>529</v>
      </c>
    </row>
    <row r="90" customFormat="false" ht="15" hidden="false" customHeight="false" outlineLevel="0" collapsed="false">
      <c r="A90" s="16" t="s">
        <v>636</v>
      </c>
      <c r="B90" s="87" t="s">
        <v>637</v>
      </c>
      <c r="C90" s="17" t="s">
        <v>493</v>
      </c>
      <c r="D90" s="69" t="n">
        <f aca="false">D40+D41</f>
        <v>1020.83</v>
      </c>
      <c r="E90" s="69" t="n">
        <f aca="false">E40+E41</f>
        <v>2114.11</v>
      </c>
      <c r="F90" s="69" t="n">
        <f aca="false">F40+F41</f>
        <v>1937.93</v>
      </c>
      <c r="G90" s="69" t="n">
        <f aca="false">G40+G41</f>
        <v>2299.7</v>
      </c>
      <c r="H90" s="69" t="n">
        <f aca="false">H40+H41</f>
        <v>2440.22</v>
      </c>
      <c r="I90" s="69" t="n">
        <f aca="false">I40+I41</f>
        <v>2566.03</v>
      </c>
      <c r="J90" s="69" t="n">
        <f aca="false">J40+J41</f>
        <v>2918.73</v>
      </c>
      <c r="K90" s="53" t="n">
        <f aca="false">AVERAGE(D90:J90)</f>
        <v>2185.36428571429</v>
      </c>
      <c r="L90" s="53" t="n">
        <f aca="false">J90-D90</f>
        <v>1897.9</v>
      </c>
    </row>
    <row r="92" customFormat="false" ht="19.5" hidden="false" customHeight="true" outlineLevel="0" collapsed="false">
      <c r="A92" s="85" t="s">
        <v>638</v>
      </c>
      <c r="B92" s="86"/>
      <c r="C92" s="86"/>
      <c r="D92" s="86"/>
      <c r="E92" s="86"/>
      <c r="F92" s="86"/>
      <c r="G92" s="86"/>
      <c r="H92" s="86"/>
      <c r="I92" s="86"/>
      <c r="J92" s="86"/>
      <c r="K92" s="86"/>
      <c r="L92" s="86"/>
    </row>
    <row r="93" customFormat="false" ht="16.5" hidden="false" customHeight="true" outlineLevel="0" collapsed="false">
      <c r="A93" s="88" t="s">
        <v>639</v>
      </c>
      <c r="B93" s="89"/>
      <c r="C93" s="89"/>
      <c r="D93" s="89"/>
      <c r="E93" s="89"/>
      <c r="F93" s="89"/>
      <c r="G93" s="89"/>
      <c r="H93" s="89"/>
      <c r="I93" s="89"/>
      <c r="J93" s="89"/>
      <c r="K93" s="89"/>
      <c r="L93" s="89"/>
    </row>
    <row r="94" customFormat="false" ht="15" hidden="false" customHeight="false" outlineLevel="0" collapsed="false">
      <c r="A94" s="16" t="s">
        <v>640</v>
      </c>
      <c r="B94" s="87" t="s">
        <v>641</v>
      </c>
      <c r="C94" s="17" t="s">
        <v>493</v>
      </c>
      <c r="D94" s="69" t="n">
        <f aca="false">D87-D88</f>
        <v>-662.18</v>
      </c>
      <c r="E94" s="69" t="n">
        <f aca="false">E87-E88</f>
        <v>374.18</v>
      </c>
      <c r="F94" s="69" t="n">
        <f aca="false">F87-F88</f>
        <v>224.54</v>
      </c>
      <c r="G94" s="69" t="n">
        <f aca="false">G87-G88</f>
        <v>252.87</v>
      </c>
      <c r="H94" s="69" t="n">
        <f aca="false">H87-H88</f>
        <v>236.54</v>
      </c>
      <c r="I94" s="69" t="n">
        <f aca="false">I87-I88</f>
        <v>289.72</v>
      </c>
      <c r="J94" s="69" t="n">
        <f aca="false">J87-J88</f>
        <v>443.88</v>
      </c>
      <c r="K94" s="53" t="n">
        <f aca="false">AVERAGE(D94:J94)</f>
        <v>165.65</v>
      </c>
      <c r="L94" s="53" t="n">
        <f aca="false">J94-D94</f>
        <v>1106.06</v>
      </c>
    </row>
    <row r="95" customFormat="false" ht="15" hidden="false" customHeight="false" outlineLevel="0" collapsed="false">
      <c r="A95" s="16" t="s">
        <v>642</v>
      </c>
      <c r="B95" s="87" t="s">
        <v>643</v>
      </c>
      <c r="C95" s="17" t="s">
        <v>644</v>
      </c>
      <c r="D95" s="72" t="n">
        <f aca="false">IF(D88&gt;0,D87/D88,"N/M")</f>
        <v>0.591236820662239</v>
      </c>
      <c r="E95" s="72" t="n">
        <f aca="false">IF(E88&gt;0,E87/E88,"N/M")</f>
        <v>1.47768472654854</v>
      </c>
      <c r="F95" s="72" t="n">
        <f aca="false">IF(F88&gt;0,F87/F88,"N/M")</f>
        <v>1.25205707037257</v>
      </c>
      <c r="G95" s="72" t="n">
        <f aca="false">IF(G88&gt;0,G87/G88,"N/M")</f>
        <v>1.27386444863214</v>
      </c>
      <c r="H95" s="72" t="n">
        <f aca="false">IF(H88&gt;0,H87/H88,"N/M")</f>
        <v>1.231747462476</v>
      </c>
      <c r="I95" s="72" t="n">
        <f aca="false">IF(I88&gt;0,I87/I88,"N/M")</f>
        <v>1.26416711496904</v>
      </c>
      <c r="J95" s="72" t="n">
        <f aca="false">IF(J88&gt;0,J87/J88,"N/M")</f>
        <v>1.36741383306294</v>
      </c>
      <c r="K95" s="56" t="n">
        <f aca="false">IF(COUNT(D95:J95)=0,"N/M",AVERAGE(D95:J95))</f>
        <v>1.2083102109605</v>
      </c>
      <c r="L95" s="60" t="n">
        <f aca="false">IF(COUNT(D95,J95)=2,J95-D95,"-")</f>
        <v>0.776177012400702</v>
      </c>
    </row>
    <row r="96" customFormat="false" ht="15" hidden="false" customHeight="false" outlineLevel="0" collapsed="false">
      <c r="A96" s="16" t="s">
        <v>645</v>
      </c>
      <c r="B96" s="87" t="s">
        <v>646</v>
      </c>
      <c r="C96" s="17" t="s">
        <v>647</v>
      </c>
      <c r="D96" s="72" t="n">
        <f aca="false">IF(D88&gt;0,D89/D88,"N/M")</f>
        <v>0.38780587174992</v>
      </c>
      <c r="E96" s="72" t="n">
        <f aca="false">IF(E88&gt;0,E89/E88,"N/M")</f>
        <v>1.05760098044222</v>
      </c>
      <c r="F96" s="72" t="n">
        <f aca="false">IF(F88&gt;0,F89/F88,"N/M")</f>
        <v>0.858008823232267</v>
      </c>
      <c r="G96" s="72" t="n">
        <f aca="false">IF(G88&gt;0,G89/G88,"N/M")</f>
        <v>0.792969003833907</v>
      </c>
      <c r="H96" s="72" t="n">
        <f aca="false">IF(H88&gt;0,H89/H88,"N/M")</f>
        <v>0.81971822706431</v>
      </c>
      <c r="I96" s="72" t="n">
        <f aca="false">IF(I88&gt;0,I89/I88,"N/M")</f>
        <v>0.869311498728037</v>
      </c>
      <c r="J96" s="72" t="n">
        <f aca="false">IF(J88&gt;0,J89/J88,"N/M")</f>
        <v>0.957876700989968</v>
      </c>
      <c r="K96" s="56" t="n">
        <f aca="false">IF(COUNT(D96:J96)=0,"N/M",AVERAGE(D96:J96))</f>
        <v>0.820470158005804</v>
      </c>
      <c r="L96" s="60" t="n">
        <f aca="false">IF(COUNT(D96,J96)=2,J96-D96,"-")</f>
        <v>0.570070829240048</v>
      </c>
    </row>
    <row r="97" customFormat="false" ht="15" hidden="false" customHeight="false" outlineLevel="0" collapsed="false">
      <c r="A97" s="16" t="s">
        <v>648</v>
      </c>
      <c r="B97" s="87" t="s">
        <v>649</v>
      </c>
      <c r="C97" s="17" t="s">
        <v>650</v>
      </c>
      <c r="D97" s="72" t="n">
        <f aca="false">IF(D88&gt;0,D52/D88,"N/M")</f>
        <v>0.0617299192572656</v>
      </c>
      <c r="E97" s="72" t="n">
        <f aca="false">IF(E88&gt;0,E52/E88,"N/M")</f>
        <v>0.396415258132053</v>
      </c>
      <c r="F97" s="72" t="n">
        <f aca="false">IF(F88&gt;0,F52/F88,"N/M")</f>
        <v>0.206919389782562</v>
      </c>
      <c r="G97" s="72" t="n">
        <f aca="false">IF(G88&gt;0,G52/G88,"N/M")</f>
        <v>0.103450516602768</v>
      </c>
      <c r="H97" s="72" t="n">
        <f aca="false">IF(H88&gt;0,H52/H88,"N/M")</f>
        <v>0.162871810949563</v>
      </c>
      <c r="I97" s="72" t="n">
        <f aca="false">IF(I88&gt;0,I52/I88,"N/M")</f>
        <v>0.152553499949851</v>
      </c>
      <c r="J97" s="72" t="n">
        <f aca="false">IF(J88&gt;0,J52/J88,"N/M")</f>
        <v>0.197811475681224</v>
      </c>
      <c r="K97" s="56" t="n">
        <f aca="false">IF(COUNT(D97:J97)=0,"N/M",AVERAGE(D97:J97))</f>
        <v>0.183107410050755</v>
      </c>
      <c r="L97" s="60" t="n">
        <f aca="false">IF(COUNT(D97,J97)=2,J97-D97,"-")</f>
        <v>0.136081556423958</v>
      </c>
    </row>
    <row r="98" customFormat="false" ht="15" hidden="false" customHeight="false" outlineLevel="0" collapsed="false">
      <c r="A98" s="16" t="s">
        <v>651</v>
      </c>
      <c r="B98" s="87" t="s">
        <v>652</v>
      </c>
      <c r="C98" s="17" t="s">
        <v>653</v>
      </c>
      <c r="D98" s="74" t="n">
        <f aca="false">IF(D20&gt;0,D89/(D20/Setup!$C$8),"N/M")</f>
        <v>84.9110356523929</v>
      </c>
      <c r="E98" s="74" t="n">
        <f aca="false">IF(E20&gt;0,E89/(E20/Setup!$C$8),"N/M")</f>
        <v>116.2179841958</v>
      </c>
      <c r="F98" s="74" t="n">
        <f aca="false">IF(F20&gt;0,F89/(F20/Setup!$C$8),"N/M")</f>
        <v>81.8020044099364</v>
      </c>
      <c r="G98" s="74" t="n">
        <f aca="false">IF(G20&gt;0,G89/(G20/Setup!$C$8),"N/M")</f>
        <v>63.1098731642347</v>
      </c>
      <c r="H98" s="74" t="n">
        <f aca="false">IF(H20&gt;0,H89/(H20/Setup!$C$8),"N/M")</f>
        <v>69.1724369907788</v>
      </c>
      <c r="I98" s="74" t="n">
        <f aca="false">IF(I20&gt;0,I89/(I20/Setup!$C$8),"N/M")</f>
        <v>71.8407818461081</v>
      </c>
      <c r="J98" s="74" t="n">
        <f aca="false">IF(J20&gt;0,J89/(J20/Setup!$C$8),"N/M")</f>
        <v>81.3817044364208</v>
      </c>
      <c r="K98" s="58" t="n">
        <f aca="false">IF(COUNT(D98:J98)=0,"N/M",AVERAGE(D98:J98))</f>
        <v>81.2051172422388</v>
      </c>
      <c r="L98" s="58" t="n">
        <f aca="false">IF(COUNT(D98,J98)=2,J98-D98,"-")</f>
        <v>-3.52933121597205</v>
      </c>
    </row>
    <row r="99" customFormat="false" ht="15" hidden="false" customHeight="false" outlineLevel="0" collapsed="false">
      <c r="A99" s="16" t="s">
        <v>654</v>
      </c>
      <c r="B99" s="87" t="s">
        <v>655</v>
      </c>
      <c r="C99" s="17" t="s">
        <v>97</v>
      </c>
      <c r="D99" s="72" t="n">
        <f aca="false">IF(D88&gt;0,D63/D88,"N/M")</f>
        <v>0.22476480900763</v>
      </c>
      <c r="E99" s="72" t="n">
        <f aca="false">IF(E88&gt;0,E63/E88,"N/M")</f>
        <v>0.957692896900373</v>
      </c>
      <c r="F99" s="72" t="n">
        <f aca="false">IF(F88&gt;0,F63/F88,"N/M")</f>
        <v>0.965156090387616</v>
      </c>
      <c r="G99" s="72" t="n">
        <f aca="false">IF(G88&gt;0,G63/G88,"N/M")</f>
        <v>0.776247102909004</v>
      </c>
      <c r="H99" s="72" t="n">
        <f aca="false">IF(H88&gt;0,H63/H88,"N/M")</f>
        <v>0.829574401379473</v>
      </c>
      <c r="I99" s="72" t="n">
        <f aca="false">IF(I88&gt;0,I63/I88,"N/M")</f>
        <v>0.670283479069598</v>
      </c>
      <c r="J99" s="72" t="n">
        <f aca="false">IF(J88&gt;0,J63/J88,"N/M")</f>
        <v>0.670670132106082</v>
      </c>
      <c r="K99" s="56" t="n">
        <f aca="false">IF(COUNT(D99:J99)=0,"N/M",AVERAGE(D99:J99))</f>
        <v>0.727769844537111</v>
      </c>
      <c r="L99" s="60" t="n">
        <f aca="false">IF(COUNT(D99,J99)=2,J99-D99,"-")</f>
        <v>0.445905323098452</v>
      </c>
    </row>
    <row r="100" customFormat="false" ht="16.5" hidden="false" customHeight="true" outlineLevel="0" collapsed="false">
      <c r="A100" s="88" t="s">
        <v>656</v>
      </c>
      <c r="B100" s="89"/>
      <c r="C100" s="89"/>
      <c r="D100" s="89"/>
      <c r="E100" s="89"/>
      <c r="F100" s="89"/>
      <c r="G100" s="89"/>
      <c r="H100" s="89"/>
      <c r="I100" s="89"/>
      <c r="J100" s="89"/>
      <c r="K100" s="89"/>
      <c r="L100" s="89"/>
    </row>
    <row r="101" customFormat="false" ht="15" hidden="false" customHeight="false" outlineLevel="0" collapsed="false">
      <c r="A101" s="16" t="s">
        <v>657</v>
      </c>
      <c r="B101" s="87" t="s">
        <v>658</v>
      </c>
      <c r="C101" s="17" t="s">
        <v>97</v>
      </c>
      <c r="D101" s="72" t="n">
        <f aca="false">IF(D40&gt;0,D41/D40,"N/M")</f>
        <v>1.07980359798708</v>
      </c>
      <c r="E101" s="72" t="n">
        <f aca="false">IF(E40&gt;0,E41/E40,"N/M")</f>
        <v>2.57137306574769</v>
      </c>
      <c r="F101" s="72" t="n">
        <f aca="false">IF(F40&gt;0,F41/F40,"N/M")</f>
        <v>1.22242227548481</v>
      </c>
      <c r="G101" s="72" t="n">
        <f aca="false">IF(G40&gt;0,G41/G40,"N/M")</f>
        <v>0.949625284004205</v>
      </c>
      <c r="H101" s="72" t="n">
        <f aca="false">IF(H40&gt;0,H41/H40,"N/M")</f>
        <v>0.784738932324998</v>
      </c>
      <c r="I101" s="72" t="n">
        <f aca="false">IF(I40&gt;0,I41/I40,"N/M")</f>
        <v>0.645903889573071</v>
      </c>
      <c r="J101" s="72" t="n">
        <f aca="false">IF(J40&gt;0,J41/J40,"N/M")</f>
        <v>0.642661368842264</v>
      </c>
      <c r="K101" s="56" t="n">
        <f aca="false">IF(COUNT(D101:J101)=0,"N/M",AVERAGE(D101:J101))</f>
        <v>1.12807548770916</v>
      </c>
      <c r="L101" s="60" t="n">
        <f aca="false">IF(COUNT(D101,J101)=2,J101-D101,"-")</f>
        <v>-0.437142229144819</v>
      </c>
    </row>
    <row r="102" customFormat="false" ht="15" hidden="false" customHeight="false" outlineLevel="0" collapsed="false">
      <c r="A102" s="16" t="s">
        <v>659</v>
      </c>
      <c r="B102" s="87" t="s">
        <v>660</v>
      </c>
      <c r="C102" s="17" t="s">
        <v>97</v>
      </c>
      <c r="D102" s="72" t="n">
        <f aca="false">IF(D40&gt;0,(D41+D42)/D40,"N/M")</f>
        <v>4.38025385571379</v>
      </c>
      <c r="E102" s="72" t="n">
        <f aca="false">IF(E40&gt;0,(E41+E42)/E40,"N/M")</f>
        <v>3.89463815122643</v>
      </c>
      <c r="F102" s="72" t="n">
        <f aca="false">IF(F40&gt;0,(F41+F42)/F40,"N/M")</f>
        <v>2.24402802784436</v>
      </c>
      <c r="G102" s="72" t="n">
        <f aca="false">IF(G40&gt;0,(G41+G42)/G40,"N/M")</f>
        <v>1.73240869476754</v>
      </c>
      <c r="H102" s="72" t="n">
        <f aca="false">IF(H40&gt;0,(H41+H42)/H40,"N/M")</f>
        <v>1.53124840009654</v>
      </c>
      <c r="I102" s="72" t="n">
        <f aca="false">IF(I40&gt;0,(I41+I42)/I40,"N/M")</f>
        <v>1.34936884236453</v>
      </c>
      <c r="J102" s="72" t="n">
        <f aca="false">IF(J40&gt;0,(J41+J42)/J40,"N/M")</f>
        <v>1.32259135651694</v>
      </c>
      <c r="K102" s="56" t="n">
        <f aca="false">IF(COUNT(D102:J102)=0,"N/M",AVERAGE(D102:J102))</f>
        <v>2.35064818979002</v>
      </c>
      <c r="L102" s="60" t="n">
        <f aca="false">IF(COUNT(D102,J102)=2,J102-D102,"-")</f>
        <v>-3.05766249919685</v>
      </c>
    </row>
    <row r="103" customFormat="false" ht="15" hidden="false" customHeight="false" outlineLevel="0" collapsed="false">
      <c r="A103" s="16" t="s">
        <v>661</v>
      </c>
      <c r="B103" s="87" t="s">
        <v>662</v>
      </c>
      <c r="C103" s="17" t="s">
        <v>663</v>
      </c>
      <c r="D103" s="72" t="n">
        <f aca="false">IF(D49&gt;0,D41/D49,"N/M")</f>
        <v>0.200697518545587</v>
      </c>
      <c r="E103" s="72" t="n">
        <f aca="false">IF(E49&gt;0,E41/E49,"N/M")</f>
        <v>0.525344874595762</v>
      </c>
      <c r="F103" s="72" t="n">
        <f aca="false">IF(F49&gt;0,F41/F49,"N/M")</f>
        <v>0.376822353257258</v>
      </c>
      <c r="G103" s="72" t="n">
        <f aca="false">IF(G49&gt;0,G41/G49,"N/M")</f>
        <v>0.347541451548848</v>
      </c>
      <c r="H103" s="72" t="n">
        <f aca="false">IF(H49&gt;0,H41/H49,"N/M")</f>
        <v>0.31002051489497</v>
      </c>
      <c r="I103" s="72" t="n">
        <f aca="false">IF(I49&gt;0,I41/I49,"N/M")</f>
        <v>0.274926558114646</v>
      </c>
      <c r="J103" s="72" t="n">
        <f aca="false">IF(J49&gt;0,J41/J49,"N/M")</f>
        <v>0.276700146600918</v>
      </c>
      <c r="K103" s="56" t="n">
        <f aca="false">IF(COUNT(D103:J103)=0,"N/M",AVERAGE(D103:J103))</f>
        <v>0.330293345365427</v>
      </c>
      <c r="L103" s="60" t="n">
        <f aca="false">IF(COUNT(D103,J103)=2,J103-D103,"-")</f>
        <v>0.0760026280553316</v>
      </c>
    </row>
    <row r="104" customFormat="false" ht="15" hidden="false" customHeight="false" outlineLevel="0" collapsed="false">
      <c r="A104" s="16" t="s">
        <v>664</v>
      </c>
      <c r="B104" s="87" t="s">
        <v>665</v>
      </c>
      <c r="C104" s="17" t="s">
        <v>663</v>
      </c>
      <c r="D104" s="72" t="n">
        <f aca="false">IF(D90&gt;0,D41/D90,"N/M")</f>
        <v>0.519185368768551</v>
      </c>
      <c r="E104" s="72" t="n">
        <f aca="false">IF(E90&gt;0,E41/E90,"N/M")</f>
        <v>0.719995648286986</v>
      </c>
      <c r="F104" s="72" t="n">
        <f aca="false">IF(F90&gt;0,F41/F90,"N/M")</f>
        <v>0.550040507139061</v>
      </c>
      <c r="G104" s="72" t="n">
        <f aca="false">IF(G90&gt;0,G41/G90,"N/M")</f>
        <v>0.48708092359873</v>
      </c>
      <c r="H104" s="72" t="n">
        <f aca="false">IF(H90&gt;0,H41/H90,"N/M")</f>
        <v>0.439693962019818</v>
      </c>
      <c r="I104" s="72" t="n">
        <f aca="false">IF(I90&gt;0,I41/I90,"N/M")</f>
        <v>0.392431109534963</v>
      </c>
      <c r="J104" s="72" t="n">
        <f aca="false">IF(J90&gt;0,J41/J90,"N/M")</f>
        <v>0.391231802873167</v>
      </c>
      <c r="K104" s="56" t="n">
        <f aca="false">IF(COUNT(D104:J104)=0,"N/M",AVERAGE(D104:J104))</f>
        <v>0.499951331745897</v>
      </c>
      <c r="L104" s="60" t="n">
        <f aca="false">IF(COUNT(D104,J104)=2,J104-D104,"-")</f>
        <v>-0.127953565895384</v>
      </c>
    </row>
    <row r="105" customFormat="false" ht="15" hidden="false" customHeight="false" outlineLevel="0" collapsed="false">
      <c r="A105" s="16" t="s">
        <v>666</v>
      </c>
      <c r="B105" s="87" t="s">
        <v>667</v>
      </c>
      <c r="C105" s="17" t="s">
        <v>668</v>
      </c>
      <c r="D105" s="72" t="n">
        <f aca="false">IF(D49&gt;0,D40/D49,"N/M")</f>
        <v>0.185864835901378</v>
      </c>
      <c r="E105" s="72" t="n">
        <f aca="false">IF(E49&gt;0,E40/E49,"N/M")</f>
        <v>0.204305194603493</v>
      </c>
      <c r="F105" s="72" t="n">
        <f aca="false">IF(F49&gt;0,F40/F49,"N/M")</f>
        <v>0.30825874234647</v>
      </c>
      <c r="G105" s="72" t="n">
        <f aca="false">IF(G49&gt;0,G40/G49,"N/M")</f>
        <v>0.365977462271644</v>
      </c>
      <c r="H105" s="72" t="n">
        <f aca="false">IF(H49&gt;0,H40/H49,"N/M")</f>
        <v>0.395061978098183</v>
      </c>
      <c r="I105" s="72" t="n">
        <f aca="false">IF(I49&gt;0,I40/I49,"N/M")</f>
        <v>0.425646233987485</v>
      </c>
      <c r="J105" s="72" t="n">
        <f aca="false">IF(J49&gt;0,J40/J49,"N/M")</f>
        <v>0.430553569914099</v>
      </c>
      <c r="K105" s="56" t="n">
        <f aca="false">IF(COUNT(D105:J105)=0,"N/M",AVERAGE(D105:J105))</f>
        <v>0.330809716731822</v>
      </c>
      <c r="L105" s="60" t="n">
        <f aca="false">IF(COUNT(D105,J105)=2,J105-D105,"-")</f>
        <v>0.244688734012721</v>
      </c>
    </row>
    <row r="106" customFormat="false" ht="15" hidden="false" customHeight="false" outlineLevel="0" collapsed="false">
      <c r="A106" s="16" t="s">
        <v>669</v>
      </c>
      <c r="B106" s="87" t="s">
        <v>670</v>
      </c>
      <c r="C106" s="17" t="s">
        <v>97</v>
      </c>
      <c r="D106" s="72" t="n">
        <f aca="false">IF(D39&gt;0,(D41+D37)/D39,"N/M")</f>
        <v>1.07980359798708</v>
      </c>
      <c r="E106" s="72" t="n">
        <f aca="false">IF(E39&gt;0,(E41+E37)/E39,"N/M")</f>
        <v>2.57137306574769</v>
      </c>
      <c r="F106" s="72" t="n">
        <f aca="false">IF(F39&gt;0,(F41+F37)/F39,"N/M")</f>
        <v>1.22242227548481</v>
      </c>
      <c r="G106" s="72" t="n">
        <f aca="false">IF(G39&gt;0,(G41+G37)/G39,"N/M")</f>
        <v>0.949625284004205</v>
      </c>
      <c r="H106" s="72" t="n">
        <f aca="false">IF(H39&gt;0,(H41+H37)/H39,"N/M")</f>
        <v>0.784738932324998</v>
      </c>
      <c r="I106" s="72" t="n">
        <f aca="false">IF(I39&gt;0,(I41+I37)/I39,"N/M")</f>
        <v>0.645903889573071</v>
      </c>
      <c r="J106" s="72" t="n">
        <f aca="false">IF(J39&gt;0,(J41+J37)/J39,"N/M")</f>
        <v>0.642661368842264</v>
      </c>
      <c r="K106" s="56" t="n">
        <f aca="false">IF(COUNT(D106:J106)=0,"N/M",AVERAGE(D106:J106))</f>
        <v>1.12807548770916</v>
      </c>
      <c r="L106" s="60" t="n">
        <f aca="false">IF(COUNT(D106,J106)=2,J106-D106,"-")</f>
        <v>-0.437142229144819</v>
      </c>
    </row>
    <row r="107" customFormat="false" ht="15" hidden="false" customHeight="false" outlineLevel="0" collapsed="false">
      <c r="A107" s="16" t="s">
        <v>671</v>
      </c>
      <c r="B107" s="87" t="s">
        <v>672</v>
      </c>
      <c r="C107" s="17" t="s">
        <v>97</v>
      </c>
      <c r="D107" s="72" t="n">
        <f aca="false">IF(D21&gt;0,D41/D21,"N/M")</f>
        <v>1.11670634837024</v>
      </c>
      <c r="E107" s="72" t="n">
        <f aca="false">IF(E21&gt;0,E41/E21,"N/M")</f>
        <v>2.21793993792712</v>
      </c>
      <c r="F107" s="72" t="n">
        <f aca="false">IF(F21&gt;0,F41/F21,"N/M")</f>
        <v>1.06592934070659</v>
      </c>
      <c r="G107" s="72" t="n">
        <f aca="false">IF(G21&gt;0,G41/G21,"N/M")</f>
        <v>1.19467582470324</v>
      </c>
      <c r="H107" s="72" t="n">
        <f aca="false">IF(H21&gt;0,H41/H21,"N/M")</f>
        <v>1.25785463071512</v>
      </c>
      <c r="I107" s="72" t="n">
        <f aca="false">IF(I21&gt;0,I41/I21,"N/M")</f>
        <v>1.14919087941935</v>
      </c>
      <c r="J107" s="72" t="n">
        <f aca="false">IF(J21&gt;0,J41/J21,"N/M")</f>
        <v>1.20116550606947</v>
      </c>
      <c r="K107" s="56" t="n">
        <f aca="false">IF(COUNT(D107:J107)=0,"N/M",AVERAGE(D107:J107))</f>
        <v>1.31478035255873</v>
      </c>
      <c r="L107" s="60" t="n">
        <f aca="false">IF(COUNT(D107,J107)=2,J107-D107,"-")</f>
        <v>0.084459157699226</v>
      </c>
    </row>
    <row r="108" customFormat="false" ht="16.5" hidden="false" customHeight="true" outlineLevel="0" collapsed="false">
      <c r="A108" s="88" t="s">
        <v>673</v>
      </c>
      <c r="B108" s="89"/>
      <c r="C108" s="89"/>
      <c r="D108" s="89"/>
      <c r="E108" s="89"/>
      <c r="F108" s="89"/>
      <c r="G108" s="89"/>
      <c r="H108" s="89"/>
      <c r="I108" s="89"/>
      <c r="J108" s="89"/>
      <c r="K108" s="89"/>
      <c r="L108" s="89"/>
    </row>
    <row r="109" customFormat="false" ht="15" hidden="false" customHeight="false" outlineLevel="0" collapsed="false">
      <c r="A109" s="16" t="s">
        <v>674</v>
      </c>
      <c r="B109" s="87" t="s">
        <v>675</v>
      </c>
      <c r="C109" s="17" t="s">
        <v>676</v>
      </c>
      <c r="D109" s="73" t="n">
        <f aca="false">IF(D25&gt;0,D23/D25,"N/M")</f>
        <v>1.08434145510309</v>
      </c>
      <c r="E109" s="73" t="n">
        <f aca="false">IF(E25&gt;0,E23/E25,"N/M")</f>
        <v>2.30995944118973</v>
      </c>
      <c r="F109" s="73" t="n">
        <f aca="false">IF(F25&gt;0,F23/F25,"N/M")</f>
        <v>6.95228239622858</v>
      </c>
      <c r="G109" s="73" t="n">
        <f aca="false">IF(G25&gt;0,G23/G25,"N/M")</f>
        <v>8.12460732984293</v>
      </c>
      <c r="H109" s="73" t="n">
        <f aca="false">IF(H25&gt;0,H23/H25,"N/M")</f>
        <v>5.3822700486805</v>
      </c>
      <c r="I109" s="73" t="n">
        <f aca="false">IF(I25&gt;0,I23/I25,"N/M")</f>
        <v>4.74960553465227</v>
      </c>
      <c r="J109" s="73" t="n">
        <f aca="false">IF(J25&gt;0,J23/J25,"N/M")</f>
        <v>4.84107893507708</v>
      </c>
      <c r="K109" s="60" t="n">
        <f aca="false">IF(COUNT(D109:J109)=0,"N/M",AVERAGE(D109:J109))</f>
        <v>4.77773502011059</v>
      </c>
      <c r="L109" s="60" t="n">
        <f aca="false">IF(COUNT(D109,J109)=2,J109-D109,"-")</f>
        <v>3.75673747997399</v>
      </c>
    </row>
    <row r="110" customFormat="false" ht="15" hidden="false" customHeight="false" outlineLevel="0" collapsed="false">
      <c r="A110" s="16" t="s">
        <v>677</v>
      </c>
      <c r="B110" s="87" t="s">
        <v>678</v>
      </c>
      <c r="C110" s="17" t="s">
        <v>115</v>
      </c>
      <c r="D110" s="73" t="str">
        <f aca="false">IF(D31&gt;0,D30/D31,"N/M")</f>
        <v>N/M</v>
      </c>
      <c r="E110" s="73" t="n">
        <f aca="false">IF(E31&gt;0,E30/E31,"N/M")</f>
        <v>2.85662177328844</v>
      </c>
      <c r="F110" s="73" t="n">
        <f aca="false">IF(F31&gt;0,F30/F31,"N/M")</f>
        <v>2.68104657687991</v>
      </c>
      <c r="G110" s="73" t="n">
        <f aca="false">IF(G31&gt;0,G30/G31,"N/M")</f>
        <v>5.19823232323232</v>
      </c>
      <c r="H110" s="73" t="n">
        <f aca="false">IF(H31&gt;0,H30/H31,"N/M")</f>
        <v>5.06750841750842</v>
      </c>
      <c r="I110" s="73" t="n">
        <f aca="false">IF(I31&gt;0,I30/I31,"N/M")</f>
        <v>4.24949494949495</v>
      </c>
      <c r="J110" s="73" t="n">
        <f aca="false">IF(J31&gt;0,J30/J31,"N/M")</f>
        <v>4.16481481481481</v>
      </c>
      <c r="K110" s="60" t="n">
        <f aca="false">IF(COUNT(D110:J110)=0,"N/M",AVERAGE(D110:J110))</f>
        <v>4.03628647586981</v>
      </c>
      <c r="L110" s="60" t="str">
        <f aca="false">IF(COUNT(D110,J110)=2,J110-D110,"-")</f>
        <v>-</v>
      </c>
    </row>
    <row r="111" customFormat="false" ht="15" hidden="false" customHeight="false" outlineLevel="0" collapsed="false">
      <c r="A111" s="16" t="s">
        <v>679</v>
      </c>
      <c r="B111" s="87" t="s">
        <v>680</v>
      </c>
      <c r="C111" s="17" t="s">
        <v>115</v>
      </c>
      <c r="D111" s="73" t="n">
        <f aca="false">IF(D25+D76&gt;0,D21/(D25+D76/(1-D77)),"N/M")</f>
        <v>1.39554235643506</v>
      </c>
      <c r="E111" s="73" t="n">
        <f aca="false">IF(E25+E76&gt;0,E21/(E25+E76/(1-E77)),"N/M")</f>
        <v>2.9503158971734</v>
      </c>
      <c r="F111" s="73" t="n">
        <f aca="false">IF(F25+F76&gt;0,F21/(F25+F76/(1-F77)),"N/M")</f>
        <v>1.22829812080262</v>
      </c>
      <c r="G111" s="73" t="n">
        <f aca="false">IF(G25+G76&gt;0,G21/(G25+G76/(1-G77)),"N/M")</f>
        <v>3.38321414194022</v>
      </c>
      <c r="H111" s="73" t="n">
        <f aca="false">IF(H25+H76&gt;0,H21/(H25+H76/(1-H77)),"N/M")</f>
        <v>2.02048241057784</v>
      </c>
      <c r="I111" s="73" t="n">
        <f aca="false">IF(I25+I76&gt;0,I21/(I25+I76/(1-I77)),"N/M")</f>
        <v>1.81067745341651</v>
      </c>
      <c r="J111" s="73" t="n">
        <f aca="false">IF(J25+J76&gt;0,J21/(J25+J76/(1-J77)),"N/M")</f>
        <v>2.09569562803042</v>
      </c>
      <c r="K111" s="60" t="n">
        <f aca="false">IF(COUNT(D111:J111)=0,"N/M",AVERAGE(D111:J111))</f>
        <v>2.12631800119658</v>
      </c>
      <c r="L111" s="60" t="n">
        <f aca="false">IF(COUNT(D111,J111)=2,J111-D111,"-")</f>
        <v>0.700153271595354</v>
      </c>
    </row>
    <row r="112" customFormat="false" ht="15" hidden="false" customHeight="false" outlineLevel="0" collapsed="false">
      <c r="A112" s="16" t="s">
        <v>681</v>
      </c>
      <c r="B112" s="87" t="s">
        <v>682</v>
      </c>
      <c r="C112" s="17" t="s">
        <v>115</v>
      </c>
      <c r="D112" s="73" t="n">
        <f aca="false">IF(D25+D76&gt;0,(D63+D27)/(D25+D76/(1-D77)),"N/M")</f>
        <v>1.07868505395631</v>
      </c>
      <c r="E112" s="73" t="n">
        <f aca="false">IF(E25+E76&gt;0,(E63+E27)/(E25+E76/(1-E77)),"N/M")</f>
        <v>3.38824837534597</v>
      </c>
      <c r="F112" s="73" t="n">
        <f aca="false">IF(F25+F76&gt;0,(F63+F27)/(F25+F76/(1-F77)),"N/M")</f>
        <v>1.21584330240587</v>
      </c>
      <c r="G112" s="73" t="n">
        <f aca="false">IF(G25+G76&gt;0,(G63+G27)/(G25+G76/(1-G77)),"N/M")</f>
        <v>3.08300038930381</v>
      </c>
      <c r="H112" s="73" t="n">
        <f aca="false">IF(H25+H76&gt;0,(H63+H27)/(H25+H76/(1-H77)),"N/M")</f>
        <v>2.2228148930064</v>
      </c>
      <c r="I112" s="73" t="n">
        <f aca="false">IF(I25+I76&gt;0,(I63+I27)/(I25+I76/(1-I77)),"N/M")</f>
        <v>1.71496319093476</v>
      </c>
      <c r="J112" s="73" t="n">
        <f aca="false">IF(J25+J76&gt;0,(J63+J27)/(J25+J76/(1-J77)),"N/M")</f>
        <v>1.96111310842166</v>
      </c>
      <c r="K112" s="60" t="n">
        <f aca="false">IF(COUNT(D112:J112)=0,"N/M",AVERAGE(D112:J112))</f>
        <v>2.0949526161964</v>
      </c>
      <c r="L112" s="60" t="n">
        <f aca="false">IF(COUNT(D112,J112)=2,J112-D112,"-")</f>
        <v>0.882428054465355</v>
      </c>
    </row>
    <row r="113" customFormat="false" ht="15" hidden="false" customHeight="false" outlineLevel="0" collapsed="false">
      <c r="A113" s="16" t="s">
        <v>683</v>
      </c>
      <c r="B113" s="87" t="s">
        <v>684</v>
      </c>
      <c r="C113" s="17" t="s">
        <v>685</v>
      </c>
      <c r="D113" s="73" t="n">
        <f aca="false">IF(D75&gt;0,D63/D75,"N/M")</f>
        <v>1.89069477619691</v>
      </c>
      <c r="E113" s="73" t="n">
        <f aca="false">IF(E75&gt;0,E63/E75,"N/M")</f>
        <v>1.41816325759008</v>
      </c>
      <c r="F113" s="73" t="str">
        <f aca="false">IF(F75&gt;0,F63/F75,"N/M")</f>
        <v>N/M</v>
      </c>
      <c r="G113" s="73" t="n">
        <f aca="false">IF(G75&gt;0,G63/G75,"N/M")</f>
        <v>1.39419167849987</v>
      </c>
      <c r="H113" s="73" t="n">
        <f aca="false">IF(H75&gt;0,H63/H75,"N/M")</f>
        <v>2.26011637838992</v>
      </c>
      <c r="I113" s="73" t="n">
        <f aca="false">IF(I75&gt;0,I63/I75,"N/M")</f>
        <v>2.45268917656479</v>
      </c>
      <c r="J113" s="73" t="n">
        <f aca="false">IF(J75&gt;0,J63/J75,"N/M")</f>
        <v>2.57287565095897</v>
      </c>
      <c r="K113" s="60" t="n">
        <f aca="false">IF(COUNT(D113:J113)=0,"N/M",AVERAGE(D113:J113))</f>
        <v>1.99812181970009</v>
      </c>
      <c r="L113" s="60" t="n">
        <f aca="false">IF(COUNT(D113,J113)=2,J113-D113,"-")</f>
        <v>0.682180874762069</v>
      </c>
    </row>
    <row r="114" customFormat="false" ht="15" hidden="false" customHeight="false" outlineLevel="0" collapsed="false">
      <c r="A114" s="16" t="s">
        <v>686</v>
      </c>
      <c r="B114" s="87" t="s">
        <v>687</v>
      </c>
      <c r="C114" s="17" t="s">
        <v>688</v>
      </c>
      <c r="D114" s="73" t="n">
        <f aca="false">IF(D25+D76&gt;0,(D30+D25+D22)/(D25+D76),"N/M")</f>
        <v>1.24334734923109</v>
      </c>
      <c r="E114" s="73" t="n">
        <f aca="false">IF(E25+E76&gt;0,(E30+E25+E22)/(E25+E76),"N/M")</f>
        <v>3.22088594908799</v>
      </c>
      <c r="F114" s="73" t="n">
        <f aca="false">IF(F25+F76&gt;0,(F30+F25+F22)/(F25+F76),"N/M")</f>
        <v>1.37339158061954</v>
      </c>
      <c r="G114" s="73" t="n">
        <f aca="false">IF(G25+G76&gt;0,(G30+G25+G22)/(G25+G76),"N/M")</f>
        <v>3.77826225189626</v>
      </c>
      <c r="H114" s="73" t="n">
        <f aca="false">IF(H25+H76&gt;0,(H30+H25+H22)/(H25+H76),"N/M")</f>
        <v>2.37524500482696</v>
      </c>
      <c r="I114" s="73" t="n">
        <f aca="false">IF(I25+I76&gt;0,(I30+I25+I22)/(I25+I76),"N/M")</f>
        <v>2.1901466777098</v>
      </c>
      <c r="J114" s="73" t="n">
        <f aca="false">IF(J25+J76&gt;0,(J30+J25+J22)/(J25+J76),"N/M")</f>
        <v>2.3859986273164</v>
      </c>
      <c r="K114" s="60" t="n">
        <f aca="false">IF(COUNT(D114:J114)=0,"N/M",AVERAGE(D114:J114))</f>
        <v>2.36675392009829</v>
      </c>
      <c r="L114" s="60" t="n">
        <f aca="false">IF(COUNT(D114,J114)=2,J114-D114,"-")</f>
        <v>1.14265127808532</v>
      </c>
    </row>
    <row r="115" customFormat="false" ht="16.5" hidden="false" customHeight="true" outlineLevel="0" collapsed="false">
      <c r="A115" s="88" t="s">
        <v>689</v>
      </c>
      <c r="B115" s="89"/>
      <c r="C115" s="89"/>
      <c r="D115" s="89"/>
      <c r="E115" s="89"/>
      <c r="F115" s="89"/>
      <c r="G115" s="89"/>
      <c r="H115" s="89"/>
      <c r="I115" s="89"/>
      <c r="J115" s="89"/>
      <c r="K115" s="89"/>
      <c r="L115" s="89"/>
    </row>
    <row r="116" customFormat="false" ht="15" hidden="false" customHeight="false" outlineLevel="0" collapsed="false">
      <c r="A116" s="16" t="s">
        <v>690</v>
      </c>
      <c r="B116" s="87" t="s">
        <v>691</v>
      </c>
      <c r="C116" s="17" t="s">
        <v>692</v>
      </c>
      <c r="D116" s="73" t="n">
        <f aca="false">IF(D51&gt;0,D13/D51,"N/M")</f>
        <v>63.8862541682105</v>
      </c>
      <c r="E116" s="73" t="n">
        <f aca="false">IF(E51&gt;0,E13/E51,"N/M")</f>
        <v>52.0015733165513</v>
      </c>
      <c r="F116" s="73" t="n">
        <f aca="false">IF(F51&gt;0,F13/F51,"N/M")</f>
        <v>67.9328379537011</v>
      </c>
      <c r="G116" s="73" t="n">
        <f aca="false">IF(G51&gt;0,G13/G51,"N/M")</f>
        <v>79.2414231257942</v>
      </c>
      <c r="H116" s="73" t="n">
        <f aca="false">IF(H51&gt;0,H13/H51,"N/M")</f>
        <v>61.6353463245225</v>
      </c>
      <c r="I116" s="73" t="n">
        <f aca="false">IF(I51&gt;0,I13/I51,"N/M")</f>
        <v>68.3722103628954</v>
      </c>
      <c r="J116" s="73" t="n">
        <f aca="false">IF(J51&gt;0,J13/J51,"N/M")</f>
        <v>66.8673578834465</v>
      </c>
      <c r="K116" s="60" t="n">
        <f aca="false">IF(COUNT(D116:J116)=0,"N/M",AVERAGE(D116:J116))</f>
        <v>65.7052861621602</v>
      </c>
      <c r="L116" s="60" t="n">
        <f aca="false">IF(COUNT(D116,J116)=2,J116-D116,"-")</f>
        <v>2.9811037152361</v>
      </c>
    </row>
    <row r="117" customFormat="false" ht="15" hidden="false" customHeight="false" outlineLevel="0" collapsed="false">
      <c r="A117" s="16" t="s">
        <v>693</v>
      </c>
      <c r="B117" s="87" t="s">
        <v>694</v>
      </c>
      <c r="C117" s="17" t="s">
        <v>653</v>
      </c>
      <c r="D117" s="74" t="n">
        <f aca="false">IF(D13&gt;0,D51/D13*Setup!$C$8,"N/M")</f>
        <v>5.71327908878437</v>
      </c>
      <c r="E117" s="74" t="n">
        <f aca="false">IF(E13&gt;0,E51/E13*Setup!$C$8,"N/M")</f>
        <v>7.01901840119568</v>
      </c>
      <c r="F117" s="74" t="n">
        <f aca="false">IF(F13&gt;0,F51/F13*Setup!$C$8,"N/M")</f>
        <v>5.37295380253011</v>
      </c>
      <c r="G117" s="74" t="n">
        <f aca="false">IF(G13&gt;0,G51/G13*Setup!$C$8,"N/M")</f>
        <v>4.60617673941279</v>
      </c>
      <c r="H117" s="74" t="n">
        <f aca="false">IF(H13&gt;0,H51/H13*Setup!$C$8,"N/M")</f>
        <v>5.92192665030552</v>
      </c>
      <c r="I117" s="74" t="n">
        <f aca="false">IF(I13&gt;0,I51/I13*Setup!$C$8,"N/M")</f>
        <v>5.33842621238526</v>
      </c>
      <c r="J117" s="74" t="n">
        <f aca="false">IF(J13&gt;0,J51/J13*Setup!$C$8,"N/M")</f>
        <v>5.45856770109289</v>
      </c>
      <c r="K117" s="58" t="n">
        <f aca="false">IF(COUNT(D117:J117)=0,"N/M",AVERAGE(D117:J117))</f>
        <v>5.6329069422438</v>
      </c>
      <c r="L117" s="58" t="n">
        <f aca="false">IF(COUNT(D117,J117)=2,J117-D117,"-")</f>
        <v>-0.254711387691484</v>
      </c>
    </row>
    <row r="118" customFormat="false" ht="15" hidden="false" customHeight="false" outlineLevel="0" collapsed="false">
      <c r="A118" s="16" t="s">
        <v>695</v>
      </c>
      <c r="B118" s="87" t="s">
        <v>696</v>
      </c>
      <c r="C118" s="17" t="s">
        <v>692</v>
      </c>
      <c r="D118" s="73" t="n">
        <f aca="false">IF(D50&gt;0,D7/D50,"N/M")</f>
        <v>6.01088540976469</v>
      </c>
      <c r="E118" s="73" t="n">
        <f aca="false">IF(E50&gt;0,E7/E50,"N/M")</f>
        <v>6.3487218103182</v>
      </c>
      <c r="F118" s="73" t="n">
        <f aca="false">IF(F50&gt;0,F7/F50,"N/M")</f>
        <v>7.60416199720694</v>
      </c>
      <c r="G118" s="73" t="n">
        <f aca="false">IF(G50&gt;0,G7/G50,"N/M")</f>
        <v>8.12399082712908</v>
      </c>
      <c r="H118" s="73" t="n">
        <f aca="false">IF(H50&gt;0,H7/H50,"N/M")</f>
        <v>7.85739003326224</v>
      </c>
      <c r="I118" s="73" t="n">
        <f aca="false">IF(I50&gt;0,I7/I50,"N/M")</f>
        <v>7.27674948161152</v>
      </c>
      <c r="J118" s="73" t="n">
        <f aca="false">IF(J50&gt;0,J7/J50,"N/M")</f>
        <v>6.68759052545603</v>
      </c>
      <c r="K118" s="60" t="n">
        <f aca="false">IF(COUNT(D118:J118)=0,"N/M",AVERAGE(D118:J118))</f>
        <v>7.1299271549641</v>
      </c>
      <c r="L118" s="60" t="n">
        <f aca="false">IF(COUNT(D118,J118)=2,J118-D118,"-")</f>
        <v>0.676705115691345</v>
      </c>
    </row>
    <row r="119" customFormat="false" ht="15" hidden="false" customHeight="false" outlineLevel="0" collapsed="false">
      <c r="A119" s="16" t="s">
        <v>697</v>
      </c>
      <c r="B119" s="87" t="s">
        <v>698</v>
      </c>
      <c r="C119" s="17" t="s">
        <v>653</v>
      </c>
      <c r="D119" s="74" t="n">
        <f aca="false">IF(D7&gt;0,D50/D7*Setup!$C$8,"N/M")</f>
        <v>60.7231672403965</v>
      </c>
      <c r="E119" s="74" t="n">
        <f aca="false">IF(E7&gt;0,E50/E7*Setup!$C$8,"N/M")</f>
        <v>57.4918874862004</v>
      </c>
      <c r="F119" s="74" t="n">
        <f aca="false">IF(F7&gt;0,F50/F7*Setup!$C$8,"N/M")</f>
        <v>48.000029475183</v>
      </c>
      <c r="G119" s="74" t="n">
        <f aca="false">IF(G7&gt;0,G50/G7*Setup!$C$8,"N/M")</f>
        <v>44.9286573270279</v>
      </c>
      <c r="H119" s="74" t="n">
        <f aca="false">IF(H7&gt;0,H50/H7*Setup!$C$8,"N/M")</f>
        <v>46.4530840972469</v>
      </c>
      <c r="I119" s="74" t="n">
        <f aca="false">IF(I7&gt;0,I50/I7*Setup!$C$8,"N/M")</f>
        <v>50.1597589586342</v>
      </c>
      <c r="J119" s="74" t="n">
        <f aca="false">IF(J7&gt;0,J50/J7*Setup!$C$8,"N/M")</f>
        <v>54.5787004468415</v>
      </c>
      <c r="K119" s="58" t="n">
        <f aca="false">IF(COUNT(D119:J119)=0,"N/M",AVERAGE(D119:J119))</f>
        <v>51.7621835759329</v>
      </c>
      <c r="L119" s="58" t="n">
        <f aca="false">IF(COUNT(D119,J119)=2,J119-D119,"-")</f>
        <v>-6.14446679355496</v>
      </c>
    </row>
    <row r="120" customFormat="false" ht="15" hidden="false" customHeight="false" outlineLevel="0" collapsed="false">
      <c r="A120" s="16" t="s">
        <v>699</v>
      </c>
      <c r="B120" s="87" t="s">
        <v>700</v>
      </c>
      <c r="C120" s="17" t="s">
        <v>692</v>
      </c>
      <c r="D120" s="73" t="n">
        <f aca="false">IF(D42&gt;0,D13/D42,"N/M")</f>
        <v>1.06440282476111</v>
      </c>
      <c r="E120" s="73" t="n">
        <f aca="false">IF(E42&gt;0,E13/E42,"N/M")</f>
        <v>2.10975080426901</v>
      </c>
      <c r="F120" s="73" t="n">
        <f aca="false">IF(F42&gt;0,F13/F42,"N/M")</f>
        <v>2.66826442755632</v>
      </c>
      <c r="G120" s="73" t="n">
        <f aca="false">IF(G42&gt;0,G13/G42,"N/M")</f>
        <v>3.37703337882037</v>
      </c>
      <c r="H120" s="73" t="n">
        <f aca="false">IF(H42&gt;0,H13/H42,"N/M")</f>
        <v>3.12983501195282</v>
      </c>
      <c r="I120" s="73" t="n">
        <f aca="false">IF(I42&gt;0,I13/I42,"N/M")</f>
        <v>3.21247709098867</v>
      </c>
      <c r="J120" s="73" t="n">
        <f aca="false">IF(J42&gt;0,J13/J42,"N/M")</f>
        <v>3.09618249842731</v>
      </c>
      <c r="K120" s="60" t="n">
        <f aca="false">IF(COUNT(D120:J120)=0,"N/M",AVERAGE(D120:J120))</f>
        <v>2.66542086239651</v>
      </c>
      <c r="L120" s="60" t="n">
        <f aca="false">IF(COUNT(D120,J120)=2,J120-D120,"-")</f>
        <v>2.0317796736662</v>
      </c>
    </row>
    <row r="121" customFormat="false" ht="15" hidden="false" customHeight="false" outlineLevel="0" collapsed="false">
      <c r="A121" s="16" t="s">
        <v>701</v>
      </c>
      <c r="B121" s="87" t="s">
        <v>702</v>
      </c>
      <c r="C121" s="17" t="s">
        <v>653</v>
      </c>
      <c r="D121" s="74" t="n">
        <f aca="false">IF(D13&gt;0,D42/D13*Setup!$C$8,"N/M")</f>
        <v>342.915286871698</v>
      </c>
      <c r="E121" s="74" t="n">
        <f aca="false">IF(E13&gt;0,E42/E13*Setup!$C$8,"N/M")</f>
        <v>173.006214412354</v>
      </c>
      <c r="F121" s="74" t="n">
        <f aca="false">IF(F13&gt;0,F42/F13*Setup!$C$8,"N/M")</f>
        <v>136.793039037093</v>
      </c>
      <c r="G121" s="74" t="n">
        <f aca="false">IF(G13&gt;0,G42/G13*Setup!$C$8,"N/M")</f>
        <v>108.083030001764</v>
      </c>
      <c r="H121" s="74" t="n">
        <f aca="false">IF(H13&gt;0,H42/H13*Setup!$C$8,"N/M")</f>
        <v>116.619565761795</v>
      </c>
      <c r="I121" s="74" t="n">
        <f aca="false">IF(I13&gt;0,I42/I13*Setup!$C$8,"N/M")</f>
        <v>113.619487287198</v>
      </c>
      <c r="J121" s="74" t="n">
        <f aca="false">IF(J13&gt;0,J42/J13*Setup!$C$8,"N/M")</f>
        <v>117.887107812734</v>
      </c>
      <c r="K121" s="58" t="n">
        <f aca="false">IF(COUNT(D121:J121)=0,"N/M",AVERAGE(D121:J121))</f>
        <v>158.417675883519</v>
      </c>
      <c r="L121" s="58" t="n">
        <f aca="false">IF(COUNT(D121,J121)=2,J121-D121,"-")</f>
        <v>-225.028179058964</v>
      </c>
    </row>
    <row r="122" customFormat="false" ht="15" hidden="false" customHeight="false" outlineLevel="0" collapsed="false">
      <c r="A122" s="16" t="s">
        <v>703</v>
      </c>
      <c r="B122" s="87" t="s">
        <v>704</v>
      </c>
      <c r="C122" s="17" t="s">
        <v>653</v>
      </c>
      <c r="D122" s="74" t="n">
        <f aca="false">IF(COUNT(D117,D119,D121)=3,D117+D119-D121,"N/M")</f>
        <v>-276.478840542517</v>
      </c>
      <c r="E122" s="74" t="n">
        <f aca="false">IF(COUNT(E117,E119,E121)=3,E117+E119-E121,"N/M")</f>
        <v>-108.495308524958</v>
      </c>
      <c r="F122" s="74" t="n">
        <f aca="false">IF(COUNT(F117,F119,F121)=3,F117+F119-F121,"N/M")</f>
        <v>-83.4200557593803</v>
      </c>
      <c r="G122" s="74" t="n">
        <f aca="false">IF(COUNT(G117,G119,G121)=3,G117+G119-G121,"N/M")</f>
        <v>-58.5481959353232</v>
      </c>
      <c r="H122" s="74" t="n">
        <f aca="false">IF(COUNT(H117,H119,H121)=3,H117+H119-H121,"N/M")</f>
        <v>-64.2445550142427</v>
      </c>
      <c r="I122" s="74" t="n">
        <f aca="false">IF(COUNT(I117,I119,I121)=3,I117+I119-I121,"N/M")</f>
        <v>-58.1213021161781</v>
      </c>
      <c r="J122" s="74" t="n">
        <f aca="false">IF(COUNT(J117,J119,J121)=3,J117+J119-J121,"N/M")</f>
        <v>-57.8498396647995</v>
      </c>
      <c r="K122" s="58" t="n">
        <f aca="false">IF(COUNT(D122:J122)=0,"N/M",AVERAGE(D122:J122))</f>
        <v>-101.022585365343</v>
      </c>
      <c r="L122" s="58" t="n">
        <f aca="false">IF(COUNT(D122,J122)=2,J122-D122,"-")</f>
        <v>218.629000877718</v>
      </c>
    </row>
    <row r="123" customFormat="false" ht="15" hidden="false" customHeight="false" outlineLevel="0" collapsed="false">
      <c r="A123" s="16" t="s">
        <v>705</v>
      </c>
      <c r="B123" s="87" t="s">
        <v>706</v>
      </c>
      <c r="C123" s="17" t="s">
        <v>692</v>
      </c>
      <c r="D123" s="73" t="n">
        <f aca="false">IF(D45&gt;0,D7/D45,"N/M")</f>
        <v>1.90700789198669</v>
      </c>
      <c r="E123" s="73" t="n">
        <f aca="false">IF(E45&gt;0,E7/E45,"N/M")</f>
        <v>2.07691481701386</v>
      </c>
      <c r="F123" s="73" t="n">
        <f aca="false">IF(F45&gt;0,F7/F45,"N/M")</f>
        <v>3.06951220360923</v>
      </c>
      <c r="G123" s="73" t="n">
        <f aca="false">IF(G45&gt;0,G7/G45,"N/M")</f>
        <v>3.59924288289041</v>
      </c>
      <c r="H123" s="73" t="n">
        <f aca="false">IF(H45&gt;0,H7/H45,"N/M")</f>
        <v>2.89037826330286</v>
      </c>
      <c r="I123" s="73" t="n">
        <f aca="false">IF(I45&gt;0,I7/I45,"N/M")</f>
        <v>3.15408198149516</v>
      </c>
      <c r="J123" s="73" t="n">
        <f aca="false">IF(J45&gt;0,J7/J45,"N/M")</f>
        <v>3.01706806591398</v>
      </c>
      <c r="K123" s="60" t="n">
        <f aca="false">IF(COUNT(D123:J123)=0,"N/M",AVERAGE(D123:J123))</f>
        <v>2.81631515803031</v>
      </c>
      <c r="L123" s="60" t="n">
        <f aca="false">IF(COUNT(D123,J123)=2,J123-D123,"-")</f>
        <v>1.11006017392729</v>
      </c>
    </row>
    <row r="124" customFormat="false" ht="15" hidden="false" customHeight="false" outlineLevel="0" collapsed="false">
      <c r="A124" s="16" t="s">
        <v>707</v>
      </c>
      <c r="B124" s="87" t="s">
        <v>708</v>
      </c>
      <c r="C124" s="17" t="s">
        <v>692</v>
      </c>
      <c r="D124" s="73" t="n">
        <f aca="false">IF(D49&gt;0,D7/D49,"N/M")</f>
        <v>1.20234096615028</v>
      </c>
      <c r="E124" s="73" t="n">
        <f aca="false">IF(E49&gt;0,E7/E49,"N/M")</f>
        <v>1.13484363729236</v>
      </c>
      <c r="F124" s="73" t="n">
        <f aca="false">IF(F49&gt;0,F7/F49,"N/M")</f>
        <v>1.55916019740098</v>
      </c>
      <c r="G124" s="73" t="n">
        <f aca="false">IF(G49&gt;0,G7/G49,"N/M")</f>
        <v>1.60476444598888</v>
      </c>
      <c r="H124" s="73" t="n">
        <f aca="false">IF(H49&gt;0,H7/H49,"N/M")</f>
        <v>1.52209829813054</v>
      </c>
      <c r="I124" s="73" t="n">
        <f aca="false">IF(I49&gt;0,I7/I49,"N/M")</f>
        <v>1.56171302515043</v>
      </c>
      <c r="J124" s="73" t="n">
        <f aca="false">IF(J49&gt;0,J7/J49,"N/M")</f>
        <v>1.48803082254019</v>
      </c>
      <c r="K124" s="60" t="n">
        <f aca="false">IF(COUNT(D124:J124)=0,"N/M",AVERAGE(D124:J124))</f>
        <v>1.43899305609338</v>
      </c>
      <c r="L124" s="60" t="n">
        <f aca="false">IF(COUNT(D124,J124)=2,J124-D124,"-")</f>
        <v>0.285689856389913</v>
      </c>
    </row>
    <row r="125" customFormat="false" ht="15" hidden="false" customHeight="false" outlineLevel="0" collapsed="false">
      <c r="A125" s="16" t="s">
        <v>709</v>
      </c>
      <c r="B125" s="87" t="s">
        <v>710</v>
      </c>
      <c r="C125" s="17" t="s">
        <v>692</v>
      </c>
      <c r="D125" s="73" t="n">
        <f aca="false">IF(D90&gt;0,D7/D90,"N/M")</f>
        <v>3.11034158478885</v>
      </c>
      <c r="E125" s="73" t="n">
        <f aca="false">IF(E90&gt;0,E7/E90,"N/M")</f>
        <v>1.55532588181315</v>
      </c>
      <c r="F125" s="73" t="n">
        <f aca="false">IF(F90&gt;0,F7/F90,"N/M")</f>
        <v>2.27587683765668</v>
      </c>
      <c r="G125" s="73" t="n">
        <f aca="false">IF(G90&gt;0,G7/G90,"N/M")</f>
        <v>2.24908466321694</v>
      </c>
      <c r="H125" s="73" t="n">
        <f aca="false">IF(H90&gt;0,H7/H90,"N/M")</f>
        <v>2.15875207973052</v>
      </c>
      <c r="I125" s="73" t="n">
        <f aca="false">IF(I90&gt;0,I7/I90,"N/M")</f>
        <v>2.22919451448346</v>
      </c>
      <c r="J125" s="73" t="n">
        <f aca="false">IF(J90&gt;0,J7/J90,"N/M")</f>
        <v>2.10395617271896</v>
      </c>
      <c r="K125" s="60" t="n">
        <f aca="false">IF(COUNT(D125:J125)=0,"N/M",AVERAGE(D125:J125))</f>
        <v>2.24036167634408</v>
      </c>
      <c r="L125" s="60" t="n">
        <f aca="false">IF(COUNT(D125,J125)=2,J125-D125,"-")</f>
        <v>-1.00638541206989</v>
      </c>
    </row>
    <row r="126" customFormat="false" ht="15" hidden="false" customHeight="false" outlineLevel="0" collapsed="false">
      <c r="A126" s="16" t="s">
        <v>711</v>
      </c>
      <c r="B126" s="87" t="s">
        <v>712</v>
      </c>
      <c r="C126" s="17" t="s">
        <v>692</v>
      </c>
      <c r="D126" s="73" t="n">
        <f aca="false">IF(D87&gt;0,D7/D87,"N/M")</f>
        <v>3.31509323644261</v>
      </c>
      <c r="E126" s="73" t="n">
        <f aca="false">IF(E87&gt;0,E7/E87,"N/M")</f>
        <v>2.84071706263499</v>
      </c>
      <c r="F126" s="73" t="n">
        <f aca="false">IF(F87&gt;0,F7/F87,"N/M")</f>
        <v>3.95428422855196</v>
      </c>
      <c r="G126" s="73" t="n">
        <f aca="false">IF(G87&gt;0,G7/G87,"N/M")</f>
        <v>4.39736101546493</v>
      </c>
      <c r="H126" s="73" t="n">
        <f aca="false">IF(H87&gt;0,H7/H87,"N/M")</f>
        <v>4.19006220072859</v>
      </c>
      <c r="I126" s="73" t="n">
        <f aca="false">IF(I87&gt;0,I7/I87,"N/M")</f>
        <v>4.12577445995168</v>
      </c>
      <c r="J126" s="73" t="n">
        <f aca="false">IF(J87&gt;0,J7/J87,"N/M")</f>
        <v>3.7172397094431</v>
      </c>
      <c r="K126" s="60" t="n">
        <f aca="false">IF(COUNT(D126:J126)=0,"N/M",AVERAGE(D126:J126))</f>
        <v>3.79150455903112</v>
      </c>
      <c r="L126" s="60" t="n">
        <f aca="false">IF(COUNT(D126,J126)=2,J126-D126,"-")</f>
        <v>0.402146473000493</v>
      </c>
    </row>
    <row r="127" customFormat="false" ht="15" hidden="false" customHeight="false" outlineLevel="0" collapsed="false">
      <c r="A127" s="16" t="s">
        <v>713</v>
      </c>
      <c r="B127" s="87" t="s">
        <v>714</v>
      </c>
      <c r="C127" s="17" t="s">
        <v>692</v>
      </c>
      <c r="D127" s="73" t="str">
        <f aca="false">IF(D94&gt;0,D7/D94,"N/M")</f>
        <v>N/M</v>
      </c>
      <c r="E127" s="73" t="n">
        <f aca="false">IF(E94&gt;0,E7/E94,"N/M")</f>
        <v>8.78756213587044</v>
      </c>
      <c r="F127" s="73" t="n">
        <f aca="false">IF(F94&gt;0,F7/F94,"N/M")</f>
        <v>19.6423354413468</v>
      </c>
      <c r="G127" s="73" t="n">
        <f aca="false">IF(G94&gt;0,G7/G94,"N/M")</f>
        <v>20.4540673073121</v>
      </c>
      <c r="H127" s="73" t="n">
        <f aca="false">IF(H94&gt;0,H7/H94,"N/M")</f>
        <v>22.2703559651645</v>
      </c>
      <c r="I127" s="73" t="n">
        <f aca="false">IF(I94&gt;0,I7/I94,"N/M")</f>
        <v>19.7438216208753</v>
      </c>
      <c r="J127" s="73" t="n">
        <f aca="false">IF(J94&gt;0,J7/J94,"N/M")</f>
        <v>13.8345498783455</v>
      </c>
      <c r="K127" s="60" t="n">
        <f aca="false">IF(COUNT(D127:J127)=0,"N/M",AVERAGE(D127:J127))</f>
        <v>17.4554487248191</v>
      </c>
      <c r="L127" s="60" t="str">
        <f aca="false">IF(COUNT(D127,J127)=2,J127-D127,"-")</f>
        <v>-</v>
      </c>
    </row>
    <row r="128" customFormat="false" ht="16.5" hidden="false" customHeight="true" outlineLevel="0" collapsed="false">
      <c r="A128" s="88" t="s">
        <v>715</v>
      </c>
      <c r="B128" s="89"/>
      <c r="C128" s="89"/>
      <c r="D128" s="89"/>
      <c r="E128" s="89"/>
      <c r="F128" s="89"/>
      <c r="G128" s="89"/>
      <c r="H128" s="89"/>
      <c r="I128" s="89"/>
      <c r="J128" s="89"/>
      <c r="K128" s="89"/>
      <c r="L128" s="89"/>
    </row>
    <row r="129" customFormat="false" ht="15" hidden="false" customHeight="false" outlineLevel="0" collapsed="false">
      <c r="A129" s="16" t="s">
        <v>716</v>
      </c>
      <c r="B129" s="87" t="s">
        <v>717</v>
      </c>
      <c r="C129" s="17" t="s">
        <v>615</v>
      </c>
      <c r="D129" s="71" t="n">
        <f aca="false">IF(D7&gt;0,D14/D7,"N/M")</f>
        <v>0.456938771010951</v>
      </c>
      <c r="E129" s="71" t="n">
        <f aca="false">IF(E7&gt;0,E14/E7,"N/M")</f>
        <v>0.497401258466058</v>
      </c>
      <c r="F129" s="71" t="n">
        <f aca="false">IF(F7&gt;0,F14/F7,"N/M")</f>
        <v>0.46106441687885</v>
      </c>
      <c r="G129" s="71" t="n">
        <f aca="false">IF(G7&gt;0,G14/G7,"N/M")</f>
        <v>0.397135079327639</v>
      </c>
      <c r="H129" s="71" t="n">
        <f aca="false">IF(H7&gt;0,H14/H7,"N/M")</f>
        <v>0.393571926201111</v>
      </c>
      <c r="I129" s="71" t="n">
        <f aca="false">IF(I7&gt;0,I14/I7,"N/M")</f>
        <v>0.384071829907451</v>
      </c>
      <c r="J129" s="71" t="n">
        <f aca="false">IF(J7&gt;0,J14/J7,"N/M")</f>
        <v>0.39087557483618</v>
      </c>
      <c r="K129" s="62" t="n">
        <f aca="false">IF(COUNT(D129:J129)=0,"N/M",AVERAGE(D129:J129))</f>
        <v>0.425865550946891</v>
      </c>
      <c r="L129" s="62" t="n">
        <f aca="false">IF(COUNT(D129,J129)=2,J129-D129,"-")</f>
        <v>-0.0660631961747709</v>
      </c>
    </row>
    <row r="130" customFormat="false" ht="15" hidden="false" customHeight="false" outlineLevel="0" collapsed="false">
      <c r="A130" s="16" t="s">
        <v>718</v>
      </c>
      <c r="B130" s="87" t="s">
        <v>719</v>
      </c>
      <c r="C130" s="17" t="s">
        <v>615</v>
      </c>
      <c r="D130" s="71" t="n">
        <f aca="false">IF(D7&gt;0,D21/D7,"N/M")</f>
        <v>0.149477344234724</v>
      </c>
      <c r="E130" s="71" t="n">
        <f aca="false">IF(E7&gt;0,E21/E7,"N/M")</f>
        <v>0.208717416890451</v>
      </c>
      <c r="F130" s="71" t="n">
        <f aca="false">IF(F7&gt;0,F21/F7,"N/M")</f>
        <v>0.226734444472156</v>
      </c>
      <c r="G130" s="71" t="n">
        <f aca="false">IF(G7&gt;0,G21/G7,"N/M")</f>
        <v>0.18127805855126</v>
      </c>
      <c r="H130" s="71" t="n">
        <f aca="false">IF(H7&gt;0,H21/H7,"N/M")</f>
        <v>0.16192625806072</v>
      </c>
      <c r="I130" s="71" t="n">
        <f aca="false">IF(I7&gt;0,I21/I7,"N/M")</f>
        <v>0.153187487107049</v>
      </c>
      <c r="J130" s="71" t="n">
        <f aca="false">IF(J7&gt;0,J21/J7,"N/M")</f>
        <v>0.154808431364886</v>
      </c>
      <c r="K130" s="62" t="n">
        <f aca="false">IF(COUNT(D130:J130)=0,"N/M",AVERAGE(D130:J130))</f>
        <v>0.176589920097321</v>
      </c>
      <c r="L130" s="62" t="n">
        <f aca="false">IF(COUNT(D130,J130)=2,J130-D130,"-")</f>
        <v>0.00533108713016164</v>
      </c>
    </row>
    <row r="131" customFormat="false" ht="15" hidden="false" customHeight="false" outlineLevel="0" collapsed="false">
      <c r="A131" s="16" t="s">
        <v>720</v>
      </c>
      <c r="B131" s="87" t="s">
        <v>721</v>
      </c>
      <c r="C131" s="17" t="s">
        <v>615</v>
      </c>
      <c r="D131" s="71" t="n">
        <f aca="false">IF(D7&gt;0,D23/D7,"N/M")</f>
        <v>0.0400865476374196</v>
      </c>
      <c r="E131" s="71" t="n">
        <f aca="false">IF(E7&gt;0,E23/E7,"N/M")</f>
        <v>0.0779439985645336</v>
      </c>
      <c r="F131" s="71" t="n">
        <f aca="false">IF(F7&gt;0,F23/F7,"N/M")</f>
        <v>0.137091343592208</v>
      </c>
      <c r="G131" s="71" t="n">
        <f aca="false">IF(G7&gt;0,G23/G7,"N/M")</f>
        <v>0.105009067673069</v>
      </c>
      <c r="H131" s="71" t="n">
        <f aca="false">IF(H7&gt;0,H23/H7,"N/M")</f>
        <v>0.0797558007756515</v>
      </c>
      <c r="I131" s="71" t="n">
        <f aca="false">IF(I7&gt;0,I23/I7,"N/M")</f>
        <v>0.0684104346366723</v>
      </c>
      <c r="J131" s="71" t="n">
        <f aca="false">IF(J7&gt;0,J23/J7,"N/M")</f>
        <v>0.0675131251547011</v>
      </c>
      <c r="K131" s="62" t="n">
        <f aca="false">IF(COUNT(D131:J131)=0,"N/M",AVERAGE(D131:J131))</f>
        <v>0.0822586168620365</v>
      </c>
      <c r="L131" s="62" t="n">
        <f aca="false">IF(COUNT(D131,J131)=2,J131-D131,"-")</f>
        <v>0.0274265775172814</v>
      </c>
    </row>
    <row r="132" customFormat="false" ht="15" hidden="false" customHeight="false" outlineLevel="0" collapsed="false">
      <c r="A132" s="16" t="s">
        <v>722</v>
      </c>
      <c r="B132" s="87" t="s">
        <v>723</v>
      </c>
      <c r="C132" s="17" t="s">
        <v>615</v>
      </c>
      <c r="D132" s="71" t="n">
        <f aca="false">IF(D7&gt;0,D26/D7,"N/M")</f>
        <v>-0.0123207553706462</v>
      </c>
      <c r="E132" s="71" t="n">
        <f aca="false">IF(E7&gt;0,E26/E7,"N/M")</f>
        <v>0.0425135259250699</v>
      </c>
      <c r="F132" s="71" t="n">
        <f aca="false">IF(F7&gt;0,F26/F7,"N/M")</f>
        <v>0.11615262703237</v>
      </c>
      <c r="G132" s="71" t="n">
        <f aca="false">IF(G7&gt;0,G26/G7,"N/M")</f>
        <v>0.0982556813128598</v>
      </c>
      <c r="H132" s="71" t="n">
        <f aca="false">IF(H7&gt;0,H26/H7,"N/M")</f>
        <v>0.0745468247836396</v>
      </c>
      <c r="I132" s="71" t="n">
        <f aca="false">IF(I7&gt;0,I26/I7,"N/M")</f>
        <v>0.0607043834284936</v>
      </c>
      <c r="J132" s="71" t="n">
        <f aca="false">IF(J7&gt;0,J26/J7,"N/M")</f>
        <v>0.0532089863342063</v>
      </c>
      <c r="K132" s="62" t="n">
        <f aca="false">IF(COUNT(D132:J132)=0,"N/M",AVERAGE(D132:J132))</f>
        <v>0.0618658962065705</v>
      </c>
      <c r="L132" s="62" t="n">
        <f aca="false">IF(COUNT(D132,J132)=2,J132-D132,"-")</f>
        <v>0.0655297417048525</v>
      </c>
    </row>
    <row r="133" customFormat="false" ht="15" hidden="false" customHeight="false" outlineLevel="0" collapsed="false">
      <c r="A133" s="16" t="s">
        <v>724</v>
      </c>
      <c r="B133" s="87" t="s">
        <v>725</v>
      </c>
      <c r="C133" s="17" t="s">
        <v>615</v>
      </c>
      <c r="D133" s="71" t="n">
        <f aca="false">IF(D7&gt;0,D30/D7,"N/M")</f>
        <v>-0.0131837121629666</v>
      </c>
      <c r="E133" s="71" t="n">
        <f aca="false">IF(E7&gt;0,E30/E7,"N/M")</f>
        <v>0.030962887720376</v>
      </c>
      <c r="F133" s="71" t="n">
        <f aca="false">IF(F7&gt;0,F30/F7,"N/M")</f>
        <v>0.0866593054286485</v>
      </c>
      <c r="G133" s="71" t="n">
        <f aca="false">IF(G7&gt;0,G30/G7,"N/M")</f>
        <v>0.0716384840552026</v>
      </c>
      <c r="H133" s="71" t="n">
        <f aca="false">IF(H7&gt;0,H30/H7,"N/M")</f>
        <v>0.0571411757782616</v>
      </c>
      <c r="I133" s="71" t="n">
        <f aca="false">IF(I7&gt;0,I30/I7,"N/M")</f>
        <v>0.0441279819865808</v>
      </c>
      <c r="J133" s="71" t="n">
        <f aca="false">IF(J7&gt;0,J30/J7,"N/M")</f>
        <v>0.040285757090189</v>
      </c>
      <c r="K133" s="62" t="n">
        <f aca="false">IF(COUNT(D133:J133)=0,"N/M",AVERAGE(D133:J133))</f>
        <v>0.0453759828423274</v>
      </c>
      <c r="L133" s="62" t="n">
        <f aca="false">IF(COUNT(D133,J133)=2,J133-D133,"-")</f>
        <v>0.0534694692531556</v>
      </c>
    </row>
    <row r="134" customFormat="false" ht="16.5" hidden="false" customHeight="true" outlineLevel="0" collapsed="false">
      <c r="A134" s="88" t="s">
        <v>726</v>
      </c>
      <c r="B134" s="89"/>
      <c r="C134" s="89"/>
      <c r="D134" s="89"/>
      <c r="E134" s="89"/>
      <c r="F134" s="89"/>
      <c r="G134" s="89"/>
      <c r="H134" s="89"/>
      <c r="I134" s="89"/>
      <c r="J134" s="89"/>
      <c r="K134" s="89"/>
      <c r="L134" s="89"/>
    </row>
    <row r="135" customFormat="false" ht="15" hidden="false" customHeight="false" outlineLevel="0" collapsed="false">
      <c r="A135" s="16" t="s">
        <v>727</v>
      </c>
      <c r="B135" s="87" t="s">
        <v>728</v>
      </c>
      <c r="C135" s="17" t="s">
        <v>615</v>
      </c>
      <c r="D135" s="71" t="n">
        <f aca="false">IF(D7&gt;0,D13/D7,"N/M")</f>
        <v>0.543061228989049</v>
      </c>
      <c r="E135" s="71" t="n">
        <f aca="false">IF(E7&gt;0,E13/E7,"N/M")</f>
        <v>0.502598741533942</v>
      </c>
      <c r="F135" s="71" t="n">
        <f aca="false">IF(F7&gt;0,F13/F7,"N/M")</f>
        <v>0.53893558312115</v>
      </c>
      <c r="G135" s="71" t="n">
        <f aca="false">IF(G7&gt;0,G13/G7,"N/M")</f>
        <v>0.602864920672361</v>
      </c>
      <c r="H135" s="71" t="n">
        <f aca="false">IF(H7&gt;0,H13/H7,"N/M")</f>
        <v>0.606428073798889</v>
      </c>
      <c r="I135" s="71" t="n">
        <f aca="false">IF(I7&gt;0,I13/I7,"N/M")</f>
        <v>0.61592817009255</v>
      </c>
      <c r="J135" s="71" t="n">
        <f aca="false">IF(J7&gt;0,J13/J7,"N/M")</f>
        <v>0.60912442516382</v>
      </c>
      <c r="K135" s="62" t="n">
        <f aca="false">IF(COUNT(D135:J135)=0,"N/M",AVERAGE(D135:J135))</f>
        <v>0.574134449053109</v>
      </c>
      <c r="L135" s="62" t="n">
        <f aca="false">IF(COUNT(D135,J135)=2,J135-D135,"-")</f>
        <v>0.066063196174771</v>
      </c>
    </row>
    <row r="136" customFormat="false" ht="15" hidden="false" customHeight="false" outlineLevel="0" collapsed="false">
      <c r="A136" s="16" t="s">
        <v>729</v>
      </c>
      <c r="B136" s="87" t="s">
        <v>730</v>
      </c>
      <c r="C136" s="17" t="s">
        <v>615</v>
      </c>
      <c r="D136" s="71" t="n">
        <f aca="false">IF(D7&gt;0,D19/D7,"N/M")</f>
        <v>0.307461426776226</v>
      </c>
      <c r="E136" s="71" t="n">
        <f aca="false">IF(E7&gt;0,E19/E7,"N/M")</f>
        <v>0.288683841575607</v>
      </c>
      <c r="F136" s="71" t="n">
        <f aca="false">IF(F7&gt;0,F19/F7,"N/M")</f>
        <v>0.234329972406694</v>
      </c>
      <c r="G136" s="71" t="n">
        <f aca="false">IF(G7&gt;0,G19/G7,"N/M")</f>
        <v>0.215857020776378</v>
      </c>
      <c r="H136" s="71" t="n">
        <f aca="false">IF(H7&gt;0,H19/H7,"N/M")</f>
        <v>0.231645668140392</v>
      </c>
      <c r="I136" s="71" t="n">
        <f aca="false">IF(I7&gt;0,I19/I7,"N/M")</f>
        <v>0.230884342800401</v>
      </c>
      <c r="J136" s="71" t="n">
        <f aca="false">IF(J7&gt;0,J19/J7,"N/M")</f>
        <v>0.236067143471294</v>
      </c>
      <c r="K136" s="62" t="n">
        <f aca="false">IF(COUNT(D136:J136)=0,"N/M",AVERAGE(D136:J136))</f>
        <v>0.24927563084957</v>
      </c>
      <c r="L136" s="62" t="n">
        <f aca="false">IF(COUNT(D136,J136)=2,J136-D136,"-")</f>
        <v>-0.0713942833049325</v>
      </c>
    </row>
    <row r="137" customFormat="false" ht="15" hidden="false" customHeight="false" outlineLevel="0" collapsed="false">
      <c r="A137" s="16" t="s">
        <v>731</v>
      </c>
      <c r="B137" s="87" t="s">
        <v>732</v>
      </c>
      <c r="C137" s="17" t="s">
        <v>615</v>
      </c>
      <c r="D137" s="71" t="n">
        <f aca="false">IF(D7&gt;0,D16/D7,"N/M")</f>
        <v>0.231133843338698</v>
      </c>
      <c r="E137" s="71" t="n">
        <f aca="false">IF(E7&gt;0,E16/E7,"N/M")</f>
        <v>0.221952903321949</v>
      </c>
      <c r="F137" s="71" t="n">
        <f aca="false">IF(F7&gt;0,F16/F7,"N/M")</f>
        <v>0.173751669315654</v>
      </c>
      <c r="G137" s="71" t="n">
        <f aca="false">IF(G7&gt;0,G16/G7,"N/M")</f>
        <v>0.162319081554922</v>
      </c>
      <c r="H137" s="71" t="n">
        <f aca="false">IF(H7&gt;0,H16/H7,"N/M")</f>
        <v>0.17251695669754</v>
      </c>
      <c r="I137" s="71" t="n">
        <f aca="false">IF(I7&gt;0,I16/I7,"N/M")</f>
        <v>0.169491169858291</v>
      </c>
      <c r="J137" s="71" t="n">
        <f aca="false">IF(J7&gt;0,J16/J7,"N/M")</f>
        <v>0.169977267101783</v>
      </c>
      <c r="K137" s="62" t="n">
        <f aca="false">IF(COUNT(D137:J137)=0,"N/M",AVERAGE(D137:J137))</f>
        <v>0.18587755588412</v>
      </c>
      <c r="L137" s="62" t="n">
        <f aca="false">IF(COUNT(D137,J137)=2,J137-D137,"-")</f>
        <v>-0.0611565762369145</v>
      </c>
    </row>
    <row r="138" customFormat="false" ht="15" hidden="false" customHeight="false" outlineLevel="0" collapsed="false">
      <c r="A138" s="16" t="s">
        <v>733</v>
      </c>
      <c r="B138" s="87" t="s">
        <v>734</v>
      </c>
      <c r="C138" s="17" t="s">
        <v>615</v>
      </c>
      <c r="D138" s="71" t="n">
        <f aca="false">IF(D7&gt;0,D17/D7,"N/M")</f>
        <v>0.0652319747537896</v>
      </c>
      <c r="E138" s="71" t="n">
        <f aca="false">IF(E7&gt;0,E17/E7,"N/M")</f>
        <v>0.0599915453464431</v>
      </c>
      <c r="F138" s="71" t="n">
        <f aca="false">IF(F7&gt;0,F17/F7,"N/M")</f>
        <v>0.0563928271008437</v>
      </c>
      <c r="G138" s="71" t="n">
        <f aca="false">IF(G7&gt;0,G17/G7,"N/M")</f>
        <v>0.0440178492020834</v>
      </c>
      <c r="H138" s="71" t="n">
        <f aca="false">IF(H7&gt;0,H17/H7,"N/M")</f>
        <v>0.0529402049800392</v>
      </c>
      <c r="I138" s="71" t="n">
        <f aca="false">IF(I7&gt;0,I17/I7,"N/M")</f>
        <v>0.0554475558461447</v>
      </c>
      <c r="J138" s="71" t="n">
        <f aca="false">IF(J7&gt;0,J17/J7,"N/M")</f>
        <v>0.0581919855134769</v>
      </c>
      <c r="K138" s="62" t="n">
        <f aca="false">IF(COUNT(D138:J138)=0,"N/M",AVERAGE(D138:J138))</f>
        <v>0.0560305632489744</v>
      </c>
      <c r="L138" s="62" t="n">
        <f aca="false">IF(COUNT(D138,J138)=2,J138-D138,"-")</f>
        <v>-0.00703998924031271</v>
      </c>
    </row>
    <row r="139" customFormat="false" ht="15" hidden="false" customHeight="false" outlineLevel="0" collapsed="false">
      <c r="A139" s="16" t="s">
        <v>735</v>
      </c>
      <c r="B139" s="87" t="s">
        <v>736</v>
      </c>
      <c r="C139" s="17" t="s">
        <v>615</v>
      </c>
      <c r="D139" s="71" t="n">
        <f aca="false">IF(D7&gt;0,D25/D7,"N/M")</f>
        <v>0.0369685650666272</v>
      </c>
      <c r="E139" s="71" t="n">
        <f aca="false">IF(E7&gt;0,E25/E7,"N/M")</f>
        <v>0.0337425831703734</v>
      </c>
      <c r="F139" s="71" t="n">
        <f aca="false">IF(F7&gt;0,F25/F7,"N/M")</f>
        <v>0.019718897446769</v>
      </c>
      <c r="G139" s="71" t="n">
        <f aca="false">IF(G7&gt;0,G25/G7,"N/M")</f>
        <v>0.0129248175831654</v>
      </c>
      <c r="H139" s="71" t="n">
        <f aca="false">IF(H7&gt;0,H25/H7,"N/M")</f>
        <v>0.014818245843165</v>
      </c>
      <c r="I139" s="71" t="n">
        <f aca="false">IF(I7&gt;0,I25/I7,"N/M")</f>
        <v>0.0144033929002234</v>
      </c>
      <c r="J139" s="71" t="n">
        <f aca="false">IF(J7&gt;0,J25/J7,"N/M")</f>
        <v>0.0139458839775407</v>
      </c>
      <c r="K139" s="62" t="n">
        <f aca="false">IF(COUNT(D139:J139)=0,"N/M",AVERAGE(D139:J139))</f>
        <v>0.0209317694268377</v>
      </c>
      <c r="L139" s="62" t="n">
        <f aca="false">IF(COUNT(D139,J139)=2,J139-D139,"-")</f>
        <v>-0.0230226810890865</v>
      </c>
    </row>
    <row r="140" customFormat="false" ht="15" hidden="false" customHeight="false" outlineLevel="0" collapsed="false">
      <c r="A140" s="16" t="s">
        <v>737</v>
      </c>
      <c r="B140" s="87" t="s">
        <v>738</v>
      </c>
      <c r="C140" s="17" t="s">
        <v>615</v>
      </c>
      <c r="D140" s="71" t="n">
        <f aca="false">IF(D7&gt;0,D20/D7,"N/M")</f>
        <v>0.850522655765276</v>
      </c>
      <c r="E140" s="71" t="n">
        <f aca="false">IF(E7&gt;0,E20/E7,"N/M")</f>
        <v>0.791282583109549</v>
      </c>
      <c r="F140" s="71" t="n">
        <f aca="false">IF(F7&gt;0,F20/F7,"N/M")</f>
        <v>0.773265555527844</v>
      </c>
      <c r="G140" s="71" t="n">
        <f aca="false">IF(G7&gt;0,G20/G7,"N/M")</f>
        <v>0.81872194144874</v>
      </c>
      <c r="H140" s="71" t="n">
        <f aca="false">IF(H7&gt;0,H20/H7,"N/M")</f>
        <v>0.838073741939281</v>
      </c>
      <c r="I140" s="71" t="n">
        <f aca="false">IF(I7&gt;0,I20/I7,"N/M")</f>
        <v>0.846812512892951</v>
      </c>
      <c r="J140" s="71" t="n">
        <f aca="false">IF(J7&gt;0,J20/J7,"N/M")</f>
        <v>0.845191568635114</v>
      </c>
      <c r="K140" s="62" t="n">
        <f aca="false">IF(COUNT(D140:J140)=0,"N/M",AVERAGE(D140:J140))</f>
        <v>0.823410079902679</v>
      </c>
      <c r="L140" s="62" t="n">
        <f aca="false">IF(COUNT(D140,J140)=2,J140-D140,"-")</f>
        <v>-0.00533108713016173</v>
      </c>
    </row>
    <row r="141" customFormat="false" ht="16.5" hidden="false" customHeight="true" outlineLevel="0" collapsed="false">
      <c r="A141" s="88" t="s">
        <v>739</v>
      </c>
      <c r="B141" s="89"/>
      <c r="C141" s="89"/>
      <c r="D141" s="89"/>
      <c r="E141" s="89"/>
      <c r="F141" s="89"/>
      <c r="G141" s="89"/>
      <c r="H141" s="89"/>
      <c r="I141" s="89"/>
      <c r="J141" s="89"/>
      <c r="K141" s="89"/>
      <c r="L141" s="89"/>
    </row>
    <row r="142" customFormat="false" ht="15" hidden="false" customHeight="false" outlineLevel="0" collapsed="false">
      <c r="A142" s="16" t="s">
        <v>740</v>
      </c>
      <c r="B142" s="87" t="s">
        <v>741</v>
      </c>
      <c r="C142" s="17" t="s">
        <v>615</v>
      </c>
      <c r="D142" s="71" t="n">
        <f aca="false">IF(D49&gt;0,D30/D49,"N/M")</f>
        <v>-0.0158513172194684</v>
      </c>
      <c r="E142" s="71" t="n">
        <f aca="false">IF(E49&gt;0,E30/E49,"N/M")</f>
        <v>0.0351380361216664</v>
      </c>
      <c r="F142" s="71" t="n">
        <f aca="false">IF(F49&gt;0,F30/F49,"N/M")</f>
        <v>0.135115739758764</v>
      </c>
      <c r="G142" s="71" t="n">
        <f aca="false">IF(G49&gt;0,G30/G49,"N/M")</f>
        <v>0.11496289217633</v>
      </c>
      <c r="H142" s="71" t="n">
        <f aca="false">IF(H49&gt;0,H30/H49,"N/M")</f>
        <v>0.0869744864052703</v>
      </c>
      <c r="I142" s="71" t="n">
        <f aca="false">IF(I49&gt;0,I30/I49,"N/M")</f>
        <v>0.068915244242047</v>
      </c>
      <c r="J142" s="71" t="n">
        <f aca="false">IF(J49&gt;0,J30/J49,"N/M")</f>
        <v>0.0599464482595684</v>
      </c>
      <c r="K142" s="62" t="n">
        <f aca="false">IF(COUNT(D142:J142)=0,"N/M",AVERAGE(D142:J142))</f>
        <v>0.0693145042491683</v>
      </c>
      <c r="L142" s="62" t="n">
        <f aca="false">IF(COUNT(D142,J142)=2,J142-D142,"-")</f>
        <v>0.0757977654790368</v>
      </c>
    </row>
    <row r="143" customFormat="false" ht="15" hidden="false" customHeight="false" outlineLevel="0" collapsed="false">
      <c r="A143" s="16" t="s">
        <v>742</v>
      </c>
      <c r="B143" s="87" t="s">
        <v>743</v>
      </c>
      <c r="C143" s="17" t="s">
        <v>615</v>
      </c>
      <c r="D143" s="71" t="n">
        <f aca="false">IF(D49&gt;0,(D30+D25*(1-D77))/D49,"N/M")</f>
        <v>0.0285975030199296</v>
      </c>
      <c r="E143" s="71" t="n">
        <f aca="false">IF(E49&gt;0,(E30+E25*(1-E77))/E49,"N/M")</f>
        <v>0.0630267628381618</v>
      </c>
      <c r="F143" s="71" t="n">
        <f aca="false">IF(F49&gt;0,(F30+F25*(1-F77))/F49,"N/M")</f>
        <v>0.158053950316884</v>
      </c>
      <c r="G143" s="71" t="n">
        <f aca="false">IF(G49&gt;0,(G30+G25*(1-G77))/G49,"N/M")</f>
        <v>0.130085421381344</v>
      </c>
      <c r="H143" s="71" t="n">
        <f aca="false">IF(H49&gt;0,(H30+H25*(1-H77))/H49,"N/M")</f>
        <v>0.104263074153667</v>
      </c>
      <c r="I143" s="71" t="n">
        <f aca="false">IF(I49&gt;0,(I30+I25*(1-I77))/I49,"N/M")</f>
        <v>0.0852668367230464</v>
      </c>
      <c r="J143" s="71" t="n">
        <f aca="false">IF(J49&gt;0,(J30+J25*(1-J77))/J49,"N/M")</f>
        <v>0.0756581967796891</v>
      </c>
      <c r="K143" s="62" t="n">
        <f aca="false">IF(COUNT(D143:J143)=0,"N/M",AVERAGE(D143:J143))</f>
        <v>0.0921359636018174</v>
      </c>
      <c r="L143" s="62" t="n">
        <f aca="false">IF(COUNT(D143,J143)=2,J143-D143,"-")</f>
        <v>0.0470606937597595</v>
      </c>
    </row>
    <row r="144" customFormat="false" ht="15" hidden="false" customHeight="false" outlineLevel="0" collapsed="false">
      <c r="A144" s="16" t="s">
        <v>744</v>
      </c>
      <c r="B144" s="87" t="s">
        <v>745</v>
      </c>
      <c r="C144" s="17" t="s">
        <v>615</v>
      </c>
      <c r="D144" s="71" t="n">
        <f aca="false">IF(D49&gt;0,D23/D49,"N/M")</f>
        <v>0.0481976984160044</v>
      </c>
      <c r="E144" s="71" t="n">
        <f aca="false">IF(E49&gt;0,E23/E49,"N/M")</f>
        <v>0.0884542508360858</v>
      </c>
      <c r="F144" s="71" t="n">
        <f aca="false">IF(F49&gt;0,F23/F49,"N/M")</f>
        <v>0.213747366337193</v>
      </c>
      <c r="G144" s="71" t="n">
        <f aca="false">IF(G49&gt;0,G23/G49,"N/M")</f>
        <v>0.168514818308181</v>
      </c>
      <c r="H144" s="71" t="n">
        <f aca="false">IF(H49&gt;0,H23/H49,"N/M")</f>
        <v>0.121396168626658</v>
      </c>
      <c r="I144" s="71" t="n">
        <f aca="false">IF(I49&gt;0,I23/I49,"N/M")</f>
        <v>0.106837466828293</v>
      </c>
      <c r="J144" s="71" t="n">
        <f aca="false">IF(J49&gt;0,J23/J49,"N/M")</f>
        <v>0.100461611156209</v>
      </c>
      <c r="K144" s="62" t="n">
        <f aca="false">IF(COUNT(D144:J144)=0,"N/M",AVERAGE(D144:J144))</f>
        <v>0.121087054358375</v>
      </c>
      <c r="L144" s="62" t="n">
        <f aca="false">IF(COUNT(D144,J144)=2,J144-D144,"-")</f>
        <v>0.0522639127402045</v>
      </c>
    </row>
    <row r="145" customFormat="false" ht="15" hidden="false" customHeight="false" outlineLevel="0" collapsed="false">
      <c r="A145" s="16" t="s">
        <v>746</v>
      </c>
      <c r="B145" s="87" t="s">
        <v>747</v>
      </c>
      <c r="C145" s="17" t="s">
        <v>615</v>
      </c>
      <c r="D145" s="71" t="n">
        <f aca="false">IF(D90&gt;0,D23/D90,"N/M")</f>
        <v>0.124682856107285</v>
      </c>
      <c r="E145" s="71" t="n">
        <f aca="false">IF(E90&gt;0,E23/E90,"N/M")</f>
        <v>0.121228318299426</v>
      </c>
      <c r="F145" s="71" t="n">
        <f aca="false">IF(F90&gt;0,F23/F90,"N/M")</f>
        <v>0.31200301352474</v>
      </c>
      <c r="G145" s="71" t="n">
        <f aca="false">IF(G90&gt;0,G23/G90,"N/M")</f>
        <v>0.236174283602209</v>
      </c>
      <c r="H145" s="71" t="n">
        <f aca="false">IF(H90&gt;0,H23/H90,"N/M")</f>
        <v>0.17217300079501</v>
      </c>
      <c r="I145" s="71" t="n">
        <f aca="false">IF(I90&gt;0,I23/I90,"N/M")</f>
        <v>0.152500165625499</v>
      </c>
      <c r="J145" s="71" t="n">
        <f aca="false">IF(J90&gt;0,J23/J90,"N/M")</f>
        <v>0.142044656408781</v>
      </c>
      <c r="K145" s="62" t="n">
        <f aca="false">IF(COUNT(D145:J145)=0,"N/M",AVERAGE(D145:J145))</f>
        <v>0.180115184908993</v>
      </c>
      <c r="L145" s="62" t="n">
        <f aca="false">IF(COUNT(D145,J145)=2,J145-D145,"-")</f>
        <v>0.0173618003014954</v>
      </c>
    </row>
    <row r="146" customFormat="false" ht="15" hidden="false" customHeight="false" outlineLevel="0" collapsed="false">
      <c r="A146" s="16" t="s">
        <v>748</v>
      </c>
      <c r="B146" s="87" t="s">
        <v>749</v>
      </c>
      <c r="C146" s="17" t="s">
        <v>615</v>
      </c>
      <c r="D146" s="71" t="n">
        <f aca="false">IF(D90&gt;0,D23*(1-D77)/D90,"N/M")</f>
        <v>0.124682856107285</v>
      </c>
      <c r="E146" s="71" t="n">
        <f aca="false">IF(E90&gt;0,E23*(1-E77)/E90,"N/M")</f>
        <v>0.0882914020034665</v>
      </c>
      <c r="F146" s="71" t="n">
        <f aca="false">IF(F90&gt;0,F23*(1-F77)/F90,"N/M")</f>
        <v>0.232779620526051</v>
      </c>
      <c r="G146" s="71" t="n">
        <f aca="false">IF(G90&gt;0,G23*(1-G77)/G90,"N/M")</f>
        <v>0.172195311497691</v>
      </c>
      <c r="H146" s="71" t="n">
        <f aca="false">IF(H90&gt;0,H23*(1-H77)/H90,"N/M")</f>
        <v>0.131972994574245</v>
      </c>
      <c r="I146" s="71" t="n">
        <f aca="false">IF(I90&gt;0,I23*(1-I77)/I90,"N/M")</f>
        <v>0.110857308510507</v>
      </c>
      <c r="J146" s="71" t="n">
        <f aca="false">IF(J90&gt;0,J23*(1-J77)/J90,"N/M")</f>
        <v>0.107545302368686</v>
      </c>
      <c r="K146" s="62" t="n">
        <f aca="false">IF(COUNT(D146:J146)=0,"N/M",AVERAGE(D146:J146))</f>
        <v>0.138332113655419</v>
      </c>
      <c r="L146" s="62" t="n">
        <f aca="false">IF(COUNT(D146,J146)=2,J146-D146,"-")</f>
        <v>-0.0171375537385989</v>
      </c>
    </row>
    <row r="147" customFormat="false" ht="15" hidden="false" customHeight="false" outlineLevel="0" collapsed="false">
      <c r="A147" s="16" t="s">
        <v>750</v>
      </c>
      <c r="B147" s="87" t="s">
        <v>751</v>
      </c>
      <c r="C147" s="17" t="s">
        <v>615</v>
      </c>
      <c r="D147" s="71" t="n">
        <f aca="false">IF(D40&gt;0,D30/D40,"N/M")</f>
        <v>-0.0852841105881874</v>
      </c>
      <c r="E147" s="71" t="n">
        <f aca="false">IF(E40&gt;0,E30/E40,"N/M")</f>
        <v>0.171987972160281</v>
      </c>
      <c r="F147" s="71" t="n">
        <f aca="false">IF(F40&gt;0,F30/F40,"N/M")</f>
        <v>0.438319246780353</v>
      </c>
      <c r="G147" s="71" t="n">
        <f aca="false">IF(G40&gt;0,G30/G40,"N/M")</f>
        <v>0.314125606158229</v>
      </c>
      <c r="H147" s="71" t="n">
        <f aca="false">IF(H40&gt;0,H30/H40,"N/M")</f>
        <v>0.220154029562559</v>
      </c>
      <c r="I147" s="71" t="n">
        <f aca="false">IF(I40&gt;0,I30/I40,"N/M")</f>
        <v>0.161907327586207</v>
      </c>
      <c r="J147" s="71" t="n">
        <f aca="false">IF(J40&gt;0,J30/J40,"N/M")</f>
        <v>0.139231102581564</v>
      </c>
      <c r="K147" s="62" t="n">
        <f aca="false">IF(COUNT(D147:J147)=0,"N/M",AVERAGE(D147:J147))</f>
        <v>0.194348739177286</v>
      </c>
      <c r="L147" s="62" t="n">
        <f aca="false">IF(COUNT(D147,J147)=2,J147-D147,"-")</f>
        <v>0.224515213169751</v>
      </c>
    </row>
    <row r="148" customFormat="false" ht="15" hidden="false" customHeight="false" outlineLevel="0" collapsed="false">
      <c r="A148" s="16" t="s">
        <v>752</v>
      </c>
      <c r="B148" s="87" t="s">
        <v>753</v>
      </c>
      <c r="C148" s="17" t="s">
        <v>615</v>
      </c>
      <c r="D148" s="71" t="n">
        <f aca="false">IF(D39&gt;0,(D30-D32)/D39,"N/M")</f>
        <v>-0.0852841105881874</v>
      </c>
      <c r="E148" s="71" t="n">
        <f aca="false">IF(E39&gt;0,(E30-E32)/E39,"N/M")</f>
        <v>0.171987972160281</v>
      </c>
      <c r="F148" s="71" t="n">
        <f aca="false">IF(F39&gt;0,(F30-F32)/F39,"N/M")</f>
        <v>0.438319246780353</v>
      </c>
      <c r="G148" s="71" t="n">
        <f aca="false">IF(G39&gt;0,(G30-G32)/G39,"N/M")</f>
        <v>0.314125606158229</v>
      </c>
      <c r="H148" s="71" t="n">
        <f aca="false">IF(H39&gt;0,(H30-H32)/H39,"N/M")</f>
        <v>0.220154029562559</v>
      </c>
      <c r="I148" s="71" t="n">
        <f aca="false">IF(I39&gt;0,(I30-I32)/I39,"N/M")</f>
        <v>0.161907327586207</v>
      </c>
      <c r="J148" s="71" t="n">
        <f aca="false">IF(J39&gt;0,(J30-J32)/J39,"N/M")</f>
        <v>0.139231102581564</v>
      </c>
      <c r="K148" s="62" t="n">
        <f aca="false">IF(COUNT(D148:J148)=0,"N/M",AVERAGE(D148:J148))</f>
        <v>0.194348739177286</v>
      </c>
      <c r="L148" s="62" t="n">
        <f aca="false">IF(COUNT(D148,J148)=2,J148-D148,"-")</f>
        <v>0.224515213169751</v>
      </c>
    </row>
    <row r="149" customFormat="false" ht="16.5" hidden="false" customHeight="true" outlineLevel="0" collapsed="false">
      <c r="A149" s="88" t="s">
        <v>754</v>
      </c>
      <c r="B149" s="89"/>
      <c r="C149" s="89"/>
      <c r="D149" s="89"/>
      <c r="E149" s="89"/>
      <c r="F149" s="89"/>
      <c r="G149" s="89"/>
      <c r="H149" s="89"/>
      <c r="I149" s="89"/>
      <c r="J149" s="89"/>
      <c r="K149" s="89"/>
      <c r="L149" s="89"/>
    </row>
    <row r="150" customFormat="false" ht="15" hidden="false" customHeight="false" outlineLevel="0" collapsed="false">
      <c r="A150" s="16" t="s">
        <v>755</v>
      </c>
      <c r="B150" s="87" t="s">
        <v>756</v>
      </c>
      <c r="C150" s="17" t="s">
        <v>757</v>
      </c>
      <c r="D150" s="93" t="n">
        <f aca="false">IF(D81&gt;0,(D30-D32)/D81,"N/M")</f>
        <v>-17.662447257384</v>
      </c>
      <c r="E150" s="93" t="n">
        <f aca="false">IF(E81&gt;0,(E30-E32)/E81,"N/M")</f>
        <v>42.957805907173</v>
      </c>
      <c r="F150" s="93" t="n">
        <f aca="false">IF(F81&gt;0,(F30-F32)/F81,"N/M")</f>
        <v>161.270042194093</v>
      </c>
      <c r="G150" s="93" t="n">
        <f aca="false">IF(G81&gt;0,(G30-G32)/G81,"N/M")</f>
        <v>156.341772151899</v>
      </c>
      <c r="H150" s="93" t="n">
        <f aca="false">IF(H81&gt;0,(H30-H32)/H81,"N/M")</f>
        <v>127.008438818565</v>
      </c>
      <c r="I150" s="93" t="n">
        <f aca="false">IF(I81&gt;0,(I30-I32)/I81,"N/M")</f>
        <v>106.506329113924</v>
      </c>
      <c r="J150" s="93" t="n">
        <f aca="false">IF(J81&gt;0,(J30-J32)/J81,"N/M")</f>
        <v>104.383966244726</v>
      </c>
      <c r="K150" s="66" t="n">
        <f aca="false">IF(COUNT(D150:J150)=0,"N/M",AVERAGE(D150:J150))</f>
        <v>97.2579867389994</v>
      </c>
      <c r="L150" s="66" t="n">
        <f aca="false">IF(COUNT(D150,J150)=2,J150-D150,"-")</f>
        <v>122.04641350211</v>
      </c>
    </row>
    <row r="151" customFormat="false" ht="15" hidden="false" customHeight="false" outlineLevel="0" collapsed="false">
      <c r="A151" s="16" t="s">
        <v>759</v>
      </c>
      <c r="B151" s="87" t="s">
        <v>760</v>
      </c>
      <c r="C151" s="17" t="s">
        <v>757</v>
      </c>
      <c r="D151" s="93" t="n">
        <f aca="false">IF(D81&gt;0,(D30+D22)/D81,"N/M")</f>
        <v>128.89029535865</v>
      </c>
      <c r="E151" s="93" t="n">
        <f aca="false">IF(E81&gt;0,(E30+E22)/E81,"N/M")</f>
        <v>224.392405063291</v>
      </c>
      <c r="F151" s="93" t="n">
        <f aca="false">IF(F81&gt;0,(F30+F22)/F81,"N/M")</f>
        <v>328.092827004219</v>
      </c>
      <c r="G151" s="93" t="n">
        <f aca="false">IF(G81&gt;0,(G30+G22)/G81,"N/M")</f>
        <v>322.789029535865</v>
      </c>
      <c r="H151" s="93" t="n">
        <f aca="false">IF(H81&gt;0,(H30+H22)/H81,"N/M")</f>
        <v>309.649789029536</v>
      </c>
      <c r="I151" s="93" t="n">
        <f aca="false">IF(I81&gt;0,(I30+I22)/I81,"N/M")</f>
        <v>311.122362869198</v>
      </c>
      <c r="J151" s="93" t="n">
        <f aca="false">IF(J81&gt;0,(J30+J22)/J81,"N/M")</f>
        <v>330.573839662447</v>
      </c>
      <c r="K151" s="66" t="n">
        <f aca="false">IF(COUNT(D151:J151)=0,"N/M",AVERAGE(D151:J151))</f>
        <v>279.35864978903</v>
      </c>
      <c r="L151" s="66" t="n">
        <f aca="false">IF(COUNT(D151,J151)=2,J151-D151,"-")</f>
        <v>201.683544303797</v>
      </c>
    </row>
    <row r="152" customFormat="false" ht="15" hidden="false" customHeight="false" outlineLevel="0" collapsed="false">
      <c r="A152" s="16" t="s">
        <v>761</v>
      </c>
      <c r="B152" s="87" t="s">
        <v>762</v>
      </c>
      <c r="C152" s="17" t="s">
        <v>757</v>
      </c>
      <c r="D152" s="93" t="n">
        <f aca="false">IF(D81&gt;0,D39/D81,"N/M")</f>
        <v>207.101265822785</v>
      </c>
      <c r="E152" s="93" t="n">
        <f aca="false">IF(E81&gt;0,E39/E81,"N/M")</f>
        <v>249.772151898734</v>
      </c>
      <c r="F152" s="93" t="n">
        <f aca="false">IF(F81&gt;0,F39/F81,"N/M")</f>
        <v>367.928270042194</v>
      </c>
      <c r="G152" s="93" t="n">
        <f aca="false">IF(G81&gt;0,G39/G81,"N/M")</f>
        <v>497.704641350211</v>
      </c>
      <c r="H152" s="93" t="n">
        <f aca="false">IF(H81&gt;0,H39/H81,"N/M")</f>
        <v>576.907172995781</v>
      </c>
      <c r="I152" s="93" t="n">
        <f aca="false">IF(I81&gt;0,I39/I81,"N/M")</f>
        <v>657.822784810127</v>
      </c>
      <c r="J152" s="93" t="n">
        <f aca="false">IF(J81&gt;0,J39/J81,"N/M")</f>
        <v>749.717299578059</v>
      </c>
      <c r="K152" s="66" t="n">
        <f aca="false">IF(COUNT(D152:J152)=0,"N/M",AVERAGE(D152:J152))</f>
        <v>472.42194092827</v>
      </c>
      <c r="L152" s="66" t="n">
        <f aca="false">IF(COUNT(D152,J152)=2,J152-D152,"-")</f>
        <v>542.616033755274</v>
      </c>
    </row>
    <row r="153" customFormat="false" ht="15" hidden="false" customHeight="false" outlineLevel="0" collapsed="false">
      <c r="A153" s="16" t="s">
        <v>763</v>
      </c>
      <c r="B153" s="87" t="s">
        <v>764</v>
      </c>
      <c r="C153" s="17" t="s">
        <v>757</v>
      </c>
      <c r="D153" s="93" t="n">
        <f aca="false">IF(D81&gt;0,D31/D81,"N/M")</f>
        <v>0</v>
      </c>
      <c r="E153" s="93" t="n">
        <f aca="false">IF(E81&gt;0,E31/E81,"N/M")</f>
        <v>15.0379746835443</v>
      </c>
      <c r="F153" s="93" t="n">
        <f aca="false">IF(F81&gt;0,F31/F81,"N/M")</f>
        <v>60.1518987341772</v>
      </c>
      <c r="G153" s="93" t="n">
        <f aca="false">IF(G81&gt;0,G31/G81,"N/M")</f>
        <v>30.0759493670886</v>
      </c>
      <c r="H153" s="93" t="n">
        <f aca="false">IF(H81&gt;0,H31/H81,"N/M")</f>
        <v>25.0632911392405</v>
      </c>
      <c r="I153" s="93" t="n">
        <f aca="false">IF(I81&gt;0,I31/I81,"N/M")</f>
        <v>25.0632911392405</v>
      </c>
      <c r="J153" s="93" t="n">
        <f aca="false">IF(J81&gt;0,J31/J81,"N/M")</f>
        <v>25.0632911392405</v>
      </c>
      <c r="K153" s="66" t="n">
        <f aca="false">IF(COUNT(D153:J153)=0,"N/M",AVERAGE(D153:J153))</f>
        <v>25.7793851717902</v>
      </c>
      <c r="L153" s="66" t="n">
        <f aca="false">IF(COUNT(D153,J153)=2,J153-D153,"-")</f>
        <v>25.0632911392405</v>
      </c>
    </row>
    <row r="154" customFormat="false" ht="15" hidden="false" customHeight="false" outlineLevel="0" collapsed="false">
      <c r="A154" s="16" t="s">
        <v>765</v>
      </c>
      <c r="B154" s="87" t="s">
        <v>812</v>
      </c>
      <c r="C154" s="17" t="s">
        <v>615</v>
      </c>
      <c r="D154" s="71" t="n">
        <f aca="false">IF(D31=0,0,IF(D150&gt;0,D153/D150,"N/M"))</f>
        <v>0</v>
      </c>
      <c r="E154" s="71" t="n">
        <f aca="false">IF(E31=0,0,IF(E150&gt;0,E153/E150,"N/M"))</f>
        <v>0.350063844416069</v>
      </c>
      <c r="F154" s="71" t="n">
        <f aca="false">IF(F31=0,0,IF(F150&gt;0,F153/F150,"N/M"))</f>
        <v>0.372988671149368</v>
      </c>
      <c r="G154" s="71" t="n">
        <f aca="false">IF(G31=0,0,IF(G150&gt;0,G153/G150,"N/M"))</f>
        <v>0.192373087199417</v>
      </c>
      <c r="H154" s="71" t="n">
        <f aca="false">IF(H31=0,0,IF(H150&gt;0,H153/H150,"N/M"))</f>
        <v>0.197335636689811</v>
      </c>
      <c r="I154" s="71" t="n">
        <f aca="false">IF(I31=0,0,IF(I150&gt;0,I153/I150,"N/M"))</f>
        <v>0.235322082243879</v>
      </c>
      <c r="J154" s="71" t="n">
        <f aca="false">IF(J31=0,0,IF(J150&gt;0,J153/J150,"N/M"))</f>
        <v>0.240106714095153</v>
      </c>
      <c r="K154" s="62" t="n">
        <f aca="false">IF(COUNT(D154:J154)=0,"N/M",AVERAGE(D154:J154))</f>
        <v>0.226884290827671</v>
      </c>
      <c r="L154" s="62" t="n">
        <f aca="false">IF(COUNT(D154,J154)=2,J154-D154,"-")</f>
        <v>0.240106714095153</v>
      </c>
    </row>
    <row r="155" customFormat="false" ht="15" hidden="false" customHeight="false" outlineLevel="0" collapsed="false">
      <c r="A155" s="16" t="s">
        <v>767</v>
      </c>
      <c r="B155" s="87" t="s">
        <v>768</v>
      </c>
      <c r="C155" s="17" t="s">
        <v>615</v>
      </c>
      <c r="D155" s="71" t="n">
        <f aca="false">IF(ISNUMBER(D154),1-D154,"N/M")</f>
        <v>1</v>
      </c>
      <c r="E155" s="71" t="n">
        <f aca="false">IF(ISNUMBER(E154),1-E154,"N/M")</f>
        <v>0.649936155583931</v>
      </c>
      <c r="F155" s="71" t="n">
        <f aca="false">IF(ISNUMBER(F154),1-F154,"N/M")</f>
        <v>0.627011328850632</v>
      </c>
      <c r="G155" s="71" t="n">
        <f aca="false">IF(ISNUMBER(G154),1-G154,"N/M")</f>
        <v>0.807626912800583</v>
      </c>
      <c r="H155" s="71" t="n">
        <f aca="false">IF(ISNUMBER(H154),1-H154,"N/M")</f>
        <v>0.802664363310189</v>
      </c>
      <c r="I155" s="71" t="n">
        <f aca="false">IF(ISNUMBER(I154),1-I154,"N/M")</f>
        <v>0.764677917756121</v>
      </c>
      <c r="J155" s="71" t="n">
        <f aca="false">IF(ISNUMBER(J154),1-J154,"N/M")</f>
        <v>0.759893285904847</v>
      </c>
      <c r="K155" s="62" t="n">
        <f aca="false">IF(COUNT(D155:J155)=0,"N/M",AVERAGE(D155:J155))</f>
        <v>0.773115709172329</v>
      </c>
      <c r="L155" s="62" t="n">
        <f aca="false">IF(COUNT(D155,J155)=2,J155-D155,"-")</f>
        <v>-0.240106714095153</v>
      </c>
    </row>
    <row r="156" customFormat="false" ht="15" hidden="false" customHeight="false" outlineLevel="0" collapsed="false">
      <c r="A156" s="16" t="s">
        <v>769</v>
      </c>
      <c r="B156" s="87" t="s">
        <v>813</v>
      </c>
      <c r="C156" s="17" t="s">
        <v>615</v>
      </c>
      <c r="D156" s="71" t="n">
        <f aca="false">IF(D84=0,"N/C",IF(D80&gt;0,D150/D80,"N/M"))</f>
        <v>-0.00803185341733202</v>
      </c>
      <c r="E156" s="71" t="n">
        <f aca="false">IF(E84=0,"N/C",IF(E80&gt;0,E150/E80,"N/M"))</f>
        <v>0.00770633453356409</v>
      </c>
      <c r="F156" s="71" t="n">
        <f aca="false">IF(F84=0,"N/C",IF(F80&gt;0,F150/F80,"N/M"))</f>
        <v>0.0235010444379165</v>
      </c>
      <c r="G156" s="71" t="n">
        <f aca="false">IF(G84=0,"N/C",IF(G80&gt;0,G150/G80,"N/M"))</f>
        <v>0.0251638548760088</v>
      </c>
      <c r="H156" s="71" t="n">
        <f aca="false">IF(H84=0,"N/C",IF(H80&gt;0,H150/H80,"N/M"))</f>
        <v>0.0205384000224073</v>
      </c>
      <c r="I156" s="71" t="n">
        <f aca="false">IF(I84=0,"N/C",IF(I80&gt;0,I150/I80,"N/M"))</f>
        <v>0.0173562012733519</v>
      </c>
      <c r="J156" s="71" t="n">
        <f aca="false">IF(J84=0,"N/C",IF(J80&gt;0,J150/J80,"N/M"))</f>
        <v>0.021989459920945</v>
      </c>
      <c r="K156" s="62" t="n">
        <f aca="false">IF(COUNT(D156:J156)=0,"N/M",AVERAGE(D156:J156))</f>
        <v>0.0154604916638374</v>
      </c>
      <c r="L156" s="62" t="n">
        <f aca="false">IF(COUNT(D156,J156)=2,J156-D156,"-")</f>
        <v>0.030021313338277</v>
      </c>
    </row>
    <row r="157" customFormat="false" ht="15" hidden="false" customHeight="false" outlineLevel="0" collapsed="false">
      <c r="A157" s="16" t="s">
        <v>771</v>
      </c>
      <c r="B157" s="87" t="s">
        <v>814</v>
      </c>
      <c r="C157" s="17" t="s">
        <v>615</v>
      </c>
      <c r="D157" s="71" t="n">
        <f aca="false">IF(D84=0,"N/C",IF(D80&gt;0,D153/D80,"N/M"))</f>
        <v>0</v>
      </c>
      <c r="E157" s="71" t="n">
        <f aca="false">IF(E84=0,"N/C",IF(E80&gt;0,E153/E80,"N/M"))</f>
        <v>0.00269770909317576</v>
      </c>
      <c r="F157" s="71" t="n">
        <f aca="false">IF(F84=0,"N/C",IF(F80&gt;0,F153/F80,"N/M"))</f>
        <v>0.00876562333552074</v>
      </c>
      <c r="G157" s="71" t="n">
        <f aca="false">IF(G84=0,"N/C",IF(G80&gt;0,G153/G80,"N/M"))</f>
        <v>0.00484084844833591</v>
      </c>
      <c r="H157" s="71" t="n">
        <f aca="false">IF(H84=0,"N/C",IF(H80&gt;0,H153/H80,"N/M"))</f>
        <v>0.00405295824501177</v>
      </c>
      <c r="I157" s="71" t="n">
        <f aca="false">IF(I84=0,"N/C",IF(I80&gt;0,I153/I80,"N/M"))</f>
        <v>0.00408429742348904</v>
      </c>
      <c r="J157" s="71" t="n">
        <f aca="false">IF(J84=0,"N/C",IF(J80&gt;0,J153/J80,"N/M"))</f>
        <v>0.00527981696634517</v>
      </c>
      <c r="K157" s="62" t="n">
        <f aca="false">IF(COUNT(D157:J157)=0,"N/M",AVERAGE(D157:J157))</f>
        <v>0.00424589335883977</v>
      </c>
      <c r="L157" s="62" t="n">
        <f aca="false">IF(COUNT(D157,J157)=2,J157-D157,"-")</f>
        <v>0.00527981696634517</v>
      </c>
    </row>
    <row r="158" customFormat="false" ht="15" hidden="false" customHeight="false" outlineLevel="0" collapsed="false">
      <c r="A158" s="16" t="s">
        <v>773</v>
      </c>
      <c r="B158" s="87" t="s">
        <v>815</v>
      </c>
      <c r="C158" s="17" t="s">
        <v>115</v>
      </c>
      <c r="D158" s="73" t="str">
        <f aca="false">IF(D84=0,"N/C",IF(D150&gt;0,D80/D150,"N/M"))</f>
        <v>N/M</v>
      </c>
      <c r="E158" s="73" t="n">
        <f aca="false">IF(E84=0,"N/C",IF(E150&gt;0,E80/E150,"N/M"))</f>
        <v>129.763377860721</v>
      </c>
      <c r="F158" s="73" t="n">
        <f aca="false">IF(F84=0,"N/C",IF(F150&gt;0,F80/F150,"N/M"))</f>
        <v>42.5513003322781</v>
      </c>
      <c r="G158" s="73" t="n">
        <f aca="false">IF(G84=0,"N/C",IF(G150&gt;0,G80/G150,"N/M"))</f>
        <v>39.739539308558</v>
      </c>
      <c r="H158" s="73" t="n">
        <f aca="false">IF(H84=0,"N/C",IF(H150&gt;0,H80/H150,"N/M"))</f>
        <v>48.6892844091558</v>
      </c>
      <c r="I158" s="73" t="n">
        <f aca="false">IF(I84=0,"N/C",IF(I150&gt;0,I80/I150,"N/M"))</f>
        <v>57.6162942714524</v>
      </c>
      <c r="J158" s="73" t="n">
        <f aca="false">IF(J84=0,"N/C",IF(J150&gt;0,J80/J150,"N/M"))</f>
        <v>45.4763329156393</v>
      </c>
      <c r="K158" s="60" t="n">
        <f aca="false">IF(COUNT(D158:J158)=0,"N/M",AVERAGE(D158:J158))</f>
        <v>60.6393548496341</v>
      </c>
      <c r="L158" s="60" t="str">
        <f aca="false">IF(COUNT(D158,J158)=2,J158-D158,"-")</f>
        <v>-</v>
      </c>
    </row>
    <row r="159" customFormat="false" ht="15" hidden="false" customHeight="false" outlineLevel="0" collapsed="false">
      <c r="A159" s="16" t="s">
        <v>775</v>
      </c>
      <c r="B159" s="87" t="s">
        <v>816</v>
      </c>
      <c r="C159" s="17" t="s">
        <v>115</v>
      </c>
      <c r="D159" s="73" t="n">
        <f aca="false">IF(D84=0,"N/C",IF(D152&gt;0,D80/D152,"N/M"))</f>
        <v>10.6182354379317</v>
      </c>
      <c r="E159" s="73" t="n">
        <f aca="false">IF(E84=0,"N/C",IF(E152&gt;0,E80/E152,"N/M"))</f>
        <v>22.3177402189337</v>
      </c>
      <c r="F159" s="73" t="n">
        <f aca="false">IF(F84=0,"N/C",IF(F152&gt;0,F80/F152,"N/M"))</f>
        <v>18.6510539111687</v>
      </c>
      <c r="G159" s="73" t="n">
        <f aca="false">IF(G84=0,"N/C",IF(G152&gt;0,G80/G152,"N/M"))</f>
        <v>12.4832068737495</v>
      </c>
      <c r="H159" s="73" t="n">
        <f aca="false">IF(H84=0,"N/C",IF(H152&gt;0,H80/H152,"N/M"))</f>
        <v>10.7191421591931</v>
      </c>
      <c r="I159" s="73" t="n">
        <f aca="false">IF(I84=0,"N/C",IF(I152&gt;0,I80/I152,"N/M"))</f>
        <v>9.32850023091133</v>
      </c>
      <c r="J159" s="73" t="n">
        <f aca="false">IF(J84=0,"N/C",IF(J152&gt;0,J80/J152,"N/M"))</f>
        <v>6.33171997321072</v>
      </c>
      <c r="K159" s="60" t="n">
        <f aca="false">IF(COUNT(D159:J159)=0,"N/M",AVERAGE(D159:J159))</f>
        <v>12.9213712578713</v>
      </c>
      <c r="L159" s="60" t="n">
        <f aca="false">IF(COUNT(D159,J159)=2,J159-D159,"-")</f>
        <v>-4.28651546472095</v>
      </c>
    </row>
    <row r="160" customFormat="false" ht="15" hidden="false" customHeight="false" outlineLevel="0" collapsed="false">
      <c r="A160" s="16" t="s">
        <v>777</v>
      </c>
      <c r="B160" s="87" t="s">
        <v>817</v>
      </c>
      <c r="C160" s="17" t="s">
        <v>115</v>
      </c>
      <c r="D160" s="73" t="n">
        <f aca="false">IF(D84=0,"N/C",IF(D21&gt;0,D83/D21,"N/M"))</f>
        <v>11.8871252186005</v>
      </c>
      <c r="E160" s="73" t="n">
        <f aca="false">IF(E84=0,"N/C",IF(E21&gt;0,E83/E21,"N/M"))</f>
        <v>21.015663203602</v>
      </c>
      <c r="F160" s="73" t="n">
        <f aca="false">IF(F84=0,"N/C",IF(F21&gt;0,F83/F21,"N/M"))</f>
        <v>17.1449710502895</v>
      </c>
      <c r="G160" s="73" t="n">
        <f aca="false">IF(G84=0,"N/C",IF(G21&gt;0,G83/G21,"N/M"))</f>
        <v>16.7972947174198</v>
      </c>
      <c r="H160" s="73" t="n">
        <f aca="false">IF(H84=0,"N/C",IF(H21&gt;0,H83/H21,"N/M"))</f>
        <v>18.2446324736225</v>
      </c>
      <c r="I160" s="73" t="n">
        <f aca="false">IF(I84=0,"N/C",IF(I21&gt;0,I83/I21,"N/M"))</f>
        <v>17.5555029329195</v>
      </c>
      <c r="J160" s="73" t="n">
        <f aca="false">IF(J84=0,"N/C",IF(J21&gt;0,J83/J21,"N/M"))</f>
        <v>12.7840763259209</v>
      </c>
      <c r="K160" s="60" t="n">
        <f aca="false">IF(COUNT(D160:J160)=0,"N/M",AVERAGE(D160:J160))</f>
        <v>16.4898951317678</v>
      </c>
      <c r="L160" s="60" t="n">
        <f aca="false">IF(COUNT(D160,J160)=2,J160-D160,"-")</f>
        <v>0.896951107320398</v>
      </c>
    </row>
    <row r="162" customFormat="false" ht="19.5" hidden="false" customHeight="true" outlineLevel="0" collapsed="false">
      <c r="A162" s="85" t="s">
        <v>779</v>
      </c>
      <c r="B162" s="86"/>
      <c r="C162" s="86"/>
      <c r="D162" s="86"/>
      <c r="E162" s="86"/>
      <c r="F162" s="86"/>
      <c r="G162" s="86"/>
      <c r="H162" s="86"/>
      <c r="I162" s="86"/>
      <c r="J162" s="86"/>
      <c r="K162" s="86"/>
      <c r="L162" s="86"/>
    </row>
    <row r="163" customFormat="false" ht="16.5" hidden="false" customHeight="true" outlineLevel="0" collapsed="false">
      <c r="A163" s="88" t="s">
        <v>780</v>
      </c>
      <c r="B163" s="89"/>
      <c r="C163" s="89"/>
      <c r="D163" s="89"/>
      <c r="E163" s="89"/>
      <c r="F163" s="89"/>
      <c r="G163" s="89"/>
      <c r="H163" s="89"/>
      <c r="I163" s="89"/>
      <c r="J163" s="89"/>
      <c r="K163" s="89"/>
      <c r="L163" s="89"/>
    </row>
    <row r="164" customFormat="false" ht="15" hidden="false" customHeight="false" outlineLevel="0" collapsed="false">
      <c r="A164" s="16" t="s">
        <v>300</v>
      </c>
      <c r="B164" s="87" t="s">
        <v>725</v>
      </c>
      <c r="C164" s="17" t="s">
        <v>615</v>
      </c>
      <c r="D164" s="71" t="n">
        <f aca="false">IF(D7&gt;0,D30/D7,"N/M")</f>
        <v>-0.0131837121629666</v>
      </c>
      <c r="E164" s="71" t="n">
        <f aca="false">IF(E7&gt;0,E30/E7,"N/M")</f>
        <v>0.030962887720376</v>
      </c>
      <c r="F164" s="71" t="n">
        <f aca="false">IF(F7&gt;0,F30/F7,"N/M")</f>
        <v>0.0866593054286485</v>
      </c>
      <c r="G164" s="71" t="n">
        <f aca="false">IF(G7&gt;0,G30/G7,"N/M")</f>
        <v>0.0716384840552026</v>
      </c>
      <c r="H164" s="71" t="n">
        <f aca="false">IF(H7&gt;0,H30/H7,"N/M")</f>
        <v>0.0571411757782616</v>
      </c>
      <c r="I164" s="71" t="n">
        <f aca="false">IF(I7&gt;0,I30/I7,"N/M")</f>
        <v>0.0441279819865808</v>
      </c>
      <c r="J164" s="71" t="n">
        <f aca="false">IF(J7&gt;0,J30/J7,"N/M")</f>
        <v>0.040285757090189</v>
      </c>
      <c r="K164" s="62" t="n">
        <f aca="false">IF(COUNT(D164:J164)=0,"N/M",AVERAGE(D164:J164))</f>
        <v>0.0453759828423274</v>
      </c>
      <c r="L164" s="62" t="n">
        <f aca="false">IF(COUNT(D164,J164)=2,J164-D164,"-")</f>
        <v>0.0534694692531556</v>
      </c>
    </row>
    <row r="165" customFormat="false" ht="15" hidden="false" customHeight="false" outlineLevel="0" collapsed="false">
      <c r="A165" s="16" t="s">
        <v>781</v>
      </c>
      <c r="B165" s="87" t="s">
        <v>708</v>
      </c>
      <c r="C165" s="17" t="s">
        <v>692</v>
      </c>
      <c r="D165" s="73" t="n">
        <f aca="false">IF(D49&gt;0,D7/D49,"N/M")</f>
        <v>1.20234096615028</v>
      </c>
      <c r="E165" s="73" t="n">
        <f aca="false">IF(E49&gt;0,E7/E49,"N/M")</f>
        <v>1.13484363729236</v>
      </c>
      <c r="F165" s="73" t="n">
        <f aca="false">IF(F49&gt;0,F7/F49,"N/M")</f>
        <v>1.55916019740098</v>
      </c>
      <c r="G165" s="73" t="n">
        <f aca="false">IF(G49&gt;0,G7/G49,"N/M")</f>
        <v>1.60476444598888</v>
      </c>
      <c r="H165" s="73" t="n">
        <f aca="false">IF(H49&gt;0,H7/H49,"N/M")</f>
        <v>1.52209829813054</v>
      </c>
      <c r="I165" s="73" t="n">
        <f aca="false">IF(I49&gt;0,I7/I49,"N/M")</f>
        <v>1.56171302515043</v>
      </c>
      <c r="J165" s="73" t="n">
        <f aca="false">IF(J49&gt;0,J7/J49,"N/M")</f>
        <v>1.48803082254019</v>
      </c>
      <c r="K165" s="60" t="n">
        <f aca="false">IF(COUNT(D165:J165)=0,"N/M",AVERAGE(D165:J165))</f>
        <v>1.43899305609338</v>
      </c>
      <c r="L165" s="60" t="n">
        <f aca="false">IF(COUNT(D165,J165)=2,J165-D165,"-")</f>
        <v>0.285689856389913</v>
      </c>
    </row>
    <row r="166" customFormat="false" ht="15" hidden="false" customHeight="false" outlineLevel="0" collapsed="false">
      <c r="A166" s="16" t="s">
        <v>782</v>
      </c>
      <c r="B166" s="87" t="s">
        <v>783</v>
      </c>
      <c r="C166" s="17" t="s">
        <v>692</v>
      </c>
      <c r="D166" s="73" t="n">
        <f aca="false">IF(D40&gt;0,D49/D40,"N/M")</f>
        <v>5.38025385571379</v>
      </c>
      <c r="E166" s="73" t="n">
        <f aca="false">IF(E40&gt;0,E49/E40,"N/M")</f>
        <v>4.89463815122643</v>
      </c>
      <c r="F166" s="73" t="n">
        <f aca="false">IF(F40&gt;0,F49/F40,"N/M")</f>
        <v>3.24402802784436</v>
      </c>
      <c r="G166" s="73" t="n">
        <f aca="false">IF(G40&gt;0,G49/G40,"N/M")</f>
        <v>2.73240869476754</v>
      </c>
      <c r="H166" s="73" t="n">
        <f aca="false">IF(H40&gt;0,H49/H40,"N/M")</f>
        <v>2.53124840009654</v>
      </c>
      <c r="I166" s="73" t="n">
        <f aca="false">IF(I40&gt;0,I49/I40,"N/M")</f>
        <v>2.34936884236453</v>
      </c>
      <c r="J166" s="73" t="n">
        <f aca="false">IF(J40&gt;0,J49/J40,"N/M")</f>
        <v>2.32259135651694</v>
      </c>
      <c r="K166" s="60" t="n">
        <f aca="false">IF(COUNT(D166:J166)=0,"N/M",AVERAGE(D166:J166))</f>
        <v>3.35064818979002</v>
      </c>
      <c r="L166" s="60" t="n">
        <f aca="false">IF(COUNT(D166,J166)=2,J166-D166,"-")</f>
        <v>-3.05766249919685</v>
      </c>
    </row>
    <row r="167" customFormat="false" ht="15" hidden="false" customHeight="false" outlineLevel="0" collapsed="false">
      <c r="A167" s="12" t="s">
        <v>303</v>
      </c>
      <c r="B167" s="87" t="s">
        <v>741</v>
      </c>
      <c r="C167" s="17" t="s">
        <v>615</v>
      </c>
      <c r="D167" s="30" t="n">
        <f aca="false">IF(D49&gt;0,D30/D49,"N/M")</f>
        <v>-0.0158513172194684</v>
      </c>
      <c r="E167" s="30" t="n">
        <f aca="false">IF(E49&gt;0,E30/E49,"N/M")</f>
        <v>0.0351380361216664</v>
      </c>
      <c r="F167" s="30" t="n">
        <f aca="false">IF(F49&gt;0,F30/F49,"N/M")</f>
        <v>0.135115739758764</v>
      </c>
      <c r="G167" s="30" t="n">
        <f aca="false">IF(G49&gt;0,G30/G49,"N/M")</f>
        <v>0.11496289217633</v>
      </c>
      <c r="H167" s="30" t="n">
        <f aca="false">IF(H49&gt;0,H30/H49,"N/M")</f>
        <v>0.0869744864052703</v>
      </c>
      <c r="I167" s="30" t="n">
        <f aca="false">IF(I49&gt;0,I30/I49,"N/M")</f>
        <v>0.068915244242047</v>
      </c>
      <c r="J167" s="30" t="n">
        <f aca="false">IF(J49&gt;0,J30/J49,"N/M")</f>
        <v>0.0599464482595684</v>
      </c>
      <c r="K167" s="30" t="n">
        <f aca="false">IF(COUNT(D167:J167)=0,"N/M",AVERAGE(D167:J167))</f>
        <v>0.0693145042491683</v>
      </c>
      <c r="L167" s="30" t="n">
        <f aca="false">IF(COUNT(D167,J167)=2,J167-D167,"-")</f>
        <v>0.0757977654790368</v>
      </c>
    </row>
    <row r="168" customFormat="false" ht="15" hidden="false" customHeight="false" outlineLevel="0" collapsed="false">
      <c r="A168" s="12" t="s">
        <v>784</v>
      </c>
      <c r="B168" s="87" t="s">
        <v>751</v>
      </c>
      <c r="C168" s="17" t="s">
        <v>615</v>
      </c>
      <c r="D168" s="30" t="n">
        <f aca="false">IF(D40&gt;0,D30/D40,"N/M")</f>
        <v>-0.0852841105881874</v>
      </c>
      <c r="E168" s="30" t="n">
        <f aca="false">IF(E40&gt;0,E30/E40,"N/M")</f>
        <v>0.171987972160281</v>
      </c>
      <c r="F168" s="30" t="n">
        <f aca="false">IF(F40&gt;0,F30/F40,"N/M")</f>
        <v>0.438319246780353</v>
      </c>
      <c r="G168" s="30" t="n">
        <f aca="false">IF(G40&gt;0,G30/G40,"N/M")</f>
        <v>0.314125606158229</v>
      </c>
      <c r="H168" s="30" t="n">
        <f aca="false">IF(H40&gt;0,H30/H40,"N/M")</f>
        <v>0.220154029562559</v>
      </c>
      <c r="I168" s="30" t="n">
        <f aca="false">IF(I40&gt;0,I30/I40,"N/M")</f>
        <v>0.161907327586207</v>
      </c>
      <c r="J168" s="30" t="n">
        <f aca="false">IF(J40&gt;0,J30/J40,"N/M")</f>
        <v>0.139231102581564</v>
      </c>
      <c r="K168" s="30" t="n">
        <f aca="false">IF(COUNT(D168:J168)=0,"N/M",AVERAGE(D168:J168))</f>
        <v>0.194348739177286</v>
      </c>
      <c r="L168" s="30" t="n">
        <f aca="false">IF(COUNT(D168,J168)=2,J168-D168,"-")</f>
        <v>0.224515213169751</v>
      </c>
    </row>
    <row r="169" customFormat="false" ht="15" hidden="false" customHeight="false" outlineLevel="0" collapsed="false">
      <c r="A169" s="16" t="s">
        <v>785</v>
      </c>
      <c r="B169" s="87" t="s">
        <v>786</v>
      </c>
      <c r="C169" s="17" t="s">
        <v>615</v>
      </c>
      <c r="D169" s="94" t="n">
        <f aca="false">IF(COUNT(D164,D165,D166,D168)=4,D164*D165*D166-D168,"-")</f>
        <v>0</v>
      </c>
      <c r="E169" s="94" t="n">
        <f aca="false">IF(COUNT(E164,E165,E166,E168)=4,E164*E165*E166-E168,"-")</f>
        <v>0</v>
      </c>
      <c r="F169" s="94" t="n">
        <f aca="false">IF(COUNT(F164,F165,F166,F168)=4,F164*F165*F166-F168,"-")</f>
        <v>0</v>
      </c>
      <c r="G169" s="94" t="n">
        <f aca="false">IF(COUNT(G164,G165,G166,G168)=4,G164*G165*G166-G168,"-")</f>
        <v>0</v>
      </c>
      <c r="H169" s="94" t="n">
        <f aca="false">IF(COUNT(H164,H165,H166,H168)=4,H164*H165*H166-H168,"-")</f>
        <v>0</v>
      </c>
      <c r="I169" s="94" t="n">
        <f aca="false">IF(COUNT(I164,I165,I166,I168)=4,I164*I165*I166-I168,"-")</f>
        <v>0</v>
      </c>
      <c r="J169" s="94" t="n">
        <f aca="false">IF(COUNT(J164,J165,J166,J168)=4,J164*J165*J166-J168,"-")</f>
        <v>0</v>
      </c>
      <c r="K169" s="62"/>
      <c r="L169" s="62"/>
    </row>
    <row r="170" customFormat="false" ht="16.5" hidden="false" customHeight="true" outlineLevel="0" collapsed="false">
      <c r="A170" s="88" t="s">
        <v>787</v>
      </c>
      <c r="B170" s="89"/>
      <c r="C170" s="89"/>
      <c r="D170" s="89"/>
      <c r="E170" s="89"/>
      <c r="F170" s="89"/>
      <c r="G170" s="89"/>
      <c r="H170" s="89"/>
      <c r="I170" s="89"/>
      <c r="J170" s="89"/>
      <c r="K170" s="89"/>
      <c r="L170" s="89"/>
    </row>
    <row r="171" customFormat="false" ht="15" hidden="false" customHeight="false" outlineLevel="0" collapsed="false">
      <c r="A171" s="16" t="s">
        <v>788</v>
      </c>
      <c r="B171" s="87" t="s">
        <v>789</v>
      </c>
      <c r="C171" s="17" t="s">
        <v>97</v>
      </c>
      <c r="D171" s="73" t="n">
        <f aca="false">IF(D26&lt;&gt;0,D30/D26,"N/M")</f>
        <v>1.0700408997955</v>
      </c>
      <c r="E171" s="73" t="n">
        <f aca="false">IF(E26&lt;&gt;0,E30/E26,"N/M")</f>
        <v>0.728306745833036</v>
      </c>
      <c r="F171" s="73" t="n">
        <f aca="false">IF(F26&lt;&gt;0,F30/F26,"N/M")</f>
        <v>0.746081321126707</v>
      </c>
      <c r="G171" s="73" t="n">
        <f aca="false">IF(G26&lt;&gt;0,G30/G26,"N/M")</f>
        <v>0.729102715466352</v>
      </c>
      <c r="H171" s="73" t="n">
        <f aca="false">IF(H26&lt;&gt;0,H30/H26,"N/M")</f>
        <v>0.766513878278584</v>
      </c>
      <c r="I171" s="73" t="n">
        <f aca="false">IF(I26&lt;&gt;0,I30/I26,"N/M")</f>
        <v>0.726932381062089</v>
      </c>
      <c r="J171" s="73" t="n">
        <f aca="false">IF(J26&lt;&gt;0,J30/J26,"N/M")</f>
        <v>0.757123182861513</v>
      </c>
      <c r="K171" s="60" t="n">
        <f aca="false">IF(COUNT(D171:J171)=0,"N/M",AVERAGE(D171:J171))</f>
        <v>0.789157303489112</v>
      </c>
      <c r="L171" s="60" t="n">
        <f aca="false">IF(COUNT(D171,J171)=2,J171-D171,"-")</f>
        <v>-0.312917716933992</v>
      </c>
    </row>
    <row r="172" customFormat="false" ht="15" hidden="false" customHeight="false" outlineLevel="0" collapsed="false">
      <c r="A172" s="16" t="s">
        <v>790</v>
      </c>
      <c r="B172" s="87" t="s">
        <v>791</v>
      </c>
      <c r="C172" s="17" t="s">
        <v>97</v>
      </c>
      <c r="D172" s="73" t="n">
        <f aca="false">IF(D23&lt;&gt;0,D26/D23,"N/M")</f>
        <v>-0.307353865493399</v>
      </c>
      <c r="E172" s="73" t="n">
        <f aca="false">IF(E23&lt;&gt;0,E26/E23,"N/M")</f>
        <v>0.545436809863826</v>
      </c>
      <c r="F172" s="73" t="n">
        <f aca="false">IF(F23&lt;&gt;0,F26/F23,"N/M")</f>
        <v>0.847264487959778</v>
      </c>
      <c r="G172" s="73" t="n">
        <f aca="false">IF(G23&lt;&gt;0,G26/G23,"N/M")</f>
        <v>0.935687588606779</v>
      </c>
      <c r="H172" s="73" t="n">
        <f aca="false">IF(H23&lt;&gt;0,H26/H23,"N/M")</f>
        <v>0.934688437187604</v>
      </c>
      <c r="I172" s="73" t="n">
        <f aca="false">IF(I23&lt;&gt;0,I26/I23,"N/M")</f>
        <v>0.887355616886436</v>
      </c>
      <c r="J172" s="73" t="n">
        <f aca="false">IF(J23&lt;&gt;0,J26/J23,"N/M")</f>
        <v>0.788128030102029</v>
      </c>
      <c r="K172" s="60" t="n">
        <f aca="false">IF(COUNT(D172:J172)=0,"N/M",AVERAGE(D172:J172))</f>
        <v>0.66160101501615</v>
      </c>
      <c r="L172" s="60" t="n">
        <f aca="false">IF(COUNT(D172,J172)=2,J172-D172,"-")</f>
        <v>1.09548189559543</v>
      </c>
    </row>
    <row r="173" customFormat="false" ht="15" hidden="false" customHeight="false" outlineLevel="0" collapsed="false">
      <c r="A173" s="16" t="s">
        <v>792</v>
      </c>
      <c r="B173" s="87" t="s">
        <v>793</v>
      </c>
      <c r="C173" s="17" t="s">
        <v>615</v>
      </c>
      <c r="D173" s="71" t="n">
        <f aca="false">IF(D7&gt;0,D23/D7,"N/M")</f>
        <v>0.0400865476374196</v>
      </c>
      <c r="E173" s="71" t="n">
        <f aca="false">IF(E7&gt;0,E23/E7,"N/M")</f>
        <v>0.0779439985645336</v>
      </c>
      <c r="F173" s="71" t="n">
        <f aca="false">IF(F7&gt;0,F23/F7,"N/M")</f>
        <v>0.137091343592208</v>
      </c>
      <c r="G173" s="71" t="n">
        <f aca="false">IF(G7&gt;0,G23/G7,"N/M")</f>
        <v>0.105009067673069</v>
      </c>
      <c r="H173" s="71" t="n">
        <f aca="false">IF(H7&gt;0,H23/H7,"N/M")</f>
        <v>0.0797558007756515</v>
      </c>
      <c r="I173" s="71" t="n">
        <f aca="false">IF(I7&gt;0,I23/I7,"N/M")</f>
        <v>0.0684104346366723</v>
      </c>
      <c r="J173" s="71" t="n">
        <f aca="false">IF(J7&gt;0,J23/J7,"N/M")</f>
        <v>0.0675131251547011</v>
      </c>
      <c r="K173" s="62" t="n">
        <f aca="false">IF(COUNT(D173:J173)=0,"N/M",AVERAGE(D173:J173))</f>
        <v>0.0822586168620365</v>
      </c>
      <c r="L173" s="62" t="n">
        <f aca="false">IF(COUNT(D173,J173)=2,J173-D173,"-")</f>
        <v>0.0274265775172814</v>
      </c>
    </row>
    <row r="174" customFormat="false" ht="15" hidden="false" customHeight="false" outlineLevel="0" collapsed="false">
      <c r="A174" s="16" t="s">
        <v>781</v>
      </c>
      <c r="B174" s="87" t="s">
        <v>708</v>
      </c>
      <c r="C174" s="17" t="s">
        <v>692</v>
      </c>
      <c r="D174" s="73" t="n">
        <f aca="false">IF(D49&gt;0,D7/D49,"N/M")</f>
        <v>1.20234096615028</v>
      </c>
      <c r="E174" s="73" t="n">
        <f aca="false">IF(E49&gt;0,E7/E49,"N/M")</f>
        <v>1.13484363729236</v>
      </c>
      <c r="F174" s="73" t="n">
        <f aca="false">IF(F49&gt;0,F7/F49,"N/M")</f>
        <v>1.55916019740098</v>
      </c>
      <c r="G174" s="73" t="n">
        <f aca="false">IF(G49&gt;0,G7/G49,"N/M")</f>
        <v>1.60476444598888</v>
      </c>
      <c r="H174" s="73" t="n">
        <f aca="false">IF(H49&gt;0,H7/H49,"N/M")</f>
        <v>1.52209829813054</v>
      </c>
      <c r="I174" s="73" t="n">
        <f aca="false">IF(I49&gt;0,I7/I49,"N/M")</f>
        <v>1.56171302515043</v>
      </c>
      <c r="J174" s="73" t="n">
        <f aca="false">IF(J49&gt;0,J7/J49,"N/M")</f>
        <v>1.48803082254019</v>
      </c>
      <c r="K174" s="60" t="n">
        <f aca="false">IF(COUNT(D174:J174)=0,"N/M",AVERAGE(D174:J174))</f>
        <v>1.43899305609338</v>
      </c>
      <c r="L174" s="60" t="n">
        <f aca="false">IF(COUNT(D174,J174)=2,J174-D174,"-")</f>
        <v>0.285689856389913</v>
      </c>
    </row>
    <row r="175" customFormat="false" ht="15" hidden="false" customHeight="false" outlineLevel="0" collapsed="false">
      <c r="A175" s="16" t="s">
        <v>782</v>
      </c>
      <c r="B175" s="87" t="s">
        <v>783</v>
      </c>
      <c r="C175" s="17" t="s">
        <v>692</v>
      </c>
      <c r="D175" s="73" t="n">
        <f aca="false">IF(D40&gt;0,D49/D40,"N/M")</f>
        <v>5.38025385571379</v>
      </c>
      <c r="E175" s="73" t="n">
        <f aca="false">IF(E40&gt;0,E49/E40,"N/M")</f>
        <v>4.89463815122643</v>
      </c>
      <c r="F175" s="73" t="n">
        <f aca="false">IF(F40&gt;0,F49/F40,"N/M")</f>
        <v>3.24402802784436</v>
      </c>
      <c r="G175" s="73" t="n">
        <f aca="false">IF(G40&gt;0,G49/G40,"N/M")</f>
        <v>2.73240869476754</v>
      </c>
      <c r="H175" s="73" t="n">
        <f aca="false">IF(H40&gt;0,H49/H40,"N/M")</f>
        <v>2.53124840009654</v>
      </c>
      <c r="I175" s="73" t="n">
        <f aca="false">IF(I40&gt;0,I49/I40,"N/M")</f>
        <v>2.34936884236453</v>
      </c>
      <c r="J175" s="73" t="n">
        <f aca="false">IF(J40&gt;0,J49/J40,"N/M")</f>
        <v>2.32259135651694</v>
      </c>
      <c r="K175" s="60" t="n">
        <f aca="false">IF(COUNT(D175:J175)=0,"N/M",AVERAGE(D175:J175))</f>
        <v>3.35064818979002</v>
      </c>
      <c r="L175" s="60" t="n">
        <f aca="false">IF(COUNT(D175,J175)=2,J175-D175,"-")</f>
        <v>-3.05766249919685</v>
      </c>
    </row>
    <row r="176" customFormat="false" ht="15" hidden="false" customHeight="false" outlineLevel="0" collapsed="false">
      <c r="A176" s="12" t="s">
        <v>784</v>
      </c>
      <c r="B176" s="87" t="s">
        <v>751</v>
      </c>
      <c r="C176" s="17" t="s">
        <v>615</v>
      </c>
      <c r="D176" s="30" t="n">
        <f aca="false">IF(D40&gt;0,D30/D40,"N/M")</f>
        <v>-0.0852841105881874</v>
      </c>
      <c r="E176" s="30" t="n">
        <f aca="false">IF(E40&gt;0,E30/E40,"N/M")</f>
        <v>0.171987972160281</v>
      </c>
      <c r="F176" s="30" t="n">
        <f aca="false">IF(F40&gt;0,F30/F40,"N/M")</f>
        <v>0.438319246780353</v>
      </c>
      <c r="G176" s="30" t="n">
        <f aca="false">IF(G40&gt;0,G30/G40,"N/M")</f>
        <v>0.314125606158229</v>
      </c>
      <c r="H176" s="30" t="n">
        <f aca="false">IF(H40&gt;0,H30/H40,"N/M")</f>
        <v>0.220154029562559</v>
      </c>
      <c r="I176" s="30" t="n">
        <f aca="false">IF(I40&gt;0,I30/I40,"N/M")</f>
        <v>0.161907327586207</v>
      </c>
      <c r="J176" s="30" t="n">
        <f aca="false">IF(J40&gt;0,J30/J40,"N/M")</f>
        <v>0.139231102581564</v>
      </c>
      <c r="K176" s="30" t="n">
        <f aca="false">IF(COUNT(D176:J176)=0,"N/M",AVERAGE(D176:J176))</f>
        <v>0.194348739177286</v>
      </c>
      <c r="L176" s="30" t="n">
        <f aca="false">IF(COUNT(D176,J176)=2,J176-D176,"-")</f>
        <v>0.224515213169751</v>
      </c>
    </row>
    <row r="177" customFormat="false" ht="15" hidden="false" customHeight="false" outlineLevel="0" collapsed="false">
      <c r="A177" s="16" t="s">
        <v>794</v>
      </c>
      <c r="B177" s="87" t="s">
        <v>786</v>
      </c>
      <c r="C177" s="17" t="s">
        <v>615</v>
      </c>
      <c r="D177" s="94" t="n">
        <f aca="false">IF(COUNT(D171,D172,D173,D174,D175,D176)=6,D171*D172*D173*D174*D175-D176,"-")</f>
        <v>0</v>
      </c>
      <c r="E177" s="94" t="n">
        <f aca="false">IF(COUNT(E171,E172,E173,E174,E175,E176)=6,E171*E172*E173*E174*E175-E176,"-")</f>
        <v>0</v>
      </c>
      <c r="F177" s="94" t="n">
        <f aca="false">IF(COUNT(F171,F172,F173,F174,F175,F176)=6,F171*F172*F173*F174*F175-F176,"-")</f>
        <v>0</v>
      </c>
      <c r="G177" s="94" t="n">
        <f aca="false">IF(COUNT(G171,G172,G173,G174,G175,G176)=6,G171*G172*G173*G174*G175-G176,"-")</f>
        <v>0</v>
      </c>
      <c r="H177" s="94" t="n">
        <f aca="false">IF(COUNT(H171,H172,H173,H174,H175,H176)=6,H171*H172*H173*H174*H175-H176,"-")</f>
        <v>0</v>
      </c>
      <c r="I177" s="94" t="n">
        <f aca="false">IF(COUNT(I171,I172,I173,I174,I175,I176)=6,I171*I172*I173*I174*I175-I176,"-")</f>
        <v>0</v>
      </c>
      <c r="J177" s="94" t="n">
        <f aca="false">IF(COUNT(J171,J172,J173,J174,J175,J176)=6,J171*J172*J173*J174*J175-J176,"-")</f>
        <v>0</v>
      </c>
      <c r="K177" s="62"/>
      <c r="L177" s="62"/>
    </row>
  </sheetData>
  <mergeCells count="3">
    <mergeCell ref="A1:L1"/>
    <mergeCell ref="A2:L2"/>
    <mergeCell ref="A3:L3"/>
  </mergeCells>
  <hyperlinks>
    <hyperlink ref="A3" r:id="rId1" display="Source: annual reports FY2020-FY2026 (consolidated) - https://www.bluedart.com/financials   (full list of documents on the Sources sheet)"/>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18096"/>
    <pageSetUpPr fitToPage="true"/>
  </sheetPr>
  <dimension ref="A1:L177"/>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50"/>
    <col collapsed="false" customWidth="true" hidden="false" outlineLevel="0" max="3" min="3" style="0" width="15"/>
    <col collapsed="false" customWidth="true" hidden="false" outlineLevel="0" max="10" min="4" style="0" width="11.5"/>
    <col collapsed="false" customWidth="true" hidden="false" outlineLevel="0" max="12" min="11" style="0" width="12"/>
  </cols>
  <sheetData>
    <row r="1" customFormat="false" ht="24" hidden="false" customHeight="true" outlineLevel="0" collapsed="false">
      <c r="A1" s="1" t="s">
        <v>824</v>
      </c>
      <c r="B1" s="1"/>
      <c r="C1" s="1"/>
      <c r="D1" s="1"/>
      <c r="E1" s="1"/>
      <c r="F1" s="1"/>
      <c r="G1" s="1"/>
      <c r="H1" s="1"/>
      <c r="I1" s="1"/>
      <c r="J1" s="1"/>
      <c r="K1" s="1"/>
      <c r="L1" s="1"/>
    </row>
    <row r="2" customFormat="false" ht="18" hidden="false" customHeight="true" outlineLevel="0" collapsed="false">
      <c r="A2" s="2" t="s">
        <v>825</v>
      </c>
      <c r="B2" s="2"/>
      <c r="C2" s="2"/>
      <c r="D2" s="2"/>
      <c r="E2" s="2"/>
      <c r="F2" s="2"/>
      <c r="G2" s="2"/>
      <c r="H2" s="2"/>
      <c r="I2" s="2"/>
      <c r="J2" s="2"/>
      <c r="K2" s="2"/>
      <c r="L2" s="2"/>
    </row>
    <row r="3" customFormat="false" ht="18" hidden="false" customHeight="true" outlineLevel="0" collapsed="false">
      <c r="A3" s="95" t="s">
        <v>826</v>
      </c>
      <c r="B3" s="95"/>
      <c r="C3" s="95"/>
      <c r="D3" s="95"/>
      <c r="E3" s="95"/>
      <c r="F3" s="95"/>
      <c r="G3" s="95"/>
      <c r="H3" s="95"/>
      <c r="I3" s="95"/>
      <c r="J3" s="95"/>
      <c r="K3" s="95"/>
      <c r="L3" s="95"/>
    </row>
    <row r="5" customFormat="false" ht="30" hidden="false" customHeight="true" outlineLevel="0" collapsed="false">
      <c r="A5" s="7" t="s">
        <v>486</v>
      </c>
      <c r="B5" s="7" t="s">
        <v>487</v>
      </c>
      <c r="C5" s="7" t="s">
        <v>488</v>
      </c>
      <c r="D5" s="7" t="s">
        <v>154</v>
      </c>
      <c r="E5" s="7" t="s">
        <v>185</v>
      </c>
      <c r="F5" s="7" t="s">
        <v>188</v>
      </c>
      <c r="G5" s="7" t="s">
        <v>144</v>
      </c>
      <c r="H5" s="7" t="s">
        <v>147</v>
      </c>
      <c r="I5" s="7" t="s">
        <v>157</v>
      </c>
      <c r="J5" s="7" t="s">
        <v>198</v>
      </c>
      <c r="K5" s="7" t="s">
        <v>322</v>
      </c>
      <c r="L5" s="7" t="s">
        <v>489</v>
      </c>
    </row>
    <row r="6" customFormat="false" ht="19.5" hidden="false" customHeight="true" outlineLevel="0" collapsed="false">
      <c r="A6" s="85" t="s">
        <v>490</v>
      </c>
      <c r="B6" s="86"/>
      <c r="C6" s="86"/>
      <c r="D6" s="86"/>
      <c r="E6" s="86"/>
      <c r="F6" s="86"/>
      <c r="G6" s="86"/>
      <c r="H6" s="86"/>
      <c r="I6" s="86"/>
      <c r="J6" s="86"/>
      <c r="K6" s="86"/>
      <c r="L6" s="86"/>
    </row>
    <row r="7" customFormat="false" ht="15" hidden="false" customHeight="false" outlineLevel="0" collapsed="false">
      <c r="A7" s="16" t="s">
        <v>491</v>
      </c>
      <c r="B7" s="87" t="s">
        <v>492</v>
      </c>
      <c r="C7" s="17" t="s">
        <v>493</v>
      </c>
      <c r="D7" s="96" t="n">
        <v>6530.27</v>
      </c>
      <c r="E7" s="96" t="n">
        <v>6427.08</v>
      </c>
      <c r="F7" s="96" t="n">
        <v>7652.73</v>
      </c>
      <c r="G7" s="96" t="n">
        <v>8169.12</v>
      </c>
      <c r="H7" s="96" t="n">
        <v>8653.41</v>
      </c>
      <c r="I7" s="96" t="n">
        <v>8887.02</v>
      </c>
      <c r="J7" s="96" t="n">
        <v>9078.97</v>
      </c>
      <c r="K7" s="53" t="n">
        <f aca="false">AVERAGE(D7:J7)</f>
        <v>7914.08571428571</v>
      </c>
      <c r="L7" s="53" t="n">
        <f aca="false">J7-D7</f>
        <v>2548.7</v>
      </c>
    </row>
    <row r="8" customFormat="false" ht="16.5" hidden="false" customHeight="true" outlineLevel="0" collapsed="false">
      <c r="A8" s="88" t="s">
        <v>494</v>
      </c>
      <c r="B8" s="89"/>
      <c r="C8" s="89"/>
      <c r="D8" s="89"/>
      <c r="E8" s="89"/>
      <c r="F8" s="89"/>
      <c r="G8" s="89"/>
      <c r="H8" s="89"/>
      <c r="I8" s="89"/>
      <c r="J8" s="89"/>
      <c r="K8" s="89"/>
      <c r="L8" s="89"/>
    </row>
    <row r="9" customFormat="false" ht="15" hidden="false" customHeight="false" outlineLevel="0" collapsed="false">
      <c r="A9" s="16" t="s">
        <v>495</v>
      </c>
      <c r="B9" s="87" t="s">
        <v>496</v>
      </c>
      <c r="C9" s="17" t="s">
        <v>493</v>
      </c>
      <c r="D9" s="96" t="n">
        <v>0</v>
      </c>
      <c r="E9" s="96" t="n">
        <v>0</v>
      </c>
      <c r="F9" s="96" t="n">
        <v>0</v>
      </c>
      <c r="G9" s="96" t="n">
        <v>0</v>
      </c>
      <c r="H9" s="96" t="n">
        <v>0</v>
      </c>
      <c r="I9" s="96" t="n">
        <v>0</v>
      </c>
      <c r="J9" s="96" t="n">
        <v>0</v>
      </c>
      <c r="K9" s="53" t="n">
        <f aca="false">AVERAGE(D9:J9)</f>
        <v>0</v>
      </c>
      <c r="L9" s="53" t="n">
        <f aca="false">J9-D9</f>
        <v>0</v>
      </c>
    </row>
    <row r="10" customFormat="false" ht="15" hidden="false" customHeight="false" outlineLevel="0" collapsed="false">
      <c r="A10" s="16" t="s">
        <v>497</v>
      </c>
      <c r="B10" s="87" t="s">
        <v>498</v>
      </c>
      <c r="C10" s="17" t="s">
        <v>493</v>
      </c>
      <c r="D10" s="96" t="n">
        <v>-0.21</v>
      </c>
      <c r="E10" s="96" t="n">
        <v>-0.15</v>
      </c>
      <c r="F10" s="96" t="n">
        <v>-0.03</v>
      </c>
      <c r="G10" s="96" t="n">
        <v>0</v>
      </c>
      <c r="H10" s="96" t="n">
        <v>-1.26</v>
      </c>
      <c r="I10" s="96" t="n">
        <v>-0.88</v>
      </c>
      <c r="J10" s="96" t="n">
        <v>-0.91</v>
      </c>
      <c r="K10" s="53" t="n">
        <f aca="false">AVERAGE(D10:J10)</f>
        <v>-0.491428571428571</v>
      </c>
      <c r="L10" s="53" t="n">
        <f aca="false">J10-D10</f>
        <v>-0.7</v>
      </c>
    </row>
    <row r="11" customFormat="false" ht="15" hidden="false" customHeight="false" outlineLevel="0" collapsed="false">
      <c r="A11" s="16" t="s">
        <v>499</v>
      </c>
      <c r="B11" s="87" t="s">
        <v>500</v>
      </c>
      <c r="C11" s="17" t="s">
        <v>493</v>
      </c>
      <c r="D11" s="96" t="n">
        <v>12.62</v>
      </c>
      <c r="E11" s="96" t="n">
        <v>12.58</v>
      </c>
      <c r="F11" s="96" t="n">
        <v>12.76</v>
      </c>
      <c r="G11" s="96" t="n">
        <v>14.71</v>
      </c>
      <c r="H11" s="96" t="n">
        <v>14.68</v>
      </c>
      <c r="I11" s="96" t="n">
        <v>14.01</v>
      </c>
      <c r="J11" s="96" t="n">
        <v>13.4</v>
      </c>
      <c r="K11" s="53" t="n">
        <f aca="false">AVERAGE(D11:J11)</f>
        <v>13.5371428571429</v>
      </c>
      <c r="L11" s="53" t="n">
        <f aca="false">J11-D11</f>
        <v>0.780000000000001</v>
      </c>
    </row>
    <row r="12" customFormat="false" ht="15" hidden="false" customHeight="false" outlineLevel="0" collapsed="false">
      <c r="A12" s="16" t="s">
        <v>501</v>
      </c>
      <c r="B12" s="87" t="s">
        <v>502</v>
      </c>
      <c r="C12" s="17" t="s">
        <v>493</v>
      </c>
      <c r="D12" s="96" t="n">
        <v>4295.15</v>
      </c>
      <c r="E12" s="96" t="n">
        <v>4097.35</v>
      </c>
      <c r="F12" s="96" t="n">
        <v>4863.18</v>
      </c>
      <c r="G12" s="96" t="n">
        <v>5299.11</v>
      </c>
      <c r="H12" s="96" t="n">
        <v>5687.24</v>
      </c>
      <c r="I12" s="96" t="n">
        <v>5919.37</v>
      </c>
      <c r="J12" s="96" t="n">
        <v>6009</v>
      </c>
      <c r="K12" s="53" t="n">
        <f aca="false">AVERAGE(D12:J12)</f>
        <v>5167.2</v>
      </c>
      <c r="L12" s="53" t="n">
        <f aca="false">J12-D12</f>
        <v>1713.85</v>
      </c>
    </row>
    <row r="13" customFormat="false" ht="15" hidden="false" customHeight="false" outlineLevel="0" collapsed="false">
      <c r="A13" s="12" t="s">
        <v>503</v>
      </c>
      <c r="B13" s="87" t="s">
        <v>504</v>
      </c>
      <c r="C13" s="17" t="s">
        <v>493</v>
      </c>
      <c r="D13" s="29" t="n">
        <f aca="false">D9+D11+D12-D10</f>
        <v>4307.98</v>
      </c>
      <c r="E13" s="29" t="n">
        <f aca="false">E9+E11+E12-E10</f>
        <v>4110.08</v>
      </c>
      <c r="F13" s="29" t="n">
        <f aca="false">F9+F11+F12-F10</f>
        <v>4875.97</v>
      </c>
      <c r="G13" s="29" t="n">
        <f aca="false">G9+G11+G12-G10</f>
        <v>5313.82</v>
      </c>
      <c r="H13" s="29" t="n">
        <f aca="false">H9+H11+H12-H10</f>
        <v>5703.18</v>
      </c>
      <c r="I13" s="29" t="n">
        <f aca="false">I9+I11+I12-I10</f>
        <v>5934.26</v>
      </c>
      <c r="J13" s="29" t="n">
        <f aca="false">J9+J11+J12-J10</f>
        <v>6023.31</v>
      </c>
      <c r="K13" s="29" t="n">
        <f aca="false">AVERAGE(D13:J13)</f>
        <v>5181.22857142857</v>
      </c>
      <c r="L13" s="29" t="n">
        <f aca="false">J13-D13</f>
        <v>1715.33</v>
      </c>
    </row>
    <row r="14" customFormat="false" ht="15" hidden="false" customHeight="false" outlineLevel="0" collapsed="false">
      <c r="A14" s="12" t="s">
        <v>505</v>
      </c>
      <c r="B14" s="87" t="s">
        <v>506</v>
      </c>
      <c r="C14" s="17" t="s">
        <v>493</v>
      </c>
      <c r="D14" s="29" t="n">
        <f aca="false">D7-D13</f>
        <v>2222.29</v>
      </c>
      <c r="E14" s="29" t="n">
        <f aca="false">E7-E13</f>
        <v>2317</v>
      </c>
      <c r="F14" s="29" t="n">
        <f aca="false">F7-F13</f>
        <v>2776.76</v>
      </c>
      <c r="G14" s="29" t="n">
        <f aca="false">G7-G13</f>
        <v>2855.3</v>
      </c>
      <c r="H14" s="29" t="n">
        <f aca="false">H7-H13</f>
        <v>2950.23</v>
      </c>
      <c r="I14" s="29" t="n">
        <f aca="false">I7-I13</f>
        <v>2952.76</v>
      </c>
      <c r="J14" s="29" t="n">
        <f aca="false">J7-J13</f>
        <v>3055.66</v>
      </c>
      <c r="K14" s="29" t="n">
        <f aca="false">AVERAGE(D14:J14)</f>
        <v>2732.85714285714</v>
      </c>
      <c r="L14" s="29" t="n">
        <f aca="false">J14-D14</f>
        <v>833.369999999999</v>
      </c>
    </row>
    <row r="15" customFormat="false" ht="16.5" hidden="false" customHeight="true" outlineLevel="0" collapsed="false">
      <c r="A15" s="88" t="s">
        <v>507</v>
      </c>
      <c r="B15" s="89"/>
      <c r="C15" s="89"/>
      <c r="D15" s="89"/>
      <c r="E15" s="89"/>
      <c r="F15" s="89"/>
      <c r="G15" s="89"/>
      <c r="H15" s="89"/>
      <c r="I15" s="89"/>
      <c r="J15" s="89"/>
      <c r="K15" s="89"/>
      <c r="L15" s="89"/>
    </row>
    <row r="16" customFormat="false" ht="15" hidden="false" customHeight="false" outlineLevel="0" collapsed="false">
      <c r="A16" s="16" t="s">
        <v>508</v>
      </c>
      <c r="B16" s="87" t="s">
        <v>509</v>
      </c>
      <c r="C16" s="17" t="s">
        <v>493</v>
      </c>
      <c r="D16" s="96" t="n">
        <v>317.33</v>
      </c>
      <c r="E16" s="96" t="n">
        <v>428.86</v>
      </c>
      <c r="F16" s="96" t="n">
        <v>419.33</v>
      </c>
      <c r="G16" s="96" t="n">
        <v>431.11</v>
      </c>
      <c r="H16" s="96" t="n">
        <v>463.49</v>
      </c>
      <c r="I16" s="96" t="n">
        <v>489.44</v>
      </c>
      <c r="J16" s="96" t="n">
        <v>519.92</v>
      </c>
      <c r="K16" s="53" t="n">
        <f aca="false">AVERAGE(D16:J16)</f>
        <v>438.497142857143</v>
      </c>
      <c r="L16" s="53" t="n">
        <f aca="false">J16-D16</f>
        <v>202.59</v>
      </c>
    </row>
    <row r="17" customFormat="false" ht="15" hidden="false" customHeight="false" outlineLevel="0" collapsed="false">
      <c r="A17" s="16" t="s">
        <v>510</v>
      </c>
      <c r="B17" s="87" t="s">
        <v>511</v>
      </c>
      <c r="C17" s="17" t="s">
        <v>493</v>
      </c>
      <c r="D17" s="96" t="n">
        <v>271.73</v>
      </c>
      <c r="E17" s="96" t="n">
        <v>882.6</v>
      </c>
      <c r="F17" s="96" t="n">
        <v>694.97</v>
      </c>
      <c r="G17" s="96" t="n">
        <v>655.24</v>
      </c>
      <c r="H17" s="96" t="n">
        <v>646.84</v>
      </c>
      <c r="I17" s="96" t="n">
        <v>638.23</v>
      </c>
      <c r="J17" s="96" t="n">
        <v>723.88</v>
      </c>
      <c r="K17" s="53" t="n">
        <f aca="false">AVERAGE(D17:J17)</f>
        <v>644.784285714286</v>
      </c>
      <c r="L17" s="53" t="n">
        <f aca="false">J17-D17</f>
        <v>452.15</v>
      </c>
    </row>
    <row r="18" customFormat="false" ht="15" hidden="false" customHeight="false" outlineLevel="0" collapsed="false">
      <c r="A18" s="16" t="s">
        <v>512</v>
      </c>
      <c r="B18" s="87" t="s">
        <v>513</v>
      </c>
      <c r="C18" s="17" t="s">
        <v>493</v>
      </c>
      <c r="D18" s="96" t="n">
        <v>-60.99</v>
      </c>
      <c r="E18" s="96" t="n">
        <v>-41.85</v>
      </c>
      <c r="F18" s="96" t="n">
        <v>-86.01</v>
      </c>
      <c r="G18" s="96" t="n">
        <v>-98.85</v>
      </c>
      <c r="H18" s="96" t="n">
        <v>-118.78</v>
      </c>
      <c r="I18" s="96" t="n">
        <v>-104.92</v>
      </c>
      <c r="J18" s="96" t="n">
        <v>-139.46</v>
      </c>
      <c r="K18" s="53" t="n">
        <f aca="false">AVERAGE(D18:J18)</f>
        <v>-92.98</v>
      </c>
      <c r="L18" s="53" t="n">
        <f aca="false">J18-D18</f>
        <v>-78.47</v>
      </c>
    </row>
    <row r="19" customFormat="false" ht="15" hidden="false" customHeight="false" outlineLevel="0" collapsed="false">
      <c r="A19" s="12" t="s">
        <v>507</v>
      </c>
      <c r="B19" s="87" t="s">
        <v>514</v>
      </c>
      <c r="C19" s="17" t="s">
        <v>493</v>
      </c>
      <c r="D19" s="29" t="n">
        <f aca="false">D16+D17+D18</f>
        <v>528.07</v>
      </c>
      <c r="E19" s="29" t="n">
        <f aca="false">E16+E17+E18</f>
        <v>1269.61</v>
      </c>
      <c r="F19" s="29" t="n">
        <f aca="false">F16+F17+F18</f>
        <v>1028.29</v>
      </c>
      <c r="G19" s="29" t="n">
        <f aca="false">G16+G17+G18</f>
        <v>987.5</v>
      </c>
      <c r="H19" s="29" t="n">
        <f aca="false">H16+H17+H18</f>
        <v>991.55</v>
      </c>
      <c r="I19" s="29" t="n">
        <f aca="false">I16+I17+I18</f>
        <v>1022.75</v>
      </c>
      <c r="J19" s="29" t="n">
        <f aca="false">J16+J17+J18</f>
        <v>1104.34</v>
      </c>
      <c r="K19" s="29" t="n">
        <f aca="false">AVERAGE(D19:J19)</f>
        <v>990.301428571429</v>
      </c>
      <c r="L19" s="29" t="n">
        <f aca="false">J19-D19</f>
        <v>576.27</v>
      </c>
    </row>
    <row r="20" customFormat="false" ht="15" hidden="false" customHeight="false" outlineLevel="0" collapsed="false">
      <c r="A20" s="12" t="s">
        <v>515</v>
      </c>
      <c r="B20" s="87" t="s">
        <v>516</v>
      </c>
      <c r="C20" s="17" t="s">
        <v>493</v>
      </c>
      <c r="D20" s="29" t="n">
        <f aca="false">D13+D19</f>
        <v>4836.05</v>
      </c>
      <c r="E20" s="29" t="n">
        <f aca="false">E13+E19</f>
        <v>5379.69</v>
      </c>
      <c r="F20" s="29" t="n">
        <f aca="false">F13+F19</f>
        <v>5904.26</v>
      </c>
      <c r="G20" s="29" t="n">
        <f aca="false">G13+G19</f>
        <v>6301.32</v>
      </c>
      <c r="H20" s="29" t="n">
        <f aca="false">H13+H19</f>
        <v>6694.73</v>
      </c>
      <c r="I20" s="29" t="n">
        <f aca="false">I13+I19</f>
        <v>6957.01</v>
      </c>
      <c r="J20" s="29" t="n">
        <f aca="false">J13+J19</f>
        <v>7127.65</v>
      </c>
      <c r="K20" s="29" t="n">
        <f aca="false">AVERAGE(D20:J20)</f>
        <v>6171.53</v>
      </c>
      <c r="L20" s="29" t="n">
        <f aca="false">J20-D20</f>
        <v>2291.6</v>
      </c>
    </row>
    <row r="21" customFormat="false" ht="15" hidden="false" customHeight="false" outlineLevel="0" collapsed="false">
      <c r="A21" s="12" t="s">
        <v>517</v>
      </c>
      <c r="B21" s="87" t="s">
        <v>518</v>
      </c>
      <c r="C21" s="17" t="s">
        <v>493</v>
      </c>
      <c r="D21" s="29" t="n">
        <f aca="false">D7-D20</f>
        <v>1694.22</v>
      </c>
      <c r="E21" s="29" t="n">
        <f aca="false">E7-E20</f>
        <v>1047.39</v>
      </c>
      <c r="F21" s="29" t="n">
        <f aca="false">F7-F20</f>
        <v>1748.47</v>
      </c>
      <c r="G21" s="29" t="n">
        <f aca="false">G7-G20</f>
        <v>1867.8</v>
      </c>
      <c r="H21" s="29" t="n">
        <f aca="false">H7-H20</f>
        <v>1958.68</v>
      </c>
      <c r="I21" s="29" t="n">
        <f aca="false">I7-I20</f>
        <v>1930.01</v>
      </c>
      <c r="J21" s="29" t="n">
        <f aca="false">J7-J20</f>
        <v>1951.32</v>
      </c>
      <c r="K21" s="29" t="n">
        <f aca="false">AVERAGE(D21:J21)</f>
        <v>1742.55571428571</v>
      </c>
      <c r="L21" s="29" t="n">
        <f aca="false">J21-D21</f>
        <v>257.099999999999</v>
      </c>
    </row>
    <row r="22" customFormat="false" ht="15" hidden="false" customHeight="false" outlineLevel="0" collapsed="false">
      <c r="A22" s="16" t="s">
        <v>519</v>
      </c>
      <c r="B22" s="87" t="s">
        <v>520</v>
      </c>
      <c r="C22" s="17" t="s">
        <v>493</v>
      </c>
      <c r="D22" s="96" t="n">
        <v>544.41</v>
      </c>
      <c r="E22" s="96" t="n">
        <v>553.38</v>
      </c>
      <c r="F22" s="96" t="n">
        <v>561.42</v>
      </c>
      <c r="G22" s="96" t="n">
        <v>573.01</v>
      </c>
      <c r="H22" s="96" t="n">
        <v>618.61</v>
      </c>
      <c r="I22" s="96" t="n">
        <v>581.24</v>
      </c>
      <c r="J22" s="96" t="n">
        <v>615.53</v>
      </c>
      <c r="K22" s="53" t="n">
        <f aca="false">AVERAGE(D22:J22)</f>
        <v>578.228571428571</v>
      </c>
      <c r="L22" s="53" t="n">
        <f aca="false">J22-D22</f>
        <v>71.12</v>
      </c>
    </row>
    <row r="23" customFormat="false" ht="15" hidden="false" customHeight="false" outlineLevel="0" collapsed="false">
      <c r="A23" s="12" t="s">
        <v>521</v>
      </c>
      <c r="B23" s="87" t="s">
        <v>522</v>
      </c>
      <c r="C23" s="17" t="s">
        <v>493</v>
      </c>
      <c r="D23" s="29" t="n">
        <f aca="false">D21-D22</f>
        <v>1149.81</v>
      </c>
      <c r="E23" s="29" t="n">
        <f aca="false">E21-E22</f>
        <v>494.009999999999</v>
      </c>
      <c r="F23" s="29" t="n">
        <f aca="false">F21-F22</f>
        <v>1187.05</v>
      </c>
      <c r="G23" s="29" t="n">
        <f aca="false">G21-G22</f>
        <v>1294.79</v>
      </c>
      <c r="H23" s="29" t="n">
        <f aca="false">H21-H22</f>
        <v>1340.07</v>
      </c>
      <c r="I23" s="29" t="n">
        <f aca="false">I21-I22</f>
        <v>1348.77</v>
      </c>
      <c r="J23" s="29" t="n">
        <f aca="false">J21-J22</f>
        <v>1335.79</v>
      </c>
      <c r="K23" s="29" t="n">
        <f aca="false">AVERAGE(D23:J23)</f>
        <v>1164.32714285714</v>
      </c>
      <c r="L23" s="29" t="n">
        <f aca="false">J23-D23</f>
        <v>185.979999999998</v>
      </c>
    </row>
    <row r="24" customFormat="false" ht="15" hidden="false" customHeight="false" outlineLevel="0" collapsed="false">
      <c r="A24" s="16" t="s">
        <v>523</v>
      </c>
      <c r="B24" s="87" t="s">
        <v>524</v>
      </c>
      <c r="C24" s="17" t="s">
        <v>493</v>
      </c>
      <c r="D24" s="96" t="n">
        <v>-559.58</v>
      </c>
      <c r="E24" s="96" t="n">
        <v>223.08</v>
      </c>
      <c r="F24" s="96" t="n">
        <v>270.26</v>
      </c>
      <c r="G24" s="96" t="n">
        <v>333.08</v>
      </c>
      <c r="H24" s="96" t="n">
        <v>400.2</v>
      </c>
      <c r="I24" s="96" t="n">
        <v>446.85</v>
      </c>
      <c r="J24" s="96" t="n">
        <v>393.51</v>
      </c>
      <c r="K24" s="53" t="n">
        <f aca="false">AVERAGE(D24:J24)</f>
        <v>215.342857142857</v>
      </c>
      <c r="L24" s="53" t="n">
        <f aca="false">J24-D24</f>
        <v>953.09</v>
      </c>
    </row>
    <row r="25" customFormat="false" ht="15" hidden="false" customHeight="false" outlineLevel="0" collapsed="false">
      <c r="A25" s="16" t="s">
        <v>525</v>
      </c>
      <c r="B25" s="87" t="s">
        <v>526</v>
      </c>
      <c r="C25" s="17" t="s">
        <v>493</v>
      </c>
      <c r="D25" s="96" t="n">
        <v>46.44</v>
      </c>
      <c r="E25" s="96" t="n">
        <v>43.41</v>
      </c>
      <c r="F25" s="96" t="n">
        <v>62.84</v>
      </c>
      <c r="G25" s="96" t="n">
        <v>64.68</v>
      </c>
      <c r="H25" s="96" t="n">
        <v>71.73</v>
      </c>
      <c r="I25" s="96" t="n">
        <v>73.56</v>
      </c>
      <c r="J25" s="96" t="n">
        <v>78.53</v>
      </c>
      <c r="K25" s="53" t="n">
        <f aca="false">AVERAGE(D25:J25)</f>
        <v>63.0271428571429</v>
      </c>
      <c r="L25" s="53" t="n">
        <f aca="false">J25-D25</f>
        <v>32.09</v>
      </c>
    </row>
    <row r="26" customFormat="false" ht="15" hidden="false" customHeight="false" outlineLevel="0" collapsed="false">
      <c r="A26" s="12" t="s">
        <v>527</v>
      </c>
      <c r="B26" s="87" t="s">
        <v>528</v>
      </c>
      <c r="C26" s="17" t="s">
        <v>493</v>
      </c>
      <c r="D26" s="90" t="n">
        <f aca="false">D23+D24-D25</f>
        <v>543.790000000001</v>
      </c>
      <c r="E26" s="90" t="n">
        <f aca="false">E23+E24-E25</f>
        <v>673.68</v>
      </c>
      <c r="F26" s="90" t="n">
        <f aca="false">F23+F24-F25</f>
        <v>1394.47</v>
      </c>
      <c r="G26" s="90" t="n">
        <f aca="false">G23+G24-G25</f>
        <v>1563.19</v>
      </c>
      <c r="H26" s="90" t="n">
        <f aca="false">H23+H24-H25</f>
        <v>1668.54</v>
      </c>
      <c r="I26" s="90" t="n">
        <f aca="false">I23+I24-I25</f>
        <v>1722.06</v>
      </c>
      <c r="J26" s="90" t="n">
        <f aca="false">J23+J24-J25</f>
        <v>1650.77</v>
      </c>
      <c r="K26" s="91" t="n">
        <f aca="false">AVERAGE(D26:J26)</f>
        <v>1316.64285714286</v>
      </c>
      <c r="L26" s="91" t="n">
        <f aca="false">J26-D26</f>
        <v>1106.98</v>
      </c>
    </row>
    <row r="27" customFormat="false" ht="15" hidden="false" customHeight="false" outlineLevel="0" collapsed="false">
      <c r="A27" s="16" t="s">
        <v>529</v>
      </c>
      <c r="B27" s="87" t="s">
        <v>530</v>
      </c>
      <c r="C27" s="17" t="s">
        <v>493</v>
      </c>
      <c r="D27" s="96" t="n">
        <v>138.09</v>
      </c>
      <c r="E27" s="96" t="n">
        <v>172.98</v>
      </c>
      <c r="F27" s="96" t="n">
        <v>342.2</v>
      </c>
      <c r="G27" s="96" t="n">
        <v>389.72</v>
      </c>
      <c r="H27" s="96" t="n">
        <v>406.45</v>
      </c>
      <c r="I27" s="96" t="n">
        <v>428.96</v>
      </c>
      <c r="J27" s="96" t="n">
        <v>405.03</v>
      </c>
      <c r="K27" s="53" t="n">
        <f aca="false">AVERAGE(D27:J27)</f>
        <v>326.204285714286</v>
      </c>
      <c r="L27" s="53" t="n">
        <f aca="false">J27-D27</f>
        <v>266.94</v>
      </c>
    </row>
    <row r="28" customFormat="false" ht="15" hidden="false" customHeight="false" outlineLevel="0" collapsed="false">
      <c r="A28" s="16" t="s">
        <v>531</v>
      </c>
      <c r="B28" s="87" t="s">
        <v>532</v>
      </c>
      <c r="C28" s="17" t="s">
        <v>493</v>
      </c>
      <c r="D28" s="69" t="n">
        <f aca="false">D26-D27</f>
        <v>405.700000000001</v>
      </c>
      <c r="E28" s="69" t="n">
        <f aca="false">E26-E27</f>
        <v>500.7</v>
      </c>
      <c r="F28" s="69" t="n">
        <f aca="false">F26-F27</f>
        <v>1052.27</v>
      </c>
      <c r="G28" s="69" t="n">
        <f aca="false">G26-G27</f>
        <v>1173.47</v>
      </c>
      <c r="H28" s="69" t="n">
        <f aca="false">H26-H27</f>
        <v>1262.09</v>
      </c>
      <c r="I28" s="69" t="n">
        <f aca="false">I26-I27</f>
        <v>1293.1</v>
      </c>
      <c r="J28" s="69" t="n">
        <f aca="false">J26-J27</f>
        <v>1245.74</v>
      </c>
      <c r="K28" s="53" t="n">
        <f aca="false">AVERAGE(D28:J28)</f>
        <v>990.438571428571</v>
      </c>
      <c r="L28" s="53" t="n">
        <f aca="false">J28-D28</f>
        <v>840.039999999999</v>
      </c>
    </row>
    <row r="29" customFormat="false" ht="15" hidden="false" customHeight="false" outlineLevel="0" collapsed="false">
      <c r="A29" s="16" t="s">
        <v>533</v>
      </c>
      <c r="B29" s="87" t="s">
        <v>534</v>
      </c>
      <c r="C29" s="17" t="s">
        <v>493</v>
      </c>
      <c r="D29" s="69" t="n">
        <f aca="false">D30-D28</f>
        <v>-2.18000000000131</v>
      </c>
      <c r="E29" s="69" t="n">
        <f aca="false">E30-E28</f>
        <v>4.56000000000051</v>
      </c>
      <c r="F29" s="69" t="n">
        <f aca="false">F30-F28</f>
        <v>2.85000000000059</v>
      </c>
      <c r="G29" s="69" t="n">
        <f aca="false">G30-G28</f>
        <v>0.399999999999864</v>
      </c>
      <c r="H29" s="69" t="n">
        <f aca="false">H30-H28</f>
        <v>-1.49999999999932</v>
      </c>
      <c r="I29" s="69" t="n">
        <f aca="false">I30-I28</f>
        <v>-3.09000000000037</v>
      </c>
      <c r="J29" s="69" t="n">
        <f aca="false">J30-J28</f>
        <v>-3.93999999999983</v>
      </c>
      <c r="K29" s="53" t="n">
        <f aca="false">AVERAGE(D29:J29)</f>
        <v>-0.414285714285695</v>
      </c>
      <c r="L29" s="53" t="n">
        <f aca="false">J29-D29</f>
        <v>-1.75999999999851</v>
      </c>
    </row>
    <row r="30" customFormat="false" ht="15" hidden="false" customHeight="false" outlineLevel="0" collapsed="false">
      <c r="A30" s="16" t="s">
        <v>535</v>
      </c>
      <c r="B30" s="87" t="s">
        <v>536</v>
      </c>
      <c r="C30" s="17" t="s">
        <v>493</v>
      </c>
      <c r="D30" s="96" t="n">
        <v>403.52</v>
      </c>
      <c r="E30" s="96" t="n">
        <v>505.26</v>
      </c>
      <c r="F30" s="96" t="n">
        <v>1055.12</v>
      </c>
      <c r="G30" s="96" t="n">
        <v>1173.87</v>
      </c>
      <c r="H30" s="96" t="n">
        <v>1260.59</v>
      </c>
      <c r="I30" s="96" t="n">
        <v>1290.01</v>
      </c>
      <c r="J30" s="96" t="n">
        <v>1241.8</v>
      </c>
      <c r="K30" s="53" t="n">
        <f aca="false">AVERAGE(D30:J30)</f>
        <v>990.024285714286</v>
      </c>
      <c r="L30" s="53" t="n">
        <f aca="false">J30-D30</f>
        <v>838.28</v>
      </c>
    </row>
    <row r="31" customFormat="false" ht="15" hidden="false" customHeight="false" outlineLevel="0" collapsed="false">
      <c r="A31" s="16" t="s">
        <v>537</v>
      </c>
      <c r="B31" s="87" t="s">
        <v>538</v>
      </c>
      <c r="C31" s="17" t="s">
        <v>493</v>
      </c>
      <c r="D31" s="96" t="n">
        <v>219.35</v>
      </c>
      <c r="E31" s="96" t="n">
        <v>304.65</v>
      </c>
      <c r="F31" s="96" t="n">
        <v>548.37</v>
      </c>
      <c r="G31" s="96" t="n">
        <v>670.23</v>
      </c>
      <c r="H31" s="96" t="n">
        <v>700.7</v>
      </c>
      <c r="I31" s="96" t="n">
        <v>700.7</v>
      </c>
      <c r="J31" s="96" t="n">
        <v>654.99</v>
      </c>
      <c r="K31" s="53" t="n">
        <f aca="false">AVERAGE(D31:J31)</f>
        <v>542.712857142857</v>
      </c>
      <c r="L31" s="53" t="n">
        <f aca="false">J31-D31</f>
        <v>435.64</v>
      </c>
    </row>
    <row r="32" customFormat="false" ht="15" hidden="false" customHeight="false" outlineLevel="0" collapsed="false">
      <c r="A32" s="16" t="s">
        <v>539</v>
      </c>
      <c r="B32" s="87" t="s">
        <v>540</v>
      </c>
      <c r="C32" s="17" t="s">
        <v>493</v>
      </c>
      <c r="D32" s="96" t="n">
        <v>0</v>
      </c>
      <c r="E32" s="96" t="n">
        <v>0</v>
      </c>
      <c r="F32" s="96" t="n">
        <v>0</v>
      </c>
      <c r="G32" s="96" t="n">
        <v>0</v>
      </c>
      <c r="H32" s="96" t="n">
        <v>0</v>
      </c>
      <c r="I32" s="96" t="n">
        <v>0</v>
      </c>
      <c r="J32" s="96" t="n">
        <v>0</v>
      </c>
      <c r="K32" s="53" t="n">
        <f aca="false">AVERAGE(D32:J32)</f>
        <v>0</v>
      </c>
      <c r="L32" s="53" t="n">
        <f aca="false">J32-D32</f>
        <v>0</v>
      </c>
    </row>
    <row r="34" customFormat="false" ht="19.5" hidden="false" customHeight="true" outlineLevel="0" collapsed="false">
      <c r="A34" s="85" t="s">
        <v>541</v>
      </c>
      <c r="B34" s="86"/>
      <c r="C34" s="86"/>
      <c r="D34" s="86"/>
      <c r="E34" s="86"/>
      <c r="F34" s="86"/>
      <c r="G34" s="86"/>
      <c r="H34" s="86"/>
      <c r="I34" s="86"/>
      <c r="J34" s="86"/>
      <c r="K34" s="86"/>
      <c r="L34" s="86"/>
    </row>
    <row r="35" customFormat="false" ht="16.5" hidden="false" customHeight="true" outlineLevel="0" collapsed="false">
      <c r="A35" s="88" t="s">
        <v>542</v>
      </c>
      <c r="B35" s="89"/>
      <c r="C35" s="89"/>
      <c r="D35" s="89"/>
      <c r="E35" s="89"/>
      <c r="F35" s="89"/>
      <c r="G35" s="89"/>
      <c r="H35" s="89"/>
      <c r="I35" s="89"/>
      <c r="J35" s="89"/>
      <c r="K35" s="89"/>
      <c r="L35" s="89"/>
    </row>
    <row r="36" customFormat="false" ht="15" hidden="false" customHeight="false" outlineLevel="0" collapsed="false">
      <c r="A36" s="16" t="s">
        <v>543</v>
      </c>
      <c r="B36" s="87" t="s">
        <v>544</v>
      </c>
      <c r="C36" s="17" t="s">
        <v>493</v>
      </c>
      <c r="D36" s="96" t="n">
        <v>304.65</v>
      </c>
      <c r="E36" s="96" t="n">
        <v>304.65</v>
      </c>
      <c r="F36" s="96" t="n">
        <v>304.65</v>
      </c>
      <c r="G36" s="96" t="n">
        <v>304.65</v>
      </c>
      <c r="H36" s="96" t="n">
        <v>304.65</v>
      </c>
      <c r="I36" s="96" t="n">
        <v>304.65</v>
      </c>
      <c r="J36" s="96" t="n">
        <v>380.81</v>
      </c>
      <c r="K36" s="53" t="n">
        <f aca="false">AVERAGE(D36:J36)</f>
        <v>315.53</v>
      </c>
      <c r="L36" s="53" t="n">
        <f aca="false">J36-D36</f>
        <v>76.16</v>
      </c>
    </row>
    <row r="37" customFormat="false" ht="15" hidden="false" customHeight="false" outlineLevel="0" collapsed="false">
      <c r="A37" s="16" t="s">
        <v>545</v>
      </c>
      <c r="B37" s="87" t="s">
        <v>540</v>
      </c>
      <c r="C37" s="17" t="s">
        <v>493</v>
      </c>
      <c r="D37" s="96" t="n">
        <v>0</v>
      </c>
      <c r="E37" s="96" t="n">
        <v>0</v>
      </c>
      <c r="F37" s="96" t="n">
        <v>0</v>
      </c>
      <c r="G37" s="96" t="n">
        <v>0</v>
      </c>
      <c r="H37" s="96" t="n">
        <v>0</v>
      </c>
      <c r="I37" s="96" t="n">
        <v>0</v>
      </c>
      <c r="J37" s="96" t="n">
        <v>0</v>
      </c>
      <c r="K37" s="53" t="n">
        <f aca="false">AVERAGE(D37:J37)</f>
        <v>0</v>
      </c>
      <c r="L37" s="53" t="n">
        <f aca="false">J37-D37</f>
        <v>0</v>
      </c>
    </row>
    <row r="38" customFormat="false" ht="15" hidden="false" customHeight="false" outlineLevel="0" collapsed="false">
      <c r="A38" s="16" t="s">
        <v>546</v>
      </c>
      <c r="B38" s="87" t="s">
        <v>547</v>
      </c>
      <c r="C38" s="17" t="s">
        <v>493</v>
      </c>
      <c r="D38" s="96" t="n">
        <v>9741.45</v>
      </c>
      <c r="E38" s="96" t="n">
        <v>9882.61</v>
      </c>
      <c r="F38" s="96" t="n">
        <v>10450.9</v>
      </c>
      <c r="G38" s="96" t="n">
        <v>10921.38</v>
      </c>
      <c r="H38" s="96" t="n">
        <v>11518.56</v>
      </c>
      <c r="I38" s="96" t="n">
        <v>12076.81</v>
      </c>
      <c r="J38" s="96" t="n">
        <v>12561.54</v>
      </c>
      <c r="K38" s="53" t="n">
        <f aca="false">AVERAGE(D38:J38)</f>
        <v>11021.8928571429</v>
      </c>
      <c r="L38" s="53" t="n">
        <f aca="false">J38-D38</f>
        <v>2820.09</v>
      </c>
    </row>
    <row r="39" customFormat="false" ht="15" hidden="false" customHeight="false" outlineLevel="0" collapsed="false">
      <c r="A39" s="12" t="s">
        <v>548</v>
      </c>
      <c r="B39" s="87" t="s">
        <v>549</v>
      </c>
      <c r="C39" s="17" t="s">
        <v>493</v>
      </c>
      <c r="D39" s="29" t="n">
        <f aca="false">D36+D38</f>
        <v>10046.1</v>
      </c>
      <c r="E39" s="29" t="n">
        <f aca="false">E36+E38</f>
        <v>10187.26</v>
      </c>
      <c r="F39" s="29" t="n">
        <f aca="false">F36+F38</f>
        <v>10755.55</v>
      </c>
      <c r="G39" s="29" t="n">
        <f aca="false">G36+G38</f>
        <v>11226.03</v>
      </c>
      <c r="H39" s="29" t="n">
        <f aca="false">H36+H38</f>
        <v>11823.21</v>
      </c>
      <c r="I39" s="29" t="n">
        <f aca="false">I36+I38</f>
        <v>12381.46</v>
      </c>
      <c r="J39" s="29" t="n">
        <f aca="false">J36+J38</f>
        <v>12942.35</v>
      </c>
      <c r="K39" s="29" t="n">
        <f aca="false">AVERAGE(D39:J39)</f>
        <v>11337.4228571429</v>
      </c>
      <c r="L39" s="29" t="n">
        <f aca="false">J39-D39</f>
        <v>2896.25</v>
      </c>
    </row>
    <row r="40" customFormat="false" ht="15" hidden="false" customHeight="false" outlineLevel="0" collapsed="false">
      <c r="A40" s="12" t="s">
        <v>550</v>
      </c>
      <c r="B40" s="87" t="s">
        <v>551</v>
      </c>
      <c r="C40" s="17" t="s">
        <v>493</v>
      </c>
      <c r="D40" s="29" t="n">
        <f aca="false">D39+D37</f>
        <v>10046.1</v>
      </c>
      <c r="E40" s="29" t="n">
        <f aca="false">E39+E37</f>
        <v>10187.26</v>
      </c>
      <c r="F40" s="29" t="n">
        <f aca="false">F39+F37</f>
        <v>10755.55</v>
      </c>
      <c r="G40" s="29" t="n">
        <f aca="false">G39+G37</f>
        <v>11226.03</v>
      </c>
      <c r="H40" s="29" t="n">
        <f aca="false">H39+H37</f>
        <v>11823.21</v>
      </c>
      <c r="I40" s="29" t="n">
        <f aca="false">I39+I37</f>
        <v>12381.46</v>
      </c>
      <c r="J40" s="29" t="n">
        <f aca="false">J39+J37</f>
        <v>12942.35</v>
      </c>
      <c r="K40" s="29" t="n">
        <f aca="false">AVERAGE(D40:J40)</f>
        <v>11337.4228571429</v>
      </c>
      <c r="L40" s="29" t="n">
        <f aca="false">J40-D40</f>
        <v>2896.25</v>
      </c>
    </row>
    <row r="41" customFormat="false" ht="15" hidden="false" customHeight="false" outlineLevel="0" collapsed="false">
      <c r="A41" s="16" t="s">
        <v>552</v>
      </c>
      <c r="B41" s="87" t="s">
        <v>553</v>
      </c>
      <c r="C41" s="17" t="s">
        <v>493</v>
      </c>
      <c r="D41" s="96" t="n">
        <v>70</v>
      </c>
      <c r="E41" s="96" t="n">
        <v>722.93</v>
      </c>
      <c r="F41" s="96" t="n">
        <v>735.28</v>
      </c>
      <c r="G41" s="96" t="n">
        <v>778.64</v>
      </c>
      <c r="H41" s="96" t="n">
        <v>938.7</v>
      </c>
      <c r="I41" s="96" t="n">
        <v>861.46</v>
      </c>
      <c r="J41" s="96" t="n">
        <v>964.57</v>
      </c>
      <c r="K41" s="53" t="n">
        <f aca="false">AVERAGE(D41:J41)</f>
        <v>724.511428571429</v>
      </c>
      <c r="L41" s="53" t="n">
        <f aca="false">J41-D41</f>
        <v>894.57</v>
      </c>
    </row>
    <row r="42" customFormat="false" ht="15" hidden="false" customHeight="false" outlineLevel="0" collapsed="false">
      <c r="A42" s="16" t="s">
        <v>554</v>
      </c>
      <c r="B42" s="87" t="s">
        <v>555</v>
      </c>
      <c r="C42" s="17" t="s">
        <v>493</v>
      </c>
      <c r="D42" s="96" t="n">
        <v>1672.66</v>
      </c>
      <c r="E42" s="96" t="n">
        <v>1500.26</v>
      </c>
      <c r="F42" s="96" t="n">
        <v>1511.43</v>
      </c>
      <c r="G42" s="96" t="n">
        <v>1460.39</v>
      </c>
      <c r="H42" s="96" t="n">
        <v>1276.25</v>
      </c>
      <c r="I42" s="96" t="n">
        <v>1234.34</v>
      </c>
      <c r="J42" s="96" t="n">
        <v>1268.86</v>
      </c>
      <c r="K42" s="53" t="n">
        <f aca="false">AVERAGE(D42:J42)</f>
        <v>1417.74142857143</v>
      </c>
      <c r="L42" s="53" t="n">
        <f aca="false">J42-D42</f>
        <v>-403.8</v>
      </c>
    </row>
    <row r="43" customFormat="false" ht="15" hidden="false" customHeight="false" outlineLevel="0" collapsed="false">
      <c r="A43" s="12" t="s">
        <v>556</v>
      </c>
      <c r="B43" s="87" t="s">
        <v>557</v>
      </c>
      <c r="C43" s="17" t="s">
        <v>493</v>
      </c>
      <c r="D43" s="90" t="n">
        <f aca="false">D40+D41+D42</f>
        <v>11788.76</v>
      </c>
      <c r="E43" s="90" t="n">
        <f aca="false">E40+E41+E42</f>
        <v>12410.45</v>
      </c>
      <c r="F43" s="90" t="n">
        <f aca="false">F40+F41+F42</f>
        <v>13002.26</v>
      </c>
      <c r="G43" s="90" t="n">
        <f aca="false">G40+G41+G42</f>
        <v>13465.06</v>
      </c>
      <c r="H43" s="90" t="n">
        <f aca="false">H40+H41+H42</f>
        <v>14038.16</v>
      </c>
      <c r="I43" s="90" t="n">
        <f aca="false">I40+I41+I42</f>
        <v>14477.26</v>
      </c>
      <c r="J43" s="90" t="n">
        <f aca="false">J40+J41+J42</f>
        <v>15175.78</v>
      </c>
      <c r="K43" s="91" t="n">
        <f aca="false">AVERAGE(D43:J43)</f>
        <v>13479.6757142857</v>
      </c>
      <c r="L43" s="91" t="n">
        <f aca="false">J43-D43</f>
        <v>3387.02</v>
      </c>
    </row>
    <row r="44" customFormat="false" ht="16.5" hidden="false" customHeight="true" outlineLevel="0" collapsed="false">
      <c r="A44" s="88" t="s">
        <v>558</v>
      </c>
      <c r="B44" s="89"/>
      <c r="C44" s="89"/>
      <c r="D44" s="89"/>
      <c r="E44" s="89"/>
      <c r="F44" s="89"/>
      <c r="G44" s="89"/>
      <c r="H44" s="89"/>
      <c r="I44" s="89"/>
      <c r="J44" s="89"/>
      <c r="K44" s="89"/>
      <c r="L44" s="89"/>
    </row>
    <row r="45" customFormat="false" ht="15" hidden="false" customHeight="false" outlineLevel="0" collapsed="false">
      <c r="A45" s="16" t="s">
        <v>559</v>
      </c>
      <c r="B45" s="87" t="s">
        <v>560</v>
      </c>
      <c r="C45" s="17" t="s">
        <v>493</v>
      </c>
      <c r="D45" s="96" t="n">
        <v>5347.81</v>
      </c>
      <c r="E45" s="96" t="n">
        <v>5662.68</v>
      </c>
      <c r="F45" s="96" t="n">
        <v>5722.71</v>
      </c>
      <c r="G45" s="96" t="n">
        <v>5620.69</v>
      </c>
      <c r="H45" s="96" t="n">
        <v>6014.76</v>
      </c>
      <c r="I45" s="96" t="n">
        <v>6578.47</v>
      </c>
      <c r="J45" s="96" t="n">
        <v>7172.5</v>
      </c>
      <c r="K45" s="53" t="n">
        <f aca="false">AVERAGE(D45:J45)</f>
        <v>6017.08857142857</v>
      </c>
      <c r="L45" s="53" t="n">
        <f aca="false">J45-D45</f>
        <v>1824.69</v>
      </c>
    </row>
    <row r="46" customFormat="false" ht="15" hidden="false" customHeight="false" outlineLevel="0" collapsed="false">
      <c r="A46" s="16" t="s">
        <v>561</v>
      </c>
      <c r="B46" s="87" t="s">
        <v>562</v>
      </c>
      <c r="C46" s="17" t="s">
        <v>493</v>
      </c>
      <c r="D46" s="96" t="n">
        <v>943.07</v>
      </c>
      <c r="E46" s="96" t="n">
        <v>922.56</v>
      </c>
      <c r="F46" s="96" t="n">
        <v>755.44</v>
      </c>
      <c r="G46" s="96" t="n">
        <v>836.74</v>
      </c>
      <c r="H46" s="96" t="n">
        <v>892.65</v>
      </c>
      <c r="I46" s="96" t="n">
        <v>854.33</v>
      </c>
      <c r="J46" s="96" t="n">
        <v>906.14</v>
      </c>
      <c r="K46" s="53" t="n">
        <f aca="false">AVERAGE(D46:J46)</f>
        <v>872.99</v>
      </c>
      <c r="L46" s="53" t="n">
        <f aca="false">J46-D46</f>
        <v>-36.9300000000001</v>
      </c>
    </row>
    <row r="47" customFormat="false" ht="15" hidden="false" customHeight="false" outlineLevel="0" collapsed="false">
      <c r="A47" s="16" t="s">
        <v>563</v>
      </c>
      <c r="B47" s="87" t="s">
        <v>564</v>
      </c>
      <c r="C47" s="17" t="s">
        <v>493</v>
      </c>
      <c r="D47" s="96" t="n">
        <v>1198.92</v>
      </c>
      <c r="E47" s="96" t="n">
        <v>1261.32</v>
      </c>
      <c r="F47" s="96" t="n">
        <v>1207.04</v>
      </c>
      <c r="G47" s="96" t="n">
        <v>1213.26</v>
      </c>
      <c r="H47" s="96" t="n">
        <v>1107.06</v>
      </c>
      <c r="I47" s="96" t="n">
        <v>1120.71</v>
      </c>
      <c r="J47" s="96" t="n">
        <v>1068.61</v>
      </c>
      <c r="K47" s="53" t="n">
        <f aca="false">AVERAGE(D47:J47)</f>
        <v>1168.13142857143</v>
      </c>
      <c r="L47" s="53" t="n">
        <f aca="false">J47-D47</f>
        <v>-130.31</v>
      </c>
    </row>
    <row r="48" customFormat="false" ht="15" hidden="false" customHeight="false" outlineLevel="0" collapsed="false">
      <c r="A48" s="16" t="s">
        <v>565</v>
      </c>
      <c r="B48" s="87" t="s">
        <v>566</v>
      </c>
      <c r="C48" s="17" t="s">
        <v>493</v>
      </c>
      <c r="D48" s="96" t="n">
        <v>4298.96</v>
      </c>
      <c r="E48" s="96" t="n">
        <v>4563.89</v>
      </c>
      <c r="F48" s="96" t="n">
        <v>5317.07</v>
      </c>
      <c r="G48" s="96" t="n">
        <v>5794.37</v>
      </c>
      <c r="H48" s="96" t="n">
        <v>6023.69</v>
      </c>
      <c r="I48" s="96" t="n">
        <v>5923.75</v>
      </c>
      <c r="J48" s="96" t="n">
        <v>6028.53</v>
      </c>
      <c r="K48" s="53" t="n">
        <f aca="false">AVERAGE(D48:J48)</f>
        <v>5421.46571428572</v>
      </c>
      <c r="L48" s="53" t="n">
        <f aca="false">J48-D48</f>
        <v>1729.57</v>
      </c>
    </row>
    <row r="49" customFormat="false" ht="15" hidden="false" customHeight="false" outlineLevel="0" collapsed="false">
      <c r="A49" s="12" t="s">
        <v>567</v>
      </c>
      <c r="B49" s="87" t="s">
        <v>568</v>
      </c>
      <c r="C49" s="17" t="s">
        <v>493</v>
      </c>
      <c r="D49" s="90" t="n">
        <f aca="false">D45+D46+D47+D48</f>
        <v>11788.76</v>
      </c>
      <c r="E49" s="90" t="n">
        <f aca="false">E45+E46+E47+E48</f>
        <v>12410.45</v>
      </c>
      <c r="F49" s="90" t="n">
        <f aca="false">F45+F46+F47+F48</f>
        <v>13002.26</v>
      </c>
      <c r="G49" s="90" t="n">
        <f aca="false">G45+G46+G47+G48</f>
        <v>13465.06</v>
      </c>
      <c r="H49" s="90" t="n">
        <f aca="false">H45+H46+H47+H48</f>
        <v>14038.16</v>
      </c>
      <c r="I49" s="90" t="n">
        <f aca="false">I45+I46+I47+I48</f>
        <v>14477.26</v>
      </c>
      <c r="J49" s="90" t="n">
        <f aca="false">J45+J46+J47+J48</f>
        <v>15175.78</v>
      </c>
      <c r="K49" s="91" t="n">
        <f aca="false">AVERAGE(D49:J49)</f>
        <v>13479.6757142857</v>
      </c>
      <c r="L49" s="91" t="n">
        <f aca="false">J49-D49</f>
        <v>3387.02</v>
      </c>
    </row>
    <row r="50" customFormat="false" ht="15" hidden="false" customHeight="false" outlineLevel="0" collapsed="false">
      <c r="A50" s="16" t="s">
        <v>569</v>
      </c>
      <c r="B50" s="87" t="s">
        <v>570</v>
      </c>
      <c r="C50" s="17" t="s">
        <v>493</v>
      </c>
      <c r="D50" s="96" t="n">
        <v>164.63</v>
      </c>
      <c r="E50" s="96" t="n">
        <v>161.03</v>
      </c>
      <c r="F50" s="96" t="n">
        <v>181.72</v>
      </c>
      <c r="G50" s="96" t="n">
        <v>216</v>
      </c>
      <c r="H50" s="96" t="n">
        <v>333.63</v>
      </c>
      <c r="I50" s="96" t="n">
        <v>399.98</v>
      </c>
      <c r="J50" s="96" t="n">
        <v>484.98</v>
      </c>
      <c r="K50" s="53" t="n">
        <f aca="false">AVERAGE(D50:J50)</f>
        <v>277.424285714286</v>
      </c>
      <c r="L50" s="53" t="n">
        <f aca="false">J50-D50</f>
        <v>320.35</v>
      </c>
    </row>
    <row r="51" customFormat="false" ht="15" hidden="false" customHeight="false" outlineLevel="0" collapsed="false">
      <c r="A51" s="16" t="s">
        <v>571</v>
      </c>
      <c r="B51" s="87" t="s">
        <v>570</v>
      </c>
      <c r="C51" s="17" t="s">
        <v>493</v>
      </c>
      <c r="D51" s="96" t="n">
        <v>26.38</v>
      </c>
      <c r="E51" s="96" t="n">
        <v>24.09</v>
      </c>
      <c r="F51" s="96" t="n">
        <v>31.49</v>
      </c>
      <c r="G51" s="96" t="n">
        <v>37.3</v>
      </c>
      <c r="H51" s="96" t="n">
        <v>50.34</v>
      </c>
      <c r="I51" s="96" t="n">
        <v>50.05</v>
      </c>
      <c r="J51" s="96" t="n">
        <v>52.34</v>
      </c>
      <c r="K51" s="53" t="n">
        <f aca="false">AVERAGE(D51:J51)</f>
        <v>38.8557142857143</v>
      </c>
      <c r="L51" s="53" t="n">
        <f aca="false">J51-D51</f>
        <v>25.96</v>
      </c>
    </row>
    <row r="52" customFormat="false" ht="15" hidden="false" customHeight="false" outlineLevel="0" collapsed="false">
      <c r="A52" s="16" t="s">
        <v>572</v>
      </c>
      <c r="B52" s="87" t="s">
        <v>570</v>
      </c>
      <c r="C52" s="17" t="s">
        <v>493</v>
      </c>
      <c r="D52" s="96" t="n">
        <v>2191.62</v>
      </c>
      <c r="E52" s="96" t="n">
        <v>2492.8</v>
      </c>
      <c r="F52" s="96" t="n">
        <v>2917.84</v>
      </c>
      <c r="G52" s="96" t="n">
        <v>3102.12</v>
      </c>
      <c r="H52" s="96" t="n">
        <v>3296.09</v>
      </c>
      <c r="I52" s="96" t="n">
        <v>3663.1</v>
      </c>
      <c r="J52" s="96" t="n">
        <v>3487.32</v>
      </c>
      <c r="K52" s="53" t="n">
        <f aca="false">AVERAGE(D52:J52)</f>
        <v>3021.55571428571</v>
      </c>
      <c r="L52" s="53" t="n">
        <f aca="false">J52-D52</f>
        <v>1295.7</v>
      </c>
    </row>
    <row r="53" customFormat="false" ht="15" hidden="false" customHeight="false" outlineLevel="0" collapsed="false">
      <c r="A53" s="16" t="s">
        <v>573</v>
      </c>
      <c r="B53" s="87" t="s">
        <v>574</v>
      </c>
      <c r="C53" s="17" t="s">
        <v>493</v>
      </c>
      <c r="D53" s="92" t="n">
        <f aca="false">D49-D43</f>
        <v>0</v>
      </c>
      <c r="E53" s="92" t="n">
        <f aca="false">E49-E43</f>
        <v>0</v>
      </c>
      <c r="F53" s="92" t="n">
        <f aca="false">F49-F43</f>
        <v>0</v>
      </c>
      <c r="G53" s="92" t="n">
        <f aca="false">G49-G43</f>
        <v>0</v>
      </c>
      <c r="H53" s="92" t="n">
        <f aca="false">H49-H43</f>
        <v>0</v>
      </c>
      <c r="I53" s="92" t="n">
        <f aca="false">I49-I43</f>
        <v>0</v>
      </c>
      <c r="J53" s="92" t="n">
        <f aca="false">J49-J43</f>
        <v>0</v>
      </c>
      <c r="K53" s="53"/>
      <c r="L53" s="53"/>
    </row>
    <row r="55" customFormat="false" ht="19.5" hidden="false" customHeight="true" outlineLevel="0" collapsed="false">
      <c r="A55" s="85" t="s">
        <v>575</v>
      </c>
      <c r="B55" s="86"/>
      <c r="C55" s="86"/>
      <c r="D55" s="86"/>
      <c r="E55" s="86"/>
      <c r="F55" s="86"/>
      <c r="G55" s="86"/>
      <c r="H55" s="86"/>
      <c r="I55" s="86"/>
      <c r="J55" s="86"/>
      <c r="K55" s="86"/>
      <c r="L55" s="86"/>
    </row>
    <row r="56" customFormat="false" ht="16.5" hidden="false" customHeight="true" outlineLevel="0" collapsed="false">
      <c r="A56" s="88" t="s">
        <v>576</v>
      </c>
      <c r="B56" s="89"/>
      <c r="C56" s="89"/>
      <c r="D56" s="89"/>
      <c r="E56" s="89"/>
      <c r="F56" s="89"/>
      <c r="G56" s="89"/>
      <c r="H56" s="89"/>
      <c r="I56" s="89"/>
      <c r="J56" s="89"/>
      <c r="K56" s="89"/>
      <c r="L56" s="89"/>
    </row>
    <row r="57" customFormat="false" ht="15" hidden="false" customHeight="false" outlineLevel="0" collapsed="false">
      <c r="A57" s="16" t="s">
        <v>527</v>
      </c>
      <c r="B57" s="87" t="s">
        <v>577</v>
      </c>
      <c r="C57" s="17" t="s">
        <v>493</v>
      </c>
      <c r="D57" s="69" t="n">
        <f aca="false">D26</f>
        <v>543.790000000001</v>
      </c>
      <c r="E57" s="69" t="n">
        <f aca="false">E26</f>
        <v>673.68</v>
      </c>
      <c r="F57" s="69" t="n">
        <f aca="false">F26</f>
        <v>1394.47</v>
      </c>
      <c r="G57" s="69" t="n">
        <f aca="false">G26</f>
        <v>1563.19</v>
      </c>
      <c r="H57" s="69" t="n">
        <f aca="false">H26</f>
        <v>1668.54</v>
      </c>
      <c r="I57" s="69" t="n">
        <f aca="false">I26</f>
        <v>1722.06</v>
      </c>
      <c r="J57" s="69" t="n">
        <f aca="false">J26</f>
        <v>1650.77</v>
      </c>
      <c r="K57" s="53" t="n">
        <f aca="false">AVERAGE(D57:J57)</f>
        <v>1316.64285714286</v>
      </c>
      <c r="L57" s="53" t="n">
        <f aca="false">J57-D57</f>
        <v>1106.98</v>
      </c>
    </row>
    <row r="58" customFormat="false" ht="15" hidden="false" customHeight="false" outlineLevel="0" collapsed="false">
      <c r="A58" s="16" t="s">
        <v>578</v>
      </c>
      <c r="B58" s="87" t="s">
        <v>579</v>
      </c>
      <c r="C58" s="17" t="s">
        <v>493</v>
      </c>
      <c r="D58" s="69" t="n">
        <f aca="false">D22</f>
        <v>544.41</v>
      </c>
      <c r="E58" s="69" t="n">
        <f aca="false">E22</f>
        <v>553.38</v>
      </c>
      <c r="F58" s="69" t="n">
        <f aca="false">F22</f>
        <v>561.42</v>
      </c>
      <c r="G58" s="69" t="n">
        <f aca="false">G22</f>
        <v>573.01</v>
      </c>
      <c r="H58" s="69" t="n">
        <f aca="false">H22</f>
        <v>618.61</v>
      </c>
      <c r="I58" s="69" t="n">
        <f aca="false">I22</f>
        <v>581.24</v>
      </c>
      <c r="J58" s="69" t="n">
        <f aca="false">J22</f>
        <v>615.53</v>
      </c>
      <c r="K58" s="53" t="n">
        <f aca="false">AVERAGE(D58:J58)</f>
        <v>578.228571428571</v>
      </c>
      <c r="L58" s="53" t="n">
        <f aca="false">J58-D58</f>
        <v>71.12</v>
      </c>
    </row>
    <row r="59" customFormat="false" ht="15" hidden="false" customHeight="false" outlineLevel="0" collapsed="false">
      <c r="A59" s="16" t="s">
        <v>580</v>
      </c>
      <c r="B59" s="87" t="s">
        <v>581</v>
      </c>
      <c r="C59" s="17" t="s">
        <v>493</v>
      </c>
      <c r="D59" s="69" t="n">
        <f aca="false">D25</f>
        <v>46.44</v>
      </c>
      <c r="E59" s="69" t="n">
        <f aca="false">E25</f>
        <v>43.41</v>
      </c>
      <c r="F59" s="69" t="n">
        <f aca="false">F25</f>
        <v>62.84</v>
      </c>
      <c r="G59" s="69" t="n">
        <f aca="false">G25</f>
        <v>64.68</v>
      </c>
      <c r="H59" s="69" t="n">
        <f aca="false">H25</f>
        <v>71.73</v>
      </c>
      <c r="I59" s="69" t="n">
        <f aca="false">I25</f>
        <v>73.56</v>
      </c>
      <c r="J59" s="69" t="n">
        <f aca="false">J25</f>
        <v>78.53</v>
      </c>
      <c r="K59" s="53" t="n">
        <f aca="false">AVERAGE(D59:J59)</f>
        <v>63.0271428571429</v>
      </c>
      <c r="L59" s="53" t="n">
        <f aca="false">J59-D59</f>
        <v>32.09</v>
      </c>
    </row>
    <row r="60" customFormat="false" ht="15" hidden="false" customHeight="false" outlineLevel="0" collapsed="false">
      <c r="A60" s="16" t="s">
        <v>582</v>
      </c>
      <c r="B60" s="87" t="s">
        <v>583</v>
      </c>
      <c r="C60" s="17" t="s">
        <v>493</v>
      </c>
      <c r="D60" s="69" t="n">
        <f aca="false">-D24</f>
        <v>559.58</v>
      </c>
      <c r="E60" s="69" t="n">
        <f aca="false">-E24</f>
        <v>-223.08</v>
      </c>
      <c r="F60" s="69" t="n">
        <f aca="false">-F24</f>
        <v>-270.26</v>
      </c>
      <c r="G60" s="69" t="n">
        <f aca="false">-G24</f>
        <v>-333.08</v>
      </c>
      <c r="H60" s="69" t="n">
        <f aca="false">-H24</f>
        <v>-400.2</v>
      </c>
      <c r="I60" s="69" t="n">
        <f aca="false">-I24</f>
        <v>-446.85</v>
      </c>
      <c r="J60" s="69" t="n">
        <f aca="false">-J24</f>
        <v>-393.51</v>
      </c>
      <c r="K60" s="53" t="n">
        <f aca="false">AVERAGE(D60:J60)</f>
        <v>-215.342857142857</v>
      </c>
      <c r="L60" s="53" t="n">
        <f aca="false">J60-D60</f>
        <v>-953.09</v>
      </c>
    </row>
    <row r="61" customFormat="false" ht="15" hidden="false" customHeight="false" outlineLevel="0" collapsed="false">
      <c r="A61" s="12" t="s">
        <v>584</v>
      </c>
      <c r="B61" s="87" t="s">
        <v>585</v>
      </c>
      <c r="C61" s="17" t="s">
        <v>493</v>
      </c>
      <c r="D61" s="29" t="n">
        <f aca="false">D57+D58+D59+D60</f>
        <v>1694.22</v>
      </c>
      <c r="E61" s="29" t="n">
        <f aca="false">E57+E58+E59+E60</f>
        <v>1047.39</v>
      </c>
      <c r="F61" s="29" t="n">
        <f aca="false">F57+F58+F59+F60</f>
        <v>1748.47</v>
      </c>
      <c r="G61" s="29" t="n">
        <f aca="false">G57+G58+G59+G60</f>
        <v>1867.8</v>
      </c>
      <c r="H61" s="29" t="n">
        <f aca="false">H57+H58+H59+H60</f>
        <v>1958.68</v>
      </c>
      <c r="I61" s="29" t="n">
        <f aca="false">I57+I58+I59+I60</f>
        <v>1930.01</v>
      </c>
      <c r="J61" s="29" t="n">
        <f aca="false">J57+J58+J59+J60</f>
        <v>1951.32</v>
      </c>
      <c r="K61" s="29" t="n">
        <f aca="false">AVERAGE(D61:J61)</f>
        <v>1742.55571428571</v>
      </c>
      <c r="L61" s="29" t="n">
        <f aca="false">J61-D61</f>
        <v>257.099999999999</v>
      </c>
    </row>
    <row r="62" customFormat="false" ht="15" hidden="false" customHeight="false" outlineLevel="0" collapsed="false">
      <c r="A62" s="16" t="s">
        <v>586</v>
      </c>
      <c r="B62" s="87" t="s">
        <v>587</v>
      </c>
      <c r="C62" s="17" t="s">
        <v>493</v>
      </c>
      <c r="D62" s="69" t="n">
        <f aca="false">D63-D61</f>
        <v>2591.55</v>
      </c>
      <c r="E62" s="69" t="n">
        <f aca="false">E63-E61</f>
        <v>-18.3299999999997</v>
      </c>
      <c r="F62" s="69" t="n">
        <f aca="false">F63-F61</f>
        <v>-379.049999999999</v>
      </c>
      <c r="G62" s="69" t="n">
        <f aca="false">G63-G61</f>
        <v>-461.97</v>
      </c>
      <c r="H62" s="69" t="n">
        <f aca="false">H63-H61</f>
        <v>-570.179999999999</v>
      </c>
      <c r="I62" s="69" t="n">
        <f aca="false">I63-I61</f>
        <v>-218.47</v>
      </c>
      <c r="J62" s="69" t="n">
        <f aca="false">J63-J61</f>
        <v>-469.09</v>
      </c>
      <c r="K62" s="53" t="n">
        <f aca="false">AVERAGE(D62:J62)</f>
        <v>67.7800000000002</v>
      </c>
      <c r="L62" s="53" t="n">
        <f aca="false">J62-D62</f>
        <v>-3060.64</v>
      </c>
    </row>
    <row r="63" customFormat="false" ht="15" hidden="false" customHeight="false" outlineLevel="0" collapsed="false">
      <c r="A63" s="16" t="s">
        <v>588</v>
      </c>
      <c r="B63" s="87" t="s">
        <v>589</v>
      </c>
      <c r="C63" s="17" t="s">
        <v>493</v>
      </c>
      <c r="D63" s="96" t="n">
        <v>4285.77</v>
      </c>
      <c r="E63" s="96" t="n">
        <v>1029.06</v>
      </c>
      <c r="F63" s="96" t="n">
        <v>1369.42</v>
      </c>
      <c r="G63" s="96" t="n">
        <v>1405.83</v>
      </c>
      <c r="H63" s="96" t="n">
        <v>1388.5</v>
      </c>
      <c r="I63" s="96" t="n">
        <v>1711.54</v>
      </c>
      <c r="J63" s="96" t="n">
        <v>1482.23</v>
      </c>
      <c r="K63" s="53" t="n">
        <f aca="false">AVERAGE(D63:J63)</f>
        <v>1810.33571428571</v>
      </c>
      <c r="L63" s="53" t="n">
        <f aca="false">J63-D63</f>
        <v>-2803.54</v>
      </c>
    </row>
    <row r="64" customFormat="false" ht="16.5" hidden="false" customHeight="true" outlineLevel="0" collapsed="false">
      <c r="A64" s="88" t="s">
        <v>590</v>
      </c>
      <c r="B64" s="89"/>
      <c r="C64" s="89"/>
      <c r="D64" s="89"/>
      <c r="E64" s="89"/>
      <c r="F64" s="89"/>
      <c r="G64" s="89"/>
      <c r="H64" s="89"/>
      <c r="I64" s="89"/>
      <c r="J64" s="89"/>
      <c r="K64" s="89"/>
      <c r="L64" s="89"/>
    </row>
    <row r="65" customFormat="false" ht="15" hidden="false" customHeight="false" outlineLevel="0" collapsed="false">
      <c r="A65" s="16" t="s">
        <v>591</v>
      </c>
      <c r="B65" s="87" t="s">
        <v>592</v>
      </c>
      <c r="C65" s="17" t="s">
        <v>493</v>
      </c>
      <c r="D65" s="96" t="n">
        <v>-2875.04</v>
      </c>
      <c r="E65" s="96" t="n">
        <v>33.71</v>
      </c>
      <c r="F65" s="96" t="n">
        <v>-1070.19</v>
      </c>
      <c r="G65" s="96" t="n">
        <v>-593.44</v>
      </c>
      <c r="H65" s="96" t="n">
        <v>-698.67</v>
      </c>
      <c r="I65" s="96" t="n">
        <v>-628.63</v>
      </c>
      <c r="J65" s="96" t="n">
        <v>-235.85</v>
      </c>
      <c r="K65" s="53" t="n">
        <f aca="false">AVERAGE(D65:J65)</f>
        <v>-866.872857142857</v>
      </c>
      <c r="L65" s="53" t="n">
        <f aca="false">J65-D65</f>
        <v>2639.19</v>
      </c>
    </row>
    <row r="66" customFormat="false" ht="16.5" hidden="false" customHeight="true" outlineLevel="0" collapsed="false">
      <c r="A66" s="88" t="s">
        <v>593</v>
      </c>
      <c r="B66" s="89"/>
      <c r="C66" s="89"/>
      <c r="D66" s="89"/>
      <c r="E66" s="89"/>
      <c r="F66" s="89"/>
      <c r="G66" s="89"/>
      <c r="H66" s="89"/>
      <c r="I66" s="89"/>
      <c r="J66" s="89"/>
      <c r="K66" s="89"/>
      <c r="L66" s="89"/>
    </row>
    <row r="67" customFormat="false" ht="15" hidden="false" customHeight="false" outlineLevel="0" collapsed="false">
      <c r="A67" s="16" t="s">
        <v>594</v>
      </c>
      <c r="B67" s="87" t="s">
        <v>595</v>
      </c>
      <c r="C67" s="17" t="s">
        <v>493</v>
      </c>
      <c r="D67" s="69" t="n">
        <f aca="false">-D25</f>
        <v>-46.44</v>
      </c>
      <c r="E67" s="69" t="n">
        <f aca="false">-E25</f>
        <v>-43.41</v>
      </c>
      <c r="F67" s="69" t="n">
        <f aca="false">-F25</f>
        <v>-62.84</v>
      </c>
      <c r="G67" s="69" t="n">
        <f aca="false">-G25</f>
        <v>-64.68</v>
      </c>
      <c r="H67" s="69" t="n">
        <f aca="false">-H25</f>
        <v>-71.73</v>
      </c>
      <c r="I67" s="69" t="n">
        <f aca="false">-I25</f>
        <v>-73.56</v>
      </c>
      <c r="J67" s="69" t="n">
        <f aca="false">-J25</f>
        <v>-78.53</v>
      </c>
      <c r="K67" s="53" t="n">
        <f aca="false">AVERAGE(D67:J67)</f>
        <v>-63.0271428571429</v>
      </c>
      <c r="L67" s="53" t="n">
        <f aca="false">J67-D67</f>
        <v>-32.09</v>
      </c>
    </row>
    <row r="68" customFormat="false" ht="15" hidden="false" customHeight="false" outlineLevel="0" collapsed="false">
      <c r="A68" s="16" t="s">
        <v>596</v>
      </c>
      <c r="B68" s="87" t="s">
        <v>597</v>
      </c>
      <c r="C68" s="17" t="s">
        <v>493</v>
      </c>
      <c r="D68" s="69" t="n">
        <f aca="false">-D31</f>
        <v>-219.35</v>
      </c>
      <c r="E68" s="69" t="n">
        <f aca="false">-E31</f>
        <v>-304.65</v>
      </c>
      <c r="F68" s="69" t="n">
        <f aca="false">-F31</f>
        <v>-548.37</v>
      </c>
      <c r="G68" s="69" t="n">
        <f aca="false">-G31</f>
        <v>-670.23</v>
      </c>
      <c r="H68" s="69" t="n">
        <f aca="false">-H31</f>
        <v>-700.7</v>
      </c>
      <c r="I68" s="69" t="n">
        <f aca="false">-I31</f>
        <v>-700.7</v>
      </c>
      <c r="J68" s="69" t="n">
        <f aca="false">-J31</f>
        <v>-654.99</v>
      </c>
      <c r="K68" s="53" t="n">
        <f aca="false">AVERAGE(D68:J68)</f>
        <v>-542.712857142857</v>
      </c>
      <c r="L68" s="53" t="n">
        <f aca="false">J68-D68</f>
        <v>-435.64</v>
      </c>
    </row>
    <row r="69" customFormat="false" ht="15" hidden="false" customHeight="false" outlineLevel="0" collapsed="false">
      <c r="A69" s="16" t="s">
        <v>598</v>
      </c>
      <c r="B69" s="87" t="s">
        <v>599</v>
      </c>
      <c r="C69" s="17" t="s">
        <v>493</v>
      </c>
      <c r="D69" s="69" t="n">
        <f aca="false">D70-D67-D68</f>
        <v>-1204.36</v>
      </c>
      <c r="E69" s="69" t="n">
        <f aca="false">E70-E67-E68</f>
        <v>-108.56</v>
      </c>
      <c r="F69" s="69" t="n">
        <f aca="false">F70-F67-F68</f>
        <v>16.23</v>
      </c>
      <c r="G69" s="69" t="n">
        <f aca="false">G70-G67-G68</f>
        <v>-118.68</v>
      </c>
      <c r="H69" s="69" t="n">
        <f aca="false">H70-H67-H68</f>
        <v>-67.67</v>
      </c>
      <c r="I69" s="69" t="n">
        <f aca="false">I70-I67-I68</f>
        <v>-139.8</v>
      </c>
      <c r="J69" s="69" t="n">
        <f aca="false">J70-J67-J68</f>
        <v>-220.82</v>
      </c>
      <c r="K69" s="53" t="n">
        <f aca="false">AVERAGE(D69:J69)</f>
        <v>-263.38</v>
      </c>
      <c r="L69" s="53" t="n">
        <f aca="false">J69-D69</f>
        <v>983.54</v>
      </c>
    </row>
    <row r="70" customFormat="false" ht="15" hidden="false" customHeight="false" outlineLevel="0" collapsed="false">
      <c r="A70" s="16" t="s">
        <v>600</v>
      </c>
      <c r="B70" s="87" t="s">
        <v>601</v>
      </c>
      <c r="C70" s="17" t="s">
        <v>493</v>
      </c>
      <c r="D70" s="96" t="n">
        <v>-1470.15</v>
      </c>
      <c r="E70" s="96" t="n">
        <v>-456.62</v>
      </c>
      <c r="F70" s="96" t="n">
        <v>-594.98</v>
      </c>
      <c r="G70" s="96" t="n">
        <v>-853.59</v>
      </c>
      <c r="H70" s="96" t="n">
        <v>-840.1</v>
      </c>
      <c r="I70" s="96" t="n">
        <v>-914.06</v>
      </c>
      <c r="J70" s="96" t="n">
        <v>-954.34</v>
      </c>
      <c r="K70" s="53" t="n">
        <f aca="false">AVERAGE(D70:J70)</f>
        <v>-869.12</v>
      </c>
      <c r="L70" s="53" t="n">
        <f aca="false">J70-D70</f>
        <v>515.81</v>
      </c>
    </row>
    <row r="71" customFormat="false" ht="15" hidden="false" customHeight="false" outlineLevel="0" collapsed="false">
      <c r="A71" s="12" t="s">
        <v>602</v>
      </c>
      <c r="B71" s="87" t="s">
        <v>603</v>
      </c>
      <c r="C71" s="17" t="s">
        <v>493</v>
      </c>
      <c r="D71" s="90" t="n">
        <f aca="false">D63+D65+D70</f>
        <v>-59.4199999999996</v>
      </c>
      <c r="E71" s="90" t="n">
        <f aca="false">E63+E65+E70</f>
        <v>606.15</v>
      </c>
      <c r="F71" s="90" t="n">
        <f aca="false">F63+F65+F70</f>
        <v>-295.75</v>
      </c>
      <c r="G71" s="90" t="n">
        <f aca="false">G63+G65+G70</f>
        <v>-41.2000000000002</v>
      </c>
      <c r="H71" s="90" t="n">
        <f aca="false">H63+H65+H70</f>
        <v>-150.27</v>
      </c>
      <c r="I71" s="90" t="n">
        <f aca="false">I63+I65+I70</f>
        <v>168.85</v>
      </c>
      <c r="J71" s="90" t="n">
        <f aca="false">J63+J65+J70</f>
        <v>292.04</v>
      </c>
      <c r="K71" s="91" t="n">
        <f aca="false">AVERAGE(D71:J71)</f>
        <v>74.3428571428572</v>
      </c>
      <c r="L71" s="91" t="n">
        <f aca="false">J71-D71</f>
        <v>351.46</v>
      </c>
    </row>
    <row r="72" customFormat="false" ht="15" hidden="false" customHeight="false" outlineLevel="0" collapsed="false">
      <c r="A72" s="12" t="s">
        <v>604</v>
      </c>
      <c r="B72" s="87" t="s">
        <v>605</v>
      </c>
      <c r="C72" s="17" t="s">
        <v>493</v>
      </c>
      <c r="D72" s="29" t="n">
        <f aca="false">D63+D65</f>
        <v>1410.73</v>
      </c>
      <c r="E72" s="29" t="n">
        <f aca="false">E63+E65</f>
        <v>1062.77</v>
      </c>
      <c r="F72" s="29" t="n">
        <f aca="false">F63+F65</f>
        <v>299.23</v>
      </c>
      <c r="G72" s="29" t="n">
        <f aca="false">G63+G65</f>
        <v>812.39</v>
      </c>
      <c r="H72" s="29" t="n">
        <f aca="false">H63+H65</f>
        <v>689.83</v>
      </c>
      <c r="I72" s="29" t="n">
        <f aca="false">I63+I65</f>
        <v>1082.91</v>
      </c>
      <c r="J72" s="29" t="n">
        <f aca="false">J63+J65</f>
        <v>1246.38</v>
      </c>
      <c r="K72" s="29" t="n">
        <f aca="false">AVERAGE(D72:J72)</f>
        <v>943.462857142857</v>
      </c>
      <c r="L72" s="29" t="n">
        <f aca="false">J72-D72</f>
        <v>-164.35</v>
      </c>
    </row>
    <row r="73" customFormat="false" ht="15" hidden="false" customHeight="false" outlineLevel="0" collapsed="false">
      <c r="A73" s="16" t="s">
        <v>606</v>
      </c>
      <c r="B73" s="87" t="s">
        <v>607</v>
      </c>
      <c r="C73" s="17" t="s">
        <v>493</v>
      </c>
      <c r="D73" s="69" t="n">
        <f aca="false">D52</f>
        <v>2191.62</v>
      </c>
      <c r="E73" s="69" t="n">
        <f aca="false">E52</f>
        <v>2492.8</v>
      </c>
      <c r="F73" s="69" t="n">
        <f aca="false">F52</f>
        <v>2917.84</v>
      </c>
      <c r="G73" s="69" t="n">
        <f aca="false">G52</f>
        <v>3102.12</v>
      </c>
      <c r="H73" s="69" t="n">
        <f aca="false">H52</f>
        <v>3296.09</v>
      </c>
      <c r="I73" s="69" t="n">
        <f aca="false">I52</f>
        <v>3663.1</v>
      </c>
      <c r="J73" s="69" t="n">
        <f aca="false">J52</f>
        <v>3487.32</v>
      </c>
      <c r="K73" s="53" t="n">
        <f aca="false">AVERAGE(D73:J73)</f>
        <v>3021.55571428571</v>
      </c>
      <c r="L73" s="53" t="n">
        <f aca="false">J73-D73</f>
        <v>1295.7</v>
      </c>
    </row>
    <row r="74" customFormat="false" ht="16.5" hidden="false" customHeight="true" outlineLevel="0" collapsed="false">
      <c r="A74" s="88" t="s">
        <v>608</v>
      </c>
      <c r="B74" s="89"/>
      <c r="C74" s="89"/>
      <c r="D74" s="89"/>
      <c r="E74" s="89"/>
      <c r="F74" s="89"/>
      <c r="G74" s="89"/>
      <c r="H74" s="89"/>
      <c r="I74" s="89"/>
      <c r="J74" s="89"/>
      <c r="K74" s="89"/>
      <c r="L74" s="89"/>
    </row>
    <row r="75" customFormat="false" ht="15" hidden="false" customHeight="false" outlineLevel="0" collapsed="false">
      <c r="A75" s="16" t="s">
        <v>609</v>
      </c>
      <c r="B75" s="87" t="s">
        <v>610</v>
      </c>
      <c r="C75" s="17" t="s">
        <v>493</v>
      </c>
      <c r="D75" s="69" t="n">
        <f aca="false">-D65</f>
        <v>2875.04</v>
      </c>
      <c r="E75" s="69" t="n">
        <f aca="false">-E65</f>
        <v>-33.71</v>
      </c>
      <c r="F75" s="69" t="n">
        <f aca="false">-F65</f>
        <v>1070.19</v>
      </c>
      <c r="G75" s="69" t="n">
        <f aca="false">-G65</f>
        <v>593.44</v>
      </c>
      <c r="H75" s="69" t="n">
        <f aca="false">-H65</f>
        <v>698.67</v>
      </c>
      <c r="I75" s="69" t="n">
        <f aca="false">-I65</f>
        <v>628.63</v>
      </c>
      <c r="J75" s="69" t="n">
        <f aca="false">-J65</f>
        <v>235.85</v>
      </c>
      <c r="K75" s="53" t="n">
        <f aca="false">AVERAGE(D75:J75)</f>
        <v>866.872857142857</v>
      </c>
      <c r="L75" s="53" t="n">
        <f aca="false">J75-D75</f>
        <v>-2639.19</v>
      </c>
    </row>
    <row r="76" customFormat="false" ht="15" hidden="false" customHeight="false" outlineLevel="0" collapsed="false">
      <c r="A76" s="16" t="s">
        <v>611</v>
      </c>
      <c r="B76" s="87" t="s">
        <v>798</v>
      </c>
      <c r="C76" s="17" t="s">
        <v>493</v>
      </c>
      <c r="D76" s="69" t="n">
        <f aca="false">MAX(-D69,0)</f>
        <v>1204.36</v>
      </c>
      <c r="E76" s="69" t="n">
        <f aca="false">MAX(-E69,0)</f>
        <v>108.56</v>
      </c>
      <c r="F76" s="69" t="n">
        <f aca="false">MAX(-F69,0)</f>
        <v>0</v>
      </c>
      <c r="G76" s="69" t="n">
        <f aca="false">MAX(-G69,0)</f>
        <v>118.68</v>
      </c>
      <c r="H76" s="69" t="n">
        <f aca="false">MAX(-H69,0)</f>
        <v>67.67</v>
      </c>
      <c r="I76" s="69" t="n">
        <f aca="false">MAX(-I69,0)</f>
        <v>139.8</v>
      </c>
      <c r="J76" s="69" t="n">
        <f aca="false">MAX(-J69,0)</f>
        <v>220.82</v>
      </c>
      <c r="K76" s="53" t="n">
        <f aca="false">AVERAGE(D76:J76)</f>
        <v>265.698571428572</v>
      </c>
      <c r="L76" s="53" t="n">
        <f aca="false">J76-D76</f>
        <v>-983.54</v>
      </c>
    </row>
    <row r="77" customFormat="false" ht="15" hidden="false" customHeight="false" outlineLevel="0" collapsed="false">
      <c r="A77" s="16" t="s">
        <v>613</v>
      </c>
      <c r="B77" s="87" t="s">
        <v>614</v>
      </c>
      <c r="C77" s="17" t="s">
        <v>615</v>
      </c>
      <c r="D77" s="71" t="n">
        <f aca="false">IF(D26&gt;0,MIN(MAX(D27/D26,0),Setup!$C$11),0)</f>
        <v>0.253939940050387</v>
      </c>
      <c r="E77" s="71" t="n">
        <f aca="false">IF(E26&gt;0,MIN(MAX(E27/E26,0),Setup!$C$11),0)</f>
        <v>0.256768792304952</v>
      </c>
      <c r="F77" s="71" t="n">
        <f aca="false">IF(F26&gt;0,MIN(MAX(F27/F26,0),Setup!$C$11),0)</f>
        <v>0.245397893106342</v>
      </c>
      <c r="G77" s="71" t="n">
        <f aca="false">IF(G26&gt;0,MIN(MAX(G27/G26,0),Setup!$C$11),0)</f>
        <v>0.24931070439294</v>
      </c>
      <c r="H77" s="71" t="n">
        <f aca="false">IF(H26&gt;0,MIN(MAX(H27/H26,0),Setup!$C$11),0)</f>
        <v>0.24359619787359</v>
      </c>
      <c r="I77" s="71" t="n">
        <f aca="false">IF(I26&gt;0,MIN(MAX(I27/I26,0),Setup!$C$11),0)</f>
        <v>0.249097011718523</v>
      </c>
      <c r="J77" s="71" t="n">
        <f aca="false">IF(J26&gt;0,MIN(MAX(J27/J26,0),Setup!$C$11),0)</f>
        <v>0.245358226766903</v>
      </c>
      <c r="K77" s="62" t="n">
        <f aca="false">AVERAGE(D77:J77)</f>
        <v>0.249066966601948</v>
      </c>
      <c r="L77" s="62" t="n">
        <f aca="false">J77-D77</f>
        <v>-0.00858171328348376</v>
      </c>
    </row>
    <row r="79" customFormat="false" ht="19.5" hidden="false" customHeight="true" outlineLevel="0" collapsed="false">
      <c r="A79" s="85" t="s">
        <v>799</v>
      </c>
      <c r="B79" s="86"/>
      <c r="C79" s="86"/>
      <c r="D79" s="86"/>
      <c r="E79" s="86"/>
      <c r="F79" s="86"/>
      <c r="G79" s="86"/>
      <c r="H79" s="86"/>
      <c r="I79" s="86"/>
      <c r="J79" s="86"/>
      <c r="K79" s="86"/>
      <c r="L79" s="86"/>
    </row>
    <row r="80" customFormat="false" ht="15" hidden="false" customHeight="false" outlineLevel="0" collapsed="false">
      <c r="A80" s="16" t="s">
        <v>800</v>
      </c>
      <c r="B80" s="87" t="s">
        <v>801</v>
      </c>
      <c r="C80" s="17" t="s">
        <v>757</v>
      </c>
      <c r="D80" s="97" t="n">
        <v>265.32</v>
      </c>
      <c r="E80" s="97" t="n">
        <v>478.4</v>
      </c>
      <c r="F80" s="97" t="n">
        <v>537.72</v>
      </c>
      <c r="G80" s="97" t="n">
        <v>464.2</v>
      </c>
      <c r="H80" s="97" t="n">
        <v>705.68</v>
      </c>
      <c r="I80" s="97" t="n">
        <v>553.28</v>
      </c>
      <c r="J80" s="97" t="n">
        <v>425.3</v>
      </c>
      <c r="K80" s="66" t="n">
        <f aca="false">AVERAGE(D80:J80)</f>
        <v>489.985714285714</v>
      </c>
      <c r="L80" s="66" t="n">
        <f aca="false">J80-D80</f>
        <v>159.98</v>
      </c>
    </row>
    <row r="81" customFormat="false" ht="15" hidden="false" customHeight="false" outlineLevel="0" collapsed="false">
      <c r="A81" s="16" t="s">
        <v>802</v>
      </c>
      <c r="B81" s="87" t="s">
        <v>803</v>
      </c>
      <c r="C81" s="17" t="s">
        <v>804</v>
      </c>
      <c r="D81" s="97" t="n">
        <v>76.16</v>
      </c>
      <c r="E81" s="97" t="n">
        <v>76.16</v>
      </c>
      <c r="F81" s="97" t="n">
        <v>76.16</v>
      </c>
      <c r="G81" s="97" t="n">
        <v>76.16</v>
      </c>
      <c r="H81" s="97" t="n">
        <v>76.16</v>
      </c>
      <c r="I81" s="97" t="n">
        <v>76.16</v>
      </c>
      <c r="J81" s="97" t="n">
        <v>76.16</v>
      </c>
      <c r="K81" s="66" t="n">
        <f aca="false">AVERAGE(D81:J81)</f>
        <v>76.16</v>
      </c>
      <c r="L81" s="66" t="n">
        <f aca="false">J81-D81</f>
        <v>0</v>
      </c>
    </row>
    <row r="82" customFormat="false" ht="15" hidden="false" customHeight="false" outlineLevel="0" collapsed="false">
      <c r="A82" s="16" t="s">
        <v>805</v>
      </c>
      <c r="B82" s="87" t="s">
        <v>806</v>
      </c>
      <c r="C82" s="17" t="s">
        <v>493</v>
      </c>
      <c r="D82" s="69" t="n">
        <f aca="false">D80*D81</f>
        <v>20206.7712</v>
      </c>
      <c r="E82" s="69" t="n">
        <f aca="false">E80*E81</f>
        <v>36434.944</v>
      </c>
      <c r="F82" s="69" t="n">
        <f aca="false">F80*F81</f>
        <v>40952.7552</v>
      </c>
      <c r="G82" s="69" t="n">
        <f aca="false">G80*G81</f>
        <v>35353.472</v>
      </c>
      <c r="H82" s="69" t="n">
        <f aca="false">H80*H81</f>
        <v>53744.5888</v>
      </c>
      <c r="I82" s="69" t="n">
        <f aca="false">I80*I81</f>
        <v>42137.8048</v>
      </c>
      <c r="J82" s="69" t="n">
        <f aca="false">J80*J81</f>
        <v>32390.848</v>
      </c>
      <c r="K82" s="53" t="n">
        <f aca="false">AVERAGE(D82:J82)</f>
        <v>37317.312</v>
      </c>
      <c r="L82" s="53" t="n">
        <f aca="false">J82-D82</f>
        <v>12184.0768</v>
      </c>
    </row>
    <row r="83" customFormat="false" ht="15" hidden="false" customHeight="false" outlineLevel="0" collapsed="false">
      <c r="A83" s="16" t="s">
        <v>807</v>
      </c>
      <c r="B83" s="87" t="s">
        <v>808</v>
      </c>
      <c r="C83" s="17" t="s">
        <v>493</v>
      </c>
      <c r="D83" s="69" t="n">
        <f aca="false">D82+D41-D52</f>
        <v>18085.1512</v>
      </c>
      <c r="E83" s="69" t="n">
        <f aca="false">E82+E41-E52</f>
        <v>34665.074</v>
      </c>
      <c r="F83" s="69" t="n">
        <f aca="false">F82+F41-F52</f>
        <v>38770.1952</v>
      </c>
      <c r="G83" s="69" t="n">
        <f aca="false">G82+G41-G52</f>
        <v>33029.992</v>
      </c>
      <c r="H83" s="69" t="n">
        <f aca="false">H82+H41-H52</f>
        <v>51387.1988</v>
      </c>
      <c r="I83" s="69" t="n">
        <f aca="false">I82+I41-I52</f>
        <v>39336.1648</v>
      </c>
      <c r="J83" s="69" t="n">
        <f aca="false">J82+J41-J52</f>
        <v>29868.098</v>
      </c>
      <c r="K83" s="53" t="n">
        <f aca="false">AVERAGE(D83:J83)</f>
        <v>35020.2677142857</v>
      </c>
      <c r="L83" s="53" t="n">
        <f aca="false">J83-D83</f>
        <v>11782.9468</v>
      </c>
    </row>
    <row r="84" customFormat="false" ht="15" hidden="false" customHeight="false" outlineLevel="0" collapsed="false">
      <c r="A84" s="16" t="s">
        <v>809</v>
      </c>
      <c r="B84" s="87" t="s">
        <v>810</v>
      </c>
      <c r="C84" s="17" t="s">
        <v>811</v>
      </c>
      <c r="D84" s="98" t="n">
        <v>1</v>
      </c>
      <c r="E84" s="98" t="n">
        <v>1</v>
      </c>
      <c r="F84" s="98" t="n">
        <v>1</v>
      </c>
      <c r="G84" s="98" t="n">
        <v>1</v>
      </c>
      <c r="H84" s="98" t="n">
        <v>1</v>
      </c>
      <c r="I84" s="98" t="n">
        <v>1</v>
      </c>
      <c r="J84" s="98" t="n">
        <v>1</v>
      </c>
      <c r="K84" s="99"/>
      <c r="L84" s="99"/>
    </row>
    <row r="86" customFormat="false" ht="19.5" hidden="false" customHeight="true" outlineLevel="0" collapsed="false">
      <c r="A86" s="85" t="s">
        <v>629</v>
      </c>
      <c r="B86" s="86"/>
      <c r="C86" s="86"/>
      <c r="D86" s="86"/>
      <c r="E86" s="86"/>
      <c r="F86" s="86"/>
      <c r="G86" s="86"/>
      <c r="H86" s="86"/>
      <c r="I86" s="86"/>
      <c r="J86" s="86"/>
      <c r="K86" s="86"/>
      <c r="L86" s="86"/>
    </row>
    <row r="87" customFormat="false" ht="15" hidden="false" customHeight="false" outlineLevel="0" collapsed="false">
      <c r="A87" s="16" t="s">
        <v>630</v>
      </c>
      <c r="B87" s="87" t="s">
        <v>631</v>
      </c>
      <c r="C87" s="17" t="s">
        <v>493</v>
      </c>
      <c r="D87" s="69" t="n">
        <f aca="false">D48</f>
        <v>4298.96</v>
      </c>
      <c r="E87" s="69" t="n">
        <f aca="false">E48</f>
        <v>4563.89</v>
      </c>
      <c r="F87" s="69" t="n">
        <f aca="false">F48</f>
        <v>5317.07</v>
      </c>
      <c r="G87" s="69" t="n">
        <f aca="false">G48</f>
        <v>5794.37</v>
      </c>
      <c r="H87" s="69" t="n">
        <f aca="false">H48</f>
        <v>6023.69</v>
      </c>
      <c r="I87" s="69" t="n">
        <f aca="false">I48</f>
        <v>5923.75</v>
      </c>
      <c r="J87" s="69" t="n">
        <f aca="false">J48</f>
        <v>6028.53</v>
      </c>
      <c r="K87" s="53" t="n">
        <f aca="false">AVERAGE(D87:J87)</f>
        <v>5421.46571428572</v>
      </c>
      <c r="L87" s="53" t="n">
        <f aca="false">J87-D87</f>
        <v>1729.57</v>
      </c>
    </row>
    <row r="88" customFormat="false" ht="15" hidden="false" customHeight="false" outlineLevel="0" collapsed="false">
      <c r="A88" s="16" t="s">
        <v>632</v>
      </c>
      <c r="B88" s="87" t="s">
        <v>633</v>
      </c>
      <c r="C88" s="17" t="s">
        <v>493</v>
      </c>
      <c r="D88" s="69" t="n">
        <f aca="false">D42</f>
        <v>1672.66</v>
      </c>
      <c r="E88" s="69" t="n">
        <f aca="false">E42</f>
        <v>1500.26</v>
      </c>
      <c r="F88" s="69" t="n">
        <f aca="false">F42</f>
        <v>1511.43</v>
      </c>
      <c r="G88" s="69" t="n">
        <f aca="false">G42</f>
        <v>1460.39</v>
      </c>
      <c r="H88" s="69" t="n">
        <f aca="false">H42</f>
        <v>1276.25</v>
      </c>
      <c r="I88" s="69" t="n">
        <f aca="false">I42</f>
        <v>1234.34</v>
      </c>
      <c r="J88" s="69" t="n">
        <f aca="false">J42</f>
        <v>1268.86</v>
      </c>
      <c r="K88" s="53" t="n">
        <f aca="false">AVERAGE(D88:J88)</f>
        <v>1417.74142857143</v>
      </c>
      <c r="L88" s="53" t="n">
        <f aca="false">J88-D88</f>
        <v>-403.8</v>
      </c>
    </row>
    <row r="89" customFormat="false" ht="15" hidden="false" customHeight="false" outlineLevel="0" collapsed="false">
      <c r="A89" s="16" t="s">
        <v>634</v>
      </c>
      <c r="B89" s="87" t="s">
        <v>635</v>
      </c>
      <c r="C89" s="17" t="s">
        <v>493</v>
      </c>
      <c r="D89" s="69" t="n">
        <f aca="false">D50+D52</f>
        <v>2356.25</v>
      </c>
      <c r="E89" s="69" t="n">
        <f aca="false">E50+E52</f>
        <v>2653.83</v>
      </c>
      <c r="F89" s="69" t="n">
        <f aca="false">F50+F52</f>
        <v>3099.56</v>
      </c>
      <c r="G89" s="69" t="n">
        <f aca="false">G50+G52</f>
        <v>3318.12</v>
      </c>
      <c r="H89" s="69" t="n">
        <f aca="false">H50+H52</f>
        <v>3629.72</v>
      </c>
      <c r="I89" s="69" t="n">
        <f aca="false">I50+I52</f>
        <v>4063.08</v>
      </c>
      <c r="J89" s="69" t="n">
        <f aca="false">J50+J52</f>
        <v>3972.3</v>
      </c>
      <c r="K89" s="53" t="n">
        <f aca="false">AVERAGE(D89:J89)</f>
        <v>3298.98</v>
      </c>
      <c r="L89" s="53" t="n">
        <f aca="false">J89-D89</f>
        <v>1616.05</v>
      </c>
    </row>
    <row r="90" customFormat="false" ht="15" hidden="false" customHeight="false" outlineLevel="0" collapsed="false">
      <c r="A90" s="16" t="s">
        <v>636</v>
      </c>
      <c r="B90" s="87" t="s">
        <v>637</v>
      </c>
      <c r="C90" s="17" t="s">
        <v>493</v>
      </c>
      <c r="D90" s="69" t="n">
        <f aca="false">D40+D41</f>
        <v>10116.1</v>
      </c>
      <c r="E90" s="69" t="n">
        <f aca="false">E40+E41</f>
        <v>10910.19</v>
      </c>
      <c r="F90" s="69" t="n">
        <f aca="false">F40+F41</f>
        <v>11490.83</v>
      </c>
      <c r="G90" s="69" t="n">
        <f aca="false">G40+G41</f>
        <v>12004.67</v>
      </c>
      <c r="H90" s="69" t="n">
        <f aca="false">H40+H41</f>
        <v>12761.91</v>
      </c>
      <c r="I90" s="69" t="n">
        <f aca="false">I40+I41</f>
        <v>13242.92</v>
      </c>
      <c r="J90" s="69" t="n">
        <f aca="false">J40+J41</f>
        <v>13906.92</v>
      </c>
      <c r="K90" s="53" t="n">
        <f aca="false">AVERAGE(D90:J90)</f>
        <v>12061.9342857143</v>
      </c>
      <c r="L90" s="53" t="n">
        <f aca="false">J90-D90</f>
        <v>3790.82</v>
      </c>
    </row>
    <row r="92" customFormat="false" ht="19.5" hidden="false" customHeight="true" outlineLevel="0" collapsed="false">
      <c r="A92" s="85" t="s">
        <v>638</v>
      </c>
      <c r="B92" s="86"/>
      <c r="C92" s="86"/>
      <c r="D92" s="86"/>
      <c r="E92" s="86"/>
      <c r="F92" s="86"/>
      <c r="G92" s="86"/>
      <c r="H92" s="86"/>
      <c r="I92" s="86"/>
      <c r="J92" s="86"/>
      <c r="K92" s="86"/>
      <c r="L92" s="86"/>
    </row>
    <row r="93" customFormat="false" ht="16.5" hidden="false" customHeight="true" outlineLevel="0" collapsed="false">
      <c r="A93" s="88" t="s">
        <v>639</v>
      </c>
      <c r="B93" s="89"/>
      <c r="C93" s="89"/>
      <c r="D93" s="89"/>
      <c r="E93" s="89"/>
      <c r="F93" s="89"/>
      <c r="G93" s="89"/>
      <c r="H93" s="89"/>
      <c r="I93" s="89"/>
      <c r="J93" s="89"/>
      <c r="K93" s="89"/>
      <c r="L93" s="89"/>
    </row>
    <row r="94" customFormat="false" ht="15" hidden="false" customHeight="false" outlineLevel="0" collapsed="false">
      <c r="A94" s="16" t="s">
        <v>640</v>
      </c>
      <c r="B94" s="87" t="s">
        <v>641</v>
      </c>
      <c r="C94" s="17" t="s">
        <v>493</v>
      </c>
      <c r="D94" s="69" t="n">
        <f aca="false">D87-D88</f>
        <v>2626.3</v>
      </c>
      <c r="E94" s="69" t="n">
        <f aca="false">E87-E88</f>
        <v>3063.63</v>
      </c>
      <c r="F94" s="69" t="n">
        <f aca="false">F87-F88</f>
        <v>3805.64</v>
      </c>
      <c r="G94" s="69" t="n">
        <f aca="false">G87-G88</f>
        <v>4333.98</v>
      </c>
      <c r="H94" s="69" t="n">
        <f aca="false">H87-H88</f>
        <v>4747.44</v>
      </c>
      <c r="I94" s="69" t="n">
        <f aca="false">I87-I88</f>
        <v>4689.41</v>
      </c>
      <c r="J94" s="69" t="n">
        <f aca="false">J87-J88</f>
        <v>4759.67</v>
      </c>
      <c r="K94" s="53" t="n">
        <f aca="false">AVERAGE(D94:J94)</f>
        <v>4003.72428571429</v>
      </c>
      <c r="L94" s="53" t="n">
        <f aca="false">J94-D94</f>
        <v>2133.37</v>
      </c>
    </row>
    <row r="95" customFormat="false" ht="15" hidden="false" customHeight="false" outlineLevel="0" collapsed="false">
      <c r="A95" s="16" t="s">
        <v>642</v>
      </c>
      <c r="B95" s="87" t="s">
        <v>643</v>
      </c>
      <c r="C95" s="17" t="s">
        <v>644</v>
      </c>
      <c r="D95" s="72" t="n">
        <f aca="false">IF(D88&gt;0,D87/D88,"N/M")</f>
        <v>2.5701337988593</v>
      </c>
      <c r="E95" s="72" t="n">
        <f aca="false">IF(E88&gt;0,E87/E88,"N/M")</f>
        <v>3.04206604188607</v>
      </c>
      <c r="F95" s="72" t="n">
        <f aca="false">IF(F88&gt;0,F87/F88,"N/M")</f>
        <v>3.51790688288574</v>
      </c>
      <c r="G95" s="72" t="n">
        <f aca="false">IF(G88&gt;0,G87/G88,"N/M")</f>
        <v>3.96768671382302</v>
      </c>
      <c r="H95" s="72" t="n">
        <f aca="false">IF(H88&gt;0,H87/H88,"N/M")</f>
        <v>4.71983545543585</v>
      </c>
      <c r="I95" s="72" t="n">
        <f aca="false">IF(I88&gt;0,I87/I88,"N/M")</f>
        <v>4.799123418183</v>
      </c>
      <c r="J95" s="72" t="n">
        <f aca="false">IF(J88&gt;0,J87/J88,"N/M")</f>
        <v>4.75113881752124</v>
      </c>
      <c r="K95" s="56" t="n">
        <f aca="false">IF(COUNT(D95:J95)=0,"N/M",AVERAGE(D95:J95))</f>
        <v>3.90969873265632</v>
      </c>
      <c r="L95" s="60" t="n">
        <f aca="false">IF(COUNT(D95,J95)=2,J95-D95,"-")</f>
        <v>2.18100501866194</v>
      </c>
    </row>
    <row r="96" customFormat="false" ht="15" hidden="false" customHeight="false" outlineLevel="0" collapsed="false">
      <c r="A96" s="16" t="s">
        <v>645</v>
      </c>
      <c r="B96" s="87" t="s">
        <v>646</v>
      </c>
      <c r="C96" s="17" t="s">
        <v>647</v>
      </c>
      <c r="D96" s="72" t="n">
        <f aca="false">IF(D88&gt;0,D89/D88,"N/M")</f>
        <v>1.40868437100188</v>
      </c>
      <c r="E96" s="72" t="n">
        <f aca="false">IF(E88&gt;0,E89/E88,"N/M")</f>
        <v>1.76891338834602</v>
      </c>
      <c r="F96" s="72" t="n">
        <f aca="false">IF(F88&gt;0,F89/F88,"N/M")</f>
        <v>2.05074664390676</v>
      </c>
      <c r="G96" s="72" t="n">
        <f aca="false">IF(G88&gt;0,G89/G88,"N/M")</f>
        <v>2.27207800655989</v>
      </c>
      <c r="H96" s="72" t="n">
        <f aca="false">IF(H88&gt;0,H89/H88,"N/M")</f>
        <v>2.84405093046033</v>
      </c>
      <c r="I96" s="72" t="n">
        <f aca="false">IF(I88&gt;0,I89/I88,"N/M")</f>
        <v>3.29170244827195</v>
      </c>
      <c r="J96" s="72" t="n">
        <f aca="false">IF(J88&gt;0,J89/J88,"N/M")</f>
        <v>3.13060542534243</v>
      </c>
      <c r="K96" s="56" t="n">
        <f aca="false">IF(COUNT(D96:J96)=0,"N/M",AVERAGE(D96:J96))</f>
        <v>2.39525445912704</v>
      </c>
      <c r="L96" s="60" t="n">
        <f aca="false">IF(COUNT(D96,J96)=2,J96-D96,"-")</f>
        <v>1.72192105434056</v>
      </c>
    </row>
    <row r="97" customFormat="false" ht="15" hidden="false" customHeight="false" outlineLevel="0" collapsed="false">
      <c r="A97" s="16" t="s">
        <v>648</v>
      </c>
      <c r="B97" s="87" t="s">
        <v>649</v>
      </c>
      <c r="C97" s="17" t="s">
        <v>650</v>
      </c>
      <c r="D97" s="72" t="n">
        <f aca="false">IF(D88&gt;0,D52/D88,"N/M")</f>
        <v>1.31026030394701</v>
      </c>
      <c r="E97" s="72" t="n">
        <f aca="false">IF(E88&gt;0,E52/E88,"N/M")</f>
        <v>1.66157865969899</v>
      </c>
      <c r="F97" s="72" t="n">
        <f aca="false">IF(F88&gt;0,F52/F88,"N/M")</f>
        <v>1.93051613372766</v>
      </c>
      <c r="G97" s="72" t="n">
        <f aca="false">IF(G88&gt;0,G52/G88,"N/M")</f>
        <v>2.12417231013633</v>
      </c>
      <c r="H97" s="72" t="n">
        <f aca="false">IF(H88&gt;0,H52/H88,"N/M")</f>
        <v>2.58263663075416</v>
      </c>
      <c r="I97" s="72" t="n">
        <f aca="false">IF(I88&gt;0,I52/I88,"N/M")</f>
        <v>2.96765882981999</v>
      </c>
      <c r="J97" s="72" t="n">
        <f aca="false">IF(J88&gt;0,J52/J88,"N/M")</f>
        <v>2.74838831707202</v>
      </c>
      <c r="K97" s="56" t="n">
        <f aca="false">IF(COUNT(D97:J97)=0,"N/M",AVERAGE(D97:J97))</f>
        <v>2.18931588359374</v>
      </c>
      <c r="L97" s="60" t="n">
        <f aca="false">IF(COUNT(D97,J97)=2,J97-D97,"-")</f>
        <v>1.43812801312501</v>
      </c>
    </row>
    <row r="98" customFormat="false" ht="15" hidden="false" customHeight="false" outlineLevel="0" collapsed="false">
      <c r="A98" s="16" t="s">
        <v>651</v>
      </c>
      <c r="B98" s="87" t="s">
        <v>652</v>
      </c>
      <c r="C98" s="17" t="s">
        <v>653</v>
      </c>
      <c r="D98" s="74" t="n">
        <f aca="false">IF(D20&gt;0,D89/(D20/Setup!$C$8),"N/M")</f>
        <v>177.837543036156</v>
      </c>
      <c r="E98" s="74" t="n">
        <f aca="false">IF(E20&gt;0,E89/(E20/Setup!$C$8),"N/M")</f>
        <v>180.056462361214</v>
      </c>
      <c r="F98" s="74" t="n">
        <f aca="false">IF(F20&gt;0,F89/(F20/Setup!$C$8),"N/M")</f>
        <v>191.614088810452</v>
      </c>
      <c r="G98" s="74" t="n">
        <f aca="false">IF(G20&gt;0,G89/(G20/Setup!$C$8),"N/M")</f>
        <v>192.200015234903</v>
      </c>
      <c r="H98" s="74" t="n">
        <f aca="false">IF(H20&gt;0,H89/(H20/Setup!$C$8),"N/M")</f>
        <v>197.894134640232</v>
      </c>
      <c r="I98" s="74" t="n">
        <f aca="false">IF(I20&gt;0,I89/(I20/Setup!$C$8),"N/M")</f>
        <v>213.169766896986</v>
      </c>
      <c r="J98" s="74" t="n">
        <f aca="false">IF(J20&gt;0,J89/(J20/Setup!$C$8),"N/M")</f>
        <v>203.417606083351</v>
      </c>
      <c r="K98" s="58" t="n">
        <f aca="false">IF(COUNT(D98:J98)=0,"N/M",AVERAGE(D98:J98))</f>
        <v>193.741373866185</v>
      </c>
      <c r="L98" s="58" t="n">
        <f aca="false">IF(COUNT(D98,J98)=2,J98-D98,"-")</f>
        <v>25.5800630471959</v>
      </c>
    </row>
    <row r="99" customFormat="false" ht="15" hidden="false" customHeight="false" outlineLevel="0" collapsed="false">
      <c r="A99" s="16" t="s">
        <v>654</v>
      </c>
      <c r="B99" s="87" t="s">
        <v>655</v>
      </c>
      <c r="C99" s="17" t="s">
        <v>97</v>
      </c>
      <c r="D99" s="72" t="n">
        <f aca="false">IF(D88&gt;0,D63/D88,"N/M")</f>
        <v>2.56224815563235</v>
      </c>
      <c r="E99" s="72" t="n">
        <f aca="false">IF(E88&gt;0,E63/E88,"N/M")</f>
        <v>0.685921107008119</v>
      </c>
      <c r="F99" s="72" t="n">
        <f aca="false">IF(F88&gt;0,F63/F88,"N/M")</f>
        <v>0.906042621887881</v>
      </c>
      <c r="G99" s="72" t="n">
        <f aca="false">IF(G88&gt;0,G63/G88,"N/M")</f>
        <v>0.962640116681161</v>
      </c>
      <c r="H99" s="72" t="n">
        <f aca="false">IF(H88&gt;0,H63/H88,"N/M")</f>
        <v>1.08795298726739</v>
      </c>
      <c r="I99" s="72" t="n">
        <f aca="false">IF(I88&gt;0,I63/I88,"N/M")</f>
        <v>1.38660336698155</v>
      </c>
      <c r="J99" s="72" t="n">
        <f aca="false">IF(J88&gt;0,J63/J88,"N/M")</f>
        <v>1.16815881972794</v>
      </c>
      <c r="K99" s="56" t="n">
        <f aca="false">IF(COUNT(D99:J99)=0,"N/M",AVERAGE(D99:J99))</f>
        <v>1.25136673931234</v>
      </c>
      <c r="L99" s="60" t="n">
        <f aca="false">IF(COUNT(D99,J99)=2,J99-D99,"-")</f>
        <v>-1.3940893359044</v>
      </c>
    </row>
    <row r="100" customFormat="false" ht="16.5" hidden="false" customHeight="true" outlineLevel="0" collapsed="false">
      <c r="A100" s="88" t="s">
        <v>656</v>
      </c>
      <c r="B100" s="89"/>
      <c r="C100" s="89"/>
      <c r="D100" s="89"/>
      <c r="E100" s="89"/>
      <c r="F100" s="89"/>
      <c r="G100" s="89"/>
      <c r="H100" s="89"/>
      <c r="I100" s="89"/>
      <c r="J100" s="89"/>
      <c r="K100" s="89"/>
      <c r="L100" s="89"/>
    </row>
    <row r="101" customFormat="false" ht="15" hidden="false" customHeight="false" outlineLevel="0" collapsed="false">
      <c r="A101" s="16" t="s">
        <v>657</v>
      </c>
      <c r="B101" s="87" t="s">
        <v>658</v>
      </c>
      <c r="C101" s="17" t="s">
        <v>97</v>
      </c>
      <c r="D101" s="72" t="n">
        <f aca="false">IF(D40&gt;0,D41/D40,"N/M")</f>
        <v>0.00696787808204179</v>
      </c>
      <c r="E101" s="72" t="n">
        <f aca="false">IF(E40&gt;0,E41/E40,"N/M")</f>
        <v>0.0709641257806319</v>
      </c>
      <c r="F101" s="72" t="n">
        <f aca="false">IF(F40&gt;0,F41/F40,"N/M")</f>
        <v>0.0683628452287424</v>
      </c>
      <c r="G101" s="72" t="n">
        <f aca="false">IF(G40&gt;0,G41/G40,"N/M")</f>
        <v>0.0693602279701729</v>
      </c>
      <c r="H101" s="72" t="n">
        <f aca="false">IF(H40&gt;0,H41/H40,"N/M")</f>
        <v>0.0793946821548463</v>
      </c>
      <c r="I101" s="72" t="n">
        <f aca="false">IF(I40&gt;0,I41/I40,"N/M")</f>
        <v>0.0695766088974968</v>
      </c>
      <c r="J101" s="72" t="n">
        <f aca="false">IF(J40&gt;0,J41/J40,"N/M")</f>
        <v>0.0745281961931179</v>
      </c>
      <c r="K101" s="56" t="n">
        <f aca="false">IF(COUNT(D101:J101)=0,"N/M",AVERAGE(D101:J101))</f>
        <v>0.0627363663295786</v>
      </c>
      <c r="L101" s="60" t="n">
        <f aca="false">IF(COUNT(D101,J101)=2,J101-D101,"-")</f>
        <v>0.0675603181110762</v>
      </c>
    </row>
    <row r="102" customFormat="false" ht="15" hidden="false" customHeight="false" outlineLevel="0" collapsed="false">
      <c r="A102" s="16" t="s">
        <v>659</v>
      </c>
      <c r="B102" s="87" t="s">
        <v>660</v>
      </c>
      <c r="C102" s="17" t="s">
        <v>97</v>
      </c>
      <c r="D102" s="72" t="n">
        <f aca="false">IF(D40&gt;0,(D41+D42)/D40,"N/M")</f>
        <v>0.173466320263585</v>
      </c>
      <c r="E102" s="72" t="n">
        <f aca="false">IF(E40&gt;0,(E41+E42)/E40,"N/M")</f>
        <v>0.218232380443809</v>
      </c>
      <c r="F102" s="72" t="n">
        <f aca="false">IF(F40&gt;0,(F41+F42)/F40,"N/M")</f>
        <v>0.2088884343432</v>
      </c>
      <c r="G102" s="72" t="n">
        <f aca="false">IF(G40&gt;0,(G41+G42)/G40,"N/M")</f>
        <v>0.199449850036032</v>
      </c>
      <c r="H102" s="72" t="n">
        <f aca="false">IF(H40&gt;0,(H41+H42)/H40,"N/M")</f>
        <v>0.187339140554892</v>
      </c>
      <c r="I102" s="72" t="n">
        <f aca="false">IF(I40&gt;0,(I41+I42)/I40,"N/M")</f>
        <v>0.169269213808388</v>
      </c>
      <c r="J102" s="72" t="n">
        <f aca="false">IF(J40&gt;0,(J41+J42)/J40,"N/M")</f>
        <v>0.172567578530947</v>
      </c>
      <c r="K102" s="56" t="n">
        <f aca="false">IF(COUNT(D102:J102)=0,"N/M",AVERAGE(D102:J102))</f>
        <v>0.18988755971155</v>
      </c>
      <c r="L102" s="60" t="n">
        <f aca="false">IF(COUNT(D102,J102)=2,J102-D102,"-")</f>
        <v>-0.000898741732638042</v>
      </c>
    </row>
    <row r="103" customFormat="false" ht="15" hidden="false" customHeight="false" outlineLevel="0" collapsed="false">
      <c r="A103" s="16" t="s">
        <v>661</v>
      </c>
      <c r="B103" s="87" t="s">
        <v>662</v>
      </c>
      <c r="C103" s="17" t="s">
        <v>663</v>
      </c>
      <c r="D103" s="72" t="n">
        <f aca="false">IF(D49&gt;0,D41/D49,"N/M")</f>
        <v>0.00593785945256329</v>
      </c>
      <c r="E103" s="72" t="n">
        <f aca="false">IF(E49&gt;0,E41/E49,"N/M")</f>
        <v>0.0582517152883256</v>
      </c>
      <c r="F103" s="72" t="n">
        <f aca="false">IF(F49&gt;0,F41/F49,"N/M")</f>
        <v>0.0565501689706251</v>
      </c>
      <c r="G103" s="72" t="n">
        <f aca="false">IF(G49&gt;0,G41/G49,"N/M")</f>
        <v>0.0578267011064191</v>
      </c>
      <c r="H103" s="72" t="n">
        <f aca="false">IF(H49&gt;0,H41/H49,"N/M")</f>
        <v>0.0668677376522279</v>
      </c>
      <c r="I103" s="72" t="n">
        <f aca="false">IF(I49&gt;0,I41/I49,"N/M")</f>
        <v>0.0595043537243926</v>
      </c>
      <c r="J103" s="72" t="n">
        <f aca="false">IF(J49&gt;0,J41/J49,"N/M")</f>
        <v>0.0635598302031263</v>
      </c>
      <c r="K103" s="56" t="n">
        <f aca="false">IF(COUNT(D103:J103)=0,"N/M",AVERAGE(D103:J103))</f>
        <v>0.0526426237710971</v>
      </c>
      <c r="L103" s="60" t="n">
        <f aca="false">IF(COUNT(D103,J103)=2,J103-D103,"-")</f>
        <v>0.057621970750563</v>
      </c>
    </row>
    <row r="104" customFormat="false" ht="15" hidden="false" customHeight="false" outlineLevel="0" collapsed="false">
      <c r="A104" s="16" t="s">
        <v>664</v>
      </c>
      <c r="B104" s="87" t="s">
        <v>665</v>
      </c>
      <c r="C104" s="17" t="s">
        <v>663</v>
      </c>
      <c r="D104" s="72" t="n">
        <f aca="false">IF(D90&gt;0,D41/D90,"N/M")</f>
        <v>0.00691966271586876</v>
      </c>
      <c r="E104" s="72" t="n">
        <f aca="false">IF(E90&gt;0,E41/E90,"N/M")</f>
        <v>0.0662619074461581</v>
      </c>
      <c r="F104" s="72" t="n">
        <f aca="false">IF(F90&gt;0,F41/F90,"N/M")</f>
        <v>0.0639884151101356</v>
      </c>
      <c r="G104" s="72" t="n">
        <f aca="false">IF(G90&gt;0,G41/G90,"N/M")</f>
        <v>0.0648614247621967</v>
      </c>
      <c r="H104" s="72" t="n">
        <f aca="false">IF(H90&gt;0,H41/H90,"N/M")</f>
        <v>0.0735548205558572</v>
      </c>
      <c r="I104" s="72" t="n">
        <f aca="false">IF(I90&gt;0,I41/I90,"N/M")</f>
        <v>0.0650506081740281</v>
      </c>
      <c r="J104" s="72" t="n">
        <f aca="false">IF(J90&gt;0,J41/J90,"N/M")</f>
        <v>0.0693589953778407</v>
      </c>
      <c r="K104" s="56" t="n">
        <f aca="false">IF(COUNT(D104:J104)=0,"N/M",AVERAGE(D104:J104))</f>
        <v>0.0585708334488693</v>
      </c>
      <c r="L104" s="60" t="n">
        <f aca="false">IF(COUNT(D104,J104)=2,J104-D104,"-")</f>
        <v>0.0624393326619719</v>
      </c>
    </row>
    <row r="105" customFormat="false" ht="15" hidden="false" customHeight="false" outlineLevel="0" collapsed="false">
      <c r="A105" s="16" t="s">
        <v>666</v>
      </c>
      <c r="B105" s="87" t="s">
        <v>667</v>
      </c>
      <c r="C105" s="17" t="s">
        <v>668</v>
      </c>
      <c r="D105" s="72" t="n">
        <f aca="false">IF(D49&gt;0,D40/D49,"N/M")</f>
        <v>0.852176140662801</v>
      </c>
      <c r="E105" s="72" t="n">
        <f aca="false">IF(E49&gt;0,E40/E49,"N/M")</f>
        <v>0.820861451438103</v>
      </c>
      <c r="F105" s="72" t="n">
        <f aca="false">IF(F49&gt;0,F40/F49,"N/M")</f>
        <v>0.827206193384842</v>
      </c>
      <c r="G105" s="72" t="n">
        <f aca="false">IF(G49&gt;0,G40/G49,"N/M")</f>
        <v>0.833715557153106</v>
      </c>
      <c r="H105" s="72" t="n">
        <f aca="false">IF(H49&gt;0,H40/H49,"N/M")</f>
        <v>0.842219350684135</v>
      </c>
      <c r="I105" s="72" t="n">
        <f aca="false">IF(I49&gt;0,I40/I49,"N/M")</f>
        <v>0.855235037569264</v>
      </c>
      <c r="J105" s="72" t="n">
        <f aca="false">IF(J49&gt;0,J40/J49,"N/M")</f>
        <v>0.852829310915156</v>
      </c>
      <c r="K105" s="56" t="n">
        <f aca="false">IF(COUNT(D105:J105)=0,"N/M",AVERAGE(D105:J105))</f>
        <v>0.84060614882963</v>
      </c>
      <c r="L105" s="60" t="n">
        <f aca="false">IF(COUNT(D105,J105)=2,J105-D105,"-")</f>
        <v>0.000653170252354784</v>
      </c>
    </row>
    <row r="106" customFormat="false" ht="15" hidden="false" customHeight="false" outlineLevel="0" collapsed="false">
      <c r="A106" s="16" t="s">
        <v>669</v>
      </c>
      <c r="B106" s="87" t="s">
        <v>670</v>
      </c>
      <c r="C106" s="17" t="s">
        <v>97</v>
      </c>
      <c r="D106" s="72" t="n">
        <f aca="false">IF(D39&gt;0,(D41+D37)/D39,"N/M")</f>
        <v>0.00696787808204179</v>
      </c>
      <c r="E106" s="72" t="n">
        <f aca="false">IF(E39&gt;0,(E41+E37)/E39,"N/M")</f>
        <v>0.0709641257806319</v>
      </c>
      <c r="F106" s="72" t="n">
        <f aca="false">IF(F39&gt;0,(F41+F37)/F39,"N/M")</f>
        <v>0.0683628452287424</v>
      </c>
      <c r="G106" s="72" t="n">
        <f aca="false">IF(G39&gt;0,(G41+G37)/G39,"N/M")</f>
        <v>0.0693602279701729</v>
      </c>
      <c r="H106" s="72" t="n">
        <f aca="false">IF(H39&gt;0,(H41+H37)/H39,"N/M")</f>
        <v>0.0793946821548463</v>
      </c>
      <c r="I106" s="72" t="n">
        <f aca="false">IF(I39&gt;0,(I41+I37)/I39,"N/M")</f>
        <v>0.0695766088974968</v>
      </c>
      <c r="J106" s="72" t="n">
        <f aca="false">IF(J39&gt;0,(J41+J37)/J39,"N/M")</f>
        <v>0.0745281961931179</v>
      </c>
      <c r="K106" s="56" t="n">
        <f aca="false">IF(COUNT(D106:J106)=0,"N/M",AVERAGE(D106:J106))</f>
        <v>0.0627363663295786</v>
      </c>
      <c r="L106" s="60" t="n">
        <f aca="false">IF(COUNT(D106,J106)=2,J106-D106,"-")</f>
        <v>0.0675603181110762</v>
      </c>
    </row>
    <row r="107" customFormat="false" ht="15" hidden="false" customHeight="false" outlineLevel="0" collapsed="false">
      <c r="A107" s="16" t="s">
        <v>671</v>
      </c>
      <c r="B107" s="87" t="s">
        <v>672</v>
      </c>
      <c r="C107" s="17" t="s">
        <v>97</v>
      </c>
      <c r="D107" s="72" t="n">
        <f aca="false">IF(D21&gt;0,D41/D21,"N/M")</f>
        <v>0.0413169482121566</v>
      </c>
      <c r="E107" s="72" t="n">
        <f aca="false">IF(E21&gt;0,E41/E21,"N/M")</f>
        <v>0.690220452744441</v>
      </c>
      <c r="F107" s="72" t="n">
        <f aca="false">IF(F21&gt;0,F41/F21,"N/M")</f>
        <v>0.42052766132676</v>
      </c>
      <c r="G107" s="72" t="n">
        <f aca="false">IF(G21&gt;0,G41/G21,"N/M")</f>
        <v>0.416875468465574</v>
      </c>
      <c r="H107" s="72" t="n">
        <f aca="false">IF(H21&gt;0,H41/H21,"N/M")</f>
        <v>0.479251332530071</v>
      </c>
      <c r="I107" s="72" t="n">
        <f aca="false">IF(I21&gt;0,I41/I21,"N/M")</f>
        <v>0.446350018911819</v>
      </c>
      <c r="J107" s="72" t="n">
        <f aca="false">IF(J21&gt;0,J41/J21,"N/M")</f>
        <v>0.494316667691614</v>
      </c>
      <c r="K107" s="56" t="n">
        <f aca="false">IF(COUNT(D107:J107)=0,"N/M",AVERAGE(D107:J107))</f>
        <v>0.426979792840348</v>
      </c>
      <c r="L107" s="60" t="n">
        <f aca="false">IF(COUNT(D107,J107)=2,J107-D107,"-")</f>
        <v>0.452999719479457</v>
      </c>
    </row>
    <row r="108" customFormat="false" ht="16.5" hidden="false" customHeight="true" outlineLevel="0" collapsed="false">
      <c r="A108" s="88" t="s">
        <v>673</v>
      </c>
      <c r="B108" s="89"/>
      <c r="C108" s="89"/>
      <c r="D108" s="89"/>
      <c r="E108" s="89"/>
      <c r="F108" s="89"/>
      <c r="G108" s="89"/>
      <c r="H108" s="89"/>
      <c r="I108" s="89"/>
      <c r="J108" s="89"/>
      <c r="K108" s="89"/>
      <c r="L108" s="89"/>
    </row>
    <row r="109" customFormat="false" ht="15" hidden="false" customHeight="false" outlineLevel="0" collapsed="false">
      <c r="A109" s="16" t="s">
        <v>674</v>
      </c>
      <c r="B109" s="87" t="s">
        <v>675</v>
      </c>
      <c r="C109" s="17" t="s">
        <v>676</v>
      </c>
      <c r="D109" s="73" t="n">
        <f aca="false">IF(D25&gt;0,D23/D25,"N/M")</f>
        <v>24.7590439276486</v>
      </c>
      <c r="E109" s="73" t="n">
        <f aca="false">IF(E25&gt;0,E23/E25,"N/M")</f>
        <v>11.3800967519005</v>
      </c>
      <c r="F109" s="73" t="n">
        <f aca="false">IF(F25&gt;0,F23/F25,"N/M")</f>
        <v>18.8900381922342</v>
      </c>
      <c r="G109" s="73" t="n">
        <f aca="false">IF(G25&gt;0,G23/G25,"N/M")</f>
        <v>20.0183982683983</v>
      </c>
      <c r="H109" s="73" t="n">
        <f aca="false">IF(H25&gt;0,H23/H25,"N/M")</f>
        <v>18.6821413634462</v>
      </c>
      <c r="I109" s="73" t="n">
        <f aca="false">IF(I25&gt;0,I23/I25,"N/M")</f>
        <v>18.3356443719413</v>
      </c>
      <c r="J109" s="73" t="n">
        <f aca="false">IF(J25&gt;0,J23/J25,"N/M")</f>
        <v>17.0099325098688</v>
      </c>
      <c r="K109" s="60" t="n">
        <f aca="false">IF(COUNT(D109:J109)=0,"N/M",AVERAGE(D109:J109))</f>
        <v>18.4393279122054</v>
      </c>
      <c r="L109" s="60" t="n">
        <f aca="false">IF(COUNT(D109,J109)=2,J109-D109,"-")</f>
        <v>-7.74911141777977</v>
      </c>
    </row>
    <row r="110" customFormat="false" ht="15" hidden="false" customHeight="false" outlineLevel="0" collapsed="false">
      <c r="A110" s="16" t="s">
        <v>677</v>
      </c>
      <c r="B110" s="87" t="s">
        <v>678</v>
      </c>
      <c r="C110" s="17" t="s">
        <v>115</v>
      </c>
      <c r="D110" s="73" t="n">
        <f aca="false">IF(D31&gt;0,D30/D31,"N/M")</f>
        <v>1.83961705037611</v>
      </c>
      <c r="E110" s="73" t="n">
        <f aca="false">IF(E31&gt;0,E30/E31,"N/M")</f>
        <v>1.65849335302807</v>
      </c>
      <c r="F110" s="73" t="n">
        <f aca="false">IF(F31&gt;0,F30/F31,"N/M")</f>
        <v>1.92410233966118</v>
      </c>
      <c r="G110" s="73" t="n">
        <f aca="false">IF(G31&gt;0,G30/G31,"N/M")</f>
        <v>1.75144353430912</v>
      </c>
      <c r="H110" s="73" t="n">
        <f aca="false">IF(H31&gt;0,H30/H31,"N/M")</f>
        <v>1.79904381332953</v>
      </c>
      <c r="I110" s="73" t="n">
        <f aca="false">IF(I31&gt;0,I30/I31,"N/M")</f>
        <v>1.84103039817326</v>
      </c>
      <c r="J110" s="73" t="n">
        <f aca="false">IF(J31&gt;0,J30/J31,"N/M")</f>
        <v>1.89590680773752</v>
      </c>
      <c r="K110" s="60" t="n">
        <f aca="false">IF(COUNT(D110:J110)=0,"N/M",AVERAGE(D110:J110))</f>
        <v>1.81566247094497</v>
      </c>
      <c r="L110" s="60" t="n">
        <f aca="false">IF(COUNT(D110,J110)=2,J110-D110,"-")</f>
        <v>0.0562897573614114</v>
      </c>
    </row>
    <row r="111" customFormat="false" ht="15" hidden="false" customHeight="false" outlineLevel="0" collapsed="false">
      <c r="A111" s="16" t="s">
        <v>679</v>
      </c>
      <c r="B111" s="87" t="s">
        <v>680</v>
      </c>
      <c r="C111" s="17" t="s">
        <v>115</v>
      </c>
      <c r="D111" s="73" t="n">
        <f aca="false">IF(D25+D76&gt;0,D21/(D25+D76/(1-D77)),"N/M")</f>
        <v>1.02016360278458</v>
      </c>
      <c r="E111" s="73" t="n">
        <f aca="false">IF(E25+E76&gt;0,E21/(E25+E76/(1-E77)),"N/M")</f>
        <v>5.52785588335884</v>
      </c>
      <c r="F111" s="73" t="n">
        <f aca="false">IF(F25+F76&gt;0,F21/(F25+F76/(1-F77)),"N/M")</f>
        <v>27.8241565881604</v>
      </c>
      <c r="G111" s="73" t="n">
        <f aca="false">IF(G25+G76&gt;0,G21/(G25+G76/(1-G77)),"N/M")</f>
        <v>8.38425543220374</v>
      </c>
      <c r="H111" s="73" t="n">
        <f aca="false">IF(H25+H76&gt;0,H21/(H25+H76/(1-H77)),"N/M")</f>
        <v>12.1511632854272</v>
      </c>
      <c r="I111" s="73" t="n">
        <f aca="false">IF(I25+I76&gt;0,I21/(I25+I76/(1-I77)),"N/M")</f>
        <v>7.43066473452991</v>
      </c>
      <c r="J111" s="73" t="n">
        <f aca="false">IF(J25+J76&gt;0,J21/(J25+J76/(1-J77)),"N/M")</f>
        <v>5.25755845764013</v>
      </c>
      <c r="K111" s="60" t="n">
        <f aca="false">IF(COUNT(D111:J111)=0,"N/M",AVERAGE(D111:J111))</f>
        <v>9.65654542630068</v>
      </c>
      <c r="L111" s="60" t="n">
        <f aca="false">IF(COUNT(D111,J111)=2,J111-D111,"-")</f>
        <v>4.23739485485555</v>
      </c>
    </row>
    <row r="112" customFormat="false" ht="15" hidden="false" customHeight="false" outlineLevel="0" collapsed="false">
      <c r="A112" s="16" t="s">
        <v>681</v>
      </c>
      <c r="B112" s="87" t="s">
        <v>682</v>
      </c>
      <c r="C112" s="17" t="s">
        <v>115</v>
      </c>
      <c r="D112" s="73" t="n">
        <f aca="false">IF(D25+D76&gt;0,(D63+D27)/(D25+D76/(1-D77)),"N/M")</f>
        <v>2.66379865413855</v>
      </c>
      <c r="E112" s="73" t="n">
        <f aca="false">IF(E25+E76&gt;0,(E63+E27)/(E25+E76/(1-E77)),"N/M")</f>
        <v>6.34405893318884</v>
      </c>
      <c r="F112" s="73" t="n">
        <f aca="false">IF(F25+F76&gt;0,(F63+F27)/(F25+F76/(1-F77)),"N/M")</f>
        <v>27.2377466581795</v>
      </c>
      <c r="G112" s="73" t="n">
        <f aca="false">IF(G25+G76&gt;0,(G63+G27)/(G25+G76/(1-G77)),"N/M")</f>
        <v>8.05993673910131</v>
      </c>
      <c r="H112" s="73" t="n">
        <f aca="false">IF(H25+H76&gt;0,(H63+H27)/(H25+H76/(1-H77)),"N/M")</f>
        <v>11.1354231110633</v>
      </c>
      <c r="I112" s="73" t="n">
        <f aca="false">IF(I25+I76&gt;0,(I63+I27)/(I25+I76/(1-I77)),"N/M")</f>
        <v>8.24106500187112</v>
      </c>
      <c r="J112" s="73" t="n">
        <f aca="false">IF(J25+J76&gt;0,(J63+J27)/(J25+J76/(1-J77)),"N/M")</f>
        <v>5.08495775924293</v>
      </c>
      <c r="K112" s="60" t="n">
        <f aca="false">IF(COUNT(D112:J112)=0,"N/M",AVERAGE(D112:J112))</f>
        <v>9.82385526525508</v>
      </c>
      <c r="L112" s="60" t="n">
        <f aca="false">IF(COUNT(D112,J112)=2,J112-D112,"-")</f>
        <v>2.42115910510439</v>
      </c>
    </row>
    <row r="113" customFormat="false" ht="15" hidden="false" customHeight="false" outlineLevel="0" collapsed="false">
      <c r="A113" s="16" t="s">
        <v>683</v>
      </c>
      <c r="B113" s="87" t="s">
        <v>684</v>
      </c>
      <c r="C113" s="17" t="s">
        <v>685</v>
      </c>
      <c r="D113" s="73" t="n">
        <f aca="false">IF(D75&gt;0,D63/D75,"N/M")</f>
        <v>1.490681868774</v>
      </c>
      <c r="E113" s="73" t="str">
        <f aca="false">IF(E75&gt;0,E63/E75,"N/M")</f>
        <v>N/M</v>
      </c>
      <c r="F113" s="73" t="n">
        <f aca="false">IF(F75&gt;0,F63/F75,"N/M")</f>
        <v>1.2796045562003</v>
      </c>
      <c r="G113" s="73" t="n">
        <f aca="false">IF(G75&gt;0,G63/G75,"N/M")</f>
        <v>2.36895052574818</v>
      </c>
      <c r="H113" s="73" t="n">
        <f aca="false">IF(H75&gt;0,H63/H75,"N/M")</f>
        <v>1.98734738860979</v>
      </c>
      <c r="I113" s="73" t="n">
        <f aca="false">IF(I75&gt;0,I63/I75,"N/M")</f>
        <v>2.72265084389864</v>
      </c>
      <c r="J113" s="73" t="n">
        <f aca="false">IF(J75&gt;0,J63/J75,"N/M")</f>
        <v>6.28463006147976</v>
      </c>
      <c r="K113" s="60" t="n">
        <f aca="false">IF(COUNT(D113:J113)=0,"N/M",AVERAGE(D113:J113))</f>
        <v>2.68897754078511</v>
      </c>
      <c r="L113" s="60" t="n">
        <f aca="false">IF(COUNT(D113,J113)=2,J113-D113,"-")</f>
        <v>4.79394819270576</v>
      </c>
    </row>
    <row r="114" customFormat="false" ht="15" hidden="false" customHeight="false" outlineLevel="0" collapsed="false">
      <c r="A114" s="16" t="s">
        <v>686</v>
      </c>
      <c r="B114" s="87" t="s">
        <v>687</v>
      </c>
      <c r="C114" s="17" t="s">
        <v>688</v>
      </c>
      <c r="D114" s="73" t="n">
        <f aca="false">IF(D25+D76&gt;0,(D30+D25+D22)/(D25+D76),"N/M")</f>
        <v>0.79498720818676</v>
      </c>
      <c r="E114" s="73" t="n">
        <f aca="false">IF(E25+E76&gt;0,(E30+E25+E22)/(E25+E76),"N/M")</f>
        <v>7.25176021583207</v>
      </c>
      <c r="F114" s="73" t="n">
        <f aca="false">IF(F25+F76&gt;0,(F30+F25+F22)/(F25+F76),"N/M")</f>
        <v>26.7246976448122</v>
      </c>
      <c r="G114" s="73" t="n">
        <f aca="false">IF(G25+G76&gt;0,(G30+G25+G22)/(G25+G76),"N/M")</f>
        <v>9.87979930191972</v>
      </c>
      <c r="H114" s="73" t="n">
        <f aca="false">IF(H25+H76&gt;0,(H30+H25+H22)/(H25+H76),"N/M")</f>
        <v>13.995193687231</v>
      </c>
      <c r="I114" s="73" t="n">
        <f aca="false">IF(I25+I76&gt;0,(I30+I25+I22)/(I25+I76),"N/M")</f>
        <v>9.11515748031496</v>
      </c>
      <c r="J114" s="73" t="n">
        <f aca="false">IF(J25+J76&gt;0,(J30+J25+J22)/(J25+J76),"N/M")</f>
        <v>6.46687823617839</v>
      </c>
      <c r="K114" s="60" t="n">
        <f aca="false">IF(COUNT(D114:J114)=0,"N/M",AVERAGE(D114:J114))</f>
        <v>10.6040676820679</v>
      </c>
      <c r="L114" s="60" t="n">
        <f aca="false">IF(COUNT(D114,J114)=2,J114-D114,"-")</f>
        <v>5.67189102799163</v>
      </c>
    </row>
    <row r="115" customFormat="false" ht="16.5" hidden="false" customHeight="true" outlineLevel="0" collapsed="false">
      <c r="A115" s="88" t="s">
        <v>689</v>
      </c>
      <c r="B115" s="89"/>
      <c r="C115" s="89"/>
      <c r="D115" s="89"/>
      <c r="E115" s="89"/>
      <c r="F115" s="89"/>
      <c r="G115" s="89"/>
      <c r="H115" s="89"/>
      <c r="I115" s="89"/>
      <c r="J115" s="89"/>
      <c r="K115" s="89"/>
      <c r="L115" s="89"/>
    </row>
    <row r="116" customFormat="false" ht="15" hidden="false" customHeight="false" outlineLevel="0" collapsed="false">
      <c r="A116" s="16" t="s">
        <v>690</v>
      </c>
      <c r="B116" s="87" t="s">
        <v>691</v>
      </c>
      <c r="C116" s="17" t="s">
        <v>692</v>
      </c>
      <c r="D116" s="73" t="n">
        <f aca="false">IF(D51&gt;0,D13/D51,"N/M")</f>
        <v>163.304776345716</v>
      </c>
      <c r="E116" s="73" t="n">
        <f aca="false">IF(E51&gt;0,E13/E51,"N/M")</f>
        <v>170.613532586135</v>
      </c>
      <c r="F116" s="73" t="n">
        <f aca="false">IF(F51&gt;0,F13/F51,"N/M")</f>
        <v>154.841854557002</v>
      </c>
      <c r="G116" s="73" t="n">
        <f aca="false">IF(G51&gt;0,G13/G51,"N/M")</f>
        <v>142.461662198391</v>
      </c>
      <c r="H116" s="73" t="n">
        <f aca="false">IF(H51&gt;0,H13/H51,"N/M")</f>
        <v>113.293206197855</v>
      </c>
      <c r="I116" s="73" t="n">
        <f aca="false">IF(I51&gt;0,I13/I51,"N/M")</f>
        <v>118.566633366633</v>
      </c>
      <c r="J116" s="73" t="n">
        <f aca="false">IF(J51&gt;0,J13/J51,"N/M")</f>
        <v>115.080435613298</v>
      </c>
      <c r="K116" s="60" t="n">
        <f aca="false">IF(COUNT(D116:J116)=0,"N/M",AVERAGE(D116:J116))</f>
        <v>139.737442980719</v>
      </c>
      <c r="L116" s="60" t="n">
        <f aca="false">IF(COUNT(D116,J116)=2,J116-D116,"-")</f>
        <v>-48.2243407324188</v>
      </c>
    </row>
    <row r="117" customFormat="false" ht="15" hidden="false" customHeight="false" outlineLevel="0" collapsed="false">
      <c r="A117" s="16" t="s">
        <v>693</v>
      </c>
      <c r="B117" s="87" t="s">
        <v>694</v>
      </c>
      <c r="C117" s="17" t="s">
        <v>653</v>
      </c>
      <c r="D117" s="74" t="n">
        <f aca="false">IF(D13&gt;0,D51/D13*Setup!$C$8,"N/M")</f>
        <v>2.23508465684613</v>
      </c>
      <c r="E117" s="74" t="n">
        <f aca="false">IF(E13&gt;0,E51/E13*Setup!$C$8,"N/M")</f>
        <v>2.13933792042977</v>
      </c>
      <c r="F117" s="74" t="n">
        <f aca="false">IF(F13&gt;0,F51/F13*Setup!$C$8,"N/M")</f>
        <v>2.35724378944087</v>
      </c>
      <c r="G117" s="74" t="n">
        <f aca="false">IF(G13&gt;0,G51/G13*Setup!$C$8,"N/M")</f>
        <v>2.56209280705782</v>
      </c>
      <c r="H117" s="74" t="n">
        <f aca="false">IF(H13&gt;0,H51/H13*Setup!$C$8,"N/M")</f>
        <v>3.2217289301758</v>
      </c>
      <c r="I117" s="74" t="n">
        <f aca="false">IF(I13&gt;0,I51/I13*Setup!$C$8,"N/M")</f>
        <v>3.07843774960989</v>
      </c>
      <c r="J117" s="74" t="n">
        <f aca="false">IF(J13&gt;0,J51/J13*Setup!$C$8,"N/M")</f>
        <v>3.1716946330174</v>
      </c>
      <c r="K117" s="58" t="n">
        <f aca="false">IF(COUNT(D117:J117)=0,"N/M",AVERAGE(D117:J117))</f>
        <v>2.68080292665395</v>
      </c>
      <c r="L117" s="58" t="n">
        <f aca="false">IF(COUNT(D117,J117)=2,J117-D117,"-")</f>
        <v>0.936609976171263</v>
      </c>
    </row>
    <row r="118" customFormat="false" ht="15" hidden="false" customHeight="false" outlineLevel="0" collapsed="false">
      <c r="A118" s="16" t="s">
        <v>695</v>
      </c>
      <c r="B118" s="87" t="s">
        <v>696</v>
      </c>
      <c r="C118" s="17" t="s">
        <v>692</v>
      </c>
      <c r="D118" s="73" t="n">
        <f aca="false">IF(D50&gt;0,D7/D50,"N/M")</f>
        <v>39.6663427078904</v>
      </c>
      <c r="E118" s="73" t="n">
        <f aca="false">IF(E50&gt;0,E7/E50,"N/M")</f>
        <v>39.9123144755636</v>
      </c>
      <c r="F118" s="73" t="n">
        <f aca="false">IF(F50&gt;0,F7/F50,"N/M")</f>
        <v>42.1127558881796</v>
      </c>
      <c r="G118" s="73" t="n">
        <f aca="false">IF(G50&gt;0,G7/G50,"N/M")</f>
        <v>37.82</v>
      </c>
      <c r="H118" s="73" t="n">
        <f aca="false">IF(H50&gt;0,H7/H50,"N/M")</f>
        <v>25.9371459401133</v>
      </c>
      <c r="I118" s="73" t="n">
        <f aca="false">IF(I50&gt;0,I7/I50,"N/M")</f>
        <v>22.2186609330467</v>
      </c>
      <c r="J118" s="73" t="n">
        <f aca="false">IF(J50&gt;0,J7/J50,"N/M")</f>
        <v>18.7202977442369</v>
      </c>
      <c r="K118" s="60" t="n">
        <f aca="false">IF(COUNT(D118:J118)=0,"N/M",AVERAGE(D118:J118))</f>
        <v>32.3410739555758</v>
      </c>
      <c r="L118" s="60" t="n">
        <f aca="false">IF(COUNT(D118,J118)=2,J118-D118,"-")</f>
        <v>-20.9460449636536</v>
      </c>
    </row>
    <row r="119" customFormat="false" ht="15" hidden="false" customHeight="false" outlineLevel="0" collapsed="false">
      <c r="A119" s="16" t="s">
        <v>697</v>
      </c>
      <c r="B119" s="87" t="s">
        <v>698</v>
      </c>
      <c r="C119" s="17" t="s">
        <v>653</v>
      </c>
      <c r="D119" s="74" t="n">
        <f aca="false">IF(D7&gt;0,D50/D7*Setup!$C$8,"N/M")</f>
        <v>9.20175582326611</v>
      </c>
      <c r="E119" s="74" t="n">
        <f aca="false">IF(E7&gt;0,E50/E7*Setup!$C$8,"N/M")</f>
        <v>9.14504720650747</v>
      </c>
      <c r="F119" s="74" t="n">
        <f aca="false">IF(F7&gt;0,F50/F7*Setup!$C$8,"N/M")</f>
        <v>8.66720765008043</v>
      </c>
      <c r="G119" s="74" t="n">
        <f aca="false">IF(G7&gt;0,G50/G7*Setup!$C$8,"N/M")</f>
        <v>9.65097831835008</v>
      </c>
      <c r="H119" s="74" t="n">
        <f aca="false">IF(H7&gt;0,H50/H7*Setup!$C$8,"N/M")</f>
        <v>14.0724812530552</v>
      </c>
      <c r="I119" s="74" t="n">
        <f aca="false">IF(I7&gt;0,I50/I7*Setup!$C$8,"N/M")</f>
        <v>16.4276326597667</v>
      </c>
      <c r="J119" s="74" t="n">
        <f aca="false">IF(J7&gt;0,J50/J7*Setup!$C$8,"N/M")</f>
        <v>19.4975531365342</v>
      </c>
      <c r="K119" s="58" t="n">
        <f aca="false">IF(COUNT(D119:J119)=0,"N/M",AVERAGE(D119:J119))</f>
        <v>12.3803794353657</v>
      </c>
      <c r="L119" s="58" t="n">
        <f aca="false">IF(COUNT(D119,J119)=2,J119-D119,"-")</f>
        <v>10.2957973132681</v>
      </c>
    </row>
    <row r="120" customFormat="false" ht="15" hidden="false" customHeight="false" outlineLevel="0" collapsed="false">
      <c r="A120" s="16" t="s">
        <v>699</v>
      </c>
      <c r="B120" s="87" t="s">
        <v>700</v>
      </c>
      <c r="C120" s="17" t="s">
        <v>692</v>
      </c>
      <c r="D120" s="73" t="n">
        <f aca="false">IF(D42&gt;0,D13/D42,"N/M")</f>
        <v>2.57552640704028</v>
      </c>
      <c r="E120" s="73" t="n">
        <f aca="false">IF(E42&gt;0,E13/E42,"N/M")</f>
        <v>2.73957847306467</v>
      </c>
      <c r="F120" s="73" t="n">
        <f aca="false">IF(F42&gt;0,F13/F42,"N/M")</f>
        <v>3.22606405854059</v>
      </c>
      <c r="G120" s="73" t="n">
        <f aca="false">IF(G42&gt;0,G13/G42,"N/M")</f>
        <v>3.63863077671033</v>
      </c>
      <c r="H120" s="73" t="n">
        <f aca="false">IF(H42&gt;0,H13/H42,"N/M")</f>
        <v>4.46870127326151</v>
      </c>
      <c r="I120" s="73" t="n">
        <f aca="false">IF(I42&gt;0,I13/I42,"N/M")</f>
        <v>4.80763808999141</v>
      </c>
      <c r="J120" s="73" t="n">
        <f aca="false">IF(J42&gt;0,J13/J42,"N/M")</f>
        <v>4.74702488848258</v>
      </c>
      <c r="K120" s="60" t="n">
        <f aca="false">IF(COUNT(D120:J120)=0,"N/M",AVERAGE(D120:J120))</f>
        <v>3.74330913815591</v>
      </c>
      <c r="L120" s="60" t="n">
        <f aca="false">IF(COUNT(D120,J120)=2,J120-D120,"-")</f>
        <v>2.17149848144229</v>
      </c>
    </row>
    <row r="121" customFormat="false" ht="15" hidden="false" customHeight="false" outlineLevel="0" collapsed="false">
      <c r="A121" s="16" t="s">
        <v>701</v>
      </c>
      <c r="B121" s="87" t="s">
        <v>702</v>
      </c>
      <c r="C121" s="17" t="s">
        <v>653</v>
      </c>
      <c r="D121" s="74" t="n">
        <f aca="false">IF(D13&gt;0,D42/D13*Setup!$C$8,"N/M")</f>
        <v>141.718601293414</v>
      </c>
      <c r="E121" s="74" t="n">
        <f aca="false">IF(E13&gt;0,E42/E13*Setup!$C$8,"N/M")</f>
        <v>133.23217552943</v>
      </c>
      <c r="F121" s="74" t="n">
        <f aca="false">IF(F13&gt;0,F42/F13*Setup!$C$8,"N/M")</f>
        <v>113.140964772138</v>
      </c>
      <c r="G121" s="74" t="n">
        <f aca="false">IF(G13&gt;0,G42/G13*Setup!$C$8,"N/M")</f>
        <v>100.312458833758</v>
      </c>
      <c r="H121" s="74" t="n">
        <f aca="false">IF(H13&gt;0,H42/H13*Setup!$C$8,"N/M")</f>
        <v>81.6792122991033</v>
      </c>
      <c r="I121" s="74" t="n">
        <f aca="false">IF(I13&gt;0,I42/I13*Setup!$C$8,"N/M")</f>
        <v>75.9208561808886</v>
      </c>
      <c r="J121" s="74" t="n">
        <f aca="false">IF(J13&gt;0,J42/J13*Setup!$C$8,"N/M")</f>
        <v>76.8902646551481</v>
      </c>
      <c r="K121" s="58" t="n">
        <f aca="false">IF(COUNT(D121:J121)=0,"N/M",AVERAGE(D121:J121))</f>
        <v>103.270647651983</v>
      </c>
      <c r="L121" s="58" t="n">
        <f aca="false">IF(COUNT(D121,J121)=2,J121-D121,"-")</f>
        <v>-64.8283366382655</v>
      </c>
    </row>
    <row r="122" customFormat="false" ht="15" hidden="false" customHeight="false" outlineLevel="0" collapsed="false">
      <c r="A122" s="16" t="s">
        <v>703</v>
      </c>
      <c r="B122" s="87" t="s">
        <v>704</v>
      </c>
      <c r="C122" s="17" t="s">
        <v>653</v>
      </c>
      <c r="D122" s="74" t="n">
        <f aca="false">IF(COUNT(D117,D119,D121)=3,D117+D119-D121,"N/M")</f>
        <v>-130.281760813301</v>
      </c>
      <c r="E122" s="74" t="n">
        <f aca="false">IF(COUNT(E117,E119,E121)=3,E117+E119-E121,"N/M")</f>
        <v>-121.947790402493</v>
      </c>
      <c r="F122" s="74" t="n">
        <f aca="false">IF(COUNT(F117,F119,F121)=3,F117+F119-F121,"N/M")</f>
        <v>-102.116513332616</v>
      </c>
      <c r="G122" s="74" t="n">
        <f aca="false">IF(COUNT(G117,G119,G121)=3,G117+G119-G121,"N/M")</f>
        <v>-88.0993877083501</v>
      </c>
      <c r="H122" s="74" t="n">
        <f aca="false">IF(COUNT(H117,H119,H121)=3,H117+H119-H121,"N/M")</f>
        <v>-64.3850021158723</v>
      </c>
      <c r="I122" s="74" t="n">
        <f aca="false">IF(COUNT(I117,I119,I121)=3,I117+I119-I121,"N/M")</f>
        <v>-56.414785771512</v>
      </c>
      <c r="J122" s="74" t="n">
        <f aca="false">IF(COUNT(J117,J119,J121)=3,J117+J119-J121,"N/M")</f>
        <v>-54.2210168855965</v>
      </c>
      <c r="K122" s="58" t="n">
        <f aca="false">IF(COUNT(D122:J122)=0,"N/M",AVERAGE(D122:J122))</f>
        <v>-88.2094652899631</v>
      </c>
      <c r="L122" s="58" t="n">
        <f aca="false">IF(COUNT(D122,J122)=2,J122-D122,"-")</f>
        <v>76.0607439277049</v>
      </c>
    </row>
    <row r="123" customFormat="false" ht="15" hidden="false" customHeight="false" outlineLevel="0" collapsed="false">
      <c r="A123" s="16" t="s">
        <v>705</v>
      </c>
      <c r="B123" s="87" t="s">
        <v>706</v>
      </c>
      <c r="C123" s="17" t="s">
        <v>692</v>
      </c>
      <c r="D123" s="73" t="n">
        <f aca="false">IF(D45&gt;0,D7/D45,"N/M")</f>
        <v>1.22111107163493</v>
      </c>
      <c r="E123" s="73" t="n">
        <f aca="false">IF(E45&gt;0,E7/E45,"N/M")</f>
        <v>1.13498908643964</v>
      </c>
      <c r="F123" s="73" t="n">
        <f aca="false">IF(F45&gt;0,F7/F45,"N/M")</f>
        <v>1.33725629989987</v>
      </c>
      <c r="G123" s="73" t="n">
        <f aca="false">IF(G45&gt;0,G7/G45,"N/M")</f>
        <v>1.45340162862567</v>
      </c>
      <c r="H123" s="73" t="n">
        <f aca="false">IF(H45&gt;0,H7/H45,"N/M")</f>
        <v>1.43869580831155</v>
      </c>
      <c r="I123" s="73" t="n">
        <f aca="false">IF(I45&gt;0,I7/I45,"N/M")</f>
        <v>1.35092506312258</v>
      </c>
      <c r="J123" s="73" t="n">
        <f aca="false">IF(J45&gt;0,J7/J45,"N/M")</f>
        <v>1.26580271871732</v>
      </c>
      <c r="K123" s="60" t="n">
        <f aca="false">IF(COUNT(D123:J123)=0,"N/M",AVERAGE(D123:J123))</f>
        <v>1.31459738239308</v>
      </c>
      <c r="L123" s="60" t="n">
        <f aca="false">IF(COUNT(D123,J123)=2,J123-D123,"-")</f>
        <v>0.0446916470823922</v>
      </c>
    </row>
    <row r="124" customFormat="false" ht="15" hidden="false" customHeight="false" outlineLevel="0" collapsed="false">
      <c r="A124" s="16" t="s">
        <v>707</v>
      </c>
      <c r="B124" s="87" t="s">
        <v>708</v>
      </c>
      <c r="C124" s="17" t="s">
        <v>692</v>
      </c>
      <c r="D124" s="73" t="n">
        <f aca="false">IF(D49&gt;0,D7/D49,"N/M")</f>
        <v>0.553940363532721</v>
      </c>
      <c r="E124" s="73" t="n">
        <f aca="false">IF(E49&gt;0,E7/E49,"N/M")</f>
        <v>0.517876467009657</v>
      </c>
      <c r="F124" s="73" t="n">
        <f aca="false">IF(F49&gt;0,F7/F49,"N/M")</f>
        <v>0.588569217966723</v>
      </c>
      <c r="G124" s="73" t="n">
        <f aca="false">IF(G49&gt;0,G7/G49,"N/M")</f>
        <v>0.606690204128314</v>
      </c>
      <c r="H124" s="73" t="n">
        <f aca="false">IF(H49&gt;0,H7/H49,"N/M")</f>
        <v>0.616420528046411</v>
      </c>
      <c r="I124" s="73" t="n">
        <f aca="false">IF(I49&gt;0,I7/I49,"N/M")</f>
        <v>0.613860633849223</v>
      </c>
      <c r="J124" s="73" t="n">
        <f aca="false">IF(J49&gt;0,J7/J49,"N/M")</f>
        <v>0.598253928298908</v>
      </c>
      <c r="K124" s="60" t="n">
        <f aca="false">IF(COUNT(D124:J124)=0,"N/M",AVERAGE(D124:J124))</f>
        <v>0.58508733469028</v>
      </c>
      <c r="L124" s="60" t="n">
        <f aca="false">IF(COUNT(D124,J124)=2,J124-D124,"-")</f>
        <v>0.0443135647661869</v>
      </c>
    </row>
    <row r="125" customFormat="false" ht="15" hidden="false" customHeight="false" outlineLevel="0" collapsed="false">
      <c r="A125" s="16" t="s">
        <v>709</v>
      </c>
      <c r="B125" s="87" t="s">
        <v>710</v>
      </c>
      <c r="C125" s="17" t="s">
        <v>692</v>
      </c>
      <c r="D125" s="73" t="n">
        <f aca="false">IF(D90&gt;0,D7/D90,"N/M")</f>
        <v>0.645532369193662</v>
      </c>
      <c r="E125" s="73" t="n">
        <f aca="false">IF(E90&gt;0,E7/E90,"N/M")</f>
        <v>0.589089649217841</v>
      </c>
      <c r="F125" s="73" t="n">
        <f aca="false">IF(F90&gt;0,F7/F90,"N/M")</f>
        <v>0.665985833921484</v>
      </c>
      <c r="G125" s="73" t="n">
        <f aca="false">IF(G90&gt;0,G7/G90,"N/M")</f>
        <v>0.680495173961467</v>
      </c>
      <c r="H125" s="73" t="n">
        <f aca="false">IF(H90&gt;0,H7/H90,"N/M")</f>
        <v>0.678065430644786</v>
      </c>
      <c r="I125" s="73" t="n">
        <f aca="false">IF(I90&gt;0,I7/I90,"N/M")</f>
        <v>0.671077073636328</v>
      </c>
      <c r="J125" s="73" t="n">
        <f aca="false">IF(J90&gt;0,J7/J90,"N/M")</f>
        <v>0.652838299206438</v>
      </c>
      <c r="K125" s="60" t="n">
        <f aca="false">IF(COUNT(D125:J125)=0,"N/M",AVERAGE(D125:J125))</f>
        <v>0.654726261397429</v>
      </c>
      <c r="L125" s="60" t="n">
        <f aca="false">IF(COUNT(D125,J125)=2,J125-D125,"-")</f>
        <v>0.00730593001277657</v>
      </c>
    </row>
    <row r="126" customFormat="false" ht="15" hidden="false" customHeight="false" outlineLevel="0" collapsed="false">
      <c r="A126" s="16" t="s">
        <v>711</v>
      </c>
      <c r="B126" s="87" t="s">
        <v>712</v>
      </c>
      <c r="C126" s="17" t="s">
        <v>692</v>
      </c>
      <c r="D126" s="73" t="n">
        <f aca="false">IF(D87&gt;0,D7/D87,"N/M")</f>
        <v>1.51903483633251</v>
      </c>
      <c r="E126" s="73" t="n">
        <f aca="false">IF(E87&gt;0,E7/E87,"N/M")</f>
        <v>1.40824603572829</v>
      </c>
      <c r="F126" s="73" t="n">
        <f aca="false">IF(F87&gt;0,F7/F87,"N/M")</f>
        <v>1.43927576654059</v>
      </c>
      <c r="G126" s="73" t="n">
        <f aca="false">IF(G87&gt;0,G7/G87,"N/M")</f>
        <v>1.40983748017472</v>
      </c>
      <c r="H126" s="73" t="n">
        <f aca="false">IF(H87&gt;0,H7/H87,"N/M")</f>
        <v>1.43656297053799</v>
      </c>
      <c r="I126" s="73" t="n">
        <f aca="false">IF(I87&gt;0,I7/I87,"N/M")</f>
        <v>1.50023549271998</v>
      </c>
      <c r="J126" s="73" t="n">
        <f aca="false">IF(J87&gt;0,J7/J87,"N/M")</f>
        <v>1.50600063365364</v>
      </c>
      <c r="K126" s="60" t="n">
        <f aca="false">IF(COUNT(D126:J126)=0,"N/M",AVERAGE(D126:J126))</f>
        <v>1.45988474509825</v>
      </c>
      <c r="L126" s="60" t="n">
        <f aca="false">IF(COUNT(D126,J126)=2,J126-D126,"-")</f>
        <v>-0.0130342026788648</v>
      </c>
    </row>
    <row r="127" customFormat="false" ht="15" hidden="false" customHeight="false" outlineLevel="0" collapsed="false">
      <c r="A127" s="16" t="s">
        <v>713</v>
      </c>
      <c r="B127" s="87" t="s">
        <v>714</v>
      </c>
      <c r="C127" s="17" t="s">
        <v>692</v>
      </c>
      <c r="D127" s="73" t="n">
        <f aca="false">IF(D94&gt;0,D7/D94,"N/M")</f>
        <v>2.48649049994289</v>
      </c>
      <c r="E127" s="73" t="n">
        <f aca="false">IF(E94&gt;0,E7/E94,"N/M")</f>
        <v>2.09786429823445</v>
      </c>
      <c r="F127" s="73" t="n">
        <f aca="false">IF(F94&gt;0,F7/F94,"N/M")</f>
        <v>2.01089172911784</v>
      </c>
      <c r="G127" s="73" t="n">
        <f aca="false">IF(G94&gt;0,G7/G94,"N/M")</f>
        <v>1.88490025334681</v>
      </c>
      <c r="H127" s="73" t="n">
        <f aca="false">IF(H94&gt;0,H7/H94,"N/M")</f>
        <v>1.8227528941914</v>
      </c>
      <c r="I127" s="73" t="n">
        <f aca="false">IF(I94&gt;0,I7/I94,"N/M")</f>
        <v>1.89512539957052</v>
      </c>
      <c r="J127" s="73" t="n">
        <f aca="false">IF(J94&gt;0,J7/J94,"N/M")</f>
        <v>1.90747887983831</v>
      </c>
      <c r="K127" s="60" t="n">
        <f aca="false">IF(COUNT(D127:J127)=0,"N/M",AVERAGE(D127:J127))</f>
        <v>2.01507199346317</v>
      </c>
      <c r="L127" s="60" t="n">
        <f aca="false">IF(COUNT(D127,J127)=2,J127-D127,"-")</f>
        <v>-0.579011620104578</v>
      </c>
    </row>
    <row r="128" customFormat="false" ht="16.5" hidden="false" customHeight="true" outlineLevel="0" collapsed="false">
      <c r="A128" s="88" t="s">
        <v>715</v>
      </c>
      <c r="B128" s="89"/>
      <c r="C128" s="89"/>
      <c r="D128" s="89"/>
      <c r="E128" s="89"/>
      <c r="F128" s="89"/>
      <c r="G128" s="89"/>
      <c r="H128" s="89"/>
      <c r="I128" s="89"/>
      <c r="J128" s="89"/>
      <c r="K128" s="89"/>
      <c r="L128" s="89"/>
    </row>
    <row r="129" customFormat="false" ht="15" hidden="false" customHeight="false" outlineLevel="0" collapsed="false">
      <c r="A129" s="16" t="s">
        <v>716</v>
      </c>
      <c r="B129" s="87" t="s">
        <v>717</v>
      </c>
      <c r="C129" s="17" t="s">
        <v>615</v>
      </c>
      <c r="D129" s="71" t="n">
        <f aca="false">IF(D7&gt;0,D14/D7,"N/M")</f>
        <v>0.34030599041081</v>
      </c>
      <c r="E129" s="71" t="n">
        <f aca="false">IF(E7&gt;0,E14/E7,"N/M")</f>
        <v>0.360505859581645</v>
      </c>
      <c r="F129" s="71" t="n">
        <f aca="false">IF(F7&gt;0,F14/F7,"N/M")</f>
        <v>0.362845677294247</v>
      </c>
      <c r="G129" s="71" t="n">
        <f aca="false">IF(G7&gt;0,G14/G7,"N/M")</f>
        <v>0.349523571694381</v>
      </c>
      <c r="H129" s="71" t="n">
        <f aca="false">IF(H7&gt;0,H14/H7,"N/M")</f>
        <v>0.34093264967221</v>
      </c>
      <c r="I129" s="71" t="n">
        <f aca="false">IF(I7&gt;0,I14/I7,"N/M")</f>
        <v>0.332255356688744</v>
      </c>
      <c r="J129" s="71" t="n">
        <f aca="false">IF(J7&gt;0,J14/J7,"N/M")</f>
        <v>0.336564610302711</v>
      </c>
      <c r="K129" s="62" t="n">
        <f aca="false">IF(COUNT(D129:J129)=0,"N/M",AVERAGE(D129:J129))</f>
        <v>0.34613338794925</v>
      </c>
      <c r="L129" s="62" t="n">
        <f aca="false">IF(COUNT(D129,J129)=2,J129-D129,"-")</f>
        <v>-0.00374138010809949</v>
      </c>
    </row>
    <row r="130" customFormat="false" ht="15" hidden="false" customHeight="false" outlineLevel="0" collapsed="false">
      <c r="A130" s="16" t="s">
        <v>718</v>
      </c>
      <c r="B130" s="87" t="s">
        <v>719</v>
      </c>
      <c r="C130" s="17" t="s">
        <v>615</v>
      </c>
      <c r="D130" s="71" t="n">
        <f aca="false">IF(D7&gt;0,D21/D7,"N/M")</f>
        <v>0.259441033831679</v>
      </c>
      <c r="E130" s="71" t="n">
        <f aca="false">IF(E7&gt;0,E21/E7,"N/M")</f>
        <v>0.162965141246102</v>
      </c>
      <c r="F130" s="71" t="n">
        <f aca="false">IF(F7&gt;0,F21/F7,"N/M")</f>
        <v>0.228476635135435</v>
      </c>
      <c r="G130" s="71" t="n">
        <f aca="false">IF(G7&gt;0,G21/G7,"N/M")</f>
        <v>0.228641518303073</v>
      </c>
      <c r="H130" s="71" t="n">
        <f aca="false">IF(H7&gt;0,H21/H7,"N/M")</f>
        <v>0.226347763482835</v>
      </c>
      <c r="I130" s="71" t="n">
        <f aca="false">IF(I7&gt;0,I21/I7,"N/M")</f>
        <v>0.217171785367874</v>
      </c>
      <c r="J130" s="71" t="n">
        <f aca="false">IF(J7&gt;0,J21/J7,"N/M")</f>
        <v>0.214927464238785</v>
      </c>
      <c r="K130" s="62" t="n">
        <f aca="false">IF(COUNT(D130:J130)=0,"N/M",AVERAGE(D130:J130))</f>
        <v>0.219710191657969</v>
      </c>
      <c r="L130" s="62" t="n">
        <f aca="false">IF(COUNT(D130,J130)=2,J130-D130,"-")</f>
        <v>-0.0445135695928946</v>
      </c>
    </row>
    <row r="131" customFormat="false" ht="15" hidden="false" customHeight="false" outlineLevel="0" collapsed="false">
      <c r="A131" s="16" t="s">
        <v>720</v>
      </c>
      <c r="B131" s="87" t="s">
        <v>721</v>
      </c>
      <c r="C131" s="17" t="s">
        <v>615</v>
      </c>
      <c r="D131" s="71" t="n">
        <f aca="false">IF(D7&gt;0,D23/D7,"N/M")</f>
        <v>0.176073883621964</v>
      </c>
      <c r="E131" s="71" t="n">
        <f aca="false">IF(E7&gt;0,E23/E7,"N/M")</f>
        <v>0.0768638324091188</v>
      </c>
      <c r="F131" s="71" t="n">
        <f aca="false">IF(F7&gt;0,F23/F7,"N/M")</f>
        <v>0.15511458002569</v>
      </c>
      <c r="G131" s="71" t="n">
        <f aca="false">IF(G7&gt;0,G23/G7,"N/M")</f>
        <v>0.158498100162563</v>
      </c>
      <c r="H131" s="71" t="n">
        <f aca="false">IF(H7&gt;0,H23/H7,"N/M")</f>
        <v>0.154860338294383</v>
      </c>
      <c r="I131" s="71" t="n">
        <f aca="false">IF(I7&gt;0,I23/I7,"N/M")</f>
        <v>0.151768534334344</v>
      </c>
      <c r="J131" s="71" t="n">
        <f aca="false">IF(J7&gt;0,J23/J7,"N/M")</f>
        <v>0.147130125994469</v>
      </c>
      <c r="K131" s="62" t="n">
        <f aca="false">IF(COUNT(D131:J131)=0,"N/M",AVERAGE(D131:J131))</f>
        <v>0.145758484977505</v>
      </c>
      <c r="L131" s="62" t="n">
        <f aca="false">IF(COUNT(D131,J131)=2,J131-D131,"-")</f>
        <v>-0.0289437576274952</v>
      </c>
    </row>
    <row r="132" customFormat="false" ht="15" hidden="false" customHeight="false" outlineLevel="0" collapsed="false">
      <c r="A132" s="16" t="s">
        <v>722</v>
      </c>
      <c r="B132" s="87" t="s">
        <v>723</v>
      </c>
      <c r="C132" s="17" t="s">
        <v>615</v>
      </c>
      <c r="D132" s="71" t="n">
        <f aca="false">IF(D7&gt;0,D26/D7,"N/M")</f>
        <v>0.0832722077341368</v>
      </c>
      <c r="E132" s="71" t="n">
        <f aca="false">IF(E7&gt;0,E26/E7,"N/M")</f>
        <v>0.10481898467111</v>
      </c>
      <c r="F132" s="71" t="n">
        <f aca="false">IF(F7&gt;0,F26/F7,"N/M")</f>
        <v>0.182218633089107</v>
      </c>
      <c r="G132" s="71" t="n">
        <f aca="false">IF(G7&gt;0,G26/G7,"N/M")</f>
        <v>0.191353536243806</v>
      </c>
      <c r="H132" s="71" t="n">
        <f aca="false">IF(H7&gt;0,H26/H7,"N/M")</f>
        <v>0.192818784733417</v>
      </c>
      <c r="I132" s="71" t="n">
        <f aca="false">IF(I7&gt;0,I26/I7,"N/M")</f>
        <v>0.193772490666163</v>
      </c>
      <c r="J132" s="71" t="n">
        <f aca="false">IF(J7&gt;0,J26/J7,"N/M")</f>
        <v>0.181823488787825</v>
      </c>
      <c r="K132" s="62" t="n">
        <f aca="false">IF(COUNT(D132:J132)=0,"N/M",AVERAGE(D132:J132))</f>
        <v>0.161439732275081</v>
      </c>
      <c r="L132" s="62" t="n">
        <f aca="false">IF(COUNT(D132,J132)=2,J132-D132,"-")</f>
        <v>0.0985512810536883</v>
      </c>
    </row>
    <row r="133" customFormat="false" ht="15" hidden="false" customHeight="false" outlineLevel="0" collapsed="false">
      <c r="A133" s="16" t="s">
        <v>724</v>
      </c>
      <c r="B133" s="87" t="s">
        <v>725</v>
      </c>
      <c r="C133" s="17" t="s">
        <v>615</v>
      </c>
      <c r="D133" s="71" t="n">
        <f aca="false">IF(D7&gt;0,D30/D7,"N/M")</f>
        <v>0.0617922382994884</v>
      </c>
      <c r="E133" s="71" t="n">
        <f aca="false">IF(E7&gt;0,E30/E7,"N/M")</f>
        <v>0.0786142385033328</v>
      </c>
      <c r="F133" s="71" t="n">
        <f aca="false">IF(F7&gt;0,F30/F7,"N/M")</f>
        <v>0.137874980562492</v>
      </c>
      <c r="G133" s="71" t="n">
        <f aca="false">IF(G7&gt;0,G30/G7,"N/M")</f>
        <v>0.143696016217169</v>
      </c>
      <c r="H133" s="71" t="n">
        <f aca="false">IF(H7&gt;0,H30/H7,"N/M")</f>
        <v>0.145675519823977</v>
      </c>
      <c r="I133" s="71" t="n">
        <f aca="false">IF(I7&gt;0,I30/I7,"N/M")</f>
        <v>0.14515664418444</v>
      </c>
      <c r="J133" s="71" t="n">
        <f aca="false">IF(J7&gt;0,J30/J7,"N/M")</f>
        <v>0.13677763006156</v>
      </c>
      <c r="K133" s="62" t="n">
        <f aca="false">IF(COUNT(D133:J133)=0,"N/M",AVERAGE(D133:J133))</f>
        <v>0.121369609664637</v>
      </c>
      <c r="L133" s="62" t="n">
        <f aca="false">IF(COUNT(D133,J133)=2,J133-D133,"-")</f>
        <v>0.0749853917620715</v>
      </c>
    </row>
    <row r="134" customFormat="false" ht="16.5" hidden="false" customHeight="true" outlineLevel="0" collapsed="false">
      <c r="A134" s="88" t="s">
        <v>726</v>
      </c>
      <c r="B134" s="89"/>
      <c r="C134" s="89"/>
      <c r="D134" s="89"/>
      <c r="E134" s="89"/>
      <c r="F134" s="89"/>
      <c r="G134" s="89"/>
      <c r="H134" s="89"/>
      <c r="I134" s="89"/>
      <c r="J134" s="89"/>
      <c r="K134" s="89"/>
      <c r="L134" s="89"/>
    </row>
    <row r="135" customFormat="false" ht="15" hidden="false" customHeight="false" outlineLevel="0" collapsed="false">
      <c r="A135" s="16" t="s">
        <v>727</v>
      </c>
      <c r="B135" s="87" t="s">
        <v>728</v>
      </c>
      <c r="C135" s="17" t="s">
        <v>615</v>
      </c>
      <c r="D135" s="71" t="n">
        <f aca="false">IF(D7&gt;0,D13/D7,"N/M")</f>
        <v>0.65969400958919</v>
      </c>
      <c r="E135" s="71" t="n">
        <f aca="false">IF(E7&gt;0,E13/E7,"N/M")</f>
        <v>0.639494140418355</v>
      </c>
      <c r="F135" s="71" t="n">
        <f aca="false">IF(F7&gt;0,F13/F7,"N/M")</f>
        <v>0.637154322705754</v>
      </c>
      <c r="G135" s="71" t="n">
        <f aca="false">IF(G7&gt;0,G13/G7,"N/M")</f>
        <v>0.650476428305619</v>
      </c>
      <c r="H135" s="71" t="n">
        <f aca="false">IF(H7&gt;0,H13/H7,"N/M")</f>
        <v>0.65906735032779</v>
      </c>
      <c r="I135" s="71" t="n">
        <f aca="false">IF(I7&gt;0,I13/I7,"N/M")</f>
        <v>0.667744643311256</v>
      </c>
      <c r="J135" s="71" t="n">
        <f aca="false">IF(J7&gt;0,J13/J7,"N/M")</f>
        <v>0.663435389697289</v>
      </c>
      <c r="K135" s="62" t="n">
        <f aca="false">IF(COUNT(D135:J135)=0,"N/M",AVERAGE(D135:J135))</f>
        <v>0.65386661205075</v>
      </c>
      <c r="L135" s="62" t="n">
        <f aca="false">IF(COUNT(D135,J135)=2,J135-D135,"-")</f>
        <v>0.00374138010809955</v>
      </c>
    </row>
    <row r="136" customFormat="false" ht="15" hidden="false" customHeight="false" outlineLevel="0" collapsed="false">
      <c r="A136" s="16" t="s">
        <v>729</v>
      </c>
      <c r="B136" s="87" t="s">
        <v>730</v>
      </c>
      <c r="C136" s="17" t="s">
        <v>615</v>
      </c>
      <c r="D136" s="71" t="n">
        <f aca="false">IF(D7&gt;0,D19/D7,"N/M")</f>
        <v>0.0808649565791307</v>
      </c>
      <c r="E136" s="71" t="n">
        <f aca="false">IF(E7&gt;0,E19/E7,"N/M")</f>
        <v>0.197540718335543</v>
      </c>
      <c r="F136" s="71" t="n">
        <f aca="false">IF(F7&gt;0,F19/F7,"N/M")</f>
        <v>0.134369042158811</v>
      </c>
      <c r="G136" s="71" t="n">
        <f aca="false">IF(G7&gt;0,G19/G7,"N/M")</f>
        <v>0.120882053391308</v>
      </c>
      <c r="H136" s="71" t="n">
        <f aca="false">IF(H7&gt;0,H19/H7,"N/M")</f>
        <v>0.114584886189375</v>
      </c>
      <c r="I136" s="71" t="n">
        <f aca="false">IF(I7&gt;0,I19/I7,"N/M")</f>
        <v>0.11508357132087</v>
      </c>
      <c r="J136" s="71" t="n">
        <f aca="false">IF(J7&gt;0,J19/J7,"N/M")</f>
        <v>0.121637146063926</v>
      </c>
      <c r="K136" s="62" t="n">
        <f aca="false">IF(COUNT(D136:J136)=0,"N/M",AVERAGE(D136:J136))</f>
        <v>0.126423196291281</v>
      </c>
      <c r="L136" s="62" t="n">
        <f aca="false">IF(COUNT(D136,J136)=2,J136-D136,"-")</f>
        <v>0.0407721894847951</v>
      </c>
    </row>
    <row r="137" customFormat="false" ht="15" hidden="false" customHeight="false" outlineLevel="0" collapsed="false">
      <c r="A137" s="16" t="s">
        <v>731</v>
      </c>
      <c r="B137" s="87" t="s">
        <v>732</v>
      </c>
      <c r="C137" s="17" t="s">
        <v>615</v>
      </c>
      <c r="D137" s="71" t="n">
        <f aca="false">IF(D7&gt;0,D16/D7,"N/M")</f>
        <v>0.0485937028637407</v>
      </c>
      <c r="E137" s="71" t="n">
        <f aca="false">IF(E7&gt;0,E16/E7,"N/M")</f>
        <v>0.0667270362279605</v>
      </c>
      <c r="F137" s="71" t="n">
        <f aca="false">IF(F7&gt;0,F16/F7,"N/M")</f>
        <v>0.054794824853353</v>
      </c>
      <c r="G137" s="71" t="n">
        <f aca="false">IF(G7&gt;0,G16/G7,"N/M")</f>
        <v>0.0527731261139511</v>
      </c>
      <c r="H137" s="71" t="n">
        <f aca="false">IF(H7&gt;0,H16/H7,"N/M")</f>
        <v>0.0535615439462593</v>
      </c>
      <c r="I137" s="71" t="n">
        <f aca="false">IF(I7&gt;0,I16/I7,"N/M")</f>
        <v>0.055073579220031</v>
      </c>
      <c r="J137" s="71" t="n">
        <f aca="false">IF(J7&gt;0,J16/J7,"N/M")</f>
        <v>0.0572664079735917</v>
      </c>
      <c r="K137" s="62" t="n">
        <f aca="false">IF(COUNT(D137:J137)=0,"N/M",AVERAGE(D137:J137))</f>
        <v>0.0555414601712696</v>
      </c>
      <c r="L137" s="62" t="n">
        <f aca="false">IF(COUNT(D137,J137)=2,J137-D137,"-")</f>
        <v>0.00867270510985102</v>
      </c>
    </row>
    <row r="138" customFormat="false" ht="15" hidden="false" customHeight="false" outlineLevel="0" collapsed="false">
      <c r="A138" s="16" t="s">
        <v>733</v>
      </c>
      <c r="B138" s="87" t="s">
        <v>734</v>
      </c>
      <c r="C138" s="17" t="s">
        <v>615</v>
      </c>
      <c r="D138" s="71" t="n">
        <f aca="false">IF(D7&gt;0,D17/D7,"N/M")</f>
        <v>0.0416108369179222</v>
      </c>
      <c r="E138" s="71" t="n">
        <f aca="false">IF(E7&gt;0,E17/E7,"N/M")</f>
        <v>0.137325192778058</v>
      </c>
      <c r="F138" s="71" t="n">
        <f aca="false">IF(F7&gt;0,F17/F7,"N/M")</f>
        <v>0.0908133437348502</v>
      </c>
      <c r="G138" s="71" t="n">
        <f aca="false">IF(G7&gt;0,G17/G7,"N/M")</f>
        <v>0.080209373837084</v>
      </c>
      <c r="H138" s="71" t="n">
        <f aca="false">IF(H7&gt;0,H17/H7,"N/M")</f>
        <v>0.0747497229415918</v>
      </c>
      <c r="I138" s="71" t="n">
        <f aca="false">IF(I7&gt;0,I17/I7,"N/M")</f>
        <v>0.0718159743085984</v>
      </c>
      <c r="J138" s="71" t="n">
        <f aca="false">IF(J7&gt;0,J17/J7,"N/M")</f>
        <v>0.0797315113939136</v>
      </c>
      <c r="K138" s="62" t="n">
        <f aca="false">IF(COUNT(D138:J138)=0,"N/M",AVERAGE(D138:J138))</f>
        <v>0.0823222794160026</v>
      </c>
      <c r="L138" s="62" t="n">
        <f aca="false">IF(COUNT(D138,J138)=2,J138-D138,"-")</f>
        <v>0.0381206744759914</v>
      </c>
    </row>
    <row r="139" customFormat="false" ht="15" hidden="false" customHeight="false" outlineLevel="0" collapsed="false">
      <c r="A139" s="16" t="s">
        <v>735</v>
      </c>
      <c r="B139" s="87" t="s">
        <v>736</v>
      </c>
      <c r="C139" s="17" t="s">
        <v>615</v>
      </c>
      <c r="D139" s="71" t="n">
        <f aca="false">IF(D7&gt;0,D25/D7,"N/M")</f>
        <v>0.00711149768692566</v>
      </c>
      <c r="E139" s="71" t="n">
        <f aca="false">IF(E7&gt;0,E25/E7,"N/M")</f>
        <v>0.0067542336488732</v>
      </c>
      <c r="F139" s="71" t="n">
        <f aca="false">IF(F7&gt;0,F25/F7,"N/M")</f>
        <v>0.00821144872483415</v>
      </c>
      <c r="G139" s="71" t="n">
        <f aca="false">IF(G7&gt;0,G25/G7,"N/M")</f>
        <v>0.0079176214818732</v>
      </c>
      <c r="H139" s="71" t="n">
        <f aca="false">IF(H7&gt;0,H25/H7,"N/M")</f>
        <v>0.00828921777657594</v>
      </c>
      <c r="I139" s="71" t="n">
        <f aca="false">IF(I7&gt;0,I25/I7,"N/M")</f>
        <v>0.00827724028977092</v>
      </c>
      <c r="J139" s="71" t="n">
        <f aca="false">IF(J7&gt;0,J25/J7,"N/M")</f>
        <v>0.00864965959794999</v>
      </c>
      <c r="K139" s="62" t="n">
        <f aca="false">IF(COUNT(D139:J139)=0,"N/M",AVERAGE(D139:J139))</f>
        <v>0.00788727417240044</v>
      </c>
      <c r="L139" s="62" t="n">
        <f aca="false">IF(COUNT(D139,J139)=2,J139-D139,"-")</f>
        <v>0.00153816191102433</v>
      </c>
    </row>
    <row r="140" customFormat="false" ht="15" hidden="false" customHeight="false" outlineLevel="0" collapsed="false">
      <c r="A140" s="16" t="s">
        <v>737</v>
      </c>
      <c r="B140" s="87" t="s">
        <v>738</v>
      </c>
      <c r="C140" s="17" t="s">
        <v>615</v>
      </c>
      <c r="D140" s="71" t="n">
        <f aca="false">IF(D7&gt;0,D20/D7,"N/M")</f>
        <v>0.740558966168321</v>
      </c>
      <c r="E140" s="71" t="n">
        <f aca="false">IF(E7&gt;0,E20/E7,"N/M")</f>
        <v>0.837034858753898</v>
      </c>
      <c r="F140" s="71" t="n">
        <f aca="false">IF(F7&gt;0,F20/F7,"N/M")</f>
        <v>0.771523364864565</v>
      </c>
      <c r="G140" s="71" t="n">
        <f aca="false">IF(G7&gt;0,G20/G7,"N/M")</f>
        <v>0.771358481696927</v>
      </c>
      <c r="H140" s="71" t="n">
        <f aca="false">IF(H7&gt;0,H20/H7,"N/M")</f>
        <v>0.773652236517165</v>
      </c>
      <c r="I140" s="71" t="n">
        <f aca="false">IF(I7&gt;0,I20/I7,"N/M")</f>
        <v>0.782828214632126</v>
      </c>
      <c r="J140" s="71" t="n">
        <f aca="false">IF(J7&gt;0,J20/J7,"N/M")</f>
        <v>0.785072535761215</v>
      </c>
      <c r="K140" s="62" t="n">
        <f aca="false">IF(COUNT(D140:J140)=0,"N/M",AVERAGE(D140:J140))</f>
        <v>0.780289808342031</v>
      </c>
      <c r="L140" s="62" t="n">
        <f aca="false">IF(COUNT(D140,J140)=2,J140-D140,"-")</f>
        <v>0.0445135695928947</v>
      </c>
    </row>
    <row r="141" customFormat="false" ht="16.5" hidden="false" customHeight="true" outlineLevel="0" collapsed="false">
      <c r="A141" s="88" t="s">
        <v>739</v>
      </c>
      <c r="B141" s="89"/>
      <c r="C141" s="89"/>
      <c r="D141" s="89"/>
      <c r="E141" s="89"/>
      <c r="F141" s="89"/>
      <c r="G141" s="89"/>
      <c r="H141" s="89"/>
      <c r="I141" s="89"/>
      <c r="J141" s="89"/>
      <c r="K141" s="89"/>
      <c r="L141" s="89"/>
    </row>
    <row r="142" customFormat="false" ht="15" hidden="false" customHeight="false" outlineLevel="0" collapsed="false">
      <c r="A142" s="16" t="s">
        <v>740</v>
      </c>
      <c r="B142" s="87" t="s">
        <v>741</v>
      </c>
      <c r="C142" s="17" t="s">
        <v>615</v>
      </c>
      <c r="D142" s="71" t="n">
        <f aca="false">IF(D49&gt;0,D30/D49,"N/M")</f>
        <v>0.0342292149471191</v>
      </c>
      <c r="E142" s="71" t="n">
        <f aca="false">IF(E49&gt;0,E30/E49,"N/M")</f>
        <v>0.0407124640927605</v>
      </c>
      <c r="F142" s="71" t="n">
        <f aca="false">IF(F49&gt;0,F30/F49,"N/M")</f>
        <v>0.0811489694868431</v>
      </c>
      <c r="G142" s="71" t="n">
        <f aca="false">IF(G49&gt;0,G30/G49,"N/M")</f>
        <v>0.0871789654112199</v>
      </c>
      <c r="H142" s="71" t="n">
        <f aca="false">IF(H49&gt;0,H30/H49,"N/M")</f>
        <v>0.0897973808533312</v>
      </c>
      <c r="I142" s="71" t="n">
        <f aca="false">IF(I49&gt;0,I30/I49,"N/M")</f>
        <v>0.0891059496064863</v>
      </c>
      <c r="J142" s="71" t="n">
        <f aca="false">IF(J49&gt;0,J30/J49,"N/M")</f>
        <v>0.081827754487743</v>
      </c>
      <c r="K142" s="62" t="n">
        <f aca="false">IF(COUNT(D142:J142)=0,"N/M",AVERAGE(D142:J142))</f>
        <v>0.0720000998407862</v>
      </c>
      <c r="L142" s="62" t="n">
        <f aca="false">IF(COUNT(D142,J142)=2,J142-D142,"-")</f>
        <v>0.0475985395406239</v>
      </c>
    </row>
    <row r="143" customFormat="false" ht="15" hidden="false" customHeight="false" outlineLevel="0" collapsed="false">
      <c r="A143" s="16" t="s">
        <v>742</v>
      </c>
      <c r="B143" s="87" t="s">
        <v>743</v>
      </c>
      <c r="C143" s="17" t="s">
        <v>615</v>
      </c>
      <c r="D143" s="71" t="n">
        <f aca="false">IF(D49&gt;0,(D30+D25*(1-D77))/D49,"N/M")</f>
        <v>0.0371682033720306</v>
      </c>
      <c r="E143" s="71" t="n">
        <f aca="false">IF(E49&gt;0,(E30+E25*(1-E77))/E49,"N/M")</f>
        <v>0.0433121818085599</v>
      </c>
      <c r="F143" s="71" t="n">
        <f aca="false">IF(F49&gt;0,(F30+F25*(1-F77))/F49,"N/M")</f>
        <v>0.0847959659626248</v>
      </c>
      <c r="G143" s="71" t="n">
        <f aca="false">IF(G49&gt;0,(G30+G25*(1-G77))/G49,"N/M")</f>
        <v>0.0907849340173653</v>
      </c>
      <c r="H143" s="71" t="n">
        <f aca="false">IF(H49&gt;0,(H30+H25*(1-H77))/H49,"N/M")</f>
        <v>0.0936623350016332</v>
      </c>
      <c r="I143" s="71" t="n">
        <f aca="false">IF(I49&gt;0,(I30+I25*(1-I77))/I49,"N/M")</f>
        <v>0.0929213417330341</v>
      </c>
      <c r="J143" s="71" t="n">
        <f aca="false">IF(J49&gt;0,(J30+J25*(1-J77))/J49,"N/M")</f>
        <v>0.0857327938631158</v>
      </c>
      <c r="K143" s="62" t="n">
        <f aca="false">IF(COUNT(D143:J143)=0,"N/M",AVERAGE(D143:J143))</f>
        <v>0.0754825365369091</v>
      </c>
      <c r="L143" s="62" t="n">
        <f aca="false">IF(COUNT(D143,J143)=2,J143-D143,"-")</f>
        <v>0.0485645904910851</v>
      </c>
    </row>
    <row r="144" customFormat="false" ht="15" hidden="false" customHeight="false" outlineLevel="0" collapsed="false">
      <c r="A144" s="16" t="s">
        <v>744</v>
      </c>
      <c r="B144" s="87" t="s">
        <v>745</v>
      </c>
      <c r="C144" s="17" t="s">
        <v>615</v>
      </c>
      <c r="D144" s="71" t="n">
        <f aca="false">IF(D49&gt;0,D23/D49,"N/M")</f>
        <v>0.0975344311021686</v>
      </c>
      <c r="E144" s="71" t="n">
        <f aca="false">IF(E49&gt;0,E23/E49,"N/M")</f>
        <v>0.0398059699688568</v>
      </c>
      <c r="F144" s="71" t="n">
        <f aca="false">IF(F49&gt;0,F23/F49,"N/M")</f>
        <v>0.0912956670609571</v>
      </c>
      <c r="G144" s="71" t="n">
        <f aca="false">IF(G49&gt;0,G23/G49,"N/M")</f>
        <v>0.0961592447415756</v>
      </c>
      <c r="H144" s="71" t="n">
        <f aca="false">IF(H49&gt;0,H23/H49,"N/M")</f>
        <v>0.0954590915048695</v>
      </c>
      <c r="I144" s="71" t="n">
        <f aca="false">IF(I49&gt;0,I23/I49,"N/M")</f>
        <v>0.0931647286848478</v>
      </c>
      <c r="J144" s="71" t="n">
        <f aca="false">IF(J49&gt;0,J23/J49,"N/M")</f>
        <v>0.0880211758473041</v>
      </c>
      <c r="K144" s="62" t="n">
        <f aca="false">IF(COUNT(D144:J144)=0,"N/M",AVERAGE(D144:J144))</f>
        <v>0.0859200441300828</v>
      </c>
      <c r="L144" s="62" t="n">
        <f aca="false">IF(COUNT(D144,J144)=2,J144-D144,"-")</f>
        <v>-0.00951325525486456</v>
      </c>
    </row>
    <row r="145" customFormat="false" ht="15" hidden="false" customHeight="false" outlineLevel="0" collapsed="false">
      <c r="A145" s="16" t="s">
        <v>746</v>
      </c>
      <c r="B145" s="87" t="s">
        <v>747</v>
      </c>
      <c r="C145" s="17" t="s">
        <v>615</v>
      </c>
      <c r="D145" s="71" t="n">
        <f aca="false">IF(D90&gt;0,D23/D90,"N/M")</f>
        <v>0.113661391247615</v>
      </c>
      <c r="E145" s="71" t="n">
        <f aca="false">IF(E90&gt;0,E23/E90,"N/M")</f>
        <v>0.0452796880714268</v>
      </c>
      <c r="F145" s="71" t="n">
        <f aca="false">IF(F90&gt;0,F23/F90,"N/M")</f>
        <v>0.10330411293179</v>
      </c>
      <c r="G145" s="71" t="n">
        <f aca="false">IF(G90&gt;0,G23/G90,"N/M")</f>
        <v>0.107857192242686</v>
      </c>
      <c r="H145" s="71" t="n">
        <f aca="false">IF(H90&gt;0,H23/H90,"N/M")</f>
        <v>0.105005441975378</v>
      </c>
      <c r="I145" s="71" t="n">
        <f aca="false">IF(I90&gt;0,I23/I90,"N/M")</f>
        <v>0.101848383891166</v>
      </c>
      <c r="J145" s="71" t="n">
        <f aca="false">IF(J90&gt;0,J23/J90,"N/M")</f>
        <v>0.0960521812162578</v>
      </c>
      <c r="K145" s="62" t="n">
        <f aca="false">IF(COUNT(D145:J145)=0,"N/M",AVERAGE(D145:J145))</f>
        <v>0.0961440559394742</v>
      </c>
      <c r="L145" s="62" t="n">
        <f aca="false">IF(COUNT(D145,J145)=2,J145-D145,"-")</f>
        <v>-0.0176092100313575</v>
      </c>
    </row>
    <row r="146" customFormat="false" ht="15" hidden="false" customHeight="false" outlineLevel="0" collapsed="false">
      <c r="A146" s="16" t="s">
        <v>748</v>
      </c>
      <c r="B146" s="87" t="s">
        <v>749</v>
      </c>
      <c r="C146" s="17" t="s">
        <v>615</v>
      </c>
      <c r="D146" s="71" t="n">
        <f aca="false">IF(D90&gt;0,D23*(1-D77)/D90,"N/M")</f>
        <v>0.0847982243681524</v>
      </c>
      <c r="E146" s="71" t="n">
        <f aca="false">IF(E90&gt;0,E23*(1-E77)/E90,"N/M")</f>
        <v>0.0336532772493816</v>
      </c>
      <c r="F146" s="71" t="n">
        <f aca="false">IF(F90&gt;0,F23*(1-F77)/F90,"N/M")</f>
        <v>0.0779535012691091</v>
      </c>
      <c r="G146" s="71" t="n">
        <f aca="false">IF(G90&gt;0,G23*(1-G77)/G90,"N/M")</f>
        <v>0.0809672396708169</v>
      </c>
      <c r="H146" s="71" t="n">
        <f aca="false">IF(H90&gt;0,H23*(1-H77)/H90,"N/M")</f>
        <v>0.0794265155541402</v>
      </c>
      <c r="I146" s="71" t="n">
        <f aca="false">IF(I90&gt;0,I23*(1-I77)/I90,"N/M")</f>
        <v>0.0764782558155156</v>
      </c>
      <c r="J146" s="71" t="n">
        <f aca="false">IF(J90&gt;0,J23*(1-J77)/J90,"N/M")</f>
        <v>0.0724849883559436</v>
      </c>
      <c r="K146" s="62" t="n">
        <f aca="false">IF(COUNT(D146:J146)=0,"N/M",AVERAGE(D146:J146))</f>
        <v>0.0722517146118656</v>
      </c>
      <c r="L146" s="62" t="n">
        <f aca="false">IF(COUNT(D146,J146)=2,J146-D146,"-")</f>
        <v>-0.0123132360122088</v>
      </c>
    </row>
    <row r="147" customFormat="false" ht="15" hidden="false" customHeight="false" outlineLevel="0" collapsed="false">
      <c r="A147" s="16" t="s">
        <v>750</v>
      </c>
      <c r="B147" s="87" t="s">
        <v>751</v>
      </c>
      <c r="C147" s="17" t="s">
        <v>615</v>
      </c>
      <c r="D147" s="71" t="n">
        <f aca="false">IF(D40&gt;0,D30/D40,"N/M")</f>
        <v>0.0401668309095072</v>
      </c>
      <c r="E147" s="71" t="n">
        <f aca="false">IF(E40&gt;0,E30/E40,"N/M")</f>
        <v>0.0495972420454568</v>
      </c>
      <c r="F147" s="71" t="n">
        <f aca="false">IF(F40&gt;0,F30/F40,"N/M")</f>
        <v>0.0981000506715138</v>
      </c>
      <c r="G147" s="71" t="n">
        <f aca="false">IF(G40&gt;0,G30/G40,"N/M")</f>
        <v>0.104566796988784</v>
      </c>
      <c r="H147" s="71" t="n">
        <f aca="false">IF(H40&gt;0,H30/H40,"N/M")</f>
        <v>0.106619945006475</v>
      </c>
      <c r="I147" s="71" t="n">
        <f aca="false">IF(I40&gt;0,I30/I40,"N/M")</f>
        <v>0.104188843642026</v>
      </c>
      <c r="J147" s="71" t="n">
        <f aca="false">IF(J40&gt;0,J30/J40,"N/M")</f>
        <v>0.0959485719363176</v>
      </c>
      <c r="K147" s="62" t="n">
        <f aca="false">IF(COUNT(D147:J147)=0,"N/M",AVERAGE(D147:J147))</f>
        <v>0.0855983258857257</v>
      </c>
      <c r="L147" s="62" t="n">
        <f aca="false">IF(COUNT(D147,J147)=2,J147-D147,"-")</f>
        <v>0.0557817410268104</v>
      </c>
    </row>
    <row r="148" customFormat="false" ht="15" hidden="false" customHeight="false" outlineLevel="0" collapsed="false">
      <c r="A148" s="16" t="s">
        <v>752</v>
      </c>
      <c r="B148" s="87" t="s">
        <v>753</v>
      </c>
      <c r="C148" s="17" t="s">
        <v>615</v>
      </c>
      <c r="D148" s="71" t="n">
        <f aca="false">IF(D39&gt;0,(D30-D32)/D39,"N/M")</f>
        <v>0.0401668309095072</v>
      </c>
      <c r="E148" s="71" t="n">
        <f aca="false">IF(E39&gt;0,(E30-E32)/E39,"N/M")</f>
        <v>0.0495972420454568</v>
      </c>
      <c r="F148" s="71" t="n">
        <f aca="false">IF(F39&gt;0,(F30-F32)/F39,"N/M")</f>
        <v>0.0981000506715138</v>
      </c>
      <c r="G148" s="71" t="n">
        <f aca="false">IF(G39&gt;0,(G30-G32)/G39,"N/M")</f>
        <v>0.104566796988784</v>
      </c>
      <c r="H148" s="71" t="n">
        <f aca="false">IF(H39&gt;0,(H30-H32)/H39,"N/M")</f>
        <v>0.106619945006475</v>
      </c>
      <c r="I148" s="71" t="n">
        <f aca="false">IF(I39&gt;0,(I30-I32)/I39,"N/M")</f>
        <v>0.104188843642026</v>
      </c>
      <c r="J148" s="71" t="n">
        <f aca="false">IF(J39&gt;0,(J30-J32)/J39,"N/M")</f>
        <v>0.0959485719363176</v>
      </c>
      <c r="K148" s="62" t="n">
        <f aca="false">IF(COUNT(D148:J148)=0,"N/M",AVERAGE(D148:J148))</f>
        <v>0.0855983258857257</v>
      </c>
      <c r="L148" s="62" t="n">
        <f aca="false">IF(COUNT(D148,J148)=2,J148-D148,"-")</f>
        <v>0.0557817410268104</v>
      </c>
    </row>
    <row r="149" customFormat="false" ht="16.5" hidden="false" customHeight="true" outlineLevel="0" collapsed="false">
      <c r="A149" s="88" t="s">
        <v>754</v>
      </c>
      <c r="B149" s="89"/>
      <c r="C149" s="89"/>
      <c r="D149" s="89"/>
      <c r="E149" s="89"/>
      <c r="F149" s="89"/>
      <c r="G149" s="89"/>
      <c r="H149" s="89"/>
      <c r="I149" s="89"/>
      <c r="J149" s="89"/>
      <c r="K149" s="89"/>
      <c r="L149" s="89"/>
    </row>
    <row r="150" customFormat="false" ht="15" hidden="false" customHeight="false" outlineLevel="0" collapsed="false">
      <c r="A150" s="16" t="s">
        <v>755</v>
      </c>
      <c r="B150" s="87" t="s">
        <v>756</v>
      </c>
      <c r="C150" s="17" t="s">
        <v>757</v>
      </c>
      <c r="D150" s="93" t="n">
        <f aca="false">IF(D81&gt;0,(D30-D32)/D81,"N/M")</f>
        <v>5.29831932773109</v>
      </c>
      <c r="E150" s="93" t="n">
        <f aca="false">IF(E81&gt;0,(E30-E32)/E81,"N/M")</f>
        <v>6.63419117647059</v>
      </c>
      <c r="F150" s="93" t="n">
        <f aca="false">IF(F81&gt;0,(F30-F32)/F81,"N/M")</f>
        <v>13.8539915966387</v>
      </c>
      <c r="G150" s="93" t="n">
        <f aca="false">IF(G81&gt;0,(G30-G32)/G81,"N/M")</f>
        <v>15.4132090336134</v>
      </c>
      <c r="H150" s="93" t="n">
        <f aca="false">IF(H81&gt;0,(H30-H32)/H81,"N/M")</f>
        <v>16.5518644957983</v>
      </c>
      <c r="I150" s="93" t="n">
        <f aca="false">IF(I81&gt;0,(I30-I32)/I81,"N/M")</f>
        <v>16.938156512605</v>
      </c>
      <c r="J150" s="93" t="n">
        <f aca="false">IF(J81&gt;0,(J30-J32)/J81,"N/M")</f>
        <v>16.3051470588235</v>
      </c>
      <c r="K150" s="66" t="n">
        <f aca="false">IF(COUNT(D150:J150)=0,"N/M",AVERAGE(D150:J150))</f>
        <v>12.999268457383</v>
      </c>
      <c r="L150" s="66" t="n">
        <f aca="false">IF(COUNT(D150,J150)=2,J150-D150,"-")</f>
        <v>11.0068277310924</v>
      </c>
    </row>
    <row r="151" customFormat="false" ht="15" hidden="false" customHeight="false" outlineLevel="0" collapsed="false">
      <c r="A151" s="16" t="s">
        <v>759</v>
      </c>
      <c r="B151" s="87" t="s">
        <v>760</v>
      </c>
      <c r="C151" s="17" t="s">
        <v>757</v>
      </c>
      <c r="D151" s="93" t="n">
        <f aca="false">IF(D81&gt;0,(D30+D22)/D81,"N/M")</f>
        <v>12.4465598739496</v>
      </c>
      <c r="E151" s="93" t="n">
        <f aca="false">IF(E81&gt;0,(E30+E22)/E81,"N/M")</f>
        <v>13.9002100840336</v>
      </c>
      <c r="F151" s="93" t="n">
        <f aca="false">IF(F81&gt;0,(F30+F22)/F81,"N/M")</f>
        <v>21.2255777310924</v>
      </c>
      <c r="G151" s="93" t="n">
        <f aca="false">IF(G81&gt;0,(G30+G22)/G81,"N/M")</f>
        <v>22.936974789916</v>
      </c>
      <c r="H151" s="93" t="n">
        <f aca="false">IF(H81&gt;0,(H30+H22)/H81,"N/M")</f>
        <v>24.6743697478992</v>
      </c>
      <c r="I151" s="93" t="n">
        <f aca="false">IF(I81&gt;0,(I30+I22)/I81,"N/M")</f>
        <v>24.5699842436975</v>
      </c>
      <c r="J151" s="93" t="n">
        <f aca="false">IF(J81&gt;0,(J30+J22)/J81,"N/M")</f>
        <v>24.3872111344538</v>
      </c>
      <c r="K151" s="66" t="n">
        <f aca="false">IF(COUNT(D151:J151)=0,"N/M",AVERAGE(D151:J151))</f>
        <v>20.5915553721489</v>
      </c>
      <c r="L151" s="66" t="n">
        <f aca="false">IF(COUNT(D151,J151)=2,J151-D151,"-")</f>
        <v>11.9406512605042</v>
      </c>
    </row>
    <row r="152" customFormat="false" ht="15" hidden="false" customHeight="false" outlineLevel="0" collapsed="false">
      <c r="A152" s="16" t="s">
        <v>761</v>
      </c>
      <c r="B152" s="87" t="s">
        <v>762</v>
      </c>
      <c r="C152" s="17" t="s">
        <v>757</v>
      </c>
      <c r="D152" s="93" t="n">
        <f aca="false">IF(D81&gt;0,D39/D81,"N/M")</f>
        <v>131.907825630252</v>
      </c>
      <c r="E152" s="93" t="n">
        <f aca="false">IF(E81&gt;0,E39/E81,"N/M")</f>
        <v>133.761292016807</v>
      </c>
      <c r="F152" s="93" t="n">
        <f aca="false">IF(F81&gt;0,F39/F81,"N/M")</f>
        <v>141.223082983193</v>
      </c>
      <c r="G152" s="93" t="n">
        <f aca="false">IF(G81&gt;0,G39/G81,"N/M")</f>
        <v>147.400603991597</v>
      </c>
      <c r="H152" s="93" t="n">
        <f aca="false">IF(H81&gt;0,H39/H81,"N/M")</f>
        <v>155.241727941176</v>
      </c>
      <c r="I152" s="93" t="n">
        <f aca="false">IF(I81&gt;0,I39/I81,"N/M")</f>
        <v>162.571691176471</v>
      </c>
      <c r="J152" s="93" t="n">
        <f aca="false">IF(J81&gt;0,J39/J81,"N/M")</f>
        <v>169.936318277311</v>
      </c>
      <c r="K152" s="66" t="n">
        <f aca="false">IF(COUNT(D152:J152)=0,"N/M",AVERAGE(D152:J152))</f>
        <v>148.863220288115</v>
      </c>
      <c r="L152" s="66" t="n">
        <f aca="false">IF(COUNT(D152,J152)=2,J152-D152,"-")</f>
        <v>38.0284926470588</v>
      </c>
    </row>
    <row r="153" customFormat="false" ht="15" hidden="false" customHeight="false" outlineLevel="0" collapsed="false">
      <c r="A153" s="16" t="s">
        <v>763</v>
      </c>
      <c r="B153" s="87" t="s">
        <v>764</v>
      </c>
      <c r="C153" s="17" t="s">
        <v>757</v>
      </c>
      <c r="D153" s="93" t="n">
        <f aca="false">IF(D81&gt;0,D31/D81,"N/M")</f>
        <v>2.88012079831933</v>
      </c>
      <c r="E153" s="93" t="n">
        <f aca="false">IF(E81&gt;0,E31/E81,"N/M")</f>
        <v>4.00013130252101</v>
      </c>
      <c r="F153" s="93" t="n">
        <f aca="false">IF(F81&gt;0,F31/F81,"N/M")</f>
        <v>7.20023634453782</v>
      </c>
      <c r="G153" s="93" t="n">
        <f aca="false">IF(G81&gt;0,G31/G81,"N/M")</f>
        <v>8.80028886554622</v>
      </c>
      <c r="H153" s="93" t="n">
        <f aca="false">IF(H81&gt;0,H31/H81,"N/M")</f>
        <v>9.20036764705882</v>
      </c>
      <c r="I153" s="93" t="n">
        <f aca="false">IF(I81&gt;0,I31/I81,"N/M")</f>
        <v>9.20036764705882</v>
      </c>
      <c r="J153" s="93" t="n">
        <f aca="false">IF(J81&gt;0,J31/J81,"N/M")</f>
        <v>8.60018382352941</v>
      </c>
      <c r="K153" s="66" t="n">
        <f aca="false">IF(COUNT(D153:J153)=0,"N/M",AVERAGE(D153:J153))</f>
        <v>7.12595663265306</v>
      </c>
      <c r="L153" s="66" t="n">
        <f aca="false">IF(COUNT(D153,J153)=2,J153-D153,"-")</f>
        <v>5.72006302521009</v>
      </c>
    </row>
    <row r="154" customFormat="false" ht="15" hidden="false" customHeight="false" outlineLevel="0" collapsed="false">
      <c r="A154" s="16" t="s">
        <v>765</v>
      </c>
      <c r="B154" s="87" t="s">
        <v>812</v>
      </c>
      <c r="C154" s="17" t="s">
        <v>615</v>
      </c>
      <c r="D154" s="71" t="n">
        <f aca="false">IF(D31=0,0,IF(D150&gt;0,D153/D150,"N/M"))</f>
        <v>0.543591395717684</v>
      </c>
      <c r="E154" s="71" t="n">
        <f aca="false">IF(E31=0,0,IF(E150&gt;0,E153/E150,"N/M"))</f>
        <v>0.602956893480584</v>
      </c>
      <c r="F154" s="71" t="n">
        <f aca="false">IF(F31=0,0,IF(F150&gt;0,F153/F150,"N/M"))</f>
        <v>0.519722875123209</v>
      </c>
      <c r="G154" s="71" t="n">
        <f aca="false">IF(G31=0,0,IF(G150&gt;0,G153/G150,"N/M"))</f>
        <v>0.570957601778732</v>
      </c>
      <c r="H154" s="71" t="n">
        <f aca="false">IF(H31=0,0,IF(H150&gt;0,H153/H150,"N/M"))</f>
        <v>0.555850831753385</v>
      </c>
      <c r="I154" s="71" t="n">
        <f aca="false">IF(I31=0,0,IF(I150&gt;0,I153/I150,"N/M"))</f>
        <v>0.54317408392183</v>
      </c>
      <c r="J154" s="71" t="n">
        <f aca="false">IF(J31=0,0,IF(J150&gt;0,J153/J150,"N/M"))</f>
        <v>0.527452085682075</v>
      </c>
      <c r="K154" s="62" t="n">
        <f aca="false">IF(COUNT(D154:J154)=0,"N/M",AVERAGE(D154:J154))</f>
        <v>0.551957966779643</v>
      </c>
      <c r="L154" s="62" t="n">
        <f aca="false">IF(COUNT(D154,J154)=2,J154-D154,"-")</f>
        <v>-0.01613931003561</v>
      </c>
    </row>
    <row r="155" customFormat="false" ht="15" hidden="false" customHeight="false" outlineLevel="0" collapsed="false">
      <c r="A155" s="16" t="s">
        <v>767</v>
      </c>
      <c r="B155" s="87" t="s">
        <v>768</v>
      </c>
      <c r="C155" s="17" t="s">
        <v>615</v>
      </c>
      <c r="D155" s="71" t="n">
        <f aca="false">IF(ISNUMBER(D154),1-D154,"N/M")</f>
        <v>0.456408604282316</v>
      </c>
      <c r="E155" s="71" t="n">
        <f aca="false">IF(ISNUMBER(E154),1-E154,"N/M")</f>
        <v>0.397043106519416</v>
      </c>
      <c r="F155" s="71" t="n">
        <f aca="false">IF(ISNUMBER(F154),1-F154,"N/M")</f>
        <v>0.480277124876791</v>
      </c>
      <c r="G155" s="71" t="n">
        <f aca="false">IF(ISNUMBER(G154),1-G154,"N/M")</f>
        <v>0.429042398221268</v>
      </c>
      <c r="H155" s="71" t="n">
        <f aca="false">IF(ISNUMBER(H154),1-H154,"N/M")</f>
        <v>0.444149168246615</v>
      </c>
      <c r="I155" s="71" t="n">
        <f aca="false">IF(ISNUMBER(I154),1-I154,"N/M")</f>
        <v>0.45682591607817</v>
      </c>
      <c r="J155" s="71" t="n">
        <f aca="false">IF(ISNUMBER(J154),1-J154,"N/M")</f>
        <v>0.472547914317926</v>
      </c>
      <c r="K155" s="62" t="n">
        <f aca="false">IF(COUNT(D155:J155)=0,"N/M",AVERAGE(D155:J155))</f>
        <v>0.448042033220357</v>
      </c>
      <c r="L155" s="62" t="n">
        <f aca="false">IF(COUNT(D155,J155)=2,J155-D155,"-")</f>
        <v>0.01613931003561</v>
      </c>
    </row>
    <row r="156" customFormat="false" ht="15" hidden="false" customHeight="false" outlineLevel="0" collapsed="false">
      <c r="A156" s="16" t="s">
        <v>769</v>
      </c>
      <c r="B156" s="87" t="s">
        <v>813</v>
      </c>
      <c r="C156" s="17" t="s">
        <v>615</v>
      </c>
      <c r="D156" s="71" t="n">
        <f aca="false">IF(D84=0,"N/C",IF(D80&gt;0,D150/D80,"N/M"))</f>
        <v>0.0199695436745481</v>
      </c>
      <c r="E156" s="71" t="n">
        <f aca="false">IF(E84=0,"N/C",IF(E80&gt;0,E150/E80,"N/M"))</f>
        <v>0.0138674564725556</v>
      </c>
      <c r="F156" s="71" t="n">
        <f aca="false">IF(F84=0,"N/C",IF(F80&gt;0,F150/F80,"N/M"))</f>
        <v>0.0257643226895757</v>
      </c>
      <c r="G156" s="71" t="n">
        <f aca="false">IF(G84=0,"N/C",IF(G80&gt;0,G150/G80,"N/M"))</f>
        <v>0.0332038109298006</v>
      </c>
      <c r="H156" s="71" t="n">
        <f aca="false">IF(H84=0,"N/C",IF(H80&gt;0,H150/H80,"N/M"))</f>
        <v>0.0234551985259584</v>
      </c>
      <c r="I156" s="71" t="n">
        <f aca="false">IF(I84=0,"N/C",IF(I80&gt;0,I150/I80,"N/M"))</f>
        <v>0.0306140769820074</v>
      </c>
      <c r="J156" s="71" t="n">
        <f aca="false">IF(J84=0,"N/C",IF(J80&gt;0,J150/J80,"N/M"))</f>
        <v>0.0383379897926723</v>
      </c>
      <c r="K156" s="62" t="n">
        <f aca="false">IF(COUNT(D156:J156)=0,"N/M",AVERAGE(D156:J156))</f>
        <v>0.0264589141524454</v>
      </c>
      <c r="L156" s="62" t="n">
        <f aca="false">IF(COUNT(D156,J156)=2,J156-D156,"-")</f>
        <v>0.0183684461181242</v>
      </c>
    </row>
    <row r="157" customFormat="false" ht="15" hidden="false" customHeight="false" outlineLevel="0" collapsed="false">
      <c r="A157" s="16" t="s">
        <v>771</v>
      </c>
      <c r="B157" s="87" t="s">
        <v>814</v>
      </c>
      <c r="C157" s="17" t="s">
        <v>615</v>
      </c>
      <c r="D157" s="71" t="n">
        <f aca="false">IF(D84=0,"N/C",IF(D80&gt;0,D153/D80,"N/M"))</f>
        <v>0.0108552721178928</v>
      </c>
      <c r="E157" s="71" t="n">
        <f aca="false">IF(E84=0,"N/C",IF(E80&gt;0,E153/E80,"N/M"))</f>
        <v>0.00836147847516933</v>
      </c>
      <c r="F157" s="71" t="n">
        <f aca="false">IF(F84=0,"N/C",IF(F80&gt;0,F153/F80,"N/M"))</f>
        <v>0.0133903078638284</v>
      </c>
      <c r="G157" s="71" t="n">
        <f aca="false">IF(G84=0,"N/C",IF(G80&gt;0,G153/G80,"N/M"))</f>
        <v>0.0189579682583934</v>
      </c>
      <c r="H157" s="71" t="n">
        <f aca="false">IF(H84=0,"N/C",IF(H80&gt;0,H153/H80,"N/M"))</f>
        <v>0.0130375916095948</v>
      </c>
      <c r="I157" s="71" t="n">
        <f aca="false">IF(I84=0,"N/C",IF(I80&gt;0,I153/I80,"N/M"))</f>
        <v>0.0166287732198142</v>
      </c>
      <c r="J157" s="71" t="n">
        <f aca="false">IF(J84=0,"N/C",IF(J80&gt;0,J153/J80,"N/M"))</f>
        <v>0.0202214526770031</v>
      </c>
      <c r="K157" s="62" t="n">
        <f aca="false">IF(COUNT(D157:J157)=0,"N/M",AVERAGE(D157:J157))</f>
        <v>0.0144932634602423</v>
      </c>
      <c r="L157" s="62" t="n">
        <f aca="false">IF(COUNT(D157,J157)=2,J157-D157,"-")</f>
        <v>0.00936618055911025</v>
      </c>
    </row>
    <row r="158" customFormat="false" ht="15" hidden="false" customHeight="false" outlineLevel="0" collapsed="false">
      <c r="A158" s="16" t="s">
        <v>773</v>
      </c>
      <c r="B158" s="87" t="s">
        <v>815</v>
      </c>
      <c r="C158" s="17" t="s">
        <v>115</v>
      </c>
      <c r="D158" s="73" t="n">
        <f aca="false">IF(D84=0,"N/C",IF(D150&gt;0,D80/D150,"N/M"))</f>
        <v>50.0762569389374</v>
      </c>
      <c r="E158" s="73" t="n">
        <f aca="false">IF(E84=0,"N/C",IF(E150&gt;0,E80/E150,"N/M"))</f>
        <v>72.1112773621502</v>
      </c>
      <c r="F158" s="73" t="n">
        <f aca="false">IF(F84=0,"N/C",IF(F150&gt;0,F80/F150,"N/M"))</f>
        <v>38.8133626506938</v>
      </c>
      <c r="G158" s="73" t="n">
        <f aca="false">IF(G84=0,"N/C",IF(G150&gt;0,G80/G150,"N/M"))</f>
        <v>30.117024883505</v>
      </c>
      <c r="H158" s="73" t="n">
        <f aca="false">IF(H84=0,"N/C",IF(H150&gt;0,H80/H150,"N/M"))</f>
        <v>42.6344717949532</v>
      </c>
      <c r="I158" s="73" t="n">
        <f aca="false">IF(I84=0,"N/C",IF(I150&gt;0,I80/I150,"N/M"))</f>
        <v>32.6647117464206</v>
      </c>
      <c r="J158" s="73" t="n">
        <f aca="false">IF(J84=0,"N/C",IF(J150&gt;0,J80/J150,"N/M"))</f>
        <v>26.0837880496054</v>
      </c>
      <c r="K158" s="60" t="n">
        <f aca="false">IF(COUNT(D158:J158)=0,"N/M",AVERAGE(D158:J158))</f>
        <v>41.7858419180379</v>
      </c>
      <c r="L158" s="60" t="n">
        <f aca="false">IF(COUNT(D158,J158)=2,J158-D158,"-")</f>
        <v>-23.9924688893319</v>
      </c>
    </row>
    <row r="159" customFormat="false" ht="15" hidden="false" customHeight="false" outlineLevel="0" collapsed="false">
      <c r="A159" s="16" t="s">
        <v>775</v>
      </c>
      <c r="B159" s="87" t="s">
        <v>816</v>
      </c>
      <c r="C159" s="17" t="s">
        <v>115</v>
      </c>
      <c r="D159" s="73" t="n">
        <f aca="false">IF(D84=0,"N/C",IF(D152&gt;0,D80/D152,"N/M"))</f>
        <v>2.01140454504733</v>
      </c>
      <c r="E159" s="73" t="n">
        <f aca="false">IF(E84=0,"N/C",IF(E152&gt;0,E80/E152,"N/M"))</f>
        <v>3.57652047753763</v>
      </c>
      <c r="F159" s="73" t="n">
        <f aca="false">IF(F84=0,"N/C",IF(F152&gt;0,F80/F152,"N/M"))</f>
        <v>3.8075928427649</v>
      </c>
      <c r="G159" s="73" t="n">
        <f aca="false">IF(G84=0,"N/C",IF(G152&gt;0,G80/G152,"N/M"))</f>
        <v>3.14924082689963</v>
      </c>
      <c r="H159" s="73" t="n">
        <f aca="false">IF(H84=0,"N/C",IF(H152&gt;0,H80/H152,"N/M"))</f>
        <v>4.545685038158</v>
      </c>
      <c r="I159" s="73" t="n">
        <f aca="false">IF(I84=0,"N/C",IF(I152&gt;0,I80/I152,"N/M"))</f>
        <v>3.40329854475967</v>
      </c>
      <c r="J159" s="73" t="n">
        <f aca="false">IF(J84=0,"N/C",IF(J152&gt;0,J80/J152,"N/M"))</f>
        <v>2.50270221404923</v>
      </c>
      <c r="K159" s="60" t="n">
        <f aca="false">IF(COUNT(D159:J159)=0,"N/M",AVERAGE(D159:J159))</f>
        <v>3.28520635560234</v>
      </c>
      <c r="L159" s="60" t="n">
        <f aca="false">IF(COUNT(D159,J159)=2,J159-D159,"-")</f>
        <v>0.491297669001895</v>
      </c>
    </row>
    <row r="160" customFormat="false" ht="15" hidden="false" customHeight="false" outlineLevel="0" collapsed="false">
      <c r="A160" s="16" t="s">
        <v>777</v>
      </c>
      <c r="B160" s="87" t="s">
        <v>817</v>
      </c>
      <c r="C160" s="17" t="s">
        <v>115</v>
      </c>
      <c r="D160" s="73" t="n">
        <f aca="false">IF(D84=0,"N/C",IF(D21&gt;0,D83/D21,"N/M"))</f>
        <v>10.6746179362775</v>
      </c>
      <c r="E160" s="73" t="n">
        <f aca="false">IF(E84=0,"N/C",IF(E21&gt;0,E83/E21,"N/M"))</f>
        <v>33.0966249439082</v>
      </c>
      <c r="F160" s="73" t="n">
        <f aca="false">IF(F84=0,"N/C",IF(F21&gt;0,F83/F21,"N/M"))</f>
        <v>22.1737834792705</v>
      </c>
      <c r="G160" s="73" t="n">
        <f aca="false">IF(G84=0,"N/C",IF(G21&gt;0,G83/G21,"N/M"))</f>
        <v>17.6839019166934</v>
      </c>
      <c r="H160" s="73" t="n">
        <f aca="false">IF(H84=0,"N/C",IF(H21&gt;0,H83/H21,"N/M"))</f>
        <v>26.2356274633937</v>
      </c>
      <c r="I160" s="73" t="n">
        <f aca="false">IF(I84=0,"N/C",IF(I21&gt;0,I83/I21,"N/M"))</f>
        <v>20.3813269361299</v>
      </c>
      <c r="J160" s="73" t="n">
        <f aca="false">IF(J84=0,"N/C",IF(J21&gt;0,J83/J21,"N/M"))</f>
        <v>15.3066119344854</v>
      </c>
      <c r="K160" s="60" t="n">
        <f aca="false">IF(COUNT(D160:J160)=0,"N/M",AVERAGE(D160:J160))</f>
        <v>20.7932135157369</v>
      </c>
      <c r="L160" s="60" t="n">
        <f aca="false">IF(COUNT(D160,J160)=2,J160-D160,"-")</f>
        <v>4.63199399820792</v>
      </c>
    </row>
    <row r="162" customFormat="false" ht="19.5" hidden="false" customHeight="true" outlineLevel="0" collapsed="false">
      <c r="A162" s="85" t="s">
        <v>779</v>
      </c>
      <c r="B162" s="86"/>
      <c r="C162" s="86"/>
      <c r="D162" s="86"/>
      <c r="E162" s="86"/>
      <c r="F162" s="86"/>
      <c r="G162" s="86"/>
      <c r="H162" s="86"/>
      <c r="I162" s="86"/>
      <c r="J162" s="86"/>
      <c r="K162" s="86"/>
      <c r="L162" s="86"/>
    </row>
    <row r="163" customFormat="false" ht="16.5" hidden="false" customHeight="true" outlineLevel="0" collapsed="false">
      <c r="A163" s="88" t="s">
        <v>780</v>
      </c>
      <c r="B163" s="89"/>
      <c r="C163" s="89"/>
      <c r="D163" s="89"/>
      <c r="E163" s="89"/>
      <c r="F163" s="89"/>
      <c r="G163" s="89"/>
      <c r="H163" s="89"/>
      <c r="I163" s="89"/>
      <c r="J163" s="89"/>
      <c r="K163" s="89"/>
      <c r="L163" s="89"/>
    </row>
    <row r="164" customFormat="false" ht="15" hidden="false" customHeight="false" outlineLevel="0" collapsed="false">
      <c r="A164" s="16" t="s">
        <v>300</v>
      </c>
      <c r="B164" s="87" t="s">
        <v>725</v>
      </c>
      <c r="C164" s="17" t="s">
        <v>615</v>
      </c>
      <c r="D164" s="71" t="n">
        <f aca="false">IF(D7&gt;0,D30/D7,"N/M")</f>
        <v>0.0617922382994884</v>
      </c>
      <c r="E164" s="71" t="n">
        <f aca="false">IF(E7&gt;0,E30/E7,"N/M")</f>
        <v>0.0786142385033328</v>
      </c>
      <c r="F164" s="71" t="n">
        <f aca="false">IF(F7&gt;0,F30/F7,"N/M")</f>
        <v>0.137874980562492</v>
      </c>
      <c r="G164" s="71" t="n">
        <f aca="false">IF(G7&gt;0,G30/G7,"N/M")</f>
        <v>0.143696016217169</v>
      </c>
      <c r="H164" s="71" t="n">
        <f aca="false">IF(H7&gt;0,H30/H7,"N/M")</f>
        <v>0.145675519823977</v>
      </c>
      <c r="I164" s="71" t="n">
        <f aca="false">IF(I7&gt;0,I30/I7,"N/M")</f>
        <v>0.14515664418444</v>
      </c>
      <c r="J164" s="71" t="n">
        <f aca="false">IF(J7&gt;0,J30/J7,"N/M")</f>
        <v>0.13677763006156</v>
      </c>
      <c r="K164" s="62" t="n">
        <f aca="false">IF(COUNT(D164:J164)=0,"N/M",AVERAGE(D164:J164))</f>
        <v>0.121369609664637</v>
      </c>
      <c r="L164" s="62" t="n">
        <f aca="false">IF(COUNT(D164,J164)=2,J164-D164,"-")</f>
        <v>0.0749853917620715</v>
      </c>
    </row>
    <row r="165" customFormat="false" ht="15" hidden="false" customHeight="false" outlineLevel="0" collapsed="false">
      <c r="A165" s="16" t="s">
        <v>781</v>
      </c>
      <c r="B165" s="87" t="s">
        <v>708</v>
      </c>
      <c r="C165" s="17" t="s">
        <v>692</v>
      </c>
      <c r="D165" s="73" t="n">
        <f aca="false">IF(D49&gt;0,D7/D49,"N/M")</f>
        <v>0.553940363532721</v>
      </c>
      <c r="E165" s="73" t="n">
        <f aca="false">IF(E49&gt;0,E7/E49,"N/M")</f>
        <v>0.517876467009657</v>
      </c>
      <c r="F165" s="73" t="n">
        <f aca="false">IF(F49&gt;0,F7/F49,"N/M")</f>
        <v>0.588569217966723</v>
      </c>
      <c r="G165" s="73" t="n">
        <f aca="false">IF(G49&gt;0,G7/G49,"N/M")</f>
        <v>0.606690204128314</v>
      </c>
      <c r="H165" s="73" t="n">
        <f aca="false">IF(H49&gt;0,H7/H49,"N/M")</f>
        <v>0.616420528046411</v>
      </c>
      <c r="I165" s="73" t="n">
        <f aca="false">IF(I49&gt;0,I7/I49,"N/M")</f>
        <v>0.613860633849223</v>
      </c>
      <c r="J165" s="73" t="n">
        <f aca="false">IF(J49&gt;0,J7/J49,"N/M")</f>
        <v>0.598253928298908</v>
      </c>
      <c r="K165" s="60" t="n">
        <f aca="false">IF(COUNT(D165:J165)=0,"N/M",AVERAGE(D165:J165))</f>
        <v>0.58508733469028</v>
      </c>
      <c r="L165" s="60" t="n">
        <f aca="false">IF(COUNT(D165,J165)=2,J165-D165,"-")</f>
        <v>0.0443135647661869</v>
      </c>
    </row>
    <row r="166" customFormat="false" ht="15" hidden="false" customHeight="false" outlineLevel="0" collapsed="false">
      <c r="A166" s="16" t="s">
        <v>782</v>
      </c>
      <c r="B166" s="87" t="s">
        <v>783</v>
      </c>
      <c r="C166" s="17" t="s">
        <v>692</v>
      </c>
      <c r="D166" s="73" t="n">
        <f aca="false">IF(D40&gt;0,D49/D40,"N/M")</f>
        <v>1.17346632026358</v>
      </c>
      <c r="E166" s="73" t="n">
        <f aca="false">IF(E40&gt;0,E49/E40,"N/M")</f>
        <v>1.21823238044381</v>
      </c>
      <c r="F166" s="73" t="n">
        <f aca="false">IF(F40&gt;0,F49/F40,"N/M")</f>
        <v>1.2088884343432</v>
      </c>
      <c r="G166" s="73" t="n">
        <f aca="false">IF(G40&gt;0,G49/G40,"N/M")</f>
        <v>1.19944985003603</v>
      </c>
      <c r="H166" s="73" t="n">
        <f aca="false">IF(H40&gt;0,H49/H40,"N/M")</f>
        <v>1.18733914055489</v>
      </c>
      <c r="I166" s="73" t="n">
        <f aca="false">IF(I40&gt;0,I49/I40,"N/M")</f>
        <v>1.16926921380839</v>
      </c>
      <c r="J166" s="73" t="n">
        <f aca="false">IF(J40&gt;0,J49/J40,"N/M")</f>
        <v>1.17256757853095</v>
      </c>
      <c r="K166" s="60" t="n">
        <f aca="false">IF(COUNT(D166:J166)=0,"N/M",AVERAGE(D166:J166))</f>
        <v>1.18988755971155</v>
      </c>
      <c r="L166" s="60" t="n">
        <f aca="false">IF(COUNT(D166,J166)=2,J166-D166,"-")</f>
        <v>-0.000898741732638264</v>
      </c>
    </row>
    <row r="167" customFormat="false" ht="15" hidden="false" customHeight="false" outlineLevel="0" collapsed="false">
      <c r="A167" s="12" t="s">
        <v>303</v>
      </c>
      <c r="B167" s="87" t="s">
        <v>741</v>
      </c>
      <c r="C167" s="17" t="s">
        <v>615</v>
      </c>
      <c r="D167" s="30" t="n">
        <f aca="false">IF(D49&gt;0,D30/D49,"N/M")</f>
        <v>0.0342292149471191</v>
      </c>
      <c r="E167" s="30" t="n">
        <f aca="false">IF(E49&gt;0,E30/E49,"N/M")</f>
        <v>0.0407124640927605</v>
      </c>
      <c r="F167" s="30" t="n">
        <f aca="false">IF(F49&gt;0,F30/F49,"N/M")</f>
        <v>0.0811489694868431</v>
      </c>
      <c r="G167" s="30" t="n">
        <f aca="false">IF(G49&gt;0,G30/G49,"N/M")</f>
        <v>0.0871789654112199</v>
      </c>
      <c r="H167" s="30" t="n">
        <f aca="false">IF(H49&gt;0,H30/H49,"N/M")</f>
        <v>0.0897973808533312</v>
      </c>
      <c r="I167" s="30" t="n">
        <f aca="false">IF(I49&gt;0,I30/I49,"N/M")</f>
        <v>0.0891059496064863</v>
      </c>
      <c r="J167" s="30" t="n">
        <f aca="false">IF(J49&gt;0,J30/J49,"N/M")</f>
        <v>0.081827754487743</v>
      </c>
      <c r="K167" s="30" t="n">
        <f aca="false">IF(COUNT(D167:J167)=0,"N/M",AVERAGE(D167:J167))</f>
        <v>0.0720000998407862</v>
      </c>
      <c r="L167" s="30" t="n">
        <f aca="false">IF(COUNT(D167,J167)=2,J167-D167,"-")</f>
        <v>0.0475985395406239</v>
      </c>
    </row>
    <row r="168" customFormat="false" ht="15" hidden="false" customHeight="false" outlineLevel="0" collapsed="false">
      <c r="A168" s="12" t="s">
        <v>784</v>
      </c>
      <c r="B168" s="87" t="s">
        <v>751</v>
      </c>
      <c r="C168" s="17" t="s">
        <v>615</v>
      </c>
      <c r="D168" s="30" t="n">
        <f aca="false">IF(D40&gt;0,D30/D40,"N/M")</f>
        <v>0.0401668309095072</v>
      </c>
      <c r="E168" s="30" t="n">
        <f aca="false">IF(E40&gt;0,E30/E40,"N/M")</f>
        <v>0.0495972420454568</v>
      </c>
      <c r="F168" s="30" t="n">
        <f aca="false">IF(F40&gt;0,F30/F40,"N/M")</f>
        <v>0.0981000506715138</v>
      </c>
      <c r="G168" s="30" t="n">
        <f aca="false">IF(G40&gt;0,G30/G40,"N/M")</f>
        <v>0.104566796988784</v>
      </c>
      <c r="H168" s="30" t="n">
        <f aca="false">IF(H40&gt;0,H30/H40,"N/M")</f>
        <v>0.106619945006475</v>
      </c>
      <c r="I168" s="30" t="n">
        <f aca="false">IF(I40&gt;0,I30/I40,"N/M")</f>
        <v>0.104188843642026</v>
      </c>
      <c r="J168" s="30" t="n">
        <f aca="false">IF(J40&gt;0,J30/J40,"N/M")</f>
        <v>0.0959485719363176</v>
      </c>
      <c r="K168" s="30" t="n">
        <f aca="false">IF(COUNT(D168:J168)=0,"N/M",AVERAGE(D168:J168))</f>
        <v>0.0855983258857257</v>
      </c>
      <c r="L168" s="30" t="n">
        <f aca="false">IF(COUNT(D168,J168)=2,J168-D168,"-")</f>
        <v>0.0557817410268104</v>
      </c>
    </row>
    <row r="169" customFormat="false" ht="15" hidden="false" customHeight="false" outlineLevel="0" collapsed="false">
      <c r="A169" s="16" t="s">
        <v>785</v>
      </c>
      <c r="B169" s="87" t="s">
        <v>786</v>
      </c>
      <c r="C169" s="17" t="s">
        <v>615</v>
      </c>
      <c r="D169" s="94" t="n">
        <f aca="false">IF(COUNT(D164,D165,D166,D168)=4,D164*D165*D166-D168,"-")</f>
        <v>0</v>
      </c>
      <c r="E169" s="94" t="n">
        <f aca="false">IF(COUNT(E164,E165,E166,E168)=4,E164*E165*E166-E168,"-")</f>
        <v>0</v>
      </c>
      <c r="F169" s="94" t="n">
        <f aca="false">IF(COUNT(F164,F165,F166,F168)=4,F164*F165*F166-F168,"-")</f>
        <v>0</v>
      </c>
      <c r="G169" s="94" t="n">
        <f aca="false">IF(COUNT(G164,G165,G166,G168)=4,G164*G165*G166-G168,"-")</f>
        <v>0</v>
      </c>
      <c r="H169" s="94" t="n">
        <f aca="false">IF(COUNT(H164,H165,H166,H168)=4,H164*H165*H166-H168,"-")</f>
        <v>0</v>
      </c>
      <c r="I169" s="94" t="n">
        <f aca="false">IF(COUNT(I164,I165,I166,I168)=4,I164*I165*I166-I168,"-")</f>
        <v>0</v>
      </c>
      <c r="J169" s="94" t="n">
        <f aca="false">IF(COUNT(J164,J165,J166,J168)=4,J164*J165*J166-J168,"-")</f>
        <v>0</v>
      </c>
      <c r="K169" s="62"/>
      <c r="L169" s="62"/>
    </row>
    <row r="170" customFormat="false" ht="16.5" hidden="false" customHeight="true" outlineLevel="0" collapsed="false">
      <c r="A170" s="88" t="s">
        <v>787</v>
      </c>
      <c r="B170" s="89"/>
      <c r="C170" s="89"/>
      <c r="D170" s="89"/>
      <c r="E170" s="89"/>
      <c r="F170" s="89"/>
      <c r="G170" s="89"/>
      <c r="H170" s="89"/>
      <c r="I170" s="89"/>
      <c r="J170" s="89"/>
      <c r="K170" s="89"/>
      <c r="L170" s="89"/>
    </row>
    <row r="171" customFormat="false" ht="15" hidden="false" customHeight="false" outlineLevel="0" collapsed="false">
      <c r="A171" s="16" t="s">
        <v>788</v>
      </c>
      <c r="B171" s="87" t="s">
        <v>789</v>
      </c>
      <c r="C171" s="17" t="s">
        <v>97</v>
      </c>
      <c r="D171" s="73" t="n">
        <f aca="false">IF(D26&lt;&gt;0,D30/D26,"N/M")</f>
        <v>0.742051159454935</v>
      </c>
      <c r="E171" s="73" t="n">
        <f aca="false">IF(E26&lt;&gt;0,E30/E26,"N/M")</f>
        <v>0.750000000000001</v>
      </c>
      <c r="F171" s="73" t="n">
        <f aca="false">IF(F26&lt;&gt;0,F30/F26,"N/M")</f>
        <v>0.756645894138992</v>
      </c>
      <c r="G171" s="73" t="n">
        <f aca="false">IF(G26&lt;&gt;0,G30/G26,"N/M")</f>
        <v>0.750945182607361</v>
      </c>
      <c r="H171" s="73" t="n">
        <f aca="false">IF(H26&lt;&gt;0,H30/H26,"N/M")</f>
        <v>0.755504812590648</v>
      </c>
      <c r="I171" s="73" t="n">
        <f aca="false">IF(I26&lt;&gt;0,I30/I26,"N/M")</f>
        <v>0.749108625715712</v>
      </c>
      <c r="J171" s="73" t="n">
        <f aca="false">IF(J26&lt;&gt;0,J30/J26,"N/M")</f>
        <v>0.752255008268869</v>
      </c>
      <c r="K171" s="60" t="n">
        <f aca="false">IF(COUNT(D171:J171)=0,"N/M",AVERAGE(D171:J171))</f>
        <v>0.750930097539503</v>
      </c>
      <c r="L171" s="60" t="n">
        <f aca="false">IF(COUNT(D171,J171)=2,J171-D171,"-")</f>
        <v>0.0102038488139338</v>
      </c>
    </row>
    <row r="172" customFormat="false" ht="15" hidden="false" customHeight="false" outlineLevel="0" collapsed="false">
      <c r="A172" s="16" t="s">
        <v>790</v>
      </c>
      <c r="B172" s="87" t="s">
        <v>791</v>
      </c>
      <c r="C172" s="17" t="s">
        <v>97</v>
      </c>
      <c r="D172" s="73" t="n">
        <f aca="false">IF(D23&lt;&gt;0,D26/D23,"N/M")</f>
        <v>0.472939007314253</v>
      </c>
      <c r="E172" s="73" t="n">
        <f aca="false">IF(E23&lt;&gt;0,E26/E23,"N/M")</f>
        <v>1.363697091152</v>
      </c>
      <c r="F172" s="73" t="n">
        <f aca="false">IF(F23&lt;&gt;0,F26/F23,"N/M")</f>
        <v>1.17473568931385</v>
      </c>
      <c r="G172" s="73" t="n">
        <f aca="false">IF(G23&lt;&gt;0,G26/G23,"N/M")</f>
        <v>1.20729230222662</v>
      </c>
      <c r="H172" s="73" t="n">
        <f aca="false">IF(H23&lt;&gt;0,H26/H23,"N/M")</f>
        <v>1.24511406120576</v>
      </c>
      <c r="I172" s="73" t="n">
        <f aca="false">IF(I23&lt;&gt;0,I26/I23,"N/M")</f>
        <v>1.27676327320448</v>
      </c>
      <c r="J172" s="73" t="n">
        <f aca="false">IF(J23&lt;&gt;0,J26/J23,"N/M")</f>
        <v>1.23580053750964</v>
      </c>
      <c r="K172" s="60" t="n">
        <f aca="false">IF(COUNT(D172:J172)=0,"N/M",AVERAGE(D172:J172))</f>
        <v>1.13947742313237</v>
      </c>
      <c r="L172" s="60" t="n">
        <f aca="false">IF(COUNT(D172,J172)=2,J172-D172,"-")</f>
        <v>0.762861530195386</v>
      </c>
    </row>
    <row r="173" customFormat="false" ht="15" hidden="false" customHeight="false" outlineLevel="0" collapsed="false">
      <c r="A173" s="16" t="s">
        <v>792</v>
      </c>
      <c r="B173" s="87" t="s">
        <v>793</v>
      </c>
      <c r="C173" s="17" t="s">
        <v>615</v>
      </c>
      <c r="D173" s="71" t="n">
        <f aca="false">IF(D7&gt;0,D23/D7,"N/M")</f>
        <v>0.176073883621964</v>
      </c>
      <c r="E173" s="71" t="n">
        <f aca="false">IF(E7&gt;0,E23/E7,"N/M")</f>
        <v>0.0768638324091188</v>
      </c>
      <c r="F173" s="71" t="n">
        <f aca="false">IF(F7&gt;0,F23/F7,"N/M")</f>
        <v>0.15511458002569</v>
      </c>
      <c r="G173" s="71" t="n">
        <f aca="false">IF(G7&gt;0,G23/G7,"N/M")</f>
        <v>0.158498100162563</v>
      </c>
      <c r="H173" s="71" t="n">
        <f aca="false">IF(H7&gt;0,H23/H7,"N/M")</f>
        <v>0.154860338294383</v>
      </c>
      <c r="I173" s="71" t="n">
        <f aca="false">IF(I7&gt;0,I23/I7,"N/M")</f>
        <v>0.151768534334344</v>
      </c>
      <c r="J173" s="71" t="n">
        <f aca="false">IF(J7&gt;0,J23/J7,"N/M")</f>
        <v>0.147130125994469</v>
      </c>
      <c r="K173" s="62" t="n">
        <f aca="false">IF(COUNT(D173:J173)=0,"N/M",AVERAGE(D173:J173))</f>
        <v>0.145758484977505</v>
      </c>
      <c r="L173" s="62" t="n">
        <f aca="false">IF(COUNT(D173,J173)=2,J173-D173,"-")</f>
        <v>-0.0289437576274952</v>
      </c>
    </row>
    <row r="174" customFormat="false" ht="15" hidden="false" customHeight="false" outlineLevel="0" collapsed="false">
      <c r="A174" s="16" t="s">
        <v>781</v>
      </c>
      <c r="B174" s="87" t="s">
        <v>708</v>
      </c>
      <c r="C174" s="17" t="s">
        <v>692</v>
      </c>
      <c r="D174" s="73" t="n">
        <f aca="false">IF(D49&gt;0,D7/D49,"N/M")</f>
        <v>0.553940363532721</v>
      </c>
      <c r="E174" s="73" t="n">
        <f aca="false">IF(E49&gt;0,E7/E49,"N/M")</f>
        <v>0.517876467009657</v>
      </c>
      <c r="F174" s="73" t="n">
        <f aca="false">IF(F49&gt;0,F7/F49,"N/M")</f>
        <v>0.588569217966723</v>
      </c>
      <c r="G174" s="73" t="n">
        <f aca="false">IF(G49&gt;0,G7/G49,"N/M")</f>
        <v>0.606690204128314</v>
      </c>
      <c r="H174" s="73" t="n">
        <f aca="false">IF(H49&gt;0,H7/H49,"N/M")</f>
        <v>0.616420528046411</v>
      </c>
      <c r="I174" s="73" t="n">
        <f aca="false">IF(I49&gt;0,I7/I49,"N/M")</f>
        <v>0.613860633849223</v>
      </c>
      <c r="J174" s="73" t="n">
        <f aca="false">IF(J49&gt;0,J7/J49,"N/M")</f>
        <v>0.598253928298908</v>
      </c>
      <c r="K174" s="60" t="n">
        <f aca="false">IF(COUNT(D174:J174)=0,"N/M",AVERAGE(D174:J174))</f>
        <v>0.58508733469028</v>
      </c>
      <c r="L174" s="60" t="n">
        <f aca="false">IF(COUNT(D174,J174)=2,J174-D174,"-")</f>
        <v>0.0443135647661869</v>
      </c>
    </row>
    <row r="175" customFormat="false" ht="15" hidden="false" customHeight="false" outlineLevel="0" collapsed="false">
      <c r="A175" s="16" t="s">
        <v>782</v>
      </c>
      <c r="B175" s="87" t="s">
        <v>783</v>
      </c>
      <c r="C175" s="17" t="s">
        <v>692</v>
      </c>
      <c r="D175" s="73" t="n">
        <f aca="false">IF(D40&gt;0,D49/D40,"N/M")</f>
        <v>1.17346632026358</v>
      </c>
      <c r="E175" s="73" t="n">
        <f aca="false">IF(E40&gt;0,E49/E40,"N/M")</f>
        <v>1.21823238044381</v>
      </c>
      <c r="F175" s="73" t="n">
        <f aca="false">IF(F40&gt;0,F49/F40,"N/M")</f>
        <v>1.2088884343432</v>
      </c>
      <c r="G175" s="73" t="n">
        <f aca="false">IF(G40&gt;0,G49/G40,"N/M")</f>
        <v>1.19944985003603</v>
      </c>
      <c r="H175" s="73" t="n">
        <f aca="false">IF(H40&gt;0,H49/H40,"N/M")</f>
        <v>1.18733914055489</v>
      </c>
      <c r="I175" s="73" t="n">
        <f aca="false">IF(I40&gt;0,I49/I40,"N/M")</f>
        <v>1.16926921380839</v>
      </c>
      <c r="J175" s="73" t="n">
        <f aca="false">IF(J40&gt;0,J49/J40,"N/M")</f>
        <v>1.17256757853095</v>
      </c>
      <c r="K175" s="60" t="n">
        <f aca="false">IF(COUNT(D175:J175)=0,"N/M",AVERAGE(D175:J175))</f>
        <v>1.18988755971155</v>
      </c>
      <c r="L175" s="60" t="n">
        <f aca="false">IF(COUNT(D175,J175)=2,J175-D175,"-")</f>
        <v>-0.000898741732638264</v>
      </c>
    </row>
    <row r="176" customFormat="false" ht="15" hidden="false" customHeight="false" outlineLevel="0" collapsed="false">
      <c r="A176" s="12" t="s">
        <v>784</v>
      </c>
      <c r="B176" s="87" t="s">
        <v>751</v>
      </c>
      <c r="C176" s="17" t="s">
        <v>615</v>
      </c>
      <c r="D176" s="30" t="n">
        <f aca="false">IF(D40&gt;0,D30/D40,"N/M")</f>
        <v>0.0401668309095072</v>
      </c>
      <c r="E176" s="30" t="n">
        <f aca="false">IF(E40&gt;0,E30/E40,"N/M")</f>
        <v>0.0495972420454568</v>
      </c>
      <c r="F176" s="30" t="n">
        <f aca="false">IF(F40&gt;0,F30/F40,"N/M")</f>
        <v>0.0981000506715138</v>
      </c>
      <c r="G176" s="30" t="n">
        <f aca="false">IF(G40&gt;0,G30/G40,"N/M")</f>
        <v>0.104566796988784</v>
      </c>
      <c r="H176" s="30" t="n">
        <f aca="false">IF(H40&gt;0,H30/H40,"N/M")</f>
        <v>0.106619945006475</v>
      </c>
      <c r="I176" s="30" t="n">
        <f aca="false">IF(I40&gt;0,I30/I40,"N/M")</f>
        <v>0.104188843642026</v>
      </c>
      <c r="J176" s="30" t="n">
        <f aca="false">IF(J40&gt;0,J30/J40,"N/M")</f>
        <v>0.0959485719363176</v>
      </c>
      <c r="K176" s="30" t="n">
        <f aca="false">IF(COUNT(D176:J176)=0,"N/M",AVERAGE(D176:J176))</f>
        <v>0.0855983258857257</v>
      </c>
      <c r="L176" s="30" t="n">
        <f aca="false">IF(COUNT(D176,J176)=2,J176-D176,"-")</f>
        <v>0.0557817410268104</v>
      </c>
    </row>
    <row r="177" customFormat="false" ht="15" hidden="false" customHeight="false" outlineLevel="0" collapsed="false">
      <c r="A177" s="16" t="s">
        <v>794</v>
      </c>
      <c r="B177" s="87" t="s">
        <v>786</v>
      </c>
      <c r="C177" s="17" t="s">
        <v>615</v>
      </c>
      <c r="D177" s="94" t="n">
        <f aca="false">IF(COUNT(D171,D172,D173,D174,D175,D176)=6,D171*D172*D173*D174*D175-D176,"-")</f>
        <v>0</v>
      </c>
      <c r="E177" s="94" t="n">
        <f aca="false">IF(COUNT(E171,E172,E173,E174,E175,E176)=6,E171*E172*E173*E174*E175-E176,"-")</f>
        <v>0</v>
      </c>
      <c r="F177" s="94" t="n">
        <f aca="false">IF(COUNT(F171,F172,F173,F174,F175,F176)=6,F171*F172*F173*F174*F175-F176,"-")</f>
        <v>0</v>
      </c>
      <c r="G177" s="94" t="n">
        <f aca="false">IF(COUNT(G171,G172,G173,G174,G175,G176)=6,G171*G172*G173*G174*G175-G176,"-")</f>
        <v>0</v>
      </c>
      <c r="H177" s="94" t="n">
        <f aca="false">IF(COUNT(H171,H172,H173,H174,H175,H176)=6,H171*H172*H173*H174*H175-H176,"-")</f>
        <v>0</v>
      </c>
      <c r="I177" s="94" t="n">
        <f aca="false">IF(COUNT(I171,I172,I173,I174,I175,I176)=6,I171*I172*I173*I174*I175-I176,"-")</f>
        <v>0</v>
      </c>
      <c r="J177" s="94" t="n">
        <f aca="false">IF(COUNT(J171,J172,J173,J174,J175,J176)=6,J171*J172*J173*J174*J175-J176,"-")</f>
        <v>0</v>
      </c>
      <c r="K177" s="62"/>
      <c r="L177" s="62"/>
    </row>
  </sheetData>
  <mergeCells count="3">
    <mergeCell ref="A1:L1"/>
    <mergeCell ref="A2:L2"/>
    <mergeCell ref="A3:L3"/>
  </mergeCells>
  <hyperlinks>
    <hyperlink ref="A3" r:id="rId1" display="Source: annual reports FY2020-FY2026 (consolidated) - https://www.concorindia.co.in/annual_report.aspx   (full list of documents on the Sources sheet)"/>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18096"/>
    <pageSetUpPr fitToPage="true"/>
  </sheetPr>
  <dimension ref="A1:L177"/>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50"/>
    <col collapsed="false" customWidth="true" hidden="false" outlineLevel="0" max="3" min="3" style="0" width="15"/>
    <col collapsed="false" customWidth="true" hidden="false" outlineLevel="0" max="10" min="4" style="0" width="11.5"/>
    <col collapsed="false" customWidth="true" hidden="false" outlineLevel="0" max="12" min="11" style="0" width="12"/>
  </cols>
  <sheetData>
    <row r="1" customFormat="false" ht="24" hidden="false" customHeight="true" outlineLevel="0" collapsed="false">
      <c r="A1" s="1" t="s">
        <v>827</v>
      </c>
      <c r="B1" s="1"/>
      <c r="C1" s="1"/>
      <c r="D1" s="1"/>
      <c r="E1" s="1"/>
      <c r="F1" s="1"/>
      <c r="G1" s="1"/>
      <c r="H1" s="1"/>
      <c r="I1" s="1"/>
      <c r="J1" s="1"/>
      <c r="K1" s="1"/>
      <c r="L1" s="1"/>
    </row>
    <row r="2" customFormat="false" ht="18" hidden="false" customHeight="true" outlineLevel="0" collapsed="false">
      <c r="A2" s="2" t="s">
        <v>828</v>
      </c>
      <c r="B2" s="2"/>
      <c r="C2" s="2"/>
      <c r="D2" s="2"/>
      <c r="E2" s="2"/>
      <c r="F2" s="2"/>
      <c r="G2" s="2"/>
      <c r="H2" s="2"/>
      <c r="I2" s="2"/>
      <c r="J2" s="2"/>
      <c r="K2" s="2"/>
      <c r="L2" s="2"/>
    </row>
    <row r="3" customFormat="false" ht="18" hidden="false" customHeight="true" outlineLevel="0" collapsed="false">
      <c r="A3" s="95" t="s">
        <v>829</v>
      </c>
      <c r="B3" s="95"/>
      <c r="C3" s="95"/>
      <c r="D3" s="95"/>
      <c r="E3" s="95"/>
      <c r="F3" s="95"/>
      <c r="G3" s="95"/>
      <c r="H3" s="95"/>
      <c r="I3" s="95"/>
      <c r="J3" s="95"/>
      <c r="K3" s="95"/>
      <c r="L3" s="95"/>
    </row>
    <row r="5" customFormat="false" ht="30" hidden="false" customHeight="true" outlineLevel="0" collapsed="false">
      <c r="A5" s="7" t="s">
        <v>486</v>
      </c>
      <c r="B5" s="7" t="s">
        <v>487</v>
      </c>
      <c r="C5" s="7" t="s">
        <v>488</v>
      </c>
      <c r="D5" s="7" t="s">
        <v>154</v>
      </c>
      <c r="E5" s="7" t="s">
        <v>185</v>
      </c>
      <c r="F5" s="7" t="s">
        <v>188</v>
      </c>
      <c r="G5" s="7" t="s">
        <v>144</v>
      </c>
      <c r="H5" s="7" t="s">
        <v>147</v>
      </c>
      <c r="I5" s="7" t="s">
        <v>157</v>
      </c>
      <c r="J5" s="7" t="s">
        <v>198</v>
      </c>
      <c r="K5" s="7" t="s">
        <v>322</v>
      </c>
      <c r="L5" s="7" t="s">
        <v>489</v>
      </c>
    </row>
    <row r="6" customFormat="false" ht="19.5" hidden="false" customHeight="true" outlineLevel="0" collapsed="false">
      <c r="A6" s="85" t="s">
        <v>490</v>
      </c>
      <c r="B6" s="86"/>
      <c r="C6" s="86"/>
      <c r="D6" s="86"/>
      <c r="E6" s="86"/>
      <c r="F6" s="86"/>
      <c r="G6" s="86"/>
      <c r="H6" s="86"/>
      <c r="I6" s="86"/>
      <c r="J6" s="86"/>
      <c r="K6" s="86"/>
      <c r="L6" s="86"/>
    </row>
    <row r="7" customFormat="false" ht="15" hidden="false" customHeight="false" outlineLevel="0" collapsed="false">
      <c r="A7" s="16" t="s">
        <v>491</v>
      </c>
      <c r="B7" s="87" t="s">
        <v>492</v>
      </c>
      <c r="C7" s="17" t="s">
        <v>493</v>
      </c>
      <c r="D7" s="96" t="n">
        <v>299.78</v>
      </c>
      <c r="E7" s="96" t="n">
        <v>346.79</v>
      </c>
      <c r="F7" s="96" t="n">
        <v>456.76</v>
      </c>
      <c r="G7" s="96" t="n">
        <v>416.69</v>
      </c>
      <c r="H7" s="96" t="n">
        <v>387.77</v>
      </c>
      <c r="I7" s="96" t="n">
        <v>436.63</v>
      </c>
      <c r="J7" s="96" t="n">
        <v>444.08</v>
      </c>
      <c r="K7" s="53" t="n">
        <f aca="false">AVERAGE(D7:J7)</f>
        <v>398.357142857143</v>
      </c>
      <c r="L7" s="53" t="n">
        <f aca="false">J7-D7</f>
        <v>144.3</v>
      </c>
    </row>
    <row r="8" customFormat="false" ht="16.5" hidden="false" customHeight="true" outlineLevel="0" collapsed="false">
      <c r="A8" s="88" t="s">
        <v>494</v>
      </c>
      <c r="B8" s="89"/>
      <c r="C8" s="89"/>
      <c r="D8" s="89"/>
      <c r="E8" s="89"/>
      <c r="F8" s="89"/>
      <c r="G8" s="89"/>
      <c r="H8" s="89"/>
      <c r="I8" s="89"/>
      <c r="J8" s="89"/>
      <c r="K8" s="89"/>
      <c r="L8" s="89"/>
    </row>
    <row r="9" customFormat="false" ht="15" hidden="false" customHeight="false" outlineLevel="0" collapsed="false">
      <c r="A9" s="16" t="s">
        <v>495</v>
      </c>
      <c r="B9" s="87" t="s">
        <v>496</v>
      </c>
      <c r="C9" s="17" t="s">
        <v>493</v>
      </c>
      <c r="D9" s="96" t="n">
        <v>284.13</v>
      </c>
      <c r="E9" s="96" t="n">
        <v>0</v>
      </c>
      <c r="F9" s="96" t="n">
        <v>0</v>
      </c>
      <c r="G9" s="96" t="n">
        <v>0</v>
      </c>
      <c r="H9" s="96" t="n">
        <v>0</v>
      </c>
      <c r="I9" s="96" t="n">
        <v>0</v>
      </c>
      <c r="J9" s="96" t="n">
        <v>0</v>
      </c>
      <c r="K9" s="53" t="n">
        <f aca="false">AVERAGE(D9:J9)</f>
        <v>40.59</v>
      </c>
      <c r="L9" s="53" t="n">
        <f aca="false">J9-D9</f>
        <v>-284.13</v>
      </c>
    </row>
    <row r="10" customFormat="false" ht="15" hidden="false" customHeight="false" outlineLevel="0" collapsed="false">
      <c r="A10" s="16" t="s">
        <v>497</v>
      </c>
      <c r="B10" s="87" t="s">
        <v>498</v>
      </c>
      <c r="C10" s="17" t="s">
        <v>493</v>
      </c>
      <c r="D10" s="96" t="n">
        <v>0</v>
      </c>
      <c r="E10" s="96" t="n">
        <v>0</v>
      </c>
      <c r="F10" s="96" t="n">
        <v>0</v>
      </c>
      <c r="G10" s="96" t="n">
        <v>0</v>
      </c>
      <c r="H10" s="96" t="n">
        <v>0</v>
      </c>
      <c r="I10" s="96" t="n">
        <v>0</v>
      </c>
      <c r="J10" s="96" t="n">
        <v>0</v>
      </c>
      <c r="K10" s="53" t="n">
        <f aca="false">AVERAGE(D10:J10)</f>
        <v>0</v>
      </c>
      <c r="L10" s="53" t="n">
        <f aca="false">J10-D10</f>
        <v>0</v>
      </c>
    </row>
    <row r="11" customFormat="false" ht="15" hidden="false" customHeight="false" outlineLevel="0" collapsed="false">
      <c r="A11" s="16" t="s">
        <v>499</v>
      </c>
      <c r="B11" s="87" t="s">
        <v>500</v>
      </c>
      <c r="C11" s="17" t="s">
        <v>493</v>
      </c>
      <c r="D11" s="96" t="n">
        <v>0.16</v>
      </c>
      <c r="E11" s="96" t="n">
        <v>0.08</v>
      </c>
      <c r="F11" s="96" t="n">
        <v>0.1</v>
      </c>
      <c r="G11" s="96" t="n">
        <v>0.15</v>
      </c>
      <c r="H11" s="96" t="n">
        <v>0.15</v>
      </c>
      <c r="I11" s="96" t="n">
        <v>0.21</v>
      </c>
      <c r="J11" s="96" t="n">
        <v>0.2</v>
      </c>
      <c r="K11" s="53" t="n">
        <f aca="false">AVERAGE(D11:J11)</f>
        <v>0.15</v>
      </c>
      <c r="L11" s="53" t="n">
        <f aca="false">J11-D11</f>
        <v>0.04</v>
      </c>
    </row>
    <row r="12" customFormat="false" ht="15" hidden="false" customHeight="false" outlineLevel="0" collapsed="false">
      <c r="A12" s="16" t="s">
        <v>501</v>
      </c>
      <c r="B12" s="87" t="s">
        <v>502</v>
      </c>
      <c r="C12" s="17" t="s">
        <v>493</v>
      </c>
      <c r="D12" s="96" t="n">
        <v>0.25</v>
      </c>
      <c r="E12" s="96" t="n">
        <v>327.01</v>
      </c>
      <c r="F12" s="96" t="n">
        <v>427.96</v>
      </c>
      <c r="G12" s="96" t="n">
        <v>385.83</v>
      </c>
      <c r="H12" s="96" t="n">
        <v>352.66</v>
      </c>
      <c r="I12" s="96" t="n">
        <v>396</v>
      </c>
      <c r="J12" s="96" t="n">
        <v>399.98</v>
      </c>
      <c r="K12" s="53" t="n">
        <f aca="false">AVERAGE(D12:J12)</f>
        <v>327.098571428571</v>
      </c>
      <c r="L12" s="53" t="n">
        <f aca="false">J12-D12</f>
        <v>399.73</v>
      </c>
    </row>
    <row r="13" customFormat="false" ht="15" hidden="false" customHeight="false" outlineLevel="0" collapsed="false">
      <c r="A13" s="12" t="s">
        <v>503</v>
      </c>
      <c r="B13" s="87" t="s">
        <v>504</v>
      </c>
      <c r="C13" s="17" t="s">
        <v>493</v>
      </c>
      <c r="D13" s="29" t="n">
        <f aca="false">D9+D11+D12-D10</f>
        <v>284.54</v>
      </c>
      <c r="E13" s="29" t="n">
        <f aca="false">E9+E11+E12-E10</f>
        <v>327.09</v>
      </c>
      <c r="F13" s="29" t="n">
        <f aca="false">F9+F11+F12-F10</f>
        <v>428.06</v>
      </c>
      <c r="G13" s="29" t="n">
        <f aca="false">G9+G11+G12-G10</f>
        <v>385.98</v>
      </c>
      <c r="H13" s="29" t="n">
        <f aca="false">H9+H11+H12-H10</f>
        <v>352.81</v>
      </c>
      <c r="I13" s="29" t="n">
        <f aca="false">I9+I11+I12-I10</f>
        <v>396.21</v>
      </c>
      <c r="J13" s="29" t="n">
        <f aca="false">J9+J11+J12-J10</f>
        <v>400.18</v>
      </c>
      <c r="K13" s="29" t="n">
        <f aca="false">AVERAGE(D13:J13)</f>
        <v>367.838571428571</v>
      </c>
      <c r="L13" s="29" t="n">
        <f aca="false">J13-D13</f>
        <v>115.64</v>
      </c>
    </row>
    <row r="14" customFormat="false" ht="15" hidden="false" customHeight="false" outlineLevel="0" collapsed="false">
      <c r="A14" s="12" t="s">
        <v>505</v>
      </c>
      <c r="B14" s="87" t="s">
        <v>506</v>
      </c>
      <c r="C14" s="17" t="s">
        <v>493</v>
      </c>
      <c r="D14" s="29" t="n">
        <f aca="false">D7-D13</f>
        <v>15.24</v>
      </c>
      <c r="E14" s="29" t="n">
        <f aca="false">E7-E13</f>
        <v>19.7</v>
      </c>
      <c r="F14" s="29" t="n">
        <f aca="false">F7-F13</f>
        <v>28.7</v>
      </c>
      <c r="G14" s="29" t="n">
        <f aca="false">G7-G13</f>
        <v>30.71</v>
      </c>
      <c r="H14" s="29" t="n">
        <f aca="false">H7-H13</f>
        <v>34.96</v>
      </c>
      <c r="I14" s="29" t="n">
        <f aca="false">I7-I13</f>
        <v>40.42</v>
      </c>
      <c r="J14" s="29" t="n">
        <f aca="false">J7-J13</f>
        <v>43.9</v>
      </c>
      <c r="K14" s="29" t="n">
        <f aca="false">AVERAGE(D14:J14)</f>
        <v>30.5185714285714</v>
      </c>
      <c r="L14" s="29" t="n">
        <f aca="false">J14-D14</f>
        <v>28.66</v>
      </c>
    </row>
    <row r="15" customFormat="false" ht="16.5" hidden="false" customHeight="true" outlineLevel="0" collapsed="false">
      <c r="A15" s="88" t="s">
        <v>507</v>
      </c>
      <c r="B15" s="89"/>
      <c r="C15" s="89"/>
      <c r="D15" s="89"/>
      <c r="E15" s="89"/>
      <c r="F15" s="89"/>
      <c r="G15" s="89"/>
      <c r="H15" s="89"/>
      <c r="I15" s="89"/>
      <c r="J15" s="89"/>
      <c r="K15" s="89"/>
      <c r="L15" s="89"/>
    </row>
    <row r="16" customFormat="false" ht="15" hidden="false" customHeight="false" outlineLevel="0" collapsed="false">
      <c r="A16" s="16" t="s">
        <v>508</v>
      </c>
      <c r="B16" s="87" t="s">
        <v>509</v>
      </c>
      <c r="C16" s="17" t="s">
        <v>493</v>
      </c>
      <c r="D16" s="96" t="n">
        <v>11.68</v>
      </c>
      <c r="E16" s="96" t="n">
        <v>8.83</v>
      </c>
      <c r="F16" s="96" t="n">
        <v>12.33</v>
      </c>
      <c r="G16" s="96" t="n">
        <v>17.1</v>
      </c>
      <c r="H16" s="96" t="n">
        <v>22.45</v>
      </c>
      <c r="I16" s="96" t="n">
        <v>20.07</v>
      </c>
      <c r="J16" s="96" t="n">
        <v>20.62</v>
      </c>
      <c r="K16" s="53" t="n">
        <f aca="false">AVERAGE(D16:J16)</f>
        <v>16.1542857142857</v>
      </c>
      <c r="L16" s="53" t="n">
        <f aca="false">J16-D16</f>
        <v>8.94</v>
      </c>
    </row>
    <row r="17" customFormat="false" ht="15" hidden="false" customHeight="false" outlineLevel="0" collapsed="false">
      <c r="A17" s="16" t="s">
        <v>510</v>
      </c>
      <c r="B17" s="87" t="s">
        <v>511</v>
      </c>
      <c r="C17" s="17" t="s">
        <v>493</v>
      </c>
      <c r="D17" s="96" t="n">
        <v>4.69</v>
      </c>
      <c r="E17" s="96" t="n">
        <v>2.28</v>
      </c>
      <c r="F17" s="96" t="n">
        <v>5.58</v>
      </c>
      <c r="G17" s="96" t="n">
        <v>5.24</v>
      </c>
      <c r="H17" s="96" t="n">
        <v>4.8</v>
      </c>
      <c r="I17" s="96" t="n">
        <v>4.37</v>
      </c>
      <c r="J17" s="96" t="n">
        <v>5.52</v>
      </c>
      <c r="K17" s="53" t="n">
        <f aca="false">AVERAGE(D17:J17)</f>
        <v>4.64</v>
      </c>
      <c r="L17" s="53" t="n">
        <f aca="false">J17-D17</f>
        <v>0.829999999999999</v>
      </c>
    </row>
    <row r="18" customFormat="false" ht="15" hidden="false" customHeight="false" outlineLevel="0" collapsed="false">
      <c r="A18" s="16" t="s">
        <v>512</v>
      </c>
      <c r="B18" s="87" t="s">
        <v>513</v>
      </c>
      <c r="C18" s="17" t="s">
        <v>493</v>
      </c>
      <c r="D18" s="96" t="n">
        <v>2.38</v>
      </c>
      <c r="E18" s="96" t="n">
        <v>-0.72</v>
      </c>
      <c r="F18" s="96" t="n">
        <v>0.01</v>
      </c>
      <c r="G18" s="96" t="n">
        <v>0.37</v>
      </c>
      <c r="H18" s="96" t="n">
        <v>1.8</v>
      </c>
      <c r="I18" s="96" t="n">
        <v>1.71</v>
      </c>
      <c r="J18" s="96" t="n">
        <v>1.19</v>
      </c>
      <c r="K18" s="53" t="n">
        <f aca="false">AVERAGE(D18:J18)</f>
        <v>0.962857142857143</v>
      </c>
      <c r="L18" s="53" t="n">
        <f aca="false">J18-D18</f>
        <v>-1.19</v>
      </c>
    </row>
    <row r="19" customFormat="false" ht="15" hidden="false" customHeight="false" outlineLevel="0" collapsed="false">
      <c r="A19" s="12" t="s">
        <v>507</v>
      </c>
      <c r="B19" s="87" t="s">
        <v>514</v>
      </c>
      <c r="C19" s="17" t="s">
        <v>493</v>
      </c>
      <c r="D19" s="29" t="n">
        <f aca="false">D16+D17+D18</f>
        <v>18.75</v>
      </c>
      <c r="E19" s="29" t="n">
        <f aca="false">E16+E17+E18</f>
        <v>10.39</v>
      </c>
      <c r="F19" s="29" t="n">
        <f aca="false">F16+F17+F18</f>
        <v>17.92</v>
      </c>
      <c r="G19" s="29" t="n">
        <f aca="false">G16+G17+G18</f>
        <v>22.71</v>
      </c>
      <c r="H19" s="29" t="n">
        <f aca="false">H16+H17+H18</f>
        <v>29.05</v>
      </c>
      <c r="I19" s="29" t="n">
        <f aca="false">I16+I17+I18</f>
        <v>26.15</v>
      </c>
      <c r="J19" s="29" t="n">
        <f aca="false">J16+J17+J18</f>
        <v>27.33</v>
      </c>
      <c r="K19" s="29" t="n">
        <f aca="false">AVERAGE(D19:J19)</f>
        <v>21.7571428571429</v>
      </c>
      <c r="L19" s="29" t="n">
        <f aca="false">J19-D19</f>
        <v>8.58</v>
      </c>
    </row>
    <row r="20" customFormat="false" ht="15" hidden="false" customHeight="false" outlineLevel="0" collapsed="false">
      <c r="A20" s="12" t="s">
        <v>515</v>
      </c>
      <c r="B20" s="87" t="s">
        <v>516</v>
      </c>
      <c r="C20" s="17" t="s">
        <v>493</v>
      </c>
      <c r="D20" s="29" t="n">
        <f aca="false">D13+D19</f>
        <v>303.29</v>
      </c>
      <c r="E20" s="29" t="n">
        <f aca="false">E13+E19</f>
        <v>337.48</v>
      </c>
      <c r="F20" s="29" t="n">
        <f aca="false">F13+F19</f>
        <v>445.98</v>
      </c>
      <c r="G20" s="29" t="n">
        <f aca="false">G13+G19</f>
        <v>408.69</v>
      </c>
      <c r="H20" s="29" t="n">
        <f aca="false">H13+H19</f>
        <v>381.86</v>
      </c>
      <c r="I20" s="29" t="n">
        <f aca="false">I13+I19</f>
        <v>422.36</v>
      </c>
      <c r="J20" s="29" t="n">
        <f aca="false">J13+J19</f>
        <v>427.51</v>
      </c>
      <c r="K20" s="29" t="n">
        <f aca="false">AVERAGE(D20:J20)</f>
        <v>389.595714285714</v>
      </c>
      <c r="L20" s="29" t="n">
        <f aca="false">J20-D20</f>
        <v>124.22</v>
      </c>
    </row>
    <row r="21" customFormat="false" ht="15" hidden="false" customHeight="false" outlineLevel="0" collapsed="false">
      <c r="A21" s="12" t="s">
        <v>517</v>
      </c>
      <c r="B21" s="87" t="s">
        <v>518</v>
      </c>
      <c r="C21" s="17" t="s">
        <v>493</v>
      </c>
      <c r="D21" s="29" t="n">
        <f aca="false">D7-D20</f>
        <v>-3.51000000000005</v>
      </c>
      <c r="E21" s="29" t="n">
        <f aca="false">E7-E20</f>
        <v>9.31000000000006</v>
      </c>
      <c r="F21" s="29" t="n">
        <f aca="false">F7-F20</f>
        <v>10.78</v>
      </c>
      <c r="G21" s="29" t="n">
        <f aca="false">G7-G20</f>
        <v>8.00000000000006</v>
      </c>
      <c r="H21" s="29" t="n">
        <f aca="false">H7-H20</f>
        <v>5.90999999999997</v>
      </c>
      <c r="I21" s="29" t="n">
        <f aca="false">I7-I20</f>
        <v>14.27</v>
      </c>
      <c r="J21" s="29" t="n">
        <f aca="false">J7-J20</f>
        <v>16.57</v>
      </c>
      <c r="K21" s="29" t="n">
        <f aca="false">AVERAGE(D21:J21)</f>
        <v>8.76142857142858</v>
      </c>
      <c r="L21" s="29" t="n">
        <f aca="false">J21-D21</f>
        <v>20.08</v>
      </c>
    </row>
    <row r="22" customFormat="false" ht="15" hidden="false" customHeight="false" outlineLevel="0" collapsed="false">
      <c r="A22" s="16" t="s">
        <v>519</v>
      </c>
      <c r="B22" s="87" t="s">
        <v>520</v>
      </c>
      <c r="C22" s="17" t="s">
        <v>493</v>
      </c>
      <c r="D22" s="96" t="n">
        <v>1.27</v>
      </c>
      <c r="E22" s="96" t="n">
        <v>2.16</v>
      </c>
      <c r="F22" s="96" t="n">
        <v>2.74</v>
      </c>
      <c r="G22" s="96" t="n">
        <v>2.81</v>
      </c>
      <c r="H22" s="96" t="n">
        <v>2.21</v>
      </c>
      <c r="I22" s="96" t="n">
        <v>2.08</v>
      </c>
      <c r="J22" s="96" t="n">
        <v>1.91</v>
      </c>
      <c r="K22" s="53" t="n">
        <f aca="false">AVERAGE(D22:J22)</f>
        <v>2.16857142857143</v>
      </c>
      <c r="L22" s="53" t="n">
        <f aca="false">J22-D22</f>
        <v>0.64</v>
      </c>
    </row>
    <row r="23" customFormat="false" ht="15" hidden="false" customHeight="false" outlineLevel="0" collapsed="false">
      <c r="A23" s="12" t="s">
        <v>521</v>
      </c>
      <c r="B23" s="87" t="s">
        <v>522</v>
      </c>
      <c r="C23" s="17" t="s">
        <v>493</v>
      </c>
      <c r="D23" s="29" t="n">
        <f aca="false">D21-D22</f>
        <v>-4.78000000000005</v>
      </c>
      <c r="E23" s="29" t="n">
        <f aca="false">E21-E22</f>
        <v>7.15000000000006</v>
      </c>
      <c r="F23" s="29" t="n">
        <f aca="false">F21-F22</f>
        <v>8.03999999999997</v>
      </c>
      <c r="G23" s="29" t="n">
        <f aca="false">G21-G22</f>
        <v>5.19000000000006</v>
      </c>
      <c r="H23" s="29" t="n">
        <f aca="false">H21-H22</f>
        <v>3.69999999999997</v>
      </c>
      <c r="I23" s="29" t="n">
        <f aca="false">I21-I22</f>
        <v>12.19</v>
      </c>
      <c r="J23" s="29" t="n">
        <f aca="false">J21-J22</f>
        <v>14.66</v>
      </c>
      <c r="K23" s="29" t="n">
        <f aca="false">AVERAGE(D23:J23)</f>
        <v>6.59285714285715</v>
      </c>
      <c r="L23" s="29" t="n">
        <f aca="false">J23-D23</f>
        <v>19.44</v>
      </c>
    </row>
    <row r="24" customFormat="false" ht="15" hidden="false" customHeight="false" outlineLevel="0" collapsed="false">
      <c r="A24" s="16" t="s">
        <v>523</v>
      </c>
      <c r="B24" s="87" t="s">
        <v>524</v>
      </c>
      <c r="C24" s="17" t="s">
        <v>493</v>
      </c>
      <c r="D24" s="96" t="n">
        <v>0.68</v>
      </c>
      <c r="E24" s="96" t="n">
        <v>0.6</v>
      </c>
      <c r="F24" s="96" t="n">
        <v>0.5</v>
      </c>
      <c r="G24" s="96" t="n">
        <v>0.72</v>
      </c>
      <c r="H24" s="96" t="n">
        <v>2.46</v>
      </c>
      <c r="I24" s="96" t="n">
        <v>1.02</v>
      </c>
      <c r="J24" s="96" t="n">
        <v>3.93</v>
      </c>
      <c r="K24" s="53" t="n">
        <f aca="false">AVERAGE(D24:J24)</f>
        <v>1.41571428571429</v>
      </c>
      <c r="L24" s="53" t="n">
        <f aca="false">J24-D24</f>
        <v>3.25</v>
      </c>
    </row>
    <row r="25" customFormat="false" ht="15" hidden="false" customHeight="false" outlineLevel="0" collapsed="false">
      <c r="A25" s="16" t="s">
        <v>525</v>
      </c>
      <c r="B25" s="87" t="s">
        <v>526</v>
      </c>
      <c r="C25" s="17" t="s">
        <v>493</v>
      </c>
      <c r="D25" s="96" t="n">
        <v>4.58</v>
      </c>
      <c r="E25" s="96" t="n">
        <v>3.88</v>
      </c>
      <c r="F25" s="96" t="n">
        <v>4.04</v>
      </c>
      <c r="G25" s="96" t="n">
        <v>5.05</v>
      </c>
      <c r="H25" s="96" t="n">
        <v>5.94</v>
      </c>
      <c r="I25" s="96" t="n">
        <v>6.9</v>
      </c>
      <c r="J25" s="96" t="n">
        <v>7</v>
      </c>
      <c r="K25" s="53" t="n">
        <f aca="false">AVERAGE(D25:J25)</f>
        <v>5.34142857142857</v>
      </c>
      <c r="L25" s="53" t="n">
        <f aca="false">J25-D25</f>
        <v>2.42</v>
      </c>
    </row>
    <row r="26" customFormat="false" ht="15" hidden="false" customHeight="false" outlineLevel="0" collapsed="false">
      <c r="A26" s="12" t="s">
        <v>527</v>
      </c>
      <c r="B26" s="87" t="s">
        <v>528</v>
      </c>
      <c r="C26" s="17" t="s">
        <v>493</v>
      </c>
      <c r="D26" s="90" t="n">
        <f aca="false">D23+D24-D25</f>
        <v>-8.68000000000005</v>
      </c>
      <c r="E26" s="90" t="n">
        <f aca="false">E23+E24-E25</f>
        <v>3.87000000000006</v>
      </c>
      <c r="F26" s="90" t="n">
        <f aca="false">F23+F24-F25</f>
        <v>4.49999999999997</v>
      </c>
      <c r="G26" s="90" t="n">
        <f aca="false">G23+G24-G25</f>
        <v>0.860000000000056</v>
      </c>
      <c r="H26" s="90" t="n">
        <f aca="false">H23+H24-H25</f>
        <v>0.219999999999968</v>
      </c>
      <c r="I26" s="90" t="n">
        <f aca="false">I23+I24-I25</f>
        <v>6.31000000000004</v>
      </c>
      <c r="J26" s="90" t="n">
        <f aca="false">J23+J24-J25</f>
        <v>11.59</v>
      </c>
      <c r="K26" s="91" t="n">
        <f aca="false">AVERAGE(D26:J26)</f>
        <v>2.66714285714286</v>
      </c>
      <c r="L26" s="91" t="n">
        <f aca="false">J26-D26</f>
        <v>20.27</v>
      </c>
    </row>
    <row r="27" customFormat="false" ht="15" hidden="false" customHeight="false" outlineLevel="0" collapsed="false">
      <c r="A27" s="16" t="s">
        <v>529</v>
      </c>
      <c r="B27" s="87" t="s">
        <v>530</v>
      </c>
      <c r="C27" s="17" t="s">
        <v>493</v>
      </c>
      <c r="D27" s="96" t="n">
        <v>-0.11</v>
      </c>
      <c r="E27" s="96" t="n">
        <v>1.37</v>
      </c>
      <c r="F27" s="96" t="n">
        <v>1.68</v>
      </c>
      <c r="G27" s="96" t="n">
        <v>0.79</v>
      </c>
      <c r="H27" s="96" t="n">
        <v>-0.04</v>
      </c>
      <c r="I27" s="96" t="n">
        <v>2.58</v>
      </c>
      <c r="J27" s="96" t="n">
        <v>4.78</v>
      </c>
      <c r="K27" s="53" t="n">
        <f aca="false">AVERAGE(D27:J27)</f>
        <v>1.57857142857143</v>
      </c>
      <c r="L27" s="53" t="n">
        <f aca="false">J27-D27</f>
        <v>4.89</v>
      </c>
    </row>
    <row r="28" customFormat="false" ht="15" hidden="false" customHeight="false" outlineLevel="0" collapsed="false">
      <c r="A28" s="16" t="s">
        <v>531</v>
      </c>
      <c r="B28" s="87" t="s">
        <v>532</v>
      </c>
      <c r="C28" s="17" t="s">
        <v>493</v>
      </c>
      <c r="D28" s="69" t="n">
        <f aca="false">D26-D27</f>
        <v>-8.57000000000005</v>
      </c>
      <c r="E28" s="69" t="n">
        <f aca="false">E26-E27</f>
        <v>2.50000000000006</v>
      </c>
      <c r="F28" s="69" t="n">
        <f aca="false">F26-F27</f>
        <v>2.81999999999997</v>
      </c>
      <c r="G28" s="69" t="n">
        <f aca="false">G26-G27</f>
        <v>0.0700000000000562</v>
      </c>
      <c r="H28" s="69" t="n">
        <f aca="false">H26-H27</f>
        <v>0.259999999999968</v>
      </c>
      <c r="I28" s="69" t="n">
        <f aca="false">I26-I27</f>
        <v>3.73000000000004</v>
      </c>
      <c r="J28" s="69" t="n">
        <f aca="false">J26-J27</f>
        <v>6.80999999999999</v>
      </c>
      <c r="K28" s="53" t="n">
        <f aca="false">AVERAGE(D28:J28)</f>
        <v>1.08857142857143</v>
      </c>
      <c r="L28" s="53" t="n">
        <f aca="false">J28-D28</f>
        <v>15.38</v>
      </c>
    </row>
    <row r="29" customFormat="false" ht="15" hidden="false" customHeight="false" outlineLevel="0" collapsed="false">
      <c r="A29" s="16" t="s">
        <v>533</v>
      </c>
      <c r="B29" s="87" t="s">
        <v>534</v>
      </c>
      <c r="C29" s="17" t="s">
        <v>493</v>
      </c>
      <c r="D29" s="69" t="n">
        <f aca="false">D30-D28</f>
        <v>4.79616346638068E-014</v>
      </c>
      <c r="E29" s="69" t="n">
        <f aca="false">E30-E28</f>
        <v>0.00999999999994117</v>
      </c>
      <c r="F29" s="69" t="n">
        <f aca="false">F30-F28</f>
        <v>2.70894418008538E-014</v>
      </c>
      <c r="G29" s="69" t="n">
        <f aca="false">G30-G28</f>
        <v>-0.0100000000000562</v>
      </c>
      <c r="H29" s="69" t="n">
        <f aca="false">H30-H28</f>
        <v>3.22519788653608E-014</v>
      </c>
      <c r="I29" s="69" t="n">
        <f aca="false">I30-I28</f>
        <v>-3.77475828372553E-014</v>
      </c>
      <c r="J29" s="69" t="n">
        <f aca="false">J30-J28</f>
        <v>-0.00999999999999268</v>
      </c>
      <c r="K29" s="53" t="n">
        <f aca="false">AVERAGE(D29:J29)</f>
        <v>-0.00142857142857689</v>
      </c>
      <c r="L29" s="53" t="n">
        <f aca="false">J29-D29</f>
        <v>-0.0100000000000406</v>
      </c>
    </row>
    <row r="30" customFormat="false" ht="15" hidden="false" customHeight="false" outlineLevel="0" collapsed="false">
      <c r="A30" s="16" t="s">
        <v>535</v>
      </c>
      <c r="B30" s="87" t="s">
        <v>536</v>
      </c>
      <c r="C30" s="17" t="s">
        <v>493</v>
      </c>
      <c r="D30" s="96" t="n">
        <v>-8.57</v>
      </c>
      <c r="E30" s="96" t="n">
        <v>2.51</v>
      </c>
      <c r="F30" s="96" t="n">
        <v>2.82</v>
      </c>
      <c r="G30" s="96" t="n">
        <v>0.06</v>
      </c>
      <c r="H30" s="96" t="n">
        <v>0.26</v>
      </c>
      <c r="I30" s="96" t="n">
        <v>3.73</v>
      </c>
      <c r="J30" s="96" t="n">
        <v>6.8</v>
      </c>
      <c r="K30" s="53" t="n">
        <f aca="false">AVERAGE(D30:J30)</f>
        <v>1.08714285714286</v>
      </c>
      <c r="L30" s="53" t="n">
        <f aca="false">J30-D30</f>
        <v>15.37</v>
      </c>
    </row>
    <row r="31" customFormat="false" ht="15" hidden="false" customHeight="false" outlineLevel="0" collapsed="false">
      <c r="A31" s="16" t="s">
        <v>537</v>
      </c>
      <c r="B31" s="87" t="s">
        <v>538</v>
      </c>
      <c r="C31" s="17" t="s">
        <v>493</v>
      </c>
      <c r="D31" s="96" t="n">
        <v>0</v>
      </c>
      <c r="E31" s="96" t="n">
        <v>0</v>
      </c>
      <c r="F31" s="96" t="n">
        <v>0.12</v>
      </c>
      <c r="G31" s="96" t="n">
        <v>0</v>
      </c>
      <c r="H31" s="96" t="n">
        <v>0</v>
      </c>
      <c r="I31" s="96" t="n">
        <v>0</v>
      </c>
      <c r="J31" s="96" t="n">
        <v>0</v>
      </c>
      <c r="K31" s="53" t="n">
        <f aca="false">AVERAGE(D31:J31)</f>
        <v>0.0171428571428571</v>
      </c>
      <c r="L31" s="53" t="n">
        <f aca="false">J31-D31</f>
        <v>0</v>
      </c>
    </row>
    <row r="32" customFormat="false" ht="15" hidden="false" customHeight="false" outlineLevel="0" collapsed="false">
      <c r="A32" s="16" t="s">
        <v>539</v>
      </c>
      <c r="B32" s="87" t="s">
        <v>540</v>
      </c>
      <c r="C32" s="17" t="s">
        <v>493</v>
      </c>
      <c r="D32" s="96" t="n">
        <v>0</v>
      </c>
      <c r="E32" s="96" t="n">
        <v>0</v>
      </c>
      <c r="F32" s="96" t="n">
        <v>0</v>
      </c>
      <c r="G32" s="96" t="n">
        <v>0</v>
      </c>
      <c r="H32" s="96" t="n">
        <v>0</v>
      </c>
      <c r="I32" s="96" t="n">
        <v>0</v>
      </c>
      <c r="J32" s="96" t="n">
        <v>0</v>
      </c>
      <c r="K32" s="53" t="n">
        <f aca="false">AVERAGE(D32:J32)</f>
        <v>0</v>
      </c>
      <c r="L32" s="53" t="n">
        <f aca="false">J32-D32</f>
        <v>0</v>
      </c>
    </row>
    <row r="34" customFormat="false" ht="19.5" hidden="false" customHeight="true" outlineLevel="0" collapsed="false">
      <c r="A34" s="85" t="s">
        <v>541</v>
      </c>
      <c r="B34" s="86"/>
      <c r="C34" s="86"/>
      <c r="D34" s="86"/>
      <c r="E34" s="86"/>
      <c r="F34" s="86"/>
      <c r="G34" s="86"/>
      <c r="H34" s="86"/>
      <c r="I34" s="86"/>
      <c r="J34" s="86"/>
      <c r="K34" s="86"/>
      <c r="L34" s="86"/>
    </row>
    <row r="35" customFormat="false" ht="16.5" hidden="false" customHeight="true" outlineLevel="0" collapsed="false">
      <c r="A35" s="88" t="s">
        <v>542</v>
      </c>
      <c r="B35" s="89"/>
      <c r="C35" s="89"/>
      <c r="D35" s="89"/>
      <c r="E35" s="89"/>
      <c r="F35" s="89"/>
      <c r="G35" s="89"/>
      <c r="H35" s="89"/>
      <c r="I35" s="89"/>
      <c r="J35" s="89"/>
      <c r="K35" s="89"/>
      <c r="L35" s="89"/>
    </row>
    <row r="36" customFormat="false" ht="15" hidden="false" customHeight="false" outlineLevel="0" collapsed="false">
      <c r="A36" s="16" t="s">
        <v>543</v>
      </c>
      <c r="B36" s="87" t="s">
        <v>544</v>
      </c>
      <c r="C36" s="17" t="s">
        <v>493</v>
      </c>
      <c r="D36" s="96" t="n">
        <v>11.6</v>
      </c>
      <c r="E36" s="96" t="n">
        <v>11.6</v>
      </c>
      <c r="F36" s="96" t="n">
        <v>11.6</v>
      </c>
      <c r="G36" s="96" t="n">
        <v>23.2</v>
      </c>
      <c r="H36" s="96" t="n">
        <v>23.2</v>
      </c>
      <c r="I36" s="96" t="n">
        <v>23.2</v>
      </c>
      <c r="J36" s="96" t="n">
        <v>23.2</v>
      </c>
      <c r="K36" s="53" t="n">
        <f aca="false">AVERAGE(D36:J36)</f>
        <v>18.2285714285714</v>
      </c>
      <c r="L36" s="53" t="n">
        <f aca="false">J36-D36</f>
        <v>11.6</v>
      </c>
    </row>
    <row r="37" customFormat="false" ht="15" hidden="false" customHeight="false" outlineLevel="0" collapsed="false">
      <c r="A37" s="16" t="s">
        <v>545</v>
      </c>
      <c r="B37" s="87" t="s">
        <v>540</v>
      </c>
      <c r="C37" s="17" t="s">
        <v>493</v>
      </c>
      <c r="D37" s="96" t="n">
        <v>0</v>
      </c>
      <c r="E37" s="96" t="n">
        <v>0</v>
      </c>
      <c r="F37" s="96" t="n">
        <v>0</v>
      </c>
      <c r="G37" s="96" t="n">
        <v>0</v>
      </c>
      <c r="H37" s="96" t="n">
        <v>0</v>
      </c>
      <c r="I37" s="96" t="n">
        <v>0</v>
      </c>
      <c r="J37" s="96" t="n">
        <v>0</v>
      </c>
      <c r="K37" s="53" t="n">
        <f aca="false">AVERAGE(D37:J37)</f>
        <v>0</v>
      </c>
      <c r="L37" s="53" t="n">
        <f aca="false">J37-D37</f>
        <v>0</v>
      </c>
    </row>
    <row r="38" customFormat="false" ht="15" hidden="false" customHeight="false" outlineLevel="0" collapsed="false">
      <c r="A38" s="16" t="s">
        <v>546</v>
      </c>
      <c r="B38" s="87" t="s">
        <v>547</v>
      </c>
      <c r="C38" s="17" t="s">
        <v>493</v>
      </c>
      <c r="D38" s="96" t="n">
        <v>5.66</v>
      </c>
      <c r="E38" s="96" t="n">
        <v>9.93</v>
      </c>
      <c r="F38" s="96" t="n">
        <v>12.77</v>
      </c>
      <c r="G38" s="96" t="n">
        <v>39.04</v>
      </c>
      <c r="H38" s="96" t="n">
        <v>39.28</v>
      </c>
      <c r="I38" s="96" t="n">
        <v>42.87</v>
      </c>
      <c r="J38" s="96" t="n">
        <v>49.59</v>
      </c>
      <c r="K38" s="53" t="n">
        <f aca="false">AVERAGE(D38:J38)</f>
        <v>28.4485714285714</v>
      </c>
      <c r="L38" s="53" t="n">
        <f aca="false">J38-D38</f>
        <v>43.93</v>
      </c>
    </row>
    <row r="39" customFormat="false" ht="15" hidden="false" customHeight="false" outlineLevel="0" collapsed="false">
      <c r="A39" s="12" t="s">
        <v>548</v>
      </c>
      <c r="B39" s="87" t="s">
        <v>549</v>
      </c>
      <c r="C39" s="17" t="s">
        <v>493</v>
      </c>
      <c r="D39" s="29" t="n">
        <f aca="false">D36+D38</f>
        <v>17.26</v>
      </c>
      <c r="E39" s="29" t="n">
        <f aca="false">E36+E38</f>
        <v>21.53</v>
      </c>
      <c r="F39" s="29" t="n">
        <f aca="false">F36+F38</f>
        <v>24.37</v>
      </c>
      <c r="G39" s="29" t="n">
        <f aca="false">G36+G38</f>
        <v>62.24</v>
      </c>
      <c r="H39" s="29" t="n">
        <f aca="false">H36+H38</f>
        <v>62.48</v>
      </c>
      <c r="I39" s="29" t="n">
        <f aca="false">I36+I38</f>
        <v>66.07</v>
      </c>
      <c r="J39" s="29" t="n">
        <f aca="false">J36+J38</f>
        <v>72.79</v>
      </c>
      <c r="K39" s="29" t="n">
        <f aca="false">AVERAGE(D39:J39)</f>
        <v>46.6771428571429</v>
      </c>
      <c r="L39" s="29" t="n">
        <f aca="false">J39-D39</f>
        <v>55.53</v>
      </c>
    </row>
    <row r="40" customFormat="false" ht="15" hidden="false" customHeight="false" outlineLevel="0" collapsed="false">
      <c r="A40" s="12" t="s">
        <v>550</v>
      </c>
      <c r="B40" s="87" t="s">
        <v>551</v>
      </c>
      <c r="C40" s="17" t="s">
        <v>493</v>
      </c>
      <c r="D40" s="29" t="n">
        <f aca="false">D39+D37</f>
        <v>17.26</v>
      </c>
      <c r="E40" s="29" t="n">
        <f aca="false">E39+E37</f>
        <v>21.53</v>
      </c>
      <c r="F40" s="29" t="n">
        <f aca="false">F39+F37</f>
        <v>24.37</v>
      </c>
      <c r="G40" s="29" t="n">
        <f aca="false">G39+G37</f>
        <v>62.24</v>
      </c>
      <c r="H40" s="29" t="n">
        <f aca="false">H39+H37</f>
        <v>62.48</v>
      </c>
      <c r="I40" s="29" t="n">
        <f aca="false">I39+I37</f>
        <v>66.07</v>
      </c>
      <c r="J40" s="29" t="n">
        <f aca="false">J39+J37</f>
        <v>72.79</v>
      </c>
      <c r="K40" s="29" t="n">
        <f aca="false">AVERAGE(D40:J40)</f>
        <v>46.6771428571429</v>
      </c>
      <c r="L40" s="29" t="n">
        <f aca="false">J40-D40</f>
        <v>55.53</v>
      </c>
    </row>
    <row r="41" customFormat="false" ht="15" hidden="false" customHeight="false" outlineLevel="0" collapsed="false">
      <c r="A41" s="16" t="s">
        <v>552</v>
      </c>
      <c r="B41" s="87" t="s">
        <v>553</v>
      </c>
      <c r="C41" s="17" t="s">
        <v>493</v>
      </c>
      <c r="D41" s="96" t="n">
        <v>37.28</v>
      </c>
      <c r="E41" s="96" t="n">
        <v>31.07</v>
      </c>
      <c r="F41" s="96" t="n">
        <v>49.23</v>
      </c>
      <c r="G41" s="96" t="n">
        <v>60.87</v>
      </c>
      <c r="H41" s="96" t="n">
        <v>55.8</v>
      </c>
      <c r="I41" s="96" t="n">
        <v>64.34</v>
      </c>
      <c r="J41" s="96" t="n">
        <v>74.07</v>
      </c>
      <c r="K41" s="53" t="n">
        <f aca="false">AVERAGE(D41:J41)</f>
        <v>53.2371428571429</v>
      </c>
      <c r="L41" s="53" t="n">
        <f aca="false">J41-D41</f>
        <v>36.79</v>
      </c>
    </row>
    <row r="42" customFormat="false" ht="15" hidden="false" customHeight="false" outlineLevel="0" collapsed="false">
      <c r="A42" s="16" t="s">
        <v>554</v>
      </c>
      <c r="B42" s="87" t="s">
        <v>555</v>
      </c>
      <c r="C42" s="17" t="s">
        <v>493</v>
      </c>
      <c r="D42" s="96" t="n">
        <v>33.27</v>
      </c>
      <c r="E42" s="96" t="n">
        <v>45.57</v>
      </c>
      <c r="F42" s="96" t="n">
        <v>36.41</v>
      </c>
      <c r="G42" s="96" t="n">
        <v>30.75</v>
      </c>
      <c r="H42" s="96" t="n">
        <v>52.28</v>
      </c>
      <c r="I42" s="96" t="n">
        <v>52.02</v>
      </c>
      <c r="J42" s="96" t="n">
        <v>47.23</v>
      </c>
      <c r="K42" s="53" t="n">
        <f aca="false">AVERAGE(D42:J42)</f>
        <v>42.5042857142857</v>
      </c>
      <c r="L42" s="53" t="n">
        <f aca="false">J42-D42</f>
        <v>13.96</v>
      </c>
    </row>
    <row r="43" customFormat="false" ht="15" hidden="false" customHeight="false" outlineLevel="0" collapsed="false">
      <c r="A43" s="12" t="s">
        <v>556</v>
      </c>
      <c r="B43" s="87" t="s">
        <v>557</v>
      </c>
      <c r="C43" s="17" t="s">
        <v>493</v>
      </c>
      <c r="D43" s="90" t="n">
        <f aca="false">D40+D41+D42</f>
        <v>87.81</v>
      </c>
      <c r="E43" s="90" t="n">
        <f aca="false">E40+E41+E42</f>
        <v>98.17</v>
      </c>
      <c r="F43" s="90" t="n">
        <f aca="false">F40+F41+F42</f>
        <v>110.01</v>
      </c>
      <c r="G43" s="90" t="n">
        <f aca="false">G40+G41+G42</f>
        <v>153.86</v>
      </c>
      <c r="H43" s="90" t="n">
        <f aca="false">H40+H41+H42</f>
        <v>170.56</v>
      </c>
      <c r="I43" s="90" t="n">
        <f aca="false">I40+I41+I42</f>
        <v>182.43</v>
      </c>
      <c r="J43" s="90" t="n">
        <f aca="false">J40+J41+J42</f>
        <v>194.09</v>
      </c>
      <c r="K43" s="91" t="n">
        <f aca="false">AVERAGE(D43:J43)</f>
        <v>142.418571428571</v>
      </c>
      <c r="L43" s="91" t="n">
        <f aca="false">J43-D43</f>
        <v>106.28</v>
      </c>
    </row>
    <row r="44" customFormat="false" ht="16.5" hidden="false" customHeight="true" outlineLevel="0" collapsed="false">
      <c r="A44" s="88" t="s">
        <v>558</v>
      </c>
      <c r="B44" s="89"/>
      <c r="C44" s="89"/>
      <c r="D44" s="89"/>
      <c r="E44" s="89"/>
      <c r="F44" s="89"/>
      <c r="G44" s="89"/>
      <c r="H44" s="89"/>
      <c r="I44" s="89"/>
      <c r="J44" s="89"/>
      <c r="K44" s="89"/>
      <c r="L44" s="89"/>
    </row>
    <row r="45" customFormat="false" ht="15" hidden="false" customHeight="false" outlineLevel="0" collapsed="false">
      <c r="A45" s="16" t="s">
        <v>559</v>
      </c>
      <c r="B45" s="87" t="s">
        <v>560</v>
      </c>
      <c r="C45" s="17" t="s">
        <v>493</v>
      </c>
      <c r="D45" s="96" t="n">
        <v>14.35</v>
      </c>
      <c r="E45" s="96" t="n">
        <v>28.55</v>
      </c>
      <c r="F45" s="96" t="n">
        <v>31.16</v>
      </c>
      <c r="G45" s="96" t="n">
        <v>30.55</v>
      </c>
      <c r="H45" s="96" t="n">
        <v>27.16</v>
      </c>
      <c r="I45" s="96" t="n">
        <v>26.37</v>
      </c>
      <c r="J45" s="96" t="n">
        <v>24.36</v>
      </c>
      <c r="K45" s="53" t="n">
        <f aca="false">AVERAGE(D45:J45)</f>
        <v>26.0714285714286</v>
      </c>
      <c r="L45" s="53" t="n">
        <f aca="false">J45-D45</f>
        <v>10.01</v>
      </c>
    </row>
    <row r="46" customFormat="false" ht="15" hidden="false" customHeight="false" outlineLevel="0" collapsed="false">
      <c r="A46" s="16" t="s">
        <v>561</v>
      </c>
      <c r="B46" s="87" t="s">
        <v>562</v>
      </c>
      <c r="C46" s="17" t="s">
        <v>493</v>
      </c>
      <c r="D46" s="96" t="n">
        <v>0.76</v>
      </c>
      <c r="E46" s="96" t="n">
        <v>0</v>
      </c>
      <c r="F46" s="96" t="n">
        <v>0</v>
      </c>
      <c r="G46" s="96" t="n">
        <v>0</v>
      </c>
      <c r="H46" s="96" t="n">
        <v>0</v>
      </c>
      <c r="I46" s="96" t="n">
        <v>0</v>
      </c>
      <c r="J46" s="96" t="n">
        <v>0</v>
      </c>
      <c r="K46" s="53" t="n">
        <f aca="false">AVERAGE(D46:J46)</f>
        <v>0.108571428571429</v>
      </c>
      <c r="L46" s="53" t="n">
        <f aca="false">J46-D46</f>
        <v>-0.76</v>
      </c>
    </row>
    <row r="47" customFormat="false" ht="15" hidden="false" customHeight="false" outlineLevel="0" collapsed="false">
      <c r="A47" s="16" t="s">
        <v>563</v>
      </c>
      <c r="B47" s="87" t="s">
        <v>564</v>
      </c>
      <c r="C47" s="17" t="s">
        <v>493</v>
      </c>
      <c r="D47" s="96" t="n">
        <v>0.27</v>
      </c>
      <c r="E47" s="96" t="n">
        <v>0.27</v>
      </c>
      <c r="F47" s="96" t="n">
        <v>0.27</v>
      </c>
      <c r="G47" s="96" t="n">
        <v>0.27</v>
      </c>
      <c r="H47" s="96" t="n">
        <v>0.26</v>
      </c>
      <c r="I47" s="96" t="n">
        <v>0.26</v>
      </c>
      <c r="J47" s="96" t="n">
        <v>0.26</v>
      </c>
      <c r="K47" s="53" t="n">
        <f aca="false">AVERAGE(D47:J47)</f>
        <v>0.265714285714286</v>
      </c>
      <c r="L47" s="53" t="n">
        <f aca="false">J47-D47</f>
        <v>-0.01</v>
      </c>
    </row>
    <row r="48" customFormat="false" ht="15" hidden="false" customHeight="false" outlineLevel="0" collapsed="false">
      <c r="A48" s="16" t="s">
        <v>565</v>
      </c>
      <c r="B48" s="87" t="s">
        <v>566</v>
      </c>
      <c r="C48" s="17" t="s">
        <v>493</v>
      </c>
      <c r="D48" s="96" t="n">
        <v>72.43</v>
      </c>
      <c r="E48" s="96" t="n">
        <v>69.35</v>
      </c>
      <c r="F48" s="96" t="n">
        <v>78.58</v>
      </c>
      <c r="G48" s="96" t="n">
        <v>123.04</v>
      </c>
      <c r="H48" s="96" t="n">
        <v>143.14</v>
      </c>
      <c r="I48" s="96" t="n">
        <v>155.8</v>
      </c>
      <c r="J48" s="96" t="n">
        <v>169.47</v>
      </c>
      <c r="K48" s="53" t="n">
        <f aca="false">AVERAGE(D48:J48)</f>
        <v>115.972857142857</v>
      </c>
      <c r="L48" s="53" t="n">
        <f aca="false">J48-D48</f>
        <v>97.04</v>
      </c>
    </row>
    <row r="49" customFormat="false" ht="15" hidden="false" customHeight="false" outlineLevel="0" collapsed="false">
      <c r="A49" s="12" t="s">
        <v>567</v>
      </c>
      <c r="B49" s="87" t="s">
        <v>568</v>
      </c>
      <c r="C49" s="17" t="s">
        <v>493</v>
      </c>
      <c r="D49" s="90" t="n">
        <f aca="false">D45+D46+D47+D48</f>
        <v>87.81</v>
      </c>
      <c r="E49" s="90" t="n">
        <f aca="false">E45+E46+E47+E48</f>
        <v>98.17</v>
      </c>
      <c r="F49" s="90" t="n">
        <f aca="false">F45+F46+F47+F48</f>
        <v>110.01</v>
      </c>
      <c r="G49" s="90" t="n">
        <f aca="false">G45+G46+G47+G48</f>
        <v>153.86</v>
      </c>
      <c r="H49" s="90" t="n">
        <f aca="false">H45+H46+H47+H48</f>
        <v>170.56</v>
      </c>
      <c r="I49" s="90" t="n">
        <f aca="false">I45+I46+I47+I48</f>
        <v>182.43</v>
      </c>
      <c r="J49" s="90" t="n">
        <f aca="false">J45+J46+J47+J48</f>
        <v>194.09</v>
      </c>
      <c r="K49" s="91" t="n">
        <f aca="false">AVERAGE(D49:J49)</f>
        <v>142.418571428571</v>
      </c>
      <c r="L49" s="91" t="n">
        <f aca="false">J49-D49</f>
        <v>106.28</v>
      </c>
    </row>
    <row r="50" customFormat="false" ht="15" hidden="false" customHeight="false" outlineLevel="0" collapsed="false">
      <c r="A50" s="16" t="s">
        <v>569</v>
      </c>
      <c r="B50" s="87" t="s">
        <v>570</v>
      </c>
      <c r="C50" s="17" t="s">
        <v>493</v>
      </c>
      <c r="D50" s="96" t="n">
        <v>51.58</v>
      </c>
      <c r="E50" s="96" t="n">
        <v>39.59</v>
      </c>
      <c r="F50" s="96" t="n">
        <v>41.9</v>
      </c>
      <c r="G50" s="96" t="n">
        <v>44.99</v>
      </c>
      <c r="H50" s="96" t="n">
        <v>69.17</v>
      </c>
      <c r="I50" s="96" t="n">
        <v>78.05</v>
      </c>
      <c r="J50" s="96" t="n">
        <v>97.11</v>
      </c>
      <c r="K50" s="53" t="n">
        <f aca="false">AVERAGE(D50:J50)</f>
        <v>60.3414285714286</v>
      </c>
      <c r="L50" s="53" t="n">
        <f aca="false">J50-D50</f>
        <v>45.53</v>
      </c>
    </row>
    <row r="51" customFormat="false" ht="15" hidden="false" customHeight="false" outlineLevel="0" collapsed="false">
      <c r="A51" s="16" t="s">
        <v>571</v>
      </c>
      <c r="B51" s="87" t="s">
        <v>570</v>
      </c>
      <c r="C51" s="17" t="s">
        <v>493</v>
      </c>
      <c r="D51" s="96" t="n">
        <v>0</v>
      </c>
      <c r="E51" s="96" t="n">
        <v>0</v>
      </c>
      <c r="F51" s="96" t="n">
        <v>0</v>
      </c>
      <c r="G51" s="96" t="n">
        <v>0</v>
      </c>
      <c r="H51" s="96" t="n">
        <v>0</v>
      </c>
      <c r="I51" s="96" t="n">
        <v>0</v>
      </c>
      <c r="J51" s="96" t="n">
        <v>0</v>
      </c>
      <c r="K51" s="53" t="n">
        <f aca="false">AVERAGE(D51:J51)</f>
        <v>0</v>
      </c>
      <c r="L51" s="53" t="n">
        <f aca="false">J51-D51</f>
        <v>0</v>
      </c>
    </row>
    <row r="52" customFormat="false" ht="15" hidden="false" customHeight="false" outlineLevel="0" collapsed="false">
      <c r="A52" s="16" t="s">
        <v>572</v>
      </c>
      <c r="B52" s="87" t="s">
        <v>570</v>
      </c>
      <c r="C52" s="17" t="s">
        <v>493</v>
      </c>
      <c r="D52" s="96" t="n">
        <v>3.44</v>
      </c>
      <c r="E52" s="96" t="n">
        <v>3.19</v>
      </c>
      <c r="F52" s="96" t="n">
        <v>6.59</v>
      </c>
      <c r="G52" s="96" t="n">
        <v>8.49</v>
      </c>
      <c r="H52" s="96" t="n">
        <v>13.3</v>
      </c>
      <c r="I52" s="96" t="n">
        <v>12.43</v>
      </c>
      <c r="J52" s="96" t="n">
        <v>14.57</v>
      </c>
      <c r="K52" s="53" t="n">
        <f aca="false">AVERAGE(D52:J52)</f>
        <v>8.85857142857143</v>
      </c>
      <c r="L52" s="53" t="n">
        <f aca="false">J52-D52</f>
        <v>11.13</v>
      </c>
    </row>
    <row r="53" customFormat="false" ht="15" hidden="false" customHeight="false" outlineLevel="0" collapsed="false">
      <c r="A53" s="16" t="s">
        <v>573</v>
      </c>
      <c r="B53" s="87" t="s">
        <v>574</v>
      </c>
      <c r="C53" s="17" t="s">
        <v>493</v>
      </c>
      <c r="D53" s="92" t="n">
        <f aca="false">D49-D43</f>
        <v>0</v>
      </c>
      <c r="E53" s="92" t="n">
        <f aca="false">E49-E43</f>
        <v>0</v>
      </c>
      <c r="F53" s="92" t="n">
        <f aca="false">F49-F43</f>
        <v>0</v>
      </c>
      <c r="G53" s="92" t="n">
        <f aca="false">G49-G43</f>
        <v>0</v>
      </c>
      <c r="H53" s="92" t="n">
        <f aca="false">H49-H43</f>
        <v>0</v>
      </c>
      <c r="I53" s="92" t="n">
        <f aca="false">I49-I43</f>
        <v>0</v>
      </c>
      <c r="J53" s="92" t="n">
        <f aca="false">J49-J43</f>
        <v>0</v>
      </c>
      <c r="K53" s="53"/>
      <c r="L53" s="53"/>
    </row>
    <row r="55" customFormat="false" ht="19.5" hidden="false" customHeight="true" outlineLevel="0" collapsed="false">
      <c r="A55" s="85" t="s">
        <v>575</v>
      </c>
      <c r="B55" s="86"/>
      <c r="C55" s="86"/>
      <c r="D55" s="86"/>
      <c r="E55" s="86"/>
      <c r="F55" s="86"/>
      <c r="G55" s="86"/>
      <c r="H55" s="86"/>
      <c r="I55" s="86"/>
      <c r="J55" s="86"/>
      <c r="K55" s="86"/>
      <c r="L55" s="86"/>
    </row>
    <row r="56" customFormat="false" ht="16.5" hidden="false" customHeight="true" outlineLevel="0" collapsed="false">
      <c r="A56" s="88" t="s">
        <v>576</v>
      </c>
      <c r="B56" s="89"/>
      <c r="C56" s="89"/>
      <c r="D56" s="89"/>
      <c r="E56" s="89"/>
      <c r="F56" s="89"/>
      <c r="G56" s="89"/>
      <c r="H56" s="89"/>
      <c r="I56" s="89"/>
      <c r="J56" s="89"/>
      <c r="K56" s="89"/>
      <c r="L56" s="89"/>
    </row>
    <row r="57" customFormat="false" ht="15" hidden="false" customHeight="false" outlineLevel="0" collapsed="false">
      <c r="A57" s="16" t="s">
        <v>527</v>
      </c>
      <c r="B57" s="87" t="s">
        <v>577</v>
      </c>
      <c r="C57" s="17" t="s">
        <v>493</v>
      </c>
      <c r="D57" s="69" t="n">
        <f aca="false">D26</f>
        <v>-8.68000000000005</v>
      </c>
      <c r="E57" s="69" t="n">
        <f aca="false">E26</f>
        <v>3.87000000000006</v>
      </c>
      <c r="F57" s="69" t="n">
        <f aca="false">F26</f>
        <v>4.49999999999997</v>
      </c>
      <c r="G57" s="69" t="n">
        <f aca="false">G26</f>
        <v>0.860000000000056</v>
      </c>
      <c r="H57" s="69" t="n">
        <f aca="false">H26</f>
        <v>0.219999999999968</v>
      </c>
      <c r="I57" s="69" t="n">
        <f aca="false">I26</f>
        <v>6.31000000000004</v>
      </c>
      <c r="J57" s="69" t="n">
        <f aca="false">J26</f>
        <v>11.59</v>
      </c>
      <c r="K57" s="53" t="n">
        <f aca="false">AVERAGE(D57:J57)</f>
        <v>2.66714285714286</v>
      </c>
      <c r="L57" s="53" t="n">
        <f aca="false">J57-D57</f>
        <v>20.27</v>
      </c>
    </row>
    <row r="58" customFormat="false" ht="15" hidden="false" customHeight="false" outlineLevel="0" collapsed="false">
      <c r="A58" s="16" t="s">
        <v>578</v>
      </c>
      <c r="B58" s="87" t="s">
        <v>579</v>
      </c>
      <c r="C58" s="17" t="s">
        <v>493</v>
      </c>
      <c r="D58" s="69" t="n">
        <f aca="false">D22</f>
        <v>1.27</v>
      </c>
      <c r="E58" s="69" t="n">
        <f aca="false">E22</f>
        <v>2.16</v>
      </c>
      <c r="F58" s="69" t="n">
        <f aca="false">F22</f>
        <v>2.74</v>
      </c>
      <c r="G58" s="69" t="n">
        <f aca="false">G22</f>
        <v>2.81</v>
      </c>
      <c r="H58" s="69" t="n">
        <f aca="false">H22</f>
        <v>2.21</v>
      </c>
      <c r="I58" s="69" t="n">
        <f aca="false">I22</f>
        <v>2.08</v>
      </c>
      <c r="J58" s="69" t="n">
        <f aca="false">J22</f>
        <v>1.91</v>
      </c>
      <c r="K58" s="53" t="n">
        <f aca="false">AVERAGE(D58:J58)</f>
        <v>2.16857142857143</v>
      </c>
      <c r="L58" s="53" t="n">
        <f aca="false">J58-D58</f>
        <v>0.64</v>
      </c>
    </row>
    <row r="59" customFormat="false" ht="15" hidden="false" customHeight="false" outlineLevel="0" collapsed="false">
      <c r="A59" s="16" t="s">
        <v>580</v>
      </c>
      <c r="B59" s="87" t="s">
        <v>581</v>
      </c>
      <c r="C59" s="17" t="s">
        <v>493</v>
      </c>
      <c r="D59" s="69" t="n">
        <f aca="false">D25</f>
        <v>4.58</v>
      </c>
      <c r="E59" s="69" t="n">
        <f aca="false">E25</f>
        <v>3.88</v>
      </c>
      <c r="F59" s="69" t="n">
        <f aca="false">F25</f>
        <v>4.04</v>
      </c>
      <c r="G59" s="69" t="n">
        <f aca="false">G25</f>
        <v>5.05</v>
      </c>
      <c r="H59" s="69" t="n">
        <f aca="false">H25</f>
        <v>5.94</v>
      </c>
      <c r="I59" s="69" t="n">
        <f aca="false">I25</f>
        <v>6.9</v>
      </c>
      <c r="J59" s="69" t="n">
        <f aca="false">J25</f>
        <v>7</v>
      </c>
      <c r="K59" s="53" t="n">
        <f aca="false">AVERAGE(D59:J59)</f>
        <v>5.34142857142857</v>
      </c>
      <c r="L59" s="53" t="n">
        <f aca="false">J59-D59</f>
        <v>2.42</v>
      </c>
    </row>
    <row r="60" customFormat="false" ht="15" hidden="false" customHeight="false" outlineLevel="0" collapsed="false">
      <c r="A60" s="16" t="s">
        <v>582</v>
      </c>
      <c r="B60" s="87" t="s">
        <v>583</v>
      </c>
      <c r="C60" s="17" t="s">
        <v>493</v>
      </c>
      <c r="D60" s="69" t="n">
        <f aca="false">-D24</f>
        <v>-0.68</v>
      </c>
      <c r="E60" s="69" t="n">
        <f aca="false">-E24</f>
        <v>-0.6</v>
      </c>
      <c r="F60" s="69" t="n">
        <f aca="false">-F24</f>
        <v>-0.5</v>
      </c>
      <c r="G60" s="69" t="n">
        <f aca="false">-G24</f>
        <v>-0.72</v>
      </c>
      <c r="H60" s="69" t="n">
        <f aca="false">-H24</f>
        <v>-2.46</v>
      </c>
      <c r="I60" s="69" t="n">
        <f aca="false">-I24</f>
        <v>-1.02</v>
      </c>
      <c r="J60" s="69" t="n">
        <f aca="false">-J24</f>
        <v>-3.93</v>
      </c>
      <c r="K60" s="53" t="n">
        <f aca="false">AVERAGE(D60:J60)</f>
        <v>-1.41571428571429</v>
      </c>
      <c r="L60" s="53" t="n">
        <f aca="false">J60-D60</f>
        <v>-3.25</v>
      </c>
    </row>
    <row r="61" customFormat="false" ht="15" hidden="false" customHeight="false" outlineLevel="0" collapsed="false">
      <c r="A61" s="12" t="s">
        <v>584</v>
      </c>
      <c r="B61" s="87" t="s">
        <v>585</v>
      </c>
      <c r="C61" s="17" t="s">
        <v>493</v>
      </c>
      <c r="D61" s="29" t="n">
        <f aca="false">D57+D58+D59+D60</f>
        <v>-3.51000000000005</v>
      </c>
      <c r="E61" s="29" t="n">
        <f aca="false">E57+E58+E59+E60</f>
        <v>9.31000000000006</v>
      </c>
      <c r="F61" s="29" t="n">
        <f aca="false">F57+F58+F59+F60</f>
        <v>10.78</v>
      </c>
      <c r="G61" s="29" t="n">
        <f aca="false">G57+G58+G59+G60</f>
        <v>8.00000000000006</v>
      </c>
      <c r="H61" s="29" t="n">
        <f aca="false">H57+H58+H59+H60</f>
        <v>5.90999999999997</v>
      </c>
      <c r="I61" s="29" t="n">
        <f aca="false">I57+I58+I59+I60</f>
        <v>14.27</v>
      </c>
      <c r="J61" s="29" t="n">
        <f aca="false">J57+J58+J59+J60</f>
        <v>16.57</v>
      </c>
      <c r="K61" s="29" t="n">
        <f aca="false">AVERAGE(D61:J61)</f>
        <v>8.76142857142858</v>
      </c>
      <c r="L61" s="29" t="n">
        <f aca="false">J61-D61</f>
        <v>20.08</v>
      </c>
    </row>
    <row r="62" customFormat="false" ht="15" hidden="false" customHeight="false" outlineLevel="0" collapsed="false">
      <c r="A62" s="16" t="s">
        <v>586</v>
      </c>
      <c r="B62" s="87" t="s">
        <v>587</v>
      </c>
      <c r="C62" s="17" t="s">
        <v>493</v>
      </c>
      <c r="D62" s="69" t="n">
        <f aca="false">D63-D61</f>
        <v>16.3</v>
      </c>
      <c r="E62" s="69" t="n">
        <f aca="false">E63-E61</f>
        <v>0.62999999999994</v>
      </c>
      <c r="F62" s="69" t="n">
        <f aca="false">F63-F61</f>
        <v>-21.34</v>
      </c>
      <c r="G62" s="69" t="n">
        <f aca="false">G63-G61</f>
        <v>-46.9100000000001</v>
      </c>
      <c r="H62" s="69" t="n">
        <f aca="false">H63-H61</f>
        <v>11</v>
      </c>
      <c r="I62" s="69" t="n">
        <f aca="false">I63-I61</f>
        <v>-15.11</v>
      </c>
      <c r="J62" s="69" t="n">
        <f aca="false">J63-J61</f>
        <v>-23.82</v>
      </c>
      <c r="K62" s="53" t="n">
        <f aca="false">AVERAGE(D62:J62)</f>
        <v>-11.3214285714286</v>
      </c>
      <c r="L62" s="53" t="n">
        <f aca="false">J62-D62</f>
        <v>-40.12</v>
      </c>
    </row>
    <row r="63" customFormat="false" ht="15" hidden="false" customHeight="false" outlineLevel="0" collapsed="false">
      <c r="A63" s="16" t="s">
        <v>588</v>
      </c>
      <c r="B63" s="87" t="s">
        <v>589</v>
      </c>
      <c r="C63" s="17" t="s">
        <v>493</v>
      </c>
      <c r="D63" s="96" t="n">
        <v>12.79</v>
      </c>
      <c r="E63" s="96" t="n">
        <v>9.94</v>
      </c>
      <c r="F63" s="96" t="n">
        <v>-10.56</v>
      </c>
      <c r="G63" s="96" t="n">
        <v>-38.91</v>
      </c>
      <c r="H63" s="96" t="n">
        <v>16.91</v>
      </c>
      <c r="I63" s="96" t="n">
        <v>-0.84</v>
      </c>
      <c r="J63" s="96" t="n">
        <v>-7.25</v>
      </c>
      <c r="K63" s="53" t="n">
        <f aca="false">AVERAGE(D63:J63)</f>
        <v>-2.56</v>
      </c>
      <c r="L63" s="53" t="n">
        <f aca="false">J63-D63</f>
        <v>-20.04</v>
      </c>
    </row>
    <row r="64" customFormat="false" ht="16.5" hidden="false" customHeight="true" outlineLevel="0" collapsed="false">
      <c r="A64" s="88" t="s">
        <v>590</v>
      </c>
      <c r="B64" s="89"/>
      <c r="C64" s="89"/>
      <c r="D64" s="89"/>
      <c r="E64" s="89"/>
      <c r="F64" s="89"/>
      <c r="G64" s="89"/>
      <c r="H64" s="89"/>
      <c r="I64" s="89"/>
      <c r="J64" s="89"/>
      <c r="K64" s="89"/>
      <c r="L64" s="89"/>
    </row>
    <row r="65" customFormat="false" ht="15" hidden="false" customHeight="false" outlineLevel="0" collapsed="false">
      <c r="A65" s="16" t="s">
        <v>591</v>
      </c>
      <c r="B65" s="87" t="s">
        <v>592</v>
      </c>
      <c r="C65" s="17" t="s">
        <v>493</v>
      </c>
      <c r="D65" s="96" t="n">
        <v>-0.9</v>
      </c>
      <c r="E65" s="96" t="n">
        <v>-0.81</v>
      </c>
      <c r="F65" s="96" t="n">
        <v>-3.79</v>
      </c>
      <c r="G65" s="96" t="n">
        <v>-4.01</v>
      </c>
      <c r="H65" s="96" t="n">
        <v>-5.74</v>
      </c>
      <c r="I65" s="96" t="n">
        <v>-0.69</v>
      </c>
      <c r="J65" s="96" t="n">
        <v>4.32</v>
      </c>
      <c r="K65" s="53" t="n">
        <f aca="false">AVERAGE(D65:J65)</f>
        <v>-1.66</v>
      </c>
      <c r="L65" s="53" t="n">
        <f aca="false">J65-D65</f>
        <v>5.22</v>
      </c>
    </row>
    <row r="66" customFormat="false" ht="16.5" hidden="false" customHeight="true" outlineLevel="0" collapsed="false">
      <c r="A66" s="88" t="s">
        <v>593</v>
      </c>
      <c r="B66" s="89"/>
      <c r="C66" s="89"/>
      <c r="D66" s="89"/>
      <c r="E66" s="89"/>
      <c r="F66" s="89"/>
      <c r="G66" s="89"/>
      <c r="H66" s="89"/>
      <c r="I66" s="89"/>
      <c r="J66" s="89"/>
      <c r="K66" s="89"/>
      <c r="L66" s="89"/>
    </row>
    <row r="67" customFormat="false" ht="15" hidden="false" customHeight="false" outlineLevel="0" collapsed="false">
      <c r="A67" s="16" t="s">
        <v>594</v>
      </c>
      <c r="B67" s="87" t="s">
        <v>595</v>
      </c>
      <c r="C67" s="17" t="s">
        <v>493</v>
      </c>
      <c r="D67" s="69" t="n">
        <f aca="false">-D25</f>
        <v>-4.58</v>
      </c>
      <c r="E67" s="69" t="n">
        <f aca="false">-E25</f>
        <v>-3.88</v>
      </c>
      <c r="F67" s="69" t="n">
        <f aca="false">-F25</f>
        <v>-4.04</v>
      </c>
      <c r="G67" s="69" t="n">
        <f aca="false">-G25</f>
        <v>-5.05</v>
      </c>
      <c r="H67" s="69" t="n">
        <f aca="false">-H25</f>
        <v>-5.94</v>
      </c>
      <c r="I67" s="69" t="n">
        <f aca="false">-I25</f>
        <v>-6.9</v>
      </c>
      <c r="J67" s="69" t="n">
        <f aca="false">-J25</f>
        <v>-7</v>
      </c>
      <c r="K67" s="53" t="n">
        <f aca="false">AVERAGE(D67:J67)</f>
        <v>-5.34142857142857</v>
      </c>
      <c r="L67" s="53" t="n">
        <f aca="false">J67-D67</f>
        <v>-2.42</v>
      </c>
    </row>
    <row r="68" customFormat="false" ht="15" hidden="false" customHeight="false" outlineLevel="0" collapsed="false">
      <c r="A68" s="16" t="s">
        <v>596</v>
      </c>
      <c r="B68" s="87" t="s">
        <v>597</v>
      </c>
      <c r="C68" s="17" t="s">
        <v>493</v>
      </c>
      <c r="D68" s="69" t="n">
        <f aca="false">-D31</f>
        <v>-0</v>
      </c>
      <c r="E68" s="69" t="n">
        <f aca="false">-E31</f>
        <v>-0</v>
      </c>
      <c r="F68" s="69" t="n">
        <f aca="false">-F31</f>
        <v>-0.12</v>
      </c>
      <c r="G68" s="69" t="n">
        <f aca="false">-G31</f>
        <v>-0</v>
      </c>
      <c r="H68" s="69" t="n">
        <f aca="false">-H31</f>
        <v>-0</v>
      </c>
      <c r="I68" s="69" t="n">
        <f aca="false">-I31</f>
        <v>-0</v>
      </c>
      <c r="J68" s="69" t="n">
        <f aca="false">-J31</f>
        <v>-0</v>
      </c>
      <c r="K68" s="53" t="n">
        <f aca="false">AVERAGE(D68:J68)</f>
        <v>-0.0171428571428571</v>
      </c>
      <c r="L68" s="53" t="n">
        <f aca="false">J68-D68</f>
        <v>0</v>
      </c>
    </row>
    <row r="69" customFormat="false" ht="15" hidden="false" customHeight="false" outlineLevel="0" collapsed="false">
      <c r="A69" s="16" t="s">
        <v>598</v>
      </c>
      <c r="B69" s="87" t="s">
        <v>599</v>
      </c>
      <c r="C69" s="17" t="s">
        <v>493</v>
      </c>
      <c r="D69" s="69" t="n">
        <f aca="false">D70-D67-D68</f>
        <v>-5.98</v>
      </c>
      <c r="E69" s="69" t="n">
        <f aca="false">E70-E67-E68</f>
        <v>-6.02</v>
      </c>
      <c r="F69" s="69" t="n">
        <f aca="false">F70-F67-F68</f>
        <v>18.06</v>
      </c>
      <c r="G69" s="69" t="n">
        <f aca="false">G70-G67-G68</f>
        <v>47.93</v>
      </c>
      <c r="H69" s="69" t="n">
        <f aca="false">H70-H67-H68</f>
        <v>-5.12</v>
      </c>
      <c r="I69" s="69" t="n">
        <f aca="false">I70-I67-I68</f>
        <v>8.63</v>
      </c>
      <c r="J69" s="69" t="n">
        <f aca="false">J70-J67-J68</f>
        <v>10.27</v>
      </c>
      <c r="K69" s="53" t="n">
        <f aca="false">AVERAGE(D69:J69)</f>
        <v>9.68142857142857</v>
      </c>
      <c r="L69" s="53" t="n">
        <f aca="false">J69-D69</f>
        <v>16.25</v>
      </c>
    </row>
    <row r="70" customFormat="false" ht="15" hidden="false" customHeight="false" outlineLevel="0" collapsed="false">
      <c r="A70" s="16" t="s">
        <v>600</v>
      </c>
      <c r="B70" s="87" t="s">
        <v>601</v>
      </c>
      <c r="C70" s="17" t="s">
        <v>493</v>
      </c>
      <c r="D70" s="96" t="n">
        <v>-10.56</v>
      </c>
      <c r="E70" s="96" t="n">
        <v>-9.9</v>
      </c>
      <c r="F70" s="96" t="n">
        <v>13.9</v>
      </c>
      <c r="G70" s="96" t="n">
        <v>42.88</v>
      </c>
      <c r="H70" s="96" t="n">
        <v>-11.06</v>
      </c>
      <c r="I70" s="96" t="n">
        <v>1.73</v>
      </c>
      <c r="J70" s="96" t="n">
        <v>3.27</v>
      </c>
      <c r="K70" s="53" t="n">
        <f aca="false">AVERAGE(D70:J70)</f>
        <v>4.32285714285714</v>
      </c>
      <c r="L70" s="53" t="n">
        <f aca="false">J70-D70</f>
        <v>13.83</v>
      </c>
    </row>
    <row r="71" customFormat="false" ht="15" hidden="false" customHeight="false" outlineLevel="0" collapsed="false">
      <c r="A71" s="12" t="s">
        <v>602</v>
      </c>
      <c r="B71" s="87" t="s">
        <v>603</v>
      </c>
      <c r="C71" s="17" t="s">
        <v>493</v>
      </c>
      <c r="D71" s="90" t="n">
        <f aca="false">D63+D65+D70</f>
        <v>1.33</v>
      </c>
      <c r="E71" s="90" t="n">
        <f aca="false">E63+E65+E70</f>
        <v>-0.770000000000001</v>
      </c>
      <c r="F71" s="90" t="n">
        <f aca="false">F63+F65+F70</f>
        <v>-0.450000000000001</v>
      </c>
      <c r="G71" s="90" t="n">
        <f aca="false">G63+G65+G70</f>
        <v>-0.039999999999992</v>
      </c>
      <c r="H71" s="90" t="n">
        <f aca="false">H63+H65+H70</f>
        <v>0.109999999999999</v>
      </c>
      <c r="I71" s="90" t="n">
        <f aca="false">I63+I65+I70</f>
        <v>0.2</v>
      </c>
      <c r="J71" s="90" t="n">
        <f aca="false">J63+J65+J70</f>
        <v>0.34</v>
      </c>
      <c r="K71" s="91" t="n">
        <f aca="false">AVERAGE(D71:J71)</f>
        <v>0.102857142857143</v>
      </c>
      <c r="L71" s="91" t="n">
        <f aca="false">J71-D71</f>
        <v>-0.989999999999998</v>
      </c>
    </row>
    <row r="72" customFormat="false" ht="15" hidden="false" customHeight="false" outlineLevel="0" collapsed="false">
      <c r="A72" s="12" t="s">
        <v>604</v>
      </c>
      <c r="B72" s="87" t="s">
        <v>605</v>
      </c>
      <c r="C72" s="17" t="s">
        <v>493</v>
      </c>
      <c r="D72" s="29" t="n">
        <f aca="false">D63+D65</f>
        <v>11.89</v>
      </c>
      <c r="E72" s="29" t="n">
        <f aca="false">E63+E65</f>
        <v>9.13</v>
      </c>
      <c r="F72" s="29" t="n">
        <f aca="false">F63+F65</f>
        <v>-14.35</v>
      </c>
      <c r="G72" s="29" t="n">
        <f aca="false">G63+G65</f>
        <v>-42.92</v>
      </c>
      <c r="H72" s="29" t="n">
        <f aca="false">H63+H65</f>
        <v>11.17</v>
      </c>
      <c r="I72" s="29" t="n">
        <f aca="false">I63+I65</f>
        <v>-1.53</v>
      </c>
      <c r="J72" s="29" t="n">
        <f aca="false">J63+J65</f>
        <v>-2.93</v>
      </c>
      <c r="K72" s="29" t="n">
        <f aca="false">AVERAGE(D72:J72)</f>
        <v>-4.22</v>
      </c>
      <c r="L72" s="29" t="n">
        <f aca="false">J72-D72</f>
        <v>-14.82</v>
      </c>
    </row>
    <row r="73" customFormat="false" ht="15" hidden="false" customHeight="false" outlineLevel="0" collapsed="false">
      <c r="A73" s="16" t="s">
        <v>606</v>
      </c>
      <c r="B73" s="87" t="s">
        <v>607</v>
      </c>
      <c r="C73" s="17" t="s">
        <v>493</v>
      </c>
      <c r="D73" s="69" t="n">
        <f aca="false">D52</f>
        <v>3.44</v>
      </c>
      <c r="E73" s="69" t="n">
        <f aca="false">E52</f>
        <v>3.19</v>
      </c>
      <c r="F73" s="69" t="n">
        <f aca="false">F52</f>
        <v>6.59</v>
      </c>
      <c r="G73" s="69" t="n">
        <f aca="false">G52</f>
        <v>8.49</v>
      </c>
      <c r="H73" s="69" t="n">
        <f aca="false">H52</f>
        <v>13.3</v>
      </c>
      <c r="I73" s="69" t="n">
        <f aca="false">I52</f>
        <v>12.43</v>
      </c>
      <c r="J73" s="69" t="n">
        <f aca="false">J52</f>
        <v>14.57</v>
      </c>
      <c r="K73" s="53" t="n">
        <f aca="false">AVERAGE(D73:J73)</f>
        <v>8.85857142857143</v>
      </c>
      <c r="L73" s="53" t="n">
        <f aca="false">J73-D73</f>
        <v>11.13</v>
      </c>
    </row>
    <row r="74" customFormat="false" ht="16.5" hidden="false" customHeight="true" outlineLevel="0" collapsed="false">
      <c r="A74" s="88" t="s">
        <v>608</v>
      </c>
      <c r="B74" s="89"/>
      <c r="C74" s="89"/>
      <c r="D74" s="89"/>
      <c r="E74" s="89"/>
      <c r="F74" s="89"/>
      <c r="G74" s="89"/>
      <c r="H74" s="89"/>
      <c r="I74" s="89"/>
      <c r="J74" s="89"/>
      <c r="K74" s="89"/>
      <c r="L74" s="89"/>
    </row>
    <row r="75" customFormat="false" ht="15" hidden="false" customHeight="false" outlineLevel="0" collapsed="false">
      <c r="A75" s="16" t="s">
        <v>609</v>
      </c>
      <c r="B75" s="87" t="s">
        <v>610</v>
      </c>
      <c r="C75" s="17" t="s">
        <v>493</v>
      </c>
      <c r="D75" s="69" t="n">
        <f aca="false">-D65</f>
        <v>0.9</v>
      </c>
      <c r="E75" s="69" t="n">
        <f aca="false">-E65</f>
        <v>0.81</v>
      </c>
      <c r="F75" s="69" t="n">
        <f aca="false">-F65</f>
        <v>3.79</v>
      </c>
      <c r="G75" s="69" t="n">
        <f aca="false">-G65</f>
        <v>4.01</v>
      </c>
      <c r="H75" s="69" t="n">
        <f aca="false">-H65</f>
        <v>5.74</v>
      </c>
      <c r="I75" s="69" t="n">
        <f aca="false">-I65</f>
        <v>0.69</v>
      </c>
      <c r="J75" s="69" t="n">
        <f aca="false">-J65</f>
        <v>-4.32</v>
      </c>
      <c r="K75" s="53" t="n">
        <f aca="false">AVERAGE(D75:J75)</f>
        <v>1.66</v>
      </c>
      <c r="L75" s="53" t="n">
        <f aca="false">J75-D75</f>
        <v>-5.22</v>
      </c>
    </row>
    <row r="76" customFormat="false" ht="15" hidden="false" customHeight="false" outlineLevel="0" collapsed="false">
      <c r="A76" s="16" t="s">
        <v>611</v>
      </c>
      <c r="B76" s="87" t="s">
        <v>798</v>
      </c>
      <c r="C76" s="17" t="s">
        <v>493</v>
      </c>
      <c r="D76" s="69" t="n">
        <f aca="false">MAX(-D69,0)</f>
        <v>5.98</v>
      </c>
      <c r="E76" s="69" t="n">
        <f aca="false">MAX(-E69,0)</f>
        <v>6.02</v>
      </c>
      <c r="F76" s="69" t="n">
        <f aca="false">MAX(-F69,0)</f>
        <v>0</v>
      </c>
      <c r="G76" s="69" t="n">
        <f aca="false">MAX(-G69,0)</f>
        <v>0</v>
      </c>
      <c r="H76" s="69" t="n">
        <f aca="false">MAX(-H69,0)</f>
        <v>5.12</v>
      </c>
      <c r="I76" s="69" t="n">
        <f aca="false">MAX(-I69,0)</f>
        <v>0</v>
      </c>
      <c r="J76" s="69" t="n">
        <f aca="false">MAX(-J69,0)</f>
        <v>0</v>
      </c>
      <c r="K76" s="53" t="n">
        <f aca="false">AVERAGE(D76:J76)</f>
        <v>2.44571428571429</v>
      </c>
      <c r="L76" s="53" t="n">
        <f aca="false">J76-D76</f>
        <v>-5.98</v>
      </c>
    </row>
    <row r="77" customFormat="false" ht="15" hidden="false" customHeight="false" outlineLevel="0" collapsed="false">
      <c r="A77" s="16" t="s">
        <v>613</v>
      </c>
      <c r="B77" s="87" t="s">
        <v>614</v>
      </c>
      <c r="C77" s="17" t="s">
        <v>615</v>
      </c>
      <c r="D77" s="71" t="n">
        <f aca="false">IF(D26&gt;0,MIN(MAX(D27/D26,0),Setup!$C$11),0)</f>
        <v>0</v>
      </c>
      <c r="E77" s="71" t="n">
        <f aca="false">IF(E26&gt;0,MIN(MAX(E27/E26,0),Setup!$C$11),0)</f>
        <v>0.34944</v>
      </c>
      <c r="F77" s="71" t="n">
        <f aca="false">IF(F26&gt;0,MIN(MAX(F27/F26,0),Setup!$C$11),0)</f>
        <v>0.34944</v>
      </c>
      <c r="G77" s="71" t="n">
        <f aca="false">IF(G26&gt;0,MIN(MAX(G27/G26,0),Setup!$C$11),0)</f>
        <v>0.34944</v>
      </c>
      <c r="H77" s="71" t="n">
        <f aca="false">IF(H26&gt;0,MIN(MAX(H27/H26,0),Setup!$C$11),0)</f>
        <v>0</v>
      </c>
      <c r="I77" s="71" t="n">
        <f aca="false">IF(I26&gt;0,MIN(MAX(I27/I26,0),Setup!$C$11),0)</f>
        <v>0.34944</v>
      </c>
      <c r="J77" s="71" t="n">
        <f aca="false">IF(J26&gt;0,MIN(MAX(J27/J26,0),Setup!$C$11),0)</f>
        <v>0.34944</v>
      </c>
      <c r="K77" s="62" t="n">
        <f aca="false">AVERAGE(D77:J77)</f>
        <v>0.2496</v>
      </c>
      <c r="L77" s="62" t="n">
        <f aca="false">J77-D77</f>
        <v>0.34944</v>
      </c>
    </row>
    <row r="79" customFormat="false" ht="19.5" hidden="false" customHeight="true" outlineLevel="0" collapsed="false">
      <c r="A79" s="85" t="s">
        <v>799</v>
      </c>
      <c r="B79" s="86"/>
      <c r="C79" s="86"/>
      <c r="D79" s="86"/>
      <c r="E79" s="86"/>
      <c r="F79" s="86"/>
      <c r="G79" s="86"/>
      <c r="H79" s="86"/>
      <c r="I79" s="86"/>
      <c r="J79" s="86"/>
      <c r="K79" s="86"/>
      <c r="L79" s="86"/>
    </row>
    <row r="80" customFormat="false" ht="15" hidden="false" customHeight="false" outlineLevel="0" collapsed="false">
      <c r="A80" s="16" t="s">
        <v>800</v>
      </c>
      <c r="B80" s="87" t="s">
        <v>801</v>
      </c>
      <c r="C80" s="17" t="s">
        <v>757</v>
      </c>
      <c r="D80" s="97" t="n">
        <v>5.68</v>
      </c>
      <c r="E80" s="97" t="n">
        <v>7.19</v>
      </c>
      <c r="F80" s="97" t="n">
        <v>29.08</v>
      </c>
      <c r="G80" s="97" t="n">
        <v>11.8</v>
      </c>
      <c r="H80" s="97" t="n">
        <v>12.45</v>
      </c>
      <c r="I80" s="97" t="n">
        <v>11.52</v>
      </c>
      <c r="J80" s="97" t="n">
        <v>17.06</v>
      </c>
      <c r="K80" s="66" t="n">
        <f aca="false">AVERAGE(D80:J80)</f>
        <v>13.54</v>
      </c>
      <c r="L80" s="66" t="n">
        <f aca="false">J80-D80</f>
        <v>11.38</v>
      </c>
    </row>
    <row r="81" customFormat="false" ht="15" hidden="false" customHeight="false" outlineLevel="0" collapsed="false">
      <c r="A81" s="16" t="s">
        <v>802</v>
      </c>
      <c r="B81" s="87" t="s">
        <v>803</v>
      </c>
      <c r="C81" s="17" t="s">
        <v>804</v>
      </c>
      <c r="D81" s="97" t="n">
        <v>4.64</v>
      </c>
      <c r="E81" s="97" t="n">
        <v>4.64</v>
      </c>
      <c r="F81" s="97" t="n">
        <v>4.64</v>
      </c>
      <c r="G81" s="97" t="n">
        <v>4.64</v>
      </c>
      <c r="H81" s="97" t="n">
        <v>4.64</v>
      </c>
      <c r="I81" s="97" t="n">
        <v>4.64</v>
      </c>
      <c r="J81" s="97" t="n">
        <v>4.64</v>
      </c>
      <c r="K81" s="66" t="n">
        <f aca="false">AVERAGE(D81:J81)</f>
        <v>4.64</v>
      </c>
      <c r="L81" s="66" t="n">
        <f aca="false">J81-D81</f>
        <v>0</v>
      </c>
    </row>
    <row r="82" customFormat="false" ht="15" hidden="false" customHeight="false" outlineLevel="0" collapsed="false">
      <c r="A82" s="16" t="s">
        <v>805</v>
      </c>
      <c r="B82" s="87" t="s">
        <v>806</v>
      </c>
      <c r="C82" s="17" t="s">
        <v>493</v>
      </c>
      <c r="D82" s="69" t="n">
        <f aca="false">D80*D81</f>
        <v>26.3552</v>
      </c>
      <c r="E82" s="69" t="n">
        <f aca="false">E80*E81</f>
        <v>33.3616</v>
      </c>
      <c r="F82" s="69" t="n">
        <f aca="false">F80*F81</f>
        <v>134.9312</v>
      </c>
      <c r="G82" s="69" t="n">
        <f aca="false">G80*G81</f>
        <v>54.752</v>
      </c>
      <c r="H82" s="69" t="n">
        <f aca="false">H80*H81</f>
        <v>57.768</v>
      </c>
      <c r="I82" s="69" t="n">
        <f aca="false">I80*I81</f>
        <v>53.4528</v>
      </c>
      <c r="J82" s="69" t="n">
        <f aca="false">J80*J81</f>
        <v>79.1584</v>
      </c>
      <c r="K82" s="53" t="n">
        <f aca="false">AVERAGE(D82:J82)</f>
        <v>62.8256</v>
      </c>
      <c r="L82" s="53" t="n">
        <f aca="false">J82-D82</f>
        <v>52.8032</v>
      </c>
    </row>
    <row r="83" customFormat="false" ht="15" hidden="false" customHeight="false" outlineLevel="0" collapsed="false">
      <c r="A83" s="16" t="s">
        <v>807</v>
      </c>
      <c r="B83" s="87" t="s">
        <v>808</v>
      </c>
      <c r="C83" s="17" t="s">
        <v>493</v>
      </c>
      <c r="D83" s="69" t="n">
        <f aca="false">D82+D41-D52</f>
        <v>60.1952</v>
      </c>
      <c r="E83" s="69" t="n">
        <f aca="false">E82+E41-E52</f>
        <v>61.2416</v>
      </c>
      <c r="F83" s="69" t="n">
        <f aca="false">F82+F41-F52</f>
        <v>177.5712</v>
      </c>
      <c r="G83" s="69" t="n">
        <f aca="false">G82+G41-G52</f>
        <v>107.132</v>
      </c>
      <c r="H83" s="69" t="n">
        <f aca="false">H82+H41-H52</f>
        <v>100.268</v>
      </c>
      <c r="I83" s="69" t="n">
        <f aca="false">I82+I41-I52</f>
        <v>105.3628</v>
      </c>
      <c r="J83" s="69" t="n">
        <f aca="false">J82+J41-J52</f>
        <v>138.6584</v>
      </c>
      <c r="K83" s="53" t="n">
        <f aca="false">AVERAGE(D83:J83)</f>
        <v>107.204171428571</v>
      </c>
      <c r="L83" s="53" t="n">
        <f aca="false">J83-D83</f>
        <v>78.4632</v>
      </c>
    </row>
    <row r="84" customFormat="false" ht="15" hidden="false" customHeight="false" outlineLevel="0" collapsed="false">
      <c r="A84" s="16" t="s">
        <v>809</v>
      </c>
      <c r="B84" s="87" t="s">
        <v>810</v>
      </c>
      <c r="C84" s="17" t="s">
        <v>811</v>
      </c>
      <c r="D84" s="98" t="n">
        <v>1</v>
      </c>
      <c r="E84" s="98" t="n">
        <v>1</v>
      </c>
      <c r="F84" s="98" t="n">
        <v>1</v>
      </c>
      <c r="G84" s="98" t="n">
        <v>1</v>
      </c>
      <c r="H84" s="98" t="n">
        <v>1</v>
      </c>
      <c r="I84" s="98" t="n">
        <v>1</v>
      </c>
      <c r="J84" s="98" t="n">
        <v>1</v>
      </c>
      <c r="K84" s="99"/>
      <c r="L84" s="99"/>
    </row>
    <row r="86" customFormat="false" ht="19.5" hidden="false" customHeight="true" outlineLevel="0" collapsed="false">
      <c r="A86" s="85" t="s">
        <v>629</v>
      </c>
      <c r="B86" s="86"/>
      <c r="C86" s="86"/>
      <c r="D86" s="86"/>
      <c r="E86" s="86"/>
      <c r="F86" s="86"/>
      <c r="G86" s="86"/>
      <c r="H86" s="86"/>
      <c r="I86" s="86"/>
      <c r="J86" s="86"/>
      <c r="K86" s="86"/>
      <c r="L86" s="86"/>
    </row>
    <row r="87" customFormat="false" ht="15" hidden="false" customHeight="false" outlineLevel="0" collapsed="false">
      <c r="A87" s="16" t="s">
        <v>630</v>
      </c>
      <c r="B87" s="87" t="s">
        <v>631</v>
      </c>
      <c r="C87" s="17" t="s">
        <v>493</v>
      </c>
      <c r="D87" s="69" t="n">
        <f aca="false">D48</f>
        <v>72.43</v>
      </c>
      <c r="E87" s="69" t="n">
        <f aca="false">E48</f>
        <v>69.35</v>
      </c>
      <c r="F87" s="69" t="n">
        <f aca="false">F48</f>
        <v>78.58</v>
      </c>
      <c r="G87" s="69" t="n">
        <f aca="false">G48</f>
        <v>123.04</v>
      </c>
      <c r="H87" s="69" t="n">
        <f aca="false">H48</f>
        <v>143.14</v>
      </c>
      <c r="I87" s="69" t="n">
        <f aca="false">I48</f>
        <v>155.8</v>
      </c>
      <c r="J87" s="69" t="n">
        <f aca="false">J48</f>
        <v>169.47</v>
      </c>
      <c r="K87" s="53" t="n">
        <f aca="false">AVERAGE(D87:J87)</f>
        <v>115.972857142857</v>
      </c>
      <c r="L87" s="53" t="n">
        <f aca="false">J87-D87</f>
        <v>97.04</v>
      </c>
    </row>
    <row r="88" customFormat="false" ht="15" hidden="false" customHeight="false" outlineLevel="0" collapsed="false">
      <c r="A88" s="16" t="s">
        <v>632</v>
      </c>
      <c r="B88" s="87" t="s">
        <v>633</v>
      </c>
      <c r="C88" s="17" t="s">
        <v>493</v>
      </c>
      <c r="D88" s="69" t="n">
        <f aca="false">D42</f>
        <v>33.27</v>
      </c>
      <c r="E88" s="69" t="n">
        <f aca="false">E42</f>
        <v>45.57</v>
      </c>
      <c r="F88" s="69" t="n">
        <f aca="false">F42</f>
        <v>36.41</v>
      </c>
      <c r="G88" s="69" t="n">
        <f aca="false">G42</f>
        <v>30.75</v>
      </c>
      <c r="H88" s="69" t="n">
        <f aca="false">H42</f>
        <v>52.28</v>
      </c>
      <c r="I88" s="69" t="n">
        <f aca="false">I42</f>
        <v>52.02</v>
      </c>
      <c r="J88" s="69" t="n">
        <f aca="false">J42</f>
        <v>47.23</v>
      </c>
      <c r="K88" s="53" t="n">
        <f aca="false">AVERAGE(D88:J88)</f>
        <v>42.5042857142857</v>
      </c>
      <c r="L88" s="53" t="n">
        <f aca="false">J88-D88</f>
        <v>13.96</v>
      </c>
    </row>
    <row r="89" customFormat="false" ht="15" hidden="false" customHeight="false" outlineLevel="0" collapsed="false">
      <c r="A89" s="16" t="s">
        <v>634</v>
      </c>
      <c r="B89" s="87" t="s">
        <v>635</v>
      </c>
      <c r="C89" s="17" t="s">
        <v>493</v>
      </c>
      <c r="D89" s="69" t="n">
        <f aca="false">D50+D52</f>
        <v>55.02</v>
      </c>
      <c r="E89" s="69" t="n">
        <f aca="false">E50+E52</f>
        <v>42.78</v>
      </c>
      <c r="F89" s="69" t="n">
        <f aca="false">F50+F52</f>
        <v>48.49</v>
      </c>
      <c r="G89" s="69" t="n">
        <f aca="false">G50+G52</f>
        <v>53.48</v>
      </c>
      <c r="H89" s="69" t="n">
        <f aca="false">H50+H52</f>
        <v>82.47</v>
      </c>
      <c r="I89" s="69" t="n">
        <f aca="false">I50+I52</f>
        <v>90.48</v>
      </c>
      <c r="J89" s="69" t="n">
        <f aca="false">J50+J52</f>
        <v>111.68</v>
      </c>
      <c r="K89" s="53" t="n">
        <f aca="false">AVERAGE(D89:J89)</f>
        <v>69.2</v>
      </c>
      <c r="L89" s="53" t="n">
        <f aca="false">J89-D89</f>
        <v>56.66</v>
      </c>
    </row>
    <row r="90" customFormat="false" ht="15" hidden="false" customHeight="false" outlineLevel="0" collapsed="false">
      <c r="A90" s="16" t="s">
        <v>636</v>
      </c>
      <c r="B90" s="87" t="s">
        <v>637</v>
      </c>
      <c r="C90" s="17" t="s">
        <v>493</v>
      </c>
      <c r="D90" s="69" t="n">
        <f aca="false">D40+D41</f>
        <v>54.54</v>
      </c>
      <c r="E90" s="69" t="n">
        <f aca="false">E40+E41</f>
        <v>52.6</v>
      </c>
      <c r="F90" s="69" t="n">
        <f aca="false">F40+F41</f>
        <v>73.6</v>
      </c>
      <c r="G90" s="69" t="n">
        <f aca="false">G40+G41</f>
        <v>123.11</v>
      </c>
      <c r="H90" s="69" t="n">
        <f aca="false">H40+H41</f>
        <v>118.28</v>
      </c>
      <c r="I90" s="69" t="n">
        <f aca="false">I40+I41</f>
        <v>130.41</v>
      </c>
      <c r="J90" s="69" t="n">
        <f aca="false">J40+J41</f>
        <v>146.86</v>
      </c>
      <c r="K90" s="53" t="n">
        <f aca="false">AVERAGE(D90:J90)</f>
        <v>99.9142857142857</v>
      </c>
      <c r="L90" s="53" t="n">
        <f aca="false">J90-D90</f>
        <v>92.32</v>
      </c>
    </row>
    <row r="92" customFormat="false" ht="19.5" hidden="false" customHeight="true" outlineLevel="0" collapsed="false">
      <c r="A92" s="85" t="s">
        <v>638</v>
      </c>
      <c r="B92" s="86"/>
      <c r="C92" s="86"/>
      <c r="D92" s="86"/>
      <c r="E92" s="86"/>
      <c r="F92" s="86"/>
      <c r="G92" s="86"/>
      <c r="H92" s="86"/>
      <c r="I92" s="86"/>
      <c r="J92" s="86"/>
      <c r="K92" s="86"/>
      <c r="L92" s="86"/>
    </row>
    <row r="93" customFormat="false" ht="16.5" hidden="false" customHeight="true" outlineLevel="0" collapsed="false">
      <c r="A93" s="88" t="s">
        <v>639</v>
      </c>
      <c r="B93" s="89"/>
      <c r="C93" s="89"/>
      <c r="D93" s="89"/>
      <c r="E93" s="89"/>
      <c r="F93" s="89"/>
      <c r="G93" s="89"/>
      <c r="H93" s="89"/>
      <c r="I93" s="89"/>
      <c r="J93" s="89"/>
      <c r="K93" s="89"/>
      <c r="L93" s="89"/>
    </row>
    <row r="94" customFormat="false" ht="15" hidden="false" customHeight="false" outlineLevel="0" collapsed="false">
      <c r="A94" s="16" t="s">
        <v>640</v>
      </c>
      <c r="B94" s="87" t="s">
        <v>641</v>
      </c>
      <c r="C94" s="17" t="s">
        <v>493</v>
      </c>
      <c r="D94" s="69" t="n">
        <f aca="false">D87-D88</f>
        <v>39.16</v>
      </c>
      <c r="E94" s="69" t="n">
        <f aca="false">E87-E88</f>
        <v>23.78</v>
      </c>
      <c r="F94" s="69" t="n">
        <f aca="false">F87-F88</f>
        <v>42.17</v>
      </c>
      <c r="G94" s="69" t="n">
        <f aca="false">G87-G88</f>
        <v>92.29</v>
      </c>
      <c r="H94" s="69" t="n">
        <f aca="false">H87-H88</f>
        <v>90.86</v>
      </c>
      <c r="I94" s="69" t="n">
        <f aca="false">I87-I88</f>
        <v>103.78</v>
      </c>
      <c r="J94" s="69" t="n">
        <f aca="false">J87-J88</f>
        <v>122.24</v>
      </c>
      <c r="K94" s="53" t="n">
        <f aca="false">AVERAGE(D94:J94)</f>
        <v>73.4685714285714</v>
      </c>
      <c r="L94" s="53" t="n">
        <f aca="false">J94-D94</f>
        <v>83.08</v>
      </c>
    </row>
    <row r="95" customFormat="false" ht="15" hidden="false" customHeight="false" outlineLevel="0" collapsed="false">
      <c r="A95" s="16" t="s">
        <v>642</v>
      </c>
      <c r="B95" s="87" t="s">
        <v>643</v>
      </c>
      <c r="C95" s="17" t="s">
        <v>644</v>
      </c>
      <c r="D95" s="72" t="n">
        <f aca="false">IF(D88&gt;0,D87/D88,"N/M")</f>
        <v>2.17703636910129</v>
      </c>
      <c r="E95" s="72" t="n">
        <f aca="false">IF(E88&gt;0,E87/E88,"N/M")</f>
        <v>1.52183454026772</v>
      </c>
      <c r="F95" s="72" t="n">
        <f aca="false">IF(F88&gt;0,F87/F88,"N/M")</f>
        <v>2.15819829717111</v>
      </c>
      <c r="G95" s="72" t="n">
        <f aca="false">IF(G88&gt;0,G87/G88,"N/M")</f>
        <v>4.00130081300813</v>
      </c>
      <c r="H95" s="72" t="n">
        <f aca="false">IF(H88&gt;0,H87/H88,"N/M")</f>
        <v>2.73794950267789</v>
      </c>
      <c r="I95" s="72" t="n">
        <f aca="false">IF(I88&gt;0,I87/I88,"N/M")</f>
        <v>2.99500192233756</v>
      </c>
      <c r="J95" s="72" t="n">
        <f aca="false">IF(J88&gt;0,J87/J88,"N/M")</f>
        <v>3.58818547533347</v>
      </c>
      <c r="K95" s="56" t="n">
        <f aca="false">IF(COUNT(D95:J95)=0,"N/M",AVERAGE(D95:J95))</f>
        <v>2.73992955998531</v>
      </c>
      <c r="L95" s="60" t="n">
        <f aca="false">IF(COUNT(D95,J95)=2,J95-D95,"-")</f>
        <v>1.41114910623218</v>
      </c>
    </row>
    <row r="96" customFormat="false" ht="15" hidden="false" customHeight="false" outlineLevel="0" collapsed="false">
      <c r="A96" s="16" t="s">
        <v>645</v>
      </c>
      <c r="B96" s="87" t="s">
        <v>646</v>
      </c>
      <c r="C96" s="17" t="s">
        <v>647</v>
      </c>
      <c r="D96" s="72" t="n">
        <f aca="false">IF(D88&gt;0,D89/D88,"N/M")</f>
        <v>1.65374211000902</v>
      </c>
      <c r="E96" s="72" t="n">
        <f aca="false">IF(E88&gt;0,E89/E88,"N/M")</f>
        <v>0.938775510204082</v>
      </c>
      <c r="F96" s="72" t="n">
        <f aca="false">IF(F88&gt;0,F89/F88,"N/M")</f>
        <v>1.33177698434496</v>
      </c>
      <c r="G96" s="72" t="n">
        <f aca="false">IF(G88&gt;0,G89/G88,"N/M")</f>
        <v>1.73918699186992</v>
      </c>
      <c r="H96" s="72" t="n">
        <f aca="false">IF(H88&gt;0,H89/H88,"N/M")</f>
        <v>1.577467482785</v>
      </c>
      <c r="I96" s="72" t="n">
        <f aca="false">IF(I88&gt;0,I89/I88,"N/M")</f>
        <v>1.73933102652826</v>
      </c>
      <c r="J96" s="72" t="n">
        <f aca="false">IF(J88&gt;0,J89/J88,"N/M")</f>
        <v>2.36459877196697</v>
      </c>
      <c r="K96" s="56" t="n">
        <f aca="false">IF(COUNT(D96:J96)=0,"N/M",AVERAGE(D96:J96))</f>
        <v>1.62069698252974</v>
      </c>
      <c r="L96" s="60" t="n">
        <f aca="false">IF(COUNT(D96,J96)=2,J96-D96,"-")</f>
        <v>0.710856661957954</v>
      </c>
    </row>
    <row r="97" customFormat="false" ht="15" hidden="false" customHeight="false" outlineLevel="0" collapsed="false">
      <c r="A97" s="16" t="s">
        <v>648</v>
      </c>
      <c r="B97" s="87" t="s">
        <v>649</v>
      </c>
      <c r="C97" s="17" t="s">
        <v>650</v>
      </c>
      <c r="D97" s="72" t="n">
        <f aca="false">IF(D88&gt;0,D52/D88,"N/M")</f>
        <v>0.103396453261196</v>
      </c>
      <c r="E97" s="72" t="n">
        <f aca="false">IF(E88&gt;0,E52/E88,"N/M")</f>
        <v>0.0700021944261576</v>
      </c>
      <c r="F97" s="72" t="n">
        <f aca="false">IF(F88&gt;0,F52/F88,"N/M")</f>
        <v>0.180994232353749</v>
      </c>
      <c r="G97" s="72" t="n">
        <f aca="false">IF(G88&gt;0,G52/G88,"N/M")</f>
        <v>0.27609756097561</v>
      </c>
      <c r="H97" s="72" t="n">
        <f aca="false">IF(H88&gt;0,H52/H88,"N/M")</f>
        <v>0.254399387911247</v>
      </c>
      <c r="I97" s="72" t="n">
        <f aca="false">IF(I88&gt;0,I52/I88,"N/M")</f>
        <v>0.238946559015763</v>
      </c>
      <c r="J97" s="72" t="n">
        <f aca="false">IF(J88&gt;0,J52/J88,"N/M")</f>
        <v>0.308490366292611</v>
      </c>
      <c r="K97" s="56" t="n">
        <f aca="false">IF(COUNT(D97:J97)=0,"N/M",AVERAGE(D97:J97))</f>
        <v>0.204618107748048</v>
      </c>
      <c r="L97" s="60" t="n">
        <f aca="false">IF(COUNT(D97,J97)=2,J97-D97,"-")</f>
        <v>0.205093913031414</v>
      </c>
    </row>
    <row r="98" customFormat="false" ht="15" hidden="false" customHeight="false" outlineLevel="0" collapsed="false">
      <c r="A98" s="16" t="s">
        <v>651</v>
      </c>
      <c r="B98" s="87" t="s">
        <v>652</v>
      </c>
      <c r="C98" s="17" t="s">
        <v>653</v>
      </c>
      <c r="D98" s="74" t="n">
        <f aca="false">IF(D20&gt;0,D89/(D20/Setup!$C$8),"N/M")</f>
        <v>66.2148438787959</v>
      </c>
      <c r="E98" s="74" t="n">
        <f aca="false">IF(E20&gt;0,E89/(E20/Setup!$C$8),"N/M")</f>
        <v>46.2685196159773</v>
      </c>
      <c r="F98" s="74" t="n">
        <f aca="false">IF(F20&gt;0,F89/(F20/Setup!$C$8),"N/M")</f>
        <v>39.6852997892282</v>
      </c>
      <c r="G98" s="74" t="n">
        <f aca="false">IF(G20&gt;0,G89/(G20/Setup!$C$8),"N/M")</f>
        <v>47.7628520394431</v>
      </c>
      <c r="H98" s="74" t="n">
        <f aca="false">IF(H20&gt;0,H89/(H20/Setup!$C$8),"N/M")</f>
        <v>78.8287592311318</v>
      </c>
      <c r="I98" s="74" t="n">
        <f aca="false">IF(I20&gt;0,I89/(I20/Setup!$C$8),"N/M")</f>
        <v>78.1920636423904</v>
      </c>
      <c r="J98" s="74" t="n">
        <f aca="false">IF(J20&gt;0,J89/(J20/Setup!$C$8),"N/M")</f>
        <v>95.3502842038783</v>
      </c>
      <c r="K98" s="58" t="n">
        <f aca="false">IF(COUNT(D98:J98)=0,"N/M",AVERAGE(D98:J98))</f>
        <v>64.6146603429778</v>
      </c>
      <c r="L98" s="58" t="n">
        <f aca="false">IF(COUNT(D98,J98)=2,J98-D98,"-")</f>
        <v>29.1354403250824</v>
      </c>
    </row>
    <row r="99" customFormat="false" ht="15" hidden="false" customHeight="false" outlineLevel="0" collapsed="false">
      <c r="A99" s="16" t="s">
        <v>654</v>
      </c>
      <c r="B99" s="87" t="s">
        <v>655</v>
      </c>
      <c r="C99" s="17" t="s">
        <v>97</v>
      </c>
      <c r="D99" s="72" t="n">
        <f aca="false">IF(D88&gt;0,D63/D88,"N/M")</f>
        <v>0.384430417793808</v>
      </c>
      <c r="E99" s="72" t="n">
        <f aca="false">IF(E88&gt;0,E63/E88,"N/M")</f>
        <v>0.218125960061444</v>
      </c>
      <c r="F99" s="72" t="n">
        <f aca="false">IF(F88&gt;0,F63/F88,"N/M")</f>
        <v>-0.290030211480363</v>
      </c>
      <c r="G99" s="72" t="n">
        <f aca="false">IF(G88&gt;0,G63/G88,"N/M")</f>
        <v>-1.26536585365854</v>
      </c>
      <c r="H99" s="72" t="n">
        <f aca="false">IF(H88&gt;0,H63/H88,"N/M")</f>
        <v>0.3234506503443</v>
      </c>
      <c r="I99" s="72" t="n">
        <f aca="false">IF(I88&gt;0,I63/I88,"N/M")</f>
        <v>-0.0161476355247982</v>
      </c>
      <c r="J99" s="72" t="n">
        <f aca="false">IF(J88&gt;0,J63/J88,"N/M")</f>
        <v>-0.153504128731738</v>
      </c>
      <c r="K99" s="56" t="n">
        <f aca="false">IF(COUNT(D99:J99)=0,"N/M",AVERAGE(D99:J99))</f>
        <v>-0.114148685885126</v>
      </c>
      <c r="L99" s="60" t="n">
        <f aca="false">IF(COUNT(D99,J99)=2,J99-D99,"-")</f>
        <v>-0.537934546525547</v>
      </c>
    </row>
    <row r="100" customFormat="false" ht="16.5" hidden="false" customHeight="true" outlineLevel="0" collapsed="false">
      <c r="A100" s="88" t="s">
        <v>656</v>
      </c>
      <c r="B100" s="89"/>
      <c r="C100" s="89"/>
      <c r="D100" s="89"/>
      <c r="E100" s="89"/>
      <c r="F100" s="89"/>
      <c r="G100" s="89"/>
      <c r="H100" s="89"/>
      <c r="I100" s="89"/>
      <c r="J100" s="89"/>
      <c r="K100" s="89"/>
      <c r="L100" s="89"/>
    </row>
    <row r="101" customFormat="false" ht="15" hidden="false" customHeight="false" outlineLevel="0" collapsed="false">
      <c r="A101" s="16" t="s">
        <v>657</v>
      </c>
      <c r="B101" s="87" t="s">
        <v>658</v>
      </c>
      <c r="C101" s="17" t="s">
        <v>97</v>
      </c>
      <c r="D101" s="72" t="n">
        <f aca="false">IF(D40&gt;0,D41/D40,"N/M")</f>
        <v>2.15990730011588</v>
      </c>
      <c r="E101" s="72" t="n">
        <f aca="false">IF(E40&gt;0,E41/E40,"N/M")</f>
        <v>1.44310264746865</v>
      </c>
      <c r="F101" s="72" t="n">
        <f aca="false">IF(F40&gt;0,F41/F40,"N/M")</f>
        <v>2.0201066885515</v>
      </c>
      <c r="G101" s="72" t="n">
        <f aca="false">IF(G40&gt;0,G41/G40,"N/M")</f>
        <v>0.977988431876607</v>
      </c>
      <c r="H101" s="72" t="n">
        <f aca="false">IF(H40&gt;0,H41/H40,"N/M")</f>
        <v>0.893085787451985</v>
      </c>
      <c r="I101" s="72" t="n">
        <f aca="false">IF(I40&gt;0,I41/I40,"N/M")</f>
        <v>0.97381565006811</v>
      </c>
      <c r="J101" s="72" t="n">
        <f aca="false">IF(J40&gt;0,J41/J40,"N/M")</f>
        <v>1.01758483308147</v>
      </c>
      <c r="K101" s="56" t="n">
        <f aca="false">IF(COUNT(D101:J101)=0,"N/M",AVERAGE(D101:J101))</f>
        <v>1.35508447694488</v>
      </c>
      <c r="L101" s="60" t="n">
        <f aca="false">IF(COUNT(D101,J101)=2,J101-D101,"-")</f>
        <v>-1.14232246703441</v>
      </c>
    </row>
    <row r="102" customFormat="false" ht="15" hidden="false" customHeight="false" outlineLevel="0" collapsed="false">
      <c r="A102" s="16" t="s">
        <v>659</v>
      </c>
      <c r="B102" s="87" t="s">
        <v>660</v>
      </c>
      <c r="C102" s="17" t="s">
        <v>97</v>
      </c>
      <c r="D102" s="72" t="n">
        <f aca="false">IF(D40&gt;0,(D41+D42)/D40,"N/M")</f>
        <v>4.08748551564311</v>
      </c>
      <c r="E102" s="72" t="n">
        <f aca="false">IF(E40&gt;0,(E41+E42)/E40,"N/M")</f>
        <v>3.55968416163493</v>
      </c>
      <c r="F102" s="72" t="n">
        <f aca="false">IF(F40&gt;0,(F41+F42)/F40,"N/M")</f>
        <v>3.51415675010258</v>
      </c>
      <c r="G102" s="72" t="n">
        <f aca="false">IF(G40&gt;0,(G41+G42)/G40,"N/M")</f>
        <v>1.47204370179949</v>
      </c>
      <c r="H102" s="72" t="n">
        <f aca="false">IF(H40&gt;0,(H41+H42)/H40,"N/M")</f>
        <v>1.72983354673496</v>
      </c>
      <c r="I102" s="72" t="n">
        <f aca="false">IF(I40&gt;0,(I41+I42)/I40,"N/M")</f>
        <v>1.76116240351143</v>
      </c>
      <c r="J102" s="72" t="n">
        <f aca="false">IF(J40&gt;0,(J41+J42)/J40,"N/M")</f>
        <v>1.66643769748592</v>
      </c>
      <c r="K102" s="56" t="n">
        <f aca="false">IF(COUNT(D102:J102)=0,"N/M",AVERAGE(D102:J102))</f>
        <v>2.54154339670177</v>
      </c>
      <c r="L102" s="60" t="n">
        <f aca="false">IF(COUNT(D102,J102)=2,J102-D102,"-")</f>
        <v>-2.42104781815719</v>
      </c>
    </row>
    <row r="103" customFormat="false" ht="15" hidden="false" customHeight="false" outlineLevel="0" collapsed="false">
      <c r="A103" s="16" t="s">
        <v>661</v>
      </c>
      <c r="B103" s="87" t="s">
        <v>662</v>
      </c>
      <c r="C103" s="17" t="s">
        <v>663</v>
      </c>
      <c r="D103" s="72" t="n">
        <f aca="false">IF(D49&gt;0,D41/D49,"N/M")</f>
        <v>0.4245530121854</v>
      </c>
      <c r="E103" s="72" t="n">
        <f aca="false">IF(E49&gt;0,E41/E49,"N/M")</f>
        <v>0.316491799938882</v>
      </c>
      <c r="F103" s="72" t="n">
        <f aca="false">IF(F49&gt;0,F41/F49,"N/M")</f>
        <v>0.447504772293428</v>
      </c>
      <c r="G103" s="72" t="n">
        <f aca="false">IF(G49&gt;0,G41/G49,"N/M")</f>
        <v>0.395619394254517</v>
      </c>
      <c r="H103" s="72" t="n">
        <f aca="false">IF(H49&gt;0,H41/H49,"N/M")</f>
        <v>0.327157598499062</v>
      </c>
      <c r="I103" s="72" t="n">
        <f aca="false">IF(I49&gt;0,I41/I49,"N/M")</f>
        <v>0.352683220961465</v>
      </c>
      <c r="J103" s="72" t="n">
        <f aca="false">IF(J49&gt;0,J41/J49,"N/M")</f>
        <v>0.381627080220516</v>
      </c>
      <c r="K103" s="56" t="n">
        <f aca="false">IF(COUNT(D103:J103)=0,"N/M",AVERAGE(D103:J103))</f>
        <v>0.377948125479039</v>
      </c>
      <c r="L103" s="60" t="n">
        <f aca="false">IF(COUNT(D103,J103)=2,J103-D103,"-")</f>
        <v>-0.0429259319648841</v>
      </c>
    </row>
    <row r="104" customFormat="false" ht="15" hidden="false" customHeight="false" outlineLevel="0" collapsed="false">
      <c r="A104" s="16" t="s">
        <v>664</v>
      </c>
      <c r="B104" s="87" t="s">
        <v>665</v>
      </c>
      <c r="C104" s="17" t="s">
        <v>663</v>
      </c>
      <c r="D104" s="72" t="n">
        <f aca="false">IF(D90&gt;0,D41/D90,"N/M")</f>
        <v>0.683535020168684</v>
      </c>
      <c r="E104" s="72" t="n">
        <f aca="false">IF(E90&gt;0,E41/E90,"N/M")</f>
        <v>0.590684410646388</v>
      </c>
      <c r="F104" s="72" t="n">
        <f aca="false">IF(F90&gt;0,F41/F90,"N/M")</f>
        <v>0.668885869565218</v>
      </c>
      <c r="G104" s="72" t="n">
        <f aca="false">IF(G90&gt;0,G41/G90,"N/M")</f>
        <v>0.494435870359841</v>
      </c>
      <c r="H104" s="72" t="n">
        <f aca="false">IF(H90&gt;0,H41/H90,"N/M")</f>
        <v>0.471761920865742</v>
      </c>
      <c r="I104" s="72" t="n">
        <f aca="false">IF(I90&gt;0,I41/I90,"N/M")</f>
        <v>0.493367073077218</v>
      </c>
      <c r="J104" s="72" t="n">
        <f aca="false">IF(J90&gt;0,J41/J90,"N/M")</f>
        <v>0.504357891869808</v>
      </c>
      <c r="K104" s="56" t="n">
        <f aca="false">IF(COUNT(D104:J104)=0,"N/M",AVERAGE(D104:J104))</f>
        <v>0.558146865221843</v>
      </c>
      <c r="L104" s="60" t="n">
        <f aca="false">IF(COUNT(D104,J104)=2,J104-D104,"-")</f>
        <v>-0.179177128298876</v>
      </c>
    </row>
    <row r="105" customFormat="false" ht="15" hidden="false" customHeight="false" outlineLevel="0" collapsed="false">
      <c r="A105" s="16" t="s">
        <v>666</v>
      </c>
      <c r="B105" s="87" t="s">
        <v>667</v>
      </c>
      <c r="C105" s="17" t="s">
        <v>668</v>
      </c>
      <c r="D105" s="72" t="n">
        <f aca="false">IF(D49&gt;0,D40/D49,"N/M")</f>
        <v>0.196560756178112</v>
      </c>
      <c r="E105" s="72" t="n">
        <f aca="false">IF(E49&gt;0,E40/E49,"N/M")</f>
        <v>0.219313435876541</v>
      </c>
      <c r="F105" s="72" t="n">
        <f aca="false">IF(F49&gt;0,F40/F49,"N/M")</f>
        <v>0.221525315880375</v>
      </c>
      <c r="G105" s="72" t="n">
        <f aca="false">IF(G49&gt;0,G40/G49,"N/M")</f>
        <v>0.404523592876641</v>
      </c>
      <c r="H105" s="72" t="n">
        <f aca="false">IF(H49&gt;0,H40/H49,"N/M")</f>
        <v>0.366322701688555</v>
      </c>
      <c r="I105" s="72" t="n">
        <f aca="false">IF(I49&gt;0,I40/I49,"N/M")</f>
        <v>0.36216631036562</v>
      </c>
      <c r="J105" s="72" t="n">
        <f aca="false">IF(J49&gt;0,J40/J49,"N/M")</f>
        <v>0.375032201555979</v>
      </c>
      <c r="K105" s="56" t="n">
        <f aca="false">IF(COUNT(D105:J105)=0,"N/M",AVERAGE(D105:J105))</f>
        <v>0.306492044917403</v>
      </c>
      <c r="L105" s="60" t="n">
        <f aca="false">IF(COUNT(D105,J105)=2,J105-D105,"-")</f>
        <v>0.178471445377867</v>
      </c>
    </row>
    <row r="106" customFormat="false" ht="15" hidden="false" customHeight="false" outlineLevel="0" collapsed="false">
      <c r="A106" s="16" t="s">
        <v>669</v>
      </c>
      <c r="B106" s="87" t="s">
        <v>670</v>
      </c>
      <c r="C106" s="17" t="s">
        <v>97</v>
      </c>
      <c r="D106" s="72" t="n">
        <f aca="false">IF(D39&gt;0,(D41+D37)/D39,"N/M")</f>
        <v>2.15990730011588</v>
      </c>
      <c r="E106" s="72" t="n">
        <f aca="false">IF(E39&gt;0,(E41+E37)/E39,"N/M")</f>
        <v>1.44310264746865</v>
      </c>
      <c r="F106" s="72" t="n">
        <f aca="false">IF(F39&gt;0,(F41+F37)/F39,"N/M")</f>
        <v>2.0201066885515</v>
      </c>
      <c r="G106" s="72" t="n">
        <f aca="false">IF(G39&gt;0,(G41+G37)/G39,"N/M")</f>
        <v>0.977988431876607</v>
      </c>
      <c r="H106" s="72" t="n">
        <f aca="false">IF(H39&gt;0,(H41+H37)/H39,"N/M")</f>
        <v>0.893085787451985</v>
      </c>
      <c r="I106" s="72" t="n">
        <f aca="false">IF(I39&gt;0,(I41+I37)/I39,"N/M")</f>
        <v>0.97381565006811</v>
      </c>
      <c r="J106" s="72" t="n">
        <f aca="false">IF(J39&gt;0,(J41+J37)/J39,"N/M")</f>
        <v>1.01758483308147</v>
      </c>
      <c r="K106" s="56" t="n">
        <f aca="false">IF(COUNT(D106:J106)=0,"N/M",AVERAGE(D106:J106))</f>
        <v>1.35508447694488</v>
      </c>
      <c r="L106" s="60" t="n">
        <f aca="false">IF(COUNT(D106,J106)=2,J106-D106,"-")</f>
        <v>-1.14232246703441</v>
      </c>
    </row>
    <row r="107" customFormat="false" ht="15" hidden="false" customHeight="false" outlineLevel="0" collapsed="false">
      <c r="A107" s="16" t="s">
        <v>671</v>
      </c>
      <c r="B107" s="87" t="s">
        <v>672</v>
      </c>
      <c r="C107" s="17" t="s">
        <v>97</v>
      </c>
      <c r="D107" s="72" t="str">
        <f aca="false">IF(D21&gt;0,D41/D21,"N/M")</f>
        <v>N/M</v>
      </c>
      <c r="E107" s="72" t="n">
        <f aca="false">IF(E21&gt;0,E41/E21,"N/M")</f>
        <v>3.33727175080556</v>
      </c>
      <c r="F107" s="72" t="n">
        <f aca="false">IF(F21&gt;0,F41/F21,"N/M")</f>
        <v>4.56679035250465</v>
      </c>
      <c r="G107" s="72" t="n">
        <f aca="false">IF(G21&gt;0,G41/G21,"N/M")</f>
        <v>7.60874999999995</v>
      </c>
      <c r="H107" s="72" t="n">
        <f aca="false">IF(H21&gt;0,H41/H21,"N/M")</f>
        <v>9.44162436548228</v>
      </c>
      <c r="I107" s="72" t="n">
        <f aca="false">IF(I21&gt;0,I41/I21,"N/M")</f>
        <v>4.50875963559915</v>
      </c>
      <c r="J107" s="72" t="n">
        <f aca="false">IF(J21&gt;0,J41/J21,"N/M")</f>
        <v>4.47012673506337</v>
      </c>
      <c r="K107" s="56" t="n">
        <f aca="false">IF(COUNT(D107:J107)=0,"N/M",AVERAGE(D107:J107))</f>
        <v>5.65555380657583</v>
      </c>
      <c r="L107" s="60" t="str">
        <f aca="false">IF(COUNT(D107,J107)=2,J107-D107,"-")</f>
        <v>-</v>
      </c>
    </row>
    <row r="108" customFormat="false" ht="16.5" hidden="false" customHeight="true" outlineLevel="0" collapsed="false">
      <c r="A108" s="88" t="s">
        <v>673</v>
      </c>
      <c r="B108" s="89"/>
      <c r="C108" s="89"/>
      <c r="D108" s="89"/>
      <c r="E108" s="89"/>
      <c r="F108" s="89"/>
      <c r="G108" s="89"/>
      <c r="H108" s="89"/>
      <c r="I108" s="89"/>
      <c r="J108" s="89"/>
      <c r="K108" s="89"/>
      <c r="L108" s="89"/>
    </row>
    <row r="109" customFormat="false" ht="15" hidden="false" customHeight="false" outlineLevel="0" collapsed="false">
      <c r="A109" s="16" t="s">
        <v>674</v>
      </c>
      <c r="B109" s="87" t="s">
        <v>675</v>
      </c>
      <c r="C109" s="17" t="s">
        <v>676</v>
      </c>
      <c r="D109" s="73" t="n">
        <f aca="false">IF(D25&gt;0,D23/D25,"N/M")</f>
        <v>-1.04366812227075</v>
      </c>
      <c r="E109" s="73" t="n">
        <f aca="false">IF(E25&gt;0,E23/E25,"N/M")</f>
        <v>1.84278350515465</v>
      </c>
      <c r="F109" s="73" t="n">
        <f aca="false">IF(F25&gt;0,F23/F25,"N/M")</f>
        <v>1.99009900990098</v>
      </c>
      <c r="G109" s="73" t="n">
        <f aca="false">IF(G25&gt;0,G23/G25,"N/M")</f>
        <v>1.02772277227724</v>
      </c>
      <c r="H109" s="73" t="n">
        <f aca="false">IF(H25&gt;0,H23/H25,"N/M")</f>
        <v>0.622895622895618</v>
      </c>
      <c r="I109" s="73" t="n">
        <f aca="false">IF(I25&gt;0,I23/I25,"N/M")</f>
        <v>1.76666666666667</v>
      </c>
      <c r="J109" s="73" t="n">
        <f aca="false">IF(J25&gt;0,J23/J25,"N/M")</f>
        <v>2.09428571428571</v>
      </c>
      <c r="K109" s="60" t="n">
        <f aca="false">IF(COUNT(D109:J109)=0,"N/M",AVERAGE(D109:J109))</f>
        <v>1.18582645270145</v>
      </c>
      <c r="L109" s="60" t="n">
        <f aca="false">IF(COUNT(D109,J109)=2,J109-D109,"-")</f>
        <v>3.13795383655647</v>
      </c>
    </row>
    <row r="110" customFormat="false" ht="15" hidden="false" customHeight="false" outlineLevel="0" collapsed="false">
      <c r="A110" s="16" t="s">
        <v>677</v>
      </c>
      <c r="B110" s="87" t="s">
        <v>678</v>
      </c>
      <c r="C110" s="17" t="s">
        <v>115</v>
      </c>
      <c r="D110" s="73" t="str">
        <f aca="false">IF(D31&gt;0,D30/D31,"N/M")</f>
        <v>N/M</v>
      </c>
      <c r="E110" s="73" t="str">
        <f aca="false">IF(E31&gt;0,E30/E31,"N/M")</f>
        <v>N/M</v>
      </c>
      <c r="F110" s="73" t="n">
        <f aca="false">IF(F31&gt;0,F30/F31,"N/M")</f>
        <v>23.5</v>
      </c>
      <c r="G110" s="73" t="str">
        <f aca="false">IF(G31&gt;0,G30/G31,"N/M")</f>
        <v>N/M</v>
      </c>
      <c r="H110" s="73" t="str">
        <f aca="false">IF(H31&gt;0,H30/H31,"N/M")</f>
        <v>N/M</v>
      </c>
      <c r="I110" s="73" t="str">
        <f aca="false">IF(I31&gt;0,I30/I31,"N/M")</f>
        <v>N/M</v>
      </c>
      <c r="J110" s="73" t="str">
        <f aca="false">IF(J31&gt;0,J30/J31,"N/M")</f>
        <v>N/M</v>
      </c>
      <c r="K110" s="60" t="n">
        <f aca="false">IF(COUNT(D110:J110)=0,"N/M",AVERAGE(D110:J110))</f>
        <v>23.5</v>
      </c>
      <c r="L110" s="60" t="str">
        <f aca="false">IF(COUNT(D110,J110)=2,J110-D110,"-")</f>
        <v>-</v>
      </c>
    </row>
    <row r="111" customFormat="false" ht="15" hidden="false" customHeight="false" outlineLevel="0" collapsed="false">
      <c r="A111" s="16" t="s">
        <v>679</v>
      </c>
      <c r="B111" s="87" t="s">
        <v>680</v>
      </c>
      <c r="C111" s="17" t="s">
        <v>115</v>
      </c>
      <c r="D111" s="73" t="n">
        <f aca="false">IF(D25+D76&gt;0,D21/(D25+D76/(1-D77)),"N/M")</f>
        <v>-0.332386363636368</v>
      </c>
      <c r="E111" s="73" t="n">
        <f aca="false">IF(E25+E76&gt;0,E21/(E25+E76/(1-E77)),"N/M")</f>
        <v>0.708870682016173</v>
      </c>
      <c r="F111" s="73" t="n">
        <f aca="false">IF(F25+F76&gt;0,F21/(F25+F76/(1-F77)),"N/M")</f>
        <v>2.66831683168316</v>
      </c>
      <c r="G111" s="73" t="n">
        <f aca="false">IF(G25+G76&gt;0,G21/(G25+G76/(1-G77)),"N/M")</f>
        <v>1.5841584158416</v>
      </c>
      <c r="H111" s="73" t="n">
        <f aca="false">IF(H25+H76&gt;0,H21/(H25+H76/(1-H77)),"N/M")</f>
        <v>0.534358047016272</v>
      </c>
      <c r="I111" s="73" t="n">
        <f aca="false">IF(I25+I76&gt;0,I21/(I25+I76/(1-I77)),"N/M")</f>
        <v>2.06811594202899</v>
      </c>
      <c r="J111" s="73" t="n">
        <f aca="false">IF(J25+J76&gt;0,J21/(J25+J76/(1-J77)),"N/M")</f>
        <v>2.36714285714286</v>
      </c>
      <c r="K111" s="60" t="n">
        <f aca="false">IF(COUNT(D111:J111)=0,"N/M",AVERAGE(D111:J111))</f>
        <v>1.37122520172753</v>
      </c>
      <c r="L111" s="60" t="n">
        <f aca="false">IF(COUNT(D111,J111)=2,J111-D111,"-")</f>
        <v>2.69952922077922</v>
      </c>
    </row>
    <row r="112" customFormat="false" ht="15" hidden="false" customHeight="false" outlineLevel="0" collapsed="false">
      <c r="A112" s="16" t="s">
        <v>681</v>
      </c>
      <c r="B112" s="87" t="s">
        <v>682</v>
      </c>
      <c r="C112" s="17" t="s">
        <v>115</v>
      </c>
      <c r="D112" s="73" t="n">
        <f aca="false">IF(D25+D76&gt;0,(D63+D27)/(D25+D76/(1-D77)),"N/M")</f>
        <v>1.20075757575758</v>
      </c>
      <c r="E112" s="73" t="n">
        <f aca="false">IF(E25+E76&gt;0,(E63+E27)/(E25+E76/(1-E77)),"N/M")</f>
        <v>0.861152246359062</v>
      </c>
      <c r="F112" s="73" t="n">
        <f aca="false">IF(F25+F76&gt;0,(F63+F27)/(F25+F76/(1-F77)),"N/M")</f>
        <v>-2.1980198019802</v>
      </c>
      <c r="G112" s="73" t="n">
        <f aca="false">IF(G25+G76&gt;0,(G63+G27)/(G25+G76/(1-G77)),"N/M")</f>
        <v>-7.54851485148515</v>
      </c>
      <c r="H112" s="73" t="n">
        <f aca="false">IF(H25+H76&gt;0,(H63+H27)/(H25+H76/(1-H77)),"N/M")</f>
        <v>1.5253164556962</v>
      </c>
      <c r="I112" s="73" t="n">
        <f aca="false">IF(I25+I76&gt;0,(I63+I27)/(I25+I76/(1-I77)),"N/M")</f>
        <v>0.252173913043478</v>
      </c>
      <c r="J112" s="73" t="n">
        <f aca="false">IF(J25+J76&gt;0,(J63+J27)/(J25+J76/(1-J77)),"N/M")</f>
        <v>-0.352857142857143</v>
      </c>
      <c r="K112" s="60" t="n">
        <f aca="false">IF(COUNT(D112:J112)=0,"N/M",AVERAGE(D112:J112))</f>
        <v>-0.894284515066596</v>
      </c>
      <c r="L112" s="60" t="n">
        <f aca="false">IF(COUNT(D112,J112)=2,J112-D112,"-")</f>
        <v>-1.55361471861472</v>
      </c>
    </row>
    <row r="113" customFormat="false" ht="15" hidden="false" customHeight="false" outlineLevel="0" collapsed="false">
      <c r="A113" s="16" t="s">
        <v>683</v>
      </c>
      <c r="B113" s="87" t="s">
        <v>684</v>
      </c>
      <c r="C113" s="17" t="s">
        <v>685</v>
      </c>
      <c r="D113" s="73" t="n">
        <f aca="false">IF(D75&gt;0,D63/D75,"N/M")</f>
        <v>14.2111111111111</v>
      </c>
      <c r="E113" s="73" t="n">
        <f aca="false">IF(E75&gt;0,E63/E75,"N/M")</f>
        <v>12.2716049382716</v>
      </c>
      <c r="F113" s="73" t="n">
        <f aca="false">IF(F75&gt;0,F63/F75,"N/M")</f>
        <v>-2.78627968337731</v>
      </c>
      <c r="G113" s="73" t="n">
        <f aca="false">IF(G75&gt;0,G63/G75,"N/M")</f>
        <v>-9.70324189526185</v>
      </c>
      <c r="H113" s="73" t="n">
        <f aca="false">IF(H75&gt;0,H63/H75,"N/M")</f>
        <v>2.94599303135889</v>
      </c>
      <c r="I113" s="73" t="n">
        <f aca="false">IF(I75&gt;0,I63/I75,"N/M")</f>
        <v>-1.21739130434783</v>
      </c>
      <c r="J113" s="73" t="str">
        <f aca="false">IF(J75&gt;0,J63/J75,"N/M")</f>
        <v>N/M</v>
      </c>
      <c r="K113" s="60" t="n">
        <f aca="false">IF(COUNT(D113:J113)=0,"N/M",AVERAGE(D113:J113))</f>
        <v>2.62029936629244</v>
      </c>
      <c r="L113" s="60" t="str">
        <f aca="false">IF(COUNT(D113,J113)=2,J113-D113,"-")</f>
        <v>-</v>
      </c>
    </row>
    <row r="114" customFormat="false" ht="15" hidden="false" customHeight="false" outlineLevel="0" collapsed="false">
      <c r="A114" s="16" t="s">
        <v>686</v>
      </c>
      <c r="B114" s="87" t="s">
        <v>687</v>
      </c>
      <c r="C114" s="17" t="s">
        <v>688</v>
      </c>
      <c r="D114" s="73" t="n">
        <f aca="false">IF(D25+D76&gt;0,(D30+D25+D22)/(D25+D76),"N/M")</f>
        <v>-0.257575757575758</v>
      </c>
      <c r="E114" s="73" t="n">
        <f aca="false">IF(E25+E76&gt;0,(E30+E25+E22)/(E25+E76),"N/M")</f>
        <v>0.863636363636364</v>
      </c>
      <c r="F114" s="73" t="n">
        <f aca="false">IF(F25+F76&gt;0,(F30+F25+F22)/(F25+F76),"N/M")</f>
        <v>2.37623762376238</v>
      </c>
      <c r="G114" s="73" t="n">
        <f aca="false">IF(G25+G76&gt;0,(G30+G25+G22)/(G25+G76),"N/M")</f>
        <v>1.56831683168317</v>
      </c>
      <c r="H114" s="73" t="n">
        <f aca="false">IF(H25+H76&gt;0,(H30+H25+H22)/(H25+H76),"N/M")</f>
        <v>0.760397830018083</v>
      </c>
      <c r="I114" s="73" t="n">
        <f aca="false">IF(I25+I76&gt;0,(I30+I25+I22)/(I25+I76),"N/M")</f>
        <v>1.84202898550725</v>
      </c>
      <c r="J114" s="73" t="n">
        <f aca="false">IF(J25+J76&gt;0,(J30+J25+J22)/(J25+J76),"N/M")</f>
        <v>2.24428571428571</v>
      </c>
      <c r="K114" s="60" t="n">
        <f aca="false">IF(COUNT(D114:J114)=0,"N/M",AVERAGE(D114:J114))</f>
        <v>1.34247537018817</v>
      </c>
      <c r="L114" s="60" t="n">
        <f aca="false">IF(COUNT(D114,J114)=2,J114-D114,"-")</f>
        <v>2.50186147186147</v>
      </c>
    </row>
    <row r="115" customFormat="false" ht="16.5" hidden="false" customHeight="true" outlineLevel="0" collapsed="false">
      <c r="A115" s="88" t="s">
        <v>689</v>
      </c>
      <c r="B115" s="89"/>
      <c r="C115" s="89"/>
      <c r="D115" s="89"/>
      <c r="E115" s="89"/>
      <c r="F115" s="89"/>
      <c r="G115" s="89"/>
      <c r="H115" s="89"/>
      <c r="I115" s="89"/>
      <c r="J115" s="89"/>
      <c r="K115" s="89"/>
      <c r="L115" s="89"/>
    </row>
    <row r="116" customFormat="false" ht="15" hidden="false" customHeight="false" outlineLevel="0" collapsed="false">
      <c r="A116" s="16" t="s">
        <v>690</v>
      </c>
      <c r="B116" s="87" t="s">
        <v>691</v>
      </c>
      <c r="C116" s="17" t="s">
        <v>692</v>
      </c>
      <c r="D116" s="73" t="str">
        <f aca="false">IF(D51&gt;0,D13/D51,"N/M")</f>
        <v>N/M</v>
      </c>
      <c r="E116" s="73" t="str">
        <f aca="false">IF(E51&gt;0,E13/E51,"N/M")</f>
        <v>N/M</v>
      </c>
      <c r="F116" s="73" t="str">
        <f aca="false">IF(F51&gt;0,F13/F51,"N/M")</f>
        <v>N/M</v>
      </c>
      <c r="G116" s="73" t="str">
        <f aca="false">IF(G51&gt;0,G13/G51,"N/M")</f>
        <v>N/M</v>
      </c>
      <c r="H116" s="73" t="str">
        <f aca="false">IF(H51&gt;0,H13/H51,"N/M")</f>
        <v>N/M</v>
      </c>
      <c r="I116" s="73" t="str">
        <f aca="false">IF(I51&gt;0,I13/I51,"N/M")</f>
        <v>N/M</v>
      </c>
      <c r="J116" s="73" t="str">
        <f aca="false">IF(J51&gt;0,J13/J51,"N/M")</f>
        <v>N/M</v>
      </c>
      <c r="K116" s="60" t="str">
        <f aca="false">IF(COUNT(D116:J116)=0,"N/M",AVERAGE(D116:J116))</f>
        <v>N/M</v>
      </c>
      <c r="L116" s="60" t="str">
        <f aca="false">IF(COUNT(D116,J116)=2,J116-D116,"-")</f>
        <v>-</v>
      </c>
    </row>
    <row r="117" customFormat="false" ht="15" hidden="false" customHeight="false" outlineLevel="0" collapsed="false">
      <c r="A117" s="16" t="s">
        <v>693</v>
      </c>
      <c r="B117" s="87" t="s">
        <v>694</v>
      </c>
      <c r="C117" s="17" t="s">
        <v>653</v>
      </c>
      <c r="D117" s="74" t="n">
        <f aca="false">IF(D13&gt;0,D51/D13*Setup!$C$8,"N/M")</f>
        <v>0</v>
      </c>
      <c r="E117" s="74" t="n">
        <f aca="false">IF(E13&gt;0,E51/E13*Setup!$C$8,"N/M")</f>
        <v>0</v>
      </c>
      <c r="F117" s="74" t="n">
        <f aca="false">IF(F13&gt;0,F51/F13*Setup!$C$8,"N/M")</f>
        <v>0</v>
      </c>
      <c r="G117" s="74" t="n">
        <f aca="false">IF(G13&gt;0,G51/G13*Setup!$C$8,"N/M")</f>
        <v>0</v>
      </c>
      <c r="H117" s="74" t="n">
        <f aca="false">IF(H13&gt;0,H51/H13*Setup!$C$8,"N/M")</f>
        <v>0</v>
      </c>
      <c r="I117" s="74" t="n">
        <f aca="false">IF(I13&gt;0,I51/I13*Setup!$C$8,"N/M")</f>
        <v>0</v>
      </c>
      <c r="J117" s="74" t="n">
        <f aca="false">IF(J13&gt;0,J51/J13*Setup!$C$8,"N/M")</f>
        <v>0</v>
      </c>
      <c r="K117" s="58" t="n">
        <f aca="false">IF(COUNT(D117:J117)=0,"N/M",AVERAGE(D117:J117))</f>
        <v>0</v>
      </c>
      <c r="L117" s="58" t="n">
        <f aca="false">IF(COUNT(D117,J117)=2,J117-D117,"-")</f>
        <v>0</v>
      </c>
    </row>
    <row r="118" customFormat="false" ht="15" hidden="false" customHeight="false" outlineLevel="0" collapsed="false">
      <c r="A118" s="16" t="s">
        <v>695</v>
      </c>
      <c r="B118" s="87" t="s">
        <v>696</v>
      </c>
      <c r="C118" s="17" t="s">
        <v>692</v>
      </c>
      <c r="D118" s="73" t="n">
        <f aca="false">IF(D50&gt;0,D7/D50,"N/M")</f>
        <v>5.81194261341605</v>
      </c>
      <c r="E118" s="73" t="n">
        <f aca="false">IF(E50&gt;0,E7/E50,"N/M")</f>
        <v>8.75953523617075</v>
      </c>
      <c r="F118" s="73" t="n">
        <f aca="false">IF(F50&gt;0,F7/F50,"N/M")</f>
        <v>10.9011933174224</v>
      </c>
      <c r="G118" s="73" t="n">
        <f aca="false">IF(G50&gt;0,G7/G50,"N/M")</f>
        <v>9.26183596354746</v>
      </c>
      <c r="H118" s="73" t="n">
        <f aca="false">IF(H50&gt;0,H7/H50,"N/M")</f>
        <v>5.6060430822611</v>
      </c>
      <c r="I118" s="73" t="n">
        <f aca="false">IF(I50&gt;0,I7/I50,"N/M")</f>
        <v>5.59423446508648</v>
      </c>
      <c r="J118" s="73" t="n">
        <f aca="false">IF(J50&gt;0,J7/J50,"N/M")</f>
        <v>4.57295850066934</v>
      </c>
      <c r="K118" s="60" t="n">
        <f aca="false">IF(COUNT(D118:J118)=0,"N/M",AVERAGE(D118:J118))</f>
        <v>7.21539188265337</v>
      </c>
      <c r="L118" s="60" t="n">
        <f aca="false">IF(COUNT(D118,J118)=2,J118-D118,"-")</f>
        <v>-1.23898411274671</v>
      </c>
    </row>
    <row r="119" customFormat="false" ht="15" hidden="false" customHeight="false" outlineLevel="0" collapsed="false">
      <c r="A119" s="16" t="s">
        <v>697</v>
      </c>
      <c r="B119" s="87" t="s">
        <v>698</v>
      </c>
      <c r="C119" s="17" t="s">
        <v>653</v>
      </c>
      <c r="D119" s="74" t="n">
        <f aca="false">IF(D7&gt;0,D50/D7*Setup!$C$8,"N/M")</f>
        <v>62.801721262259</v>
      </c>
      <c r="E119" s="74" t="n">
        <f aca="false">IF(E7&gt;0,E50/E7*Setup!$C$8,"N/M")</f>
        <v>41.6688774186107</v>
      </c>
      <c r="F119" s="74" t="n">
        <f aca="false">IF(F7&gt;0,F50/F7*Setup!$C$8,"N/M")</f>
        <v>33.4825729048078</v>
      </c>
      <c r="G119" s="74" t="n">
        <f aca="false">IF(G7&gt;0,G50/G7*Setup!$C$8,"N/M")</f>
        <v>39.4090330941467</v>
      </c>
      <c r="H119" s="74" t="n">
        <f aca="false">IF(H7&gt;0,H50/H7*Setup!$C$8,"N/M")</f>
        <v>65.1083116280269</v>
      </c>
      <c r="I119" s="74" t="n">
        <f aca="false">IF(I7&gt;0,I50/I7*Setup!$C$8,"N/M")</f>
        <v>65.2457458259854</v>
      </c>
      <c r="J119" s="74" t="n">
        <f aca="false">IF(J7&gt;0,J50/J7*Setup!$C$8,"N/M")</f>
        <v>79.817037470726</v>
      </c>
      <c r="K119" s="58" t="n">
        <f aca="false">IF(COUNT(D119:J119)=0,"N/M",AVERAGE(D119:J119))</f>
        <v>55.3618999435089</v>
      </c>
      <c r="L119" s="58" t="n">
        <f aca="false">IF(COUNT(D119,J119)=2,J119-D119,"-")</f>
        <v>17.015316208467</v>
      </c>
    </row>
    <row r="120" customFormat="false" ht="15" hidden="false" customHeight="false" outlineLevel="0" collapsed="false">
      <c r="A120" s="16" t="s">
        <v>699</v>
      </c>
      <c r="B120" s="87" t="s">
        <v>700</v>
      </c>
      <c r="C120" s="17" t="s">
        <v>692</v>
      </c>
      <c r="D120" s="73" t="n">
        <f aca="false">IF(D42&gt;0,D13/D42,"N/M")</f>
        <v>8.55244965434325</v>
      </c>
      <c r="E120" s="73" t="n">
        <f aca="false">IF(E42&gt;0,E13/E42,"N/M")</f>
        <v>7.17774851876234</v>
      </c>
      <c r="F120" s="73" t="n">
        <f aca="false">IF(F42&gt;0,F13/F42,"N/M")</f>
        <v>11.7566602581708</v>
      </c>
      <c r="G120" s="73" t="n">
        <f aca="false">IF(G42&gt;0,G13/G42,"N/M")</f>
        <v>12.5521951219512</v>
      </c>
      <c r="H120" s="73" t="n">
        <f aca="false">IF(H42&gt;0,H13/H42,"N/M")</f>
        <v>6.74846977811783</v>
      </c>
      <c r="I120" s="73" t="n">
        <f aca="false">IF(I42&gt;0,I13/I42,"N/M")</f>
        <v>7.61649365628604</v>
      </c>
      <c r="J120" s="73" t="n">
        <f aca="false">IF(J42&gt;0,J13/J42,"N/M")</f>
        <v>8.47300444632649</v>
      </c>
      <c r="K120" s="60" t="n">
        <f aca="false">IF(COUNT(D120:J120)=0,"N/M",AVERAGE(D120:J120))</f>
        <v>8.98243163342257</v>
      </c>
      <c r="L120" s="60" t="n">
        <f aca="false">IF(COUNT(D120,J120)=2,J120-D120,"-")</f>
        <v>-0.0794452080167645</v>
      </c>
    </row>
    <row r="121" customFormat="false" ht="15" hidden="false" customHeight="false" outlineLevel="0" collapsed="false">
      <c r="A121" s="16" t="s">
        <v>701</v>
      </c>
      <c r="B121" s="87" t="s">
        <v>702</v>
      </c>
      <c r="C121" s="17" t="s">
        <v>653</v>
      </c>
      <c r="D121" s="74" t="n">
        <f aca="false">IF(D13&gt;0,D42/D13*Setup!$C$8,"N/M")</f>
        <v>42.6778308849371</v>
      </c>
      <c r="E121" s="74" t="n">
        <f aca="false">IF(E13&gt;0,E42/E13*Setup!$C$8,"N/M")</f>
        <v>50.851600476933</v>
      </c>
      <c r="F121" s="74" t="n">
        <f aca="false">IF(F13&gt;0,F42/F13*Setup!$C$8,"N/M")</f>
        <v>31.0462318366584</v>
      </c>
      <c r="G121" s="74" t="n">
        <f aca="false">IF(G13&gt;0,G42/G13*Setup!$C$8,"N/M")</f>
        <v>29.0785792009949</v>
      </c>
      <c r="H121" s="74" t="n">
        <f aca="false">IF(H13&gt;0,H42/H13*Setup!$C$8,"N/M")</f>
        <v>54.0863354213316</v>
      </c>
      <c r="I121" s="74" t="n">
        <f aca="false">IF(I13&gt;0,I42/I13*Setup!$C$8,"N/M")</f>
        <v>47.922313924434</v>
      </c>
      <c r="J121" s="74" t="n">
        <f aca="false">IF(J13&gt;0,J42/J13*Setup!$C$8,"N/M")</f>
        <v>43.077989904543</v>
      </c>
      <c r="K121" s="58" t="n">
        <f aca="false">IF(COUNT(D121:J121)=0,"N/M",AVERAGE(D121:J121))</f>
        <v>42.6772688071188</v>
      </c>
      <c r="L121" s="58" t="n">
        <f aca="false">IF(COUNT(D121,J121)=2,J121-D121,"-")</f>
        <v>0.400159019605859</v>
      </c>
    </row>
    <row r="122" customFormat="false" ht="15" hidden="false" customHeight="false" outlineLevel="0" collapsed="false">
      <c r="A122" s="16" t="s">
        <v>703</v>
      </c>
      <c r="B122" s="87" t="s">
        <v>704</v>
      </c>
      <c r="C122" s="17" t="s">
        <v>653</v>
      </c>
      <c r="D122" s="74" t="n">
        <f aca="false">IF(COUNT(D117,D119,D121)=3,D117+D119-D121,"N/M")</f>
        <v>20.1238903773219</v>
      </c>
      <c r="E122" s="74" t="n">
        <f aca="false">IF(COUNT(E117,E119,E121)=3,E117+E119-E121,"N/M")</f>
        <v>-9.18272305832227</v>
      </c>
      <c r="F122" s="74" t="n">
        <f aca="false">IF(COUNT(F117,F119,F121)=3,F117+F119-F121,"N/M")</f>
        <v>2.43634106814936</v>
      </c>
      <c r="G122" s="74" t="n">
        <f aca="false">IF(COUNT(G117,G119,G121)=3,G117+G119-G121,"N/M")</f>
        <v>10.3304538931519</v>
      </c>
      <c r="H122" s="74" t="n">
        <f aca="false">IF(COUNT(H117,H119,H121)=3,H117+H119-H121,"N/M")</f>
        <v>11.0219762066953</v>
      </c>
      <c r="I122" s="74" t="n">
        <f aca="false">IF(COUNT(I117,I119,I121)=3,I117+I119-I121,"N/M")</f>
        <v>17.3234319015514</v>
      </c>
      <c r="J122" s="74" t="n">
        <f aca="false">IF(COUNT(J117,J119,J121)=3,J117+J119-J121,"N/M")</f>
        <v>36.739047566183</v>
      </c>
      <c r="K122" s="58" t="n">
        <f aca="false">IF(COUNT(D122:J122)=0,"N/M",AVERAGE(D122:J122))</f>
        <v>12.6846311363901</v>
      </c>
      <c r="L122" s="58" t="n">
        <f aca="false">IF(COUNT(D122,J122)=2,J122-D122,"-")</f>
        <v>16.6151571888611</v>
      </c>
    </row>
    <row r="123" customFormat="false" ht="15" hidden="false" customHeight="false" outlineLevel="0" collapsed="false">
      <c r="A123" s="16" t="s">
        <v>705</v>
      </c>
      <c r="B123" s="87" t="s">
        <v>706</v>
      </c>
      <c r="C123" s="17" t="s">
        <v>692</v>
      </c>
      <c r="D123" s="73" t="n">
        <f aca="false">IF(D45&gt;0,D7/D45,"N/M")</f>
        <v>20.8905923344948</v>
      </c>
      <c r="E123" s="73" t="n">
        <f aca="false">IF(E45&gt;0,E7/E45,"N/M")</f>
        <v>12.1467600700525</v>
      </c>
      <c r="F123" s="73" t="n">
        <f aca="false">IF(F45&gt;0,F7/F45,"N/M")</f>
        <v>14.6585365853659</v>
      </c>
      <c r="G123" s="73" t="n">
        <f aca="false">IF(G45&gt;0,G7/G45,"N/M")</f>
        <v>13.6396072013093</v>
      </c>
      <c r="H123" s="73" t="n">
        <f aca="false">IF(H45&gt;0,H7/H45,"N/M")</f>
        <v>14.2772459499264</v>
      </c>
      <c r="I123" s="73" t="n">
        <f aca="false">IF(I45&gt;0,I7/I45,"N/M")</f>
        <v>16.5578308684111</v>
      </c>
      <c r="J123" s="73" t="n">
        <f aca="false">IF(J45&gt;0,J7/J45,"N/M")</f>
        <v>18.2298850574713</v>
      </c>
      <c r="K123" s="60" t="n">
        <f aca="false">IF(COUNT(D123:J123)=0,"N/M",AVERAGE(D123:J123))</f>
        <v>15.7714940095759</v>
      </c>
      <c r="L123" s="60" t="n">
        <f aca="false">IF(COUNT(D123,J123)=2,J123-D123,"-")</f>
        <v>-2.66070727702351</v>
      </c>
    </row>
    <row r="124" customFormat="false" ht="15" hidden="false" customHeight="false" outlineLevel="0" collapsed="false">
      <c r="A124" s="16" t="s">
        <v>707</v>
      </c>
      <c r="B124" s="87" t="s">
        <v>708</v>
      </c>
      <c r="C124" s="17" t="s">
        <v>692</v>
      </c>
      <c r="D124" s="73" t="n">
        <f aca="false">IF(D49&gt;0,D7/D49,"N/M")</f>
        <v>3.41396196332992</v>
      </c>
      <c r="E124" s="73" t="n">
        <f aca="false">IF(E49&gt;0,E7/E49,"N/M")</f>
        <v>3.53254558419069</v>
      </c>
      <c r="F124" s="73" t="n">
        <f aca="false">IF(F49&gt;0,F7/F49,"N/M")</f>
        <v>4.15198618307427</v>
      </c>
      <c r="G124" s="73" t="n">
        <f aca="false">IF(G49&gt;0,G7/G49,"N/M")</f>
        <v>2.70824125828675</v>
      </c>
      <c r="H124" s="73" t="n">
        <f aca="false">IF(H49&gt;0,H7/H49,"N/M")</f>
        <v>2.2735107879925</v>
      </c>
      <c r="I124" s="73" t="n">
        <f aca="false">IF(I49&gt;0,I7/I49,"N/M")</f>
        <v>2.39341117140821</v>
      </c>
      <c r="J124" s="73" t="n">
        <f aca="false">IF(J49&gt;0,J7/J49,"N/M")</f>
        <v>2.28801071667783</v>
      </c>
      <c r="K124" s="60" t="n">
        <f aca="false">IF(COUNT(D124:J124)=0,"N/M",AVERAGE(D124:J124))</f>
        <v>2.96595252356574</v>
      </c>
      <c r="L124" s="60" t="n">
        <f aca="false">IF(COUNT(D124,J124)=2,J124-D124,"-")</f>
        <v>-1.12595124665209</v>
      </c>
    </row>
    <row r="125" customFormat="false" ht="15" hidden="false" customHeight="false" outlineLevel="0" collapsed="false">
      <c r="A125" s="16" t="s">
        <v>709</v>
      </c>
      <c r="B125" s="87" t="s">
        <v>710</v>
      </c>
      <c r="C125" s="17" t="s">
        <v>692</v>
      </c>
      <c r="D125" s="73" t="n">
        <f aca="false">IF(D90&gt;0,D7/D90,"N/M")</f>
        <v>5.4965163182985</v>
      </c>
      <c r="E125" s="73" t="n">
        <f aca="false">IF(E90&gt;0,E7/E90,"N/M")</f>
        <v>6.59296577946768</v>
      </c>
      <c r="F125" s="73" t="n">
        <f aca="false">IF(F90&gt;0,F7/F90,"N/M")</f>
        <v>6.20597826086957</v>
      </c>
      <c r="G125" s="73" t="n">
        <f aca="false">IF(G90&gt;0,G7/G90,"N/M")</f>
        <v>3.38469661278531</v>
      </c>
      <c r="H125" s="73" t="n">
        <f aca="false">IF(H90&gt;0,H7/H90,"N/M")</f>
        <v>3.27840716942847</v>
      </c>
      <c r="I125" s="73" t="n">
        <f aca="false">IF(I90&gt;0,I7/I90,"N/M")</f>
        <v>3.34813281190093</v>
      </c>
      <c r="J125" s="73" t="n">
        <f aca="false">IF(J90&gt;0,J7/J90,"N/M")</f>
        <v>3.02383222116301</v>
      </c>
      <c r="K125" s="60" t="n">
        <f aca="false">IF(COUNT(D125:J125)=0,"N/M",AVERAGE(D125:J125))</f>
        <v>4.47578988198764</v>
      </c>
      <c r="L125" s="60" t="n">
        <f aca="false">IF(COUNT(D125,J125)=2,J125-D125,"-")</f>
        <v>-2.47268409713548</v>
      </c>
    </row>
    <row r="126" customFormat="false" ht="15" hidden="false" customHeight="false" outlineLevel="0" collapsed="false">
      <c r="A126" s="16" t="s">
        <v>711</v>
      </c>
      <c r="B126" s="87" t="s">
        <v>712</v>
      </c>
      <c r="C126" s="17" t="s">
        <v>692</v>
      </c>
      <c r="D126" s="73" t="n">
        <f aca="false">IF(D87&gt;0,D7/D87,"N/M")</f>
        <v>4.13889272400939</v>
      </c>
      <c r="E126" s="73" t="n">
        <f aca="false">IF(E87&gt;0,E7/E87,"N/M")</f>
        <v>5.00057678442682</v>
      </c>
      <c r="F126" s="73" t="n">
        <f aca="false">IF(F87&gt;0,F7/F87,"N/M")</f>
        <v>5.81267498091117</v>
      </c>
      <c r="G126" s="73" t="n">
        <f aca="false">IF(G87&gt;0,G7/G87,"N/M")</f>
        <v>3.386622236671</v>
      </c>
      <c r="H126" s="73" t="n">
        <f aca="false">IF(H87&gt;0,H7/H87,"N/M")</f>
        <v>2.70902612826603</v>
      </c>
      <c r="I126" s="73" t="n">
        <f aca="false">IF(I87&gt;0,I7/I87,"N/M")</f>
        <v>2.80250320924262</v>
      </c>
      <c r="J126" s="73" t="n">
        <f aca="false">IF(J87&gt;0,J7/J87,"N/M")</f>
        <v>2.62040479140851</v>
      </c>
      <c r="K126" s="60" t="n">
        <f aca="false">IF(COUNT(D126:J126)=0,"N/M",AVERAGE(D126:J126))</f>
        <v>3.78152869356222</v>
      </c>
      <c r="L126" s="60" t="n">
        <f aca="false">IF(COUNT(D126,J126)=2,J126-D126,"-")</f>
        <v>-1.51848793260088</v>
      </c>
    </row>
    <row r="127" customFormat="false" ht="15" hidden="false" customHeight="false" outlineLevel="0" collapsed="false">
      <c r="A127" s="16" t="s">
        <v>713</v>
      </c>
      <c r="B127" s="87" t="s">
        <v>714</v>
      </c>
      <c r="C127" s="17" t="s">
        <v>692</v>
      </c>
      <c r="D127" s="73" t="n">
        <f aca="false">IF(D94&gt;0,D7/D94,"N/M")</f>
        <v>7.65526046986721</v>
      </c>
      <c r="E127" s="73" t="n">
        <f aca="false">IF(E94&gt;0,E7/E94,"N/M")</f>
        <v>14.5832632464256</v>
      </c>
      <c r="F127" s="73" t="n">
        <f aca="false">IF(F94&gt;0,F7/F94,"N/M")</f>
        <v>10.8313967275314</v>
      </c>
      <c r="G127" s="73" t="n">
        <f aca="false">IF(G94&gt;0,G7/G94,"N/M")</f>
        <v>4.51500704301658</v>
      </c>
      <c r="H127" s="73" t="n">
        <f aca="false">IF(H94&gt;0,H7/H94,"N/M")</f>
        <v>4.26777459828307</v>
      </c>
      <c r="I127" s="73" t="n">
        <f aca="false">IF(I94&gt;0,I7/I94,"N/M")</f>
        <v>4.20726536904991</v>
      </c>
      <c r="J127" s="73" t="n">
        <f aca="false">IF(J94&gt;0,J7/J94,"N/M")</f>
        <v>3.63285340314136</v>
      </c>
      <c r="K127" s="60" t="n">
        <f aca="false">IF(COUNT(D127:J127)=0,"N/M",AVERAGE(D127:J127))</f>
        <v>7.09897440818788</v>
      </c>
      <c r="L127" s="60" t="n">
        <f aca="false">IF(COUNT(D127,J127)=2,J127-D127,"-")</f>
        <v>-4.02240706672585</v>
      </c>
    </row>
    <row r="128" customFormat="false" ht="16.5" hidden="false" customHeight="true" outlineLevel="0" collapsed="false">
      <c r="A128" s="88" t="s">
        <v>715</v>
      </c>
      <c r="B128" s="89"/>
      <c r="C128" s="89"/>
      <c r="D128" s="89"/>
      <c r="E128" s="89"/>
      <c r="F128" s="89"/>
      <c r="G128" s="89"/>
      <c r="H128" s="89"/>
      <c r="I128" s="89"/>
      <c r="J128" s="89"/>
      <c r="K128" s="89"/>
      <c r="L128" s="89"/>
    </row>
    <row r="129" customFormat="false" ht="15" hidden="false" customHeight="false" outlineLevel="0" collapsed="false">
      <c r="A129" s="16" t="s">
        <v>716</v>
      </c>
      <c r="B129" s="87" t="s">
        <v>717</v>
      </c>
      <c r="C129" s="17" t="s">
        <v>615</v>
      </c>
      <c r="D129" s="71" t="n">
        <f aca="false">IF(D7&gt;0,D14/D7,"N/M")</f>
        <v>0.050837280672493</v>
      </c>
      <c r="E129" s="71" t="n">
        <f aca="false">IF(E7&gt;0,E14/E7,"N/M")</f>
        <v>0.056806712996338</v>
      </c>
      <c r="F129" s="71" t="n">
        <f aca="false">IF(F7&gt;0,F14/F7,"N/M")</f>
        <v>0.0628338733689465</v>
      </c>
      <c r="G129" s="71" t="n">
        <f aca="false">IF(G7&gt;0,G14/G7,"N/M")</f>
        <v>0.0736998728071229</v>
      </c>
      <c r="H129" s="71" t="n">
        <f aca="false">IF(H7&gt;0,H14/H7,"N/M")</f>
        <v>0.0901565360909817</v>
      </c>
      <c r="I129" s="71" t="n">
        <f aca="false">IF(I7&gt;0,I14/I7,"N/M")</f>
        <v>0.0925726587728741</v>
      </c>
      <c r="J129" s="71" t="n">
        <f aca="false">IF(J7&gt;0,J14/J7,"N/M")</f>
        <v>0.098856061970816</v>
      </c>
      <c r="K129" s="62" t="n">
        <f aca="false">IF(COUNT(D129:J129)=0,"N/M",AVERAGE(D129:J129))</f>
        <v>0.0751089995256532</v>
      </c>
      <c r="L129" s="62" t="n">
        <f aca="false">IF(COUNT(D129,J129)=2,J129-D129,"-")</f>
        <v>0.048018781298323</v>
      </c>
    </row>
    <row r="130" customFormat="false" ht="15" hidden="false" customHeight="false" outlineLevel="0" collapsed="false">
      <c r="A130" s="16" t="s">
        <v>718</v>
      </c>
      <c r="B130" s="87" t="s">
        <v>719</v>
      </c>
      <c r="C130" s="17" t="s">
        <v>615</v>
      </c>
      <c r="D130" s="71" t="n">
        <f aca="false">IF(D7&gt;0,D21/D7,"N/M")</f>
        <v>-0.0117085862966177</v>
      </c>
      <c r="E130" s="71" t="n">
        <f aca="false">IF(E7&gt;0,E21/E7,"N/M")</f>
        <v>0.0268462181723812</v>
      </c>
      <c r="F130" s="71" t="n">
        <f aca="false">IF(F7&gt;0,F21/F7,"N/M")</f>
        <v>0.023601015850775</v>
      </c>
      <c r="G130" s="71" t="n">
        <f aca="false">IF(G7&gt;0,G21/G7,"N/M")</f>
        <v>0.019198924860208</v>
      </c>
      <c r="H130" s="71" t="n">
        <f aca="false">IF(H7&gt;0,H21/H7,"N/M")</f>
        <v>0.0152409933723598</v>
      </c>
      <c r="I130" s="71" t="n">
        <f aca="false">IF(I7&gt;0,I21/I7,"N/M")</f>
        <v>0.032682133614273</v>
      </c>
      <c r="J130" s="71" t="n">
        <f aca="false">IF(J7&gt;0,J21/J7,"N/M")</f>
        <v>0.0373130967393262</v>
      </c>
      <c r="K130" s="62" t="n">
        <f aca="false">IF(COUNT(D130:J130)=0,"N/M",AVERAGE(D130:J130))</f>
        <v>0.0204533994732436</v>
      </c>
      <c r="L130" s="62" t="n">
        <f aca="false">IF(COUNT(D130,J130)=2,J130-D130,"-")</f>
        <v>0.0490216830359439</v>
      </c>
    </row>
    <row r="131" customFormat="false" ht="15" hidden="false" customHeight="false" outlineLevel="0" collapsed="false">
      <c r="A131" s="16" t="s">
        <v>720</v>
      </c>
      <c r="B131" s="87" t="s">
        <v>721</v>
      </c>
      <c r="C131" s="17" t="s">
        <v>615</v>
      </c>
      <c r="D131" s="71" t="n">
        <f aca="false">IF(D7&gt;0,D23/D7,"N/M")</f>
        <v>-0.0159450263526588</v>
      </c>
      <c r="E131" s="71" t="n">
        <f aca="false">IF(E7&gt;0,E23/E7,"N/M")</f>
        <v>0.0206176648692294</v>
      </c>
      <c r="F131" s="71" t="n">
        <f aca="false">IF(F7&gt;0,F23/F7,"N/M")</f>
        <v>0.0176022418775724</v>
      </c>
      <c r="G131" s="71" t="n">
        <f aca="false">IF(G7&gt;0,G23/G7,"N/M")</f>
        <v>0.01245530250306</v>
      </c>
      <c r="H131" s="71" t="n">
        <f aca="false">IF(H7&gt;0,H23/H7,"N/M")</f>
        <v>0.00954173865951458</v>
      </c>
      <c r="I131" s="71" t="n">
        <f aca="false">IF(I7&gt;0,I23/I7,"N/M")</f>
        <v>0.0279183748253671</v>
      </c>
      <c r="J131" s="71" t="n">
        <f aca="false">IF(J7&gt;0,J23/J7,"N/M")</f>
        <v>0.0330120698973158</v>
      </c>
      <c r="K131" s="62" t="n">
        <f aca="false">IF(COUNT(D131:J131)=0,"N/M",AVERAGE(D131:J131))</f>
        <v>0.0150289094684858</v>
      </c>
      <c r="L131" s="62" t="n">
        <f aca="false">IF(COUNT(D131,J131)=2,J131-D131,"-")</f>
        <v>0.0489570962499746</v>
      </c>
    </row>
    <row r="132" customFormat="false" ht="15" hidden="false" customHeight="false" outlineLevel="0" collapsed="false">
      <c r="A132" s="16" t="s">
        <v>722</v>
      </c>
      <c r="B132" s="87" t="s">
        <v>723</v>
      </c>
      <c r="C132" s="17" t="s">
        <v>615</v>
      </c>
      <c r="D132" s="71" t="n">
        <f aca="false">IF(D7&gt;0,D26/D7,"N/M")</f>
        <v>-0.0289545666822338</v>
      </c>
      <c r="E132" s="71" t="n">
        <f aca="false">IF(E7&gt;0,E26/E7,"N/M")</f>
        <v>0.0111594913348137</v>
      </c>
      <c r="F132" s="71" t="n">
        <f aca="false">IF(F7&gt;0,F26/F7,"N/M")</f>
        <v>0.00985200105088005</v>
      </c>
      <c r="G132" s="71" t="n">
        <f aca="false">IF(G7&gt;0,G26/G7,"N/M")</f>
        <v>0.00206388442247248</v>
      </c>
      <c r="H132" s="71" t="n">
        <f aca="false">IF(H7&gt;0,H26/H7,"N/M")</f>
        <v>0.000567346622998086</v>
      </c>
      <c r="I132" s="71" t="n">
        <f aca="false">IF(I7&gt;0,I26/I7,"N/M")</f>
        <v>0.0144515951721138</v>
      </c>
      <c r="J132" s="71" t="n">
        <f aca="false">IF(J7&gt;0,J26/J7,"N/M")</f>
        <v>0.0260989010989011</v>
      </c>
      <c r="K132" s="62" t="n">
        <f aca="false">IF(COUNT(D132:J132)=0,"N/M",AVERAGE(D132:J132))</f>
        <v>0.00503409328856363</v>
      </c>
      <c r="L132" s="62" t="n">
        <f aca="false">IF(COUNT(D132,J132)=2,J132-D132,"-")</f>
        <v>0.0550534677811349</v>
      </c>
    </row>
    <row r="133" customFormat="false" ht="15" hidden="false" customHeight="false" outlineLevel="0" collapsed="false">
      <c r="A133" s="16" t="s">
        <v>724</v>
      </c>
      <c r="B133" s="87" t="s">
        <v>725</v>
      </c>
      <c r="C133" s="17" t="s">
        <v>615</v>
      </c>
      <c r="D133" s="71" t="n">
        <f aca="false">IF(D7&gt;0,D30/D7,"N/M")</f>
        <v>-0.0285876309293482</v>
      </c>
      <c r="E133" s="71" t="n">
        <f aca="false">IF(E7&gt;0,E30/E7,"N/M")</f>
        <v>0.00723780962542172</v>
      </c>
      <c r="F133" s="71" t="n">
        <f aca="false">IF(F7&gt;0,F30/F7,"N/M")</f>
        <v>0.00617392065855154</v>
      </c>
      <c r="G133" s="71" t="n">
        <f aca="false">IF(G7&gt;0,G30/G7,"N/M")</f>
        <v>0.000143991936451559</v>
      </c>
      <c r="H133" s="71" t="n">
        <f aca="false">IF(H7&gt;0,H30/H7,"N/M")</f>
        <v>0.000670500554452382</v>
      </c>
      <c r="I133" s="71" t="n">
        <f aca="false">IF(I7&gt;0,I30/I7,"N/M")</f>
        <v>0.00854270205895152</v>
      </c>
      <c r="J133" s="71" t="n">
        <f aca="false">IF(J7&gt;0,J30/J7,"N/M")</f>
        <v>0.0153125562961629</v>
      </c>
      <c r="K133" s="62" t="n">
        <f aca="false">IF(COUNT(D133:J133)=0,"N/M",AVERAGE(D133:J133))</f>
        <v>0.00135626431437763</v>
      </c>
      <c r="L133" s="62" t="n">
        <f aca="false">IF(COUNT(D133,J133)=2,J133-D133,"-")</f>
        <v>0.0439001872255111</v>
      </c>
    </row>
    <row r="134" customFormat="false" ht="16.5" hidden="false" customHeight="true" outlineLevel="0" collapsed="false">
      <c r="A134" s="88" t="s">
        <v>726</v>
      </c>
      <c r="B134" s="89"/>
      <c r="C134" s="89"/>
      <c r="D134" s="89"/>
      <c r="E134" s="89"/>
      <c r="F134" s="89"/>
      <c r="G134" s="89"/>
      <c r="H134" s="89"/>
      <c r="I134" s="89"/>
      <c r="J134" s="89"/>
      <c r="K134" s="89"/>
      <c r="L134" s="89"/>
    </row>
    <row r="135" customFormat="false" ht="15" hidden="false" customHeight="false" outlineLevel="0" collapsed="false">
      <c r="A135" s="16" t="s">
        <v>727</v>
      </c>
      <c r="B135" s="87" t="s">
        <v>728</v>
      </c>
      <c r="C135" s="17" t="s">
        <v>615</v>
      </c>
      <c r="D135" s="71" t="n">
        <f aca="false">IF(D7&gt;0,D13/D7,"N/M")</f>
        <v>0.949162719327507</v>
      </c>
      <c r="E135" s="71" t="n">
        <f aca="false">IF(E7&gt;0,E13/E7,"N/M")</f>
        <v>0.943193287003662</v>
      </c>
      <c r="F135" s="71" t="n">
        <f aca="false">IF(F7&gt;0,F13/F7,"N/M")</f>
        <v>0.937166126631054</v>
      </c>
      <c r="G135" s="71" t="n">
        <f aca="false">IF(G7&gt;0,G13/G7,"N/M")</f>
        <v>0.926300127192877</v>
      </c>
      <c r="H135" s="71" t="n">
        <f aca="false">IF(H7&gt;0,H13/H7,"N/M")</f>
        <v>0.909843463909018</v>
      </c>
      <c r="I135" s="71" t="n">
        <f aca="false">IF(I7&gt;0,I13/I7,"N/M")</f>
        <v>0.907427341227126</v>
      </c>
      <c r="J135" s="71" t="n">
        <f aca="false">IF(J7&gt;0,J13/J7,"N/M")</f>
        <v>0.901143938029184</v>
      </c>
      <c r="K135" s="62" t="n">
        <f aca="false">IF(COUNT(D135:J135)=0,"N/M",AVERAGE(D135:J135))</f>
        <v>0.924891000474347</v>
      </c>
      <c r="L135" s="62" t="n">
        <f aca="false">IF(COUNT(D135,J135)=2,J135-D135,"-")</f>
        <v>-0.0480187812983229</v>
      </c>
    </row>
    <row r="136" customFormat="false" ht="15" hidden="false" customHeight="false" outlineLevel="0" collapsed="false">
      <c r="A136" s="16" t="s">
        <v>729</v>
      </c>
      <c r="B136" s="87" t="s">
        <v>730</v>
      </c>
      <c r="C136" s="17" t="s">
        <v>615</v>
      </c>
      <c r="D136" s="71" t="n">
        <f aca="false">IF(D7&gt;0,D19/D7,"N/M")</f>
        <v>0.0625458669691107</v>
      </c>
      <c r="E136" s="71" t="n">
        <f aca="false">IF(E7&gt;0,E19/E7,"N/M")</f>
        <v>0.0299604948239569</v>
      </c>
      <c r="F136" s="71" t="n">
        <f aca="false">IF(F7&gt;0,F19/F7,"N/M")</f>
        <v>0.0392328575181715</v>
      </c>
      <c r="G136" s="71" t="n">
        <f aca="false">IF(G7&gt;0,G19/G7,"N/M")</f>
        <v>0.054500947946915</v>
      </c>
      <c r="H136" s="71" t="n">
        <f aca="false">IF(H7&gt;0,H19/H7,"N/M")</f>
        <v>0.0749155427186219</v>
      </c>
      <c r="I136" s="71" t="n">
        <f aca="false">IF(I7&gt;0,I19/I7,"N/M")</f>
        <v>0.0598905251586011</v>
      </c>
      <c r="J136" s="71" t="n">
        <f aca="false">IF(J7&gt;0,J19/J7,"N/M")</f>
        <v>0.0615429652314898</v>
      </c>
      <c r="K136" s="62" t="n">
        <f aca="false">IF(COUNT(D136:J136)=0,"N/M",AVERAGE(D136:J136))</f>
        <v>0.0546556000524096</v>
      </c>
      <c r="L136" s="62" t="n">
        <f aca="false">IF(COUNT(D136,J136)=2,J136-D136,"-")</f>
        <v>-0.00100290173762086</v>
      </c>
    </row>
    <row r="137" customFormat="false" ht="15" hidden="false" customHeight="false" outlineLevel="0" collapsed="false">
      <c r="A137" s="16" t="s">
        <v>731</v>
      </c>
      <c r="B137" s="87" t="s">
        <v>732</v>
      </c>
      <c r="C137" s="17" t="s">
        <v>615</v>
      </c>
      <c r="D137" s="71" t="n">
        <f aca="false">IF(D7&gt;0,D16/D7,"N/M")</f>
        <v>0.0389619053972914</v>
      </c>
      <c r="E137" s="71" t="n">
        <f aca="false">IF(E7&gt;0,E16/E7,"N/M")</f>
        <v>0.025462095216125</v>
      </c>
      <c r="F137" s="71" t="n">
        <f aca="false">IF(F7&gt;0,F16/F7,"N/M")</f>
        <v>0.0269944828794115</v>
      </c>
      <c r="G137" s="71" t="n">
        <f aca="false">IF(G7&gt;0,G16/G7,"N/M")</f>
        <v>0.0410377018886942</v>
      </c>
      <c r="H137" s="71" t="n">
        <f aca="false">IF(H7&gt;0,H16/H7,"N/M")</f>
        <v>0.0578951440286768</v>
      </c>
      <c r="I137" s="71" t="n">
        <f aca="false">IF(I7&gt;0,I16/I7,"N/M")</f>
        <v>0.0459656917756453</v>
      </c>
      <c r="J137" s="71" t="n">
        <f aca="false">IF(J7&gt;0,J16/J7,"N/M")</f>
        <v>0.0464330751215997</v>
      </c>
      <c r="K137" s="62" t="n">
        <f aca="false">IF(COUNT(D137:J137)=0,"N/M",AVERAGE(D137:J137))</f>
        <v>0.0403928709010634</v>
      </c>
      <c r="L137" s="62" t="n">
        <f aca="false">IF(COUNT(D137,J137)=2,J137-D137,"-")</f>
        <v>0.00747116972430836</v>
      </c>
    </row>
    <row r="138" customFormat="false" ht="15" hidden="false" customHeight="false" outlineLevel="0" collapsed="false">
      <c r="A138" s="16" t="s">
        <v>733</v>
      </c>
      <c r="B138" s="87" t="s">
        <v>734</v>
      </c>
      <c r="C138" s="17" t="s">
        <v>615</v>
      </c>
      <c r="D138" s="71" t="n">
        <f aca="false">IF(D7&gt;0,D17/D7,"N/M")</f>
        <v>0.0156448061912069</v>
      </c>
      <c r="E138" s="71" t="n">
        <f aca="false">IF(E7&gt;0,E17/E7,"N/M")</f>
        <v>0.00657458404221575</v>
      </c>
      <c r="F138" s="71" t="n">
        <f aca="false">IF(F7&gt;0,F17/F7,"N/M")</f>
        <v>0.0122164813030913</v>
      </c>
      <c r="G138" s="71" t="n">
        <f aca="false">IF(G7&gt;0,G17/G7,"N/M")</f>
        <v>0.0125752957834361</v>
      </c>
      <c r="H138" s="71" t="n">
        <f aca="false">IF(H7&gt;0,H17/H7,"N/M")</f>
        <v>0.0123784717745055</v>
      </c>
      <c r="I138" s="71" t="n">
        <f aca="false">IF(I7&gt;0,I17/I7,"N/M")</f>
        <v>0.0100084739939995</v>
      </c>
      <c r="J138" s="71" t="n">
        <f aca="false">IF(J7&gt;0,J17/J7,"N/M")</f>
        <v>0.0124301927580616</v>
      </c>
      <c r="K138" s="62" t="n">
        <f aca="false">IF(COUNT(D138:J138)=0,"N/M",AVERAGE(D138:J138))</f>
        <v>0.0116897579780738</v>
      </c>
      <c r="L138" s="62" t="n">
        <f aca="false">IF(COUNT(D138,J138)=2,J138-D138,"-")</f>
        <v>-0.00321461343314528</v>
      </c>
    </row>
    <row r="139" customFormat="false" ht="15" hidden="false" customHeight="false" outlineLevel="0" collapsed="false">
      <c r="A139" s="16" t="s">
        <v>735</v>
      </c>
      <c r="B139" s="87" t="s">
        <v>736</v>
      </c>
      <c r="C139" s="17" t="s">
        <v>615</v>
      </c>
      <c r="D139" s="71" t="n">
        <f aca="false">IF(D7&gt;0,D25/D7,"N/M")</f>
        <v>0.0152778704383214</v>
      </c>
      <c r="E139" s="71" t="n">
        <f aca="false">IF(E7&gt;0,E25/E7,"N/M")</f>
        <v>0.0111883272297356</v>
      </c>
      <c r="F139" s="71" t="n">
        <f aca="false">IF(F7&gt;0,F25/F7,"N/M")</f>
        <v>0.00884490761012348</v>
      </c>
      <c r="G139" s="71" t="n">
        <f aca="false">IF(G7&gt;0,G25/G7,"N/M")</f>
        <v>0.0121193213180062</v>
      </c>
      <c r="H139" s="71" t="n">
        <f aca="false">IF(H7&gt;0,H25/H7,"N/M")</f>
        <v>0.0153183588209506</v>
      </c>
      <c r="I139" s="71" t="n">
        <f aca="false">IF(I7&gt;0,I25/I7,"N/M")</f>
        <v>0.015802853674736</v>
      </c>
      <c r="J139" s="71" t="n">
        <f aca="false">IF(J7&gt;0,J25/J7,"N/M")</f>
        <v>0.0157629255989912</v>
      </c>
      <c r="K139" s="62" t="n">
        <f aca="false">IF(COUNT(D139:J139)=0,"N/M",AVERAGE(D139:J139))</f>
        <v>0.0134735092415521</v>
      </c>
      <c r="L139" s="62" t="n">
        <f aca="false">IF(COUNT(D139,J139)=2,J139-D139,"-")</f>
        <v>0.000485055160669736</v>
      </c>
    </row>
    <row r="140" customFormat="false" ht="15" hidden="false" customHeight="false" outlineLevel="0" collapsed="false">
      <c r="A140" s="16" t="s">
        <v>737</v>
      </c>
      <c r="B140" s="87" t="s">
        <v>738</v>
      </c>
      <c r="C140" s="17" t="s">
        <v>615</v>
      </c>
      <c r="D140" s="71" t="n">
        <f aca="false">IF(D7&gt;0,D20/D7,"N/M")</f>
        <v>1.01170858629662</v>
      </c>
      <c r="E140" s="71" t="n">
        <f aca="false">IF(E7&gt;0,E20/E7,"N/M")</f>
        <v>0.973153781827619</v>
      </c>
      <c r="F140" s="71" t="n">
        <f aca="false">IF(F7&gt;0,F20/F7,"N/M")</f>
        <v>0.976398984149225</v>
      </c>
      <c r="G140" s="71" t="n">
        <f aca="false">IF(G7&gt;0,G20/G7,"N/M")</f>
        <v>0.980801075139792</v>
      </c>
      <c r="H140" s="71" t="n">
        <f aca="false">IF(H7&gt;0,H20/H7,"N/M")</f>
        <v>0.98475900662764</v>
      </c>
      <c r="I140" s="71" t="n">
        <f aca="false">IF(I7&gt;0,I20/I7,"N/M")</f>
        <v>0.967317866385727</v>
      </c>
      <c r="J140" s="71" t="n">
        <f aca="false">IF(J7&gt;0,J20/J7,"N/M")</f>
        <v>0.962686903260674</v>
      </c>
      <c r="K140" s="62" t="n">
        <f aca="false">IF(COUNT(D140:J140)=0,"N/M",AVERAGE(D140:J140))</f>
        <v>0.979546600526756</v>
      </c>
      <c r="L140" s="62" t="n">
        <f aca="false">IF(COUNT(D140,J140)=2,J140-D140,"-")</f>
        <v>-0.049021683035944</v>
      </c>
    </row>
    <row r="141" customFormat="false" ht="16.5" hidden="false" customHeight="true" outlineLevel="0" collapsed="false">
      <c r="A141" s="88" t="s">
        <v>739</v>
      </c>
      <c r="B141" s="89"/>
      <c r="C141" s="89"/>
      <c r="D141" s="89"/>
      <c r="E141" s="89"/>
      <c r="F141" s="89"/>
      <c r="G141" s="89"/>
      <c r="H141" s="89"/>
      <c r="I141" s="89"/>
      <c r="J141" s="89"/>
      <c r="K141" s="89"/>
      <c r="L141" s="89"/>
    </row>
    <row r="142" customFormat="false" ht="15" hidden="false" customHeight="false" outlineLevel="0" collapsed="false">
      <c r="A142" s="16" t="s">
        <v>740</v>
      </c>
      <c r="B142" s="87" t="s">
        <v>741</v>
      </c>
      <c r="C142" s="17" t="s">
        <v>615</v>
      </c>
      <c r="D142" s="71" t="n">
        <f aca="false">IF(D49&gt;0,D30/D49,"N/M")</f>
        <v>-0.0975970846145086</v>
      </c>
      <c r="E142" s="71" t="n">
        <f aca="false">IF(E49&gt;0,E30/E49,"N/M")</f>
        <v>0.0255678924314964</v>
      </c>
      <c r="F142" s="71" t="n">
        <f aca="false">IF(F49&gt;0,F30/F49,"N/M")</f>
        <v>0.0256340332697028</v>
      </c>
      <c r="G142" s="71" t="n">
        <f aca="false">IF(G49&gt;0,G30/G49,"N/M")</f>
        <v>0.000389964903158716</v>
      </c>
      <c r="H142" s="71" t="n">
        <f aca="false">IF(H49&gt;0,H30/H49,"N/M")</f>
        <v>0.00152439024390244</v>
      </c>
      <c r="I142" s="71" t="n">
        <f aca="false">IF(I49&gt;0,I30/I49,"N/M")</f>
        <v>0.0204461985419065</v>
      </c>
      <c r="J142" s="71" t="n">
        <f aca="false">IF(J49&gt;0,J30/J49,"N/M")</f>
        <v>0.0350352929053532</v>
      </c>
      <c r="K142" s="62" t="n">
        <f aca="false">IF(COUNT(D142:J142)=0,"N/M",AVERAGE(D142:J142))</f>
        <v>0.00157152681157305</v>
      </c>
      <c r="L142" s="62" t="n">
        <f aca="false">IF(COUNT(D142,J142)=2,J142-D142,"-")</f>
        <v>0.132632377519862</v>
      </c>
    </row>
    <row r="143" customFormat="false" ht="15" hidden="false" customHeight="false" outlineLevel="0" collapsed="false">
      <c r="A143" s="16" t="s">
        <v>742</v>
      </c>
      <c r="B143" s="87" t="s">
        <v>743</v>
      </c>
      <c r="C143" s="17" t="s">
        <v>615</v>
      </c>
      <c r="D143" s="71" t="n">
        <f aca="false">IF(D49&gt;0,(D30+D25*(1-D77))/D49,"N/M")</f>
        <v>-0.0454390160573967</v>
      </c>
      <c r="E143" s="71" t="n">
        <f aca="false">IF(E49&gt;0,(E30+E25*(1-E77))/E49,"N/M")</f>
        <v>0.0512801548334522</v>
      </c>
      <c r="F143" s="71" t="n">
        <f aca="false">IF(F49&gt;0,(F30+F25*(1-F77))/F49,"N/M")</f>
        <v>0.0495251558949187</v>
      </c>
      <c r="G143" s="71" t="n">
        <f aca="false">IF(G49&gt;0,(G30+G25*(1-G77))/G49,"N/M")</f>
        <v>0.0217426751592357</v>
      </c>
      <c r="H143" s="71" t="n">
        <f aca="false">IF(H49&gt;0,(H30+H25*(1-H77))/H49,"N/M")</f>
        <v>0.0363508442776735</v>
      </c>
      <c r="I143" s="71" t="n">
        <f aca="false">IF(I49&gt;0,(I30+I25*(1-I77))/I49,"N/M")</f>
        <v>0.0450521515101683</v>
      </c>
      <c r="J143" s="71" t="n">
        <f aca="false">IF(J49&gt;0,(J30+J25*(1-J77))/J49,"N/M")</f>
        <v>0.0584982224741099</v>
      </c>
      <c r="K143" s="62" t="n">
        <f aca="false">IF(COUNT(D143:J143)=0,"N/M",AVERAGE(D143:J143))</f>
        <v>0.0310014554417374</v>
      </c>
      <c r="L143" s="62" t="n">
        <f aca="false">IF(COUNT(D143,J143)=2,J143-D143,"-")</f>
        <v>0.103937238531507</v>
      </c>
    </row>
    <row r="144" customFormat="false" ht="15" hidden="false" customHeight="false" outlineLevel="0" collapsed="false">
      <c r="A144" s="16" t="s">
        <v>744</v>
      </c>
      <c r="B144" s="87" t="s">
        <v>745</v>
      </c>
      <c r="C144" s="17" t="s">
        <v>615</v>
      </c>
      <c r="D144" s="71" t="n">
        <f aca="false">IF(D49&gt;0,D23/D49,"N/M")</f>
        <v>-0.0544357134722702</v>
      </c>
      <c r="E144" s="71" t="n">
        <f aca="false">IF(E49&gt;0,E23/E49,"N/M")</f>
        <v>0.0728328409901198</v>
      </c>
      <c r="F144" s="71" t="n">
        <f aca="false">IF(F49&gt;0,F23/F49,"N/M")</f>
        <v>0.0730842650668119</v>
      </c>
      <c r="G144" s="71" t="n">
        <f aca="false">IF(G49&gt;0,G23/G49,"N/M")</f>
        <v>0.0337319641232293</v>
      </c>
      <c r="H144" s="71" t="n">
        <f aca="false">IF(H49&gt;0,H23/H49,"N/M")</f>
        <v>0.0216932457786114</v>
      </c>
      <c r="I144" s="71" t="n">
        <f aca="false">IF(I49&gt;0,I23/I49,"N/M")</f>
        <v>0.0668201501945954</v>
      </c>
      <c r="J144" s="71" t="n">
        <f aca="false">IF(J49&gt;0,J23/J49,"N/M")</f>
        <v>0.0755319697047761</v>
      </c>
      <c r="K144" s="62" t="n">
        <f aca="false">IF(COUNT(D144:J144)=0,"N/M",AVERAGE(D144:J144))</f>
        <v>0.0413226746265534</v>
      </c>
      <c r="L144" s="62" t="n">
        <f aca="false">IF(COUNT(D144,J144)=2,J144-D144,"-")</f>
        <v>0.129967683177046</v>
      </c>
    </row>
    <row r="145" customFormat="false" ht="15" hidden="false" customHeight="false" outlineLevel="0" collapsed="false">
      <c r="A145" s="16" t="s">
        <v>746</v>
      </c>
      <c r="B145" s="87" t="s">
        <v>747</v>
      </c>
      <c r="C145" s="17" t="s">
        <v>615</v>
      </c>
      <c r="D145" s="71" t="n">
        <f aca="false">IF(D90&gt;0,D23/D90,"N/M")</f>
        <v>-0.0876420975430885</v>
      </c>
      <c r="E145" s="71" t="n">
        <f aca="false">IF(E90&gt;0,E23/E90,"N/M")</f>
        <v>0.135931558935362</v>
      </c>
      <c r="F145" s="71" t="n">
        <f aca="false">IF(F90&gt;0,F23/F90,"N/M")</f>
        <v>0.109239130434782</v>
      </c>
      <c r="G145" s="71" t="n">
        <f aca="false">IF(G90&gt;0,G23/G90,"N/M")</f>
        <v>0.0421574201933235</v>
      </c>
      <c r="H145" s="71" t="n">
        <f aca="false">IF(H90&gt;0,H23/H90,"N/M")</f>
        <v>0.0312817044301654</v>
      </c>
      <c r="I145" s="71" t="n">
        <f aca="false">IF(I90&gt;0,I23/I90,"N/M")</f>
        <v>0.0934744268077604</v>
      </c>
      <c r="J145" s="71" t="n">
        <f aca="false">IF(J90&gt;0,J23/J90,"N/M")</f>
        <v>0.099822960642789</v>
      </c>
      <c r="K145" s="62" t="n">
        <f aca="false">IF(COUNT(D145:J145)=0,"N/M",AVERAGE(D145:J145))</f>
        <v>0.0606093005572992</v>
      </c>
      <c r="L145" s="62" t="n">
        <f aca="false">IF(COUNT(D145,J145)=2,J145-D145,"-")</f>
        <v>0.187465058185878</v>
      </c>
    </row>
    <row r="146" customFormat="false" ht="15" hidden="false" customHeight="false" outlineLevel="0" collapsed="false">
      <c r="A146" s="16" t="s">
        <v>748</v>
      </c>
      <c r="B146" s="87" t="s">
        <v>749</v>
      </c>
      <c r="C146" s="17" t="s">
        <v>615</v>
      </c>
      <c r="D146" s="71" t="n">
        <f aca="false">IF(D90&gt;0,D23*(1-D77)/D90,"N/M")</f>
        <v>-0.0876420975430885</v>
      </c>
      <c r="E146" s="71" t="n">
        <f aca="false">IF(E90&gt;0,E23*(1-E77)/E90,"N/M")</f>
        <v>0.0884316349809893</v>
      </c>
      <c r="F146" s="71" t="n">
        <f aca="false">IF(F90&gt;0,F23*(1-F77)/F90,"N/M")</f>
        <v>0.0710666086956519</v>
      </c>
      <c r="G146" s="71" t="n">
        <f aca="false">IF(G90&gt;0,G23*(1-G77)/G90,"N/M")</f>
        <v>0.0274259312809685</v>
      </c>
      <c r="H146" s="71" t="n">
        <f aca="false">IF(H90&gt;0,H23*(1-H77)/H90,"N/M")</f>
        <v>0.0312817044301654</v>
      </c>
      <c r="I146" s="71" t="n">
        <f aca="false">IF(I90&gt;0,I23*(1-I77)/I90,"N/M")</f>
        <v>0.0608107231040566</v>
      </c>
      <c r="J146" s="71" t="n">
        <f aca="false">IF(J90&gt;0,J23*(1-J77)/J90,"N/M")</f>
        <v>0.0649408252757728</v>
      </c>
      <c r="K146" s="62" t="n">
        <f aca="false">IF(COUNT(D146:J146)=0,"N/M",AVERAGE(D146:J146))</f>
        <v>0.0366164757463595</v>
      </c>
      <c r="L146" s="62" t="n">
        <f aca="false">IF(COUNT(D146,J146)=2,J146-D146,"-")</f>
        <v>0.152582922818861</v>
      </c>
    </row>
    <row r="147" customFormat="false" ht="15" hidden="false" customHeight="false" outlineLevel="0" collapsed="false">
      <c r="A147" s="16" t="s">
        <v>750</v>
      </c>
      <c r="B147" s="87" t="s">
        <v>751</v>
      </c>
      <c r="C147" s="17" t="s">
        <v>615</v>
      </c>
      <c r="D147" s="71" t="n">
        <f aca="false">IF(D40&gt;0,D30/D40,"N/M")</f>
        <v>-0.496523754345307</v>
      </c>
      <c r="E147" s="71" t="n">
        <f aca="false">IF(E40&gt;0,E30/E40,"N/M")</f>
        <v>0.11658151416628</v>
      </c>
      <c r="F147" s="71" t="n">
        <f aca="false">IF(F40&gt;0,F30/F40,"N/M")</f>
        <v>0.115716044316783</v>
      </c>
      <c r="G147" s="71" t="n">
        <f aca="false">IF(G40&gt;0,G30/G40,"N/M")</f>
        <v>0.00096401028277635</v>
      </c>
      <c r="H147" s="71" t="n">
        <f aca="false">IF(H40&gt;0,H30/H40,"N/M")</f>
        <v>0.00416133162612036</v>
      </c>
      <c r="I147" s="71" t="n">
        <f aca="false">IF(I40&gt;0,I30/I40,"N/M")</f>
        <v>0.0564552747086424</v>
      </c>
      <c r="J147" s="71" t="n">
        <f aca="false">IF(J40&gt;0,J30/J40,"N/M")</f>
        <v>0.0934194257452947</v>
      </c>
      <c r="K147" s="62" t="n">
        <f aca="false">IF(COUNT(D147:J147)=0,"N/M",AVERAGE(D147:J147))</f>
        <v>-0.0156037362142016</v>
      </c>
      <c r="L147" s="62" t="n">
        <f aca="false">IF(COUNT(D147,J147)=2,J147-D147,"-")</f>
        <v>0.589943180090602</v>
      </c>
    </row>
    <row r="148" customFormat="false" ht="15" hidden="false" customHeight="false" outlineLevel="0" collapsed="false">
      <c r="A148" s="16" t="s">
        <v>752</v>
      </c>
      <c r="B148" s="87" t="s">
        <v>753</v>
      </c>
      <c r="C148" s="17" t="s">
        <v>615</v>
      </c>
      <c r="D148" s="71" t="n">
        <f aca="false">IF(D39&gt;0,(D30-D32)/D39,"N/M")</f>
        <v>-0.496523754345307</v>
      </c>
      <c r="E148" s="71" t="n">
        <f aca="false">IF(E39&gt;0,(E30-E32)/E39,"N/M")</f>
        <v>0.11658151416628</v>
      </c>
      <c r="F148" s="71" t="n">
        <f aca="false">IF(F39&gt;0,(F30-F32)/F39,"N/M")</f>
        <v>0.115716044316783</v>
      </c>
      <c r="G148" s="71" t="n">
        <f aca="false">IF(G39&gt;0,(G30-G32)/G39,"N/M")</f>
        <v>0.00096401028277635</v>
      </c>
      <c r="H148" s="71" t="n">
        <f aca="false">IF(H39&gt;0,(H30-H32)/H39,"N/M")</f>
        <v>0.00416133162612036</v>
      </c>
      <c r="I148" s="71" t="n">
        <f aca="false">IF(I39&gt;0,(I30-I32)/I39,"N/M")</f>
        <v>0.0564552747086424</v>
      </c>
      <c r="J148" s="71" t="n">
        <f aca="false">IF(J39&gt;0,(J30-J32)/J39,"N/M")</f>
        <v>0.0934194257452947</v>
      </c>
      <c r="K148" s="62" t="n">
        <f aca="false">IF(COUNT(D148:J148)=0,"N/M",AVERAGE(D148:J148))</f>
        <v>-0.0156037362142016</v>
      </c>
      <c r="L148" s="62" t="n">
        <f aca="false">IF(COUNT(D148,J148)=2,J148-D148,"-")</f>
        <v>0.589943180090602</v>
      </c>
    </row>
    <row r="149" customFormat="false" ht="16.5" hidden="false" customHeight="true" outlineLevel="0" collapsed="false">
      <c r="A149" s="88" t="s">
        <v>754</v>
      </c>
      <c r="B149" s="89"/>
      <c r="C149" s="89"/>
      <c r="D149" s="89"/>
      <c r="E149" s="89"/>
      <c r="F149" s="89"/>
      <c r="G149" s="89"/>
      <c r="H149" s="89"/>
      <c r="I149" s="89"/>
      <c r="J149" s="89"/>
      <c r="K149" s="89"/>
      <c r="L149" s="89"/>
    </row>
    <row r="150" customFormat="false" ht="15" hidden="false" customHeight="false" outlineLevel="0" collapsed="false">
      <c r="A150" s="16" t="s">
        <v>755</v>
      </c>
      <c r="B150" s="87" t="s">
        <v>756</v>
      </c>
      <c r="C150" s="17" t="s">
        <v>757</v>
      </c>
      <c r="D150" s="93" t="n">
        <f aca="false">IF(D81&gt;0,(D30-D32)/D81,"N/M")</f>
        <v>-1.84698275862069</v>
      </c>
      <c r="E150" s="93" t="n">
        <f aca="false">IF(E81&gt;0,(E30-E32)/E81,"N/M")</f>
        <v>0.540948275862069</v>
      </c>
      <c r="F150" s="93" t="n">
        <f aca="false">IF(F81&gt;0,(F30-F32)/F81,"N/M")</f>
        <v>0.607758620689655</v>
      </c>
      <c r="G150" s="93" t="n">
        <f aca="false">IF(G81&gt;0,(G30-G32)/G81,"N/M")</f>
        <v>0.0129310344827586</v>
      </c>
      <c r="H150" s="93" t="n">
        <f aca="false">IF(H81&gt;0,(H30-H32)/H81,"N/M")</f>
        <v>0.0560344827586207</v>
      </c>
      <c r="I150" s="93" t="n">
        <f aca="false">IF(I81&gt;0,(I30-I32)/I81,"N/M")</f>
        <v>0.803879310344828</v>
      </c>
      <c r="J150" s="93" t="n">
        <f aca="false">IF(J81&gt;0,(J30-J32)/J81,"N/M")</f>
        <v>1.46551724137931</v>
      </c>
      <c r="K150" s="66" t="n">
        <f aca="false">IF(COUNT(D150:J150)=0,"N/M",AVERAGE(D150:J150))</f>
        <v>0.23429802955665</v>
      </c>
      <c r="L150" s="66" t="n">
        <f aca="false">IF(COUNT(D150,J150)=2,J150-D150,"-")</f>
        <v>3.3125</v>
      </c>
    </row>
    <row r="151" customFormat="false" ht="15" hidden="false" customHeight="false" outlineLevel="0" collapsed="false">
      <c r="A151" s="16" t="s">
        <v>759</v>
      </c>
      <c r="B151" s="87" t="s">
        <v>760</v>
      </c>
      <c r="C151" s="17" t="s">
        <v>757</v>
      </c>
      <c r="D151" s="93" t="n">
        <f aca="false">IF(D81&gt;0,(D30+D22)/D81,"N/M")</f>
        <v>-1.57327586206897</v>
      </c>
      <c r="E151" s="93" t="n">
        <f aca="false">IF(E81&gt;0,(E30+E22)/E81,"N/M")</f>
        <v>1.00646551724138</v>
      </c>
      <c r="F151" s="93" t="n">
        <f aca="false">IF(F81&gt;0,(F30+F22)/F81,"N/M")</f>
        <v>1.19827586206897</v>
      </c>
      <c r="G151" s="93" t="n">
        <f aca="false">IF(G81&gt;0,(G30+G22)/G81,"N/M")</f>
        <v>0.618534482758621</v>
      </c>
      <c r="H151" s="93" t="n">
        <f aca="false">IF(H81&gt;0,(H30+H22)/H81,"N/M")</f>
        <v>0.532327586206897</v>
      </c>
      <c r="I151" s="93" t="n">
        <f aca="false">IF(I81&gt;0,(I30+I22)/I81,"N/M")</f>
        <v>1.25215517241379</v>
      </c>
      <c r="J151" s="93" t="n">
        <f aca="false">IF(J81&gt;0,(J30+J22)/J81,"N/M")</f>
        <v>1.87715517241379</v>
      </c>
      <c r="K151" s="66" t="n">
        <f aca="false">IF(COUNT(D151:J151)=0,"N/M",AVERAGE(D151:J151))</f>
        <v>0.701662561576355</v>
      </c>
      <c r="L151" s="66" t="n">
        <f aca="false">IF(COUNT(D151,J151)=2,J151-D151,"-")</f>
        <v>3.45043103448276</v>
      </c>
    </row>
    <row r="152" customFormat="false" ht="15" hidden="false" customHeight="false" outlineLevel="0" collapsed="false">
      <c r="A152" s="16" t="s">
        <v>761</v>
      </c>
      <c r="B152" s="87" t="s">
        <v>762</v>
      </c>
      <c r="C152" s="17" t="s">
        <v>757</v>
      </c>
      <c r="D152" s="93" t="n">
        <f aca="false">IF(D81&gt;0,D39/D81,"N/M")</f>
        <v>3.7198275862069</v>
      </c>
      <c r="E152" s="93" t="n">
        <f aca="false">IF(E81&gt;0,E39/E81,"N/M")</f>
        <v>4.64008620689655</v>
      </c>
      <c r="F152" s="93" t="n">
        <f aca="false">IF(F81&gt;0,F39/F81,"N/M")</f>
        <v>5.25215517241379</v>
      </c>
      <c r="G152" s="93" t="n">
        <f aca="false">IF(G81&gt;0,G39/G81,"N/M")</f>
        <v>13.4137931034483</v>
      </c>
      <c r="H152" s="93" t="n">
        <f aca="false">IF(H81&gt;0,H39/H81,"N/M")</f>
        <v>13.4655172413793</v>
      </c>
      <c r="I152" s="93" t="n">
        <f aca="false">IF(I81&gt;0,I39/I81,"N/M")</f>
        <v>14.239224137931</v>
      </c>
      <c r="J152" s="93" t="n">
        <f aca="false">IF(J81&gt;0,J39/J81,"N/M")</f>
        <v>15.6875</v>
      </c>
      <c r="K152" s="66" t="n">
        <f aca="false">IF(COUNT(D152:J152)=0,"N/M",AVERAGE(D152:J152))</f>
        <v>10.0597290640394</v>
      </c>
      <c r="L152" s="66" t="n">
        <f aca="false">IF(COUNT(D152,J152)=2,J152-D152,"-")</f>
        <v>11.9676724137931</v>
      </c>
    </row>
    <row r="153" customFormat="false" ht="15" hidden="false" customHeight="false" outlineLevel="0" collapsed="false">
      <c r="A153" s="16" t="s">
        <v>763</v>
      </c>
      <c r="B153" s="87" t="s">
        <v>764</v>
      </c>
      <c r="C153" s="17" t="s">
        <v>757</v>
      </c>
      <c r="D153" s="93" t="n">
        <f aca="false">IF(D81&gt;0,D31/D81,"N/M")</f>
        <v>0</v>
      </c>
      <c r="E153" s="93" t="n">
        <f aca="false">IF(E81&gt;0,E31/E81,"N/M")</f>
        <v>0</v>
      </c>
      <c r="F153" s="93" t="n">
        <f aca="false">IF(F81&gt;0,F31/F81,"N/M")</f>
        <v>0.0258620689655172</v>
      </c>
      <c r="G153" s="93" t="n">
        <f aca="false">IF(G81&gt;0,G31/G81,"N/M")</f>
        <v>0</v>
      </c>
      <c r="H153" s="93" t="n">
        <f aca="false">IF(H81&gt;0,H31/H81,"N/M")</f>
        <v>0</v>
      </c>
      <c r="I153" s="93" t="n">
        <f aca="false">IF(I81&gt;0,I31/I81,"N/M")</f>
        <v>0</v>
      </c>
      <c r="J153" s="93" t="n">
        <f aca="false">IF(J81&gt;0,J31/J81,"N/M")</f>
        <v>0</v>
      </c>
      <c r="K153" s="66" t="n">
        <f aca="false">IF(COUNT(D153:J153)=0,"N/M",AVERAGE(D153:J153))</f>
        <v>0.00369458128078818</v>
      </c>
      <c r="L153" s="66" t="n">
        <f aca="false">IF(COUNT(D153,J153)=2,J153-D153,"-")</f>
        <v>0</v>
      </c>
    </row>
    <row r="154" customFormat="false" ht="15" hidden="false" customHeight="false" outlineLevel="0" collapsed="false">
      <c r="A154" s="16" t="s">
        <v>765</v>
      </c>
      <c r="B154" s="87" t="s">
        <v>812</v>
      </c>
      <c r="C154" s="17" t="s">
        <v>615</v>
      </c>
      <c r="D154" s="71" t="n">
        <f aca="false">IF(D31=0,0,IF(D150&gt;0,D153/D150,"N/M"))</f>
        <v>0</v>
      </c>
      <c r="E154" s="71" t="n">
        <f aca="false">IF(E31=0,0,IF(E150&gt;0,E153/E150,"N/M"))</f>
        <v>0</v>
      </c>
      <c r="F154" s="71" t="n">
        <f aca="false">IF(F31=0,0,IF(F150&gt;0,F153/F150,"N/M"))</f>
        <v>0.0425531914893617</v>
      </c>
      <c r="G154" s="71" t="n">
        <f aca="false">IF(G31=0,0,IF(G150&gt;0,G153/G150,"N/M"))</f>
        <v>0</v>
      </c>
      <c r="H154" s="71" t="n">
        <f aca="false">IF(H31=0,0,IF(H150&gt;0,H153/H150,"N/M"))</f>
        <v>0</v>
      </c>
      <c r="I154" s="71" t="n">
        <f aca="false">IF(I31=0,0,IF(I150&gt;0,I153/I150,"N/M"))</f>
        <v>0</v>
      </c>
      <c r="J154" s="71" t="n">
        <f aca="false">IF(J31=0,0,IF(J150&gt;0,J153/J150,"N/M"))</f>
        <v>0</v>
      </c>
      <c r="K154" s="62" t="n">
        <f aca="false">IF(COUNT(D154:J154)=0,"N/M",AVERAGE(D154:J154))</f>
        <v>0.0060790273556231</v>
      </c>
      <c r="L154" s="62" t="n">
        <f aca="false">IF(COUNT(D154,J154)=2,J154-D154,"-")</f>
        <v>0</v>
      </c>
    </row>
    <row r="155" customFormat="false" ht="15" hidden="false" customHeight="false" outlineLevel="0" collapsed="false">
      <c r="A155" s="16" t="s">
        <v>767</v>
      </c>
      <c r="B155" s="87" t="s">
        <v>768</v>
      </c>
      <c r="C155" s="17" t="s">
        <v>615</v>
      </c>
      <c r="D155" s="71" t="n">
        <f aca="false">IF(ISNUMBER(D154),1-D154,"N/M")</f>
        <v>1</v>
      </c>
      <c r="E155" s="71" t="n">
        <f aca="false">IF(ISNUMBER(E154),1-E154,"N/M")</f>
        <v>1</v>
      </c>
      <c r="F155" s="71" t="n">
        <f aca="false">IF(ISNUMBER(F154),1-F154,"N/M")</f>
        <v>0.957446808510638</v>
      </c>
      <c r="G155" s="71" t="n">
        <f aca="false">IF(ISNUMBER(G154),1-G154,"N/M")</f>
        <v>1</v>
      </c>
      <c r="H155" s="71" t="n">
        <f aca="false">IF(ISNUMBER(H154),1-H154,"N/M")</f>
        <v>1</v>
      </c>
      <c r="I155" s="71" t="n">
        <f aca="false">IF(ISNUMBER(I154),1-I154,"N/M")</f>
        <v>1</v>
      </c>
      <c r="J155" s="71" t="n">
        <f aca="false">IF(ISNUMBER(J154),1-J154,"N/M")</f>
        <v>1</v>
      </c>
      <c r="K155" s="62" t="n">
        <f aca="false">IF(COUNT(D155:J155)=0,"N/M",AVERAGE(D155:J155))</f>
        <v>0.993920972644377</v>
      </c>
      <c r="L155" s="62" t="n">
        <f aca="false">IF(COUNT(D155,J155)=2,J155-D155,"-")</f>
        <v>0</v>
      </c>
    </row>
    <row r="156" customFormat="false" ht="15" hidden="false" customHeight="false" outlineLevel="0" collapsed="false">
      <c r="A156" s="16" t="s">
        <v>769</v>
      </c>
      <c r="B156" s="87" t="s">
        <v>813</v>
      </c>
      <c r="C156" s="17" t="s">
        <v>615</v>
      </c>
      <c r="D156" s="71" t="n">
        <f aca="false">IF(D84=0,"N/C",IF(D80&gt;0,D150/D80,"N/M"))</f>
        <v>-0.325173020883924</v>
      </c>
      <c r="E156" s="71" t="n">
        <f aca="false">IF(E84=0,"N/C",IF(E80&gt;0,E150/E80,"N/M"))</f>
        <v>0.0752361997026522</v>
      </c>
      <c r="F156" s="71" t="n">
        <f aca="false">IF(F84=0,"N/C",IF(F80&gt;0,F150/F80,"N/M"))</f>
        <v>0.0208995399136745</v>
      </c>
      <c r="G156" s="71" t="n">
        <f aca="false">IF(G84=0,"N/C",IF(G80&gt;0,G150/G80,"N/M"))</f>
        <v>0.0010958503798948</v>
      </c>
      <c r="H156" s="71" t="n">
        <f aca="false">IF(H84=0,"N/C",IF(H80&gt;0,H150/H80,"N/M"))</f>
        <v>0.00450076166735909</v>
      </c>
      <c r="I156" s="71" t="n">
        <f aca="false">IF(I84=0,"N/C",IF(I80&gt;0,I150/I80,"N/M"))</f>
        <v>0.0697811901340996</v>
      </c>
      <c r="J156" s="71" t="n">
        <f aca="false">IF(J84=0,"N/C",IF(J80&gt;0,J150/J80,"N/M"))</f>
        <v>0.0859037069976149</v>
      </c>
      <c r="K156" s="62" t="n">
        <f aca="false">IF(COUNT(D156:J156)=0,"N/M",AVERAGE(D156:J156))</f>
        <v>-0.00967939601266131</v>
      </c>
      <c r="L156" s="62" t="n">
        <f aca="false">IF(COUNT(D156,J156)=2,J156-D156,"-")</f>
        <v>0.411076727881539</v>
      </c>
    </row>
    <row r="157" customFormat="false" ht="15" hidden="false" customHeight="false" outlineLevel="0" collapsed="false">
      <c r="A157" s="16" t="s">
        <v>771</v>
      </c>
      <c r="B157" s="87" t="s">
        <v>814</v>
      </c>
      <c r="C157" s="17" t="s">
        <v>615</v>
      </c>
      <c r="D157" s="71" t="n">
        <f aca="false">IF(D84=0,"N/C",IF(D80&gt;0,D153/D80,"N/M"))</f>
        <v>0</v>
      </c>
      <c r="E157" s="71" t="n">
        <f aca="false">IF(E84=0,"N/C",IF(E80&gt;0,E153/E80,"N/M"))</f>
        <v>0</v>
      </c>
      <c r="F157" s="71" t="n">
        <f aca="false">IF(F84=0,"N/C",IF(F80&gt;0,F153/F80,"N/M"))</f>
        <v>0.00088934212398615</v>
      </c>
      <c r="G157" s="71" t="n">
        <f aca="false">IF(G84=0,"N/C",IF(G80&gt;0,G153/G80,"N/M"))</f>
        <v>0</v>
      </c>
      <c r="H157" s="71" t="n">
        <f aca="false">IF(H84=0,"N/C",IF(H80&gt;0,H153/H80,"N/M"))</f>
        <v>0</v>
      </c>
      <c r="I157" s="71" t="n">
        <f aca="false">IF(I84=0,"N/C",IF(I80&gt;0,I153/I80,"N/M"))</f>
        <v>0</v>
      </c>
      <c r="J157" s="71" t="n">
        <f aca="false">IF(J84=0,"N/C",IF(J80&gt;0,J153/J80,"N/M"))</f>
        <v>0</v>
      </c>
      <c r="K157" s="62" t="n">
        <f aca="false">IF(COUNT(D157:J157)=0,"N/M",AVERAGE(D157:J157))</f>
        <v>0.000127048874855164</v>
      </c>
      <c r="L157" s="62" t="n">
        <f aca="false">IF(COUNT(D157,J157)=2,J157-D157,"-")</f>
        <v>0</v>
      </c>
    </row>
    <row r="158" customFormat="false" ht="15" hidden="false" customHeight="false" outlineLevel="0" collapsed="false">
      <c r="A158" s="16" t="s">
        <v>773</v>
      </c>
      <c r="B158" s="87" t="s">
        <v>815</v>
      </c>
      <c r="C158" s="17" t="s">
        <v>115</v>
      </c>
      <c r="D158" s="73" t="str">
        <f aca="false">IF(D84=0,"N/C",IF(D150&gt;0,D80/D150,"N/M"))</f>
        <v>N/M</v>
      </c>
      <c r="E158" s="73" t="n">
        <f aca="false">IF(E84=0,"N/C",IF(E150&gt;0,E80/E150,"N/M"))</f>
        <v>13.2914741035857</v>
      </c>
      <c r="F158" s="73" t="n">
        <f aca="false">IF(F84=0,"N/C",IF(F150&gt;0,F80/F150,"N/M"))</f>
        <v>47.8479432624114</v>
      </c>
      <c r="G158" s="73" t="n">
        <f aca="false">IF(G84=0,"N/C",IF(G150&gt;0,G80/G150,"N/M"))</f>
        <v>912.533333333333</v>
      </c>
      <c r="H158" s="73" t="n">
        <f aca="false">IF(H84=0,"N/C",IF(H150&gt;0,H80/H150,"N/M"))</f>
        <v>222.184615384615</v>
      </c>
      <c r="I158" s="73" t="n">
        <f aca="false">IF(I84=0,"N/C",IF(I150&gt;0,I80/I150,"N/M"))</f>
        <v>14.330509383378</v>
      </c>
      <c r="J158" s="73" t="n">
        <f aca="false">IF(J84=0,"N/C",IF(J150&gt;0,J80/J150,"N/M"))</f>
        <v>11.6409411764706</v>
      </c>
      <c r="K158" s="60" t="n">
        <f aca="false">IF(COUNT(D158:J158)=0,"N/M",AVERAGE(D158:J158))</f>
        <v>203.638136107299</v>
      </c>
      <c r="L158" s="60" t="str">
        <f aca="false">IF(COUNT(D158,J158)=2,J158-D158,"-")</f>
        <v>-</v>
      </c>
    </row>
    <row r="159" customFormat="false" ht="15" hidden="false" customHeight="false" outlineLevel="0" collapsed="false">
      <c r="A159" s="16" t="s">
        <v>775</v>
      </c>
      <c r="B159" s="87" t="s">
        <v>816</v>
      </c>
      <c r="C159" s="17" t="s">
        <v>115</v>
      </c>
      <c r="D159" s="73" t="n">
        <f aca="false">IF(D84=0,"N/C",IF(D152&gt;0,D80/D152,"N/M"))</f>
        <v>1.52695249130939</v>
      </c>
      <c r="E159" s="73" t="n">
        <f aca="false">IF(E84=0,"N/C",IF(E152&gt;0,E80/E152,"N/M"))</f>
        <v>1.54954017649791</v>
      </c>
      <c r="F159" s="73" t="n">
        <f aca="false">IF(F84=0,"N/C",IF(F152&gt;0,F80/F152,"N/M"))</f>
        <v>5.53677472302011</v>
      </c>
      <c r="G159" s="73" t="n">
        <f aca="false">IF(G84=0,"N/C",IF(G152&gt;0,G80/G152,"N/M"))</f>
        <v>0.879691516709512</v>
      </c>
      <c r="H159" s="73" t="n">
        <f aca="false">IF(H84=0,"N/C",IF(H152&gt;0,H80/H152,"N/M"))</f>
        <v>0.924583866837388</v>
      </c>
      <c r="I159" s="73" t="n">
        <f aca="false">IF(I84=0,"N/C",IF(I152&gt;0,I80/I152,"N/M"))</f>
        <v>0.809032843953383</v>
      </c>
      <c r="J159" s="73" t="n">
        <f aca="false">IF(J84=0,"N/C",IF(J152&gt;0,J80/J152,"N/M"))</f>
        <v>1.08749003984064</v>
      </c>
      <c r="K159" s="60" t="n">
        <f aca="false">IF(COUNT(D159:J159)=0,"N/M",AVERAGE(D159:J159))</f>
        <v>1.75915223688119</v>
      </c>
      <c r="L159" s="60" t="n">
        <f aca="false">IF(COUNT(D159,J159)=2,J159-D159,"-")</f>
        <v>-0.439462451468749</v>
      </c>
    </row>
    <row r="160" customFormat="false" ht="15" hidden="false" customHeight="false" outlineLevel="0" collapsed="false">
      <c r="A160" s="16" t="s">
        <v>777</v>
      </c>
      <c r="B160" s="87" t="s">
        <v>817</v>
      </c>
      <c r="C160" s="17" t="s">
        <v>115</v>
      </c>
      <c r="D160" s="73" t="str">
        <f aca="false">IF(D84=0,"N/C",IF(D21&gt;0,D83/D21,"N/M"))</f>
        <v>N/M</v>
      </c>
      <c r="E160" s="73" t="n">
        <f aca="false">IF(E84=0,"N/C",IF(E21&gt;0,E83/E21,"N/M"))</f>
        <v>6.57804511278191</v>
      </c>
      <c r="F160" s="73" t="n">
        <f aca="false">IF(F84=0,"N/C",IF(F21&gt;0,F83/F21,"N/M"))</f>
        <v>16.4722820037106</v>
      </c>
      <c r="G160" s="73" t="n">
        <f aca="false">IF(G84=0,"N/C",IF(G21&gt;0,G83/G21,"N/M"))</f>
        <v>13.3914999999999</v>
      </c>
      <c r="H160" s="73" t="n">
        <f aca="false">IF(H84=0,"N/C",IF(H21&gt;0,H83/H21,"N/M"))</f>
        <v>16.9658206429781</v>
      </c>
      <c r="I160" s="73" t="n">
        <f aca="false">IF(I84=0,"N/C",IF(I21&gt;0,I83/I21,"N/M"))</f>
        <v>7.3835178696566</v>
      </c>
      <c r="J160" s="73" t="n">
        <f aca="false">IF(J84=0,"N/C",IF(J21&gt;0,J83/J21,"N/M"))</f>
        <v>8.36803862401931</v>
      </c>
      <c r="K160" s="60" t="n">
        <f aca="false">IF(COUNT(D160:J160)=0,"N/M",AVERAGE(D160:J160))</f>
        <v>11.5265340421911</v>
      </c>
      <c r="L160" s="60" t="str">
        <f aca="false">IF(COUNT(D160,J160)=2,J160-D160,"-")</f>
        <v>-</v>
      </c>
    </row>
    <row r="162" customFormat="false" ht="19.5" hidden="false" customHeight="true" outlineLevel="0" collapsed="false">
      <c r="A162" s="85" t="s">
        <v>779</v>
      </c>
      <c r="B162" s="86"/>
      <c r="C162" s="86"/>
      <c r="D162" s="86"/>
      <c r="E162" s="86"/>
      <c r="F162" s="86"/>
      <c r="G162" s="86"/>
      <c r="H162" s="86"/>
      <c r="I162" s="86"/>
      <c r="J162" s="86"/>
      <c r="K162" s="86"/>
      <c r="L162" s="86"/>
    </row>
    <row r="163" customFormat="false" ht="16.5" hidden="false" customHeight="true" outlineLevel="0" collapsed="false">
      <c r="A163" s="88" t="s">
        <v>780</v>
      </c>
      <c r="B163" s="89"/>
      <c r="C163" s="89"/>
      <c r="D163" s="89"/>
      <c r="E163" s="89"/>
      <c r="F163" s="89"/>
      <c r="G163" s="89"/>
      <c r="H163" s="89"/>
      <c r="I163" s="89"/>
      <c r="J163" s="89"/>
      <c r="K163" s="89"/>
      <c r="L163" s="89"/>
    </row>
    <row r="164" customFormat="false" ht="15" hidden="false" customHeight="false" outlineLevel="0" collapsed="false">
      <c r="A164" s="16" t="s">
        <v>300</v>
      </c>
      <c r="B164" s="87" t="s">
        <v>725</v>
      </c>
      <c r="C164" s="17" t="s">
        <v>615</v>
      </c>
      <c r="D164" s="71" t="n">
        <f aca="false">IF(D7&gt;0,D30/D7,"N/M")</f>
        <v>-0.0285876309293482</v>
      </c>
      <c r="E164" s="71" t="n">
        <f aca="false">IF(E7&gt;0,E30/E7,"N/M")</f>
        <v>0.00723780962542172</v>
      </c>
      <c r="F164" s="71" t="n">
        <f aca="false">IF(F7&gt;0,F30/F7,"N/M")</f>
        <v>0.00617392065855154</v>
      </c>
      <c r="G164" s="71" t="n">
        <f aca="false">IF(G7&gt;0,G30/G7,"N/M")</f>
        <v>0.000143991936451559</v>
      </c>
      <c r="H164" s="71" t="n">
        <f aca="false">IF(H7&gt;0,H30/H7,"N/M")</f>
        <v>0.000670500554452382</v>
      </c>
      <c r="I164" s="71" t="n">
        <f aca="false">IF(I7&gt;0,I30/I7,"N/M")</f>
        <v>0.00854270205895152</v>
      </c>
      <c r="J164" s="71" t="n">
        <f aca="false">IF(J7&gt;0,J30/J7,"N/M")</f>
        <v>0.0153125562961629</v>
      </c>
      <c r="K164" s="62" t="n">
        <f aca="false">IF(COUNT(D164:J164)=0,"N/M",AVERAGE(D164:J164))</f>
        <v>0.00135626431437763</v>
      </c>
      <c r="L164" s="62" t="n">
        <f aca="false">IF(COUNT(D164,J164)=2,J164-D164,"-")</f>
        <v>0.0439001872255111</v>
      </c>
    </row>
    <row r="165" customFormat="false" ht="15" hidden="false" customHeight="false" outlineLevel="0" collapsed="false">
      <c r="A165" s="16" t="s">
        <v>781</v>
      </c>
      <c r="B165" s="87" t="s">
        <v>708</v>
      </c>
      <c r="C165" s="17" t="s">
        <v>692</v>
      </c>
      <c r="D165" s="73" t="n">
        <f aca="false">IF(D49&gt;0,D7/D49,"N/M")</f>
        <v>3.41396196332992</v>
      </c>
      <c r="E165" s="73" t="n">
        <f aca="false">IF(E49&gt;0,E7/E49,"N/M")</f>
        <v>3.53254558419069</v>
      </c>
      <c r="F165" s="73" t="n">
        <f aca="false">IF(F49&gt;0,F7/F49,"N/M")</f>
        <v>4.15198618307427</v>
      </c>
      <c r="G165" s="73" t="n">
        <f aca="false">IF(G49&gt;0,G7/G49,"N/M")</f>
        <v>2.70824125828675</v>
      </c>
      <c r="H165" s="73" t="n">
        <f aca="false">IF(H49&gt;0,H7/H49,"N/M")</f>
        <v>2.2735107879925</v>
      </c>
      <c r="I165" s="73" t="n">
        <f aca="false">IF(I49&gt;0,I7/I49,"N/M")</f>
        <v>2.39341117140821</v>
      </c>
      <c r="J165" s="73" t="n">
        <f aca="false">IF(J49&gt;0,J7/J49,"N/M")</f>
        <v>2.28801071667783</v>
      </c>
      <c r="K165" s="60" t="n">
        <f aca="false">IF(COUNT(D165:J165)=0,"N/M",AVERAGE(D165:J165))</f>
        <v>2.96595252356574</v>
      </c>
      <c r="L165" s="60" t="n">
        <f aca="false">IF(COUNT(D165,J165)=2,J165-D165,"-")</f>
        <v>-1.12595124665209</v>
      </c>
    </row>
    <row r="166" customFormat="false" ht="15" hidden="false" customHeight="false" outlineLevel="0" collapsed="false">
      <c r="A166" s="16" t="s">
        <v>782</v>
      </c>
      <c r="B166" s="87" t="s">
        <v>783</v>
      </c>
      <c r="C166" s="17" t="s">
        <v>692</v>
      </c>
      <c r="D166" s="73" t="n">
        <f aca="false">IF(D40&gt;0,D49/D40,"N/M")</f>
        <v>5.08748551564311</v>
      </c>
      <c r="E166" s="73" t="n">
        <f aca="false">IF(E40&gt;0,E49/E40,"N/M")</f>
        <v>4.55968416163493</v>
      </c>
      <c r="F166" s="73" t="n">
        <f aca="false">IF(F40&gt;0,F49/F40,"N/M")</f>
        <v>4.51415675010259</v>
      </c>
      <c r="G166" s="73" t="n">
        <f aca="false">IF(G40&gt;0,G49/G40,"N/M")</f>
        <v>2.47204370179949</v>
      </c>
      <c r="H166" s="73" t="n">
        <f aca="false">IF(H40&gt;0,H49/H40,"N/M")</f>
        <v>2.72983354673496</v>
      </c>
      <c r="I166" s="73" t="n">
        <f aca="false">IF(I40&gt;0,I49/I40,"N/M")</f>
        <v>2.76116240351143</v>
      </c>
      <c r="J166" s="73" t="n">
        <f aca="false">IF(J40&gt;0,J49/J40,"N/M")</f>
        <v>2.66643769748592</v>
      </c>
      <c r="K166" s="60" t="n">
        <f aca="false">IF(COUNT(D166:J166)=0,"N/M",AVERAGE(D166:J166))</f>
        <v>3.54154339670177</v>
      </c>
      <c r="L166" s="60" t="n">
        <f aca="false">IF(COUNT(D166,J166)=2,J166-D166,"-")</f>
        <v>-2.42104781815719</v>
      </c>
    </row>
    <row r="167" customFormat="false" ht="15" hidden="false" customHeight="false" outlineLevel="0" collapsed="false">
      <c r="A167" s="12" t="s">
        <v>303</v>
      </c>
      <c r="B167" s="87" t="s">
        <v>741</v>
      </c>
      <c r="C167" s="17" t="s">
        <v>615</v>
      </c>
      <c r="D167" s="30" t="n">
        <f aca="false">IF(D49&gt;0,D30/D49,"N/M")</f>
        <v>-0.0975970846145086</v>
      </c>
      <c r="E167" s="30" t="n">
        <f aca="false">IF(E49&gt;0,E30/E49,"N/M")</f>
        <v>0.0255678924314964</v>
      </c>
      <c r="F167" s="30" t="n">
        <f aca="false">IF(F49&gt;0,F30/F49,"N/M")</f>
        <v>0.0256340332697028</v>
      </c>
      <c r="G167" s="30" t="n">
        <f aca="false">IF(G49&gt;0,G30/G49,"N/M")</f>
        <v>0.000389964903158716</v>
      </c>
      <c r="H167" s="30" t="n">
        <f aca="false">IF(H49&gt;0,H30/H49,"N/M")</f>
        <v>0.00152439024390244</v>
      </c>
      <c r="I167" s="30" t="n">
        <f aca="false">IF(I49&gt;0,I30/I49,"N/M")</f>
        <v>0.0204461985419065</v>
      </c>
      <c r="J167" s="30" t="n">
        <f aca="false">IF(J49&gt;0,J30/J49,"N/M")</f>
        <v>0.0350352929053532</v>
      </c>
      <c r="K167" s="30" t="n">
        <f aca="false">IF(COUNT(D167:J167)=0,"N/M",AVERAGE(D167:J167))</f>
        <v>0.00157152681157305</v>
      </c>
      <c r="L167" s="30" t="n">
        <f aca="false">IF(COUNT(D167,J167)=2,J167-D167,"-")</f>
        <v>0.132632377519862</v>
      </c>
    </row>
    <row r="168" customFormat="false" ht="15" hidden="false" customHeight="false" outlineLevel="0" collapsed="false">
      <c r="A168" s="12" t="s">
        <v>784</v>
      </c>
      <c r="B168" s="87" t="s">
        <v>751</v>
      </c>
      <c r="C168" s="17" t="s">
        <v>615</v>
      </c>
      <c r="D168" s="30" t="n">
        <f aca="false">IF(D40&gt;0,D30/D40,"N/M")</f>
        <v>-0.496523754345307</v>
      </c>
      <c r="E168" s="30" t="n">
        <f aca="false">IF(E40&gt;0,E30/E40,"N/M")</f>
        <v>0.11658151416628</v>
      </c>
      <c r="F168" s="30" t="n">
        <f aca="false">IF(F40&gt;0,F30/F40,"N/M")</f>
        <v>0.115716044316783</v>
      </c>
      <c r="G168" s="30" t="n">
        <f aca="false">IF(G40&gt;0,G30/G40,"N/M")</f>
        <v>0.00096401028277635</v>
      </c>
      <c r="H168" s="30" t="n">
        <f aca="false">IF(H40&gt;0,H30/H40,"N/M")</f>
        <v>0.00416133162612036</v>
      </c>
      <c r="I168" s="30" t="n">
        <f aca="false">IF(I40&gt;0,I30/I40,"N/M")</f>
        <v>0.0564552747086424</v>
      </c>
      <c r="J168" s="30" t="n">
        <f aca="false">IF(J40&gt;0,J30/J40,"N/M")</f>
        <v>0.0934194257452947</v>
      </c>
      <c r="K168" s="30" t="n">
        <f aca="false">IF(COUNT(D168:J168)=0,"N/M",AVERAGE(D168:J168))</f>
        <v>-0.0156037362142016</v>
      </c>
      <c r="L168" s="30" t="n">
        <f aca="false">IF(COUNT(D168,J168)=2,J168-D168,"-")</f>
        <v>0.589943180090602</v>
      </c>
    </row>
    <row r="169" customFormat="false" ht="15" hidden="false" customHeight="false" outlineLevel="0" collapsed="false">
      <c r="A169" s="16" t="s">
        <v>785</v>
      </c>
      <c r="B169" s="87" t="s">
        <v>786</v>
      </c>
      <c r="C169" s="17" t="s">
        <v>615</v>
      </c>
      <c r="D169" s="94" t="n">
        <f aca="false">IF(COUNT(D164,D165,D166,D168)=4,D164*D165*D166-D168,"-")</f>
        <v>0</v>
      </c>
      <c r="E169" s="94" t="n">
        <f aca="false">IF(COUNT(E164,E165,E166,E168)=4,E164*E165*E166-E168,"-")</f>
        <v>0</v>
      </c>
      <c r="F169" s="94" t="n">
        <f aca="false">IF(COUNT(F164,F165,F166,F168)=4,F164*F165*F166-F168,"-")</f>
        <v>0</v>
      </c>
      <c r="G169" s="94" t="n">
        <f aca="false">IF(COUNT(G164,G165,G166,G168)=4,G164*G165*G166-G168,"-")</f>
        <v>0</v>
      </c>
      <c r="H169" s="94" t="n">
        <f aca="false">IF(COUNT(H164,H165,H166,H168)=4,H164*H165*H166-H168,"-")</f>
        <v>0</v>
      </c>
      <c r="I169" s="94" t="n">
        <f aca="false">IF(COUNT(I164,I165,I166,I168)=4,I164*I165*I166-I168,"-")</f>
        <v>0</v>
      </c>
      <c r="J169" s="94" t="n">
        <f aca="false">IF(COUNT(J164,J165,J166,J168)=4,J164*J165*J166-J168,"-")</f>
        <v>0</v>
      </c>
      <c r="K169" s="62"/>
      <c r="L169" s="62"/>
    </row>
    <row r="170" customFormat="false" ht="16.5" hidden="false" customHeight="true" outlineLevel="0" collapsed="false">
      <c r="A170" s="88" t="s">
        <v>787</v>
      </c>
      <c r="B170" s="89"/>
      <c r="C170" s="89"/>
      <c r="D170" s="89"/>
      <c r="E170" s="89"/>
      <c r="F170" s="89"/>
      <c r="G170" s="89"/>
      <c r="H170" s="89"/>
      <c r="I170" s="89"/>
      <c r="J170" s="89"/>
      <c r="K170" s="89"/>
      <c r="L170" s="89"/>
    </row>
    <row r="171" customFormat="false" ht="15" hidden="false" customHeight="false" outlineLevel="0" collapsed="false">
      <c r="A171" s="16" t="s">
        <v>788</v>
      </c>
      <c r="B171" s="87" t="s">
        <v>789</v>
      </c>
      <c r="C171" s="17" t="s">
        <v>97</v>
      </c>
      <c r="D171" s="73" t="n">
        <f aca="false">IF(D26&lt;&gt;0,D30/D26,"N/M")</f>
        <v>0.987327188940087</v>
      </c>
      <c r="E171" s="73" t="n">
        <f aca="false">IF(E26&lt;&gt;0,E30/E26,"N/M")</f>
        <v>0.648578811369499</v>
      </c>
      <c r="F171" s="73" t="n">
        <f aca="false">IF(F26&lt;&gt;0,F30/F26,"N/M")</f>
        <v>0.626666666666671</v>
      </c>
      <c r="G171" s="73" t="n">
        <f aca="false">IF(G26&lt;&gt;0,G30/G26,"N/M")</f>
        <v>0.0697674418604606</v>
      </c>
      <c r="H171" s="73" t="n">
        <f aca="false">IF(H26&lt;&gt;0,H30/H26,"N/M")</f>
        <v>1.18181818181835</v>
      </c>
      <c r="I171" s="73" t="n">
        <f aca="false">IF(I26&lt;&gt;0,I30/I26,"N/M")</f>
        <v>0.591125198098253</v>
      </c>
      <c r="J171" s="73" t="n">
        <f aca="false">IF(J26&lt;&gt;0,J30/J26,"N/M")</f>
        <v>0.586712683347714</v>
      </c>
      <c r="K171" s="60" t="n">
        <f aca="false">IF(COUNT(D171:J171)=0,"N/M",AVERAGE(D171:J171))</f>
        <v>0.670285167443006</v>
      </c>
      <c r="L171" s="60" t="n">
        <f aca="false">IF(COUNT(D171,J171)=2,J171-D171,"-")</f>
        <v>-0.400614505592373</v>
      </c>
    </row>
    <row r="172" customFormat="false" ht="15" hidden="false" customHeight="false" outlineLevel="0" collapsed="false">
      <c r="A172" s="16" t="s">
        <v>790</v>
      </c>
      <c r="B172" s="87" t="s">
        <v>791</v>
      </c>
      <c r="C172" s="17" t="s">
        <v>97</v>
      </c>
      <c r="D172" s="73" t="n">
        <f aca="false">IF(D23&lt;&gt;0,D26/D23,"N/M")</f>
        <v>1.81589958158995</v>
      </c>
      <c r="E172" s="73" t="n">
        <f aca="false">IF(E23&lt;&gt;0,E26/E23,"N/M")</f>
        <v>0.541258741258745</v>
      </c>
      <c r="F172" s="73" t="n">
        <f aca="false">IF(F23&lt;&gt;0,F26/F23,"N/M")</f>
        <v>0.559701492537312</v>
      </c>
      <c r="G172" s="73" t="n">
        <f aca="false">IF(G23&lt;&gt;0,G26/G23,"N/M")</f>
        <v>0.165703275529874</v>
      </c>
      <c r="H172" s="73" t="n">
        <f aca="false">IF(H23&lt;&gt;0,H26/H23,"N/M")</f>
        <v>0.0594594594594513</v>
      </c>
      <c r="I172" s="73" t="n">
        <f aca="false">IF(I23&lt;&gt;0,I26/I23,"N/M")</f>
        <v>0.51763740771124</v>
      </c>
      <c r="J172" s="73" t="n">
        <f aca="false">IF(J23&lt;&gt;0,J26/J23,"N/M")</f>
        <v>0.790586630286494</v>
      </c>
      <c r="K172" s="60" t="n">
        <f aca="false">IF(COUNT(D172:J172)=0,"N/M",AVERAGE(D172:J172))</f>
        <v>0.635749512624724</v>
      </c>
      <c r="L172" s="60" t="n">
        <f aca="false">IF(COUNT(D172,J172)=2,J172-D172,"-")</f>
        <v>-1.02531295130346</v>
      </c>
    </row>
    <row r="173" customFormat="false" ht="15" hidden="false" customHeight="false" outlineLevel="0" collapsed="false">
      <c r="A173" s="16" t="s">
        <v>792</v>
      </c>
      <c r="B173" s="87" t="s">
        <v>793</v>
      </c>
      <c r="C173" s="17" t="s">
        <v>615</v>
      </c>
      <c r="D173" s="71" t="n">
        <f aca="false">IF(D7&gt;0,D23/D7,"N/M")</f>
        <v>-0.0159450263526588</v>
      </c>
      <c r="E173" s="71" t="n">
        <f aca="false">IF(E7&gt;0,E23/E7,"N/M")</f>
        <v>0.0206176648692294</v>
      </c>
      <c r="F173" s="71" t="n">
        <f aca="false">IF(F7&gt;0,F23/F7,"N/M")</f>
        <v>0.0176022418775724</v>
      </c>
      <c r="G173" s="71" t="n">
        <f aca="false">IF(G7&gt;0,G23/G7,"N/M")</f>
        <v>0.01245530250306</v>
      </c>
      <c r="H173" s="71" t="n">
        <f aca="false">IF(H7&gt;0,H23/H7,"N/M")</f>
        <v>0.00954173865951458</v>
      </c>
      <c r="I173" s="71" t="n">
        <f aca="false">IF(I7&gt;0,I23/I7,"N/M")</f>
        <v>0.0279183748253671</v>
      </c>
      <c r="J173" s="71" t="n">
        <f aca="false">IF(J7&gt;0,J23/J7,"N/M")</f>
        <v>0.0330120698973158</v>
      </c>
      <c r="K173" s="62" t="n">
        <f aca="false">IF(COUNT(D173:J173)=0,"N/M",AVERAGE(D173:J173))</f>
        <v>0.0150289094684858</v>
      </c>
      <c r="L173" s="62" t="n">
        <f aca="false">IF(COUNT(D173,J173)=2,J173-D173,"-")</f>
        <v>0.0489570962499746</v>
      </c>
    </row>
    <row r="174" customFormat="false" ht="15" hidden="false" customHeight="false" outlineLevel="0" collapsed="false">
      <c r="A174" s="16" t="s">
        <v>781</v>
      </c>
      <c r="B174" s="87" t="s">
        <v>708</v>
      </c>
      <c r="C174" s="17" t="s">
        <v>692</v>
      </c>
      <c r="D174" s="73" t="n">
        <f aca="false">IF(D49&gt;0,D7/D49,"N/M")</f>
        <v>3.41396196332992</v>
      </c>
      <c r="E174" s="73" t="n">
        <f aca="false">IF(E49&gt;0,E7/E49,"N/M")</f>
        <v>3.53254558419069</v>
      </c>
      <c r="F174" s="73" t="n">
        <f aca="false">IF(F49&gt;0,F7/F49,"N/M")</f>
        <v>4.15198618307427</v>
      </c>
      <c r="G174" s="73" t="n">
        <f aca="false">IF(G49&gt;0,G7/G49,"N/M")</f>
        <v>2.70824125828675</v>
      </c>
      <c r="H174" s="73" t="n">
        <f aca="false">IF(H49&gt;0,H7/H49,"N/M")</f>
        <v>2.2735107879925</v>
      </c>
      <c r="I174" s="73" t="n">
        <f aca="false">IF(I49&gt;0,I7/I49,"N/M")</f>
        <v>2.39341117140821</v>
      </c>
      <c r="J174" s="73" t="n">
        <f aca="false">IF(J49&gt;0,J7/J49,"N/M")</f>
        <v>2.28801071667783</v>
      </c>
      <c r="K174" s="60" t="n">
        <f aca="false">IF(COUNT(D174:J174)=0,"N/M",AVERAGE(D174:J174))</f>
        <v>2.96595252356574</v>
      </c>
      <c r="L174" s="60" t="n">
        <f aca="false">IF(COUNT(D174,J174)=2,J174-D174,"-")</f>
        <v>-1.12595124665209</v>
      </c>
    </row>
    <row r="175" customFormat="false" ht="15" hidden="false" customHeight="false" outlineLevel="0" collapsed="false">
      <c r="A175" s="16" t="s">
        <v>782</v>
      </c>
      <c r="B175" s="87" t="s">
        <v>783</v>
      </c>
      <c r="C175" s="17" t="s">
        <v>692</v>
      </c>
      <c r="D175" s="73" t="n">
        <f aca="false">IF(D40&gt;0,D49/D40,"N/M")</f>
        <v>5.08748551564311</v>
      </c>
      <c r="E175" s="73" t="n">
        <f aca="false">IF(E40&gt;0,E49/E40,"N/M")</f>
        <v>4.55968416163493</v>
      </c>
      <c r="F175" s="73" t="n">
        <f aca="false">IF(F40&gt;0,F49/F40,"N/M")</f>
        <v>4.51415675010259</v>
      </c>
      <c r="G175" s="73" t="n">
        <f aca="false">IF(G40&gt;0,G49/G40,"N/M")</f>
        <v>2.47204370179949</v>
      </c>
      <c r="H175" s="73" t="n">
        <f aca="false">IF(H40&gt;0,H49/H40,"N/M")</f>
        <v>2.72983354673496</v>
      </c>
      <c r="I175" s="73" t="n">
        <f aca="false">IF(I40&gt;0,I49/I40,"N/M")</f>
        <v>2.76116240351143</v>
      </c>
      <c r="J175" s="73" t="n">
        <f aca="false">IF(J40&gt;0,J49/J40,"N/M")</f>
        <v>2.66643769748592</v>
      </c>
      <c r="K175" s="60" t="n">
        <f aca="false">IF(COUNT(D175:J175)=0,"N/M",AVERAGE(D175:J175))</f>
        <v>3.54154339670177</v>
      </c>
      <c r="L175" s="60" t="n">
        <f aca="false">IF(COUNT(D175,J175)=2,J175-D175,"-")</f>
        <v>-2.42104781815719</v>
      </c>
    </row>
    <row r="176" customFormat="false" ht="15" hidden="false" customHeight="false" outlineLevel="0" collapsed="false">
      <c r="A176" s="12" t="s">
        <v>784</v>
      </c>
      <c r="B176" s="87" t="s">
        <v>751</v>
      </c>
      <c r="C176" s="17" t="s">
        <v>615</v>
      </c>
      <c r="D176" s="30" t="n">
        <f aca="false">IF(D40&gt;0,D30/D40,"N/M")</f>
        <v>-0.496523754345307</v>
      </c>
      <c r="E176" s="30" t="n">
        <f aca="false">IF(E40&gt;0,E30/E40,"N/M")</f>
        <v>0.11658151416628</v>
      </c>
      <c r="F176" s="30" t="n">
        <f aca="false">IF(F40&gt;0,F30/F40,"N/M")</f>
        <v>0.115716044316783</v>
      </c>
      <c r="G176" s="30" t="n">
        <f aca="false">IF(G40&gt;0,G30/G40,"N/M")</f>
        <v>0.00096401028277635</v>
      </c>
      <c r="H176" s="30" t="n">
        <f aca="false">IF(H40&gt;0,H30/H40,"N/M")</f>
        <v>0.00416133162612036</v>
      </c>
      <c r="I176" s="30" t="n">
        <f aca="false">IF(I40&gt;0,I30/I40,"N/M")</f>
        <v>0.0564552747086424</v>
      </c>
      <c r="J176" s="30" t="n">
        <f aca="false">IF(J40&gt;0,J30/J40,"N/M")</f>
        <v>0.0934194257452947</v>
      </c>
      <c r="K176" s="30" t="n">
        <f aca="false">IF(COUNT(D176:J176)=0,"N/M",AVERAGE(D176:J176))</f>
        <v>-0.0156037362142016</v>
      </c>
      <c r="L176" s="30" t="n">
        <f aca="false">IF(COUNT(D176,J176)=2,J176-D176,"-")</f>
        <v>0.589943180090602</v>
      </c>
    </row>
    <row r="177" customFormat="false" ht="15" hidden="false" customHeight="false" outlineLevel="0" collapsed="false">
      <c r="A177" s="16" t="s">
        <v>794</v>
      </c>
      <c r="B177" s="87" t="s">
        <v>786</v>
      </c>
      <c r="C177" s="17" t="s">
        <v>615</v>
      </c>
      <c r="D177" s="94" t="n">
        <f aca="false">IF(COUNT(D171,D172,D173,D174,D175,D176)=6,D171*D172*D173*D174*D175-D176,"-")</f>
        <v>0</v>
      </c>
      <c r="E177" s="94" t="n">
        <f aca="false">IF(COUNT(E171,E172,E173,E174,E175,E176)=6,E171*E172*E173*E174*E175-E176,"-")</f>
        <v>0</v>
      </c>
      <c r="F177" s="94" t="n">
        <f aca="false">IF(COUNT(F171,F172,F173,F174,F175,F176)=6,F171*F172*F173*F174*F175-F176,"-")</f>
        <v>0</v>
      </c>
      <c r="G177" s="94" t="n">
        <f aca="false">IF(COUNT(G171,G172,G173,G174,G175,G176)=6,G171*G172*G173*G174*G175-G176,"-")</f>
        <v>0</v>
      </c>
      <c r="H177" s="94" t="n">
        <f aca="false">IF(COUNT(H171,H172,H173,H174,H175,H176)=6,H171*H172*H173*H174*H175-H176,"-")</f>
        <v>0</v>
      </c>
      <c r="I177" s="94" t="n">
        <f aca="false">IF(COUNT(I171,I172,I173,I174,I175,I176)=6,I171*I172*I173*I174*I175-I176,"-")</f>
        <v>0</v>
      </c>
      <c r="J177" s="94" t="n">
        <f aca="false">IF(COUNT(J171,J172,J173,J174,J175,J176)=6,J171*J172*J173*J174*J175-J176,"-")</f>
        <v>0</v>
      </c>
      <c r="K177" s="62"/>
      <c r="L177" s="62"/>
    </row>
  </sheetData>
  <mergeCells count="3">
    <mergeCell ref="A1:L1"/>
    <mergeCell ref="A2:L2"/>
    <mergeCell ref="A3:L3"/>
  </mergeCells>
  <hyperlinks>
    <hyperlink ref="A3" r:id="rId1" display="Source: annual reports FY2020-FY2026 (consolidated) - https://www.jfll.com/financials/   (full list of documents on the Sources sheet)"/>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18096"/>
    <pageSetUpPr fitToPage="true"/>
  </sheetPr>
  <dimension ref="A1:L177"/>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50"/>
    <col collapsed="false" customWidth="true" hidden="false" outlineLevel="0" max="3" min="3" style="0" width="15"/>
    <col collapsed="false" customWidth="true" hidden="false" outlineLevel="0" max="10" min="4" style="0" width="11.5"/>
    <col collapsed="false" customWidth="true" hidden="false" outlineLevel="0" max="12" min="11" style="0" width="12"/>
  </cols>
  <sheetData>
    <row r="1" customFormat="false" ht="24" hidden="false" customHeight="true" outlineLevel="0" collapsed="false">
      <c r="A1" s="1" t="s">
        <v>830</v>
      </c>
      <c r="B1" s="1"/>
      <c r="C1" s="1"/>
      <c r="D1" s="1"/>
      <c r="E1" s="1"/>
      <c r="F1" s="1"/>
      <c r="G1" s="1"/>
      <c r="H1" s="1"/>
      <c r="I1" s="1"/>
      <c r="J1" s="1"/>
      <c r="K1" s="1"/>
      <c r="L1" s="1"/>
    </row>
    <row r="2" customFormat="false" ht="18" hidden="false" customHeight="true" outlineLevel="0" collapsed="false">
      <c r="A2" s="2" t="s">
        <v>831</v>
      </c>
      <c r="B2" s="2"/>
      <c r="C2" s="2"/>
      <c r="D2" s="2"/>
      <c r="E2" s="2"/>
      <c r="F2" s="2"/>
      <c r="G2" s="2"/>
      <c r="H2" s="2"/>
      <c r="I2" s="2"/>
      <c r="J2" s="2"/>
      <c r="K2" s="2"/>
      <c r="L2" s="2"/>
    </row>
    <row r="3" customFormat="false" ht="18" hidden="false" customHeight="true" outlineLevel="0" collapsed="false">
      <c r="A3" s="95" t="s">
        <v>832</v>
      </c>
      <c r="B3" s="95"/>
      <c r="C3" s="95"/>
      <c r="D3" s="95"/>
      <c r="E3" s="95"/>
      <c r="F3" s="95"/>
      <c r="G3" s="95"/>
      <c r="H3" s="95"/>
      <c r="I3" s="95"/>
      <c r="J3" s="95"/>
      <c r="K3" s="95"/>
      <c r="L3" s="95"/>
    </row>
    <row r="5" customFormat="false" ht="30" hidden="false" customHeight="true" outlineLevel="0" collapsed="false">
      <c r="A5" s="7" t="s">
        <v>486</v>
      </c>
      <c r="B5" s="7" t="s">
        <v>487</v>
      </c>
      <c r="C5" s="7" t="s">
        <v>488</v>
      </c>
      <c r="D5" s="7" t="s">
        <v>154</v>
      </c>
      <c r="E5" s="7" t="s">
        <v>185</v>
      </c>
      <c r="F5" s="7" t="s">
        <v>188</v>
      </c>
      <c r="G5" s="7" t="s">
        <v>144</v>
      </c>
      <c r="H5" s="7" t="s">
        <v>147</v>
      </c>
      <c r="I5" s="7" t="s">
        <v>157</v>
      </c>
      <c r="J5" s="7" t="s">
        <v>198</v>
      </c>
      <c r="K5" s="7" t="s">
        <v>322</v>
      </c>
      <c r="L5" s="7" t="s">
        <v>489</v>
      </c>
    </row>
    <row r="6" customFormat="false" ht="19.5" hidden="false" customHeight="true" outlineLevel="0" collapsed="false">
      <c r="A6" s="85" t="s">
        <v>490</v>
      </c>
      <c r="B6" s="86"/>
      <c r="C6" s="86"/>
      <c r="D6" s="86"/>
      <c r="E6" s="86"/>
      <c r="F6" s="86"/>
      <c r="G6" s="86"/>
      <c r="H6" s="86"/>
      <c r="I6" s="86"/>
      <c r="J6" s="86"/>
      <c r="K6" s="86"/>
      <c r="L6" s="86"/>
    </row>
    <row r="7" customFormat="false" ht="15" hidden="false" customHeight="false" outlineLevel="0" collapsed="false">
      <c r="A7" s="16" t="s">
        <v>491</v>
      </c>
      <c r="B7" s="87" t="s">
        <v>492</v>
      </c>
      <c r="C7" s="17" t="s">
        <v>493</v>
      </c>
      <c r="D7" s="96" t="n">
        <v>347.41</v>
      </c>
      <c r="E7" s="96" t="n">
        <v>212.25</v>
      </c>
      <c r="F7" s="96" t="n">
        <v>234.32</v>
      </c>
      <c r="G7" s="96" t="n">
        <v>278.28</v>
      </c>
      <c r="H7" s="96" t="n">
        <v>290.55</v>
      </c>
      <c r="I7" s="96" t="n">
        <v>342.69</v>
      </c>
      <c r="J7" s="96" t="n">
        <v>357.14</v>
      </c>
      <c r="K7" s="53" t="n">
        <f aca="false">AVERAGE(D7:J7)</f>
        <v>294.662857142857</v>
      </c>
      <c r="L7" s="53" t="n">
        <f aca="false">J7-D7</f>
        <v>9.72999999999996</v>
      </c>
    </row>
    <row r="8" customFormat="false" ht="16.5" hidden="false" customHeight="true" outlineLevel="0" collapsed="false">
      <c r="A8" s="88" t="s">
        <v>494</v>
      </c>
      <c r="B8" s="89"/>
      <c r="C8" s="89"/>
      <c r="D8" s="89"/>
      <c r="E8" s="89"/>
      <c r="F8" s="89"/>
      <c r="G8" s="89"/>
      <c r="H8" s="89"/>
      <c r="I8" s="89"/>
      <c r="J8" s="89"/>
      <c r="K8" s="89"/>
      <c r="L8" s="89"/>
    </row>
    <row r="9" customFormat="false" ht="15" hidden="false" customHeight="false" outlineLevel="0" collapsed="false">
      <c r="A9" s="16" t="s">
        <v>495</v>
      </c>
      <c r="B9" s="87" t="s">
        <v>496</v>
      </c>
      <c r="C9" s="17" t="s">
        <v>493</v>
      </c>
      <c r="D9" s="96" t="n">
        <v>0</v>
      </c>
      <c r="E9" s="96" t="n">
        <v>0</v>
      </c>
      <c r="F9" s="96" t="n">
        <v>0</v>
      </c>
      <c r="G9" s="96" t="n">
        <v>0</v>
      </c>
      <c r="H9" s="96" t="n">
        <v>0</v>
      </c>
      <c r="I9" s="96" t="n">
        <v>0</v>
      </c>
      <c r="J9" s="96" t="n">
        <v>0</v>
      </c>
      <c r="K9" s="53" t="n">
        <f aca="false">AVERAGE(D9:J9)</f>
        <v>0</v>
      </c>
      <c r="L9" s="53" t="n">
        <f aca="false">J9-D9</f>
        <v>0</v>
      </c>
    </row>
    <row r="10" customFormat="false" ht="15" hidden="false" customHeight="false" outlineLevel="0" collapsed="false">
      <c r="A10" s="16" t="s">
        <v>497</v>
      </c>
      <c r="B10" s="87" t="s">
        <v>498</v>
      </c>
      <c r="C10" s="17" t="s">
        <v>493</v>
      </c>
      <c r="D10" s="96" t="n">
        <v>0</v>
      </c>
      <c r="E10" s="96" t="n">
        <v>0</v>
      </c>
      <c r="F10" s="96" t="n">
        <v>0</v>
      </c>
      <c r="G10" s="96" t="n">
        <v>0</v>
      </c>
      <c r="H10" s="96" t="n">
        <v>0</v>
      </c>
      <c r="I10" s="96" t="n">
        <v>0</v>
      </c>
      <c r="J10" s="96" t="n">
        <v>0</v>
      </c>
      <c r="K10" s="53" t="n">
        <f aca="false">AVERAGE(D10:J10)</f>
        <v>0</v>
      </c>
      <c r="L10" s="53" t="n">
        <f aca="false">J10-D10</f>
        <v>0</v>
      </c>
    </row>
    <row r="11" customFormat="false" ht="15" hidden="false" customHeight="false" outlineLevel="0" collapsed="false">
      <c r="A11" s="16" t="s">
        <v>499</v>
      </c>
      <c r="B11" s="87" t="s">
        <v>500</v>
      </c>
      <c r="C11" s="17" t="s">
        <v>493</v>
      </c>
      <c r="D11" s="96" t="n">
        <v>3.8</v>
      </c>
      <c r="E11" s="96" t="n">
        <v>0.2</v>
      </c>
      <c r="F11" s="96" t="n">
        <v>0.27</v>
      </c>
      <c r="G11" s="96" t="n">
        <v>0.33</v>
      </c>
      <c r="H11" s="96" t="n">
        <v>0.39</v>
      </c>
      <c r="I11" s="96" t="n">
        <v>0.4</v>
      </c>
      <c r="J11" s="96" t="n">
        <v>0.35</v>
      </c>
      <c r="K11" s="53" t="n">
        <f aca="false">AVERAGE(D11:J11)</f>
        <v>0.82</v>
      </c>
      <c r="L11" s="53" t="n">
        <f aca="false">J11-D11</f>
        <v>-3.45</v>
      </c>
    </row>
    <row r="12" customFormat="false" ht="15" hidden="false" customHeight="false" outlineLevel="0" collapsed="false">
      <c r="A12" s="16" t="s">
        <v>501</v>
      </c>
      <c r="B12" s="87" t="s">
        <v>502</v>
      </c>
      <c r="C12" s="17" t="s">
        <v>493</v>
      </c>
      <c r="D12" s="96" t="n">
        <v>304.84</v>
      </c>
      <c r="E12" s="96" t="n">
        <v>190</v>
      </c>
      <c r="F12" s="96" t="n">
        <v>210.15</v>
      </c>
      <c r="G12" s="96" t="n">
        <v>249.38</v>
      </c>
      <c r="H12" s="96" t="n">
        <v>261.82</v>
      </c>
      <c r="I12" s="96" t="n">
        <v>313.37</v>
      </c>
      <c r="J12" s="96" t="n">
        <v>323.91</v>
      </c>
      <c r="K12" s="53" t="n">
        <f aca="false">AVERAGE(D12:J12)</f>
        <v>264.781428571429</v>
      </c>
      <c r="L12" s="53" t="n">
        <f aca="false">J12-D12</f>
        <v>19.0700000000001</v>
      </c>
    </row>
    <row r="13" customFormat="false" ht="15" hidden="false" customHeight="false" outlineLevel="0" collapsed="false">
      <c r="A13" s="12" t="s">
        <v>503</v>
      </c>
      <c r="B13" s="87" t="s">
        <v>504</v>
      </c>
      <c r="C13" s="17" t="s">
        <v>493</v>
      </c>
      <c r="D13" s="29" t="n">
        <f aca="false">D9+D11+D12-D10</f>
        <v>308.64</v>
      </c>
      <c r="E13" s="29" t="n">
        <f aca="false">E9+E11+E12-E10</f>
        <v>190.2</v>
      </c>
      <c r="F13" s="29" t="n">
        <f aca="false">F9+F11+F12-F10</f>
        <v>210.42</v>
      </c>
      <c r="G13" s="29" t="n">
        <f aca="false">G9+G11+G12-G10</f>
        <v>249.71</v>
      </c>
      <c r="H13" s="29" t="n">
        <f aca="false">H9+H11+H12-H10</f>
        <v>262.21</v>
      </c>
      <c r="I13" s="29" t="n">
        <f aca="false">I9+I11+I12-I10</f>
        <v>313.77</v>
      </c>
      <c r="J13" s="29" t="n">
        <f aca="false">J9+J11+J12-J10</f>
        <v>324.26</v>
      </c>
      <c r="K13" s="29" t="n">
        <f aca="false">AVERAGE(D13:J13)</f>
        <v>265.601428571429</v>
      </c>
      <c r="L13" s="29" t="n">
        <f aca="false">J13-D13</f>
        <v>15.6200000000001</v>
      </c>
    </row>
    <row r="14" customFormat="false" ht="15" hidden="false" customHeight="false" outlineLevel="0" collapsed="false">
      <c r="A14" s="12" t="s">
        <v>505</v>
      </c>
      <c r="B14" s="87" t="s">
        <v>506</v>
      </c>
      <c r="C14" s="17" t="s">
        <v>493</v>
      </c>
      <c r="D14" s="29" t="n">
        <f aca="false">D7-D13</f>
        <v>38.77</v>
      </c>
      <c r="E14" s="29" t="n">
        <f aca="false">E7-E13</f>
        <v>22.05</v>
      </c>
      <c r="F14" s="29" t="n">
        <f aca="false">F7-F13</f>
        <v>23.9</v>
      </c>
      <c r="G14" s="29" t="n">
        <f aca="false">G7-G13</f>
        <v>28.57</v>
      </c>
      <c r="H14" s="29" t="n">
        <f aca="false">H7-H13</f>
        <v>28.34</v>
      </c>
      <c r="I14" s="29" t="n">
        <f aca="false">I7-I13</f>
        <v>28.92</v>
      </c>
      <c r="J14" s="29" t="n">
        <f aca="false">J7-J13</f>
        <v>32.8799999999999</v>
      </c>
      <c r="K14" s="29" t="n">
        <f aca="false">AVERAGE(D14:J14)</f>
        <v>29.0614285714286</v>
      </c>
      <c r="L14" s="29" t="n">
        <f aca="false">J14-D14</f>
        <v>-5.8900000000001</v>
      </c>
    </row>
    <row r="15" customFormat="false" ht="16.5" hidden="false" customHeight="true" outlineLevel="0" collapsed="false">
      <c r="A15" s="88" t="s">
        <v>507</v>
      </c>
      <c r="B15" s="89"/>
      <c r="C15" s="89"/>
      <c r="D15" s="89"/>
      <c r="E15" s="89"/>
      <c r="F15" s="89"/>
      <c r="G15" s="89"/>
      <c r="H15" s="89"/>
      <c r="I15" s="89"/>
      <c r="J15" s="89"/>
      <c r="K15" s="89"/>
      <c r="L15" s="89"/>
    </row>
    <row r="16" customFormat="false" ht="15" hidden="false" customHeight="false" outlineLevel="0" collapsed="false">
      <c r="A16" s="16" t="s">
        <v>508</v>
      </c>
      <c r="B16" s="87" t="s">
        <v>509</v>
      </c>
      <c r="C16" s="17" t="s">
        <v>493</v>
      </c>
      <c r="D16" s="96" t="n">
        <v>18.93</v>
      </c>
      <c r="E16" s="96" t="n">
        <v>11.43</v>
      </c>
      <c r="F16" s="96" t="n">
        <v>10.92</v>
      </c>
      <c r="G16" s="96" t="n">
        <v>12.37</v>
      </c>
      <c r="H16" s="96" t="n">
        <v>12.54</v>
      </c>
      <c r="I16" s="96" t="n">
        <v>13.76</v>
      </c>
      <c r="J16" s="96" t="n">
        <v>15.45</v>
      </c>
      <c r="K16" s="53" t="n">
        <f aca="false">AVERAGE(D16:J16)</f>
        <v>13.6285714285714</v>
      </c>
      <c r="L16" s="53" t="n">
        <f aca="false">J16-D16</f>
        <v>-3.48</v>
      </c>
    </row>
    <row r="17" customFormat="false" ht="15" hidden="false" customHeight="false" outlineLevel="0" collapsed="false">
      <c r="A17" s="16" t="s">
        <v>510</v>
      </c>
      <c r="B17" s="87" t="s">
        <v>511</v>
      </c>
      <c r="C17" s="17" t="s">
        <v>493</v>
      </c>
      <c r="D17" s="96" t="n">
        <v>7.49</v>
      </c>
      <c r="E17" s="96" t="n">
        <v>4.13</v>
      </c>
      <c r="F17" s="96" t="n">
        <v>3.92</v>
      </c>
      <c r="G17" s="96" t="n">
        <v>4.69</v>
      </c>
      <c r="H17" s="96" t="n">
        <v>5.49</v>
      </c>
      <c r="I17" s="96" t="n">
        <v>5.18</v>
      </c>
      <c r="J17" s="96" t="n">
        <v>5.66</v>
      </c>
      <c r="K17" s="53" t="n">
        <f aca="false">AVERAGE(D17:J17)</f>
        <v>5.22285714285714</v>
      </c>
      <c r="L17" s="53" t="n">
        <f aca="false">J17-D17</f>
        <v>-1.83</v>
      </c>
    </row>
    <row r="18" customFormat="false" ht="15" hidden="false" customHeight="false" outlineLevel="0" collapsed="false">
      <c r="A18" s="16" t="s">
        <v>512</v>
      </c>
      <c r="B18" s="87" t="s">
        <v>513</v>
      </c>
      <c r="C18" s="17" t="s">
        <v>493</v>
      </c>
      <c r="D18" s="96" t="n">
        <v>4.26</v>
      </c>
      <c r="E18" s="96" t="n">
        <v>1.32</v>
      </c>
      <c r="F18" s="96" t="n">
        <v>1.37</v>
      </c>
      <c r="G18" s="96" t="n">
        <v>1.19</v>
      </c>
      <c r="H18" s="96" t="n">
        <v>1.21</v>
      </c>
      <c r="I18" s="96" t="n">
        <v>1.17</v>
      </c>
      <c r="J18" s="96" t="n">
        <v>1.4</v>
      </c>
      <c r="K18" s="53" t="n">
        <f aca="false">AVERAGE(D18:J18)</f>
        <v>1.70285714285714</v>
      </c>
      <c r="L18" s="53" t="n">
        <f aca="false">J18-D18</f>
        <v>-2.86</v>
      </c>
    </row>
    <row r="19" customFormat="false" ht="15" hidden="false" customHeight="false" outlineLevel="0" collapsed="false">
      <c r="A19" s="12" t="s">
        <v>507</v>
      </c>
      <c r="B19" s="87" t="s">
        <v>514</v>
      </c>
      <c r="C19" s="17" t="s">
        <v>493</v>
      </c>
      <c r="D19" s="29" t="n">
        <f aca="false">D16+D17+D18</f>
        <v>30.68</v>
      </c>
      <c r="E19" s="29" t="n">
        <f aca="false">E16+E17+E18</f>
        <v>16.88</v>
      </c>
      <c r="F19" s="29" t="n">
        <f aca="false">F16+F17+F18</f>
        <v>16.21</v>
      </c>
      <c r="G19" s="29" t="n">
        <f aca="false">G16+G17+G18</f>
        <v>18.25</v>
      </c>
      <c r="H19" s="29" t="n">
        <f aca="false">H16+H17+H18</f>
        <v>19.24</v>
      </c>
      <c r="I19" s="29" t="n">
        <f aca="false">I16+I17+I18</f>
        <v>20.11</v>
      </c>
      <c r="J19" s="29" t="n">
        <f aca="false">J16+J17+J18</f>
        <v>22.51</v>
      </c>
      <c r="K19" s="29" t="n">
        <f aca="false">AVERAGE(D19:J19)</f>
        <v>20.5542857142857</v>
      </c>
      <c r="L19" s="29" t="n">
        <f aca="false">J19-D19</f>
        <v>-8.17</v>
      </c>
    </row>
    <row r="20" customFormat="false" ht="15" hidden="false" customHeight="false" outlineLevel="0" collapsed="false">
      <c r="A20" s="12" t="s">
        <v>515</v>
      </c>
      <c r="B20" s="87" t="s">
        <v>516</v>
      </c>
      <c r="C20" s="17" t="s">
        <v>493</v>
      </c>
      <c r="D20" s="29" t="n">
        <f aca="false">D13+D19</f>
        <v>339.32</v>
      </c>
      <c r="E20" s="29" t="n">
        <f aca="false">E13+E19</f>
        <v>207.08</v>
      </c>
      <c r="F20" s="29" t="n">
        <f aca="false">F13+F19</f>
        <v>226.63</v>
      </c>
      <c r="G20" s="29" t="n">
        <f aca="false">G13+G19</f>
        <v>267.96</v>
      </c>
      <c r="H20" s="29" t="n">
        <f aca="false">H13+H19</f>
        <v>281.45</v>
      </c>
      <c r="I20" s="29" t="n">
        <f aca="false">I13+I19</f>
        <v>333.88</v>
      </c>
      <c r="J20" s="29" t="n">
        <f aca="false">J13+J19</f>
        <v>346.77</v>
      </c>
      <c r="K20" s="29" t="n">
        <f aca="false">AVERAGE(D20:J20)</f>
        <v>286.155714285714</v>
      </c>
      <c r="L20" s="29" t="n">
        <f aca="false">J20-D20</f>
        <v>7.45000000000005</v>
      </c>
    </row>
    <row r="21" customFormat="false" ht="15" hidden="false" customHeight="false" outlineLevel="0" collapsed="false">
      <c r="A21" s="12" t="s">
        <v>517</v>
      </c>
      <c r="B21" s="87" t="s">
        <v>518</v>
      </c>
      <c r="C21" s="17" t="s">
        <v>493</v>
      </c>
      <c r="D21" s="29" t="n">
        <f aca="false">D7-D20</f>
        <v>8.09000000000003</v>
      </c>
      <c r="E21" s="29" t="n">
        <f aca="false">E7-E20</f>
        <v>5.17000000000002</v>
      </c>
      <c r="F21" s="29" t="n">
        <f aca="false">F7-F20</f>
        <v>7.68999999999997</v>
      </c>
      <c r="G21" s="29" t="n">
        <f aca="false">G7-G20</f>
        <v>10.3199999999999</v>
      </c>
      <c r="H21" s="29" t="n">
        <f aca="false">H7-H20</f>
        <v>9.10000000000002</v>
      </c>
      <c r="I21" s="29" t="n">
        <f aca="false">I7-I20</f>
        <v>8.81</v>
      </c>
      <c r="J21" s="29" t="n">
        <f aca="false">J7-J20</f>
        <v>10.3699999999999</v>
      </c>
      <c r="K21" s="29" t="n">
        <f aca="false">AVERAGE(D21:J21)</f>
        <v>8.50714285714285</v>
      </c>
      <c r="L21" s="29" t="n">
        <f aca="false">J21-D21</f>
        <v>2.27999999999992</v>
      </c>
    </row>
    <row r="22" customFormat="false" ht="15" hidden="false" customHeight="false" outlineLevel="0" collapsed="false">
      <c r="A22" s="16" t="s">
        <v>519</v>
      </c>
      <c r="B22" s="87" t="s">
        <v>520</v>
      </c>
      <c r="C22" s="17" t="s">
        <v>493</v>
      </c>
      <c r="D22" s="96" t="n">
        <v>3.91</v>
      </c>
      <c r="E22" s="96" t="n">
        <v>2.35</v>
      </c>
      <c r="F22" s="96" t="n">
        <v>2.63</v>
      </c>
      <c r="G22" s="96" t="n">
        <v>2.92</v>
      </c>
      <c r="H22" s="96" t="n">
        <v>2.8</v>
      </c>
      <c r="I22" s="96" t="n">
        <v>2.61</v>
      </c>
      <c r="J22" s="96" t="n">
        <v>2.55</v>
      </c>
      <c r="K22" s="53" t="n">
        <f aca="false">AVERAGE(D22:J22)</f>
        <v>2.82428571428571</v>
      </c>
      <c r="L22" s="53" t="n">
        <f aca="false">J22-D22</f>
        <v>-1.36</v>
      </c>
    </row>
    <row r="23" customFormat="false" ht="15" hidden="false" customHeight="false" outlineLevel="0" collapsed="false">
      <c r="A23" s="12" t="s">
        <v>521</v>
      </c>
      <c r="B23" s="87" t="s">
        <v>522</v>
      </c>
      <c r="C23" s="17" t="s">
        <v>493</v>
      </c>
      <c r="D23" s="29" t="n">
        <f aca="false">D21-D22</f>
        <v>4.18000000000003</v>
      </c>
      <c r="E23" s="29" t="n">
        <f aca="false">E21-E22</f>
        <v>2.82000000000002</v>
      </c>
      <c r="F23" s="29" t="n">
        <f aca="false">F21-F22</f>
        <v>5.05999999999997</v>
      </c>
      <c r="G23" s="29" t="n">
        <f aca="false">G21-G22</f>
        <v>7.39999999999994</v>
      </c>
      <c r="H23" s="29" t="n">
        <f aca="false">H21-H22</f>
        <v>6.30000000000002</v>
      </c>
      <c r="I23" s="29" t="n">
        <f aca="false">I21-I22</f>
        <v>6.2</v>
      </c>
      <c r="J23" s="29" t="n">
        <f aca="false">J21-J22</f>
        <v>7.81999999999995</v>
      </c>
      <c r="K23" s="29" t="n">
        <f aca="false">AVERAGE(D23:J23)</f>
        <v>5.68285714285713</v>
      </c>
      <c r="L23" s="29" t="n">
        <f aca="false">J23-D23</f>
        <v>3.63999999999992</v>
      </c>
    </row>
    <row r="24" customFormat="false" ht="15" hidden="false" customHeight="false" outlineLevel="0" collapsed="false">
      <c r="A24" s="16" t="s">
        <v>523</v>
      </c>
      <c r="B24" s="87" t="s">
        <v>524</v>
      </c>
      <c r="C24" s="17" t="s">
        <v>493</v>
      </c>
      <c r="D24" s="96" t="n">
        <v>16.04</v>
      </c>
      <c r="E24" s="96" t="n">
        <v>5.05</v>
      </c>
      <c r="F24" s="96" t="n">
        <v>2.51</v>
      </c>
      <c r="G24" s="96" t="n">
        <v>2.01</v>
      </c>
      <c r="H24" s="96" t="n">
        <v>1.97</v>
      </c>
      <c r="I24" s="96" t="n">
        <v>2.65</v>
      </c>
      <c r="J24" s="96" t="n">
        <v>2.84</v>
      </c>
      <c r="K24" s="53" t="n">
        <f aca="false">AVERAGE(D24:J24)</f>
        <v>4.72428571428571</v>
      </c>
      <c r="L24" s="53" t="n">
        <f aca="false">J24-D24</f>
        <v>-13.2</v>
      </c>
    </row>
    <row r="25" customFormat="false" ht="15" hidden="false" customHeight="false" outlineLevel="0" collapsed="false">
      <c r="A25" s="16" t="s">
        <v>525</v>
      </c>
      <c r="B25" s="87" t="s">
        <v>526</v>
      </c>
      <c r="C25" s="17" t="s">
        <v>493</v>
      </c>
      <c r="D25" s="96" t="n">
        <v>7.39</v>
      </c>
      <c r="E25" s="96" t="n">
        <v>7.59</v>
      </c>
      <c r="F25" s="96" t="n">
        <v>5.34</v>
      </c>
      <c r="G25" s="96" t="n">
        <v>4.77</v>
      </c>
      <c r="H25" s="96" t="n">
        <v>2.59</v>
      </c>
      <c r="I25" s="96" t="n">
        <v>1.18</v>
      </c>
      <c r="J25" s="96" t="n">
        <v>0.35</v>
      </c>
      <c r="K25" s="53" t="n">
        <f aca="false">AVERAGE(D25:J25)</f>
        <v>4.17285714285714</v>
      </c>
      <c r="L25" s="53" t="n">
        <f aca="false">J25-D25</f>
        <v>-7.04</v>
      </c>
    </row>
    <row r="26" customFormat="false" ht="15" hidden="false" customHeight="false" outlineLevel="0" collapsed="false">
      <c r="A26" s="12" t="s">
        <v>527</v>
      </c>
      <c r="B26" s="87" t="s">
        <v>528</v>
      </c>
      <c r="C26" s="17" t="s">
        <v>493</v>
      </c>
      <c r="D26" s="90" t="n">
        <f aca="false">D23+D24-D25</f>
        <v>12.83</v>
      </c>
      <c r="E26" s="90" t="n">
        <f aca="false">E23+E24-E25</f>
        <v>0.280000000000015</v>
      </c>
      <c r="F26" s="90" t="n">
        <f aca="false">F23+F24-F25</f>
        <v>2.22999999999997</v>
      </c>
      <c r="G26" s="90" t="n">
        <f aca="false">G23+G24-G25</f>
        <v>4.63999999999994</v>
      </c>
      <c r="H26" s="90" t="n">
        <f aca="false">H23+H24-H25</f>
        <v>5.68000000000002</v>
      </c>
      <c r="I26" s="90" t="n">
        <f aca="false">I23+I24-I25</f>
        <v>7.67</v>
      </c>
      <c r="J26" s="90" t="n">
        <f aca="false">J23+J24-J25</f>
        <v>10.3099999999999</v>
      </c>
      <c r="K26" s="91" t="n">
        <f aca="false">AVERAGE(D26:J26)</f>
        <v>6.2342857142857</v>
      </c>
      <c r="L26" s="91" t="n">
        <f aca="false">J26-D26</f>
        <v>-2.52000000000008</v>
      </c>
    </row>
    <row r="27" customFormat="false" ht="15" hidden="false" customHeight="false" outlineLevel="0" collapsed="false">
      <c r="A27" s="16" t="s">
        <v>529</v>
      </c>
      <c r="B27" s="87" t="s">
        <v>530</v>
      </c>
      <c r="C27" s="17" t="s">
        <v>493</v>
      </c>
      <c r="D27" s="96" t="n">
        <v>2.1</v>
      </c>
      <c r="E27" s="96" t="n">
        <v>0.22</v>
      </c>
      <c r="F27" s="96" t="n">
        <v>-0.04</v>
      </c>
      <c r="G27" s="96" t="n">
        <v>-0.25</v>
      </c>
      <c r="H27" s="96" t="n">
        <v>0.14</v>
      </c>
      <c r="I27" s="96" t="n">
        <v>0.06</v>
      </c>
      <c r="J27" s="96" t="n">
        <v>0.72</v>
      </c>
      <c r="K27" s="53" t="n">
        <f aca="false">AVERAGE(D27:J27)</f>
        <v>0.421428571428571</v>
      </c>
      <c r="L27" s="53" t="n">
        <f aca="false">J27-D27</f>
        <v>-1.38</v>
      </c>
    </row>
    <row r="28" customFormat="false" ht="15" hidden="false" customHeight="false" outlineLevel="0" collapsed="false">
      <c r="A28" s="16" t="s">
        <v>531</v>
      </c>
      <c r="B28" s="87" t="s">
        <v>532</v>
      </c>
      <c r="C28" s="17" t="s">
        <v>493</v>
      </c>
      <c r="D28" s="69" t="n">
        <f aca="false">D26-D27</f>
        <v>10.73</v>
      </c>
      <c r="E28" s="69" t="n">
        <f aca="false">E26-E27</f>
        <v>0.0600000000000154</v>
      </c>
      <c r="F28" s="69" t="n">
        <f aca="false">F26-F27</f>
        <v>2.26999999999997</v>
      </c>
      <c r="G28" s="69" t="n">
        <f aca="false">G26-G27</f>
        <v>4.88999999999994</v>
      </c>
      <c r="H28" s="69" t="n">
        <f aca="false">H26-H27</f>
        <v>5.54000000000002</v>
      </c>
      <c r="I28" s="69" t="n">
        <f aca="false">I26-I27</f>
        <v>7.61</v>
      </c>
      <c r="J28" s="69" t="n">
        <f aca="false">J26-J27</f>
        <v>9.58999999999995</v>
      </c>
      <c r="K28" s="53" t="n">
        <f aca="false">AVERAGE(D28:J28)</f>
        <v>5.81285714285713</v>
      </c>
      <c r="L28" s="53" t="n">
        <f aca="false">J28-D28</f>
        <v>-1.14000000000008</v>
      </c>
    </row>
    <row r="29" customFormat="false" ht="15" hidden="false" customHeight="false" outlineLevel="0" collapsed="false">
      <c r="A29" s="16" t="s">
        <v>533</v>
      </c>
      <c r="B29" s="87" t="s">
        <v>534</v>
      </c>
      <c r="C29" s="17" t="s">
        <v>493</v>
      </c>
      <c r="D29" s="69" t="n">
        <f aca="false">D30-D28</f>
        <v>0.00999999999996959</v>
      </c>
      <c r="E29" s="69" t="n">
        <f aca="false">E30-E28</f>
        <v>-0.0100000000000153</v>
      </c>
      <c r="F29" s="69" t="n">
        <f aca="false">F30-F28</f>
        <v>3.06421554796543E-014</v>
      </c>
      <c r="G29" s="69" t="n">
        <f aca="false">G30-G28</f>
        <v>0.0100000000000637</v>
      </c>
      <c r="H29" s="69" t="n">
        <f aca="false">H30-H28</f>
        <v>-2.30926389122033E-014</v>
      </c>
      <c r="I29" s="69" t="n">
        <f aca="false">I30-I28</f>
        <v>-0.0100000000000042</v>
      </c>
      <c r="J29" s="69" t="n">
        <f aca="false">J30-J28</f>
        <v>0.0100000000000531</v>
      </c>
      <c r="K29" s="53" t="n">
        <f aca="false">AVERAGE(D29:J29)</f>
        <v>0.00142857142858205</v>
      </c>
      <c r="L29" s="53" t="n">
        <f aca="false">J29-D29</f>
        <v>8.34887714518118E-014</v>
      </c>
    </row>
    <row r="30" customFormat="false" ht="15" hidden="false" customHeight="false" outlineLevel="0" collapsed="false">
      <c r="A30" s="16" t="s">
        <v>535</v>
      </c>
      <c r="B30" s="87" t="s">
        <v>536</v>
      </c>
      <c r="C30" s="17" t="s">
        <v>493</v>
      </c>
      <c r="D30" s="96" t="n">
        <v>10.74</v>
      </c>
      <c r="E30" s="96" t="n">
        <v>0.05</v>
      </c>
      <c r="F30" s="96" t="n">
        <v>2.27</v>
      </c>
      <c r="G30" s="96" t="n">
        <v>4.9</v>
      </c>
      <c r="H30" s="96" t="n">
        <v>5.54</v>
      </c>
      <c r="I30" s="96" t="n">
        <v>7.6</v>
      </c>
      <c r="J30" s="96" t="n">
        <v>9.6</v>
      </c>
      <c r="K30" s="53" t="n">
        <f aca="false">AVERAGE(D30:J30)</f>
        <v>5.81428571428572</v>
      </c>
      <c r="L30" s="53" t="n">
        <f aca="false">J30-D30</f>
        <v>-1.14</v>
      </c>
    </row>
    <row r="31" customFormat="false" ht="15" hidden="false" customHeight="false" outlineLevel="0" collapsed="false">
      <c r="A31" s="16" t="s">
        <v>537</v>
      </c>
      <c r="B31" s="87" t="s">
        <v>538</v>
      </c>
      <c r="C31" s="17" t="s">
        <v>493</v>
      </c>
      <c r="D31" s="96" t="n">
        <v>0.17</v>
      </c>
      <c r="E31" s="96" t="n">
        <v>0.26</v>
      </c>
      <c r="F31" s="96" t="n">
        <v>0.36</v>
      </c>
      <c r="G31" s="96" t="n">
        <v>0.65</v>
      </c>
      <c r="H31" s="96" t="n">
        <v>0.65</v>
      </c>
      <c r="I31" s="96" t="n">
        <v>2.09</v>
      </c>
      <c r="J31" s="96" t="n">
        <v>1.39</v>
      </c>
      <c r="K31" s="53" t="n">
        <f aca="false">AVERAGE(D31:J31)</f>
        <v>0.795714285714286</v>
      </c>
      <c r="L31" s="53" t="n">
        <f aca="false">J31-D31</f>
        <v>1.22</v>
      </c>
    </row>
    <row r="32" customFormat="false" ht="15" hidden="false" customHeight="false" outlineLevel="0" collapsed="false">
      <c r="A32" s="16" t="s">
        <v>539</v>
      </c>
      <c r="B32" s="87" t="s">
        <v>540</v>
      </c>
      <c r="C32" s="17" t="s">
        <v>493</v>
      </c>
      <c r="D32" s="96" t="n">
        <v>0</v>
      </c>
      <c r="E32" s="96" t="n">
        <v>0</v>
      </c>
      <c r="F32" s="96" t="n">
        <v>0</v>
      </c>
      <c r="G32" s="96" t="n">
        <v>0</v>
      </c>
      <c r="H32" s="96" t="n">
        <v>0</v>
      </c>
      <c r="I32" s="96" t="n">
        <v>0</v>
      </c>
      <c r="J32" s="96" t="n">
        <v>0</v>
      </c>
      <c r="K32" s="53" t="n">
        <f aca="false">AVERAGE(D32:J32)</f>
        <v>0</v>
      </c>
      <c r="L32" s="53" t="n">
        <f aca="false">J32-D32</f>
        <v>0</v>
      </c>
    </row>
    <row r="34" customFormat="false" ht="19.5" hidden="false" customHeight="true" outlineLevel="0" collapsed="false">
      <c r="A34" s="85" t="s">
        <v>541</v>
      </c>
      <c r="B34" s="86"/>
      <c r="C34" s="86"/>
      <c r="D34" s="86"/>
      <c r="E34" s="86"/>
      <c r="F34" s="86"/>
      <c r="G34" s="86"/>
      <c r="H34" s="86"/>
      <c r="I34" s="86"/>
      <c r="J34" s="86"/>
      <c r="K34" s="86"/>
      <c r="L34" s="86"/>
    </row>
    <row r="35" customFormat="false" ht="16.5" hidden="false" customHeight="true" outlineLevel="0" collapsed="false">
      <c r="A35" s="88" t="s">
        <v>542</v>
      </c>
      <c r="B35" s="89"/>
      <c r="C35" s="89"/>
      <c r="D35" s="89"/>
      <c r="E35" s="89"/>
      <c r="F35" s="89"/>
      <c r="G35" s="89"/>
      <c r="H35" s="89"/>
      <c r="I35" s="89"/>
      <c r="J35" s="89"/>
      <c r="K35" s="89"/>
      <c r="L35" s="89"/>
    </row>
    <row r="36" customFormat="false" ht="15" hidden="false" customHeight="false" outlineLevel="0" collapsed="false">
      <c r="A36" s="16" t="s">
        <v>543</v>
      </c>
      <c r="B36" s="87" t="s">
        <v>544</v>
      </c>
      <c r="C36" s="17" t="s">
        <v>493</v>
      </c>
      <c r="D36" s="96" t="n">
        <v>16.54</v>
      </c>
      <c r="E36" s="96" t="n">
        <v>26.04</v>
      </c>
      <c r="F36" s="96" t="n">
        <v>36.04</v>
      </c>
      <c r="G36" s="96" t="n">
        <v>64.95</v>
      </c>
      <c r="H36" s="96" t="n">
        <v>64.59</v>
      </c>
      <c r="I36" s="96" t="n">
        <v>69.59</v>
      </c>
      <c r="J36" s="96" t="n">
        <v>69.59</v>
      </c>
      <c r="K36" s="53" t="n">
        <f aca="false">AVERAGE(D36:J36)</f>
        <v>49.62</v>
      </c>
      <c r="L36" s="53" t="n">
        <f aca="false">J36-D36</f>
        <v>53.05</v>
      </c>
    </row>
    <row r="37" customFormat="false" ht="15" hidden="false" customHeight="false" outlineLevel="0" collapsed="false">
      <c r="A37" s="16" t="s">
        <v>545</v>
      </c>
      <c r="B37" s="87" t="s">
        <v>540</v>
      </c>
      <c r="C37" s="17" t="s">
        <v>493</v>
      </c>
      <c r="D37" s="96" t="n">
        <v>0</v>
      </c>
      <c r="E37" s="96" t="n">
        <v>0</v>
      </c>
      <c r="F37" s="96" t="n">
        <v>0</v>
      </c>
      <c r="G37" s="96" t="n">
        <v>0</v>
      </c>
      <c r="H37" s="96" t="n">
        <v>0</v>
      </c>
      <c r="I37" s="96" t="n">
        <v>0</v>
      </c>
      <c r="J37" s="96" t="n">
        <v>0</v>
      </c>
      <c r="K37" s="53" t="n">
        <f aca="false">AVERAGE(D37:J37)</f>
        <v>0</v>
      </c>
      <c r="L37" s="53" t="n">
        <f aca="false">J37-D37</f>
        <v>0</v>
      </c>
    </row>
    <row r="38" customFormat="false" ht="15" hidden="false" customHeight="false" outlineLevel="0" collapsed="false">
      <c r="A38" s="16" t="s">
        <v>546</v>
      </c>
      <c r="B38" s="87" t="s">
        <v>547</v>
      </c>
      <c r="C38" s="17" t="s">
        <v>493</v>
      </c>
      <c r="D38" s="96" t="n">
        <v>102.49</v>
      </c>
      <c r="E38" s="96" t="n">
        <v>90.58</v>
      </c>
      <c r="F38" s="96" t="n">
        <v>81.22</v>
      </c>
      <c r="G38" s="96" t="n">
        <v>52.74</v>
      </c>
      <c r="H38" s="96" t="n">
        <v>54.74</v>
      </c>
      <c r="I38" s="96" t="n">
        <v>52.07</v>
      </c>
      <c r="J38" s="96" t="n">
        <v>53.93</v>
      </c>
      <c r="K38" s="53" t="n">
        <f aca="false">AVERAGE(D38:J38)</f>
        <v>69.6814285714286</v>
      </c>
      <c r="L38" s="53" t="n">
        <f aca="false">J38-D38</f>
        <v>-48.56</v>
      </c>
    </row>
    <row r="39" customFormat="false" ht="15" hidden="false" customHeight="false" outlineLevel="0" collapsed="false">
      <c r="A39" s="12" t="s">
        <v>548</v>
      </c>
      <c r="B39" s="87" t="s">
        <v>549</v>
      </c>
      <c r="C39" s="17" t="s">
        <v>493</v>
      </c>
      <c r="D39" s="29" t="n">
        <f aca="false">D36+D38</f>
        <v>119.03</v>
      </c>
      <c r="E39" s="29" t="n">
        <f aca="false">E36+E38</f>
        <v>116.62</v>
      </c>
      <c r="F39" s="29" t="n">
        <f aca="false">F36+F38</f>
        <v>117.26</v>
      </c>
      <c r="G39" s="29" t="n">
        <f aca="false">G36+G38</f>
        <v>117.69</v>
      </c>
      <c r="H39" s="29" t="n">
        <f aca="false">H36+H38</f>
        <v>119.33</v>
      </c>
      <c r="I39" s="29" t="n">
        <f aca="false">I36+I38</f>
        <v>121.66</v>
      </c>
      <c r="J39" s="29" t="n">
        <f aca="false">J36+J38</f>
        <v>123.52</v>
      </c>
      <c r="K39" s="29" t="n">
        <f aca="false">AVERAGE(D39:J39)</f>
        <v>119.301428571429</v>
      </c>
      <c r="L39" s="29" t="n">
        <f aca="false">J39-D39</f>
        <v>4.49000000000001</v>
      </c>
    </row>
    <row r="40" customFormat="false" ht="15" hidden="false" customHeight="false" outlineLevel="0" collapsed="false">
      <c r="A40" s="12" t="s">
        <v>550</v>
      </c>
      <c r="B40" s="87" t="s">
        <v>551</v>
      </c>
      <c r="C40" s="17" t="s">
        <v>493</v>
      </c>
      <c r="D40" s="29" t="n">
        <f aca="false">D39+D37</f>
        <v>119.03</v>
      </c>
      <c r="E40" s="29" t="n">
        <f aca="false">E39+E37</f>
        <v>116.62</v>
      </c>
      <c r="F40" s="29" t="n">
        <f aca="false">F39+F37</f>
        <v>117.26</v>
      </c>
      <c r="G40" s="29" t="n">
        <f aca="false">G39+G37</f>
        <v>117.69</v>
      </c>
      <c r="H40" s="29" t="n">
        <f aca="false">H39+H37</f>
        <v>119.33</v>
      </c>
      <c r="I40" s="29" t="n">
        <f aca="false">I39+I37</f>
        <v>121.66</v>
      </c>
      <c r="J40" s="29" t="n">
        <f aca="false">J39+J37</f>
        <v>123.52</v>
      </c>
      <c r="K40" s="29" t="n">
        <f aca="false">AVERAGE(D40:J40)</f>
        <v>119.301428571429</v>
      </c>
      <c r="L40" s="29" t="n">
        <f aca="false">J40-D40</f>
        <v>4.49000000000001</v>
      </c>
    </row>
    <row r="41" customFormat="false" ht="15" hidden="false" customHeight="false" outlineLevel="0" collapsed="false">
      <c r="A41" s="16" t="s">
        <v>552</v>
      </c>
      <c r="B41" s="87" t="s">
        <v>553</v>
      </c>
      <c r="C41" s="17" t="s">
        <v>493</v>
      </c>
      <c r="D41" s="96" t="n">
        <v>60.72</v>
      </c>
      <c r="E41" s="96" t="n">
        <v>61.72</v>
      </c>
      <c r="F41" s="96" t="n">
        <v>47.98</v>
      </c>
      <c r="G41" s="96" t="n">
        <v>31.26</v>
      </c>
      <c r="H41" s="96" t="n">
        <v>24.12</v>
      </c>
      <c r="I41" s="96" t="n">
        <v>13.07</v>
      </c>
      <c r="J41" s="96" t="n">
        <v>6.26</v>
      </c>
      <c r="K41" s="53" t="n">
        <f aca="false">AVERAGE(D41:J41)</f>
        <v>35.0185714285714</v>
      </c>
      <c r="L41" s="53" t="n">
        <f aca="false">J41-D41</f>
        <v>-54.46</v>
      </c>
    </row>
    <row r="42" customFormat="false" ht="15" hidden="false" customHeight="false" outlineLevel="0" collapsed="false">
      <c r="A42" s="16" t="s">
        <v>554</v>
      </c>
      <c r="B42" s="87" t="s">
        <v>555</v>
      </c>
      <c r="C42" s="17" t="s">
        <v>493</v>
      </c>
      <c r="D42" s="96" t="n">
        <v>25.64</v>
      </c>
      <c r="E42" s="96" t="n">
        <v>11.96</v>
      </c>
      <c r="F42" s="96" t="n">
        <v>13.81</v>
      </c>
      <c r="G42" s="96" t="n">
        <v>23.2</v>
      </c>
      <c r="H42" s="96" t="n">
        <v>48.59</v>
      </c>
      <c r="I42" s="96" t="n">
        <v>33.39</v>
      </c>
      <c r="J42" s="96" t="n">
        <v>33.54</v>
      </c>
      <c r="K42" s="53" t="n">
        <f aca="false">AVERAGE(D42:J42)</f>
        <v>27.1614285714286</v>
      </c>
      <c r="L42" s="53" t="n">
        <f aca="false">J42-D42</f>
        <v>7.9</v>
      </c>
    </row>
    <row r="43" customFormat="false" ht="15" hidden="false" customHeight="false" outlineLevel="0" collapsed="false">
      <c r="A43" s="12" t="s">
        <v>556</v>
      </c>
      <c r="B43" s="87" t="s">
        <v>557</v>
      </c>
      <c r="C43" s="17" t="s">
        <v>493</v>
      </c>
      <c r="D43" s="90" t="n">
        <f aca="false">D40+D41+D42</f>
        <v>205.39</v>
      </c>
      <c r="E43" s="90" t="n">
        <f aca="false">E40+E41+E42</f>
        <v>190.3</v>
      </c>
      <c r="F43" s="90" t="n">
        <f aca="false">F40+F41+F42</f>
        <v>179.05</v>
      </c>
      <c r="G43" s="90" t="n">
        <f aca="false">G40+G41+G42</f>
        <v>172.15</v>
      </c>
      <c r="H43" s="90" t="n">
        <f aca="false">H40+H41+H42</f>
        <v>192.04</v>
      </c>
      <c r="I43" s="90" t="n">
        <f aca="false">I40+I41+I42</f>
        <v>168.12</v>
      </c>
      <c r="J43" s="90" t="n">
        <f aca="false">J40+J41+J42</f>
        <v>163.32</v>
      </c>
      <c r="K43" s="91" t="n">
        <f aca="false">AVERAGE(D43:J43)</f>
        <v>181.481428571429</v>
      </c>
      <c r="L43" s="91" t="n">
        <f aca="false">J43-D43</f>
        <v>-42.07</v>
      </c>
    </row>
    <row r="44" customFormat="false" ht="16.5" hidden="false" customHeight="true" outlineLevel="0" collapsed="false">
      <c r="A44" s="88" t="s">
        <v>558</v>
      </c>
      <c r="B44" s="89"/>
      <c r="C44" s="89"/>
      <c r="D44" s="89"/>
      <c r="E44" s="89"/>
      <c r="F44" s="89"/>
      <c r="G44" s="89"/>
      <c r="H44" s="89"/>
      <c r="I44" s="89"/>
      <c r="J44" s="89"/>
      <c r="K44" s="89"/>
      <c r="L44" s="89"/>
    </row>
    <row r="45" customFormat="false" ht="15" hidden="false" customHeight="false" outlineLevel="0" collapsed="false">
      <c r="A45" s="16" t="s">
        <v>559</v>
      </c>
      <c r="B45" s="87" t="s">
        <v>560</v>
      </c>
      <c r="C45" s="17" t="s">
        <v>493</v>
      </c>
      <c r="D45" s="96" t="n">
        <v>51.1</v>
      </c>
      <c r="E45" s="96" t="n">
        <v>53.13</v>
      </c>
      <c r="F45" s="96" t="n">
        <v>56.91</v>
      </c>
      <c r="G45" s="96" t="n">
        <v>55.08</v>
      </c>
      <c r="H45" s="96" t="n">
        <v>48.5</v>
      </c>
      <c r="I45" s="96" t="n">
        <v>47.13</v>
      </c>
      <c r="J45" s="96" t="n">
        <v>45.85</v>
      </c>
      <c r="K45" s="53" t="n">
        <f aca="false">AVERAGE(D45:J45)</f>
        <v>51.1</v>
      </c>
      <c r="L45" s="53" t="n">
        <f aca="false">J45-D45</f>
        <v>-5.25</v>
      </c>
    </row>
    <row r="46" customFormat="false" ht="15" hidden="false" customHeight="false" outlineLevel="0" collapsed="false">
      <c r="A46" s="16" t="s">
        <v>561</v>
      </c>
      <c r="B46" s="87" t="s">
        <v>562</v>
      </c>
      <c r="C46" s="17" t="s">
        <v>493</v>
      </c>
      <c r="D46" s="96" t="n">
        <v>2.13</v>
      </c>
      <c r="E46" s="96" t="n">
        <v>0.78</v>
      </c>
      <c r="F46" s="96" t="n">
        <v>0.14</v>
      </c>
      <c r="G46" s="96" t="n">
        <v>0.16</v>
      </c>
      <c r="H46" s="96" t="n">
        <v>0.05</v>
      </c>
      <c r="I46" s="96" t="n">
        <v>0.05</v>
      </c>
      <c r="J46" s="96" t="n">
        <v>0.05</v>
      </c>
      <c r="K46" s="53" t="n">
        <f aca="false">AVERAGE(D46:J46)</f>
        <v>0.48</v>
      </c>
      <c r="L46" s="53" t="n">
        <f aca="false">J46-D46</f>
        <v>-2.08</v>
      </c>
    </row>
    <row r="47" customFormat="false" ht="15" hidden="false" customHeight="false" outlineLevel="0" collapsed="false">
      <c r="A47" s="16" t="s">
        <v>563</v>
      </c>
      <c r="B47" s="87" t="s">
        <v>564</v>
      </c>
      <c r="C47" s="17" t="s">
        <v>493</v>
      </c>
      <c r="D47" s="96" t="n">
        <v>10.65</v>
      </c>
      <c r="E47" s="96" t="n">
        <v>9.39</v>
      </c>
      <c r="F47" s="96" t="n">
        <v>5.91</v>
      </c>
      <c r="G47" s="96" t="n">
        <v>5.19</v>
      </c>
      <c r="H47" s="96" t="n">
        <v>4.72</v>
      </c>
      <c r="I47" s="96" t="n">
        <v>4.36</v>
      </c>
      <c r="J47" s="96" t="n">
        <v>4.56</v>
      </c>
      <c r="K47" s="53" t="n">
        <f aca="false">AVERAGE(D47:J47)</f>
        <v>6.39714285714286</v>
      </c>
      <c r="L47" s="53" t="n">
        <f aca="false">J47-D47</f>
        <v>-6.09</v>
      </c>
    </row>
    <row r="48" customFormat="false" ht="15" hidden="false" customHeight="false" outlineLevel="0" collapsed="false">
      <c r="A48" s="16" t="s">
        <v>565</v>
      </c>
      <c r="B48" s="87" t="s">
        <v>566</v>
      </c>
      <c r="C48" s="17" t="s">
        <v>493</v>
      </c>
      <c r="D48" s="96" t="n">
        <v>141.51</v>
      </c>
      <c r="E48" s="96" t="n">
        <v>127</v>
      </c>
      <c r="F48" s="96" t="n">
        <v>116.09</v>
      </c>
      <c r="G48" s="96" t="n">
        <v>111.72</v>
      </c>
      <c r="H48" s="96" t="n">
        <v>138.77</v>
      </c>
      <c r="I48" s="96" t="n">
        <v>116.58</v>
      </c>
      <c r="J48" s="96" t="n">
        <v>112.86</v>
      </c>
      <c r="K48" s="53" t="n">
        <f aca="false">AVERAGE(D48:J48)</f>
        <v>123.504285714286</v>
      </c>
      <c r="L48" s="53" t="n">
        <f aca="false">J48-D48</f>
        <v>-28.65</v>
      </c>
    </row>
    <row r="49" customFormat="false" ht="15" hidden="false" customHeight="false" outlineLevel="0" collapsed="false">
      <c r="A49" s="12" t="s">
        <v>567</v>
      </c>
      <c r="B49" s="87" t="s">
        <v>568</v>
      </c>
      <c r="C49" s="17" t="s">
        <v>493</v>
      </c>
      <c r="D49" s="90" t="n">
        <f aca="false">D45+D46+D47+D48</f>
        <v>205.39</v>
      </c>
      <c r="E49" s="90" t="n">
        <f aca="false">E45+E46+E47+E48</f>
        <v>190.3</v>
      </c>
      <c r="F49" s="90" t="n">
        <f aca="false">F45+F46+F47+F48</f>
        <v>179.05</v>
      </c>
      <c r="G49" s="90" t="n">
        <f aca="false">G45+G46+G47+G48</f>
        <v>172.15</v>
      </c>
      <c r="H49" s="90" t="n">
        <f aca="false">H45+H46+H47+H48</f>
        <v>192.04</v>
      </c>
      <c r="I49" s="90" t="n">
        <f aca="false">I45+I46+I47+I48</f>
        <v>168.12</v>
      </c>
      <c r="J49" s="90" t="n">
        <f aca="false">J45+J46+J47+J48</f>
        <v>163.32</v>
      </c>
      <c r="K49" s="91" t="n">
        <f aca="false">AVERAGE(D49:J49)</f>
        <v>181.481428571429</v>
      </c>
      <c r="L49" s="91" t="n">
        <f aca="false">J49-D49</f>
        <v>-42.07</v>
      </c>
    </row>
    <row r="50" customFormat="false" ht="15" hidden="false" customHeight="false" outlineLevel="0" collapsed="false">
      <c r="A50" s="16" t="s">
        <v>569</v>
      </c>
      <c r="B50" s="87" t="s">
        <v>570</v>
      </c>
      <c r="C50" s="17" t="s">
        <v>493</v>
      </c>
      <c r="D50" s="96" t="n">
        <v>88.76</v>
      </c>
      <c r="E50" s="96" t="n">
        <v>71.91</v>
      </c>
      <c r="F50" s="96" t="n">
        <v>64.34</v>
      </c>
      <c r="G50" s="96" t="n">
        <v>73.86</v>
      </c>
      <c r="H50" s="96" t="n">
        <v>90.76</v>
      </c>
      <c r="I50" s="96" t="n">
        <v>67.49</v>
      </c>
      <c r="J50" s="96" t="n">
        <v>72.68</v>
      </c>
      <c r="K50" s="53" t="n">
        <f aca="false">AVERAGE(D50:J50)</f>
        <v>75.6857142857143</v>
      </c>
      <c r="L50" s="53" t="n">
        <f aca="false">J50-D50</f>
        <v>-16.08</v>
      </c>
    </row>
    <row r="51" customFormat="false" ht="15" hidden="false" customHeight="false" outlineLevel="0" collapsed="false">
      <c r="A51" s="16" t="s">
        <v>571</v>
      </c>
      <c r="B51" s="87" t="s">
        <v>570</v>
      </c>
      <c r="C51" s="17" t="s">
        <v>493</v>
      </c>
      <c r="D51" s="96" t="n">
        <v>0</v>
      </c>
      <c r="E51" s="96" t="n">
        <v>0</v>
      </c>
      <c r="F51" s="96" t="n">
        <v>0</v>
      </c>
      <c r="G51" s="96" t="n">
        <v>0</v>
      </c>
      <c r="H51" s="96" t="n">
        <v>0</v>
      </c>
      <c r="I51" s="96" t="n">
        <v>0</v>
      </c>
      <c r="J51" s="96" t="n">
        <v>0</v>
      </c>
      <c r="K51" s="53" t="n">
        <f aca="false">AVERAGE(D51:J51)</f>
        <v>0</v>
      </c>
      <c r="L51" s="53" t="n">
        <f aca="false">J51-D51</f>
        <v>0</v>
      </c>
    </row>
    <row r="52" customFormat="false" ht="15" hidden="false" customHeight="false" outlineLevel="0" collapsed="false">
      <c r="A52" s="16" t="s">
        <v>572</v>
      </c>
      <c r="B52" s="87" t="s">
        <v>570</v>
      </c>
      <c r="C52" s="17" t="s">
        <v>493</v>
      </c>
      <c r="D52" s="96" t="n">
        <v>12.87</v>
      </c>
      <c r="E52" s="96" t="n">
        <v>23.08</v>
      </c>
      <c r="F52" s="96" t="n">
        <v>21.67</v>
      </c>
      <c r="G52" s="96" t="n">
        <v>24.16</v>
      </c>
      <c r="H52" s="96" t="n">
        <v>32.35</v>
      </c>
      <c r="I52" s="96" t="n">
        <v>28.58</v>
      </c>
      <c r="J52" s="96" t="n">
        <v>26.93</v>
      </c>
      <c r="K52" s="53" t="n">
        <f aca="false">AVERAGE(D52:J52)</f>
        <v>24.2342857142857</v>
      </c>
      <c r="L52" s="53" t="n">
        <f aca="false">J52-D52</f>
        <v>14.06</v>
      </c>
    </row>
    <row r="53" customFormat="false" ht="15" hidden="false" customHeight="false" outlineLevel="0" collapsed="false">
      <c r="A53" s="16" t="s">
        <v>573</v>
      </c>
      <c r="B53" s="87" t="s">
        <v>574</v>
      </c>
      <c r="C53" s="17" t="s">
        <v>493</v>
      </c>
      <c r="D53" s="92" t="n">
        <f aca="false">D49-D43</f>
        <v>0</v>
      </c>
      <c r="E53" s="92" t="n">
        <f aca="false">E49-E43</f>
        <v>0</v>
      </c>
      <c r="F53" s="92" t="n">
        <f aca="false">F49-F43</f>
        <v>0</v>
      </c>
      <c r="G53" s="92" t="n">
        <f aca="false">G49-G43</f>
        <v>0</v>
      </c>
      <c r="H53" s="92" t="n">
        <f aca="false">H49-H43</f>
        <v>0</v>
      </c>
      <c r="I53" s="92" t="n">
        <f aca="false">I49-I43</f>
        <v>0</v>
      </c>
      <c r="J53" s="92" t="n">
        <f aca="false">J49-J43</f>
        <v>0</v>
      </c>
      <c r="K53" s="53"/>
      <c r="L53" s="53"/>
    </row>
    <row r="55" customFormat="false" ht="19.5" hidden="false" customHeight="true" outlineLevel="0" collapsed="false">
      <c r="A55" s="85" t="s">
        <v>575</v>
      </c>
      <c r="B55" s="86"/>
      <c r="C55" s="86"/>
      <c r="D55" s="86"/>
      <c r="E55" s="86"/>
      <c r="F55" s="86"/>
      <c r="G55" s="86"/>
      <c r="H55" s="86"/>
      <c r="I55" s="86"/>
      <c r="J55" s="86"/>
      <c r="K55" s="86"/>
      <c r="L55" s="86"/>
    </row>
    <row r="56" customFormat="false" ht="16.5" hidden="false" customHeight="true" outlineLevel="0" collapsed="false">
      <c r="A56" s="88" t="s">
        <v>576</v>
      </c>
      <c r="B56" s="89"/>
      <c r="C56" s="89"/>
      <c r="D56" s="89"/>
      <c r="E56" s="89"/>
      <c r="F56" s="89"/>
      <c r="G56" s="89"/>
      <c r="H56" s="89"/>
      <c r="I56" s="89"/>
      <c r="J56" s="89"/>
      <c r="K56" s="89"/>
      <c r="L56" s="89"/>
    </row>
    <row r="57" customFormat="false" ht="15" hidden="false" customHeight="false" outlineLevel="0" collapsed="false">
      <c r="A57" s="16" t="s">
        <v>527</v>
      </c>
      <c r="B57" s="87" t="s">
        <v>577</v>
      </c>
      <c r="C57" s="17" t="s">
        <v>493</v>
      </c>
      <c r="D57" s="69" t="n">
        <f aca="false">D26</f>
        <v>12.83</v>
      </c>
      <c r="E57" s="69" t="n">
        <f aca="false">E26</f>
        <v>0.280000000000015</v>
      </c>
      <c r="F57" s="69" t="n">
        <f aca="false">F26</f>
        <v>2.22999999999997</v>
      </c>
      <c r="G57" s="69" t="n">
        <f aca="false">G26</f>
        <v>4.63999999999994</v>
      </c>
      <c r="H57" s="69" t="n">
        <f aca="false">H26</f>
        <v>5.68000000000002</v>
      </c>
      <c r="I57" s="69" t="n">
        <f aca="false">I26</f>
        <v>7.67</v>
      </c>
      <c r="J57" s="69" t="n">
        <f aca="false">J26</f>
        <v>10.3099999999999</v>
      </c>
      <c r="K57" s="53" t="n">
        <f aca="false">AVERAGE(D57:J57)</f>
        <v>6.2342857142857</v>
      </c>
      <c r="L57" s="53" t="n">
        <f aca="false">J57-D57</f>
        <v>-2.52000000000008</v>
      </c>
    </row>
    <row r="58" customFormat="false" ht="15" hidden="false" customHeight="false" outlineLevel="0" collapsed="false">
      <c r="A58" s="16" t="s">
        <v>578</v>
      </c>
      <c r="B58" s="87" t="s">
        <v>579</v>
      </c>
      <c r="C58" s="17" t="s">
        <v>493</v>
      </c>
      <c r="D58" s="69" t="n">
        <f aca="false">D22</f>
        <v>3.91</v>
      </c>
      <c r="E58" s="69" t="n">
        <f aca="false">E22</f>
        <v>2.35</v>
      </c>
      <c r="F58" s="69" t="n">
        <f aca="false">F22</f>
        <v>2.63</v>
      </c>
      <c r="G58" s="69" t="n">
        <f aca="false">G22</f>
        <v>2.92</v>
      </c>
      <c r="H58" s="69" t="n">
        <f aca="false">H22</f>
        <v>2.8</v>
      </c>
      <c r="I58" s="69" t="n">
        <f aca="false">I22</f>
        <v>2.61</v>
      </c>
      <c r="J58" s="69" t="n">
        <f aca="false">J22</f>
        <v>2.55</v>
      </c>
      <c r="K58" s="53" t="n">
        <f aca="false">AVERAGE(D58:J58)</f>
        <v>2.82428571428571</v>
      </c>
      <c r="L58" s="53" t="n">
        <f aca="false">J58-D58</f>
        <v>-1.36</v>
      </c>
    </row>
    <row r="59" customFormat="false" ht="15" hidden="false" customHeight="false" outlineLevel="0" collapsed="false">
      <c r="A59" s="16" t="s">
        <v>580</v>
      </c>
      <c r="B59" s="87" t="s">
        <v>581</v>
      </c>
      <c r="C59" s="17" t="s">
        <v>493</v>
      </c>
      <c r="D59" s="69" t="n">
        <f aca="false">D25</f>
        <v>7.39</v>
      </c>
      <c r="E59" s="69" t="n">
        <f aca="false">E25</f>
        <v>7.59</v>
      </c>
      <c r="F59" s="69" t="n">
        <f aca="false">F25</f>
        <v>5.34</v>
      </c>
      <c r="G59" s="69" t="n">
        <f aca="false">G25</f>
        <v>4.77</v>
      </c>
      <c r="H59" s="69" t="n">
        <f aca="false">H25</f>
        <v>2.59</v>
      </c>
      <c r="I59" s="69" t="n">
        <f aca="false">I25</f>
        <v>1.18</v>
      </c>
      <c r="J59" s="69" t="n">
        <f aca="false">J25</f>
        <v>0.35</v>
      </c>
      <c r="K59" s="53" t="n">
        <f aca="false">AVERAGE(D59:J59)</f>
        <v>4.17285714285714</v>
      </c>
      <c r="L59" s="53" t="n">
        <f aca="false">J59-D59</f>
        <v>-7.04</v>
      </c>
    </row>
    <row r="60" customFormat="false" ht="15" hidden="false" customHeight="false" outlineLevel="0" collapsed="false">
      <c r="A60" s="16" t="s">
        <v>582</v>
      </c>
      <c r="B60" s="87" t="s">
        <v>583</v>
      </c>
      <c r="C60" s="17" t="s">
        <v>493</v>
      </c>
      <c r="D60" s="69" t="n">
        <f aca="false">-D24</f>
        <v>-16.04</v>
      </c>
      <c r="E60" s="69" t="n">
        <f aca="false">-E24</f>
        <v>-5.05</v>
      </c>
      <c r="F60" s="69" t="n">
        <f aca="false">-F24</f>
        <v>-2.51</v>
      </c>
      <c r="G60" s="69" t="n">
        <f aca="false">-G24</f>
        <v>-2.01</v>
      </c>
      <c r="H60" s="69" t="n">
        <f aca="false">-H24</f>
        <v>-1.97</v>
      </c>
      <c r="I60" s="69" t="n">
        <f aca="false">-I24</f>
        <v>-2.65</v>
      </c>
      <c r="J60" s="69" t="n">
        <f aca="false">-J24</f>
        <v>-2.84</v>
      </c>
      <c r="K60" s="53" t="n">
        <f aca="false">AVERAGE(D60:J60)</f>
        <v>-4.72428571428571</v>
      </c>
      <c r="L60" s="53" t="n">
        <f aca="false">J60-D60</f>
        <v>13.2</v>
      </c>
    </row>
    <row r="61" customFormat="false" ht="15" hidden="false" customHeight="false" outlineLevel="0" collapsed="false">
      <c r="A61" s="12" t="s">
        <v>584</v>
      </c>
      <c r="B61" s="87" t="s">
        <v>585</v>
      </c>
      <c r="C61" s="17" t="s">
        <v>493</v>
      </c>
      <c r="D61" s="29" t="n">
        <f aca="false">D57+D58+D59+D60</f>
        <v>8.09000000000003</v>
      </c>
      <c r="E61" s="29" t="n">
        <f aca="false">E57+E58+E59+E60</f>
        <v>5.17000000000002</v>
      </c>
      <c r="F61" s="29" t="n">
        <f aca="false">F57+F58+F59+F60</f>
        <v>7.68999999999997</v>
      </c>
      <c r="G61" s="29" t="n">
        <f aca="false">G57+G58+G59+G60</f>
        <v>10.3199999999999</v>
      </c>
      <c r="H61" s="29" t="n">
        <f aca="false">H57+H58+H59+H60</f>
        <v>9.10000000000002</v>
      </c>
      <c r="I61" s="29" t="n">
        <f aca="false">I57+I58+I59+I60</f>
        <v>8.81</v>
      </c>
      <c r="J61" s="29" t="n">
        <f aca="false">J57+J58+J59+J60</f>
        <v>10.3699999999999</v>
      </c>
      <c r="K61" s="29" t="n">
        <f aca="false">AVERAGE(D61:J61)</f>
        <v>8.50714285714285</v>
      </c>
      <c r="L61" s="29" t="n">
        <f aca="false">J61-D61</f>
        <v>2.27999999999991</v>
      </c>
    </row>
    <row r="62" customFormat="false" ht="15" hidden="false" customHeight="false" outlineLevel="0" collapsed="false">
      <c r="A62" s="16" t="s">
        <v>586</v>
      </c>
      <c r="B62" s="87" t="s">
        <v>587</v>
      </c>
      <c r="C62" s="17" t="s">
        <v>493</v>
      </c>
      <c r="D62" s="69" t="n">
        <f aca="false">D63-D61</f>
        <v>-23.74</v>
      </c>
      <c r="E62" s="69" t="n">
        <f aca="false">E63-E61</f>
        <v>-0.620000000000015</v>
      </c>
      <c r="F62" s="69" t="n">
        <f aca="false">F63-F61</f>
        <v>1.46000000000003</v>
      </c>
      <c r="G62" s="69" t="n">
        <f aca="false">G63-G61</f>
        <v>-14.6799999999999</v>
      </c>
      <c r="H62" s="69" t="n">
        <f aca="false">H63-H61</f>
        <v>3.10999999999998</v>
      </c>
      <c r="I62" s="69" t="n">
        <f aca="false">I63-I61</f>
        <v>-7.93</v>
      </c>
      <c r="J62" s="69" t="n">
        <f aca="false">J63-J61</f>
        <v>-2.44999999999995</v>
      </c>
      <c r="K62" s="53" t="n">
        <f aca="false">AVERAGE(D62:J62)</f>
        <v>-6.40714285714285</v>
      </c>
      <c r="L62" s="53" t="n">
        <f aca="false">J62-D62</f>
        <v>21.2900000000001</v>
      </c>
    </row>
    <row r="63" customFormat="false" ht="15" hidden="false" customHeight="false" outlineLevel="0" collapsed="false">
      <c r="A63" s="16" t="s">
        <v>588</v>
      </c>
      <c r="B63" s="87" t="s">
        <v>589</v>
      </c>
      <c r="C63" s="17" t="s">
        <v>493</v>
      </c>
      <c r="D63" s="96" t="n">
        <v>-15.65</v>
      </c>
      <c r="E63" s="96" t="n">
        <v>4.55</v>
      </c>
      <c r="F63" s="96" t="n">
        <v>9.15</v>
      </c>
      <c r="G63" s="96" t="n">
        <v>-4.36</v>
      </c>
      <c r="H63" s="96" t="n">
        <v>12.21</v>
      </c>
      <c r="I63" s="96" t="n">
        <v>0.88</v>
      </c>
      <c r="J63" s="96" t="n">
        <v>7.92</v>
      </c>
      <c r="K63" s="53" t="n">
        <f aca="false">AVERAGE(D63:J63)</f>
        <v>2.1</v>
      </c>
      <c r="L63" s="53" t="n">
        <f aca="false">J63-D63</f>
        <v>23.57</v>
      </c>
    </row>
    <row r="64" customFormat="false" ht="16.5" hidden="false" customHeight="true" outlineLevel="0" collapsed="false">
      <c r="A64" s="88" t="s">
        <v>590</v>
      </c>
      <c r="B64" s="89"/>
      <c r="C64" s="89"/>
      <c r="D64" s="89"/>
      <c r="E64" s="89"/>
      <c r="F64" s="89"/>
      <c r="G64" s="89"/>
      <c r="H64" s="89"/>
      <c r="I64" s="89"/>
      <c r="J64" s="89"/>
      <c r="K64" s="89"/>
      <c r="L64" s="89"/>
    </row>
    <row r="65" customFormat="false" ht="15" hidden="false" customHeight="false" outlineLevel="0" collapsed="false">
      <c r="A65" s="16" t="s">
        <v>591</v>
      </c>
      <c r="B65" s="87" t="s">
        <v>592</v>
      </c>
      <c r="C65" s="17" t="s">
        <v>493</v>
      </c>
      <c r="D65" s="96" t="n">
        <v>40.11</v>
      </c>
      <c r="E65" s="96" t="n">
        <v>4.26</v>
      </c>
      <c r="F65" s="96" t="n">
        <v>-0.53</v>
      </c>
      <c r="G65" s="96" t="n">
        <v>4.7</v>
      </c>
      <c r="H65" s="96" t="n">
        <v>8.72</v>
      </c>
      <c r="I65" s="96" t="n">
        <v>0.55</v>
      </c>
      <c r="J65" s="96" t="n">
        <v>-0.6</v>
      </c>
      <c r="K65" s="53" t="n">
        <f aca="false">AVERAGE(D65:J65)</f>
        <v>8.17285714285714</v>
      </c>
      <c r="L65" s="53" t="n">
        <f aca="false">J65-D65</f>
        <v>-40.71</v>
      </c>
    </row>
    <row r="66" customFormat="false" ht="16.5" hidden="false" customHeight="true" outlineLevel="0" collapsed="false">
      <c r="A66" s="88" t="s">
        <v>593</v>
      </c>
      <c r="B66" s="89"/>
      <c r="C66" s="89"/>
      <c r="D66" s="89"/>
      <c r="E66" s="89"/>
      <c r="F66" s="89"/>
      <c r="G66" s="89"/>
      <c r="H66" s="89"/>
      <c r="I66" s="89"/>
      <c r="J66" s="89"/>
      <c r="K66" s="89"/>
      <c r="L66" s="89"/>
    </row>
    <row r="67" customFormat="false" ht="15" hidden="false" customHeight="false" outlineLevel="0" collapsed="false">
      <c r="A67" s="16" t="s">
        <v>594</v>
      </c>
      <c r="B67" s="87" t="s">
        <v>595</v>
      </c>
      <c r="C67" s="17" t="s">
        <v>493</v>
      </c>
      <c r="D67" s="69" t="n">
        <f aca="false">-D25</f>
        <v>-7.39</v>
      </c>
      <c r="E67" s="69" t="n">
        <f aca="false">-E25</f>
        <v>-7.59</v>
      </c>
      <c r="F67" s="69" t="n">
        <f aca="false">-F25</f>
        <v>-5.34</v>
      </c>
      <c r="G67" s="69" t="n">
        <f aca="false">-G25</f>
        <v>-4.77</v>
      </c>
      <c r="H67" s="69" t="n">
        <f aca="false">-H25</f>
        <v>-2.59</v>
      </c>
      <c r="I67" s="69" t="n">
        <f aca="false">-I25</f>
        <v>-1.18</v>
      </c>
      <c r="J67" s="69" t="n">
        <f aca="false">-J25</f>
        <v>-0.35</v>
      </c>
      <c r="K67" s="53" t="n">
        <f aca="false">AVERAGE(D67:J67)</f>
        <v>-4.17285714285714</v>
      </c>
      <c r="L67" s="53" t="n">
        <f aca="false">J67-D67</f>
        <v>7.04</v>
      </c>
    </row>
    <row r="68" customFormat="false" ht="15" hidden="false" customHeight="false" outlineLevel="0" collapsed="false">
      <c r="A68" s="16" t="s">
        <v>596</v>
      </c>
      <c r="B68" s="87" t="s">
        <v>597</v>
      </c>
      <c r="C68" s="17" t="s">
        <v>493</v>
      </c>
      <c r="D68" s="69" t="n">
        <f aca="false">-D31</f>
        <v>-0.17</v>
      </c>
      <c r="E68" s="69" t="n">
        <f aca="false">-E31</f>
        <v>-0.26</v>
      </c>
      <c r="F68" s="69" t="n">
        <f aca="false">-F31</f>
        <v>-0.36</v>
      </c>
      <c r="G68" s="69" t="n">
        <f aca="false">-G31</f>
        <v>-0.65</v>
      </c>
      <c r="H68" s="69" t="n">
        <f aca="false">-H31</f>
        <v>-0.65</v>
      </c>
      <c r="I68" s="69" t="n">
        <f aca="false">-I31</f>
        <v>-2.09</v>
      </c>
      <c r="J68" s="69" t="n">
        <f aca="false">-J31</f>
        <v>-1.39</v>
      </c>
      <c r="K68" s="53" t="n">
        <f aca="false">AVERAGE(D68:J68)</f>
        <v>-0.795714285714286</v>
      </c>
      <c r="L68" s="53" t="n">
        <f aca="false">J68-D68</f>
        <v>-1.22</v>
      </c>
    </row>
    <row r="69" customFormat="false" ht="15" hidden="false" customHeight="false" outlineLevel="0" collapsed="false">
      <c r="A69" s="16" t="s">
        <v>598</v>
      </c>
      <c r="B69" s="87" t="s">
        <v>599</v>
      </c>
      <c r="C69" s="17" t="s">
        <v>493</v>
      </c>
      <c r="D69" s="69" t="n">
        <f aca="false">D70-D67-D68</f>
        <v>-9.95</v>
      </c>
      <c r="E69" s="69" t="n">
        <f aca="false">E70-E67-E68</f>
        <v>10.97</v>
      </c>
      <c r="F69" s="69" t="n">
        <f aca="false">F70-F67-F68</f>
        <v>1.5</v>
      </c>
      <c r="G69" s="69" t="n">
        <f aca="false">G70-G67-G68</f>
        <v>28.67</v>
      </c>
      <c r="H69" s="69" t="n">
        <f aca="false">H70-H67-H68</f>
        <v>-7.02</v>
      </c>
      <c r="I69" s="69" t="n">
        <f aca="false">I70-I67-I68</f>
        <v>-1.52</v>
      </c>
      <c r="J69" s="69" t="n">
        <f aca="false">J70-J67-J68</f>
        <v>-0.82</v>
      </c>
      <c r="K69" s="53" t="n">
        <f aca="false">AVERAGE(D69:J69)</f>
        <v>3.11857142857143</v>
      </c>
      <c r="L69" s="53" t="n">
        <f aca="false">J69-D69</f>
        <v>9.13</v>
      </c>
    </row>
    <row r="70" customFormat="false" ht="15" hidden="false" customHeight="false" outlineLevel="0" collapsed="false">
      <c r="A70" s="16" t="s">
        <v>600</v>
      </c>
      <c r="B70" s="87" t="s">
        <v>601</v>
      </c>
      <c r="C70" s="17" t="s">
        <v>493</v>
      </c>
      <c r="D70" s="96" t="n">
        <v>-17.51</v>
      </c>
      <c r="E70" s="96" t="n">
        <v>3.12</v>
      </c>
      <c r="F70" s="96" t="n">
        <v>-4.2</v>
      </c>
      <c r="G70" s="96" t="n">
        <v>23.25</v>
      </c>
      <c r="H70" s="96" t="n">
        <v>-10.26</v>
      </c>
      <c r="I70" s="96" t="n">
        <v>-4.79</v>
      </c>
      <c r="J70" s="96" t="n">
        <v>-2.56</v>
      </c>
      <c r="K70" s="53" t="n">
        <f aca="false">AVERAGE(D70:J70)</f>
        <v>-1.85</v>
      </c>
      <c r="L70" s="53" t="n">
        <f aca="false">J70-D70</f>
        <v>14.95</v>
      </c>
    </row>
    <row r="71" customFormat="false" ht="15" hidden="false" customHeight="false" outlineLevel="0" collapsed="false">
      <c r="A71" s="12" t="s">
        <v>602</v>
      </c>
      <c r="B71" s="87" t="s">
        <v>603</v>
      </c>
      <c r="C71" s="17" t="s">
        <v>493</v>
      </c>
      <c r="D71" s="90" t="n">
        <f aca="false">D63+D65+D70</f>
        <v>6.95</v>
      </c>
      <c r="E71" s="90" t="n">
        <f aca="false">E63+E65+E70</f>
        <v>11.93</v>
      </c>
      <c r="F71" s="90" t="n">
        <f aca="false">F63+F65+F70</f>
        <v>4.42</v>
      </c>
      <c r="G71" s="90" t="n">
        <f aca="false">G63+G65+G70</f>
        <v>23.59</v>
      </c>
      <c r="H71" s="90" t="n">
        <f aca="false">H63+H65+H70</f>
        <v>10.67</v>
      </c>
      <c r="I71" s="90" t="n">
        <f aca="false">I63+I65+I70</f>
        <v>-3.36</v>
      </c>
      <c r="J71" s="90" t="n">
        <f aca="false">J63+J65+J70</f>
        <v>4.76</v>
      </c>
      <c r="K71" s="91" t="n">
        <f aca="false">AVERAGE(D71:J71)</f>
        <v>8.42285714285714</v>
      </c>
      <c r="L71" s="91" t="n">
        <f aca="false">J71-D71</f>
        <v>-2.19</v>
      </c>
    </row>
    <row r="72" customFormat="false" ht="15" hidden="false" customHeight="false" outlineLevel="0" collapsed="false">
      <c r="A72" s="12" t="s">
        <v>604</v>
      </c>
      <c r="B72" s="87" t="s">
        <v>605</v>
      </c>
      <c r="C72" s="17" t="s">
        <v>493</v>
      </c>
      <c r="D72" s="29" t="n">
        <f aca="false">D63+D65</f>
        <v>24.46</v>
      </c>
      <c r="E72" s="29" t="n">
        <f aca="false">E63+E65</f>
        <v>8.81</v>
      </c>
      <c r="F72" s="29" t="n">
        <f aca="false">F63+F65</f>
        <v>8.62</v>
      </c>
      <c r="G72" s="29" t="n">
        <f aca="false">G63+G65</f>
        <v>0.34</v>
      </c>
      <c r="H72" s="29" t="n">
        <f aca="false">H63+H65</f>
        <v>20.93</v>
      </c>
      <c r="I72" s="29" t="n">
        <f aca="false">I63+I65</f>
        <v>1.43</v>
      </c>
      <c r="J72" s="29" t="n">
        <f aca="false">J63+J65</f>
        <v>7.32</v>
      </c>
      <c r="K72" s="29" t="n">
        <f aca="false">AVERAGE(D72:J72)</f>
        <v>10.2728571428571</v>
      </c>
      <c r="L72" s="29" t="n">
        <f aca="false">J72-D72</f>
        <v>-17.14</v>
      </c>
    </row>
    <row r="73" customFormat="false" ht="15" hidden="false" customHeight="false" outlineLevel="0" collapsed="false">
      <c r="A73" s="16" t="s">
        <v>606</v>
      </c>
      <c r="B73" s="87" t="s">
        <v>607</v>
      </c>
      <c r="C73" s="17" t="s">
        <v>493</v>
      </c>
      <c r="D73" s="69" t="n">
        <f aca="false">D52</f>
        <v>12.87</v>
      </c>
      <c r="E73" s="69" t="n">
        <f aca="false">E52</f>
        <v>23.08</v>
      </c>
      <c r="F73" s="69" t="n">
        <f aca="false">F52</f>
        <v>21.67</v>
      </c>
      <c r="G73" s="69" t="n">
        <f aca="false">G52</f>
        <v>24.16</v>
      </c>
      <c r="H73" s="69" t="n">
        <f aca="false">H52</f>
        <v>32.35</v>
      </c>
      <c r="I73" s="69" t="n">
        <f aca="false">I52</f>
        <v>28.58</v>
      </c>
      <c r="J73" s="69" t="n">
        <f aca="false">J52</f>
        <v>26.93</v>
      </c>
      <c r="K73" s="53" t="n">
        <f aca="false">AVERAGE(D73:J73)</f>
        <v>24.2342857142857</v>
      </c>
      <c r="L73" s="53" t="n">
        <f aca="false">J73-D73</f>
        <v>14.06</v>
      </c>
    </row>
    <row r="74" customFormat="false" ht="16.5" hidden="false" customHeight="true" outlineLevel="0" collapsed="false">
      <c r="A74" s="88" t="s">
        <v>608</v>
      </c>
      <c r="B74" s="89"/>
      <c r="C74" s="89"/>
      <c r="D74" s="89"/>
      <c r="E74" s="89"/>
      <c r="F74" s="89"/>
      <c r="G74" s="89"/>
      <c r="H74" s="89"/>
      <c r="I74" s="89"/>
      <c r="J74" s="89"/>
      <c r="K74" s="89"/>
      <c r="L74" s="89"/>
    </row>
    <row r="75" customFormat="false" ht="15" hidden="false" customHeight="false" outlineLevel="0" collapsed="false">
      <c r="A75" s="16" t="s">
        <v>609</v>
      </c>
      <c r="B75" s="87" t="s">
        <v>610</v>
      </c>
      <c r="C75" s="17" t="s">
        <v>493</v>
      </c>
      <c r="D75" s="69" t="n">
        <f aca="false">-D65</f>
        <v>-40.11</v>
      </c>
      <c r="E75" s="69" t="n">
        <f aca="false">-E65</f>
        <v>-4.26</v>
      </c>
      <c r="F75" s="69" t="n">
        <f aca="false">-F65</f>
        <v>0.53</v>
      </c>
      <c r="G75" s="69" t="n">
        <f aca="false">-G65</f>
        <v>-4.7</v>
      </c>
      <c r="H75" s="69" t="n">
        <f aca="false">-H65</f>
        <v>-8.72</v>
      </c>
      <c r="I75" s="69" t="n">
        <f aca="false">-I65</f>
        <v>-0.55</v>
      </c>
      <c r="J75" s="69" t="n">
        <f aca="false">-J65</f>
        <v>0.6</v>
      </c>
      <c r="K75" s="53" t="n">
        <f aca="false">AVERAGE(D75:J75)</f>
        <v>-8.17285714285714</v>
      </c>
      <c r="L75" s="53" t="n">
        <f aca="false">J75-D75</f>
        <v>40.71</v>
      </c>
    </row>
    <row r="76" customFormat="false" ht="15" hidden="false" customHeight="false" outlineLevel="0" collapsed="false">
      <c r="A76" s="16" t="s">
        <v>611</v>
      </c>
      <c r="B76" s="87" t="s">
        <v>798</v>
      </c>
      <c r="C76" s="17" t="s">
        <v>493</v>
      </c>
      <c r="D76" s="69" t="n">
        <f aca="false">MAX(-D69,0)</f>
        <v>9.95</v>
      </c>
      <c r="E76" s="69" t="n">
        <f aca="false">MAX(-E69,0)</f>
        <v>0</v>
      </c>
      <c r="F76" s="69" t="n">
        <f aca="false">MAX(-F69,0)</f>
        <v>0</v>
      </c>
      <c r="G76" s="69" t="n">
        <f aca="false">MAX(-G69,0)</f>
        <v>0</v>
      </c>
      <c r="H76" s="69" t="n">
        <f aca="false">MAX(-H69,0)</f>
        <v>7.02</v>
      </c>
      <c r="I76" s="69" t="n">
        <f aca="false">MAX(-I69,0)</f>
        <v>1.52</v>
      </c>
      <c r="J76" s="69" t="n">
        <f aca="false">MAX(-J69,0)</f>
        <v>0.82</v>
      </c>
      <c r="K76" s="53" t="n">
        <f aca="false">AVERAGE(D76:J76)</f>
        <v>2.75857142857143</v>
      </c>
      <c r="L76" s="53" t="n">
        <f aca="false">J76-D76</f>
        <v>-9.13</v>
      </c>
    </row>
    <row r="77" customFormat="false" ht="15" hidden="false" customHeight="false" outlineLevel="0" collapsed="false">
      <c r="A77" s="16" t="s">
        <v>613</v>
      </c>
      <c r="B77" s="87" t="s">
        <v>614</v>
      </c>
      <c r="C77" s="17" t="s">
        <v>615</v>
      </c>
      <c r="D77" s="71" t="n">
        <f aca="false">IF(D26&gt;0,MIN(MAX(D27/D26,0),Setup!$C$11),0)</f>
        <v>0.163678877630553</v>
      </c>
      <c r="E77" s="71" t="n">
        <f aca="false">IF(E26&gt;0,MIN(MAX(E27/E26,0),Setup!$C$11),0)</f>
        <v>0.34944</v>
      </c>
      <c r="F77" s="71" t="n">
        <f aca="false">IF(F26&gt;0,MIN(MAX(F27/F26,0),Setup!$C$11),0)</f>
        <v>0</v>
      </c>
      <c r="G77" s="71" t="n">
        <f aca="false">IF(G26&gt;0,MIN(MAX(G27/G26,0),Setup!$C$11),0)</f>
        <v>0</v>
      </c>
      <c r="H77" s="71" t="n">
        <f aca="false">IF(H26&gt;0,MIN(MAX(H27/H26,0),Setup!$C$11),0)</f>
        <v>0.0246478873239436</v>
      </c>
      <c r="I77" s="71" t="n">
        <f aca="false">IF(I26&gt;0,MIN(MAX(I27/I26,0),Setup!$C$11),0)</f>
        <v>0.00782268578878748</v>
      </c>
      <c r="J77" s="71" t="n">
        <f aca="false">IF(J26&gt;0,MIN(MAX(J27/J26,0),Setup!$C$11),0)</f>
        <v>0.0698351115421924</v>
      </c>
      <c r="K77" s="62" t="n">
        <f aca="false">AVERAGE(D77:J77)</f>
        <v>0.0879177946122109</v>
      </c>
      <c r="L77" s="62" t="n">
        <f aca="false">J77-D77</f>
        <v>-0.0938437660883606</v>
      </c>
    </row>
    <row r="79" customFormat="false" ht="19.5" hidden="false" customHeight="true" outlineLevel="0" collapsed="false">
      <c r="A79" s="85" t="s">
        <v>799</v>
      </c>
      <c r="B79" s="86"/>
      <c r="C79" s="86"/>
      <c r="D79" s="86"/>
      <c r="E79" s="86"/>
      <c r="F79" s="86"/>
      <c r="G79" s="86"/>
      <c r="H79" s="86"/>
      <c r="I79" s="86"/>
      <c r="J79" s="86"/>
      <c r="K79" s="86"/>
      <c r="L79" s="86"/>
    </row>
    <row r="80" customFormat="false" ht="15" hidden="false" customHeight="false" outlineLevel="0" collapsed="false">
      <c r="A80" s="16" t="s">
        <v>800</v>
      </c>
      <c r="B80" s="87" t="s">
        <v>801</v>
      </c>
      <c r="C80" s="17" t="s">
        <v>757</v>
      </c>
      <c r="D80" s="97" t="n">
        <v>4.74</v>
      </c>
      <c r="E80" s="97" t="n">
        <v>9.47</v>
      </c>
      <c r="F80" s="97" t="n">
        <v>12.67</v>
      </c>
      <c r="G80" s="97" t="n">
        <v>10.8</v>
      </c>
      <c r="H80" s="97" t="n">
        <v>19.69</v>
      </c>
      <c r="I80" s="97" t="n">
        <v>13.36</v>
      </c>
      <c r="J80" s="97" t="n">
        <v>8.26</v>
      </c>
      <c r="K80" s="66" t="n">
        <f aca="false">AVERAGE(D80:J80)</f>
        <v>11.2842857142857</v>
      </c>
      <c r="L80" s="66" t="n">
        <f aca="false">J80-D80</f>
        <v>3.52</v>
      </c>
    </row>
    <row r="81" customFormat="false" ht="15" hidden="false" customHeight="false" outlineLevel="0" collapsed="false">
      <c r="A81" s="16" t="s">
        <v>802</v>
      </c>
      <c r="B81" s="87" t="s">
        <v>803</v>
      </c>
      <c r="C81" s="17" t="s">
        <v>804</v>
      </c>
      <c r="D81" s="97" t="n">
        <v>7.1</v>
      </c>
      <c r="E81" s="97" t="n">
        <v>7.13</v>
      </c>
      <c r="F81" s="97" t="n">
        <v>7.13</v>
      </c>
      <c r="G81" s="97" t="n">
        <v>6.96</v>
      </c>
      <c r="H81" s="97" t="n">
        <v>6.96</v>
      </c>
      <c r="I81" s="97" t="n">
        <v>6.96</v>
      </c>
      <c r="J81" s="97" t="n">
        <v>6.96</v>
      </c>
      <c r="K81" s="66" t="n">
        <f aca="false">AVERAGE(D81:J81)</f>
        <v>7.02857142857143</v>
      </c>
      <c r="L81" s="66" t="n">
        <f aca="false">J81-D81</f>
        <v>-0.14</v>
      </c>
    </row>
    <row r="82" customFormat="false" ht="15" hidden="false" customHeight="false" outlineLevel="0" collapsed="false">
      <c r="A82" s="16" t="s">
        <v>805</v>
      </c>
      <c r="B82" s="87" t="s">
        <v>806</v>
      </c>
      <c r="C82" s="17" t="s">
        <v>493</v>
      </c>
      <c r="D82" s="69" t="n">
        <f aca="false">D80*D81</f>
        <v>33.654</v>
      </c>
      <c r="E82" s="69" t="n">
        <f aca="false">E80*E81</f>
        <v>67.5211</v>
      </c>
      <c r="F82" s="69" t="n">
        <f aca="false">F80*F81</f>
        <v>90.3371</v>
      </c>
      <c r="G82" s="69" t="n">
        <f aca="false">G80*G81</f>
        <v>75.168</v>
      </c>
      <c r="H82" s="69" t="n">
        <f aca="false">H80*H81</f>
        <v>137.0424</v>
      </c>
      <c r="I82" s="69" t="n">
        <f aca="false">I80*I81</f>
        <v>92.9856</v>
      </c>
      <c r="J82" s="69" t="n">
        <f aca="false">J80*J81</f>
        <v>57.4896</v>
      </c>
      <c r="K82" s="53" t="n">
        <f aca="false">AVERAGE(D82:J82)</f>
        <v>79.1711142857143</v>
      </c>
      <c r="L82" s="53" t="n">
        <f aca="false">J82-D82</f>
        <v>23.8356</v>
      </c>
    </row>
    <row r="83" customFormat="false" ht="15" hidden="false" customHeight="false" outlineLevel="0" collapsed="false">
      <c r="A83" s="16" t="s">
        <v>807</v>
      </c>
      <c r="B83" s="87" t="s">
        <v>808</v>
      </c>
      <c r="C83" s="17" t="s">
        <v>493</v>
      </c>
      <c r="D83" s="69" t="n">
        <f aca="false">D82+D41-D52</f>
        <v>81.504</v>
      </c>
      <c r="E83" s="69" t="n">
        <f aca="false">E82+E41-E52</f>
        <v>106.1611</v>
      </c>
      <c r="F83" s="69" t="n">
        <f aca="false">F82+F41-F52</f>
        <v>116.6471</v>
      </c>
      <c r="G83" s="69" t="n">
        <f aca="false">G82+G41-G52</f>
        <v>82.268</v>
      </c>
      <c r="H83" s="69" t="n">
        <f aca="false">H82+H41-H52</f>
        <v>128.8124</v>
      </c>
      <c r="I83" s="69" t="n">
        <f aca="false">I82+I41-I52</f>
        <v>77.4756</v>
      </c>
      <c r="J83" s="69" t="n">
        <f aca="false">J82+J41-J52</f>
        <v>36.8196</v>
      </c>
      <c r="K83" s="53" t="n">
        <f aca="false">AVERAGE(D83:J83)</f>
        <v>89.9554</v>
      </c>
      <c r="L83" s="53" t="n">
        <f aca="false">J83-D83</f>
        <v>-44.6844</v>
      </c>
    </row>
    <row r="84" customFormat="false" ht="15" hidden="false" customHeight="false" outlineLevel="0" collapsed="false">
      <c r="A84" s="16" t="s">
        <v>809</v>
      </c>
      <c r="B84" s="87" t="s">
        <v>810</v>
      </c>
      <c r="C84" s="17" t="s">
        <v>811</v>
      </c>
      <c r="D84" s="98" t="n">
        <v>1</v>
      </c>
      <c r="E84" s="98" t="n">
        <v>1</v>
      </c>
      <c r="F84" s="98" t="n">
        <v>1</v>
      </c>
      <c r="G84" s="98" t="n">
        <v>1</v>
      </c>
      <c r="H84" s="98" t="n">
        <v>1</v>
      </c>
      <c r="I84" s="98" t="n">
        <v>1</v>
      </c>
      <c r="J84" s="98" t="n">
        <v>1</v>
      </c>
      <c r="K84" s="99"/>
      <c r="L84" s="99"/>
    </row>
    <row r="86" customFormat="false" ht="19.5" hidden="false" customHeight="true" outlineLevel="0" collapsed="false">
      <c r="A86" s="85" t="s">
        <v>629</v>
      </c>
      <c r="B86" s="86"/>
      <c r="C86" s="86"/>
      <c r="D86" s="86"/>
      <c r="E86" s="86"/>
      <c r="F86" s="86"/>
      <c r="G86" s="86"/>
      <c r="H86" s="86"/>
      <c r="I86" s="86"/>
      <c r="J86" s="86"/>
      <c r="K86" s="86"/>
      <c r="L86" s="86"/>
    </row>
    <row r="87" customFormat="false" ht="15" hidden="false" customHeight="false" outlineLevel="0" collapsed="false">
      <c r="A87" s="16" t="s">
        <v>630</v>
      </c>
      <c r="B87" s="87" t="s">
        <v>631</v>
      </c>
      <c r="C87" s="17" t="s">
        <v>493</v>
      </c>
      <c r="D87" s="69" t="n">
        <f aca="false">D48</f>
        <v>141.51</v>
      </c>
      <c r="E87" s="69" t="n">
        <f aca="false">E48</f>
        <v>127</v>
      </c>
      <c r="F87" s="69" t="n">
        <f aca="false">F48</f>
        <v>116.09</v>
      </c>
      <c r="G87" s="69" t="n">
        <f aca="false">G48</f>
        <v>111.72</v>
      </c>
      <c r="H87" s="69" t="n">
        <f aca="false">H48</f>
        <v>138.77</v>
      </c>
      <c r="I87" s="69" t="n">
        <f aca="false">I48</f>
        <v>116.58</v>
      </c>
      <c r="J87" s="69" t="n">
        <f aca="false">J48</f>
        <v>112.86</v>
      </c>
      <c r="K87" s="53" t="n">
        <f aca="false">AVERAGE(D87:J87)</f>
        <v>123.504285714286</v>
      </c>
      <c r="L87" s="53" t="n">
        <f aca="false">J87-D87</f>
        <v>-28.65</v>
      </c>
    </row>
    <row r="88" customFormat="false" ht="15" hidden="false" customHeight="false" outlineLevel="0" collapsed="false">
      <c r="A88" s="16" t="s">
        <v>632</v>
      </c>
      <c r="B88" s="87" t="s">
        <v>633</v>
      </c>
      <c r="C88" s="17" t="s">
        <v>493</v>
      </c>
      <c r="D88" s="69" t="n">
        <f aca="false">D42</f>
        <v>25.64</v>
      </c>
      <c r="E88" s="69" t="n">
        <f aca="false">E42</f>
        <v>11.96</v>
      </c>
      <c r="F88" s="69" t="n">
        <f aca="false">F42</f>
        <v>13.81</v>
      </c>
      <c r="G88" s="69" t="n">
        <f aca="false">G42</f>
        <v>23.2</v>
      </c>
      <c r="H88" s="69" t="n">
        <f aca="false">H42</f>
        <v>48.59</v>
      </c>
      <c r="I88" s="69" t="n">
        <f aca="false">I42</f>
        <v>33.39</v>
      </c>
      <c r="J88" s="69" t="n">
        <f aca="false">J42</f>
        <v>33.54</v>
      </c>
      <c r="K88" s="53" t="n">
        <f aca="false">AVERAGE(D88:J88)</f>
        <v>27.1614285714286</v>
      </c>
      <c r="L88" s="53" t="n">
        <f aca="false">J88-D88</f>
        <v>7.9</v>
      </c>
    </row>
    <row r="89" customFormat="false" ht="15" hidden="false" customHeight="false" outlineLevel="0" collapsed="false">
      <c r="A89" s="16" t="s">
        <v>634</v>
      </c>
      <c r="B89" s="87" t="s">
        <v>635</v>
      </c>
      <c r="C89" s="17" t="s">
        <v>493</v>
      </c>
      <c r="D89" s="69" t="n">
        <f aca="false">D50+D52</f>
        <v>101.63</v>
      </c>
      <c r="E89" s="69" t="n">
        <f aca="false">E50+E52</f>
        <v>94.99</v>
      </c>
      <c r="F89" s="69" t="n">
        <f aca="false">F50+F52</f>
        <v>86.01</v>
      </c>
      <c r="G89" s="69" t="n">
        <f aca="false">G50+G52</f>
        <v>98.02</v>
      </c>
      <c r="H89" s="69" t="n">
        <f aca="false">H50+H52</f>
        <v>123.11</v>
      </c>
      <c r="I89" s="69" t="n">
        <f aca="false">I50+I52</f>
        <v>96.07</v>
      </c>
      <c r="J89" s="69" t="n">
        <f aca="false">J50+J52</f>
        <v>99.61</v>
      </c>
      <c r="K89" s="53" t="n">
        <f aca="false">AVERAGE(D89:J89)</f>
        <v>99.92</v>
      </c>
      <c r="L89" s="53" t="n">
        <f aca="false">J89-D89</f>
        <v>-2.02</v>
      </c>
    </row>
    <row r="90" customFormat="false" ht="15" hidden="false" customHeight="false" outlineLevel="0" collapsed="false">
      <c r="A90" s="16" t="s">
        <v>636</v>
      </c>
      <c r="B90" s="87" t="s">
        <v>637</v>
      </c>
      <c r="C90" s="17" t="s">
        <v>493</v>
      </c>
      <c r="D90" s="69" t="n">
        <f aca="false">D40+D41</f>
        <v>179.75</v>
      </c>
      <c r="E90" s="69" t="n">
        <f aca="false">E40+E41</f>
        <v>178.34</v>
      </c>
      <c r="F90" s="69" t="n">
        <f aca="false">F40+F41</f>
        <v>165.24</v>
      </c>
      <c r="G90" s="69" t="n">
        <f aca="false">G40+G41</f>
        <v>148.95</v>
      </c>
      <c r="H90" s="69" t="n">
        <f aca="false">H40+H41</f>
        <v>143.45</v>
      </c>
      <c r="I90" s="69" t="n">
        <f aca="false">I40+I41</f>
        <v>134.73</v>
      </c>
      <c r="J90" s="69" t="n">
        <f aca="false">J40+J41</f>
        <v>129.78</v>
      </c>
      <c r="K90" s="53" t="n">
        <f aca="false">AVERAGE(D90:J90)</f>
        <v>154.32</v>
      </c>
      <c r="L90" s="53" t="n">
        <f aca="false">J90-D90</f>
        <v>-49.97</v>
      </c>
    </row>
    <row r="92" customFormat="false" ht="19.5" hidden="false" customHeight="true" outlineLevel="0" collapsed="false">
      <c r="A92" s="85" t="s">
        <v>638</v>
      </c>
      <c r="B92" s="86"/>
      <c r="C92" s="86"/>
      <c r="D92" s="86"/>
      <c r="E92" s="86"/>
      <c r="F92" s="86"/>
      <c r="G92" s="86"/>
      <c r="H92" s="86"/>
      <c r="I92" s="86"/>
      <c r="J92" s="86"/>
      <c r="K92" s="86"/>
      <c r="L92" s="86"/>
    </row>
    <row r="93" customFormat="false" ht="16.5" hidden="false" customHeight="true" outlineLevel="0" collapsed="false">
      <c r="A93" s="88" t="s">
        <v>639</v>
      </c>
      <c r="B93" s="89"/>
      <c r="C93" s="89"/>
      <c r="D93" s="89"/>
      <c r="E93" s="89"/>
      <c r="F93" s="89"/>
      <c r="G93" s="89"/>
      <c r="H93" s="89"/>
      <c r="I93" s="89"/>
      <c r="J93" s="89"/>
      <c r="K93" s="89"/>
      <c r="L93" s="89"/>
    </row>
    <row r="94" customFormat="false" ht="15" hidden="false" customHeight="false" outlineLevel="0" collapsed="false">
      <c r="A94" s="16" t="s">
        <v>640</v>
      </c>
      <c r="B94" s="87" t="s">
        <v>641</v>
      </c>
      <c r="C94" s="17" t="s">
        <v>493</v>
      </c>
      <c r="D94" s="69" t="n">
        <f aca="false">D87-D88</f>
        <v>115.87</v>
      </c>
      <c r="E94" s="69" t="n">
        <f aca="false">E87-E88</f>
        <v>115.04</v>
      </c>
      <c r="F94" s="69" t="n">
        <f aca="false">F87-F88</f>
        <v>102.28</v>
      </c>
      <c r="G94" s="69" t="n">
        <f aca="false">G87-G88</f>
        <v>88.52</v>
      </c>
      <c r="H94" s="69" t="n">
        <f aca="false">H87-H88</f>
        <v>90.18</v>
      </c>
      <c r="I94" s="69" t="n">
        <f aca="false">I87-I88</f>
        <v>83.19</v>
      </c>
      <c r="J94" s="69" t="n">
        <f aca="false">J87-J88</f>
        <v>79.32</v>
      </c>
      <c r="K94" s="53" t="n">
        <f aca="false">AVERAGE(D94:J94)</f>
        <v>96.3428571428571</v>
      </c>
      <c r="L94" s="53" t="n">
        <f aca="false">J94-D94</f>
        <v>-36.55</v>
      </c>
    </row>
    <row r="95" customFormat="false" ht="15" hidden="false" customHeight="false" outlineLevel="0" collapsed="false">
      <c r="A95" s="16" t="s">
        <v>642</v>
      </c>
      <c r="B95" s="87" t="s">
        <v>643</v>
      </c>
      <c r="C95" s="17" t="s">
        <v>644</v>
      </c>
      <c r="D95" s="72" t="n">
        <f aca="false">IF(D88&gt;0,D87/D88,"N/M")</f>
        <v>5.51911076443058</v>
      </c>
      <c r="E95" s="72" t="n">
        <f aca="false">IF(E88&gt;0,E87/E88,"N/M")</f>
        <v>10.61872909699</v>
      </c>
      <c r="F95" s="72" t="n">
        <f aca="false">IF(F88&gt;0,F87/F88,"N/M")</f>
        <v>8.40622737146995</v>
      </c>
      <c r="G95" s="72" t="n">
        <f aca="false">IF(G88&gt;0,G87/G88,"N/M")</f>
        <v>4.81551724137931</v>
      </c>
      <c r="H95" s="72" t="n">
        <f aca="false">IF(H88&gt;0,H87/H88,"N/M")</f>
        <v>2.85593743568636</v>
      </c>
      <c r="I95" s="72" t="n">
        <f aca="false">IF(I88&gt;0,I87/I88,"N/M")</f>
        <v>3.49146451033243</v>
      </c>
      <c r="J95" s="72" t="n">
        <f aca="false">IF(J88&gt;0,J87/J88,"N/M")</f>
        <v>3.3649373881932</v>
      </c>
      <c r="K95" s="56" t="n">
        <f aca="false">IF(COUNT(D95:J95)=0,"N/M",AVERAGE(D95:J95))</f>
        <v>5.58170340121169</v>
      </c>
      <c r="L95" s="60" t="n">
        <f aca="false">IF(COUNT(D95,J95)=2,J95-D95,"-")</f>
        <v>-2.15417337623737</v>
      </c>
    </row>
    <row r="96" customFormat="false" ht="15" hidden="false" customHeight="false" outlineLevel="0" collapsed="false">
      <c r="A96" s="16" t="s">
        <v>645</v>
      </c>
      <c r="B96" s="87" t="s">
        <v>646</v>
      </c>
      <c r="C96" s="17" t="s">
        <v>647</v>
      </c>
      <c r="D96" s="72" t="n">
        <f aca="false">IF(D88&gt;0,D89/D88,"N/M")</f>
        <v>3.96372854914197</v>
      </c>
      <c r="E96" s="72" t="n">
        <f aca="false">IF(E88&gt;0,E89/E88,"N/M")</f>
        <v>7.94230769230769</v>
      </c>
      <c r="F96" s="72" t="n">
        <f aca="false">IF(F88&gt;0,F89/F88,"N/M")</f>
        <v>6.22809558291093</v>
      </c>
      <c r="G96" s="72" t="n">
        <f aca="false">IF(G88&gt;0,G89/G88,"N/M")</f>
        <v>4.225</v>
      </c>
      <c r="H96" s="72" t="n">
        <f aca="false">IF(H88&gt;0,H89/H88,"N/M")</f>
        <v>2.5336488989504</v>
      </c>
      <c r="I96" s="72" t="n">
        <f aca="false">IF(I88&gt;0,I89/I88,"N/M")</f>
        <v>2.87720874513327</v>
      </c>
      <c r="J96" s="72" t="n">
        <f aca="false">IF(J88&gt;0,J89/J88,"N/M")</f>
        <v>2.96988670244484</v>
      </c>
      <c r="K96" s="56" t="n">
        <f aca="false">IF(COUNT(D96:J96)=0,"N/M",AVERAGE(D96:J96))</f>
        <v>4.39141088155559</v>
      </c>
      <c r="L96" s="60" t="n">
        <f aca="false">IF(COUNT(D96,J96)=2,J96-D96,"-")</f>
        <v>-0.993841846697123</v>
      </c>
    </row>
    <row r="97" customFormat="false" ht="15" hidden="false" customHeight="false" outlineLevel="0" collapsed="false">
      <c r="A97" s="16" t="s">
        <v>648</v>
      </c>
      <c r="B97" s="87" t="s">
        <v>649</v>
      </c>
      <c r="C97" s="17" t="s">
        <v>650</v>
      </c>
      <c r="D97" s="72" t="n">
        <f aca="false">IF(D88&gt;0,D52/D88,"N/M")</f>
        <v>0.50195007800312</v>
      </c>
      <c r="E97" s="72" t="n">
        <f aca="false">IF(E88&gt;0,E52/E88,"N/M")</f>
        <v>1.92976588628763</v>
      </c>
      <c r="F97" s="72" t="n">
        <f aca="false">IF(F88&gt;0,F52/F88,"N/M")</f>
        <v>1.5691527878349</v>
      </c>
      <c r="G97" s="72" t="n">
        <f aca="false">IF(G88&gt;0,G52/G88,"N/M")</f>
        <v>1.04137931034483</v>
      </c>
      <c r="H97" s="72" t="n">
        <f aca="false">IF(H88&gt;0,H52/H88,"N/M")</f>
        <v>0.665774850792344</v>
      </c>
      <c r="I97" s="72" t="n">
        <f aca="false">IF(I88&gt;0,I52/I88,"N/M")</f>
        <v>0.855944893680743</v>
      </c>
      <c r="J97" s="72" t="n">
        <f aca="false">IF(J88&gt;0,J52/J88,"N/M")</f>
        <v>0.802921884317233</v>
      </c>
      <c r="K97" s="56" t="n">
        <f aca="false">IF(COUNT(D97:J97)=0,"N/M",AVERAGE(D97:J97))</f>
        <v>1.05241281303726</v>
      </c>
      <c r="L97" s="60" t="n">
        <f aca="false">IF(COUNT(D97,J97)=2,J97-D97,"-")</f>
        <v>0.300971806314113</v>
      </c>
    </row>
    <row r="98" customFormat="false" ht="15" hidden="false" customHeight="false" outlineLevel="0" collapsed="false">
      <c r="A98" s="16" t="s">
        <v>651</v>
      </c>
      <c r="B98" s="87" t="s">
        <v>652</v>
      </c>
      <c r="C98" s="17" t="s">
        <v>653</v>
      </c>
      <c r="D98" s="74" t="n">
        <f aca="false">IF(D20&gt;0,D89/(D20/Setup!$C$8),"N/M")</f>
        <v>109.32143699163</v>
      </c>
      <c r="E98" s="74" t="n">
        <f aca="false">IF(E20&gt;0,E89/(E20/Setup!$C$8),"N/M")</f>
        <v>167.429737299594</v>
      </c>
      <c r="F98" s="74" t="n">
        <f aca="false">IF(F20&gt;0,F89/(F20/Setup!$C$8),"N/M")</f>
        <v>138.523805321449</v>
      </c>
      <c r="G98" s="74" t="n">
        <f aca="false">IF(G20&gt;0,G89/(G20/Setup!$C$8),"N/M")</f>
        <v>133.517316017316</v>
      </c>
      <c r="H98" s="74" t="n">
        <f aca="false">IF(H20&gt;0,H89/(H20/Setup!$C$8),"N/M")</f>
        <v>159.655889145497</v>
      </c>
      <c r="I98" s="74" t="n">
        <f aca="false">IF(I20&gt;0,I89/(I20/Setup!$C$8),"N/M")</f>
        <v>105.024409967653</v>
      </c>
      <c r="J98" s="74" t="n">
        <f aca="false">IF(J20&gt;0,J89/(J20/Setup!$C$8),"N/M")</f>
        <v>104.846584191251</v>
      </c>
      <c r="K98" s="58" t="n">
        <f aca="false">IF(COUNT(D98:J98)=0,"N/M",AVERAGE(D98:J98))</f>
        <v>131.188454133484</v>
      </c>
      <c r="L98" s="58" t="n">
        <f aca="false">IF(COUNT(D98,J98)=2,J98-D98,"-")</f>
        <v>-4.47485280037964</v>
      </c>
    </row>
    <row r="99" customFormat="false" ht="15" hidden="false" customHeight="false" outlineLevel="0" collapsed="false">
      <c r="A99" s="16" t="s">
        <v>654</v>
      </c>
      <c r="B99" s="87" t="s">
        <v>655</v>
      </c>
      <c r="C99" s="17" t="s">
        <v>97</v>
      </c>
      <c r="D99" s="72" t="n">
        <f aca="false">IF(D88&gt;0,D63/D88,"N/M")</f>
        <v>-0.610374414976599</v>
      </c>
      <c r="E99" s="72" t="n">
        <f aca="false">IF(E88&gt;0,E63/E88,"N/M")</f>
        <v>0.380434782608696</v>
      </c>
      <c r="F99" s="72" t="n">
        <f aca="false">IF(F88&gt;0,F63/F88,"N/M")</f>
        <v>0.662563359884142</v>
      </c>
      <c r="G99" s="72" t="n">
        <f aca="false">IF(G88&gt;0,G63/G88,"N/M")</f>
        <v>-0.187931034482759</v>
      </c>
      <c r="H99" s="72" t="n">
        <f aca="false">IF(H88&gt;0,H63/H88,"N/M")</f>
        <v>0.251286272895658</v>
      </c>
      <c r="I99" s="72" t="n">
        <f aca="false">IF(I88&gt;0,I63/I88,"N/M")</f>
        <v>0.0263551961665169</v>
      </c>
      <c r="J99" s="72" t="n">
        <f aca="false">IF(J88&gt;0,J63/J88,"N/M")</f>
        <v>0.23613595706619</v>
      </c>
      <c r="K99" s="56" t="n">
        <f aca="false">IF(COUNT(D99:J99)=0,"N/M",AVERAGE(D99:J99))</f>
        <v>0.108352874165978</v>
      </c>
      <c r="L99" s="60" t="n">
        <f aca="false">IF(COUNT(D99,J99)=2,J99-D99,"-")</f>
        <v>0.846510372042789</v>
      </c>
    </row>
    <row r="100" customFormat="false" ht="16.5" hidden="false" customHeight="true" outlineLevel="0" collapsed="false">
      <c r="A100" s="88" t="s">
        <v>656</v>
      </c>
      <c r="B100" s="89"/>
      <c r="C100" s="89"/>
      <c r="D100" s="89"/>
      <c r="E100" s="89"/>
      <c r="F100" s="89"/>
      <c r="G100" s="89"/>
      <c r="H100" s="89"/>
      <c r="I100" s="89"/>
      <c r="J100" s="89"/>
      <c r="K100" s="89"/>
      <c r="L100" s="89"/>
    </row>
    <row r="101" customFormat="false" ht="15" hidden="false" customHeight="false" outlineLevel="0" collapsed="false">
      <c r="A101" s="16" t="s">
        <v>657</v>
      </c>
      <c r="B101" s="87" t="s">
        <v>658</v>
      </c>
      <c r="C101" s="17" t="s">
        <v>97</v>
      </c>
      <c r="D101" s="72" t="n">
        <f aca="false">IF(D40&gt;0,D41/D40,"N/M")</f>
        <v>0.510123498277745</v>
      </c>
      <c r="E101" s="72" t="n">
        <f aca="false">IF(E40&gt;0,E41/E40,"N/M")</f>
        <v>0.529240267535586</v>
      </c>
      <c r="F101" s="72" t="n">
        <f aca="false">IF(F40&gt;0,F41/F40,"N/M")</f>
        <v>0.409176189663995</v>
      </c>
      <c r="G101" s="72" t="n">
        <f aca="false">IF(G40&gt;0,G41/G40,"N/M")</f>
        <v>0.265613051236299</v>
      </c>
      <c r="H101" s="72" t="n">
        <f aca="false">IF(H40&gt;0,H41/H40,"N/M")</f>
        <v>0.202128551076846</v>
      </c>
      <c r="I101" s="72" t="n">
        <f aca="false">IF(I40&gt;0,I41/I40,"N/M")</f>
        <v>0.107430544139405</v>
      </c>
      <c r="J101" s="72" t="n">
        <f aca="false">IF(J40&gt;0,J41/J40,"N/M")</f>
        <v>0.0506800518134715</v>
      </c>
      <c r="K101" s="56" t="n">
        <f aca="false">IF(COUNT(D101:J101)=0,"N/M",AVERAGE(D101:J101))</f>
        <v>0.296341736249049</v>
      </c>
      <c r="L101" s="60" t="n">
        <f aca="false">IF(COUNT(D101,J101)=2,J101-D101,"-")</f>
        <v>-0.459443446464274</v>
      </c>
    </row>
    <row r="102" customFormat="false" ht="15" hidden="false" customHeight="false" outlineLevel="0" collapsed="false">
      <c r="A102" s="16" t="s">
        <v>659</v>
      </c>
      <c r="B102" s="87" t="s">
        <v>660</v>
      </c>
      <c r="C102" s="17" t="s">
        <v>97</v>
      </c>
      <c r="D102" s="72" t="n">
        <f aca="false">IF(D40&gt;0,(D41+D42)/D40,"N/M")</f>
        <v>0.725531378644039</v>
      </c>
      <c r="E102" s="72" t="n">
        <f aca="false">IF(E40&gt;0,(E41+E42)/E40,"N/M")</f>
        <v>0.631795575373006</v>
      </c>
      <c r="F102" s="72" t="n">
        <f aca="false">IF(F40&gt;0,(F41+F42)/F40,"N/M")</f>
        <v>0.526948661095003</v>
      </c>
      <c r="G102" s="72" t="n">
        <f aca="false">IF(G40&gt;0,(G41+G42)/G40,"N/M")</f>
        <v>0.462741099498683</v>
      </c>
      <c r="H102" s="72" t="n">
        <f aca="false">IF(H40&gt;0,(H41+H42)/H40,"N/M")</f>
        <v>0.609318696052962</v>
      </c>
      <c r="I102" s="72" t="n">
        <f aca="false">IF(I40&gt;0,(I41+I42)/I40,"N/M")</f>
        <v>0.381883938845964</v>
      </c>
      <c r="J102" s="72" t="n">
        <f aca="false">IF(J40&gt;0,(J41+J42)/J40,"N/M")</f>
        <v>0.322215025906736</v>
      </c>
      <c r="K102" s="56" t="n">
        <f aca="false">IF(COUNT(D102:J102)=0,"N/M",AVERAGE(D102:J102))</f>
        <v>0.522919196488056</v>
      </c>
      <c r="L102" s="60" t="n">
        <f aca="false">IF(COUNT(D102,J102)=2,J102-D102,"-")</f>
        <v>-0.403316352737304</v>
      </c>
    </row>
    <row r="103" customFormat="false" ht="15" hidden="false" customHeight="false" outlineLevel="0" collapsed="false">
      <c r="A103" s="16" t="s">
        <v>661</v>
      </c>
      <c r="B103" s="87" t="s">
        <v>662</v>
      </c>
      <c r="C103" s="17" t="s">
        <v>663</v>
      </c>
      <c r="D103" s="72" t="n">
        <f aca="false">IF(D49&gt;0,D41/D49,"N/M")</f>
        <v>0.295632698768197</v>
      </c>
      <c r="E103" s="72" t="n">
        <f aca="false">IF(E49&gt;0,E41/E49,"N/M")</f>
        <v>0.324330005254861</v>
      </c>
      <c r="F103" s="72" t="n">
        <f aca="false">IF(F49&gt;0,F41/F49,"N/M")</f>
        <v>0.267969840826585</v>
      </c>
      <c r="G103" s="72" t="n">
        <f aca="false">IF(G49&gt;0,G41/G49,"N/M")</f>
        <v>0.181585826314261</v>
      </c>
      <c r="H103" s="72" t="n">
        <f aca="false">IF(H49&gt;0,H41/H49,"N/M")</f>
        <v>0.125598833576338</v>
      </c>
      <c r="I103" s="72" t="n">
        <f aca="false">IF(I49&gt;0,I41/I49,"N/M")</f>
        <v>0.077742088984059</v>
      </c>
      <c r="J103" s="72" t="n">
        <f aca="false">IF(J49&gt;0,J41/J49,"N/M")</f>
        <v>0.0383296595640461</v>
      </c>
      <c r="K103" s="56" t="n">
        <f aca="false">IF(COUNT(D103:J103)=0,"N/M",AVERAGE(D103:J103))</f>
        <v>0.187312707612621</v>
      </c>
      <c r="L103" s="60" t="n">
        <f aca="false">IF(COUNT(D103,J103)=2,J103-D103,"-")</f>
        <v>-0.257303039204151</v>
      </c>
    </row>
    <row r="104" customFormat="false" ht="15" hidden="false" customHeight="false" outlineLevel="0" collapsed="false">
      <c r="A104" s="16" t="s">
        <v>664</v>
      </c>
      <c r="B104" s="87" t="s">
        <v>665</v>
      </c>
      <c r="C104" s="17" t="s">
        <v>663</v>
      </c>
      <c r="D104" s="72" t="n">
        <f aca="false">IF(D90&gt;0,D41/D90,"N/M")</f>
        <v>0.337802503477051</v>
      </c>
      <c r="E104" s="72" t="n">
        <f aca="false">IF(E90&gt;0,E41/E90,"N/M")</f>
        <v>0.346080520354379</v>
      </c>
      <c r="F104" s="72" t="n">
        <f aca="false">IF(F90&gt;0,F41/F90,"N/M")</f>
        <v>0.29036552892762</v>
      </c>
      <c r="G104" s="72" t="n">
        <f aca="false">IF(G90&gt;0,G41/G90,"N/M")</f>
        <v>0.209869083585096</v>
      </c>
      <c r="H104" s="72" t="n">
        <f aca="false">IF(H90&gt;0,H41/H90,"N/M")</f>
        <v>0.168142209829209</v>
      </c>
      <c r="I104" s="72" t="n">
        <f aca="false">IF(I90&gt;0,I41/I90,"N/M")</f>
        <v>0.0970088324797744</v>
      </c>
      <c r="J104" s="72" t="n">
        <f aca="false">IF(J90&gt;0,J41/J90,"N/M")</f>
        <v>0.0482354754199414</v>
      </c>
      <c r="K104" s="56" t="n">
        <f aca="false">IF(COUNT(D104:J104)=0,"N/M",AVERAGE(D104:J104))</f>
        <v>0.213929164867582</v>
      </c>
      <c r="L104" s="60" t="n">
        <f aca="false">IF(COUNT(D104,J104)=2,J104-D104,"-")</f>
        <v>-0.28956702805711</v>
      </c>
    </row>
    <row r="105" customFormat="false" ht="15" hidden="false" customHeight="false" outlineLevel="0" collapsed="false">
      <c r="A105" s="16" t="s">
        <v>666</v>
      </c>
      <c r="B105" s="87" t="s">
        <v>667</v>
      </c>
      <c r="C105" s="17" t="s">
        <v>668</v>
      </c>
      <c r="D105" s="72" t="n">
        <f aca="false">IF(D49&gt;0,D40/D49,"N/M")</f>
        <v>0.579531622766444</v>
      </c>
      <c r="E105" s="72" t="n">
        <f aca="false">IF(E49&gt;0,E40/E49,"N/M")</f>
        <v>0.612821860220704</v>
      </c>
      <c r="F105" s="72" t="n">
        <f aca="false">IF(F49&gt;0,F40/F49,"N/M")</f>
        <v>0.654900865679978</v>
      </c>
      <c r="G105" s="72" t="n">
        <f aca="false">IF(G49&gt;0,G40/G49,"N/M")</f>
        <v>0.68364798141156</v>
      </c>
      <c r="H105" s="72" t="n">
        <f aca="false">IF(H49&gt;0,H40/H49,"N/M")</f>
        <v>0.621380962299521</v>
      </c>
      <c r="I105" s="72" t="n">
        <f aca="false">IF(I49&gt;0,I40/I49,"N/M")</f>
        <v>0.723649773970973</v>
      </c>
      <c r="J105" s="72" t="n">
        <f aca="false">IF(J49&gt;0,J40/J49,"N/M")</f>
        <v>0.756306637276513</v>
      </c>
      <c r="K105" s="56" t="n">
        <f aca="false">IF(COUNT(D105:J105)=0,"N/M",AVERAGE(D105:J105))</f>
        <v>0.661748529089385</v>
      </c>
      <c r="L105" s="60" t="n">
        <f aca="false">IF(COUNT(D105,J105)=2,J105-D105,"-")</f>
        <v>0.176775014510068</v>
      </c>
    </row>
    <row r="106" customFormat="false" ht="15" hidden="false" customHeight="false" outlineLevel="0" collapsed="false">
      <c r="A106" s="16" t="s">
        <v>669</v>
      </c>
      <c r="B106" s="87" t="s">
        <v>670</v>
      </c>
      <c r="C106" s="17" t="s">
        <v>97</v>
      </c>
      <c r="D106" s="72" t="n">
        <f aca="false">IF(D39&gt;0,(D41+D37)/D39,"N/M")</f>
        <v>0.510123498277745</v>
      </c>
      <c r="E106" s="72" t="n">
        <f aca="false">IF(E39&gt;0,(E41+E37)/E39,"N/M")</f>
        <v>0.529240267535586</v>
      </c>
      <c r="F106" s="72" t="n">
        <f aca="false">IF(F39&gt;0,(F41+F37)/F39,"N/M")</f>
        <v>0.409176189663995</v>
      </c>
      <c r="G106" s="72" t="n">
        <f aca="false">IF(G39&gt;0,(G41+G37)/G39,"N/M")</f>
        <v>0.265613051236299</v>
      </c>
      <c r="H106" s="72" t="n">
        <f aca="false">IF(H39&gt;0,(H41+H37)/H39,"N/M")</f>
        <v>0.202128551076846</v>
      </c>
      <c r="I106" s="72" t="n">
        <f aca="false">IF(I39&gt;0,(I41+I37)/I39,"N/M")</f>
        <v>0.107430544139405</v>
      </c>
      <c r="J106" s="72" t="n">
        <f aca="false">IF(J39&gt;0,(J41+J37)/J39,"N/M")</f>
        <v>0.0506800518134715</v>
      </c>
      <c r="K106" s="56" t="n">
        <f aca="false">IF(COUNT(D106:J106)=0,"N/M",AVERAGE(D106:J106))</f>
        <v>0.296341736249049</v>
      </c>
      <c r="L106" s="60" t="n">
        <f aca="false">IF(COUNT(D106,J106)=2,J106-D106,"-")</f>
        <v>-0.459443446464274</v>
      </c>
    </row>
    <row r="107" customFormat="false" ht="15" hidden="false" customHeight="false" outlineLevel="0" collapsed="false">
      <c r="A107" s="16" t="s">
        <v>671</v>
      </c>
      <c r="B107" s="87" t="s">
        <v>672</v>
      </c>
      <c r="C107" s="17" t="s">
        <v>97</v>
      </c>
      <c r="D107" s="72" t="n">
        <f aca="false">IF(D21&gt;0,D41/D21,"N/M")</f>
        <v>7.5055624227441</v>
      </c>
      <c r="E107" s="72" t="n">
        <f aca="false">IF(E21&gt;0,E41/E21,"N/M")</f>
        <v>11.9381044487427</v>
      </c>
      <c r="F107" s="72" t="n">
        <f aca="false">IF(F21&gt;0,F41/F21,"N/M")</f>
        <v>6.23927178153449</v>
      </c>
      <c r="G107" s="72" t="n">
        <f aca="false">IF(G21&gt;0,G41/G21,"N/M")</f>
        <v>3.02906976744188</v>
      </c>
      <c r="H107" s="72" t="n">
        <f aca="false">IF(H21&gt;0,H41/H21,"N/M")</f>
        <v>2.65054945054944</v>
      </c>
      <c r="I107" s="72" t="n">
        <f aca="false">IF(I21&gt;0,I41/I21,"N/M")</f>
        <v>1.48354143019296</v>
      </c>
      <c r="J107" s="72" t="n">
        <f aca="false">IF(J21&gt;0,J41/J21,"N/M")</f>
        <v>0.60366441658631</v>
      </c>
      <c r="K107" s="56" t="n">
        <f aca="false">IF(COUNT(D107:J107)=0,"N/M",AVERAGE(D107:J107))</f>
        <v>4.77853767397027</v>
      </c>
      <c r="L107" s="60" t="n">
        <f aca="false">IF(COUNT(D107,J107)=2,J107-D107,"-")</f>
        <v>-6.90189800615779</v>
      </c>
    </row>
    <row r="108" customFormat="false" ht="16.5" hidden="false" customHeight="true" outlineLevel="0" collapsed="false">
      <c r="A108" s="88" t="s">
        <v>673</v>
      </c>
      <c r="B108" s="89"/>
      <c r="C108" s="89"/>
      <c r="D108" s="89"/>
      <c r="E108" s="89"/>
      <c r="F108" s="89"/>
      <c r="G108" s="89"/>
      <c r="H108" s="89"/>
      <c r="I108" s="89"/>
      <c r="J108" s="89"/>
      <c r="K108" s="89"/>
      <c r="L108" s="89"/>
    </row>
    <row r="109" customFormat="false" ht="15" hidden="false" customHeight="false" outlineLevel="0" collapsed="false">
      <c r="A109" s="16" t="s">
        <v>674</v>
      </c>
      <c r="B109" s="87" t="s">
        <v>675</v>
      </c>
      <c r="C109" s="17" t="s">
        <v>676</v>
      </c>
      <c r="D109" s="73" t="n">
        <f aca="false">IF(D25&gt;0,D23/D25,"N/M")</f>
        <v>0.56562922868742</v>
      </c>
      <c r="E109" s="73" t="n">
        <f aca="false">IF(E25&gt;0,E23/E25,"N/M")</f>
        <v>0.371541501976287</v>
      </c>
      <c r="F109" s="73" t="n">
        <f aca="false">IF(F25&gt;0,F23/F25,"N/M")</f>
        <v>0.947565543071155</v>
      </c>
      <c r="G109" s="73" t="n">
        <f aca="false">IF(G25&gt;0,G23/G25,"N/M")</f>
        <v>1.55136268343814</v>
      </c>
      <c r="H109" s="73" t="n">
        <f aca="false">IF(H25&gt;0,H23/H25,"N/M")</f>
        <v>2.43243243243244</v>
      </c>
      <c r="I109" s="73" t="n">
        <f aca="false">IF(I25&gt;0,I23/I25,"N/M")</f>
        <v>5.2542372881356</v>
      </c>
      <c r="J109" s="73" t="n">
        <f aca="false">IF(J25&gt;0,J23/J25,"N/M")</f>
        <v>22.342857142857</v>
      </c>
      <c r="K109" s="60" t="n">
        <f aca="false">IF(COUNT(D109:J109)=0,"N/M",AVERAGE(D109:J109))</f>
        <v>4.78080368865686</v>
      </c>
      <c r="L109" s="60" t="n">
        <f aca="false">IF(COUNT(D109,J109)=2,J109-D109,"-")</f>
        <v>21.7772279141696</v>
      </c>
    </row>
    <row r="110" customFormat="false" ht="15" hidden="false" customHeight="false" outlineLevel="0" collapsed="false">
      <c r="A110" s="16" t="s">
        <v>677</v>
      </c>
      <c r="B110" s="87" t="s">
        <v>678</v>
      </c>
      <c r="C110" s="17" t="s">
        <v>115</v>
      </c>
      <c r="D110" s="73" t="n">
        <f aca="false">IF(D31&gt;0,D30/D31,"N/M")</f>
        <v>63.1764705882353</v>
      </c>
      <c r="E110" s="73" t="n">
        <f aca="false">IF(E31&gt;0,E30/E31,"N/M")</f>
        <v>0.192307692307692</v>
      </c>
      <c r="F110" s="73" t="n">
        <f aca="false">IF(F31&gt;0,F30/F31,"N/M")</f>
        <v>6.30555555555556</v>
      </c>
      <c r="G110" s="73" t="n">
        <f aca="false">IF(G31&gt;0,G30/G31,"N/M")</f>
        <v>7.53846153846154</v>
      </c>
      <c r="H110" s="73" t="n">
        <f aca="false">IF(H31&gt;0,H30/H31,"N/M")</f>
        <v>8.52307692307692</v>
      </c>
      <c r="I110" s="73" t="n">
        <f aca="false">IF(I31&gt;0,I30/I31,"N/M")</f>
        <v>3.63636363636364</v>
      </c>
      <c r="J110" s="73" t="n">
        <f aca="false">IF(J31&gt;0,J30/J31,"N/M")</f>
        <v>6.90647482014389</v>
      </c>
      <c r="K110" s="60" t="n">
        <f aca="false">IF(COUNT(D110:J110)=0,"N/M",AVERAGE(D110:J110))</f>
        <v>13.7541015363064</v>
      </c>
      <c r="L110" s="60" t="n">
        <f aca="false">IF(COUNT(D110,J110)=2,J110-D110,"-")</f>
        <v>-56.2699957680914</v>
      </c>
    </row>
    <row r="111" customFormat="false" ht="15" hidden="false" customHeight="false" outlineLevel="0" collapsed="false">
      <c r="A111" s="16" t="s">
        <v>679</v>
      </c>
      <c r="B111" s="87" t="s">
        <v>680</v>
      </c>
      <c r="C111" s="17" t="s">
        <v>115</v>
      </c>
      <c r="D111" s="73" t="n">
        <f aca="false">IF(D25+D76&gt;0,D21/(D25+D76/(1-D77)),"N/M")</f>
        <v>0.419446039007855</v>
      </c>
      <c r="E111" s="73" t="n">
        <f aca="false">IF(E25+E76&gt;0,E21/(E25+E76/(1-E77)),"N/M")</f>
        <v>0.681159420289857</v>
      </c>
      <c r="F111" s="73" t="n">
        <f aca="false">IF(F25+F76&gt;0,F21/(F25+F76/(1-F77)),"N/M")</f>
        <v>1.44007490636704</v>
      </c>
      <c r="G111" s="73" t="n">
        <f aca="false">IF(G25+G76&gt;0,G21/(G25+G76/(1-G77)),"N/M")</f>
        <v>2.1635220125786</v>
      </c>
      <c r="H111" s="73" t="n">
        <f aca="false">IF(H25+H76&gt;0,H21/(H25+H76/(1-H77)),"N/M")</f>
        <v>0.929766774494582</v>
      </c>
      <c r="I111" s="73" t="n">
        <f aca="false">IF(I25+I76&gt;0,I21/(I25+I76/(1-I77)),"N/M")</f>
        <v>3.24854396216724</v>
      </c>
      <c r="J111" s="73" t="n">
        <f aca="false">IF(J25+J76&gt;0,J21/(J25+J76/(1-J77)),"N/M")</f>
        <v>8.42018677978439</v>
      </c>
      <c r="K111" s="60" t="n">
        <f aca="false">IF(COUNT(D111:J111)=0,"N/M",AVERAGE(D111:J111))</f>
        <v>2.47181427066994</v>
      </c>
      <c r="L111" s="60" t="n">
        <f aca="false">IF(COUNT(D111,J111)=2,J111-D111,"-")</f>
        <v>8.00074074077653</v>
      </c>
    </row>
    <row r="112" customFormat="false" ht="15" hidden="false" customHeight="false" outlineLevel="0" collapsed="false">
      <c r="A112" s="16" t="s">
        <v>681</v>
      </c>
      <c r="B112" s="87" t="s">
        <v>682</v>
      </c>
      <c r="C112" s="17" t="s">
        <v>115</v>
      </c>
      <c r="D112" s="73" t="n">
        <f aca="false">IF(D25+D76&gt;0,(D63+D27)/(D25+D76/(1-D77)),"N/M")</f>
        <v>-0.702533229735032</v>
      </c>
      <c r="E112" s="73" t="n">
        <f aca="false">IF(E25+E76&gt;0,(E63+E27)/(E25+E76/(1-E77)),"N/M")</f>
        <v>0.628458498023715</v>
      </c>
      <c r="F112" s="73" t="n">
        <f aca="false">IF(F25+F76&gt;0,(F63+F27)/(F25+F76/(1-F77)),"N/M")</f>
        <v>1.7059925093633</v>
      </c>
      <c r="G112" s="73" t="n">
        <f aca="false">IF(G25+G76&gt;0,(G63+G27)/(G25+G76/(1-G77)),"N/M")</f>
        <v>-0.966457023060797</v>
      </c>
      <c r="H112" s="73" t="n">
        <f aca="false">IF(H25+H76&gt;0,(H63+H27)/(H25+H76/(1-H77)),"N/M")</f>
        <v>1.26182633681407</v>
      </c>
      <c r="I112" s="73" t="n">
        <f aca="false">IF(I25+I76&gt;0,(I63+I27)/(I25+I76/(1-I77)),"N/M")</f>
        <v>0.346609684953145</v>
      </c>
      <c r="J112" s="73" t="n">
        <f aca="false">IF(J25+J76&gt;0,(J63+J27)/(J25+J76/(1-J77)),"N/M")</f>
        <v>7.01546902385125</v>
      </c>
      <c r="K112" s="60" t="n">
        <f aca="false">IF(COUNT(D112:J112)=0,"N/M",AVERAGE(D112:J112))</f>
        <v>1.32705225717281</v>
      </c>
      <c r="L112" s="60" t="n">
        <f aca="false">IF(COUNT(D112,J112)=2,J112-D112,"-")</f>
        <v>7.71800225358628</v>
      </c>
    </row>
    <row r="113" customFormat="false" ht="15" hidden="false" customHeight="false" outlineLevel="0" collapsed="false">
      <c r="A113" s="16" t="s">
        <v>683</v>
      </c>
      <c r="B113" s="87" t="s">
        <v>684</v>
      </c>
      <c r="C113" s="17" t="s">
        <v>685</v>
      </c>
      <c r="D113" s="73" t="str">
        <f aca="false">IF(D75&gt;0,D63/D75,"N/M")</f>
        <v>N/M</v>
      </c>
      <c r="E113" s="73" t="str">
        <f aca="false">IF(E75&gt;0,E63/E75,"N/M")</f>
        <v>N/M</v>
      </c>
      <c r="F113" s="73" t="n">
        <f aca="false">IF(F75&gt;0,F63/F75,"N/M")</f>
        <v>17.2641509433962</v>
      </c>
      <c r="G113" s="73" t="str">
        <f aca="false">IF(G75&gt;0,G63/G75,"N/M")</f>
        <v>N/M</v>
      </c>
      <c r="H113" s="73" t="str">
        <f aca="false">IF(H75&gt;0,H63/H75,"N/M")</f>
        <v>N/M</v>
      </c>
      <c r="I113" s="73" t="str">
        <f aca="false">IF(I75&gt;0,I63/I75,"N/M")</f>
        <v>N/M</v>
      </c>
      <c r="J113" s="73" t="n">
        <f aca="false">IF(J75&gt;0,J63/J75,"N/M")</f>
        <v>13.2</v>
      </c>
      <c r="K113" s="60" t="n">
        <f aca="false">IF(COUNT(D113:J113)=0,"N/M",AVERAGE(D113:J113))</f>
        <v>15.2320754716981</v>
      </c>
      <c r="L113" s="60" t="str">
        <f aca="false">IF(COUNT(D113,J113)=2,J113-D113,"-")</f>
        <v>-</v>
      </c>
    </row>
    <row r="114" customFormat="false" ht="15" hidden="false" customHeight="false" outlineLevel="0" collapsed="false">
      <c r="A114" s="16" t="s">
        <v>686</v>
      </c>
      <c r="B114" s="87" t="s">
        <v>687</v>
      </c>
      <c r="C114" s="17" t="s">
        <v>688</v>
      </c>
      <c r="D114" s="73" t="n">
        <f aca="false">IF(D25+D76&gt;0,(D30+D25+D22)/(D25+D76),"N/M")</f>
        <v>1.27104959630911</v>
      </c>
      <c r="E114" s="73" t="n">
        <f aca="false">IF(E25+E76&gt;0,(E30+E25+E22)/(E25+E76),"N/M")</f>
        <v>1.31620553359684</v>
      </c>
      <c r="F114" s="73" t="n">
        <f aca="false">IF(F25+F76&gt;0,(F30+F25+F22)/(F25+F76),"N/M")</f>
        <v>1.91760299625468</v>
      </c>
      <c r="G114" s="73" t="n">
        <f aca="false">IF(G25+G76&gt;0,(G30+G25+G22)/(G25+G76),"N/M")</f>
        <v>2.63941299790356</v>
      </c>
      <c r="H114" s="73" t="n">
        <f aca="false">IF(H25+H76&gt;0,(H30+H25+H22)/(H25+H76),"N/M")</f>
        <v>1.13735691987513</v>
      </c>
      <c r="I114" s="73" t="n">
        <f aca="false">IF(I25+I76&gt;0,(I30+I25+I22)/(I25+I76),"N/M")</f>
        <v>4.21851851851852</v>
      </c>
      <c r="J114" s="73" t="n">
        <f aca="false">IF(J25+J76&gt;0,(J30+J25+J22)/(J25+J76),"N/M")</f>
        <v>10.6837606837607</v>
      </c>
      <c r="K114" s="60" t="n">
        <f aca="false">IF(COUNT(D114:J114)=0,"N/M",AVERAGE(D114:J114))</f>
        <v>3.31198674945979</v>
      </c>
      <c r="L114" s="60" t="n">
        <f aca="false">IF(COUNT(D114,J114)=2,J114-D114,"-")</f>
        <v>9.41271108745157</v>
      </c>
    </row>
    <row r="115" customFormat="false" ht="16.5" hidden="false" customHeight="true" outlineLevel="0" collapsed="false">
      <c r="A115" s="88" t="s">
        <v>689</v>
      </c>
      <c r="B115" s="89"/>
      <c r="C115" s="89"/>
      <c r="D115" s="89"/>
      <c r="E115" s="89"/>
      <c r="F115" s="89"/>
      <c r="G115" s="89"/>
      <c r="H115" s="89"/>
      <c r="I115" s="89"/>
      <c r="J115" s="89"/>
      <c r="K115" s="89"/>
      <c r="L115" s="89"/>
    </row>
    <row r="116" customFormat="false" ht="15" hidden="false" customHeight="false" outlineLevel="0" collapsed="false">
      <c r="A116" s="16" t="s">
        <v>690</v>
      </c>
      <c r="B116" s="87" t="s">
        <v>691</v>
      </c>
      <c r="C116" s="17" t="s">
        <v>692</v>
      </c>
      <c r="D116" s="73" t="str">
        <f aca="false">IF(D51&gt;0,D13/D51,"N/M")</f>
        <v>N/M</v>
      </c>
      <c r="E116" s="73" t="str">
        <f aca="false">IF(E51&gt;0,E13/E51,"N/M")</f>
        <v>N/M</v>
      </c>
      <c r="F116" s="73" t="str">
        <f aca="false">IF(F51&gt;0,F13/F51,"N/M")</f>
        <v>N/M</v>
      </c>
      <c r="G116" s="73" t="str">
        <f aca="false">IF(G51&gt;0,G13/G51,"N/M")</f>
        <v>N/M</v>
      </c>
      <c r="H116" s="73" t="str">
        <f aca="false">IF(H51&gt;0,H13/H51,"N/M")</f>
        <v>N/M</v>
      </c>
      <c r="I116" s="73" t="str">
        <f aca="false">IF(I51&gt;0,I13/I51,"N/M")</f>
        <v>N/M</v>
      </c>
      <c r="J116" s="73" t="str">
        <f aca="false">IF(J51&gt;0,J13/J51,"N/M")</f>
        <v>N/M</v>
      </c>
      <c r="K116" s="60" t="str">
        <f aca="false">IF(COUNT(D116:J116)=0,"N/M",AVERAGE(D116:J116))</f>
        <v>N/M</v>
      </c>
      <c r="L116" s="60" t="str">
        <f aca="false">IF(COUNT(D116,J116)=2,J116-D116,"-")</f>
        <v>-</v>
      </c>
    </row>
    <row r="117" customFormat="false" ht="15" hidden="false" customHeight="false" outlineLevel="0" collapsed="false">
      <c r="A117" s="16" t="s">
        <v>693</v>
      </c>
      <c r="B117" s="87" t="s">
        <v>694</v>
      </c>
      <c r="C117" s="17" t="s">
        <v>653</v>
      </c>
      <c r="D117" s="74" t="n">
        <f aca="false">IF(D13&gt;0,D51/D13*Setup!$C$8,"N/M")</f>
        <v>0</v>
      </c>
      <c r="E117" s="74" t="n">
        <f aca="false">IF(E13&gt;0,E51/E13*Setup!$C$8,"N/M")</f>
        <v>0</v>
      </c>
      <c r="F117" s="74" t="n">
        <f aca="false">IF(F13&gt;0,F51/F13*Setup!$C$8,"N/M")</f>
        <v>0</v>
      </c>
      <c r="G117" s="74" t="n">
        <f aca="false">IF(G13&gt;0,G51/G13*Setup!$C$8,"N/M")</f>
        <v>0</v>
      </c>
      <c r="H117" s="74" t="n">
        <f aca="false">IF(H13&gt;0,H51/H13*Setup!$C$8,"N/M")</f>
        <v>0</v>
      </c>
      <c r="I117" s="74" t="n">
        <f aca="false">IF(I13&gt;0,I51/I13*Setup!$C$8,"N/M")</f>
        <v>0</v>
      </c>
      <c r="J117" s="74" t="n">
        <f aca="false">IF(J13&gt;0,J51/J13*Setup!$C$8,"N/M")</f>
        <v>0</v>
      </c>
      <c r="K117" s="58" t="n">
        <f aca="false">IF(COUNT(D117:J117)=0,"N/M",AVERAGE(D117:J117))</f>
        <v>0</v>
      </c>
      <c r="L117" s="58" t="n">
        <f aca="false">IF(COUNT(D117,J117)=2,J117-D117,"-")</f>
        <v>0</v>
      </c>
    </row>
    <row r="118" customFormat="false" ht="15" hidden="false" customHeight="false" outlineLevel="0" collapsed="false">
      <c r="A118" s="16" t="s">
        <v>695</v>
      </c>
      <c r="B118" s="87" t="s">
        <v>696</v>
      </c>
      <c r="C118" s="17" t="s">
        <v>692</v>
      </c>
      <c r="D118" s="73" t="n">
        <f aca="false">IF(D50&gt;0,D7/D50,"N/M")</f>
        <v>3.91403785488959</v>
      </c>
      <c r="E118" s="73" t="n">
        <f aca="false">IF(E50&gt;0,E7/E50,"N/M")</f>
        <v>2.95160617438465</v>
      </c>
      <c r="F118" s="73" t="n">
        <f aca="false">IF(F50&gt;0,F7/F50,"N/M")</f>
        <v>3.64190239353435</v>
      </c>
      <c r="G118" s="73" t="n">
        <f aca="false">IF(G50&gt;0,G7/G50,"N/M")</f>
        <v>3.7676685621446</v>
      </c>
      <c r="H118" s="73" t="n">
        <f aca="false">IF(H50&gt;0,H7/H50,"N/M")</f>
        <v>3.20130013221684</v>
      </c>
      <c r="I118" s="73" t="n">
        <f aca="false">IF(I50&gt;0,I7/I50,"N/M")</f>
        <v>5.07764113201956</v>
      </c>
      <c r="J118" s="73" t="n">
        <f aca="false">IF(J50&gt;0,J7/J50,"N/M")</f>
        <v>4.91386901485966</v>
      </c>
      <c r="K118" s="60" t="n">
        <f aca="false">IF(COUNT(D118:J118)=0,"N/M",AVERAGE(D118:J118))</f>
        <v>3.92400360914989</v>
      </c>
      <c r="L118" s="60" t="n">
        <f aca="false">IF(COUNT(D118,J118)=2,J118-D118,"-")</f>
        <v>0.999831159970069</v>
      </c>
    </row>
    <row r="119" customFormat="false" ht="15" hidden="false" customHeight="false" outlineLevel="0" collapsed="false">
      <c r="A119" s="16" t="s">
        <v>697</v>
      </c>
      <c r="B119" s="87" t="s">
        <v>698</v>
      </c>
      <c r="C119" s="17" t="s">
        <v>653</v>
      </c>
      <c r="D119" s="74" t="n">
        <f aca="false">IF(D7&gt;0,D50/D7*Setup!$C$8,"N/M")</f>
        <v>93.2540801934314</v>
      </c>
      <c r="E119" s="74" t="n">
        <f aca="false">IF(E7&gt;0,E50/E7*Setup!$C$8,"N/M")</f>
        <v>123.66148409894</v>
      </c>
      <c r="F119" s="74" t="n">
        <f aca="false">IF(F7&gt;0,F50/F7*Setup!$C$8,"N/M")</f>
        <v>100.222345510413</v>
      </c>
      <c r="G119" s="74" t="n">
        <f aca="false">IF(G7&gt;0,G50/G7*Setup!$C$8,"N/M")</f>
        <v>96.876886589047</v>
      </c>
      <c r="H119" s="74" t="n">
        <f aca="false">IF(H7&gt;0,H50/H7*Setup!$C$8,"N/M")</f>
        <v>114.016176217519</v>
      </c>
      <c r="I119" s="74" t="n">
        <f aca="false">IF(I7&gt;0,I50/I7*Setup!$C$8,"N/M")</f>
        <v>71.8837725057632</v>
      </c>
      <c r="J119" s="74" t="n">
        <f aca="false">IF(J7&gt;0,J50/J7*Setup!$C$8,"N/M")</f>
        <v>74.2795542364339</v>
      </c>
      <c r="K119" s="58" t="n">
        <f aca="false">IF(COUNT(D119:J119)=0,"N/M",AVERAGE(D119:J119))</f>
        <v>96.3134713359353</v>
      </c>
      <c r="L119" s="58" t="n">
        <f aca="false">IF(COUNT(D119,J119)=2,J119-D119,"-")</f>
        <v>-18.9745259569975</v>
      </c>
    </row>
    <row r="120" customFormat="false" ht="15" hidden="false" customHeight="false" outlineLevel="0" collapsed="false">
      <c r="A120" s="16" t="s">
        <v>699</v>
      </c>
      <c r="B120" s="87" t="s">
        <v>700</v>
      </c>
      <c r="C120" s="17" t="s">
        <v>692</v>
      </c>
      <c r="D120" s="73" t="n">
        <f aca="false">IF(D42&gt;0,D13/D42,"N/M")</f>
        <v>12.0374414976599</v>
      </c>
      <c r="E120" s="73" t="n">
        <f aca="false">IF(E42&gt;0,E13/E42,"N/M")</f>
        <v>15.9030100334448</v>
      </c>
      <c r="F120" s="73" t="n">
        <f aca="false">IF(F42&gt;0,F13/F42,"N/M")</f>
        <v>15.2367849384504</v>
      </c>
      <c r="G120" s="73" t="n">
        <f aca="false">IF(G42&gt;0,G13/G42,"N/M")</f>
        <v>10.7633620689655</v>
      </c>
      <c r="H120" s="73" t="n">
        <f aca="false">IF(H42&gt;0,H13/H42,"N/M")</f>
        <v>5.39637785552583</v>
      </c>
      <c r="I120" s="73" t="n">
        <f aca="false">IF(I42&gt;0,I13/I42,"N/M")</f>
        <v>9.39712488769093</v>
      </c>
      <c r="J120" s="73" t="n">
        <f aca="false">IF(J42&gt;0,J13/J42,"N/M")</f>
        <v>9.66785927251044</v>
      </c>
      <c r="K120" s="60" t="n">
        <f aca="false">IF(COUNT(D120:J120)=0,"N/M",AVERAGE(D120:J120))</f>
        <v>11.2002800791783</v>
      </c>
      <c r="L120" s="60" t="n">
        <f aca="false">IF(COUNT(D120,J120)=2,J120-D120,"-")</f>
        <v>-2.36958222514947</v>
      </c>
    </row>
    <row r="121" customFormat="false" ht="15" hidden="false" customHeight="false" outlineLevel="0" collapsed="false">
      <c r="A121" s="16" t="s">
        <v>701</v>
      </c>
      <c r="B121" s="87" t="s">
        <v>702</v>
      </c>
      <c r="C121" s="17" t="s">
        <v>653</v>
      </c>
      <c r="D121" s="74" t="n">
        <f aca="false">IF(D13&gt;0,D42/D13*Setup!$C$8,"N/M")</f>
        <v>30.3220580611716</v>
      </c>
      <c r="E121" s="74" t="n">
        <f aca="false">IF(E13&gt;0,E42/E13*Setup!$C$8,"N/M")</f>
        <v>22.9516298633018</v>
      </c>
      <c r="F121" s="74" t="n">
        <f aca="false">IF(F13&gt;0,F42/F13*Setup!$C$8,"N/M")</f>
        <v>23.9551848683585</v>
      </c>
      <c r="G121" s="74" t="n">
        <f aca="false">IF(G13&gt;0,G42/G13*Setup!$C$8,"N/M")</f>
        <v>33.9113371510953</v>
      </c>
      <c r="H121" s="74" t="n">
        <f aca="false">IF(H13&gt;0,H42/H13*Setup!$C$8,"N/M")</f>
        <v>67.6379619389039</v>
      </c>
      <c r="I121" s="74" t="n">
        <f aca="false">IF(I13&gt;0,I42/I13*Setup!$C$8,"N/M")</f>
        <v>38.8416674634286</v>
      </c>
      <c r="J121" s="74" t="n">
        <f aca="false">IF(J13&gt;0,J42/J13*Setup!$C$8,"N/M")</f>
        <v>37.7539628693024</v>
      </c>
      <c r="K121" s="58" t="n">
        <f aca="false">IF(COUNT(D121:J121)=0,"N/M",AVERAGE(D121:J121))</f>
        <v>36.4819717450803</v>
      </c>
      <c r="L121" s="58" t="n">
        <f aca="false">IF(COUNT(D121,J121)=2,J121-D121,"-")</f>
        <v>7.43190480813081</v>
      </c>
    </row>
    <row r="122" customFormat="false" ht="15" hidden="false" customHeight="false" outlineLevel="0" collapsed="false">
      <c r="A122" s="16" t="s">
        <v>703</v>
      </c>
      <c r="B122" s="87" t="s">
        <v>704</v>
      </c>
      <c r="C122" s="17" t="s">
        <v>653</v>
      </c>
      <c r="D122" s="74" t="n">
        <f aca="false">IF(COUNT(D117,D119,D121)=3,D117+D119-D121,"N/M")</f>
        <v>62.9320221322598</v>
      </c>
      <c r="E122" s="74" t="n">
        <f aca="false">IF(COUNT(E117,E119,E121)=3,E117+E119-E121,"N/M")</f>
        <v>100.709854235638</v>
      </c>
      <c r="F122" s="74" t="n">
        <f aca="false">IF(COUNT(F117,F119,F121)=3,F117+F119-F121,"N/M")</f>
        <v>76.2671606420546</v>
      </c>
      <c r="G122" s="74" t="n">
        <f aca="false">IF(COUNT(G117,G119,G121)=3,G117+G119-G121,"N/M")</f>
        <v>62.9655494379517</v>
      </c>
      <c r="H122" s="74" t="n">
        <f aca="false">IF(COUNT(H117,H119,H121)=3,H117+H119-H121,"N/M")</f>
        <v>46.3782142786146</v>
      </c>
      <c r="I122" s="74" t="n">
        <f aca="false">IF(COUNT(I117,I119,I121)=3,I117+I119-I121,"N/M")</f>
        <v>33.0421050423346</v>
      </c>
      <c r="J122" s="74" t="n">
        <f aca="false">IF(COUNT(J117,J119,J121)=3,J117+J119-J121,"N/M")</f>
        <v>36.5255913671315</v>
      </c>
      <c r="K122" s="58" t="n">
        <f aca="false">IF(COUNT(D122:J122)=0,"N/M",AVERAGE(D122:J122))</f>
        <v>59.831499590855</v>
      </c>
      <c r="L122" s="58" t="n">
        <f aca="false">IF(COUNT(D122,J122)=2,J122-D122,"-")</f>
        <v>-26.4064307651283</v>
      </c>
    </row>
    <row r="123" customFormat="false" ht="15" hidden="false" customHeight="false" outlineLevel="0" collapsed="false">
      <c r="A123" s="16" t="s">
        <v>705</v>
      </c>
      <c r="B123" s="87" t="s">
        <v>706</v>
      </c>
      <c r="C123" s="17" t="s">
        <v>692</v>
      </c>
      <c r="D123" s="73" t="n">
        <f aca="false">IF(D45&gt;0,D7/D45,"N/M")</f>
        <v>6.7986301369863</v>
      </c>
      <c r="E123" s="73" t="n">
        <f aca="false">IF(E45&gt;0,E7/E45,"N/M")</f>
        <v>3.99491812535291</v>
      </c>
      <c r="F123" s="73" t="n">
        <f aca="false">IF(F45&gt;0,F7/F45,"N/M")</f>
        <v>4.11737831664031</v>
      </c>
      <c r="G123" s="73" t="n">
        <f aca="false">IF(G45&gt;0,G7/G45,"N/M")</f>
        <v>5.05228758169935</v>
      </c>
      <c r="H123" s="73" t="n">
        <f aca="false">IF(H45&gt;0,H7/H45,"N/M")</f>
        <v>5.99072164948454</v>
      </c>
      <c r="I123" s="73" t="n">
        <f aca="false">IF(I45&gt;0,I7/I45,"N/M")</f>
        <v>7.27116486314449</v>
      </c>
      <c r="J123" s="73" t="n">
        <f aca="false">IF(J45&gt;0,J7/J45,"N/M")</f>
        <v>7.78931297709924</v>
      </c>
      <c r="K123" s="60" t="n">
        <f aca="false">IF(COUNT(D123:J123)=0,"N/M",AVERAGE(D123:J123))</f>
        <v>5.85920195005816</v>
      </c>
      <c r="L123" s="60" t="n">
        <f aca="false">IF(COUNT(D123,J123)=2,J123-D123,"-")</f>
        <v>0.990682840112934</v>
      </c>
    </row>
    <row r="124" customFormat="false" ht="15" hidden="false" customHeight="false" outlineLevel="0" collapsed="false">
      <c r="A124" s="16" t="s">
        <v>707</v>
      </c>
      <c r="B124" s="87" t="s">
        <v>708</v>
      </c>
      <c r="C124" s="17" t="s">
        <v>692</v>
      </c>
      <c r="D124" s="73" t="n">
        <f aca="false">IF(D49&gt;0,D7/D49,"N/M")</f>
        <v>1.69146501777107</v>
      </c>
      <c r="E124" s="73" t="n">
        <f aca="false">IF(E49&gt;0,E7/E49,"N/M")</f>
        <v>1.11534419337888</v>
      </c>
      <c r="F124" s="73" t="n">
        <f aca="false">IF(F49&gt;0,F7/F49,"N/M")</f>
        <v>1.30868472493717</v>
      </c>
      <c r="G124" s="73" t="n">
        <f aca="false">IF(G49&gt;0,G7/G49,"N/M")</f>
        <v>1.61649724077839</v>
      </c>
      <c r="H124" s="73" t="n">
        <f aca="false">IF(H49&gt;0,H7/H49,"N/M")</f>
        <v>1.51296604873985</v>
      </c>
      <c r="I124" s="73" t="n">
        <f aca="false">IF(I49&gt;0,I7/I49,"N/M")</f>
        <v>2.03836545324768</v>
      </c>
      <c r="J124" s="73" t="n">
        <f aca="false">IF(J49&gt;0,J7/J49,"N/M")</f>
        <v>2.18674993877051</v>
      </c>
      <c r="K124" s="60" t="n">
        <f aca="false">IF(COUNT(D124:J124)=0,"N/M",AVERAGE(D124:J124))</f>
        <v>1.63858180251765</v>
      </c>
      <c r="L124" s="60" t="n">
        <f aca="false">IF(COUNT(D124,J124)=2,J124-D124,"-")</f>
        <v>0.495284920999442</v>
      </c>
    </row>
    <row r="125" customFormat="false" ht="15" hidden="false" customHeight="false" outlineLevel="0" collapsed="false">
      <c r="A125" s="16" t="s">
        <v>709</v>
      </c>
      <c r="B125" s="87" t="s">
        <v>710</v>
      </c>
      <c r="C125" s="17" t="s">
        <v>692</v>
      </c>
      <c r="D125" s="73" t="n">
        <f aca="false">IF(D90&gt;0,D7/D90,"N/M")</f>
        <v>1.93273991655077</v>
      </c>
      <c r="E125" s="73" t="n">
        <f aca="false">IF(E90&gt;0,E7/E90,"N/M")</f>
        <v>1.19014242458226</v>
      </c>
      <c r="F125" s="73" t="n">
        <f aca="false">IF(F90&gt;0,F7/F90,"N/M")</f>
        <v>1.41805858145727</v>
      </c>
      <c r="G125" s="73" t="n">
        <f aca="false">IF(G90&gt;0,G7/G90,"N/M")</f>
        <v>1.86827794561934</v>
      </c>
      <c r="H125" s="73" t="n">
        <f aca="false">IF(H90&gt;0,H7/H90,"N/M")</f>
        <v>2.02544440571628</v>
      </c>
      <c r="I125" s="73" t="n">
        <f aca="false">IF(I90&gt;0,I7/I90,"N/M")</f>
        <v>2.54353150745936</v>
      </c>
      <c r="J125" s="73" t="n">
        <f aca="false">IF(J90&gt;0,J7/J90,"N/M")</f>
        <v>2.75188781014024</v>
      </c>
      <c r="K125" s="60" t="n">
        <f aca="false">IF(COUNT(D125:J125)=0,"N/M",AVERAGE(D125:J125))</f>
        <v>1.96144037021793</v>
      </c>
      <c r="L125" s="60" t="n">
        <f aca="false">IF(COUNT(D125,J125)=2,J125-D125,"-")</f>
        <v>0.819147893589472</v>
      </c>
    </row>
    <row r="126" customFormat="false" ht="15" hidden="false" customHeight="false" outlineLevel="0" collapsed="false">
      <c r="A126" s="16" t="s">
        <v>711</v>
      </c>
      <c r="B126" s="87" t="s">
        <v>712</v>
      </c>
      <c r="C126" s="17" t="s">
        <v>692</v>
      </c>
      <c r="D126" s="73" t="n">
        <f aca="false">IF(D87&gt;0,D7/D87,"N/M")</f>
        <v>2.45502084658328</v>
      </c>
      <c r="E126" s="73" t="n">
        <f aca="false">IF(E87&gt;0,E7/E87,"N/M")</f>
        <v>1.67125984251969</v>
      </c>
      <c r="F126" s="73" t="n">
        <f aca="false">IF(F87&gt;0,F7/F87,"N/M")</f>
        <v>2.01843397364114</v>
      </c>
      <c r="G126" s="73" t="n">
        <f aca="false">IF(G87&gt;0,G7/G87,"N/M")</f>
        <v>2.49087003222342</v>
      </c>
      <c r="H126" s="73" t="n">
        <f aca="false">IF(H87&gt;0,H7/H87,"N/M")</f>
        <v>2.09375225192765</v>
      </c>
      <c r="I126" s="73" t="n">
        <f aca="false">IF(I87&gt;0,I7/I87,"N/M")</f>
        <v>2.93952650540401</v>
      </c>
      <c r="J126" s="73" t="n">
        <f aca="false">IF(J87&gt;0,J7/J87,"N/M")</f>
        <v>3.16445153287259</v>
      </c>
      <c r="K126" s="60" t="n">
        <f aca="false">IF(COUNT(D126:J126)=0,"N/M",AVERAGE(D126:J126))</f>
        <v>2.40475928359597</v>
      </c>
      <c r="L126" s="60" t="n">
        <f aca="false">IF(COUNT(D126,J126)=2,J126-D126,"-")</f>
        <v>0.709430686289305</v>
      </c>
    </row>
    <row r="127" customFormat="false" ht="15" hidden="false" customHeight="false" outlineLevel="0" collapsed="false">
      <c r="A127" s="16" t="s">
        <v>713</v>
      </c>
      <c r="B127" s="87" t="s">
        <v>714</v>
      </c>
      <c r="C127" s="17" t="s">
        <v>692</v>
      </c>
      <c r="D127" s="73" t="n">
        <f aca="false">IF(D94&gt;0,D7/D94,"N/M")</f>
        <v>2.99827392767757</v>
      </c>
      <c r="E127" s="73" t="n">
        <f aca="false">IF(E94&gt;0,E7/E94,"N/M")</f>
        <v>1.84501043115438</v>
      </c>
      <c r="F127" s="73" t="n">
        <f aca="false">IF(F94&gt;0,F7/F94,"N/M")</f>
        <v>2.29096597575284</v>
      </c>
      <c r="G127" s="73" t="n">
        <f aca="false">IF(G94&gt;0,G7/G94,"N/M")</f>
        <v>3.14369633981021</v>
      </c>
      <c r="H127" s="73" t="n">
        <f aca="false">IF(H94&gt;0,H7/H94,"N/M")</f>
        <v>3.22188955422488</v>
      </c>
      <c r="I127" s="73" t="n">
        <f aca="false">IF(I94&gt;0,I7/I94,"N/M")</f>
        <v>4.11936530833033</v>
      </c>
      <c r="J127" s="73" t="n">
        <f aca="false">IF(J94&gt;0,J7/J94,"N/M")</f>
        <v>4.50252143217348</v>
      </c>
      <c r="K127" s="60" t="n">
        <f aca="false">IF(COUNT(D127:J127)=0,"N/M",AVERAGE(D127:J127))</f>
        <v>3.16024613844624</v>
      </c>
      <c r="L127" s="60" t="n">
        <f aca="false">IF(COUNT(D127,J127)=2,J127-D127,"-")</f>
        <v>1.5042475044959</v>
      </c>
    </row>
    <row r="128" customFormat="false" ht="16.5" hidden="false" customHeight="true" outlineLevel="0" collapsed="false">
      <c r="A128" s="88" t="s">
        <v>715</v>
      </c>
      <c r="B128" s="89"/>
      <c r="C128" s="89"/>
      <c r="D128" s="89"/>
      <c r="E128" s="89"/>
      <c r="F128" s="89"/>
      <c r="G128" s="89"/>
      <c r="H128" s="89"/>
      <c r="I128" s="89"/>
      <c r="J128" s="89"/>
      <c r="K128" s="89"/>
      <c r="L128" s="89"/>
    </row>
    <row r="129" customFormat="false" ht="15" hidden="false" customHeight="false" outlineLevel="0" collapsed="false">
      <c r="A129" s="16" t="s">
        <v>716</v>
      </c>
      <c r="B129" s="87" t="s">
        <v>717</v>
      </c>
      <c r="C129" s="17" t="s">
        <v>615</v>
      </c>
      <c r="D129" s="71" t="n">
        <f aca="false">IF(D7&gt;0,D14/D7,"N/M")</f>
        <v>0.111597248208169</v>
      </c>
      <c r="E129" s="71" t="n">
        <f aca="false">IF(E7&gt;0,E14/E7,"N/M")</f>
        <v>0.103886925795053</v>
      </c>
      <c r="F129" s="71" t="n">
        <f aca="false">IF(F7&gt;0,F14/F7,"N/M")</f>
        <v>0.101997268692386</v>
      </c>
      <c r="G129" s="71" t="n">
        <f aca="false">IF(G7&gt;0,G14/G7,"N/M")</f>
        <v>0.102666379186431</v>
      </c>
      <c r="H129" s="71" t="n">
        <f aca="false">IF(H7&gt;0,H14/H7,"N/M")</f>
        <v>0.0975391498881433</v>
      </c>
      <c r="I129" s="71" t="n">
        <f aca="false">IF(I7&gt;0,I14/I7,"N/M")</f>
        <v>0.0843911406810821</v>
      </c>
      <c r="J129" s="71" t="n">
        <f aca="false">IF(J7&gt;0,J14/J7,"N/M")</f>
        <v>0.092064736517892</v>
      </c>
      <c r="K129" s="62" t="n">
        <f aca="false">IF(COUNT(D129:J129)=0,"N/M",AVERAGE(D129:J129))</f>
        <v>0.099163264138451</v>
      </c>
      <c r="L129" s="62" t="n">
        <f aca="false">IF(COUNT(D129,J129)=2,J129-D129,"-")</f>
        <v>-0.0195325116902772</v>
      </c>
    </row>
    <row r="130" customFormat="false" ht="15" hidden="false" customHeight="false" outlineLevel="0" collapsed="false">
      <c r="A130" s="16" t="s">
        <v>718</v>
      </c>
      <c r="B130" s="87" t="s">
        <v>719</v>
      </c>
      <c r="C130" s="17" t="s">
        <v>615</v>
      </c>
      <c r="D130" s="71" t="n">
        <f aca="false">IF(D7&gt;0,D21/D7,"N/M")</f>
        <v>0.0232866066031491</v>
      </c>
      <c r="E130" s="71" t="n">
        <f aca="false">IF(E7&gt;0,E21/E7,"N/M")</f>
        <v>0.0243580683156656</v>
      </c>
      <c r="F130" s="71" t="n">
        <f aca="false">IF(F7&gt;0,F21/F7,"N/M")</f>
        <v>0.0328183680437008</v>
      </c>
      <c r="G130" s="71" t="n">
        <f aca="false">IF(G7&gt;0,G21/G7,"N/M")</f>
        <v>0.0370849504096591</v>
      </c>
      <c r="H130" s="71" t="n">
        <f aca="false">IF(H7&gt;0,H21/H7,"N/M")</f>
        <v>0.0313199105145415</v>
      </c>
      <c r="I130" s="71" t="n">
        <f aca="false">IF(I7&gt;0,I21/I7,"N/M")</f>
        <v>0.0257083661618372</v>
      </c>
      <c r="J130" s="71" t="n">
        <f aca="false">IF(J7&gt;0,J21/J7,"N/M")</f>
        <v>0.0290362322898582</v>
      </c>
      <c r="K130" s="62" t="n">
        <f aca="false">IF(COUNT(D130:J130)=0,"N/M",AVERAGE(D130:J130))</f>
        <v>0.0290875003340588</v>
      </c>
      <c r="L130" s="62" t="n">
        <f aca="false">IF(COUNT(D130,J130)=2,J130-D130,"-")</f>
        <v>0.00574962568670907</v>
      </c>
    </row>
    <row r="131" customFormat="false" ht="15" hidden="false" customHeight="false" outlineLevel="0" collapsed="false">
      <c r="A131" s="16" t="s">
        <v>720</v>
      </c>
      <c r="B131" s="87" t="s">
        <v>721</v>
      </c>
      <c r="C131" s="17" t="s">
        <v>615</v>
      </c>
      <c r="D131" s="71" t="n">
        <f aca="false">IF(D7&gt;0,D23/D7,"N/M")</f>
        <v>0.0120318931521834</v>
      </c>
      <c r="E131" s="71" t="n">
        <f aca="false">IF(E7&gt;0,E23/E7,"N/M")</f>
        <v>0.0132862190812722</v>
      </c>
      <c r="F131" s="71" t="n">
        <f aca="false">IF(F7&gt;0,F23/F7,"N/M")</f>
        <v>0.0215944008193922</v>
      </c>
      <c r="G131" s="71" t="n">
        <f aca="false">IF(G7&gt;0,G23/G7,"N/M")</f>
        <v>0.0265919218053757</v>
      </c>
      <c r="H131" s="71" t="n">
        <f aca="false">IF(H7&gt;0,H23/H7,"N/M")</f>
        <v>0.0216830149716057</v>
      </c>
      <c r="I131" s="71" t="n">
        <f aca="false">IF(I7&gt;0,I23/I7,"N/M")</f>
        <v>0.0180921532580466</v>
      </c>
      <c r="J131" s="71" t="n">
        <f aca="false">IF(J7&gt;0,J23/J7,"N/M")</f>
        <v>0.0218961751694012</v>
      </c>
      <c r="K131" s="62" t="n">
        <f aca="false">IF(COUNT(D131:J131)=0,"N/M",AVERAGE(D131:J131))</f>
        <v>0.0193108254653253</v>
      </c>
      <c r="L131" s="62" t="n">
        <f aca="false">IF(COUNT(D131,J131)=2,J131-D131,"-")</f>
        <v>0.00986428201721782</v>
      </c>
    </row>
    <row r="132" customFormat="false" ht="15" hidden="false" customHeight="false" outlineLevel="0" collapsed="false">
      <c r="A132" s="16" t="s">
        <v>722</v>
      </c>
      <c r="B132" s="87" t="s">
        <v>723</v>
      </c>
      <c r="C132" s="17" t="s">
        <v>615</v>
      </c>
      <c r="D132" s="71" t="n">
        <f aca="false">IF(D7&gt;0,D26/D7,"N/M")</f>
        <v>0.0369304280245244</v>
      </c>
      <c r="E132" s="71" t="n">
        <f aca="false">IF(E7&gt;0,E26/E7,"N/M")</f>
        <v>0.00131919905771503</v>
      </c>
      <c r="F132" s="71" t="n">
        <f aca="false">IF(F7&gt;0,F26/F7,"N/M")</f>
        <v>0.00951689996585852</v>
      </c>
      <c r="G132" s="71" t="n">
        <f aca="false">IF(G7&gt;0,G26/G7,"N/M")</f>
        <v>0.0166738536725598</v>
      </c>
      <c r="H132" s="71" t="n">
        <f aca="false">IF(H7&gt;0,H26/H7,"N/M")</f>
        <v>0.019549130958527</v>
      </c>
      <c r="I132" s="71" t="n">
        <f aca="false">IF(I7&gt;0,I26/I7,"N/M")</f>
        <v>0.0223817444337448</v>
      </c>
      <c r="J132" s="71" t="n">
        <f aca="false">IF(J7&gt;0,J26/J7,"N/M")</f>
        <v>0.0288682309458474</v>
      </c>
      <c r="K132" s="62" t="n">
        <f aca="false">IF(COUNT(D132:J132)=0,"N/M",AVERAGE(D132:J132))</f>
        <v>0.0193199267226824</v>
      </c>
      <c r="L132" s="62" t="n">
        <f aca="false">IF(COUNT(D132,J132)=2,J132-D132,"-")</f>
        <v>-0.008062197078677</v>
      </c>
    </row>
    <row r="133" customFormat="false" ht="15" hidden="false" customHeight="false" outlineLevel="0" collapsed="false">
      <c r="A133" s="16" t="s">
        <v>724</v>
      </c>
      <c r="B133" s="87" t="s">
        <v>725</v>
      </c>
      <c r="C133" s="17" t="s">
        <v>615</v>
      </c>
      <c r="D133" s="71" t="n">
        <f aca="false">IF(D7&gt;0,D30/D7,"N/M")</f>
        <v>0.0309144814484327</v>
      </c>
      <c r="E133" s="71" t="n">
        <f aca="false">IF(E7&gt;0,E30/E7,"N/M")</f>
        <v>0.000235571260306243</v>
      </c>
      <c r="F133" s="71" t="n">
        <f aca="false">IF(F7&gt;0,F30/F7,"N/M")</f>
        <v>0.00968760669170365</v>
      </c>
      <c r="G133" s="71" t="n">
        <f aca="false">IF(G7&gt;0,G30/G7,"N/M")</f>
        <v>0.0176081644386948</v>
      </c>
      <c r="H133" s="71" t="n">
        <f aca="false">IF(H7&gt;0,H30/H7,"N/M")</f>
        <v>0.0190672861813801</v>
      </c>
      <c r="I133" s="71" t="n">
        <f aca="false">IF(I7&gt;0,I30/I7,"N/M")</f>
        <v>0.022177478187283</v>
      </c>
      <c r="J133" s="71" t="n">
        <f aca="false">IF(J7&gt;0,J30/J7,"N/M")</f>
        <v>0.0268802150417203</v>
      </c>
      <c r="K133" s="62" t="n">
        <f aca="false">IF(COUNT(D133:J133)=0,"N/M",AVERAGE(D133:J133))</f>
        <v>0.0180815433213601</v>
      </c>
      <c r="L133" s="62" t="n">
        <f aca="false">IF(COUNT(D133,J133)=2,J133-D133,"-")</f>
        <v>-0.00403426640671235</v>
      </c>
    </row>
    <row r="134" customFormat="false" ht="16.5" hidden="false" customHeight="true" outlineLevel="0" collapsed="false">
      <c r="A134" s="88" t="s">
        <v>726</v>
      </c>
      <c r="B134" s="89"/>
      <c r="C134" s="89"/>
      <c r="D134" s="89"/>
      <c r="E134" s="89"/>
      <c r="F134" s="89"/>
      <c r="G134" s="89"/>
      <c r="H134" s="89"/>
      <c r="I134" s="89"/>
      <c r="J134" s="89"/>
      <c r="K134" s="89"/>
      <c r="L134" s="89"/>
    </row>
    <row r="135" customFormat="false" ht="15" hidden="false" customHeight="false" outlineLevel="0" collapsed="false">
      <c r="A135" s="16" t="s">
        <v>727</v>
      </c>
      <c r="B135" s="87" t="s">
        <v>728</v>
      </c>
      <c r="C135" s="17" t="s">
        <v>615</v>
      </c>
      <c r="D135" s="71" t="n">
        <f aca="false">IF(D7&gt;0,D13/D7,"N/M")</f>
        <v>0.888402751791831</v>
      </c>
      <c r="E135" s="71" t="n">
        <f aca="false">IF(E7&gt;0,E13/E7,"N/M")</f>
        <v>0.896113074204947</v>
      </c>
      <c r="F135" s="71" t="n">
        <f aca="false">IF(F7&gt;0,F13/F7,"N/M")</f>
        <v>0.898002731307614</v>
      </c>
      <c r="G135" s="71" t="n">
        <f aca="false">IF(G7&gt;0,G13/G7,"N/M")</f>
        <v>0.897333620813569</v>
      </c>
      <c r="H135" s="71" t="n">
        <f aca="false">IF(H7&gt;0,H13/H7,"N/M")</f>
        <v>0.902460850111857</v>
      </c>
      <c r="I135" s="71" t="n">
        <f aca="false">IF(I7&gt;0,I13/I7,"N/M")</f>
        <v>0.915608859318918</v>
      </c>
      <c r="J135" s="71" t="n">
        <f aca="false">IF(J7&gt;0,J13/J7,"N/M")</f>
        <v>0.907935263482108</v>
      </c>
      <c r="K135" s="62" t="n">
        <f aca="false">IF(COUNT(D135:J135)=0,"N/M",AVERAGE(D135:J135))</f>
        <v>0.900836735861549</v>
      </c>
      <c r="L135" s="62" t="n">
        <f aca="false">IF(COUNT(D135,J135)=2,J135-D135,"-")</f>
        <v>0.0195325116902771</v>
      </c>
    </row>
    <row r="136" customFormat="false" ht="15" hidden="false" customHeight="false" outlineLevel="0" collapsed="false">
      <c r="A136" s="16" t="s">
        <v>729</v>
      </c>
      <c r="B136" s="87" t="s">
        <v>730</v>
      </c>
      <c r="C136" s="17" t="s">
        <v>615</v>
      </c>
      <c r="D136" s="71" t="n">
        <f aca="false">IF(D7&gt;0,D19/D7,"N/M")</f>
        <v>0.08831064160502</v>
      </c>
      <c r="E136" s="71" t="n">
        <f aca="false">IF(E7&gt;0,E19/E7,"N/M")</f>
        <v>0.0795288574793875</v>
      </c>
      <c r="F136" s="71" t="n">
        <f aca="false">IF(F7&gt;0,F19/F7,"N/M")</f>
        <v>0.0691789006486856</v>
      </c>
      <c r="G136" s="71" t="n">
        <f aca="false">IF(G7&gt;0,G19/G7,"N/M")</f>
        <v>0.0655814287767716</v>
      </c>
      <c r="H136" s="71" t="n">
        <f aca="false">IF(H7&gt;0,H19/H7,"N/M")</f>
        <v>0.0662192393736018</v>
      </c>
      <c r="I136" s="71" t="n">
        <f aca="false">IF(I7&gt;0,I19/I7,"N/M")</f>
        <v>0.0586827745192448</v>
      </c>
      <c r="J136" s="71" t="n">
        <f aca="false">IF(J7&gt;0,J19/J7,"N/M")</f>
        <v>0.0630285042280338</v>
      </c>
      <c r="K136" s="62" t="n">
        <f aca="false">IF(COUNT(D136:J136)=0,"N/M",AVERAGE(D136:J136))</f>
        <v>0.0700757638043922</v>
      </c>
      <c r="L136" s="62" t="n">
        <f aca="false">IF(COUNT(D136,J136)=2,J136-D136,"-")</f>
        <v>-0.0252821373769862</v>
      </c>
    </row>
    <row r="137" customFormat="false" ht="15" hidden="false" customHeight="false" outlineLevel="0" collapsed="false">
      <c r="A137" s="16" t="s">
        <v>731</v>
      </c>
      <c r="B137" s="87" t="s">
        <v>732</v>
      </c>
      <c r="C137" s="17" t="s">
        <v>615</v>
      </c>
      <c r="D137" s="71" t="n">
        <f aca="false">IF(D7&gt;0,D16/D7,"N/M")</f>
        <v>0.054488932385366</v>
      </c>
      <c r="E137" s="71" t="n">
        <f aca="false">IF(E7&gt;0,E16/E7,"N/M")</f>
        <v>0.0538515901060071</v>
      </c>
      <c r="F137" s="71" t="n">
        <f aca="false">IF(F7&gt;0,F16/F7,"N/M")</f>
        <v>0.0466029361556845</v>
      </c>
      <c r="G137" s="71" t="n">
        <f aca="false">IF(G7&gt;0,G16/G7,"N/M")</f>
        <v>0.0444516314503378</v>
      </c>
      <c r="H137" s="71" t="n">
        <f aca="false">IF(H7&gt;0,H16/H7,"N/M")</f>
        <v>0.0431595250387197</v>
      </c>
      <c r="I137" s="71" t="n">
        <f aca="false">IF(I7&gt;0,I16/I7,"N/M")</f>
        <v>0.0401529078759228</v>
      </c>
      <c r="J137" s="71" t="n">
        <f aca="false">IF(J7&gt;0,J16/J7,"N/M")</f>
        <v>0.0432603460827687</v>
      </c>
      <c r="K137" s="62" t="n">
        <f aca="false">IF(COUNT(D137:J137)=0,"N/M",AVERAGE(D137:J137))</f>
        <v>0.0465668384421152</v>
      </c>
      <c r="L137" s="62" t="n">
        <f aca="false">IF(COUNT(D137,J137)=2,J137-D137,"-")</f>
        <v>-0.0112285863025973</v>
      </c>
    </row>
    <row r="138" customFormat="false" ht="15" hidden="false" customHeight="false" outlineLevel="0" collapsed="false">
      <c r="A138" s="16" t="s">
        <v>733</v>
      </c>
      <c r="B138" s="87" t="s">
        <v>734</v>
      </c>
      <c r="C138" s="17" t="s">
        <v>615</v>
      </c>
      <c r="D138" s="71" t="n">
        <f aca="false">IF(D7&gt;0,D17/D7,"N/M")</f>
        <v>0.0215595406004433</v>
      </c>
      <c r="E138" s="71" t="n">
        <f aca="false">IF(E7&gt;0,E17/E7,"N/M")</f>
        <v>0.0194581861012956</v>
      </c>
      <c r="F138" s="71" t="n">
        <f aca="false">IF(F7&gt;0,F17/F7,"N/M")</f>
        <v>0.0167292591328098</v>
      </c>
      <c r="G138" s="71" t="n">
        <f aca="false">IF(G7&gt;0,G17/G7,"N/M")</f>
        <v>0.0168535288198936</v>
      </c>
      <c r="H138" s="71" t="n">
        <f aca="false">IF(H7&gt;0,H17/H7,"N/M")</f>
        <v>0.0188951987609706</v>
      </c>
      <c r="I138" s="71" t="n">
        <f aca="false">IF(I7&gt;0,I17/I7,"N/M")</f>
        <v>0.0151157022381744</v>
      </c>
      <c r="J138" s="71" t="n">
        <f aca="false">IF(J7&gt;0,J17/J7,"N/M")</f>
        <v>0.0158481267850143</v>
      </c>
      <c r="K138" s="62" t="n">
        <f aca="false">IF(COUNT(D138:J138)=0,"N/M",AVERAGE(D138:J138))</f>
        <v>0.017779934634086</v>
      </c>
      <c r="L138" s="62" t="n">
        <f aca="false">IF(COUNT(D138,J138)=2,J138-D138,"-")</f>
        <v>-0.005711413815429</v>
      </c>
    </row>
    <row r="139" customFormat="false" ht="15" hidden="false" customHeight="false" outlineLevel="0" collapsed="false">
      <c r="A139" s="16" t="s">
        <v>735</v>
      </c>
      <c r="B139" s="87" t="s">
        <v>736</v>
      </c>
      <c r="C139" s="17" t="s">
        <v>615</v>
      </c>
      <c r="D139" s="71" t="n">
        <f aca="false">IF(D7&gt;0,D25/D7,"N/M")</f>
        <v>0.021271696266659</v>
      </c>
      <c r="E139" s="71" t="n">
        <f aca="false">IF(E7&gt;0,E25/E7,"N/M")</f>
        <v>0.0357597173144876</v>
      </c>
      <c r="F139" s="71" t="n">
        <f aca="false">IF(F7&gt;0,F25/F7,"N/M")</f>
        <v>0.0227893479003073</v>
      </c>
      <c r="G139" s="71" t="n">
        <f aca="false">IF(G7&gt;0,G25/G7,"N/M")</f>
        <v>0.0171410090556274</v>
      </c>
      <c r="H139" s="71" t="n">
        <f aca="false">IF(H7&gt;0,H25/H7,"N/M")</f>
        <v>0.00891412837721563</v>
      </c>
      <c r="I139" s="71" t="n">
        <f aca="false">IF(I7&gt;0,I25/I7,"N/M")</f>
        <v>0.0034433452974992</v>
      </c>
      <c r="J139" s="71" t="n">
        <f aca="false">IF(J7&gt;0,J25/J7,"N/M")</f>
        <v>0.000980007840062721</v>
      </c>
      <c r="K139" s="62" t="n">
        <f aca="false">IF(COUNT(D139:J139)=0,"N/M",AVERAGE(D139:J139))</f>
        <v>0.0157570360074084</v>
      </c>
      <c r="L139" s="62" t="n">
        <f aca="false">IF(COUNT(D139,J139)=2,J139-D139,"-")</f>
        <v>-0.0202916884265963</v>
      </c>
    </row>
    <row r="140" customFormat="false" ht="15" hidden="false" customHeight="false" outlineLevel="0" collapsed="false">
      <c r="A140" s="16" t="s">
        <v>737</v>
      </c>
      <c r="B140" s="87" t="s">
        <v>738</v>
      </c>
      <c r="C140" s="17" t="s">
        <v>615</v>
      </c>
      <c r="D140" s="71" t="n">
        <f aca="false">IF(D7&gt;0,D20/D7,"N/M")</f>
        <v>0.976713393396851</v>
      </c>
      <c r="E140" s="71" t="n">
        <f aca="false">IF(E7&gt;0,E20/E7,"N/M")</f>
        <v>0.975641931684334</v>
      </c>
      <c r="F140" s="71" t="n">
        <f aca="false">IF(F7&gt;0,F20/F7,"N/M")</f>
        <v>0.967181631956299</v>
      </c>
      <c r="G140" s="71" t="n">
        <f aca="false">IF(G7&gt;0,G20/G7,"N/M")</f>
        <v>0.962915049590341</v>
      </c>
      <c r="H140" s="71" t="n">
        <f aca="false">IF(H7&gt;0,H20/H7,"N/M")</f>
        <v>0.968680089485459</v>
      </c>
      <c r="I140" s="71" t="n">
        <f aca="false">IF(I7&gt;0,I20/I7,"N/M")</f>
        <v>0.974291633838163</v>
      </c>
      <c r="J140" s="71" t="n">
        <f aca="false">IF(J7&gt;0,J20/J7,"N/M")</f>
        <v>0.970963767710142</v>
      </c>
      <c r="K140" s="62" t="n">
        <f aca="false">IF(COUNT(D140:J140)=0,"N/M",AVERAGE(D140:J140))</f>
        <v>0.970912499665941</v>
      </c>
      <c r="L140" s="62" t="n">
        <f aca="false">IF(COUNT(D140,J140)=2,J140-D140,"-")</f>
        <v>-0.00574962568670911</v>
      </c>
    </row>
    <row r="141" customFormat="false" ht="16.5" hidden="false" customHeight="true" outlineLevel="0" collapsed="false">
      <c r="A141" s="88" t="s">
        <v>739</v>
      </c>
      <c r="B141" s="89"/>
      <c r="C141" s="89"/>
      <c r="D141" s="89"/>
      <c r="E141" s="89"/>
      <c r="F141" s="89"/>
      <c r="G141" s="89"/>
      <c r="H141" s="89"/>
      <c r="I141" s="89"/>
      <c r="J141" s="89"/>
      <c r="K141" s="89"/>
      <c r="L141" s="89"/>
    </row>
    <row r="142" customFormat="false" ht="15" hidden="false" customHeight="false" outlineLevel="0" collapsed="false">
      <c r="A142" s="16" t="s">
        <v>740</v>
      </c>
      <c r="B142" s="87" t="s">
        <v>741</v>
      </c>
      <c r="C142" s="17" t="s">
        <v>615</v>
      </c>
      <c r="D142" s="71" t="n">
        <f aca="false">IF(D49&gt;0,D30/D49,"N/M")</f>
        <v>0.0522907639125566</v>
      </c>
      <c r="E142" s="71" t="n">
        <f aca="false">IF(E49&gt;0,E30/E49,"N/M")</f>
        <v>0.000262743037309511</v>
      </c>
      <c r="F142" s="71" t="n">
        <f aca="false">IF(F49&gt;0,F30/F49,"N/M")</f>
        <v>0.0126780228986317</v>
      </c>
      <c r="G142" s="71" t="n">
        <f aca="false">IF(G49&gt;0,G30/G49,"N/M")</f>
        <v>0.0284635492303224</v>
      </c>
      <c r="H142" s="71" t="n">
        <f aca="false">IF(H49&gt;0,H30/H49,"N/M")</f>
        <v>0.0288481566340346</v>
      </c>
      <c r="I142" s="71" t="n">
        <f aca="false">IF(I49&gt;0,I30/I49,"N/M")</f>
        <v>0.0452058053771116</v>
      </c>
      <c r="J142" s="71" t="n">
        <f aca="false">IF(J49&gt;0,J30/J49,"N/M")</f>
        <v>0.0587803085966201</v>
      </c>
      <c r="K142" s="62" t="n">
        <f aca="false">IF(COUNT(D142:J142)=0,"N/M",AVERAGE(D142:J142))</f>
        <v>0.0323613356695124</v>
      </c>
      <c r="L142" s="62" t="n">
        <f aca="false">IF(COUNT(D142,J142)=2,J142-D142,"-")</f>
        <v>0.00648954468406353</v>
      </c>
    </row>
    <row r="143" customFormat="false" ht="15" hidden="false" customHeight="false" outlineLevel="0" collapsed="false">
      <c r="A143" s="16" t="s">
        <v>742</v>
      </c>
      <c r="B143" s="87" t="s">
        <v>743</v>
      </c>
      <c r="C143" s="17" t="s">
        <v>615</v>
      </c>
      <c r="D143" s="71" t="n">
        <f aca="false">IF(D49&gt;0,(D30+D25*(1-D77))/D49,"N/M")</f>
        <v>0.0823818739681105</v>
      </c>
      <c r="E143" s="71" t="n">
        <f aca="false">IF(E49&gt;0,(E30+E25*(1-E77))/E49,"N/M")</f>
        <v>0.0262099337887546</v>
      </c>
      <c r="F143" s="71" t="n">
        <f aca="false">IF(F49&gt;0,(F30+F25*(1-F77))/F49,"N/M")</f>
        <v>0.0425020943870427</v>
      </c>
      <c r="G143" s="71" t="n">
        <f aca="false">IF(G49&gt;0,(G30+G25*(1-G77))/G49,"N/M")</f>
        <v>0.0561719430729016</v>
      </c>
      <c r="H143" s="71" t="n">
        <f aca="false">IF(H49&gt;0,(H30+H25*(1-H77))/H49,"N/M")</f>
        <v>0.0420025097470891</v>
      </c>
      <c r="I143" s="71" t="n">
        <f aca="false">IF(I49&gt;0,(I30+I25*(1-I77))/I49,"N/M")</f>
        <v>0.0521696956386464</v>
      </c>
      <c r="J143" s="71" t="n">
        <f aca="false">IF(J49&gt;0,(J30+J25*(1-J77))/J49,"N/M")</f>
        <v>0.0607736817962297</v>
      </c>
      <c r="K143" s="62" t="n">
        <f aca="false">IF(COUNT(D143:J143)=0,"N/M",AVERAGE(D143:J143))</f>
        <v>0.0517445331998249</v>
      </c>
      <c r="L143" s="62" t="n">
        <f aca="false">IF(COUNT(D143,J143)=2,J143-D143,"-")</f>
        <v>-0.0216081921718808</v>
      </c>
    </row>
    <row r="144" customFormat="false" ht="15" hidden="false" customHeight="false" outlineLevel="0" collapsed="false">
      <c r="A144" s="16" t="s">
        <v>744</v>
      </c>
      <c r="B144" s="87" t="s">
        <v>745</v>
      </c>
      <c r="C144" s="17" t="s">
        <v>615</v>
      </c>
      <c r="D144" s="71" t="n">
        <f aca="false">IF(D49&gt;0,D23/D49,"N/M")</f>
        <v>0.0203515263644775</v>
      </c>
      <c r="E144" s="71" t="n">
        <f aca="false">IF(E49&gt;0,E23/E49,"N/M")</f>
        <v>0.0148187073042565</v>
      </c>
      <c r="F144" s="71" t="n">
        <f aca="false">IF(F49&gt;0,F23/F49,"N/M")</f>
        <v>0.0282602624965092</v>
      </c>
      <c r="G144" s="71" t="n">
        <f aca="false">IF(G49&gt;0,G23/G49,"N/M")</f>
        <v>0.0429857682253845</v>
      </c>
      <c r="H144" s="71" t="n">
        <f aca="false">IF(H49&gt;0,H23/H49,"N/M")</f>
        <v>0.0328056654863571</v>
      </c>
      <c r="I144" s="71" t="n">
        <f aca="false">IF(I49&gt;0,I23/I49,"N/M")</f>
        <v>0.0368784201760647</v>
      </c>
      <c r="J144" s="71" t="n">
        <f aca="false">IF(J49&gt;0,J23/J49,"N/M")</f>
        <v>0.0478814597109965</v>
      </c>
      <c r="K144" s="62" t="n">
        <f aca="false">IF(COUNT(D144:J144)=0,"N/M",AVERAGE(D144:J144))</f>
        <v>0.0319974013948637</v>
      </c>
      <c r="L144" s="62" t="n">
        <f aca="false">IF(COUNT(D144,J144)=2,J144-D144,"-")</f>
        <v>0.027529933346519</v>
      </c>
    </row>
    <row r="145" customFormat="false" ht="15" hidden="false" customHeight="false" outlineLevel="0" collapsed="false">
      <c r="A145" s="16" t="s">
        <v>746</v>
      </c>
      <c r="B145" s="87" t="s">
        <v>747</v>
      </c>
      <c r="C145" s="17" t="s">
        <v>615</v>
      </c>
      <c r="D145" s="71" t="n">
        <f aca="false">IF(D90&gt;0,D23/D90,"N/M")</f>
        <v>0.0232545201668986</v>
      </c>
      <c r="E145" s="71" t="n">
        <f aca="false">IF(E90&gt;0,E23/E90,"N/M")</f>
        <v>0.0158124929909163</v>
      </c>
      <c r="F145" s="71" t="n">
        <f aca="false">IF(F90&gt;0,F23/F90,"N/M")</f>
        <v>0.030622125393367</v>
      </c>
      <c r="G145" s="71" t="n">
        <f aca="false">IF(G90&gt;0,G23/G90,"N/M")</f>
        <v>0.0496811010406172</v>
      </c>
      <c r="H145" s="71" t="n">
        <f aca="false">IF(H90&gt;0,H23/H90,"N/M")</f>
        <v>0.043917741373301</v>
      </c>
      <c r="I145" s="71" t="n">
        <f aca="false">IF(I90&gt;0,I23/I90,"N/M")</f>
        <v>0.0460179618496252</v>
      </c>
      <c r="J145" s="71" t="n">
        <f aca="false">IF(J90&gt;0,J23/J90,"N/M")</f>
        <v>0.0602558175373705</v>
      </c>
      <c r="K145" s="62" t="n">
        <f aca="false">IF(COUNT(D145:J145)=0,"N/M",AVERAGE(D145:J145))</f>
        <v>0.0385088229074423</v>
      </c>
      <c r="L145" s="62" t="n">
        <f aca="false">IF(COUNT(D145,J145)=2,J145-D145,"-")</f>
        <v>0.0370012973704719</v>
      </c>
    </row>
    <row r="146" customFormat="false" ht="15" hidden="false" customHeight="false" outlineLevel="0" collapsed="false">
      <c r="A146" s="16" t="s">
        <v>748</v>
      </c>
      <c r="B146" s="87" t="s">
        <v>749</v>
      </c>
      <c r="C146" s="17" t="s">
        <v>615</v>
      </c>
      <c r="D146" s="71" t="n">
        <f aca="false">IF(D90&gt;0,D23*(1-D77)/D90,"N/M")</f>
        <v>0.0194482464061436</v>
      </c>
      <c r="E146" s="71" t="n">
        <f aca="false">IF(E90&gt;0,E23*(1-E77)/E90,"N/M")</f>
        <v>0.0102869754401705</v>
      </c>
      <c r="F146" s="71" t="n">
        <f aca="false">IF(F90&gt;0,F23*(1-F77)/F90,"N/M")</f>
        <v>0.030622125393367</v>
      </c>
      <c r="G146" s="71" t="n">
        <f aca="false">IF(G90&gt;0,G23*(1-G77)/G90,"N/M")</f>
        <v>0.0496811010406172</v>
      </c>
      <c r="H146" s="71" t="n">
        <f aca="false">IF(H90&gt;0,H23*(1-H77)/H90,"N/M")</f>
        <v>0.0428352618324097</v>
      </c>
      <c r="I146" s="71" t="n">
        <f aca="false">IF(I90&gt;0,I23*(1-I77)/I90,"N/M")</f>
        <v>0.0456579777934352</v>
      </c>
      <c r="J146" s="71" t="n">
        <f aca="false">IF(J90&gt;0,J23*(1-J77)/J90,"N/M")</f>
        <v>0.0560478457985823</v>
      </c>
      <c r="K146" s="62" t="n">
        <f aca="false">IF(COUNT(D146:J146)=0,"N/M",AVERAGE(D146:J146))</f>
        <v>0.0363685048149608</v>
      </c>
      <c r="L146" s="62" t="n">
        <f aca="false">IF(COUNT(D146,J146)=2,J146-D146,"-")</f>
        <v>0.0365995993924387</v>
      </c>
    </row>
    <row r="147" customFormat="false" ht="15" hidden="false" customHeight="false" outlineLevel="0" collapsed="false">
      <c r="A147" s="16" t="s">
        <v>750</v>
      </c>
      <c r="B147" s="87" t="s">
        <v>751</v>
      </c>
      <c r="C147" s="17" t="s">
        <v>615</v>
      </c>
      <c r="D147" s="71" t="n">
        <f aca="false">IF(D40&gt;0,D30/D40,"N/M")</f>
        <v>0.0902293539443838</v>
      </c>
      <c r="E147" s="71" t="n">
        <f aca="false">IF(E40&gt;0,E30/E40,"N/M")</f>
        <v>0.000428742925741725</v>
      </c>
      <c r="F147" s="71" t="n">
        <f aca="false">IF(F40&gt;0,F30/F40,"N/M")</f>
        <v>0.0193586900903974</v>
      </c>
      <c r="G147" s="71" t="n">
        <f aca="false">IF(G40&gt;0,G30/G40,"N/M")</f>
        <v>0.0416348032967967</v>
      </c>
      <c r="H147" s="71" t="n">
        <f aca="false">IF(H40&gt;0,H30/H40,"N/M")</f>
        <v>0.0464258778178161</v>
      </c>
      <c r="I147" s="71" t="n">
        <f aca="false">IF(I40&gt;0,I30/I40,"N/M")</f>
        <v>0.062469176393227</v>
      </c>
      <c r="J147" s="71" t="n">
        <f aca="false">IF(J40&gt;0,J30/J40,"N/M")</f>
        <v>0.077720207253886</v>
      </c>
      <c r="K147" s="62" t="n">
        <f aca="false">IF(COUNT(D147:J147)=0,"N/M",AVERAGE(D147:J147))</f>
        <v>0.0483238359603213</v>
      </c>
      <c r="L147" s="62" t="n">
        <f aca="false">IF(COUNT(D147,J147)=2,J147-D147,"-")</f>
        <v>-0.0125091466904978</v>
      </c>
    </row>
    <row r="148" customFormat="false" ht="15" hidden="false" customHeight="false" outlineLevel="0" collapsed="false">
      <c r="A148" s="16" t="s">
        <v>752</v>
      </c>
      <c r="B148" s="87" t="s">
        <v>753</v>
      </c>
      <c r="C148" s="17" t="s">
        <v>615</v>
      </c>
      <c r="D148" s="71" t="n">
        <f aca="false">IF(D39&gt;0,(D30-D32)/D39,"N/M")</f>
        <v>0.0902293539443838</v>
      </c>
      <c r="E148" s="71" t="n">
        <f aca="false">IF(E39&gt;0,(E30-E32)/E39,"N/M")</f>
        <v>0.000428742925741725</v>
      </c>
      <c r="F148" s="71" t="n">
        <f aca="false">IF(F39&gt;0,(F30-F32)/F39,"N/M")</f>
        <v>0.0193586900903974</v>
      </c>
      <c r="G148" s="71" t="n">
        <f aca="false">IF(G39&gt;0,(G30-G32)/G39,"N/M")</f>
        <v>0.0416348032967967</v>
      </c>
      <c r="H148" s="71" t="n">
        <f aca="false">IF(H39&gt;0,(H30-H32)/H39,"N/M")</f>
        <v>0.0464258778178161</v>
      </c>
      <c r="I148" s="71" t="n">
        <f aca="false">IF(I39&gt;0,(I30-I32)/I39,"N/M")</f>
        <v>0.062469176393227</v>
      </c>
      <c r="J148" s="71" t="n">
        <f aca="false">IF(J39&gt;0,(J30-J32)/J39,"N/M")</f>
        <v>0.077720207253886</v>
      </c>
      <c r="K148" s="62" t="n">
        <f aca="false">IF(COUNT(D148:J148)=0,"N/M",AVERAGE(D148:J148))</f>
        <v>0.0483238359603213</v>
      </c>
      <c r="L148" s="62" t="n">
        <f aca="false">IF(COUNT(D148,J148)=2,J148-D148,"-")</f>
        <v>-0.0125091466904978</v>
      </c>
    </row>
    <row r="149" customFormat="false" ht="16.5" hidden="false" customHeight="true" outlineLevel="0" collapsed="false">
      <c r="A149" s="88" t="s">
        <v>754</v>
      </c>
      <c r="B149" s="89"/>
      <c r="C149" s="89"/>
      <c r="D149" s="89"/>
      <c r="E149" s="89"/>
      <c r="F149" s="89"/>
      <c r="G149" s="89"/>
      <c r="H149" s="89"/>
      <c r="I149" s="89"/>
      <c r="J149" s="89"/>
      <c r="K149" s="89"/>
      <c r="L149" s="89"/>
    </row>
    <row r="150" customFormat="false" ht="15" hidden="false" customHeight="false" outlineLevel="0" collapsed="false">
      <c r="A150" s="16" t="s">
        <v>755</v>
      </c>
      <c r="B150" s="87" t="s">
        <v>756</v>
      </c>
      <c r="C150" s="17" t="s">
        <v>757</v>
      </c>
      <c r="D150" s="93" t="n">
        <f aca="false">IF(D81&gt;0,(D30-D32)/D81,"N/M")</f>
        <v>1.51267605633803</v>
      </c>
      <c r="E150" s="93" t="n">
        <f aca="false">IF(E81&gt;0,(E30-E32)/E81,"N/M")</f>
        <v>0.00701262272089762</v>
      </c>
      <c r="F150" s="93" t="n">
        <f aca="false">IF(F81&gt;0,(F30-F32)/F81,"N/M")</f>
        <v>0.318373071528752</v>
      </c>
      <c r="G150" s="93" t="n">
        <f aca="false">IF(G81&gt;0,(G30-G32)/G81,"N/M")</f>
        <v>0.704022988505747</v>
      </c>
      <c r="H150" s="93" t="n">
        <f aca="false">IF(H81&gt;0,(H30-H32)/H81,"N/M")</f>
        <v>0.795977011494253</v>
      </c>
      <c r="I150" s="93" t="n">
        <f aca="false">IF(I81&gt;0,(I30-I32)/I81,"N/M")</f>
        <v>1.09195402298851</v>
      </c>
      <c r="J150" s="93" t="n">
        <f aca="false">IF(J81&gt;0,(J30-J32)/J81,"N/M")</f>
        <v>1.37931034482759</v>
      </c>
      <c r="K150" s="66" t="n">
        <f aca="false">IF(COUNT(D150:J150)=0,"N/M",AVERAGE(D150:J150))</f>
        <v>0.829903731200539</v>
      </c>
      <c r="L150" s="66" t="n">
        <f aca="false">IF(COUNT(D150,J150)=2,J150-D150,"-")</f>
        <v>-0.133365711510442</v>
      </c>
    </row>
    <row r="151" customFormat="false" ht="15" hidden="false" customHeight="false" outlineLevel="0" collapsed="false">
      <c r="A151" s="16" t="s">
        <v>759</v>
      </c>
      <c r="B151" s="87" t="s">
        <v>760</v>
      </c>
      <c r="C151" s="17" t="s">
        <v>757</v>
      </c>
      <c r="D151" s="93" t="n">
        <f aca="false">IF(D81&gt;0,(D30+D22)/D81,"N/M")</f>
        <v>2.06338028169014</v>
      </c>
      <c r="E151" s="93" t="n">
        <f aca="false">IF(E81&gt;0,(E30+E22)/E81,"N/M")</f>
        <v>0.336605890603086</v>
      </c>
      <c r="F151" s="93" t="n">
        <f aca="false">IF(F81&gt;0,(F30+F22)/F81,"N/M")</f>
        <v>0.687237026647966</v>
      </c>
      <c r="G151" s="93" t="n">
        <f aca="false">IF(G81&gt;0,(G30+G22)/G81,"N/M")</f>
        <v>1.1235632183908</v>
      </c>
      <c r="H151" s="93" t="n">
        <f aca="false">IF(H81&gt;0,(H30+H22)/H81,"N/M")</f>
        <v>1.19827586206897</v>
      </c>
      <c r="I151" s="93" t="n">
        <f aca="false">IF(I81&gt;0,(I30+I22)/I81,"N/M")</f>
        <v>1.46695402298851</v>
      </c>
      <c r="J151" s="93" t="n">
        <f aca="false">IF(J81&gt;0,(J30+J22)/J81,"N/M")</f>
        <v>1.74568965517241</v>
      </c>
      <c r="K151" s="66" t="n">
        <f aca="false">IF(COUNT(D151:J151)=0,"N/M",AVERAGE(D151:J151))</f>
        <v>1.2316722796517</v>
      </c>
      <c r="L151" s="66" t="n">
        <f aca="false">IF(COUNT(D151,J151)=2,J151-D151,"-")</f>
        <v>-0.317690626517727</v>
      </c>
    </row>
    <row r="152" customFormat="false" ht="15" hidden="false" customHeight="false" outlineLevel="0" collapsed="false">
      <c r="A152" s="16" t="s">
        <v>761</v>
      </c>
      <c r="B152" s="87" t="s">
        <v>762</v>
      </c>
      <c r="C152" s="17" t="s">
        <v>757</v>
      </c>
      <c r="D152" s="93" t="n">
        <f aca="false">IF(D81&gt;0,D39/D81,"N/M")</f>
        <v>16.7647887323944</v>
      </c>
      <c r="E152" s="93" t="n">
        <f aca="false">IF(E81&gt;0,E39/E81,"N/M")</f>
        <v>16.3562412342216</v>
      </c>
      <c r="F152" s="93" t="n">
        <f aca="false">IF(F81&gt;0,F39/F81,"N/M")</f>
        <v>16.4460028050491</v>
      </c>
      <c r="G152" s="93" t="n">
        <f aca="false">IF(G81&gt;0,G39/G81,"N/M")</f>
        <v>16.9094827586207</v>
      </c>
      <c r="H152" s="93" t="n">
        <f aca="false">IF(H81&gt;0,H39/H81,"N/M")</f>
        <v>17.1451149425287</v>
      </c>
      <c r="I152" s="93" t="n">
        <f aca="false">IF(I81&gt;0,I39/I81,"N/M")</f>
        <v>17.4798850574713</v>
      </c>
      <c r="J152" s="93" t="n">
        <f aca="false">IF(J81&gt;0,J39/J81,"N/M")</f>
        <v>17.7471264367816</v>
      </c>
      <c r="K152" s="66" t="n">
        <f aca="false">IF(COUNT(D152:J152)=0,"N/M",AVERAGE(D152:J152))</f>
        <v>16.9783774238668</v>
      </c>
      <c r="L152" s="66" t="n">
        <f aca="false">IF(COUNT(D152,J152)=2,J152-D152,"-")</f>
        <v>0.982337704387241</v>
      </c>
    </row>
    <row r="153" customFormat="false" ht="15" hidden="false" customHeight="false" outlineLevel="0" collapsed="false">
      <c r="A153" s="16" t="s">
        <v>763</v>
      </c>
      <c r="B153" s="87" t="s">
        <v>764</v>
      </c>
      <c r="C153" s="17" t="s">
        <v>757</v>
      </c>
      <c r="D153" s="93" t="n">
        <f aca="false">IF(D81&gt;0,D31/D81,"N/M")</f>
        <v>0.023943661971831</v>
      </c>
      <c r="E153" s="93" t="n">
        <f aca="false">IF(E81&gt;0,E31/E81,"N/M")</f>
        <v>0.0364656381486676</v>
      </c>
      <c r="F153" s="93" t="n">
        <f aca="false">IF(F81&gt;0,F31/F81,"N/M")</f>
        <v>0.0504908835904628</v>
      </c>
      <c r="G153" s="93" t="n">
        <f aca="false">IF(G81&gt;0,G31/G81,"N/M")</f>
        <v>0.0933908045977012</v>
      </c>
      <c r="H153" s="93" t="n">
        <f aca="false">IF(H81&gt;0,H31/H81,"N/M")</f>
        <v>0.0933908045977012</v>
      </c>
      <c r="I153" s="93" t="n">
        <f aca="false">IF(I81&gt;0,I31/I81,"N/M")</f>
        <v>0.300287356321839</v>
      </c>
      <c r="J153" s="93" t="n">
        <f aca="false">IF(J81&gt;0,J31/J81,"N/M")</f>
        <v>0.199712643678161</v>
      </c>
      <c r="K153" s="66" t="n">
        <f aca="false">IF(COUNT(D153:J153)=0,"N/M",AVERAGE(D153:J153))</f>
        <v>0.113954541843766</v>
      </c>
      <c r="L153" s="66" t="n">
        <f aca="false">IF(COUNT(D153,J153)=2,J153-D153,"-")</f>
        <v>0.17576898170633</v>
      </c>
    </row>
    <row r="154" customFormat="false" ht="15" hidden="false" customHeight="false" outlineLevel="0" collapsed="false">
      <c r="A154" s="16" t="s">
        <v>765</v>
      </c>
      <c r="B154" s="87" t="s">
        <v>812</v>
      </c>
      <c r="C154" s="17" t="s">
        <v>615</v>
      </c>
      <c r="D154" s="71" t="n">
        <f aca="false">IF(D31=0,0,IF(D150&gt;0,D153/D150,"N/M"))</f>
        <v>0.015828677839851</v>
      </c>
      <c r="E154" s="71" t="n">
        <f aca="false">IF(E31=0,0,IF(E150&gt;0,E153/E150,"N/M"))</f>
        <v>5.2</v>
      </c>
      <c r="F154" s="71" t="n">
        <f aca="false">IF(F31=0,0,IF(F150&gt;0,F153/F150,"N/M"))</f>
        <v>0.158590308370044</v>
      </c>
      <c r="G154" s="71" t="n">
        <f aca="false">IF(G31=0,0,IF(G150&gt;0,G153/G150,"N/M"))</f>
        <v>0.13265306122449</v>
      </c>
      <c r="H154" s="71" t="n">
        <f aca="false">IF(H31=0,0,IF(H150&gt;0,H153/H150,"N/M"))</f>
        <v>0.117328519855596</v>
      </c>
      <c r="I154" s="71" t="n">
        <f aca="false">IF(I31=0,0,IF(I150&gt;0,I153/I150,"N/M"))</f>
        <v>0.275</v>
      </c>
      <c r="J154" s="71" t="n">
        <f aca="false">IF(J31=0,0,IF(J150&gt;0,J153/J150,"N/M"))</f>
        <v>0.144791666666667</v>
      </c>
      <c r="K154" s="62" t="n">
        <f aca="false">IF(COUNT(D154:J154)=0,"N/M",AVERAGE(D154:J154))</f>
        <v>0.863456033422378</v>
      </c>
      <c r="L154" s="62" t="n">
        <f aca="false">IF(COUNT(D154,J154)=2,J154-D154,"-")</f>
        <v>0.128962988826816</v>
      </c>
    </row>
    <row r="155" customFormat="false" ht="15" hidden="false" customHeight="false" outlineLevel="0" collapsed="false">
      <c r="A155" s="16" t="s">
        <v>767</v>
      </c>
      <c r="B155" s="87" t="s">
        <v>768</v>
      </c>
      <c r="C155" s="17" t="s">
        <v>615</v>
      </c>
      <c r="D155" s="71" t="n">
        <f aca="false">IF(ISNUMBER(D154),1-D154,"N/M")</f>
        <v>0.984171322160149</v>
      </c>
      <c r="E155" s="71" t="n">
        <f aca="false">IF(ISNUMBER(E154),1-E154,"N/M")</f>
        <v>-4.2</v>
      </c>
      <c r="F155" s="71" t="n">
        <f aca="false">IF(ISNUMBER(F154),1-F154,"N/M")</f>
        <v>0.841409691629956</v>
      </c>
      <c r="G155" s="71" t="n">
        <f aca="false">IF(ISNUMBER(G154),1-G154,"N/M")</f>
        <v>0.86734693877551</v>
      </c>
      <c r="H155" s="71" t="n">
        <f aca="false">IF(ISNUMBER(H154),1-H154,"N/M")</f>
        <v>0.882671480144404</v>
      </c>
      <c r="I155" s="71" t="n">
        <f aca="false">IF(ISNUMBER(I154),1-I154,"N/M")</f>
        <v>0.725</v>
      </c>
      <c r="J155" s="71" t="n">
        <f aca="false">IF(ISNUMBER(J154),1-J154,"N/M")</f>
        <v>0.855208333333333</v>
      </c>
      <c r="K155" s="62" t="n">
        <f aca="false">IF(COUNT(D155:J155)=0,"N/M",AVERAGE(D155:J155))</f>
        <v>0.136543966577622</v>
      </c>
      <c r="L155" s="62" t="n">
        <f aca="false">IF(COUNT(D155,J155)=2,J155-D155,"-")</f>
        <v>-0.128962988826816</v>
      </c>
    </row>
    <row r="156" customFormat="false" ht="15" hidden="false" customHeight="false" outlineLevel="0" collapsed="false">
      <c r="A156" s="16" t="s">
        <v>769</v>
      </c>
      <c r="B156" s="87" t="s">
        <v>813</v>
      </c>
      <c r="C156" s="17" t="s">
        <v>615</v>
      </c>
      <c r="D156" s="71" t="n">
        <f aca="false">IF(D84=0,"N/C",IF(D80&gt;0,D150/D80,"N/M"))</f>
        <v>0.319129969691567</v>
      </c>
      <c r="E156" s="71" t="n">
        <f aca="false">IF(E84=0,"N/C",IF(E80&gt;0,E150/E80,"N/M"))</f>
        <v>0.000740509263030371</v>
      </c>
      <c r="F156" s="71" t="n">
        <f aca="false">IF(F84=0,"N/C",IF(F80&gt;0,F150/F80,"N/M"))</f>
        <v>0.0251281035145029</v>
      </c>
      <c r="G156" s="71" t="n">
        <f aca="false">IF(G84=0,"N/C",IF(G80&gt;0,G150/G80,"N/M"))</f>
        <v>0.0651873137505322</v>
      </c>
      <c r="H156" s="71" t="n">
        <f aca="false">IF(H84=0,"N/C",IF(H80&gt;0,H150/H80,"N/M"))</f>
        <v>0.0404254449717752</v>
      </c>
      <c r="I156" s="71" t="n">
        <f aca="false">IF(I84=0,"N/C",IF(I80&gt;0,I150/I80,"N/M"))</f>
        <v>0.0817330855530319</v>
      </c>
      <c r="J156" s="71" t="n">
        <f aca="false">IF(J84=0,"N/C",IF(J80&gt;0,J150/J80,"N/M"))</f>
        <v>0.166986724555398</v>
      </c>
      <c r="K156" s="62" t="n">
        <f aca="false">IF(COUNT(D156:J156)=0,"N/M",AVERAGE(D156:J156))</f>
        <v>0.0999044501856911</v>
      </c>
      <c r="L156" s="62" t="n">
        <f aca="false">IF(COUNT(D156,J156)=2,J156-D156,"-")</f>
        <v>-0.152143245136169</v>
      </c>
    </row>
    <row r="157" customFormat="false" ht="15" hidden="false" customHeight="false" outlineLevel="0" collapsed="false">
      <c r="A157" s="16" t="s">
        <v>771</v>
      </c>
      <c r="B157" s="87" t="s">
        <v>814</v>
      </c>
      <c r="C157" s="17" t="s">
        <v>615</v>
      </c>
      <c r="D157" s="71" t="n">
        <f aca="false">IF(D84=0,"N/C",IF(D80&gt;0,D153/D80,"N/M"))</f>
        <v>0.00505140547928924</v>
      </c>
      <c r="E157" s="71" t="n">
        <f aca="false">IF(E84=0,"N/C",IF(E80&gt;0,E153/E80,"N/M"))</f>
        <v>0.00385064816775793</v>
      </c>
      <c r="F157" s="71" t="n">
        <f aca="false">IF(F84=0,"N/C",IF(F80&gt;0,F153/F80,"N/M"))</f>
        <v>0.0039850736851194</v>
      </c>
      <c r="G157" s="71" t="n">
        <f aca="false">IF(G84=0,"N/C",IF(G80&gt;0,G153/G80,"N/M"))</f>
        <v>0.00864729672200936</v>
      </c>
      <c r="H157" s="71" t="n">
        <f aca="false">IF(H84=0,"N/C",IF(H80&gt;0,H153/H80,"N/M"))</f>
        <v>0.00474305762304221</v>
      </c>
      <c r="I157" s="71" t="n">
        <f aca="false">IF(I84=0,"N/C",IF(I80&gt;0,I153/I80,"N/M"))</f>
        <v>0.0224765985270838</v>
      </c>
      <c r="J157" s="71" t="n">
        <f aca="false">IF(J84=0,"N/C",IF(J80&gt;0,J153/J80,"N/M"))</f>
        <v>0.0241782861595836</v>
      </c>
      <c r="K157" s="62" t="n">
        <f aca="false">IF(COUNT(D157:J157)=0,"N/M",AVERAGE(D157:J157))</f>
        <v>0.0104189094805551</v>
      </c>
      <c r="L157" s="62" t="n">
        <f aca="false">IF(COUNT(D157,J157)=2,J157-D157,"-")</f>
        <v>0.0191268806802944</v>
      </c>
    </row>
    <row r="158" customFormat="false" ht="15" hidden="false" customHeight="false" outlineLevel="0" collapsed="false">
      <c r="A158" s="16" t="s">
        <v>773</v>
      </c>
      <c r="B158" s="87" t="s">
        <v>815</v>
      </c>
      <c r="C158" s="17" t="s">
        <v>115</v>
      </c>
      <c r="D158" s="73" t="n">
        <f aca="false">IF(D84=0,"N/C",IF(D150&gt;0,D80/D150,"N/M"))</f>
        <v>3.13351955307263</v>
      </c>
      <c r="E158" s="73" t="n">
        <f aca="false">IF(E84=0,"N/C",IF(E150&gt;0,E80/E150,"N/M"))</f>
        <v>1350.422</v>
      </c>
      <c r="F158" s="73" t="n">
        <f aca="false">IF(F84=0,"N/C",IF(F150&gt;0,F80/F150,"N/M"))</f>
        <v>39.7960792951542</v>
      </c>
      <c r="G158" s="73" t="n">
        <f aca="false">IF(G84=0,"N/C",IF(G150&gt;0,G80/G150,"N/M"))</f>
        <v>15.3404081632653</v>
      </c>
      <c r="H158" s="73" t="n">
        <f aca="false">IF(H84=0,"N/C",IF(H150&gt;0,H80/H150,"N/M"))</f>
        <v>24.7368953068592</v>
      </c>
      <c r="I158" s="73" t="n">
        <f aca="false">IF(I84=0,"N/C",IF(I150&gt;0,I80/I150,"N/M"))</f>
        <v>12.2349473684211</v>
      </c>
      <c r="J158" s="73" t="n">
        <f aca="false">IF(J84=0,"N/C",IF(J150&gt;0,J80/J150,"N/M"))</f>
        <v>5.9885</v>
      </c>
      <c r="K158" s="60" t="n">
        <f aca="false">IF(COUNT(D158:J158)=0,"N/M",AVERAGE(D158:J158))</f>
        <v>207.37890709811</v>
      </c>
      <c r="L158" s="60" t="n">
        <f aca="false">IF(COUNT(D158,J158)=2,J158-D158,"-")</f>
        <v>2.85498044692738</v>
      </c>
    </row>
    <row r="159" customFormat="false" ht="15" hidden="false" customHeight="false" outlineLevel="0" collapsed="false">
      <c r="A159" s="16" t="s">
        <v>775</v>
      </c>
      <c r="B159" s="87" t="s">
        <v>816</v>
      </c>
      <c r="C159" s="17" t="s">
        <v>115</v>
      </c>
      <c r="D159" s="73" t="n">
        <f aca="false">IF(D84=0,"N/C",IF(D152&gt;0,D80/D152,"N/M"))</f>
        <v>0.282735444845837</v>
      </c>
      <c r="E159" s="73" t="n">
        <f aca="false">IF(E84=0,"N/C",IF(E152&gt;0,E80/E152,"N/M"))</f>
        <v>0.578983879265992</v>
      </c>
      <c r="F159" s="73" t="n">
        <f aca="false">IF(F84=0,"N/C",IF(F152&gt;0,F80/F152,"N/M"))</f>
        <v>0.770399965887771</v>
      </c>
      <c r="G159" s="73" t="n">
        <f aca="false">IF(G84=0,"N/C",IF(G152&gt;0,G80/G152,"N/M"))</f>
        <v>0.638694876370125</v>
      </c>
      <c r="H159" s="73" t="n">
        <f aca="false">IF(H84=0,"N/C",IF(H152&gt;0,H80/H152,"N/M"))</f>
        <v>1.14843207910835</v>
      </c>
      <c r="I159" s="73" t="n">
        <f aca="false">IF(I84=0,"N/C",IF(I152&gt;0,I80/I152,"N/M"))</f>
        <v>0.764307085319744</v>
      </c>
      <c r="J159" s="73" t="n">
        <f aca="false">IF(J84=0,"N/C",IF(J152&gt;0,J80/J152,"N/M"))</f>
        <v>0.465427461139896</v>
      </c>
      <c r="K159" s="60" t="n">
        <f aca="false">IF(COUNT(D159:J159)=0,"N/M",AVERAGE(D159:J159))</f>
        <v>0.66414011313396</v>
      </c>
      <c r="L159" s="60" t="n">
        <f aca="false">IF(COUNT(D159,J159)=2,J159-D159,"-")</f>
        <v>0.182692016294059</v>
      </c>
    </row>
    <row r="160" customFormat="false" ht="15" hidden="false" customHeight="false" outlineLevel="0" collapsed="false">
      <c r="A160" s="16" t="s">
        <v>777</v>
      </c>
      <c r="B160" s="87" t="s">
        <v>817</v>
      </c>
      <c r="C160" s="17" t="s">
        <v>115</v>
      </c>
      <c r="D160" s="73" t="n">
        <f aca="false">IF(D84=0,"N/C",IF(D21&gt;0,D83/D21,"N/M"))</f>
        <v>10.0746600741656</v>
      </c>
      <c r="E160" s="73" t="n">
        <f aca="false">IF(E84=0,"N/C",IF(E21&gt;0,E83/E21,"N/M"))</f>
        <v>20.5340618955512</v>
      </c>
      <c r="F160" s="73" t="n">
        <f aca="false">IF(F84=0,"N/C",IF(F21&gt;0,F83/F21,"N/M"))</f>
        <v>15.1686736020807</v>
      </c>
      <c r="G160" s="73" t="n">
        <f aca="false">IF(G84=0,"N/C",IF(G21&gt;0,G83/G21,"N/M"))</f>
        <v>7.97170542635664</v>
      </c>
      <c r="H160" s="73" t="n">
        <f aca="false">IF(H84=0,"N/C",IF(H21&gt;0,H83/H21,"N/M"))</f>
        <v>14.1552087912088</v>
      </c>
      <c r="I160" s="73" t="n">
        <f aca="false">IF(I84=0,"N/C",IF(I21&gt;0,I83/I21,"N/M"))</f>
        <v>8.79405221339387</v>
      </c>
      <c r="J160" s="73" t="n">
        <f aca="false">IF(J84=0,"N/C",IF(J21&gt;0,J83/J21,"N/M"))</f>
        <v>3.55058823529414</v>
      </c>
      <c r="K160" s="60" t="n">
        <f aca="false">IF(COUNT(D160:J160)=0,"N/M",AVERAGE(D160:J160))</f>
        <v>11.464135748293</v>
      </c>
      <c r="L160" s="60" t="n">
        <f aca="false">IF(COUNT(D160,J160)=2,J160-D160,"-")</f>
        <v>-6.52407183887146</v>
      </c>
    </row>
    <row r="162" customFormat="false" ht="19.5" hidden="false" customHeight="true" outlineLevel="0" collapsed="false">
      <c r="A162" s="85" t="s">
        <v>779</v>
      </c>
      <c r="B162" s="86"/>
      <c r="C162" s="86"/>
      <c r="D162" s="86"/>
      <c r="E162" s="86"/>
      <c r="F162" s="86"/>
      <c r="G162" s="86"/>
      <c r="H162" s="86"/>
      <c r="I162" s="86"/>
      <c r="J162" s="86"/>
      <c r="K162" s="86"/>
      <c r="L162" s="86"/>
    </row>
    <row r="163" customFormat="false" ht="16.5" hidden="false" customHeight="true" outlineLevel="0" collapsed="false">
      <c r="A163" s="88" t="s">
        <v>780</v>
      </c>
      <c r="B163" s="89"/>
      <c r="C163" s="89"/>
      <c r="D163" s="89"/>
      <c r="E163" s="89"/>
      <c r="F163" s="89"/>
      <c r="G163" s="89"/>
      <c r="H163" s="89"/>
      <c r="I163" s="89"/>
      <c r="J163" s="89"/>
      <c r="K163" s="89"/>
      <c r="L163" s="89"/>
    </row>
    <row r="164" customFormat="false" ht="15" hidden="false" customHeight="false" outlineLevel="0" collapsed="false">
      <c r="A164" s="16" t="s">
        <v>300</v>
      </c>
      <c r="B164" s="87" t="s">
        <v>725</v>
      </c>
      <c r="C164" s="17" t="s">
        <v>615</v>
      </c>
      <c r="D164" s="71" t="n">
        <f aca="false">IF(D7&gt;0,D30/D7,"N/M")</f>
        <v>0.0309144814484327</v>
      </c>
      <c r="E164" s="71" t="n">
        <f aca="false">IF(E7&gt;0,E30/E7,"N/M")</f>
        <v>0.000235571260306243</v>
      </c>
      <c r="F164" s="71" t="n">
        <f aca="false">IF(F7&gt;0,F30/F7,"N/M")</f>
        <v>0.00968760669170365</v>
      </c>
      <c r="G164" s="71" t="n">
        <f aca="false">IF(G7&gt;0,G30/G7,"N/M")</f>
        <v>0.0176081644386948</v>
      </c>
      <c r="H164" s="71" t="n">
        <f aca="false">IF(H7&gt;0,H30/H7,"N/M")</f>
        <v>0.0190672861813801</v>
      </c>
      <c r="I164" s="71" t="n">
        <f aca="false">IF(I7&gt;0,I30/I7,"N/M")</f>
        <v>0.022177478187283</v>
      </c>
      <c r="J164" s="71" t="n">
        <f aca="false">IF(J7&gt;0,J30/J7,"N/M")</f>
        <v>0.0268802150417203</v>
      </c>
      <c r="K164" s="62" t="n">
        <f aca="false">IF(COUNT(D164:J164)=0,"N/M",AVERAGE(D164:J164))</f>
        <v>0.0180815433213601</v>
      </c>
      <c r="L164" s="62" t="n">
        <f aca="false">IF(COUNT(D164,J164)=2,J164-D164,"-")</f>
        <v>-0.00403426640671235</v>
      </c>
    </row>
    <row r="165" customFormat="false" ht="15" hidden="false" customHeight="false" outlineLevel="0" collapsed="false">
      <c r="A165" s="16" t="s">
        <v>781</v>
      </c>
      <c r="B165" s="87" t="s">
        <v>708</v>
      </c>
      <c r="C165" s="17" t="s">
        <v>692</v>
      </c>
      <c r="D165" s="73" t="n">
        <f aca="false">IF(D49&gt;0,D7/D49,"N/M")</f>
        <v>1.69146501777107</v>
      </c>
      <c r="E165" s="73" t="n">
        <f aca="false">IF(E49&gt;0,E7/E49,"N/M")</f>
        <v>1.11534419337888</v>
      </c>
      <c r="F165" s="73" t="n">
        <f aca="false">IF(F49&gt;0,F7/F49,"N/M")</f>
        <v>1.30868472493717</v>
      </c>
      <c r="G165" s="73" t="n">
        <f aca="false">IF(G49&gt;0,G7/G49,"N/M")</f>
        <v>1.61649724077839</v>
      </c>
      <c r="H165" s="73" t="n">
        <f aca="false">IF(H49&gt;0,H7/H49,"N/M")</f>
        <v>1.51296604873985</v>
      </c>
      <c r="I165" s="73" t="n">
        <f aca="false">IF(I49&gt;0,I7/I49,"N/M")</f>
        <v>2.03836545324768</v>
      </c>
      <c r="J165" s="73" t="n">
        <f aca="false">IF(J49&gt;0,J7/J49,"N/M")</f>
        <v>2.18674993877051</v>
      </c>
      <c r="K165" s="60" t="n">
        <f aca="false">IF(COUNT(D165:J165)=0,"N/M",AVERAGE(D165:J165))</f>
        <v>1.63858180251765</v>
      </c>
      <c r="L165" s="60" t="n">
        <f aca="false">IF(COUNT(D165,J165)=2,J165-D165,"-")</f>
        <v>0.495284920999442</v>
      </c>
    </row>
    <row r="166" customFormat="false" ht="15" hidden="false" customHeight="false" outlineLevel="0" collapsed="false">
      <c r="A166" s="16" t="s">
        <v>782</v>
      </c>
      <c r="B166" s="87" t="s">
        <v>783</v>
      </c>
      <c r="C166" s="17" t="s">
        <v>692</v>
      </c>
      <c r="D166" s="73" t="n">
        <f aca="false">IF(D40&gt;0,D49/D40,"N/M")</f>
        <v>1.72553137864404</v>
      </c>
      <c r="E166" s="73" t="n">
        <f aca="false">IF(E40&gt;0,E49/E40,"N/M")</f>
        <v>1.63179557537301</v>
      </c>
      <c r="F166" s="73" t="n">
        <f aca="false">IF(F40&gt;0,F49/F40,"N/M")</f>
        <v>1.526948661095</v>
      </c>
      <c r="G166" s="73" t="n">
        <f aca="false">IF(G40&gt;0,G49/G40,"N/M")</f>
        <v>1.46274109949868</v>
      </c>
      <c r="H166" s="73" t="n">
        <f aca="false">IF(H40&gt;0,H49/H40,"N/M")</f>
        <v>1.60931869605296</v>
      </c>
      <c r="I166" s="73" t="n">
        <f aca="false">IF(I40&gt;0,I49/I40,"N/M")</f>
        <v>1.38188393884596</v>
      </c>
      <c r="J166" s="73" t="n">
        <f aca="false">IF(J40&gt;0,J49/J40,"N/M")</f>
        <v>1.32221502590674</v>
      </c>
      <c r="K166" s="60" t="n">
        <f aca="false">IF(COUNT(D166:J166)=0,"N/M",AVERAGE(D166:J166))</f>
        <v>1.52291919648806</v>
      </c>
      <c r="L166" s="60" t="n">
        <f aca="false">IF(COUNT(D166,J166)=2,J166-D166,"-")</f>
        <v>-0.403316352737304</v>
      </c>
    </row>
    <row r="167" customFormat="false" ht="15" hidden="false" customHeight="false" outlineLevel="0" collapsed="false">
      <c r="A167" s="12" t="s">
        <v>303</v>
      </c>
      <c r="B167" s="87" t="s">
        <v>741</v>
      </c>
      <c r="C167" s="17" t="s">
        <v>615</v>
      </c>
      <c r="D167" s="30" t="n">
        <f aca="false">IF(D49&gt;0,D30/D49,"N/M")</f>
        <v>0.0522907639125566</v>
      </c>
      <c r="E167" s="30" t="n">
        <f aca="false">IF(E49&gt;0,E30/E49,"N/M")</f>
        <v>0.000262743037309511</v>
      </c>
      <c r="F167" s="30" t="n">
        <f aca="false">IF(F49&gt;0,F30/F49,"N/M")</f>
        <v>0.0126780228986317</v>
      </c>
      <c r="G167" s="30" t="n">
        <f aca="false">IF(G49&gt;0,G30/G49,"N/M")</f>
        <v>0.0284635492303224</v>
      </c>
      <c r="H167" s="30" t="n">
        <f aca="false">IF(H49&gt;0,H30/H49,"N/M")</f>
        <v>0.0288481566340346</v>
      </c>
      <c r="I167" s="30" t="n">
        <f aca="false">IF(I49&gt;0,I30/I49,"N/M")</f>
        <v>0.0452058053771116</v>
      </c>
      <c r="J167" s="30" t="n">
        <f aca="false">IF(J49&gt;0,J30/J49,"N/M")</f>
        <v>0.0587803085966201</v>
      </c>
      <c r="K167" s="30" t="n">
        <f aca="false">IF(COUNT(D167:J167)=0,"N/M",AVERAGE(D167:J167))</f>
        <v>0.0323613356695124</v>
      </c>
      <c r="L167" s="30" t="n">
        <f aca="false">IF(COUNT(D167,J167)=2,J167-D167,"-")</f>
        <v>0.00648954468406353</v>
      </c>
    </row>
    <row r="168" customFormat="false" ht="15" hidden="false" customHeight="false" outlineLevel="0" collapsed="false">
      <c r="A168" s="12" t="s">
        <v>784</v>
      </c>
      <c r="B168" s="87" t="s">
        <v>751</v>
      </c>
      <c r="C168" s="17" t="s">
        <v>615</v>
      </c>
      <c r="D168" s="30" t="n">
        <f aca="false">IF(D40&gt;0,D30/D40,"N/M")</f>
        <v>0.0902293539443838</v>
      </c>
      <c r="E168" s="30" t="n">
        <f aca="false">IF(E40&gt;0,E30/E40,"N/M")</f>
        <v>0.000428742925741725</v>
      </c>
      <c r="F168" s="30" t="n">
        <f aca="false">IF(F40&gt;0,F30/F40,"N/M")</f>
        <v>0.0193586900903974</v>
      </c>
      <c r="G168" s="30" t="n">
        <f aca="false">IF(G40&gt;0,G30/G40,"N/M")</f>
        <v>0.0416348032967967</v>
      </c>
      <c r="H168" s="30" t="n">
        <f aca="false">IF(H40&gt;0,H30/H40,"N/M")</f>
        <v>0.0464258778178161</v>
      </c>
      <c r="I168" s="30" t="n">
        <f aca="false">IF(I40&gt;0,I30/I40,"N/M")</f>
        <v>0.062469176393227</v>
      </c>
      <c r="J168" s="30" t="n">
        <f aca="false">IF(J40&gt;0,J30/J40,"N/M")</f>
        <v>0.077720207253886</v>
      </c>
      <c r="K168" s="30" t="n">
        <f aca="false">IF(COUNT(D168:J168)=0,"N/M",AVERAGE(D168:J168))</f>
        <v>0.0483238359603213</v>
      </c>
      <c r="L168" s="30" t="n">
        <f aca="false">IF(COUNT(D168,J168)=2,J168-D168,"-")</f>
        <v>-0.0125091466904978</v>
      </c>
    </row>
    <row r="169" customFormat="false" ht="15" hidden="false" customHeight="false" outlineLevel="0" collapsed="false">
      <c r="A169" s="16" t="s">
        <v>785</v>
      </c>
      <c r="B169" s="87" t="s">
        <v>786</v>
      </c>
      <c r="C169" s="17" t="s">
        <v>615</v>
      </c>
      <c r="D169" s="94" t="n">
        <f aca="false">IF(COUNT(D164,D165,D166,D168)=4,D164*D165*D166-D168,"-")</f>
        <v>0</v>
      </c>
      <c r="E169" s="94" t="n">
        <f aca="false">IF(COUNT(E164,E165,E166,E168)=4,E164*E165*E166-E168,"-")</f>
        <v>0</v>
      </c>
      <c r="F169" s="94" t="n">
        <f aca="false">IF(COUNT(F164,F165,F166,F168)=4,F164*F165*F166-F168,"-")</f>
        <v>0</v>
      </c>
      <c r="G169" s="94" t="n">
        <f aca="false">IF(COUNT(G164,G165,G166,G168)=4,G164*G165*G166-G168,"-")</f>
        <v>0</v>
      </c>
      <c r="H169" s="94" t="n">
        <f aca="false">IF(COUNT(H164,H165,H166,H168)=4,H164*H165*H166-H168,"-")</f>
        <v>0</v>
      </c>
      <c r="I169" s="94" t="n">
        <f aca="false">IF(COUNT(I164,I165,I166,I168)=4,I164*I165*I166-I168,"-")</f>
        <v>0</v>
      </c>
      <c r="J169" s="94" t="n">
        <f aca="false">IF(COUNT(J164,J165,J166,J168)=4,J164*J165*J166-J168,"-")</f>
        <v>0</v>
      </c>
      <c r="K169" s="62"/>
      <c r="L169" s="62"/>
    </row>
    <row r="170" customFormat="false" ht="16.5" hidden="false" customHeight="true" outlineLevel="0" collapsed="false">
      <c r="A170" s="88" t="s">
        <v>787</v>
      </c>
      <c r="B170" s="89"/>
      <c r="C170" s="89"/>
      <c r="D170" s="89"/>
      <c r="E170" s="89"/>
      <c r="F170" s="89"/>
      <c r="G170" s="89"/>
      <c r="H170" s="89"/>
      <c r="I170" s="89"/>
      <c r="J170" s="89"/>
      <c r="K170" s="89"/>
      <c r="L170" s="89"/>
    </row>
    <row r="171" customFormat="false" ht="15" hidden="false" customHeight="false" outlineLevel="0" collapsed="false">
      <c r="A171" s="16" t="s">
        <v>788</v>
      </c>
      <c r="B171" s="87" t="s">
        <v>789</v>
      </c>
      <c r="C171" s="17" t="s">
        <v>97</v>
      </c>
      <c r="D171" s="73" t="n">
        <f aca="false">IF(D26&lt;&gt;0,D30/D26,"N/M")</f>
        <v>0.837100545596257</v>
      </c>
      <c r="E171" s="73" t="n">
        <f aca="false">IF(E26&lt;&gt;0,E30/E26,"N/M")</f>
        <v>0.178571428571419</v>
      </c>
      <c r="F171" s="73" t="n">
        <f aca="false">IF(F26&lt;&gt;0,F30/F26,"N/M")</f>
        <v>1.01793721973096</v>
      </c>
      <c r="G171" s="73" t="n">
        <f aca="false">IF(G26&lt;&gt;0,G30/G26,"N/M")</f>
        <v>1.05603448275864</v>
      </c>
      <c r="H171" s="73" t="n">
        <f aca="false">IF(H26&lt;&gt;0,H30/H26,"N/M")</f>
        <v>0.975352112676052</v>
      </c>
      <c r="I171" s="73" t="n">
        <f aca="false">IF(I26&lt;&gt;0,I30/I26,"N/M")</f>
        <v>0.990873533246414</v>
      </c>
      <c r="J171" s="73" t="n">
        <f aca="false">IF(J26&lt;&gt;0,J30/J26,"N/M")</f>
        <v>0.931134820562565</v>
      </c>
      <c r="K171" s="60" t="n">
        <f aca="false">IF(COUNT(D171:J171)=0,"N/M",AVERAGE(D171:J171))</f>
        <v>0.855286306163186</v>
      </c>
      <c r="L171" s="60" t="n">
        <f aca="false">IF(COUNT(D171,J171)=2,J171-D171,"-")</f>
        <v>0.0940342749663086</v>
      </c>
    </row>
    <row r="172" customFormat="false" ht="15" hidden="false" customHeight="false" outlineLevel="0" collapsed="false">
      <c r="A172" s="16" t="s">
        <v>790</v>
      </c>
      <c r="B172" s="87" t="s">
        <v>791</v>
      </c>
      <c r="C172" s="17" t="s">
        <v>97</v>
      </c>
      <c r="D172" s="73" t="n">
        <f aca="false">IF(D23&lt;&gt;0,D26/D23,"N/M")</f>
        <v>3.06937799043061</v>
      </c>
      <c r="E172" s="73" t="n">
        <f aca="false">IF(E23&lt;&gt;0,E26/E23,"N/M")</f>
        <v>0.0992907801418489</v>
      </c>
      <c r="F172" s="73" t="n">
        <f aca="false">IF(F23&lt;&gt;0,F26/F23,"N/M")</f>
        <v>0.44071146245059</v>
      </c>
      <c r="G172" s="73" t="n">
        <f aca="false">IF(G23&lt;&gt;0,G26/G23,"N/M")</f>
        <v>0.627027027027024</v>
      </c>
      <c r="H172" s="73" t="n">
        <f aca="false">IF(H23&lt;&gt;0,H26/H23,"N/M")</f>
        <v>0.901587301587302</v>
      </c>
      <c r="I172" s="73" t="n">
        <f aca="false">IF(I23&lt;&gt;0,I26/I23,"N/M")</f>
        <v>1.23709677419355</v>
      </c>
      <c r="J172" s="73" t="n">
        <f aca="false">IF(J23&lt;&gt;0,J26/J23,"N/M")</f>
        <v>1.31841432225064</v>
      </c>
      <c r="K172" s="60" t="n">
        <f aca="false">IF(COUNT(D172:J172)=0,"N/M",AVERAGE(D172:J172))</f>
        <v>1.09907223686879</v>
      </c>
      <c r="L172" s="60" t="n">
        <f aca="false">IF(COUNT(D172,J172)=2,J172-D172,"-")</f>
        <v>-1.75096366817996</v>
      </c>
    </row>
    <row r="173" customFormat="false" ht="15" hidden="false" customHeight="false" outlineLevel="0" collapsed="false">
      <c r="A173" s="16" t="s">
        <v>792</v>
      </c>
      <c r="B173" s="87" t="s">
        <v>793</v>
      </c>
      <c r="C173" s="17" t="s">
        <v>615</v>
      </c>
      <c r="D173" s="71" t="n">
        <f aca="false">IF(D7&gt;0,D23/D7,"N/M")</f>
        <v>0.0120318931521834</v>
      </c>
      <c r="E173" s="71" t="n">
        <f aca="false">IF(E7&gt;0,E23/E7,"N/M")</f>
        <v>0.0132862190812722</v>
      </c>
      <c r="F173" s="71" t="n">
        <f aca="false">IF(F7&gt;0,F23/F7,"N/M")</f>
        <v>0.0215944008193922</v>
      </c>
      <c r="G173" s="71" t="n">
        <f aca="false">IF(G7&gt;0,G23/G7,"N/M")</f>
        <v>0.0265919218053757</v>
      </c>
      <c r="H173" s="71" t="n">
        <f aca="false">IF(H7&gt;0,H23/H7,"N/M")</f>
        <v>0.0216830149716057</v>
      </c>
      <c r="I173" s="71" t="n">
        <f aca="false">IF(I7&gt;0,I23/I7,"N/M")</f>
        <v>0.0180921532580466</v>
      </c>
      <c r="J173" s="71" t="n">
        <f aca="false">IF(J7&gt;0,J23/J7,"N/M")</f>
        <v>0.0218961751694012</v>
      </c>
      <c r="K173" s="62" t="n">
        <f aca="false">IF(COUNT(D173:J173)=0,"N/M",AVERAGE(D173:J173))</f>
        <v>0.0193108254653253</v>
      </c>
      <c r="L173" s="62" t="n">
        <f aca="false">IF(COUNT(D173,J173)=2,J173-D173,"-")</f>
        <v>0.00986428201721782</v>
      </c>
    </row>
    <row r="174" customFormat="false" ht="15" hidden="false" customHeight="false" outlineLevel="0" collapsed="false">
      <c r="A174" s="16" t="s">
        <v>781</v>
      </c>
      <c r="B174" s="87" t="s">
        <v>708</v>
      </c>
      <c r="C174" s="17" t="s">
        <v>692</v>
      </c>
      <c r="D174" s="73" t="n">
        <f aca="false">IF(D49&gt;0,D7/D49,"N/M")</f>
        <v>1.69146501777107</v>
      </c>
      <c r="E174" s="73" t="n">
        <f aca="false">IF(E49&gt;0,E7/E49,"N/M")</f>
        <v>1.11534419337888</v>
      </c>
      <c r="F174" s="73" t="n">
        <f aca="false">IF(F49&gt;0,F7/F49,"N/M")</f>
        <v>1.30868472493717</v>
      </c>
      <c r="G174" s="73" t="n">
        <f aca="false">IF(G49&gt;0,G7/G49,"N/M")</f>
        <v>1.61649724077839</v>
      </c>
      <c r="H174" s="73" t="n">
        <f aca="false">IF(H49&gt;0,H7/H49,"N/M")</f>
        <v>1.51296604873985</v>
      </c>
      <c r="I174" s="73" t="n">
        <f aca="false">IF(I49&gt;0,I7/I49,"N/M")</f>
        <v>2.03836545324768</v>
      </c>
      <c r="J174" s="73" t="n">
        <f aca="false">IF(J49&gt;0,J7/J49,"N/M")</f>
        <v>2.18674993877051</v>
      </c>
      <c r="K174" s="60" t="n">
        <f aca="false">IF(COUNT(D174:J174)=0,"N/M",AVERAGE(D174:J174))</f>
        <v>1.63858180251765</v>
      </c>
      <c r="L174" s="60" t="n">
        <f aca="false">IF(COUNT(D174,J174)=2,J174-D174,"-")</f>
        <v>0.495284920999442</v>
      </c>
    </row>
    <row r="175" customFormat="false" ht="15" hidden="false" customHeight="false" outlineLevel="0" collapsed="false">
      <c r="A175" s="16" t="s">
        <v>782</v>
      </c>
      <c r="B175" s="87" t="s">
        <v>783</v>
      </c>
      <c r="C175" s="17" t="s">
        <v>692</v>
      </c>
      <c r="D175" s="73" t="n">
        <f aca="false">IF(D40&gt;0,D49/D40,"N/M")</f>
        <v>1.72553137864404</v>
      </c>
      <c r="E175" s="73" t="n">
        <f aca="false">IF(E40&gt;0,E49/E40,"N/M")</f>
        <v>1.63179557537301</v>
      </c>
      <c r="F175" s="73" t="n">
        <f aca="false">IF(F40&gt;0,F49/F40,"N/M")</f>
        <v>1.526948661095</v>
      </c>
      <c r="G175" s="73" t="n">
        <f aca="false">IF(G40&gt;0,G49/G40,"N/M")</f>
        <v>1.46274109949868</v>
      </c>
      <c r="H175" s="73" t="n">
        <f aca="false">IF(H40&gt;0,H49/H40,"N/M")</f>
        <v>1.60931869605296</v>
      </c>
      <c r="I175" s="73" t="n">
        <f aca="false">IF(I40&gt;0,I49/I40,"N/M")</f>
        <v>1.38188393884596</v>
      </c>
      <c r="J175" s="73" t="n">
        <f aca="false">IF(J40&gt;0,J49/J40,"N/M")</f>
        <v>1.32221502590674</v>
      </c>
      <c r="K175" s="60" t="n">
        <f aca="false">IF(COUNT(D175:J175)=0,"N/M",AVERAGE(D175:J175))</f>
        <v>1.52291919648806</v>
      </c>
      <c r="L175" s="60" t="n">
        <f aca="false">IF(COUNT(D175,J175)=2,J175-D175,"-")</f>
        <v>-0.403316352737304</v>
      </c>
    </row>
    <row r="176" customFormat="false" ht="15" hidden="false" customHeight="false" outlineLevel="0" collapsed="false">
      <c r="A176" s="12" t="s">
        <v>784</v>
      </c>
      <c r="B176" s="87" t="s">
        <v>751</v>
      </c>
      <c r="C176" s="17" t="s">
        <v>615</v>
      </c>
      <c r="D176" s="30" t="n">
        <f aca="false">IF(D40&gt;0,D30/D40,"N/M")</f>
        <v>0.0902293539443838</v>
      </c>
      <c r="E176" s="30" t="n">
        <f aca="false">IF(E40&gt;0,E30/E40,"N/M")</f>
        <v>0.000428742925741725</v>
      </c>
      <c r="F176" s="30" t="n">
        <f aca="false">IF(F40&gt;0,F30/F40,"N/M")</f>
        <v>0.0193586900903974</v>
      </c>
      <c r="G176" s="30" t="n">
        <f aca="false">IF(G40&gt;0,G30/G40,"N/M")</f>
        <v>0.0416348032967967</v>
      </c>
      <c r="H176" s="30" t="n">
        <f aca="false">IF(H40&gt;0,H30/H40,"N/M")</f>
        <v>0.0464258778178161</v>
      </c>
      <c r="I176" s="30" t="n">
        <f aca="false">IF(I40&gt;0,I30/I40,"N/M")</f>
        <v>0.062469176393227</v>
      </c>
      <c r="J176" s="30" t="n">
        <f aca="false">IF(J40&gt;0,J30/J40,"N/M")</f>
        <v>0.077720207253886</v>
      </c>
      <c r="K176" s="30" t="n">
        <f aca="false">IF(COUNT(D176:J176)=0,"N/M",AVERAGE(D176:J176))</f>
        <v>0.0483238359603213</v>
      </c>
      <c r="L176" s="30" t="n">
        <f aca="false">IF(COUNT(D176,J176)=2,J176-D176,"-")</f>
        <v>-0.0125091466904978</v>
      </c>
    </row>
    <row r="177" customFormat="false" ht="15" hidden="false" customHeight="false" outlineLevel="0" collapsed="false">
      <c r="A177" s="16" t="s">
        <v>794</v>
      </c>
      <c r="B177" s="87" t="s">
        <v>786</v>
      </c>
      <c r="C177" s="17" t="s">
        <v>615</v>
      </c>
      <c r="D177" s="94" t="n">
        <f aca="false">IF(COUNT(D171,D172,D173,D174,D175,D176)=6,D171*D172*D173*D174*D175-D176,"-")</f>
        <v>0</v>
      </c>
      <c r="E177" s="94" t="n">
        <f aca="false">IF(COUNT(E171,E172,E173,E174,E175,E176)=6,E171*E172*E173*E174*E175-E176,"-")</f>
        <v>0</v>
      </c>
      <c r="F177" s="94" t="n">
        <f aca="false">IF(COUNT(F171,F172,F173,F174,F175,F176)=6,F171*F172*F173*F174*F175-F176,"-")</f>
        <v>0</v>
      </c>
      <c r="G177" s="94" t="n">
        <f aca="false">IF(COUNT(G171,G172,G173,G174,G175,G176)=6,G171*G172*G173*G174*G175-G176,"-")</f>
        <v>0</v>
      </c>
      <c r="H177" s="94" t="n">
        <f aca="false">IF(COUNT(H171,H172,H173,H174,H175,H176)=6,H171*H172*H173*H174*H175-H176,"-")</f>
        <v>0</v>
      </c>
      <c r="I177" s="94" t="n">
        <f aca="false">IF(COUNT(I171,I172,I173,I174,I175,I176)=6,I171*I172*I173*I174*I175-I176,"-")</f>
        <v>0</v>
      </c>
      <c r="J177" s="94" t="n">
        <f aca="false">IF(COUNT(J171,J172,J173,J174,J175,J176)=6,J171*J172*J173*J174*J175-J176,"-")</f>
        <v>0</v>
      </c>
      <c r="K177" s="62"/>
      <c r="L177" s="62"/>
    </row>
  </sheetData>
  <mergeCells count="3">
    <mergeCell ref="A1:L1"/>
    <mergeCell ref="A2:L2"/>
    <mergeCell ref="A3:L3"/>
  </mergeCells>
  <hyperlinks>
    <hyperlink ref="A3" r:id="rId1" display="Source: annual reports FY2020-FY2026 (consolidated) - https://www.patel-india.com/investor-information   (full list of documents on the Sources sheet)"/>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18096"/>
    <pageSetUpPr fitToPage="true"/>
  </sheetPr>
  <dimension ref="A1:L177"/>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50"/>
    <col collapsed="false" customWidth="true" hidden="false" outlineLevel="0" max="3" min="3" style="0" width="15"/>
    <col collapsed="false" customWidth="true" hidden="false" outlineLevel="0" max="10" min="4" style="0" width="11.5"/>
    <col collapsed="false" customWidth="true" hidden="false" outlineLevel="0" max="12" min="11" style="0" width="12"/>
  </cols>
  <sheetData>
    <row r="1" customFormat="false" ht="24" hidden="false" customHeight="true" outlineLevel="0" collapsed="false">
      <c r="A1" s="1" t="s">
        <v>833</v>
      </c>
      <c r="B1" s="1"/>
      <c r="C1" s="1"/>
      <c r="D1" s="1"/>
      <c r="E1" s="1"/>
      <c r="F1" s="1"/>
      <c r="G1" s="1"/>
      <c r="H1" s="1"/>
      <c r="I1" s="1"/>
      <c r="J1" s="1"/>
      <c r="K1" s="1"/>
      <c r="L1" s="1"/>
    </row>
    <row r="2" customFormat="false" ht="18" hidden="false" customHeight="true" outlineLevel="0" collapsed="false">
      <c r="A2" s="2" t="s">
        <v>834</v>
      </c>
      <c r="B2" s="2"/>
      <c r="C2" s="2"/>
      <c r="D2" s="2"/>
      <c r="E2" s="2"/>
      <c r="F2" s="2"/>
      <c r="G2" s="2"/>
      <c r="H2" s="2"/>
      <c r="I2" s="2"/>
      <c r="J2" s="2"/>
      <c r="K2" s="2"/>
      <c r="L2" s="2"/>
    </row>
    <row r="3" customFormat="false" ht="18" hidden="false" customHeight="true" outlineLevel="0" collapsed="false">
      <c r="A3" s="95" t="s">
        <v>835</v>
      </c>
      <c r="B3" s="95"/>
      <c r="C3" s="95"/>
      <c r="D3" s="95"/>
      <c r="E3" s="95"/>
      <c r="F3" s="95"/>
      <c r="G3" s="95"/>
      <c r="H3" s="95"/>
      <c r="I3" s="95"/>
      <c r="J3" s="95"/>
      <c r="K3" s="95"/>
      <c r="L3" s="95"/>
    </row>
    <row r="5" customFormat="false" ht="30" hidden="false" customHeight="true" outlineLevel="0" collapsed="false">
      <c r="A5" s="7" t="s">
        <v>486</v>
      </c>
      <c r="B5" s="7" t="s">
        <v>487</v>
      </c>
      <c r="C5" s="7" t="s">
        <v>488</v>
      </c>
      <c r="D5" s="7" t="s">
        <v>154</v>
      </c>
      <c r="E5" s="7" t="s">
        <v>185</v>
      </c>
      <c r="F5" s="7" t="s">
        <v>188</v>
      </c>
      <c r="G5" s="7" t="s">
        <v>144</v>
      </c>
      <c r="H5" s="7" t="s">
        <v>147</v>
      </c>
      <c r="I5" s="7" t="s">
        <v>157</v>
      </c>
      <c r="J5" s="7" t="s">
        <v>198</v>
      </c>
      <c r="K5" s="7" t="s">
        <v>322</v>
      </c>
      <c r="L5" s="7" t="s">
        <v>489</v>
      </c>
    </row>
    <row r="6" customFormat="false" ht="19.5" hidden="false" customHeight="true" outlineLevel="0" collapsed="false">
      <c r="A6" s="85" t="s">
        <v>490</v>
      </c>
      <c r="B6" s="86"/>
      <c r="C6" s="86"/>
      <c r="D6" s="86"/>
      <c r="E6" s="86"/>
      <c r="F6" s="86"/>
      <c r="G6" s="86"/>
      <c r="H6" s="86"/>
      <c r="I6" s="86"/>
      <c r="J6" s="86"/>
      <c r="K6" s="86"/>
      <c r="L6" s="86"/>
    </row>
    <row r="7" customFormat="false" ht="15" hidden="false" customHeight="false" outlineLevel="0" collapsed="false">
      <c r="A7" s="16" t="s">
        <v>491</v>
      </c>
      <c r="B7" s="87" t="s">
        <v>492</v>
      </c>
      <c r="C7" s="17" t="s">
        <v>493</v>
      </c>
      <c r="D7" s="96" t="n">
        <v>1005.84</v>
      </c>
      <c r="E7" s="96" t="n">
        <v>503.63</v>
      </c>
      <c r="F7" s="96" t="n">
        <v>348.87</v>
      </c>
      <c r="G7" s="96" t="n">
        <v>392.11</v>
      </c>
      <c r="H7" s="96" t="n">
        <v>221.09</v>
      </c>
      <c r="I7" s="96" t="n">
        <v>221.82</v>
      </c>
      <c r="J7" s="96" t="n">
        <v>385.68</v>
      </c>
      <c r="K7" s="53" t="n">
        <f aca="false">AVERAGE(D7:J7)</f>
        <v>439.862857142857</v>
      </c>
      <c r="L7" s="53" t="n">
        <f aca="false">J7-D7</f>
        <v>-620.16</v>
      </c>
    </row>
    <row r="8" customFormat="false" ht="16.5" hidden="false" customHeight="true" outlineLevel="0" collapsed="false">
      <c r="A8" s="88" t="s">
        <v>494</v>
      </c>
      <c r="B8" s="89"/>
      <c r="C8" s="89"/>
      <c r="D8" s="89"/>
      <c r="E8" s="89"/>
      <c r="F8" s="89"/>
      <c r="G8" s="89"/>
      <c r="H8" s="89"/>
      <c r="I8" s="89"/>
      <c r="J8" s="89"/>
      <c r="K8" s="89"/>
      <c r="L8" s="89"/>
    </row>
    <row r="9" customFormat="false" ht="15" hidden="false" customHeight="false" outlineLevel="0" collapsed="false">
      <c r="A9" s="16" t="s">
        <v>495</v>
      </c>
      <c r="B9" s="87" t="s">
        <v>496</v>
      </c>
      <c r="C9" s="17" t="s">
        <v>493</v>
      </c>
      <c r="D9" s="96" t="n">
        <v>0</v>
      </c>
      <c r="E9" s="96" t="n">
        <v>0</v>
      </c>
      <c r="F9" s="96" t="n">
        <v>0</v>
      </c>
      <c r="G9" s="96" t="n">
        <v>0</v>
      </c>
      <c r="H9" s="96" t="n">
        <v>0</v>
      </c>
      <c r="I9" s="96" t="n">
        <v>0</v>
      </c>
      <c r="J9" s="96" t="n">
        <v>0.41</v>
      </c>
      <c r="K9" s="53" t="n">
        <f aca="false">AVERAGE(D9:J9)</f>
        <v>0.0585714285714286</v>
      </c>
      <c r="L9" s="53" t="n">
        <f aca="false">J9-D9</f>
        <v>0.41</v>
      </c>
    </row>
    <row r="10" customFormat="false" ht="15" hidden="false" customHeight="false" outlineLevel="0" collapsed="false">
      <c r="A10" s="16" t="s">
        <v>497</v>
      </c>
      <c r="B10" s="87" t="s">
        <v>498</v>
      </c>
      <c r="C10" s="17" t="s">
        <v>493</v>
      </c>
      <c r="D10" s="96" t="n">
        <v>0</v>
      </c>
      <c r="E10" s="96" t="n">
        <v>0</v>
      </c>
      <c r="F10" s="96" t="n">
        <v>0</v>
      </c>
      <c r="G10" s="96" t="n">
        <v>0</v>
      </c>
      <c r="H10" s="96" t="n">
        <v>0</v>
      </c>
      <c r="I10" s="96" t="n">
        <v>0</v>
      </c>
      <c r="J10" s="96" t="n">
        <v>0.04</v>
      </c>
      <c r="K10" s="53" t="n">
        <f aca="false">AVERAGE(D10:J10)</f>
        <v>0.00571428571428571</v>
      </c>
      <c r="L10" s="53" t="n">
        <f aca="false">J10-D10</f>
        <v>0.04</v>
      </c>
    </row>
    <row r="11" customFormat="false" ht="15" hidden="false" customHeight="false" outlineLevel="0" collapsed="false">
      <c r="A11" s="16" t="s">
        <v>499</v>
      </c>
      <c r="B11" s="87" t="s">
        <v>500</v>
      </c>
      <c r="C11" s="17" t="s">
        <v>493</v>
      </c>
      <c r="D11" s="96" t="n">
        <v>2.27</v>
      </c>
      <c r="E11" s="96" t="n">
        <v>0.78</v>
      </c>
      <c r="F11" s="96" t="n">
        <v>0.8</v>
      </c>
      <c r="G11" s="96" t="n">
        <v>3.6</v>
      </c>
      <c r="H11" s="96" t="n">
        <v>1.07</v>
      </c>
      <c r="I11" s="96" t="n">
        <v>1.13</v>
      </c>
      <c r="J11" s="96" t="n">
        <v>1.14</v>
      </c>
      <c r="K11" s="53" t="n">
        <f aca="false">AVERAGE(D11:J11)</f>
        <v>1.54142857142857</v>
      </c>
      <c r="L11" s="53" t="n">
        <f aca="false">J11-D11</f>
        <v>-1.13</v>
      </c>
    </row>
    <row r="12" customFormat="false" ht="15" hidden="false" customHeight="false" outlineLevel="0" collapsed="false">
      <c r="A12" s="16" t="s">
        <v>501</v>
      </c>
      <c r="B12" s="87" t="s">
        <v>502</v>
      </c>
      <c r="C12" s="17" t="s">
        <v>493</v>
      </c>
      <c r="D12" s="96" t="n">
        <v>832.73</v>
      </c>
      <c r="E12" s="96" t="n">
        <v>384.2</v>
      </c>
      <c r="F12" s="96" t="n">
        <v>309.66</v>
      </c>
      <c r="G12" s="96" t="n">
        <v>318.04</v>
      </c>
      <c r="H12" s="96" t="n">
        <v>157.68</v>
      </c>
      <c r="I12" s="96" t="n">
        <v>154.68</v>
      </c>
      <c r="J12" s="96" t="n">
        <v>255.1</v>
      </c>
      <c r="K12" s="53" t="n">
        <f aca="false">AVERAGE(D12:J12)</f>
        <v>344.584285714286</v>
      </c>
      <c r="L12" s="53" t="n">
        <f aca="false">J12-D12</f>
        <v>-577.63</v>
      </c>
    </row>
    <row r="13" customFormat="false" ht="15" hidden="false" customHeight="false" outlineLevel="0" collapsed="false">
      <c r="A13" s="12" t="s">
        <v>503</v>
      </c>
      <c r="B13" s="87" t="s">
        <v>504</v>
      </c>
      <c r="C13" s="17" t="s">
        <v>493</v>
      </c>
      <c r="D13" s="29" t="n">
        <f aca="false">D9+D11+D12-D10</f>
        <v>835</v>
      </c>
      <c r="E13" s="29" t="n">
        <f aca="false">E9+E11+E12-E10</f>
        <v>384.98</v>
      </c>
      <c r="F13" s="29" t="n">
        <f aca="false">F9+F11+F12-F10</f>
        <v>310.46</v>
      </c>
      <c r="G13" s="29" t="n">
        <f aca="false">G9+G11+G12-G10</f>
        <v>321.64</v>
      </c>
      <c r="H13" s="29" t="n">
        <f aca="false">H9+H11+H12-H10</f>
        <v>158.75</v>
      </c>
      <c r="I13" s="29" t="n">
        <f aca="false">I9+I11+I12-I10</f>
        <v>155.81</v>
      </c>
      <c r="J13" s="29" t="n">
        <f aca="false">J9+J11+J12-J10</f>
        <v>256.61</v>
      </c>
      <c r="K13" s="29" t="n">
        <f aca="false">AVERAGE(D13:J13)</f>
        <v>346.178571428571</v>
      </c>
      <c r="L13" s="29" t="n">
        <f aca="false">J13-D13</f>
        <v>-578.39</v>
      </c>
    </row>
    <row r="14" customFormat="false" ht="15" hidden="false" customHeight="false" outlineLevel="0" collapsed="false">
      <c r="A14" s="12" t="s">
        <v>505</v>
      </c>
      <c r="B14" s="87" t="s">
        <v>506</v>
      </c>
      <c r="C14" s="17" t="s">
        <v>493</v>
      </c>
      <c r="D14" s="29" t="n">
        <f aca="false">D7-D13</f>
        <v>170.84</v>
      </c>
      <c r="E14" s="29" t="n">
        <f aca="false">E7-E13</f>
        <v>118.65</v>
      </c>
      <c r="F14" s="29" t="n">
        <f aca="false">F7-F13</f>
        <v>38.41</v>
      </c>
      <c r="G14" s="29" t="n">
        <f aca="false">G7-G13</f>
        <v>70.47</v>
      </c>
      <c r="H14" s="29" t="n">
        <f aca="false">H7-H13</f>
        <v>62.34</v>
      </c>
      <c r="I14" s="29" t="n">
        <f aca="false">I7-I13</f>
        <v>66.01</v>
      </c>
      <c r="J14" s="29" t="n">
        <f aca="false">J7-J13</f>
        <v>129.07</v>
      </c>
      <c r="K14" s="29" t="n">
        <f aca="false">AVERAGE(D14:J14)</f>
        <v>93.6842857142857</v>
      </c>
      <c r="L14" s="29" t="n">
        <f aca="false">J14-D14</f>
        <v>-41.77</v>
      </c>
    </row>
    <row r="15" customFormat="false" ht="16.5" hidden="false" customHeight="true" outlineLevel="0" collapsed="false">
      <c r="A15" s="88" t="s">
        <v>507</v>
      </c>
      <c r="B15" s="89"/>
      <c r="C15" s="89"/>
      <c r="D15" s="89"/>
      <c r="E15" s="89"/>
      <c r="F15" s="89"/>
      <c r="G15" s="89"/>
      <c r="H15" s="89"/>
      <c r="I15" s="89"/>
      <c r="J15" s="89"/>
      <c r="K15" s="89"/>
      <c r="L15" s="89"/>
    </row>
    <row r="16" customFormat="false" ht="15" hidden="false" customHeight="false" outlineLevel="0" collapsed="false">
      <c r="A16" s="16" t="s">
        <v>508</v>
      </c>
      <c r="B16" s="87" t="s">
        <v>509</v>
      </c>
      <c r="C16" s="17" t="s">
        <v>493</v>
      </c>
      <c r="D16" s="96" t="n">
        <v>133.43</v>
      </c>
      <c r="E16" s="96" t="n">
        <v>54.06</v>
      </c>
      <c r="F16" s="96" t="n">
        <v>28.91</v>
      </c>
      <c r="G16" s="96" t="n">
        <v>23.87</v>
      </c>
      <c r="H16" s="96" t="n">
        <v>24.68</v>
      </c>
      <c r="I16" s="96" t="n">
        <v>22.21</v>
      </c>
      <c r="J16" s="96" t="n">
        <v>26.74</v>
      </c>
      <c r="K16" s="53" t="n">
        <f aca="false">AVERAGE(D16:J16)</f>
        <v>44.8428571428572</v>
      </c>
      <c r="L16" s="53" t="n">
        <f aca="false">J16-D16</f>
        <v>-106.69</v>
      </c>
    </row>
    <row r="17" customFormat="false" ht="15" hidden="false" customHeight="false" outlineLevel="0" collapsed="false">
      <c r="A17" s="16" t="s">
        <v>510</v>
      </c>
      <c r="B17" s="87" t="s">
        <v>511</v>
      </c>
      <c r="C17" s="17" t="s">
        <v>493</v>
      </c>
      <c r="D17" s="96" t="n">
        <v>35.1</v>
      </c>
      <c r="E17" s="96" t="n">
        <v>15.05</v>
      </c>
      <c r="F17" s="96" t="n">
        <v>15.53</v>
      </c>
      <c r="G17" s="96" t="n">
        <v>17.51</v>
      </c>
      <c r="H17" s="96" t="n">
        <v>17</v>
      </c>
      <c r="I17" s="96" t="n">
        <v>15.86</v>
      </c>
      <c r="J17" s="96" t="n">
        <v>18.18</v>
      </c>
      <c r="K17" s="53" t="n">
        <f aca="false">AVERAGE(D17:J17)</f>
        <v>19.1757142857143</v>
      </c>
      <c r="L17" s="53" t="n">
        <f aca="false">J17-D17</f>
        <v>-16.92</v>
      </c>
    </row>
    <row r="18" customFormat="false" ht="15" hidden="false" customHeight="false" outlineLevel="0" collapsed="false">
      <c r="A18" s="16" t="s">
        <v>512</v>
      </c>
      <c r="B18" s="87" t="s">
        <v>513</v>
      </c>
      <c r="C18" s="17" t="s">
        <v>493</v>
      </c>
      <c r="D18" s="96" t="n">
        <v>24.78</v>
      </c>
      <c r="E18" s="96" t="n">
        <v>58.99</v>
      </c>
      <c r="F18" s="96" t="n">
        <v>33.13</v>
      </c>
      <c r="G18" s="96" t="n">
        <v>1.5</v>
      </c>
      <c r="H18" s="96" t="n">
        <v>4.06</v>
      </c>
      <c r="I18" s="96" t="n">
        <v>6.45</v>
      </c>
      <c r="J18" s="96" t="n">
        <v>5.83</v>
      </c>
      <c r="K18" s="53" t="n">
        <f aca="false">AVERAGE(D18:J18)</f>
        <v>19.2485714285714</v>
      </c>
      <c r="L18" s="53" t="n">
        <f aca="false">J18-D18</f>
        <v>-18.95</v>
      </c>
    </row>
    <row r="19" customFormat="false" ht="15" hidden="false" customHeight="false" outlineLevel="0" collapsed="false">
      <c r="A19" s="12" t="s">
        <v>507</v>
      </c>
      <c r="B19" s="87" t="s">
        <v>514</v>
      </c>
      <c r="C19" s="17" t="s">
        <v>493</v>
      </c>
      <c r="D19" s="29" t="n">
        <f aca="false">D16+D17+D18</f>
        <v>193.31</v>
      </c>
      <c r="E19" s="29" t="n">
        <f aca="false">E16+E17+E18</f>
        <v>128.1</v>
      </c>
      <c r="F19" s="29" t="n">
        <f aca="false">F16+F17+F18</f>
        <v>77.57</v>
      </c>
      <c r="G19" s="29" t="n">
        <f aca="false">G16+G17+G18</f>
        <v>42.88</v>
      </c>
      <c r="H19" s="29" t="n">
        <f aca="false">H16+H17+H18</f>
        <v>45.74</v>
      </c>
      <c r="I19" s="29" t="n">
        <f aca="false">I16+I17+I18</f>
        <v>44.52</v>
      </c>
      <c r="J19" s="29" t="n">
        <f aca="false">J16+J17+J18</f>
        <v>50.75</v>
      </c>
      <c r="K19" s="29" t="n">
        <f aca="false">AVERAGE(D19:J19)</f>
        <v>83.2671428571429</v>
      </c>
      <c r="L19" s="29" t="n">
        <f aca="false">J19-D19</f>
        <v>-142.56</v>
      </c>
    </row>
    <row r="20" customFormat="false" ht="15" hidden="false" customHeight="false" outlineLevel="0" collapsed="false">
      <c r="A20" s="12" t="s">
        <v>515</v>
      </c>
      <c r="B20" s="87" t="s">
        <v>516</v>
      </c>
      <c r="C20" s="17" t="s">
        <v>493</v>
      </c>
      <c r="D20" s="29" t="n">
        <f aca="false">D13+D19</f>
        <v>1028.31</v>
      </c>
      <c r="E20" s="29" t="n">
        <f aca="false">E13+E19</f>
        <v>513.08</v>
      </c>
      <c r="F20" s="29" t="n">
        <f aca="false">F13+F19</f>
        <v>388.03</v>
      </c>
      <c r="G20" s="29" t="n">
        <f aca="false">G13+G19</f>
        <v>364.52</v>
      </c>
      <c r="H20" s="29" t="n">
        <f aca="false">H13+H19</f>
        <v>204.49</v>
      </c>
      <c r="I20" s="29" t="n">
        <f aca="false">I13+I19</f>
        <v>200.33</v>
      </c>
      <c r="J20" s="29" t="n">
        <f aca="false">J13+J19</f>
        <v>307.36</v>
      </c>
      <c r="K20" s="29" t="n">
        <f aca="false">AVERAGE(D20:J20)</f>
        <v>429.445714285714</v>
      </c>
      <c r="L20" s="29" t="n">
        <f aca="false">J20-D20</f>
        <v>-720.95</v>
      </c>
    </row>
    <row r="21" customFormat="false" ht="15" hidden="false" customHeight="false" outlineLevel="0" collapsed="false">
      <c r="A21" s="12" t="s">
        <v>517</v>
      </c>
      <c r="B21" s="87" t="s">
        <v>518</v>
      </c>
      <c r="C21" s="17" t="s">
        <v>493</v>
      </c>
      <c r="D21" s="29" t="n">
        <f aca="false">D7-D20</f>
        <v>-22.4699999999999</v>
      </c>
      <c r="E21" s="29" t="n">
        <f aca="false">E7-E20</f>
        <v>-9.44999999999993</v>
      </c>
      <c r="F21" s="29" t="n">
        <f aca="false">F7-F20</f>
        <v>-39.16</v>
      </c>
      <c r="G21" s="29" t="n">
        <f aca="false">G7-G20</f>
        <v>27.59</v>
      </c>
      <c r="H21" s="29" t="n">
        <f aca="false">H7-H20</f>
        <v>16.6</v>
      </c>
      <c r="I21" s="29" t="n">
        <f aca="false">I7-I20</f>
        <v>21.49</v>
      </c>
      <c r="J21" s="29" t="n">
        <f aca="false">J7-J20</f>
        <v>78.3200000000001</v>
      </c>
      <c r="K21" s="29" t="n">
        <f aca="false">AVERAGE(D21:J21)</f>
        <v>10.4171428571429</v>
      </c>
      <c r="L21" s="29" t="n">
        <f aca="false">J21-D21</f>
        <v>100.79</v>
      </c>
    </row>
    <row r="22" customFormat="false" ht="15" hidden="false" customHeight="false" outlineLevel="0" collapsed="false">
      <c r="A22" s="16" t="s">
        <v>519</v>
      </c>
      <c r="B22" s="87" t="s">
        <v>520</v>
      </c>
      <c r="C22" s="17" t="s">
        <v>493</v>
      </c>
      <c r="D22" s="96" t="n">
        <v>84.45</v>
      </c>
      <c r="E22" s="96" t="n">
        <v>78.75</v>
      </c>
      <c r="F22" s="96" t="n">
        <v>71.17</v>
      </c>
      <c r="G22" s="96" t="n">
        <v>55.67</v>
      </c>
      <c r="H22" s="96" t="n">
        <v>48.32</v>
      </c>
      <c r="I22" s="96" t="n">
        <v>37.73</v>
      </c>
      <c r="J22" s="96" t="n">
        <v>41.69</v>
      </c>
      <c r="K22" s="53" t="n">
        <f aca="false">AVERAGE(D22:J22)</f>
        <v>59.6828571428571</v>
      </c>
      <c r="L22" s="53" t="n">
        <f aca="false">J22-D22</f>
        <v>-42.76</v>
      </c>
    </row>
    <row r="23" customFormat="false" ht="15" hidden="false" customHeight="false" outlineLevel="0" collapsed="false">
      <c r="A23" s="12" t="s">
        <v>521</v>
      </c>
      <c r="B23" s="87" t="s">
        <v>522</v>
      </c>
      <c r="C23" s="17" t="s">
        <v>493</v>
      </c>
      <c r="D23" s="29" t="n">
        <f aca="false">D21-D22</f>
        <v>-106.92</v>
      </c>
      <c r="E23" s="29" t="n">
        <f aca="false">E21-E22</f>
        <v>-88.1999999999999</v>
      </c>
      <c r="F23" s="29" t="n">
        <f aca="false">F21-F22</f>
        <v>-110.33</v>
      </c>
      <c r="G23" s="29" t="n">
        <f aca="false">G21-G22</f>
        <v>-28.08</v>
      </c>
      <c r="H23" s="29" t="n">
        <f aca="false">H21-H22</f>
        <v>-31.72</v>
      </c>
      <c r="I23" s="29" t="n">
        <f aca="false">I21-I22</f>
        <v>-16.24</v>
      </c>
      <c r="J23" s="29" t="n">
        <f aca="false">J21-J22</f>
        <v>36.6300000000001</v>
      </c>
      <c r="K23" s="29" t="n">
        <f aca="false">AVERAGE(D23:J23)</f>
        <v>-49.2657142857143</v>
      </c>
      <c r="L23" s="29" t="n">
        <f aca="false">J23-D23</f>
        <v>143.55</v>
      </c>
    </row>
    <row r="24" customFormat="false" ht="15" hidden="false" customHeight="false" outlineLevel="0" collapsed="false">
      <c r="A24" s="16" t="s">
        <v>523</v>
      </c>
      <c r="B24" s="87" t="s">
        <v>524</v>
      </c>
      <c r="C24" s="17" t="s">
        <v>493</v>
      </c>
      <c r="D24" s="96" t="n">
        <v>28.99</v>
      </c>
      <c r="E24" s="96" t="n">
        <v>-939.31</v>
      </c>
      <c r="F24" s="96" t="n">
        <v>-120.45</v>
      </c>
      <c r="G24" s="96" t="n">
        <v>-780.09</v>
      </c>
      <c r="H24" s="96" t="n">
        <v>47.13</v>
      </c>
      <c r="I24" s="96" t="n">
        <v>28.77</v>
      </c>
      <c r="J24" s="96" t="n">
        <v>92.48</v>
      </c>
      <c r="K24" s="53" t="n">
        <f aca="false">AVERAGE(D24:J24)</f>
        <v>-234.64</v>
      </c>
      <c r="L24" s="53" t="n">
        <f aca="false">J24-D24</f>
        <v>63.49</v>
      </c>
    </row>
    <row r="25" customFormat="false" ht="15" hidden="false" customHeight="false" outlineLevel="0" collapsed="false">
      <c r="A25" s="16" t="s">
        <v>525</v>
      </c>
      <c r="B25" s="87" t="s">
        <v>526</v>
      </c>
      <c r="C25" s="17" t="s">
        <v>493</v>
      </c>
      <c r="D25" s="96" t="n">
        <v>55.01</v>
      </c>
      <c r="E25" s="96" t="n">
        <v>139.19</v>
      </c>
      <c r="F25" s="96" t="n">
        <v>21.34</v>
      </c>
      <c r="G25" s="96" t="n">
        <v>19.37</v>
      </c>
      <c r="H25" s="96" t="n">
        <v>39.18</v>
      </c>
      <c r="I25" s="96" t="n">
        <v>43.25</v>
      </c>
      <c r="J25" s="96" t="n">
        <v>72.02</v>
      </c>
      <c r="K25" s="53" t="n">
        <f aca="false">AVERAGE(D25:J25)</f>
        <v>55.6228571428571</v>
      </c>
      <c r="L25" s="53" t="n">
        <f aca="false">J25-D25</f>
        <v>17.01</v>
      </c>
    </row>
    <row r="26" customFormat="false" ht="15" hidden="false" customHeight="false" outlineLevel="0" collapsed="false">
      <c r="A26" s="12" t="s">
        <v>527</v>
      </c>
      <c r="B26" s="87" t="s">
        <v>528</v>
      </c>
      <c r="C26" s="17" t="s">
        <v>493</v>
      </c>
      <c r="D26" s="90" t="n">
        <f aca="false">D23+D24-D25</f>
        <v>-132.94</v>
      </c>
      <c r="E26" s="90" t="n">
        <f aca="false">E23+E24-E25</f>
        <v>-1166.7</v>
      </c>
      <c r="F26" s="90" t="n">
        <f aca="false">F23+F24-F25</f>
        <v>-252.12</v>
      </c>
      <c r="G26" s="90" t="n">
        <f aca="false">G23+G24-G25</f>
        <v>-827.54</v>
      </c>
      <c r="H26" s="90" t="n">
        <f aca="false">H23+H24-H25</f>
        <v>-23.77</v>
      </c>
      <c r="I26" s="90" t="n">
        <f aca="false">I23+I24-I25</f>
        <v>-30.72</v>
      </c>
      <c r="J26" s="90" t="n">
        <f aca="false">J23+J24-J25</f>
        <v>57.0900000000001</v>
      </c>
      <c r="K26" s="91" t="n">
        <f aca="false">AVERAGE(D26:J26)</f>
        <v>-339.528571428571</v>
      </c>
      <c r="L26" s="91" t="n">
        <f aca="false">J26-D26</f>
        <v>190.03</v>
      </c>
    </row>
    <row r="27" customFormat="false" ht="15" hidden="false" customHeight="false" outlineLevel="0" collapsed="false">
      <c r="A27" s="16" t="s">
        <v>529</v>
      </c>
      <c r="B27" s="87" t="s">
        <v>530</v>
      </c>
      <c r="C27" s="17" t="s">
        <v>493</v>
      </c>
      <c r="D27" s="96" t="n">
        <v>-23.51</v>
      </c>
      <c r="E27" s="96" t="n">
        <v>2.31</v>
      </c>
      <c r="F27" s="96" t="n">
        <v>5.17</v>
      </c>
      <c r="G27" s="96" t="n">
        <v>6.38</v>
      </c>
      <c r="H27" s="96" t="n">
        <v>4.53</v>
      </c>
      <c r="I27" s="96" t="n">
        <v>-4.73</v>
      </c>
      <c r="J27" s="96" t="n">
        <v>7.93</v>
      </c>
      <c r="K27" s="53" t="n">
        <f aca="false">AVERAGE(D27:J27)</f>
        <v>-0.274285714285715</v>
      </c>
      <c r="L27" s="53" t="n">
        <f aca="false">J27-D27</f>
        <v>31.44</v>
      </c>
    </row>
    <row r="28" customFormat="false" ht="15" hidden="false" customHeight="false" outlineLevel="0" collapsed="false">
      <c r="A28" s="16" t="s">
        <v>531</v>
      </c>
      <c r="B28" s="87" t="s">
        <v>532</v>
      </c>
      <c r="C28" s="17" t="s">
        <v>493</v>
      </c>
      <c r="D28" s="69" t="n">
        <f aca="false">D26-D27</f>
        <v>-109.43</v>
      </c>
      <c r="E28" s="69" t="n">
        <f aca="false">E26-E27</f>
        <v>-1169.01</v>
      </c>
      <c r="F28" s="69" t="n">
        <f aca="false">F26-F27</f>
        <v>-257.29</v>
      </c>
      <c r="G28" s="69" t="n">
        <f aca="false">G26-G27</f>
        <v>-833.92</v>
      </c>
      <c r="H28" s="69" t="n">
        <f aca="false">H26-H27</f>
        <v>-28.3</v>
      </c>
      <c r="I28" s="69" t="n">
        <f aca="false">I26-I27</f>
        <v>-25.99</v>
      </c>
      <c r="J28" s="69" t="n">
        <f aca="false">J26-J27</f>
        <v>49.1600000000001</v>
      </c>
      <c r="K28" s="53" t="n">
        <f aca="false">AVERAGE(D28:J28)</f>
        <v>-339.254285714286</v>
      </c>
      <c r="L28" s="53" t="n">
        <f aca="false">J28-D28</f>
        <v>158.59</v>
      </c>
    </row>
    <row r="29" customFormat="false" ht="15" hidden="false" customHeight="false" outlineLevel="0" collapsed="false">
      <c r="A29" s="16" t="s">
        <v>533</v>
      </c>
      <c r="B29" s="87" t="s">
        <v>534</v>
      </c>
      <c r="C29" s="17" t="s">
        <v>493</v>
      </c>
      <c r="D29" s="69" t="n">
        <f aca="false">D30-D28</f>
        <v>2.3899999999999</v>
      </c>
      <c r="E29" s="69" t="n">
        <f aca="false">E30-E28</f>
        <v>9.42999999999984</v>
      </c>
      <c r="F29" s="69" t="n">
        <f aca="false">F30-F28</f>
        <v>-3.13</v>
      </c>
      <c r="G29" s="69" t="n">
        <f aca="false">G30-G28</f>
        <v>-0.0199999999999818</v>
      </c>
      <c r="H29" s="69" t="n">
        <f aca="false">H30-H28</f>
        <v>0.0100000000000051</v>
      </c>
      <c r="I29" s="69" t="n">
        <f aca="false">I30-I28</f>
        <v>0.160000000000018</v>
      </c>
      <c r="J29" s="69" t="n">
        <f aca="false">J30-J28</f>
        <v>0.119999999999926</v>
      </c>
      <c r="K29" s="53" t="n">
        <f aca="false">AVERAGE(D29:J29)</f>
        <v>1.27999999999996</v>
      </c>
      <c r="L29" s="53" t="n">
        <f aca="false">J29-D29</f>
        <v>-2.26999999999997</v>
      </c>
    </row>
    <row r="30" customFormat="false" ht="15" hidden="false" customHeight="false" outlineLevel="0" collapsed="false">
      <c r="A30" s="16" t="s">
        <v>535</v>
      </c>
      <c r="B30" s="87" t="s">
        <v>536</v>
      </c>
      <c r="C30" s="17" t="s">
        <v>493</v>
      </c>
      <c r="D30" s="96" t="n">
        <v>-107.04</v>
      </c>
      <c r="E30" s="96" t="n">
        <v>-1159.58</v>
      </c>
      <c r="F30" s="96" t="n">
        <v>-260.42</v>
      </c>
      <c r="G30" s="96" t="n">
        <v>-833.94</v>
      </c>
      <c r="H30" s="96" t="n">
        <v>-28.29</v>
      </c>
      <c r="I30" s="96" t="n">
        <v>-25.83</v>
      </c>
      <c r="J30" s="96" t="n">
        <v>49.28</v>
      </c>
      <c r="K30" s="53" t="n">
        <f aca="false">AVERAGE(D30:J30)</f>
        <v>-337.974285714286</v>
      </c>
      <c r="L30" s="53" t="n">
        <f aca="false">J30-D30</f>
        <v>156.32</v>
      </c>
    </row>
    <row r="31" customFormat="false" ht="15" hidden="false" customHeight="false" outlineLevel="0" collapsed="false">
      <c r="A31" s="16" t="s">
        <v>537</v>
      </c>
      <c r="B31" s="87" t="s">
        <v>538</v>
      </c>
      <c r="C31" s="17" t="s">
        <v>493</v>
      </c>
      <c r="D31" s="96" t="n">
        <v>0</v>
      </c>
      <c r="E31" s="96" t="n">
        <v>0</v>
      </c>
      <c r="F31" s="96" t="n">
        <v>0</v>
      </c>
      <c r="G31" s="96" t="n">
        <v>0</v>
      </c>
      <c r="H31" s="96" t="n">
        <v>0</v>
      </c>
      <c r="I31" s="96" t="n">
        <v>0</v>
      </c>
      <c r="J31" s="96" t="n">
        <v>0</v>
      </c>
      <c r="K31" s="53" t="n">
        <f aca="false">AVERAGE(D31:J31)</f>
        <v>0</v>
      </c>
      <c r="L31" s="53" t="n">
        <f aca="false">J31-D31</f>
        <v>0</v>
      </c>
    </row>
    <row r="32" customFormat="false" ht="15" hidden="false" customHeight="false" outlineLevel="0" collapsed="false">
      <c r="A32" s="16" t="s">
        <v>539</v>
      </c>
      <c r="B32" s="87" t="s">
        <v>540</v>
      </c>
      <c r="C32" s="17" t="s">
        <v>493</v>
      </c>
      <c r="D32" s="96" t="n">
        <v>0</v>
      </c>
      <c r="E32" s="96" t="n">
        <v>0</v>
      </c>
      <c r="F32" s="96" t="n">
        <v>0</v>
      </c>
      <c r="G32" s="96" t="n">
        <v>0</v>
      </c>
      <c r="H32" s="96" t="n">
        <v>0</v>
      </c>
      <c r="I32" s="96" t="n">
        <v>0</v>
      </c>
      <c r="J32" s="96" t="n">
        <v>0</v>
      </c>
      <c r="K32" s="53" t="n">
        <f aca="false">AVERAGE(D32:J32)</f>
        <v>0</v>
      </c>
      <c r="L32" s="53" t="n">
        <f aca="false">J32-D32</f>
        <v>0</v>
      </c>
    </row>
    <row r="34" customFormat="false" ht="19.5" hidden="false" customHeight="true" outlineLevel="0" collapsed="false">
      <c r="A34" s="85" t="s">
        <v>541</v>
      </c>
      <c r="B34" s="86"/>
      <c r="C34" s="86"/>
      <c r="D34" s="86"/>
      <c r="E34" s="86"/>
      <c r="F34" s="86"/>
      <c r="G34" s="86"/>
      <c r="H34" s="86"/>
      <c r="I34" s="86"/>
      <c r="J34" s="86"/>
      <c r="K34" s="86"/>
      <c r="L34" s="86"/>
    </row>
    <row r="35" customFormat="false" ht="16.5" hidden="false" customHeight="true" outlineLevel="0" collapsed="false">
      <c r="A35" s="88" t="s">
        <v>542</v>
      </c>
      <c r="B35" s="89"/>
      <c r="C35" s="89"/>
      <c r="D35" s="89"/>
      <c r="E35" s="89"/>
      <c r="F35" s="89"/>
      <c r="G35" s="89"/>
      <c r="H35" s="89"/>
      <c r="I35" s="89"/>
      <c r="J35" s="89"/>
      <c r="K35" s="89"/>
      <c r="L35" s="89"/>
    </row>
    <row r="36" customFormat="false" ht="15" hidden="false" customHeight="false" outlineLevel="0" collapsed="false">
      <c r="A36" s="16" t="s">
        <v>543</v>
      </c>
      <c r="B36" s="87" t="s">
        <v>544</v>
      </c>
      <c r="C36" s="17" t="s">
        <v>493</v>
      </c>
      <c r="D36" s="96" t="n">
        <v>58.54</v>
      </c>
      <c r="E36" s="96" t="n">
        <v>58.54</v>
      </c>
      <c r="F36" s="96" t="n">
        <v>58.54</v>
      </c>
      <c r="G36" s="96" t="n">
        <v>65.25</v>
      </c>
      <c r="H36" s="96" t="n">
        <v>65.25</v>
      </c>
      <c r="I36" s="96" t="n">
        <v>65.25</v>
      </c>
      <c r="J36" s="96" t="n">
        <v>79.78</v>
      </c>
      <c r="K36" s="53" t="n">
        <f aca="false">AVERAGE(D36:J36)</f>
        <v>64.45</v>
      </c>
      <c r="L36" s="53" t="n">
        <f aca="false">J36-D36</f>
        <v>21.24</v>
      </c>
    </row>
    <row r="37" customFormat="false" ht="15" hidden="false" customHeight="false" outlineLevel="0" collapsed="false">
      <c r="A37" s="16" t="s">
        <v>545</v>
      </c>
      <c r="B37" s="87" t="s">
        <v>540</v>
      </c>
      <c r="C37" s="17" t="s">
        <v>493</v>
      </c>
      <c r="D37" s="96" t="n">
        <v>0</v>
      </c>
      <c r="E37" s="96" t="n">
        <v>0</v>
      </c>
      <c r="F37" s="96" t="n">
        <v>0</v>
      </c>
      <c r="G37" s="96" t="n">
        <v>0</v>
      </c>
      <c r="H37" s="96" t="n">
        <v>0</v>
      </c>
      <c r="I37" s="96" t="n">
        <v>0</v>
      </c>
      <c r="J37" s="96" t="n">
        <v>0</v>
      </c>
      <c r="K37" s="53" t="n">
        <f aca="false">AVERAGE(D37:J37)</f>
        <v>0</v>
      </c>
      <c r="L37" s="53" t="n">
        <f aca="false">J37-D37</f>
        <v>0</v>
      </c>
    </row>
    <row r="38" customFormat="false" ht="15" hidden="false" customHeight="false" outlineLevel="0" collapsed="false">
      <c r="A38" s="16" t="s">
        <v>546</v>
      </c>
      <c r="B38" s="87" t="s">
        <v>547</v>
      </c>
      <c r="C38" s="17" t="s">
        <v>493</v>
      </c>
      <c r="D38" s="96" t="n">
        <v>433.16</v>
      </c>
      <c r="E38" s="96" t="n">
        <v>-726.42</v>
      </c>
      <c r="F38" s="96" t="n">
        <v>-989.43</v>
      </c>
      <c r="G38" s="96" t="n">
        <v>-11.73</v>
      </c>
      <c r="H38" s="96" t="n">
        <v>-36.53</v>
      </c>
      <c r="I38" s="96" t="n">
        <v>-70.02</v>
      </c>
      <c r="J38" s="96" t="n">
        <v>51.51</v>
      </c>
      <c r="K38" s="53" t="n">
        <f aca="false">AVERAGE(D38:J38)</f>
        <v>-192.78</v>
      </c>
      <c r="L38" s="53" t="n">
        <f aca="false">J38-D38</f>
        <v>-381.65</v>
      </c>
    </row>
    <row r="39" customFormat="false" ht="15" hidden="false" customHeight="false" outlineLevel="0" collapsed="false">
      <c r="A39" s="12" t="s">
        <v>548</v>
      </c>
      <c r="B39" s="87" t="s">
        <v>549</v>
      </c>
      <c r="C39" s="17" t="s">
        <v>493</v>
      </c>
      <c r="D39" s="29" t="n">
        <f aca="false">D36+D38</f>
        <v>491.7</v>
      </c>
      <c r="E39" s="29" t="n">
        <f aca="false">E36+E38</f>
        <v>-667.88</v>
      </c>
      <c r="F39" s="29" t="n">
        <f aca="false">F36+F38</f>
        <v>-930.89</v>
      </c>
      <c r="G39" s="29" t="n">
        <f aca="false">G36+G38</f>
        <v>53.52</v>
      </c>
      <c r="H39" s="29" t="n">
        <f aca="false">H36+H38</f>
        <v>28.72</v>
      </c>
      <c r="I39" s="29" t="n">
        <f aca="false">I36+I38</f>
        <v>-4.77</v>
      </c>
      <c r="J39" s="29" t="n">
        <f aca="false">J36+J38</f>
        <v>131.29</v>
      </c>
      <c r="K39" s="29" t="n">
        <f aca="false">AVERAGE(D39:J39)</f>
        <v>-128.33</v>
      </c>
      <c r="L39" s="29" t="n">
        <f aca="false">J39-D39</f>
        <v>-360.41</v>
      </c>
    </row>
    <row r="40" customFormat="false" ht="15" hidden="false" customHeight="false" outlineLevel="0" collapsed="false">
      <c r="A40" s="12" t="s">
        <v>550</v>
      </c>
      <c r="B40" s="87" t="s">
        <v>551</v>
      </c>
      <c r="C40" s="17" t="s">
        <v>493</v>
      </c>
      <c r="D40" s="29" t="n">
        <f aca="false">D39+D37</f>
        <v>491.7</v>
      </c>
      <c r="E40" s="29" t="n">
        <f aca="false">E39+E37</f>
        <v>-667.88</v>
      </c>
      <c r="F40" s="29" t="n">
        <f aca="false">F39+F37</f>
        <v>-930.89</v>
      </c>
      <c r="G40" s="29" t="n">
        <f aca="false">G39+G37</f>
        <v>53.52</v>
      </c>
      <c r="H40" s="29" t="n">
        <f aca="false">H39+H37</f>
        <v>28.72</v>
      </c>
      <c r="I40" s="29" t="n">
        <f aca="false">I39+I37</f>
        <v>-4.77</v>
      </c>
      <c r="J40" s="29" t="n">
        <f aca="false">J39+J37</f>
        <v>131.29</v>
      </c>
      <c r="K40" s="29" t="n">
        <f aca="false">AVERAGE(D40:J40)</f>
        <v>-128.33</v>
      </c>
      <c r="L40" s="29" t="n">
        <f aca="false">J40-D40</f>
        <v>-360.41</v>
      </c>
    </row>
    <row r="41" customFormat="false" ht="15" hidden="false" customHeight="false" outlineLevel="0" collapsed="false">
      <c r="A41" s="16" t="s">
        <v>552</v>
      </c>
      <c r="B41" s="87" t="s">
        <v>553</v>
      </c>
      <c r="C41" s="17" t="s">
        <v>493</v>
      </c>
      <c r="D41" s="96" t="n">
        <v>1279.25</v>
      </c>
      <c r="E41" s="96" t="n">
        <v>1264.3</v>
      </c>
      <c r="F41" s="96" t="n">
        <v>1766.29</v>
      </c>
      <c r="G41" s="96" t="n">
        <v>483.47</v>
      </c>
      <c r="H41" s="96" t="n">
        <v>507.25</v>
      </c>
      <c r="I41" s="96" t="n">
        <v>607.8</v>
      </c>
      <c r="J41" s="96" t="n">
        <v>485.05</v>
      </c>
      <c r="K41" s="53" t="n">
        <f aca="false">AVERAGE(D41:J41)</f>
        <v>913.344285714286</v>
      </c>
      <c r="L41" s="53" t="n">
        <f aca="false">J41-D41</f>
        <v>-794.2</v>
      </c>
    </row>
    <row r="42" customFormat="false" ht="15" hidden="false" customHeight="false" outlineLevel="0" collapsed="false">
      <c r="A42" s="16" t="s">
        <v>554</v>
      </c>
      <c r="B42" s="87" t="s">
        <v>555</v>
      </c>
      <c r="C42" s="17" t="s">
        <v>493</v>
      </c>
      <c r="D42" s="96" t="n">
        <v>995.99</v>
      </c>
      <c r="E42" s="96" t="n">
        <v>1134.64</v>
      </c>
      <c r="F42" s="96" t="n">
        <v>730.18</v>
      </c>
      <c r="G42" s="96" t="n">
        <v>256.02</v>
      </c>
      <c r="H42" s="96" t="n">
        <v>231.57</v>
      </c>
      <c r="I42" s="96" t="n">
        <v>255.88</v>
      </c>
      <c r="J42" s="96" t="n">
        <v>290.39</v>
      </c>
      <c r="K42" s="53" t="n">
        <f aca="false">AVERAGE(D42:J42)</f>
        <v>556.381428571429</v>
      </c>
      <c r="L42" s="53" t="n">
        <f aca="false">J42-D42</f>
        <v>-705.6</v>
      </c>
    </row>
    <row r="43" customFormat="false" ht="15" hidden="false" customHeight="false" outlineLevel="0" collapsed="false">
      <c r="A43" s="12" t="s">
        <v>556</v>
      </c>
      <c r="B43" s="87" t="s">
        <v>557</v>
      </c>
      <c r="C43" s="17" t="s">
        <v>493</v>
      </c>
      <c r="D43" s="90" t="n">
        <f aca="false">D40+D41+D42</f>
        <v>2766.94</v>
      </c>
      <c r="E43" s="90" t="n">
        <f aca="false">E40+E41+E42</f>
        <v>1731.06</v>
      </c>
      <c r="F43" s="90" t="n">
        <f aca="false">F40+F41+F42</f>
        <v>1565.58</v>
      </c>
      <c r="G43" s="90" t="n">
        <f aca="false">G40+G41+G42</f>
        <v>793.01</v>
      </c>
      <c r="H43" s="90" t="n">
        <f aca="false">H40+H41+H42</f>
        <v>767.54</v>
      </c>
      <c r="I43" s="90" t="n">
        <f aca="false">I40+I41+I42</f>
        <v>858.91</v>
      </c>
      <c r="J43" s="90" t="n">
        <f aca="false">J40+J41+J42</f>
        <v>906.73</v>
      </c>
      <c r="K43" s="91" t="n">
        <f aca="false">AVERAGE(D43:J43)</f>
        <v>1341.39571428571</v>
      </c>
      <c r="L43" s="91" t="n">
        <f aca="false">J43-D43</f>
        <v>-1860.21</v>
      </c>
    </row>
    <row r="44" customFormat="false" ht="16.5" hidden="false" customHeight="true" outlineLevel="0" collapsed="false">
      <c r="A44" s="88" t="s">
        <v>558</v>
      </c>
      <c r="B44" s="89"/>
      <c r="C44" s="89"/>
      <c r="D44" s="89"/>
      <c r="E44" s="89"/>
      <c r="F44" s="89"/>
      <c r="G44" s="89"/>
      <c r="H44" s="89"/>
      <c r="I44" s="89"/>
      <c r="J44" s="89"/>
      <c r="K44" s="89"/>
      <c r="L44" s="89"/>
    </row>
    <row r="45" customFormat="false" ht="15" hidden="false" customHeight="false" outlineLevel="0" collapsed="false">
      <c r="A45" s="16" t="s">
        <v>559</v>
      </c>
      <c r="B45" s="87" t="s">
        <v>560</v>
      </c>
      <c r="C45" s="17" t="s">
        <v>493</v>
      </c>
      <c r="D45" s="96" t="n">
        <v>939.98</v>
      </c>
      <c r="E45" s="96" t="n">
        <v>839.47</v>
      </c>
      <c r="F45" s="96" t="n">
        <v>764</v>
      </c>
      <c r="G45" s="96" t="n">
        <v>605.36</v>
      </c>
      <c r="H45" s="96" t="n">
        <v>557.28</v>
      </c>
      <c r="I45" s="96" t="n">
        <v>601.96</v>
      </c>
      <c r="J45" s="96" t="n">
        <v>555.49</v>
      </c>
      <c r="K45" s="53" t="n">
        <f aca="false">AVERAGE(D45:J45)</f>
        <v>694.791428571429</v>
      </c>
      <c r="L45" s="53" t="n">
        <f aca="false">J45-D45</f>
        <v>-384.49</v>
      </c>
    </row>
    <row r="46" customFormat="false" ht="15" hidden="false" customHeight="false" outlineLevel="0" collapsed="false">
      <c r="A46" s="16" t="s">
        <v>561</v>
      </c>
      <c r="B46" s="87" t="s">
        <v>562</v>
      </c>
      <c r="C46" s="17" t="s">
        <v>493</v>
      </c>
      <c r="D46" s="96" t="n">
        <v>1284.46</v>
      </c>
      <c r="E46" s="96" t="n">
        <v>394.4</v>
      </c>
      <c r="F46" s="96" t="n">
        <v>408.37</v>
      </c>
      <c r="G46" s="96" t="n">
        <v>0</v>
      </c>
      <c r="H46" s="96" t="n">
        <v>10.2</v>
      </c>
      <c r="I46" s="96" t="n">
        <v>52.14</v>
      </c>
      <c r="J46" s="96" t="n">
        <v>4.2</v>
      </c>
      <c r="K46" s="53" t="n">
        <f aca="false">AVERAGE(D46:J46)</f>
        <v>307.681428571429</v>
      </c>
      <c r="L46" s="53" t="n">
        <f aca="false">J46-D46</f>
        <v>-1280.26</v>
      </c>
    </row>
    <row r="47" customFormat="false" ht="15" hidden="false" customHeight="false" outlineLevel="0" collapsed="false">
      <c r="A47" s="16" t="s">
        <v>563</v>
      </c>
      <c r="B47" s="87" t="s">
        <v>564</v>
      </c>
      <c r="C47" s="17" t="s">
        <v>493</v>
      </c>
      <c r="D47" s="96" t="n">
        <v>5.86</v>
      </c>
      <c r="E47" s="96" t="n">
        <v>8.83</v>
      </c>
      <c r="F47" s="96" t="n">
        <v>0.58</v>
      </c>
      <c r="G47" s="96" t="n">
        <v>0.56</v>
      </c>
      <c r="H47" s="96" t="n">
        <v>0.58</v>
      </c>
      <c r="I47" s="96" t="n">
        <v>0.73</v>
      </c>
      <c r="J47" s="96" t="n">
        <v>15.92</v>
      </c>
      <c r="K47" s="53" t="n">
        <f aca="false">AVERAGE(D47:J47)</f>
        <v>4.72285714285714</v>
      </c>
      <c r="L47" s="53" t="n">
        <f aca="false">J47-D47</f>
        <v>10.06</v>
      </c>
    </row>
    <row r="48" customFormat="false" ht="15" hidden="false" customHeight="false" outlineLevel="0" collapsed="false">
      <c r="A48" s="16" t="s">
        <v>565</v>
      </c>
      <c r="B48" s="87" t="s">
        <v>566</v>
      </c>
      <c r="C48" s="17" t="s">
        <v>493</v>
      </c>
      <c r="D48" s="96" t="n">
        <v>536.64</v>
      </c>
      <c r="E48" s="96" t="n">
        <v>488.36</v>
      </c>
      <c r="F48" s="96" t="n">
        <v>392.63</v>
      </c>
      <c r="G48" s="96" t="n">
        <v>187.09</v>
      </c>
      <c r="H48" s="96" t="n">
        <v>199.48</v>
      </c>
      <c r="I48" s="96" t="n">
        <v>204.08</v>
      </c>
      <c r="J48" s="96" t="n">
        <v>331.12</v>
      </c>
      <c r="K48" s="53" t="n">
        <f aca="false">AVERAGE(D48:J48)</f>
        <v>334.2</v>
      </c>
      <c r="L48" s="53" t="n">
        <f aca="false">J48-D48</f>
        <v>-205.52</v>
      </c>
    </row>
    <row r="49" customFormat="false" ht="15" hidden="false" customHeight="false" outlineLevel="0" collapsed="false">
      <c r="A49" s="12" t="s">
        <v>567</v>
      </c>
      <c r="B49" s="87" t="s">
        <v>568</v>
      </c>
      <c r="C49" s="17" t="s">
        <v>493</v>
      </c>
      <c r="D49" s="90" t="n">
        <f aca="false">D45+D46+D47+D48</f>
        <v>2766.94</v>
      </c>
      <c r="E49" s="90" t="n">
        <f aca="false">E45+E46+E47+E48</f>
        <v>1731.06</v>
      </c>
      <c r="F49" s="90" t="n">
        <f aca="false">F45+F46+F47+F48</f>
        <v>1565.58</v>
      </c>
      <c r="G49" s="90" t="n">
        <f aca="false">G45+G46+G47+G48</f>
        <v>793.01</v>
      </c>
      <c r="H49" s="90" t="n">
        <f aca="false">H45+H46+H47+H48</f>
        <v>767.54</v>
      </c>
      <c r="I49" s="90" t="n">
        <f aca="false">I45+I46+I47+I48</f>
        <v>858.91</v>
      </c>
      <c r="J49" s="90" t="n">
        <f aca="false">J45+J46+J47+J48</f>
        <v>906.73</v>
      </c>
      <c r="K49" s="91" t="n">
        <f aca="false">AVERAGE(D49:J49)</f>
        <v>1341.39571428571</v>
      </c>
      <c r="L49" s="91" t="n">
        <f aca="false">J49-D49</f>
        <v>-1860.21</v>
      </c>
    </row>
    <row r="50" customFormat="false" ht="15" hidden="false" customHeight="false" outlineLevel="0" collapsed="false">
      <c r="A50" s="16" t="s">
        <v>569</v>
      </c>
      <c r="B50" s="87" t="s">
        <v>570</v>
      </c>
      <c r="C50" s="17" t="s">
        <v>493</v>
      </c>
      <c r="D50" s="96" t="n">
        <v>240.53</v>
      </c>
      <c r="E50" s="96" t="n">
        <v>212.81</v>
      </c>
      <c r="F50" s="96" t="n">
        <v>141.75</v>
      </c>
      <c r="G50" s="96" t="n">
        <v>54.66</v>
      </c>
      <c r="H50" s="96" t="n">
        <v>44.06</v>
      </c>
      <c r="I50" s="96" t="n">
        <v>72.13</v>
      </c>
      <c r="J50" s="96" t="n">
        <v>95.95</v>
      </c>
      <c r="K50" s="53" t="n">
        <f aca="false">AVERAGE(D50:J50)</f>
        <v>123.127142857143</v>
      </c>
      <c r="L50" s="53" t="n">
        <f aca="false">J50-D50</f>
        <v>-144.58</v>
      </c>
    </row>
    <row r="51" customFormat="false" ht="15" hidden="false" customHeight="false" outlineLevel="0" collapsed="false">
      <c r="A51" s="16" t="s">
        <v>571</v>
      </c>
      <c r="B51" s="87" t="s">
        <v>570</v>
      </c>
      <c r="C51" s="17" t="s">
        <v>493</v>
      </c>
      <c r="D51" s="96" t="n">
        <v>16.27</v>
      </c>
      <c r="E51" s="96" t="n">
        <v>15.07</v>
      </c>
      <c r="F51" s="96" t="n">
        <v>9.39</v>
      </c>
      <c r="G51" s="96" t="n">
        <v>1.87</v>
      </c>
      <c r="H51" s="96" t="n">
        <v>1.87</v>
      </c>
      <c r="I51" s="96" t="n">
        <v>1.87</v>
      </c>
      <c r="J51" s="96" t="n">
        <v>0.04</v>
      </c>
      <c r="K51" s="53" t="n">
        <f aca="false">AVERAGE(D51:J51)</f>
        <v>6.62571428571429</v>
      </c>
      <c r="L51" s="53" t="n">
        <f aca="false">J51-D51</f>
        <v>-16.23</v>
      </c>
    </row>
    <row r="52" customFormat="false" ht="15" hidden="false" customHeight="false" outlineLevel="0" collapsed="false">
      <c r="A52" s="16" t="s">
        <v>572</v>
      </c>
      <c r="B52" s="87" t="s">
        <v>570</v>
      </c>
      <c r="C52" s="17" t="s">
        <v>493</v>
      </c>
      <c r="D52" s="96" t="n">
        <v>50.26</v>
      </c>
      <c r="E52" s="96" t="n">
        <v>64.62</v>
      </c>
      <c r="F52" s="96" t="n">
        <v>86.52</v>
      </c>
      <c r="G52" s="96" t="n">
        <v>82.46</v>
      </c>
      <c r="H52" s="96" t="n">
        <v>119.31</v>
      </c>
      <c r="I52" s="96" t="n">
        <v>86.51</v>
      </c>
      <c r="J52" s="96" t="n">
        <v>65.97</v>
      </c>
      <c r="K52" s="53" t="n">
        <f aca="false">AVERAGE(D52:J52)</f>
        <v>79.3785714285714</v>
      </c>
      <c r="L52" s="53" t="n">
        <f aca="false">J52-D52</f>
        <v>15.71</v>
      </c>
    </row>
    <row r="53" customFormat="false" ht="15" hidden="false" customHeight="false" outlineLevel="0" collapsed="false">
      <c r="A53" s="16" t="s">
        <v>573</v>
      </c>
      <c r="B53" s="87" t="s">
        <v>574</v>
      </c>
      <c r="C53" s="17" t="s">
        <v>493</v>
      </c>
      <c r="D53" s="92" t="n">
        <f aca="false">D49-D43</f>
        <v>0</v>
      </c>
      <c r="E53" s="92" t="n">
        <f aca="false">E49-E43</f>
        <v>0</v>
      </c>
      <c r="F53" s="92" t="n">
        <f aca="false">F49-F43</f>
        <v>0</v>
      </c>
      <c r="G53" s="92" t="n">
        <f aca="false">G49-G43</f>
        <v>0</v>
      </c>
      <c r="H53" s="92" t="n">
        <f aca="false">H49-H43</f>
        <v>0</v>
      </c>
      <c r="I53" s="92" t="n">
        <f aca="false">I49-I43</f>
        <v>0</v>
      </c>
      <c r="J53" s="92" t="n">
        <f aca="false">J49-J43</f>
        <v>0</v>
      </c>
      <c r="K53" s="53"/>
      <c r="L53" s="53"/>
    </row>
    <row r="55" customFormat="false" ht="19.5" hidden="false" customHeight="true" outlineLevel="0" collapsed="false">
      <c r="A55" s="85" t="s">
        <v>575</v>
      </c>
      <c r="B55" s="86"/>
      <c r="C55" s="86"/>
      <c r="D55" s="86"/>
      <c r="E55" s="86"/>
      <c r="F55" s="86"/>
      <c r="G55" s="86"/>
      <c r="H55" s="86"/>
      <c r="I55" s="86"/>
      <c r="J55" s="86"/>
      <c r="K55" s="86"/>
      <c r="L55" s="86"/>
    </row>
    <row r="56" customFormat="false" ht="16.5" hidden="false" customHeight="true" outlineLevel="0" collapsed="false">
      <c r="A56" s="88" t="s">
        <v>576</v>
      </c>
      <c r="B56" s="89"/>
      <c r="C56" s="89"/>
      <c r="D56" s="89"/>
      <c r="E56" s="89"/>
      <c r="F56" s="89"/>
      <c r="G56" s="89"/>
      <c r="H56" s="89"/>
      <c r="I56" s="89"/>
      <c r="J56" s="89"/>
      <c r="K56" s="89"/>
      <c r="L56" s="89"/>
    </row>
    <row r="57" customFormat="false" ht="15" hidden="false" customHeight="false" outlineLevel="0" collapsed="false">
      <c r="A57" s="16" t="s">
        <v>527</v>
      </c>
      <c r="B57" s="87" t="s">
        <v>577</v>
      </c>
      <c r="C57" s="17" t="s">
        <v>493</v>
      </c>
      <c r="D57" s="69" t="n">
        <f aca="false">D26</f>
        <v>-132.94</v>
      </c>
      <c r="E57" s="69" t="n">
        <f aca="false">E26</f>
        <v>-1166.7</v>
      </c>
      <c r="F57" s="69" t="n">
        <f aca="false">F26</f>
        <v>-252.12</v>
      </c>
      <c r="G57" s="69" t="n">
        <f aca="false">G26</f>
        <v>-827.54</v>
      </c>
      <c r="H57" s="69" t="n">
        <f aca="false">H26</f>
        <v>-23.77</v>
      </c>
      <c r="I57" s="69" t="n">
        <f aca="false">I26</f>
        <v>-30.72</v>
      </c>
      <c r="J57" s="69" t="n">
        <f aca="false">J26</f>
        <v>57.0900000000001</v>
      </c>
      <c r="K57" s="53" t="n">
        <f aca="false">AVERAGE(D57:J57)</f>
        <v>-339.528571428571</v>
      </c>
      <c r="L57" s="53" t="n">
        <f aca="false">J57-D57</f>
        <v>190.03</v>
      </c>
    </row>
    <row r="58" customFormat="false" ht="15" hidden="false" customHeight="false" outlineLevel="0" collapsed="false">
      <c r="A58" s="16" t="s">
        <v>578</v>
      </c>
      <c r="B58" s="87" t="s">
        <v>579</v>
      </c>
      <c r="C58" s="17" t="s">
        <v>493</v>
      </c>
      <c r="D58" s="69" t="n">
        <f aca="false">D22</f>
        <v>84.45</v>
      </c>
      <c r="E58" s="69" t="n">
        <f aca="false">E22</f>
        <v>78.75</v>
      </c>
      <c r="F58" s="69" t="n">
        <f aca="false">F22</f>
        <v>71.17</v>
      </c>
      <c r="G58" s="69" t="n">
        <f aca="false">G22</f>
        <v>55.67</v>
      </c>
      <c r="H58" s="69" t="n">
        <f aca="false">H22</f>
        <v>48.32</v>
      </c>
      <c r="I58" s="69" t="n">
        <f aca="false">I22</f>
        <v>37.73</v>
      </c>
      <c r="J58" s="69" t="n">
        <f aca="false">J22</f>
        <v>41.69</v>
      </c>
      <c r="K58" s="53" t="n">
        <f aca="false">AVERAGE(D58:J58)</f>
        <v>59.6828571428571</v>
      </c>
      <c r="L58" s="53" t="n">
        <f aca="false">J58-D58</f>
        <v>-42.76</v>
      </c>
    </row>
    <row r="59" customFormat="false" ht="15" hidden="false" customHeight="false" outlineLevel="0" collapsed="false">
      <c r="A59" s="16" t="s">
        <v>580</v>
      </c>
      <c r="B59" s="87" t="s">
        <v>581</v>
      </c>
      <c r="C59" s="17" t="s">
        <v>493</v>
      </c>
      <c r="D59" s="69" t="n">
        <f aca="false">D25</f>
        <v>55.01</v>
      </c>
      <c r="E59" s="69" t="n">
        <f aca="false">E25</f>
        <v>139.19</v>
      </c>
      <c r="F59" s="69" t="n">
        <f aca="false">F25</f>
        <v>21.34</v>
      </c>
      <c r="G59" s="69" t="n">
        <f aca="false">G25</f>
        <v>19.37</v>
      </c>
      <c r="H59" s="69" t="n">
        <f aca="false">H25</f>
        <v>39.18</v>
      </c>
      <c r="I59" s="69" t="n">
        <f aca="false">I25</f>
        <v>43.25</v>
      </c>
      <c r="J59" s="69" t="n">
        <f aca="false">J25</f>
        <v>72.02</v>
      </c>
      <c r="K59" s="53" t="n">
        <f aca="false">AVERAGE(D59:J59)</f>
        <v>55.6228571428571</v>
      </c>
      <c r="L59" s="53" t="n">
        <f aca="false">J59-D59</f>
        <v>17.01</v>
      </c>
    </row>
    <row r="60" customFormat="false" ht="15" hidden="false" customHeight="false" outlineLevel="0" collapsed="false">
      <c r="A60" s="16" t="s">
        <v>582</v>
      </c>
      <c r="B60" s="87" t="s">
        <v>583</v>
      </c>
      <c r="C60" s="17" t="s">
        <v>493</v>
      </c>
      <c r="D60" s="69" t="n">
        <f aca="false">-D24</f>
        <v>-28.99</v>
      </c>
      <c r="E60" s="69" t="n">
        <f aca="false">-E24</f>
        <v>939.31</v>
      </c>
      <c r="F60" s="69" t="n">
        <f aca="false">-F24</f>
        <v>120.45</v>
      </c>
      <c r="G60" s="69" t="n">
        <f aca="false">-G24</f>
        <v>780.09</v>
      </c>
      <c r="H60" s="69" t="n">
        <f aca="false">-H24</f>
        <v>-47.13</v>
      </c>
      <c r="I60" s="69" t="n">
        <f aca="false">-I24</f>
        <v>-28.77</v>
      </c>
      <c r="J60" s="69" t="n">
        <f aca="false">-J24</f>
        <v>-92.48</v>
      </c>
      <c r="K60" s="53" t="n">
        <f aca="false">AVERAGE(D60:J60)</f>
        <v>234.64</v>
      </c>
      <c r="L60" s="53" t="n">
        <f aca="false">J60-D60</f>
        <v>-63.49</v>
      </c>
    </row>
    <row r="61" customFormat="false" ht="15" hidden="false" customHeight="false" outlineLevel="0" collapsed="false">
      <c r="A61" s="12" t="s">
        <v>584</v>
      </c>
      <c r="B61" s="87" t="s">
        <v>585</v>
      </c>
      <c r="C61" s="17" t="s">
        <v>493</v>
      </c>
      <c r="D61" s="29" t="n">
        <f aca="false">D57+D58+D59+D60</f>
        <v>-22.4699999999999</v>
      </c>
      <c r="E61" s="29" t="n">
        <f aca="false">E57+E58+E59+E60</f>
        <v>-9.44999999999982</v>
      </c>
      <c r="F61" s="29" t="n">
        <f aca="false">F57+F58+F59+F60</f>
        <v>-39.16</v>
      </c>
      <c r="G61" s="29" t="n">
        <f aca="false">G57+G58+G59+G60</f>
        <v>27.5899999999999</v>
      </c>
      <c r="H61" s="29" t="n">
        <f aca="false">H57+H58+H59+H60</f>
        <v>16.6</v>
      </c>
      <c r="I61" s="29" t="n">
        <f aca="false">I57+I58+I59+I60</f>
        <v>21.49</v>
      </c>
      <c r="J61" s="29" t="n">
        <f aca="false">J57+J58+J59+J60</f>
        <v>78.3200000000001</v>
      </c>
      <c r="K61" s="29" t="n">
        <f aca="false">AVERAGE(D61:J61)</f>
        <v>10.4171428571429</v>
      </c>
      <c r="L61" s="29" t="n">
        <f aca="false">J61-D61</f>
        <v>100.79</v>
      </c>
    </row>
    <row r="62" customFormat="false" ht="15" hidden="false" customHeight="false" outlineLevel="0" collapsed="false">
      <c r="A62" s="16" t="s">
        <v>586</v>
      </c>
      <c r="B62" s="87" t="s">
        <v>587</v>
      </c>
      <c r="C62" s="17" t="s">
        <v>493</v>
      </c>
      <c r="D62" s="69" t="n">
        <f aca="false">D63-D61</f>
        <v>314.82</v>
      </c>
      <c r="E62" s="69" t="n">
        <f aca="false">E63-E61</f>
        <v>167.68</v>
      </c>
      <c r="F62" s="69" t="n">
        <f aca="false">F63-F61</f>
        <v>106.72</v>
      </c>
      <c r="G62" s="69" t="n">
        <f aca="false">G63-G61</f>
        <v>-20.9799999999999</v>
      </c>
      <c r="H62" s="69" t="n">
        <f aca="false">H63-H61</f>
        <v>-8.60999999999999</v>
      </c>
      <c r="I62" s="69" t="n">
        <f aca="false">I63-I61</f>
        <v>-1.47999999999998</v>
      </c>
      <c r="J62" s="69" t="n">
        <f aca="false">J63-J61</f>
        <v>-26.0100000000001</v>
      </c>
      <c r="K62" s="53" t="n">
        <f aca="false">AVERAGE(D62:J62)</f>
        <v>76.02</v>
      </c>
      <c r="L62" s="53" t="n">
        <f aca="false">J62-D62</f>
        <v>-340.83</v>
      </c>
    </row>
    <row r="63" customFormat="false" ht="15" hidden="false" customHeight="false" outlineLevel="0" collapsed="false">
      <c r="A63" s="16" t="s">
        <v>588</v>
      </c>
      <c r="B63" s="87" t="s">
        <v>589</v>
      </c>
      <c r="C63" s="17" t="s">
        <v>493</v>
      </c>
      <c r="D63" s="96" t="n">
        <v>292.35</v>
      </c>
      <c r="E63" s="96" t="n">
        <v>158.23</v>
      </c>
      <c r="F63" s="96" t="n">
        <v>67.56</v>
      </c>
      <c r="G63" s="96" t="n">
        <v>6.61</v>
      </c>
      <c r="H63" s="96" t="n">
        <v>7.99</v>
      </c>
      <c r="I63" s="96" t="n">
        <v>20.01</v>
      </c>
      <c r="J63" s="96" t="n">
        <v>52.31</v>
      </c>
      <c r="K63" s="53" t="n">
        <f aca="false">AVERAGE(D63:J63)</f>
        <v>86.4371428571429</v>
      </c>
      <c r="L63" s="53" t="n">
        <f aca="false">J63-D63</f>
        <v>-240.04</v>
      </c>
    </row>
    <row r="64" customFormat="false" ht="16.5" hidden="false" customHeight="true" outlineLevel="0" collapsed="false">
      <c r="A64" s="88" t="s">
        <v>590</v>
      </c>
      <c r="B64" s="89"/>
      <c r="C64" s="89"/>
      <c r="D64" s="89"/>
      <c r="E64" s="89"/>
      <c r="F64" s="89"/>
      <c r="G64" s="89"/>
      <c r="H64" s="89"/>
      <c r="I64" s="89"/>
      <c r="J64" s="89"/>
      <c r="K64" s="89"/>
      <c r="L64" s="89"/>
    </row>
    <row r="65" customFormat="false" ht="15" hidden="false" customHeight="false" outlineLevel="0" collapsed="false">
      <c r="A65" s="16" t="s">
        <v>591</v>
      </c>
      <c r="B65" s="87" t="s">
        <v>592</v>
      </c>
      <c r="C65" s="17" t="s">
        <v>493</v>
      </c>
      <c r="D65" s="96" t="n">
        <v>-242.29</v>
      </c>
      <c r="E65" s="96" t="n">
        <v>-25.83</v>
      </c>
      <c r="F65" s="96" t="n">
        <v>-54.56</v>
      </c>
      <c r="G65" s="96" t="n">
        <v>69.64</v>
      </c>
      <c r="H65" s="96" t="n">
        <v>-7.25</v>
      </c>
      <c r="I65" s="96" t="n">
        <v>-63.84</v>
      </c>
      <c r="J65" s="96" t="n">
        <v>19.93</v>
      </c>
      <c r="K65" s="53" t="n">
        <f aca="false">AVERAGE(D65:J65)</f>
        <v>-43.4571428571429</v>
      </c>
      <c r="L65" s="53" t="n">
        <f aca="false">J65-D65</f>
        <v>262.22</v>
      </c>
    </row>
    <row r="66" customFormat="false" ht="16.5" hidden="false" customHeight="true" outlineLevel="0" collapsed="false">
      <c r="A66" s="88" t="s">
        <v>593</v>
      </c>
      <c r="B66" s="89"/>
      <c r="C66" s="89"/>
      <c r="D66" s="89"/>
      <c r="E66" s="89"/>
      <c r="F66" s="89"/>
      <c r="G66" s="89"/>
      <c r="H66" s="89"/>
      <c r="I66" s="89"/>
      <c r="J66" s="89"/>
      <c r="K66" s="89"/>
      <c r="L66" s="89"/>
    </row>
    <row r="67" customFormat="false" ht="15" hidden="false" customHeight="false" outlineLevel="0" collapsed="false">
      <c r="A67" s="16" t="s">
        <v>594</v>
      </c>
      <c r="B67" s="87" t="s">
        <v>595</v>
      </c>
      <c r="C67" s="17" t="s">
        <v>493</v>
      </c>
      <c r="D67" s="69" t="n">
        <f aca="false">-D25</f>
        <v>-55.01</v>
      </c>
      <c r="E67" s="69" t="n">
        <f aca="false">-E25</f>
        <v>-139.19</v>
      </c>
      <c r="F67" s="69" t="n">
        <f aca="false">-F25</f>
        <v>-21.34</v>
      </c>
      <c r="G67" s="69" t="n">
        <f aca="false">-G25</f>
        <v>-19.37</v>
      </c>
      <c r="H67" s="69" t="n">
        <f aca="false">-H25</f>
        <v>-39.18</v>
      </c>
      <c r="I67" s="69" t="n">
        <f aca="false">-I25</f>
        <v>-43.25</v>
      </c>
      <c r="J67" s="69" t="n">
        <f aca="false">-J25</f>
        <v>-72.02</v>
      </c>
      <c r="K67" s="53" t="n">
        <f aca="false">AVERAGE(D67:J67)</f>
        <v>-55.6228571428571</v>
      </c>
      <c r="L67" s="53" t="n">
        <f aca="false">J67-D67</f>
        <v>-17.01</v>
      </c>
    </row>
    <row r="68" customFormat="false" ht="15" hidden="false" customHeight="false" outlineLevel="0" collapsed="false">
      <c r="A68" s="16" t="s">
        <v>596</v>
      </c>
      <c r="B68" s="87" t="s">
        <v>597</v>
      </c>
      <c r="C68" s="17" t="s">
        <v>493</v>
      </c>
      <c r="D68" s="69" t="n">
        <f aca="false">-D31</f>
        <v>-0</v>
      </c>
      <c r="E68" s="69" t="n">
        <f aca="false">-E31</f>
        <v>-0</v>
      </c>
      <c r="F68" s="69" t="n">
        <f aca="false">-F31</f>
        <v>-0</v>
      </c>
      <c r="G68" s="69" t="n">
        <f aca="false">-G31</f>
        <v>-0</v>
      </c>
      <c r="H68" s="69" t="n">
        <f aca="false">-H31</f>
        <v>-0</v>
      </c>
      <c r="I68" s="69" t="n">
        <f aca="false">-I31</f>
        <v>-0</v>
      </c>
      <c r="J68" s="69" t="n">
        <f aca="false">-J31</f>
        <v>-0</v>
      </c>
      <c r="K68" s="53" t="n">
        <f aca="false">AVERAGE(D68:J68)</f>
        <v>0</v>
      </c>
      <c r="L68" s="53" t="n">
        <f aca="false">J68-D68</f>
        <v>0</v>
      </c>
    </row>
    <row r="69" customFormat="false" ht="15" hidden="false" customHeight="false" outlineLevel="0" collapsed="false">
      <c r="A69" s="16" t="s">
        <v>598</v>
      </c>
      <c r="B69" s="87" t="s">
        <v>599</v>
      </c>
      <c r="C69" s="17" t="s">
        <v>493</v>
      </c>
      <c r="D69" s="69" t="n">
        <f aca="false">D70-D67-D68</f>
        <v>7.57</v>
      </c>
      <c r="E69" s="69" t="n">
        <f aca="false">E70-E67-E68</f>
        <v>29.53</v>
      </c>
      <c r="F69" s="69" t="n">
        <f aca="false">F70-F67-F68</f>
        <v>-14.21</v>
      </c>
      <c r="G69" s="69" t="n">
        <f aca="false">G70-G67-G68</f>
        <v>-3.63</v>
      </c>
      <c r="H69" s="69" t="n">
        <f aca="false">H70-H67-H68</f>
        <v>63.89</v>
      </c>
      <c r="I69" s="69" t="n">
        <f aca="false">I70-I67-I68</f>
        <v>40.2</v>
      </c>
      <c r="J69" s="69" t="n">
        <f aca="false">J70-J67-J68</f>
        <v>-15.89</v>
      </c>
      <c r="K69" s="53" t="n">
        <f aca="false">AVERAGE(D69:J69)</f>
        <v>15.3514285714286</v>
      </c>
      <c r="L69" s="53" t="n">
        <f aca="false">J69-D69</f>
        <v>-23.46</v>
      </c>
    </row>
    <row r="70" customFormat="false" ht="15" hidden="false" customHeight="false" outlineLevel="0" collapsed="false">
      <c r="A70" s="16" t="s">
        <v>600</v>
      </c>
      <c r="B70" s="87" t="s">
        <v>601</v>
      </c>
      <c r="C70" s="17" t="s">
        <v>493</v>
      </c>
      <c r="D70" s="96" t="n">
        <v>-47.44</v>
      </c>
      <c r="E70" s="96" t="n">
        <v>-109.66</v>
      </c>
      <c r="F70" s="96" t="n">
        <v>-35.55</v>
      </c>
      <c r="G70" s="96" t="n">
        <v>-23</v>
      </c>
      <c r="H70" s="96" t="n">
        <v>24.71</v>
      </c>
      <c r="I70" s="96" t="n">
        <v>-3.05</v>
      </c>
      <c r="J70" s="96" t="n">
        <v>-87.91</v>
      </c>
      <c r="K70" s="53" t="n">
        <f aca="false">AVERAGE(D70:J70)</f>
        <v>-40.2714285714286</v>
      </c>
      <c r="L70" s="53" t="n">
        <f aca="false">J70-D70</f>
        <v>-40.47</v>
      </c>
    </row>
    <row r="71" customFormat="false" ht="15" hidden="false" customHeight="false" outlineLevel="0" collapsed="false">
      <c r="A71" s="12" t="s">
        <v>602</v>
      </c>
      <c r="B71" s="87" t="s">
        <v>603</v>
      </c>
      <c r="C71" s="17" t="s">
        <v>493</v>
      </c>
      <c r="D71" s="90" t="n">
        <f aca="false">D63+D65+D70</f>
        <v>2.62000000000003</v>
      </c>
      <c r="E71" s="90" t="n">
        <f aca="false">E63+E65+E70</f>
        <v>22.74</v>
      </c>
      <c r="F71" s="90" t="n">
        <f aca="false">F63+F65+F70</f>
        <v>-22.55</v>
      </c>
      <c r="G71" s="90" t="n">
        <f aca="false">G63+G65+G70</f>
        <v>53.25</v>
      </c>
      <c r="H71" s="90" t="n">
        <f aca="false">H63+H65+H70</f>
        <v>25.45</v>
      </c>
      <c r="I71" s="90" t="n">
        <f aca="false">I63+I65+I70</f>
        <v>-46.88</v>
      </c>
      <c r="J71" s="90" t="n">
        <f aca="false">J63+J65+J70</f>
        <v>-15.67</v>
      </c>
      <c r="K71" s="91" t="n">
        <f aca="false">AVERAGE(D71:J71)</f>
        <v>2.70857142857143</v>
      </c>
      <c r="L71" s="91" t="n">
        <f aca="false">J71-D71</f>
        <v>-18.29</v>
      </c>
    </row>
    <row r="72" customFormat="false" ht="15" hidden="false" customHeight="false" outlineLevel="0" collapsed="false">
      <c r="A72" s="12" t="s">
        <v>604</v>
      </c>
      <c r="B72" s="87" t="s">
        <v>605</v>
      </c>
      <c r="C72" s="17" t="s">
        <v>493</v>
      </c>
      <c r="D72" s="29" t="n">
        <f aca="false">D63+D65</f>
        <v>50.06</v>
      </c>
      <c r="E72" s="29" t="n">
        <f aca="false">E63+E65</f>
        <v>132.4</v>
      </c>
      <c r="F72" s="29" t="n">
        <f aca="false">F63+F65</f>
        <v>13</v>
      </c>
      <c r="G72" s="29" t="n">
        <f aca="false">G63+G65</f>
        <v>76.25</v>
      </c>
      <c r="H72" s="29" t="n">
        <f aca="false">H63+H65</f>
        <v>0.74</v>
      </c>
      <c r="I72" s="29" t="n">
        <f aca="false">I63+I65</f>
        <v>-43.83</v>
      </c>
      <c r="J72" s="29" t="n">
        <f aca="false">J63+J65</f>
        <v>72.24</v>
      </c>
      <c r="K72" s="29" t="n">
        <f aca="false">AVERAGE(D72:J72)</f>
        <v>42.98</v>
      </c>
      <c r="L72" s="29" t="n">
        <f aca="false">J72-D72</f>
        <v>22.18</v>
      </c>
    </row>
    <row r="73" customFormat="false" ht="15" hidden="false" customHeight="false" outlineLevel="0" collapsed="false">
      <c r="A73" s="16" t="s">
        <v>606</v>
      </c>
      <c r="B73" s="87" t="s">
        <v>607</v>
      </c>
      <c r="C73" s="17" t="s">
        <v>493</v>
      </c>
      <c r="D73" s="69" t="n">
        <f aca="false">D52</f>
        <v>50.26</v>
      </c>
      <c r="E73" s="69" t="n">
        <f aca="false">E52</f>
        <v>64.62</v>
      </c>
      <c r="F73" s="69" t="n">
        <f aca="false">F52</f>
        <v>86.52</v>
      </c>
      <c r="G73" s="69" t="n">
        <f aca="false">G52</f>
        <v>82.46</v>
      </c>
      <c r="H73" s="69" t="n">
        <f aca="false">H52</f>
        <v>119.31</v>
      </c>
      <c r="I73" s="69" t="n">
        <f aca="false">I52</f>
        <v>86.51</v>
      </c>
      <c r="J73" s="69" t="n">
        <f aca="false">J52</f>
        <v>65.97</v>
      </c>
      <c r="K73" s="53" t="n">
        <f aca="false">AVERAGE(D73:J73)</f>
        <v>79.3785714285714</v>
      </c>
      <c r="L73" s="53" t="n">
        <f aca="false">J73-D73</f>
        <v>15.71</v>
      </c>
    </row>
    <row r="74" customFormat="false" ht="16.5" hidden="false" customHeight="true" outlineLevel="0" collapsed="false">
      <c r="A74" s="88" t="s">
        <v>608</v>
      </c>
      <c r="B74" s="89"/>
      <c r="C74" s="89"/>
      <c r="D74" s="89"/>
      <c r="E74" s="89"/>
      <c r="F74" s="89"/>
      <c r="G74" s="89"/>
      <c r="H74" s="89"/>
      <c r="I74" s="89"/>
      <c r="J74" s="89"/>
      <c r="K74" s="89"/>
      <c r="L74" s="89"/>
    </row>
    <row r="75" customFormat="false" ht="15" hidden="false" customHeight="false" outlineLevel="0" collapsed="false">
      <c r="A75" s="16" t="s">
        <v>609</v>
      </c>
      <c r="B75" s="87" t="s">
        <v>610</v>
      </c>
      <c r="C75" s="17" t="s">
        <v>493</v>
      </c>
      <c r="D75" s="69" t="n">
        <f aca="false">-D65</f>
        <v>242.29</v>
      </c>
      <c r="E75" s="69" t="n">
        <f aca="false">-E65</f>
        <v>25.83</v>
      </c>
      <c r="F75" s="69" t="n">
        <f aca="false">-F65</f>
        <v>54.56</v>
      </c>
      <c r="G75" s="69" t="n">
        <f aca="false">-G65</f>
        <v>-69.64</v>
      </c>
      <c r="H75" s="69" t="n">
        <f aca="false">-H65</f>
        <v>7.25</v>
      </c>
      <c r="I75" s="69" t="n">
        <f aca="false">-I65</f>
        <v>63.84</v>
      </c>
      <c r="J75" s="69" t="n">
        <f aca="false">-J65</f>
        <v>-19.93</v>
      </c>
      <c r="K75" s="53" t="n">
        <f aca="false">AVERAGE(D75:J75)</f>
        <v>43.4571428571429</v>
      </c>
      <c r="L75" s="53" t="n">
        <f aca="false">J75-D75</f>
        <v>-262.22</v>
      </c>
    </row>
    <row r="76" customFormat="false" ht="15" hidden="false" customHeight="false" outlineLevel="0" collapsed="false">
      <c r="A76" s="16" t="s">
        <v>611</v>
      </c>
      <c r="B76" s="87" t="s">
        <v>798</v>
      </c>
      <c r="C76" s="17" t="s">
        <v>493</v>
      </c>
      <c r="D76" s="69" t="n">
        <f aca="false">MAX(-D69,0)</f>
        <v>0</v>
      </c>
      <c r="E76" s="69" t="n">
        <f aca="false">MAX(-E69,0)</f>
        <v>0</v>
      </c>
      <c r="F76" s="69" t="n">
        <f aca="false">MAX(-F69,0)</f>
        <v>14.21</v>
      </c>
      <c r="G76" s="69" t="n">
        <f aca="false">MAX(-G69,0)</f>
        <v>3.63</v>
      </c>
      <c r="H76" s="69" t="n">
        <f aca="false">MAX(-H69,0)</f>
        <v>0</v>
      </c>
      <c r="I76" s="69" t="n">
        <f aca="false">MAX(-I69,0)</f>
        <v>0</v>
      </c>
      <c r="J76" s="69" t="n">
        <f aca="false">MAX(-J69,0)</f>
        <v>15.89</v>
      </c>
      <c r="K76" s="53" t="n">
        <f aca="false">AVERAGE(D76:J76)</f>
        <v>4.81857142857143</v>
      </c>
      <c r="L76" s="53" t="n">
        <f aca="false">J76-D76</f>
        <v>15.89</v>
      </c>
    </row>
    <row r="77" customFormat="false" ht="15" hidden="false" customHeight="false" outlineLevel="0" collapsed="false">
      <c r="A77" s="16" t="s">
        <v>613</v>
      </c>
      <c r="B77" s="87" t="s">
        <v>614</v>
      </c>
      <c r="C77" s="17" t="s">
        <v>615</v>
      </c>
      <c r="D77" s="71" t="n">
        <f aca="false">IF(D26&gt;0,MIN(MAX(D27/D26,0),Setup!$C$11),0)</f>
        <v>0</v>
      </c>
      <c r="E77" s="71" t="n">
        <f aca="false">IF(E26&gt;0,MIN(MAX(E27/E26,0),Setup!$C$11),0)</f>
        <v>0</v>
      </c>
      <c r="F77" s="71" t="n">
        <f aca="false">IF(F26&gt;0,MIN(MAX(F27/F26,0),Setup!$C$11),0)</f>
        <v>0</v>
      </c>
      <c r="G77" s="71" t="n">
        <f aca="false">IF(G26&gt;0,MIN(MAX(G27/G26,0),Setup!$C$11),0)</f>
        <v>0</v>
      </c>
      <c r="H77" s="71" t="n">
        <f aca="false">IF(H26&gt;0,MIN(MAX(H27/H26,0),Setup!$C$11),0)</f>
        <v>0</v>
      </c>
      <c r="I77" s="71" t="n">
        <f aca="false">IF(I26&gt;0,MIN(MAX(I27/I26,0),Setup!$C$11),0)</f>
        <v>0</v>
      </c>
      <c r="J77" s="71" t="n">
        <f aca="false">IF(J26&gt;0,MIN(MAX(J27/J26,0),Setup!$C$11),0)</f>
        <v>0.138903485724295</v>
      </c>
      <c r="K77" s="62" t="n">
        <f aca="false">AVERAGE(D77:J77)</f>
        <v>0.0198433551034707</v>
      </c>
      <c r="L77" s="62" t="n">
        <f aca="false">J77-D77</f>
        <v>0.138903485724295</v>
      </c>
    </row>
    <row r="79" customFormat="false" ht="19.5" hidden="false" customHeight="true" outlineLevel="0" collapsed="false">
      <c r="A79" s="85" t="s">
        <v>799</v>
      </c>
      <c r="B79" s="86"/>
      <c r="C79" s="86"/>
      <c r="D79" s="86"/>
      <c r="E79" s="86"/>
      <c r="F79" s="86"/>
      <c r="G79" s="86"/>
      <c r="H79" s="86"/>
      <c r="I79" s="86"/>
      <c r="J79" s="86"/>
      <c r="K79" s="86"/>
      <c r="L79" s="86"/>
    </row>
    <row r="80" customFormat="false" ht="15" hidden="false" customHeight="false" outlineLevel="0" collapsed="false">
      <c r="A80" s="16" t="s">
        <v>800</v>
      </c>
      <c r="B80" s="87" t="s">
        <v>801</v>
      </c>
      <c r="C80" s="17" t="s">
        <v>757</v>
      </c>
      <c r="D80" s="97" t="n">
        <v>5.29</v>
      </c>
      <c r="E80" s="97" t="n">
        <v>8.67</v>
      </c>
      <c r="F80" s="97" t="n">
        <v>9.75</v>
      </c>
      <c r="G80" s="97" t="n">
        <v>6.42</v>
      </c>
      <c r="H80" s="97" t="n">
        <v>147.15</v>
      </c>
      <c r="I80" s="97" t="n">
        <v>68.43</v>
      </c>
      <c r="J80" s="97" t="n">
        <v>63.01</v>
      </c>
      <c r="K80" s="66" t="n">
        <f aca="false">AVERAGE(D80:J80)</f>
        <v>44.1028571428572</v>
      </c>
      <c r="L80" s="66" t="n">
        <f aca="false">J80-D80</f>
        <v>57.72</v>
      </c>
    </row>
    <row r="81" customFormat="false" ht="15" hidden="false" customHeight="false" outlineLevel="0" collapsed="false">
      <c r="A81" s="16" t="s">
        <v>802</v>
      </c>
      <c r="B81" s="87" t="s">
        <v>803</v>
      </c>
      <c r="C81" s="17" t="s">
        <v>804</v>
      </c>
      <c r="D81" s="100" t="n">
        <v>5.8556</v>
      </c>
      <c r="E81" s="100" t="n">
        <v>5.8556</v>
      </c>
      <c r="F81" s="100" t="n">
        <v>5.8556</v>
      </c>
      <c r="G81" s="100" t="n">
        <v>6.5249</v>
      </c>
      <c r="H81" s="100" t="n">
        <v>6.5249</v>
      </c>
      <c r="I81" s="100" t="n">
        <v>6.5249</v>
      </c>
      <c r="J81" s="100" t="n">
        <v>7.978</v>
      </c>
      <c r="K81" s="66" t="n">
        <f aca="false">AVERAGE(D81:J81)</f>
        <v>6.44564285714286</v>
      </c>
      <c r="L81" s="66" t="n">
        <f aca="false">J81-D81</f>
        <v>2.1224</v>
      </c>
    </row>
    <row r="82" customFormat="false" ht="15" hidden="false" customHeight="false" outlineLevel="0" collapsed="false">
      <c r="A82" s="16" t="s">
        <v>805</v>
      </c>
      <c r="B82" s="87" t="s">
        <v>806</v>
      </c>
      <c r="C82" s="17" t="s">
        <v>493</v>
      </c>
      <c r="D82" s="69" t="n">
        <f aca="false">D80*D81</f>
        <v>30.976124</v>
      </c>
      <c r="E82" s="69" t="n">
        <f aca="false">E80*E81</f>
        <v>50.768052</v>
      </c>
      <c r="F82" s="69" t="n">
        <f aca="false">F80*F81</f>
        <v>57.0921</v>
      </c>
      <c r="G82" s="69" t="n">
        <f aca="false">G80*G81</f>
        <v>41.889858</v>
      </c>
      <c r="H82" s="69" t="n">
        <f aca="false">H80*H81</f>
        <v>960.139035</v>
      </c>
      <c r="I82" s="69" t="n">
        <f aca="false">I80*I81</f>
        <v>446.498907</v>
      </c>
      <c r="J82" s="69" t="n">
        <f aca="false">J80*J81</f>
        <v>502.69378</v>
      </c>
      <c r="K82" s="53" t="n">
        <f aca="false">AVERAGE(D82:J82)</f>
        <v>298.579693714286</v>
      </c>
      <c r="L82" s="53" t="n">
        <f aca="false">J82-D82</f>
        <v>471.717656</v>
      </c>
    </row>
    <row r="83" customFormat="false" ht="15" hidden="false" customHeight="false" outlineLevel="0" collapsed="false">
      <c r="A83" s="16" t="s">
        <v>807</v>
      </c>
      <c r="B83" s="87" t="s">
        <v>808</v>
      </c>
      <c r="C83" s="17" t="s">
        <v>493</v>
      </c>
      <c r="D83" s="69" t="n">
        <f aca="false">D82+D41-D52</f>
        <v>1259.966124</v>
      </c>
      <c r="E83" s="69" t="n">
        <f aca="false">E82+E41-E52</f>
        <v>1250.448052</v>
      </c>
      <c r="F83" s="69" t="n">
        <f aca="false">F82+F41-F52</f>
        <v>1736.8621</v>
      </c>
      <c r="G83" s="69" t="n">
        <f aca="false">G82+G41-G52</f>
        <v>442.899858</v>
      </c>
      <c r="H83" s="69" t="n">
        <f aca="false">H82+H41-H52</f>
        <v>1348.079035</v>
      </c>
      <c r="I83" s="69" t="n">
        <f aca="false">I82+I41-I52</f>
        <v>967.788907</v>
      </c>
      <c r="J83" s="69" t="n">
        <f aca="false">J82+J41-J52</f>
        <v>921.77378</v>
      </c>
      <c r="K83" s="53" t="n">
        <f aca="false">AVERAGE(D83:J83)</f>
        <v>1132.545408</v>
      </c>
      <c r="L83" s="53" t="n">
        <f aca="false">J83-D83</f>
        <v>-338.192344</v>
      </c>
    </row>
    <row r="84" customFormat="false" ht="15" hidden="false" customHeight="false" outlineLevel="0" collapsed="false">
      <c r="A84" s="16" t="s">
        <v>809</v>
      </c>
      <c r="B84" s="87" t="s">
        <v>810</v>
      </c>
      <c r="C84" s="17" t="s">
        <v>811</v>
      </c>
      <c r="D84" s="98" t="n">
        <v>1</v>
      </c>
      <c r="E84" s="98" t="n">
        <v>1</v>
      </c>
      <c r="F84" s="98" t="n">
        <v>1</v>
      </c>
      <c r="G84" s="98" t="n">
        <v>1</v>
      </c>
      <c r="H84" s="98" t="n">
        <v>1</v>
      </c>
      <c r="I84" s="98" t="n">
        <v>1</v>
      </c>
      <c r="J84" s="98" t="n">
        <v>1</v>
      </c>
      <c r="K84" s="99"/>
      <c r="L84" s="99"/>
    </row>
    <row r="86" customFormat="false" ht="19.5" hidden="false" customHeight="true" outlineLevel="0" collapsed="false">
      <c r="A86" s="85" t="s">
        <v>629</v>
      </c>
      <c r="B86" s="86"/>
      <c r="C86" s="86"/>
      <c r="D86" s="86"/>
      <c r="E86" s="86"/>
      <c r="F86" s="86"/>
      <c r="G86" s="86"/>
      <c r="H86" s="86"/>
      <c r="I86" s="86"/>
      <c r="J86" s="86"/>
      <c r="K86" s="86"/>
      <c r="L86" s="86"/>
    </row>
    <row r="87" customFormat="false" ht="15" hidden="false" customHeight="false" outlineLevel="0" collapsed="false">
      <c r="A87" s="16" t="s">
        <v>630</v>
      </c>
      <c r="B87" s="87" t="s">
        <v>631</v>
      </c>
      <c r="C87" s="17" t="s">
        <v>493</v>
      </c>
      <c r="D87" s="69" t="n">
        <f aca="false">D48</f>
        <v>536.64</v>
      </c>
      <c r="E87" s="69" t="n">
        <f aca="false">E48</f>
        <v>488.36</v>
      </c>
      <c r="F87" s="69" t="n">
        <f aca="false">F48</f>
        <v>392.63</v>
      </c>
      <c r="G87" s="69" t="n">
        <f aca="false">G48</f>
        <v>187.09</v>
      </c>
      <c r="H87" s="69" t="n">
        <f aca="false">H48</f>
        <v>199.48</v>
      </c>
      <c r="I87" s="69" t="n">
        <f aca="false">I48</f>
        <v>204.08</v>
      </c>
      <c r="J87" s="69" t="n">
        <f aca="false">J48</f>
        <v>331.12</v>
      </c>
      <c r="K87" s="53" t="n">
        <f aca="false">AVERAGE(D87:J87)</f>
        <v>334.2</v>
      </c>
      <c r="L87" s="53" t="n">
        <f aca="false">J87-D87</f>
        <v>-205.52</v>
      </c>
    </row>
    <row r="88" customFormat="false" ht="15" hidden="false" customHeight="false" outlineLevel="0" collapsed="false">
      <c r="A88" s="16" t="s">
        <v>632</v>
      </c>
      <c r="B88" s="87" t="s">
        <v>633</v>
      </c>
      <c r="C88" s="17" t="s">
        <v>493</v>
      </c>
      <c r="D88" s="69" t="n">
        <f aca="false">D42</f>
        <v>995.99</v>
      </c>
      <c r="E88" s="69" t="n">
        <f aca="false">E42</f>
        <v>1134.64</v>
      </c>
      <c r="F88" s="69" t="n">
        <f aca="false">F42</f>
        <v>730.18</v>
      </c>
      <c r="G88" s="69" t="n">
        <f aca="false">G42</f>
        <v>256.02</v>
      </c>
      <c r="H88" s="69" t="n">
        <f aca="false">H42</f>
        <v>231.57</v>
      </c>
      <c r="I88" s="69" t="n">
        <f aca="false">I42</f>
        <v>255.88</v>
      </c>
      <c r="J88" s="69" t="n">
        <f aca="false">J42</f>
        <v>290.39</v>
      </c>
      <c r="K88" s="53" t="n">
        <f aca="false">AVERAGE(D88:J88)</f>
        <v>556.381428571429</v>
      </c>
      <c r="L88" s="53" t="n">
        <f aca="false">J88-D88</f>
        <v>-705.6</v>
      </c>
    </row>
    <row r="89" customFormat="false" ht="15" hidden="false" customHeight="false" outlineLevel="0" collapsed="false">
      <c r="A89" s="16" t="s">
        <v>634</v>
      </c>
      <c r="B89" s="87" t="s">
        <v>635</v>
      </c>
      <c r="C89" s="17" t="s">
        <v>493</v>
      </c>
      <c r="D89" s="69" t="n">
        <f aca="false">D50+D52</f>
        <v>290.79</v>
      </c>
      <c r="E89" s="69" t="n">
        <f aca="false">E50+E52</f>
        <v>277.43</v>
      </c>
      <c r="F89" s="69" t="n">
        <f aca="false">F50+F52</f>
        <v>228.27</v>
      </c>
      <c r="G89" s="69" t="n">
        <f aca="false">G50+G52</f>
        <v>137.12</v>
      </c>
      <c r="H89" s="69" t="n">
        <f aca="false">H50+H52</f>
        <v>163.37</v>
      </c>
      <c r="I89" s="69" t="n">
        <f aca="false">I50+I52</f>
        <v>158.64</v>
      </c>
      <c r="J89" s="69" t="n">
        <f aca="false">J50+J52</f>
        <v>161.92</v>
      </c>
      <c r="K89" s="53" t="n">
        <f aca="false">AVERAGE(D89:J89)</f>
        <v>202.505714285714</v>
      </c>
      <c r="L89" s="53" t="n">
        <f aca="false">J89-D89</f>
        <v>-128.87</v>
      </c>
    </row>
    <row r="90" customFormat="false" ht="15" hidden="false" customHeight="false" outlineLevel="0" collapsed="false">
      <c r="A90" s="16" t="s">
        <v>636</v>
      </c>
      <c r="B90" s="87" t="s">
        <v>637</v>
      </c>
      <c r="C90" s="17" t="s">
        <v>493</v>
      </c>
      <c r="D90" s="69" t="n">
        <f aca="false">D40+D41</f>
        <v>1770.95</v>
      </c>
      <c r="E90" s="69" t="n">
        <f aca="false">E40+E41</f>
        <v>596.42</v>
      </c>
      <c r="F90" s="69" t="n">
        <f aca="false">F40+F41</f>
        <v>835.4</v>
      </c>
      <c r="G90" s="69" t="n">
        <f aca="false">G40+G41</f>
        <v>536.99</v>
      </c>
      <c r="H90" s="69" t="n">
        <f aca="false">H40+H41</f>
        <v>535.97</v>
      </c>
      <c r="I90" s="69" t="n">
        <f aca="false">I40+I41</f>
        <v>603.03</v>
      </c>
      <c r="J90" s="69" t="n">
        <f aca="false">J40+J41</f>
        <v>616.34</v>
      </c>
      <c r="K90" s="53" t="n">
        <f aca="false">AVERAGE(D90:J90)</f>
        <v>785.014285714286</v>
      </c>
      <c r="L90" s="53" t="n">
        <f aca="false">J90-D90</f>
        <v>-1154.61</v>
      </c>
    </row>
    <row r="92" customFormat="false" ht="19.5" hidden="false" customHeight="true" outlineLevel="0" collapsed="false">
      <c r="A92" s="85" t="s">
        <v>638</v>
      </c>
      <c r="B92" s="86"/>
      <c r="C92" s="86"/>
      <c r="D92" s="86"/>
      <c r="E92" s="86"/>
      <c r="F92" s="86"/>
      <c r="G92" s="86"/>
      <c r="H92" s="86"/>
      <c r="I92" s="86"/>
      <c r="J92" s="86"/>
      <c r="K92" s="86"/>
      <c r="L92" s="86"/>
    </row>
    <row r="93" customFormat="false" ht="16.5" hidden="false" customHeight="true" outlineLevel="0" collapsed="false">
      <c r="A93" s="88" t="s">
        <v>639</v>
      </c>
      <c r="B93" s="89"/>
      <c r="C93" s="89"/>
      <c r="D93" s="89"/>
      <c r="E93" s="89"/>
      <c r="F93" s="89"/>
      <c r="G93" s="89"/>
      <c r="H93" s="89"/>
      <c r="I93" s="89"/>
      <c r="J93" s="89"/>
      <c r="K93" s="89"/>
      <c r="L93" s="89"/>
    </row>
    <row r="94" customFormat="false" ht="15" hidden="false" customHeight="false" outlineLevel="0" collapsed="false">
      <c r="A94" s="16" t="s">
        <v>640</v>
      </c>
      <c r="B94" s="87" t="s">
        <v>641</v>
      </c>
      <c r="C94" s="17" t="s">
        <v>493</v>
      </c>
      <c r="D94" s="69" t="n">
        <f aca="false">D87-D88</f>
        <v>-459.35</v>
      </c>
      <c r="E94" s="69" t="n">
        <f aca="false">E87-E88</f>
        <v>-646.28</v>
      </c>
      <c r="F94" s="69" t="n">
        <f aca="false">F87-F88</f>
        <v>-337.55</v>
      </c>
      <c r="G94" s="69" t="n">
        <f aca="false">G87-G88</f>
        <v>-68.93</v>
      </c>
      <c r="H94" s="69" t="n">
        <f aca="false">H87-H88</f>
        <v>-32.09</v>
      </c>
      <c r="I94" s="69" t="n">
        <f aca="false">I87-I88</f>
        <v>-51.8</v>
      </c>
      <c r="J94" s="69" t="n">
        <f aca="false">J87-J88</f>
        <v>40.73</v>
      </c>
      <c r="K94" s="53" t="n">
        <f aca="false">AVERAGE(D94:J94)</f>
        <v>-222.181428571429</v>
      </c>
      <c r="L94" s="53" t="n">
        <f aca="false">J94-D94</f>
        <v>500.08</v>
      </c>
    </row>
    <row r="95" customFormat="false" ht="15" hidden="false" customHeight="false" outlineLevel="0" collapsed="false">
      <c r="A95" s="16" t="s">
        <v>642</v>
      </c>
      <c r="B95" s="87" t="s">
        <v>643</v>
      </c>
      <c r="C95" s="17" t="s">
        <v>644</v>
      </c>
      <c r="D95" s="72" t="n">
        <f aca="false">IF(D88&gt;0,D87/D88,"N/M")</f>
        <v>0.538800590367373</v>
      </c>
      <c r="E95" s="72" t="n">
        <f aca="false">IF(E88&gt;0,E87/E88,"N/M")</f>
        <v>0.430409645350067</v>
      </c>
      <c r="F95" s="72" t="n">
        <f aca="false">IF(F88&gt;0,F87/F88,"N/M")</f>
        <v>0.537716727382289</v>
      </c>
      <c r="G95" s="72" t="n">
        <f aca="false">IF(G88&gt;0,G87/G88,"N/M")</f>
        <v>0.730763221623311</v>
      </c>
      <c r="H95" s="72" t="n">
        <f aca="false">IF(H88&gt;0,H87/H88,"N/M")</f>
        <v>0.861424191389213</v>
      </c>
      <c r="I95" s="72" t="n">
        <f aca="false">IF(I88&gt;0,I87/I88,"N/M")</f>
        <v>0.79756135688604</v>
      </c>
      <c r="J95" s="72" t="n">
        <f aca="false">IF(J88&gt;0,J87/J88,"N/M")</f>
        <v>1.14025965081442</v>
      </c>
      <c r="K95" s="56" t="n">
        <f aca="false">IF(COUNT(D95:J95)=0,"N/M",AVERAGE(D95:J95))</f>
        <v>0.719562197687531</v>
      </c>
      <c r="L95" s="60" t="n">
        <f aca="false">IF(COUNT(D95,J95)=2,J95-D95,"-")</f>
        <v>0.601459060447049</v>
      </c>
    </row>
    <row r="96" customFormat="false" ht="15" hidden="false" customHeight="false" outlineLevel="0" collapsed="false">
      <c r="A96" s="16" t="s">
        <v>645</v>
      </c>
      <c r="B96" s="87" t="s">
        <v>646</v>
      </c>
      <c r="C96" s="17" t="s">
        <v>647</v>
      </c>
      <c r="D96" s="72" t="n">
        <f aca="false">IF(D88&gt;0,D89/D88,"N/M")</f>
        <v>0.29196076265826</v>
      </c>
      <c r="E96" s="72" t="n">
        <f aca="false">IF(E88&gt;0,E89/E88,"N/M")</f>
        <v>0.244509271663259</v>
      </c>
      <c r="F96" s="72" t="n">
        <f aca="false">IF(F88&gt;0,F89/F88,"N/M")</f>
        <v>0.312621545372374</v>
      </c>
      <c r="G96" s="72" t="n">
        <f aca="false">IF(G88&gt;0,G89/G88,"N/M")</f>
        <v>0.535583157565815</v>
      </c>
      <c r="H96" s="72" t="n">
        <f aca="false">IF(H88&gt;0,H89/H88,"N/M")</f>
        <v>0.705488621151272</v>
      </c>
      <c r="I96" s="72" t="n">
        <f aca="false">IF(I88&gt;0,I89/I88,"N/M")</f>
        <v>0.619978114741285</v>
      </c>
      <c r="J96" s="72" t="n">
        <f aca="false">IF(J88&gt;0,J89/J88,"N/M")</f>
        <v>0.557594958504081</v>
      </c>
      <c r="K96" s="56" t="n">
        <f aca="false">IF(COUNT(D96:J96)=0,"N/M",AVERAGE(D96:J96))</f>
        <v>0.466819490236621</v>
      </c>
      <c r="L96" s="60" t="n">
        <f aca="false">IF(COUNT(D96,J96)=2,J96-D96,"-")</f>
        <v>0.265634195845821</v>
      </c>
    </row>
    <row r="97" customFormat="false" ht="15" hidden="false" customHeight="false" outlineLevel="0" collapsed="false">
      <c r="A97" s="16" t="s">
        <v>648</v>
      </c>
      <c r="B97" s="87" t="s">
        <v>649</v>
      </c>
      <c r="C97" s="17" t="s">
        <v>650</v>
      </c>
      <c r="D97" s="72" t="n">
        <f aca="false">IF(D88&gt;0,D52/D88,"N/M")</f>
        <v>0.0504623540396992</v>
      </c>
      <c r="E97" s="72" t="n">
        <f aca="false">IF(E88&gt;0,E52/E88,"N/M")</f>
        <v>0.0569519847704999</v>
      </c>
      <c r="F97" s="72" t="n">
        <f aca="false">IF(F88&gt;0,F52/F88,"N/M")</f>
        <v>0.118491330904708</v>
      </c>
      <c r="G97" s="72" t="n">
        <f aca="false">IF(G88&gt;0,G52/G88,"N/M")</f>
        <v>0.322084212170924</v>
      </c>
      <c r="H97" s="72" t="n">
        <f aca="false">IF(H88&gt;0,H52/H88,"N/M")</f>
        <v>0.515222179038736</v>
      </c>
      <c r="I97" s="72" t="n">
        <f aca="false">IF(I88&gt;0,I52/I88,"N/M")</f>
        <v>0.338088166327966</v>
      </c>
      <c r="J97" s="72" t="n">
        <f aca="false">IF(J88&gt;0,J52/J88,"N/M")</f>
        <v>0.227177244395468</v>
      </c>
      <c r="K97" s="56" t="n">
        <f aca="false">IF(COUNT(D97:J97)=0,"N/M",AVERAGE(D97:J97))</f>
        <v>0.232639638806857</v>
      </c>
      <c r="L97" s="60" t="n">
        <f aca="false">IF(COUNT(D97,J97)=2,J97-D97,"-")</f>
        <v>0.176714890355769</v>
      </c>
    </row>
    <row r="98" customFormat="false" ht="15" hidden="false" customHeight="false" outlineLevel="0" collapsed="false">
      <c r="A98" s="16" t="s">
        <v>651</v>
      </c>
      <c r="B98" s="87" t="s">
        <v>652</v>
      </c>
      <c r="C98" s="17" t="s">
        <v>653</v>
      </c>
      <c r="D98" s="74" t="n">
        <f aca="false">IF(D20&gt;0,D89/(D20/Setup!$C$8),"N/M")</f>
        <v>103.216296642063</v>
      </c>
      <c r="E98" s="74" t="n">
        <f aca="false">IF(E20&gt;0,E89/(E20/Setup!$C$8),"N/M")</f>
        <v>197.36093786544</v>
      </c>
      <c r="F98" s="74" t="n">
        <f aca="false">IF(F20&gt;0,F89/(F20/Setup!$C$8),"N/M")</f>
        <v>214.721928716852</v>
      </c>
      <c r="G98" s="74" t="n">
        <f aca="false">IF(G20&gt;0,G89/(G20/Setup!$C$8),"N/M")</f>
        <v>137.300559640075</v>
      </c>
      <c r="H98" s="74" t="n">
        <f aca="false">IF(H20&gt;0,H89/(H20/Setup!$C$8),"N/M")</f>
        <v>291.603745904445</v>
      </c>
      <c r="I98" s="74" t="n">
        <f aca="false">IF(I20&gt;0,I89/(I20/Setup!$C$8),"N/M")</f>
        <v>289.041082214346</v>
      </c>
      <c r="J98" s="74" t="n">
        <f aca="false">IF(J20&gt;0,J89/(J20/Setup!$C$8),"N/M")</f>
        <v>192.285268089537</v>
      </c>
      <c r="K98" s="58" t="n">
        <f aca="false">IF(COUNT(D98:J98)=0,"N/M",AVERAGE(D98:J98))</f>
        <v>203.647117010394</v>
      </c>
      <c r="L98" s="58" t="n">
        <f aca="false">IF(COUNT(D98,J98)=2,J98-D98,"-")</f>
        <v>89.0689714474735</v>
      </c>
    </row>
    <row r="99" customFormat="false" ht="15" hidden="false" customHeight="false" outlineLevel="0" collapsed="false">
      <c r="A99" s="16" t="s">
        <v>654</v>
      </c>
      <c r="B99" s="87" t="s">
        <v>655</v>
      </c>
      <c r="C99" s="17" t="s">
        <v>97</v>
      </c>
      <c r="D99" s="72" t="n">
        <f aca="false">IF(D88&gt;0,D63/D88,"N/M")</f>
        <v>0.293527043444211</v>
      </c>
      <c r="E99" s="72" t="n">
        <f aca="false">IF(E88&gt;0,E63/E88,"N/M")</f>
        <v>0.139453923711486</v>
      </c>
      <c r="F99" s="72" t="n">
        <f aca="false">IF(F88&gt;0,F63/F88,"N/M")</f>
        <v>0.0925251307896683</v>
      </c>
      <c r="G99" s="72" t="n">
        <f aca="false">IF(G88&gt;0,G63/G88,"N/M")</f>
        <v>0.0258182954456683</v>
      </c>
      <c r="H99" s="72" t="n">
        <f aca="false">IF(H88&gt;0,H63/H88,"N/M")</f>
        <v>0.034503605821134</v>
      </c>
      <c r="I99" s="72" t="n">
        <f aca="false">IF(I88&gt;0,I63/I88,"N/M")</f>
        <v>0.0782007190870721</v>
      </c>
      <c r="J99" s="72" t="n">
        <f aca="false">IF(J88&gt;0,J63/J88,"N/M")</f>
        <v>0.180137057061194</v>
      </c>
      <c r="K99" s="56" t="n">
        <f aca="false">IF(COUNT(D99:J99)=0,"N/M",AVERAGE(D99:J99))</f>
        <v>0.120595110765776</v>
      </c>
      <c r="L99" s="60" t="n">
        <f aca="false">IF(COUNT(D99,J99)=2,J99-D99,"-")</f>
        <v>-0.113389986383018</v>
      </c>
    </row>
    <row r="100" customFormat="false" ht="16.5" hidden="false" customHeight="true" outlineLevel="0" collapsed="false">
      <c r="A100" s="88" t="s">
        <v>656</v>
      </c>
      <c r="B100" s="89"/>
      <c r="C100" s="89"/>
      <c r="D100" s="89"/>
      <c r="E100" s="89"/>
      <c r="F100" s="89"/>
      <c r="G100" s="89"/>
      <c r="H100" s="89"/>
      <c r="I100" s="89"/>
      <c r="J100" s="89"/>
      <c r="K100" s="89"/>
      <c r="L100" s="89"/>
    </row>
    <row r="101" customFormat="false" ht="15" hidden="false" customHeight="false" outlineLevel="0" collapsed="false">
      <c r="A101" s="16" t="s">
        <v>657</v>
      </c>
      <c r="B101" s="87" t="s">
        <v>658</v>
      </c>
      <c r="C101" s="17" t="s">
        <v>97</v>
      </c>
      <c r="D101" s="72" t="n">
        <f aca="false">IF(D40&gt;0,D41/D40,"N/M")</f>
        <v>2.60168802115111</v>
      </c>
      <c r="E101" s="72" t="str">
        <f aca="false">IF(E40&gt;0,E41/E40,"N/M")</f>
        <v>N/M</v>
      </c>
      <c r="F101" s="72" t="str">
        <f aca="false">IF(F40&gt;0,F41/F40,"N/M")</f>
        <v>N/M</v>
      </c>
      <c r="G101" s="72" t="n">
        <f aca="false">IF(G40&gt;0,G41/G40,"N/M")</f>
        <v>9.03344544095665</v>
      </c>
      <c r="H101" s="72" t="n">
        <f aca="false">IF(H40&gt;0,H41/H40,"N/M")</f>
        <v>17.6619080779944</v>
      </c>
      <c r="I101" s="72" t="str">
        <f aca="false">IF(I40&gt;0,I41/I40,"N/M")</f>
        <v>N/M</v>
      </c>
      <c r="J101" s="72" t="n">
        <f aca="false">IF(J40&gt;0,J41/J40,"N/M")</f>
        <v>3.69449310686267</v>
      </c>
      <c r="K101" s="56" t="n">
        <f aca="false">IF(COUNT(D101:J101)=0,"N/M",AVERAGE(D101:J101))</f>
        <v>8.24788366174122</v>
      </c>
      <c r="L101" s="60" t="n">
        <f aca="false">IF(COUNT(D101,J101)=2,J101-D101,"-")</f>
        <v>1.09280508571156</v>
      </c>
    </row>
    <row r="102" customFormat="false" ht="15" hidden="false" customHeight="false" outlineLevel="0" collapsed="false">
      <c r="A102" s="16" t="s">
        <v>659</v>
      </c>
      <c r="B102" s="87" t="s">
        <v>660</v>
      </c>
      <c r="C102" s="17" t="s">
        <v>97</v>
      </c>
      <c r="D102" s="72" t="n">
        <f aca="false">IF(D40&gt;0,(D41+D42)/D40,"N/M")</f>
        <v>4.62729306487696</v>
      </c>
      <c r="E102" s="72" t="str">
        <f aca="false">IF(E40&gt;0,(E41+E42)/E40,"N/M")</f>
        <v>N/M</v>
      </c>
      <c r="F102" s="72" t="str">
        <f aca="false">IF(F40&gt;0,(F41+F42)/F40,"N/M")</f>
        <v>N/M</v>
      </c>
      <c r="G102" s="72" t="n">
        <f aca="false">IF(G40&gt;0,(G41+G42)/G40,"N/M")</f>
        <v>13.8170777279522</v>
      </c>
      <c r="H102" s="72" t="n">
        <f aca="false">IF(H40&gt;0,(H41+H42)/H40,"N/M")</f>
        <v>25.724930362117</v>
      </c>
      <c r="I102" s="72" t="str">
        <f aca="false">IF(I40&gt;0,(I41+I42)/I40,"N/M")</f>
        <v>N/M</v>
      </c>
      <c r="J102" s="72" t="n">
        <f aca="false">IF(J40&gt;0,(J41+J42)/J40,"N/M")</f>
        <v>5.90631426612842</v>
      </c>
      <c r="K102" s="56" t="n">
        <f aca="false">IF(COUNT(D102:J102)=0,"N/M",AVERAGE(D102:J102))</f>
        <v>12.5189038552686</v>
      </c>
      <c r="L102" s="60" t="n">
        <f aca="false">IF(COUNT(D102,J102)=2,J102-D102,"-")</f>
        <v>1.27902120125146</v>
      </c>
    </row>
    <row r="103" customFormat="false" ht="15" hidden="false" customHeight="false" outlineLevel="0" collapsed="false">
      <c r="A103" s="16" t="s">
        <v>661</v>
      </c>
      <c r="B103" s="87" t="s">
        <v>662</v>
      </c>
      <c r="C103" s="17" t="s">
        <v>663</v>
      </c>
      <c r="D103" s="72" t="n">
        <f aca="false">IF(D49&gt;0,D41/D49,"N/M")</f>
        <v>0.462333841716842</v>
      </c>
      <c r="E103" s="72" t="n">
        <f aca="false">IF(E49&gt;0,E41/E49,"N/M")</f>
        <v>0.730361743671508</v>
      </c>
      <c r="F103" s="72" t="n">
        <f aca="false">IF(F49&gt;0,F41/F49,"N/M")</f>
        <v>1.12820168883098</v>
      </c>
      <c r="G103" s="72" t="n">
        <f aca="false">IF(G49&gt;0,G41/G49,"N/M")</f>
        <v>0.609664443071336</v>
      </c>
      <c r="H103" s="72" t="n">
        <f aca="false">IF(H49&gt;0,H41/H49,"N/M")</f>
        <v>0.660877608984548</v>
      </c>
      <c r="I103" s="72" t="n">
        <f aca="false">IF(I49&gt;0,I41/I49,"N/M")</f>
        <v>0.707641079973455</v>
      </c>
      <c r="J103" s="72" t="n">
        <f aca="false">IF(J49&gt;0,J41/J49,"N/M")</f>
        <v>0.534944250217816</v>
      </c>
      <c r="K103" s="56" t="n">
        <f aca="false">IF(COUNT(D103:J103)=0,"N/M",AVERAGE(D103:J103))</f>
        <v>0.690574950923783</v>
      </c>
      <c r="L103" s="60" t="n">
        <f aca="false">IF(COUNT(D103,J103)=2,J103-D103,"-")</f>
        <v>0.0726104085009732</v>
      </c>
    </row>
    <row r="104" customFormat="false" ht="15" hidden="false" customHeight="false" outlineLevel="0" collapsed="false">
      <c r="A104" s="16" t="s">
        <v>664</v>
      </c>
      <c r="B104" s="87" t="s">
        <v>665</v>
      </c>
      <c r="C104" s="17" t="s">
        <v>663</v>
      </c>
      <c r="D104" s="72" t="n">
        <f aca="false">IF(D90&gt;0,D41/D90,"N/M")</f>
        <v>0.722352409723595</v>
      </c>
      <c r="E104" s="72" t="n">
        <f aca="false">IF(E90&gt;0,E41/E90,"N/M")</f>
        <v>2.11981489554341</v>
      </c>
      <c r="F104" s="72" t="n">
        <f aca="false">IF(F90&gt;0,F41/F90,"N/M")</f>
        <v>2.11430452477855</v>
      </c>
      <c r="G104" s="72" t="n">
        <f aca="false">IF(G90&gt;0,G41/G90,"N/M")</f>
        <v>0.900333339540774</v>
      </c>
      <c r="H104" s="72" t="n">
        <f aca="false">IF(H90&gt;0,H41/H90,"N/M")</f>
        <v>0.946414911282348</v>
      </c>
      <c r="I104" s="72" t="n">
        <f aca="false">IF(I90&gt;0,I41/I90,"N/M")</f>
        <v>1.00791005422616</v>
      </c>
      <c r="J104" s="72" t="n">
        <f aca="false">IF(J90&gt;0,J41/J90,"N/M")</f>
        <v>0.78698445663108</v>
      </c>
      <c r="K104" s="56" t="n">
        <f aca="false">IF(COUNT(D104:J104)=0,"N/M",AVERAGE(D104:J104))</f>
        <v>1.22830208453227</v>
      </c>
      <c r="L104" s="60" t="n">
        <f aca="false">IF(COUNT(D104,J104)=2,J104-D104,"-")</f>
        <v>0.0646320469074855</v>
      </c>
    </row>
    <row r="105" customFormat="false" ht="15" hidden="false" customHeight="false" outlineLevel="0" collapsed="false">
      <c r="A105" s="16" t="s">
        <v>666</v>
      </c>
      <c r="B105" s="87" t="s">
        <v>667</v>
      </c>
      <c r="C105" s="17" t="s">
        <v>668</v>
      </c>
      <c r="D105" s="72" t="n">
        <f aca="false">IF(D49&gt;0,D40/D49,"N/M")</f>
        <v>0.177705335135565</v>
      </c>
      <c r="E105" s="72" t="n">
        <f aca="false">IF(E49&gt;0,E40/E49,"N/M")</f>
        <v>-0.385821404226312</v>
      </c>
      <c r="F105" s="72" t="n">
        <f aca="false">IF(F49&gt;0,F40/F49,"N/M")</f>
        <v>-0.594597529350145</v>
      </c>
      <c r="G105" s="72" t="n">
        <f aca="false">IF(G49&gt;0,G40/G49,"N/M")</f>
        <v>0.067489691176656</v>
      </c>
      <c r="H105" s="72" t="n">
        <f aca="false">IF(H49&gt;0,H40/H49,"N/M")</f>
        <v>0.0374182453031764</v>
      </c>
      <c r="I105" s="72" t="n">
        <f aca="false">IF(I49&gt;0,I40/I49,"N/M")</f>
        <v>-0.00555355043019641</v>
      </c>
      <c r="J105" s="72" t="n">
        <f aca="false">IF(J49&gt;0,J40/J49,"N/M")</f>
        <v>0.144795032699922</v>
      </c>
      <c r="K105" s="56" t="n">
        <f aca="false">IF(COUNT(D105:J105)=0,"N/M",AVERAGE(D105:J105))</f>
        <v>-0.0797948828130478</v>
      </c>
      <c r="L105" s="60" t="n">
        <f aca="false">IF(COUNT(D105,J105)=2,J105-D105,"-")</f>
        <v>-0.0329103024356432</v>
      </c>
    </row>
    <row r="106" customFormat="false" ht="15" hidden="false" customHeight="false" outlineLevel="0" collapsed="false">
      <c r="A106" s="16" t="s">
        <v>669</v>
      </c>
      <c r="B106" s="87" t="s">
        <v>670</v>
      </c>
      <c r="C106" s="17" t="s">
        <v>97</v>
      </c>
      <c r="D106" s="72" t="n">
        <f aca="false">IF(D39&gt;0,(D41+D37)/D39,"N/M")</f>
        <v>2.60168802115111</v>
      </c>
      <c r="E106" s="72" t="str">
        <f aca="false">IF(E39&gt;0,(E41+E37)/E39,"N/M")</f>
        <v>N/M</v>
      </c>
      <c r="F106" s="72" t="str">
        <f aca="false">IF(F39&gt;0,(F41+F37)/F39,"N/M")</f>
        <v>N/M</v>
      </c>
      <c r="G106" s="72" t="n">
        <f aca="false">IF(G39&gt;0,(G41+G37)/G39,"N/M")</f>
        <v>9.03344544095665</v>
      </c>
      <c r="H106" s="72" t="n">
        <f aca="false">IF(H39&gt;0,(H41+H37)/H39,"N/M")</f>
        <v>17.6619080779944</v>
      </c>
      <c r="I106" s="72" t="str">
        <f aca="false">IF(I39&gt;0,(I41+I37)/I39,"N/M")</f>
        <v>N/M</v>
      </c>
      <c r="J106" s="72" t="n">
        <f aca="false">IF(J39&gt;0,(J41+J37)/J39,"N/M")</f>
        <v>3.69449310686267</v>
      </c>
      <c r="K106" s="56" t="n">
        <f aca="false">IF(COUNT(D106:J106)=0,"N/M",AVERAGE(D106:J106))</f>
        <v>8.24788366174122</v>
      </c>
      <c r="L106" s="60" t="n">
        <f aca="false">IF(COUNT(D106,J106)=2,J106-D106,"-")</f>
        <v>1.09280508571156</v>
      </c>
    </row>
    <row r="107" customFormat="false" ht="15" hidden="false" customHeight="false" outlineLevel="0" collapsed="false">
      <c r="A107" s="16" t="s">
        <v>671</v>
      </c>
      <c r="B107" s="87" t="s">
        <v>672</v>
      </c>
      <c r="C107" s="17" t="s">
        <v>97</v>
      </c>
      <c r="D107" s="72" t="str">
        <f aca="false">IF(D21&gt;0,D41/D21,"N/M")</f>
        <v>N/M</v>
      </c>
      <c r="E107" s="72" t="str">
        <f aca="false">IF(E21&gt;0,E41/E21,"N/M")</f>
        <v>N/M</v>
      </c>
      <c r="F107" s="72" t="str">
        <f aca="false">IF(F21&gt;0,F41/F21,"N/M")</f>
        <v>N/M</v>
      </c>
      <c r="G107" s="72" t="n">
        <f aca="false">IF(G21&gt;0,G41/G21,"N/M")</f>
        <v>17.5233780355201</v>
      </c>
      <c r="H107" s="72" t="n">
        <f aca="false">IF(H21&gt;0,H41/H21,"N/M")</f>
        <v>30.5572289156627</v>
      </c>
      <c r="I107" s="72" t="n">
        <f aca="false">IF(I21&gt;0,I41/I21,"N/M")</f>
        <v>28.282922289437</v>
      </c>
      <c r="J107" s="72" t="n">
        <f aca="false">IF(J21&gt;0,J41/J21,"N/M")</f>
        <v>6.19318181818182</v>
      </c>
      <c r="K107" s="56" t="n">
        <f aca="false">IF(COUNT(D107:J107)=0,"N/M",AVERAGE(D107:J107))</f>
        <v>20.6391777647004</v>
      </c>
      <c r="L107" s="60" t="str">
        <f aca="false">IF(COUNT(D107,J107)=2,J107-D107,"-")</f>
        <v>-</v>
      </c>
    </row>
    <row r="108" customFormat="false" ht="16.5" hidden="false" customHeight="true" outlineLevel="0" collapsed="false">
      <c r="A108" s="88" t="s">
        <v>673</v>
      </c>
      <c r="B108" s="89"/>
      <c r="C108" s="89"/>
      <c r="D108" s="89"/>
      <c r="E108" s="89"/>
      <c r="F108" s="89"/>
      <c r="G108" s="89"/>
      <c r="H108" s="89"/>
      <c r="I108" s="89"/>
      <c r="J108" s="89"/>
      <c r="K108" s="89"/>
      <c r="L108" s="89"/>
    </row>
    <row r="109" customFormat="false" ht="15" hidden="false" customHeight="false" outlineLevel="0" collapsed="false">
      <c r="A109" s="16" t="s">
        <v>674</v>
      </c>
      <c r="B109" s="87" t="s">
        <v>675</v>
      </c>
      <c r="C109" s="17" t="s">
        <v>676</v>
      </c>
      <c r="D109" s="73" t="n">
        <f aca="false">IF(D25&gt;0,D23/D25,"N/M")</f>
        <v>-1.94364660970732</v>
      </c>
      <c r="E109" s="73" t="n">
        <f aca="false">IF(E25&gt;0,E23/E25,"N/M")</f>
        <v>-0.633666211653136</v>
      </c>
      <c r="F109" s="73" t="n">
        <f aca="false">IF(F25&gt;0,F23/F25,"N/M")</f>
        <v>-5.17010309278351</v>
      </c>
      <c r="G109" s="73" t="n">
        <f aca="false">IF(G25&gt;0,G23/G25,"N/M")</f>
        <v>-1.4496644295302</v>
      </c>
      <c r="H109" s="73" t="n">
        <f aca="false">IF(H25&gt;0,H23/H25,"N/M")</f>
        <v>-0.809596733027055</v>
      </c>
      <c r="I109" s="73" t="n">
        <f aca="false">IF(I25&gt;0,I23/I25,"N/M")</f>
        <v>-0.375491329479769</v>
      </c>
      <c r="J109" s="73" t="n">
        <f aca="false">IF(J25&gt;0,J23/J25,"N/M")</f>
        <v>0.508608719800056</v>
      </c>
      <c r="K109" s="60" t="n">
        <f aca="false">IF(COUNT(D109:J109)=0,"N/M",AVERAGE(D109:J109))</f>
        <v>-1.41050852662585</v>
      </c>
      <c r="L109" s="60" t="n">
        <f aca="false">IF(COUNT(D109,J109)=2,J109-D109,"-")</f>
        <v>2.45225532950738</v>
      </c>
    </row>
    <row r="110" customFormat="false" ht="15" hidden="false" customHeight="false" outlineLevel="0" collapsed="false">
      <c r="A110" s="16" t="s">
        <v>677</v>
      </c>
      <c r="B110" s="87" t="s">
        <v>678</v>
      </c>
      <c r="C110" s="17" t="s">
        <v>115</v>
      </c>
      <c r="D110" s="73" t="str">
        <f aca="false">IF(D31&gt;0,D30/D31,"N/M")</f>
        <v>N/M</v>
      </c>
      <c r="E110" s="73" t="str">
        <f aca="false">IF(E31&gt;0,E30/E31,"N/M")</f>
        <v>N/M</v>
      </c>
      <c r="F110" s="73" t="str">
        <f aca="false">IF(F31&gt;0,F30/F31,"N/M")</f>
        <v>N/M</v>
      </c>
      <c r="G110" s="73" t="str">
        <f aca="false">IF(G31&gt;0,G30/G31,"N/M")</f>
        <v>N/M</v>
      </c>
      <c r="H110" s="73" t="str">
        <f aca="false">IF(H31&gt;0,H30/H31,"N/M")</f>
        <v>N/M</v>
      </c>
      <c r="I110" s="73" t="str">
        <f aca="false">IF(I31&gt;0,I30/I31,"N/M")</f>
        <v>N/M</v>
      </c>
      <c r="J110" s="73" t="str">
        <f aca="false">IF(J31&gt;0,J30/J31,"N/M")</f>
        <v>N/M</v>
      </c>
      <c r="K110" s="60" t="str">
        <f aca="false">IF(COUNT(D110:J110)=0,"N/M",AVERAGE(D110:J110))</f>
        <v>N/M</v>
      </c>
      <c r="L110" s="60" t="str">
        <f aca="false">IF(COUNT(D110,J110)=2,J110-D110,"-")</f>
        <v>-</v>
      </c>
    </row>
    <row r="111" customFormat="false" ht="15" hidden="false" customHeight="false" outlineLevel="0" collapsed="false">
      <c r="A111" s="16" t="s">
        <v>679</v>
      </c>
      <c r="B111" s="87" t="s">
        <v>680</v>
      </c>
      <c r="C111" s="17" t="s">
        <v>115</v>
      </c>
      <c r="D111" s="73" t="n">
        <f aca="false">IF(D25+D76&gt;0,D21/(D25+D76/(1-D77)),"N/M")</f>
        <v>-0.408471187056897</v>
      </c>
      <c r="E111" s="73" t="n">
        <f aca="false">IF(E25+E76&gt;0,E21/(E25+E76/(1-E77)),"N/M")</f>
        <v>-0.0678928083914069</v>
      </c>
      <c r="F111" s="73" t="n">
        <f aca="false">IF(F25+F76&gt;0,F21/(F25+F76/(1-F77)),"N/M")</f>
        <v>-1.10154711673699</v>
      </c>
      <c r="G111" s="73" t="n">
        <f aca="false">IF(G25+G76&gt;0,G21/(G25+G76/(1-G77)),"N/M")</f>
        <v>1.1995652173913</v>
      </c>
      <c r="H111" s="73" t="n">
        <f aca="false">IF(H25+H76&gt;0,H21/(H25+H76/(1-H77)),"N/M")</f>
        <v>0.423685553854007</v>
      </c>
      <c r="I111" s="73" t="n">
        <f aca="false">IF(I25+I76&gt;0,I21/(I25+I76/(1-I77)),"N/M")</f>
        <v>0.496878612716763</v>
      </c>
      <c r="J111" s="73" t="n">
        <f aca="false">IF(J25+J76&gt;0,J21/(J25+J76/(1-J77)),"N/M")</f>
        <v>0.865670564586128</v>
      </c>
      <c r="K111" s="60" t="n">
        <f aca="false">IF(COUNT(D111:J111)=0,"N/M",AVERAGE(D111:J111))</f>
        <v>0.201126976623272</v>
      </c>
      <c r="L111" s="60" t="n">
        <f aca="false">IF(COUNT(D111,J111)=2,J111-D111,"-")</f>
        <v>1.27414175164303</v>
      </c>
    </row>
    <row r="112" customFormat="false" ht="15" hidden="false" customHeight="false" outlineLevel="0" collapsed="false">
      <c r="A112" s="16" t="s">
        <v>681</v>
      </c>
      <c r="B112" s="87" t="s">
        <v>682</v>
      </c>
      <c r="C112" s="17" t="s">
        <v>115</v>
      </c>
      <c r="D112" s="73" t="n">
        <f aca="false">IF(D25+D76&gt;0,(D63+D27)/(D25+D76/(1-D77)),"N/M")</f>
        <v>4.88711143428468</v>
      </c>
      <c r="E112" s="73" t="n">
        <f aca="false">IF(E25+E76&gt;0,(E63+E27)/(E25+E76/(1-E77)),"N/M")</f>
        <v>1.1533874559954</v>
      </c>
      <c r="F112" s="73" t="n">
        <f aca="false">IF(F25+F76&gt;0,(F63+F27)/(F25+F76/(1-F77)),"N/M")</f>
        <v>2.04585091420535</v>
      </c>
      <c r="G112" s="73" t="n">
        <f aca="false">IF(G25+G76&gt;0,(G63+G27)/(G25+G76/(1-G77)),"N/M")</f>
        <v>0.564782608695652</v>
      </c>
      <c r="H112" s="73" t="n">
        <f aca="false">IF(H25+H76&gt;0,(H63+H27)/(H25+H76/(1-H77)),"N/M")</f>
        <v>0.31955079122001</v>
      </c>
      <c r="I112" s="73" t="n">
        <f aca="false">IF(I25+I76&gt;0,(I63+I27)/(I25+I76/(1-I77)),"N/M")</f>
        <v>0.353294797687861</v>
      </c>
      <c r="J112" s="73" t="n">
        <f aca="false">IF(J25+J76&gt;0,(J63+J27)/(J25+J76/(1-J77)),"N/M")</f>
        <v>0.665832415866552</v>
      </c>
      <c r="K112" s="60" t="n">
        <f aca="false">IF(COUNT(D112:J112)=0,"N/M",AVERAGE(D112:J112))</f>
        <v>1.42711577399364</v>
      </c>
      <c r="L112" s="60" t="n">
        <f aca="false">IF(COUNT(D112,J112)=2,J112-D112,"-")</f>
        <v>-4.22127901841813</v>
      </c>
    </row>
    <row r="113" customFormat="false" ht="15" hidden="false" customHeight="false" outlineLevel="0" collapsed="false">
      <c r="A113" s="16" t="s">
        <v>683</v>
      </c>
      <c r="B113" s="87" t="s">
        <v>684</v>
      </c>
      <c r="C113" s="17" t="s">
        <v>685</v>
      </c>
      <c r="D113" s="73" t="n">
        <f aca="false">IF(D75&gt;0,D63/D75,"N/M")</f>
        <v>1.20661191134591</v>
      </c>
      <c r="E113" s="73" t="n">
        <f aca="false">IF(E75&gt;0,E63/E75,"N/M")</f>
        <v>6.1258226867983</v>
      </c>
      <c r="F113" s="73" t="n">
        <f aca="false">IF(F75&gt;0,F63/F75,"N/M")</f>
        <v>1.23826979472141</v>
      </c>
      <c r="G113" s="73" t="str">
        <f aca="false">IF(G75&gt;0,G63/G75,"N/M")</f>
        <v>N/M</v>
      </c>
      <c r="H113" s="73" t="n">
        <f aca="false">IF(H75&gt;0,H63/H75,"N/M")</f>
        <v>1.10206896551724</v>
      </c>
      <c r="I113" s="73" t="n">
        <f aca="false">IF(I75&gt;0,I63/I75,"N/M")</f>
        <v>0.31343984962406</v>
      </c>
      <c r="J113" s="73" t="str">
        <f aca="false">IF(J75&gt;0,J63/J75,"N/M")</f>
        <v>N/M</v>
      </c>
      <c r="K113" s="60" t="n">
        <f aca="false">IF(COUNT(D113:J113)=0,"N/M",AVERAGE(D113:J113))</f>
        <v>1.99724264160138</v>
      </c>
      <c r="L113" s="60" t="str">
        <f aca="false">IF(COUNT(D113,J113)=2,J113-D113,"-")</f>
        <v>-</v>
      </c>
    </row>
    <row r="114" customFormat="false" ht="15" hidden="false" customHeight="false" outlineLevel="0" collapsed="false">
      <c r="A114" s="16" t="s">
        <v>686</v>
      </c>
      <c r="B114" s="87" t="s">
        <v>687</v>
      </c>
      <c r="C114" s="17" t="s">
        <v>688</v>
      </c>
      <c r="D114" s="73" t="n">
        <f aca="false">IF(D25+D76&gt;0,(D30+D25+D22)/(D25+D76),"N/M")</f>
        <v>0.589347391383385</v>
      </c>
      <c r="E114" s="73" t="n">
        <f aca="false">IF(E25+E76&gt;0,(E30+E25+E22)/(E25+E76),"N/M")</f>
        <v>-6.76514117393491</v>
      </c>
      <c r="F114" s="73" t="n">
        <f aca="false">IF(F25+F76&gt;0,(F30+F25+F22)/(F25+F76),"N/M")</f>
        <v>-4.72320675105485</v>
      </c>
      <c r="G114" s="73" t="n">
        <f aca="false">IF(G25+G76&gt;0,(G30+G25+G22)/(G25+G76),"N/M")</f>
        <v>-32.9956521739131</v>
      </c>
      <c r="H114" s="73" t="n">
        <f aca="false">IF(H25+H76&gt;0,(H30+H25+H22)/(H25+H76),"N/M")</f>
        <v>1.51123021949975</v>
      </c>
      <c r="I114" s="73" t="n">
        <f aca="false">IF(I25+I76&gt;0,(I30+I25+I22)/(I25+I76),"N/M")</f>
        <v>1.27514450867052</v>
      </c>
      <c r="J114" s="73" t="n">
        <f aca="false">IF(J25+J76&gt;0,(J30+J25+J22)/(J25+J76),"N/M")</f>
        <v>1.85405528381299</v>
      </c>
      <c r="K114" s="60" t="n">
        <f aca="false">IF(COUNT(D114:J114)=0,"N/M",AVERAGE(D114:J114))</f>
        <v>-5.60774609936231</v>
      </c>
      <c r="L114" s="60" t="n">
        <f aca="false">IF(COUNT(D114,J114)=2,J114-D114,"-")</f>
        <v>1.26470789242961</v>
      </c>
    </row>
    <row r="115" customFormat="false" ht="16.5" hidden="false" customHeight="true" outlineLevel="0" collapsed="false">
      <c r="A115" s="88" t="s">
        <v>689</v>
      </c>
      <c r="B115" s="89"/>
      <c r="C115" s="89"/>
      <c r="D115" s="89"/>
      <c r="E115" s="89"/>
      <c r="F115" s="89"/>
      <c r="G115" s="89"/>
      <c r="H115" s="89"/>
      <c r="I115" s="89"/>
      <c r="J115" s="89"/>
      <c r="K115" s="89"/>
      <c r="L115" s="89"/>
    </row>
    <row r="116" customFormat="false" ht="15" hidden="false" customHeight="false" outlineLevel="0" collapsed="false">
      <c r="A116" s="16" t="s">
        <v>690</v>
      </c>
      <c r="B116" s="87" t="s">
        <v>691</v>
      </c>
      <c r="C116" s="17" t="s">
        <v>692</v>
      </c>
      <c r="D116" s="73" t="n">
        <f aca="false">IF(D51&gt;0,D13/D51,"N/M")</f>
        <v>51.3214505224339</v>
      </c>
      <c r="E116" s="73" t="n">
        <f aca="false">IF(E51&gt;0,E13/E51,"N/M")</f>
        <v>25.5461181154612</v>
      </c>
      <c r="F116" s="73" t="n">
        <f aca="false">IF(F51&gt;0,F13/F51,"N/M")</f>
        <v>33.062832800852</v>
      </c>
      <c r="G116" s="73" t="n">
        <f aca="false">IF(G51&gt;0,G13/G51,"N/M")</f>
        <v>172</v>
      </c>
      <c r="H116" s="73" t="n">
        <f aca="false">IF(H51&gt;0,H13/H51,"N/M")</f>
        <v>84.8930481283422</v>
      </c>
      <c r="I116" s="73" t="n">
        <f aca="false">IF(I51&gt;0,I13/I51,"N/M")</f>
        <v>83.3208556149733</v>
      </c>
      <c r="J116" s="73" t="n">
        <f aca="false">IF(J51&gt;0,J13/J51,"N/M")</f>
        <v>6415.25</v>
      </c>
      <c r="K116" s="60" t="n">
        <f aca="false">IF(COUNT(D116:J116)=0,"N/M",AVERAGE(D116:J116))</f>
        <v>980.770615026009</v>
      </c>
      <c r="L116" s="60" t="n">
        <f aca="false">IF(COUNT(D116,J116)=2,J116-D116,"-")</f>
        <v>6363.92854947757</v>
      </c>
    </row>
    <row r="117" customFormat="false" ht="15" hidden="false" customHeight="false" outlineLevel="0" collapsed="false">
      <c r="A117" s="16" t="s">
        <v>693</v>
      </c>
      <c r="B117" s="87" t="s">
        <v>694</v>
      </c>
      <c r="C117" s="17" t="s">
        <v>653</v>
      </c>
      <c r="D117" s="74" t="n">
        <f aca="false">IF(D13&gt;0,D51/D13*Setup!$C$8,"N/M")</f>
        <v>7.11203592814371</v>
      </c>
      <c r="E117" s="74" t="n">
        <f aca="false">IF(E13&gt;0,E51/E13*Setup!$C$8,"N/M")</f>
        <v>14.2878850849395</v>
      </c>
      <c r="F117" s="74" t="n">
        <f aca="false">IF(F13&gt;0,F51/F13*Setup!$C$8,"N/M")</f>
        <v>11.0395864201507</v>
      </c>
      <c r="G117" s="74" t="n">
        <f aca="false">IF(G13&gt;0,G51/G13*Setup!$C$8,"N/M")</f>
        <v>2.12209302325581</v>
      </c>
      <c r="H117" s="74" t="n">
        <f aca="false">IF(H13&gt;0,H51/H13*Setup!$C$8,"N/M")</f>
        <v>4.29952755905512</v>
      </c>
      <c r="I117" s="74" t="n">
        <f aca="false">IF(I13&gt;0,I51/I13*Setup!$C$8,"N/M")</f>
        <v>4.38065592709069</v>
      </c>
      <c r="J117" s="74" t="n">
        <f aca="false">IF(J13&gt;0,J51/J13*Setup!$C$8,"N/M")</f>
        <v>0.0568956782666303</v>
      </c>
      <c r="K117" s="58" t="n">
        <f aca="false">IF(COUNT(D117:J117)=0,"N/M",AVERAGE(D117:J117))</f>
        <v>6.18552566012888</v>
      </c>
      <c r="L117" s="58" t="n">
        <f aca="false">IF(COUNT(D117,J117)=2,J117-D117,"-")</f>
        <v>-7.05514024987708</v>
      </c>
    </row>
    <row r="118" customFormat="false" ht="15" hidden="false" customHeight="false" outlineLevel="0" collapsed="false">
      <c r="A118" s="16" t="s">
        <v>695</v>
      </c>
      <c r="B118" s="87" t="s">
        <v>696</v>
      </c>
      <c r="C118" s="17" t="s">
        <v>692</v>
      </c>
      <c r="D118" s="73" t="n">
        <f aca="false">IF(D50&gt;0,D7/D50,"N/M")</f>
        <v>4.18176526836569</v>
      </c>
      <c r="E118" s="73" t="n">
        <f aca="false">IF(E50&gt;0,E7/E50,"N/M")</f>
        <v>2.36657111977821</v>
      </c>
      <c r="F118" s="73" t="n">
        <f aca="false">IF(F50&gt;0,F7/F50,"N/M")</f>
        <v>2.46116402116402</v>
      </c>
      <c r="G118" s="73" t="n">
        <f aca="false">IF(G50&gt;0,G7/G50,"N/M")</f>
        <v>7.17361873399195</v>
      </c>
      <c r="H118" s="73" t="n">
        <f aca="false">IF(H50&gt;0,H7/H50,"N/M")</f>
        <v>5.01793009532456</v>
      </c>
      <c r="I118" s="73" t="n">
        <f aca="false">IF(I50&gt;0,I7/I50,"N/M")</f>
        <v>3.07528074310273</v>
      </c>
      <c r="J118" s="73" t="n">
        <f aca="false">IF(J50&gt;0,J7/J50,"N/M")</f>
        <v>4.0195935383012</v>
      </c>
      <c r="K118" s="60" t="n">
        <f aca="false">IF(COUNT(D118:J118)=0,"N/M",AVERAGE(D118:J118))</f>
        <v>4.04227478857548</v>
      </c>
      <c r="L118" s="60" t="n">
        <f aca="false">IF(COUNT(D118,J118)=2,J118-D118,"-")</f>
        <v>-0.162171730064494</v>
      </c>
    </row>
    <row r="119" customFormat="false" ht="15" hidden="false" customHeight="false" outlineLevel="0" collapsed="false">
      <c r="A119" s="16" t="s">
        <v>697</v>
      </c>
      <c r="B119" s="87" t="s">
        <v>698</v>
      </c>
      <c r="C119" s="17" t="s">
        <v>653</v>
      </c>
      <c r="D119" s="74" t="n">
        <f aca="false">IF(D7&gt;0,D50/D7*Setup!$C$8,"N/M")</f>
        <v>87.283713115406</v>
      </c>
      <c r="E119" s="74" t="n">
        <f aca="false">IF(E7&gt;0,E50/E7*Setup!$C$8,"N/M")</f>
        <v>154.23157873836</v>
      </c>
      <c r="F119" s="74" t="n">
        <f aca="false">IF(F7&gt;0,F50/F7*Setup!$C$8,"N/M")</f>
        <v>148.303809441912</v>
      </c>
      <c r="G119" s="74" t="n">
        <f aca="false">IF(G7&gt;0,G50/G7*Setup!$C$8,"N/M")</f>
        <v>50.8808752645941</v>
      </c>
      <c r="H119" s="74" t="n">
        <f aca="false">IF(H7&gt;0,H50/H7*Setup!$C$8,"N/M")</f>
        <v>72.7391559998191</v>
      </c>
      <c r="I119" s="74" t="n">
        <f aca="false">IF(I7&gt;0,I50/I7*Setup!$C$8,"N/M")</f>
        <v>118.688350915156</v>
      </c>
      <c r="J119" s="74" t="n">
        <f aca="false">IF(J7&gt;0,J50/J7*Setup!$C$8,"N/M")</f>
        <v>90.8052012030699</v>
      </c>
      <c r="K119" s="58" t="n">
        <f aca="false">IF(COUNT(D119:J119)=0,"N/M",AVERAGE(D119:J119))</f>
        <v>103.276097811188</v>
      </c>
      <c r="L119" s="58" t="n">
        <f aca="false">IF(COUNT(D119,J119)=2,J119-D119,"-")</f>
        <v>3.52148808766387</v>
      </c>
    </row>
    <row r="120" customFormat="false" ht="15" hidden="false" customHeight="false" outlineLevel="0" collapsed="false">
      <c r="A120" s="16" t="s">
        <v>699</v>
      </c>
      <c r="B120" s="87" t="s">
        <v>700</v>
      </c>
      <c r="C120" s="17" t="s">
        <v>692</v>
      </c>
      <c r="D120" s="73" t="n">
        <f aca="false">IF(D42&gt;0,D13/D42,"N/M")</f>
        <v>0.838361830942078</v>
      </c>
      <c r="E120" s="73" t="n">
        <f aca="false">IF(E42&gt;0,E13/E42,"N/M")</f>
        <v>0.339297045759007</v>
      </c>
      <c r="F120" s="73" t="n">
        <f aca="false">IF(F42&gt;0,F13/F42,"N/M")</f>
        <v>0.425182831630557</v>
      </c>
      <c r="G120" s="73" t="n">
        <f aca="false">IF(G42&gt;0,G13/G42,"N/M")</f>
        <v>1.25630810092962</v>
      </c>
      <c r="H120" s="73" t="n">
        <f aca="false">IF(H42&gt;0,H13/H42,"N/M")</f>
        <v>0.685537850326035</v>
      </c>
      <c r="I120" s="73" t="n">
        <f aca="false">IF(I42&gt;0,I13/I42,"N/M")</f>
        <v>0.608918242926372</v>
      </c>
      <c r="J120" s="73" t="n">
        <f aca="false">IF(J42&gt;0,J13/J42,"N/M")</f>
        <v>0.883673680223148</v>
      </c>
      <c r="K120" s="60" t="n">
        <f aca="false">IF(COUNT(D120:J120)=0,"N/M",AVERAGE(D120:J120))</f>
        <v>0.719611368962402</v>
      </c>
      <c r="L120" s="60" t="n">
        <f aca="false">IF(COUNT(D120,J120)=2,J120-D120,"-")</f>
        <v>0.0453118492810704</v>
      </c>
    </row>
    <row r="121" customFormat="false" ht="15" hidden="false" customHeight="false" outlineLevel="0" collapsed="false">
      <c r="A121" s="16" t="s">
        <v>701</v>
      </c>
      <c r="B121" s="87" t="s">
        <v>702</v>
      </c>
      <c r="C121" s="17" t="s">
        <v>653</v>
      </c>
      <c r="D121" s="74" t="n">
        <f aca="false">IF(D13&gt;0,D42/D13*Setup!$C$8,"N/M")</f>
        <v>435.372874251497</v>
      </c>
      <c r="E121" s="74" t="n">
        <f aca="false">IF(E13&gt;0,E42/E13*Setup!$C$8,"N/M")</f>
        <v>1075.75354563873</v>
      </c>
      <c r="F121" s="74" t="n">
        <f aca="false">IF(F13&gt;0,F42/F13*Setup!$C$8,"N/M")</f>
        <v>858.454229208271</v>
      </c>
      <c r="G121" s="74" t="n">
        <f aca="false">IF(G13&gt;0,G42/G13*Setup!$C$8,"N/M")</f>
        <v>290.533826638478</v>
      </c>
      <c r="H121" s="74" t="n">
        <f aca="false">IF(H13&gt;0,H42/H13*Setup!$C$8,"N/M")</f>
        <v>532.428661417323</v>
      </c>
      <c r="I121" s="74" t="n">
        <f aca="false">IF(I13&gt;0,I42/I13*Setup!$C$8,"N/M")</f>
        <v>599.423657018163</v>
      </c>
      <c r="J121" s="74" t="n">
        <f aca="false">IF(J13&gt;0,J42/J13*Setup!$C$8,"N/M")</f>
        <v>413.048400296169</v>
      </c>
      <c r="K121" s="58" t="n">
        <f aca="false">IF(COUNT(D121:J121)=0,"N/M",AVERAGE(D121:J121))</f>
        <v>600.716456352662</v>
      </c>
      <c r="L121" s="58" t="n">
        <f aca="false">IF(COUNT(D121,J121)=2,J121-D121,"-")</f>
        <v>-22.3244739553277</v>
      </c>
    </row>
    <row r="122" customFormat="false" ht="15" hidden="false" customHeight="false" outlineLevel="0" collapsed="false">
      <c r="A122" s="16" t="s">
        <v>703</v>
      </c>
      <c r="B122" s="87" t="s">
        <v>704</v>
      </c>
      <c r="C122" s="17" t="s">
        <v>653</v>
      </c>
      <c r="D122" s="74" t="n">
        <f aca="false">IF(COUNT(D117,D119,D121)=3,D117+D119-D121,"N/M")</f>
        <v>-340.977125207947</v>
      </c>
      <c r="E122" s="74" t="n">
        <f aca="false">IF(COUNT(E117,E119,E121)=3,E117+E119-E121,"N/M")</f>
        <v>-907.234081815436</v>
      </c>
      <c r="F122" s="74" t="n">
        <f aca="false">IF(COUNT(F117,F119,F121)=3,F117+F119-F121,"N/M")</f>
        <v>-699.110833346208</v>
      </c>
      <c r="G122" s="74" t="n">
        <f aca="false">IF(COUNT(G117,G119,G121)=3,G117+G119-G121,"N/M")</f>
        <v>-237.530858350628</v>
      </c>
      <c r="H122" s="74" t="n">
        <f aca="false">IF(COUNT(H117,H119,H121)=3,H117+H119-H121,"N/M")</f>
        <v>-455.389977858449</v>
      </c>
      <c r="I122" s="74" t="n">
        <f aca="false">IF(COUNT(I117,I119,I121)=3,I117+I119-I121,"N/M")</f>
        <v>-476.354650175916</v>
      </c>
      <c r="J122" s="74" t="n">
        <f aca="false">IF(COUNT(J117,J119,J121)=3,J117+J119-J121,"N/M")</f>
        <v>-322.186303414833</v>
      </c>
      <c r="K122" s="58" t="n">
        <f aca="false">IF(COUNT(D122:J122)=0,"N/M",AVERAGE(D122:J122))</f>
        <v>-491.254832881345</v>
      </c>
      <c r="L122" s="58" t="n">
        <f aca="false">IF(COUNT(D122,J122)=2,J122-D122,"-")</f>
        <v>18.7908217931144</v>
      </c>
    </row>
    <row r="123" customFormat="false" ht="15" hidden="false" customHeight="false" outlineLevel="0" collapsed="false">
      <c r="A123" s="16" t="s">
        <v>705</v>
      </c>
      <c r="B123" s="87" t="s">
        <v>706</v>
      </c>
      <c r="C123" s="17" t="s">
        <v>692</v>
      </c>
      <c r="D123" s="73" t="n">
        <f aca="false">IF(D45&gt;0,D7/D45,"N/M")</f>
        <v>1.07006532053874</v>
      </c>
      <c r="E123" s="73" t="n">
        <f aca="false">IF(E45&gt;0,E7/E45,"N/M")</f>
        <v>0.599938056154478</v>
      </c>
      <c r="F123" s="73" t="n">
        <f aca="false">IF(F45&gt;0,F7/F45,"N/M")</f>
        <v>0.45663612565445</v>
      </c>
      <c r="G123" s="73" t="n">
        <f aca="false">IF(G45&gt;0,G7/G45,"N/M")</f>
        <v>0.647730276199286</v>
      </c>
      <c r="H123" s="73" t="n">
        <f aca="false">IF(H45&gt;0,H7/H45,"N/M")</f>
        <v>0.396730548377835</v>
      </c>
      <c r="I123" s="73" t="n">
        <f aca="false">IF(I45&gt;0,I7/I45,"N/M")</f>
        <v>0.368496245597714</v>
      </c>
      <c r="J123" s="73" t="n">
        <f aca="false">IF(J45&gt;0,J7/J45,"N/M")</f>
        <v>0.694305928099516</v>
      </c>
      <c r="K123" s="60" t="n">
        <f aca="false">IF(COUNT(D123:J123)=0,"N/M",AVERAGE(D123:J123))</f>
        <v>0.604843214374574</v>
      </c>
      <c r="L123" s="60" t="n">
        <f aca="false">IF(COUNT(D123,J123)=2,J123-D123,"-")</f>
        <v>-0.375759392439219</v>
      </c>
    </row>
    <row r="124" customFormat="false" ht="15" hidden="false" customHeight="false" outlineLevel="0" collapsed="false">
      <c r="A124" s="16" t="s">
        <v>707</v>
      </c>
      <c r="B124" s="87" t="s">
        <v>708</v>
      </c>
      <c r="C124" s="17" t="s">
        <v>692</v>
      </c>
      <c r="D124" s="73" t="n">
        <f aca="false">IF(D49&gt;0,D7/D49,"N/M")</f>
        <v>0.363520712411545</v>
      </c>
      <c r="E124" s="73" t="n">
        <f aca="false">IF(E49&gt;0,E7/E49,"N/M")</f>
        <v>0.290937344748305</v>
      </c>
      <c r="F124" s="73" t="n">
        <f aca="false">IF(F49&gt;0,F7/F49,"N/M")</f>
        <v>0.222837542635956</v>
      </c>
      <c r="G124" s="73" t="n">
        <f aca="false">IF(G49&gt;0,G7/G49,"N/M")</f>
        <v>0.494457825248105</v>
      </c>
      <c r="H124" s="73" t="n">
        <f aca="false">IF(H49&gt;0,H7/H49,"N/M")</f>
        <v>0.288050134194961</v>
      </c>
      <c r="I124" s="73" t="n">
        <f aca="false">IF(I49&gt;0,I7/I49,"N/M")</f>
        <v>0.258257558999197</v>
      </c>
      <c r="J124" s="73" t="n">
        <f aca="false">IF(J49&gt;0,J7/J49,"N/M")</f>
        <v>0.425352640808179</v>
      </c>
      <c r="K124" s="60" t="n">
        <f aca="false">IF(COUNT(D124:J124)=0,"N/M",AVERAGE(D124:J124))</f>
        <v>0.334773394149464</v>
      </c>
      <c r="L124" s="60" t="n">
        <f aca="false">IF(COUNT(D124,J124)=2,J124-D124,"-")</f>
        <v>0.061831928396634</v>
      </c>
    </row>
    <row r="125" customFormat="false" ht="15" hidden="false" customHeight="false" outlineLevel="0" collapsed="false">
      <c r="A125" s="16" t="s">
        <v>709</v>
      </c>
      <c r="B125" s="87" t="s">
        <v>710</v>
      </c>
      <c r="C125" s="17" t="s">
        <v>692</v>
      </c>
      <c r="D125" s="73" t="n">
        <f aca="false">IF(D90&gt;0,D7/D90,"N/M")</f>
        <v>0.567966345746633</v>
      </c>
      <c r="E125" s="73" t="n">
        <f aca="false">IF(E90&gt;0,E7/E90,"N/M")</f>
        <v>0.844421716240233</v>
      </c>
      <c r="F125" s="73" t="n">
        <f aca="false">IF(F90&gt;0,F7/F90,"N/M")</f>
        <v>0.417608331338281</v>
      </c>
      <c r="G125" s="73" t="n">
        <f aca="false">IF(G90&gt;0,G7/G90,"N/M")</f>
        <v>0.730199817501257</v>
      </c>
      <c r="H125" s="73" t="n">
        <f aca="false">IF(H90&gt;0,H7/H90,"N/M")</f>
        <v>0.412504431218165</v>
      </c>
      <c r="I125" s="73" t="n">
        <f aca="false">IF(I90&gt;0,I7/I90,"N/M")</f>
        <v>0.367842395900701</v>
      </c>
      <c r="J125" s="73" t="n">
        <f aca="false">IF(J90&gt;0,J7/J90,"N/M")</f>
        <v>0.62575850991336</v>
      </c>
      <c r="K125" s="60" t="n">
        <f aca="false">IF(COUNT(D125:J125)=0,"N/M",AVERAGE(D125:J125))</f>
        <v>0.566614506836947</v>
      </c>
      <c r="L125" s="60" t="n">
        <f aca="false">IF(COUNT(D125,J125)=2,J125-D125,"-")</f>
        <v>0.0577921641667263</v>
      </c>
    </row>
    <row r="126" customFormat="false" ht="15" hidden="false" customHeight="false" outlineLevel="0" collapsed="false">
      <c r="A126" s="16" t="s">
        <v>711</v>
      </c>
      <c r="B126" s="87" t="s">
        <v>712</v>
      </c>
      <c r="C126" s="17" t="s">
        <v>692</v>
      </c>
      <c r="D126" s="73" t="n">
        <f aca="false">IF(D87&gt;0,D7/D87,"N/M")</f>
        <v>1.87432915921288</v>
      </c>
      <c r="E126" s="73" t="n">
        <f aca="false">IF(E87&gt;0,E7/E87,"N/M")</f>
        <v>1.03126791711033</v>
      </c>
      <c r="F126" s="73" t="n">
        <f aca="false">IF(F87&gt;0,F7/F87,"N/M")</f>
        <v>0.888546468685531</v>
      </c>
      <c r="G126" s="73" t="n">
        <f aca="false">IF(G87&gt;0,G7/G87,"N/M")</f>
        <v>2.0958362285531</v>
      </c>
      <c r="H126" s="73" t="n">
        <f aca="false">IF(H87&gt;0,H7/H87,"N/M")</f>
        <v>1.10833166232204</v>
      </c>
      <c r="I126" s="73" t="n">
        <f aca="false">IF(I87&gt;0,I7/I87,"N/M")</f>
        <v>1.08692669541356</v>
      </c>
      <c r="J126" s="73" t="n">
        <f aca="false">IF(J87&gt;0,J7/J87,"N/M")</f>
        <v>1.16477410002416</v>
      </c>
      <c r="K126" s="60" t="n">
        <f aca="false">IF(COUNT(D126:J126)=0,"N/M",AVERAGE(D126:J126))</f>
        <v>1.32143031876023</v>
      </c>
      <c r="L126" s="60" t="n">
        <f aca="false">IF(COUNT(D126,J126)=2,J126-D126,"-")</f>
        <v>-0.70955505918872</v>
      </c>
    </row>
    <row r="127" customFormat="false" ht="15" hidden="false" customHeight="false" outlineLevel="0" collapsed="false">
      <c r="A127" s="16" t="s">
        <v>713</v>
      </c>
      <c r="B127" s="87" t="s">
        <v>714</v>
      </c>
      <c r="C127" s="17" t="s">
        <v>692</v>
      </c>
      <c r="D127" s="73" t="str">
        <f aca="false">IF(D94&gt;0,D7/D94,"N/M")</f>
        <v>N/M</v>
      </c>
      <c r="E127" s="73" t="str">
        <f aca="false">IF(E94&gt;0,E7/E94,"N/M")</f>
        <v>N/M</v>
      </c>
      <c r="F127" s="73" t="str">
        <f aca="false">IF(F94&gt;0,F7/F94,"N/M")</f>
        <v>N/M</v>
      </c>
      <c r="G127" s="73" t="str">
        <f aca="false">IF(G94&gt;0,G7/G94,"N/M")</f>
        <v>N/M</v>
      </c>
      <c r="H127" s="73" t="str">
        <f aca="false">IF(H94&gt;0,H7/H94,"N/M")</f>
        <v>N/M</v>
      </c>
      <c r="I127" s="73" t="str">
        <f aca="false">IF(I94&gt;0,I7/I94,"N/M")</f>
        <v>N/M</v>
      </c>
      <c r="J127" s="73" t="n">
        <f aca="false">IF(J94&gt;0,J7/J94,"N/M")</f>
        <v>9.4691873312055</v>
      </c>
      <c r="K127" s="60" t="n">
        <f aca="false">IF(COUNT(D127:J127)=0,"N/M",AVERAGE(D127:J127))</f>
        <v>9.4691873312055</v>
      </c>
      <c r="L127" s="60" t="str">
        <f aca="false">IF(COUNT(D127,J127)=2,J127-D127,"-")</f>
        <v>-</v>
      </c>
    </row>
    <row r="128" customFormat="false" ht="16.5" hidden="false" customHeight="true" outlineLevel="0" collapsed="false">
      <c r="A128" s="88" t="s">
        <v>715</v>
      </c>
      <c r="B128" s="89"/>
      <c r="C128" s="89"/>
      <c r="D128" s="89"/>
      <c r="E128" s="89"/>
      <c r="F128" s="89"/>
      <c r="G128" s="89"/>
      <c r="H128" s="89"/>
      <c r="I128" s="89"/>
      <c r="J128" s="89"/>
      <c r="K128" s="89"/>
      <c r="L128" s="89"/>
    </row>
    <row r="129" customFormat="false" ht="15" hidden="false" customHeight="false" outlineLevel="0" collapsed="false">
      <c r="A129" s="16" t="s">
        <v>716</v>
      </c>
      <c r="B129" s="87" t="s">
        <v>717</v>
      </c>
      <c r="C129" s="17" t="s">
        <v>615</v>
      </c>
      <c r="D129" s="71" t="n">
        <f aca="false">IF(D7&gt;0,D14/D7,"N/M")</f>
        <v>0.169848087170922</v>
      </c>
      <c r="E129" s="71" t="n">
        <f aca="false">IF(E7&gt;0,E14/E7,"N/M")</f>
        <v>0.235589619363422</v>
      </c>
      <c r="F129" s="71" t="n">
        <f aca="false">IF(F7&gt;0,F14/F7,"N/M")</f>
        <v>0.110098317424829</v>
      </c>
      <c r="G129" s="71" t="n">
        <f aca="false">IF(G7&gt;0,G14/G7,"N/M")</f>
        <v>0.179719976537196</v>
      </c>
      <c r="H129" s="71" t="n">
        <f aca="false">IF(H7&gt;0,H14/H7,"N/M")</f>
        <v>0.281966619928536</v>
      </c>
      <c r="I129" s="71" t="n">
        <f aca="false">IF(I7&gt;0,I14/I7,"N/M")</f>
        <v>0.297583626363718</v>
      </c>
      <c r="J129" s="71" t="n">
        <f aca="false">IF(J7&gt;0,J14/J7,"N/M")</f>
        <v>0.334655673096868</v>
      </c>
      <c r="K129" s="62" t="n">
        <f aca="false">IF(COUNT(D129:J129)=0,"N/M",AVERAGE(D129:J129))</f>
        <v>0.229923131412213</v>
      </c>
      <c r="L129" s="62" t="n">
        <f aca="false">IF(COUNT(D129,J129)=2,J129-D129,"-")</f>
        <v>0.164807585925946</v>
      </c>
    </row>
    <row r="130" customFormat="false" ht="15" hidden="false" customHeight="false" outlineLevel="0" collapsed="false">
      <c r="A130" s="16" t="s">
        <v>718</v>
      </c>
      <c r="B130" s="87" t="s">
        <v>719</v>
      </c>
      <c r="C130" s="17" t="s">
        <v>615</v>
      </c>
      <c r="D130" s="71" t="n">
        <f aca="false">IF(D7&gt;0,D21/D7,"N/M")</f>
        <v>-0.0223395371033165</v>
      </c>
      <c r="E130" s="71" t="n">
        <f aca="false">IF(E7&gt;0,E21/E7,"N/M")</f>
        <v>-0.0187637749935467</v>
      </c>
      <c r="F130" s="71" t="n">
        <f aca="false">IF(F7&gt;0,F21/F7,"N/M")</f>
        <v>-0.112248115343824</v>
      </c>
      <c r="G130" s="71" t="n">
        <f aca="false">IF(G7&gt;0,G21/G7,"N/M")</f>
        <v>0.0703629083675499</v>
      </c>
      <c r="H130" s="71" t="n">
        <f aca="false">IF(H7&gt;0,H21/H7,"N/M")</f>
        <v>0.0750825455696775</v>
      </c>
      <c r="I130" s="71" t="n">
        <f aca="false">IF(I7&gt;0,I21/I7,"N/M")</f>
        <v>0.0968803534397258</v>
      </c>
      <c r="J130" s="71" t="n">
        <f aca="false">IF(J7&gt;0,J21/J7,"N/M")</f>
        <v>0.203069902509853</v>
      </c>
      <c r="K130" s="62" t="n">
        <f aca="false">IF(COUNT(D130:J130)=0,"N/M",AVERAGE(D130:J130))</f>
        <v>0.0417206117780169</v>
      </c>
      <c r="L130" s="62" t="n">
        <f aca="false">IF(COUNT(D130,J130)=2,J130-D130,"-")</f>
        <v>0.225409439613169</v>
      </c>
    </row>
    <row r="131" customFormat="false" ht="15" hidden="false" customHeight="false" outlineLevel="0" collapsed="false">
      <c r="A131" s="16" t="s">
        <v>720</v>
      </c>
      <c r="B131" s="87" t="s">
        <v>721</v>
      </c>
      <c r="C131" s="17" t="s">
        <v>615</v>
      </c>
      <c r="D131" s="71" t="n">
        <f aca="false">IF(D7&gt;0,D23/D7,"N/M")</f>
        <v>-0.106299212598425</v>
      </c>
      <c r="E131" s="71" t="n">
        <f aca="false">IF(E7&gt;0,E23/E7,"N/M")</f>
        <v>-0.175128566606437</v>
      </c>
      <c r="F131" s="71" t="n">
        <f aca="false">IF(F7&gt;0,F23/F7,"N/M")</f>
        <v>-0.316249605870382</v>
      </c>
      <c r="G131" s="71" t="n">
        <f aca="false">IF(G7&gt;0,G23/G7,"N/M")</f>
        <v>-0.0716125577006453</v>
      </c>
      <c r="H131" s="71" t="n">
        <f aca="false">IF(H7&gt;0,H23/H7,"N/M")</f>
        <v>-0.143470984666878</v>
      </c>
      <c r="I131" s="71" t="n">
        <f aca="false">IF(I7&gt;0,I23/I7,"N/M")</f>
        <v>-0.0732125146515193</v>
      </c>
      <c r="J131" s="71" t="n">
        <f aca="false">IF(J7&gt;0,J23/J7,"N/M")</f>
        <v>0.0949751088985689</v>
      </c>
      <c r="K131" s="62" t="n">
        <f aca="false">IF(COUNT(D131:J131)=0,"N/M",AVERAGE(D131:J131))</f>
        <v>-0.112999761885102</v>
      </c>
      <c r="L131" s="62" t="n">
        <f aca="false">IF(COUNT(D131,J131)=2,J131-D131,"-")</f>
        <v>0.201274321496994</v>
      </c>
    </row>
    <row r="132" customFormat="false" ht="15" hidden="false" customHeight="false" outlineLevel="0" collapsed="false">
      <c r="A132" s="16" t="s">
        <v>722</v>
      </c>
      <c r="B132" s="87" t="s">
        <v>723</v>
      </c>
      <c r="C132" s="17" t="s">
        <v>615</v>
      </c>
      <c r="D132" s="71" t="n">
        <f aca="false">IF(D7&gt;0,D26/D7,"N/M")</f>
        <v>-0.13216813807365</v>
      </c>
      <c r="E132" s="71" t="n">
        <f aca="false">IF(E7&gt;0,E26/E7,"N/M")</f>
        <v>-2.31658161745726</v>
      </c>
      <c r="F132" s="71" t="n">
        <f aca="false">IF(F7&gt;0,F26/F7,"N/M")</f>
        <v>-0.722676068449566</v>
      </c>
      <c r="G132" s="71" t="n">
        <f aca="false">IF(G7&gt;0,G26/G7,"N/M")</f>
        <v>-2.11047920226467</v>
      </c>
      <c r="H132" s="71" t="n">
        <f aca="false">IF(H7&gt;0,H26/H7,"N/M")</f>
        <v>-0.107512777601882</v>
      </c>
      <c r="I132" s="71" t="n">
        <f aca="false">IF(I7&gt;0,I26/I7,"N/M")</f>
        <v>-0.138490668109278</v>
      </c>
      <c r="J132" s="71" t="n">
        <f aca="false">IF(J7&gt;0,J26/J7,"N/M")</f>
        <v>0.148024268823896</v>
      </c>
      <c r="K132" s="62" t="n">
        <f aca="false">IF(COUNT(D132:J132)=0,"N/M",AVERAGE(D132:J132))</f>
        <v>-0.768554886161773</v>
      </c>
      <c r="L132" s="62" t="n">
        <f aca="false">IF(COUNT(D132,J132)=2,J132-D132,"-")</f>
        <v>0.280192406897545</v>
      </c>
    </row>
    <row r="133" customFormat="false" ht="15" hidden="false" customHeight="false" outlineLevel="0" collapsed="false">
      <c r="A133" s="16" t="s">
        <v>724</v>
      </c>
      <c r="B133" s="87" t="s">
        <v>725</v>
      </c>
      <c r="C133" s="17" t="s">
        <v>615</v>
      </c>
      <c r="D133" s="71" t="n">
        <f aca="false">IF(D7&gt;0,D30/D7,"N/M")</f>
        <v>-0.106418515867335</v>
      </c>
      <c r="E133" s="71" t="n">
        <f aca="false">IF(E7&gt;0,E30/E7,"N/M")</f>
        <v>-2.3024442547108</v>
      </c>
      <c r="F133" s="71" t="n">
        <f aca="false">IF(F7&gt;0,F30/F7,"N/M")</f>
        <v>-0.746467165419784</v>
      </c>
      <c r="G133" s="71" t="n">
        <f aca="false">IF(G7&gt;0,G30/G7,"N/M")</f>
        <v>-2.12680115273775</v>
      </c>
      <c r="H133" s="71" t="n">
        <f aca="false">IF(H7&gt;0,H30/H7,"N/M")</f>
        <v>-0.12795694061242</v>
      </c>
      <c r="I133" s="71" t="n">
        <f aca="false">IF(I7&gt;0,I30/I7,"N/M")</f>
        <v>-0.116445766837977</v>
      </c>
      <c r="J133" s="71" t="n">
        <f aca="false">IF(J7&gt;0,J30/J7,"N/M")</f>
        <v>0.127774320680357</v>
      </c>
      <c r="K133" s="62" t="n">
        <f aca="false">IF(COUNT(D133:J133)=0,"N/M",AVERAGE(D133:J133))</f>
        <v>-0.771251353643673</v>
      </c>
      <c r="L133" s="62" t="n">
        <f aca="false">IF(COUNT(D133,J133)=2,J133-D133,"-")</f>
        <v>0.234192836547692</v>
      </c>
    </row>
    <row r="134" customFormat="false" ht="16.5" hidden="false" customHeight="true" outlineLevel="0" collapsed="false">
      <c r="A134" s="88" t="s">
        <v>726</v>
      </c>
      <c r="B134" s="89"/>
      <c r="C134" s="89"/>
      <c r="D134" s="89"/>
      <c r="E134" s="89"/>
      <c r="F134" s="89"/>
      <c r="G134" s="89"/>
      <c r="H134" s="89"/>
      <c r="I134" s="89"/>
      <c r="J134" s="89"/>
      <c r="K134" s="89"/>
      <c r="L134" s="89"/>
    </row>
    <row r="135" customFormat="false" ht="15" hidden="false" customHeight="false" outlineLevel="0" collapsed="false">
      <c r="A135" s="16" t="s">
        <v>727</v>
      </c>
      <c r="B135" s="87" t="s">
        <v>728</v>
      </c>
      <c r="C135" s="17" t="s">
        <v>615</v>
      </c>
      <c r="D135" s="71" t="n">
        <f aca="false">IF(D7&gt;0,D13/D7,"N/M")</f>
        <v>0.830151912829078</v>
      </c>
      <c r="E135" s="71" t="n">
        <f aca="false">IF(E7&gt;0,E13/E7,"N/M")</f>
        <v>0.764410380636578</v>
      </c>
      <c r="F135" s="71" t="n">
        <f aca="false">IF(F7&gt;0,F13/F7,"N/M")</f>
        <v>0.889901682575171</v>
      </c>
      <c r="G135" s="71" t="n">
        <f aca="false">IF(G7&gt;0,G13/G7,"N/M")</f>
        <v>0.820280023462804</v>
      </c>
      <c r="H135" s="71" t="n">
        <f aca="false">IF(H7&gt;0,H13/H7,"N/M")</f>
        <v>0.718033380071464</v>
      </c>
      <c r="I135" s="71" t="n">
        <f aca="false">IF(I7&gt;0,I13/I7,"N/M")</f>
        <v>0.702416373636282</v>
      </c>
      <c r="J135" s="71" t="n">
        <f aca="false">IF(J7&gt;0,J13/J7,"N/M")</f>
        <v>0.665344326903132</v>
      </c>
      <c r="K135" s="62" t="n">
        <f aca="false">IF(COUNT(D135:J135)=0,"N/M",AVERAGE(D135:J135))</f>
        <v>0.770076868587787</v>
      </c>
      <c r="L135" s="62" t="n">
        <f aca="false">IF(COUNT(D135,J135)=2,J135-D135,"-")</f>
        <v>-0.164807585925946</v>
      </c>
    </row>
    <row r="136" customFormat="false" ht="15" hidden="false" customHeight="false" outlineLevel="0" collapsed="false">
      <c r="A136" s="16" t="s">
        <v>729</v>
      </c>
      <c r="B136" s="87" t="s">
        <v>730</v>
      </c>
      <c r="C136" s="17" t="s">
        <v>615</v>
      </c>
      <c r="D136" s="71" t="n">
        <f aca="false">IF(D7&gt;0,D19/D7,"N/M")</f>
        <v>0.192187624274238</v>
      </c>
      <c r="E136" s="71" t="n">
        <f aca="false">IF(E7&gt;0,E19/E7,"N/M")</f>
        <v>0.254353394356968</v>
      </c>
      <c r="F136" s="71" t="n">
        <f aca="false">IF(F7&gt;0,F19/F7,"N/M")</f>
        <v>0.222346432768653</v>
      </c>
      <c r="G136" s="71" t="n">
        <f aca="false">IF(G7&gt;0,G19/G7,"N/M")</f>
        <v>0.109357068169646</v>
      </c>
      <c r="H136" s="71" t="n">
        <f aca="false">IF(H7&gt;0,H19/H7,"N/M")</f>
        <v>0.206884074358858</v>
      </c>
      <c r="I136" s="71" t="n">
        <f aca="false">IF(I7&gt;0,I19/I7,"N/M")</f>
        <v>0.200703272923992</v>
      </c>
      <c r="J136" s="71" t="n">
        <f aca="false">IF(J7&gt;0,J19/J7,"N/M")</f>
        <v>0.131585770587015</v>
      </c>
      <c r="K136" s="62" t="n">
        <f aca="false">IF(COUNT(D136:J136)=0,"N/M",AVERAGE(D136:J136))</f>
        <v>0.188202519634196</v>
      </c>
      <c r="L136" s="62" t="n">
        <f aca="false">IF(COUNT(D136,J136)=2,J136-D136,"-")</f>
        <v>-0.0606018536872233</v>
      </c>
    </row>
    <row r="137" customFormat="false" ht="15" hidden="false" customHeight="false" outlineLevel="0" collapsed="false">
      <c r="A137" s="16" t="s">
        <v>731</v>
      </c>
      <c r="B137" s="87" t="s">
        <v>732</v>
      </c>
      <c r="C137" s="17" t="s">
        <v>615</v>
      </c>
      <c r="D137" s="71" t="n">
        <f aca="false">IF(D7&gt;0,D16/D7,"N/M")</f>
        <v>0.132655293088364</v>
      </c>
      <c r="E137" s="71" t="n">
        <f aca="false">IF(E7&gt;0,E16/E7,"N/M")</f>
        <v>0.10734070647102</v>
      </c>
      <c r="F137" s="71" t="n">
        <f aca="false">IF(F7&gt;0,F16/F7,"N/M")</f>
        <v>0.0828675437842176</v>
      </c>
      <c r="G137" s="71" t="n">
        <f aca="false">IF(G7&gt;0,G16/G7,"N/M")</f>
        <v>0.0608757746550713</v>
      </c>
      <c r="H137" s="71" t="n">
        <f aca="false">IF(H7&gt;0,H16/H7,"N/M")</f>
        <v>0.111628748473472</v>
      </c>
      <c r="I137" s="71" t="n">
        <f aca="false">IF(I7&gt;0,I16/I7,"N/M")</f>
        <v>0.100126228473537</v>
      </c>
      <c r="J137" s="71" t="n">
        <f aca="false">IF(J7&gt;0,J16/J7,"N/M")</f>
        <v>0.0693320887782618</v>
      </c>
      <c r="K137" s="62" t="n">
        <f aca="false">IF(COUNT(D137:J137)=0,"N/M",AVERAGE(D137:J137))</f>
        <v>0.0949751976748492</v>
      </c>
      <c r="L137" s="62" t="n">
        <f aca="false">IF(COUNT(D137,J137)=2,J137-D137,"-")</f>
        <v>-0.0633232043101022</v>
      </c>
    </row>
    <row r="138" customFormat="false" ht="15" hidden="false" customHeight="false" outlineLevel="0" collapsed="false">
      <c r="A138" s="16" t="s">
        <v>733</v>
      </c>
      <c r="B138" s="87" t="s">
        <v>734</v>
      </c>
      <c r="C138" s="17" t="s">
        <v>615</v>
      </c>
      <c r="D138" s="71" t="n">
        <f aca="false">IF(D7&gt;0,D17/D7,"N/M")</f>
        <v>0.0348962061560487</v>
      </c>
      <c r="E138" s="71" t="n">
        <f aca="false">IF(E7&gt;0,E17/E7,"N/M")</f>
        <v>0.0298830490637968</v>
      </c>
      <c r="F138" s="71" t="n">
        <f aca="false">IF(F7&gt;0,F17/F7,"N/M")</f>
        <v>0.0445151489093359</v>
      </c>
      <c r="G138" s="71" t="n">
        <f aca="false">IF(G7&gt;0,G17/G7,"N/M")</f>
        <v>0.0446558363724465</v>
      </c>
      <c r="H138" s="71" t="n">
        <f aca="false">IF(H7&gt;0,H17/H7,"N/M")</f>
        <v>0.0768917635352119</v>
      </c>
      <c r="I138" s="71" t="n">
        <f aca="false">IF(I7&gt;0,I17/I7,"N/M")</f>
        <v>0.07149941393923</v>
      </c>
      <c r="J138" s="71" t="n">
        <f aca="false">IF(J7&gt;0,J17/J7,"N/M")</f>
        <v>0.0471375233354076</v>
      </c>
      <c r="K138" s="62" t="n">
        <f aca="false">IF(COUNT(D138:J138)=0,"N/M",AVERAGE(D138:J138))</f>
        <v>0.0499255630444968</v>
      </c>
      <c r="L138" s="62" t="n">
        <f aca="false">IF(COUNT(D138,J138)=2,J138-D138,"-")</f>
        <v>0.0122413171793589</v>
      </c>
    </row>
    <row r="139" customFormat="false" ht="15" hidden="false" customHeight="false" outlineLevel="0" collapsed="false">
      <c r="A139" s="16" t="s">
        <v>735</v>
      </c>
      <c r="B139" s="87" t="s">
        <v>736</v>
      </c>
      <c r="C139" s="17" t="s">
        <v>615</v>
      </c>
      <c r="D139" s="71" t="n">
        <f aca="false">IF(D7&gt;0,D25/D7,"N/M")</f>
        <v>0.0546906068559612</v>
      </c>
      <c r="E139" s="71" t="n">
        <f aca="false">IF(E7&gt;0,E25/E7,"N/M")</f>
        <v>0.276373528185374</v>
      </c>
      <c r="F139" s="71" t="n">
        <f aca="false">IF(F7&gt;0,F25/F7,"N/M")</f>
        <v>0.0611689167884886</v>
      </c>
      <c r="G139" s="71" t="n">
        <f aca="false">IF(G7&gt;0,G25/G7,"N/M")</f>
        <v>0.0493994032286858</v>
      </c>
      <c r="H139" s="71" t="n">
        <f aca="false">IF(H7&gt;0,H25/H7,"N/M")</f>
        <v>0.177212899724094</v>
      </c>
      <c r="I139" s="71" t="n">
        <f aca="false">IF(I7&gt;0,I25/I7,"N/M")</f>
        <v>0.194977910017131</v>
      </c>
      <c r="J139" s="71" t="n">
        <f aca="false">IF(J7&gt;0,J25/J7,"N/M")</f>
        <v>0.186735117195603</v>
      </c>
      <c r="K139" s="62" t="n">
        <f aca="false">IF(COUNT(D139:J139)=0,"N/M",AVERAGE(D139:J139))</f>
        <v>0.14293691171362</v>
      </c>
      <c r="L139" s="62" t="n">
        <f aca="false">IF(COUNT(D139,J139)=2,J139-D139,"-")</f>
        <v>0.132044510339641</v>
      </c>
    </row>
    <row r="140" customFormat="false" ht="15" hidden="false" customHeight="false" outlineLevel="0" collapsed="false">
      <c r="A140" s="16" t="s">
        <v>737</v>
      </c>
      <c r="B140" s="87" t="s">
        <v>738</v>
      </c>
      <c r="C140" s="17" t="s">
        <v>615</v>
      </c>
      <c r="D140" s="71" t="n">
        <f aca="false">IF(D7&gt;0,D20/D7,"N/M")</f>
        <v>1.02233953710332</v>
      </c>
      <c r="E140" s="71" t="n">
        <f aca="false">IF(E7&gt;0,E20/E7,"N/M")</f>
        <v>1.01876377499355</v>
      </c>
      <c r="F140" s="71" t="n">
        <f aca="false">IF(F7&gt;0,F20/F7,"N/M")</f>
        <v>1.11224811534382</v>
      </c>
      <c r="G140" s="71" t="n">
        <f aca="false">IF(G7&gt;0,G20/G7,"N/M")</f>
        <v>0.92963709163245</v>
      </c>
      <c r="H140" s="71" t="n">
        <f aca="false">IF(H7&gt;0,H20/H7,"N/M")</f>
        <v>0.924917454430323</v>
      </c>
      <c r="I140" s="71" t="n">
        <f aca="false">IF(I7&gt;0,I20/I7,"N/M")</f>
        <v>0.903119646560274</v>
      </c>
      <c r="J140" s="71" t="n">
        <f aca="false">IF(J7&gt;0,J20/J7,"N/M")</f>
        <v>0.796930097490147</v>
      </c>
      <c r="K140" s="62" t="n">
        <f aca="false">IF(COUNT(D140:J140)=0,"N/M",AVERAGE(D140:J140))</f>
        <v>0.958279388221983</v>
      </c>
      <c r="L140" s="62" t="n">
        <f aca="false">IF(COUNT(D140,J140)=2,J140-D140,"-")</f>
        <v>-0.22540943961317</v>
      </c>
    </row>
    <row r="141" customFormat="false" ht="16.5" hidden="false" customHeight="true" outlineLevel="0" collapsed="false">
      <c r="A141" s="88" t="s">
        <v>739</v>
      </c>
      <c r="B141" s="89"/>
      <c r="C141" s="89"/>
      <c r="D141" s="89"/>
      <c r="E141" s="89"/>
      <c r="F141" s="89"/>
      <c r="G141" s="89"/>
      <c r="H141" s="89"/>
      <c r="I141" s="89"/>
      <c r="J141" s="89"/>
      <c r="K141" s="89"/>
      <c r="L141" s="89"/>
    </row>
    <row r="142" customFormat="false" ht="15" hidden="false" customHeight="false" outlineLevel="0" collapsed="false">
      <c r="A142" s="16" t="s">
        <v>740</v>
      </c>
      <c r="B142" s="87" t="s">
        <v>741</v>
      </c>
      <c r="C142" s="17" t="s">
        <v>615</v>
      </c>
      <c r="D142" s="71" t="n">
        <f aca="false">IF(D49&gt;0,D30/D49,"N/M")</f>
        <v>-0.0386853347018728</v>
      </c>
      <c r="E142" s="71" t="n">
        <f aca="false">IF(E49&gt;0,E30/E49,"N/M")</f>
        <v>-0.669867017896549</v>
      </c>
      <c r="F142" s="71" t="n">
        <f aca="false">IF(F49&gt;0,F30/F49,"N/M")</f>
        <v>-0.166340908800572</v>
      </c>
      <c r="G142" s="71" t="n">
        <f aca="false">IF(G49&gt;0,G30/G49,"N/M")</f>
        <v>-1.05161347271787</v>
      </c>
      <c r="H142" s="71" t="n">
        <f aca="false">IF(H49&gt;0,H30/H49,"N/M")</f>
        <v>-0.0368580139145843</v>
      </c>
      <c r="I142" s="71" t="n">
        <f aca="false">IF(I49&gt;0,I30/I49,"N/M")</f>
        <v>-0.0300729994993655</v>
      </c>
      <c r="J142" s="71" t="n">
        <f aca="false">IF(J49&gt;0,J30/J49,"N/M")</f>
        <v>0.0543491447288609</v>
      </c>
      <c r="K142" s="62" t="n">
        <f aca="false">IF(COUNT(D142:J142)=0,"N/M",AVERAGE(D142:J142))</f>
        <v>-0.277012657543137</v>
      </c>
      <c r="L142" s="62" t="n">
        <f aca="false">IF(COUNT(D142,J142)=2,J142-D142,"-")</f>
        <v>0.0930344794307337</v>
      </c>
    </row>
    <row r="143" customFormat="false" ht="15" hidden="false" customHeight="false" outlineLevel="0" collapsed="false">
      <c r="A143" s="16" t="s">
        <v>742</v>
      </c>
      <c r="B143" s="87" t="s">
        <v>743</v>
      </c>
      <c r="C143" s="17" t="s">
        <v>615</v>
      </c>
      <c r="D143" s="71" t="n">
        <f aca="false">IF(D49&gt;0,(D30+D25*(1-D77))/D49,"N/M")</f>
        <v>-0.0188041663353741</v>
      </c>
      <c r="E143" s="71" t="n">
        <f aca="false">IF(E49&gt;0,(E30+E25*(1-E77))/E49,"N/M")</f>
        <v>-0.589459637447576</v>
      </c>
      <c r="F143" s="71" t="n">
        <f aca="false">IF(F49&gt;0,(F30+F25*(1-F77))/F49,"N/M")</f>
        <v>-0.152710177697722</v>
      </c>
      <c r="G143" s="71" t="n">
        <f aca="false">IF(G49&gt;0,(G30+G25*(1-G77))/G49,"N/M")</f>
        <v>-1.02718755122886</v>
      </c>
      <c r="H143" s="71" t="n">
        <f aca="false">IF(H49&gt;0,(H30+H25*(1-H77))/H49,"N/M")</f>
        <v>0.0141881856320192</v>
      </c>
      <c r="I143" s="71" t="n">
        <f aca="false">IF(I49&gt;0,(I30+I25*(1-I77))/I49,"N/M")</f>
        <v>0.0202815196004238</v>
      </c>
      <c r="J143" s="71" t="n">
        <f aca="false">IF(J49&gt;0,(J30+J25*(1-J77))/J49,"N/M")</f>
        <v>0.122744555665012</v>
      </c>
      <c r="K143" s="62" t="n">
        <f aca="false">IF(COUNT(D143:J143)=0,"N/M",AVERAGE(D143:J143))</f>
        <v>-0.232992467401726</v>
      </c>
      <c r="L143" s="62" t="n">
        <f aca="false">IF(COUNT(D143,J143)=2,J143-D143,"-")</f>
        <v>0.141548722000386</v>
      </c>
    </row>
    <row r="144" customFormat="false" ht="15" hidden="false" customHeight="false" outlineLevel="0" collapsed="false">
      <c r="A144" s="16" t="s">
        <v>744</v>
      </c>
      <c r="B144" s="87" t="s">
        <v>745</v>
      </c>
      <c r="C144" s="17" t="s">
        <v>615</v>
      </c>
      <c r="D144" s="71" t="n">
        <f aca="false">IF(D49&gt;0,D23/D49,"N/M")</f>
        <v>-0.0386419654925658</v>
      </c>
      <c r="E144" s="71" t="n">
        <f aca="false">IF(E49&gt;0,E23/E49,"N/M")</f>
        <v>-0.0509514401580534</v>
      </c>
      <c r="F144" s="71" t="n">
        <f aca="false">IF(F49&gt;0,F23/F49,"N/M")</f>
        <v>-0.0704722850317455</v>
      </c>
      <c r="G144" s="71" t="n">
        <f aca="false">IF(G49&gt;0,G23/G49,"N/M")</f>
        <v>-0.0354093895411155</v>
      </c>
      <c r="H144" s="71" t="n">
        <f aca="false">IF(H49&gt;0,H23/H49,"N/M")</f>
        <v>-0.0413268363863773</v>
      </c>
      <c r="I144" s="71" t="n">
        <f aca="false">IF(I49&gt;0,I23/I49,"N/M")</f>
        <v>-0.0189076853220943</v>
      </c>
      <c r="J144" s="71" t="n">
        <f aca="false">IF(J49&gt;0,J23/J49,"N/M")</f>
        <v>0.0403979133810506</v>
      </c>
      <c r="K144" s="62" t="n">
        <f aca="false">IF(COUNT(D144:J144)=0,"N/M",AVERAGE(D144:J144))</f>
        <v>-0.0307588126501287</v>
      </c>
      <c r="L144" s="62" t="n">
        <f aca="false">IF(COUNT(D144,J144)=2,J144-D144,"-")</f>
        <v>0.0790398788736164</v>
      </c>
    </row>
    <row r="145" customFormat="false" ht="15" hidden="false" customHeight="false" outlineLevel="0" collapsed="false">
      <c r="A145" s="16" t="s">
        <v>746</v>
      </c>
      <c r="B145" s="87" t="s">
        <v>747</v>
      </c>
      <c r="C145" s="17" t="s">
        <v>615</v>
      </c>
      <c r="D145" s="71" t="n">
        <f aca="false">IF(D90&gt;0,D23/D90,"N/M")</f>
        <v>-0.060374375335272</v>
      </c>
      <c r="E145" s="71" t="n">
        <f aca="false">IF(E90&gt;0,E23/E90,"N/M")</f>
        <v>-0.1478823647765</v>
      </c>
      <c r="F145" s="71" t="n">
        <f aca="false">IF(F90&gt;0,F23/F90,"N/M")</f>
        <v>-0.132068470193919</v>
      </c>
      <c r="G145" s="71" t="n">
        <f aca="false">IF(G90&gt;0,G23/G90,"N/M")</f>
        <v>-0.0522914765638094</v>
      </c>
      <c r="H145" s="71" t="n">
        <f aca="false">IF(H90&gt;0,H23/H90,"N/M")</f>
        <v>-0.0591824169263205</v>
      </c>
      <c r="I145" s="71" t="n">
        <f aca="false">IF(I90&gt;0,I23/I90,"N/M")</f>
        <v>-0.0269306667993301</v>
      </c>
      <c r="J145" s="71" t="n">
        <f aca="false">IF(J90&gt;0,J23/J90,"N/M")</f>
        <v>0.0594314826232275</v>
      </c>
      <c r="K145" s="62" t="n">
        <f aca="false">IF(COUNT(D145:J145)=0,"N/M",AVERAGE(D145:J145))</f>
        <v>-0.0598997554245605</v>
      </c>
      <c r="L145" s="62" t="n">
        <f aca="false">IF(COUNT(D145,J145)=2,J145-D145,"-")</f>
        <v>0.119805857958499</v>
      </c>
    </row>
    <row r="146" customFormat="false" ht="15" hidden="false" customHeight="false" outlineLevel="0" collapsed="false">
      <c r="A146" s="16" t="s">
        <v>748</v>
      </c>
      <c r="B146" s="87" t="s">
        <v>749</v>
      </c>
      <c r="C146" s="17" t="s">
        <v>615</v>
      </c>
      <c r="D146" s="71" t="n">
        <f aca="false">IF(D90&gt;0,D23*(1-D77)/D90,"N/M")</f>
        <v>-0.060374375335272</v>
      </c>
      <c r="E146" s="71" t="n">
        <f aca="false">IF(E90&gt;0,E23*(1-E77)/E90,"N/M")</f>
        <v>-0.1478823647765</v>
      </c>
      <c r="F146" s="71" t="n">
        <f aca="false">IF(F90&gt;0,F23*(1-F77)/F90,"N/M")</f>
        <v>-0.132068470193919</v>
      </c>
      <c r="G146" s="71" t="n">
        <f aca="false">IF(G90&gt;0,G23*(1-G77)/G90,"N/M")</f>
        <v>-0.0522914765638094</v>
      </c>
      <c r="H146" s="71" t="n">
        <f aca="false">IF(H90&gt;0,H23*(1-H77)/H90,"N/M")</f>
        <v>-0.0591824169263205</v>
      </c>
      <c r="I146" s="71" t="n">
        <f aca="false">IF(I90&gt;0,I23*(1-I77)/I90,"N/M")</f>
        <v>-0.0269306667993301</v>
      </c>
      <c r="J146" s="71" t="n">
        <f aca="false">IF(J90&gt;0,J23*(1-J77)/J90,"N/M")</f>
        <v>0.0511762425250984</v>
      </c>
      <c r="K146" s="62" t="n">
        <f aca="false">IF(COUNT(D146:J146)=0,"N/M",AVERAGE(D146:J146))</f>
        <v>-0.0610790754385789</v>
      </c>
      <c r="L146" s="62" t="n">
        <f aca="false">IF(COUNT(D146,J146)=2,J146-D146,"-")</f>
        <v>0.11155061786037</v>
      </c>
    </row>
    <row r="147" customFormat="false" ht="15" hidden="false" customHeight="false" outlineLevel="0" collapsed="false">
      <c r="A147" s="16" t="s">
        <v>750</v>
      </c>
      <c r="B147" s="87" t="s">
        <v>751</v>
      </c>
      <c r="C147" s="17" t="s">
        <v>615</v>
      </c>
      <c r="D147" s="71" t="n">
        <f aca="false">IF(D40&gt;0,D30/D40,"N/M")</f>
        <v>-0.217693715680293</v>
      </c>
      <c r="E147" s="71" t="str">
        <f aca="false">IF(E40&gt;0,E30/E40,"N/M")</f>
        <v>N/M</v>
      </c>
      <c r="F147" s="71" t="str">
        <f aca="false">IF(F40&gt;0,F30/F40,"N/M")</f>
        <v>N/M</v>
      </c>
      <c r="G147" s="71" t="n">
        <f aca="false">IF(G40&gt;0,G30/G40,"N/M")</f>
        <v>-15.5818385650224</v>
      </c>
      <c r="H147" s="71" t="n">
        <f aca="false">IF(H40&gt;0,H30/H40,"N/M")</f>
        <v>-0.985027855153203</v>
      </c>
      <c r="I147" s="71" t="str">
        <f aca="false">IF(I40&gt;0,I30/I40,"N/M")</f>
        <v>N/M</v>
      </c>
      <c r="J147" s="71" t="n">
        <f aca="false">IF(J40&gt;0,J30/J40,"N/M")</f>
        <v>0.37535227359281</v>
      </c>
      <c r="K147" s="62" t="n">
        <f aca="false">IF(COUNT(D147:J147)=0,"N/M",AVERAGE(D147:J147))</f>
        <v>-4.10230196556578</v>
      </c>
      <c r="L147" s="62" t="n">
        <f aca="false">IF(COUNT(D147,J147)=2,J147-D147,"-")</f>
        <v>0.593045989273103</v>
      </c>
    </row>
    <row r="148" customFormat="false" ht="15" hidden="false" customHeight="false" outlineLevel="0" collapsed="false">
      <c r="A148" s="16" t="s">
        <v>752</v>
      </c>
      <c r="B148" s="87" t="s">
        <v>753</v>
      </c>
      <c r="C148" s="17" t="s">
        <v>615</v>
      </c>
      <c r="D148" s="71" t="n">
        <f aca="false">IF(D39&gt;0,(D30-D32)/D39,"N/M")</f>
        <v>-0.217693715680293</v>
      </c>
      <c r="E148" s="71" t="str">
        <f aca="false">IF(E39&gt;0,(E30-E32)/E39,"N/M")</f>
        <v>N/M</v>
      </c>
      <c r="F148" s="71" t="str">
        <f aca="false">IF(F39&gt;0,(F30-F32)/F39,"N/M")</f>
        <v>N/M</v>
      </c>
      <c r="G148" s="71" t="n">
        <f aca="false">IF(G39&gt;0,(G30-G32)/G39,"N/M")</f>
        <v>-15.5818385650224</v>
      </c>
      <c r="H148" s="71" t="n">
        <f aca="false">IF(H39&gt;0,(H30-H32)/H39,"N/M")</f>
        <v>-0.985027855153203</v>
      </c>
      <c r="I148" s="71" t="str">
        <f aca="false">IF(I39&gt;0,(I30-I32)/I39,"N/M")</f>
        <v>N/M</v>
      </c>
      <c r="J148" s="71" t="n">
        <f aca="false">IF(J39&gt;0,(J30-J32)/J39,"N/M")</f>
        <v>0.37535227359281</v>
      </c>
      <c r="K148" s="62" t="n">
        <f aca="false">IF(COUNT(D148:J148)=0,"N/M",AVERAGE(D148:J148))</f>
        <v>-4.10230196556578</v>
      </c>
      <c r="L148" s="62" t="n">
        <f aca="false">IF(COUNT(D148,J148)=2,J148-D148,"-")</f>
        <v>0.593045989273103</v>
      </c>
    </row>
    <row r="149" customFormat="false" ht="16.5" hidden="false" customHeight="true" outlineLevel="0" collapsed="false">
      <c r="A149" s="88" t="s">
        <v>754</v>
      </c>
      <c r="B149" s="89"/>
      <c r="C149" s="89"/>
      <c r="D149" s="89"/>
      <c r="E149" s="89"/>
      <c r="F149" s="89"/>
      <c r="G149" s="89"/>
      <c r="H149" s="89"/>
      <c r="I149" s="89"/>
      <c r="J149" s="89"/>
      <c r="K149" s="89"/>
      <c r="L149" s="89"/>
    </row>
    <row r="150" customFormat="false" ht="15" hidden="false" customHeight="false" outlineLevel="0" collapsed="false">
      <c r="A150" s="16" t="s">
        <v>755</v>
      </c>
      <c r="B150" s="87" t="s">
        <v>756</v>
      </c>
      <c r="C150" s="17" t="s">
        <v>757</v>
      </c>
      <c r="D150" s="93" t="n">
        <f aca="false">IF(D81&gt;0,(D30-D32)/D81,"N/M")</f>
        <v>-18.2799371541772</v>
      </c>
      <c r="E150" s="93" t="n">
        <f aca="false">IF(E81&gt;0,(E30-E32)/E81,"N/M")</f>
        <v>-198.029236969738</v>
      </c>
      <c r="F150" s="93" t="n">
        <f aca="false">IF(F81&gt;0,(F30-F32)/F81,"N/M")</f>
        <v>-44.4736662340324</v>
      </c>
      <c r="G150" s="93" t="n">
        <f aca="false">IF(G81&gt;0,(G30-G32)/G81,"N/M")</f>
        <v>-127.808855308127</v>
      </c>
      <c r="H150" s="93" t="n">
        <f aca="false">IF(H81&gt;0,(H30-H32)/H81,"N/M")</f>
        <v>-4.33569863139665</v>
      </c>
      <c r="I150" s="93" t="n">
        <f aca="false">IF(I81&gt;0,(I30-I32)/I81,"N/M")</f>
        <v>-3.95868135910129</v>
      </c>
      <c r="J150" s="93" t="n">
        <f aca="false">IF(J81&gt;0,(J30-J32)/J81,"N/M")</f>
        <v>6.17698671346202</v>
      </c>
      <c r="K150" s="66" t="n">
        <f aca="false">IF(COUNT(D150:J150)=0,"N/M",AVERAGE(D150:J150))</f>
        <v>-55.8155841347302</v>
      </c>
      <c r="L150" s="66" t="n">
        <f aca="false">IF(COUNT(D150,J150)=2,J150-D150,"-")</f>
        <v>24.4569238676392</v>
      </c>
    </row>
    <row r="151" customFormat="false" ht="15" hidden="false" customHeight="false" outlineLevel="0" collapsed="false">
      <c r="A151" s="16" t="s">
        <v>759</v>
      </c>
      <c r="B151" s="87" t="s">
        <v>760</v>
      </c>
      <c r="C151" s="17" t="s">
        <v>757</v>
      </c>
      <c r="D151" s="93" t="n">
        <f aca="false">IF(D81&gt;0,(D30+D22)/D81,"N/M")</f>
        <v>-3.85784548124872</v>
      </c>
      <c r="E151" s="93" t="n">
        <f aca="false">IF(E81&gt;0,(E30+E22)/E81,"N/M")</f>
        <v>-184.580572443473</v>
      </c>
      <c r="F151" s="93" t="n">
        <f aca="false">IF(F81&gt;0,(F30+F22)/F81,"N/M")</f>
        <v>-32.3194890361363</v>
      </c>
      <c r="G151" s="93" t="n">
        <f aca="false">IF(G81&gt;0,(G30+G22)/G81,"N/M")</f>
        <v>-119.276923784273</v>
      </c>
      <c r="H151" s="93" t="n">
        <f aca="false">IF(H81&gt;0,(H30+H22)/H81,"N/M")</f>
        <v>3.0697788471854</v>
      </c>
      <c r="I151" s="93" t="n">
        <f aca="false">IF(I81&gt;0,(I30+I22)/I81,"N/M")</f>
        <v>1.82378273996536</v>
      </c>
      <c r="J151" s="93" t="n">
        <f aca="false">IF(J81&gt;0,(J30+J22)/J81,"N/M")</f>
        <v>11.4026071697167</v>
      </c>
      <c r="K151" s="66" t="n">
        <f aca="false">IF(COUNT(D151:J151)=0,"N/M",AVERAGE(D151:J151))</f>
        <v>-46.2483802840376</v>
      </c>
      <c r="L151" s="66" t="n">
        <f aca="false">IF(COUNT(D151,J151)=2,J151-D151,"-")</f>
        <v>15.2604526509654</v>
      </c>
    </row>
    <row r="152" customFormat="false" ht="15" hidden="false" customHeight="false" outlineLevel="0" collapsed="false">
      <c r="A152" s="16" t="s">
        <v>761</v>
      </c>
      <c r="B152" s="87" t="s">
        <v>762</v>
      </c>
      <c r="C152" s="17" t="s">
        <v>757</v>
      </c>
      <c r="D152" s="93" t="n">
        <f aca="false">IF(D81&gt;0,D39/D81,"N/M")</f>
        <v>83.9708996516156</v>
      </c>
      <c r="E152" s="93" t="n">
        <f aca="false">IF(E81&gt;0,E39/E81,"N/M")</f>
        <v>-114.058337318123</v>
      </c>
      <c r="F152" s="93" t="n">
        <f aca="false">IF(F81&gt;0,F39/F81,"N/M")</f>
        <v>-158.974315185464</v>
      </c>
      <c r="G152" s="93" t="n">
        <f aca="false">IF(G81&gt;0,G39/G81,"N/M")</f>
        <v>8.20242455823078</v>
      </c>
      <c r="H152" s="93" t="n">
        <f aca="false">IF(H81&gt;0,H39/H81,"N/M")</f>
        <v>4.40160002452145</v>
      </c>
      <c r="I152" s="93" t="n">
        <f aca="false">IF(I81&gt;0,I39/I81,"N/M")</f>
        <v>-0.731045686523931</v>
      </c>
      <c r="J152" s="93" t="n">
        <f aca="false">IF(J81&gt;0,J39/J81,"N/M")</f>
        <v>16.456505389822</v>
      </c>
      <c r="K152" s="66" t="n">
        <f aca="false">IF(COUNT(D152:J152)=0,"N/M",AVERAGE(D152:J152))</f>
        <v>-22.9617526522744</v>
      </c>
      <c r="L152" s="66" t="n">
        <f aca="false">IF(COUNT(D152,J152)=2,J152-D152,"-")</f>
        <v>-67.5143942617935</v>
      </c>
    </row>
    <row r="153" customFormat="false" ht="15" hidden="false" customHeight="false" outlineLevel="0" collapsed="false">
      <c r="A153" s="16" t="s">
        <v>763</v>
      </c>
      <c r="B153" s="87" t="s">
        <v>764</v>
      </c>
      <c r="C153" s="17" t="s">
        <v>757</v>
      </c>
      <c r="D153" s="93" t="n">
        <f aca="false">IF(D81&gt;0,D31/D81,"N/M")</f>
        <v>0</v>
      </c>
      <c r="E153" s="93" t="n">
        <f aca="false">IF(E81&gt;0,E31/E81,"N/M")</f>
        <v>0</v>
      </c>
      <c r="F153" s="93" t="n">
        <f aca="false">IF(F81&gt;0,F31/F81,"N/M")</f>
        <v>0</v>
      </c>
      <c r="G153" s="93" t="n">
        <f aca="false">IF(G81&gt;0,G31/G81,"N/M")</f>
        <v>0</v>
      </c>
      <c r="H153" s="93" t="n">
        <f aca="false">IF(H81&gt;0,H31/H81,"N/M")</f>
        <v>0</v>
      </c>
      <c r="I153" s="93" t="n">
        <f aca="false">IF(I81&gt;0,I31/I81,"N/M")</f>
        <v>0</v>
      </c>
      <c r="J153" s="93" t="n">
        <f aca="false">IF(J81&gt;0,J31/J81,"N/M")</f>
        <v>0</v>
      </c>
      <c r="K153" s="66" t="n">
        <f aca="false">IF(COUNT(D153:J153)=0,"N/M",AVERAGE(D153:J153))</f>
        <v>0</v>
      </c>
      <c r="L153" s="66" t="n">
        <f aca="false">IF(COUNT(D153,J153)=2,J153-D153,"-")</f>
        <v>0</v>
      </c>
    </row>
    <row r="154" customFormat="false" ht="15" hidden="false" customHeight="false" outlineLevel="0" collapsed="false">
      <c r="A154" s="16" t="s">
        <v>765</v>
      </c>
      <c r="B154" s="87" t="s">
        <v>812</v>
      </c>
      <c r="C154" s="17" t="s">
        <v>615</v>
      </c>
      <c r="D154" s="71" t="n">
        <f aca="false">IF(D31=0,0,IF(D150&gt;0,D153/D150,"N/M"))</f>
        <v>0</v>
      </c>
      <c r="E154" s="71" t="n">
        <f aca="false">IF(E31=0,0,IF(E150&gt;0,E153/E150,"N/M"))</f>
        <v>0</v>
      </c>
      <c r="F154" s="71" t="n">
        <f aca="false">IF(F31=0,0,IF(F150&gt;0,F153/F150,"N/M"))</f>
        <v>0</v>
      </c>
      <c r="G154" s="71" t="n">
        <f aca="false">IF(G31=0,0,IF(G150&gt;0,G153/G150,"N/M"))</f>
        <v>0</v>
      </c>
      <c r="H154" s="71" t="n">
        <f aca="false">IF(H31=0,0,IF(H150&gt;0,H153/H150,"N/M"))</f>
        <v>0</v>
      </c>
      <c r="I154" s="71" t="n">
        <f aca="false">IF(I31=0,0,IF(I150&gt;0,I153/I150,"N/M"))</f>
        <v>0</v>
      </c>
      <c r="J154" s="71" t="n">
        <f aca="false">IF(J31=0,0,IF(J150&gt;0,J153/J150,"N/M"))</f>
        <v>0</v>
      </c>
      <c r="K154" s="62" t="n">
        <f aca="false">IF(COUNT(D154:J154)=0,"N/M",AVERAGE(D154:J154))</f>
        <v>0</v>
      </c>
      <c r="L154" s="62" t="n">
        <f aca="false">IF(COUNT(D154,J154)=2,J154-D154,"-")</f>
        <v>0</v>
      </c>
    </row>
    <row r="155" customFormat="false" ht="15" hidden="false" customHeight="false" outlineLevel="0" collapsed="false">
      <c r="A155" s="16" t="s">
        <v>767</v>
      </c>
      <c r="B155" s="87" t="s">
        <v>768</v>
      </c>
      <c r="C155" s="17" t="s">
        <v>615</v>
      </c>
      <c r="D155" s="71" t="n">
        <f aca="false">IF(ISNUMBER(D154),1-D154,"N/M")</f>
        <v>1</v>
      </c>
      <c r="E155" s="71" t="n">
        <f aca="false">IF(ISNUMBER(E154),1-E154,"N/M")</f>
        <v>1</v>
      </c>
      <c r="F155" s="71" t="n">
        <f aca="false">IF(ISNUMBER(F154),1-F154,"N/M")</f>
        <v>1</v>
      </c>
      <c r="G155" s="71" t="n">
        <f aca="false">IF(ISNUMBER(G154),1-G154,"N/M")</f>
        <v>1</v>
      </c>
      <c r="H155" s="71" t="n">
        <f aca="false">IF(ISNUMBER(H154),1-H154,"N/M")</f>
        <v>1</v>
      </c>
      <c r="I155" s="71" t="n">
        <f aca="false">IF(ISNUMBER(I154),1-I154,"N/M")</f>
        <v>1</v>
      </c>
      <c r="J155" s="71" t="n">
        <f aca="false">IF(ISNUMBER(J154),1-J154,"N/M")</f>
        <v>1</v>
      </c>
      <c r="K155" s="62" t="n">
        <f aca="false">IF(COUNT(D155:J155)=0,"N/M",AVERAGE(D155:J155))</f>
        <v>1</v>
      </c>
      <c r="L155" s="62" t="n">
        <f aca="false">IF(COUNT(D155,J155)=2,J155-D155,"-")</f>
        <v>0</v>
      </c>
    </row>
    <row r="156" customFormat="false" ht="15" hidden="false" customHeight="false" outlineLevel="0" collapsed="false">
      <c r="A156" s="16" t="s">
        <v>769</v>
      </c>
      <c r="B156" s="87" t="s">
        <v>813</v>
      </c>
      <c r="C156" s="17" t="s">
        <v>615</v>
      </c>
      <c r="D156" s="71" t="n">
        <f aca="false">IF(D84=0,"N/C",IF(D80&gt;0,D150/D80,"N/M"))</f>
        <v>-3.45556467942858</v>
      </c>
      <c r="E156" s="71" t="n">
        <f aca="false">IF(E84=0,"N/C",IF(E80&gt;0,E150/E80,"N/M"))</f>
        <v>-22.840742441723</v>
      </c>
      <c r="F156" s="71" t="n">
        <f aca="false">IF(F84=0,"N/C",IF(F80&gt;0,F150/F80,"N/M"))</f>
        <v>-4.56140166502896</v>
      </c>
      <c r="G156" s="71" t="n">
        <f aca="false">IF(G84=0,"N/C",IF(G80&gt;0,G150/G80,"N/M"))</f>
        <v>-19.9079213875588</v>
      </c>
      <c r="H156" s="71" t="n">
        <f aca="false">IF(H84=0,"N/C",IF(H80&gt;0,H150/H80,"N/M"))</f>
        <v>-0.0294644827142144</v>
      </c>
      <c r="I156" s="71" t="n">
        <f aca="false">IF(I84=0,"N/C",IF(I80&gt;0,I150/I80,"N/M"))</f>
        <v>-0.0578500856218221</v>
      </c>
      <c r="J156" s="71" t="n">
        <f aca="false">IF(J84=0,"N/C",IF(J80&gt;0,J150/J80,"N/M"))</f>
        <v>0.0980318475394703</v>
      </c>
      <c r="K156" s="62" t="n">
        <f aca="false">IF(COUNT(D156:J156)=0,"N/M",AVERAGE(D156:J156))</f>
        <v>-7.25070184207655</v>
      </c>
      <c r="L156" s="62" t="n">
        <f aca="false">IF(COUNT(D156,J156)=2,J156-D156,"-")</f>
        <v>3.55359652696805</v>
      </c>
    </row>
    <row r="157" customFormat="false" ht="15" hidden="false" customHeight="false" outlineLevel="0" collapsed="false">
      <c r="A157" s="16" t="s">
        <v>771</v>
      </c>
      <c r="B157" s="87" t="s">
        <v>814</v>
      </c>
      <c r="C157" s="17" t="s">
        <v>615</v>
      </c>
      <c r="D157" s="71" t="n">
        <f aca="false">IF(D84=0,"N/C",IF(D80&gt;0,D153/D80,"N/M"))</f>
        <v>0</v>
      </c>
      <c r="E157" s="71" t="n">
        <f aca="false">IF(E84=0,"N/C",IF(E80&gt;0,E153/E80,"N/M"))</f>
        <v>0</v>
      </c>
      <c r="F157" s="71" t="n">
        <f aca="false">IF(F84=0,"N/C",IF(F80&gt;0,F153/F80,"N/M"))</f>
        <v>0</v>
      </c>
      <c r="G157" s="71" t="n">
        <f aca="false">IF(G84=0,"N/C",IF(G80&gt;0,G153/G80,"N/M"))</f>
        <v>0</v>
      </c>
      <c r="H157" s="71" t="n">
        <f aca="false">IF(H84=0,"N/C",IF(H80&gt;0,H153/H80,"N/M"))</f>
        <v>0</v>
      </c>
      <c r="I157" s="71" t="n">
        <f aca="false">IF(I84=0,"N/C",IF(I80&gt;0,I153/I80,"N/M"))</f>
        <v>0</v>
      </c>
      <c r="J157" s="71" t="n">
        <f aca="false">IF(J84=0,"N/C",IF(J80&gt;0,J153/J80,"N/M"))</f>
        <v>0</v>
      </c>
      <c r="K157" s="62" t="n">
        <f aca="false">IF(COUNT(D157:J157)=0,"N/M",AVERAGE(D157:J157))</f>
        <v>0</v>
      </c>
      <c r="L157" s="62" t="n">
        <f aca="false">IF(COUNT(D157,J157)=2,J157-D157,"-")</f>
        <v>0</v>
      </c>
    </row>
    <row r="158" customFormat="false" ht="15" hidden="false" customHeight="false" outlineLevel="0" collapsed="false">
      <c r="A158" s="16" t="s">
        <v>773</v>
      </c>
      <c r="B158" s="87" t="s">
        <v>815</v>
      </c>
      <c r="C158" s="17" t="s">
        <v>115</v>
      </c>
      <c r="D158" s="73" t="str">
        <f aca="false">IF(D84=0,"N/C",IF(D150&gt;0,D80/D150,"N/M"))</f>
        <v>N/M</v>
      </c>
      <c r="E158" s="73" t="str">
        <f aca="false">IF(E84=0,"N/C",IF(E150&gt;0,E80/E150,"N/M"))</f>
        <v>N/M</v>
      </c>
      <c r="F158" s="73" t="str">
        <f aca="false">IF(F84=0,"N/C",IF(F150&gt;0,F80/F150,"N/M"))</f>
        <v>N/M</v>
      </c>
      <c r="G158" s="73" t="str">
        <f aca="false">IF(G84=0,"N/C",IF(G150&gt;0,G80/G150,"N/M"))</f>
        <v>N/M</v>
      </c>
      <c r="H158" s="73" t="str">
        <f aca="false">IF(H84=0,"N/C",IF(H150&gt;0,H80/H150,"N/M"))</f>
        <v>N/M</v>
      </c>
      <c r="I158" s="73" t="str">
        <f aca="false">IF(I84=0,"N/C",IF(I150&gt;0,I80/I150,"N/M"))</f>
        <v>N/M</v>
      </c>
      <c r="J158" s="73" t="n">
        <f aca="false">IF(J84=0,"N/C",IF(J150&gt;0,J80/J150,"N/M"))</f>
        <v>10.2007666396104</v>
      </c>
      <c r="K158" s="60" t="n">
        <f aca="false">IF(COUNT(D158:J158)=0,"N/M",AVERAGE(D158:J158))</f>
        <v>10.2007666396104</v>
      </c>
      <c r="L158" s="60" t="str">
        <f aca="false">IF(COUNT(D158,J158)=2,J158-D158,"-")</f>
        <v>-</v>
      </c>
    </row>
    <row r="159" customFormat="false" ht="15" hidden="false" customHeight="false" outlineLevel="0" collapsed="false">
      <c r="A159" s="16" t="s">
        <v>775</v>
      </c>
      <c r="B159" s="87" t="s">
        <v>816</v>
      </c>
      <c r="C159" s="17" t="s">
        <v>115</v>
      </c>
      <c r="D159" s="73" t="n">
        <f aca="false">IF(D84=0,"N/C",IF(D152&gt;0,D80/D152,"N/M"))</f>
        <v>0.0629980150498271</v>
      </c>
      <c r="E159" s="73" t="str">
        <f aca="false">IF(E84=0,"N/C",IF(E152&gt;0,E80/E152,"N/M"))</f>
        <v>N/M</v>
      </c>
      <c r="F159" s="73" t="str">
        <f aca="false">IF(F84=0,"N/C",IF(F152&gt;0,F80/F152,"N/M"))</f>
        <v>N/M</v>
      </c>
      <c r="G159" s="73" t="n">
        <f aca="false">IF(G84=0,"N/C",IF(G152&gt;0,G80/G152,"N/M"))</f>
        <v>0.782695403587444</v>
      </c>
      <c r="H159" s="73" t="n">
        <f aca="false">IF(H84=0,"N/C",IF(H152&gt;0,H80/H152,"N/M"))</f>
        <v>33.4310248955432</v>
      </c>
      <c r="I159" s="73" t="str">
        <f aca="false">IF(I84=0,"N/C",IF(I152&gt;0,I80/I152,"N/M"))</f>
        <v>N/M</v>
      </c>
      <c r="J159" s="73" t="n">
        <f aca="false">IF(J84=0,"N/C",IF(J152&gt;0,J80/J152,"N/M"))</f>
        <v>3.82888095056745</v>
      </c>
      <c r="K159" s="60" t="n">
        <f aca="false">IF(COUNT(D159:J159)=0,"N/M",AVERAGE(D159:J159))</f>
        <v>9.52639981618697</v>
      </c>
      <c r="L159" s="60" t="n">
        <f aca="false">IF(COUNT(D159,J159)=2,J159-D159,"-")</f>
        <v>3.76588293551762</v>
      </c>
    </row>
    <row r="160" customFormat="false" ht="15" hidden="false" customHeight="false" outlineLevel="0" collapsed="false">
      <c r="A160" s="16" t="s">
        <v>777</v>
      </c>
      <c r="B160" s="87" t="s">
        <v>817</v>
      </c>
      <c r="C160" s="17" t="s">
        <v>115</v>
      </c>
      <c r="D160" s="73" t="str">
        <f aca="false">IF(D84=0,"N/C",IF(D21&gt;0,D83/D21,"N/M"))</f>
        <v>N/M</v>
      </c>
      <c r="E160" s="73" t="str">
        <f aca="false">IF(E84=0,"N/C",IF(E21&gt;0,E83/E21,"N/M"))</f>
        <v>N/M</v>
      </c>
      <c r="F160" s="73" t="str">
        <f aca="false">IF(F84=0,"N/C",IF(F21&gt;0,F83/F21,"N/M"))</f>
        <v>N/M</v>
      </c>
      <c r="G160" s="73" t="n">
        <f aca="false">IF(G84=0,"N/C",IF(G21&gt;0,G83/G21,"N/M"))</f>
        <v>16.0529125770207</v>
      </c>
      <c r="H160" s="73" t="n">
        <f aca="false">IF(H84=0,"N/C",IF(H21&gt;0,H83/H21,"N/M"))</f>
        <v>81.2095804216868</v>
      </c>
      <c r="I160" s="73" t="n">
        <f aca="false">IF(I84=0,"N/C",IF(I21&gt;0,I83/I21,"N/M"))</f>
        <v>45.0343837598884</v>
      </c>
      <c r="J160" s="73" t="n">
        <f aca="false">IF(J84=0,"N/C",IF(J21&gt;0,J83/J21,"N/M"))</f>
        <v>11.7693281409602</v>
      </c>
      <c r="K160" s="60" t="n">
        <f aca="false">IF(COUNT(D160:J160)=0,"N/M",AVERAGE(D160:J160))</f>
        <v>38.516551224889</v>
      </c>
      <c r="L160" s="60" t="str">
        <f aca="false">IF(COUNT(D160,J160)=2,J160-D160,"-")</f>
        <v>-</v>
      </c>
    </row>
    <row r="162" customFormat="false" ht="19.5" hidden="false" customHeight="true" outlineLevel="0" collapsed="false">
      <c r="A162" s="85" t="s">
        <v>779</v>
      </c>
      <c r="B162" s="86"/>
      <c r="C162" s="86"/>
      <c r="D162" s="86"/>
      <c r="E162" s="86"/>
      <c r="F162" s="86"/>
      <c r="G162" s="86"/>
      <c r="H162" s="86"/>
      <c r="I162" s="86"/>
      <c r="J162" s="86"/>
      <c r="K162" s="86"/>
      <c r="L162" s="86"/>
    </row>
    <row r="163" customFormat="false" ht="16.5" hidden="false" customHeight="true" outlineLevel="0" collapsed="false">
      <c r="A163" s="88" t="s">
        <v>780</v>
      </c>
      <c r="B163" s="89"/>
      <c r="C163" s="89"/>
      <c r="D163" s="89"/>
      <c r="E163" s="89"/>
      <c r="F163" s="89"/>
      <c r="G163" s="89"/>
      <c r="H163" s="89"/>
      <c r="I163" s="89"/>
      <c r="J163" s="89"/>
      <c r="K163" s="89"/>
      <c r="L163" s="89"/>
    </row>
    <row r="164" customFormat="false" ht="15" hidden="false" customHeight="false" outlineLevel="0" collapsed="false">
      <c r="A164" s="16" t="s">
        <v>300</v>
      </c>
      <c r="B164" s="87" t="s">
        <v>725</v>
      </c>
      <c r="C164" s="17" t="s">
        <v>615</v>
      </c>
      <c r="D164" s="71" t="n">
        <f aca="false">IF(D7&gt;0,D30/D7,"N/M")</f>
        <v>-0.106418515867335</v>
      </c>
      <c r="E164" s="71" t="n">
        <f aca="false">IF(E7&gt;0,E30/E7,"N/M")</f>
        <v>-2.3024442547108</v>
      </c>
      <c r="F164" s="71" t="n">
        <f aca="false">IF(F7&gt;0,F30/F7,"N/M")</f>
        <v>-0.746467165419784</v>
      </c>
      <c r="G164" s="71" t="n">
        <f aca="false">IF(G7&gt;0,G30/G7,"N/M")</f>
        <v>-2.12680115273775</v>
      </c>
      <c r="H164" s="71" t="n">
        <f aca="false">IF(H7&gt;0,H30/H7,"N/M")</f>
        <v>-0.12795694061242</v>
      </c>
      <c r="I164" s="71" t="n">
        <f aca="false">IF(I7&gt;0,I30/I7,"N/M")</f>
        <v>-0.116445766837977</v>
      </c>
      <c r="J164" s="71" t="n">
        <f aca="false">IF(J7&gt;0,J30/J7,"N/M")</f>
        <v>0.127774320680357</v>
      </c>
      <c r="K164" s="62" t="n">
        <f aca="false">IF(COUNT(D164:J164)=0,"N/M",AVERAGE(D164:J164))</f>
        <v>-0.771251353643673</v>
      </c>
      <c r="L164" s="62" t="n">
        <f aca="false">IF(COUNT(D164,J164)=2,J164-D164,"-")</f>
        <v>0.234192836547692</v>
      </c>
    </row>
    <row r="165" customFormat="false" ht="15" hidden="false" customHeight="false" outlineLevel="0" collapsed="false">
      <c r="A165" s="16" t="s">
        <v>781</v>
      </c>
      <c r="B165" s="87" t="s">
        <v>708</v>
      </c>
      <c r="C165" s="17" t="s">
        <v>692</v>
      </c>
      <c r="D165" s="73" t="n">
        <f aca="false">IF(D49&gt;0,D7/D49,"N/M")</f>
        <v>0.363520712411545</v>
      </c>
      <c r="E165" s="73" t="n">
        <f aca="false">IF(E49&gt;0,E7/E49,"N/M")</f>
        <v>0.290937344748305</v>
      </c>
      <c r="F165" s="73" t="n">
        <f aca="false">IF(F49&gt;0,F7/F49,"N/M")</f>
        <v>0.222837542635956</v>
      </c>
      <c r="G165" s="73" t="n">
        <f aca="false">IF(G49&gt;0,G7/G49,"N/M")</f>
        <v>0.494457825248105</v>
      </c>
      <c r="H165" s="73" t="n">
        <f aca="false">IF(H49&gt;0,H7/H49,"N/M")</f>
        <v>0.288050134194961</v>
      </c>
      <c r="I165" s="73" t="n">
        <f aca="false">IF(I49&gt;0,I7/I49,"N/M")</f>
        <v>0.258257558999197</v>
      </c>
      <c r="J165" s="73" t="n">
        <f aca="false">IF(J49&gt;0,J7/J49,"N/M")</f>
        <v>0.425352640808179</v>
      </c>
      <c r="K165" s="60" t="n">
        <f aca="false">IF(COUNT(D165:J165)=0,"N/M",AVERAGE(D165:J165))</f>
        <v>0.334773394149464</v>
      </c>
      <c r="L165" s="60" t="n">
        <f aca="false">IF(COUNT(D165,J165)=2,J165-D165,"-")</f>
        <v>0.061831928396634</v>
      </c>
    </row>
    <row r="166" customFormat="false" ht="15" hidden="false" customHeight="false" outlineLevel="0" collapsed="false">
      <c r="A166" s="16" t="s">
        <v>782</v>
      </c>
      <c r="B166" s="87" t="s">
        <v>783</v>
      </c>
      <c r="C166" s="17" t="s">
        <v>692</v>
      </c>
      <c r="D166" s="73" t="n">
        <f aca="false">IF(D40&gt;0,D49/D40,"N/M")</f>
        <v>5.62729306487696</v>
      </c>
      <c r="E166" s="73" t="str">
        <f aca="false">IF(E40&gt;0,E49/E40,"N/M")</f>
        <v>N/M</v>
      </c>
      <c r="F166" s="73" t="str">
        <f aca="false">IF(F40&gt;0,F49/F40,"N/M")</f>
        <v>N/M</v>
      </c>
      <c r="G166" s="73" t="n">
        <f aca="false">IF(G40&gt;0,G49/G40,"N/M")</f>
        <v>14.8170777279522</v>
      </c>
      <c r="H166" s="73" t="n">
        <f aca="false">IF(H40&gt;0,H49/H40,"N/M")</f>
        <v>26.724930362117</v>
      </c>
      <c r="I166" s="73" t="str">
        <f aca="false">IF(I40&gt;0,I49/I40,"N/M")</f>
        <v>N/M</v>
      </c>
      <c r="J166" s="73" t="n">
        <f aca="false">IF(J40&gt;0,J49/J40,"N/M")</f>
        <v>6.90631426612842</v>
      </c>
      <c r="K166" s="60" t="n">
        <f aca="false">IF(COUNT(D166:J166)=0,"N/M",AVERAGE(D166:J166))</f>
        <v>13.5189038552686</v>
      </c>
      <c r="L166" s="60" t="n">
        <f aca="false">IF(COUNT(D166,J166)=2,J166-D166,"-")</f>
        <v>1.27902120125146</v>
      </c>
    </row>
    <row r="167" customFormat="false" ht="15" hidden="false" customHeight="false" outlineLevel="0" collapsed="false">
      <c r="A167" s="12" t="s">
        <v>303</v>
      </c>
      <c r="B167" s="87" t="s">
        <v>741</v>
      </c>
      <c r="C167" s="17" t="s">
        <v>615</v>
      </c>
      <c r="D167" s="30" t="n">
        <f aca="false">IF(D49&gt;0,D30/D49,"N/M")</f>
        <v>-0.0386853347018728</v>
      </c>
      <c r="E167" s="30" t="n">
        <f aca="false">IF(E49&gt;0,E30/E49,"N/M")</f>
        <v>-0.669867017896549</v>
      </c>
      <c r="F167" s="30" t="n">
        <f aca="false">IF(F49&gt;0,F30/F49,"N/M")</f>
        <v>-0.166340908800572</v>
      </c>
      <c r="G167" s="30" t="n">
        <f aca="false">IF(G49&gt;0,G30/G49,"N/M")</f>
        <v>-1.05161347271787</v>
      </c>
      <c r="H167" s="30" t="n">
        <f aca="false">IF(H49&gt;0,H30/H49,"N/M")</f>
        <v>-0.0368580139145843</v>
      </c>
      <c r="I167" s="30" t="n">
        <f aca="false">IF(I49&gt;0,I30/I49,"N/M")</f>
        <v>-0.0300729994993655</v>
      </c>
      <c r="J167" s="30" t="n">
        <f aca="false">IF(J49&gt;0,J30/J49,"N/M")</f>
        <v>0.0543491447288609</v>
      </c>
      <c r="K167" s="30" t="n">
        <f aca="false">IF(COUNT(D167:J167)=0,"N/M",AVERAGE(D167:J167))</f>
        <v>-0.277012657543137</v>
      </c>
      <c r="L167" s="30" t="n">
        <f aca="false">IF(COUNT(D167,J167)=2,J167-D167,"-")</f>
        <v>0.0930344794307337</v>
      </c>
    </row>
    <row r="168" customFormat="false" ht="15" hidden="false" customHeight="false" outlineLevel="0" collapsed="false">
      <c r="A168" s="12" t="s">
        <v>784</v>
      </c>
      <c r="B168" s="87" t="s">
        <v>751</v>
      </c>
      <c r="C168" s="17" t="s">
        <v>615</v>
      </c>
      <c r="D168" s="30" t="n">
        <f aca="false">IF(D40&gt;0,D30/D40,"N/M")</f>
        <v>-0.217693715680293</v>
      </c>
      <c r="E168" s="30" t="str">
        <f aca="false">IF(E40&gt;0,E30/E40,"N/M")</f>
        <v>N/M</v>
      </c>
      <c r="F168" s="30" t="str">
        <f aca="false">IF(F40&gt;0,F30/F40,"N/M")</f>
        <v>N/M</v>
      </c>
      <c r="G168" s="30" t="n">
        <f aca="false">IF(G40&gt;0,G30/G40,"N/M")</f>
        <v>-15.5818385650224</v>
      </c>
      <c r="H168" s="30" t="n">
        <f aca="false">IF(H40&gt;0,H30/H40,"N/M")</f>
        <v>-0.985027855153203</v>
      </c>
      <c r="I168" s="30" t="str">
        <f aca="false">IF(I40&gt;0,I30/I40,"N/M")</f>
        <v>N/M</v>
      </c>
      <c r="J168" s="30" t="n">
        <f aca="false">IF(J40&gt;0,J30/J40,"N/M")</f>
        <v>0.37535227359281</v>
      </c>
      <c r="K168" s="30" t="n">
        <f aca="false">IF(COUNT(D168:J168)=0,"N/M",AVERAGE(D168:J168))</f>
        <v>-4.10230196556578</v>
      </c>
      <c r="L168" s="30" t="n">
        <f aca="false">IF(COUNT(D168,J168)=2,J168-D168,"-")</f>
        <v>0.593045989273103</v>
      </c>
    </row>
    <row r="169" customFormat="false" ht="15" hidden="false" customHeight="false" outlineLevel="0" collapsed="false">
      <c r="A169" s="16" t="s">
        <v>785</v>
      </c>
      <c r="B169" s="87" t="s">
        <v>786</v>
      </c>
      <c r="C169" s="17" t="s">
        <v>615</v>
      </c>
      <c r="D169" s="94" t="n">
        <f aca="false">IF(COUNT(D164,D165,D166,D168)=4,D164*D165*D166-D168,"-")</f>
        <v>0</v>
      </c>
      <c r="E169" s="94" t="str">
        <f aca="false">IF(COUNT(E164,E165,E166,E168)=4,E164*E165*E166-E168,"-")</f>
        <v>-</v>
      </c>
      <c r="F169" s="94" t="str">
        <f aca="false">IF(COUNT(F164,F165,F166,F168)=4,F164*F165*F166-F168,"-")</f>
        <v>-</v>
      </c>
      <c r="G169" s="94" t="n">
        <f aca="false">IF(COUNT(G164,G165,G166,G168)=4,G164*G165*G166-G168,"-")</f>
        <v>0</v>
      </c>
      <c r="H169" s="94" t="n">
        <f aca="false">IF(COUNT(H164,H165,H166,H168)=4,H164*H165*H166-H168,"-")</f>
        <v>0</v>
      </c>
      <c r="I169" s="94" t="str">
        <f aca="false">IF(COUNT(I164,I165,I166,I168)=4,I164*I165*I166-I168,"-")</f>
        <v>-</v>
      </c>
      <c r="J169" s="94" t="n">
        <f aca="false">IF(COUNT(J164,J165,J166,J168)=4,J164*J165*J166-J168,"-")</f>
        <v>0</v>
      </c>
      <c r="K169" s="62"/>
      <c r="L169" s="62"/>
    </row>
    <row r="170" customFormat="false" ht="16.5" hidden="false" customHeight="true" outlineLevel="0" collapsed="false">
      <c r="A170" s="88" t="s">
        <v>787</v>
      </c>
      <c r="B170" s="89"/>
      <c r="C170" s="89"/>
      <c r="D170" s="89"/>
      <c r="E170" s="89"/>
      <c r="F170" s="89"/>
      <c r="G170" s="89"/>
      <c r="H170" s="89"/>
      <c r="I170" s="89"/>
      <c r="J170" s="89"/>
      <c r="K170" s="89"/>
      <c r="L170" s="89"/>
    </row>
    <row r="171" customFormat="false" ht="15" hidden="false" customHeight="false" outlineLevel="0" collapsed="false">
      <c r="A171" s="16" t="s">
        <v>788</v>
      </c>
      <c r="B171" s="87" t="s">
        <v>789</v>
      </c>
      <c r="C171" s="17" t="s">
        <v>97</v>
      </c>
      <c r="D171" s="73" t="n">
        <f aca="false">IF(D26&lt;&gt;0,D30/D26,"N/M")</f>
        <v>0.805175267037762</v>
      </c>
      <c r="E171" s="73" t="n">
        <f aca="false">IF(E26&lt;&gt;0,E30/E26,"N/M")</f>
        <v>0.993897317219508</v>
      </c>
      <c r="F171" s="73" t="n">
        <f aca="false">IF(F26&lt;&gt;0,F30/F26,"N/M")</f>
        <v>1.03292083135015</v>
      </c>
      <c r="G171" s="73" t="n">
        <f aca="false">IF(G26&lt;&gt;0,G30/G26,"N/M")</f>
        <v>1.00773376513522</v>
      </c>
      <c r="H171" s="73" t="n">
        <f aca="false">IF(H26&lt;&gt;0,H30/H26,"N/M")</f>
        <v>1.19015565839293</v>
      </c>
      <c r="I171" s="73" t="n">
        <f aca="false">IF(I26&lt;&gt;0,I30/I26,"N/M")</f>
        <v>0.840820312499999</v>
      </c>
      <c r="J171" s="73" t="n">
        <f aca="false">IF(J26&lt;&gt;0,J30/J26,"N/M")</f>
        <v>0.86319845857418</v>
      </c>
      <c r="K171" s="60" t="n">
        <f aca="false">IF(COUNT(D171:J171)=0,"N/M",AVERAGE(D171:J171))</f>
        <v>0.961985944315679</v>
      </c>
      <c r="L171" s="60" t="n">
        <f aca="false">IF(COUNT(D171,J171)=2,J171-D171,"-")</f>
        <v>0.058023191536418</v>
      </c>
    </row>
    <row r="172" customFormat="false" ht="15" hidden="false" customHeight="false" outlineLevel="0" collapsed="false">
      <c r="A172" s="16" t="s">
        <v>790</v>
      </c>
      <c r="B172" s="87" t="s">
        <v>791</v>
      </c>
      <c r="C172" s="17" t="s">
        <v>97</v>
      </c>
      <c r="D172" s="73" t="n">
        <f aca="false">IF(D23&lt;&gt;0,D26/D23,"N/M")</f>
        <v>1.2433595211373</v>
      </c>
      <c r="E172" s="73" t="n">
        <f aca="false">IF(E23&lt;&gt;0,E26/E23,"N/M")</f>
        <v>13.2278911564626</v>
      </c>
      <c r="F172" s="73" t="n">
        <f aca="false">IF(F23&lt;&gt;0,F26/F23,"N/M")</f>
        <v>2.2851445663011</v>
      </c>
      <c r="G172" s="73" t="n">
        <f aca="false">IF(G23&lt;&gt;0,G26/G23,"N/M")</f>
        <v>29.4707977207977</v>
      </c>
      <c r="H172" s="73" t="n">
        <f aca="false">IF(H23&lt;&gt;0,H26/H23,"N/M")</f>
        <v>0.74936948297604</v>
      </c>
      <c r="I172" s="73" t="n">
        <f aca="false">IF(I23&lt;&gt;0,I26/I23,"N/M")</f>
        <v>1.89162561576355</v>
      </c>
      <c r="J172" s="73" t="n">
        <f aca="false">IF(J23&lt;&gt;0,J26/J23,"N/M")</f>
        <v>1.55855855855856</v>
      </c>
      <c r="K172" s="60" t="n">
        <f aca="false">IF(COUNT(D172:J172)=0,"N/M",AVERAGE(D172:J172))</f>
        <v>7.20382094599955</v>
      </c>
      <c r="L172" s="60" t="n">
        <f aca="false">IF(COUNT(D172,J172)=2,J172-D172,"-")</f>
        <v>0.315199037421259</v>
      </c>
    </row>
    <row r="173" customFormat="false" ht="15" hidden="false" customHeight="false" outlineLevel="0" collapsed="false">
      <c r="A173" s="16" t="s">
        <v>792</v>
      </c>
      <c r="B173" s="87" t="s">
        <v>793</v>
      </c>
      <c r="C173" s="17" t="s">
        <v>615</v>
      </c>
      <c r="D173" s="71" t="n">
        <f aca="false">IF(D7&gt;0,D23/D7,"N/M")</f>
        <v>-0.106299212598425</v>
      </c>
      <c r="E173" s="71" t="n">
        <f aca="false">IF(E7&gt;0,E23/E7,"N/M")</f>
        <v>-0.175128566606437</v>
      </c>
      <c r="F173" s="71" t="n">
        <f aca="false">IF(F7&gt;0,F23/F7,"N/M")</f>
        <v>-0.316249605870382</v>
      </c>
      <c r="G173" s="71" t="n">
        <f aca="false">IF(G7&gt;0,G23/G7,"N/M")</f>
        <v>-0.0716125577006453</v>
      </c>
      <c r="H173" s="71" t="n">
        <f aca="false">IF(H7&gt;0,H23/H7,"N/M")</f>
        <v>-0.143470984666878</v>
      </c>
      <c r="I173" s="71" t="n">
        <f aca="false">IF(I7&gt;0,I23/I7,"N/M")</f>
        <v>-0.0732125146515193</v>
      </c>
      <c r="J173" s="71" t="n">
        <f aca="false">IF(J7&gt;0,J23/J7,"N/M")</f>
        <v>0.0949751088985689</v>
      </c>
      <c r="K173" s="62" t="n">
        <f aca="false">IF(COUNT(D173:J173)=0,"N/M",AVERAGE(D173:J173))</f>
        <v>-0.112999761885102</v>
      </c>
      <c r="L173" s="62" t="n">
        <f aca="false">IF(COUNT(D173,J173)=2,J173-D173,"-")</f>
        <v>0.201274321496994</v>
      </c>
    </row>
    <row r="174" customFormat="false" ht="15" hidden="false" customHeight="false" outlineLevel="0" collapsed="false">
      <c r="A174" s="16" t="s">
        <v>781</v>
      </c>
      <c r="B174" s="87" t="s">
        <v>708</v>
      </c>
      <c r="C174" s="17" t="s">
        <v>692</v>
      </c>
      <c r="D174" s="73" t="n">
        <f aca="false">IF(D49&gt;0,D7/D49,"N/M")</f>
        <v>0.363520712411545</v>
      </c>
      <c r="E174" s="73" t="n">
        <f aca="false">IF(E49&gt;0,E7/E49,"N/M")</f>
        <v>0.290937344748305</v>
      </c>
      <c r="F174" s="73" t="n">
        <f aca="false">IF(F49&gt;0,F7/F49,"N/M")</f>
        <v>0.222837542635956</v>
      </c>
      <c r="G174" s="73" t="n">
        <f aca="false">IF(G49&gt;0,G7/G49,"N/M")</f>
        <v>0.494457825248105</v>
      </c>
      <c r="H174" s="73" t="n">
        <f aca="false">IF(H49&gt;0,H7/H49,"N/M")</f>
        <v>0.288050134194961</v>
      </c>
      <c r="I174" s="73" t="n">
        <f aca="false">IF(I49&gt;0,I7/I49,"N/M")</f>
        <v>0.258257558999197</v>
      </c>
      <c r="J174" s="73" t="n">
        <f aca="false">IF(J49&gt;0,J7/J49,"N/M")</f>
        <v>0.425352640808179</v>
      </c>
      <c r="K174" s="60" t="n">
        <f aca="false">IF(COUNT(D174:J174)=0,"N/M",AVERAGE(D174:J174))</f>
        <v>0.334773394149464</v>
      </c>
      <c r="L174" s="60" t="n">
        <f aca="false">IF(COUNT(D174,J174)=2,J174-D174,"-")</f>
        <v>0.061831928396634</v>
      </c>
    </row>
    <row r="175" customFormat="false" ht="15" hidden="false" customHeight="false" outlineLevel="0" collapsed="false">
      <c r="A175" s="16" t="s">
        <v>782</v>
      </c>
      <c r="B175" s="87" t="s">
        <v>783</v>
      </c>
      <c r="C175" s="17" t="s">
        <v>692</v>
      </c>
      <c r="D175" s="73" t="n">
        <f aca="false">IF(D40&gt;0,D49/D40,"N/M")</f>
        <v>5.62729306487696</v>
      </c>
      <c r="E175" s="73" t="str">
        <f aca="false">IF(E40&gt;0,E49/E40,"N/M")</f>
        <v>N/M</v>
      </c>
      <c r="F175" s="73" t="str">
        <f aca="false">IF(F40&gt;0,F49/F40,"N/M")</f>
        <v>N/M</v>
      </c>
      <c r="G175" s="73" t="n">
        <f aca="false">IF(G40&gt;0,G49/G40,"N/M")</f>
        <v>14.8170777279522</v>
      </c>
      <c r="H175" s="73" t="n">
        <f aca="false">IF(H40&gt;0,H49/H40,"N/M")</f>
        <v>26.724930362117</v>
      </c>
      <c r="I175" s="73" t="str">
        <f aca="false">IF(I40&gt;0,I49/I40,"N/M")</f>
        <v>N/M</v>
      </c>
      <c r="J175" s="73" t="n">
        <f aca="false">IF(J40&gt;0,J49/J40,"N/M")</f>
        <v>6.90631426612842</v>
      </c>
      <c r="K175" s="60" t="n">
        <f aca="false">IF(COUNT(D175:J175)=0,"N/M",AVERAGE(D175:J175))</f>
        <v>13.5189038552686</v>
      </c>
      <c r="L175" s="60" t="n">
        <f aca="false">IF(COUNT(D175,J175)=2,J175-D175,"-")</f>
        <v>1.27902120125146</v>
      </c>
    </row>
    <row r="176" customFormat="false" ht="15" hidden="false" customHeight="false" outlineLevel="0" collapsed="false">
      <c r="A176" s="12" t="s">
        <v>784</v>
      </c>
      <c r="B176" s="87" t="s">
        <v>751</v>
      </c>
      <c r="C176" s="17" t="s">
        <v>615</v>
      </c>
      <c r="D176" s="30" t="n">
        <f aca="false">IF(D40&gt;0,D30/D40,"N/M")</f>
        <v>-0.217693715680293</v>
      </c>
      <c r="E176" s="30" t="str">
        <f aca="false">IF(E40&gt;0,E30/E40,"N/M")</f>
        <v>N/M</v>
      </c>
      <c r="F176" s="30" t="str">
        <f aca="false">IF(F40&gt;0,F30/F40,"N/M")</f>
        <v>N/M</v>
      </c>
      <c r="G176" s="30" t="n">
        <f aca="false">IF(G40&gt;0,G30/G40,"N/M")</f>
        <v>-15.5818385650224</v>
      </c>
      <c r="H176" s="30" t="n">
        <f aca="false">IF(H40&gt;0,H30/H40,"N/M")</f>
        <v>-0.985027855153203</v>
      </c>
      <c r="I176" s="30" t="str">
        <f aca="false">IF(I40&gt;0,I30/I40,"N/M")</f>
        <v>N/M</v>
      </c>
      <c r="J176" s="30" t="n">
        <f aca="false">IF(J40&gt;0,J30/J40,"N/M")</f>
        <v>0.37535227359281</v>
      </c>
      <c r="K176" s="30" t="n">
        <f aca="false">IF(COUNT(D176:J176)=0,"N/M",AVERAGE(D176:J176))</f>
        <v>-4.10230196556578</v>
      </c>
      <c r="L176" s="30" t="n">
        <f aca="false">IF(COUNT(D176,J176)=2,J176-D176,"-")</f>
        <v>0.593045989273103</v>
      </c>
    </row>
    <row r="177" customFormat="false" ht="15" hidden="false" customHeight="false" outlineLevel="0" collapsed="false">
      <c r="A177" s="16" t="s">
        <v>794</v>
      </c>
      <c r="B177" s="87" t="s">
        <v>786</v>
      </c>
      <c r="C177" s="17" t="s">
        <v>615</v>
      </c>
      <c r="D177" s="94" t="n">
        <f aca="false">IF(COUNT(D171,D172,D173,D174,D175,D176)=6,D171*D172*D173*D174*D175-D176,"-")</f>
        <v>0</v>
      </c>
      <c r="E177" s="94" t="str">
        <f aca="false">IF(COUNT(E171,E172,E173,E174,E175,E176)=6,E171*E172*E173*E174*E175-E176,"-")</f>
        <v>-</v>
      </c>
      <c r="F177" s="94" t="str">
        <f aca="false">IF(COUNT(F171,F172,F173,F174,F175,F176)=6,F171*F172*F173*F174*F175-F176,"-")</f>
        <v>-</v>
      </c>
      <c r="G177" s="94" t="n">
        <f aca="false">IF(COUNT(G171,G172,G173,G174,G175,G176)=6,G171*G172*G173*G174*G175-G176,"-")</f>
        <v>0</v>
      </c>
      <c r="H177" s="94" t="n">
        <f aca="false">IF(COUNT(H171,H172,H173,H174,H175,H176)=6,H171*H172*H173*H174*H175-H176,"-")</f>
        <v>0</v>
      </c>
      <c r="I177" s="94" t="str">
        <f aca="false">IF(COUNT(I171,I172,I173,I174,I175,I176)=6,I171*I172*I173*I174*I175-I176,"-")</f>
        <v>-</v>
      </c>
      <c r="J177" s="94" t="n">
        <f aca="false">IF(COUNT(J171,J172,J173,J174,J175,J176)=6,J171*J172*J173*J174*J175-J176,"-")</f>
        <v>0</v>
      </c>
      <c r="K177" s="62"/>
      <c r="L177" s="62"/>
    </row>
  </sheetData>
  <mergeCells count="3">
    <mergeCell ref="A1:L1"/>
    <mergeCell ref="A2:L2"/>
    <mergeCell ref="A3:L3"/>
  </mergeCells>
  <hyperlinks>
    <hyperlink ref="A3" r:id="rId2" display="Source: annual reports FY2020-FY2026 (consolidated) - https://sical.in/investors/annual-reports/   (full list of documents on the Sources sheet)"/>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18096"/>
    <pageSetUpPr fitToPage="true"/>
  </sheetPr>
  <dimension ref="A1:L177"/>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50"/>
    <col collapsed="false" customWidth="true" hidden="false" outlineLevel="0" max="3" min="3" style="0" width="15"/>
    <col collapsed="false" customWidth="true" hidden="false" outlineLevel="0" max="10" min="4" style="0" width="11.5"/>
    <col collapsed="false" customWidth="true" hidden="false" outlineLevel="0" max="12" min="11" style="0" width="12"/>
  </cols>
  <sheetData>
    <row r="1" customFormat="false" ht="24" hidden="false" customHeight="true" outlineLevel="0" collapsed="false">
      <c r="A1" s="1" t="s">
        <v>836</v>
      </c>
      <c r="B1" s="1"/>
      <c r="C1" s="1"/>
      <c r="D1" s="1"/>
      <c r="E1" s="1"/>
      <c r="F1" s="1"/>
      <c r="G1" s="1"/>
      <c r="H1" s="1"/>
      <c r="I1" s="1"/>
      <c r="J1" s="1"/>
      <c r="K1" s="1"/>
      <c r="L1" s="1"/>
    </row>
    <row r="2" customFormat="false" ht="18" hidden="false" customHeight="true" outlineLevel="0" collapsed="false">
      <c r="A2" s="2" t="s">
        <v>837</v>
      </c>
      <c r="B2" s="2"/>
      <c r="C2" s="2"/>
      <c r="D2" s="2"/>
      <c r="E2" s="2"/>
      <c r="F2" s="2"/>
      <c r="G2" s="2"/>
      <c r="H2" s="2"/>
      <c r="I2" s="2"/>
      <c r="J2" s="2"/>
      <c r="K2" s="2"/>
      <c r="L2" s="2"/>
    </row>
    <row r="3" customFormat="false" ht="18" hidden="false" customHeight="true" outlineLevel="0" collapsed="false">
      <c r="A3" s="95" t="s">
        <v>838</v>
      </c>
      <c r="B3" s="95"/>
      <c r="C3" s="95"/>
      <c r="D3" s="95"/>
      <c r="E3" s="95"/>
      <c r="F3" s="95"/>
      <c r="G3" s="95"/>
      <c r="H3" s="95"/>
      <c r="I3" s="95"/>
      <c r="J3" s="95"/>
      <c r="K3" s="95"/>
      <c r="L3" s="95"/>
    </row>
    <row r="5" customFormat="false" ht="30" hidden="false" customHeight="true" outlineLevel="0" collapsed="false">
      <c r="A5" s="7" t="s">
        <v>486</v>
      </c>
      <c r="B5" s="7" t="s">
        <v>487</v>
      </c>
      <c r="C5" s="7" t="s">
        <v>488</v>
      </c>
      <c r="D5" s="7" t="s">
        <v>154</v>
      </c>
      <c r="E5" s="7" t="s">
        <v>185</v>
      </c>
      <c r="F5" s="7" t="s">
        <v>188</v>
      </c>
      <c r="G5" s="7" t="s">
        <v>144</v>
      </c>
      <c r="H5" s="7" t="s">
        <v>147</v>
      </c>
      <c r="I5" s="7" t="s">
        <v>157</v>
      </c>
      <c r="J5" s="7" t="s">
        <v>198</v>
      </c>
      <c r="K5" s="7" t="s">
        <v>322</v>
      </c>
      <c r="L5" s="7" t="s">
        <v>489</v>
      </c>
    </row>
    <row r="6" customFormat="false" ht="19.5" hidden="false" customHeight="true" outlineLevel="0" collapsed="false">
      <c r="A6" s="85" t="s">
        <v>490</v>
      </c>
      <c r="B6" s="86"/>
      <c r="C6" s="86"/>
      <c r="D6" s="86"/>
      <c r="E6" s="86"/>
      <c r="F6" s="86"/>
      <c r="G6" s="86"/>
      <c r="H6" s="86"/>
      <c r="I6" s="86"/>
      <c r="J6" s="86"/>
      <c r="K6" s="86"/>
      <c r="L6" s="86"/>
    </row>
    <row r="7" customFormat="false" ht="15" hidden="false" customHeight="false" outlineLevel="0" collapsed="false">
      <c r="A7" s="16" t="s">
        <v>491</v>
      </c>
      <c r="B7" s="87" t="s">
        <v>492</v>
      </c>
      <c r="C7" s="17" t="s">
        <v>493</v>
      </c>
      <c r="D7" s="96" t="n">
        <v>2717.84</v>
      </c>
      <c r="E7" s="96" t="n">
        <v>2802.39</v>
      </c>
      <c r="F7" s="96" t="n">
        <v>3258.81</v>
      </c>
      <c r="G7" s="96" t="n">
        <v>3782.57</v>
      </c>
      <c r="H7" s="96" t="n">
        <v>4024.26</v>
      </c>
      <c r="I7" s="96" t="n">
        <v>4491.78</v>
      </c>
      <c r="J7" s="96" t="n">
        <v>4916.77</v>
      </c>
      <c r="K7" s="53" t="n">
        <f aca="false">AVERAGE(D7:J7)</f>
        <v>3713.48857142857</v>
      </c>
      <c r="L7" s="53" t="n">
        <f aca="false">J7-D7</f>
        <v>2198.93</v>
      </c>
    </row>
    <row r="8" customFormat="false" ht="16.5" hidden="false" customHeight="true" outlineLevel="0" collapsed="false">
      <c r="A8" s="88" t="s">
        <v>494</v>
      </c>
      <c r="B8" s="89"/>
      <c r="C8" s="89"/>
      <c r="D8" s="89"/>
      <c r="E8" s="89"/>
      <c r="F8" s="89"/>
      <c r="G8" s="89"/>
      <c r="H8" s="89"/>
      <c r="I8" s="89"/>
      <c r="J8" s="89"/>
      <c r="K8" s="89"/>
      <c r="L8" s="89"/>
    </row>
    <row r="9" customFormat="false" ht="15" hidden="false" customHeight="false" outlineLevel="0" collapsed="false">
      <c r="A9" s="16" t="s">
        <v>495</v>
      </c>
      <c r="B9" s="87" t="s">
        <v>496</v>
      </c>
      <c r="C9" s="17" t="s">
        <v>493</v>
      </c>
      <c r="D9" s="96" t="n">
        <v>0</v>
      </c>
      <c r="E9" s="96" t="n">
        <v>0</v>
      </c>
      <c r="F9" s="96" t="n">
        <v>0</v>
      </c>
      <c r="G9" s="96" t="n">
        <v>0</v>
      </c>
      <c r="H9" s="96" t="n">
        <v>0</v>
      </c>
      <c r="I9" s="96" t="n">
        <v>0</v>
      </c>
      <c r="J9" s="96" t="n">
        <v>0</v>
      </c>
      <c r="K9" s="53" t="n">
        <f aca="false">AVERAGE(D9:J9)</f>
        <v>0</v>
      </c>
      <c r="L9" s="53" t="n">
        <f aca="false">J9-D9</f>
        <v>0</v>
      </c>
    </row>
    <row r="10" customFormat="false" ht="15" hidden="false" customHeight="false" outlineLevel="0" collapsed="false">
      <c r="A10" s="16" t="s">
        <v>497</v>
      </c>
      <c r="B10" s="87" t="s">
        <v>498</v>
      </c>
      <c r="C10" s="17" t="s">
        <v>493</v>
      </c>
      <c r="D10" s="96" t="n">
        <v>0</v>
      </c>
      <c r="E10" s="96" t="n">
        <v>0</v>
      </c>
      <c r="F10" s="96" t="n">
        <v>0</v>
      </c>
      <c r="G10" s="96" t="n">
        <v>0</v>
      </c>
      <c r="H10" s="96" t="n">
        <v>0</v>
      </c>
      <c r="I10" s="96" t="n">
        <v>0</v>
      </c>
      <c r="J10" s="96" t="n">
        <v>0</v>
      </c>
      <c r="K10" s="53" t="n">
        <f aca="false">AVERAGE(D10:J10)</f>
        <v>0</v>
      </c>
      <c r="L10" s="53" t="n">
        <f aca="false">J10-D10</f>
        <v>0</v>
      </c>
    </row>
    <row r="11" customFormat="false" ht="15" hidden="false" customHeight="false" outlineLevel="0" collapsed="false">
      <c r="A11" s="16" t="s">
        <v>499</v>
      </c>
      <c r="B11" s="87" t="s">
        <v>500</v>
      </c>
      <c r="C11" s="17" t="s">
        <v>493</v>
      </c>
      <c r="D11" s="96" t="n">
        <v>97.56</v>
      </c>
      <c r="E11" s="96" t="n">
        <v>8.05</v>
      </c>
      <c r="F11" s="96" t="n">
        <v>8.24</v>
      </c>
      <c r="G11" s="96" t="n">
        <v>9.91</v>
      </c>
      <c r="H11" s="96" t="n">
        <v>11.14</v>
      </c>
      <c r="I11" s="96" t="n">
        <v>14.34</v>
      </c>
      <c r="J11" s="96" t="n">
        <v>20.85</v>
      </c>
      <c r="K11" s="53" t="n">
        <f aca="false">AVERAGE(D11:J11)</f>
        <v>24.2985714285714</v>
      </c>
      <c r="L11" s="53" t="n">
        <f aca="false">J11-D11</f>
        <v>-76.71</v>
      </c>
    </row>
    <row r="12" customFormat="false" ht="15" hidden="false" customHeight="false" outlineLevel="0" collapsed="false">
      <c r="A12" s="16" t="s">
        <v>501</v>
      </c>
      <c r="B12" s="87" t="s">
        <v>502</v>
      </c>
      <c r="C12" s="17" t="s">
        <v>493</v>
      </c>
      <c r="D12" s="96" t="n">
        <v>2136.98</v>
      </c>
      <c r="E12" s="96" t="n">
        <v>2309.57</v>
      </c>
      <c r="F12" s="96" t="n">
        <v>2595.09</v>
      </c>
      <c r="G12" s="96" t="n">
        <v>3056.19</v>
      </c>
      <c r="H12" s="96" t="n">
        <v>3270.03</v>
      </c>
      <c r="I12" s="96" t="n">
        <v>3646.74</v>
      </c>
      <c r="J12" s="96" t="n">
        <v>3968.04</v>
      </c>
      <c r="K12" s="53" t="n">
        <f aca="false">AVERAGE(D12:J12)</f>
        <v>2997.52</v>
      </c>
      <c r="L12" s="53" t="n">
        <f aca="false">J12-D12</f>
        <v>1831.06</v>
      </c>
    </row>
    <row r="13" customFormat="false" ht="15" hidden="false" customHeight="false" outlineLevel="0" collapsed="false">
      <c r="A13" s="12" t="s">
        <v>503</v>
      </c>
      <c r="B13" s="87" t="s">
        <v>504</v>
      </c>
      <c r="C13" s="17" t="s">
        <v>493</v>
      </c>
      <c r="D13" s="29" t="n">
        <f aca="false">D9+D11+D12-D10</f>
        <v>2234.54</v>
      </c>
      <c r="E13" s="29" t="n">
        <f aca="false">E9+E11+E12-E10</f>
        <v>2317.62</v>
      </c>
      <c r="F13" s="29" t="n">
        <f aca="false">F9+F11+F12-F10</f>
        <v>2603.33</v>
      </c>
      <c r="G13" s="29" t="n">
        <f aca="false">G9+G11+G12-G10</f>
        <v>3066.1</v>
      </c>
      <c r="H13" s="29" t="n">
        <f aca="false">H9+H11+H12-H10</f>
        <v>3281.17</v>
      </c>
      <c r="I13" s="29" t="n">
        <f aca="false">I9+I11+I12-I10</f>
        <v>3661.08</v>
      </c>
      <c r="J13" s="29" t="n">
        <f aca="false">J9+J11+J12-J10</f>
        <v>3988.89</v>
      </c>
      <c r="K13" s="29" t="n">
        <f aca="false">AVERAGE(D13:J13)</f>
        <v>3021.81857142857</v>
      </c>
      <c r="L13" s="29" t="n">
        <f aca="false">J13-D13</f>
        <v>1754.35</v>
      </c>
    </row>
    <row r="14" customFormat="false" ht="15" hidden="false" customHeight="false" outlineLevel="0" collapsed="false">
      <c r="A14" s="12" t="s">
        <v>505</v>
      </c>
      <c r="B14" s="87" t="s">
        <v>506</v>
      </c>
      <c r="C14" s="17" t="s">
        <v>493</v>
      </c>
      <c r="D14" s="29" t="n">
        <f aca="false">D7-D13</f>
        <v>483.3</v>
      </c>
      <c r="E14" s="29" t="n">
        <f aca="false">E7-E13</f>
        <v>484.77</v>
      </c>
      <c r="F14" s="29" t="n">
        <f aca="false">F7-F13</f>
        <v>655.48</v>
      </c>
      <c r="G14" s="29" t="n">
        <f aca="false">G7-G13</f>
        <v>716.47</v>
      </c>
      <c r="H14" s="29" t="n">
        <f aca="false">H7-H13</f>
        <v>743.09</v>
      </c>
      <c r="I14" s="29" t="n">
        <f aca="false">I7-I13</f>
        <v>830.7</v>
      </c>
      <c r="J14" s="29" t="n">
        <f aca="false">J7-J13</f>
        <v>927.880000000001</v>
      </c>
      <c r="K14" s="29" t="n">
        <f aca="false">AVERAGE(D14:J14)</f>
        <v>691.67</v>
      </c>
      <c r="L14" s="29" t="n">
        <f aca="false">J14-D14</f>
        <v>444.58</v>
      </c>
    </row>
    <row r="15" customFormat="false" ht="16.5" hidden="false" customHeight="true" outlineLevel="0" collapsed="false">
      <c r="A15" s="88" t="s">
        <v>507</v>
      </c>
      <c r="B15" s="89"/>
      <c r="C15" s="89"/>
      <c r="D15" s="89"/>
      <c r="E15" s="89"/>
      <c r="F15" s="89"/>
      <c r="G15" s="89"/>
      <c r="H15" s="89"/>
      <c r="I15" s="89"/>
      <c r="J15" s="89"/>
      <c r="K15" s="89"/>
      <c r="L15" s="89"/>
    </row>
    <row r="16" customFormat="false" ht="15" hidden="false" customHeight="false" outlineLevel="0" collapsed="false">
      <c r="A16" s="16" t="s">
        <v>508</v>
      </c>
      <c r="B16" s="87" t="s">
        <v>509</v>
      </c>
      <c r="C16" s="17" t="s">
        <v>493</v>
      </c>
      <c r="D16" s="96" t="n">
        <v>157.86</v>
      </c>
      <c r="E16" s="96" t="n">
        <v>146.3</v>
      </c>
      <c r="F16" s="96" t="n">
        <v>170.94</v>
      </c>
      <c r="G16" s="96" t="n">
        <v>197.53</v>
      </c>
      <c r="H16" s="96" t="n">
        <v>224.46</v>
      </c>
      <c r="I16" s="96" t="n">
        <v>250.88</v>
      </c>
      <c r="J16" s="96" t="n">
        <v>277.25</v>
      </c>
      <c r="K16" s="53" t="n">
        <f aca="false">AVERAGE(D16:J16)</f>
        <v>203.602857142857</v>
      </c>
      <c r="L16" s="53" t="n">
        <f aca="false">J16-D16</f>
        <v>119.39</v>
      </c>
    </row>
    <row r="17" customFormat="false" ht="15" hidden="false" customHeight="false" outlineLevel="0" collapsed="false">
      <c r="A17" s="16" t="s">
        <v>510</v>
      </c>
      <c r="B17" s="87" t="s">
        <v>511</v>
      </c>
      <c r="C17" s="17" t="s">
        <v>493</v>
      </c>
      <c r="D17" s="96" t="n">
        <v>66.95</v>
      </c>
      <c r="E17" s="96" t="n">
        <v>56.55</v>
      </c>
      <c r="F17" s="96" t="n">
        <v>58.79</v>
      </c>
      <c r="G17" s="96" t="n">
        <v>74.78</v>
      </c>
      <c r="H17" s="96" t="n">
        <v>93.22</v>
      </c>
      <c r="I17" s="96" t="n">
        <v>101.66</v>
      </c>
      <c r="J17" s="96" t="n">
        <v>115.95</v>
      </c>
      <c r="K17" s="53" t="n">
        <f aca="false">AVERAGE(D17:J17)</f>
        <v>81.1285714285714</v>
      </c>
      <c r="L17" s="53" t="n">
        <f aca="false">J17-D17</f>
        <v>49</v>
      </c>
    </row>
    <row r="18" customFormat="false" ht="15" hidden="false" customHeight="false" outlineLevel="0" collapsed="false">
      <c r="A18" s="16" t="s">
        <v>512</v>
      </c>
      <c r="B18" s="87" t="s">
        <v>513</v>
      </c>
      <c r="C18" s="17" t="s">
        <v>493</v>
      </c>
      <c r="D18" s="96" t="n">
        <v>17.05</v>
      </c>
      <c r="E18" s="96" t="n">
        <v>18.9</v>
      </c>
      <c r="F18" s="96" t="n">
        <v>13.92</v>
      </c>
      <c r="G18" s="96" t="n">
        <v>18.79</v>
      </c>
      <c r="H18" s="96" t="n">
        <v>14.18</v>
      </c>
      <c r="I18" s="96" t="n">
        <v>15.6</v>
      </c>
      <c r="J18" s="96" t="n">
        <v>15.68</v>
      </c>
      <c r="K18" s="53" t="n">
        <f aca="false">AVERAGE(D18:J18)</f>
        <v>16.3028571428571</v>
      </c>
      <c r="L18" s="53" t="n">
        <f aca="false">J18-D18</f>
        <v>-1.37</v>
      </c>
    </row>
    <row r="19" customFormat="false" ht="15" hidden="false" customHeight="false" outlineLevel="0" collapsed="false">
      <c r="A19" s="12" t="s">
        <v>507</v>
      </c>
      <c r="B19" s="87" t="s">
        <v>514</v>
      </c>
      <c r="C19" s="17" t="s">
        <v>493</v>
      </c>
      <c r="D19" s="29" t="n">
        <f aca="false">D16+D17+D18</f>
        <v>241.86</v>
      </c>
      <c r="E19" s="29" t="n">
        <f aca="false">E16+E17+E18</f>
        <v>221.75</v>
      </c>
      <c r="F19" s="29" t="n">
        <f aca="false">F16+F17+F18</f>
        <v>243.65</v>
      </c>
      <c r="G19" s="29" t="n">
        <f aca="false">G16+G17+G18</f>
        <v>291.1</v>
      </c>
      <c r="H19" s="29" t="n">
        <f aca="false">H16+H17+H18</f>
        <v>331.86</v>
      </c>
      <c r="I19" s="29" t="n">
        <f aca="false">I16+I17+I18</f>
        <v>368.14</v>
      </c>
      <c r="J19" s="29" t="n">
        <f aca="false">J16+J17+J18</f>
        <v>408.88</v>
      </c>
      <c r="K19" s="29" t="n">
        <f aca="false">AVERAGE(D19:J19)</f>
        <v>301.034285714286</v>
      </c>
      <c r="L19" s="29" t="n">
        <f aca="false">J19-D19</f>
        <v>167.02</v>
      </c>
    </row>
    <row r="20" customFormat="false" ht="15" hidden="false" customHeight="false" outlineLevel="0" collapsed="false">
      <c r="A20" s="12" t="s">
        <v>515</v>
      </c>
      <c r="B20" s="87" t="s">
        <v>516</v>
      </c>
      <c r="C20" s="17" t="s">
        <v>493</v>
      </c>
      <c r="D20" s="29" t="n">
        <f aca="false">D13+D19</f>
        <v>2476.4</v>
      </c>
      <c r="E20" s="29" t="n">
        <f aca="false">E13+E19</f>
        <v>2539.37</v>
      </c>
      <c r="F20" s="29" t="n">
        <f aca="false">F13+F19</f>
        <v>2846.98</v>
      </c>
      <c r="G20" s="29" t="n">
        <f aca="false">G13+G19</f>
        <v>3357.2</v>
      </c>
      <c r="H20" s="29" t="n">
        <f aca="false">H13+H19</f>
        <v>3613.03</v>
      </c>
      <c r="I20" s="29" t="n">
        <f aca="false">I13+I19</f>
        <v>4029.22</v>
      </c>
      <c r="J20" s="29" t="n">
        <f aca="false">J13+J19</f>
        <v>4397.77</v>
      </c>
      <c r="K20" s="29" t="n">
        <f aca="false">AVERAGE(D20:J20)</f>
        <v>3322.85285714286</v>
      </c>
      <c r="L20" s="29" t="n">
        <f aca="false">J20-D20</f>
        <v>1921.37</v>
      </c>
    </row>
    <row r="21" customFormat="false" ht="15" hidden="false" customHeight="false" outlineLevel="0" collapsed="false">
      <c r="A21" s="12" t="s">
        <v>517</v>
      </c>
      <c r="B21" s="87" t="s">
        <v>518</v>
      </c>
      <c r="C21" s="17" t="s">
        <v>493</v>
      </c>
      <c r="D21" s="29" t="n">
        <f aca="false">D7-D20</f>
        <v>241.44</v>
      </c>
      <c r="E21" s="29" t="n">
        <f aca="false">E7-E20</f>
        <v>263.02</v>
      </c>
      <c r="F21" s="29" t="n">
        <f aca="false">F7-F20</f>
        <v>411.83</v>
      </c>
      <c r="G21" s="29" t="n">
        <f aca="false">G7-G20</f>
        <v>425.37</v>
      </c>
      <c r="H21" s="29" t="n">
        <f aca="false">H7-H20</f>
        <v>411.23</v>
      </c>
      <c r="I21" s="29" t="n">
        <f aca="false">I7-I20</f>
        <v>462.56</v>
      </c>
      <c r="J21" s="29" t="n">
        <f aca="false">J7-J20</f>
        <v>519.000000000001</v>
      </c>
      <c r="K21" s="29" t="n">
        <f aca="false">AVERAGE(D21:J21)</f>
        <v>390.635714285714</v>
      </c>
      <c r="L21" s="29" t="n">
        <f aca="false">J21-D21</f>
        <v>277.560000000001</v>
      </c>
    </row>
    <row r="22" customFormat="false" ht="15" hidden="false" customHeight="false" outlineLevel="0" collapsed="false">
      <c r="A22" s="16" t="s">
        <v>519</v>
      </c>
      <c r="B22" s="87" t="s">
        <v>520</v>
      </c>
      <c r="C22" s="17" t="s">
        <v>493</v>
      </c>
      <c r="D22" s="96" t="n">
        <v>82.49</v>
      </c>
      <c r="E22" s="96" t="n">
        <v>92.81</v>
      </c>
      <c r="F22" s="96" t="n">
        <v>113.02</v>
      </c>
      <c r="G22" s="96" t="n">
        <v>121.41</v>
      </c>
      <c r="H22" s="96" t="n">
        <v>128.45</v>
      </c>
      <c r="I22" s="96" t="n">
        <v>117.83</v>
      </c>
      <c r="J22" s="96" t="n">
        <v>127.3</v>
      </c>
      <c r="K22" s="53" t="n">
        <f aca="false">AVERAGE(D22:J22)</f>
        <v>111.901428571429</v>
      </c>
      <c r="L22" s="53" t="n">
        <f aca="false">J22-D22</f>
        <v>44.81</v>
      </c>
    </row>
    <row r="23" customFormat="false" ht="15" hidden="false" customHeight="false" outlineLevel="0" collapsed="false">
      <c r="A23" s="12" t="s">
        <v>521</v>
      </c>
      <c r="B23" s="87" t="s">
        <v>522</v>
      </c>
      <c r="C23" s="17" t="s">
        <v>493</v>
      </c>
      <c r="D23" s="29" t="n">
        <f aca="false">D21-D22</f>
        <v>158.95</v>
      </c>
      <c r="E23" s="29" t="n">
        <f aca="false">E21-E22</f>
        <v>170.21</v>
      </c>
      <c r="F23" s="29" t="n">
        <f aca="false">F21-F22</f>
        <v>298.81</v>
      </c>
      <c r="G23" s="29" t="n">
        <f aca="false">G21-G22</f>
        <v>303.96</v>
      </c>
      <c r="H23" s="29" t="n">
        <f aca="false">H21-H22</f>
        <v>282.78</v>
      </c>
      <c r="I23" s="29" t="n">
        <f aca="false">I21-I22</f>
        <v>344.73</v>
      </c>
      <c r="J23" s="29" t="n">
        <f aca="false">J21-J22</f>
        <v>391.700000000001</v>
      </c>
      <c r="K23" s="29" t="n">
        <f aca="false">AVERAGE(D23:J23)</f>
        <v>278.734285714286</v>
      </c>
      <c r="L23" s="29" t="n">
        <f aca="false">J23-D23</f>
        <v>232.750000000001</v>
      </c>
    </row>
    <row r="24" customFormat="false" ht="15" hidden="false" customHeight="false" outlineLevel="0" collapsed="false">
      <c r="A24" s="16" t="s">
        <v>523</v>
      </c>
      <c r="B24" s="87" t="s">
        <v>524</v>
      </c>
      <c r="C24" s="17" t="s">
        <v>493</v>
      </c>
      <c r="D24" s="96" t="n">
        <v>34.48</v>
      </c>
      <c r="E24" s="96" t="n">
        <v>30.74</v>
      </c>
      <c r="F24" s="96" t="n">
        <v>44.49</v>
      </c>
      <c r="G24" s="96" t="n">
        <v>69.89</v>
      </c>
      <c r="H24" s="96" t="n">
        <v>118.58</v>
      </c>
      <c r="I24" s="96" t="n">
        <v>134.82</v>
      </c>
      <c r="J24" s="96" t="n">
        <v>130.98</v>
      </c>
      <c r="K24" s="53" t="n">
        <f aca="false">AVERAGE(D24:J24)</f>
        <v>80.5685714285714</v>
      </c>
      <c r="L24" s="53" t="n">
        <f aca="false">J24-D24</f>
        <v>96.5</v>
      </c>
    </row>
    <row r="25" customFormat="false" ht="15" hidden="false" customHeight="false" outlineLevel="0" collapsed="false">
      <c r="A25" s="16" t="s">
        <v>525</v>
      </c>
      <c r="B25" s="87" t="s">
        <v>526</v>
      </c>
      <c r="C25" s="17" t="s">
        <v>493</v>
      </c>
      <c r="D25" s="96" t="n">
        <v>34.32</v>
      </c>
      <c r="E25" s="96" t="n">
        <v>26.7</v>
      </c>
      <c r="F25" s="96" t="n">
        <v>12.83</v>
      </c>
      <c r="G25" s="96" t="n">
        <v>9.82</v>
      </c>
      <c r="H25" s="96" t="n">
        <v>13.27</v>
      </c>
      <c r="I25" s="96" t="n">
        <v>20.16</v>
      </c>
      <c r="J25" s="96" t="n">
        <v>22.79</v>
      </c>
      <c r="K25" s="53" t="n">
        <f aca="false">AVERAGE(D25:J25)</f>
        <v>19.9842857142857</v>
      </c>
      <c r="L25" s="53" t="n">
        <f aca="false">J25-D25</f>
        <v>-11.53</v>
      </c>
    </row>
    <row r="26" customFormat="false" ht="15" hidden="false" customHeight="false" outlineLevel="0" collapsed="false">
      <c r="A26" s="12" t="s">
        <v>527</v>
      </c>
      <c r="B26" s="87" t="s">
        <v>528</v>
      </c>
      <c r="C26" s="17" t="s">
        <v>493</v>
      </c>
      <c r="D26" s="90" t="n">
        <f aca="false">D23+D24-D25</f>
        <v>159.11</v>
      </c>
      <c r="E26" s="90" t="n">
        <f aca="false">E23+E24-E25</f>
        <v>174.25</v>
      </c>
      <c r="F26" s="90" t="n">
        <f aca="false">F23+F24-F25</f>
        <v>330.47</v>
      </c>
      <c r="G26" s="90" t="n">
        <f aca="false">G23+G24-G25</f>
        <v>364.03</v>
      </c>
      <c r="H26" s="90" t="n">
        <f aca="false">H23+H24-H25</f>
        <v>388.09</v>
      </c>
      <c r="I26" s="90" t="n">
        <f aca="false">I23+I24-I25</f>
        <v>459.39</v>
      </c>
      <c r="J26" s="90" t="n">
        <f aca="false">J23+J24-J25</f>
        <v>499.890000000001</v>
      </c>
      <c r="K26" s="91" t="n">
        <f aca="false">AVERAGE(D26:J26)</f>
        <v>339.318571428572</v>
      </c>
      <c r="L26" s="91" t="n">
        <f aca="false">J26-D26</f>
        <v>340.780000000001</v>
      </c>
    </row>
    <row r="27" customFormat="false" ht="15" hidden="false" customHeight="false" outlineLevel="0" collapsed="false">
      <c r="A27" s="16" t="s">
        <v>529</v>
      </c>
      <c r="B27" s="87" t="s">
        <v>530</v>
      </c>
      <c r="C27" s="17" t="s">
        <v>493</v>
      </c>
      <c r="D27" s="96" t="n">
        <v>15.92</v>
      </c>
      <c r="E27" s="96" t="n">
        <v>23.83</v>
      </c>
      <c r="F27" s="96" t="n">
        <v>37.65</v>
      </c>
      <c r="G27" s="96" t="n">
        <v>43.44</v>
      </c>
      <c r="H27" s="96" t="n">
        <v>33.63</v>
      </c>
      <c r="I27" s="96" t="n">
        <v>43.39</v>
      </c>
      <c r="J27" s="96" t="n">
        <v>40.02</v>
      </c>
      <c r="K27" s="53" t="n">
        <f aca="false">AVERAGE(D27:J27)</f>
        <v>33.9828571428571</v>
      </c>
      <c r="L27" s="53" t="n">
        <f aca="false">J27-D27</f>
        <v>24.1</v>
      </c>
    </row>
    <row r="28" customFormat="false" ht="15" hidden="false" customHeight="false" outlineLevel="0" collapsed="false">
      <c r="A28" s="16" t="s">
        <v>531</v>
      </c>
      <c r="B28" s="87" t="s">
        <v>532</v>
      </c>
      <c r="C28" s="17" t="s">
        <v>493</v>
      </c>
      <c r="D28" s="69" t="n">
        <f aca="false">D26-D27</f>
        <v>143.19</v>
      </c>
      <c r="E28" s="69" t="n">
        <f aca="false">E26-E27</f>
        <v>150.42</v>
      </c>
      <c r="F28" s="69" t="n">
        <f aca="false">F26-F27</f>
        <v>292.82</v>
      </c>
      <c r="G28" s="69" t="n">
        <f aca="false">G26-G27</f>
        <v>320.59</v>
      </c>
      <c r="H28" s="69" t="n">
        <f aca="false">H26-H27</f>
        <v>354.46</v>
      </c>
      <c r="I28" s="69" t="n">
        <f aca="false">I26-I27</f>
        <v>416</v>
      </c>
      <c r="J28" s="69" t="n">
        <f aca="false">J26-J27</f>
        <v>459.870000000001</v>
      </c>
      <c r="K28" s="53" t="n">
        <f aca="false">AVERAGE(D28:J28)</f>
        <v>305.335714285714</v>
      </c>
      <c r="L28" s="53" t="n">
        <f aca="false">J28-D28</f>
        <v>316.680000000001</v>
      </c>
    </row>
    <row r="29" customFormat="false" ht="15" hidden="false" customHeight="false" outlineLevel="0" collapsed="false">
      <c r="A29" s="16" t="s">
        <v>533</v>
      </c>
      <c r="B29" s="87" t="s">
        <v>534</v>
      </c>
      <c r="C29" s="17" t="s">
        <v>493</v>
      </c>
      <c r="D29" s="69" t="n">
        <f aca="false">D30-D28</f>
        <v>-0.830000000000041</v>
      </c>
      <c r="E29" s="69" t="n">
        <f aca="false">E30-E28</f>
        <v>-3.28999999999957</v>
      </c>
      <c r="F29" s="69" t="n">
        <f aca="false">F30-F28</f>
        <v>-3.20999999999998</v>
      </c>
      <c r="G29" s="69" t="n">
        <f aca="false">G30-G28</f>
        <v>-3.2500000000004</v>
      </c>
      <c r="H29" s="69" t="n">
        <f aca="false">H30-H28</f>
        <v>-3.66000000000003</v>
      </c>
      <c r="I29" s="69" t="n">
        <f aca="false">I30-I28</f>
        <v>-3.61999999999995</v>
      </c>
      <c r="J29" s="69" t="n">
        <f aca="false">J30-J28</f>
        <v>-3.62000000000086</v>
      </c>
      <c r="K29" s="53" t="n">
        <f aca="false">AVERAGE(D29:J29)</f>
        <v>-3.06857142857155</v>
      </c>
      <c r="L29" s="53" t="n">
        <f aca="false">J29-D29</f>
        <v>-2.79000000000082</v>
      </c>
    </row>
    <row r="30" customFormat="false" ht="15" hidden="false" customHeight="false" outlineLevel="0" collapsed="false">
      <c r="A30" s="16" t="s">
        <v>535</v>
      </c>
      <c r="B30" s="87" t="s">
        <v>536</v>
      </c>
      <c r="C30" s="17" t="s">
        <v>493</v>
      </c>
      <c r="D30" s="96" t="n">
        <v>142.36</v>
      </c>
      <c r="E30" s="96" t="n">
        <v>147.13</v>
      </c>
      <c r="F30" s="96" t="n">
        <v>289.61</v>
      </c>
      <c r="G30" s="96" t="n">
        <v>317.34</v>
      </c>
      <c r="H30" s="96" t="n">
        <v>350.8</v>
      </c>
      <c r="I30" s="96" t="n">
        <v>412.38</v>
      </c>
      <c r="J30" s="96" t="n">
        <v>456.25</v>
      </c>
      <c r="K30" s="53" t="n">
        <f aca="false">AVERAGE(D30:J30)</f>
        <v>302.267142857143</v>
      </c>
      <c r="L30" s="53" t="n">
        <f aca="false">J30-D30</f>
        <v>313.89</v>
      </c>
    </row>
    <row r="31" customFormat="false" ht="15" hidden="false" customHeight="false" outlineLevel="0" collapsed="false">
      <c r="A31" s="16" t="s">
        <v>537</v>
      </c>
      <c r="B31" s="87" t="s">
        <v>538</v>
      </c>
      <c r="C31" s="17" t="s">
        <v>493</v>
      </c>
      <c r="D31" s="96" t="n">
        <v>15.37</v>
      </c>
      <c r="E31" s="96" t="n">
        <v>19.28</v>
      </c>
      <c r="F31" s="96" t="n">
        <v>30.94</v>
      </c>
      <c r="G31" s="96" t="n">
        <v>54.28</v>
      </c>
      <c r="H31" s="96" t="n">
        <v>54.42</v>
      </c>
      <c r="I31" s="96" t="n">
        <v>61.28</v>
      </c>
      <c r="J31" s="96" t="n">
        <v>76.75</v>
      </c>
      <c r="K31" s="53" t="n">
        <f aca="false">AVERAGE(D31:J31)</f>
        <v>44.6171428571429</v>
      </c>
      <c r="L31" s="53" t="n">
        <f aca="false">J31-D31</f>
        <v>61.38</v>
      </c>
    </row>
    <row r="32" customFormat="false" ht="15" hidden="false" customHeight="false" outlineLevel="0" collapsed="false">
      <c r="A32" s="16" t="s">
        <v>539</v>
      </c>
      <c r="B32" s="87" t="s">
        <v>540</v>
      </c>
      <c r="C32" s="17" t="s">
        <v>493</v>
      </c>
      <c r="D32" s="96" t="n">
        <v>0</v>
      </c>
      <c r="E32" s="96" t="n">
        <v>0</v>
      </c>
      <c r="F32" s="96" t="n">
        <v>0</v>
      </c>
      <c r="G32" s="96" t="n">
        <v>0</v>
      </c>
      <c r="H32" s="96" t="n">
        <v>0</v>
      </c>
      <c r="I32" s="96" t="n">
        <v>0</v>
      </c>
      <c r="J32" s="96" t="n">
        <v>0</v>
      </c>
      <c r="K32" s="53" t="n">
        <f aca="false">AVERAGE(D32:J32)</f>
        <v>0</v>
      </c>
      <c r="L32" s="53" t="n">
        <f aca="false">J32-D32</f>
        <v>0</v>
      </c>
    </row>
    <row r="34" customFormat="false" ht="19.5" hidden="false" customHeight="true" outlineLevel="0" collapsed="false">
      <c r="A34" s="85" t="s">
        <v>541</v>
      </c>
      <c r="B34" s="86"/>
      <c r="C34" s="86"/>
      <c r="D34" s="86"/>
      <c r="E34" s="86"/>
      <c r="F34" s="86"/>
      <c r="G34" s="86"/>
      <c r="H34" s="86"/>
      <c r="I34" s="86"/>
      <c r="J34" s="86"/>
      <c r="K34" s="86"/>
      <c r="L34" s="86"/>
    </row>
    <row r="35" customFormat="false" ht="16.5" hidden="false" customHeight="true" outlineLevel="0" collapsed="false">
      <c r="A35" s="88" t="s">
        <v>542</v>
      </c>
      <c r="B35" s="89"/>
      <c r="C35" s="89"/>
      <c r="D35" s="89"/>
      <c r="E35" s="89"/>
      <c r="F35" s="89"/>
      <c r="G35" s="89"/>
      <c r="H35" s="89"/>
      <c r="I35" s="89"/>
      <c r="J35" s="89"/>
      <c r="K35" s="89"/>
      <c r="L35" s="89"/>
    </row>
    <row r="36" customFormat="false" ht="15" hidden="false" customHeight="false" outlineLevel="0" collapsed="false">
      <c r="A36" s="16" t="s">
        <v>543</v>
      </c>
      <c r="B36" s="87" t="s">
        <v>544</v>
      </c>
      <c r="C36" s="17" t="s">
        <v>493</v>
      </c>
      <c r="D36" s="96" t="n">
        <v>15.37</v>
      </c>
      <c r="E36" s="96" t="n">
        <v>15.42</v>
      </c>
      <c r="F36" s="96" t="n">
        <v>15.47</v>
      </c>
      <c r="G36" s="96" t="n">
        <v>15.51</v>
      </c>
      <c r="H36" s="96" t="n">
        <v>15.55</v>
      </c>
      <c r="I36" s="96" t="n">
        <v>15.32</v>
      </c>
      <c r="J36" s="96" t="n">
        <v>15.35</v>
      </c>
      <c r="K36" s="53" t="n">
        <f aca="false">AVERAGE(D36:J36)</f>
        <v>15.4271428571429</v>
      </c>
      <c r="L36" s="53" t="n">
        <f aca="false">J36-D36</f>
        <v>-0.0199999999999996</v>
      </c>
    </row>
    <row r="37" customFormat="false" ht="15" hidden="false" customHeight="false" outlineLevel="0" collapsed="false">
      <c r="A37" s="16" t="s">
        <v>545</v>
      </c>
      <c r="B37" s="87" t="s">
        <v>540</v>
      </c>
      <c r="C37" s="17" t="s">
        <v>493</v>
      </c>
      <c r="D37" s="96" t="n">
        <v>0</v>
      </c>
      <c r="E37" s="96" t="n">
        <v>0</v>
      </c>
      <c r="F37" s="96" t="n">
        <v>0</v>
      </c>
      <c r="G37" s="96" t="n">
        <v>0</v>
      </c>
      <c r="H37" s="96" t="n">
        <v>0</v>
      </c>
      <c r="I37" s="96" t="n">
        <v>0</v>
      </c>
      <c r="J37" s="96" t="n">
        <v>0</v>
      </c>
      <c r="K37" s="53" t="n">
        <f aca="false">AVERAGE(D37:J37)</f>
        <v>0</v>
      </c>
      <c r="L37" s="53" t="n">
        <f aca="false">J37-D37</f>
        <v>0</v>
      </c>
    </row>
    <row r="38" customFormat="false" ht="15" hidden="false" customHeight="false" outlineLevel="0" collapsed="false">
      <c r="A38" s="16" t="s">
        <v>546</v>
      </c>
      <c r="B38" s="87" t="s">
        <v>547</v>
      </c>
      <c r="C38" s="17" t="s">
        <v>493</v>
      </c>
      <c r="D38" s="96" t="n">
        <v>1008.52</v>
      </c>
      <c r="E38" s="96" t="n">
        <v>1154.29</v>
      </c>
      <c r="F38" s="96" t="n">
        <v>1414.81</v>
      </c>
      <c r="G38" s="96" t="n">
        <v>1686.28</v>
      </c>
      <c r="H38" s="96" t="n">
        <v>1988.27</v>
      </c>
      <c r="I38" s="96" t="n">
        <v>2139.43</v>
      </c>
      <c r="J38" s="96" t="n">
        <v>2550.64</v>
      </c>
      <c r="K38" s="53" t="n">
        <f aca="false">AVERAGE(D38:J38)</f>
        <v>1706.03428571429</v>
      </c>
      <c r="L38" s="53" t="n">
        <f aca="false">J38-D38</f>
        <v>1542.12</v>
      </c>
    </row>
    <row r="39" customFormat="false" ht="15" hidden="false" customHeight="false" outlineLevel="0" collapsed="false">
      <c r="A39" s="12" t="s">
        <v>548</v>
      </c>
      <c r="B39" s="87" t="s">
        <v>549</v>
      </c>
      <c r="C39" s="17" t="s">
        <v>493</v>
      </c>
      <c r="D39" s="29" t="n">
        <f aca="false">D36+D38</f>
        <v>1023.89</v>
      </c>
      <c r="E39" s="29" t="n">
        <f aca="false">E36+E38</f>
        <v>1169.71</v>
      </c>
      <c r="F39" s="29" t="n">
        <f aca="false">F36+F38</f>
        <v>1430.28</v>
      </c>
      <c r="G39" s="29" t="n">
        <f aca="false">G36+G38</f>
        <v>1701.79</v>
      </c>
      <c r="H39" s="29" t="n">
        <f aca="false">H36+H38</f>
        <v>2003.82</v>
      </c>
      <c r="I39" s="29" t="n">
        <f aca="false">I36+I38</f>
        <v>2154.75</v>
      </c>
      <c r="J39" s="29" t="n">
        <f aca="false">J36+J38</f>
        <v>2565.99</v>
      </c>
      <c r="K39" s="29" t="n">
        <f aca="false">AVERAGE(D39:J39)</f>
        <v>1721.46142857143</v>
      </c>
      <c r="L39" s="29" t="n">
        <f aca="false">J39-D39</f>
        <v>1542.1</v>
      </c>
    </row>
    <row r="40" customFormat="false" ht="15" hidden="false" customHeight="false" outlineLevel="0" collapsed="false">
      <c r="A40" s="12" t="s">
        <v>550</v>
      </c>
      <c r="B40" s="87" t="s">
        <v>551</v>
      </c>
      <c r="C40" s="17" t="s">
        <v>493</v>
      </c>
      <c r="D40" s="29" t="n">
        <f aca="false">D39+D37</f>
        <v>1023.89</v>
      </c>
      <c r="E40" s="29" t="n">
        <f aca="false">E39+E37</f>
        <v>1169.71</v>
      </c>
      <c r="F40" s="29" t="n">
        <f aca="false">F39+F37</f>
        <v>1430.28</v>
      </c>
      <c r="G40" s="29" t="n">
        <f aca="false">G39+G37</f>
        <v>1701.79</v>
      </c>
      <c r="H40" s="29" t="n">
        <f aca="false">H39+H37</f>
        <v>2003.82</v>
      </c>
      <c r="I40" s="29" t="n">
        <f aca="false">I39+I37</f>
        <v>2154.75</v>
      </c>
      <c r="J40" s="29" t="n">
        <f aca="false">J39+J37</f>
        <v>2565.99</v>
      </c>
      <c r="K40" s="29" t="n">
        <f aca="false">AVERAGE(D40:J40)</f>
        <v>1721.46142857143</v>
      </c>
      <c r="L40" s="29" t="n">
        <f aca="false">J40-D40</f>
        <v>1542.1</v>
      </c>
    </row>
    <row r="41" customFormat="false" ht="15" hidden="false" customHeight="false" outlineLevel="0" collapsed="false">
      <c r="A41" s="16" t="s">
        <v>552</v>
      </c>
      <c r="B41" s="87" t="s">
        <v>553</v>
      </c>
      <c r="C41" s="17" t="s">
        <v>493</v>
      </c>
      <c r="D41" s="96" t="n">
        <v>422.05</v>
      </c>
      <c r="E41" s="96" t="n">
        <v>297.48</v>
      </c>
      <c r="F41" s="96" t="n">
        <v>96.23</v>
      </c>
      <c r="G41" s="96" t="n">
        <v>91.87</v>
      </c>
      <c r="H41" s="96" t="n">
        <v>193.68</v>
      </c>
      <c r="I41" s="96" t="n">
        <v>241.86</v>
      </c>
      <c r="J41" s="96" t="n">
        <v>312.4</v>
      </c>
      <c r="K41" s="53" t="n">
        <f aca="false">AVERAGE(D41:J41)</f>
        <v>236.51</v>
      </c>
      <c r="L41" s="53" t="n">
        <f aca="false">J41-D41</f>
        <v>-109.65</v>
      </c>
    </row>
    <row r="42" customFormat="false" ht="15" hidden="false" customHeight="false" outlineLevel="0" collapsed="false">
      <c r="A42" s="16" t="s">
        <v>554</v>
      </c>
      <c r="B42" s="87" t="s">
        <v>555</v>
      </c>
      <c r="C42" s="17" t="s">
        <v>493</v>
      </c>
      <c r="D42" s="96" t="n">
        <v>237.38</v>
      </c>
      <c r="E42" s="96" t="n">
        <v>271.62</v>
      </c>
      <c r="F42" s="96" t="n">
        <v>300.52</v>
      </c>
      <c r="G42" s="96" t="n">
        <v>307.25</v>
      </c>
      <c r="H42" s="96" t="n">
        <v>303.9</v>
      </c>
      <c r="I42" s="96" t="n">
        <v>537.42</v>
      </c>
      <c r="J42" s="96" t="n">
        <v>603.47</v>
      </c>
      <c r="K42" s="53" t="n">
        <f aca="false">AVERAGE(D42:J42)</f>
        <v>365.937142857143</v>
      </c>
      <c r="L42" s="53" t="n">
        <f aca="false">J42-D42</f>
        <v>366.09</v>
      </c>
    </row>
    <row r="43" customFormat="false" ht="15" hidden="false" customHeight="false" outlineLevel="0" collapsed="false">
      <c r="A43" s="12" t="s">
        <v>556</v>
      </c>
      <c r="B43" s="87" t="s">
        <v>557</v>
      </c>
      <c r="C43" s="17" t="s">
        <v>493</v>
      </c>
      <c r="D43" s="90" t="n">
        <f aca="false">D40+D41+D42</f>
        <v>1683.32</v>
      </c>
      <c r="E43" s="90" t="n">
        <f aca="false">E40+E41+E42</f>
        <v>1738.81</v>
      </c>
      <c r="F43" s="90" t="n">
        <f aca="false">F40+F41+F42</f>
        <v>1827.03</v>
      </c>
      <c r="G43" s="90" t="n">
        <f aca="false">G40+G41+G42</f>
        <v>2100.91</v>
      </c>
      <c r="H43" s="90" t="n">
        <f aca="false">H40+H41+H42</f>
        <v>2501.4</v>
      </c>
      <c r="I43" s="90" t="n">
        <f aca="false">I40+I41+I42</f>
        <v>2934.03</v>
      </c>
      <c r="J43" s="90" t="n">
        <f aca="false">J40+J41+J42</f>
        <v>3481.86</v>
      </c>
      <c r="K43" s="91" t="n">
        <f aca="false">AVERAGE(D43:J43)</f>
        <v>2323.90857142857</v>
      </c>
      <c r="L43" s="91" t="n">
        <f aca="false">J43-D43</f>
        <v>1798.54</v>
      </c>
    </row>
    <row r="44" customFormat="false" ht="16.5" hidden="false" customHeight="true" outlineLevel="0" collapsed="false">
      <c r="A44" s="88" t="s">
        <v>558</v>
      </c>
      <c r="B44" s="89"/>
      <c r="C44" s="89"/>
      <c r="D44" s="89"/>
      <c r="E44" s="89"/>
      <c r="F44" s="89"/>
      <c r="G44" s="89"/>
      <c r="H44" s="89"/>
      <c r="I44" s="89"/>
      <c r="J44" s="89"/>
      <c r="K44" s="89"/>
      <c r="L44" s="89"/>
    </row>
    <row r="45" customFormat="false" ht="15" hidden="false" customHeight="false" outlineLevel="0" collapsed="false">
      <c r="A45" s="16" t="s">
        <v>559</v>
      </c>
      <c r="B45" s="87" t="s">
        <v>560</v>
      </c>
      <c r="C45" s="17" t="s">
        <v>493</v>
      </c>
      <c r="D45" s="96" t="n">
        <v>771.72</v>
      </c>
      <c r="E45" s="96" t="n">
        <v>804.63</v>
      </c>
      <c r="F45" s="96" t="n">
        <v>801.35</v>
      </c>
      <c r="G45" s="96" t="n">
        <v>791.26</v>
      </c>
      <c r="H45" s="96" t="n">
        <v>861.78</v>
      </c>
      <c r="I45" s="96" t="n">
        <v>963.7</v>
      </c>
      <c r="J45" s="96" t="n">
        <v>1192.69</v>
      </c>
      <c r="K45" s="53" t="n">
        <f aca="false">AVERAGE(D45:J45)</f>
        <v>883.875714285714</v>
      </c>
      <c r="L45" s="53" t="n">
        <f aca="false">J45-D45</f>
        <v>420.97</v>
      </c>
    </row>
    <row r="46" customFormat="false" ht="15" hidden="false" customHeight="false" outlineLevel="0" collapsed="false">
      <c r="A46" s="16" t="s">
        <v>561</v>
      </c>
      <c r="B46" s="87" t="s">
        <v>562</v>
      </c>
      <c r="C46" s="17" t="s">
        <v>493</v>
      </c>
      <c r="D46" s="96" t="n">
        <v>21.58</v>
      </c>
      <c r="E46" s="96" t="n">
        <v>5.22</v>
      </c>
      <c r="F46" s="96" t="n">
        <v>7.3</v>
      </c>
      <c r="G46" s="96" t="n">
        <v>25.98</v>
      </c>
      <c r="H46" s="96" t="n">
        <v>108.96</v>
      </c>
      <c r="I46" s="96" t="n">
        <v>254.99</v>
      </c>
      <c r="J46" s="96" t="n">
        <v>343.23</v>
      </c>
      <c r="K46" s="53" t="n">
        <f aca="false">AVERAGE(D46:J46)</f>
        <v>109.608571428571</v>
      </c>
      <c r="L46" s="53" t="n">
        <f aca="false">J46-D46</f>
        <v>321.65</v>
      </c>
    </row>
    <row r="47" customFormat="false" ht="15" hidden="false" customHeight="false" outlineLevel="0" collapsed="false">
      <c r="A47" s="16" t="s">
        <v>563</v>
      </c>
      <c r="B47" s="87" t="s">
        <v>564</v>
      </c>
      <c r="C47" s="17" t="s">
        <v>493</v>
      </c>
      <c r="D47" s="96" t="n">
        <v>135.35</v>
      </c>
      <c r="E47" s="96" t="n">
        <v>149.98</v>
      </c>
      <c r="F47" s="96" t="n">
        <v>192.71</v>
      </c>
      <c r="G47" s="96" t="n">
        <v>285.9</v>
      </c>
      <c r="H47" s="96" t="n">
        <v>542.67</v>
      </c>
      <c r="I47" s="96" t="n">
        <v>411.18</v>
      </c>
      <c r="J47" s="96" t="n">
        <v>486.58</v>
      </c>
      <c r="K47" s="53" t="n">
        <f aca="false">AVERAGE(D47:J47)</f>
        <v>314.91</v>
      </c>
      <c r="L47" s="53" t="n">
        <f aca="false">J47-D47</f>
        <v>351.23</v>
      </c>
    </row>
    <row r="48" customFormat="false" ht="15" hidden="false" customHeight="false" outlineLevel="0" collapsed="false">
      <c r="A48" s="16" t="s">
        <v>565</v>
      </c>
      <c r="B48" s="87" t="s">
        <v>566</v>
      </c>
      <c r="C48" s="17" t="s">
        <v>493</v>
      </c>
      <c r="D48" s="96" t="n">
        <v>754.67</v>
      </c>
      <c r="E48" s="96" t="n">
        <v>778.98</v>
      </c>
      <c r="F48" s="96" t="n">
        <v>825.67</v>
      </c>
      <c r="G48" s="96" t="n">
        <v>997.77</v>
      </c>
      <c r="H48" s="96" t="n">
        <v>987.99</v>
      </c>
      <c r="I48" s="96" t="n">
        <v>1304.16</v>
      </c>
      <c r="J48" s="96" t="n">
        <v>1459.36</v>
      </c>
      <c r="K48" s="53" t="n">
        <f aca="false">AVERAGE(D48:J48)</f>
        <v>1015.51428571429</v>
      </c>
      <c r="L48" s="53" t="n">
        <f aca="false">J48-D48</f>
        <v>704.69</v>
      </c>
    </row>
    <row r="49" customFormat="false" ht="15" hidden="false" customHeight="false" outlineLevel="0" collapsed="false">
      <c r="A49" s="12" t="s">
        <v>567</v>
      </c>
      <c r="B49" s="87" t="s">
        <v>568</v>
      </c>
      <c r="C49" s="17" t="s">
        <v>493</v>
      </c>
      <c r="D49" s="90" t="n">
        <f aca="false">D45+D46+D47+D48</f>
        <v>1683.32</v>
      </c>
      <c r="E49" s="90" t="n">
        <f aca="false">E45+E46+E47+E48</f>
        <v>1738.81</v>
      </c>
      <c r="F49" s="90" t="n">
        <f aca="false">F45+F46+F47+F48</f>
        <v>1827.03</v>
      </c>
      <c r="G49" s="90" t="n">
        <f aca="false">G45+G46+G47+G48</f>
        <v>2100.91</v>
      </c>
      <c r="H49" s="90" t="n">
        <f aca="false">H45+H46+H47+H48</f>
        <v>2501.4</v>
      </c>
      <c r="I49" s="90" t="n">
        <f aca="false">I45+I46+I47+I48</f>
        <v>2934.03</v>
      </c>
      <c r="J49" s="90" t="n">
        <f aca="false">J45+J46+J47+J48</f>
        <v>3481.86</v>
      </c>
      <c r="K49" s="91" t="n">
        <f aca="false">AVERAGE(D49:J49)</f>
        <v>2323.90857142857</v>
      </c>
      <c r="L49" s="91" t="n">
        <f aca="false">J49-D49</f>
        <v>1798.54</v>
      </c>
    </row>
    <row r="50" customFormat="false" ht="15" hidden="false" customHeight="false" outlineLevel="0" collapsed="false">
      <c r="A50" s="16" t="s">
        <v>569</v>
      </c>
      <c r="B50" s="87" t="s">
        <v>570</v>
      </c>
      <c r="C50" s="17" t="s">
        <v>493</v>
      </c>
      <c r="D50" s="96" t="n">
        <v>487.3</v>
      </c>
      <c r="E50" s="96" t="n">
        <v>511.04</v>
      </c>
      <c r="F50" s="96" t="n">
        <v>508.25</v>
      </c>
      <c r="G50" s="96" t="n">
        <v>560.91</v>
      </c>
      <c r="H50" s="96" t="n">
        <v>600.63</v>
      </c>
      <c r="I50" s="96" t="n">
        <v>721.93</v>
      </c>
      <c r="J50" s="96" t="n">
        <v>816.36</v>
      </c>
      <c r="K50" s="53" t="n">
        <f aca="false">AVERAGE(D50:J50)</f>
        <v>600.917142857143</v>
      </c>
      <c r="L50" s="53" t="n">
        <f aca="false">J50-D50</f>
        <v>329.06</v>
      </c>
    </row>
    <row r="51" customFormat="false" ht="15" hidden="false" customHeight="false" outlineLevel="0" collapsed="false">
      <c r="A51" s="16" t="s">
        <v>571</v>
      </c>
      <c r="B51" s="87" t="s">
        <v>570</v>
      </c>
      <c r="C51" s="17" t="s">
        <v>493</v>
      </c>
      <c r="D51" s="96" t="n">
        <v>6.58</v>
      </c>
      <c r="E51" s="96" t="n">
        <v>7.12</v>
      </c>
      <c r="F51" s="96" t="n">
        <v>8.46</v>
      </c>
      <c r="G51" s="96" t="n">
        <v>5</v>
      </c>
      <c r="H51" s="96" t="n">
        <v>10.55</v>
      </c>
      <c r="I51" s="96" t="n">
        <v>6.55</v>
      </c>
      <c r="J51" s="96" t="n">
        <v>14.78</v>
      </c>
      <c r="K51" s="53" t="n">
        <f aca="false">AVERAGE(D51:J51)</f>
        <v>8.43428571428571</v>
      </c>
      <c r="L51" s="53" t="n">
        <f aca="false">J51-D51</f>
        <v>8.2</v>
      </c>
    </row>
    <row r="52" customFormat="false" ht="15" hidden="false" customHeight="false" outlineLevel="0" collapsed="false">
      <c r="A52" s="16" t="s">
        <v>572</v>
      </c>
      <c r="B52" s="87" t="s">
        <v>570</v>
      </c>
      <c r="C52" s="17" t="s">
        <v>493</v>
      </c>
      <c r="D52" s="96" t="n">
        <v>25.92</v>
      </c>
      <c r="E52" s="96" t="n">
        <v>39.51</v>
      </c>
      <c r="F52" s="96" t="n">
        <v>74.45</v>
      </c>
      <c r="G52" s="96" t="n">
        <v>184.58</v>
      </c>
      <c r="H52" s="96" t="n">
        <v>95.6</v>
      </c>
      <c r="I52" s="96" t="n">
        <v>84.9</v>
      </c>
      <c r="J52" s="96" t="n">
        <v>113.25</v>
      </c>
      <c r="K52" s="53" t="n">
        <f aca="false">AVERAGE(D52:J52)</f>
        <v>88.3157142857143</v>
      </c>
      <c r="L52" s="53" t="n">
        <f aca="false">J52-D52</f>
        <v>87.33</v>
      </c>
    </row>
    <row r="53" customFormat="false" ht="15" hidden="false" customHeight="false" outlineLevel="0" collapsed="false">
      <c r="A53" s="16" t="s">
        <v>573</v>
      </c>
      <c r="B53" s="87" t="s">
        <v>574</v>
      </c>
      <c r="C53" s="17" t="s">
        <v>493</v>
      </c>
      <c r="D53" s="92" t="n">
        <f aca="false">D49-D43</f>
        <v>0</v>
      </c>
      <c r="E53" s="92" t="n">
        <f aca="false">E49-E43</f>
        <v>0</v>
      </c>
      <c r="F53" s="92" t="n">
        <f aca="false">F49-F43</f>
        <v>0</v>
      </c>
      <c r="G53" s="92" t="n">
        <f aca="false">G49-G43</f>
        <v>0</v>
      </c>
      <c r="H53" s="92" t="n">
        <f aca="false">H49-H43</f>
        <v>0</v>
      </c>
      <c r="I53" s="92" t="n">
        <f aca="false">I49-I43</f>
        <v>0</v>
      </c>
      <c r="J53" s="92" t="n">
        <f aca="false">J49-J43</f>
        <v>0</v>
      </c>
      <c r="K53" s="53"/>
      <c r="L53" s="53"/>
    </row>
    <row r="55" customFormat="false" ht="19.5" hidden="false" customHeight="true" outlineLevel="0" collapsed="false">
      <c r="A55" s="85" t="s">
        <v>575</v>
      </c>
      <c r="B55" s="86"/>
      <c r="C55" s="86"/>
      <c r="D55" s="86"/>
      <c r="E55" s="86"/>
      <c r="F55" s="86"/>
      <c r="G55" s="86"/>
      <c r="H55" s="86"/>
      <c r="I55" s="86"/>
      <c r="J55" s="86"/>
      <c r="K55" s="86"/>
      <c r="L55" s="86"/>
    </row>
    <row r="56" customFormat="false" ht="16.5" hidden="false" customHeight="true" outlineLevel="0" collapsed="false">
      <c r="A56" s="88" t="s">
        <v>576</v>
      </c>
      <c r="B56" s="89"/>
      <c r="C56" s="89"/>
      <c r="D56" s="89"/>
      <c r="E56" s="89"/>
      <c r="F56" s="89"/>
      <c r="G56" s="89"/>
      <c r="H56" s="89"/>
      <c r="I56" s="89"/>
      <c r="J56" s="89"/>
      <c r="K56" s="89"/>
      <c r="L56" s="89"/>
    </row>
    <row r="57" customFormat="false" ht="15" hidden="false" customHeight="false" outlineLevel="0" collapsed="false">
      <c r="A57" s="16" t="s">
        <v>527</v>
      </c>
      <c r="B57" s="87" t="s">
        <v>577</v>
      </c>
      <c r="C57" s="17" t="s">
        <v>493</v>
      </c>
      <c r="D57" s="69" t="n">
        <f aca="false">D26</f>
        <v>159.11</v>
      </c>
      <c r="E57" s="69" t="n">
        <f aca="false">E26</f>
        <v>174.25</v>
      </c>
      <c r="F57" s="69" t="n">
        <f aca="false">F26</f>
        <v>330.47</v>
      </c>
      <c r="G57" s="69" t="n">
        <f aca="false">G26</f>
        <v>364.03</v>
      </c>
      <c r="H57" s="69" t="n">
        <f aca="false">H26</f>
        <v>388.09</v>
      </c>
      <c r="I57" s="69" t="n">
        <f aca="false">I26</f>
        <v>459.39</v>
      </c>
      <c r="J57" s="69" t="n">
        <f aca="false">J26</f>
        <v>499.890000000001</v>
      </c>
      <c r="K57" s="53" t="n">
        <f aca="false">AVERAGE(D57:J57)</f>
        <v>339.318571428572</v>
      </c>
      <c r="L57" s="53" t="n">
        <f aca="false">J57-D57</f>
        <v>340.780000000001</v>
      </c>
    </row>
    <row r="58" customFormat="false" ht="15" hidden="false" customHeight="false" outlineLevel="0" collapsed="false">
      <c r="A58" s="16" t="s">
        <v>578</v>
      </c>
      <c r="B58" s="87" t="s">
        <v>579</v>
      </c>
      <c r="C58" s="17" t="s">
        <v>493</v>
      </c>
      <c r="D58" s="69" t="n">
        <f aca="false">D22</f>
        <v>82.49</v>
      </c>
      <c r="E58" s="69" t="n">
        <f aca="false">E22</f>
        <v>92.81</v>
      </c>
      <c r="F58" s="69" t="n">
        <f aca="false">F22</f>
        <v>113.02</v>
      </c>
      <c r="G58" s="69" t="n">
        <f aca="false">G22</f>
        <v>121.41</v>
      </c>
      <c r="H58" s="69" t="n">
        <f aca="false">H22</f>
        <v>128.45</v>
      </c>
      <c r="I58" s="69" t="n">
        <f aca="false">I22</f>
        <v>117.83</v>
      </c>
      <c r="J58" s="69" t="n">
        <f aca="false">J22</f>
        <v>127.3</v>
      </c>
      <c r="K58" s="53" t="n">
        <f aca="false">AVERAGE(D58:J58)</f>
        <v>111.901428571429</v>
      </c>
      <c r="L58" s="53" t="n">
        <f aca="false">J58-D58</f>
        <v>44.81</v>
      </c>
    </row>
    <row r="59" customFormat="false" ht="15" hidden="false" customHeight="false" outlineLevel="0" collapsed="false">
      <c r="A59" s="16" t="s">
        <v>580</v>
      </c>
      <c r="B59" s="87" t="s">
        <v>581</v>
      </c>
      <c r="C59" s="17" t="s">
        <v>493</v>
      </c>
      <c r="D59" s="69" t="n">
        <f aca="false">D25</f>
        <v>34.32</v>
      </c>
      <c r="E59" s="69" t="n">
        <f aca="false">E25</f>
        <v>26.7</v>
      </c>
      <c r="F59" s="69" t="n">
        <f aca="false">F25</f>
        <v>12.83</v>
      </c>
      <c r="G59" s="69" t="n">
        <f aca="false">G25</f>
        <v>9.82</v>
      </c>
      <c r="H59" s="69" t="n">
        <f aca="false">H25</f>
        <v>13.27</v>
      </c>
      <c r="I59" s="69" t="n">
        <f aca="false">I25</f>
        <v>20.16</v>
      </c>
      <c r="J59" s="69" t="n">
        <f aca="false">J25</f>
        <v>22.79</v>
      </c>
      <c r="K59" s="53" t="n">
        <f aca="false">AVERAGE(D59:J59)</f>
        <v>19.9842857142857</v>
      </c>
      <c r="L59" s="53" t="n">
        <f aca="false">J59-D59</f>
        <v>-11.53</v>
      </c>
    </row>
    <row r="60" customFormat="false" ht="15" hidden="false" customHeight="false" outlineLevel="0" collapsed="false">
      <c r="A60" s="16" t="s">
        <v>582</v>
      </c>
      <c r="B60" s="87" t="s">
        <v>583</v>
      </c>
      <c r="C60" s="17" t="s">
        <v>493</v>
      </c>
      <c r="D60" s="69" t="n">
        <f aca="false">-D24</f>
        <v>-34.48</v>
      </c>
      <c r="E60" s="69" t="n">
        <f aca="false">-E24</f>
        <v>-30.74</v>
      </c>
      <c r="F60" s="69" t="n">
        <f aca="false">-F24</f>
        <v>-44.49</v>
      </c>
      <c r="G60" s="69" t="n">
        <f aca="false">-G24</f>
        <v>-69.89</v>
      </c>
      <c r="H60" s="69" t="n">
        <f aca="false">-H24</f>
        <v>-118.58</v>
      </c>
      <c r="I60" s="69" t="n">
        <f aca="false">-I24</f>
        <v>-134.82</v>
      </c>
      <c r="J60" s="69" t="n">
        <f aca="false">-J24</f>
        <v>-130.98</v>
      </c>
      <c r="K60" s="53" t="n">
        <f aca="false">AVERAGE(D60:J60)</f>
        <v>-80.5685714285714</v>
      </c>
      <c r="L60" s="53" t="n">
        <f aca="false">J60-D60</f>
        <v>-96.5</v>
      </c>
    </row>
    <row r="61" customFormat="false" ht="15" hidden="false" customHeight="false" outlineLevel="0" collapsed="false">
      <c r="A61" s="12" t="s">
        <v>584</v>
      </c>
      <c r="B61" s="87" t="s">
        <v>585</v>
      </c>
      <c r="C61" s="17" t="s">
        <v>493</v>
      </c>
      <c r="D61" s="29" t="n">
        <f aca="false">D57+D58+D59+D60</f>
        <v>241.44</v>
      </c>
      <c r="E61" s="29" t="n">
        <f aca="false">E57+E58+E59+E60</f>
        <v>263.02</v>
      </c>
      <c r="F61" s="29" t="n">
        <f aca="false">F57+F58+F59+F60</f>
        <v>411.83</v>
      </c>
      <c r="G61" s="29" t="n">
        <f aca="false">G57+G58+G59+G60</f>
        <v>425.37</v>
      </c>
      <c r="H61" s="29" t="n">
        <f aca="false">H57+H58+H59+H60</f>
        <v>411.23</v>
      </c>
      <c r="I61" s="29" t="n">
        <f aca="false">I57+I58+I59+I60</f>
        <v>462.56</v>
      </c>
      <c r="J61" s="29" t="n">
        <f aca="false">J57+J58+J59+J60</f>
        <v>519.000000000001</v>
      </c>
      <c r="K61" s="29" t="n">
        <f aca="false">AVERAGE(D61:J61)</f>
        <v>390.635714285714</v>
      </c>
      <c r="L61" s="29" t="n">
        <f aca="false">J61-D61</f>
        <v>277.560000000001</v>
      </c>
    </row>
    <row r="62" customFormat="false" ht="15" hidden="false" customHeight="false" outlineLevel="0" collapsed="false">
      <c r="A62" s="16" t="s">
        <v>586</v>
      </c>
      <c r="B62" s="87" t="s">
        <v>587</v>
      </c>
      <c r="C62" s="17" t="s">
        <v>493</v>
      </c>
      <c r="D62" s="69" t="n">
        <f aca="false">D63-D61</f>
        <v>1.37999999999997</v>
      </c>
      <c r="E62" s="69" t="n">
        <f aca="false">E63-E61</f>
        <v>41.7000000000005</v>
      </c>
      <c r="F62" s="69" t="n">
        <f aca="false">F63-F61</f>
        <v>-43.8199999999999</v>
      </c>
      <c r="G62" s="69" t="n">
        <f aca="false">G63-G61</f>
        <v>-64.7300000000004</v>
      </c>
      <c r="H62" s="69" t="n">
        <f aca="false">H63-H61</f>
        <v>-111.92</v>
      </c>
      <c r="I62" s="69" t="n">
        <f aca="false">I63-I61</f>
        <v>-103.37</v>
      </c>
      <c r="J62" s="69" t="n">
        <f aca="false">J63-J61</f>
        <v>-74.6100000000008</v>
      </c>
      <c r="K62" s="53" t="n">
        <f aca="false">AVERAGE(D62:J62)</f>
        <v>-50.7671428571429</v>
      </c>
      <c r="L62" s="53" t="n">
        <f aca="false">J62-D62</f>
        <v>-75.9900000000008</v>
      </c>
    </row>
    <row r="63" customFormat="false" ht="15" hidden="false" customHeight="false" outlineLevel="0" collapsed="false">
      <c r="A63" s="16" t="s">
        <v>588</v>
      </c>
      <c r="B63" s="87" t="s">
        <v>589</v>
      </c>
      <c r="C63" s="17" t="s">
        <v>493</v>
      </c>
      <c r="D63" s="96" t="n">
        <v>242.82</v>
      </c>
      <c r="E63" s="96" t="n">
        <v>304.72</v>
      </c>
      <c r="F63" s="96" t="n">
        <v>368.01</v>
      </c>
      <c r="G63" s="96" t="n">
        <v>360.64</v>
      </c>
      <c r="H63" s="96" t="n">
        <v>299.31</v>
      </c>
      <c r="I63" s="96" t="n">
        <v>359.19</v>
      </c>
      <c r="J63" s="96" t="n">
        <v>444.39</v>
      </c>
      <c r="K63" s="53" t="n">
        <f aca="false">AVERAGE(D63:J63)</f>
        <v>339.868571428571</v>
      </c>
      <c r="L63" s="53" t="n">
        <f aca="false">J63-D63</f>
        <v>201.57</v>
      </c>
    </row>
    <row r="64" customFormat="false" ht="16.5" hidden="false" customHeight="true" outlineLevel="0" collapsed="false">
      <c r="A64" s="88" t="s">
        <v>590</v>
      </c>
      <c r="B64" s="89"/>
      <c r="C64" s="89"/>
      <c r="D64" s="89"/>
      <c r="E64" s="89"/>
      <c r="F64" s="89"/>
      <c r="G64" s="89"/>
      <c r="H64" s="89"/>
      <c r="I64" s="89"/>
      <c r="J64" s="89"/>
      <c r="K64" s="89"/>
      <c r="L64" s="89"/>
    </row>
    <row r="65" customFormat="false" ht="15" hidden="false" customHeight="false" outlineLevel="0" collapsed="false">
      <c r="A65" s="16" t="s">
        <v>591</v>
      </c>
      <c r="B65" s="87" t="s">
        <v>592</v>
      </c>
      <c r="C65" s="17" t="s">
        <v>493</v>
      </c>
      <c r="D65" s="96" t="n">
        <v>-135.32</v>
      </c>
      <c r="E65" s="96" t="n">
        <v>-107.48</v>
      </c>
      <c r="F65" s="96" t="n">
        <v>-76.22</v>
      </c>
      <c r="G65" s="96" t="n">
        <v>-193.13</v>
      </c>
      <c r="H65" s="96" t="n">
        <v>-403.82</v>
      </c>
      <c r="I65" s="96" t="n">
        <v>-99.29</v>
      </c>
      <c r="J65" s="96" t="n">
        <v>-367.07</v>
      </c>
      <c r="K65" s="53" t="n">
        <f aca="false">AVERAGE(D65:J65)</f>
        <v>-197.475714285714</v>
      </c>
      <c r="L65" s="53" t="n">
        <f aca="false">J65-D65</f>
        <v>-231.75</v>
      </c>
    </row>
    <row r="66" customFormat="false" ht="16.5" hidden="false" customHeight="true" outlineLevel="0" collapsed="false">
      <c r="A66" s="88" t="s">
        <v>593</v>
      </c>
      <c r="B66" s="89"/>
      <c r="C66" s="89"/>
      <c r="D66" s="89"/>
      <c r="E66" s="89"/>
      <c r="F66" s="89"/>
      <c r="G66" s="89"/>
      <c r="H66" s="89"/>
      <c r="I66" s="89"/>
      <c r="J66" s="89"/>
      <c r="K66" s="89"/>
      <c r="L66" s="89"/>
    </row>
    <row r="67" customFormat="false" ht="15" hidden="false" customHeight="false" outlineLevel="0" collapsed="false">
      <c r="A67" s="16" t="s">
        <v>594</v>
      </c>
      <c r="B67" s="87" t="s">
        <v>595</v>
      </c>
      <c r="C67" s="17" t="s">
        <v>493</v>
      </c>
      <c r="D67" s="69" t="n">
        <f aca="false">-D25</f>
        <v>-34.32</v>
      </c>
      <c r="E67" s="69" t="n">
        <f aca="false">-E25</f>
        <v>-26.7</v>
      </c>
      <c r="F67" s="69" t="n">
        <f aca="false">-F25</f>
        <v>-12.83</v>
      </c>
      <c r="G67" s="69" t="n">
        <f aca="false">-G25</f>
        <v>-9.82</v>
      </c>
      <c r="H67" s="69" t="n">
        <f aca="false">-H25</f>
        <v>-13.27</v>
      </c>
      <c r="I67" s="69" t="n">
        <f aca="false">-I25</f>
        <v>-20.16</v>
      </c>
      <c r="J67" s="69" t="n">
        <f aca="false">-J25</f>
        <v>-22.79</v>
      </c>
      <c r="K67" s="53" t="n">
        <f aca="false">AVERAGE(D67:J67)</f>
        <v>-19.9842857142857</v>
      </c>
      <c r="L67" s="53" t="n">
        <f aca="false">J67-D67</f>
        <v>11.53</v>
      </c>
    </row>
    <row r="68" customFormat="false" ht="15" hidden="false" customHeight="false" outlineLevel="0" collapsed="false">
      <c r="A68" s="16" t="s">
        <v>596</v>
      </c>
      <c r="B68" s="87" t="s">
        <v>597</v>
      </c>
      <c r="C68" s="17" t="s">
        <v>493</v>
      </c>
      <c r="D68" s="69" t="n">
        <f aca="false">-D31</f>
        <v>-15.37</v>
      </c>
      <c r="E68" s="69" t="n">
        <f aca="false">-E31</f>
        <v>-19.28</v>
      </c>
      <c r="F68" s="69" t="n">
        <f aca="false">-F31</f>
        <v>-30.94</v>
      </c>
      <c r="G68" s="69" t="n">
        <f aca="false">-G31</f>
        <v>-54.28</v>
      </c>
      <c r="H68" s="69" t="n">
        <f aca="false">-H31</f>
        <v>-54.42</v>
      </c>
      <c r="I68" s="69" t="n">
        <f aca="false">-I31</f>
        <v>-61.28</v>
      </c>
      <c r="J68" s="69" t="n">
        <f aca="false">-J31</f>
        <v>-76.75</v>
      </c>
      <c r="K68" s="53" t="n">
        <f aca="false">AVERAGE(D68:J68)</f>
        <v>-44.6171428571429</v>
      </c>
      <c r="L68" s="53" t="n">
        <f aca="false">J68-D68</f>
        <v>-61.38</v>
      </c>
    </row>
    <row r="69" customFormat="false" ht="15" hidden="false" customHeight="false" outlineLevel="0" collapsed="false">
      <c r="A69" s="16" t="s">
        <v>598</v>
      </c>
      <c r="B69" s="87" t="s">
        <v>599</v>
      </c>
      <c r="C69" s="17" t="s">
        <v>493</v>
      </c>
      <c r="D69" s="69" t="n">
        <f aca="false">D70-D67-D68</f>
        <v>-54.71</v>
      </c>
      <c r="E69" s="69" t="n">
        <f aca="false">E70-E67-E68</f>
        <v>-130.37</v>
      </c>
      <c r="F69" s="69" t="n">
        <f aca="false">F70-F67-F68</f>
        <v>-214.18</v>
      </c>
      <c r="G69" s="69" t="n">
        <f aca="false">G70-G67-G68</f>
        <v>-1.37</v>
      </c>
      <c r="H69" s="69" t="n">
        <f aca="false">H70-H67-H68</f>
        <v>85.33</v>
      </c>
      <c r="I69" s="69" t="n">
        <f aca="false">I70-I67-I68</f>
        <v>-210.52</v>
      </c>
      <c r="J69" s="69" t="n">
        <f aca="false">J70-J67-J68</f>
        <v>64.45</v>
      </c>
      <c r="K69" s="53" t="n">
        <f aca="false">AVERAGE(D69:J69)</f>
        <v>-65.91</v>
      </c>
      <c r="L69" s="53" t="n">
        <f aca="false">J69-D69</f>
        <v>119.16</v>
      </c>
    </row>
    <row r="70" customFormat="false" ht="15" hidden="false" customHeight="false" outlineLevel="0" collapsed="false">
      <c r="A70" s="16" t="s">
        <v>600</v>
      </c>
      <c r="B70" s="87" t="s">
        <v>601</v>
      </c>
      <c r="C70" s="17" t="s">
        <v>493</v>
      </c>
      <c r="D70" s="96" t="n">
        <v>-104.4</v>
      </c>
      <c r="E70" s="96" t="n">
        <v>-176.35</v>
      </c>
      <c r="F70" s="96" t="n">
        <v>-257.95</v>
      </c>
      <c r="G70" s="96" t="n">
        <v>-65.47</v>
      </c>
      <c r="H70" s="96" t="n">
        <v>17.64</v>
      </c>
      <c r="I70" s="96" t="n">
        <v>-291.96</v>
      </c>
      <c r="J70" s="96" t="n">
        <v>-35.09</v>
      </c>
      <c r="K70" s="53" t="n">
        <f aca="false">AVERAGE(D70:J70)</f>
        <v>-130.511428571429</v>
      </c>
      <c r="L70" s="53" t="n">
        <f aca="false">J70-D70</f>
        <v>69.31</v>
      </c>
    </row>
    <row r="71" customFormat="false" ht="15" hidden="false" customHeight="false" outlineLevel="0" collapsed="false">
      <c r="A71" s="12" t="s">
        <v>602</v>
      </c>
      <c r="B71" s="87" t="s">
        <v>603</v>
      </c>
      <c r="C71" s="17" t="s">
        <v>493</v>
      </c>
      <c r="D71" s="90" t="n">
        <f aca="false">D63+D65+D70</f>
        <v>3.09999999999999</v>
      </c>
      <c r="E71" s="90" t="n">
        <f aca="false">E63+E65+E70</f>
        <v>20.89</v>
      </c>
      <c r="F71" s="90" t="n">
        <f aca="false">F63+F65+F70</f>
        <v>33.84</v>
      </c>
      <c r="G71" s="90" t="n">
        <f aca="false">G63+G65+G70</f>
        <v>102.04</v>
      </c>
      <c r="H71" s="90" t="n">
        <f aca="false">H63+H65+H70</f>
        <v>-86.87</v>
      </c>
      <c r="I71" s="90" t="n">
        <f aca="false">I63+I65+I70</f>
        <v>-32.06</v>
      </c>
      <c r="J71" s="90" t="n">
        <f aca="false">J63+J65+J70</f>
        <v>42.23</v>
      </c>
      <c r="K71" s="91" t="n">
        <f aca="false">AVERAGE(D71:J71)</f>
        <v>11.8814285714286</v>
      </c>
      <c r="L71" s="91" t="n">
        <f aca="false">J71-D71</f>
        <v>39.13</v>
      </c>
    </row>
    <row r="72" customFormat="false" ht="15" hidden="false" customHeight="false" outlineLevel="0" collapsed="false">
      <c r="A72" s="12" t="s">
        <v>604</v>
      </c>
      <c r="B72" s="87" t="s">
        <v>605</v>
      </c>
      <c r="C72" s="17" t="s">
        <v>493</v>
      </c>
      <c r="D72" s="29" t="n">
        <f aca="false">D63+D65</f>
        <v>107.5</v>
      </c>
      <c r="E72" s="29" t="n">
        <f aca="false">E63+E65</f>
        <v>197.24</v>
      </c>
      <c r="F72" s="29" t="n">
        <f aca="false">F63+F65</f>
        <v>291.79</v>
      </c>
      <c r="G72" s="29" t="n">
        <f aca="false">G63+G65</f>
        <v>167.51</v>
      </c>
      <c r="H72" s="29" t="n">
        <f aca="false">H63+H65</f>
        <v>-104.51</v>
      </c>
      <c r="I72" s="29" t="n">
        <f aca="false">I63+I65</f>
        <v>259.9</v>
      </c>
      <c r="J72" s="29" t="n">
        <f aca="false">J63+J65</f>
        <v>77.32</v>
      </c>
      <c r="K72" s="29" t="n">
        <f aca="false">AVERAGE(D72:J72)</f>
        <v>142.392857142857</v>
      </c>
      <c r="L72" s="29" t="n">
        <f aca="false">J72-D72</f>
        <v>-30.18</v>
      </c>
    </row>
    <row r="73" customFormat="false" ht="15" hidden="false" customHeight="false" outlineLevel="0" collapsed="false">
      <c r="A73" s="16" t="s">
        <v>606</v>
      </c>
      <c r="B73" s="87" t="s">
        <v>607</v>
      </c>
      <c r="C73" s="17" t="s">
        <v>493</v>
      </c>
      <c r="D73" s="69" t="n">
        <f aca="false">D52</f>
        <v>25.92</v>
      </c>
      <c r="E73" s="69" t="n">
        <f aca="false">E52</f>
        <v>39.51</v>
      </c>
      <c r="F73" s="69" t="n">
        <f aca="false">F52</f>
        <v>74.45</v>
      </c>
      <c r="G73" s="69" t="n">
        <f aca="false">G52</f>
        <v>184.58</v>
      </c>
      <c r="H73" s="69" t="n">
        <f aca="false">H52</f>
        <v>95.6</v>
      </c>
      <c r="I73" s="69" t="n">
        <f aca="false">I52</f>
        <v>84.9</v>
      </c>
      <c r="J73" s="69" t="n">
        <f aca="false">J52</f>
        <v>113.25</v>
      </c>
      <c r="K73" s="53" t="n">
        <f aca="false">AVERAGE(D73:J73)</f>
        <v>88.3157142857143</v>
      </c>
      <c r="L73" s="53" t="n">
        <f aca="false">J73-D73</f>
        <v>87.33</v>
      </c>
    </row>
    <row r="74" customFormat="false" ht="16.5" hidden="false" customHeight="true" outlineLevel="0" collapsed="false">
      <c r="A74" s="88" t="s">
        <v>608</v>
      </c>
      <c r="B74" s="89"/>
      <c r="C74" s="89"/>
      <c r="D74" s="89"/>
      <c r="E74" s="89"/>
      <c r="F74" s="89"/>
      <c r="G74" s="89"/>
      <c r="H74" s="89"/>
      <c r="I74" s="89"/>
      <c r="J74" s="89"/>
      <c r="K74" s="89"/>
      <c r="L74" s="89"/>
    </row>
    <row r="75" customFormat="false" ht="15" hidden="false" customHeight="false" outlineLevel="0" collapsed="false">
      <c r="A75" s="16" t="s">
        <v>609</v>
      </c>
      <c r="B75" s="87" t="s">
        <v>610</v>
      </c>
      <c r="C75" s="17" t="s">
        <v>493</v>
      </c>
      <c r="D75" s="69" t="n">
        <f aca="false">-D65</f>
        <v>135.32</v>
      </c>
      <c r="E75" s="69" t="n">
        <f aca="false">-E65</f>
        <v>107.48</v>
      </c>
      <c r="F75" s="69" t="n">
        <f aca="false">-F65</f>
        <v>76.22</v>
      </c>
      <c r="G75" s="69" t="n">
        <f aca="false">-G65</f>
        <v>193.13</v>
      </c>
      <c r="H75" s="69" t="n">
        <f aca="false">-H65</f>
        <v>403.82</v>
      </c>
      <c r="I75" s="69" t="n">
        <f aca="false">-I65</f>
        <v>99.29</v>
      </c>
      <c r="J75" s="69" t="n">
        <f aca="false">-J65</f>
        <v>367.07</v>
      </c>
      <c r="K75" s="53" t="n">
        <f aca="false">AVERAGE(D75:J75)</f>
        <v>197.475714285714</v>
      </c>
      <c r="L75" s="53" t="n">
        <f aca="false">J75-D75</f>
        <v>231.75</v>
      </c>
    </row>
    <row r="76" customFormat="false" ht="15" hidden="false" customHeight="false" outlineLevel="0" collapsed="false">
      <c r="A76" s="16" t="s">
        <v>611</v>
      </c>
      <c r="B76" s="87" t="s">
        <v>798</v>
      </c>
      <c r="C76" s="17" t="s">
        <v>493</v>
      </c>
      <c r="D76" s="69" t="n">
        <f aca="false">MAX(-D69,0)</f>
        <v>54.71</v>
      </c>
      <c r="E76" s="69" t="n">
        <f aca="false">MAX(-E69,0)</f>
        <v>130.37</v>
      </c>
      <c r="F76" s="69" t="n">
        <f aca="false">MAX(-F69,0)</f>
        <v>214.18</v>
      </c>
      <c r="G76" s="69" t="n">
        <f aca="false">MAX(-G69,0)</f>
        <v>1.37</v>
      </c>
      <c r="H76" s="69" t="n">
        <f aca="false">MAX(-H69,0)</f>
        <v>0</v>
      </c>
      <c r="I76" s="69" t="n">
        <f aca="false">MAX(-I69,0)</f>
        <v>210.52</v>
      </c>
      <c r="J76" s="69" t="n">
        <f aca="false">MAX(-J69,0)</f>
        <v>0</v>
      </c>
      <c r="K76" s="53" t="n">
        <f aca="false">AVERAGE(D76:J76)</f>
        <v>87.3071428571429</v>
      </c>
      <c r="L76" s="53" t="n">
        <f aca="false">J76-D76</f>
        <v>-54.71</v>
      </c>
    </row>
    <row r="77" customFormat="false" ht="15" hidden="false" customHeight="false" outlineLevel="0" collapsed="false">
      <c r="A77" s="16" t="s">
        <v>613</v>
      </c>
      <c r="B77" s="87" t="s">
        <v>614</v>
      </c>
      <c r="C77" s="17" t="s">
        <v>615</v>
      </c>
      <c r="D77" s="71" t="n">
        <f aca="false">IF(D26&gt;0,MIN(MAX(D27/D26,0),Setup!$C$11),0)</f>
        <v>0.100056564640815</v>
      </c>
      <c r="E77" s="71" t="n">
        <f aca="false">IF(E26&gt;0,MIN(MAX(E27/E26,0),Setup!$C$11),0)</f>
        <v>0.136757532281206</v>
      </c>
      <c r="F77" s="71" t="n">
        <f aca="false">IF(F26&gt;0,MIN(MAX(F27/F26,0),Setup!$C$11),0)</f>
        <v>0.113928647078403</v>
      </c>
      <c r="G77" s="71" t="n">
        <f aca="false">IF(G26&gt;0,MIN(MAX(G27/G26,0),Setup!$C$11),0)</f>
        <v>0.119330824382606</v>
      </c>
      <c r="H77" s="71" t="n">
        <f aca="false">IF(H26&gt;0,MIN(MAX(H27/H26,0),Setup!$C$11),0)</f>
        <v>0.0866551573088717</v>
      </c>
      <c r="I77" s="71" t="n">
        <f aca="false">IF(I26&gt;0,MIN(MAX(I27/I26,0),Setup!$C$11),0)</f>
        <v>0.0944513376433967</v>
      </c>
      <c r="J77" s="71" t="n">
        <f aca="false">IF(J26&gt;0,MIN(MAX(J27/J26,0),Setup!$C$11),0)</f>
        <v>0.0800576126747883</v>
      </c>
      <c r="K77" s="62" t="n">
        <f aca="false">AVERAGE(D77:J77)</f>
        <v>0.104462525144298</v>
      </c>
      <c r="L77" s="62" t="n">
        <f aca="false">J77-D77</f>
        <v>-0.0199989519660262</v>
      </c>
    </row>
    <row r="79" customFormat="false" ht="19.5" hidden="false" customHeight="true" outlineLevel="0" collapsed="false">
      <c r="A79" s="85" t="s">
        <v>799</v>
      </c>
      <c r="B79" s="86"/>
      <c r="C79" s="86"/>
      <c r="D79" s="86"/>
      <c r="E79" s="86"/>
      <c r="F79" s="86"/>
      <c r="G79" s="86"/>
      <c r="H79" s="86"/>
      <c r="I79" s="86"/>
      <c r="J79" s="86"/>
      <c r="K79" s="86"/>
      <c r="L79" s="86"/>
    </row>
    <row r="80" customFormat="false" ht="15" hidden="false" customHeight="false" outlineLevel="0" collapsed="false">
      <c r="A80" s="16" t="s">
        <v>800</v>
      </c>
      <c r="B80" s="87" t="s">
        <v>801</v>
      </c>
      <c r="C80" s="17" t="s">
        <v>757</v>
      </c>
      <c r="D80" s="97" t="n">
        <v>188.05</v>
      </c>
      <c r="E80" s="97" t="n">
        <v>256.15</v>
      </c>
      <c r="F80" s="97" t="n">
        <v>599.1</v>
      </c>
      <c r="G80" s="97" t="n">
        <v>626.85</v>
      </c>
      <c r="H80" s="97" t="n">
        <v>811.6</v>
      </c>
      <c r="I80" s="97" t="n">
        <v>1102.5</v>
      </c>
      <c r="J80" s="97" t="n">
        <v>923</v>
      </c>
      <c r="K80" s="66" t="n">
        <f aca="false">AVERAGE(D80:J80)</f>
        <v>643.892857142857</v>
      </c>
      <c r="L80" s="66" t="n">
        <f aca="false">J80-D80</f>
        <v>734.95</v>
      </c>
    </row>
    <row r="81" customFormat="false" ht="15" hidden="false" customHeight="false" outlineLevel="0" collapsed="false">
      <c r="A81" s="16" t="s">
        <v>802</v>
      </c>
      <c r="B81" s="87" t="s">
        <v>803</v>
      </c>
      <c r="C81" s="17" t="s">
        <v>804</v>
      </c>
      <c r="D81" s="97" t="n">
        <v>7.68</v>
      </c>
      <c r="E81" s="97" t="n">
        <v>7.71</v>
      </c>
      <c r="F81" s="97" t="n">
        <v>7.73</v>
      </c>
      <c r="G81" s="97" t="n">
        <v>7.76</v>
      </c>
      <c r="H81" s="97" t="n">
        <v>7.77</v>
      </c>
      <c r="I81" s="97" t="n">
        <v>7.66</v>
      </c>
      <c r="J81" s="97" t="n">
        <v>7.67</v>
      </c>
      <c r="K81" s="66" t="n">
        <f aca="false">AVERAGE(D81:J81)</f>
        <v>7.71142857142857</v>
      </c>
      <c r="L81" s="66" t="n">
        <f aca="false">J81-D81</f>
        <v>-0.00999999999999979</v>
      </c>
    </row>
    <row r="82" customFormat="false" ht="15" hidden="false" customHeight="false" outlineLevel="0" collapsed="false">
      <c r="A82" s="16" t="s">
        <v>805</v>
      </c>
      <c r="B82" s="87" t="s">
        <v>806</v>
      </c>
      <c r="C82" s="17" t="s">
        <v>493</v>
      </c>
      <c r="D82" s="69" t="n">
        <f aca="false">D80*D81</f>
        <v>1444.224</v>
      </c>
      <c r="E82" s="69" t="n">
        <f aca="false">E80*E81</f>
        <v>1974.9165</v>
      </c>
      <c r="F82" s="69" t="n">
        <f aca="false">F80*F81</f>
        <v>4631.043</v>
      </c>
      <c r="G82" s="69" t="n">
        <f aca="false">G80*G81</f>
        <v>4864.356</v>
      </c>
      <c r="H82" s="69" t="n">
        <f aca="false">H80*H81</f>
        <v>6306.132</v>
      </c>
      <c r="I82" s="69" t="n">
        <f aca="false">I80*I81</f>
        <v>8445.15</v>
      </c>
      <c r="J82" s="69" t="n">
        <f aca="false">J80*J81</f>
        <v>7079.41</v>
      </c>
      <c r="K82" s="53" t="n">
        <f aca="false">AVERAGE(D82:J82)</f>
        <v>4963.6045</v>
      </c>
      <c r="L82" s="53" t="n">
        <f aca="false">J82-D82</f>
        <v>5635.186</v>
      </c>
    </row>
    <row r="83" customFormat="false" ht="15" hidden="false" customHeight="false" outlineLevel="0" collapsed="false">
      <c r="A83" s="16" t="s">
        <v>807</v>
      </c>
      <c r="B83" s="87" t="s">
        <v>808</v>
      </c>
      <c r="C83" s="17" t="s">
        <v>493</v>
      </c>
      <c r="D83" s="69" t="n">
        <f aca="false">D82+D41-D52</f>
        <v>1840.354</v>
      </c>
      <c r="E83" s="69" t="n">
        <f aca="false">E82+E41-E52</f>
        <v>2232.8865</v>
      </c>
      <c r="F83" s="69" t="n">
        <f aca="false">F82+F41-F52</f>
        <v>4652.823</v>
      </c>
      <c r="G83" s="69" t="n">
        <f aca="false">G82+G41-G52</f>
        <v>4771.646</v>
      </c>
      <c r="H83" s="69" t="n">
        <f aca="false">H82+H41-H52</f>
        <v>6404.212</v>
      </c>
      <c r="I83" s="69" t="n">
        <f aca="false">I82+I41-I52</f>
        <v>8602.11</v>
      </c>
      <c r="J83" s="69" t="n">
        <f aca="false">J82+J41-J52</f>
        <v>7278.56</v>
      </c>
      <c r="K83" s="53" t="n">
        <f aca="false">AVERAGE(D83:J83)</f>
        <v>5111.79878571429</v>
      </c>
      <c r="L83" s="53" t="n">
        <f aca="false">J83-D83</f>
        <v>5438.206</v>
      </c>
    </row>
    <row r="84" customFormat="false" ht="15" hidden="false" customHeight="false" outlineLevel="0" collapsed="false">
      <c r="A84" s="16" t="s">
        <v>809</v>
      </c>
      <c r="B84" s="87" t="s">
        <v>810</v>
      </c>
      <c r="C84" s="17" t="s">
        <v>811</v>
      </c>
      <c r="D84" s="98" t="n">
        <v>1</v>
      </c>
      <c r="E84" s="98" t="n">
        <v>1</v>
      </c>
      <c r="F84" s="98" t="n">
        <v>1</v>
      </c>
      <c r="G84" s="98" t="n">
        <v>1</v>
      </c>
      <c r="H84" s="98" t="n">
        <v>1</v>
      </c>
      <c r="I84" s="98" t="n">
        <v>1</v>
      </c>
      <c r="J84" s="98" t="n">
        <v>1</v>
      </c>
      <c r="K84" s="99"/>
      <c r="L84" s="99"/>
    </row>
    <row r="86" customFormat="false" ht="19.5" hidden="false" customHeight="true" outlineLevel="0" collapsed="false">
      <c r="A86" s="85" t="s">
        <v>629</v>
      </c>
      <c r="B86" s="86"/>
      <c r="C86" s="86"/>
      <c r="D86" s="86"/>
      <c r="E86" s="86"/>
      <c r="F86" s="86"/>
      <c r="G86" s="86"/>
      <c r="H86" s="86"/>
      <c r="I86" s="86"/>
      <c r="J86" s="86"/>
      <c r="K86" s="86"/>
      <c r="L86" s="86"/>
    </row>
    <row r="87" customFormat="false" ht="15" hidden="false" customHeight="false" outlineLevel="0" collapsed="false">
      <c r="A87" s="16" t="s">
        <v>630</v>
      </c>
      <c r="B87" s="87" t="s">
        <v>631</v>
      </c>
      <c r="C87" s="17" t="s">
        <v>493</v>
      </c>
      <c r="D87" s="69" t="n">
        <f aca="false">D48</f>
        <v>754.67</v>
      </c>
      <c r="E87" s="69" t="n">
        <f aca="false">E48</f>
        <v>778.98</v>
      </c>
      <c r="F87" s="69" t="n">
        <f aca="false">F48</f>
        <v>825.67</v>
      </c>
      <c r="G87" s="69" t="n">
        <f aca="false">G48</f>
        <v>997.77</v>
      </c>
      <c r="H87" s="69" t="n">
        <f aca="false">H48</f>
        <v>987.99</v>
      </c>
      <c r="I87" s="69" t="n">
        <f aca="false">I48</f>
        <v>1304.16</v>
      </c>
      <c r="J87" s="69" t="n">
        <f aca="false">J48</f>
        <v>1459.36</v>
      </c>
      <c r="K87" s="53" t="n">
        <f aca="false">AVERAGE(D87:J87)</f>
        <v>1015.51428571429</v>
      </c>
      <c r="L87" s="53" t="n">
        <f aca="false">J87-D87</f>
        <v>704.69</v>
      </c>
    </row>
    <row r="88" customFormat="false" ht="15" hidden="false" customHeight="false" outlineLevel="0" collapsed="false">
      <c r="A88" s="16" t="s">
        <v>632</v>
      </c>
      <c r="B88" s="87" t="s">
        <v>633</v>
      </c>
      <c r="C88" s="17" t="s">
        <v>493</v>
      </c>
      <c r="D88" s="69" t="n">
        <f aca="false">D42</f>
        <v>237.38</v>
      </c>
      <c r="E88" s="69" t="n">
        <f aca="false">E42</f>
        <v>271.62</v>
      </c>
      <c r="F88" s="69" t="n">
        <f aca="false">F42</f>
        <v>300.52</v>
      </c>
      <c r="G88" s="69" t="n">
        <f aca="false">G42</f>
        <v>307.25</v>
      </c>
      <c r="H88" s="69" t="n">
        <f aca="false">H42</f>
        <v>303.9</v>
      </c>
      <c r="I88" s="69" t="n">
        <f aca="false">I42</f>
        <v>537.42</v>
      </c>
      <c r="J88" s="69" t="n">
        <f aca="false">J42</f>
        <v>603.47</v>
      </c>
      <c r="K88" s="53" t="n">
        <f aca="false">AVERAGE(D88:J88)</f>
        <v>365.937142857143</v>
      </c>
      <c r="L88" s="53" t="n">
        <f aca="false">J88-D88</f>
        <v>366.09</v>
      </c>
    </row>
    <row r="89" customFormat="false" ht="15" hidden="false" customHeight="false" outlineLevel="0" collapsed="false">
      <c r="A89" s="16" t="s">
        <v>634</v>
      </c>
      <c r="B89" s="87" t="s">
        <v>635</v>
      </c>
      <c r="C89" s="17" t="s">
        <v>493</v>
      </c>
      <c r="D89" s="69" t="n">
        <f aca="false">D50+D52</f>
        <v>513.22</v>
      </c>
      <c r="E89" s="69" t="n">
        <f aca="false">E50+E52</f>
        <v>550.55</v>
      </c>
      <c r="F89" s="69" t="n">
        <f aca="false">F50+F52</f>
        <v>582.7</v>
      </c>
      <c r="G89" s="69" t="n">
        <f aca="false">G50+G52</f>
        <v>745.49</v>
      </c>
      <c r="H89" s="69" t="n">
        <f aca="false">H50+H52</f>
        <v>696.23</v>
      </c>
      <c r="I89" s="69" t="n">
        <f aca="false">I50+I52</f>
        <v>806.83</v>
      </c>
      <c r="J89" s="69" t="n">
        <f aca="false">J50+J52</f>
        <v>929.61</v>
      </c>
      <c r="K89" s="53" t="n">
        <f aca="false">AVERAGE(D89:J89)</f>
        <v>689.232857142857</v>
      </c>
      <c r="L89" s="53" t="n">
        <f aca="false">J89-D89</f>
        <v>416.39</v>
      </c>
    </row>
    <row r="90" customFormat="false" ht="15" hidden="false" customHeight="false" outlineLevel="0" collapsed="false">
      <c r="A90" s="16" t="s">
        <v>636</v>
      </c>
      <c r="B90" s="87" t="s">
        <v>637</v>
      </c>
      <c r="C90" s="17" t="s">
        <v>493</v>
      </c>
      <c r="D90" s="69" t="n">
        <f aca="false">D40+D41</f>
        <v>1445.94</v>
      </c>
      <c r="E90" s="69" t="n">
        <f aca="false">E40+E41</f>
        <v>1467.19</v>
      </c>
      <c r="F90" s="69" t="n">
        <f aca="false">F40+F41</f>
        <v>1526.51</v>
      </c>
      <c r="G90" s="69" t="n">
        <f aca="false">G40+G41</f>
        <v>1793.66</v>
      </c>
      <c r="H90" s="69" t="n">
        <f aca="false">H40+H41</f>
        <v>2197.5</v>
      </c>
      <c r="I90" s="69" t="n">
        <f aca="false">I40+I41</f>
        <v>2396.61</v>
      </c>
      <c r="J90" s="69" t="n">
        <f aca="false">J40+J41</f>
        <v>2878.39</v>
      </c>
      <c r="K90" s="53" t="n">
        <f aca="false">AVERAGE(D90:J90)</f>
        <v>1957.97142857143</v>
      </c>
      <c r="L90" s="53" t="n">
        <f aca="false">J90-D90</f>
        <v>1432.45</v>
      </c>
    </row>
    <row r="92" customFormat="false" ht="19.5" hidden="false" customHeight="true" outlineLevel="0" collapsed="false">
      <c r="A92" s="85" t="s">
        <v>638</v>
      </c>
      <c r="B92" s="86"/>
      <c r="C92" s="86"/>
      <c r="D92" s="86"/>
      <c r="E92" s="86"/>
      <c r="F92" s="86"/>
      <c r="G92" s="86"/>
      <c r="H92" s="86"/>
      <c r="I92" s="86"/>
      <c r="J92" s="86"/>
      <c r="K92" s="86"/>
      <c r="L92" s="86"/>
    </row>
    <row r="93" customFormat="false" ht="16.5" hidden="false" customHeight="true" outlineLevel="0" collapsed="false">
      <c r="A93" s="88" t="s">
        <v>639</v>
      </c>
      <c r="B93" s="89"/>
      <c r="C93" s="89"/>
      <c r="D93" s="89"/>
      <c r="E93" s="89"/>
      <c r="F93" s="89"/>
      <c r="G93" s="89"/>
      <c r="H93" s="89"/>
      <c r="I93" s="89"/>
      <c r="J93" s="89"/>
      <c r="K93" s="89"/>
      <c r="L93" s="89"/>
    </row>
    <row r="94" customFormat="false" ht="15" hidden="false" customHeight="false" outlineLevel="0" collapsed="false">
      <c r="A94" s="16" t="s">
        <v>640</v>
      </c>
      <c r="B94" s="87" t="s">
        <v>641</v>
      </c>
      <c r="C94" s="17" t="s">
        <v>493</v>
      </c>
      <c r="D94" s="69" t="n">
        <f aca="false">D87-D88</f>
        <v>517.29</v>
      </c>
      <c r="E94" s="69" t="n">
        <f aca="false">E87-E88</f>
        <v>507.36</v>
      </c>
      <c r="F94" s="69" t="n">
        <f aca="false">F87-F88</f>
        <v>525.15</v>
      </c>
      <c r="G94" s="69" t="n">
        <f aca="false">G87-G88</f>
        <v>690.52</v>
      </c>
      <c r="H94" s="69" t="n">
        <f aca="false">H87-H88</f>
        <v>684.09</v>
      </c>
      <c r="I94" s="69" t="n">
        <f aca="false">I87-I88</f>
        <v>766.74</v>
      </c>
      <c r="J94" s="69" t="n">
        <f aca="false">J87-J88</f>
        <v>855.89</v>
      </c>
      <c r="K94" s="53" t="n">
        <f aca="false">AVERAGE(D94:J94)</f>
        <v>649.577142857143</v>
      </c>
      <c r="L94" s="53" t="n">
        <f aca="false">J94-D94</f>
        <v>338.6</v>
      </c>
    </row>
    <row r="95" customFormat="false" ht="15" hidden="false" customHeight="false" outlineLevel="0" collapsed="false">
      <c r="A95" s="16" t="s">
        <v>642</v>
      </c>
      <c r="B95" s="87" t="s">
        <v>643</v>
      </c>
      <c r="C95" s="17" t="s">
        <v>644</v>
      </c>
      <c r="D95" s="72" t="n">
        <f aca="false">IF(D88&gt;0,D87/D88,"N/M")</f>
        <v>3.17916420928469</v>
      </c>
      <c r="E95" s="72" t="n">
        <f aca="false">IF(E88&gt;0,E87/E88,"N/M")</f>
        <v>2.86790368897725</v>
      </c>
      <c r="F95" s="72" t="n">
        <f aca="false">IF(F88&gt;0,F87/F88,"N/M")</f>
        <v>2.74747105017969</v>
      </c>
      <c r="G95" s="72" t="n">
        <f aca="false">IF(G88&gt;0,G87/G88,"N/M")</f>
        <v>3.24742066720911</v>
      </c>
      <c r="H95" s="72" t="n">
        <f aca="false">IF(H88&gt;0,H87/H88,"N/M")</f>
        <v>3.25103652517275</v>
      </c>
      <c r="I95" s="72" t="n">
        <f aca="false">IF(I88&gt;0,I87/I88,"N/M")</f>
        <v>2.4267053701016</v>
      </c>
      <c r="J95" s="72" t="n">
        <f aca="false">IF(J88&gt;0,J87/J88,"N/M")</f>
        <v>2.41828094188609</v>
      </c>
      <c r="K95" s="56" t="n">
        <f aca="false">IF(COUNT(D95:J95)=0,"N/M",AVERAGE(D95:J95))</f>
        <v>2.87685463611588</v>
      </c>
      <c r="L95" s="60" t="n">
        <f aca="false">IF(COUNT(D95,J95)=2,J95-D95,"-")</f>
        <v>-0.760883267398599</v>
      </c>
    </row>
    <row r="96" customFormat="false" ht="15" hidden="false" customHeight="false" outlineLevel="0" collapsed="false">
      <c r="A96" s="16" t="s">
        <v>645</v>
      </c>
      <c r="B96" s="87" t="s">
        <v>646</v>
      </c>
      <c r="C96" s="17" t="s">
        <v>647</v>
      </c>
      <c r="D96" s="72" t="n">
        <f aca="false">IF(D88&gt;0,D89/D88,"N/M")</f>
        <v>2.16201870418738</v>
      </c>
      <c r="E96" s="72" t="n">
        <f aca="false">IF(E88&gt;0,E89/E88,"N/M")</f>
        <v>2.02691259848318</v>
      </c>
      <c r="F96" s="72" t="n">
        <f aca="false">IF(F88&gt;0,F89/F88,"N/M")</f>
        <v>1.93897244775722</v>
      </c>
      <c r="G96" s="72" t="n">
        <f aca="false">IF(G88&gt;0,G89/G88,"N/M")</f>
        <v>2.42633034987795</v>
      </c>
      <c r="H96" s="72" t="n">
        <f aca="false">IF(H88&gt;0,H89/H88,"N/M")</f>
        <v>2.29098387627509</v>
      </c>
      <c r="I96" s="72" t="n">
        <f aca="false">IF(I88&gt;0,I89/I88,"N/M")</f>
        <v>1.50130251944475</v>
      </c>
      <c r="J96" s="72" t="n">
        <f aca="false">IF(J88&gt;0,J89/J88,"N/M")</f>
        <v>1.54044111554841</v>
      </c>
      <c r="K96" s="56" t="n">
        <f aca="false">IF(COUNT(D96:J96)=0,"N/M",AVERAGE(D96:J96))</f>
        <v>1.98385165879628</v>
      </c>
      <c r="L96" s="60" t="n">
        <f aca="false">IF(COUNT(D96,J96)=2,J96-D96,"-")</f>
        <v>-0.621577588638967</v>
      </c>
    </row>
    <row r="97" customFormat="false" ht="15" hidden="false" customHeight="false" outlineLevel="0" collapsed="false">
      <c r="A97" s="16" t="s">
        <v>648</v>
      </c>
      <c r="B97" s="87" t="s">
        <v>649</v>
      </c>
      <c r="C97" s="17" t="s">
        <v>650</v>
      </c>
      <c r="D97" s="72" t="n">
        <f aca="false">IF(D88&gt;0,D52/D88,"N/M")</f>
        <v>0.109192012806471</v>
      </c>
      <c r="E97" s="72" t="n">
        <f aca="false">IF(E88&gt;0,E52/E88,"N/M")</f>
        <v>0.14546056991385</v>
      </c>
      <c r="F97" s="72" t="n">
        <f aca="false">IF(F88&gt;0,F52/F88,"N/M")</f>
        <v>0.247737255423932</v>
      </c>
      <c r="G97" s="72" t="n">
        <f aca="false">IF(G88&gt;0,G52/G88,"N/M")</f>
        <v>0.600748576078112</v>
      </c>
      <c r="H97" s="72" t="n">
        <f aca="false">IF(H88&gt;0,H52/H88,"N/M")</f>
        <v>0.314577163540638</v>
      </c>
      <c r="I97" s="72" t="n">
        <f aca="false">IF(I88&gt;0,I52/I88,"N/M")</f>
        <v>0.15797700122809</v>
      </c>
      <c r="J97" s="72" t="n">
        <f aca="false">IF(J88&gt;0,J52/J88,"N/M")</f>
        <v>0.187664672643213</v>
      </c>
      <c r="K97" s="56" t="n">
        <f aca="false">IF(COUNT(D97:J97)=0,"N/M",AVERAGE(D97:J97))</f>
        <v>0.251908178804901</v>
      </c>
      <c r="L97" s="60" t="n">
        <f aca="false">IF(COUNT(D97,J97)=2,J97-D97,"-")</f>
        <v>0.0784726598367428</v>
      </c>
    </row>
    <row r="98" customFormat="false" ht="15" hidden="false" customHeight="false" outlineLevel="0" collapsed="false">
      <c r="A98" s="16" t="s">
        <v>651</v>
      </c>
      <c r="B98" s="87" t="s">
        <v>652</v>
      </c>
      <c r="C98" s="17" t="s">
        <v>653</v>
      </c>
      <c r="D98" s="74" t="n">
        <f aca="false">IF(D20&gt;0,D89/(D20/Setup!$C$8),"N/M")</f>
        <v>75.6442012598934</v>
      </c>
      <c r="E98" s="74" t="n">
        <f aca="false">IF(E20&gt;0,E89/(E20/Setup!$C$8),"N/M")</f>
        <v>79.13409625222</v>
      </c>
      <c r="F98" s="74" t="n">
        <f aca="false">IF(F20&gt;0,F89/(F20/Setup!$C$8),"N/M")</f>
        <v>74.7056530077486</v>
      </c>
      <c r="G98" s="74" t="n">
        <f aca="false">IF(G20&gt;0,G89/(G20/Setup!$C$8),"N/M")</f>
        <v>81.0508310496843</v>
      </c>
      <c r="H98" s="74" t="n">
        <f aca="false">IF(H20&gt;0,H89/(H20/Setup!$C$8),"N/M")</f>
        <v>70.3354109985248</v>
      </c>
      <c r="I98" s="74" t="n">
        <f aca="false">IF(I20&gt;0,I89/(I20/Setup!$C$8),"N/M")</f>
        <v>73.0893200172738</v>
      </c>
      <c r="J98" s="74" t="n">
        <f aca="false">IF(J20&gt;0,J89/(J20/Setup!$C$8),"N/M")</f>
        <v>77.1544782924073</v>
      </c>
      <c r="K98" s="58" t="n">
        <f aca="false">IF(COUNT(D98:J98)=0,"N/M",AVERAGE(D98:J98))</f>
        <v>75.8734272682503</v>
      </c>
      <c r="L98" s="58" t="n">
        <f aca="false">IF(COUNT(D98,J98)=2,J98-D98,"-")</f>
        <v>1.5102770325139</v>
      </c>
    </row>
    <row r="99" customFormat="false" ht="15" hidden="false" customHeight="false" outlineLevel="0" collapsed="false">
      <c r="A99" s="16" t="s">
        <v>654</v>
      </c>
      <c r="B99" s="87" t="s">
        <v>655</v>
      </c>
      <c r="C99" s="17" t="s">
        <v>97</v>
      </c>
      <c r="D99" s="72" t="n">
        <f aca="false">IF(D88&gt;0,D63/D88,"N/M")</f>
        <v>1.02291684219395</v>
      </c>
      <c r="E99" s="72" t="n">
        <f aca="false">IF(E88&gt;0,E63/E88,"N/M")</f>
        <v>1.1218614240483</v>
      </c>
      <c r="F99" s="72" t="n">
        <f aca="false">IF(F88&gt;0,F63/F88,"N/M")</f>
        <v>1.22457739917476</v>
      </c>
      <c r="G99" s="72" t="n">
        <f aca="false">IF(G88&gt;0,G63/G88,"N/M")</f>
        <v>1.17376729048007</v>
      </c>
      <c r="H99" s="72" t="n">
        <f aca="false">IF(H88&gt;0,H63/H88,"N/M")</f>
        <v>0.984896347482725</v>
      </c>
      <c r="I99" s="72" t="n">
        <f aca="false">IF(I88&gt;0,I63/I88,"N/M")</f>
        <v>0.668359941944848</v>
      </c>
      <c r="J99" s="72" t="n">
        <f aca="false">IF(J88&gt;0,J63/J88,"N/M")</f>
        <v>0.736391204202363</v>
      </c>
      <c r="K99" s="56" t="n">
        <f aca="false">IF(COUNT(D99:J99)=0,"N/M",AVERAGE(D99:J99))</f>
        <v>0.99039577850386</v>
      </c>
      <c r="L99" s="60" t="n">
        <f aca="false">IF(COUNT(D99,J99)=2,J99-D99,"-")</f>
        <v>-0.286525637991588</v>
      </c>
    </row>
    <row r="100" customFormat="false" ht="16.5" hidden="false" customHeight="true" outlineLevel="0" collapsed="false">
      <c r="A100" s="88" t="s">
        <v>656</v>
      </c>
      <c r="B100" s="89"/>
      <c r="C100" s="89"/>
      <c r="D100" s="89"/>
      <c r="E100" s="89"/>
      <c r="F100" s="89"/>
      <c r="G100" s="89"/>
      <c r="H100" s="89"/>
      <c r="I100" s="89"/>
      <c r="J100" s="89"/>
      <c r="K100" s="89"/>
      <c r="L100" s="89"/>
    </row>
    <row r="101" customFormat="false" ht="15" hidden="false" customHeight="false" outlineLevel="0" collapsed="false">
      <c r="A101" s="16" t="s">
        <v>657</v>
      </c>
      <c r="B101" s="87" t="s">
        <v>658</v>
      </c>
      <c r="C101" s="17" t="s">
        <v>97</v>
      </c>
      <c r="D101" s="72" t="n">
        <f aca="false">IF(D40&gt;0,D41/D40,"N/M")</f>
        <v>0.41220248268857</v>
      </c>
      <c r="E101" s="72" t="n">
        <f aca="false">IF(E40&gt;0,E41/E40,"N/M")</f>
        <v>0.254319446700464</v>
      </c>
      <c r="F101" s="72" t="n">
        <f aca="false">IF(F40&gt;0,F41/F40,"N/M")</f>
        <v>0.0672805324831502</v>
      </c>
      <c r="G101" s="72" t="n">
        <f aca="false">IF(G40&gt;0,G41/G40,"N/M")</f>
        <v>0.0539843341422855</v>
      </c>
      <c r="H101" s="72" t="n">
        <f aca="false">IF(H40&gt;0,H41/H40,"N/M")</f>
        <v>0.0966553882085217</v>
      </c>
      <c r="I101" s="72" t="n">
        <f aca="false">IF(I40&gt;0,I41/I40,"N/M")</f>
        <v>0.112245040027845</v>
      </c>
      <c r="J101" s="72" t="n">
        <f aca="false">IF(J40&gt;0,J41/J40,"N/M")</f>
        <v>0.121746382487851</v>
      </c>
      <c r="K101" s="56" t="n">
        <f aca="false">IF(COUNT(D101:J101)=0,"N/M",AVERAGE(D101:J101))</f>
        <v>0.159776229534098</v>
      </c>
      <c r="L101" s="60" t="n">
        <f aca="false">IF(COUNT(D101,J101)=2,J101-D101,"-")</f>
        <v>-0.290456100200719</v>
      </c>
    </row>
    <row r="102" customFormat="false" ht="15" hidden="false" customHeight="false" outlineLevel="0" collapsed="false">
      <c r="A102" s="16" t="s">
        <v>659</v>
      </c>
      <c r="B102" s="87" t="s">
        <v>660</v>
      </c>
      <c r="C102" s="17" t="s">
        <v>97</v>
      </c>
      <c r="D102" s="72" t="n">
        <f aca="false">IF(D40&gt;0,(D41+D42)/D40,"N/M")</f>
        <v>0.644043793766909</v>
      </c>
      <c r="E102" s="72" t="n">
        <f aca="false">IF(E40&gt;0,(E41+E42)/E40,"N/M")</f>
        <v>0.486530849526806</v>
      </c>
      <c r="F102" s="72" t="n">
        <f aca="false">IF(F40&gt;0,(F41+F42)/F40,"N/M")</f>
        <v>0.277393237687726</v>
      </c>
      <c r="G102" s="72" t="n">
        <f aca="false">IF(G40&gt;0,(G41+G42)/G40,"N/M")</f>
        <v>0.234529524794481</v>
      </c>
      <c r="H102" s="72" t="n">
        <f aca="false">IF(H40&gt;0,(H41+H42)/H40,"N/M")</f>
        <v>0.248315716980567</v>
      </c>
      <c r="I102" s="72" t="n">
        <f aca="false">IF(I40&gt;0,(I41+I42)/I40,"N/M")</f>
        <v>0.361656804733728</v>
      </c>
      <c r="J102" s="72" t="n">
        <f aca="false">IF(J40&gt;0,(J41+J42)/J40,"N/M")</f>
        <v>0.356926566354507</v>
      </c>
      <c r="K102" s="56" t="n">
        <f aca="false">IF(COUNT(D102:J102)=0,"N/M",AVERAGE(D102:J102))</f>
        <v>0.372770927692103</v>
      </c>
      <c r="L102" s="60" t="n">
        <f aca="false">IF(COUNT(D102,J102)=2,J102-D102,"-")</f>
        <v>-0.287117227412402</v>
      </c>
    </row>
    <row r="103" customFormat="false" ht="15" hidden="false" customHeight="false" outlineLevel="0" collapsed="false">
      <c r="A103" s="16" t="s">
        <v>661</v>
      </c>
      <c r="B103" s="87" t="s">
        <v>662</v>
      </c>
      <c r="C103" s="17" t="s">
        <v>663</v>
      </c>
      <c r="D103" s="72" t="n">
        <f aca="false">IF(D49&gt;0,D41/D49,"N/M")</f>
        <v>0.250724758215907</v>
      </c>
      <c r="E103" s="72" t="n">
        <f aca="false">IF(E49&gt;0,E41/E49,"N/M")</f>
        <v>0.17108252195467</v>
      </c>
      <c r="F103" s="72" t="n">
        <f aca="false">IF(F49&gt;0,F41/F49,"N/M")</f>
        <v>0.0526701805662742</v>
      </c>
      <c r="G103" s="72" t="n">
        <f aca="false">IF(G49&gt;0,G41/G49,"N/M")</f>
        <v>0.0437286699573042</v>
      </c>
      <c r="H103" s="72" t="n">
        <f aca="false">IF(H49&gt;0,H41/H49,"N/M")</f>
        <v>0.0774286399616215</v>
      </c>
      <c r="I103" s="72" t="n">
        <f aca="false">IF(I49&gt;0,I41/I49,"N/M")</f>
        <v>0.0824326949622192</v>
      </c>
      <c r="J103" s="72" t="n">
        <f aca="false">IF(J49&gt;0,J41/J49,"N/M")</f>
        <v>0.0897221599949452</v>
      </c>
      <c r="K103" s="56" t="n">
        <f aca="false">IF(COUNT(D103:J103)=0,"N/M",AVERAGE(D103:J103))</f>
        <v>0.10968423223042</v>
      </c>
      <c r="L103" s="60" t="n">
        <f aca="false">IF(COUNT(D103,J103)=2,J103-D103,"-")</f>
        <v>-0.161002598220961</v>
      </c>
    </row>
    <row r="104" customFormat="false" ht="15" hidden="false" customHeight="false" outlineLevel="0" collapsed="false">
      <c r="A104" s="16" t="s">
        <v>664</v>
      </c>
      <c r="B104" s="87" t="s">
        <v>665</v>
      </c>
      <c r="C104" s="17" t="s">
        <v>663</v>
      </c>
      <c r="D104" s="72" t="n">
        <f aca="false">IF(D90&gt;0,D41/D90,"N/M")</f>
        <v>0.291886247008866</v>
      </c>
      <c r="E104" s="72" t="n">
        <f aca="false">IF(E90&gt;0,E41/E90,"N/M")</f>
        <v>0.202754926083193</v>
      </c>
      <c r="F104" s="72" t="n">
        <f aca="false">IF(F90&gt;0,F41/F90,"N/M")</f>
        <v>0.0630392201819837</v>
      </c>
      <c r="G104" s="72" t="n">
        <f aca="false">IF(G90&gt;0,G41/G90,"N/M")</f>
        <v>0.0512192946266294</v>
      </c>
      <c r="H104" s="72" t="n">
        <f aca="false">IF(H90&gt;0,H41/H90,"N/M")</f>
        <v>0.0881365187713311</v>
      </c>
      <c r="I104" s="72" t="n">
        <f aca="false">IF(I90&gt;0,I41/I90,"N/M")</f>
        <v>0.100917546033773</v>
      </c>
      <c r="J104" s="72" t="n">
        <f aca="false">IF(J90&gt;0,J41/J90,"N/M")</f>
        <v>0.1085328951254</v>
      </c>
      <c r="K104" s="56" t="n">
        <f aca="false">IF(COUNT(D104:J104)=0,"N/M",AVERAGE(D104:J104))</f>
        <v>0.129498092547311</v>
      </c>
      <c r="L104" s="60" t="n">
        <f aca="false">IF(COUNT(D104,J104)=2,J104-D104,"-")</f>
        <v>-0.183353351883466</v>
      </c>
    </row>
    <row r="105" customFormat="false" ht="15" hidden="false" customHeight="false" outlineLevel="0" collapsed="false">
      <c r="A105" s="16" t="s">
        <v>666</v>
      </c>
      <c r="B105" s="87" t="s">
        <v>667</v>
      </c>
      <c r="C105" s="17" t="s">
        <v>668</v>
      </c>
      <c r="D105" s="72" t="n">
        <f aca="false">IF(D49&gt;0,D40/D49,"N/M")</f>
        <v>0.608256303020222</v>
      </c>
      <c r="E105" s="72" t="n">
        <f aca="false">IF(E49&gt;0,E40/E49,"N/M")</f>
        <v>0.672707196300919</v>
      </c>
      <c r="F105" s="72" t="n">
        <f aca="false">IF(F49&gt;0,F40/F49,"N/M")</f>
        <v>0.782844288271129</v>
      </c>
      <c r="G105" s="72" t="n">
        <f aca="false">IF(G49&gt;0,G40/G49,"N/M")</f>
        <v>0.810025179565046</v>
      </c>
      <c r="H105" s="72" t="n">
        <f aca="false">IF(H49&gt;0,H40/H49,"N/M")</f>
        <v>0.801079395538499</v>
      </c>
      <c r="I105" s="72" t="n">
        <f aca="false">IF(I49&gt;0,I40/I49,"N/M")</f>
        <v>0.734399443768469</v>
      </c>
      <c r="J105" s="72" t="n">
        <f aca="false">IF(J49&gt;0,J40/J49,"N/M")</f>
        <v>0.736959556099326</v>
      </c>
      <c r="K105" s="56" t="n">
        <f aca="false">IF(COUNT(D105:J105)=0,"N/M",AVERAGE(D105:J105))</f>
        <v>0.735181623223373</v>
      </c>
      <c r="L105" s="60" t="n">
        <f aca="false">IF(COUNT(D105,J105)=2,J105-D105,"-")</f>
        <v>0.128703253079104</v>
      </c>
    </row>
    <row r="106" customFormat="false" ht="15" hidden="false" customHeight="false" outlineLevel="0" collapsed="false">
      <c r="A106" s="16" t="s">
        <v>669</v>
      </c>
      <c r="B106" s="87" t="s">
        <v>670</v>
      </c>
      <c r="C106" s="17" t="s">
        <v>97</v>
      </c>
      <c r="D106" s="72" t="n">
        <f aca="false">IF(D39&gt;0,(D41+D37)/D39,"N/M")</f>
        <v>0.41220248268857</v>
      </c>
      <c r="E106" s="72" t="n">
        <f aca="false">IF(E39&gt;0,(E41+E37)/E39,"N/M")</f>
        <v>0.254319446700464</v>
      </c>
      <c r="F106" s="72" t="n">
        <f aca="false">IF(F39&gt;0,(F41+F37)/F39,"N/M")</f>
        <v>0.0672805324831502</v>
      </c>
      <c r="G106" s="72" t="n">
        <f aca="false">IF(G39&gt;0,(G41+G37)/G39,"N/M")</f>
        <v>0.0539843341422855</v>
      </c>
      <c r="H106" s="72" t="n">
        <f aca="false">IF(H39&gt;0,(H41+H37)/H39,"N/M")</f>
        <v>0.0966553882085217</v>
      </c>
      <c r="I106" s="72" t="n">
        <f aca="false">IF(I39&gt;0,(I41+I37)/I39,"N/M")</f>
        <v>0.112245040027845</v>
      </c>
      <c r="J106" s="72" t="n">
        <f aca="false">IF(J39&gt;0,(J41+J37)/J39,"N/M")</f>
        <v>0.121746382487851</v>
      </c>
      <c r="K106" s="56" t="n">
        <f aca="false">IF(COUNT(D106:J106)=0,"N/M",AVERAGE(D106:J106))</f>
        <v>0.159776229534098</v>
      </c>
      <c r="L106" s="60" t="n">
        <f aca="false">IF(COUNT(D106,J106)=2,J106-D106,"-")</f>
        <v>-0.290456100200719</v>
      </c>
    </row>
    <row r="107" customFormat="false" ht="15" hidden="false" customHeight="false" outlineLevel="0" collapsed="false">
      <c r="A107" s="16" t="s">
        <v>671</v>
      </c>
      <c r="B107" s="87" t="s">
        <v>672</v>
      </c>
      <c r="C107" s="17" t="s">
        <v>97</v>
      </c>
      <c r="D107" s="72" t="n">
        <f aca="false">IF(D21&gt;0,D41/D21,"N/M")</f>
        <v>1.74805334658714</v>
      </c>
      <c r="E107" s="72" t="n">
        <f aca="false">IF(E21&gt;0,E41/E21,"N/M")</f>
        <v>1.13101665272603</v>
      </c>
      <c r="F107" s="72" t="n">
        <f aca="false">IF(F21&gt;0,F41/F21,"N/M")</f>
        <v>0.233664376077508</v>
      </c>
      <c r="G107" s="72" t="n">
        <f aca="false">IF(G21&gt;0,G41/G21,"N/M")</f>
        <v>0.215976679126407</v>
      </c>
      <c r="H107" s="72" t="n">
        <f aca="false">IF(H21&gt;0,H41/H21,"N/M")</f>
        <v>0.470977311966539</v>
      </c>
      <c r="I107" s="72" t="n">
        <f aca="false">IF(I21&gt;0,I41/I21,"N/M")</f>
        <v>0.522872708405396</v>
      </c>
      <c r="J107" s="72" t="n">
        <f aca="false">IF(J21&gt;0,J41/J21,"N/M")</f>
        <v>0.601926782273602</v>
      </c>
      <c r="K107" s="56" t="n">
        <f aca="false">IF(COUNT(D107:J107)=0,"N/M",AVERAGE(D107:J107))</f>
        <v>0.703498265308947</v>
      </c>
      <c r="L107" s="60" t="n">
        <f aca="false">IF(COUNT(D107,J107)=2,J107-D107,"-")</f>
        <v>-1.14612656431354</v>
      </c>
    </row>
    <row r="108" customFormat="false" ht="16.5" hidden="false" customHeight="true" outlineLevel="0" collapsed="false">
      <c r="A108" s="88" t="s">
        <v>673</v>
      </c>
      <c r="B108" s="89"/>
      <c r="C108" s="89"/>
      <c r="D108" s="89"/>
      <c r="E108" s="89"/>
      <c r="F108" s="89"/>
      <c r="G108" s="89"/>
      <c r="H108" s="89"/>
      <c r="I108" s="89"/>
      <c r="J108" s="89"/>
      <c r="K108" s="89"/>
      <c r="L108" s="89"/>
    </row>
    <row r="109" customFormat="false" ht="15" hidden="false" customHeight="false" outlineLevel="0" collapsed="false">
      <c r="A109" s="16" t="s">
        <v>674</v>
      </c>
      <c r="B109" s="87" t="s">
        <v>675</v>
      </c>
      <c r="C109" s="17" t="s">
        <v>676</v>
      </c>
      <c r="D109" s="73" t="n">
        <f aca="false">IF(D25&gt;0,D23/D25,"N/M")</f>
        <v>4.63141025641026</v>
      </c>
      <c r="E109" s="73" t="n">
        <f aca="false">IF(E25&gt;0,E23/E25,"N/M")</f>
        <v>6.37490636704118</v>
      </c>
      <c r="F109" s="73" t="n">
        <f aca="false">IF(F25&gt;0,F23/F25,"N/M")</f>
        <v>23.2899454403741</v>
      </c>
      <c r="G109" s="73" t="n">
        <f aca="false">IF(G25&gt;0,G23/G25,"N/M")</f>
        <v>30.9531568228106</v>
      </c>
      <c r="H109" s="73" t="n">
        <f aca="false">IF(H25&gt;0,H23/H25,"N/M")</f>
        <v>21.309721175584</v>
      </c>
      <c r="I109" s="73" t="n">
        <f aca="false">IF(I25&gt;0,I23/I25,"N/M")</f>
        <v>17.0997023809524</v>
      </c>
      <c r="J109" s="73" t="n">
        <f aca="false">IF(J25&gt;0,J23/J25,"N/M")</f>
        <v>17.1873628784555</v>
      </c>
      <c r="K109" s="60" t="n">
        <f aca="false">IF(COUNT(D109:J109)=0,"N/M",AVERAGE(D109:J109))</f>
        <v>17.2637436173754</v>
      </c>
      <c r="L109" s="60" t="n">
        <f aca="false">IF(COUNT(D109,J109)=2,J109-D109,"-")</f>
        <v>12.5559526220452</v>
      </c>
    </row>
    <row r="110" customFormat="false" ht="15" hidden="false" customHeight="false" outlineLevel="0" collapsed="false">
      <c r="A110" s="16" t="s">
        <v>677</v>
      </c>
      <c r="B110" s="87" t="s">
        <v>678</v>
      </c>
      <c r="C110" s="17" t="s">
        <v>115</v>
      </c>
      <c r="D110" s="73" t="n">
        <f aca="false">IF(D31&gt;0,D30/D31,"N/M")</f>
        <v>9.26219908913468</v>
      </c>
      <c r="E110" s="73" t="n">
        <f aca="false">IF(E31&gt;0,E30/E31,"N/M")</f>
        <v>7.63122406639004</v>
      </c>
      <c r="F110" s="73" t="n">
        <f aca="false">IF(F31&gt;0,F30/F31,"N/M")</f>
        <v>9.36037491919845</v>
      </c>
      <c r="G110" s="73" t="n">
        <f aca="false">IF(G31&gt;0,G30/G31,"N/M")</f>
        <v>5.84635224760501</v>
      </c>
      <c r="H110" s="73" t="n">
        <f aca="false">IF(H31&gt;0,H30/H31,"N/M")</f>
        <v>6.44615950018376</v>
      </c>
      <c r="I110" s="73" t="n">
        <f aca="false">IF(I31&gt;0,I30/I31,"N/M")</f>
        <v>6.72943864229765</v>
      </c>
      <c r="J110" s="73" t="n">
        <f aca="false">IF(J31&gt;0,J30/J31,"N/M")</f>
        <v>5.94462540716612</v>
      </c>
      <c r="K110" s="60" t="n">
        <f aca="false">IF(COUNT(D110:J110)=0,"N/M",AVERAGE(D110:J110))</f>
        <v>7.3171962674251</v>
      </c>
      <c r="L110" s="60" t="n">
        <f aca="false">IF(COUNT(D110,J110)=2,J110-D110,"-")</f>
        <v>-3.31757368196856</v>
      </c>
    </row>
    <row r="111" customFormat="false" ht="15" hidden="false" customHeight="false" outlineLevel="0" collapsed="false">
      <c r="A111" s="16" t="s">
        <v>679</v>
      </c>
      <c r="B111" s="87" t="s">
        <v>680</v>
      </c>
      <c r="C111" s="17" t="s">
        <v>115</v>
      </c>
      <c r="D111" s="73" t="n">
        <f aca="false">IF(D25+D76&gt;0,D21/(D25+D76/(1-D77)),"N/M")</f>
        <v>2.53846200782192</v>
      </c>
      <c r="E111" s="73" t="n">
        <f aca="false">IF(E25+E76&gt;0,E21/(E25+E76/(1-E77)),"N/M")</f>
        <v>1.47993836799066</v>
      </c>
      <c r="F111" s="73" t="n">
        <f aca="false">IF(F25+F76&gt;0,F21/(F25+F76/(1-F77)),"N/M")</f>
        <v>1.61788305485855</v>
      </c>
      <c r="G111" s="73" t="n">
        <f aca="false">IF(G25+G76&gt;0,G21/(G25+G76/(1-G77)),"N/M")</f>
        <v>37.3930766248481</v>
      </c>
      <c r="H111" s="73" t="n">
        <f aca="false">IF(H25+H76&gt;0,H21/(H25+H76/(1-H77)),"N/M")</f>
        <v>30.9894498869631</v>
      </c>
      <c r="I111" s="73" t="n">
        <f aca="false">IF(I25+I76&gt;0,I21/(I25+I76/(1-I77)),"N/M")</f>
        <v>1.8309212666412</v>
      </c>
      <c r="J111" s="73" t="n">
        <f aca="false">IF(J25+J76&gt;0,J21/(J25+J76/(1-J77)),"N/M")</f>
        <v>22.7731461167179</v>
      </c>
      <c r="K111" s="60" t="n">
        <f aca="false">IF(COUNT(D111:J111)=0,"N/M",AVERAGE(D111:J111))</f>
        <v>14.0889824751202</v>
      </c>
      <c r="L111" s="60" t="n">
        <f aca="false">IF(COUNT(D111,J111)=2,J111-D111,"-")</f>
        <v>20.234684108896</v>
      </c>
    </row>
    <row r="112" customFormat="false" ht="15" hidden="false" customHeight="false" outlineLevel="0" collapsed="false">
      <c r="A112" s="16" t="s">
        <v>681</v>
      </c>
      <c r="B112" s="87" t="s">
        <v>682</v>
      </c>
      <c r="C112" s="17" t="s">
        <v>115</v>
      </c>
      <c r="D112" s="73" t="n">
        <f aca="false">IF(D25+D76&gt;0,(D63+D27)/(D25+D76/(1-D77)),"N/M")</f>
        <v>2.72035147408815</v>
      </c>
      <c r="E112" s="73" t="n">
        <f aca="false">IF(E25+E76&gt;0,(E63+E27)/(E25+E76/(1-E77)),"N/M")</f>
        <v>1.84865694929409</v>
      </c>
      <c r="F112" s="73" t="n">
        <f aca="false">IF(F25+F76&gt;0,(F63+F27)/(F25+F76/(1-F77)),"N/M")</f>
        <v>1.59364407652167</v>
      </c>
      <c r="G112" s="73" t="n">
        <f aca="false">IF(G25+G76&gt;0,(G63+G27)/(G25+G76/(1-G77)),"N/M")</f>
        <v>35.5215327892625</v>
      </c>
      <c r="H112" s="73" t="n">
        <f aca="false">IF(H25+H76&gt;0,(H63+H27)/(H25+H76/(1-H77)),"N/M")</f>
        <v>25.0896759608139</v>
      </c>
      <c r="I112" s="73" t="n">
        <f aca="false">IF(I25+I76&gt;0,(I63+I27)/(I25+I76/(1-I77)),"N/M")</f>
        <v>1.59350632031393</v>
      </c>
      <c r="J112" s="73" t="n">
        <f aca="false">IF(J25+J76&gt;0,(J63+J27)/(J25+J76/(1-J77)),"N/M")</f>
        <v>21.2553751645459</v>
      </c>
      <c r="K112" s="60" t="n">
        <f aca="false">IF(COUNT(D112:J112)=0,"N/M",AVERAGE(D112:J112))</f>
        <v>12.80324896212</v>
      </c>
      <c r="L112" s="60" t="n">
        <f aca="false">IF(COUNT(D112,J112)=2,J112-D112,"-")</f>
        <v>18.5350236904577</v>
      </c>
    </row>
    <row r="113" customFormat="false" ht="15" hidden="false" customHeight="false" outlineLevel="0" collapsed="false">
      <c r="A113" s="16" t="s">
        <v>683</v>
      </c>
      <c r="B113" s="87" t="s">
        <v>684</v>
      </c>
      <c r="C113" s="17" t="s">
        <v>685</v>
      </c>
      <c r="D113" s="73" t="n">
        <f aca="false">IF(D75&gt;0,D63/D75,"N/M")</f>
        <v>1.79441324268401</v>
      </c>
      <c r="E113" s="73" t="n">
        <f aca="false">IF(E75&gt;0,E63/E75,"N/M")</f>
        <v>2.83513211760328</v>
      </c>
      <c r="F113" s="73" t="n">
        <f aca="false">IF(F75&gt;0,F63/F75,"N/M")</f>
        <v>4.82826029913409</v>
      </c>
      <c r="G113" s="73" t="n">
        <f aca="false">IF(G75&gt;0,G63/G75,"N/M")</f>
        <v>1.86734324030446</v>
      </c>
      <c r="H113" s="73" t="n">
        <f aca="false">IF(H75&gt;0,H63/H75,"N/M")</f>
        <v>0.741196572730425</v>
      </c>
      <c r="I113" s="73" t="n">
        <f aca="false">IF(I75&gt;0,I63/I75,"N/M")</f>
        <v>3.61758485245241</v>
      </c>
      <c r="J113" s="73" t="n">
        <f aca="false">IF(J75&gt;0,J63/J75,"N/M")</f>
        <v>1.21064102214836</v>
      </c>
      <c r="K113" s="60" t="n">
        <f aca="false">IF(COUNT(D113:J113)=0,"N/M",AVERAGE(D113:J113))</f>
        <v>2.41351019243672</v>
      </c>
      <c r="L113" s="60" t="n">
        <f aca="false">IF(COUNT(D113,J113)=2,J113-D113,"-")</f>
        <v>-0.583772220535644</v>
      </c>
    </row>
    <row r="114" customFormat="false" ht="15" hidden="false" customHeight="false" outlineLevel="0" collapsed="false">
      <c r="A114" s="16" t="s">
        <v>686</v>
      </c>
      <c r="B114" s="87" t="s">
        <v>687</v>
      </c>
      <c r="C114" s="17" t="s">
        <v>688</v>
      </c>
      <c r="D114" s="73" t="n">
        <f aca="false">IF(D25+D76&gt;0,(D30+D25+D22)/(D25+D76),"N/M")</f>
        <v>2.91104122205998</v>
      </c>
      <c r="E114" s="73" t="n">
        <f aca="false">IF(E25+E76&gt;0,(E30+E25+E22)/(E25+E76),"N/M")</f>
        <v>1.69758706309289</v>
      </c>
      <c r="F114" s="73" t="n">
        <f aca="false">IF(F25+F76&gt;0,(F30+F25+F22)/(F25+F76),"N/M")</f>
        <v>1.83013964142549</v>
      </c>
      <c r="G114" s="73" t="n">
        <f aca="false">IF(G25+G76&gt;0,(G30+G25+G22)/(G25+G76),"N/M")</f>
        <v>40.0866845397677</v>
      </c>
      <c r="H114" s="73" t="n">
        <f aca="false">IF(H25+H76&gt;0,(H30+H25+H22)/(H25+H76),"N/M")</f>
        <v>37.1152976639035</v>
      </c>
      <c r="I114" s="73" t="n">
        <f aca="false">IF(I25+I76&gt;0,(I30+I25+I22)/(I25+I76),"N/M")</f>
        <v>2.38585919889024</v>
      </c>
      <c r="J114" s="73" t="n">
        <f aca="false">IF(J25+J76&gt;0,(J30+J25+J22)/(J25+J76),"N/M")</f>
        <v>26.6055287406757</v>
      </c>
      <c r="K114" s="60" t="n">
        <f aca="false">IF(COUNT(D114:J114)=0,"N/M",AVERAGE(D114:J114))</f>
        <v>16.0903054385451</v>
      </c>
      <c r="L114" s="60" t="n">
        <f aca="false">IF(COUNT(D114,J114)=2,J114-D114,"-")</f>
        <v>23.6944875186158</v>
      </c>
    </row>
    <row r="115" customFormat="false" ht="16.5" hidden="false" customHeight="true" outlineLevel="0" collapsed="false">
      <c r="A115" s="88" t="s">
        <v>689</v>
      </c>
      <c r="B115" s="89"/>
      <c r="C115" s="89"/>
      <c r="D115" s="89"/>
      <c r="E115" s="89"/>
      <c r="F115" s="89"/>
      <c r="G115" s="89"/>
      <c r="H115" s="89"/>
      <c r="I115" s="89"/>
      <c r="J115" s="89"/>
      <c r="K115" s="89"/>
      <c r="L115" s="89"/>
    </row>
    <row r="116" customFormat="false" ht="15" hidden="false" customHeight="false" outlineLevel="0" collapsed="false">
      <c r="A116" s="16" t="s">
        <v>690</v>
      </c>
      <c r="B116" s="87" t="s">
        <v>691</v>
      </c>
      <c r="C116" s="17" t="s">
        <v>692</v>
      </c>
      <c r="D116" s="73" t="n">
        <f aca="false">IF(D51&gt;0,D13/D51,"N/M")</f>
        <v>339.595744680851</v>
      </c>
      <c r="E116" s="73" t="n">
        <f aca="false">IF(E51&gt;0,E13/E51,"N/M")</f>
        <v>325.508426966292</v>
      </c>
      <c r="F116" s="73" t="n">
        <f aca="false">IF(F51&gt;0,F13/F51,"N/M")</f>
        <v>307.722222222222</v>
      </c>
      <c r="G116" s="73" t="n">
        <f aca="false">IF(G51&gt;0,G13/G51,"N/M")</f>
        <v>613.22</v>
      </c>
      <c r="H116" s="73" t="n">
        <f aca="false">IF(H51&gt;0,H13/H51,"N/M")</f>
        <v>311.011374407583</v>
      </c>
      <c r="I116" s="73" t="n">
        <f aca="false">IF(I51&gt;0,I13/I51,"N/M")</f>
        <v>558.943511450382</v>
      </c>
      <c r="J116" s="73" t="n">
        <f aca="false">IF(J51&gt;0,J13/J51,"N/M")</f>
        <v>269.884303112314</v>
      </c>
      <c r="K116" s="60" t="n">
        <f aca="false">IF(COUNT(D116:J116)=0,"N/M",AVERAGE(D116:J116))</f>
        <v>389.412226119949</v>
      </c>
      <c r="L116" s="60" t="n">
        <f aca="false">IF(COUNT(D116,J116)=2,J116-D116,"-")</f>
        <v>-69.7114415685371</v>
      </c>
    </row>
    <row r="117" customFormat="false" ht="15" hidden="false" customHeight="false" outlineLevel="0" collapsed="false">
      <c r="A117" s="16" t="s">
        <v>693</v>
      </c>
      <c r="B117" s="87" t="s">
        <v>694</v>
      </c>
      <c r="C117" s="17" t="s">
        <v>653</v>
      </c>
      <c r="D117" s="74" t="n">
        <f aca="false">IF(D13&gt;0,D51/D13*Setup!$C$8,"N/M")</f>
        <v>1.07480734289831</v>
      </c>
      <c r="E117" s="74" t="n">
        <f aca="false">IF(E13&gt;0,E51/E13*Setup!$C$8,"N/M")</f>
        <v>1.1213227362553</v>
      </c>
      <c r="F117" s="74" t="n">
        <f aca="false">IF(F13&gt;0,F51/F13*Setup!$C$8,"N/M")</f>
        <v>1.18613468135042</v>
      </c>
      <c r="G117" s="74" t="n">
        <f aca="false">IF(G13&gt;0,G51/G13*Setup!$C$8,"N/M")</f>
        <v>0.595218681712925</v>
      </c>
      <c r="H117" s="74" t="n">
        <f aca="false">IF(H13&gt;0,H51/H13*Setup!$C$8,"N/M")</f>
        <v>1.17359051801644</v>
      </c>
      <c r="I117" s="74" t="n">
        <f aca="false">IF(I13&gt;0,I51/I13*Setup!$C$8,"N/M")</f>
        <v>0.653017688769434</v>
      </c>
      <c r="J117" s="74" t="n">
        <f aca="false">IF(J13&gt;0,J51/J13*Setup!$C$8,"N/M")</f>
        <v>1.35243137815282</v>
      </c>
      <c r="K117" s="58" t="n">
        <f aca="false">IF(COUNT(D117:J117)=0,"N/M",AVERAGE(D117:J117))</f>
        <v>1.02236043245081</v>
      </c>
      <c r="L117" s="58" t="n">
        <f aca="false">IF(COUNT(D117,J117)=2,J117-D117,"-")</f>
        <v>0.277624035254505</v>
      </c>
    </row>
    <row r="118" customFormat="false" ht="15" hidden="false" customHeight="false" outlineLevel="0" collapsed="false">
      <c r="A118" s="16" t="s">
        <v>695</v>
      </c>
      <c r="B118" s="87" t="s">
        <v>696</v>
      </c>
      <c r="C118" s="17" t="s">
        <v>692</v>
      </c>
      <c r="D118" s="73" t="n">
        <f aca="false">IF(D50&gt;0,D7/D50,"N/M")</f>
        <v>5.57734455161092</v>
      </c>
      <c r="E118" s="73" t="n">
        <f aca="false">IF(E50&gt;0,E7/E50,"N/M")</f>
        <v>5.48369990607389</v>
      </c>
      <c r="F118" s="73" t="n">
        <f aca="false">IF(F50&gt;0,F7/F50,"N/M")</f>
        <v>6.41182488932612</v>
      </c>
      <c r="G118" s="73" t="n">
        <f aca="false">IF(G50&gt;0,G7/G50,"N/M")</f>
        <v>6.74363088552531</v>
      </c>
      <c r="H118" s="73" t="n">
        <f aca="false">IF(H50&gt;0,H7/H50,"N/M")</f>
        <v>6.70006493182159</v>
      </c>
      <c r="I118" s="73" t="n">
        <f aca="false">IF(I50&gt;0,I7/I50,"N/M")</f>
        <v>6.22190517086144</v>
      </c>
      <c r="J118" s="73" t="n">
        <f aca="false">IF(J50&gt;0,J7/J50,"N/M")</f>
        <v>6.02279631535107</v>
      </c>
      <c r="K118" s="60" t="n">
        <f aca="false">IF(COUNT(D118:J118)=0,"N/M",AVERAGE(D118:J118))</f>
        <v>6.16589523579576</v>
      </c>
      <c r="L118" s="60" t="n">
        <f aca="false">IF(COUNT(D118,J118)=2,J118-D118,"-")</f>
        <v>0.445451763740153</v>
      </c>
    </row>
    <row r="119" customFormat="false" ht="15" hidden="false" customHeight="false" outlineLevel="0" collapsed="false">
      <c r="A119" s="16" t="s">
        <v>697</v>
      </c>
      <c r="B119" s="87" t="s">
        <v>698</v>
      </c>
      <c r="C119" s="17" t="s">
        <v>653</v>
      </c>
      <c r="D119" s="74" t="n">
        <f aca="false">IF(D7&gt;0,D50/D7*Setup!$C$8,"N/M")</f>
        <v>65.4433299973508</v>
      </c>
      <c r="E119" s="74" t="n">
        <f aca="false">IF(E7&gt;0,E50/E7*Setup!$C$8,"N/M")</f>
        <v>66.5608998033821</v>
      </c>
      <c r="F119" s="74" t="n">
        <f aca="false">IF(F7&gt;0,F50/F7*Setup!$C$8,"N/M")</f>
        <v>56.9260711732197</v>
      </c>
      <c r="G119" s="74" t="n">
        <f aca="false">IF(G7&gt;0,G50/G7*Setup!$C$8,"N/M")</f>
        <v>54.1251450733232</v>
      </c>
      <c r="H119" s="74" t="n">
        <f aca="false">IF(H7&gt;0,H50/H7*Setup!$C$8,"N/M")</f>
        <v>54.4770839856272</v>
      </c>
      <c r="I119" s="74" t="n">
        <f aca="false">IF(I7&gt;0,I50/I7*Setup!$C$8,"N/M")</f>
        <v>58.6637034761275</v>
      </c>
      <c r="J119" s="74" t="n">
        <f aca="false">IF(J7&gt;0,J50/J7*Setup!$C$8,"N/M")</f>
        <v>60.6030788505462</v>
      </c>
      <c r="K119" s="58" t="n">
        <f aca="false">IF(COUNT(D119:J119)=0,"N/M",AVERAGE(D119:J119))</f>
        <v>59.542758908511</v>
      </c>
      <c r="L119" s="58" t="n">
        <f aca="false">IF(COUNT(D119,J119)=2,J119-D119,"-")</f>
        <v>-4.84025114680465</v>
      </c>
    </row>
    <row r="120" customFormat="false" ht="15" hidden="false" customHeight="false" outlineLevel="0" collapsed="false">
      <c r="A120" s="16" t="s">
        <v>699</v>
      </c>
      <c r="B120" s="87" t="s">
        <v>700</v>
      </c>
      <c r="C120" s="17" t="s">
        <v>692</v>
      </c>
      <c r="D120" s="73" t="n">
        <f aca="false">IF(D42&gt;0,D13/D42,"N/M")</f>
        <v>9.41334569045412</v>
      </c>
      <c r="E120" s="73" t="n">
        <f aca="false">IF(E42&gt;0,E13/E42,"N/M")</f>
        <v>8.53258228407334</v>
      </c>
      <c r="F120" s="73" t="n">
        <f aca="false">IF(F42&gt;0,F13/F42,"N/M")</f>
        <v>8.66275123119926</v>
      </c>
      <c r="G120" s="73" t="n">
        <f aca="false">IF(G42&gt;0,G13/G42,"N/M")</f>
        <v>9.97917005695688</v>
      </c>
      <c r="H120" s="73" t="n">
        <f aca="false">IF(H42&gt;0,H13/H42,"N/M")</f>
        <v>10.7968739717012</v>
      </c>
      <c r="I120" s="73" t="n">
        <f aca="false">IF(I42&gt;0,I13/I42,"N/M")</f>
        <v>6.81232555543151</v>
      </c>
      <c r="J120" s="73" t="n">
        <f aca="false">IF(J42&gt;0,J13/J42,"N/M")</f>
        <v>6.60992261421446</v>
      </c>
      <c r="K120" s="60" t="n">
        <f aca="false">IF(COUNT(D120:J120)=0,"N/M",AVERAGE(D120:J120))</f>
        <v>8.68671020057583</v>
      </c>
      <c r="L120" s="60" t="n">
        <f aca="false">IF(COUNT(D120,J120)=2,J120-D120,"-")</f>
        <v>-2.80342307623967</v>
      </c>
    </row>
    <row r="121" customFormat="false" ht="15" hidden="false" customHeight="false" outlineLevel="0" collapsed="false">
      <c r="A121" s="16" t="s">
        <v>701</v>
      </c>
      <c r="B121" s="87" t="s">
        <v>702</v>
      </c>
      <c r="C121" s="17" t="s">
        <v>653</v>
      </c>
      <c r="D121" s="74" t="n">
        <f aca="false">IF(D13&gt;0,D42/D13*Setup!$C$8,"N/M")</f>
        <v>38.7747366348331</v>
      </c>
      <c r="E121" s="74" t="n">
        <f aca="false">IF(E13&gt;0,E42/E13*Setup!$C$8,"N/M")</f>
        <v>42.7772024749528</v>
      </c>
      <c r="F121" s="74" t="n">
        <f aca="false">IF(F13&gt;0,F42/F13*Setup!$C$8,"N/M")</f>
        <v>42.1344201465047</v>
      </c>
      <c r="G121" s="74" t="n">
        <f aca="false">IF(G13&gt;0,G42/G13*Setup!$C$8,"N/M")</f>
        <v>36.5761879912593</v>
      </c>
      <c r="H121" s="74" t="n">
        <f aca="false">IF(H13&gt;0,H42/H13*Setup!$C$8,"N/M")</f>
        <v>33.8060813673172</v>
      </c>
      <c r="I121" s="74" t="n">
        <f aca="false">IF(I13&gt;0,I42/I13*Setup!$C$8,"N/M")</f>
        <v>53.5793536333541</v>
      </c>
      <c r="J121" s="74" t="n">
        <f aca="false">IF(J13&gt;0,J42/J13*Setup!$C$8,"N/M")</f>
        <v>55.2200110807769</v>
      </c>
      <c r="K121" s="58" t="n">
        <f aca="false">IF(COUNT(D121:J121)=0,"N/M",AVERAGE(D121:J121))</f>
        <v>43.2668561898568</v>
      </c>
      <c r="L121" s="58" t="n">
        <f aca="false">IF(COUNT(D121,J121)=2,J121-D121,"-")</f>
        <v>16.4452744459437</v>
      </c>
    </row>
    <row r="122" customFormat="false" ht="15" hidden="false" customHeight="false" outlineLevel="0" collapsed="false">
      <c r="A122" s="16" t="s">
        <v>703</v>
      </c>
      <c r="B122" s="87" t="s">
        <v>704</v>
      </c>
      <c r="C122" s="17" t="s">
        <v>653</v>
      </c>
      <c r="D122" s="74" t="n">
        <f aca="false">IF(COUNT(D117,D119,D121)=3,D117+D119-D121,"N/M")</f>
        <v>27.743400705416</v>
      </c>
      <c r="E122" s="74" t="n">
        <f aca="false">IF(COUNT(E117,E119,E121)=3,E117+E119-E121,"N/M")</f>
        <v>24.9050200646847</v>
      </c>
      <c r="F122" s="74" t="n">
        <f aca="false">IF(COUNT(F117,F119,F121)=3,F117+F119-F121,"N/M")</f>
        <v>15.9777857080654</v>
      </c>
      <c r="G122" s="74" t="n">
        <f aca="false">IF(COUNT(G117,G119,G121)=3,G117+G119-G121,"N/M")</f>
        <v>18.1441757637768</v>
      </c>
      <c r="H122" s="74" t="n">
        <f aca="false">IF(COUNT(H117,H119,H121)=3,H117+H119-H121,"N/M")</f>
        <v>21.8445931363265</v>
      </c>
      <c r="I122" s="74" t="n">
        <f aca="false">IF(COUNT(I117,I119,I121)=3,I117+I119-I121,"N/M")</f>
        <v>5.73736753154284</v>
      </c>
      <c r="J122" s="74" t="n">
        <f aca="false">IF(COUNT(J117,J119,J121)=3,J117+J119-J121,"N/M")</f>
        <v>6.73549914792215</v>
      </c>
      <c r="K122" s="58" t="n">
        <f aca="false">IF(COUNT(D122:J122)=0,"N/M",AVERAGE(D122:J122))</f>
        <v>17.2982631511049</v>
      </c>
      <c r="L122" s="58" t="n">
        <f aca="false">IF(COUNT(D122,J122)=2,J122-D122,"-")</f>
        <v>-21.0079015574939</v>
      </c>
    </row>
    <row r="123" customFormat="false" ht="15" hidden="false" customHeight="false" outlineLevel="0" collapsed="false">
      <c r="A123" s="16" t="s">
        <v>705</v>
      </c>
      <c r="B123" s="87" t="s">
        <v>706</v>
      </c>
      <c r="C123" s="17" t="s">
        <v>692</v>
      </c>
      <c r="D123" s="73" t="n">
        <f aca="false">IF(D45&gt;0,D7/D45,"N/M")</f>
        <v>3.52179546985953</v>
      </c>
      <c r="E123" s="73" t="n">
        <f aca="false">IF(E45&gt;0,E7/E45,"N/M")</f>
        <v>3.48283061779949</v>
      </c>
      <c r="F123" s="73" t="n">
        <f aca="false">IF(F45&gt;0,F7/F45,"N/M")</f>
        <v>4.06665002807762</v>
      </c>
      <c r="G123" s="73" t="n">
        <f aca="false">IF(G45&gt;0,G7/G45,"N/M")</f>
        <v>4.78043879382251</v>
      </c>
      <c r="H123" s="73" t="n">
        <f aca="false">IF(H45&gt;0,H7/H45,"N/M")</f>
        <v>4.6697068857481</v>
      </c>
      <c r="I123" s="73" t="n">
        <f aca="false">IF(I45&gt;0,I7/I45,"N/M")</f>
        <v>4.66097333194978</v>
      </c>
      <c r="J123" s="73" t="n">
        <f aca="false">IF(J45&gt;0,J7/J45,"N/M")</f>
        <v>4.12242074638003</v>
      </c>
      <c r="K123" s="60" t="n">
        <f aca="false">IF(COUNT(D123:J123)=0,"N/M",AVERAGE(D123:J123))</f>
        <v>4.18640226766244</v>
      </c>
      <c r="L123" s="60" t="n">
        <f aca="false">IF(COUNT(D123,J123)=2,J123-D123,"-")</f>
        <v>0.600625276520497</v>
      </c>
    </row>
    <row r="124" customFormat="false" ht="15" hidden="false" customHeight="false" outlineLevel="0" collapsed="false">
      <c r="A124" s="16" t="s">
        <v>707</v>
      </c>
      <c r="B124" s="87" t="s">
        <v>708</v>
      </c>
      <c r="C124" s="17" t="s">
        <v>692</v>
      </c>
      <c r="D124" s="73" t="n">
        <f aca="false">IF(D49&gt;0,D7/D49,"N/M")</f>
        <v>1.61457120452439</v>
      </c>
      <c r="E124" s="73" t="n">
        <f aca="false">IF(E49&gt;0,E7/E49,"N/M")</f>
        <v>1.61167120041868</v>
      </c>
      <c r="F124" s="73" t="n">
        <f aca="false">IF(F49&gt;0,F7/F49,"N/M")</f>
        <v>1.78366529285233</v>
      </c>
      <c r="G124" s="73" t="n">
        <f aca="false">IF(G49&gt;0,G7/G49,"N/M")</f>
        <v>1.80044361728965</v>
      </c>
      <c r="H124" s="73" t="n">
        <f aca="false">IF(H49&gt;0,H7/H49,"N/M")</f>
        <v>1.60880307028064</v>
      </c>
      <c r="I124" s="73" t="n">
        <f aca="false">IF(I49&gt;0,I7/I49,"N/M")</f>
        <v>1.53092504166624</v>
      </c>
      <c r="J124" s="73" t="n">
        <f aca="false">IF(J49&gt;0,J7/J49,"N/M")</f>
        <v>1.41211019397678</v>
      </c>
      <c r="K124" s="60" t="n">
        <f aca="false">IF(COUNT(D124:J124)=0,"N/M",AVERAGE(D124:J124))</f>
        <v>1.62316994585839</v>
      </c>
      <c r="L124" s="60" t="n">
        <f aca="false">IF(COUNT(D124,J124)=2,J124-D124,"-")</f>
        <v>-0.202461010547609</v>
      </c>
    </row>
    <row r="125" customFormat="false" ht="15" hidden="false" customHeight="false" outlineLevel="0" collapsed="false">
      <c r="A125" s="16" t="s">
        <v>709</v>
      </c>
      <c r="B125" s="87" t="s">
        <v>710</v>
      </c>
      <c r="C125" s="17" t="s">
        <v>692</v>
      </c>
      <c r="D125" s="73" t="n">
        <f aca="false">IF(D90&gt;0,D7/D90,"N/M")</f>
        <v>1.8796353928932</v>
      </c>
      <c r="E125" s="73" t="n">
        <f aca="false">IF(E90&gt;0,E7/E90,"N/M")</f>
        <v>1.91003891793156</v>
      </c>
      <c r="F125" s="73" t="n">
        <f aca="false">IF(F90&gt;0,F7/F90,"N/M")</f>
        <v>2.1348107775252</v>
      </c>
      <c r="G125" s="73" t="n">
        <f aca="false">IF(G90&gt;0,G7/G90,"N/M")</f>
        <v>2.10885563596222</v>
      </c>
      <c r="H125" s="73" t="n">
        <f aca="false">IF(H90&gt;0,H7/H90,"N/M")</f>
        <v>1.83129010238908</v>
      </c>
      <c r="I125" s="73" t="n">
        <f aca="false">IF(I90&gt;0,I7/I90,"N/M")</f>
        <v>1.87422233905391</v>
      </c>
      <c r="J125" s="73" t="n">
        <f aca="false">IF(J90&gt;0,J7/J90,"N/M")</f>
        <v>1.70816671820011</v>
      </c>
      <c r="K125" s="60" t="n">
        <f aca="false">IF(COUNT(D125:J125)=0,"N/M",AVERAGE(D125:J125))</f>
        <v>1.92100284056504</v>
      </c>
      <c r="L125" s="60" t="n">
        <f aca="false">IF(COUNT(D125,J125)=2,J125-D125,"-")</f>
        <v>-0.171468674693099</v>
      </c>
    </row>
    <row r="126" customFormat="false" ht="15" hidden="false" customHeight="false" outlineLevel="0" collapsed="false">
      <c r="A126" s="16" t="s">
        <v>711</v>
      </c>
      <c r="B126" s="87" t="s">
        <v>712</v>
      </c>
      <c r="C126" s="17" t="s">
        <v>692</v>
      </c>
      <c r="D126" s="73" t="n">
        <f aca="false">IF(D87&gt;0,D7/D87,"N/M")</f>
        <v>3.601362184796</v>
      </c>
      <c r="E126" s="73" t="n">
        <f aca="false">IF(E87&gt;0,E7/E87,"N/M")</f>
        <v>3.59751213124856</v>
      </c>
      <c r="F126" s="73" t="n">
        <f aca="false">IF(F87&gt;0,F7/F87,"N/M")</f>
        <v>3.94686739254181</v>
      </c>
      <c r="G126" s="73" t="n">
        <f aca="false">IF(G87&gt;0,G7/G87,"N/M")</f>
        <v>3.79102398348317</v>
      </c>
      <c r="H126" s="73" t="n">
        <f aca="false">IF(H87&gt;0,H7/H87,"N/M")</f>
        <v>4.07317887832873</v>
      </c>
      <c r="I126" s="73" t="n">
        <f aca="false">IF(I87&gt;0,I7/I87,"N/M")</f>
        <v>3.44419396393081</v>
      </c>
      <c r="J126" s="73" t="n">
        <f aca="false">IF(J87&gt;0,J7/J87,"N/M")</f>
        <v>3.36912756276724</v>
      </c>
      <c r="K126" s="60" t="n">
        <f aca="false">IF(COUNT(D126:J126)=0,"N/M",AVERAGE(D126:J126))</f>
        <v>3.6890380138709</v>
      </c>
      <c r="L126" s="60" t="n">
        <f aca="false">IF(COUNT(D126,J126)=2,J126-D126,"-")</f>
        <v>-0.232234622028763</v>
      </c>
    </row>
    <row r="127" customFormat="false" ht="15" hidden="false" customHeight="false" outlineLevel="0" collapsed="false">
      <c r="A127" s="16" t="s">
        <v>713</v>
      </c>
      <c r="B127" s="87" t="s">
        <v>714</v>
      </c>
      <c r="C127" s="17" t="s">
        <v>692</v>
      </c>
      <c r="D127" s="73" t="n">
        <f aca="false">IF(D94&gt;0,D7/D94,"N/M")</f>
        <v>5.25399679096832</v>
      </c>
      <c r="E127" s="73" t="n">
        <f aca="false">IF(E94&gt;0,E7/E94,"N/M")</f>
        <v>5.52347445600757</v>
      </c>
      <c r="F127" s="73" t="n">
        <f aca="false">IF(F94&gt;0,F7/F94,"N/M")</f>
        <v>6.20548414738646</v>
      </c>
      <c r="G127" s="73" t="n">
        <f aca="false">IF(G94&gt;0,G7/G94,"N/M")</f>
        <v>5.4778572669872</v>
      </c>
      <c r="H127" s="73" t="n">
        <f aca="false">IF(H94&gt;0,H7/H94,"N/M")</f>
        <v>5.88264702012893</v>
      </c>
      <c r="I127" s="73" t="n">
        <f aca="false">IF(I94&gt;0,I7/I94,"N/M")</f>
        <v>5.85828312074497</v>
      </c>
      <c r="J127" s="73" t="n">
        <f aca="false">IF(J94&gt;0,J7/J94,"N/M")</f>
        <v>5.74462839850916</v>
      </c>
      <c r="K127" s="60" t="n">
        <f aca="false">IF(COUNT(D127:J127)=0,"N/M",AVERAGE(D127:J127))</f>
        <v>5.70662445724751</v>
      </c>
      <c r="L127" s="60" t="n">
        <f aca="false">IF(COUNT(D127,J127)=2,J127-D127,"-")</f>
        <v>0.490631607540839</v>
      </c>
    </row>
    <row r="128" customFormat="false" ht="16.5" hidden="false" customHeight="true" outlineLevel="0" collapsed="false">
      <c r="A128" s="88" t="s">
        <v>715</v>
      </c>
      <c r="B128" s="89"/>
      <c r="C128" s="89"/>
      <c r="D128" s="89"/>
      <c r="E128" s="89"/>
      <c r="F128" s="89"/>
      <c r="G128" s="89"/>
      <c r="H128" s="89"/>
      <c r="I128" s="89"/>
      <c r="J128" s="89"/>
      <c r="K128" s="89"/>
      <c r="L128" s="89"/>
    </row>
    <row r="129" customFormat="false" ht="15" hidden="false" customHeight="false" outlineLevel="0" collapsed="false">
      <c r="A129" s="16" t="s">
        <v>716</v>
      </c>
      <c r="B129" s="87" t="s">
        <v>717</v>
      </c>
      <c r="C129" s="17" t="s">
        <v>615</v>
      </c>
      <c r="D129" s="71" t="n">
        <f aca="false">IF(D7&gt;0,D14/D7,"N/M")</f>
        <v>0.177825037529803</v>
      </c>
      <c r="E129" s="71" t="n">
        <f aca="false">IF(E7&gt;0,E14/E7,"N/M")</f>
        <v>0.172984488240395</v>
      </c>
      <c r="F129" s="71" t="n">
        <f aca="false">IF(F7&gt;0,F14/F7,"N/M")</f>
        <v>0.201140907263694</v>
      </c>
      <c r="G129" s="71" t="n">
        <f aca="false">IF(G7&gt;0,G14/G7,"N/M")</f>
        <v>0.189413546874215</v>
      </c>
      <c r="H129" s="71" t="n">
        <f aca="false">IF(H7&gt;0,H14/H7,"N/M")</f>
        <v>0.184652582089626</v>
      </c>
      <c r="I129" s="71" t="n">
        <f aca="false">IF(I7&gt;0,I14/I7,"N/M")</f>
        <v>0.184937819750745</v>
      </c>
      <c r="J129" s="71" t="n">
        <f aca="false">IF(J7&gt;0,J14/J7,"N/M")</f>
        <v>0.188717389668421</v>
      </c>
      <c r="K129" s="62" t="n">
        <f aca="false">IF(COUNT(D129:J129)=0,"N/M",AVERAGE(D129:J129))</f>
        <v>0.1856673959167</v>
      </c>
      <c r="L129" s="62" t="n">
        <f aca="false">IF(COUNT(D129,J129)=2,J129-D129,"-")</f>
        <v>0.0108923521386175</v>
      </c>
    </row>
    <row r="130" customFormat="false" ht="15" hidden="false" customHeight="false" outlineLevel="0" collapsed="false">
      <c r="A130" s="16" t="s">
        <v>718</v>
      </c>
      <c r="B130" s="87" t="s">
        <v>719</v>
      </c>
      <c r="C130" s="17" t="s">
        <v>615</v>
      </c>
      <c r="D130" s="71" t="n">
        <f aca="false">IF(D7&gt;0,D21/D7,"N/M")</f>
        <v>0.0888352515232685</v>
      </c>
      <c r="E130" s="71" t="n">
        <f aca="false">IF(E7&gt;0,E21/E7,"N/M")</f>
        <v>0.0938556018255844</v>
      </c>
      <c r="F130" s="71" t="n">
        <f aca="false">IF(F7&gt;0,F21/F7,"N/M")</f>
        <v>0.126374351373661</v>
      </c>
      <c r="G130" s="71" t="n">
        <f aca="false">IF(G7&gt;0,G21/G7,"N/M")</f>
        <v>0.112455288335708</v>
      </c>
      <c r="H130" s="71" t="n">
        <f aca="false">IF(H7&gt;0,H21/H7,"N/M")</f>
        <v>0.102187731409004</v>
      </c>
      <c r="I130" s="71" t="n">
        <f aca="false">IF(I7&gt;0,I21/I7,"N/M")</f>
        <v>0.102979219819314</v>
      </c>
      <c r="J130" s="71" t="n">
        <f aca="false">IF(J7&gt;0,J21/J7,"N/M")</f>
        <v>0.105557103545621</v>
      </c>
      <c r="K130" s="62" t="n">
        <f aca="false">IF(COUNT(D130:J130)=0,"N/M",AVERAGE(D130:J130))</f>
        <v>0.104606363976023</v>
      </c>
      <c r="L130" s="62" t="n">
        <f aca="false">IF(COUNT(D130,J130)=2,J130-D130,"-")</f>
        <v>0.0167218520223521</v>
      </c>
    </row>
    <row r="131" customFormat="false" ht="15" hidden="false" customHeight="false" outlineLevel="0" collapsed="false">
      <c r="A131" s="16" t="s">
        <v>720</v>
      </c>
      <c r="B131" s="87" t="s">
        <v>721</v>
      </c>
      <c r="C131" s="17" t="s">
        <v>615</v>
      </c>
      <c r="D131" s="71" t="n">
        <f aca="false">IF(D7&gt;0,D23/D7,"N/M")</f>
        <v>0.0584839431313102</v>
      </c>
      <c r="E131" s="71" t="n">
        <f aca="false">IF(E7&gt;0,E23/E7,"N/M")</f>
        <v>0.0607374419691761</v>
      </c>
      <c r="F131" s="71" t="n">
        <f aca="false">IF(F7&gt;0,F23/F7,"N/M")</f>
        <v>0.0916929799528048</v>
      </c>
      <c r="G131" s="71" t="n">
        <f aca="false">IF(G7&gt;0,G23/G7,"N/M")</f>
        <v>0.0803580634330628</v>
      </c>
      <c r="H131" s="71" t="n">
        <f aca="false">IF(H7&gt;0,H23/H7,"N/M")</f>
        <v>0.070268819609071</v>
      </c>
      <c r="I131" s="71" t="n">
        <f aca="false">IF(I7&gt;0,I23/I7,"N/M")</f>
        <v>0.0767468575932036</v>
      </c>
      <c r="J131" s="71" t="n">
        <f aca="false">IF(J7&gt;0,J23/J7,"N/M")</f>
        <v>0.0796661222713287</v>
      </c>
      <c r="K131" s="62" t="n">
        <f aca="false">IF(COUNT(D131:J131)=0,"N/M",AVERAGE(D131:J131))</f>
        <v>0.0739934611371368</v>
      </c>
      <c r="L131" s="62" t="n">
        <f aca="false">IF(COUNT(D131,J131)=2,J131-D131,"-")</f>
        <v>0.0211821791400185</v>
      </c>
    </row>
    <row r="132" customFormat="false" ht="15" hidden="false" customHeight="false" outlineLevel="0" collapsed="false">
      <c r="A132" s="16" t="s">
        <v>722</v>
      </c>
      <c r="B132" s="87" t="s">
        <v>723</v>
      </c>
      <c r="C132" s="17" t="s">
        <v>615</v>
      </c>
      <c r="D132" s="71" t="n">
        <f aca="false">IF(D7&gt;0,D26/D7,"N/M")</f>
        <v>0.0585428134106496</v>
      </c>
      <c r="E132" s="71" t="n">
        <f aca="false">IF(E7&gt;0,E26/E7,"N/M")</f>
        <v>0.062179068580747</v>
      </c>
      <c r="F132" s="71" t="n">
        <f aca="false">IF(F7&gt;0,F26/F7,"N/M")</f>
        <v>0.101408182741553</v>
      </c>
      <c r="G132" s="71" t="n">
        <f aca="false">IF(G7&gt;0,G26/G7,"N/M")</f>
        <v>0.0962388006038224</v>
      </c>
      <c r="H132" s="71" t="n">
        <f aca="false">IF(H7&gt;0,H26/H7,"N/M")</f>
        <v>0.0964376059200946</v>
      </c>
      <c r="I132" s="71" t="n">
        <f aca="false">IF(I7&gt;0,I26/I7,"N/M")</f>
        <v>0.102273486234856</v>
      </c>
      <c r="J132" s="71" t="n">
        <f aca="false">IF(J7&gt;0,J26/J7,"N/M")</f>
        <v>0.101670405571137</v>
      </c>
      <c r="K132" s="62" t="n">
        <f aca="false">IF(COUNT(D132:J132)=0,"N/M",AVERAGE(D132:J132))</f>
        <v>0.0883929090089799</v>
      </c>
      <c r="L132" s="62" t="n">
        <f aca="false">IF(COUNT(D132,J132)=2,J132-D132,"-")</f>
        <v>0.0431275921604877</v>
      </c>
    </row>
    <row r="133" customFormat="false" ht="15" hidden="false" customHeight="false" outlineLevel="0" collapsed="false">
      <c r="A133" s="16" t="s">
        <v>724</v>
      </c>
      <c r="B133" s="87" t="s">
        <v>725</v>
      </c>
      <c r="C133" s="17" t="s">
        <v>615</v>
      </c>
      <c r="D133" s="71" t="n">
        <f aca="false">IF(D7&gt;0,D30/D7,"N/M")</f>
        <v>0.0523798310422983</v>
      </c>
      <c r="E133" s="71" t="n">
        <f aca="false">IF(E7&gt;0,E30/E7,"N/M")</f>
        <v>0.0525016146931726</v>
      </c>
      <c r="F133" s="71" t="n">
        <f aca="false">IF(F7&gt;0,F30/F7,"N/M")</f>
        <v>0.0888698635391447</v>
      </c>
      <c r="G133" s="71" t="n">
        <f aca="false">IF(G7&gt;0,G30/G7,"N/M")</f>
        <v>0.0838953409983159</v>
      </c>
      <c r="H133" s="71" t="n">
        <f aca="false">IF(H7&gt;0,H30/H7,"N/M")</f>
        <v>0.0871713060289345</v>
      </c>
      <c r="I133" s="71" t="n">
        <f aca="false">IF(I7&gt;0,I30/I7,"N/M")</f>
        <v>0.0918077020691129</v>
      </c>
      <c r="J133" s="71" t="n">
        <f aca="false">IF(J7&gt;0,J30/J7,"N/M")</f>
        <v>0.0927946599088426</v>
      </c>
      <c r="K133" s="62" t="n">
        <f aca="false">IF(COUNT(D133:J133)=0,"N/M",AVERAGE(D133:J133))</f>
        <v>0.0784886168971174</v>
      </c>
      <c r="L133" s="62" t="n">
        <f aca="false">IF(COUNT(D133,J133)=2,J133-D133,"-")</f>
        <v>0.0404148288665443</v>
      </c>
    </row>
    <row r="134" customFormat="false" ht="16.5" hidden="false" customHeight="true" outlineLevel="0" collapsed="false">
      <c r="A134" s="88" t="s">
        <v>726</v>
      </c>
      <c r="B134" s="89"/>
      <c r="C134" s="89"/>
      <c r="D134" s="89"/>
      <c r="E134" s="89"/>
      <c r="F134" s="89"/>
      <c r="G134" s="89"/>
      <c r="H134" s="89"/>
      <c r="I134" s="89"/>
      <c r="J134" s="89"/>
      <c r="K134" s="89"/>
      <c r="L134" s="89"/>
    </row>
    <row r="135" customFormat="false" ht="15" hidden="false" customHeight="false" outlineLevel="0" collapsed="false">
      <c r="A135" s="16" t="s">
        <v>727</v>
      </c>
      <c r="B135" s="87" t="s">
        <v>728</v>
      </c>
      <c r="C135" s="17" t="s">
        <v>615</v>
      </c>
      <c r="D135" s="71" t="n">
        <f aca="false">IF(D7&gt;0,D13/D7,"N/M")</f>
        <v>0.822174962470197</v>
      </c>
      <c r="E135" s="71" t="n">
        <f aca="false">IF(E7&gt;0,E13/E7,"N/M")</f>
        <v>0.827015511759605</v>
      </c>
      <c r="F135" s="71" t="n">
        <f aca="false">IF(F7&gt;0,F13/F7,"N/M")</f>
        <v>0.798859092736306</v>
      </c>
      <c r="G135" s="71" t="n">
        <f aca="false">IF(G7&gt;0,G13/G7,"N/M")</f>
        <v>0.810586453125785</v>
      </c>
      <c r="H135" s="71" t="n">
        <f aca="false">IF(H7&gt;0,H13/H7,"N/M")</f>
        <v>0.815347417910374</v>
      </c>
      <c r="I135" s="71" t="n">
        <f aca="false">IF(I7&gt;0,I13/I7,"N/M")</f>
        <v>0.815062180249255</v>
      </c>
      <c r="J135" s="71" t="n">
        <f aca="false">IF(J7&gt;0,J13/J7,"N/M")</f>
        <v>0.811282610331579</v>
      </c>
      <c r="K135" s="62" t="n">
        <f aca="false">IF(COUNT(D135:J135)=0,"N/M",AVERAGE(D135:J135))</f>
        <v>0.8143326040833</v>
      </c>
      <c r="L135" s="62" t="n">
        <f aca="false">IF(COUNT(D135,J135)=2,J135-D135,"-")</f>
        <v>-0.0108923521386175</v>
      </c>
    </row>
    <row r="136" customFormat="false" ht="15" hidden="false" customHeight="false" outlineLevel="0" collapsed="false">
      <c r="A136" s="16" t="s">
        <v>729</v>
      </c>
      <c r="B136" s="87" t="s">
        <v>730</v>
      </c>
      <c r="C136" s="17" t="s">
        <v>615</v>
      </c>
      <c r="D136" s="71" t="n">
        <f aca="false">IF(D7&gt;0,D19/D7,"N/M")</f>
        <v>0.0889897860065346</v>
      </c>
      <c r="E136" s="71" t="n">
        <f aca="false">IF(E7&gt;0,E19/E7,"N/M")</f>
        <v>0.0791288864148102</v>
      </c>
      <c r="F136" s="71" t="n">
        <f aca="false">IF(F7&gt;0,F19/F7,"N/M")</f>
        <v>0.0747665558900335</v>
      </c>
      <c r="G136" s="71" t="n">
        <f aca="false">IF(G7&gt;0,G19/G7,"N/M")</f>
        <v>0.0769582585385069</v>
      </c>
      <c r="H136" s="71" t="n">
        <f aca="false">IF(H7&gt;0,H19/H7,"N/M")</f>
        <v>0.082464850680622</v>
      </c>
      <c r="I136" s="71" t="n">
        <f aca="false">IF(I7&gt;0,I19/I7,"N/M")</f>
        <v>0.0819585999314303</v>
      </c>
      <c r="J136" s="71" t="n">
        <f aca="false">IF(J7&gt;0,J19/J7,"N/M")</f>
        <v>0.0831602861228001</v>
      </c>
      <c r="K136" s="62" t="n">
        <f aca="false">IF(COUNT(D136:J136)=0,"N/M",AVERAGE(D136:J136))</f>
        <v>0.0810610319406768</v>
      </c>
      <c r="L136" s="62" t="n">
        <f aca="false">IF(COUNT(D136,J136)=2,J136-D136,"-")</f>
        <v>-0.00582949988373449</v>
      </c>
    </row>
    <row r="137" customFormat="false" ht="15" hidden="false" customHeight="false" outlineLevel="0" collapsed="false">
      <c r="A137" s="16" t="s">
        <v>731</v>
      </c>
      <c r="B137" s="87" t="s">
        <v>732</v>
      </c>
      <c r="C137" s="17" t="s">
        <v>615</v>
      </c>
      <c r="D137" s="71" t="n">
        <f aca="false">IF(D7&gt;0,D16/D7,"N/M")</f>
        <v>0.05808288935331</v>
      </c>
      <c r="E137" s="71" t="n">
        <f aca="false">IF(E7&gt;0,E16/E7,"N/M")</f>
        <v>0.0522054389289143</v>
      </c>
      <c r="F137" s="71" t="n">
        <f aca="false">IF(F7&gt;0,F16/F7,"N/M")</f>
        <v>0.0524547304077255</v>
      </c>
      <c r="G137" s="71" t="n">
        <f aca="false">IF(G7&gt;0,G16/G7,"N/M")</f>
        <v>0.0522211089285856</v>
      </c>
      <c r="H137" s="71" t="n">
        <f aca="false">IF(H7&gt;0,H16/H7,"N/M")</f>
        <v>0.0557767142282059</v>
      </c>
      <c r="I137" s="71" t="n">
        <f aca="false">IF(I7&gt;0,I16/I7,"N/M")</f>
        <v>0.0558531361731875</v>
      </c>
      <c r="J137" s="71" t="n">
        <f aca="false">IF(J7&gt;0,J16/J7,"N/M")</f>
        <v>0.0563886453911816</v>
      </c>
      <c r="K137" s="62" t="n">
        <f aca="false">IF(COUNT(D137:J137)=0,"N/M",AVERAGE(D137:J137))</f>
        <v>0.0547118090587301</v>
      </c>
      <c r="L137" s="62" t="n">
        <f aca="false">IF(COUNT(D137,J137)=2,J137-D137,"-")</f>
        <v>-0.00169424396212838</v>
      </c>
    </row>
    <row r="138" customFormat="false" ht="15" hidden="false" customHeight="false" outlineLevel="0" collapsed="false">
      <c r="A138" s="16" t="s">
        <v>733</v>
      </c>
      <c r="B138" s="87" t="s">
        <v>734</v>
      </c>
      <c r="C138" s="17" t="s">
        <v>615</v>
      </c>
      <c r="D138" s="71" t="n">
        <f aca="false">IF(D7&gt;0,D17/D7,"N/M")</f>
        <v>0.0246335325111118</v>
      </c>
      <c r="E138" s="71" t="n">
        <f aca="false">IF(E7&gt;0,E17/E7,"N/M")</f>
        <v>0.0201792041792898</v>
      </c>
      <c r="F138" s="71" t="n">
        <f aca="false">IF(F7&gt;0,F17/F7,"N/M")</f>
        <v>0.0180403276042482</v>
      </c>
      <c r="G138" s="71" t="n">
        <f aca="false">IF(G7&gt;0,G17/G7,"N/M")</f>
        <v>0.0197696275283736</v>
      </c>
      <c r="H138" s="71" t="n">
        <f aca="false">IF(H7&gt;0,H17/H7,"N/M")</f>
        <v>0.0231645072634472</v>
      </c>
      <c r="I138" s="71" t="n">
        <f aca="false">IF(I7&gt;0,I17/I7,"N/M")</f>
        <v>0.0226324530586983</v>
      </c>
      <c r="J138" s="71" t="n">
        <f aca="false">IF(J7&gt;0,J17/J7,"N/M")</f>
        <v>0.0235825552140938</v>
      </c>
      <c r="K138" s="62" t="n">
        <f aca="false">IF(COUNT(D138:J138)=0,"N/M",AVERAGE(D138:J138))</f>
        <v>0.0217146010513232</v>
      </c>
      <c r="L138" s="62" t="n">
        <f aca="false">IF(COUNT(D138,J138)=2,J138-D138,"-")</f>
        <v>-0.00105097729701796</v>
      </c>
    </row>
    <row r="139" customFormat="false" ht="15" hidden="false" customHeight="false" outlineLevel="0" collapsed="false">
      <c r="A139" s="16" t="s">
        <v>735</v>
      </c>
      <c r="B139" s="87" t="s">
        <v>736</v>
      </c>
      <c r="C139" s="17" t="s">
        <v>615</v>
      </c>
      <c r="D139" s="71" t="n">
        <f aca="false">IF(D7&gt;0,D25/D7,"N/M")</f>
        <v>0.0126276749183175</v>
      </c>
      <c r="E139" s="71" t="n">
        <f aca="false">IF(E7&gt;0,E25/E7,"N/M")</f>
        <v>0.0095275818140944</v>
      </c>
      <c r="F139" s="71" t="n">
        <f aca="false">IF(F7&gt;0,F25/F7,"N/M")</f>
        <v>0.003937019955137</v>
      </c>
      <c r="G139" s="71" t="n">
        <f aca="false">IF(G7&gt;0,G25/G7,"N/M")</f>
        <v>0.00259611851201696</v>
      </c>
      <c r="H139" s="71" t="n">
        <f aca="false">IF(H7&gt;0,H25/H7,"N/M")</f>
        <v>0.00329750065850616</v>
      </c>
      <c r="I139" s="71" t="n">
        <f aca="false">IF(I7&gt;0,I25/I7,"N/M")</f>
        <v>0.00448819844248828</v>
      </c>
      <c r="J139" s="71" t="n">
        <f aca="false">IF(J7&gt;0,J25/J7,"N/M")</f>
        <v>0.00463515682043293</v>
      </c>
      <c r="K139" s="62" t="n">
        <f aca="false">IF(COUNT(D139:J139)=0,"N/M",AVERAGE(D139:J139))</f>
        <v>0.00587275016014189</v>
      </c>
      <c r="L139" s="62" t="n">
        <f aca="false">IF(COUNT(D139,J139)=2,J139-D139,"-")</f>
        <v>-0.00799251809788456</v>
      </c>
    </row>
    <row r="140" customFormat="false" ht="15" hidden="false" customHeight="false" outlineLevel="0" collapsed="false">
      <c r="A140" s="16" t="s">
        <v>737</v>
      </c>
      <c r="B140" s="87" t="s">
        <v>738</v>
      </c>
      <c r="C140" s="17" t="s">
        <v>615</v>
      </c>
      <c r="D140" s="71" t="n">
        <f aca="false">IF(D7&gt;0,D20/D7,"N/M")</f>
        <v>0.911164748476732</v>
      </c>
      <c r="E140" s="71" t="n">
        <f aca="false">IF(E7&gt;0,E20/E7,"N/M")</f>
        <v>0.906144398174416</v>
      </c>
      <c r="F140" s="71" t="n">
        <f aca="false">IF(F7&gt;0,F20/F7,"N/M")</f>
        <v>0.873625648626339</v>
      </c>
      <c r="G140" s="71" t="n">
        <f aca="false">IF(G7&gt;0,G20/G7,"N/M")</f>
        <v>0.887544711664292</v>
      </c>
      <c r="H140" s="71" t="n">
        <f aca="false">IF(H7&gt;0,H20/H7,"N/M")</f>
        <v>0.897812268590996</v>
      </c>
      <c r="I140" s="71" t="n">
        <f aca="false">IF(I7&gt;0,I20/I7,"N/M")</f>
        <v>0.897020780180686</v>
      </c>
      <c r="J140" s="71" t="n">
        <f aca="false">IF(J7&gt;0,J20/J7,"N/M")</f>
        <v>0.89444289645438</v>
      </c>
      <c r="K140" s="62" t="n">
        <f aca="false">IF(COUNT(D140:J140)=0,"N/M",AVERAGE(D140:J140))</f>
        <v>0.895393636023977</v>
      </c>
      <c r="L140" s="62" t="n">
        <f aca="false">IF(COUNT(D140,J140)=2,J140-D140,"-")</f>
        <v>-0.016721852022352</v>
      </c>
    </row>
    <row r="141" customFormat="false" ht="16.5" hidden="false" customHeight="true" outlineLevel="0" collapsed="false">
      <c r="A141" s="88" t="s">
        <v>739</v>
      </c>
      <c r="B141" s="89"/>
      <c r="C141" s="89"/>
      <c r="D141" s="89"/>
      <c r="E141" s="89"/>
      <c r="F141" s="89"/>
      <c r="G141" s="89"/>
      <c r="H141" s="89"/>
      <c r="I141" s="89"/>
      <c r="J141" s="89"/>
      <c r="K141" s="89"/>
      <c r="L141" s="89"/>
    </row>
    <row r="142" customFormat="false" ht="15" hidden="false" customHeight="false" outlineLevel="0" collapsed="false">
      <c r="A142" s="16" t="s">
        <v>740</v>
      </c>
      <c r="B142" s="87" t="s">
        <v>741</v>
      </c>
      <c r="C142" s="17" t="s">
        <v>615</v>
      </c>
      <c r="D142" s="71" t="n">
        <f aca="false">IF(D49&gt;0,D30/D49,"N/M")</f>
        <v>0.0845709668987477</v>
      </c>
      <c r="E142" s="71" t="n">
        <f aca="false">IF(E49&gt;0,E30/E49,"N/M")</f>
        <v>0.0846153403764644</v>
      </c>
      <c r="F142" s="71" t="n">
        <f aca="false">IF(F49&gt;0,F30/F49,"N/M")</f>
        <v>0.158514091175295</v>
      </c>
      <c r="G142" s="71" t="n">
        <f aca="false">IF(G49&gt;0,G30/G49,"N/M")</f>
        <v>0.151048831220757</v>
      </c>
      <c r="H142" s="71" t="n">
        <f aca="false">IF(H49&gt;0,H30/H49,"N/M")</f>
        <v>0.140241464779723</v>
      </c>
      <c r="I142" s="71" t="n">
        <f aca="false">IF(I49&gt;0,I30/I49,"N/M")</f>
        <v>0.140550710115439</v>
      </c>
      <c r="J142" s="71" t="n">
        <f aca="false">IF(J49&gt;0,J30/J49,"N/M")</f>
        <v>0.131036285203885</v>
      </c>
      <c r="K142" s="62" t="n">
        <f aca="false">IF(COUNT(D142:J142)=0,"N/M",AVERAGE(D142:J142))</f>
        <v>0.127225384252902</v>
      </c>
      <c r="L142" s="62" t="n">
        <f aca="false">IF(COUNT(D142,J142)=2,J142-D142,"-")</f>
        <v>0.0464653183051376</v>
      </c>
    </row>
    <row r="143" customFormat="false" ht="15" hidden="false" customHeight="false" outlineLevel="0" collapsed="false">
      <c r="A143" s="16" t="s">
        <v>742</v>
      </c>
      <c r="B143" s="87" t="s">
        <v>743</v>
      </c>
      <c r="C143" s="17" t="s">
        <v>615</v>
      </c>
      <c r="D143" s="71" t="n">
        <f aca="false">IF(D49&gt;0,(D30+D25*(1-D77))/D49,"N/M")</f>
        <v>0.102919265915885</v>
      </c>
      <c r="E143" s="71" t="n">
        <f aca="false">IF(E49&gt;0,(E30+E25*(1-E77))/E49,"N/M")</f>
        <v>0.0978707126644612</v>
      </c>
      <c r="F143" s="71" t="n">
        <f aca="false">IF(F49&gt;0,(F30+F25*(1-F77))/F49,"N/M")</f>
        <v>0.164736372942964</v>
      </c>
      <c r="G143" s="71" t="n">
        <f aca="false">IF(G49&gt;0,(G30+G25*(1-G77))/G49,"N/M")</f>
        <v>0.155165224262135</v>
      </c>
      <c r="H143" s="71" t="n">
        <f aca="false">IF(H49&gt;0,(H30+H25*(1-H77))/H49,"N/M")</f>
        <v>0.145086785824943</v>
      </c>
      <c r="I143" s="71" t="n">
        <f aca="false">IF(I49&gt;0,(I30+I25*(1-I77))/I49,"N/M")</f>
        <v>0.14677282135258</v>
      </c>
      <c r="J143" s="71" t="n">
        <f aca="false">IF(J49&gt;0,(J30+J25*(1-J77))/J49,"N/M")</f>
        <v>0.137057632129707</v>
      </c>
      <c r="K143" s="62" t="n">
        <f aca="false">IF(COUNT(D143:J143)=0,"N/M",AVERAGE(D143:J143))</f>
        <v>0.135658402156096</v>
      </c>
      <c r="L143" s="62" t="n">
        <f aca="false">IF(COUNT(D143,J143)=2,J143-D143,"-")</f>
        <v>0.0341383662138222</v>
      </c>
    </row>
    <row r="144" customFormat="false" ht="15" hidden="false" customHeight="false" outlineLevel="0" collapsed="false">
      <c r="A144" s="16" t="s">
        <v>744</v>
      </c>
      <c r="B144" s="87" t="s">
        <v>745</v>
      </c>
      <c r="C144" s="17" t="s">
        <v>615</v>
      </c>
      <c r="D144" s="71" t="n">
        <f aca="false">IF(D49&gt;0,D23/D49,"N/M")</f>
        <v>0.0944264905068555</v>
      </c>
      <c r="E144" s="71" t="n">
        <f aca="false">IF(E49&gt;0,E23/E49,"N/M")</f>
        <v>0.0978887860088219</v>
      </c>
      <c r="F144" s="71" t="n">
        <f aca="false">IF(F49&gt;0,F23/F49,"N/M")</f>
        <v>0.163549585940023</v>
      </c>
      <c r="G144" s="71" t="n">
        <f aca="false">IF(G49&gt;0,G23/G49,"N/M")</f>
        <v>0.144680162405815</v>
      </c>
      <c r="H144" s="71" t="n">
        <f aca="false">IF(H49&gt;0,H23/H49,"N/M")</f>
        <v>0.11304869273207</v>
      </c>
      <c r="I144" s="71" t="n">
        <f aca="false">IF(I49&gt;0,I23/I49,"N/M")</f>
        <v>0.117493686158628</v>
      </c>
      <c r="J144" s="71" t="n">
        <f aca="false">IF(J49&gt;0,J23/J49,"N/M")</f>
        <v>0.112497343373944</v>
      </c>
      <c r="K144" s="62" t="n">
        <f aca="false">IF(COUNT(D144:J144)=0,"N/M",AVERAGE(D144:J144))</f>
        <v>0.120512106732308</v>
      </c>
      <c r="L144" s="62" t="n">
        <f aca="false">IF(COUNT(D144,J144)=2,J144-D144,"-")</f>
        <v>0.0180708528670886</v>
      </c>
    </row>
    <row r="145" customFormat="false" ht="15" hidden="false" customHeight="false" outlineLevel="0" collapsed="false">
      <c r="A145" s="16" t="s">
        <v>746</v>
      </c>
      <c r="B145" s="87" t="s">
        <v>747</v>
      </c>
      <c r="C145" s="17" t="s">
        <v>615</v>
      </c>
      <c r="D145" s="71" t="n">
        <f aca="false">IF(D90&gt;0,D23/D90,"N/M")</f>
        <v>0.109928489425564</v>
      </c>
      <c r="E145" s="71" t="n">
        <f aca="false">IF(E90&gt;0,E23/E90,"N/M")</f>
        <v>0.116010877936736</v>
      </c>
      <c r="F145" s="71" t="n">
        <f aca="false">IF(F90&gt;0,F23/F90,"N/M")</f>
        <v>0.19574716182665</v>
      </c>
      <c r="G145" s="71" t="n">
        <f aca="false">IF(G90&gt;0,G23/G90,"N/M")</f>
        <v>0.169463554965824</v>
      </c>
      <c r="H145" s="71" t="n">
        <f aca="false">IF(H90&gt;0,H23/H90,"N/M")</f>
        <v>0.128682593856655</v>
      </c>
      <c r="I145" s="71" t="n">
        <f aca="false">IF(I90&gt;0,I23/I90,"N/M")</f>
        <v>0.143840674953372</v>
      </c>
      <c r="J145" s="71" t="n">
        <f aca="false">IF(J90&gt;0,J23/J90,"N/M")</f>
        <v>0.136083018631944</v>
      </c>
      <c r="K145" s="62" t="n">
        <f aca="false">IF(COUNT(D145:J145)=0,"N/M",AVERAGE(D145:J145))</f>
        <v>0.142822338799535</v>
      </c>
      <c r="L145" s="62" t="n">
        <f aca="false">IF(COUNT(D145,J145)=2,J145-D145,"-")</f>
        <v>0.0261545292063798</v>
      </c>
    </row>
    <row r="146" customFormat="false" ht="15" hidden="false" customHeight="false" outlineLevel="0" collapsed="false">
      <c r="A146" s="16" t="s">
        <v>748</v>
      </c>
      <c r="B146" s="87" t="s">
        <v>749</v>
      </c>
      <c r="C146" s="17" t="s">
        <v>615</v>
      </c>
      <c r="D146" s="71" t="n">
        <f aca="false">IF(D90&gt;0,D23*(1-D77)/D90,"N/M")</f>
        <v>0.098929422417488</v>
      </c>
      <c r="E146" s="71" t="n">
        <f aca="false">IF(E90&gt;0,E23*(1-E77)/E90,"N/M")</f>
        <v>0.100145516552332</v>
      </c>
      <c r="F146" s="71" t="n">
        <f aca="false">IF(F90&gt;0,F23*(1-F77)/F90,"N/M")</f>
        <v>0.173445952510303</v>
      </c>
      <c r="G146" s="71" t="n">
        <f aca="false">IF(G90&gt;0,G23*(1-G77)/G90,"N/M")</f>
        <v>0.149241329248945</v>
      </c>
      <c r="H146" s="71" t="n">
        <f aca="false">IF(H90&gt;0,H23*(1-H77)/H90,"N/M")</f>
        <v>0.117531583443093</v>
      </c>
      <c r="I146" s="71" t="n">
        <f aca="false">IF(I90&gt;0,I23*(1-I77)/I90,"N/M")</f>
        <v>0.130254730796497</v>
      </c>
      <c r="J146" s="71" t="n">
        <f aca="false">IF(J90&gt;0,J23*(1-J77)/J90,"N/M")</f>
        <v>0.125188537034692</v>
      </c>
      <c r="K146" s="62" t="n">
        <f aca="false">IF(COUNT(D146:J146)=0,"N/M",AVERAGE(D146:J146))</f>
        <v>0.127819581714764</v>
      </c>
      <c r="L146" s="62" t="n">
        <f aca="false">IF(COUNT(D146,J146)=2,J146-D146,"-")</f>
        <v>0.0262591146172037</v>
      </c>
    </row>
    <row r="147" customFormat="false" ht="15" hidden="false" customHeight="false" outlineLevel="0" collapsed="false">
      <c r="A147" s="16" t="s">
        <v>750</v>
      </c>
      <c r="B147" s="87" t="s">
        <v>751</v>
      </c>
      <c r="C147" s="17" t="s">
        <v>615</v>
      </c>
      <c r="D147" s="71" t="n">
        <f aca="false">IF(D40&gt;0,D30/D40,"N/M")</f>
        <v>0.139038373262753</v>
      </c>
      <c r="E147" s="71" t="n">
        <f aca="false">IF(E40&gt;0,E30/E40,"N/M")</f>
        <v>0.125783313812825</v>
      </c>
      <c r="F147" s="71" t="n">
        <f aca="false">IF(F40&gt;0,F30/F40,"N/M")</f>
        <v>0.202484828145538</v>
      </c>
      <c r="G147" s="71" t="n">
        <f aca="false">IF(G40&gt;0,G30/G40,"N/M")</f>
        <v>0.186474241827723</v>
      </c>
      <c r="H147" s="71" t="n">
        <f aca="false">IF(H40&gt;0,H30/H40,"N/M")</f>
        <v>0.175065624656905</v>
      </c>
      <c r="I147" s="71" t="n">
        <f aca="false">IF(I40&gt;0,I30/I40,"N/M")</f>
        <v>0.191381830838844</v>
      </c>
      <c r="J147" s="71" t="n">
        <f aca="false">IF(J40&gt;0,J30/J40,"N/M")</f>
        <v>0.177806616549558</v>
      </c>
      <c r="K147" s="62" t="n">
        <f aca="false">IF(COUNT(D147:J147)=0,"N/M",AVERAGE(D147:J147))</f>
        <v>0.171147832727735</v>
      </c>
      <c r="L147" s="62" t="n">
        <f aca="false">IF(COUNT(D147,J147)=2,J147-D147,"-")</f>
        <v>0.038768243286805</v>
      </c>
    </row>
    <row r="148" customFormat="false" ht="15" hidden="false" customHeight="false" outlineLevel="0" collapsed="false">
      <c r="A148" s="16" t="s">
        <v>752</v>
      </c>
      <c r="B148" s="87" t="s">
        <v>753</v>
      </c>
      <c r="C148" s="17" t="s">
        <v>615</v>
      </c>
      <c r="D148" s="71" t="n">
        <f aca="false">IF(D39&gt;0,(D30-D32)/D39,"N/M")</f>
        <v>0.139038373262753</v>
      </c>
      <c r="E148" s="71" t="n">
        <f aca="false">IF(E39&gt;0,(E30-E32)/E39,"N/M")</f>
        <v>0.125783313812825</v>
      </c>
      <c r="F148" s="71" t="n">
        <f aca="false">IF(F39&gt;0,(F30-F32)/F39,"N/M")</f>
        <v>0.202484828145538</v>
      </c>
      <c r="G148" s="71" t="n">
        <f aca="false">IF(G39&gt;0,(G30-G32)/G39,"N/M")</f>
        <v>0.186474241827723</v>
      </c>
      <c r="H148" s="71" t="n">
        <f aca="false">IF(H39&gt;0,(H30-H32)/H39,"N/M")</f>
        <v>0.175065624656905</v>
      </c>
      <c r="I148" s="71" t="n">
        <f aca="false">IF(I39&gt;0,(I30-I32)/I39,"N/M")</f>
        <v>0.191381830838844</v>
      </c>
      <c r="J148" s="71" t="n">
        <f aca="false">IF(J39&gt;0,(J30-J32)/J39,"N/M")</f>
        <v>0.177806616549558</v>
      </c>
      <c r="K148" s="62" t="n">
        <f aca="false">IF(COUNT(D148:J148)=0,"N/M",AVERAGE(D148:J148))</f>
        <v>0.171147832727735</v>
      </c>
      <c r="L148" s="62" t="n">
        <f aca="false">IF(COUNT(D148,J148)=2,J148-D148,"-")</f>
        <v>0.038768243286805</v>
      </c>
    </row>
    <row r="149" customFormat="false" ht="16.5" hidden="false" customHeight="true" outlineLevel="0" collapsed="false">
      <c r="A149" s="88" t="s">
        <v>754</v>
      </c>
      <c r="B149" s="89"/>
      <c r="C149" s="89"/>
      <c r="D149" s="89"/>
      <c r="E149" s="89"/>
      <c r="F149" s="89"/>
      <c r="G149" s="89"/>
      <c r="H149" s="89"/>
      <c r="I149" s="89"/>
      <c r="J149" s="89"/>
      <c r="K149" s="89"/>
      <c r="L149" s="89"/>
    </row>
    <row r="150" customFormat="false" ht="15" hidden="false" customHeight="false" outlineLevel="0" collapsed="false">
      <c r="A150" s="16" t="s">
        <v>755</v>
      </c>
      <c r="B150" s="87" t="s">
        <v>756</v>
      </c>
      <c r="C150" s="17" t="s">
        <v>757</v>
      </c>
      <c r="D150" s="93" t="n">
        <f aca="false">IF(D81&gt;0,(D30-D32)/D81,"N/M")</f>
        <v>18.5364583333333</v>
      </c>
      <c r="E150" s="93" t="n">
        <f aca="false">IF(E81&gt;0,(E30-E32)/E81,"N/M")</f>
        <v>19.083009079118</v>
      </c>
      <c r="F150" s="93" t="n">
        <f aca="false">IF(F81&gt;0,(F30-F32)/F81,"N/M")</f>
        <v>37.4657179818887</v>
      </c>
      <c r="G150" s="93" t="n">
        <f aca="false">IF(G81&gt;0,(G30-G32)/G81,"N/M")</f>
        <v>40.8943298969072</v>
      </c>
      <c r="H150" s="93" t="n">
        <f aca="false">IF(H81&gt;0,(H30-H32)/H81,"N/M")</f>
        <v>45.1480051480052</v>
      </c>
      <c r="I150" s="93" t="n">
        <f aca="false">IF(I81&gt;0,(I30-I32)/I81,"N/M")</f>
        <v>53.8355091383812</v>
      </c>
      <c r="J150" s="93" t="n">
        <f aca="false">IF(J81&gt;0,(J30-J32)/J81,"N/M")</f>
        <v>59.4850065189048</v>
      </c>
      <c r="K150" s="66" t="n">
        <f aca="false">IF(COUNT(D150:J150)=0,"N/M",AVERAGE(D150:J150))</f>
        <v>39.2068622995055</v>
      </c>
      <c r="L150" s="66" t="n">
        <f aca="false">IF(COUNT(D150,J150)=2,J150-D150,"-")</f>
        <v>40.9485481855715</v>
      </c>
    </row>
    <row r="151" customFormat="false" ht="15" hidden="false" customHeight="false" outlineLevel="0" collapsed="false">
      <c r="A151" s="16" t="s">
        <v>759</v>
      </c>
      <c r="B151" s="87" t="s">
        <v>760</v>
      </c>
      <c r="C151" s="17" t="s">
        <v>757</v>
      </c>
      <c r="D151" s="93" t="n">
        <f aca="false">IF(D81&gt;0,(D30+D22)/D81,"N/M")</f>
        <v>29.27734375</v>
      </c>
      <c r="E151" s="93" t="n">
        <f aca="false">IF(E81&gt;0,(E30+E22)/E81,"N/M")</f>
        <v>31.1206225680934</v>
      </c>
      <c r="F151" s="93" t="n">
        <f aca="false">IF(F81&gt;0,(F30+F22)/F81,"N/M")</f>
        <v>52.0866752910737</v>
      </c>
      <c r="G151" s="93" t="n">
        <f aca="false">IF(G81&gt;0,(G30+G22)/G81,"N/M")</f>
        <v>56.5399484536083</v>
      </c>
      <c r="H151" s="93" t="n">
        <f aca="false">IF(H81&gt;0,(H30+H22)/H81,"N/M")</f>
        <v>61.6795366795367</v>
      </c>
      <c r="I151" s="93" t="n">
        <f aca="false">IF(I81&gt;0,(I30+I22)/I81,"N/M")</f>
        <v>69.2180156657963</v>
      </c>
      <c r="J151" s="93" t="n">
        <f aca="false">IF(J81&gt;0,(J30+J22)/J81,"N/M")</f>
        <v>76.0821382007823</v>
      </c>
      <c r="K151" s="66" t="n">
        <f aca="false">IF(COUNT(D151:J151)=0,"N/M",AVERAGE(D151:J151))</f>
        <v>53.7148972298415</v>
      </c>
      <c r="L151" s="66" t="n">
        <f aca="false">IF(COUNT(D151,J151)=2,J151-D151,"-")</f>
        <v>46.8047944507823</v>
      </c>
    </row>
    <row r="152" customFormat="false" ht="15" hidden="false" customHeight="false" outlineLevel="0" collapsed="false">
      <c r="A152" s="16" t="s">
        <v>761</v>
      </c>
      <c r="B152" s="87" t="s">
        <v>762</v>
      </c>
      <c r="C152" s="17" t="s">
        <v>757</v>
      </c>
      <c r="D152" s="93" t="n">
        <f aca="false">IF(D81&gt;0,D39/D81,"N/M")</f>
        <v>133.319010416667</v>
      </c>
      <c r="E152" s="93" t="n">
        <f aca="false">IF(E81&gt;0,E39/E81,"N/M")</f>
        <v>151.713359273671</v>
      </c>
      <c r="F152" s="93" t="n">
        <f aca="false">IF(F81&gt;0,F39/F81,"N/M")</f>
        <v>185.029754204398</v>
      </c>
      <c r="G152" s="93" t="n">
        <f aca="false">IF(G81&gt;0,G39/G81,"N/M")</f>
        <v>219.302835051546</v>
      </c>
      <c r="H152" s="93" t="n">
        <f aca="false">IF(H81&gt;0,H39/H81,"N/M")</f>
        <v>257.891891891892</v>
      </c>
      <c r="I152" s="93" t="n">
        <f aca="false">IF(I81&gt;0,I39/I81,"N/M")</f>
        <v>281.298955613577</v>
      </c>
      <c r="J152" s="93" t="n">
        <f aca="false">IF(J81&gt;0,J39/J81,"N/M")</f>
        <v>334.54889178618</v>
      </c>
      <c r="K152" s="66" t="n">
        <f aca="false">IF(COUNT(D152:J152)=0,"N/M",AVERAGE(D152:J152))</f>
        <v>223.300671176847</v>
      </c>
      <c r="L152" s="66" t="n">
        <f aca="false">IF(COUNT(D152,J152)=2,J152-D152,"-")</f>
        <v>201.229881369513</v>
      </c>
    </row>
    <row r="153" customFormat="false" ht="15" hidden="false" customHeight="false" outlineLevel="0" collapsed="false">
      <c r="A153" s="16" t="s">
        <v>763</v>
      </c>
      <c r="B153" s="87" t="s">
        <v>764</v>
      </c>
      <c r="C153" s="17" t="s">
        <v>757</v>
      </c>
      <c r="D153" s="93" t="n">
        <f aca="false">IF(D81&gt;0,D31/D81,"N/M")</f>
        <v>2.00130208333333</v>
      </c>
      <c r="E153" s="93" t="n">
        <f aca="false">IF(E81&gt;0,E31/E81,"N/M")</f>
        <v>2.50064850843061</v>
      </c>
      <c r="F153" s="93" t="n">
        <f aca="false">IF(F81&gt;0,F31/F81,"N/M")</f>
        <v>4.0025873221216</v>
      </c>
      <c r="G153" s="93" t="n">
        <f aca="false">IF(G81&gt;0,G31/G81,"N/M")</f>
        <v>6.99484536082474</v>
      </c>
      <c r="H153" s="93" t="n">
        <f aca="false">IF(H81&gt;0,H31/H81,"N/M")</f>
        <v>7.003861003861</v>
      </c>
      <c r="I153" s="93" t="n">
        <f aca="false">IF(I81&gt;0,I31/I81,"N/M")</f>
        <v>8</v>
      </c>
      <c r="J153" s="93" t="n">
        <f aca="false">IF(J81&gt;0,J31/J81,"N/M")</f>
        <v>10.006518904824</v>
      </c>
      <c r="K153" s="66" t="n">
        <f aca="false">IF(COUNT(D153:J153)=0,"N/M",AVERAGE(D153:J153))</f>
        <v>5.78710902619933</v>
      </c>
      <c r="L153" s="66" t="n">
        <f aca="false">IF(COUNT(D153,J153)=2,J153-D153,"-")</f>
        <v>8.00521682149066</v>
      </c>
    </row>
    <row r="154" customFormat="false" ht="15" hidden="false" customHeight="false" outlineLevel="0" collapsed="false">
      <c r="A154" s="16" t="s">
        <v>765</v>
      </c>
      <c r="B154" s="87" t="s">
        <v>812</v>
      </c>
      <c r="C154" s="17" t="s">
        <v>615</v>
      </c>
      <c r="D154" s="71" t="n">
        <f aca="false">IF(D31=0,0,IF(D150&gt;0,D153/D150,"N/M"))</f>
        <v>0.107965720708064</v>
      </c>
      <c r="E154" s="71" t="n">
        <f aca="false">IF(E31=0,0,IF(E150&gt;0,E153/E150,"N/M"))</f>
        <v>0.131040576361041</v>
      </c>
      <c r="F154" s="71" t="n">
        <f aca="false">IF(F31=0,0,IF(F150&gt;0,F153/F150,"N/M"))</f>
        <v>0.106833327578468</v>
      </c>
      <c r="G154" s="71" t="n">
        <f aca="false">IF(G31=0,0,IF(G150&gt;0,G153/G150,"N/M"))</f>
        <v>0.171046826747337</v>
      </c>
      <c r="H154" s="71" t="n">
        <f aca="false">IF(H31=0,0,IF(H150&gt;0,H153/H150,"N/M"))</f>
        <v>0.155131128848347</v>
      </c>
      <c r="I154" s="71" t="n">
        <f aca="false">IF(I31=0,0,IF(I150&gt;0,I153/I150,"N/M"))</f>
        <v>0.148600805082691</v>
      </c>
      <c r="J154" s="71" t="n">
        <f aca="false">IF(J31=0,0,IF(J150&gt;0,J153/J150,"N/M"))</f>
        <v>0.168219178082192</v>
      </c>
      <c r="K154" s="62" t="n">
        <f aca="false">IF(COUNT(D154:J154)=0,"N/M",AVERAGE(D154:J154))</f>
        <v>0.141262509058306</v>
      </c>
      <c r="L154" s="62" t="n">
        <f aca="false">IF(COUNT(D154,J154)=2,J154-D154,"-")</f>
        <v>0.0602534573741277</v>
      </c>
    </row>
    <row r="155" customFormat="false" ht="15" hidden="false" customHeight="false" outlineLevel="0" collapsed="false">
      <c r="A155" s="16" t="s">
        <v>767</v>
      </c>
      <c r="B155" s="87" t="s">
        <v>768</v>
      </c>
      <c r="C155" s="17" t="s">
        <v>615</v>
      </c>
      <c r="D155" s="71" t="n">
        <f aca="false">IF(ISNUMBER(D154),1-D154,"N/M")</f>
        <v>0.892034279291936</v>
      </c>
      <c r="E155" s="71" t="n">
        <f aca="false">IF(ISNUMBER(E154),1-E154,"N/M")</f>
        <v>0.868959423638959</v>
      </c>
      <c r="F155" s="71" t="n">
        <f aca="false">IF(ISNUMBER(F154),1-F154,"N/M")</f>
        <v>0.893166672421532</v>
      </c>
      <c r="G155" s="71" t="n">
        <f aca="false">IF(ISNUMBER(G154),1-G154,"N/M")</f>
        <v>0.828953173252663</v>
      </c>
      <c r="H155" s="71" t="n">
        <f aca="false">IF(ISNUMBER(H154),1-H154,"N/M")</f>
        <v>0.844868871151653</v>
      </c>
      <c r="I155" s="71" t="n">
        <f aca="false">IF(ISNUMBER(I154),1-I154,"N/M")</f>
        <v>0.851399194917309</v>
      </c>
      <c r="J155" s="71" t="n">
        <f aca="false">IF(ISNUMBER(J154),1-J154,"N/M")</f>
        <v>0.831780821917808</v>
      </c>
      <c r="K155" s="62" t="n">
        <f aca="false">IF(COUNT(D155:J155)=0,"N/M",AVERAGE(D155:J155))</f>
        <v>0.858737490941694</v>
      </c>
      <c r="L155" s="62" t="n">
        <f aca="false">IF(COUNT(D155,J155)=2,J155-D155,"-")</f>
        <v>-0.0602534573741277</v>
      </c>
    </row>
    <row r="156" customFormat="false" ht="15" hidden="false" customHeight="false" outlineLevel="0" collapsed="false">
      <c r="A156" s="16" t="s">
        <v>769</v>
      </c>
      <c r="B156" s="87" t="s">
        <v>813</v>
      </c>
      <c r="C156" s="17" t="s">
        <v>615</v>
      </c>
      <c r="D156" s="71" t="n">
        <f aca="false">IF(D84=0,"N/C",IF(D80&gt;0,D150/D80,"N/M"))</f>
        <v>0.0985719666755296</v>
      </c>
      <c r="E156" s="71" t="n">
        <f aca="false">IF(E84=0,"N/C",IF(E80&gt;0,E150/E80,"N/M"))</f>
        <v>0.0744993522510952</v>
      </c>
      <c r="F156" s="71" t="n">
        <f aca="false">IF(F84=0,"N/C",IF(F80&gt;0,F150/F80,"N/M"))</f>
        <v>0.0625366683056063</v>
      </c>
      <c r="G156" s="71" t="n">
        <f aca="false">IF(G84=0,"N/C",IF(G80&gt;0,G150/G80,"N/M"))</f>
        <v>0.0652378238763775</v>
      </c>
      <c r="H156" s="71" t="n">
        <f aca="false">IF(H84=0,"N/C",IF(H80&gt;0,H150/H80,"N/M"))</f>
        <v>0.055628394711687</v>
      </c>
      <c r="I156" s="71" t="n">
        <f aca="false">IF(I84=0,"N/C",IF(I80&gt;0,I150/I80,"N/M"))</f>
        <v>0.0488303937763095</v>
      </c>
      <c r="J156" s="71" t="n">
        <f aca="false">IF(J84=0,"N/C",IF(J80&gt;0,J150/J80,"N/M"))</f>
        <v>0.0644474610172317</v>
      </c>
      <c r="K156" s="62" t="n">
        <f aca="false">IF(COUNT(D156:J156)=0,"N/M",AVERAGE(D156:J156))</f>
        <v>0.0671074372305481</v>
      </c>
      <c r="L156" s="62" t="n">
        <f aca="false">IF(COUNT(D156,J156)=2,J156-D156,"-")</f>
        <v>-0.0341245056582979</v>
      </c>
    </row>
    <row r="157" customFormat="false" ht="15" hidden="false" customHeight="false" outlineLevel="0" collapsed="false">
      <c r="A157" s="16" t="s">
        <v>771</v>
      </c>
      <c r="B157" s="87" t="s">
        <v>814</v>
      </c>
      <c r="C157" s="17" t="s">
        <v>615</v>
      </c>
      <c r="D157" s="71" t="n">
        <f aca="false">IF(D84=0,"N/C",IF(D80&gt;0,D153/D80,"N/M"))</f>
        <v>0.0106423934237348</v>
      </c>
      <c r="E157" s="71" t="n">
        <f aca="false">IF(E84=0,"N/C",IF(E80&gt;0,E153/E80,"N/M"))</f>
        <v>0.00976243805750775</v>
      </c>
      <c r="F157" s="71" t="n">
        <f aca="false">IF(F84=0,"N/C",IF(F80&gt;0,F153/F80,"N/M"))</f>
        <v>0.00668100037075881</v>
      </c>
      <c r="G157" s="71" t="n">
        <f aca="false">IF(G84=0,"N/C",IF(G80&gt;0,G153/G80,"N/M"))</f>
        <v>0.011158722757956</v>
      </c>
      <c r="H157" s="71" t="n">
        <f aca="false">IF(H84=0,"N/C",IF(H80&gt;0,H153/H80,"N/M"))</f>
        <v>0.0086296956676454</v>
      </c>
      <c r="I157" s="71" t="n">
        <f aca="false">IF(I84=0,"N/C",IF(I80&gt;0,I153/I80,"N/M"))</f>
        <v>0.0072562358276644</v>
      </c>
      <c r="J157" s="71" t="n">
        <f aca="false">IF(J84=0,"N/C",IF(J80&gt;0,J153/J80,"N/M"))</f>
        <v>0.0108412989218028</v>
      </c>
      <c r="K157" s="62" t="n">
        <f aca="false">IF(COUNT(D157:J157)=0,"N/M",AVERAGE(D157:J157))</f>
        <v>0.00928168357529572</v>
      </c>
      <c r="L157" s="62" t="n">
        <f aca="false">IF(COUNT(D157,J157)=2,J157-D157,"-")</f>
        <v>0.000198905498067982</v>
      </c>
    </row>
    <row r="158" customFormat="false" ht="15" hidden="false" customHeight="false" outlineLevel="0" collapsed="false">
      <c r="A158" s="16" t="s">
        <v>773</v>
      </c>
      <c r="B158" s="87" t="s">
        <v>815</v>
      </c>
      <c r="C158" s="17" t="s">
        <v>115</v>
      </c>
      <c r="D158" s="73" t="n">
        <f aca="false">IF(D84=0,"N/C",IF(D150&gt;0,D80/D150,"N/M"))</f>
        <v>10.1448721550997</v>
      </c>
      <c r="E158" s="73" t="n">
        <f aca="false">IF(E84=0,"N/C",IF(E150&gt;0,E80/E150,"N/M"))</f>
        <v>13.4229354992184</v>
      </c>
      <c r="F158" s="73" t="n">
        <f aca="false">IF(F84=0,"N/C",IF(F150&gt;0,F80/F150,"N/M"))</f>
        <v>15.9906184178723</v>
      </c>
      <c r="G158" s="73" t="n">
        <f aca="false">IF(G84=0,"N/C",IF(G150&gt;0,G80/G150,"N/M"))</f>
        <v>15.3285309132161</v>
      </c>
      <c r="H158" s="73" t="n">
        <f aca="false">IF(H84=0,"N/C",IF(H150&gt;0,H80/H150,"N/M"))</f>
        <v>17.9764310148233</v>
      </c>
      <c r="I158" s="73" t="n">
        <f aca="false">IF(I84=0,"N/C",IF(I150&gt;0,I80/I150,"N/M"))</f>
        <v>20.4790484504583</v>
      </c>
      <c r="J158" s="73" t="n">
        <f aca="false">IF(J84=0,"N/C",IF(J150&gt;0,J80/J150,"N/M"))</f>
        <v>15.5165150684932</v>
      </c>
      <c r="K158" s="60" t="n">
        <f aca="false">IF(COUNT(D158:J158)=0,"N/M",AVERAGE(D158:J158))</f>
        <v>15.5512787884545</v>
      </c>
      <c r="L158" s="60" t="n">
        <f aca="false">IF(COUNT(D158,J158)=2,J158-D158,"-")</f>
        <v>5.37164291339341</v>
      </c>
    </row>
    <row r="159" customFormat="false" ht="15" hidden="false" customHeight="false" outlineLevel="0" collapsed="false">
      <c r="A159" s="16" t="s">
        <v>775</v>
      </c>
      <c r="B159" s="87" t="s">
        <v>816</v>
      </c>
      <c r="C159" s="17" t="s">
        <v>115</v>
      </c>
      <c r="D159" s="73" t="n">
        <f aca="false">IF(D84=0,"N/C",IF(D152&gt;0,D80/D152,"N/M"))</f>
        <v>1.41052652140367</v>
      </c>
      <c r="E159" s="73" t="n">
        <f aca="false">IF(E84=0,"N/C",IF(E152&gt;0,E80/E152,"N/M"))</f>
        <v>1.6883813081875</v>
      </c>
      <c r="F159" s="73" t="n">
        <f aca="false">IF(F84=0,"N/C",IF(F152&gt;0,F80/F152,"N/M"))</f>
        <v>3.23785762228375</v>
      </c>
      <c r="G159" s="73" t="n">
        <f aca="false">IF(G84=0,"N/C",IF(G152&gt;0,G80/G152,"N/M"))</f>
        <v>2.85837618037478</v>
      </c>
      <c r="H159" s="73" t="n">
        <f aca="false">IF(H84=0,"N/C",IF(H152&gt;0,H80/H152,"N/M"))</f>
        <v>3.1470551247118</v>
      </c>
      <c r="I159" s="73" t="n">
        <f aca="false">IF(I84=0,"N/C",IF(I152&gt;0,I80/I152,"N/M"))</f>
        <v>3.91931778628611</v>
      </c>
      <c r="J159" s="73" t="n">
        <f aca="false">IF(J84=0,"N/C",IF(J152&gt;0,J80/J152,"N/M"))</f>
        <v>2.758939044969</v>
      </c>
      <c r="K159" s="60" t="n">
        <f aca="false">IF(COUNT(D159:J159)=0,"N/M",AVERAGE(D159:J159))</f>
        <v>2.71720765545952</v>
      </c>
      <c r="L159" s="60" t="n">
        <f aca="false">IF(COUNT(D159,J159)=2,J159-D159,"-")</f>
        <v>1.34841252356533</v>
      </c>
    </row>
    <row r="160" customFormat="false" ht="15" hidden="false" customHeight="false" outlineLevel="0" collapsed="false">
      <c r="A160" s="16" t="s">
        <v>777</v>
      </c>
      <c r="B160" s="87" t="s">
        <v>817</v>
      </c>
      <c r="C160" s="17" t="s">
        <v>115</v>
      </c>
      <c r="D160" s="73" t="n">
        <f aca="false">IF(D84=0,"N/C",IF(D21&gt;0,D83/D21,"N/M"))</f>
        <v>7.6224072233267</v>
      </c>
      <c r="E160" s="73" t="n">
        <f aca="false">IF(E84=0,"N/C",IF(E21&gt;0,E83/E21,"N/M"))</f>
        <v>8.48941715458902</v>
      </c>
      <c r="F160" s="73" t="n">
        <f aca="false">IF(F84=0,"N/C",IF(F21&gt;0,F83/F21,"N/M"))</f>
        <v>11.2979214724522</v>
      </c>
      <c r="G160" s="73" t="n">
        <f aca="false">IF(G84=0,"N/C",IF(G21&gt;0,G83/G21,"N/M"))</f>
        <v>11.2176364106542</v>
      </c>
      <c r="H160" s="73" t="n">
        <f aca="false">IF(H84=0,"N/C",IF(H21&gt;0,H83/H21,"N/M"))</f>
        <v>15.5733093402719</v>
      </c>
      <c r="I160" s="73" t="n">
        <f aca="false">IF(I84=0,"N/C",IF(I21&gt;0,I83/I21,"N/M"))</f>
        <v>18.596744206157</v>
      </c>
      <c r="J160" s="73" t="n">
        <f aca="false">IF(J84=0,"N/C",IF(J21&gt;0,J83/J21,"N/M"))</f>
        <v>14.0242003853564</v>
      </c>
      <c r="K160" s="60" t="n">
        <f aca="false">IF(COUNT(D160:J160)=0,"N/M",AVERAGE(D160:J160))</f>
        <v>12.4030908846868</v>
      </c>
      <c r="L160" s="60" t="n">
        <f aca="false">IF(COUNT(D160,J160)=2,J160-D160,"-")</f>
        <v>6.40179316202973</v>
      </c>
    </row>
    <row r="162" customFormat="false" ht="19.5" hidden="false" customHeight="true" outlineLevel="0" collapsed="false">
      <c r="A162" s="85" t="s">
        <v>779</v>
      </c>
      <c r="B162" s="86"/>
      <c r="C162" s="86"/>
      <c r="D162" s="86"/>
      <c r="E162" s="86"/>
      <c r="F162" s="86"/>
      <c r="G162" s="86"/>
      <c r="H162" s="86"/>
      <c r="I162" s="86"/>
      <c r="J162" s="86"/>
      <c r="K162" s="86"/>
      <c r="L162" s="86"/>
    </row>
    <row r="163" customFormat="false" ht="16.5" hidden="false" customHeight="true" outlineLevel="0" collapsed="false">
      <c r="A163" s="88" t="s">
        <v>780</v>
      </c>
      <c r="B163" s="89"/>
      <c r="C163" s="89"/>
      <c r="D163" s="89"/>
      <c r="E163" s="89"/>
      <c r="F163" s="89"/>
      <c r="G163" s="89"/>
      <c r="H163" s="89"/>
      <c r="I163" s="89"/>
      <c r="J163" s="89"/>
      <c r="K163" s="89"/>
      <c r="L163" s="89"/>
    </row>
    <row r="164" customFormat="false" ht="15" hidden="false" customHeight="false" outlineLevel="0" collapsed="false">
      <c r="A164" s="16" t="s">
        <v>300</v>
      </c>
      <c r="B164" s="87" t="s">
        <v>725</v>
      </c>
      <c r="C164" s="17" t="s">
        <v>615</v>
      </c>
      <c r="D164" s="71" t="n">
        <f aca="false">IF(D7&gt;0,D30/D7,"N/M")</f>
        <v>0.0523798310422983</v>
      </c>
      <c r="E164" s="71" t="n">
        <f aca="false">IF(E7&gt;0,E30/E7,"N/M")</f>
        <v>0.0525016146931726</v>
      </c>
      <c r="F164" s="71" t="n">
        <f aca="false">IF(F7&gt;0,F30/F7,"N/M")</f>
        <v>0.0888698635391447</v>
      </c>
      <c r="G164" s="71" t="n">
        <f aca="false">IF(G7&gt;0,G30/G7,"N/M")</f>
        <v>0.0838953409983159</v>
      </c>
      <c r="H164" s="71" t="n">
        <f aca="false">IF(H7&gt;0,H30/H7,"N/M")</f>
        <v>0.0871713060289345</v>
      </c>
      <c r="I164" s="71" t="n">
        <f aca="false">IF(I7&gt;0,I30/I7,"N/M")</f>
        <v>0.0918077020691129</v>
      </c>
      <c r="J164" s="71" t="n">
        <f aca="false">IF(J7&gt;0,J30/J7,"N/M")</f>
        <v>0.0927946599088426</v>
      </c>
      <c r="K164" s="62" t="n">
        <f aca="false">IF(COUNT(D164:J164)=0,"N/M",AVERAGE(D164:J164))</f>
        <v>0.0784886168971174</v>
      </c>
      <c r="L164" s="62" t="n">
        <f aca="false">IF(COUNT(D164,J164)=2,J164-D164,"-")</f>
        <v>0.0404148288665443</v>
      </c>
    </row>
    <row r="165" customFormat="false" ht="15" hidden="false" customHeight="false" outlineLevel="0" collapsed="false">
      <c r="A165" s="16" t="s">
        <v>781</v>
      </c>
      <c r="B165" s="87" t="s">
        <v>708</v>
      </c>
      <c r="C165" s="17" t="s">
        <v>692</v>
      </c>
      <c r="D165" s="73" t="n">
        <f aca="false">IF(D49&gt;0,D7/D49,"N/M")</f>
        <v>1.61457120452439</v>
      </c>
      <c r="E165" s="73" t="n">
        <f aca="false">IF(E49&gt;0,E7/E49,"N/M")</f>
        <v>1.61167120041868</v>
      </c>
      <c r="F165" s="73" t="n">
        <f aca="false">IF(F49&gt;0,F7/F49,"N/M")</f>
        <v>1.78366529285233</v>
      </c>
      <c r="G165" s="73" t="n">
        <f aca="false">IF(G49&gt;0,G7/G49,"N/M")</f>
        <v>1.80044361728965</v>
      </c>
      <c r="H165" s="73" t="n">
        <f aca="false">IF(H49&gt;0,H7/H49,"N/M")</f>
        <v>1.60880307028064</v>
      </c>
      <c r="I165" s="73" t="n">
        <f aca="false">IF(I49&gt;0,I7/I49,"N/M")</f>
        <v>1.53092504166624</v>
      </c>
      <c r="J165" s="73" t="n">
        <f aca="false">IF(J49&gt;0,J7/J49,"N/M")</f>
        <v>1.41211019397678</v>
      </c>
      <c r="K165" s="60" t="n">
        <f aca="false">IF(COUNT(D165:J165)=0,"N/M",AVERAGE(D165:J165))</f>
        <v>1.62316994585839</v>
      </c>
      <c r="L165" s="60" t="n">
        <f aca="false">IF(COUNT(D165,J165)=2,J165-D165,"-")</f>
        <v>-0.202461010547609</v>
      </c>
    </row>
    <row r="166" customFormat="false" ht="15" hidden="false" customHeight="false" outlineLevel="0" collapsed="false">
      <c r="A166" s="16" t="s">
        <v>782</v>
      </c>
      <c r="B166" s="87" t="s">
        <v>783</v>
      </c>
      <c r="C166" s="17" t="s">
        <v>692</v>
      </c>
      <c r="D166" s="73" t="n">
        <f aca="false">IF(D40&gt;0,D49/D40,"N/M")</f>
        <v>1.64404379376691</v>
      </c>
      <c r="E166" s="73" t="n">
        <f aca="false">IF(E40&gt;0,E49/E40,"N/M")</f>
        <v>1.48653084952681</v>
      </c>
      <c r="F166" s="73" t="n">
        <f aca="false">IF(F40&gt;0,F49/F40,"N/M")</f>
        <v>1.27739323768773</v>
      </c>
      <c r="G166" s="73" t="n">
        <f aca="false">IF(G40&gt;0,G49/G40,"N/M")</f>
        <v>1.23452952479448</v>
      </c>
      <c r="H166" s="73" t="n">
        <f aca="false">IF(H40&gt;0,H49/H40,"N/M")</f>
        <v>1.24831571698057</v>
      </c>
      <c r="I166" s="73" t="n">
        <f aca="false">IF(I40&gt;0,I49/I40,"N/M")</f>
        <v>1.36165680473373</v>
      </c>
      <c r="J166" s="73" t="n">
        <f aca="false">IF(J40&gt;0,J49/J40,"N/M")</f>
        <v>1.35692656635451</v>
      </c>
      <c r="K166" s="60" t="n">
        <f aca="false">IF(COUNT(D166:J166)=0,"N/M",AVERAGE(D166:J166))</f>
        <v>1.3727709276921</v>
      </c>
      <c r="L166" s="60" t="n">
        <f aca="false">IF(COUNT(D166,J166)=2,J166-D166,"-")</f>
        <v>-0.287117227412402</v>
      </c>
    </row>
    <row r="167" customFormat="false" ht="15" hidden="false" customHeight="false" outlineLevel="0" collapsed="false">
      <c r="A167" s="12" t="s">
        <v>303</v>
      </c>
      <c r="B167" s="87" t="s">
        <v>741</v>
      </c>
      <c r="C167" s="17" t="s">
        <v>615</v>
      </c>
      <c r="D167" s="30" t="n">
        <f aca="false">IF(D49&gt;0,D30/D49,"N/M")</f>
        <v>0.0845709668987477</v>
      </c>
      <c r="E167" s="30" t="n">
        <f aca="false">IF(E49&gt;0,E30/E49,"N/M")</f>
        <v>0.0846153403764644</v>
      </c>
      <c r="F167" s="30" t="n">
        <f aca="false">IF(F49&gt;0,F30/F49,"N/M")</f>
        <v>0.158514091175295</v>
      </c>
      <c r="G167" s="30" t="n">
        <f aca="false">IF(G49&gt;0,G30/G49,"N/M")</f>
        <v>0.151048831220757</v>
      </c>
      <c r="H167" s="30" t="n">
        <f aca="false">IF(H49&gt;0,H30/H49,"N/M")</f>
        <v>0.140241464779723</v>
      </c>
      <c r="I167" s="30" t="n">
        <f aca="false">IF(I49&gt;0,I30/I49,"N/M")</f>
        <v>0.140550710115439</v>
      </c>
      <c r="J167" s="30" t="n">
        <f aca="false">IF(J49&gt;0,J30/J49,"N/M")</f>
        <v>0.131036285203885</v>
      </c>
      <c r="K167" s="30" t="n">
        <f aca="false">IF(COUNT(D167:J167)=0,"N/M",AVERAGE(D167:J167))</f>
        <v>0.127225384252902</v>
      </c>
      <c r="L167" s="30" t="n">
        <f aca="false">IF(COUNT(D167,J167)=2,J167-D167,"-")</f>
        <v>0.0464653183051376</v>
      </c>
    </row>
    <row r="168" customFormat="false" ht="15" hidden="false" customHeight="false" outlineLevel="0" collapsed="false">
      <c r="A168" s="12" t="s">
        <v>784</v>
      </c>
      <c r="B168" s="87" t="s">
        <v>751</v>
      </c>
      <c r="C168" s="17" t="s">
        <v>615</v>
      </c>
      <c r="D168" s="30" t="n">
        <f aca="false">IF(D40&gt;0,D30/D40,"N/M")</f>
        <v>0.139038373262753</v>
      </c>
      <c r="E168" s="30" t="n">
        <f aca="false">IF(E40&gt;0,E30/E40,"N/M")</f>
        <v>0.125783313812825</v>
      </c>
      <c r="F168" s="30" t="n">
        <f aca="false">IF(F40&gt;0,F30/F40,"N/M")</f>
        <v>0.202484828145538</v>
      </c>
      <c r="G168" s="30" t="n">
        <f aca="false">IF(G40&gt;0,G30/G40,"N/M")</f>
        <v>0.186474241827723</v>
      </c>
      <c r="H168" s="30" t="n">
        <f aca="false">IF(H40&gt;0,H30/H40,"N/M")</f>
        <v>0.175065624656905</v>
      </c>
      <c r="I168" s="30" t="n">
        <f aca="false">IF(I40&gt;0,I30/I40,"N/M")</f>
        <v>0.191381830838844</v>
      </c>
      <c r="J168" s="30" t="n">
        <f aca="false">IF(J40&gt;0,J30/J40,"N/M")</f>
        <v>0.177806616549558</v>
      </c>
      <c r="K168" s="30" t="n">
        <f aca="false">IF(COUNT(D168:J168)=0,"N/M",AVERAGE(D168:J168))</f>
        <v>0.171147832727735</v>
      </c>
      <c r="L168" s="30" t="n">
        <f aca="false">IF(COUNT(D168,J168)=2,J168-D168,"-")</f>
        <v>0.038768243286805</v>
      </c>
    </row>
    <row r="169" customFormat="false" ht="15" hidden="false" customHeight="false" outlineLevel="0" collapsed="false">
      <c r="A169" s="16" t="s">
        <v>785</v>
      </c>
      <c r="B169" s="87" t="s">
        <v>786</v>
      </c>
      <c r="C169" s="17" t="s">
        <v>615</v>
      </c>
      <c r="D169" s="94" t="n">
        <f aca="false">IF(COUNT(D164,D165,D166,D168)=4,D164*D165*D166-D168,"-")</f>
        <v>0</v>
      </c>
      <c r="E169" s="94" t="n">
        <f aca="false">IF(COUNT(E164,E165,E166,E168)=4,E164*E165*E166-E168,"-")</f>
        <v>0</v>
      </c>
      <c r="F169" s="94" t="n">
        <f aca="false">IF(COUNT(F164,F165,F166,F168)=4,F164*F165*F166-F168,"-")</f>
        <v>0</v>
      </c>
      <c r="G169" s="94" t="n">
        <f aca="false">IF(COUNT(G164,G165,G166,G168)=4,G164*G165*G166-G168,"-")</f>
        <v>0</v>
      </c>
      <c r="H169" s="94" t="n">
        <f aca="false">IF(COUNT(H164,H165,H166,H168)=4,H164*H165*H166-H168,"-")</f>
        <v>0</v>
      </c>
      <c r="I169" s="94" t="n">
        <f aca="false">IF(COUNT(I164,I165,I166,I168)=4,I164*I165*I166-I168,"-")</f>
        <v>0</v>
      </c>
      <c r="J169" s="94" t="n">
        <f aca="false">IF(COUNT(J164,J165,J166,J168)=4,J164*J165*J166-J168,"-")</f>
        <v>0</v>
      </c>
      <c r="K169" s="62"/>
      <c r="L169" s="62"/>
    </row>
    <row r="170" customFormat="false" ht="16.5" hidden="false" customHeight="true" outlineLevel="0" collapsed="false">
      <c r="A170" s="88" t="s">
        <v>787</v>
      </c>
      <c r="B170" s="89"/>
      <c r="C170" s="89"/>
      <c r="D170" s="89"/>
      <c r="E170" s="89"/>
      <c r="F170" s="89"/>
      <c r="G170" s="89"/>
      <c r="H170" s="89"/>
      <c r="I170" s="89"/>
      <c r="J170" s="89"/>
      <c r="K170" s="89"/>
      <c r="L170" s="89"/>
    </row>
    <row r="171" customFormat="false" ht="15" hidden="false" customHeight="false" outlineLevel="0" collapsed="false">
      <c r="A171" s="16" t="s">
        <v>788</v>
      </c>
      <c r="B171" s="87" t="s">
        <v>789</v>
      </c>
      <c r="C171" s="17" t="s">
        <v>97</v>
      </c>
      <c r="D171" s="73" t="n">
        <f aca="false">IF(D26&lt;&gt;0,D30/D26,"N/M")</f>
        <v>0.894726918484068</v>
      </c>
      <c r="E171" s="73" t="n">
        <f aca="false">IF(E26&lt;&gt;0,E30/E26,"N/M")</f>
        <v>0.84436154949785</v>
      </c>
      <c r="F171" s="73" t="n">
        <f aca="false">IF(F26&lt;&gt;0,F30/F26,"N/M")</f>
        <v>0.87635791448543</v>
      </c>
      <c r="G171" s="73" t="n">
        <f aca="false">IF(G26&lt;&gt;0,G30/G26,"N/M")</f>
        <v>0.87174133999945</v>
      </c>
      <c r="H171" s="73" t="n">
        <f aca="false">IF(H26&lt;&gt;0,H30/H26,"N/M")</f>
        <v>0.903914040557603</v>
      </c>
      <c r="I171" s="73" t="n">
        <f aca="false">IF(I26&lt;&gt;0,I30/I26,"N/M")</f>
        <v>0.897668647554366</v>
      </c>
      <c r="J171" s="73" t="n">
        <f aca="false">IF(J26&lt;&gt;0,J30/J26,"N/M")</f>
        <v>0.912700794174717</v>
      </c>
      <c r="K171" s="60" t="n">
        <f aca="false">IF(COUNT(D171:J171)=0,"N/M",AVERAGE(D171:J171))</f>
        <v>0.885924457821926</v>
      </c>
      <c r="L171" s="60" t="n">
        <f aca="false">IF(COUNT(D171,J171)=2,J171-D171,"-")</f>
        <v>0.0179738756906495</v>
      </c>
    </row>
    <row r="172" customFormat="false" ht="15" hidden="false" customHeight="false" outlineLevel="0" collapsed="false">
      <c r="A172" s="16" t="s">
        <v>790</v>
      </c>
      <c r="B172" s="87" t="s">
        <v>791</v>
      </c>
      <c r="C172" s="17" t="s">
        <v>97</v>
      </c>
      <c r="D172" s="73" t="n">
        <f aca="false">IF(D23&lt;&gt;0,D26/D23,"N/M")</f>
        <v>1.0010066058509</v>
      </c>
      <c r="E172" s="73" t="n">
        <f aca="false">IF(E23&lt;&gt;0,E26/E23,"N/M")</f>
        <v>1.02373538570002</v>
      </c>
      <c r="F172" s="73" t="n">
        <f aca="false">IF(F23&lt;&gt;0,F26/F23,"N/M")</f>
        <v>1.10595361601017</v>
      </c>
      <c r="G172" s="73" t="n">
        <f aca="false">IF(G23&lt;&gt;0,G26/G23,"N/M")</f>
        <v>1.19762468745888</v>
      </c>
      <c r="H172" s="73" t="n">
        <f aca="false">IF(H23&lt;&gt;0,H26/H23,"N/M")</f>
        <v>1.37240964707547</v>
      </c>
      <c r="I172" s="73" t="n">
        <f aca="false">IF(I23&lt;&gt;0,I26/I23,"N/M")</f>
        <v>1.33260812810025</v>
      </c>
      <c r="J172" s="73" t="n">
        <f aca="false">IF(J23&lt;&gt;0,J26/J23,"N/M")</f>
        <v>1.27620628031657</v>
      </c>
      <c r="K172" s="60" t="n">
        <f aca="false">IF(COUNT(D172:J172)=0,"N/M",AVERAGE(D172:J172))</f>
        <v>1.18707776435889</v>
      </c>
      <c r="L172" s="60" t="n">
        <f aca="false">IF(COUNT(D172,J172)=2,J172-D172,"-")</f>
        <v>0.275199674465672</v>
      </c>
    </row>
    <row r="173" customFormat="false" ht="15" hidden="false" customHeight="false" outlineLevel="0" collapsed="false">
      <c r="A173" s="16" t="s">
        <v>792</v>
      </c>
      <c r="B173" s="87" t="s">
        <v>793</v>
      </c>
      <c r="C173" s="17" t="s">
        <v>615</v>
      </c>
      <c r="D173" s="71" t="n">
        <f aca="false">IF(D7&gt;0,D23/D7,"N/M")</f>
        <v>0.0584839431313102</v>
      </c>
      <c r="E173" s="71" t="n">
        <f aca="false">IF(E7&gt;0,E23/E7,"N/M")</f>
        <v>0.0607374419691761</v>
      </c>
      <c r="F173" s="71" t="n">
        <f aca="false">IF(F7&gt;0,F23/F7,"N/M")</f>
        <v>0.0916929799528048</v>
      </c>
      <c r="G173" s="71" t="n">
        <f aca="false">IF(G7&gt;0,G23/G7,"N/M")</f>
        <v>0.0803580634330628</v>
      </c>
      <c r="H173" s="71" t="n">
        <f aca="false">IF(H7&gt;0,H23/H7,"N/M")</f>
        <v>0.070268819609071</v>
      </c>
      <c r="I173" s="71" t="n">
        <f aca="false">IF(I7&gt;0,I23/I7,"N/M")</f>
        <v>0.0767468575932036</v>
      </c>
      <c r="J173" s="71" t="n">
        <f aca="false">IF(J7&gt;0,J23/J7,"N/M")</f>
        <v>0.0796661222713287</v>
      </c>
      <c r="K173" s="62" t="n">
        <f aca="false">IF(COUNT(D173:J173)=0,"N/M",AVERAGE(D173:J173))</f>
        <v>0.0739934611371368</v>
      </c>
      <c r="L173" s="62" t="n">
        <f aca="false">IF(COUNT(D173,J173)=2,J173-D173,"-")</f>
        <v>0.0211821791400185</v>
      </c>
    </row>
    <row r="174" customFormat="false" ht="15" hidden="false" customHeight="false" outlineLevel="0" collapsed="false">
      <c r="A174" s="16" t="s">
        <v>781</v>
      </c>
      <c r="B174" s="87" t="s">
        <v>708</v>
      </c>
      <c r="C174" s="17" t="s">
        <v>692</v>
      </c>
      <c r="D174" s="73" t="n">
        <f aca="false">IF(D49&gt;0,D7/D49,"N/M")</f>
        <v>1.61457120452439</v>
      </c>
      <c r="E174" s="73" t="n">
        <f aca="false">IF(E49&gt;0,E7/E49,"N/M")</f>
        <v>1.61167120041868</v>
      </c>
      <c r="F174" s="73" t="n">
        <f aca="false">IF(F49&gt;0,F7/F49,"N/M")</f>
        <v>1.78366529285233</v>
      </c>
      <c r="G174" s="73" t="n">
        <f aca="false">IF(G49&gt;0,G7/G49,"N/M")</f>
        <v>1.80044361728965</v>
      </c>
      <c r="H174" s="73" t="n">
        <f aca="false">IF(H49&gt;0,H7/H49,"N/M")</f>
        <v>1.60880307028064</v>
      </c>
      <c r="I174" s="73" t="n">
        <f aca="false">IF(I49&gt;0,I7/I49,"N/M")</f>
        <v>1.53092504166624</v>
      </c>
      <c r="J174" s="73" t="n">
        <f aca="false">IF(J49&gt;0,J7/J49,"N/M")</f>
        <v>1.41211019397678</v>
      </c>
      <c r="K174" s="60" t="n">
        <f aca="false">IF(COUNT(D174:J174)=0,"N/M",AVERAGE(D174:J174))</f>
        <v>1.62316994585839</v>
      </c>
      <c r="L174" s="60" t="n">
        <f aca="false">IF(COUNT(D174,J174)=2,J174-D174,"-")</f>
        <v>-0.202461010547609</v>
      </c>
    </row>
    <row r="175" customFormat="false" ht="15" hidden="false" customHeight="false" outlineLevel="0" collapsed="false">
      <c r="A175" s="16" t="s">
        <v>782</v>
      </c>
      <c r="B175" s="87" t="s">
        <v>783</v>
      </c>
      <c r="C175" s="17" t="s">
        <v>692</v>
      </c>
      <c r="D175" s="73" t="n">
        <f aca="false">IF(D40&gt;0,D49/D40,"N/M")</f>
        <v>1.64404379376691</v>
      </c>
      <c r="E175" s="73" t="n">
        <f aca="false">IF(E40&gt;0,E49/E40,"N/M")</f>
        <v>1.48653084952681</v>
      </c>
      <c r="F175" s="73" t="n">
        <f aca="false">IF(F40&gt;0,F49/F40,"N/M")</f>
        <v>1.27739323768773</v>
      </c>
      <c r="G175" s="73" t="n">
        <f aca="false">IF(G40&gt;0,G49/G40,"N/M")</f>
        <v>1.23452952479448</v>
      </c>
      <c r="H175" s="73" t="n">
        <f aca="false">IF(H40&gt;0,H49/H40,"N/M")</f>
        <v>1.24831571698057</v>
      </c>
      <c r="I175" s="73" t="n">
        <f aca="false">IF(I40&gt;0,I49/I40,"N/M")</f>
        <v>1.36165680473373</v>
      </c>
      <c r="J175" s="73" t="n">
        <f aca="false">IF(J40&gt;0,J49/J40,"N/M")</f>
        <v>1.35692656635451</v>
      </c>
      <c r="K175" s="60" t="n">
        <f aca="false">IF(COUNT(D175:J175)=0,"N/M",AVERAGE(D175:J175))</f>
        <v>1.3727709276921</v>
      </c>
      <c r="L175" s="60" t="n">
        <f aca="false">IF(COUNT(D175,J175)=2,J175-D175,"-")</f>
        <v>-0.287117227412402</v>
      </c>
    </row>
    <row r="176" customFormat="false" ht="15" hidden="false" customHeight="false" outlineLevel="0" collapsed="false">
      <c r="A176" s="12" t="s">
        <v>784</v>
      </c>
      <c r="B176" s="87" t="s">
        <v>751</v>
      </c>
      <c r="C176" s="17" t="s">
        <v>615</v>
      </c>
      <c r="D176" s="30" t="n">
        <f aca="false">IF(D40&gt;0,D30/D40,"N/M")</f>
        <v>0.139038373262753</v>
      </c>
      <c r="E176" s="30" t="n">
        <f aca="false">IF(E40&gt;0,E30/E40,"N/M")</f>
        <v>0.125783313812825</v>
      </c>
      <c r="F176" s="30" t="n">
        <f aca="false">IF(F40&gt;0,F30/F40,"N/M")</f>
        <v>0.202484828145538</v>
      </c>
      <c r="G176" s="30" t="n">
        <f aca="false">IF(G40&gt;0,G30/G40,"N/M")</f>
        <v>0.186474241827723</v>
      </c>
      <c r="H176" s="30" t="n">
        <f aca="false">IF(H40&gt;0,H30/H40,"N/M")</f>
        <v>0.175065624656905</v>
      </c>
      <c r="I176" s="30" t="n">
        <f aca="false">IF(I40&gt;0,I30/I40,"N/M")</f>
        <v>0.191381830838844</v>
      </c>
      <c r="J176" s="30" t="n">
        <f aca="false">IF(J40&gt;0,J30/J40,"N/M")</f>
        <v>0.177806616549558</v>
      </c>
      <c r="K176" s="30" t="n">
        <f aca="false">IF(COUNT(D176:J176)=0,"N/M",AVERAGE(D176:J176))</f>
        <v>0.171147832727735</v>
      </c>
      <c r="L176" s="30" t="n">
        <f aca="false">IF(COUNT(D176,J176)=2,J176-D176,"-")</f>
        <v>0.038768243286805</v>
      </c>
    </row>
    <row r="177" customFormat="false" ht="15" hidden="false" customHeight="false" outlineLevel="0" collapsed="false">
      <c r="A177" s="16" t="s">
        <v>794</v>
      </c>
      <c r="B177" s="87" t="s">
        <v>786</v>
      </c>
      <c r="C177" s="17" t="s">
        <v>615</v>
      </c>
      <c r="D177" s="94" t="n">
        <f aca="false">IF(COUNT(D171,D172,D173,D174,D175,D176)=6,D171*D172*D173*D174*D175-D176,"-")</f>
        <v>0</v>
      </c>
      <c r="E177" s="94" t="n">
        <f aca="false">IF(COUNT(E171,E172,E173,E174,E175,E176)=6,E171*E172*E173*E174*E175-E176,"-")</f>
        <v>0</v>
      </c>
      <c r="F177" s="94" t="n">
        <f aca="false">IF(COUNT(F171,F172,F173,F174,F175,F176)=6,F171*F172*F173*F174*F175-F176,"-")</f>
        <v>0</v>
      </c>
      <c r="G177" s="94" t="n">
        <f aca="false">IF(COUNT(G171,G172,G173,G174,G175,G176)=6,G171*G172*G173*G174*G175-G176,"-")</f>
        <v>0</v>
      </c>
      <c r="H177" s="94" t="n">
        <f aca="false">IF(COUNT(H171,H172,H173,H174,H175,H176)=6,H171*H172*H173*H174*H175-H176,"-")</f>
        <v>0</v>
      </c>
      <c r="I177" s="94" t="n">
        <f aca="false">IF(COUNT(I171,I172,I173,I174,I175,I176)=6,I171*I172*I173*I174*I175-I176,"-")</f>
        <v>0</v>
      </c>
      <c r="J177" s="94" t="n">
        <f aca="false">IF(COUNT(J171,J172,J173,J174,J175,J176)=6,J171*J172*J173*J174*J175-J176,"-")</f>
        <v>0</v>
      </c>
      <c r="K177" s="62"/>
      <c r="L177" s="62"/>
    </row>
  </sheetData>
  <mergeCells count="3">
    <mergeCell ref="A1:L1"/>
    <mergeCell ref="A2:L2"/>
    <mergeCell ref="A3:L3"/>
  </mergeCells>
  <hyperlinks>
    <hyperlink ref="A3" r:id="rId1" display="Source: annual reports FY2020-FY2026 (consolidated) - https://tcil.com/disclosures/   (full list of documents on the Sources sheet)"/>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18096"/>
    <pageSetUpPr fitToPage="true"/>
  </sheetPr>
  <dimension ref="A1:L177"/>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50"/>
    <col collapsed="false" customWidth="true" hidden="false" outlineLevel="0" max="3" min="3" style="0" width="15"/>
    <col collapsed="false" customWidth="true" hidden="false" outlineLevel="0" max="10" min="4" style="0" width="11.5"/>
    <col collapsed="false" customWidth="true" hidden="false" outlineLevel="0" max="12" min="11" style="0" width="12"/>
  </cols>
  <sheetData>
    <row r="1" customFormat="false" ht="24" hidden="false" customHeight="true" outlineLevel="0" collapsed="false">
      <c r="A1" s="1" t="s">
        <v>839</v>
      </c>
      <c r="B1" s="1"/>
      <c r="C1" s="1"/>
      <c r="D1" s="1"/>
      <c r="E1" s="1"/>
      <c r="F1" s="1"/>
      <c r="G1" s="1"/>
      <c r="H1" s="1"/>
      <c r="I1" s="1"/>
      <c r="J1" s="1"/>
      <c r="K1" s="1"/>
      <c r="L1" s="1"/>
    </row>
    <row r="2" customFormat="false" ht="18" hidden="false" customHeight="true" outlineLevel="0" collapsed="false">
      <c r="A2" s="2" t="s">
        <v>840</v>
      </c>
      <c r="B2" s="2"/>
      <c r="C2" s="2"/>
      <c r="D2" s="2"/>
      <c r="E2" s="2"/>
      <c r="F2" s="2"/>
      <c r="G2" s="2"/>
      <c r="H2" s="2"/>
      <c r="I2" s="2"/>
      <c r="J2" s="2"/>
      <c r="K2" s="2"/>
      <c r="L2" s="2"/>
    </row>
    <row r="3" customFormat="false" ht="18" hidden="false" customHeight="true" outlineLevel="0" collapsed="false">
      <c r="A3" s="95" t="s">
        <v>841</v>
      </c>
      <c r="B3" s="95"/>
      <c r="C3" s="95"/>
      <c r="D3" s="95"/>
      <c r="E3" s="95"/>
      <c r="F3" s="95"/>
      <c r="G3" s="95"/>
      <c r="H3" s="95"/>
      <c r="I3" s="95"/>
      <c r="J3" s="95"/>
      <c r="K3" s="95"/>
      <c r="L3" s="95"/>
    </row>
    <row r="5" customFormat="false" ht="30" hidden="false" customHeight="true" outlineLevel="0" collapsed="false">
      <c r="A5" s="7" t="s">
        <v>486</v>
      </c>
      <c r="B5" s="7" t="s">
        <v>487</v>
      </c>
      <c r="C5" s="7" t="s">
        <v>488</v>
      </c>
      <c r="D5" s="7" t="s">
        <v>154</v>
      </c>
      <c r="E5" s="7" t="s">
        <v>185</v>
      </c>
      <c r="F5" s="7" t="s">
        <v>188</v>
      </c>
      <c r="G5" s="7" t="s">
        <v>144</v>
      </c>
      <c r="H5" s="7" t="s">
        <v>147</v>
      </c>
      <c r="I5" s="7" t="s">
        <v>157</v>
      </c>
      <c r="J5" s="7" t="s">
        <v>198</v>
      </c>
      <c r="K5" s="7" t="s">
        <v>322</v>
      </c>
      <c r="L5" s="7" t="s">
        <v>489</v>
      </c>
    </row>
    <row r="6" customFormat="false" ht="19.5" hidden="false" customHeight="true" outlineLevel="0" collapsed="false">
      <c r="A6" s="85" t="s">
        <v>490</v>
      </c>
      <c r="B6" s="86"/>
      <c r="C6" s="86"/>
      <c r="D6" s="86"/>
      <c r="E6" s="86"/>
      <c r="F6" s="86"/>
      <c r="G6" s="86"/>
      <c r="H6" s="86"/>
      <c r="I6" s="86"/>
      <c r="J6" s="86"/>
      <c r="K6" s="86"/>
      <c r="L6" s="86"/>
    </row>
    <row r="7" customFormat="false" ht="15" hidden="false" customHeight="false" outlineLevel="0" collapsed="false">
      <c r="A7" s="16" t="s">
        <v>491</v>
      </c>
      <c r="B7" s="87" t="s">
        <v>492</v>
      </c>
      <c r="C7" s="17" t="s">
        <v>493</v>
      </c>
      <c r="D7" s="96" t="n">
        <v>110</v>
      </c>
      <c r="E7" s="96" t="n">
        <v>108.23</v>
      </c>
      <c r="F7" s="96" t="n">
        <v>163.74</v>
      </c>
      <c r="G7" s="96" t="n">
        <v>186.44</v>
      </c>
      <c r="H7" s="96" t="n">
        <v>250.5</v>
      </c>
      <c r="I7" s="96" t="n">
        <v>220.18</v>
      </c>
      <c r="J7" s="96" t="n">
        <v>234.29</v>
      </c>
      <c r="K7" s="53" t="n">
        <f aca="false">AVERAGE(D7:J7)</f>
        <v>181.911428571429</v>
      </c>
      <c r="L7" s="53" t="n">
        <f aca="false">J7-D7</f>
        <v>124.29</v>
      </c>
    </row>
    <row r="8" customFormat="false" ht="16.5" hidden="false" customHeight="true" outlineLevel="0" collapsed="false">
      <c r="A8" s="88" t="s">
        <v>494</v>
      </c>
      <c r="B8" s="89"/>
      <c r="C8" s="89"/>
      <c r="D8" s="89"/>
      <c r="E8" s="89"/>
      <c r="F8" s="89"/>
      <c r="G8" s="89"/>
      <c r="H8" s="89"/>
      <c r="I8" s="89"/>
      <c r="J8" s="89"/>
      <c r="K8" s="89"/>
      <c r="L8" s="89"/>
    </row>
    <row r="9" customFormat="false" ht="15" hidden="false" customHeight="false" outlineLevel="0" collapsed="false">
      <c r="A9" s="16" t="s">
        <v>495</v>
      </c>
      <c r="B9" s="87" t="s">
        <v>496</v>
      </c>
      <c r="C9" s="17" t="s">
        <v>493</v>
      </c>
      <c r="D9" s="96" t="n">
        <v>0</v>
      </c>
      <c r="E9" s="96" t="n">
        <v>0</v>
      </c>
      <c r="F9" s="96" t="n">
        <v>0</v>
      </c>
      <c r="G9" s="96" t="n">
        <v>11.36</v>
      </c>
      <c r="H9" s="96" t="n">
        <v>55.27</v>
      </c>
      <c r="I9" s="96" t="n">
        <v>21.36</v>
      </c>
      <c r="J9" s="96" t="n">
        <v>0</v>
      </c>
      <c r="K9" s="53" t="n">
        <f aca="false">AVERAGE(D9:J9)</f>
        <v>12.57</v>
      </c>
      <c r="L9" s="53" t="n">
        <f aca="false">J9-D9</f>
        <v>0</v>
      </c>
    </row>
    <row r="10" customFormat="false" ht="15" hidden="false" customHeight="false" outlineLevel="0" collapsed="false">
      <c r="A10" s="16" t="s">
        <v>497</v>
      </c>
      <c r="B10" s="87" t="s">
        <v>498</v>
      </c>
      <c r="C10" s="17" t="s">
        <v>493</v>
      </c>
      <c r="D10" s="96" t="n">
        <v>0.25</v>
      </c>
      <c r="E10" s="96" t="n">
        <v>0</v>
      </c>
      <c r="F10" s="96" t="n">
        <v>-0.01</v>
      </c>
      <c r="G10" s="96" t="n">
        <v>0</v>
      </c>
      <c r="H10" s="96" t="n">
        <v>0.02</v>
      </c>
      <c r="I10" s="96" t="n">
        <v>0.05</v>
      </c>
      <c r="J10" s="96" t="n">
        <v>-0.26</v>
      </c>
      <c r="K10" s="53" t="n">
        <f aca="false">AVERAGE(D10:J10)</f>
        <v>0.00714285714285714</v>
      </c>
      <c r="L10" s="53" t="n">
        <f aca="false">J10-D10</f>
        <v>-0.51</v>
      </c>
    </row>
    <row r="11" customFormat="false" ht="15" hidden="false" customHeight="false" outlineLevel="0" collapsed="false">
      <c r="A11" s="16" t="s">
        <v>499</v>
      </c>
      <c r="B11" s="87" t="s">
        <v>500</v>
      </c>
      <c r="C11" s="17" t="s">
        <v>493</v>
      </c>
      <c r="D11" s="96" t="n">
        <v>0.17</v>
      </c>
      <c r="E11" s="96" t="n">
        <v>0.13</v>
      </c>
      <c r="F11" s="96" t="n">
        <v>0.15</v>
      </c>
      <c r="G11" s="96" t="n">
        <v>0.16</v>
      </c>
      <c r="H11" s="96" t="n">
        <v>0.23</v>
      </c>
      <c r="I11" s="96" t="n">
        <v>0.2</v>
      </c>
      <c r="J11" s="96" t="n">
        <v>0.18</v>
      </c>
      <c r="K11" s="53" t="n">
        <f aca="false">AVERAGE(D11:J11)</f>
        <v>0.174285714285714</v>
      </c>
      <c r="L11" s="53" t="n">
        <f aca="false">J11-D11</f>
        <v>0.00999999999999998</v>
      </c>
    </row>
    <row r="12" customFormat="false" ht="15" hidden="false" customHeight="false" outlineLevel="0" collapsed="false">
      <c r="A12" s="16" t="s">
        <v>501</v>
      </c>
      <c r="B12" s="87" t="s">
        <v>502</v>
      </c>
      <c r="C12" s="17" t="s">
        <v>493</v>
      </c>
      <c r="D12" s="96" t="n">
        <v>83.75</v>
      </c>
      <c r="E12" s="96" t="n">
        <v>86.42</v>
      </c>
      <c r="F12" s="96" t="n">
        <v>122.23</v>
      </c>
      <c r="G12" s="96" t="n">
        <v>135.21</v>
      </c>
      <c r="H12" s="96" t="n">
        <v>152.96</v>
      </c>
      <c r="I12" s="96" t="n">
        <v>164.85</v>
      </c>
      <c r="J12" s="96" t="n">
        <v>200.28</v>
      </c>
      <c r="K12" s="53" t="n">
        <f aca="false">AVERAGE(D12:J12)</f>
        <v>135.1</v>
      </c>
      <c r="L12" s="53" t="n">
        <f aca="false">J12-D12</f>
        <v>116.53</v>
      </c>
    </row>
    <row r="13" customFormat="false" ht="15" hidden="false" customHeight="false" outlineLevel="0" collapsed="false">
      <c r="A13" s="12" t="s">
        <v>503</v>
      </c>
      <c r="B13" s="87" t="s">
        <v>504</v>
      </c>
      <c r="C13" s="17" t="s">
        <v>493</v>
      </c>
      <c r="D13" s="29" t="n">
        <f aca="false">D9+D11+D12-D10</f>
        <v>83.67</v>
      </c>
      <c r="E13" s="29" t="n">
        <f aca="false">E9+E11+E12-E10</f>
        <v>86.55</v>
      </c>
      <c r="F13" s="29" t="n">
        <f aca="false">F9+F11+F12-F10</f>
        <v>122.39</v>
      </c>
      <c r="G13" s="29" t="n">
        <f aca="false">G9+G11+G12-G10</f>
        <v>146.73</v>
      </c>
      <c r="H13" s="29" t="n">
        <f aca="false">H9+H11+H12-H10</f>
        <v>208.44</v>
      </c>
      <c r="I13" s="29" t="n">
        <f aca="false">I9+I11+I12-I10</f>
        <v>186.36</v>
      </c>
      <c r="J13" s="29" t="n">
        <f aca="false">J9+J11+J12-J10</f>
        <v>200.72</v>
      </c>
      <c r="K13" s="29" t="n">
        <f aca="false">AVERAGE(D13:J13)</f>
        <v>147.837142857143</v>
      </c>
      <c r="L13" s="29" t="n">
        <f aca="false">J13-D13</f>
        <v>117.05</v>
      </c>
    </row>
    <row r="14" customFormat="false" ht="15" hidden="false" customHeight="false" outlineLevel="0" collapsed="false">
      <c r="A14" s="12" t="s">
        <v>505</v>
      </c>
      <c r="B14" s="87" t="s">
        <v>506</v>
      </c>
      <c r="C14" s="17" t="s">
        <v>493</v>
      </c>
      <c r="D14" s="29" t="n">
        <f aca="false">D7-D13</f>
        <v>26.33</v>
      </c>
      <c r="E14" s="29" t="n">
        <f aca="false">E7-E13</f>
        <v>21.68</v>
      </c>
      <c r="F14" s="29" t="n">
        <f aca="false">F7-F13</f>
        <v>41.35</v>
      </c>
      <c r="G14" s="29" t="n">
        <f aca="false">G7-G13</f>
        <v>39.71</v>
      </c>
      <c r="H14" s="29" t="n">
        <f aca="false">H7-H13</f>
        <v>42.06</v>
      </c>
      <c r="I14" s="29" t="n">
        <f aca="false">I7-I13</f>
        <v>33.82</v>
      </c>
      <c r="J14" s="29" t="n">
        <f aca="false">J7-J13</f>
        <v>33.57</v>
      </c>
      <c r="K14" s="29" t="n">
        <f aca="false">AVERAGE(D14:J14)</f>
        <v>34.0742857142857</v>
      </c>
      <c r="L14" s="29" t="n">
        <f aca="false">J14-D14</f>
        <v>7.24</v>
      </c>
    </row>
    <row r="15" customFormat="false" ht="16.5" hidden="false" customHeight="true" outlineLevel="0" collapsed="false">
      <c r="A15" s="88" t="s">
        <v>507</v>
      </c>
      <c r="B15" s="89"/>
      <c r="C15" s="89"/>
      <c r="D15" s="89"/>
      <c r="E15" s="89"/>
      <c r="F15" s="89"/>
      <c r="G15" s="89"/>
      <c r="H15" s="89"/>
      <c r="I15" s="89"/>
      <c r="J15" s="89"/>
      <c r="K15" s="89"/>
      <c r="L15" s="89"/>
    </row>
    <row r="16" customFormat="false" ht="15" hidden="false" customHeight="false" outlineLevel="0" collapsed="false">
      <c r="A16" s="16" t="s">
        <v>508</v>
      </c>
      <c r="B16" s="87" t="s">
        <v>509</v>
      </c>
      <c r="C16" s="17" t="s">
        <v>493</v>
      </c>
      <c r="D16" s="96" t="n">
        <v>10.56</v>
      </c>
      <c r="E16" s="96" t="n">
        <v>8.31</v>
      </c>
      <c r="F16" s="96" t="n">
        <v>8.13</v>
      </c>
      <c r="G16" s="96" t="n">
        <v>9.08</v>
      </c>
      <c r="H16" s="96" t="n">
        <v>8.97</v>
      </c>
      <c r="I16" s="96" t="n">
        <v>12.66</v>
      </c>
      <c r="J16" s="96" t="n">
        <v>11.98</v>
      </c>
      <c r="K16" s="53" t="n">
        <f aca="false">AVERAGE(D16:J16)</f>
        <v>9.95571428571429</v>
      </c>
      <c r="L16" s="53" t="n">
        <f aca="false">J16-D16</f>
        <v>1.42</v>
      </c>
    </row>
    <row r="17" customFormat="false" ht="15" hidden="false" customHeight="false" outlineLevel="0" collapsed="false">
      <c r="A17" s="16" t="s">
        <v>510</v>
      </c>
      <c r="B17" s="87" t="s">
        <v>511</v>
      </c>
      <c r="C17" s="17" t="s">
        <v>493</v>
      </c>
      <c r="D17" s="96" t="n">
        <v>6.33</v>
      </c>
      <c r="E17" s="96" t="n">
        <v>6.07</v>
      </c>
      <c r="F17" s="96" t="n">
        <v>13.85</v>
      </c>
      <c r="G17" s="96" t="n">
        <v>10.23</v>
      </c>
      <c r="H17" s="96" t="n">
        <v>14.08</v>
      </c>
      <c r="I17" s="96" t="n">
        <v>11.5</v>
      </c>
      <c r="J17" s="96" t="n">
        <v>12.55</v>
      </c>
      <c r="K17" s="53" t="n">
        <f aca="false">AVERAGE(D17:J17)</f>
        <v>10.6585714285714</v>
      </c>
      <c r="L17" s="53" t="n">
        <f aca="false">J17-D17</f>
        <v>6.22</v>
      </c>
    </row>
    <row r="18" customFormat="false" ht="15" hidden="false" customHeight="false" outlineLevel="0" collapsed="false">
      <c r="A18" s="16" t="s">
        <v>512</v>
      </c>
      <c r="B18" s="87" t="s">
        <v>513</v>
      </c>
      <c r="C18" s="17" t="s">
        <v>493</v>
      </c>
      <c r="D18" s="96" t="n">
        <v>0.39</v>
      </c>
      <c r="E18" s="96" t="n">
        <v>0.19</v>
      </c>
      <c r="F18" s="96" t="n">
        <v>2.66</v>
      </c>
      <c r="G18" s="96" t="n">
        <v>0.77</v>
      </c>
      <c r="H18" s="96" t="n">
        <v>0.13</v>
      </c>
      <c r="I18" s="96" t="n">
        <v>0.64</v>
      </c>
      <c r="J18" s="96" t="n">
        <v>1.29</v>
      </c>
      <c r="K18" s="53" t="n">
        <f aca="false">AVERAGE(D18:J18)</f>
        <v>0.867142857142857</v>
      </c>
      <c r="L18" s="53" t="n">
        <f aca="false">J18-D18</f>
        <v>0.9</v>
      </c>
    </row>
    <row r="19" customFormat="false" ht="15" hidden="false" customHeight="false" outlineLevel="0" collapsed="false">
      <c r="A19" s="12" t="s">
        <v>507</v>
      </c>
      <c r="B19" s="87" t="s">
        <v>514</v>
      </c>
      <c r="C19" s="17" t="s">
        <v>493</v>
      </c>
      <c r="D19" s="29" t="n">
        <f aca="false">D16+D17+D18</f>
        <v>17.28</v>
      </c>
      <c r="E19" s="29" t="n">
        <f aca="false">E16+E17+E18</f>
        <v>14.57</v>
      </c>
      <c r="F19" s="29" t="n">
        <f aca="false">F16+F17+F18</f>
        <v>24.64</v>
      </c>
      <c r="G19" s="29" t="n">
        <f aca="false">G16+G17+G18</f>
        <v>20.08</v>
      </c>
      <c r="H19" s="29" t="n">
        <f aca="false">H16+H17+H18</f>
        <v>23.18</v>
      </c>
      <c r="I19" s="29" t="n">
        <f aca="false">I16+I17+I18</f>
        <v>24.8</v>
      </c>
      <c r="J19" s="29" t="n">
        <f aca="false">J16+J17+J18</f>
        <v>25.82</v>
      </c>
      <c r="K19" s="29" t="n">
        <f aca="false">AVERAGE(D19:J19)</f>
        <v>21.4814285714286</v>
      </c>
      <c r="L19" s="29" t="n">
        <f aca="false">J19-D19</f>
        <v>8.54</v>
      </c>
    </row>
    <row r="20" customFormat="false" ht="15" hidden="false" customHeight="false" outlineLevel="0" collapsed="false">
      <c r="A20" s="12" t="s">
        <v>515</v>
      </c>
      <c r="B20" s="87" t="s">
        <v>516</v>
      </c>
      <c r="C20" s="17" t="s">
        <v>493</v>
      </c>
      <c r="D20" s="29" t="n">
        <f aca="false">D13+D19</f>
        <v>100.95</v>
      </c>
      <c r="E20" s="29" t="n">
        <f aca="false">E13+E19</f>
        <v>101.12</v>
      </c>
      <c r="F20" s="29" t="n">
        <f aca="false">F13+F19</f>
        <v>147.03</v>
      </c>
      <c r="G20" s="29" t="n">
        <f aca="false">G13+G19</f>
        <v>166.81</v>
      </c>
      <c r="H20" s="29" t="n">
        <f aca="false">H13+H19</f>
        <v>231.62</v>
      </c>
      <c r="I20" s="29" t="n">
        <f aca="false">I13+I19</f>
        <v>211.16</v>
      </c>
      <c r="J20" s="29" t="n">
        <f aca="false">J13+J19</f>
        <v>226.54</v>
      </c>
      <c r="K20" s="29" t="n">
        <f aca="false">AVERAGE(D20:J20)</f>
        <v>169.318571428571</v>
      </c>
      <c r="L20" s="29" t="n">
        <f aca="false">J20-D20</f>
        <v>125.59</v>
      </c>
    </row>
    <row r="21" customFormat="false" ht="15" hidden="false" customHeight="false" outlineLevel="0" collapsed="false">
      <c r="A21" s="12" t="s">
        <v>517</v>
      </c>
      <c r="B21" s="87" t="s">
        <v>518</v>
      </c>
      <c r="C21" s="17" t="s">
        <v>493</v>
      </c>
      <c r="D21" s="29" t="n">
        <f aca="false">D7-D20</f>
        <v>9.05</v>
      </c>
      <c r="E21" s="29" t="n">
        <f aca="false">E7-E20</f>
        <v>7.11</v>
      </c>
      <c r="F21" s="29" t="n">
        <f aca="false">F7-F20</f>
        <v>16.71</v>
      </c>
      <c r="G21" s="29" t="n">
        <f aca="false">G7-G20</f>
        <v>19.63</v>
      </c>
      <c r="H21" s="29" t="n">
        <f aca="false">H7-H20</f>
        <v>18.88</v>
      </c>
      <c r="I21" s="29" t="n">
        <f aca="false">I7-I20</f>
        <v>9.02000000000001</v>
      </c>
      <c r="J21" s="29" t="n">
        <f aca="false">J7-J20</f>
        <v>7.75</v>
      </c>
      <c r="K21" s="29" t="n">
        <f aca="false">AVERAGE(D21:J21)</f>
        <v>12.5928571428571</v>
      </c>
      <c r="L21" s="29" t="n">
        <f aca="false">J21-D21</f>
        <v>-1.3</v>
      </c>
    </row>
    <row r="22" customFormat="false" ht="15" hidden="false" customHeight="false" outlineLevel="0" collapsed="false">
      <c r="A22" s="16" t="s">
        <v>519</v>
      </c>
      <c r="B22" s="87" t="s">
        <v>520</v>
      </c>
      <c r="C22" s="17" t="s">
        <v>493</v>
      </c>
      <c r="D22" s="96" t="n">
        <v>4.17</v>
      </c>
      <c r="E22" s="96" t="n">
        <v>4.31</v>
      </c>
      <c r="F22" s="96" t="n">
        <v>3.86</v>
      </c>
      <c r="G22" s="96" t="n">
        <v>3.36</v>
      </c>
      <c r="H22" s="96" t="n">
        <v>4.41</v>
      </c>
      <c r="I22" s="96" t="n">
        <v>4.83</v>
      </c>
      <c r="J22" s="96" t="n">
        <v>4</v>
      </c>
      <c r="K22" s="53" t="n">
        <f aca="false">AVERAGE(D22:J22)</f>
        <v>4.13428571428571</v>
      </c>
      <c r="L22" s="53" t="n">
        <f aca="false">J22-D22</f>
        <v>-0.17</v>
      </c>
    </row>
    <row r="23" customFormat="false" ht="15" hidden="false" customHeight="false" outlineLevel="0" collapsed="false">
      <c r="A23" s="12" t="s">
        <v>521</v>
      </c>
      <c r="B23" s="87" t="s">
        <v>522</v>
      </c>
      <c r="C23" s="17" t="s">
        <v>493</v>
      </c>
      <c r="D23" s="29" t="n">
        <f aca="false">D21-D22</f>
        <v>4.88</v>
      </c>
      <c r="E23" s="29" t="n">
        <f aca="false">E21-E22</f>
        <v>2.8</v>
      </c>
      <c r="F23" s="29" t="n">
        <f aca="false">F21-F22</f>
        <v>12.85</v>
      </c>
      <c r="G23" s="29" t="n">
        <f aca="false">G21-G22</f>
        <v>16.27</v>
      </c>
      <c r="H23" s="29" t="n">
        <f aca="false">H21-H22</f>
        <v>14.47</v>
      </c>
      <c r="I23" s="29" t="n">
        <f aca="false">I21-I22</f>
        <v>4.19000000000001</v>
      </c>
      <c r="J23" s="29" t="n">
        <f aca="false">J21-J22</f>
        <v>3.75</v>
      </c>
      <c r="K23" s="29" t="n">
        <f aca="false">AVERAGE(D23:J23)</f>
        <v>8.45857142857142</v>
      </c>
      <c r="L23" s="29" t="n">
        <f aca="false">J23-D23</f>
        <v>-1.13</v>
      </c>
    </row>
    <row r="24" customFormat="false" ht="15" hidden="false" customHeight="false" outlineLevel="0" collapsed="false">
      <c r="A24" s="16" t="s">
        <v>523</v>
      </c>
      <c r="B24" s="87" t="s">
        <v>524</v>
      </c>
      <c r="C24" s="17" t="s">
        <v>493</v>
      </c>
      <c r="D24" s="96" t="n">
        <v>0.85</v>
      </c>
      <c r="E24" s="96" t="n">
        <v>0.45</v>
      </c>
      <c r="F24" s="96" t="n">
        <v>3.08</v>
      </c>
      <c r="G24" s="96" t="n">
        <v>0.81</v>
      </c>
      <c r="H24" s="96" t="n">
        <v>11.92</v>
      </c>
      <c r="I24" s="96" t="n">
        <v>2.47</v>
      </c>
      <c r="J24" s="96" t="n">
        <v>3.97</v>
      </c>
      <c r="K24" s="53" t="n">
        <f aca="false">AVERAGE(D24:J24)</f>
        <v>3.36428571428571</v>
      </c>
      <c r="L24" s="53" t="n">
        <f aca="false">J24-D24</f>
        <v>3.12</v>
      </c>
    </row>
    <row r="25" customFormat="false" ht="15" hidden="false" customHeight="false" outlineLevel="0" collapsed="false">
      <c r="A25" s="16" t="s">
        <v>525</v>
      </c>
      <c r="B25" s="87" t="s">
        <v>526</v>
      </c>
      <c r="C25" s="17" t="s">
        <v>493</v>
      </c>
      <c r="D25" s="96" t="n">
        <v>3.53</v>
      </c>
      <c r="E25" s="96" t="n">
        <v>4.21</v>
      </c>
      <c r="F25" s="96" t="n">
        <v>4.13</v>
      </c>
      <c r="G25" s="96" t="n">
        <v>3.71</v>
      </c>
      <c r="H25" s="96" t="n">
        <v>4.96</v>
      </c>
      <c r="I25" s="96" t="n">
        <v>4.38</v>
      </c>
      <c r="J25" s="96" t="n">
        <v>4.16</v>
      </c>
      <c r="K25" s="53" t="n">
        <f aca="false">AVERAGE(D25:J25)</f>
        <v>4.15428571428571</v>
      </c>
      <c r="L25" s="53" t="n">
        <f aca="false">J25-D25</f>
        <v>0.63</v>
      </c>
    </row>
    <row r="26" customFormat="false" ht="15" hidden="false" customHeight="false" outlineLevel="0" collapsed="false">
      <c r="A26" s="12" t="s">
        <v>527</v>
      </c>
      <c r="B26" s="87" t="s">
        <v>528</v>
      </c>
      <c r="C26" s="17" t="s">
        <v>493</v>
      </c>
      <c r="D26" s="90" t="n">
        <f aca="false">D23+D24-D25</f>
        <v>2.2</v>
      </c>
      <c r="E26" s="90" t="n">
        <f aca="false">E23+E24-E25</f>
        <v>-0.96</v>
      </c>
      <c r="F26" s="90" t="n">
        <f aca="false">F23+F24-F25</f>
        <v>11.8</v>
      </c>
      <c r="G26" s="90" t="n">
        <f aca="false">G23+G24-G25</f>
        <v>13.37</v>
      </c>
      <c r="H26" s="90" t="n">
        <f aca="false">H23+H24-H25</f>
        <v>21.43</v>
      </c>
      <c r="I26" s="90" t="n">
        <f aca="false">I23+I24-I25</f>
        <v>2.28000000000001</v>
      </c>
      <c r="J26" s="90" t="n">
        <f aca="false">J23+J24-J25</f>
        <v>3.56</v>
      </c>
      <c r="K26" s="91" t="n">
        <f aca="false">AVERAGE(D26:J26)</f>
        <v>7.66857142857142</v>
      </c>
      <c r="L26" s="91" t="n">
        <f aca="false">J26-D26</f>
        <v>1.36</v>
      </c>
    </row>
    <row r="27" customFormat="false" ht="15" hidden="false" customHeight="false" outlineLevel="0" collapsed="false">
      <c r="A27" s="16" t="s">
        <v>529</v>
      </c>
      <c r="B27" s="87" t="s">
        <v>530</v>
      </c>
      <c r="C27" s="17" t="s">
        <v>493</v>
      </c>
      <c r="D27" s="96" t="n">
        <v>0.73</v>
      </c>
      <c r="E27" s="96" t="n">
        <v>0.13</v>
      </c>
      <c r="F27" s="96" t="n">
        <v>2.96</v>
      </c>
      <c r="G27" s="96" t="n">
        <v>3.68</v>
      </c>
      <c r="H27" s="96" t="n">
        <v>5.16</v>
      </c>
      <c r="I27" s="96" t="n">
        <v>0.74</v>
      </c>
      <c r="J27" s="96" t="n">
        <v>0.4</v>
      </c>
      <c r="K27" s="53" t="n">
        <f aca="false">AVERAGE(D27:J27)</f>
        <v>1.97142857142857</v>
      </c>
      <c r="L27" s="53" t="n">
        <f aca="false">J27-D27</f>
        <v>-0.33</v>
      </c>
    </row>
    <row r="28" customFormat="false" ht="15" hidden="false" customHeight="false" outlineLevel="0" collapsed="false">
      <c r="A28" s="16" t="s">
        <v>531</v>
      </c>
      <c r="B28" s="87" t="s">
        <v>532</v>
      </c>
      <c r="C28" s="17" t="s">
        <v>493</v>
      </c>
      <c r="D28" s="69" t="n">
        <f aca="false">D26-D27</f>
        <v>1.47</v>
      </c>
      <c r="E28" s="69" t="n">
        <f aca="false">E26-E27</f>
        <v>-1.09</v>
      </c>
      <c r="F28" s="69" t="n">
        <f aca="false">F26-F27</f>
        <v>8.83999999999998</v>
      </c>
      <c r="G28" s="69" t="n">
        <f aca="false">G26-G27</f>
        <v>9.68999999999997</v>
      </c>
      <c r="H28" s="69" t="n">
        <f aca="false">H26-H27</f>
        <v>16.27</v>
      </c>
      <c r="I28" s="69" t="n">
        <f aca="false">I26-I27</f>
        <v>1.54000000000001</v>
      </c>
      <c r="J28" s="69" t="n">
        <f aca="false">J26-J27</f>
        <v>3.16</v>
      </c>
      <c r="K28" s="53" t="n">
        <f aca="false">AVERAGE(D28:J28)</f>
        <v>5.69714285714285</v>
      </c>
      <c r="L28" s="53" t="n">
        <f aca="false">J28-D28</f>
        <v>1.69</v>
      </c>
    </row>
    <row r="29" customFormat="false" ht="15" hidden="false" customHeight="false" outlineLevel="0" collapsed="false">
      <c r="A29" s="16" t="s">
        <v>533</v>
      </c>
      <c r="B29" s="87" t="s">
        <v>534</v>
      </c>
      <c r="C29" s="17" t="s">
        <v>493</v>
      </c>
      <c r="D29" s="69" t="n">
        <f aca="false">D30-D28</f>
        <v>0</v>
      </c>
      <c r="E29" s="69" t="n">
        <f aca="false">E30-E28</f>
        <v>0</v>
      </c>
      <c r="F29" s="69" t="n">
        <f aca="false">F30-F28</f>
        <v>0.0100000000000211</v>
      </c>
      <c r="G29" s="69" t="n">
        <f aca="false">G30-G28</f>
        <v>-0.00999999999996604</v>
      </c>
      <c r="H29" s="69" t="n">
        <f aca="false">H30-H28</f>
        <v>0.0100000000000087</v>
      </c>
      <c r="I29" s="69" t="n">
        <f aca="false">I30-I28</f>
        <v>-0.0100000000000109</v>
      </c>
      <c r="J29" s="69" t="n">
        <f aca="false">J30-J28</f>
        <v>0</v>
      </c>
      <c r="K29" s="53" t="n">
        <f aca="false">AVERAGE(D29:J29)</f>
        <v>7.54951656745106E-015</v>
      </c>
      <c r="L29" s="53" t="n">
        <f aca="false">J29-D29</f>
        <v>0</v>
      </c>
    </row>
    <row r="30" customFormat="false" ht="15" hidden="false" customHeight="false" outlineLevel="0" collapsed="false">
      <c r="A30" s="16" t="s">
        <v>535</v>
      </c>
      <c r="B30" s="87" t="s">
        <v>536</v>
      </c>
      <c r="C30" s="17" t="s">
        <v>493</v>
      </c>
      <c r="D30" s="96" t="n">
        <v>1.47</v>
      </c>
      <c r="E30" s="96" t="n">
        <v>-1.09</v>
      </c>
      <c r="F30" s="96" t="n">
        <v>8.85</v>
      </c>
      <c r="G30" s="96" t="n">
        <v>9.68</v>
      </c>
      <c r="H30" s="96" t="n">
        <v>16.28</v>
      </c>
      <c r="I30" s="96" t="n">
        <v>1.53</v>
      </c>
      <c r="J30" s="96" t="n">
        <v>3.16</v>
      </c>
      <c r="K30" s="53" t="n">
        <f aca="false">AVERAGE(D30:J30)</f>
        <v>5.69714285714286</v>
      </c>
      <c r="L30" s="53" t="n">
        <f aca="false">J30-D30</f>
        <v>1.69</v>
      </c>
    </row>
    <row r="31" customFormat="false" ht="15" hidden="false" customHeight="false" outlineLevel="0" collapsed="false">
      <c r="A31" s="16" t="s">
        <v>537</v>
      </c>
      <c r="B31" s="87" t="s">
        <v>538</v>
      </c>
      <c r="C31" s="17" t="s">
        <v>493</v>
      </c>
      <c r="D31" s="96" t="n">
        <v>0.52</v>
      </c>
      <c r="E31" s="96" t="n">
        <v>1.05</v>
      </c>
      <c r="F31" s="96" t="n">
        <v>2.1</v>
      </c>
      <c r="G31" s="96" t="n">
        <v>1.05</v>
      </c>
      <c r="H31" s="96" t="n">
        <v>0.7</v>
      </c>
      <c r="I31" s="96" t="n">
        <v>0</v>
      </c>
      <c r="J31" s="96" t="n">
        <v>0</v>
      </c>
      <c r="K31" s="53" t="n">
        <f aca="false">AVERAGE(D31:J31)</f>
        <v>0.774285714285714</v>
      </c>
      <c r="L31" s="53" t="n">
        <f aca="false">J31-D31</f>
        <v>-0.52</v>
      </c>
    </row>
    <row r="32" customFormat="false" ht="15" hidden="false" customHeight="false" outlineLevel="0" collapsed="false">
      <c r="A32" s="16" t="s">
        <v>539</v>
      </c>
      <c r="B32" s="87" t="s">
        <v>540</v>
      </c>
      <c r="C32" s="17" t="s">
        <v>493</v>
      </c>
      <c r="D32" s="96" t="n">
        <v>0</v>
      </c>
      <c r="E32" s="96" t="n">
        <v>0</v>
      </c>
      <c r="F32" s="96" t="n">
        <v>0</v>
      </c>
      <c r="G32" s="96" t="n">
        <v>0</v>
      </c>
      <c r="H32" s="96" t="n">
        <v>0</v>
      </c>
      <c r="I32" s="96" t="n">
        <v>0</v>
      </c>
      <c r="J32" s="96" t="n">
        <v>0</v>
      </c>
      <c r="K32" s="53" t="n">
        <f aca="false">AVERAGE(D32:J32)</f>
        <v>0</v>
      </c>
      <c r="L32" s="53" t="n">
        <f aca="false">J32-D32</f>
        <v>0</v>
      </c>
    </row>
    <row r="34" customFormat="false" ht="19.5" hidden="false" customHeight="true" outlineLevel="0" collapsed="false">
      <c r="A34" s="85" t="s">
        <v>541</v>
      </c>
      <c r="B34" s="86"/>
      <c r="C34" s="86"/>
      <c r="D34" s="86"/>
      <c r="E34" s="86"/>
      <c r="F34" s="86"/>
      <c r="G34" s="86"/>
      <c r="H34" s="86"/>
      <c r="I34" s="86"/>
      <c r="J34" s="86"/>
      <c r="K34" s="86"/>
      <c r="L34" s="86"/>
    </row>
    <row r="35" customFormat="false" ht="16.5" hidden="false" customHeight="true" outlineLevel="0" collapsed="false">
      <c r="A35" s="88" t="s">
        <v>542</v>
      </c>
      <c r="B35" s="89"/>
      <c r="C35" s="89"/>
      <c r="D35" s="89"/>
      <c r="E35" s="89"/>
      <c r="F35" s="89"/>
      <c r="G35" s="89"/>
      <c r="H35" s="89"/>
      <c r="I35" s="89"/>
      <c r="J35" s="89"/>
      <c r="K35" s="89"/>
      <c r="L35" s="89"/>
    </row>
    <row r="36" customFormat="false" ht="15" hidden="false" customHeight="false" outlineLevel="0" collapsed="false">
      <c r="A36" s="16" t="s">
        <v>543</v>
      </c>
      <c r="B36" s="87" t="s">
        <v>544</v>
      </c>
      <c r="C36" s="17" t="s">
        <v>493</v>
      </c>
      <c r="D36" s="96" t="n">
        <v>10.48</v>
      </c>
      <c r="E36" s="96" t="n">
        <v>10.48</v>
      </c>
      <c r="F36" s="96" t="n">
        <v>10.48</v>
      </c>
      <c r="G36" s="96" t="n">
        <v>10.48</v>
      </c>
      <c r="H36" s="96" t="n">
        <v>13.98</v>
      </c>
      <c r="I36" s="96" t="n">
        <v>13.98</v>
      </c>
      <c r="J36" s="96" t="n">
        <v>13.98</v>
      </c>
      <c r="K36" s="53" t="n">
        <f aca="false">AVERAGE(D36:J36)</f>
        <v>11.98</v>
      </c>
      <c r="L36" s="53" t="n">
        <f aca="false">J36-D36</f>
        <v>3.5</v>
      </c>
    </row>
    <row r="37" customFormat="false" ht="15" hidden="false" customHeight="false" outlineLevel="0" collapsed="false">
      <c r="A37" s="16" t="s">
        <v>545</v>
      </c>
      <c r="B37" s="87" t="s">
        <v>540</v>
      </c>
      <c r="C37" s="17" t="s">
        <v>493</v>
      </c>
      <c r="D37" s="96" t="n">
        <v>0</v>
      </c>
      <c r="E37" s="96" t="n">
        <v>0</v>
      </c>
      <c r="F37" s="96" t="n">
        <v>0</v>
      </c>
      <c r="G37" s="96" t="n">
        <v>0</v>
      </c>
      <c r="H37" s="96" t="n">
        <v>0</v>
      </c>
      <c r="I37" s="96" t="n">
        <v>0</v>
      </c>
      <c r="J37" s="96" t="n">
        <v>0</v>
      </c>
      <c r="K37" s="53" t="n">
        <f aca="false">AVERAGE(D37:J37)</f>
        <v>0</v>
      </c>
      <c r="L37" s="53" t="n">
        <f aca="false">J37-D37</f>
        <v>0</v>
      </c>
    </row>
    <row r="38" customFormat="false" ht="15" hidden="false" customHeight="false" outlineLevel="0" collapsed="false">
      <c r="A38" s="16" t="s">
        <v>546</v>
      </c>
      <c r="B38" s="87" t="s">
        <v>547</v>
      </c>
      <c r="C38" s="17" t="s">
        <v>493</v>
      </c>
      <c r="D38" s="96" t="n">
        <v>14.77</v>
      </c>
      <c r="E38" s="96" t="n">
        <v>13.68</v>
      </c>
      <c r="F38" s="96" t="n">
        <v>21.64</v>
      </c>
      <c r="G38" s="96" t="n">
        <v>30.33</v>
      </c>
      <c r="H38" s="96" t="n">
        <v>41.97</v>
      </c>
      <c r="I38" s="96" t="n">
        <v>42.8</v>
      </c>
      <c r="J38" s="96" t="n">
        <v>46.13</v>
      </c>
      <c r="K38" s="53" t="n">
        <f aca="false">AVERAGE(D38:J38)</f>
        <v>30.1885714285714</v>
      </c>
      <c r="L38" s="53" t="n">
        <f aca="false">J38-D38</f>
        <v>31.36</v>
      </c>
    </row>
    <row r="39" customFormat="false" ht="15" hidden="false" customHeight="false" outlineLevel="0" collapsed="false">
      <c r="A39" s="12" t="s">
        <v>548</v>
      </c>
      <c r="B39" s="87" t="s">
        <v>549</v>
      </c>
      <c r="C39" s="17" t="s">
        <v>493</v>
      </c>
      <c r="D39" s="29" t="n">
        <f aca="false">D36+D38</f>
        <v>25.25</v>
      </c>
      <c r="E39" s="29" t="n">
        <f aca="false">E36+E38</f>
        <v>24.16</v>
      </c>
      <c r="F39" s="29" t="n">
        <f aca="false">F36+F38</f>
        <v>32.12</v>
      </c>
      <c r="G39" s="29" t="n">
        <f aca="false">G36+G38</f>
        <v>40.81</v>
      </c>
      <c r="H39" s="29" t="n">
        <f aca="false">H36+H38</f>
        <v>55.95</v>
      </c>
      <c r="I39" s="29" t="n">
        <f aca="false">I36+I38</f>
        <v>56.78</v>
      </c>
      <c r="J39" s="29" t="n">
        <f aca="false">J36+J38</f>
        <v>60.11</v>
      </c>
      <c r="K39" s="29" t="n">
        <f aca="false">AVERAGE(D39:J39)</f>
        <v>42.1685714285714</v>
      </c>
      <c r="L39" s="29" t="n">
        <f aca="false">J39-D39</f>
        <v>34.86</v>
      </c>
    </row>
    <row r="40" customFormat="false" ht="15" hidden="false" customHeight="false" outlineLevel="0" collapsed="false">
      <c r="A40" s="12" t="s">
        <v>550</v>
      </c>
      <c r="B40" s="87" t="s">
        <v>551</v>
      </c>
      <c r="C40" s="17" t="s">
        <v>493</v>
      </c>
      <c r="D40" s="29" t="n">
        <f aca="false">D39+D37</f>
        <v>25.25</v>
      </c>
      <c r="E40" s="29" t="n">
        <f aca="false">E39+E37</f>
        <v>24.16</v>
      </c>
      <c r="F40" s="29" t="n">
        <f aca="false">F39+F37</f>
        <v>32.12</v>
      </c>
      <c r="G40" s="29" t="n">
        <f aca="false">G39+G37</f>
        <v>40.81</v>
      </c>
      <c r="H40" s="29" t="n">
        <f aca="false">H39+H37</f>
        <v>55.95</v>
      </c>
      <c r="I40" s="29" t="n">
        <f aca="false">I39+I37</f>
        <v>56.78</v>
      </c>
      <c r="J40" s="29" t="n">
        <f aca="false">J39+J37</f>
        <v>60.11</v>
      </c>
      <c r="K40" s="29" t="n">
        <f aca="false">AVERAGE(D40:J40)</f>
        <v>42.1685714285714</v>
      </c>
      <c r="L40" s="29" t="n">
        <f aca="false">J40-D40</f>
        <v>34.86</v>
      </c>
    </row>
    <row r="41" customFormat="false" ht="15" hidden="false" customHeight="false" outlineLevel="0" collapsed="false">
      <c r="A41" s="16" t="s">
        <v>552</v>
      </c>
      <c r="B41" s="87" t="s">
        <v>553</v>
      </c>
      <c r="C41" s="17" t="s">
        <v>493</v>
      </c>
      <c r="D41" s="96" t="n">
        <v>45.53</v>
      </c>
      <c r="E41" s="96" t="n">
        <v>47.48</v>
      </c>
      <c r="F41" s="96" t="n">
        <v>44.86</v>
      </c>
      <c r="G41" s="96" t="n">
        <v>45.97</v>
      </c>
      <c r="H41" s="96" t="n">
        <v>46.76</v>
      </c>
      <c r="I41" s="96" t="n">
        <v>41.56</v>
      </c>
      <c r="J41" s="96" t="n">
        <v>40.07</v>
      </c>
      <c r="K41" s="53" t="n">
        <f aca="false">AVERAGE(D41:J41)</f>
        <v>44.6042857142857</v>
      </c>
      <c r="L41" s="53" t="n">
        <f aca="false">J41-D41</f>
        <v>-5.46</v>
      </c>
    </row>
    <row r="42" customFormat="false" ht="15" hidden="false" customHeight="false" outlineLevel="0" collapsed="false">
      <c r="A42" s="16" t="s">
        <v>554</v>
      </c>
      <c r="B42" s="87" t="s">
        <v>555</v>
      </c>
      <c r="C42" s="17" t="s">
        <v>493</v>
      </c>
      <c r="D42" s="96" t="n">
        <v>8.57</v>
      </c>
      <c r="E42" s="96" t="n">
        <v>10.34</v>
      </c>
      <c r="F42" s="96" t="n">
        <v>12.61</v>
      </c>
      <c r="G42" s="96" t="n">
        <v>17.88</v>
      </c>
      <c r="H42" s="96" t="n">
        <v>17.69</v>
      </c>
      <c r="I42" s="96" t="n">
        <v>16.65</v>
      </c>
      <c r="J42" s="96" t="n">
        <v>19.34</v>
      </c>
      <c r="K42" s="53" t="n">
        <f aca="false">AVERAGE(D42:J42)</f>
        <v>14.7257142857143</v>
      </c>
      <c r="L42" s="53" t="n">
        <f aca="false">J42-D42</f>
        <v>10.77</v>
      </c>
    </row>
    <row r="43" customFormat="false" ht="15" hidden="false" customHeight="false" outlineLevel="0" collapsed="false">
      <c r="A43" s="12" t="s">
        <v>556</v>
      </c>
      <c r="B43" s="87" t="s">
        <v>557</v>
      </c>
      <c r="C43" s="17" t="s">
        <v>493</v>
      </c>
      <c r="D43" s="90" t="n">
        <f aca="false">D40+D41+D42</f>
        <v>79.35</v>
      </c>
      <c r="E43" s="90" t="n">
        <f aca="false">E40+E41+E42</f>
        <v>81.98</v>
      </c>
      <c r="F43" s="90" t="n">
        <f aca="false">F40+F41+F42</f>
        <v>89.59</v>
      </c>
      <c r="G43" s="90" t="n">
        <f aca="false">G40+G41+G42</f>
        <v>104.66</v>
      </c>
      <c r="H43" s="90" t="n">
        <f aca="false">H40+H41+H42</f>
        <v>120.4</v>
      </c>
      <c r="I43" s="90" t="n">
        <f aca="false">I40+I41+I42</f>
        <v>114.99</v>
      </c>
      <c r="J43" s="90" t="n">
        <f aca="false">J40+J41+J42</f>
        <v>119.52</v>
      </c>
      <c r="K43" s="91" t="n">
        <f aca="false">AVERAGE(D43:J43)</f>
        <v>101.498571428571</v>
      </c>
      <c r="L43" s="91" t="n">
        <f aca="false">J43-D43</f>
        <v>40.17</v>
      </c>
    </row>
    <row r="44" customFormat="false" ht="16.5" hidden="false" customHeight="true" outlineLevel="0" collapsed="false">
      <c r="A44" s="88" t="s">
        <v>558</v>
      </c>
      <c r="B44" s="89"/>
      <c r="C44" s="89"/>
      <c r="D44" s="89"/>
      <c r="E44" s="89"/>
      <c r="F44" s="89"/>
      <c r="G44" s="89"/>
      <c r="H44" s="89"/>
      <c r="I44" s="89"/>
      <c r="J44" s="89"/>
      <c r="K44" s="89"/>
      <c r="L44" s="89"/>
    </row>
    <row r="45" customFormat="false" ht="15" hidden="false" customHeight="false" outlineLevel="0" collapsed="false">
      <c r="A45" s="16" t="s">
        <v>559</v>
      </c>
      <c r="B45" s="87" t="s">
        <v>560</v>
      </c>
      <c r="C45" s="17" t="s">
        <v>493</v>
      </c>
      <c r="D45" s="96" t="n">
        <v>26.57</v>
      </c>
      <c r="E45" s="96" t="n">
        <v>24.71</v>
      </c>
      <c r="F45" s="96" t="n">
        <v>20.38</v>
      </c>
      <c r="G45" s="96" t="n">
        <v>20.16</v>
      </c>
      <c r="H45" s="96" t="n">
        <v>33.22</v>
      </c>
      <c r="I45" s="96" t="n">
        <v>28.88</v>
      </c>
      <c r="J45" s="96" t="n">
        <v>24.94</v>
      </c>
      <c r="K45" s="53" t="n">
        <f aca="false">AVERAGE(D45:J45)</f>
        <v>25.5514285714286</v>
      </c>
      <c r="L45" s="53" t="n">
        <f aca="false">J45-D45</f>
        <v>-1.63</v>
      </c>
    </row>
    <row r="46" customFormat="false" ht="15" hidden="false" customHeight="false" outlineLevel="0" collapsed="false">
      <c r="A46" s="16" t="s">
        <v>561</v>
      </c>
      <c r="B46" s="87" t="s">
        <v>562</v>
      </c>
      <c r="C46" s="17" t="s">
        <v>493</v>
      </c>
      <c r="D46" s="96" t="n">
        <v>0.29</v>
      </c>
      <c r="E46" s="96" t="n">
        <v>0.61</v>
      </c>
      <c r="F46" s="96" t="n">
        <v>0</v>
      </c>
      <c r="G46" s="96" t="n">
        <v>6.92</v>
      </c>
      <c r="H46" s="96" t="n">
        <v>0</v>
      </c>
      <c r="I46" s="96" t="n">
        <v>0</v>
      </c>
      <c r="J46" s="96" t="n">
        <v>0</v>
      </c>
      <c r="K46" s="53" t="n">
        <f aca="false">AVERAGE(D46:J46)</f>
        <v>1.11714285714286</v>
      </c>
      <c r="L46" s="53" t="n">
        <f aca="false">J46-D46</f>
        <v>-0.29</v>
      </c>
    </row>
    <row r="47" customFormat="false" ht="15" hidden="false" customHeight="false" outlineLevel="0" collapsed="false">
      <c r="A47" s="16" t="s">
        <v>563</v>
      </c>
      <c r="B47" s="87" t="s">
        <v>564</v>
      </c>
      <c r="C47" s="17" t="s">
        <v>493</v>
      </c>
      <c r="D47" s="96" t="n">
        <v>0.09</v>
      </c>
      <c r="E47" s="96" t="n">
        <v>0.09</v>
      </c>
      <c r="F47" s="96" t="n">
        <v>0.25</v>
      </c>
      <c r="G47" s="96" t="n">
        <v>3.6</v>
      </c>
      <c r="H47" s="96" t="n">
        <v>2.58</v>
      </c>
      <c r="I47" s="96" t="n">
        <v>3.91</v>
      </c>
      <c r="J47" s="96" t="n">
        <v>2.29</v>
      </c>
      <c r="K47" s="53" t="n">
        <f aca="false">AVERAGE(D47:J47)</f>
        <v>1.83</v>
      </c>
      <c r="L47" s="53" t="n">
        <f aca="false">J47-D47</f>
        <v>2.2</v>
      </c>
    </row>
    <row r="48" customFormat="false" ht="15" hidden="false" customHeight="false" outlineLevel="0" collapsed="false">
      <c r="A48" s="16" t="s">
        <v>565</v>
      </c>
      <c r="B48" s="87" t="s">
        <v>566</v>
      </c>
      <c r="C48" s="17" t="s">
        <v>493</v>
      </c>
      <c r="D48" s="96" t="n">
        <v>52.4</v>
      </c>
      <c r="E48" s="96" t="n">
        <v>56.57</v>
      </c>
      <c r="F48" s="96" t="n">
        <v>68.96</v>
      </c>
      <c r="G48" s="96" t="n">
        <v>73.98</v>
      </c>
      <c r="H48" s="96" t="n">
        <v>84.6</v>
      </c>
      <c r="I48" s="96" t="n">
        <v>82.2</v>
      </c>
      <c r="J48" s="96" t="n">
        <v>92.29</v>
      </c>
      <c r="K48" s="53" t="n">
        <f aca="false">AVERAGE(D48:J48)</f>
        <v>73</v>
      </c>
      <c r="L48" s="53" t="n">
        <f aca="false">J48-D48</f>
        <v>39.89</v>
      </c>
    </row>
    <row r="49" customFormat="false" ht="15" hidden="false" customHeight="false" outlineLevel="0" collapsed="false">
      <c r="A49" s="12" t="s">
        <v>567</v>
      </c>
      <c r="B49" s="87" t="s">
        <v>568</v>
      </c>
      <c r="C49" s="17" t="s">
        <v>493</v>
      </c>
      <c r="D49" s="90" t="n">
        <f aca="false">D45+D46+D47+D48</f>
        <v>79.35</v>
      </c>
      <c r="E49" s="90" t="n">
        <f aca="false">E45+E46+E47+E48</f>
        <v>81.98</v>
      </c>
      <c r="F49" s="90" t="n">
        <f aca="false">F45+F46+F47+F48</f>
        <v>89.59</v>
      </c>
      <c r="G49" s="90" t="n">
        <f aca="false">G45+G46+G47+G48</f>
        <v>104.66</v>
      </c>
      <c r="H49" s="90" t="n">
        <f aca="false">H45+H46+H47+H48</f>
        <v>120.4</v>
      </c>
      <c r="I49" s="90" t="n">
        <f aca="false">I45+I46+I47+I48</f>
        <v>114.99</v>
      </c>
      <c r="J49" s="90" t="n">
        <f aca="false">J45+J46+J47+J48</f>
        <v>119.52</v>
      </c>
      <c r="K49" s="91" t="n">
        <f aca="false">AVERAGE(D49:J49)</f>
        <v>101.498571428571</v>
      </c>
      <c r="L49" s="91" t="n">
        <f aca="false">J49-D49</f>
        <v>40.17</v>
      </c>
    </row>
    <row r="50" customFormat="false" ht="15" hidden="false" customHeight="false" outlineLevel="0" collapsed="false">
      <c r="A50" s="16" t="s">
        <v>569</v>
      </c>
      <c r="B50" s="87" t="s">
        <v>570</v>
      </c>
      <c r="C50" s="17" t="s">
        <v>493</v>
      </c>
      <c r="D50" s="96" t="n">
        <v>26.98</v>
      </c>
      <c r="E50" s="96" t="n">
        <v>36.45</v>
      </c>
      <c r="F50" s="96" t="n">
        <v>44.66</v>
      </c>
      <c r="G50" s="96" t="n">
        <v>55.43</v>
      </c>
      <c r="H50" s="96" t="n">
        <v>64.88</v>
      </c>
      <c r="I50" s="96" t="n">
        <v>61.11</v>
      </c>
      <c r="J50" s="96" t="n">
        <v>74.4</v>
      </c>
      <c r="K50" s="53" t="n">
        <f aca="false">AVERAGE(D50:J50)</f>
        <v>51.9871428571429</v>
      </c>
      <c r="L50" s="53" t="n">
        <f aca="false">J50-D50</f>
        <v>47.42</v>
      </c>
    </row>
    <row r="51" customFormat="false" ht="15" hidden="false" customHeight="false" outlineLevel="0" collapsed="false">
      <c r="A51" s="16" t="s">
        <v>571</v>
      </c>
      <c r="B51" s="87" t="s">
        <v>570</v>
      </c>
      <c r="C51" s="17" t="s">
        <v>493</v>
      </c>
      <c r="D51" s="96" t="n">
        <v>3.77</v>
      </c>
      <c r="E51" s="96" t="n">
        <v>5.16</v>
      </c>
      <c r="F51" s="96" t="n">
        <v>5.72</v>
      </c>
      <c r="G51" s="96" t="n">
        <v>0.25</v>
      </c>
      <c r="H51" s="96" t="n">
        <v>0.26</v>
      </c>
      <c r="I51" s="96" t="n">
        <v>0.31</v>
      </c>
      <c r="J51" s="96" t="n">
        <v>0.05</v>
      </c>
      <c r="K51" s="53" t="n">
        <f aca="false">AVERAGE(D51:J51)</f>
        <v>2.21714285714286</v>
      </c>
      <c r="L51" s="53" t="n">
        <f aca="false">J51-D51</f>
        <v>-3.72</v>
      </c>
    </row>
    <row r="52" customFormat="false" ht="15" hidden="false" customHeight="false" outlineLevel="0" collapsed="false">
      <c r="A52" s="16" t="s">
        <v>572</v>
      </c>
      <c r="B52" s="87" t="s">
        <v>570</v>
      </c>
      <c r="C52" s="17" t="s">
        <v>493</v>
      </c>
      <c r="D52" s="96" t="n">
        <v>3.21</v>
      </c>
      <c r="E52" s="96" t="n">
        <v>5.45</v>
      </c>
      <c r="F52" s="96" t="n">
        <v>4.29</v>
      </c>
      <c r="G52" s="96" t="n">
        <v>6.73</v>
      </c>
      <c r="H52" s="96" t="n">
        <v>4.54</v>
      </c>
      <c r="I52" s="96" t="n">
        <v>7.69</v>
      </c>
      <c r="J52" s="96" t="n">
        <v>6.39</v>
      </c>
      <c r="K52" s="53" t="n">
        <f aca="false">AVERAGE(D52:J52)</f>
        <v>5.47142857142857</v>
      </c>
      <c r="L52" s="53" t="n">
        <f aca="false">J52-D52</f>
        <v>3.18</v>
      </c>
    </row>
    <row r="53" customFormat="false" ht="15" hidden="false" customHeight="false" outlineLevel="0" collapsed="false">
      <c r="A53" s="16" t="s">
        <v>573</v>
      </c>
      <c r="B53" s="87" t="s">
        <v>574</v>
      </c>
      <c r="C53" s="17" t="s">
        <v>493</v>
      </c>
      <c r="D53" s="92" t="n">
        <f aca="false">D49-D43</f>
        <v>0</v>
      </c>
      <c r="E53" s="92" t="n">
        <f aca="false">E49-E43</f>
        <v>0</v>
      </c>
      <c r="F53" s="92" t="n">
        <f aca="false">F49-F43</f>
        <v>0</v>
      </c>
      <c r="G53" s="92" t="n">
        <f aca="false">G49-G43</f>
        <v>0</v>
      </c>
      <c r="H53" s="92" t="n">
        <f aca="false">H49-H43</f>
        <v>0</v>
      </c>
      <c r="I53" s="92" t="n">
        <f aca="false">I49-I43</f>
        <v>0</v>
      </c>
      <c r="J53" s="92" t="n">
        <f aca="false">J49-J43</f>
        <v>0</v>
      </c>
      <c r="K53" s="53"/>
      <c r="L53" s="53"/>
    </row>
    <row r="55" customFormat="false" ht="19.5" hidden="false" customHeight="true" outlineLevel="0" collapsed="false">
      <c r="A55" s="85" t="s">
        <v>575</v>
      </c>
      <c r="B55" s="86"/>
      <c r="C55" s="86"/>
      <c r="D55" s="86"/>
      <c r="E55" s="86"/>
      <c r="F55" s="86"/>
      <c r="G55" s="86"/>
      <c r="H55" s="86"/>
      <c r="I55" s="86"/>
      <c r="J55" s="86"/>
      <c r="K55" s="86"/>
      <c r="L55" s="86"/>
    </row>
    <row r="56" customFormat="false" ht="16.5" hidden="false" customHeight="true" outlineLevel="0" collapsed="false">
      <c r="A56" s="88" t="s">
        <v>576</v>
      </c>
      <c r="B56" s="89"/>
      <c r="C56" s="89"/>
      <c r="D56" s="89"/>
      <c r="E56" s="89"/>
      <c r="F56" s="89"/>
      <c r="G56" s="89"/>
      <c r="H56" s="89"/>
      <c r="I56" s="89"/>
      <c r="J56" s="89"/>
      <c r="K56" s="89"/>
      <c r="L56" s="89"/>
    </row>
    <row r="57" customFormat="false" ht="15" hidden="false" customHeight="false" outlineLevel="0" collapsed="false">
      <c r="A57" s="16" t="s">
        <v>527</v>
      </c>
      <c r="B57" s="87" t="s">
        <v>577</v>
      </c>
      <c r="C57" s="17" t="s">
        <v>493</v>
      </c>
      <c r="D57" s="69" t="n">
        <f aca="false">D26</f>
        <v>2.2</v>
      </c>
      <c r="E57" s="69" t="n">
        <f aca="false">E26</f>
        <v>-0.96</v>
      </c>
      <c r="F57" s="69" t="n">
        <f aca="false">F26</f>
        <v>11.8</v>
      </c>
      <c r="G57" s="69" t="n">
        <f aca="false">G26</f>
        <v>13.37</v>
      </c>
      <c r="H57" s="69" t="n">
        <f aca="false">H26</f>
        <v>21.43</v>
      </c>
      <c r="I57" s="69" t="n">
        <f aca="false">I26</f>
        <v>2.28000000000001</v>
      </c>
      <c r="J57" s="69" t="n">
        <f aca="false">J26</f>
        <v>3.56</v>
      </c>
      <c r="K57" s="53" t="n">
        <f aca="false">AVERAGE(D57:J57)</f>
        <v>7.66857142857142</v>
      </c>
      <c r="L57" s="53" t="n">
        <f aca="false">J57-D57</f>
        <v>1.36</v>
      </c>
    </row>
    <row r="58" customFormat="false" ht="15" hidden="false" customHeight="false" outlineLevel="0" collapsed="false">
      <c r="A58" s="16" t="s">
        <v>578</v>
      </c>
      <c r="B58" s="87" t="s">
        <v>579</v>
      </c>
      <c r="C58" s="17" t="s">
        <v>493</v>
      </c>
      <c r="D58" s="69" t="n">
        <f aca="false">D22</f>
        <v>4.17</v>
      </c>
      <c r="E58" s="69" t="n">
        <f aca="false">E22</f>
        <v>4.31</v>
      </c>
      <c r="F58" s="69" t="n">
        <f aca="false">F22</f>
        <v>3.86</v>
      </c>
      <c r="G58" s="69" t="n">
        <f aca="false">G22</f>
        <v>3.36</v>
      </c>
      <c r="H58" s="69" t="n">
        <f aca="false">H22</f>
        <v>4.41</v>
      </c>
      <c r="I58" s="69" t="n">
        <f aca="false">I22</f>
        <v>4.83</v>
      </c>
      <c r="J58" s="69" t="n">
        <f aca="false">J22</f>
        <v>4</v>
      </c>
      <c r="K58" s="53" t="n">
        <f aca="false">AVERAGE(D58:J58)</f>
        <v>4.13428571428571</v>
      </c>
      <c r="L58" s="53" t="n">
        <f aca="false">J58-D58</f>
        <v>-0.17</v>
      </c>
    </row>
    <row r="59" customFormat="false" ht="15" hidden="false" customHeight="false" outlineLevel="0" collapsed="false">
      <c r="A59" s="16" t="s">
        <v>580</v>
      </c>
      <c r="B59" s="87" t="s">
        <v>581</v>
      </c>
      <c r="C59" s="17" t="s">
        <v>493</v>
      </c>
      <c r="D59" s="69" t="n">
        <f aca="false">D25</f>
        <v>3.53</v>
      </c>
      <c r="E59" s="69" t="n">
        <f aca="false">E25</f>
        <v>4.21</v>
      </c>
      <c r="F59" s="69" t="n">
        <f aca="false">F25</f>
        <v>4.13</v>
      </c>
      <c r="G59" s="69" t="n">
        <f aca="false">G25</f>
        <v>3.71</v>
      </c>
      <c r="H59" s="69" t="n">
        <f aca="false">H25</f>
        <v>4.96</v>
      </c>
      <c r="I59" s="69" t="n">
        <f aca="false">I25</f>
        <v>4.38</v>
      </c>
      <c r="J59" s="69" t="n">
        <f aca="false">J25</f>
        <v>4.16</v>
      </c>
      <c r="K59" s="53" t="n">
        <f aca="false">AVERAGE(D59:J59)</f>
        <v>4.15428571428571</v>
      </c>
      <c r="L59" s="53" t="n">
        <f aca="false">J59-D59</f>
        <v>0.63</v>
      </c>
    </row>
    <row r="60" customFormat="false" ht="15" hidden="false" customHeight="false" outlineLevel="0" collapsed="false">
      <c r="A60" s="16" t="s">
        <v>582</v>
      </c>
      <c r="B60" s="87" t="s">
        <v>583</v>
      </c>
      <c r="C60" s="17" t="s">
        <v>493</v>
      </c>
      <c r="D60" s="69" t="n">
        <f aca="false">-D24</f>
        <v>-0.85</v>
      </c>
      <c r="E60" s="69" t="n">
        <f aca="false">-E24</f>
        <v>-0.45</v>
      </c>
      <c r="F60" s="69" t="n">
        <f aca="false">-F24</f>
        <v>-3.08</v>
      </c>
      <c r="G60" s="69" t="n">
        <f aca="false">-G24</f>
        <v>-0.81</v>
      </c>
      <c r="H60" s="69" t="n">
        <f aca="false">-H24</f>
        <v>-11.92</v>
      </c>
      <c r="I60" s="69" t="n">
        <f aca="false">-I24</f>
        <v>-2.47</v>
      </c>
      <c r="J60" s="69" t="n">
        <f aca="false">-J24</f>
        <v>-3.97</v>
      </c>
      <c r="K60" s="53" t="n">
        <f aca="false">AVERAGE(D60:J60)</f>
        <v>-3.36428571428571</v>
      </c>
      <c r="L60" s="53" t="n">
        <f aca="false">J60-D60</f>
        <v>-3.12</v>
      </c>
    </row>
    <row r="61" customFormat="false" ht="15" hidden="false" customHeight="false" outlineLevel="0" collapsed="false">
      <c r="A61" s="12" t="s">
        <v>584</v>
      </c>
      <c r="B61" s="87" t="s">
        <v>585</v>
      </c>
      <c r="C61" s="17" t="s">
        <v>493</v>
      </c>
      <c r="D61" s="29" t="n">
        <f aca="false">D57+D58+D59+D60</f>
        <v>9.05</v>
      </c>
      <c r="E61" s="29" t="n">
        <f aca="false">E57+E58+E59+E60</f>
        <v>7.11</v>
      </c>
      <c r="F61" s="29" t="n">
        <f aca="false">F57+F58+F59+F60</f>
        <v>16.71</v>
      </c>
      <c r="G61" s="29" t="n">
        <f aca="false">G57+G58+G59+G60</f>
        <v>19.63</v>
      </c>
      <c r="H61" s="29" t="n">
        <f aca="false">H57+H58+H59+H60</f>
        <v>18.88</v>
      </c>
      <c r="I61" s="29" t="n">
        <f aca="false">I57+I58+I59+I60</f>
        <v>9.02000000000001</v>
      </c>
      <c r="J61" s="29" t="n">
        <f aca="false">J57+J58+J59+J60</f>
        <v>7.75</v>
      </c>
      <c r="K61" s="29" t="n">
        <f aca="false">AVERAGE(D61:J61)</f>
        <v>12.5928571428571</v>
      </c>
      <c r="L61" s="29" t="n">
        <f aca="false">J61-D61</f>
        <v>-1.3</v>
      </c>
    </row>
    <row r="62" customFormat="false" ht="15" hidden="false" customHeight="false" outlineLevel="0" collapsed="false">
      <c r="A62" s="16" t="s">
        <v>586</v>
      </c>
      <c r="B62" s="87" t="s">
        <v>587</v>
      </c>
      <c r="C62" s="17" t="s">
        <v>493</v>
      </c>
      <c r="D62" s="69" t="n">
        <f aca="false">D63-D61</f>
        <v>-4.29</v>
      </c>
      <c r="E62" s="69" t="n">
        <f aca="false">E63-E61</f>
        <v>-0.72</v>
      </c>
      <c r="F62" s="69" t="n">
        <f aca="false">F63-F61</f>
        <v>-11.11</v>
      </c>
      <c r="G62" s="69" t="n">
        <f aca="false">G63-G61</f>
        <v>-9.57999999999997</v>
      </c>
      <c r="H62" s="69" t="n">
        <f aca="false">H63-H61</f>
        <v>-18.09</v>
      </c>
      <c r="I62" s="69" t="n">
        <f aca="false">I63-I61</f>
        <v>3.64999999999999</v>
      </c>
      <c r="J62" s="69" t="n">
        <f aca="false">J63-J61</f>
        <v>-7.16</v>
      </c>
      <c r="K62" s="53" t="n">
        <f aca="false">AVERAGE(D62:J62)</f>
        <v>-6.75714285714285</v>
      </c>
      <c r="L62" s="53" t="n">
        <f aca="false">J62-D62</f>
        <v>-2.87</v>
      </c>
    </row>
    <row r="63" customFormat="false" ht="15" hidden="false" customHeight="false" outlineLevel="0" collapsed="false">
      <c r="A63" s="16" t="s">
        <v>588</v>
      </c>
      <c r="B63" s="87" t="s">
        <v>589</v>
      </c>
      <c r="C63" s="17" t="s">
        <v>493</v>
      </c>
      <c r="D63" s="96" t="n">
        <v>4.76</v>
      </c>
      <c r="E63" s="96" t="n">
        <v>6.39</v>
      </c>
      <c r="F63" s="96" t="n">
        <v>5.6</v>
      </c>
      <c r="G63" s="96" t="n">
        <v>10.05</v>
      </c>
      <c r="H63" s="96" t="n">
        <v>0.79</v>
      </c>
      <c r="I63" s="96" t="n">
        <v>12.67</v>
      </c>
      <c r="J63" s="96" t="n">
        <v>0.59</v>
      </c>
      <c r="K63" s="53" t="n">
        <f aca="false">AVERAGE(D63:J63)</f>
        <v>5.83571428571429</v>
      </c>
      <c r="L63" s="53" t="n">
        <f aca="false">J63-D63</f>
        <v>-4.17</v>
      </c>
    </row>
    <row r="64" customFormat="false" ht="16.5" hidden="false" customHeight="true" outlineLevel="0" collapsed="false">
      <c r="A64" s="88" t="s">
        <v>590</v>
      </c>
      <c r="B64" s="89"/>
      <c r="C64" s="89"/>
      <c r="D64" s="89"/>
      <c r="E64" s="89"/>
      <c r="F64" s="89"/>
      <c r="G64" s="89"/>
      <c r="H64" s="89"/>
      <c r="I64" s="89"/>
      <c r="J64" s="89"/>
      <c r="K64" s="89"/>
      <c r="L64" s="89"/>
    </row>
    <row r="65" customFormat="false" ht="15" hidden="false" customHeight="false" outlineLevel="0" collapsed="false">
      <c r="A65" s="16" t="s">
        <v>591</v>
      </c>
      <c r="B65" s="87" t="s">
        <v>592</v>
      </c>
      <c r="C65" s="17" t="s">
        <v>493</v>
      </c>
      <c r="D65" s="96" t="n">
        <v>-10.15</v>
      </c>
      <c r="E65" s="96" t="n">
        <v>-2.03</v>
      </c>
      <c r="F65" s="96" t="n">
        <v>-0.16</v>
      </c>
      <c r="G65" s="96" t="n">
        <v>-5.18</v>
      </c>
      <c r="H65" s="96" t="n">
        <v>0.96</v>
      </c>
      <c r="I65" s="96" t="n">
        <v>-0.26</v>
      </c>
      <c r="J65" s="96" t="n">
        <v>3.59</v>
      </c>
      <c r="K65" s="53" t="n">
        <f aca="false">AVERAGE(D65:J65)</f>
        <v>-1.89</v>
      </c>
      <c r="L65" s="53" t="n">
        <f aca="false">J65-D65</f>
        <v>13.74</v>
      </c>
    </row>
    <row r="66" customFormat="false" ht="16.5" hidden="false" customHeight="true" outlineLevel="0" collapsed="false">
      <c r="A66" s="88" t="s">
        <v>593</v>
      </c>
      <c r="B66" s="89"/>
      <c r="C66" s="89"/>
      <c r="D66" s="89"/>
      <c r="E66" s="89"/>
      <c r="F66" s="89"/>
      <c r="G66" s="89"/>
      <c r="H66" s="89"/>
      <c r="I66" s="89"/>
      <c r="J66" s="89"/>
      <c r="K66" s="89"/>
      <c r="L66" s="89"/>
    </row>
    <row r="67" customFormat="false" ht="15" hidden="false" customHeight="false" outlineLevel="0" collapsed="false">
      <c r="A67" s="16" t="s">
        <v>594</v>
      </c>
      <c r="B67" s="87" t="s">
        <v>595</v>
      </c>
      <c r="C67" s="17" t="s">
        <v>493</v>
      </c>
      <c r="D67" s="69" t="n">
        <f aca="false">-D25</f>
        <v>-3.53</v>
      </c>
      <c r="E67" s="69" t="n">
        <f aca="false">-E25</f>
        <v>-4.21</v>
      </c>
      <c r="F67" s="69" t="n">
        <f aca="false">-F25</f>
        <v>-4.13</v>
      </c>
      <c r="G67" s="69" t="n">
        <f aca="false">-G25</f>
        <v>-3.71</v>
      </c>
      <c r="H67" s="69" t="n">
        <f aca="false">-H25</f>
        <v>-4.96</v>
      </c>
      <c r="I67" s="69" t="n">
        <f aca="false">-I25</f>
        <v>-4.38</v>
      </c>
      <c r="J67" s="69" t="n">
        <f aca="false">-J25</f>
        <v>-4.16</v>
      </c>
      <c r="K67" s="53" t="n">
        <f aca="false">AVERAGE(D67:J67)</f>
        <v>-4.15428571428571</v>
      </c>
      <c r="L67" s="53" t="n">
        <f aca="false">J67-D67</f>
        <v>-0.63</v>
      </c>
    </row>
    <row r="68" customFormat="false" ht="15" hidden="false" customHeight="false" outlineLevel="0" collapsed="false">
      <c r="A68" s="16" t="s">
        <v>596</v>
      </c>
      <c r="B68" s="87" t="s">
        <v>597</v>
      </c>
      <c r="C68" s="17" t="s">
        <v>493</v>
      </c>
      <c r="D68" s="69" t="n">
        <f aca="false">-D31</f>
        <v>-0.52</v>
      </c>
      <c r="E68" s="69" t="n">
        <f aca="false">-E31</f>
        <v>-1.05</v>
      </c>
      <c r="F68" s="69" t="n">
        <f aca="false">-F31</f>
        <v>-2.1</v>
      </c>
      <c r="G68" s="69" t="n">
        <f aca="false">-G31</f>
        <v>-1.05</v>
      </c>
      <c r="H68" s="69" t="n">
        <f aca="false">-H31</f>
        <v>-0.7</v>
      </c>
      <c r="I68" s="69" t="n">
        <f aca="false">-I31</f>
        <v>-0</v>
      </c>
      <c r="J68" s="69" t="n">
        <f aca="false">-J31</f>
        <v>-0</v>
      </c>
      <c r="K68" s="53" t="n">
        <f aca="false">AVERAGE(D68:J68)</f>
        <v>-0.774285714285714</v>
      </c>
      <c r="L68" s="53" t="n">
        <f aca="false">J68-D68</f>
        <v>0.52</v>
      </c>
    </row>
    <row r="69" customFormat="false" ht="15" hidden="false" customHeight="false" outlineLevel="0" collapsed="false">
      <c r="A69" s="16" t="s">
        <v>598</v>
      </c>
      <c r="B69" s="87" t="s">
        <v>599</v>
      </c>
      <c r="C69" s="17" t="s">
        <v>493</v>
      </c>
      <c r="D69" s="69" t="n">
        <f aca="false">D70-D67-D68</f>
        <v>8.17</v>
      </c>
      <c r="E69" s="69" t="n">
        <f aca="false">E70-E67-E68</f>
        <v>3.14</v>
      </c>
      <c r="F69" s="69" t="n">
        <f aca="false">F70-F67-F68</f>
        <v>-0.37</v>
      </c>
      <c r="G69" s="69" t="n">
        <f aca="false">G70-G67-G68</f>
        <v>2.33</v>
      </c>
      <c r="H69" s="69" t="n">
        <f aca="false">H70-H67-H68</f>
        <v>1.72</v>
      </c>
      <c r="I69" s="69" t="n">
        <f aca="false">I70-I67-I68</f>
        <v>-4.88</v>
      </c>
      <c r="J69" s="69" t="n">
        <f aca="false">J70-J67-J68</f>
        <v>-1.32</v>
      </c>
      <c r="K69" s="53" t="n">
        <f aca="false">AVERAGE(D69:J69)</f>
        <v>1.25571428571429</v>
      </c>
      <c r="L69" s="53" t="n">
        <f aca="false">J69-D69</f>
        <v>-9.49</v>
      </c>
    </row>
    <row r="70" customFormat="false" ht="15" hidden="false" customHeight="false" outlineLevel="0" collapsed="false">
      <c r="A70" s="16" t="s">
        <v>600</v>
      </c>
      <c r="B70" s="87" t="s">
        <v>601</v>
      </c>
      <c r="C70" s="17" t="s">
        <v>493</v>
      </c>
      <c r="D70" s="96" t="n">
        <v>4.12</v>
      </c>
      <c r="E70" s="96" t="n">
        <v>-2.12</v>
      </c>
      <c r="F70" s="96" t="n">
        <v>-6.6</v>
      </c>
      <c r="G70" s="96" t="n">
        <v>-2.43</v>
      </c>
      <c r="H70" s="96" t="n">
        <v>-3.94</v>
      </c>
      <c r="I70" s="96" t="n">
        <v>-9.26</v>
      </c>
      <c r="J70" s="96" t="n">
        <v>-5.48</v>
      </c>
      <c r="K70" s="53" t="n">
        <f aca="false">AVERAGE(D70:J70)</f>
        <v>-3.67285714285714</v>
      </c>
      <c r="L70" s="53" t="n">
        <f aca="false">J70-D70</f>
        <v>-9.6</v>
      </c>
    </row>
    <row r="71" customFormat="false" ht="15" hidden="false" customHeight="false" outlineLevel="0" collapsed="false">
      <c r="A71" s="12" t="s">
        <v>602</v>
      </c>
      <c r="B71" s="87" t="s">
        <v>603</v>
      </c>
      <c r="C71" s="17" t="s">
        <v>493</v>
      </c>
      <c r="D71" s="90" t="n">
        <f aca="false">D63+D65+D70</f>
        <v>-1.27</v>
      </c>
      <c r="E71" s="90" t="n">
        <f aca="false">E63+E65+E70</f>
        <v>2.24</v>
      </c>
      <c r="F71" s="90" t="n">
        <f aca="false">F63+F65+F70</f>
        <v>-1.16</v>
      </c>
      <c r="G71" s="90" t="n">
        <f aca="false">G63+G65+G70</f>
        <v>2.44</v>
      </c>
      <c r="H71" s="90" t="n">
        <f aca="false">H63+H65+H70</f>
        <v>-2.19</v>
      </c>
      <c r="I71" s="90" t="n">
        <f aca="false">I63+I65+I70</f>
        <v>3.15</v>
      </c>
      <c r="J71" s="90" t="n">
        <f aca="false">J63+J65+J70</f>
        <v>-1.3</v>
      </c>
      <c r="K71" s="91" t="n">
        <f aca="false">AVERAGE(D71:J71)</f>
        <v>0.272857142857143</v>
      </c>
      <c r="L71" s="91" t="n">
        <f aca="false">J71-D71</f>
        <v>-0.0300000000000003</v>
      </c>
    </row>
    <row r="72" customFormat="false" ht="15" hidden="false" customHeight="false" outlineLevel="0" collapsed="false">
      <c r="A72" s="12" t="s">
        <v>604</v>
      </c>
      <c r="B72" s="87" t="s">
        <v>605</v>
      </c>
      <c r="C72" s="17" t="s">
        <v>493</v>
      </c>
      <c r="D72" s="29" t="n">
        <f aca="false">D63+D65</f>
        <v>-5.39</v>
      </c>
      <c r="E72" s="29" t="n">
        <f aca="false">E63+E65</f>
        <v>4.36</v>
      </c>
      <c r="F72" s="29" t="n">
        <f aca="false">F63+F65</f>
        <v>5.44</v>
      </c>
      <c r="G72" s="29" t="n">
        <f aca="false">G63+G65</f>
        <v>4.87</v>
      </c>
      <c r="H72" s="29" t="n">
        <f aca="false">H63+H65</f>
        <v>1.75</v>
      </c>
      <c r="I72" s="29" t="n">
        <f aca="false">I63+I65</f>
        <v>12.41</v>
      </c>
      <c r="J72" s="29" t="n">
        <f aca="false">J63+J65</f>
        <v>4.18</v>
      </c>
      <c r="K72" s="29" t="n">
        <f aca="false">AVERAGE(D72:J72)</f>
        <v>3.94571428571429</v>
      </c>
      <c r="L72" s="29" t="n">
        <f aca="false">J72-D72</f>
        <v>9.57</v>
      </c>
    </row>
    <row r="73" customFormat="false" ht="15" hidden="false" customHeight="false" outlineLevel="0" collapsed="false">
      <c r="A73" s="16" t="s">
        <v>606</v>
      </c>
      <c r="B73" s="87" t="s">
        <v>607</v>
      </c>
      <c r="C73" s="17" t="s">
        <v>493</v>
      </c>
      <c r="D73" s="69" t="n">
        <f aca="false">D52</f>
        <v>3.21</v>
      </c>
      <c r="E73" s="69" t="n">
        <f aca="false">E52</f>
        <v>5.45</v>
      </c>
      <c r="F73" s="69" t="n">
        <f aca="false">F52</f>
        <v>4.29</v>
      </c>
      <c r="G73" s="69" t="n">
        <f aca="false">G52</f>
        <v>6.73</v>
      </c>
      <c r="H73" s="69" t="n">
        <f aca="false">H52</f>
        <v>4.54</v>
      </c>
      <c r="I73" s="69" t="n">
        <f aca="false">I52</f>
        <v>7.69</v>
      </c>
      <c r="J73" s="69" t="n">
        <f aca="false">J52</f>
        <v>6.39</v>
      </c>
      <c r="K73" s="53" t="n">
        <f aca="false">AVERAGE(D73:J73)</f>
        <v>5.47142857142857</v>
      </c>
      <c r="L73" s="53" t="n">
        <f aca="false">J73-D73</f>
        <v>3.18</v>
      </c>
    </row>
    <row r="74" customFormat="false" ht="16.5" hidden="false" customHeight="true" outlineLevel="0" collapsed="false">
      <c r="A74" s="88" t="s">
        <v>608</v>
      </c>
      <c r="B74" s="89"/>
      <c r="C74" s="89"/>
      <c r="D74" s="89"/>
      <c r="E74" s="89"/>
      <c r="F74" s="89"/>
      <c r="G74" s="89"/>
      <c r="H74" s="89"/>
      <c r="I74" s="89"/>
      <c r="J74" s="89"/>
      <c r="K74" s="89"/>
      <c r="L74" s="89"/>
    </row>
    <row r="75" customFormat="false" ht="15" hidden="false" customHeight="false" outlineLevel="0" collapsed="false">
      <c r="A75" s="16" t="s">
        <v>609</v>
      </c>
      <c r="B75" s="87" t="s">
        <v>610</v>
      </c>
      <c r="C75" s="17" t="s">
        <v>493</v>
      </c>
      <c r="D75" s="69" t="n">
        <f aca="false">-D65</f>
        <v>10.15</v>
      </c>
      <c r="E75" s="69" t="n">
        <f aca="false">-E65</f>
        <v>2.03</v>
      </c>
      <c r="F75" s="69" t="n">
        <f aca="false">-F65</f>
        <v>0.16</v>
      </c>
      <c r="G75" s="69" t="n">
        <f aca="false">-G65</f>
        <v>5.18</v>
      </c>
      <c r="H75" s="69" t="n">
        <f aca="false">-H65</f>
        <v>-0.96</v>
      </c>
      <c r="I75" s="69" t="n">
        <f aca="false">-I65</f>
        <v>0.26</v>
      </c>
      <c r="J75" s="69" t="n">
        <f aca="false">-J65</f>
        <v>-3.59</v>
      </c>
      <c r="K75" s="53" t="n">
        <f aca="false">AVERAGE(D75:J75)</f>
        <v>1.89</v>
      </c>
      <c r="L75" s="53" t="n">
        <f aca="false">J75-D75</f>
        <v>-13.74</v>
      </c>
    </row>
    <row r="76" customFormat="false" ht="15" hidden="false" customHeight="false" outlineLevel="0" collapsed="false">
      <c r="A76" s="16" t="s">
        <v>611</v>
      </c>
      <c r="B76" s="87" t="s">
        <v>798</v>
      </c>
      <c r="C76" s="17" t="s">
        <v>493</v>
      </c>
      <c r="D76" s="69" t="n">
        <f aca="false">MAX(-D69,0)</f>
        <v>0</v>
      </c>
      <c r="E76" s="69" t="n">
        <f aca="false">MAX(-E69,0)</f>
        <v>0</v>
      </c>
      <c r="F76" s="69" t="n">
        <f aca="false">MAX(-F69,0)</f>
        <v>0.37</v>
      </c>
      <c r="G76" s="69" t="n">
        <f aca="false">MAX(-G69,0)</f>
        <v>0</v>
      </c>
      <c r="H76" s="69" t="n">
        <f aca="false">MAX(-H69,0)</f>
        <v>0</v>
      </c>
      <c r="I76" s="69" t="n">
        <f aca="false">MAX(-I69,0)</f>
        <v>4.88</v>
      </c>
      <c r="J76" s="69" t="n">
        <f aca="false">MAX(-J69,0)</f>
        <v>1.32</v>
      </c>
      <c r="K76" s="53" t="n">
        <f aca="false">AVERAGE(D76:J76)</f>
        <v>0.938571428571429</v>
      </c>
      <c r="L76" s="53" t="n">
        <f aca="false">J76-D76</f>
        <v>1.32</v>
      </c>
    </row>
    <row r="77" customFormat="false" ht="15" hidden="false" customHeight="false" outlineLevel="0" collapsed="false">
      <c r="A77" s="16" t="s">
        <v>613</v>
      </c>
      <c r="B77" s="87" t="s">
        <v>614</v>
      </c>
      <c r="C77" s="17" t="s">
        <v>615</v>
      </c>
      <c r="D77" s="71" t="n">
        <f aca="false">IF(D26&gt;0,MIN(MAX(D27/D26,0),Setup!$C$11),0)</f>
        <v>0.331818181818182</v>
      </c>
      <c r="E77" s="71" t="n">
        <f aca="false">IF(E26&gt;0,MIN(MAX(E27/E26,0),Setup!$C$11),0)</f>
        <v>0</v>
      </c>
      <c r="F77" s="71" t="n">
        <f aca="false">IF(F26&gt;0,MIN(MAX(F27/F26,0),Setup!$C$11),0)</f>
        <v>0.250847457627119</v>
      </c>
      <c r="G77" s="71" t="n">
        <f aca="false">IF(G26&gt;0,MIN(MAX(G27/G26,0),Setup!$C$11),0)</f>
        <v>0.275243081525805</v>
      </c>
      <c r="H77" s="71" t="n">
        <f aca="false">IF(H26&gt;0,MIN(MAX(H27/H26,0),Setup!$C$11),0)</f>
        <v>0.240783947736818</v>
      </c>
      <c r="I77" s="71" t="n">
        <f aca="false">IF(I26&gt;0,MIN(MAX(I27/I26,0),Setup!$C$11),0)</f>
        <v>0.32456140350877</v>
      </c>
      <c r="J77" s="71" t="n">
        <f aca="false">IF(J26&gt;0,MIN(MAX(J27/J26,0),Setup!$C$11),0)</f>
        <v>0.112359550561798</v>
      </c>
      <c r="K77" s="62" t="n">
        <f aca="false">AVERAGE(D77:J77)</f>
        <v>0.219373374682642</v>
      </c>
      <c r="L77" s="62" t="n">
        <f aca="false">J77-D77</f>
        <v>-0.219458631256384</v>
      </c>
    </row>
    <row r="79" customFormat="false" ht="19.5" hidden="false" customHeight="true" outlineLevel="0" collapsed="false">
      <c r="A79" s="85" t="s">
        <v>799</v>
      </c>
      <c r="B79" s="86"/>
      <c r="C79" s="86"/>
      <c r="D79" s="86"/>
      <c r="E79" s="86"/>
      <c r="F79" s="86"/>
      <c r="G79" s="86"/>
      <c r="H79" s="86"/>
      <c r="I79" s="86"/>
      <c r="J79" s="86"/>
      <c r="K79" s="86"/>
      <c r="L79" s="86"/>
    </row>
    <row r="80" customFormat="false" ht="15" hidden="false" customHeight="false" outlineLevel="0" collapsed="false">
      <c r="A80" s="16" t="s">
        <v>800</v>
      </c>
      <c r="B80" s="87" t="s">
        <v>801</v>
      </c>
      <c r="C80" s="17" t="s">
        <v>757</v>
      </c>
      <c r="D80" s="97" t="n">
        <v>4.51</v>
      </c>
      <c r="E80" s="97" t="n">
        <v>8.25</v>
      </c>
      <c r="F80" s="97" t="n">
        <v>30.42</v>
      </c>
      <c r="G80" s="97" t="n">
        <v>49.85</v>
      </c>
      <c r="H80" s="97" t="n">
        <v>26.02</v>
      </c>
      <c r="I80" s="97" t="n">
        <v>8.85</v>
      </c>
      <c r="J80" s="97" t="n">
        <v>5.88</v>
      </c>
      <c r="K80" s="66" t="n">
        <f aca="false">AVERAGE(D80:J80)</f>
        <v>19.1114285714286</v>
      </c>
      <c r="L80" s="66" t="n">
        <f aca="false">J80-D80</f>
        <v>1.37</v>
      </c>
    </row>
    <row r="81" customFormat="false" ht="15" hidden="false" customHeight="false" outlineLevel="0" collapsed="false">
      <c r="A81" s="16" t="s">
        <v>802</v>
      </c>
      <c r="B81" s="87" t="s">
        <v>803</v>
      </c>
      <c r="C81" s="17" t="s">
        <v>804</v>
      </c>
      <c r="D81" s="97" t="n">
        <v>7</v>
      </c>
      <c r="E81" s="97" t="n">
        <v>7</v>
      </c>
      <c r="F81" s="97" t="n">
        <v>7</v>
      </c>
      <c r="G81" s="97" t="n">
        <v>6.99</v>
      </c>
      <c r="H81" s="97" t="n">
        <v>6.99</v>
      </c>
      <c r="I81" s="97" t="n">
        <v>6.99</v>
      </c>
      <c r="J81" s="97" t="n">
        <v>6.99</v>
      </c>
      <c r="K81" s="66" t="n">
        <f aca="false">AVERAGE(D81:J81)</f>
        <v>6.99428571428572</v>
      </c>
      <c r="L81" s="66" t="n">
        <f aca="false">J81-D81</f>
        <v>-0.00999999999999979</v>
      </c>
    </row>
    <row r="82" customFormat="false" ht="15" hidden="false" customHeight="false" outlineLevel="0" collapsed="false">
      <c r="A82" s="16" t="s">
        <v>805</v>
      </c>
      <c r="B82" s="87" t="s">
        <v>806</v>
      </c>
      <c r="C82" s="17" t="s">
        <v>493</v>
      </c>
      <c r="D82" s="69" t="n">
        <f aca="false">D80*D81</f>
        <v>31.57</v>
      </c>
      <c r="E82" s="69" t="n">
        <f aca="false">E80*E81</f>
        <v>57.75</v>
      </c>
      <c r="F82" s="69" t="n">
        <f aca="false">F80*F81</f>
        <v>212.94</v>
      </c>
      <c r="G82" s="69" t="n">
        <f aca="false">G80*G81</f>
        <v>348.4515</v>
      </c>
      <c r="H82" s="69" t="n">
        <f aca="false">H80*H81</f>
        <v>181.8798</v>
      </c>
      <c r="I82" s="69" t="n">
        <f aca="false">I80*I81</f>
        <v>61.8615</v>
      </c>
      <c r="J82" s="69" t="n">
        <f aca="false">J80*J81</f>
        <v>41.1012</v>
      </c>
      <c r="K82" s="53" t="n">
        <f aca="false">AVERAGE(D82:J82)</f>
        <v>133.650571428571</v>
      </c>
      <c r="L82" s="53" t="n">
        <f aca="false">J82-D82</f>
        <v>9.5312</v>
      </c>
    </row>
    <row r="83" customFormat="false" ht="15" hidden="false" customHeight="false" outlineLevel="0" collapsed="false">
      <c r="A83" s="16" t="s">
        <v>807</v>
      </c>
      <c r="B83" s="87" t="s">
        <v>808</v>
      </c>
      <c r="C83" s="17" t="s">
        <v>493</v>
      </c>
      <c r="D83" s="69" t="n">
        <f aca="false">D82+D41-D52</f>
        <v>73.89</v>
      </c>
      <c r="E83" s="69" t="n">
        <f aca="false">E82+E41-E52</f>
        <v>99.78</v>
      </c>
      <c r="F83" s="69" t="n">
        <f aca="false">F82+F41-F52</f>
        <v>253.51</v>
      </c>
      <c r="G83" s="69" t="n">
        <f aca="false">G82+G41-G52</f>
        <v>387.6915</v>
      </c>
      <c r="H83" s="69" t="n">
        <f aca="false">H82+H41-H52</f>
        <v>224.0998</v>
      </c>
      <c r="I83" s="69" t="n">
        <f aca="false">I82+I41-I52</f>
        <v>95.7315</v>
      </c>
      <c r="J83" s="69" t="n">
        <f aca="false">J82+J41-J52</f>
        <v>74.7812</v>
      </c>
      <c r="K83" s="53" t="n">
        <f aca="false">AVERAGE(D83:J83)</f>
        <v>172.783428571429</v>
      </c>
      <c r="L83" s="53" t="n">
        <f aca="false">J83-D83</f>
        <v>0.891199999999998</v>
      </c>
    </row>
    <row r="84" customFormat="false" ht="15" hidden="false" customHeight="false" outlineLevel="0" collapsed="false">
      <c r="A84" s="16" t="s">
        <v>809</v>
      </c>
      <c r="B84" s="87" t="s">
        <v>810</v>
      </c>
      <c r="C84" s="17" t="s">
        <v>811</v>
      </c>
      <c r="D84" s="98" t="n">
        <v>1</v>
      </c>
      <c r="E84" s="98" t="n">
        <v>1</v>
      </c>
      <c r="F84" s="98" t="n">
        <v>1</v>
      </c>
      <c r="G84" s="98" t="n">
        <v>1</v>
      </c>
      <c r="H84" s="98" t="n">
        <v>1</v>
      </c>
      <c r="I84" s="98" t="n">
        <v>1</v>
      </c>
      <c r="J84" s="98" t="n">
        <v>1</v>
      </c>
      <c r="K84" s="99"/>
      <c r="L84" s="99"/>
    </row>
    <row r="86" customFormat="false" ht="19.5" hidden="false" customHeight="true" outlineLevel="0" collapsed="false">
      <c r="A86" s="85" t="s">
        <v>629</v>
      </c>
      <c r="B86" s="86"/>
      <c r="C86" s="86"/>
      <c r="D86" s="86"/>
      <c r="E86" s="86"/>
      <c r="F86" s="86"/>
      <c r="G86" s="86"/>
      <c r="H86" s="86"/>
      <c r="I86" s="86"/>
      <c r="J86" s="86"/>
      <c r="K86" s="86"/>
      <c r="L86" s="86"/>
    </row>
    <row r="87" customFormat="false" ht="15" hidden="false" customHeight="false" outlineLevel="0" collapsed="false">
      <c r="A87" s="16" t="s">
        <v>630</v>
      </c>
      <c r="B87" s="87" t="s">
        <v>631</v>
      </c>
      <c r="C87" s="17" t="s">
        <v>493</v>
      </c>
      <c r="D87" s="69" t="n">
        <f aca="false">D48</f>
        <v>52.4</v>
      </c>
      <c r="E87" s="69" t="n">
        <f aca="false">E48</f>
        <v>56.57</v>
      </c>
      <c r="F87" s="69" t="n">
        <f aca="false">F48</f>
        <v>68.96</v>
      </c>
      <c r="G87" s="69" t="n">
        <f aca="false">G48</f>
        <v>73.98</v>
      </c>
      <c r="H87" s="69" t="n">
        <f aca="false">H48</f>
        <v>84.6</v>
      </c>
      <c r="I87" s="69" t="n">
        <f aca="false">I48</f>
        <v>82.2</v>
      </c>
      <c r="J87" s="69" t="n">
        <f aca="false">J48</f>
        <v>92.29</v>
      </c>
      <c r="K87" s="53" t="n">
        <f aca="false">AVERAGE(D87:J87)</f>
        <v>73</v>
      </c>
      <c r="L87" s="53" t="n">
        <f aca="false">J87-D87</f>
        <v>39.89</v>
      </c>
    </row>
    <row r="88" customFormat="false" ht="15" hidden="false" customHeight="false" outlineLevel="0" collapsed="false">
      <c r="A88" s="16" t="s">
        <v>632</v>
      </c>
      <c r="B88" s="87" t="s">
        <v>633</v>
      </c>
      <c r="C88" s="17" t="s">
        <v>493</v>
      </c>
      <c r="D88" s="69" t="n">
        <f aca="false">D42</f>
        <v>8.57</v>
      </c>
      <c r="E88" s="69" t="n">
        <f aca="false">E42</f>
        <v>10.34</v>
      </c>
      <c r="F88" s="69" t="n">
        <f aca="false">F42</f>
        <v>12.61</v>
      </c>
      <c r="G88" s="69" t="n">
        <f aca="false">G42</f>
        <v>17.88</v>
      </c>
      <c r="H88" s="69" t="n">
        <f aca="false">H42</f>
        <v>17.69</v>
      </c>
      <c r="I88" s="69" t="n">
        <f aca="false">I42</f>
        <v>16.65</v>
      </c>
      <c r="J88" s="69" t="n">
        <f aca="false">J42</f>
        <v>19.34</v>
      </c>
      <c r="K88" s="53" t="n">
        <f aca="false">AVERAGE(D88:J88)</f>
        <v>14.7257142857143</v>
      </c>
      <c r="L88" s="53" t="n">
        <f aca="false">J88-D88</f>
        <v>10.77</v>
      </c>
    </row>
    <row r="89" customFormat="false" ht="15" hidden="false" customHeight="false" outlineLevel="0" collapsed="false">
      <c r="A89" s="16" t="s">
        <v>634</v>
      </c>
      <c r="B89" s="87" t="s">
        <v>635</v>
      </c>
      <c r="C89" s="17" t="s">
        <v>493</v>
      </c>
      <c r="D89" s="69" t="n">
        <f aca="false">D50+D52</f>
        <v>30.19</v>
      </c>
      <c r="E89" s="69" t="n">
        <f aca="false">E50+E52</f>
        <v>41.9</v>
      </c>
      <c r="F89" s="69" t="n">
        <f aca="false">F50+F52</f>
        <v>48.95</v>
      </c>
      <c r="G89" s="69" t="n">
        <f aca="false">G50+G52</f>
        <v>62.16</v>
      </c>
      <c r="H89" s="69" t="n">
        <f aca="false">H50+H52</f>
        <v>69.42</v>
      </c>
      <c r="I89" s="69" t="n">
        <f aca="false">I50+I52</f>
        <v>68.8</v>
      </c>
      <c r="J89" s="69" t="n">
        <f aca="false">J50+J52</f>
        <v>80.79</v>
      </c>
      <c r="K89" s="53" t="n">
        <f aca="false">AVERAGE(D89:J89)</f>
        <v>57.4585714285714</v>
      </c>
      <c r="L89" s="53" t="n">
        <f aca="false">J89-D89</f>
        <v>50.6</v>
      </c>
    </row>
    <row r="90" customFormat="false" ht="15" hidden="false" customHeight="false" outlineLevel="0" collapsed="false">
      <c r="A90" s="16" t="s">
        <v>636</v>
      </c>
      <c r="B90" s="87" t="s">
        <v>637</v>
      </c>
      <c r="C90" s="17" t="s">
        <v>493</v>
      </c>
      <c r="D90" s="69" t="n">
        <f aca="false">D40+D41</f>
        <v>70.78</v>
      </c>
      <c r="E90" s="69" t="n">
        <f aca="false">E40+E41</f>
        <v>71.64</v>
      </c>
      <c r="F90" s="69" t="n">
        <f aca="false">F40+F41</f>
        <v>76.98</v>
      </c>
      <c r="G90" s="69" t="n">
        <f aca="false">G40+G41</f>
        <v>86.78</v>
      </c>
      <c r="H90" s="69" t="n">
        <f aca="false">H40+H41</f>
        <v>102.71</v>
      </c>
      <c r="I90" s="69" t="n">
        <f aca="false">I40+I41</f>
        <v>98.34</v>
      </c>
      <c r="J90" s="69" t="n">
        <f aca="false">J40+J41</f>
        <v>100.18</v>
      </c>
      <c r="K90" s="53" t="n">
        <f aca="false">AVERAGE(D90:J90)</f>
        <v>86.7728571428572</v>
      </c>
      <c r="L90" s="53" t="n">
        <f aca="false">J90-D90</f>
        <v>29.4</v>
      </c>
    </row>
    <row r="92" customFormat="false" ht="19.5" hidden="false" customHeight="true" outlineLevel="0" collapsed="false">
      <c r="A92" s="85" t="s">
        <v>638</v>
      </c>
      <c r="B92" s="86"/>
      <c r="C92" s="86"/>
      <c r="D92" s="86"/>
      <c r="E92" s="86"/>
      <c r="F92" s="86"/>
      <c r="G92" s="86"/>
      <c r="H92" s="86"/>
      <c r="I92" s="86"/>
      <c r="J92" s="86"/>
      <c r="K92" s="86"/>
      <c r="L92" s="86"/>
    </row>
    <row r="93" customFormat="false" ht="16.5" hidden="false" customHeight="true" outlineLevel="0" collapsed="false">
      <c r="A93" s="88" t="s">
        <v>639</v>
      </c>
      <c r="B93" s="89"/>
      <c r="C93" s="89"/>
      <c r="D93" s="89"/>
      <c r="E93" s="89"/>
      <c r="F93" s="89"/>
      <c r="G93" s="89"/>
      <c r="H93" s="89"/>
      <c r="I93" s="89"/>
      <c r="J93" s="89"/>
      <c r="K93" s="89"/>
      <c r="L93" s="89"/>
    </row>
    <row r="94" customFormat="false" ht="15" hidden="false" customHeight="false" outlineLevel="0" collapsed="false">
      <c r="A94" s="16" t="s">
        <v>640</v>
      </c>
      <c r="B94" s="87" t="s">
        <v>641</v>
      </c>
      <c r="C94" s="17" t="s">
        <v>493</v>
      </c>
      <c r="D94" s="69" t="n">
        <f aca="false">D87-D88</f>
        <v>43.83</v>
      </c>
      <c r="E94" s="69" t="n">
        <f aca="false">E87-E88</f>
        <v>46.23</v>
      </c>
      <c r="F94" s="69" t="n">
        <f aca="false">F87-F88</f>
        <v>56.35</v>
      </c>
      <c r="G94" s="69" t="n">
        <f aca="false">G87-G88</f>
        <v>56.1</v>
      </c>
      <c r="H94" s="69" t="n">
        <f aca="false">H87-H88</f>
        <v>66.91</v>
      </c>
      <c r="I94" s="69" t="n">
        <f aca="false">I87-I88</f>
        <v>65.55</v>
      </c>
      <c r="J94" s="69" t="n">
        <f aca="false">J87-J88</f>
        <v>72.95</v>
      </c>
      <c r="K94" s="53" t="n">
        <f aca="false">AVERAGE(D94:J94)</f>
        <v>58.2742857142857</v>
      </c>
      <c r="L94" s="53" t="n">
        <f aca="false">J94-D94</f>
        <v>29.12</v>
      </c>
    </row>
    <row r="95" customFormat="false" ht="15" hidden="false" customHeight="false" outlineLevel="0" collapsed="false">
      <c r="A95" s="16" t="s">
        <v>642</v>
      </c>
      <c r="B95" s="87" t="s">
        <v>643</v>
      </c>
      <c r="C95" s="17" t="s">
        <v>644</v>
      </c>
      <c r="D95" s="72" t="n">
        <f aca="false">IF(D88&gt;0,D87/D88,"N/M")</f>
        <v>6.11435239206534</v>
      </c>
      <c r="E95" s="72" t="n">
        <f aca="false">IF(E88&gt;0,E87/E88,"N/M")</f>
        <v>5.47098646034816</v>
      </c>
      <c r="F95" s="72" t="n">
        <f aca="false">IF(F88&gt;0,F87/F88,"N/M")</f>
        <v>5.46867565424267</v>
      </c>
      <c r="G95" s="72" t="n">
        <f aca="false">IF(G88&gt;0,G87/G88,"N/M")</f>
        <v>4.13758389261745</v>
      </c>
      <c r="H95" s="72" t="n">
        <f aca="false">IF(H88&gt;0,H87/H88,"N/M")</f>
        <v>4.7823629169022</v>
      </c>
      <c r="I95" s="72" t="n">
        <f aca="false">IF(I88&gt;0,I87/I88,"N/M")</f>
        <v>4.93693693693694</v>
      </c>
      <c r="J95" s="72" t="n">
        <f aca="false">IF(J88&gt;0,J87/J88,"N/M")</f>
        <v>4.77197518097208</v>
      </c>
      <c r="K95" s="56" t="n">
        <f aca="false">IF(COUNT(D95:J95)=0,"N/M",AVERAGE(D95:J95))</f>
        <v>5.09755334772641</v>
      </c>
      <c r="L95" s="60" t="n">
        <f aca="false">IF(COUNT(D95,J95)=2,J95-D95,"-")</f>
        <v>-1.34237721109327</v>
      </c>
    </row>
    <row r="96" customFormat="false" ht="15" hidden="false" customHeight="false" outlineLevel="0" collapsed="false">
      <c r="A96" s="16" t="s">
        <v>645</v>
      </c>
      <c r="B96" s="87" t="s">
        <v>646</v>
      </c>
      <c r="C96" s="17" t="s">
        <v>647</v>
      </c>
      <c r="D96" s="72" t="n">
        <f aca="false">IF(D88&gt;0,D89/D88,"N/M")</f>
        <v>3.52275379229872</v>
      </c>
      <c r="E96" s="72" t="n">
        <f aca="false">IF(E88&gt;0,E89/E88,"N/M")</f>
        <v>4.05222437137331</v>
      </c>
      <c r="F96" s="72" t="n">
        <f aca="false">IF(F88&gt;0,F89/F88,"N/M")</f>
        <v>3.88183980967486</v>
      </c>
      <c r="G96" s="72" t="n">
        <f aca="false">IF(G88&gt;0,G89/G88,"N/M")</f>
        <v>3.47651006711409</v>
      </c>
      <c r="H96" s="72" t="n">
        <f aca="false">IF(H88&gt;0,H89/H88,"N/M")</f>
        <v>3.92425098925947</v>
      </c>
      <c r="I96" s="72" t="n">
        <f aca="false">IF(I88&gt;0,I89/I88,"N/M")</f>
        <v>4.13213213213213</v>
      </c>
      <c r="J96" s="72" t="n">
        <f aca="false">IF(J88&gt;0,J89/J88,"N/M")</f>
        <v>4.17735263702172</v>
      </c>
      <c r="K96" s="56" t="n">
        <f aca="false">IF(COUNT(D96:J96)=0,"N/M",AVERAGE(D96:J96))</f>
        <v>3.8810091141249</v>
      </c>
      <c r="L96" s="60" t="n">
        <f aca="false">IF(COUNT(D96,J96)=2,J96-D96,"-")</f>
        <v>0.654598844723001</v>
      </c>
    </row>
    <row r="97" customFormat="false" ht="15" hidden="false" customHeight="false" outlineLevel="0" collapsed="false">
      <c r="A97" s="16" t="s">
        <v>648</v>
      </c>
      <c r="B97" s="87" t="s">
        <v>649</v>
      </c>
      <c r="C97" s="17" t="s">
        <v>650</v>
      </c>
      <c r="D97" s="72" t="n">
        <f aca="false">IF(D88&gt;0,D52/D88,"N/M")</f>
        <v>0.374562427071179</v>
      </c>
      <c r="E97" s="72" t="n">
        <f aca="false">IF(E88&gt;0,E52/E88,"N/M")</f>
        <v>0.527079303675048</v>
      </c>
      <c r="F97" s="72" t="n">
        <f aca="false">IF(F88&gt;0,F52/F88,"N/M")</f>
        <v>0.34020618556701</v>
      </c>
      <c r="G97" s="72" t="n">
        <f aca="false">IF(G88&gt;0,G52/G88,"N/M")</f>
        <v>0.376398210290828</v>
      </c>
      <c r="H97" s="72" t="n">
        <f aca="false">IF(H88&gt;0,H52/H88,"N/M")</f>
        <v>0.25664217071792</v>
      </c>
      <c r="I97" s="72" t="n">
        <f aca="false">IF(I88&gt;0,I52/I88,"N/M")</f>
        <v>0.461861861861862</v>
      </c>
      <c r="J97" s="72" t="n">
        <f aca="false">IF(J88&gt;0,J52/J88,"N/M")</f>
        <v>0.330403309203723</v>
      </c>
      <c r="K97" s="56" t="n">
        <f aca="false">IF(COUNT(D97:J97)=0,"N/M",AVERAGE(D97:J97))</f>
        <v>0.381021924055367</v>
      </c>
      <c r="L97" s="60" t="n">
        <f aca="false">IF(COUNT(D97,J97)=2,J97-D97,"-")</f>
        <v>-0.0441591178674557</v>
      </c>
    </row>
    <row r="98" customFormat="false" ht="15" hidden="false" customHeight="false" outlineLevel="0" collapsed="false">
      <c r="A98" s="16" t="s">
        <v>651</v>
      </c>
      <c r="B98" s="87" t="s">
        <v>652</v>
      </c>
      <c r="C98" s="17" t="s">
        <v>653</v>
      </c>
      <c r="D98" s="74" t="n">
        <f aca="false">IF(D20&gt;0,D89/(D20/Setup!$C$8),"N/M")</f>
        <v>109.15651312531</v>
      </c>
      <c r="E98" s="74" t="n">
        <f aca="false">IF(E20&gt;0,E89/(E20/Setup!$C$8),"N/M")</f>
        <v>151.241099683544</v>
      </c>
      <c r="F98" s="74" t="n">
        <f aca="false">IF(F20&gt;0,F89/(F20/Setup!$C$8),"N/M")</f>
        <v>121.517717472625</v>
      </c>
      <c r="G98" s="74" t="n">
        <f aca="false">IF(G20&gt;0,G89/(G20/Setup!$C$8),"N/M")</f>
        <v>136.013428451532</v>
      </c>
      <c r="H98" s="74" t="n">
        <f aca="false">IF(H20&gt;0,H89/(H20/Setup!$C$8),"N/M")</f>
        <v>109.395993437527</v>
      </c>
      <c r="I98" s="74" t="n">
        <f aca="false">IF(I20&gt;0,I89/(I20/Setup!$C$8),"N/M")</f>
        <v>118.924038643683</v>
      </c>
      <c r="J98" s="74" t="n">
        <f aca="false">IF(J20&gt;0,J89/(J20/Setup!$C$8),"N/M")</f>
        <v>130.16840293105</v>
      </c>
      <c r="K98" s="58" t="n">
        <f aca="false">IF(COUNT(D98:J98)=0,"N/M",AVERAGE(D98:J98))</f>
        <v>125.202456249324</v>
      </c>
      <c r="L98" s="58" t="n">
        <f aca="false">IF(COUNT(D98,J98)=2,J98-D98,"-")</f>
        <v>21.0118898057402</v>
      </c>
    </row>
    <row r="99" customFormat="false" ht="15" hidden="false" customHeight="false" outlineLevel="0" collapsed="false">
      <c r="A99" s="16" t="s">
        <v>654</v>
      </c>
      <c r="B99" s="87" t="s">
        <v>655</v>
      </c>
      <c r="C99" s="17" t="s">
        <v>97</v>
      </c>
      <c r="D99" s="72" t="n">
        <f aca="false">IF(D88&gt;0,D63/D88,"N/M")</f>
        <v>0.555425904317386</v>
      </c>
      <c r="E99" s="72" t="n">
        <f aca="false">IF(E88&gt;0,E63/E88,"N/M")</f>
        <v>0.617988394584139</v>
      </c>
      <c r="F99" s="72" t="n">
        <f aca="false">IF(F88&gt;0,F63/F88,"N/M")</f>
        <v>0.444091990483743</v>
      </c>
      <c r="G99" s="72" t="n">
        <f aca="false">IF(G88&gt;0,G63/G88,"N/M")</f>
        <v>0.562080536912752</v>
      </c>
      <c r="H99" s="72" t="n">
        <f aca="false">IF(H88&gt;0,H63/H88,"N/M")</f>
        <v>0.0446579988694178</v>
      </c>
      <c r="I99" s="72" t="n">
        <f aca="false">IF(I88&gt;0,I63/I88,"N/M")</f>
        <v>0.760960960960961</v>
      </c>
      <c r="J99" s="72" t="n">
        <f aca="false">IF(J88&gt;0,J63/J88,"N/M")</f>
        <v>0.030506721820062</v>
      </c>
      <c r="K99" s="56" t="n">
        <f aca="false">IF(COUNT(D99:J99)=0,"N/M",AVERAGE(D99:J99))</f>
        <v>0.430816072564066</v>
      </c>
      <c r="L99" s="60" t="n">
        <f aca="false">IF(COUNT(D99,J99)=2,J99-D99,"-")</f>
        <v>-0.524919182497324</v>
      </c>
    </row>
    <row r="100" customFormat="false" ht="16.5" hidden="false" customHeight="true" outlineLevel="0" collapsed="false">
      <c r="A100" s="88" t="s">
        <v>656</v>
      </c>
      <c r="B100" s="89"/>
      <c r="C100" s="89"/>
      <c r="D100" s="89"/>
      <c r="E100" s="89"/>
      <c r="F100" s="89"/>
      <c r="G100" s="89"/>
      <c r="H100" s="89"/>
      <c r="I100" s="89"/>
      <c r="J100" s="89"/>
      <c r="K100" s="89"/>
      <c r="L100" s="89"/>
    </row>
    <row r="101" customFormat="false" ht="15" hidden="false" customHeight="false" outlineLevel="0" collapsed="false">
      <c r="A101" s="16" t="s">
        <v>657</v>
      </c>
      <c r="B101" s="87" t="s">
        <v>658</v>
      </c>
      <c r="C101" s="17" t="s">
        <v>97</v>
      </c>
      <c r="D101" s="72" t="n">
        <f aca="false">IF(D40&gt;0,D41/D40,"N/M")</f>
        <v>1.80316831683168</v>
      </c>
      <c r="E101" s="72" t="n">
        <f aca="false">IF(E40&gt;0,E41/E40,"N/M")</f>
        <v>1.96523178807947</v>
      </c>
      <c r="F101" s="72" t="n">
        <f aca="false">IF(F40&gt;0,F41/F40,"N/M")</f>
        <v>1.39663760896638</v>
      </c>
      <c r="G101" s="72" t="n">
        <f aca="false">IF(G40&gt;0,G41/G40,"N/M")</f>
        <v>1.12643959813771</v>
      </c>
      <c r="H101" s="72" t="n">
        <f aca="false">IF(H40&gt;0,H41/H40,"N/M")</f>
        <v>0.835746201966041</v>
      </c>
      <c r="I101" s="72" t="n">
        <f aca="false">IF(I40&gt;0,I41/I40,"N/M")</f>
        <v>0.731947868967947</v>
      </c>
      <c r="J101" s="72" t="n">
        <f aca="false">IF(J40&gt;0,J41/J40,"N/M")</f>
        <v>0.666611212776576</v>
      </c>
      <c r="K101" s="56" t="n">
        <f aca="false">IF(COUNT(D101:J101)=0,"N/M",AVERAGE(D101:J101))</f>
        <v>1.21796894224654</v>
      </c>
      <c r="L101" s="60" t="n">
        <f aca="false">IF(COUNT(D101,J101)=2,J101-D101,"-")</f>
        <v>-1.13655710405511</v>
      </c>
    </row>
    <row r="102" customFormat="false" ht="15" hidden="false" customHeight="false" outlineLevel="0" collapsed="false">
      <c r="A102" s="16" t="s">
        <v>659</v>
      </c>
      <c r="B102" s="87" t="s">
        <v>660</v>
      </c>
      <c r="C102" s="17" t="s">
        <v>97</v>
      </c>
      <c r="D102" s="72" t="n">
        <f aca="false">IF(D40&gt;0,(D41+D42)/D40,"N/M")</f>
        <v>2.14257425742574</v>
      </c>
      <c r="E102" s="72" t="n">
        <f aca="false">IF(E40&gt;0,(E41+E42)/E40,"N/M")</f>
        <v>2.3932119205298</v>
      </c>
      <c r="F102" s="72" t="n">
        <f aca="false">IF(F40&gt;0,(F41+F42)/F40,"N/M")</f>
        <v>1.78922789539228</v>
      </c>
      <c r="G102" s="72" t="n">
        <f aca="false">IF(G40&gt;0,(G41+G42)/G40,"N/M")</f>
        <v>1.56456750796373</v>
      </c>
      <c r="H102" s="72" t="n">
        <f aca="false">IF(H40&gt;0,(H41+H42)/H40,"N/M")</f>
        <v>1.15192135835567</v>
      </c>
      <c r="I102" s="72" t="n">
        <f aca="false">IF(I40&gt;0,(I41+I42)/I40,"N/M")</f>
        <v>1.02518492426911</v>
      </c>
      <c r="J102" s="72" t="n">
        <f aca="false">IF(J40&gt;0,(J41+J42)/J40,"N/M")</f>
        <v>0.988354683081018</v>
      </c>
      <c r="K102" s="56" t="n">
        <f aca="false">IF(COUNT(D102:J102)=0,"N/M",AVERAGE(D102:J102))</f>
        <v>1.57929179243105</v>
      </c>
      <c r="L102" s="60" t="n">
        <f aca="false">IF(COUNT(D102,J102)=2,J102-D102,"-")</f>
        <v>-1.15421957434472</v>
      </c>
    </row>
    <row r="103" customFormat="false" ht="15" hidden="false" customHeight="false" outlineLevel="0" collapsed="false">
      <c r="A103" s="16" t="s">
        <v>661</v>
      </c>
      <c r="B103" s="87" t="s">
        <v>662</v>
      </c>
      <c r="C103" s="17" t="s">
        <v>663</v>
      </c>
      <c r="D103" s="72" t="n">
        <f aca="false">IF(D49&gt;0,D41/D49,"N/M")</f>
        <v>0.573787019533712</v>
      </c>
      <c r="E103" s="72" t="n">
        <f aca="false">IF(E49&gt;0,E41/E49,"N/M")</f>
        <v>0.579165650158575</v>
      </c>
      <c r="F103" s="72" t="n">
        <f aca="false">IF(F49&gt;0,F41/F49,"N/M")</f>
        <v>0.500725527402612</v>
      </c>
      <c r="G103" s="72" t="n">
        <f aca="false">IF(G49&gt;0,G41/G49,"N/M")</f>
        <v>0.439231798203707</v>
      </c>
      <c r="H103" s="72" t="n">
        <f aca="false">IF(H49&gt;0,H41/H49,"N/M")</f>
        <v>0.388372093023256</v>
      </c>
      <c r="I103" s="72" t="n">
        <f aca="false">IF(I49&gt;0,I41/I49,"N/M")</f>
        <v>0.361422732411514</v>
      </c>
      <c r="J103" s="72" t="n">
        <f aca="false">IF(J49&gt;0,J41/J49,"N/M")</f>
        <v>0.335257697456493</v>
      </c>
      <c r="K103" s="56" t="n">
        <f aca="false">IF(COUNT(D103:J103)=0,"N/M",AVERAGE(D103:J103))</f>
        <v>0.453994645455695</v>
      </c>
      <c r="L103" s="60" t="n">
        <f aca="false">IF(COUNT(D103,J103)=2,J103-D103,"-")</f>
        <v>-0.238529322077219</v>
      </c>
    </row>
    <row r="104" customFormat="false" ht="15" hidden="false" customHeight="false" outlineLevel="0" collapsed="false">
      <c r="A104" s="16" t="s">
        <v>664</v>
      </c>
      <c r="B104" s="87" t="s">
        <v>665</v>
      </c>
      <c r="C104" s="17" t="s">
        <v>663</v>
      </c>
      <c r="D104" s="72" t="n">
        <f aca="false">IF(D90&gt;0,D41/D90,"N/M")</f>
        <v>0.643260808137892</v>
      </c>
      <c r="E104" s="72" t="n">
        <f aca="false">IF(E90&gt;0,E41/E90,"N/M")</f>
        <v>0.662758235622557</v>
      </c>
      <c r="F104" s="72" t="n">
        <f aca="false">IF(F90&gt;0,F41/F90,"N/M")</f>
        <v>0.582748765913224</v>
      </c>
      <c r="G104" s="72" t="n">
        <f aca="false">IF(G90&gt;0,G41/G90,"N/M")</f>
        <v>0.52973035261581</v>
      </c>
      <c r="H104" s="72" t="n">
        <f aca="false">IF(H90&gt;0,H41/H90,"N/M")</f>
        <v>0.45526238925129</v>
      </c>
      <c r="I104" s="72" t="n">
        <f aca="false">IF(I90&gt;0,I41/I90,"N/M")</f>
        <v>0.422615415904007</v>
      </c>
      <c r="J104" s="72" t="n">
        <f aca="false">IF(J90&gt;0,J41/J90,"N/M")</f>
        <v>0.399980035935316</v>
      </c>
      <c r="K104" s="56" t="n">
        <f aca="false">IF(COUNT(D104:J104)=0,"N/M",AVERAGE(D104:J104))</f>
        <v>0.528050857625728</v>
      </c>
      <c r="L104" s="60" t="n">
        <f aca="false">IF(COUNT(D104,J104)=2,J104-D104,"-")</f>
        <v>-0.243280772202576</v>
      </c>
    </row>
    <row r="105" customFormat="false" ht="15" hidden="false" customHeight="false" outlineLevel="0" collapsed="false">
      <c r="A105" s="16" t="s">
        <v>666</v>
      </c>
      <c r="B105" s="87" t="s">
        <v>667</v>
      </c>
      <c r="C105" s="17" t="s">
        <v>668</v>
      </c>
      <c r="D105" s="72" t="n">
        <f aca="false">IF(D49&gt;0,D40/D49,"N/M")</f>
        <v>0.318210459987398</v>
      </c>
      <c r="E105" s="72" t="n">
        <f aca="false">IF(E49&gt;0,E40/E49,"N/M")</f>
        <v>0.294706025859966</v>
      </c>
      <c r="F105" s="72" t="n">
        <f aca="false">IF(F49&gt;0,F40/F49,"N/M")</f>
        <v>0.35852215649068</v>
      </c>
      <c r="G105" s="72" t="n">
        <f aca="false">IF(G49&gt;0,G40/G49,"N/M")</f>
        <v>0.389929294859545</v>
      </c>
      <c r="H105" s="72" t="n">
        <f aca="false">IF(H49&gt;0,H40/H49,"N/M")</f>
        <v>0.464700996677741</v>
      </c>
      <c r="I105" s="72" t="n">
        <f aca="false">IF(I49&gt;0,I40/I49,"N/M")</f>
        <v>0.493782068005914</v>
      </c>
      <c r="J105" s="72" t="n">
        <f aca="false">IF(J49&gt;0,J40/J49,"N/M")</f>
        <v>0.502928380187416</v>
      </c>
      <c r="K105" s="56" t="n">
        <f aca="false">IF(COUNT(D105:J105)=0,"N/M",AVERAGE(D105:J105))</f>
        <v>0.40325419743838</v>
      </c>
      <c r="L105" s="60" t="n">
        <f aca="false">IF(COUNT(D105,J105)=2,J105-D105,"-")</f>
        <v>0.184717920200019</v>
      </c>
    </row>
    <row r="106" customFormat="false" ht="15" hidden="false" customHeight="false" outlineLevel="0" collapsed="false">
      <c r="A106" s="16" t="s">
        <v>669</v>
      </c>
      <c r="B106" s="87" t="s">
        <v>670</v>
      </c>
      <c r="C106" s="17" t="s">
        <v>97</v>
      </c>
      <c r="D106" s="72" t="n">
        <f aca="false">IF(D39&gt;0,(D41+D37)/D39,"N/M")</f>
        <v>1.80316831683168</v>
      </c>
      <c r="E106" s="72" t="n">
        <f aca="false">IF(E39&gt;0,(E41+E37)/E39,"N/M")</f>
        <v>1.96523178807947</v>
      </c>
      <c r="F106" s="72" t="n">
        <f aca="false">IF(F39&gt;0,(F41+F37)/F39,"N/M")</f>
        <v>1.39663760896638</v>
      </c>
      <c r="G106" s="72" t="n">
        <f aca="false">IF(G39&gt;0,(G41+G37)/G39,"N/M")</f>
        <v>1.12643959813771</v>
      </c>
      <c r="H106" s="72" t="n">
        <f aca="false">IF(H39&gt;0,(H41+H37)/H39,"N/M")</f>
        <v>0.835746201966041</v>
      </c>
      <c r="I106" s="72" t="n">
        <f aca="false">IF(I39&gt;0,(I41+I37)/I39,"N/M")</f>
        <v>0.731947868967947</v>
      </c>
      <c r="J106" s="72" t="n">
        <f aca="false">IF(J39&gt;0,(J41+J37)/J39,"N/M")</f>
        <v>0.666611212776576</v>
      </c>
      <c r="K106" s="56" t="n">
        <f aca="false">IF(COUNT(D106:J106)=0,"N/M",AVERAGE(D106:J106))</f>
        <v>1.21796894224654</v>
      </c>
      <c r="L106" s="60" t="n">
        <f aca="false">IF(COUNT(D106,J106)=2,J106-D106,"-")</f>
        <v>-1.13655710405511</v>
      </c>
    </row>
    <row r="107" customFormat="false" ht="15" hidden="false" customHeight="false" outlineLevel="0" collapsed="false">
      <c r="A107" s="16" t="s">
        <v>671</v>
      </c>
      <c r="B107" s="87" t="s">
        <v>672</v>
      </c>
      <c r="C107" s="17" t="s">
        <v>97</v>
      </c>
      <c r="D107" s="72" t="n">
        <f aca="false">IF(D21&gt;0,D41/D21,"N/M")</f>
        <v>5.03093922651934</v>
      </c>
      <c r="E107" s="72" t="n">
        <f aca="false">IF(E21&gt;0,E41/E21,"N/M")</f>
        <v>6.67791842475387</v>
      </c>
      <c r="F107" s="72" t="n">
        <f aca="false">IF(F21&gt;0,F41/F21,"N/M")</f>
        <v>2.68461998803112</v>
      </c>
      <c r="G107" s="72" t="n">
        <f aca="false">IF(G21&gt;0,G41/G21,"N/M")</f>
        <v>2.34182373917474</v>
      </c>
      <c r="H107" s="72" t="n">
        <f aca="false">IF(H21&gt;0,H41/H21,"N/M")</f>
        <v>2.47669491525424</v>
      </c>
      <c r="I107" s="72" t="n">
        <f aca="false">IF(I21&gt;0,I41/I21,"N/M")</f>
        <v>4.60753880266075</v>
      </c>
      <c r="J107" s="72" t="n">
        <f aca="false">IF(J21&gt;0,J41/J21,"N/M")</f>
        <v>5.17032258064516</v>
      </c>
      <c r="K107" s="56" t="n">
        <f aca="false">IF(COUNT(D107:J107)=0,"N/M",AVERAGE(D107:J107))</f>
        <v>4.14140823957703</v>
      </c>
      <c r="L107" s="60" t="n">
        <f aca="false">IF(COUNT(D107,J107)=2,J107-D107,"-")</f>
        <v>0.139383354125822</v>
      </c>
    </row>
    <row r="108" customFormat="false" ht="16.5" hidden="false" customHeight="true" outlineLevel="0" collapsed="false">
      <c r="A108" s="88" t="s">
        <v>673</v>
      </c>
      <c r="B108" s="89"/>
      <c r="C108" s="89"/>
      <c r="D108" s="89"/>
      <c r="E108" s="89"/>
      <c r="F108" s="89"/>
      <c r="G108" s="89"/>
      <c r="H108" s="89"/>
      <c r="I108" s="89"/>
      <c r="J108" s="89"/>
      <c r="K108" s="89"/>
      <c r="L108" s="89"/>
    </row>
    <row r="109" customFormat="false" ht="15" hidden="false" customHeight="false" outlineLevel="0" collapsed="false">
      <c r="A109" s="16" t="s">
        <v>674</v>
      </c>
      <c r="B109" s="87" t="s">
        <v>675</v>
      </c>
      <c r="C109" s="17" t="s">
        <v>676</v>
      </c>
      <c r="D109" s="73" t="n">
        <f aca="false">IF(D25&gt;0,D23/D25,"N/M")</f>
        <v>1.38243626062323</v>
      </c>
      <c r="E109" s="73" t="n">
        <f aca="false">IF(E25&gt;0,E23/E25,"N/M")</f>
        <v>0.665083135391924</v>
      </c>
      <c r="F109" s="73" t="n">
        <f aca="false">IF(F25&gt;0,F23/F25,"N/M")</f>
        <v>3.11138014527845</v>
      </c>
      <c r="G109" s="73" t="n">
        <f aca="false">IF(G25&gt;0,G23/G25,"N/M")</f>
        <v>4.3854447439353</v>
      </c>
      <c r="H109" s="73" t="n">
        <f aca="false">IF(H25&gt;0,H23/H25,"N/M")</f>
        <v>2.91733870967742</v>
      </c>
      <c r="I109" s="73" t="n">
        <f aca="false">IF(I25&gt;0,I23/I25,"N/M")</f>
        <v>0.956621004566212</v>
      </c>
      <c r="J109" s="73" t="n">
        <f aca="false">IF(J25&gt;0,J23/J25,"N/M")</f>
        <v>0.901442307692308</v>
      </c>
      <c r="K109" s="60" t="n">
        <f aca="false">IF(COUNT(D109:J109)=0,"N/M",AVERAGE(D109:J109))</f>
        <v>2.04567804388069</v>
      </c>
      <c r="L109" s="60" t="n">
        <f aca="false">IF(COUNT(D109,J109)=2,J109-D109,"-")</f>
        <v>-0.480993952930921</v>
      </c>
    </row>
    <row r="110" customFormat="false" ht="15" hidden="false" customHeight="false" outlineLevel="0" collapsed="false">
      <c r="A110" s="16" t="s">
        <v>677</v>
      </c>
      <c r="B110" s="87" t="s">
        <v>678</v>
      </c>
      <c r="C110" s="17" t="s">
        <v>115</v>
      </c>
      <c r="D110" s="73" t="n">
        <f aca="false">IF(D31&gt;0,D30/D31,"N/M")</f>
        <v>2.82692307692308</v>
      </c>
      <c r="E110" s="73" t="n">
        <f aca="false">IF(E31&gt;0,E30/E31,"N/M")</f>
        <v>-1.03809523809524</v>
      </c>
      <c r="F110" s="73" t="n">
        <f aca="false">IF(F31&gt;0,F30/F31,"N/M")</f>
        <v>4.21428571428571</v>
      </c>
      <c r="G110" s="73" t="n">
        <f aca="false">IF(G31&gt;0,G30/G31,"N/M")</f>
        <v>9.21904761904762</v>
      </c>
      <c r="H110" s="73" t="n">
        <f aca="false">IF(H31&gt;0,H30/H31,"N/M")</f>
        <v>23.2571428571429</v>
      </c>
      <c r="I110" s="73" t="str">
        <f aca="false">IF(I31&gt;0,I30/I31,"N/M")</f>
        <v>N/M</v>
      </c>
      <c r="J110" s="73" t="str">
        <f aca="false">IF(J31&gt;0,J30/J31,"N/M")</f>
        <v>N/M</v>
      </c>
      <c r="K110" s="60" t="n">
        <f aca="false">IF(COUNT(D110:J110)=0,"N/M",AVERAGE(D110:J110))</f>
        <v>7.69586080586081</v>
      </c>
      <c r="L110" s="60" t="str">
        <f aca="false">IF(COUNT(D110,J110)=2,J110-D110,"-")</f>
        <v>-</v>
      </c>
    </row>
    <row r="111" customFormat="false" ht="15" hidden="false" customHeight="false" outlineLevel="0" collapsed="false">
      <c r="A111" s="16" t="s">
        <v>679</v>
      </c>
      <c r="B111" s="87" t="s">
        <v>680</v>
      </c>
      <c r="C111" s="17" t="s">
        <v>115</v>
      </c>
      <c r="D111" s="73" t="n">
        <f aca="false">IF(D25+D76&gt;0,D21/(D25+D76/(1-D77)),"N/M")</f>
        <v>2.56373937677054</v>
      </c>
      <c r="E111" s="73" t="n">
        <f aca="false">IF(E25+E76&gt;0,E21/(E25+E76/(1-E77)),"N/M")</f>
        <v>1.68883610451306</v>
      </c>
      <c r="F111" s="73" t="n">
        <f aca="false">IF(F25+F76&gt;0,F21/(F25+F76/(1-F77)),"N/M")</f>
        <v>3.61383919834031</v>
      </c>
      <c r="G111" s="73" t="n">
        <f aca="false">IF(G25+G76&gt;0,G21/(G25+G76/(1-G77)),"N/M")</f>
        <v>5.29110512129379</v>
      </c>
      <c r="H111" s="73" t="n">
        <f aca="false">IF(H25+H76&gt;0,H21/(H25+H76/(1-H77)),"N/M")</f>
        <v>3.80645161290323</v>
      </c>
      <c r="I111" s="73" t="n">
        <f aca="false">IF(I25+I76&gt;0,I21/(I25+I76/(1-I77)),"N/M")</f>
        <v>0.777255533919741</v>
      </c>
      <c r="J111" s="73" t="n">
        <f aca="false">IF(J25+J76&gt;0,J21/(J25+J76/(1-J77)),"N/M")</f>
        <v>1.37238859499686</v>
      </c>
      <c r="K111" s="60" t="n">
        <f aca="false">IF(COUNT(D111:J111)=0,"N/M",AVERAGE(D111:J111))</f>
        <v>2.73051650610536</v>
      </c>
      <c r="L111" s="60" t="n">
        <f aca="false">IF(COUNT(D111,J111)=2,J111-D111,"-")</f>
        <v>-1.19135078177368</v>
      </c>
    </row>
    <row r="112" customFormat="false" ht="15" hidden="false" customHeight="false" outlineLevel="0" collapsed="false">
      <c r="A112" s="16" t="s">
        <v>681</v>
      </c>
      <c r="B112" s="87" t="s">
        <v>682</v>
      </c>
      <c r="C112" s="17" t="s">
        <v>115</v>
      </c>
      <c r="D112" s="73" t="n">
        <f aca="false">IF(D25+D76&gt;0,(D63+D27)/(D25+D76/(1-D77)),"N/M")</f>
        <v>1.55524079320113</v>
      </c>
      <c r="E112" s="73" t="n">
        <f aca="false">IF(E25+E76&gt;0,(E63+E27)/(E25+E76/(1-E77)),"N/M")</f>
        <v>1.54869358669834</v>
      </c>
      <c r="F112" s="73" t="n">
        <f aca="false">IF(F25+F76&gt;0,(F63+F27)/(F25+F76/(1-F77)),"N/M")</f>
        <v>1.85125455043645</v>
      </c>
      <c r="G112" s="73" t="n">
        <f aca="false">IF(G25+G76&gt;0,(G63+G27)/(G25+G76/(1-G77)),"N/M")</f>
        <v>3.70080862533693</v>
      </c>
      <c r="H112" s="73" t="n">
        <f aca="false">IF(H25+H76&gt;0,(H63+H27)/(H25+H76/(1-H77)),"N/M")</f>
        <v>1.19959677419355</v>
      </c>
      <c r="I112" s="73" t="n">
        <f aca="false">IF(I25+I76&gt;0,(I63+I27)/(I25+I76/(1-I77)),"N/M")</f>
        <v>1.15554287249043</v>
      </c>
      <c r="J112" s="73" t="n">
        <f aca="false">IF(J25+J76&gt;0,(J63+J27)/(J25+J76/(1-J77)),"N/M")</f>
        <v>0.175311575360889</v>
      </c>
      <c r="K112" s="60" t="n">
        <f aca="false">IF(COUNT(D112:J112)=0,"N/M",AVERAGE(D112:J112))</f>
        <v>1.59806411110253</v>
      </c>
      <c r="L112" s="60" t="n">
        <f aca="false">IF(COUNT(D112,J112)=2,J112-D112,"-")</f>
        <v>-1.37992921784024</v>
      </c>
    </row>
    <row r="113" customFormat="false" ht="15" hidden="false" customHeight="false" outlineLevel="0" collapsed="false">
      <c r="A113" s="16" t="s">
        <v>683</v>
      </c>
      <c r="B113" s="87" t="s">
        <v>684</v>
      </c>
      <c r="C113" s="17" t="s">
        <v>685</v>
      </c>
      <c r="D113" s="73" t="n">
        <f aca="false">IF(D75&gt;0,D63/D75,"N/M")</f>
        <v>0.468965517241379</v>
      </c>
      <c r="E113" s="73" t="n">
        <f aca="false">IF(E75&gt;0,E63/E75,"N/M")</f>
        <v>3.14778325123153</v>
      </c>
      <c r="F113" s="73" t="n">
        <f aca="false">IF(F75&gt;0,F63/F75,"N/M")</f>
        <v>35</v>
      </c>
      <c r="G113" s="73" t="n">
        <f aca="false">IF(G75&gt;0,G63/G75,"N/M")</f>
        <v>1.94015444015444</v>
      </c>
      <c r="H113" s="73" t="str">
        <f aca="false">IF(H75&gt;0,H63/H75,"N/M")</f>
        <v>N/M</v>
      </c>
      <c r="I113" s="73" t="n">
        <f aca="false">IF(I75&gt;0,I63/I75,"N/M")</f>
        <v>48.7307692307692</v>
      </c>
      <c r="J113" s="73" t="str">
        <f aca="false">IF(J75&gt;0,J63/J75,"N/M")</f>
        <v>N/M</v>
      </c>
      <c r="K113" s="60" t="n">
        <f aca="false">IF(COUNT(D113:J113)=0,"N/M",AVERAGE(D113:J113))</f>
        <v>17.8575344878793</v>
      </c>
      <c r="L113" s="60" t="str">
        <f aca="false">IF(COUNT(D113,J113)=2,J113-D113,"-")</f>
        <v>-</v>
      </c>
    </row>
    <row r="114" customFormat="false" ht="15" hidden="false" customHeight="false" outlineLevel="0" collapsed="false">
      <c r="A114" s="16" t="s">
        <v>686</v>
      </c>
      <c r="B114" s="87" t="s">
        <v>687</v>
      </c>
      <c r="C114" s="17" t="s">
        <v>688</v>
      </c>
      <c r="D114" s="73" t="n">
        <f aca="false">IF(D25+D76&gt;0,(D30+D25+D22)/(D25+D76),"N/M")</f>
        <v>2.59773371104816</v>
      </c>
      <c r="E114" s="73" t="n">
        <f aca="false">IF(E25+E76&gt;0,(E30+E25+E22)/(E25+E76),"N/M")</f>
        <v>1.76484560570071</v>
      </c>
      <c r="F114" s="73" t="n">
        <f aca="false">IF(F25+F76&gt;0,(F30+F25+F22)/(F25+F76),"N/M")</f>
        <v>3.74222222222222</v>
      </c>
      <c r="G114" s="73" t="n">
        <f aca="false">IF(G25+G76&gt;0,(G30+G25+G22)/(G25+G76),"N/M")</f>
        <v>4.51482479784367</v>
      </c>
      <c r="H114" s="73" t="n">
        <f aca="false">IF(H25+H76&gt;0,(H30+H25+H22)/(H25+H76),"N/M")</f>
        <v>5.17137096774194</v>
      </c>
      <c r="I114" s="73" t="n">
        <f aca="false">IF(I25+I76&gt;0,(I30+I25+I22)/(I25+I76),"N/M")</f>
        <v>1.15982721382289</v>
      </c>
      <c r="J114" s="73" t="n">
        <f aca="false">IF(J25+J76&gt;0,(J30+J25+J22)/(J25+J76),"N/M")</f>
        <v>2.06569343065693</v>
      </c>
      <c r="K114" s="60" t="n">
        <f aca="false">IF(COUNT(D114:J114)=0,"N/M",AVERAGE(D114:J114))</f>
        <v>3.00235970700522</v>
      </c>
      <c r="L114" s="60" t="n">
        <f aca="false">IF(COUNT(D114,J114)=2,J114-D114,"-")</f>
        <v>-0.532040280391225</v>
      </c>
    </row>
    <row r="115" customFormat="false" ht="16.5" hidden="false" customHeight="true" outlineLevel="0" collapsed="false">
      <c r="A115" s="88" t="s">
        <v>689</v>
      </c>
      <c r="B115" s="89"/>
      <c r="C115" s="89"/>
      <c r="D115" s="89"/>
      <c r="E115" s="89"/>
      <c r="F115" s="89"/>
      <c r="G115" s="89"/>
      <c r="H115" s="89"/>
      <c r="I115" s="89"/>
      <c r="J115" s="89"/>
      <c r="K115" s="89"/>
      <c r="L115" s="89"/>
    </row>
    <row r="116" customFormat="false" ht="15" hidden="false" customHeight="false" outlineLevel="0" collapsed="false">
      <c r="A116" s="16" t="s">
        <v>690</v>
      </c>
      <c r="B116" s="87" t="s">
        <v>691</v>
      </c>
      <c r="C116" s="17" t="s">
        <v>692</v>
      </c>
      <c r="D116" s="73" t="n">
        <f aca="false">IF(D51&gt;0,D13/D51,"N/M")</f>
        <v>22.1936339522546</v>
      </c>
      <c r="E116" s="73" t="n">
        <f aca="false">IF(E51&gt;0,E13/E51,"N/M")</f>
        <v>16.7732558139535</v>
      </c>
      <c r="F116" s="73" t="n">
        <f aca="false">IF(F51&gt;0,F13/F51,"N/M")</f>
        <v>21.3968531468532</v>
      </c>
      <c r="G116" s="73" t="n">
        <f aca="false">IF(G51&gt;0,G13/G51,"N/M")</f>
        <v>586.92</v>
      </c>
      <c r="H116" s="73" t="n">
        <f aca="false">IF(H51&gt;0,H13/H51,"N/M")</f>
        <v>801.692307692308</v>
      </c>
      <c r="I116" s="73" t="n">
        <f aca="false">IF(I51&gt;0,I13/I51,"N/M")</f>
        <v>601.161290322581</v>
      </c>
      <c r="J116" s="73" t="n">
        <f aca="false">IF(J51&gt;0,J13/J51,"N/M")</f>
        <v>4014.4</v>
      </c>
      <c r="K116" s="60" t="n">
        <f aca="false">IF(COUNT(D116:J116)=0,"N/M",AVERAGE(D116:J116))</f>
        <v>866.362477275421</v>
      </c>
      <c r="L116" s="60" t="n">
        <f aca="false">IF(COUNT(D116,J116)=2,J116-D116,"-")</f>
        <v>3992.20636604775</v>
      </c>
    </row>
    <row r="117" customFormat="false" ht="15" hidden="false" customHeight="false" outlineLevel="0" collapsed="false">
      <c r="A117" s="16" t="s">
        <v>693</v>
      </c>
      <c r="B117" s="87" t="s">
        <v>694</v>
      </c>
      <c r="C117" s="17" t="s">
        <v>653</v>
      </c>
      <c r="D117" s="74" t="n">
        <f aca="false">IF(D13&gt;0,D51/D13*Setup!$C$8,"N/M")</f>
        <v>16.4461575236046</v>
      </c>
      <c r="E117" s="74" t="n">
        <f aca="false">IF(E13&gt;0,E51/E13*Setup!$C$8,"N/M")</f>
        <v>21.7608318890815</v>
      </c>
      <c r="F117" s="74" t="n">
        <f aca="false">IF(F13&gt;0,F51/F13*Setup!$C$8,"N/M")</f>
        <v>17.0585832175831</v>
      </c>
      <c r="G117" s="74" t="n">
        <f aca="false">IF(G13&gt;0,G51/G13*Setup!$C$8,"N/M")</f>
        <v>0.621890547263682</v>
      </c>
      <c r="H117" s="74" t="n">
        <f aca="false">IF(H13&gt;0,H51/H13*Setup!$C$8,"N/M")</f>
        <v>0.455286893110727</v>
      </c>
      <c r="I117" s="74" t="n">
        <f aca="false">IF(I13&gt;0,I51/I13*Setup!$C$8,"N/M")</f>
        <v>0.607158188452458</v>
      </c>
      <c r="J117" s="74" t="n">
        <f aca="false">IF(J13&gt;0,J51/J13*Setup!$C$8,"N/M")</f>
        <v>0.0909226783579115</v>
      </c>
      <c r="K117" s="58" t="n">
        <f aca="false">IF(COUNT(D117:J117)=0,"N/M",AVERAGE(D117:J117))</f>
        <v>8.148690133922</v>
      </c>
      <c r="L117" s="58" t="n">
        <f aca="false">IF(COUNT(D117,J117)=2,J117-D117,"-")</f>
        <v>-16.3552348452467</v>
      </c>
    </row>
    <row r="118" customFormat="false" ht="15" hidden="false" customHeight="false" outlineLevel="0" collapsed="false">
      <c r="A118" s="16" t="s">
        <v>695</v>
      </c>
      <c r="B118" s="87" t="s">
        <v>696</v>
      </c>
      <c r="C118" s="17" t="s">
        <v>692</v>
      </c>
      <c r="D118" s="73" t="n">
        <f aca="false">IF(D50&gt;0,D7/D50,"N/M")</f>
        <v>4.07709414381023</v>
      </c>
      <c r="E118" s="73" t="n">
        <f aca="false">IF(E50&gt;0,E7/E50,"N/M")</f>
        <v>2.96927297668038</v>
      </c>
      <c r="F118" s="73" t="n">
        <f aca="false">IF(F50&gt;0,F7/F50,"N/M")</f>
        <v>3.66636811464398</v>
      </c>
      <c r="G118" s="73" t="n">
        <f aca="false">IF(G50&gt;0,G7/G50,"N/M")</f>
        <v>3.36352155872271</v>
      </c>
      <c r="H118" s="73" t="n">
        <f aca="false">IF(H50&gt;0,H7/H50,"N/M")</f>
        <v>3.86097410604192</v>
      </c>
      <c r="I118" s="73" t="n">
        <f aca="false">IF(I50&gt;0,I7/I50,"N/M")</f>
        <v>3.60301096383571</v>
      </c>
      <c r="J118" s="73" t="n">
        <f aca="false">IF(J50&gt;0,J7/J50,"N/M")</f>
        <v>3.14905913978495</v>
      </c>
      <c r="K118" s="60" t="n">
        <f aca="false">IF(COUNT(D118:J118)=0,"N/M",AVERAGE(D118:J118))</f>
        <v>3.52704300050284</v>
      </c>
      <c r="L118" s="60" t="n">
        <f aca="false">IF(COUNT(D118,J118)=2,J118-D118,"-")</f>
        <v>-0.928035004025285</v>
      </c>
    </row>
    <row r="119" customFormat="false" ht="15" hidden="false" customHeight="false" outlineLevel="0" collapsed="false">
      <c r="A119" s="16" t="s">
        <v>697</v>
      </c>
      <c r="B119" s="87" t="s">
        <v>698</v>
      </c>
      <c r="C119" s="17" t="s">
        <v>653</v>
      </c>
      <c r="D119" s="74" t="n">
        <f aca="false">IF(D7&gt;0,D50/D7*Setup!$C$8,"N/M")</f>
        <v>89.5245454545455</v>
      </c>
      <c r="E119" s="74" t="n">
        <f aca="false">IF(E7&gt;0,E50/E7*Setup!$C$8,"N/M")</f>
        <v>122.925713757738</v>
      </c>
      <c r="F119" s="74" t="n">
        <f aca="false">IF(F7&gt;0,F50/F7*Setup!$C$8,"N/M")</f>
        <v>99.55356052278</v>
      </c>
      <c r="G119" s="74" t="n">
        <f aca="false">IF(G7&gt;0,G50/G7*Setup!$C$8,"N/M")</f>
        <v>108.517217335336</v>
      </c>
      <c r="H119" s="74" t="n">
        <f aca="false">IF(H7&gt;0,H50/H7*Setup!$C$8,"N/M")</f>
        <v>94.5357285429142</v>
      </c>
      <c r="I119" s="74" t="n">
        <f aca="false">IF(I7&gt;0,I50/I7*Setup!$C$8,"N/M")</f>
        <v>101.304160232537</v>
      </c>
      <c r="J119" s="74" t="n">
        <f aca="false">IF(J7&gt;0,J50/J7*Setup!$C$8,"N/M")</f>
        <v>115.90763583593</v>
      </c>
      <c r="K119" s="58" t="n">
        <f aca="false">IF(COUNT(D119:J119)=0,"N/M",AVERAGE(D119:J119))</f>
        <v>104.609794525969</v>
      </c>
      <c r="L119" s="58" t="n">
        <f aca="false">IF(COUNT(D119,J119)=2,J119-D119,"-")</f>
        <v>26.3830903813844</v>
      </c>
    </row>
    <row r="120" customFormat="false" ht="15" hidden="false" customHeight="false" outlineLevel="0" collapsed="false">
      <c r="A120" s="16" t="s">
        <v>699</v>
      </c>
      <c r="B120" s="87" t="s">
        <v>700</v>
      </c>
      <c r="C120" s="17" t="s">
        <v>692</v>
      </c>
      <c r="D120" s="73" t="n">
        <f aca="false">IF(D42&gt;0,D13/D42,"N/M")</f>
        <v>9.76312718786464</v>
      </c>
      <c r="E120" s="73" t="n">
        <f aca="false">IF(E42&gt;0,E13/E42,"N/M")</f>
        <v>8.37040618955513</v>
      </c>
      <c r="F120" s="73" t="n">
        <f aca="false">IF(F42&gt;0,F13/F42,"N/M")</f>
        <v>9.70578905630452</v>
      </c>
      <c r="G120" s="73" t="n">
        <f aca="false">IF(G42&gt;0,G13/G42,"N/M")</f>
        <v>8.20637583892618</v>
      </c>
      <c r="H120" s="73" t="n">
        <f aca="false">IF(H42&gt;0,H13/H42,"N/M")</f>
        <v>11.7829282080271</v>
      </c>
      <c r="I120" s="73" t="n">
        <f aca="false">IF(I42&gt;0,I13/I42,"N/M")</f>
        <v>11.1927927927928</v>
      </c>
      <c r="J120" s="73" t="n">
        <f aca="false">IF(J42&gt;0,J13/J42,"N/M")</f>
        <v>10.3784901758014</v>
      </c>
      <c r="K120" s="60" t="n">
        <f aca="false">IF(COUNT(D120:J120)=0,"N/M",AVERAGE(D120:J120))</f>
        <v>9.91427277846741</v>
      </c>
      <c r="L120" s="60" t="n">
        <f aca="false">IF(COUNT(D120,J120)=2,J120-D120,"-")</f>
        <v>0.615362987936804</v>
      </c>
    </row>
    <row r="121" customFormat="false" ht="15" hidden="false" customHeight="false" outlineLevel="0" collapsed="false">
      <c r="A121" s="16" t="s">
        <v>701</v>
      </c>
      <c r="B121" s="87" t="s">
        <v>702</v>
      </c>
      <c r="C121" s="17" t="s">
        <v>653</v>
      </c>
      <c r="D121" s="74" t="n">
        <f aca="false">IF(D13&gt;0,D42/D13*Setup!$C$8,"N/M")</f>
        <v>37.3855623281941</v>
      </c>
      <c r="E121" s="74" t="n">
        <f aca="false">IF(E13&gt;0,E42/E13*Setup!$C$8,"N/M")</f>
        <v>43.6060080878105</v>
      </c>
      <c r="F121" s="74" t="n">
        <f aca="false">IF(F13&gt;0,F42/F13*Setup!$C$8,"N/M")</f>
        <v>37.6064220933083</v>
      </c>
      <c r="G121" s="74" t="n">
        <f aca="false">IF(G13&gt;0,G42/G13*Setup!$C$8,"N/M")</f>
        <v>44.4776119402985</v>
      </c>
      <c r="H121" s="74" t="n">
        <f aca="false">IF(H13&gt;0,H42/H13*Setup!$C$8,"N/M")</f>
        <v>30.9770197658799</v>
      </c>
      <c r="I121" s="74" t="n">
        <f aca="false">IF(I13&gt;0,I42/I13*Setup!$C$8,"N/M")</f>
        <v>32.6102704443014</v>
      </c>
      <c r="J121" s="74" t="n">
        <f aca="false">IF(J13&gt;0,J42/J13*Setup!$C$8,"N/M")</f>
        <v>35.1688919888402</v>
      </c>
      <c r="K121" s="58" t="n">
        <f aca="false">IF(COUNT(D121:J121)=0,"N/M",AVERAGE(D121:J121))</f>
        <v>37.4045409498047</v>
      </c>
      <c r="L121" s="58" t="n">
        <f aca="false">IF(COUNT(D121,J121)=2,J121-D121,"-")</f>
        <v>-2.21667033935392</v>
      </c>
    </row>
    <row r="122" customFormat="false" ht="15" hidden="false" customHeight="false" outlineLevel="0" collapsed="false">
      <c r="A122" s="16" t="s">
        <v>703</v>
      </c>
      <c r="B122" s="87" t="s">
        <v>704</v>
      </c>
      <c r="C122" s="17" t="s">
        <v>653</v>
      </c>
      <c r="D122" s="74" t="n">
        <f aca="false">IF(COUNT(D117,D119,D121)=3,D117+D119-D121,"N/M")</f>
        <v>68.585140649956</v>
      </c>
      <c r="E122" s="74" t="n">
        <f aca="false">IF(COUNT(E117,E119,E121)=3,E117+E119-E121,"N/M")</f>
        <v>101.080537559009</v>
      </c>
      <c r="F122" s="74" t="n">
        <f aca="false">IF(COUNT(F117,F119,F121)=3,F117+F119-F121,"N/M")</f>
        <v>79.0057216470549</v>
      </c>
      <c r="G122" s="74" t="n">
        <f aca="false">IF(COUNT(G117,G119,G121)=3,G117+G119-G121,"N/M")</f>
        <v>64.661495942301</v>
      </c>
      <c r="H122" s="74" t="n">
        <f aca="false">IF(COUNT(H117,H119,H121)=3,H117+H119-H121,"N/M")</f>
        <v>64.013995670145</v>
      </c>
      <c r="I122" s="74" t="n">
        <f aca="false">IF(COUNT(I117,I119,I121)=3,I117+I119-I121,"N/M")</f>
        <v>69.3010479766881</v>
      </c>
      <c r="J122" s="74" t="n">
        <f aca="false">IF(COUNT(J117,J119,J121)=3,J117+J119-J121,"N/M")</f>
        <v>80.8296665254476</v>
      </c>
      <c r="K122" s="58" t="n">
        <f aca="false">IF(COUNT(D122:J122)=0,"N/M",AVERAGE(D122:J122))</f>
        <v>75.3539437100859</v>
      </c>
      <c r="L122" s="58" t="n">
        <f aca="false">IF(COUNT(D122,J122)=2,J122-D122,"-")</f>
        <v>12.2445258754916</v>
      </c>
    </row>
    <row r="123" customFormat="false" ht="15" hidden="false" customHeight="false" outlineLevel="0" collapsed="false">
      <c r="A123" s="16" t="s">
        <v>705</v>
      </c>
      <c r="B123" s="87" t="s">
        <v>706</v>
      </c>
      <c r="C123" s="17" t="s">
        <v>692</v>
      </c>
      <c r="D123" s="73" t="n">
        <f aca="false">IF(D45&gt;0,D7/D45,"N/M")</f>
        <v>4.14000752728641</v>
      </c>
      <c r="E123" s="73" t="n">
        <f aca="false">IF(E45&gt;0,E7/E45,"N/M")</f>
        <v>4.38000809388911</v>
      </c>
      <c r="F123" s="73" t="n">
        <f aca="false">IF(F45&gt;0,F7/F45,"N/M")</f>
        <v>8.03434739941119</v>
      </c>
      <c r="G123" s="73" t="n">
        <f aca="false">IF(G45&gt;0,G7/G45,"N/M")</f>
        <v>9.24801587301587</v>
      </c>
      <c r="H123" s="73" t="n">
        <f aca="false">IF(H45&gt;0,H7/H45,"N/M")</f>
        <v>7.54063816977724</v>
      </c>
      <c r="I123" s="73" t="n">
        <f aca="false">IF(I45&gt;0,I7/I45,"N/M")</f>
        <v>7.62396121883657</v>
      </c>
      <c r="J123" s="73" t="n">
        <f aca="false">IF(J45&gt;0,J7/J45,"N/M")</f>
        <v>9.39414595028067</v>
      </c>
      <c r="K123" s="60" t="n">
        <f aca="false">IF(COUNT(D123:J123)=0,"N/M",AVERAGE(D123:J123))</f>
        <v>7.19444631892815</v>
      </c>
      <c r="L123" s="60" t="n">
        <f aca="false">IF(COUNT(D123,J123)=2,J123-D123,"-")</f>
        <v>5.25413842299426</v>
      </c>
    </row>
    <row r="124" customFormat="false" ht="15" hidden="false" customHeight="false" outlineLevel="0" collapsed="false">
      <c r="A124" s="16" t="s">
        <v>707</v>
      </c>
      <c r="B124" s="87" t="s">
        <v>708</v>
      </c>
      <c r="C124" s="17" t="s">
        <v>692</v>
      </c>
      <c r="D124" s="73" t="n">
        <f aca="false">IF(D49&gt;0,D7/D49,"N/M")</f>
        <v>1.38626339004411</v>
      </c>
      <c r="E124" s="73" t="n">
        <f aca="false">IF(E49&gt;0,E7/E49,"N/M")</f>
        <v>1.32020004879239</v>
      </c>
      <c r="F124" s="73" t="n">
        <f aca="false">IF(F49&gt;0,F7/F49,"N/M")</f>
        <v>1.82765933697957</v>
      </c>
      <c r="G124" s="73" t="n">
        <f aca="false">IF(G49&gt;0,G7/G49,"N/M")</f>
        <v>1.78138734951271</v>
      </c>
      <c r="H124" s="73" t="n">
        <f aca="false">IF(H49&gt;0,H7/H49,"N/M")</f>
        <v>2.08056478405316</v>
      </c>
      <c r="I124" s="73" t="n">
        <f aca="false">IF(I49&gt;0,I7/I49,"N/M")</f>
        <v>1.91477519784329</v>
      </c>
      <c r="J124" s="73" t="n">
        <f aca="false">IF(J49&gt;0,J7/J49,"N/M")</f>
        <v>1.96025769745649</v>
      </c>
      <c r="K124" s="60" t="n">
        <f aca="false">IF(COUNT(D124:J124)=0,"N/M",AVERAGE(D124:J124))</f>
        <v>1.75301540066882</v>
      </c>
      <c r="L124" s="60" t="n">
        <f aca="false">IF(COUNT(D124,J124)=2,J124-D124,"-")</f>
        <v>0.573994307412384</v>
      </c>
    </row>
    <row r="125" customFormat="false" ht="15" hidden="false" customHeight="false" outlineLevel="0" collapsed="false">
      <c r="A125" s="16" t="s">
        <v>709</v>
      </c>
      <c r="B125" s="87" t="s">
        <v>710</v>
      </c>
      <c r="C125" s="17" t="s">
        <v>692</v>
      </c>
      <c r="D125" s="73" t="n">
        <f aca="false">IF(D90&gt;0,D7/D90,"N/M")</f>
        <v>1.55411133088443</v>
      </c>
      <c r="E125" s="73" t="n">
        <f aca="false">IF(E90&gt;0,E7/E90,"N/M")</f>
        <v>1.5107481853713</v>
      </c>
      <c r="F125" s="73" t="n">
        <f aca="false">IF(F90&gt;0,F7/F90,"N/M")</f>
        <v>2.12704598597038</v>
      </c>
      <c r="G125" s="73" t="n">
        <f aca="false">IF(G90&gt;0,G7/G90,"N/M")</f>
        <v>2.14842129522932</v>
      </c>
      <c r="H125" s="73" t="n">
        <f aca="false">IF(H90&gt;0,H7/H90,"N/M")</f>
        <v>2.43890565670334</v>
      </c>
      <c r="I125" s="73" t="n">
        <f aca="false">IF(I90&gt;0,I7/I90,"N/M")</f>
        <v>2.2389668497051</v>
      </c>
      <c r="J125" s="73" t="n">
        <f aca="false">IF(J90&gt;0,J7/J90,"N/M")</f>
        <v>2.33869035735676</v>
      </c>
      <c r="K125" s="60" t="n">
        <f aca="false">IF(COUNT(D125:J125)=0,"N/M",AVERAGE(D125:J125))</f>
        <v>2.05098423731723</v>
      </c>
      <c r="L125" s="60" t="n">
        <f aca="false">IF(COUNT(D125,J125)=2,J125-D125,"-")</f>
        <v>0.784579026472327</v>
      </c>
    </row>
    <row r="126" customFormat="false" ht="15" hidden="false" customHeight="false" outlineLevel="0" collapsed="false">
      <c r="A126" s="16" t="s">
        <v>711</v>
      </c>
      <c r="B126" s="87" t="s">
        <v>712</v>
      </c>
      <c r="C126" s="17" t="s">
        <v>692</v>
      </c>
      <c r="D126" s="73" t="n">
        <f aca="false">IF(D87&gt;0,D7/D87,"N/M")</f>
        <v>2.09923664122137</v>
      </c>
      <c r="E126" s="73" t="n">
        <f aca="false">IF(E87&gt;0,E7/E87,"N/M")</f>
        <v>1.91320487891108</v>
      </c>
      <c r="F126" s="73" t="n">
        <f aca="false">IF(F87&gt;0,F7/F87,"N/M")</f>
        <v>2.37441995359629</v>
      </c>
      <c r="G126" s="73" t="n">
        <f aca="false">IF(G87&gt;0,G7/G87,"N/M")</f>
        <v>2.52014057853474</v>
      </c>
      <c r="H126" s="73" t="n">
        <f aca="false">IF(H87&gt;0,H7/H87,"N/M")</f>
        <v>2.96099290780142</v>
      </c>
      <c r="I126" s="73" t="n">
        <f aca="false">IF(I87&gt;0,I7/I87,"N/M")</f>
        <v>2.67858880778589</v>
      </c>
      <c r="J126" s="73" t="n">
        <f aca="false">IF(J87&gt;0,J7/J87,"N/M")</f>
        <v>2.53862823707877</v>
      </c>
      <c r="K126" s="60" t="n">
        <f aca="false">IF(COUNT(D126:J126)=0,"N/M",AVERAGE(D126:J126))</f>
        <v>2.44074457213279</v>
      </c>
      <c r="L126" s="60" t="n">
        <f aca="false">IF(COUNT(D126,J126)=2,J126-D126,"-")</f>
        <v>0.439391595857399</v>
      </c>
    </row>
    <row r="127" customFormat="false" ht="15" hidden="false" customHeight="false" outlineLevel="0" collapsed="false">
      <c r="A127" s="16" t="s">
        <v>713</v>
      </c>
      <c r="B127" s="87" t="s">
        <v>714</v>
      </c>
      <c r="C127" s="17" t="s">
        <v>692</v>
      </c>
      <c r="D127" s="73" t="n">
        <f aca="false">IF(D94&gt;0,D7/D94,"N/M")</f>
        <v>2.50969655487109</v>
      </c>
      <c r="E127" s="73" t="n">
        <f aca="false">IF(E94&gt;0,E7/E94,"N/M")</f>
        <v>2.34112048453385</v>
      </c>
      <c r="F127" s="73" t="n">
        <f aca="false">IF(F94&gt;0,F7/F94,"N/M")</f>
        <v>2.90576752440107</v>
      </c>
      <c r="G127" s="73" t="n">
        <f aca="false">IF(G94&gt;0,G7/G94,"N/M")</f>
        <v>3.32335115864528</v>
      </c>
      <c r="H127" s="73" t="n">
        <f aca="false">IF(H94&gt;0,H7/H94,"N/M")</f>
        <v>3.74383500224182</v>
      </c>
      <c r="I127" s="73" t="n">
        <f aca="false">IF(I94&gt;0,I7/I94,"N/M")</f>
        <v>3.35896262395118</v>
      </c>
      <c r="J127" s="73" t="n">
        <f aca="false">IF(J94&gt;0,J7/J94,"N/M")</f>
        <v>3.21165181631254</v>
      </c>
      <c r="K127" s="60" t="n">
        <f aca="false">IF(COUNT(D127:J127)=0,"N/M",AVERAGE(D127:J127))</f>
        <v>3.05634073785098</v>
      </c>
      <c r="L127" s="60" t="n">
        <f aca="false">IF(COUNT(D127,J127)=2,J127-D127,"-")</f>
        <v>0.70195526144145</v>
      </c>
    </row>
    <row r="128" customFormat="false" ht="16.5" hidden="false" customHeight="true" outlineLevel="0" collapsed="false">
      <c r="A128" s="88" t="s">
        <v>715</v>
      </c>
      <c r="B128" s="89"/>
      <c r="C128" s="89"/>
      <c r="D128" s="89"/>
      <c r="E128" s="89"/>
      <c r="F128" s="89"/>
      <c r="G128" s="89"/>
      <c r="H128" s="89"/>
      <c r="I128" s="89"/>
      <c r="J128" s="89"/>
      <c r="K128" s="89"/>
      <c r="L128" s="89"/>
    </row>
    <row r="129" customFormat="false" ht="15" hidden="false" customHeight="false" outlineLevel="0" collapsed="false">
      <c r="A129" s="16" t="s">
        <v>716</v>
      </c>
      <c r="B129" s="87" t="s">
        <v>717</v>
      </c>
      <c r="C129" s="17" t="s">
        <v>615</v>
      </c>
      <c r="D129" s="71" t="n">
        <f aca="false">IF(D7&gt;0,D14/D7,"N/M")</f>
        <v>0.239363636363636</v>
      </c>
      <c r="E129" s="71" t="n">
        <f aca="false">IF(E7&gt;0,E14/E7,"N/M")</f>
        <v>0.20031414580061</v>
      </c>
      <c r="F129" s="71" t="n">
        <f aca="false">IF(F7&gt;0,F14/F7,"N/M")</f>
        <v>0.252534505924026</v>
      </c>
      <c r="G129" s="71" t="n">
        <f aca="false">IF(G7&gt;0,G14/G7,"N/M")</f>
        <v>0.212990774511907</v>
      </c>
      <c r="H129" s="71" t="n">
        <f aca="false">IF(H7&gt;0,H14/H7,"N/M")</f>
        <v>0.167904191616766</v>
      </c>
      <c r="I129" s="71" t="n">
        <f aca="false">IF(I7&gt;0,I14/I7,"N/M")</f>
        <v>0.153601598691979</v>
      </c>
      <c r="J129" s="71" t="n">
        <f aca="false">IF(J7&gt;0,J14/J7,"N/M")</f>
        <v>0.143283964317726</v>
      </c>
      <c r="K129" s="62" t="n">
        <f aca="false">IF(COUNT(D129:J129)=0,"N/M",AVERAGE(D129:J129))</f>
        <v>0.195713259603807</v>
      </c>
      <c r="L129" s="62" t="n">
        <f aca="false">IF(COUNT(D129,J129)=2,J129-D129,"-")</f>
        <v>-0.0960796720459105</v>
      </c>
    </row>
    <row r="130" customFormat="false" ht="15" hidden="false" customHeight="false" outlineLevel="0" collapsed="false">
      <c r="A130" s="16" t="s">
        <v>718</v>
      </c>
      <c r="B130" s="87" t="s">
        <v>719</v>
      </c>
      <c r="C130" s="17" t="s">
        <v>615</v>
      </c>
      <c r="D130" s="71" t="n">
        <f aca="false">IF(D7&gt;0,D21/D7,"N/M")</f>
        <v>0.0822727272727273</v>
      </c>
      <c r="E130" s="71" t="n">
        <f aca="false">IF(E7&gt;0,E21/E7,"N/M")</f>
        <v>0.0656934306569343</v>
      </c>
      <c r="F130" s="71" t="n">
        <f aca="false">IF(F7&gt;0,F21/F7,"N/M")</f>
        <v>0.102052033711982</v>
      </c>
      <c r="G130" s="71" t="n">
        <f aca="false">IF(G7&gt;0,G21/G7,"N/M")</f>
        <v>0.10528856468569</v>
      </c>
      <c r="H130" s="71" t="n">
        <f aca="false">IF(H7&gt;0,H21/H7,"N/M")</f>
        <v>0.0753692614770459</v>
      </c>
      <c r="I130" s="71" t="n">
        <f aca="false">IF(I7&gt;0,I21/I7,"N/M")</f>
        <v>0.0409664819692979</v>
      </c>
      <c r="J130" s="71" t="n">
        <f aca="false">IF(J7&gt;0,J21/J7,"N/M")</f>
        <v>0.0330786631951855</v>
      </c>
      <c r="K130" s="62" t="n">
        <f aca="false">IF(COUNT(D130:J130)=0,"N/M",AVERAGE(D130:J130))</f>
        <v>0.0721030232812661</v>
      </c>
      <c r="L130" s="62" t="n">
        <f aca="false">IF(COUNT(D130,J130)=2,J130-D130,"-")</f>
        <v>-0.0491940640775418</v>
      </c>
    </row>
    <row r="131" customFormat="false" ht="15" hidden="false" customHeight="false" outlineLevel="0" collapsed="false">
      <c r="A131" s="16" t="s">
        <v>720</v>
      </c>
      <c r="B131" s="87" t="s">
        <v>721</v>
      </c>
      <c r="C131" s="17" t="s">
        <v>615</v>
      </c>
      <c r="D131" s="71" t="n">
        <f aca="false">IF(D7&gt;0,D23/D7,"N/M")</f>
        <v>0.0443636363636363</v>
      </c>
      <c r="E131" s="71" t="n">
        <f aca="false">IF(E7&gt;0,E23/E7,"N/M")</f>
        <v>0.0258708306384551</v>
      </c>
      <c r="F131" s="71" t="n">
        <f aca="false">IF(F7&gt;0,F23/F7,"N/M")</f>
        <v>0.0784780749969463</v>
      </c>
      <c r="G131" s="71" t="n">
        <f aca="false">IF(G7&gt;0,G23/G7,"N/M")</f>
        <v>0.0872666809697488</v>
      </c>
      <c r="H131" s="71" t="n">
        <f aca="false">IF(H7&gt;0,H23/H7,"N/M")</f>
        <v>0.0577644710578842</v>
      </c>
      <c r="I131" s="71" t="n">
        <f aca="false">IF(I7&gt;0,I23/I7,"N/M")</f>
        <v>0.0190298846398402</v>
      </c>
      <c r="J131" s="71" t="n">
        <f aca="false">IF(J7&gt;0,J23/J7,"N/M")</f>
        <v>0.0160058047718639</v>
      </c>
      <c r="K131" s="62" t="n">
        <f aca="false">IF(COUNT(D131:J131)=0,"N/M",AVERAGE(D131:J131))</f>
        <v>0.0469684833483393</v>
      </c>
      <c r="L131" s="62" t="n">
        <f aca="false">IF(COUNT(D131,J131)=2,J131-D131,"-")</f>
        <v>-0.0283578315917724</v>
      </c>
    </row>
    <row r="132" customFormat="false" ht="15" hidden="false" customHeight="false" outlineLevel="0" collapsed="false">
      <c r="A132" s="16" t="s">
        <v>722</v>
      </c>
      <c r="B132" s="87" t="s">
        <v>723</v>
      </c>
      <c r="C132" s="17" t="s">
        <v>615</v>
      </c>
      <c r="D132" s="71" t="n">
        <f aca="false">IF(D7&gt;0,D26/D7,"N/M")</f>
        <v>0.02</v>
      </c>
      <c r="E132" s="71" t="n">
        <f aca="false">IF(E7&gt;0,E26/E7,"N/M")</f>
        <v>-0.00886999907604176</v>
      </c>
      <c r="F132" s="71" t="n">
        <f aca="false">IF(F7&gt;0,F26/F7,"N/M")</f>
        <v>0.0720654696470012</v>
      </c>
      <c r="G132" s="71" t="n">
        <f aca="false">IF(G7&gt;0,G26/G7,"N/M")</f>
        <v>0.0717120789530142</v>
      </c>
      <c r="H132" s="71" t="n">
        <f aca="false">IF(H7&gt;0,H26/H7,"N/M")</f>
        <v>0.0855489021956088</v>
      </c>
      <c r="I132" s="71" t="n">
        <f aca="false">IF(I7&gt;0,I26/I7,"N/M")</f>
        <v>0.0103551639567627</v>
      </c>
      <c r="J132" s="71" t="n">
        <f aca="false">IF(J7&gt;0,J26/J7,"N/M")</f>
        <v>0.0151948439967562</v>
      </c>
      <c r="K132" s="62" t="n">
        <f aca="false">IF(COUNT(D132:J132)=0,"N/M",AVERAGE(D132:J132))</f>
        <v>0.038000922810443</v>
      </c>
      <c r="L132" s="62" t="n">
        <f aca="false">IF(COUNT(D132,J132)=2,J132-D132,"-")</f>
        <v>-0.00480515600324381</v>
      </c>
    </row>
    <row r="133" customFormat="false" ht="15" hidden="false" customHeight="false" outlineLevel="0" collapsed="false">
      <c r="A133" s="16" t="s">
        <v>724</v>
      </c>
      <c r="B133" s="87" t="s">
        <v>725</v>
      </c>
      <c r="C133" s="17" t="s">
        <v>615</v>
      </c>
      <c r="D133" s="71" t="n">
        <f aca="false">IF(D7&gt;0,D30/D7,"N/M")</f>
        <v>0.0133636363636364</v>
      </c>
      <c r="E133" s="71" t="n">
        <f aca="false">IF(E7&gt;0,E30/E7,"N/M")</f>
        <v>-0.0100711447842558</v>
      </c>
      <c r="F133" s="71" t="n">
        <f aca="false">IF(F7&gt;0,F30/F7,"N/M")</f>
        <v>0.054049102235251</v>
      </c>
      <c r="G133" s="71" t="n">
        <f aca="false">IF(G7&gt;0,G30/G7,"N/M")</f>
        <v>0.0519201888006865</v>
      </c>
      <c r="H133" s="71" t="n">
        <f aca="false">IF(H7&gt;0,H30/H7,"N/M")</f>
        <v>0.0649900199600799</v>
      </c>
      <c r="I133" s="71" t="n">
        <f aca="false">IF(I7&gt;0,I30/I7,"N/M")</f>
        <v>0.00694886002361704</v>
      </c>
      <c r="J133" s="71" t="n">
        <f aca="false">IF(J7&gt;0,J30/J7,"N/M")</f>
        <v>0.013487558154424</v>
      </c>
      <c r="K133" s="62" t="n">
        <f aca="false">IF(COUNT(D133:J133)=0,"N/M",AVERAGE(D133:J133))</f>
        <v>0.027812602964777</v>
      </c>
      <c r="L133" s="62" t="n">
        <f aca="false">IF(COUNT(D133,J133)=2,J133-D133,"-")</f>
        <v>0.000123921790787641</v>
      </c>
    </row>
    <row r="134" customFormat="false" ht="16.5" hidden="false" customHeight="true" outlineLevel="0" collapsed="false">
      <c r="A134" s="88" t="s">
        <v>726</v>
      </c>
      <c r="B134" s="89"/>
      <c r="C134" s="89"/>
      <c r="D134" s="89"/>
      <c r="E134" s="89"/>
      <c r="F134" s="89"/>
      <c r="G134" s="89"/>
      <c r="H134" s="89"/>
      <c r="I134" s="89"/>
      <c r="J134" s="89"/>
      <c r="K134" s="89"/>
      <c r="L134" s="89"/>
    </row>
    <row r="135" customFormat="false" ht="15" hidden="false" customHeight="false" outlineLevel="0" collapsed="false">
      <c r="A135" s="16" t="s">
        <v>727</v>
      </c>
      <c r="B135" s="87" t="s">
        <v>728</v>
      </c>
      <c r="C135" s="17" t="s">
        <v>615</v>
      </c>
      <c r="D135" s="71" t="n">
        <f aca="false">IF(D7&gt;0,D13/D7,"N/M")</f>
        <v>0.760636363636364</v>
      </c>
      <c r="E135" s="71" t="n">
        <f aca="false">IF(E7&gt;0,E13/E7,"N/M")</f>
        <v>0.79968585419939</v>
      </c>
      <c r="F135" s="71" t="n">
        <f aca="false">IF(F7&gt;0,F13/F7,"N/M")</f>
        <v>0.747465494075974</v>
      </c>
      <c r="G135" s="71" t="n">
        <f aca="false">IF(G7&gt;0,G13/G7,"N/M")</f>
        <v>0.787009225488093</v>
      </c>
      <c r="H135" s="71" t="n">
        <f aca="false">IF(H7&gt;0,H13/H7,"N/M")</f>
        <v>0.832095808383234</v>
      </c>
      <c r="I135" s="71" t="n">
        <f aca="false">IF(I7&gt;0,I13/I7,"N/M")</f>
        <v>0.846398401308021</v>
      </c>
      <c r="J135" s="71" t="n">
        <f aca="false">IF(J7&gt;0,J13/J7,"N/M")</f>
        <v>0.856716035682274</v>
      </c>
      <c r="K135" s="62" t="n">
        <f aca="false">IF(COUNT(D135:J135)=0,"N/M",AVERAGE(D135:J135))</f>
        <v>0.804286740396193</v>
      </c>
      <c r="L135" s="62" t="n">
        <f aca="false">IF(COUNT(D135,J135)=2,J135-D135,"-")</f>
        <v>0.0960796720459105</v>
      </c>
    </row>
    <row r="136" customFormat="false" ht="15" hidden="false" customHeight="false" outlineLevel="0" collapsed="false">
      <c r="A136" s="16" t="s">
        <v>729</v>
      </c>
      <c r="B136" s="87" t="s">
        <v>730</v>
      </c>
      <c r="C136" s="17" t="s">
        <v>615</v>
      </c>
      <c r="D136" s="71" t="n">
        <f aca="false">IF(D7&gt;0,D19/D7,"N/M")</f>
        <v>0.157090909090909</v>
      </c>
      <c r="E136" s="71" t="n">
        <f aca="false">IF(E7&gt;0,E19/E7,"N/M")</f>
        <v>0.134620715143676</v>
      </c>
      <c r="F136" s="71" t="n">
        <f aca="false">IF(F7&gt;0,F19/F7,"N/M")</f>
        <v>0.150482472212043</v>
      </c>
      <c r="G136" s="71" t="n">
        <f aca="false">IF(G7&gt;0,G19/G7,"N/M")</f>
        <v>0.107702209826218</v>
      </c>
      <c r="H136" s="71" t="n">
        <f aca="false">IF(H7&gt;0,H19/H7,"N/M")</f>
        <v>0.0925349301397206</v>
      </c>
      <c r="I136" s="71" t="n">
        <f aca="false">IF(I7&gt;0,I19/I7,"N/M")</f>
        <v>0.112635116722681</v>
      </c>
      <c r="J136" s="71" t="n">
        <f aca="false">IF(J7&gt;0,J19/J7,"N/M")</f>
        <v>0.11020530112254</v>
      </c>
      <c r="K136" s="62" t="n">
        <f aca="false">IF(COUNT(D136:J136)=0,"N/M",AVERAGE(D136:J136))</f>
        <v>0.123610236322541</v>
      </c>
      <c r="L136" s="62" t="n">
        <f aca="false">IF(COUNT(D136,J136)=2,J136-D136,"-")</f>
        <v>-0.0468856079683687</v>
      </c>
    </row>
    <row r="137" customFormat="false" ht="15" hidden="false" customHeight="false" outlineLevel="0" collapsed="false">
      <c r="A137" s="16" t="s">
        <v>731</v>
      </c>
      <c r="B137" s="87" t="s">
        <v>732</v>
      </c>
      <c r="C137" s="17" t="s">
        <v>615</v>
      </c>
      <c r="D137" s="71" t="n">
        <f aca="false">IF(D7&gt;0,D16/D7,"N/M")</f>
        <v>0.096</v>
      </c>
      <c r="E137" s="71" t="n">
        <f aca="false">IF(E7&gt;0,E16/E7,"N/M")</f>
        <v>0.0767809295019865</v>
      </c>
      <c r="F137" s="71" t="n">
        <f aca="false">IF(F7&gt;0,F16/F7,"N/M")</f>
        <v>0.0496518871381458</v>
      </c>
      <c r="G137" s="71" t="n">
        <f aca="false">IF(G7&gt;0,G16/G7,"N/M")</f>
        <v>0.0487019952799828</v>
      </c>
      <c r="H137" s="71" t="n">
        <f aca="false">IF(H7&gt;0,H16/H7,"N/M")</f>
        <v>0.0358083832335329</v>
      </c>
      <c r="I137" s="71" t="n">
        <f aca="false">IF(I7&gt;0,I16/I7,"N/M")</f>
        <v>0.0574984103914979</v>
      </c>
      <c r="J137" s="71" t="n">
        <f aca="false">IF(J7&gt;0,J16/J7,"N/M")</f>
        <v>0.051133210977848</v>
      </c>
      <c r="K137" s="62" t="n">
        <f aca="false">IF(COUNT(D137:J137)=0,"N/M",AVERAGE(D137:J137))</f>
        <v>0.0593678309318563</v>
      </c>
      <c r="L137" s="62" t="n">
        <f aca="false">IF(COUNT(D137,J137)=2,J137-D137,"-")</f>
        <v>-0.044866789022152</v>
      </c>
    </row>
    <row r="138" customFormat="false" ht="15" hidden="false" customHeight="false" outlineLevel="0" collapsed="false">
      <c r="A138" s="16" t="s">
        <v>733</v>
      </c>
      <c r="B138" s="87" t="s">
        <v>734</v>
      </c>
      <c r="C138" s="17" t="s">
        <v>615</v>
      </c>
      <c r="D138" s="71" t="n">
        <f aca="false">IF(D7&gt;0,D17/D7,"N/M")</f>
        <v>0.0575454545454545</v>
      </c>
      <c r="E138" s="71" t="n">
        <f aca="false">IF(E7&gt;0,E17/E7,"N/M")</f>
        <v>0.0560842649912224</v>
      </c>
      <c r="F138" s="71" t="n">
        <f aca="false">IF(F7&gt;0,F17/F7,"N/M")</f>
        <v>0.0845853181873702</v>
      </c>
      <c r="G138" s="71" t="n">
        <f aca="false">IF(G7&gt;0,G17/G7,"N/M")</f>
        <v>0.0548701995279983</v>
      </c>
      <c r="H138" s="71" t="n">
        <f aca="false">IF(H7&gt;0,H17/H7,"N/M")</f>
        <v>0.0562075848303393</v>
      </c>
      <c r="I138" s="71" t="n">
        <f aca="false">IF(I7&gt;0,I17/I7,"N/M")</f>
        <v>0.052229993641566</v>
      </c>
      <c r="J138" s="71" t="n">
        <f aca="false">IF(J7&gt;0,J17/J7,"N/M")</f>
        <v>0.0535660933031713</v>
      </c>
      <c r="K138" s="62" t="n">
        <f aca="false">IF(COUNT(D138:J138)=0,"N/M",AVERAGE(D138:J138))</f>
        <v>0.0592984155753031</v>
      </c>
      <c r="L138" s="62" t="n">
        <f aca="false">IF(COUNT(D138,J138)=2,J138-D138,"-")</f>
        <v>-0.00397936124228326</v>
      </c>
    </row>
    <row r="139" customFormat="false" ht="15" hidden="false" customHeight="false" outlineLevel="0" collapsed="false">
      <c r="A139" s="16" t="s">
        <v>735</v>
      </c>
      <c r="B139" s="87" t="s">
        <v>736</v>
      </c>
      <c r="C139" s="17" t="s">
        <v>615</v>
      </c>
      <c r="D139" s="71" t="n">
        <f aca="false">IF(D7&gt;0,D25/D7,"N/M")</f>
        <v>0.0320909090909091</v>
      </c>
      <c r="E139" s="71" t="n">
        <f aca="false">IF(E7&gt;0,E25/E7,"N/M")</f>
        <v>0.0388986417813915</v>
      </c>
      <c r="F139" s="71" t="n">
        <f aca="false">IF(F7&gt;0,F25/F7,"N/M")</f>
        <v>0.0252229143764505</v>
      </c>
      <c r="G139" s="71" t="n">
        <f aca="false">IF(G7&gt;0,G25/G7,"N/M")</f>
        <v>0.0198991632696846</v>
      </c>
      <c r="H139" s="71" t="n">
        <f aca="false">IF(H7&gt;0,H25/H7,"N/M")</f>
        <v>0.0198003992015968</v>
      </c>
      <c r="I139" s="71" t="n">
        <f aca="false">IF(I7&gt;0,I25/I7,"N/M")</f>
        <v>0.0198928149695704</v>
      </c>
      <c r="J139" s="71" t="n">
        <f aca="false">IF(J7&gt;0,J25/J7,"N/M")</f>
        <v>0.0177557727602544</v>
      </c>
      <c r="K139" s="62" t="n">
        <f aca="false">IF(COUNT(D139:J139)=0,"N/M",AVERAGE(D139:J139))</f>
        <v>0.0247943736356939</v>
      </c>
      <c r="L139" s="62" t="n">
        <f aca="false">IF(COUNT(D139,J139)=2,J139-D139,"-")</f>
        <v>-0.0143351363306547</v>
      </c>
    </row>
    <row r="140" customFormat="false" ht="15" hidden="false" customHeight="false" outlineLevel="0" collapsed="false">
      <c r="A140" s="16" t="s">
        <v>737</v>
      </c>
      <c r="B140" s="87" t="s">
        <v>738</v>
      </c>
      <c r="C140" s="17" t="s">
        <v>615</v>
      </c>
      <c r="D140" s="71" t="n">
        <f aca="false">IF(D7&gt;0,D20/D7,"N/M")</f>
        <v>0.917727272727273</v>
      </c>
      <c r="E140" s="71" t="n">
        <f aca="false">IF(E7&gt;0,E20/E7,"N/M")</f>
        <v>0.934306569343066</v>
      </c>
      <c r="F140" s="71" t="n">
        <f aca="false">IF(F7&gt;0,F20/F7,"N/M")</f>
        <v>0.897947966288018</v>
      </c>
      <c r="G140" s="71" t="n">
        <f aca="false">IF(G7&gt;0,G20/G7,"N/M")</f>
        <v>0.89471143531431</v>
      </c>
      <c r="H140" s="71" t="n">
        <f aca="false">IF(H7&gt;0,H20/H7,"N/M")</f>
        <v>0.924630738522954</v>
      </c>
      <c r="I140" s="71" t="n">
        <f aca="false">IF(I7&gt;0,I20/I7,"N/M")</f>
        <v>0.959033518030702</v>
      </c>
      <c r="J140" s="71" t="n">
        <f aca="false">IF(J7&gt;0,J20/J7,"N/M")</f>
        <v>0.966921336804815</v>
      </c>
      <c r="K140" s="62" t="n">
        <f aca="false">IF(COUNT(D140:J140)=0,"N/M",AVERAGE(D140:J140))</f>
        <v>0.927896976718734</v>
      </c>
      <c r="L140" s="62" t="n">
        <f aca="false">IF(COUNT(D140,J140)=2,J140-D140,"-")</f>
        <v>0.0491940640775418</v>
      </c>
    </row>
    <row r="141" customFormat="false" ht="16.5" hidden="false" customHeight="true" outlineLevel="0" collapsed="false">
      <c r="A141" s="88" t="s">
        <v>739</v>
      </c>
      <c r="B141" s="89"/>
      <c r="C141" s="89"/>
      <c r="D141" s="89"/>
      <c r="E141" s="89"/>
      <c r="F141" s="89"/>
      <c r="G141" s="89"/>
      <c r="H141" s="89"/>
      <c r="I141" s="89"/>
      <c r="J141" s="89"/>
      <c r="K141" s="89"/>
      <c r="L141" s="89"/>
    </row>
    <row r="142" customFormat="false" ht="15" hidden="false" customHeight="false" outlineLevel="0" collapsed="false">
      <c r="A142" s="16" t="s">
        <v>740</v>
      </c>
      <c r="B142" s="87" t="s">
        <v>741</v>
      </c>
      <c r="C142" s="17" t="s">
        <v>615</v>
      </c>
      <c r="D142" s="71" t="n">
        <f aca="false">IF(D49&gt;0,D30/D49,"N/M")</f>
        <v>0.0185255198487713</v>
      </c>
      <c r="E142" s="71" t="n">
        <f aca="false">IF(E49&gt;0,E30/E49,"N/M")</f>
        <v>-0.0132959258355697</v>
      </c>
      <c r="F142" s="71" t="n">
        <f aca="false">IF(F49&gt;0,F30/F49,"N/M")</f>
        <v>0.0987833463556201</v>
      </c>
      <c r="G142" s="71" t="n">
        <f aca="false">IF(G49&gt;0,G30/G49,"N/M")</f>
        <v>0.0924899675138544</v>
      </c>
      <c r="H142" s="71" t="n">
        <f aca="false">IF(H49&gt;0,H30/H49,"N/M")</f>
        <v>0.135215946843854</v>
      </c>
      <c r="I142" s="71" t="n">
        <f aca="false">IF(I49&gt;0,I30/I49,"N/M")</f>
        <v>0.0133055048265067</v>
      </c>
      <c r="J142" s="71" t="n">
        <f aca="false">IF(J49&gt;0,J30/J49,"N/M")</f>
        <v>0.0264390896921017</v>
      </c>
      <c r="K142" s="62" t="n">
        <f aca="false">IF(COUNT(D142:J142)=0,"N/M",AVERAGE(D142:J142))</f>
        <v>0.0530662070350198</v>
      </c>
      <c r="L142" s="62" t="n">
        <f aca="false">IF(COUNT(D142,J142)=2,J142-D142,"-")</f>
        <v>0.00791356984333047</v>
      </c>
    </row>
    <row r="143" customFormat="false" ht="15" hidden="false" customHeight="false" outlineLevel="0" collapsed="false">
      <c r="A143" s="16" t="s">
        <v>742</v>
      </c>
      <c r="B143" s="87" t="s">
        <v>743</v>
      </c>
      <c r="C143" s="17" t="s">
        <v>615</v>
      </c>
      <c r="D143" s="71" t="n">
        <f aca="false">IF(D49&gt;0,(D30+D25*(1-D77))/D49,"N/M")</f>
        <v>0.0482505585152088</v>
      </c>
      <c r="E143" s="71" t="n">
        <f aca="false">IF(E49&gt;0,(E30+E25*(1-E77))/E49,"N/M")</f>
        <v>0.038058062942181</v>
      </c>
      <c r="F143" s="71" t="n">
        <f aca="false">IF(F49&gt;0,(F30+F25*(1-F77))/F49,"N/M")</f>
        <v>0.133318450719946</v>
      </c>
      <c r="G143" s="71" t="n">
        <f aca="false">IF(G49&gt;0,(G30+G25*(1-G77))/G49,"N/M")</f>
        <v>0.118181236074329</v>
      </c>
      <c r="H143" s="71" t="n">
        <f aca="false">IF(H49&gt;0,(H30+H25*(1-H77))/H49,"N/M")</f>
        <v>0.166492621422138</v>
      </c>
      <c r="I143" s="71" t="n">
        <f aca="false">IF(I49&gt;0,(I30+I25*(1-I77))/I49,"N/M")</f>
        <v>0.0390331424700547</v>
      </c>
      <c r="J143" s="71" t="n">
        <f aca="false">IF(J49&gt;0,(J30+J25*(1-J77))/J49,"N/M")</f>
        <v>0.0573342057368049</v>
      </c>
      <c r="K143" s="62" t="n">
        <f aca="false">IF(COUNT(D143:J143)=0,"N/M",AVERAGE(D143:J143))</f>
        <v>0.0858097539829518</v>
      </c>
      <c r="L143" s="62" t="n">
        <f aca="false">IF(COUNT(D143,J143)=2,J143-D143,"-")</f>
        <v>0.00908364722159611</v>
      </c>
    </row>
    <row r="144" customFormat="false" ht="15" hidden="false" customHeight="false" outlineLevel="0" collapsed="false">
      <c r="A144" s="16" t="s">
        <v>744</v>
      </c>
      <c r="B144" s="87" t="s">
        <v>745</v>
      </c>
      <c r="C144" s="17" t="s">
        <v>615</v>
      </c>
      <c r="D144" s="71" t="n">
        <f aca="false">IF(D49&gt;0,D23/D49,"N/M")</f>
        <v>0.0614996849401386</v>
      </c>
      <c r="E144" s="71" t="n">
        <f aca="false">IF(E49&gt;0,E23/E49,"N/M")</f>
        <v>0.0341546718711881</v>
      </c>
      <c r="F144" s="71" t="n">
        <f aca="false">IF(F49&gt;0,F23/F49,"N/M")</f>
        <v>0.143431186516352</v>
      </c>
      <c r="G144" s="71" t="n">
        <f aca="false">IF(G49&gt;0,G23/G49,"N/M")</f>
        <v>0.155455761513472</v>
      </c>
      <c r="H144" s="71" t="n">
        <f aca="false">IF(H49&gt;0,H23/H49,"N/M")</f>
        <v>0.120182724252492</v>
      </c>
      <c r="I144" s="71" t="n">
        <f aca="false">IF(I49&gt;0,I23/I49,"N/M")</f>
        <v>0.036437951126185</v>
      </c>
      <c r="J144" s="71" t="n">
        <f aca="false">IF(J49&gt;0,J23/J49,"N/M")</f>
        <v>0.0313755020080321</v>
      </c>
      <c r="K144" s="62" t="n">
        <f aca="false">IF(COUNT(D144:J144)=0,"N/M",AVERAGE(D144:J144))</f>
        <v>0.0832196403182656</v>
      </c>
      <c r="L144" s="62" t="n">
        <f aca="false">IF(COUNT(D144,J144)=2,J144-D144,"-")</f>
        <v>-0.0301241829321065</v>
      </c>
    </row>
    <row r="145" customFormat="false" ht="15" hidden="false" customHeight="false" outlineLevel="0" collapsed="false">
      <c r="A145" s="16" t="s">
        <v>746</v>
      </c>
      <c r="B145" s="87" t="s">
        <v>747</v>
      </c>
      <c r="C145" s="17" t="s">
        <v>615</v>
      </c>
      <c r="D145" s="71" t="n">
        <f aca="false">IF(D90&gt;0,D23/D90,"N/M")</f>
        <v>0.0689460299519638</v>
      </c>
      <c r="E145" s="71" t="n">
        <f aca="false">IF(E90&gt;0,E23/E90,"N/M")</f>
        <v>0.0390843104410944</v>
      </c>
      <c r="F145" s="71" t="n">
        <f aca="false">IF(F90&gt;0,F23/F90,"N/M")</f>
        <v>0.166926474408937</v>
      </c>
      <c r="G145" s="71" t="n">
        <f aca="false">IF(G90&gt;0,G23/G90,"N/M")</f>
        <v>0.187485595759391</v>
      </c>
      <c r="H145" s="71" t="n">
        <f aca="false">IF(H90&gt;0,H23/H90,"N/M")</f>
        <v>0.14088209521955</v>
      </c>
      <c r="I145" s="71" t="n">
        <f aca="false">IF(I90&gt;0,I23/I90,"N/M")</f>
        <v>0.0426072808623145</v>
      </c>
      <c r="J145" s="71" t="n">
        <f aca="false">IF(J90&gt;0,J23/J90,"N/M")</f>
        <v>0.037432621281693</v>
      </c>
      <c r="K145" s="62" t="n">
        <f aca="false">IF(COUNT(D145:J145)=0,"N/M",AVERAGE(D145:J145))</f>
        <v>0.0976234868464206</v>
      </c>
      <c r="L145" s="62" t="n">
        <f aca="false">IF(COUNT(D145,J145)=2,J145-D145,"-")</f>
        <v>-0.0315134086702708</v>
      </c>
    </row>
    <row r="146" customFormat="false" ht="15" hidden="false" customHeight="false" outlineLevel="0" collapsed="false">
      <c r="A146" s="16" t="s">
        <v>748</v>
      </c>
      <c r="B146" s="87" t="s">
        <v>749</v>
      </c>
      <c r="C146" s="17" t="s">
        <v>615</v>
      </c>
      <c r="D146" s="71" t="n">
        <f aca="false">IF(D90&gt;0,D23*(1-D77)/D90,"N/M")</f>
        <v>0.0460684836497212</v>
      </c>
      <c r="E146" s="71" t="n">
        <f aca="false">IF(E90&gt;0,E23*(1-E77)/E90,"N/M")</f>
        <v>0.0390843104410944</v>
      </c>
      <c r="F146" s="71" t="n">
        <f aca="false">IF(F90&gt;0,F23*(1-F77)/F90,"N/M")</f>
        <v>0.125053392692797</v>
      </c>
      <c r="G146" s="71" t="n">
        <f aca="false">IF(G90&gt;0,G23*(1-G77)/G90,"N/M")</f>
        <v>0.135881482640875</v>
      </c>
      <c r="H146" s="71" t="n">
        <f aca="false">IF(H90&gt;0,H23*(1-H77)/H90,"N/M")</f>
        <v>0.106959948167153</v>
      </c>
      <c r="I146" s="71" t="n">
        <f aca="false">IF(I90&gt;0,I23*(1-I77)/I90,"N/M")</f>
        <v>0.0287786019859493</v>
      </c>
      <c r="J146" s="71" t="n">
        <f aca="false">IF(J90&gt;0,J23*(1-J77)/J90,"N/M")</f>
        <v>0.0332267087781319</v>
      </c>
      <c r="K146" s="62" t="n">
        <f aca="false">IF(COUNT(D146:J146)=0,"N/M",AVERAGE(D146:J146))</f>
        <v>0.0735789897651031</v>
      </c>
      <c r="L146" s="62" t="n">
        <f aca="false">IF(COUNT(D146,J146)=2,J146-D146,"-")</f>
        <v>-0.0128417748715893</v>
      </c>
    </row>
    <row r="147" customFormat="false" ht="15" hidden="false" customHeight="false" outlineLevel="0" collapsed="false">
      <c r="A147" s="16" t="s">
        <v>750</v>
      </c>
      <c r="B147" s="87" t="s">
        <v>751</v>
      </c>
      <c r="C147" s="17" t="s">
        <v>615</v>
      </c>
      <c r="D147" s="71" t="n">
        <f aca="false">IF(D40&gt;0,D30/D40,"N/M")</f>
        <v>0.0582178217821782</v>
      </c>
      <c r="E147" s="71" t="n">
        <f aca="false">IF(E40&gt;0,E30/E40,"N/M")</f>
        <v>-0.0451158940397351</v>
      </c>
      <c r="F147" s="71" t="n">
        <f aca="false">IF(F40&gt;0,F30/F40,"N/M")</f>
        <v>0.275529265255293</v>
      </c>
      <c r="G147" s="71" t="n">
        <f aca="false">IF(G40&gt;0,G30/G40,"N/M")</f>
        <v>0.237196765498652</v>
      </c>
      <c r="H147" s="71" t="n">
        <f aca="false">IF(H40&gt;0,H30/H40,"N/M")</f>
        <v>0.290974084003575</v>
      </c>
      <c r="I147" s="71" t="n">
        <f aca="false">IF(I40&gt;0,I30/I40,"N/M")</f>
        <v>0.0269461077844311</v>
      </c>
      <c r="J147" s="71" t="n">
        <f aca="false">IF(J40&gt;0,J30/J40,"N/M")</f>
        <v>0.0525702878056896</v>
      </c>
      <c r="K147" s="62" t="n">
        <f aca="false">IF(COUNT(D147:J147)=0,"N/M",AVERAGE(D147:J147))</f>
        <v>0.128045491155726</v>
      </c>
      <c r="L147" s="62" t="n">
        <f aca="false">IF(COUNT(D147,J147)=2,J147-D147,"-")</f>
        <v>-0.00564753397648864</v>
      </c>
    </row>
    <row r="148" customFormat="false" ht="15" hidden="false" customHeight="false" outlineLevel="0" collapsed="false">
      <c r="A148" s="16" t="s">
        <v>752</v>
      </c>
      <c r="B148" s="87" t="s">
        <v>753</v>
      </c>
      <c r="C148" s="17" t="s">
        <v>615</v>
      </c>
      <c r="D148" s="71" t="n">
        <f aca="false">IF(D39&gt;0,(D30-D32)/D39,"N/M")</f>
        <v>0.0582178217821782</v>
      </c>
      <c r="E148" s="71" t="n">
        <f aca="false">IF(E39&gt;0,(E30-E32)/E39,"N/M")</f>
        <v>-0.0451158940397351</v>
      </c>
      <c r="F148" s="71" t="n">
        <f aca="false">IF(F39&gt;0,(F30-F32)/F39,"N/M")</f>
        <v>0.275529265255293</v>
      </c>
      <c r="G148" s="71" t="n">
        <f aca="false">IF(G39&gt;0,(G30-G32)/G39,"N/M")</f>
        <v>0.237196765498652</v>
      </c>
      <c r="H148" s="71" t="n">
        <f aca="false">IF(H39&gt;0,(H30-H32)/H39,"N/M")</f>
        <v>0.290974084003575</v>
      </c>
      <c r="I148" s="71" t="n">
        <f aca="false">IF(I39&gt;0,(I30-I32)/I39,"N/M")</f>
        <v>0.0269461077844311</v>
      </c>
      <c r="J148" s="71" t="n">
        <f aca="false">IF(J39&gt;0,(J30-J32)/J39,"N/M")</f>
        <v>0.0525702878056896</v>
      </c>
      <c r="K148" s="62" t="n">
        <f aca="false">IF(COUNT(D148:J148)=0,"N/M",AVERAGE(D148:J148))</f>
        <v>0.128045491155726</v>
      </c>
      <c r="L148" s="62" t="n">
        <f aca="false">IF(COUNT(D148,J148)=2,J148-D148,"-")</f>
        <v>-0.00564753397648864</v>
      </c>
    </row>
    <row r="149" customFormat="false" ht="16.5" hidden="false" customHeight="true" outlineLevel="0" collapsed="false">
      <c r="A149" s="88" t="s">
        <v>754</v>
      </c>
      <c r="B149" s="89"/>
      <c r="C149" s="89"/>
      <c r="D149" s="89"/>
      <c r="E149" s="89"/>
      <c r="F149" s="89"/>
      <c r="G149" s="89"/>
      <c r="H149" s="89"/>
      <c r="I149" s="89"/>
      <c r="J149" s="89"/>
      <c r="K149" s="89"/>
      <c r="L149" s="89"/>
    </row>
    <row r="150" customFormat="false" ht="15" hidden="false" customHeight="false" outlineLevel="0" collapsed="false">
      <c r="A150" s="16" t="s">
        <v>755</v>
      </c>
      <c r="B150" s="87" t="s">
        <v>756</v>
      </c>
      <c r="C150" s="17" t="s">
        <v>757</v>
      </c>
      <c r="D150" s="93" t="n">
        <f aca="false">IF(D81&gt;0,(D30-D32)/D81,"N/M")</f>
        <v>0.21</v>
      </c>
      <c r="E150" s="93" t="n">
        <f aca="false">IF(E81&gt;0,(E30-E32)/E81,"N/M")</f>
        <v>-0.155714285714286</v>
      </c>
      <c r="F150" s="93" t="n">
        <f aca="false">IF(F81&gt;0,(F30-F32)/F81,"N/M")</f>
        <v>1.26428571428571</v>
      </c>
      <c r="G150" s="93" t="n">
        <f aca="false">IF(G81&gt;0,(G30-G32)/G81,"N/M")</f>
        <v>1.38483547925608</v>
      </c>
      <c r="H150" s="93" t="n">
        <f aca="false">IF(H81&gt;0,(H30-H32)/H81,"N/M")</f>
        <v>2.32904148783977</v>
      </c>
      <c r="I150" s="93" t="n">
        <f aca="false">IF(I81&gt;0,(I30-I32)/I81,"N/M")</f>
        <v>0.218884120171674</v>
      </c>
      <c r="J150" s="93" t="n">
        <f aca="false">IF(J81&gt;0,(J30-J32)/J81,"N/M")</f>
        <v>0.452074391988555</v>
      </c>
      <c r="K150" s="66" t="n">
        <f aca="false">IF(COUNT(D150:J150)=0,"N/M",AVERAGE(D150:J150))</f>
        <v>0.81477241540393</v>
      </c>
      <c r="L150" s="66" t="n">
        <f aca="false">IF(COUNT(D150,J150)=2,J150-D150,"-")</f>
        <v>0.242074391988555</v>
      </c>
    </row>
    <row r="151" customFormat="false" ht="15" hidden="false" customHeight="false" outlineLevel="0" collapsed="false">
      <c r="A151" s="16" t="s">
        <v>759</v>
      </c>
      <c r="B151" s="87" t="s">
        <v>760</v>
      </c>
      <c r="C151" s="17" t="s">
        <v>757</v>
      </c>
      <c r="D151" s="93" t="n">
        <f aca="false">IF(D81&gt;0,(D30+D22)/D81,"N/M")</f>
        <v>0.805714285714286</v>
      </c>
      <c r="E151" s="93" t="n">
        <f aca="false">IF(E81&gt;0,(E30+E22)/E81,"N/M")</f>
        <v>0.46</v>
      </c>
      <c r="F151" s="93" t="n">
        <f aca="false">IF(F81&gt;0,(F30+F22)/F81,"N/M")</f>
        <v>1.81571428571429</v>
      </c>
      <c r="G151" s="93" t="n">
        <f aca="false">IF(G81&gt;0,(G30+G22)/G81,"N/M")</f>
        <v>1.86552217453505</v>
      </c>
      <c r="H151" s="93" t="n">
        <f aca="false">IF(H81&gt;0,(H30+H22)/H81,"N/M")</f>
        <v>2.95994277539342</v>
      </c>
      <c r="I151" s="93" t="n">
        <f aca="false">IF(I81&gt;0,(I30+I22)/I81,"N/M")</f>
        <v>0.909871244635193</v>
      </c>
      <c r="J151" s="93" t="n">
        <f aca="false">IF(J81&gt;0,(J30+J22)/J81,"N/M")</f>
        <v>1.02432045779685</v>
      </c>
      <c r="K151" s="66" t="n">
        <f aca="false">IF(COUNT(D151:J151)=0,"N/M",AVERAGE(D151:J151))</f>
        <v>1.40586931768416</v>
      </c>
      <c r="L151" s="66" t="n">
        <f aca="false">IF(COUNT(D151,J151)=2,J151-D151,"-")</f>
        <v>0.218606172082567</v>
      </c>
    </row>
    <row r="152" customFormat="false" ht="15" hidden="false" customHeight="false" outlineLevel="0" collapsed="false">
      <c r="A152" s="16" t="s">
        <v>761</v>
      </c>
      <c r="B152" s="87" t="s">
        <v>762</v>
      </c>
      <c r="C152" s="17" t="s">
        <v>757</v>
      </c>
      <c r="D152" s="93" t="n">
        <f aca="false">IF(D81&gt;0,D39/D81,"N/M")</f>
        <v>3.60714285714286</v>
      </c>
      <c r="E152" s="93" t="n">
        <f aca="false">IF(E81&gt;0,E39/E81,"N/M")</f>
        <v>3.45142857142857</v>
      </c>
      <c r="F152" s="93" t="n">
        <f aca="false">IF(F81&gt;0,F39/F81,"N/M")</f>
        <v>4.58857142857143</v>
      </c>
      <c r="G152" s="93" t="n">
        <f aca="false">IF(G81&gt;0,G39/G81,"N/M")</f>
        <v>5.83834048640916</v>
      </c>
      <c r="H152" s="93" t="n">
        <f aca="false">IF(H81&gt;0,H39/H81,"N/M")</f>
        <v>8.00429184549356</v>
      </c>
      <c r="I152" s="93" t="n">
        <f aca="false">IF(I81&gt;0,I39/I81,"N/M")</f>
        <v>8.12303290414879</v>
      </c>
      <c r="J152" s="93" t="n">
        <f aca="false">IF(J81&gt;0,J39/J81,"N/M")</f>
        <v>8.59942775393419</v>
      </c>
      <c r="K152" s="66" t="n">
        <f aca="false">IF(COUNT(D152:J152)=0,"N/M",AVERAGE(D152:J152))</f>
        <v>6.03031940673265</v>
      </c>
      <c r="L152" s="66" t="n">
        <f aca="false">IF(COUNT(D152,J152)=2,J152-D152,"-")</f>
        <v>4.99228489679133</v>
      </c>
    </row>
    <row r="153" customFormat="false" ht="15" hidden="false" customHeight="false" outlineLevel="0" collapsed="false">
      <c r="A153" s="16" t="s">
        <v>763</v>
      </c>
      <c r="B153" s="87" t="s">
        <v>764</v>
      </c>
      <c r="C153" s="17" t="s">
        <v>757</v>
      </c>
      <c r="D153" s="93" t="n">
        <f aca="false">IF(D81&gt;0,D31/D81,"N/M")</f>
        <v>0.0742857142857143</v>
      </c>
      <c r="E153" s="93" t="n">
        <f aca="false">IF(E81&gt;0,E31/E81,"N/M")</f>
        <v>0.15</v>
      </c>
      <c r="F153" s="93" t="n">
        <f aca="false">IF(F81&gt;0,F31/F81,"N/M")</f>
        <v>0.3</v>
      </c>
      <c r="G153" s="93" t="n">
        <f aca="false">IF(G81&gt;0,G31/G81,"N/M")</f>
        <v>0.150214592274678</v>
      </c>
      <c r="H153" s="93" t="n">
        <f aca="false">IF(H81&gt;0,H31/H81,"N/M")</f>
        <v>0.100143061516452</v>
      </c>
      <c r="I153" s="93" t="n">
        <f aca="false">IF(I81&gt;0,I31/I81,"N/M")</f>
        <v>0</v>
      </c>
      <c r="J153" s="93" t="n">
        <f aca="false">IF(J81&gt;0,J31/J81,"N/M")</f>
        <v>0</v>
      </c>
      <c r="K153" s="66" t="n">
        <f aca="false">IF(COUNT(D153:J153)=0,"N/M",AVERAGE(D153:J153))</f>
        <v>0.110663338296692</v>
      </c>
      <c r="L153" s="66" t="n">
        <f aca="false">IF(COUNT(D153,J153)=2,J153-D153,"-")</f>
        <v>-0.0742857142857143</v>
      </c>
    </row>
    <row r="154" customFormat="false" ht="15" hidden="false" customHeight="false" outlineLevel="0" collapsed="false">
      <c r="A154" s="16" t="s">
        <v>765</v>
      </c>
      <c r="B154" s="87" t="s">
        <v>812</v>
      </c>
      <c r="C154" s="17" t="s">
        <v>615</v>
      </c>
      <c r="D154" s="71" t="n">
        <f aca="false">IF(D31=0,0,IF(D150&gt;0,D153/D150,"N/M"))</f>
        <v>0.353741496598639</v>
      </c>
      <c r="E154" s="71" t="str">
        <f aca="false">IF(E31=0,0,IF(E150&gt;0,E153/E150,"N/M"))</f>
        <v>N/M</v>
      </c>
      <c r="F154" s="71" t="n">
        <f aca="false">IF(F31=0,0,IF(F150&gt;0,F153/F150,"N/M"))</f>
        <v>0.23728813559322</v>
      </c>
      <c r="G154" s="71" t="n">
        <f aca="false">IF(G31=0,0,IF(G150&gt;0,G153/G150,"N/M"))</f>
        <v>0.108471074380165</v>
      </c>
      <c r="H154" s="71" t="n">
        <f aca="false">IF(H31=0,0,IF(H150&gt;0,H153/H150,"N/M"))</f>
        <v>0.042997542997543</v>
      </c>
      <c r="I154" s="71" t="n">
        <f aca="false">IF(I31=0,0,IF(I150&gt;0,I153/I150,"N/M"))</f>
        <v>0</v>
      </c>
      <c r="J154" s="71" t="n">
        <f aca="false">IF(J31=0,0,IF(J150&gt;0,J153/J150,"N/M"))</f>
        <v>0</v>
      </c>
      <c r="K154" s="62" t="n">
        <f aca="false">IF(COUNT(D154:J154)=0,"N/M",AVERAGE(D154:J154))</f>
        <v>0.123749708261595</v>
      </c>
      <c r="L154" s="62" t="n">
        <f aca="false">IF(COUNT(D154,J154)=2,J154-D154,"-")</f>
        <v>-0.353741496598639</v>
      </c>
    </row>
    <row r="155" customFormat="false" ht="15" hidden="false" customHeight="false" outlineLevel="0" collapsed="false">
      <c r="A155" s="16" t="s">
        <v>767</v>
      </c>
      <c r="B155" s="87" t="s">
        <v>768</v>
      </c>
      <c r="C155" s="17" t="s">
        <v>615</v>
      </c>
      <c r="D155" s="71" t="n">
        <f aca="false">IF(ISNUMBER(D154),1-D154,"N/M")</f>
        <v>0.646258503401361</v>
      </c>
      <c r="E155" s="71" t="str">
        <f aca="false">IF(ISNUMBER(E154),1-E154,"N/M")</f>
        <v>N/M</v>
      </c>
      <c r="F155" s="71" t="n">
        <f aca="false">IF(ISNUMBER(F154),1-F154,"N/M")</f>
        <v>0.76271186440678</v>
      </c>
      <c r="G155" s="71" t="n">
        <f aca="false">IF(ISNUMBER(G154),1-G154,"N/M")</f>
        <v>0.891528925619835</v>
      </c>
      <c r="H155" s="71" t="n">
        <f aca="false">IF(ISNUMBER(H154),1-H154,"N/M")</f>
        <v>0.957002457002457</v>
      </c>
      <c r="I155" s="71" t="n">
        <f aca="false">IF(ISNUMBER(I154),1-I154,"N/M")</f>
        <v>1</v>
      </c>
      <c r="J155" s="71" t="n">
        <f aca="false">IF(ISNUMBER(J154),1-J154,"N/M")</f>
        <v>1</v>
      </c>
      <c r="K155" s="62" t="n">
        <f aca="false">IF(COUNT(D155:J155)=0,"N/M",AVERAGE(D155:J155))</f>
        <v>0.876250291738405</v>
      </c>
      <c r="L155" s="62" t="n">
        <f aca="false">IF(COUNT(D155,J155)=2,J155-D155,"-")</f>
        <v>0.353741496598639</v>
      </c>
    </row>
    <row r="156" customFormat="false" ht="15" hidden="false" customHeight="false" outlineLevel="0" collapsed="false">
      <c r="A156" s="16" t="s">
        <v>769</v>
      </c>
      <c r="B156" s="87" t="s">
        <v>813</v>
      </c>
      <c r="C156" s="17" t="s">
        <v>615</v>
      </c>
      <c r="D156" s="71" t="n">
        <f aca="false">IF(D84=0,"N/C",IF(D80&gt;0,D150/D80,"N/M"))</f>
        <v>0.0465631929046563</v>
      </c>
      <c r="E156" s="71" t="n">
        <f aca="false">IF(E84=0,"N/C",IF(E80&gt;0,E150/E80,"N/M"))</f>
        <v>-0.0188744588744589</v>
      </c>
      <c r="F156" s="71" t="n">
        <f aca="false">IF(F84=0,"N/C",IF(F80&gt;0,F150/F80,"N/M"))</f>
        <v>0.0415610030994646</v>
      </c>
      <c r="G156" s="71" t="n">
        <f aca="false">IF(G84=0,"N/C",IF(G80&gt;0,G150/G80,"N/M"))</f>
        <v>0.0277800497343246</v>
      </c>
      <c r="H156" s="71" t="n">
        <f aca="false">IF(H84=0,"N/C",IF(H80&gt;0,H150/H80,"N/M"))</f>
        <v>0.0895096651744724</v>
      </c>
      <c r="I156" s="71" t="n">
        <f aca="false">IF(I84=0,"N/C",IF(I80&gt;0,I150/I80,"N/M"))</f>
        <v>0.0247326689459518</v>
      </c>
      <c r="J156" s="71" t="n">
        <f aca="false">IF(J84=0,"N/C",IF(J80&gt;0,J150/J80,"N/M"))</f>
        <v>0.0768833999980536</v>
      </c>
      <c r="K156" s="62" t="n">
        <f aca="false">IF(COUNT(D156:J156)=0,"N/M",AVERAGE(D156:J156))</f>
        <v>0.0411650744260664</v>
      </c>
      <c r="L156" s="62" t="n">
        <f aca="false">IF(COUNT(D156,J156)=2,J156-D156,"-")</f>
        <v>0.0303202070933973</v>
      </c>
    </row>
    <row r="157" customFormat="false" ht="15" hidden="false" customHeight="false" outlineLevel="0" collapsed="false">
      <c r="A157" s="16" t="s">
        <v>771</v>
      </c>
      <c r="B157" s="87" t="s">
        <v>814</v>
      </c>
      <c r="C157" s="17" t="s">
        <v>615</v>
      </c>
      <c r="D157" s="71" t="n">
        <f aca="false">IF(D84=0,"N/C",IF(D80&gt;0,D153/D80,"N/M"))</f>
        <v>0.0164713335445043</v>
      </c>
      <c r="E157" s="71" t="n">
        <f aca="false">IF(E84=0,"N/C",IF(E80&gt;0,E153/E80,"N/M"))</f>
        <v>0.0181818181818182</v>
      </c>
      <c r="F157" s="71" t="n">
        <f aca="false">IF(F84=0,"N/C",IF(F80&gt;0,F153/F80,"N/M"))</f>
        <v>0.00986193293885601</v>
      </c>
      <c r="G157" s="71" t="n">
        <f aca="false">IF(G84=0,"N/C",IF(G80&gt;0,G153/G80,"N/M"))</f>
        <v>0.00301333184101661</v>
      </c>
      <c r="H157" s="71" t="n">
        <f aca="false">IF(H84=0,"N/C",IF(H80&gt;0,H153/H80,"N/M"))</f>
        <v>0.00384869567703505</v>
      </c>
      <c r="I157" s="71" t="n">
        <f aca="false">IF(I84=0,"N/C",IF(I80&gt;0,I153/I80,"N/M"))</f>
        <v>0</v>
      </c>
      <c r="J157" s="71" t="n">
        <f aca="false">IF(J84=0,"N/C",IF(J80&gt;0,J153/J80,"N/M"))</f>
        <v>0</v>
      </c>
      <c r="K157" s="62" t="n">
        <f aca="false">IF(COUNT(D157:J157)=0,"N/M",AVERAGE(D157:J157))</f>
        <v>0.00733958745474716</v>
      </c>
      <c r="L157" s="62" t="n">
        <f aca="false">IF(COUNT(D157,J157)=2,J157-D157,"-")</f>
        <v>-0.0164713335445043</v>
      </c>
    </row>
    <row r="158" customFormat="false" ht="15" hidden="false" customHeight="false" outlineLevel="0" collapsed="false">
      <c r="A158" s="16" t="s">
        <v>773</v>
      </c>
      <c r="B158" s="87" t="s">
        <v>815</v>
      </c>
      <c r="C158" s="17" t="s">
        <v>115</v>
      </c>
      <c r="D158" s="73" t="n">
        <f aca="false">IF(D84=0,"N/C",IF(D150&gt;0,D80/D150,"N/M"))</f>
        <v>21.4761904761905</v>
      </c>
      <c r="E158" s="73" t="str">
        <f aca="false">IF(E84=0,"N/C",IF(E150&gt;0,E80/E150,"N/M"))</f>
        <v>N/M</v>
      </c>
      <c r="F158" s="73" t="n">
        <f aca="false">IF(F84=0,"N/C",IF(F150&gt;0,F80/F150,"N/M"))</f>
        <v>24.0610169491525</v>
      </c>
      <c r="G158" s="73" t="n">
        <f aca="false">IF(G84=0,"N/C",IF(G150&gt;0,G80/G150,"N/M"))</f>
        <v>35.997055785124</v>
      </c>
      <c r="H158" s="73" t="n">
        <f aca="false">IF(H84=0,"N/C",IF(H150&gt;0,H80/H150,"N/M"))</f>
        <v>11.1719778869779</v>
      </c>
      <c r="I158" s="73" t="n">
        <f aca="false">IF(I84=0,"N/C",IF(I150&gt;0,I80/I150,"N/M"))</f>
        <v>40.4323529411765</v>
      </c>
      <c r="J158" s="73" t="n">
        <f aca="false">IF(J84=0,"N/C",IF(J150&gt;0,J80/J150,"N/M"))</f>
        <v>13.0067088607595</v>
      </c>
      <c r="K158" s="60" t="n">
        <f aca="false">IF(COUNT(D158:J158)=0,"N/M",AVERAGE(D158:J158))</f>
        <v>24.3575504832301</v>
      </c>
      <c r="L158" s="60" t="n">
        <f aca="false">IF(COUNT(D158,J158)=2,J158-D158,"-")</f>
        <v>-8.46948161543098</v>
      </c>
    </row>
    <row r="159" customFormat="false" ht="15" hidden="false" customHeight="false" outlineLevel="0" collapsed="false">
      <c r="A159" s="16" t="s">
        <v>775</v>
      </c>
      <c r="B159" s="87" t="s">
        <v>816</v>
      </c>
      <c r="C159" s="17" t="s">
        <v>115</v>
      </c>
      <c r="D159" s="73" t="n">
        <f aca="false">IF(D84=0,"N/C",IF(D152&gt;0,D80/D152,"N/M"))</f>
        <v>1.25029702970297</v>
      </c>
      <c r="E159" s="73" t="n">
        <f aca="false">IF(E84=0,"N/C",IF(E152&gt;0,E80/E152,"N/M"))</f>
        <v>2.39031456953642</v>
      </c>
      <c r="F159" s="73" t="n">
        <f aca="false">IF(F84=0,"N/C",IF(F152&gt;0,F80/F152,"N/M"))</f>
        <v>6.62951432129514</v>
      </c>
      <c r="G159" s="73" t="n">
        <f aca="false">IF(G84=0,"N/C",IF(G152&gt;0,G80/G152,"N/M"))</f>
        <v>8.53838519970596</v>
      </c>
      <c r="H159" s="73" t="n">
        <f aca="false">IF(H84=0,"N/C",IF(H152&gt;0,H80/H152,"N/M"))</f>
        <v>3.25075603217158</v>
      </c>
      <c r="I159" s="73" t="n">
        <f aca="false">IF(I84=0,"N/C",IF(I152&gt;0,I80/I152,"N/M"))</f>
        <v>1.0894945403311</v>
      </c>
      <c r="J159" s="73" t="n">
        <f aca="false">IF(J84=0,"N/C",IF(J152&gt;0,J80/J152,"N/M"))</f>
        <v>0.683766428214939</v>
      </c>
      <c r="K159" s="60" t="n">
        <f aca="false">IF(COUNT(D159:J159)=0,"N/M",AVERAGE(D159:J159))</f>
        <v>3.40464687442259</v>
      </c>
      <c r="L159" s="60" t="n">
        <f aca="false">IF(COUNT(D159,J159)=2,J159-D159,"-")</f>
        <v>-0.566530601488031</v>
      </c>
    </row>
    <row r="160" customFormat="false" ht="15" hidden="false" customHeight="false" outlineLevel="0" collapsed="false">
      <c r="A160" s="16" t="s">
        <v>777</v>
      </c>
      <c r="B160" s="87" t="s">
        <v>817</v>
      </c>
      <c r="C160" s="17" t="s">
        <v>115</v>
      </c>
      <c r="D160" s="73" t="n">
        <f aca="false">IF(D84=0,"N/C",IF(D21&gt;0,D83/D21,"N/M"))</f>
        <v>8.1646408839779</v>
      </c>
      <c r="E160" s="73" t="n">
        <f aca="false">IF(E84=0,"N/C",IF(E21&gt;0,E83/E21,"N/M"))</f>
        <v>14.0337552742616</v>
      </c>
      <c r="F160" s="73" t="n">
        <f aca="false">IF(F84=0,"N/C",IF(F21&gt;0,F83/F21,"N/M"))</f>
        <v>15.1711549970078</v>
      </c>
      <c r="G160" s="73" t="n">
        <f aca="false">IF(G84=0,"N/C",IF(G21&gt;0,G83/G21,"N/M"))</f>
        <v>19.749949057565</v>
      </c>
      <c r="H160" s="73" t="n">
        <f aca="false">IF(H84=0,"N/C",IF(H21&gt;0,H83/H21,"N/M"))</f>
        <v>11.8696927966102</v>
      </c>
      <c r="I160" s="73" t="n">
        <f aca="false">IF(I84=0,"N/C",IF(I21&gt;0,I83/I21,"N/M"))</f>
        <v>10.6132483370288</v>
      </c>
      <c r="J160" s="73" t="n">
        <f aca="false">IF(J84=0,"N/C",IF(J21&gt;0,J83/J21,"N/M"))</f>
        <v>9.64918709677419</v>
      </c>
      <c r="K160" s="60" t="n">
        <f aca="false">IF(COUNT(D160:J160)=0,"N/M",AVERAGE(D160:J160))</f>
        <v>12.7502326347465</v>
      </c>
      <c r="L160" s="60" t="n">
        <f aca="false">IF(COUNT(D160,J160)=2,J160-D160,"-")</f>
        <v>1.48454621279629</v>
      </c>
    </row>
    <row r="162" customFormat="false" ht="19.5" hidden="false" customHeight="true" outlineLevel="0" collapsed="false">
      <c r="A162" s="85" t="s">
        <v>779</v>
      </c>
      <c r="B162" s="86"/>
      <c r="C162" s="86"/>
      <c r="D162" s="86"/>
      <c r="E162" s="86"/>
      <c r="F162" s="86"/>
      <c r="G162" s="86"/>
      <c r="H162" s="86"/>
      <c r="I162" s="86"/>
      <c r="J162" s="86"/>
      <c r="K162" s="86"/>
      <c r="L162" s="86"/>
    </row>
    <row r="163" customFormat="false" ht="16.5" hidden="false" customHeight="true" outlineLevel="0" collapsed="false">
      <c r="A163" s="88" t="s">
        <v>780</v>
      </c>
      <c r="B163" s="89"/>
      <c r="C163" s="89"/>
      <c r="D163" s="89"/>
      <c r="E163" s="89"/>
      <c r="F163" s="89"/>
      <c r="G163" s="89"/>
      <c r="H163" s="89"/>
      <c r="I163" s="89"/>
      <c r="J163" s="89"/>
      <c r="K163" s="89"/>
      <c r="L163" s="89"/>
    </row>
    <row r="164" customFormat="false" ht="15" hidden="false" customHeight="false" outlineLevel="0" collapsed="false">
      <c r="A164" s="16" t="s">
        <v>300</v>
      </c>
      <c r="B164" s="87" t="s">
        <v>725</v>
      </c>
      <c r="C164" s="17" t="s">
        <v>615</v>
      </c>
      <c r="D164" s="71" t="n">
        <f aca="false">IF(D7&gt;0,D30/D7,"N/M")</f>
        <v>0.0133636363636364</v>
      </c>
      <c r="E164" s="71" t="n">
        <f aca="false">IF(E7&gt;0,E30/E7,"N/M")</f>
        <v>-0.0100711447842558</v>
      </c>
      <c r="F164" s="71" t="n">
        <f aca="false">IF(F7&gt;0,F30/F7,"N/M")</f>
        <v>0.054049102235251</v>
      </c>
      <c r="G164" s="71" t="n">
        <f aca="false">IF(G7&gt;0,G30/G7,"N/M")</f>
        <v>0.0519201888006865</v>
      </c>
      <c r="H164" s="71" t="n">
        <f aca="false">IF(H7&gt;0,H30/H7,"N/M")</f>
        <v>0.0649900199600799</v>
      </c>
      <c r="I164" s="71" t="n">
        <f aca="false">IF(I7&gt;0,I30/I7,"N/M")</f>
        <v>0.00694886002361704</v>
      </c>
      <c r="J164" s="71" t="n">
        <f aca="false">IF(J7&gt;0,J30/J7,"N/M")</f>
        <v>0.013487558154424</v>
      </c>
      <c r="K164" s="62" t="n">
        <f aca="false">IF(COUNT(D164:J164)=0,"N/M",AVERAGE(D164:J164))</f>
        <v>0.027812602964777</v>
      </c>
      <c r="L164" s="62" t="n">
        <f aca="false">IF(COUNT(D164,J164)=2,J164-D164,"-")</f>
        <v>0.000123921790787641</v>
      </c>
    </row>
    <row r="165" customFormat="false" ht="15" hidden="false" customHeight="false" outlineLevel="0" collapsed="false">
      <c r="A165" s="16" t="s">
        <v>781</v>
      </c>
      <c r="B165" s="87" t="s">
        <v>708</v>
      </c>
      <c r="C165" s="17" t="s">
        <v>692</v>
      </c>
      <c r="D165" s="73" t="n">
        <f aca="false">IF(D49&gt;0,D7/D49,"N/M")</f>
        <v>1.38626339004411</v>
      </c>
      <c r="E165" s="73" t="n">
        <f aca="false">IF(E49&gt;0,E7/E49,"N/M")</f>
        <v>1.32020004879239</v>
      </c>
      <c r="F165" s="73" t="n">
        <f aca="false">IF(F49&gt;0,F7/F49,"N/M")</f>
        <v>1.82765933697957</v>
      </c>
      <c r="G165" s="73" t="n">
        <f aca="false">IF(G49&gt;0,G7/G49,"N/M")</f>
        <v>1.78138734951271</v>
      </c>
      <c r="H165" s="73" t="n">
        <f aca="false">IF(H49&gt;0,H7/H49,"N/M")</f>
        <v>2.08056478405316</v>
      </c>
      <c r="I165" s="73" t="n">
        <f aca="false">IF(I49&gt;0,I7/I49,"N/M")</f>
        <v>1.91477519784329</v>
      </c>
      <c r="J165" s="73" t="n">
        <f aca="false">IF(J49&gt;0,J7/J49,"N/M")</f>
        <v>1.96025769745649</v>
      </c>
      <c r="K165" s="60" t="n">
        <f aca="false">IF(COUNT(D165:J165)=0,"N/M",AVERAGE(D165:J165))</f>
        <v>1.75301540066882</v>
      </c>
      <c r="L165" s="60" t="n">
        <f aca="false">IF(COUNT(D165,J165)=2,J165-D165,"-")</f>
        <v>0.573994307412384</v>
      </c>
    </row>
    <row r="166" customFormat="false" ht="15" hidden="false" customHeight="false" outlineLevel="0" collapsed="false">
      <c r="A166" s="16" t="s">
        <v>782</v>
      </c>
      <c r="B166" s="87" t="s">
        <v>783</v>
      </c>
      <c r="C166" s="17" t="s">
        <v>692</v>
      </c>
      <c r="D166" s="73" t="n">
        <f aca="false">IF(D40&gt;0,D49/D40,"N/M")</f>
        <v>3.14257425742574</v>
      </c>
      <c r="E166" s="73" t="n">
        <f aca="false">IF(E40&gt;0,E49/E40,"N/M")</f>
        <v>3.3932119205298</v>
      </c>
      <c r="F166" s="73" t="n">
        <f aca="false">IF(F40&gt;0,F49/F40,"N/M")</f>
        <v>2.78922789539228</v>
      </c>
      <c r="G166" s="73" t="n">
        <f aca="false">IF(G40&gt;0,G49/G40,"N/M")</f>
        <v>2.56456750796373</v>
      </c>
      <c r="H166" s="73" t="n">
        <f aca="false">IF(H40&gt;0,H49/H40,"N/M")</f>
        <v>2.15192135835567</v>
      </c>
      <c r="I166" s="73" t="n">
        <f aca="false">IF(I40&gt;0,I49/I40,"N/M")</f>
        <v>2.02518492426911</v>
      </c>
      <c r="J166" s="73" t="n">
        <f aca="false">IF(J40&gt;0,J49/J40,"N/M")</f>
        <v>1.98835468308102</v>
      </c>
      <c r="K166" s="60" t="n">
        <f aca="false">IF(COUNT(D166:J166)=0,"N/M",AVERAGE(D166:J166))</f>
        <v>2.57929179243105</v>
      </c>
      <c r="L166" s="60" t="n">
        <f aca="false">IF(COUNT(D166,J166)=2,J166-D166,"-")</f>
        <v>-1.15421957434472</v>
      </c>
    </row>
    <row r="167" customFormat="false" ht="15" hidden="false" customHeight="false" outlineLevel="0" collapsed="false">
      <c r="A167" s="12" t="s">
        <v>303</v>
      </c>
      <c r="B167" s="87" t="s">
        <v>741</v>
      </c>
      <c r="C167" s="17" t="s">
        <v>615</v>
      </c>
      <c r="D167" s="30" t="n">
        <f aca="false">IF(D49&gt;0,D30/D49,"N/M")</f>
        <v>0.0185255198487713</v>
      </c>
      <c r="E167" s="30" t="n">
        <f aca="false">IF(E49&gt;0,E30/E49,"N/M")</f>
        <v>-0.0132959258355697</v>
      </c>
      <c r="F167" s="30" t="n">
        <f aca="false">IF(F49&gt;0,F30/F49,"N/M")</f>
        <v>0.0987833463556201</v>
      </c>
      <c r="G167" s="30" t="n">
        <f aca="false">IF(G49&gt;0,G30/G49,"N/M")</f>
        <v>0.0924899675138544</v>
      </c>
      <c r="H167" s="30" t="n">
        <f aca="false">IF(H49&gt;0,H30/H49,"N/M")</f>
        <v>0.135215946843854</v>
      </c>
      <c r="I167" s="30" t="n">
        <f aca="false">IF(I49&gt;0,I30/I49,"N/M")</f>
        <v>0.0133055048265067</v>
      </c>
      <c r="J167" s="30" t="n">
        <f aca="false">IF(J49&gt;0,J30/J49,"N/M")</f>
        <v>0.0264390896921017</v>
      </c>
      <c r="K167" s="30" t="n">
        <f aca="false">IF(COUNT(D167:J167)=0,"N/M",AVERAGE(D167:J167))</f>
        <v>0.0530662070350198</v>
      </c>
      <c r="L167" s="30" t="n">
        <f aca="false">IF(COUNT(D167,J167)=2,J167-D167,"-")</f>
        <v>0.00791356984333047</v>
      </c>
    </row>
    <row r="168" customFormat="false" ht="15" hidden="false" customHeight="false" outlineLevel="0" collapsed="false">
      <c r="A168" s="12" t="s">
        <v>784</v>
      </c>
      <c r="B168" s="87" t="s">
        <v>751</v>
      </c>
      <c r="C168" s="17" t="s">
        <v>615</v>
      </c>
      <c r="D168" s="30" t="n">
        <f aca="false">IF(D40&gt;0,D30/D40,"N/M")</f>
        <v>0.0582178217821782</v>
      </c>
      <c r="E168" s="30" t="n">
        <f aca="false">IF(E40&gt;0,E30/E40,"N/M")</f>
        <v>-0.0451158940397351</v>
      </c>
      <c r="F168" s="30" t="n">
        <f aca="false">IF(F40&gt;0,F30/F40,"N/M")</f>
        <v>0.275529265255293</v>
      </c>
      <c r="G168" s="30" t="n">
        <f aca="false">IF(G40&gt;0,G30/G40,"N/M")</f>
        <v>0.237196765498652</v>
      </c>
      <c r="H168" s="30" t="n">
        <f aca="false">IF(H40&gt;0,H30/H40,"N/M")</f>
        <v>0.290974084003575</v>
      </c>
      <c r="I168" s="30" t="n">
        <f aca="false">IF(I40&gt;0,I30/I40,"N/M")</f>
        <v>0.0269461077844311</v>
      </c>
      <c r="J168" s="30" t="n">
        <f aca="false">IF(J40&gt;0,J30/J40,"N/M")</f>
        <v>0.0525702878056896</v>
      </c>
      <c r="K168" s="30" t="n">
        <f aca="false">IF(COUNT(D168:J168)=0,"N/M",AVERAGE(D168:J168))</f>
        <v>0.128045491155726</v>
      </c>
      <c r="L168" s="30" t="n">
        <f aca="false">IF(COUNT(D168,J168)=2,J168-D168,"-")</f>
        <v>-0.00564753397648864</v>
      </c>
    </row>
    <row r="169" customFormat="false" ht="15" hidden="false" customHeight="false" outlineLevel="0" collapsed="false">
      <c r="A169" s="16" t="s">
        <v>785</v>
      </c>
      <c r="B169" s="87" t="s">
        <v>786</v>
      </c>
      <c r="C169" s="17" t="s">
        <v>615</v>
      </c>
      <c r="D169" s="94" t="n">
        <f aca="false">IF(COUNT(D164,D165,D166,D168)=4,D164*D165*D166-D168,"-")</f>
        <v>0</v>
      </c>
      <c r="E169" s="94" t="n">
        <f aca="false">IF(COUNT(E164,E165,E166,E168)=4,E164*E165*E166-E168,"-")</f>
        <v>0</v>
      </c>
      <c r="F169" s="94" t="n">
        <f aca="false">IF(COUNT(F164,F165,F166,F168)=4,F164*F165*F166-F168,"-")</f>
        <v>0</v>
      </c>
      <c r="G169" s="94" t="n">
        <f aca="false">IF(COUNT(G164,G165,G166,G168)=4,G164*G165*G166-G168,"-")</f>
        <v>0</v>
      </c>
      <c r="H169" s="94" t="n">
        <f aca="false">IF(COUNT(H164,H165,H166,H168)=4,H164*H165*H166-H168,"-")</f>
        <v>0</v>
      </c>
      <c r="I169" s="94" t="n">
        <f aca="false">IF(COUNT(I164,I165,I166,I168)=4,I164*I165*I166-I168,"-")</f>
        <v>0</v>
      </c>
      <c r="J169" s="94" t="n">
        <f aca="false">IF(COUNT(J164,J165,J166,J168)=4,J164*J165*J166-J168,"-")</f>
        <v>0</v>
      </c>
      <c r="K169" s="62"/>
      <c r="L169" s="62"/>
    </row>
    <row r="170" customFormat="false" ht="16.5" hidden="false" customHeight="true" outlineLevel="0" collapsed="false">
      <c r="A170" s="88" t="s">
        <v>787</v>
      </c>
      <c r="B170" s="89"/>
      <c r="C170" s="89"/>
      <c r="D170" s="89"/>
      <c r="E170" s="89"/>
      <c r="F170" s="89"/>
      <c r="G170" s="89"/>
      <c r="H170" s="89"/>
      <c r="I170" s="89"/>
      <c r="J170" s="89"/>
      <c r="K170" s="89"/>
      <c r="L170" s="89"/>
    </row>
    <row r="171" customFormat="false" ht="15" hidden="false" customHeight="false" outlineLevel="0" collapsed="false">
      <c r="A171" s="16" t="s">
        <v>788</v>
      </c>
      <c r="B171" s="87" t="s">
        <v>789</v>
      </c>
      <c r="C171" s="17" t="s">
        <v>97</v>
      </c>
      <c r="D171" s="73" t="n">
        <f aca="false">IF(D26&lt;&gt;0,D30/D26,"N/M")</f>
        <v>0.668181818181819</v>
      </c>
      <c r="E171" s="73" t="n">
        <f aca="false">IF(E26&lt;&gt;0,E30/E26,"N/M")</f>
        <v>1.13541666666667</v>
      </c>
      <c r="F171" s="73" t="n">
        <f aca="false">IF(F26&lt;&gt;0,F30/F26,"N/M")</f>
        <v>0.750000000000001</v>
      </c>
      <c r="G171" s="73" t="n">
        <f aca="false">IF(G26&lt;&gt;0,G30/G26,"N/M")</f>
        <v>0.724008975317878</v>
      </c>
      <c r="H171" s="73" t="n">
        <f aca="false">IF(H26&lt;&gt;0,H30/H26,"N/M")</f>
        <v>0.759682687820812</v>
      </c>
      <c r="I171" s="73" t="n">
        <f aca="false">IF(I26&lt;&gt;0,I30/I26,"N/M")</f>
        <v>0.671052631578944</v>
      </c>
      <c r="J171" s="73" t="n">
        <f aca="false">IF(J26&lt;&gt;0,J30/J26,"N/M")</f>
        <v>0.887640449438202</v>
      </c>
      <c r="K171" s="60" t="n">
        <f aca="false">IF(COUNT(D171:J171)=0,"N/M",AVERAGE(D171:J171))</f>
        <v>0.799426175572046</v>
      </c>
      <c r="L171" s="60" t="n">
        <f aca="false">IF(COUNT(D171,J171)=2,J171-D171,"-")</f>
        <v>0.219458631256383</v>
      </c>
    </row>
    <row r="172" customFormat="false" ht="15" hidden="false" customHeight="false" outlineLevel="0" collapsed="false">
      <c r="A172" s="16" t="s">
        <v>790</v>
      </c>
      <c r="B172" s="87" t="s">
        <v>791</v>
      </c>
      <c r="C172" s="17" t="s">
        <v>97</v>
      </c>
      <c r="D172" s="73" t="n">
        <f aca="false">IF(D23&lt;&gt;0,D26/D23,"N/M")</f>
        <v>0.450819672131147</v>
      </c>
      <c r="E172" s="73" t="n">
        <f aca="false">IF(E23&lt;&gt;0,E26/E23,"N/M")</f>
        <v>-0.342857142857143</v>
      </c>
      <c r="F172" s="73" t="n">
        <f aca="false">IF(F23&lt;&gt;0,F26/F23,"N/M")</f>
        <v>0.918287937743191</v>
      </c>
      <c r="G172" s="73" t="n">
        <f aca="false">IF(G23&lt;&gt;0,G26/G23,"N/M")</f>
        <v>0.821757836508912</v>
      </c>
      <c r="H172" s="73" t="n">
        <f aca="false">IF(H23&lt;&gt;0,H26/H23,"N/M")</f>
        <v>1.48099516240498</v>
      </c>
      <c r="I172" s="73" t="n">
        <f aca="false">IF(I23&lt;&gt;0,I26/I23,"N/M")</f>
        <v>0.544152744630073</v>
      </c>
      <c r="J172" s="73" t="n">
        <f aca="false">IF(J23&lt;&gt;0,J26/J23,"N/M")</f>
        <v>0.949333333333334</v>
      </c>
      <c r="K172" s="60" t="n">
        <f aca="false">IF(COUNT(D172:J172)=0,"N/M",AVERAGE(D172:J172))</f>
        <v>0.688927077699213</v>
      </c>
      <c r="L172" s="60" t="n">
        <f aca="false">IF(COUNT(D172,J172)=2,J172-D172,"-")</f>
        <v>0.498513661202186</v>
      </c>
    </row>
    <row r="173" customFormat="false" ht="15" hidden="false" customHeight="false" outlineLevel="0" collapsed="false">
      <c r="A173" s="16" t="s">
        <v>792</v>
      </c>
      <c r="B173" s="87" t="s">
        <v>793</v>
      </c>
      <c r="C173" s="17" t="s">
        <v>615</v>
      </c>
      <c r="D173" s="71" t="n">
        <f aca="false">IF(D7&gt;0,D23/D7,"N/M")</f>
        <v>0.0443636363636363</v>
      </c>
      <c r="E173" s="71" t="n">
        <f aca="false">IF(E7&gt;0,E23/E7,"N/M")</f>
        <v>0.0258708306384551</v>
      </c>
      <c r="F173" s="71" t="n">
        <f aca="false">IF(F7&gt;0,F23/F7,"N/M")</f>
        <v>0.0784780749969463</v>
      </c>
      <c r="G173" s="71" t="n">
        <f aca="false">IF(G7&gt;0,G23/G7,"N/M")</f>
        <v>0.0872666809697488</v>
      </c>
      <c r="H173" s="71" t="n">
        <f aca="false">IF(H7&gt;0,H23/H7,"N/M")</f>
        <v>0.0577644710578842</v>
      </c>
      <c r="I173" s="71" t="n">
        <f aca="false">IF(I7&gt;0,I23/I7,"N/M")</f>
        <v>0.0190298846398402</v>
      </c>
      <c r="J173" s="71" t="n">
        <f aca="false">IF(J7&gt;0,J23/J7,"N/M")</f>
        <v>0.0160058047718639</v>
      </c>
      <c r="K173" s="62" t="n">
        <f aca="false">IF(COUNT(D173:J173)=0,"N/M",AVERAGE(D173:J173))</f>
        <v>0.0469684833483393</v>
      </c>
      <c r="L173" s="62" t="n">
        <f aca="false">IF(COUNT(D173,J173)=2,J173-D173,"-")</f>
        <v>-0.0283578315917724</v>
      </c>
    </row>
    <row r="174" customFormat="false" ht="15" hidden="false" customHeight="false" outlineLevel="0" collapsed="false">
      <c r="A174" s="16" t="s">
        <v>781</v>
      </c>
      <c r="B174" s="87" t="s">
        <v>708</v>
      </c>
      <c r="C174" s="17" t="s">
        <v>692</v>
      </c>
      <c r="D174" s="73" t="n">
        <f aca="false">IF(D49&gt;0,D7/D49,"N/M")</f>
        <v>1.38626339004411</v>
      </c>
      <c r="E174" s="73" t="n">
        <f aca="false">IF(E49&gt;0,E7/E49,"N/M")</f>
        <v>1.32020004879239</v>
      </c>
      <c r="F174" s="73" t="n">
        <f aca="false">IF(F49&gt;0,F7/F49,"N/M")</f>
        <v>1.82765933697957</v>
      </c>
      <c r="G174" s="73" t="n">
        <f aca="false">IF(G49&gt;0,G7/G49,"N/M")</f>
        <v>1.78138734951271</v>
      </c>
      <c r="H174" s="73" t="n">
        <f aca="false">IF(H49&gt;0,H7/H49,"N/M")</f>
        <v>2.08056478405316</v>
      </c>
      <c r="I174" s="73" t="n">
        <f aca="false">IF(I49&gt;0,I7/I49,"N/M")</f>
        <v>1.91477519784329</v>
      </c>
      <c r="J174" s="73" t="n">
        <f aca="false">IF(J49&gt;0,J7/J49,"N/M")</f>
        <v>1.96025769745649</v>
      </c>
      <c r="K174" s="60" t="n">
        <f aca="false">IF(COUNT(D174:J174)=0,"N/M",AVERAGE(D174:J174))</f>
        <v>1.75301540066882</v>
      </c>
      <c r="L174" s="60" t="n">
        <f aca="false">IF(COUNT(D174,J174)=2,J174-D174,"-")</f>
        <v>0.573994307412384</v>
      </c>
    </row>
    <row r="175" customFormat="false" ht="15" hidden="false" customHeight="false" outlineLevel="0" collapsed="false">
      <c r="A175" s="16" t="s">
        <v>782</v>
      </c>
      <c r="B175" s="87" t="s">
        <v>783</v>
      </c>
      <c r="C175" s="17" t="s">
        <v>692</v>
      </c>
      <c r="D175" s="73" t="n">
        <f aca="false">IF(D40&gt;0,D49/D40,"N/M")</f>
        <v>3.14257425742574</v>
      </c>
      <c r="E175" s="73" t="n">
        <f aca="false">IF(E40&gt;0,E49/E40,"N/M")</f>
        <v>3.3932119205298</v>
      </c>
      <c r="F175" s="73" t="n">
        <f aca="false">IF(F40&gt;0,F49/F40,"N/M")</f>
        <v>2.78922789539228</v>
      </c>
      <c r="G175" s="73" t="n">
        <f aca="false">IF(G40&gt;0,G49/G40,"N/M")</f>
        <v>2.56456750796373</v>
      </c>
      <c r="H175" s="73" t="n">
        <f aca="false">IF(H40&gt;0,H49/H40,"N/M")</f>
        <v>2.15192135835567</v>
      </c>
      <c r="I175" s="73" t="n">
        <f aca="false">IF(I40&gt;0,I49/I40,"N/M")</f>
        <v>2.02518492426911</v>
      </c>
      <c r="J175" s="73" t="n">
        <f aca="false">IF(J40&gt;0,J49/J40,"N/M")</f>
        <v>1.98835468308102</v>
      </c>
      <c r="K175" s="60" t="n">
        <f aca="false">IF(COUNT(D175:J175)=0,"N/M",AVERAGE(D175:J175))</f>
        <v>2.57929179243105</v>
      </c>
      <c r="L175" s="60" t="n">
        <f aca="false">IF(COUNT(D175,J175)=2,J175-D175,"-")</f>
        <v>-1.15421957434472</v>
      </c>
    </row>
    <row r="176" customFormat="false" ht="15" hidden="false" customHeight="false" outlineLevel="0" collapsed="false">
      <c r="A176" s="12" t="s">
        <v>784</v>
      </c>
      <c r="B176" s="87" t="s">
        <v>751</v>
      </c>
      <c r="C176" s="17" t="s">
        <v>615</v>
      </c>
      <c r="D176" s="30" t="n">
        <f aca="false">IF(D40&gt;0,D30/D40,"N/M")</f>
        <v>0.0582178217821782</v>
      </c>
      <c r="E176" s="30" t="n">
        <f aca="false">IF(E40&gt;0,E30/E40,"N/M")</f>
        <v>-0.0451158940397351</v>
      </c>
      <c r="F176" s="30" t="n">
        <f aca="false">IF(F40&gt;0,F30/F40,"N/M")</f>
        <v>0.275529265255293</v>
      </c>
      <c r="G176" s="30" t="n">
        <f aca="false">IF(G40&gt;0,G30/G40,"N/M")</f>
        <v>0.237196765498652</v>
      </c>
      <c r="H176" s="30" t="n">
        <f aca="false">IF(H40&gt;0,H30/H40,"N/M")</f>
        <v>0.290974084003575</v>
      </c>
      <c r="I176" s="30" t="n">
        <f aca="false">IF(I40&gt;0,I30/I40,"N/M")</f>
        <v>0.0269461077844311</v>
      </c>
      <c r="J176" s="30" t="n">
        <f aca="false">IF(J40&gt;0,J30/J40,"N/M")</f>
        <v>0.0525702878056896</v>
      </c>
      <c r="K176" s="30" t="n">
        <f aca="false">IF(COUNT(D176:J176)=0,"N/M",AVERAGE(D176:J176))</f>
        <v>0.128045491155726</v>
      </c>
      <c r="L176" s="30" t="n">
        <f aca="false">IF(COUNT(D176,J176)=2,J176-D176,"-")</f>
        <v>-0.00564753397648864</v>
      </c>
    </row>
    <row r="177" customFormat="false" ht="15" hidden="false" customHeight="false" outlineLevel="0" collapsed="false">
      <c r="A177" s="16" t="s">
        <v>794</v>
      </c>
      <c r="B177" s="87" t="s">
        <v>786</v>
      </c>
      <c r="C177" s="17" t="s">
        <v>615</v>
      </c>
      <c r="D177" s="94" t="n">
        <f aca="false">IF(COUNT(D171,D172,D173,D174,D175,D176)=6,D171*D172*D173*D174*D175-D176,"-")</f>
        <v>0</v>
      </c>
      <c r="E177" s="94" t="n">
        <f aca="false">IF(COUNT(E171,E172,E173,E174,E175,E176)=6,E171*E172*E173*E174*E175-E176,"-")</f>
        <v>0</v>
      </c>
      <c r="F177" s="94" t="n">
        <f aca="false">IF(COUNT(F171,F172,F173,F174,F175,F176)=6,F171*F172*F173*F174*F175-F176,"-")</f>
        <v>0</v>
      </c>
      <c r="G177" s="94" t="n">
        <f aca="false">IF(COUNT(G171,G172,G173,G174,G175,G176)=6,G171*G172*G173*G174*G175-G176,"-")</f>
        <v>0</v>
      </c>
      <c r="H177" s="94" t="n">
        <f aca="false">IF(COUNT(H171,H172,H173,H174,H175,H176)=6,H171*H172*H173*H174*H175-H176,"-")</f>
        <v>0</v>
      </c>
      <c r="I177" s="94" t="n">
        <f aca="false">IF(COUNT(I171,I172,I173,I174,I175,I176)=6,I171*I172*I173*I174*I175-I176,"-")</f>
        <v>0</v>
      </c>
      <c r="J177" s="94" t="n">
        <f aca="false">IF(COUNT(J171,J172,J173,J174,J175,J176)=6,J171*J172*J173*J174*J175-J176,"-")</f>
        <v>0</v>
      </c>
      <c r="K177" s="62"/>
      <c r="L177" s="62"/>
    </row>
  </sheetData>
  <mergeCells count="3">
    <mergeCell ref="A1:L1"/>
    <mergeCell ref="A2:L2"/>
    <mergeCell ref="A3:L3"/>
  </mergeCells>
  <hyperlinks>
    <hyperlink ref="A3" r:id="rId1" display="Source: annual reports FY2020-FY2026 (consolidated) - https://www.shreejitranslogistics.com/aboutus   (full list of documents on the Sources sheet)"/>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18096"/>
    <pageSetUpPr fitToPage="true"/>
  </sheetPr>
  <dimension ref="A1:L177"/>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50"/>
    <col collapsed="false" customWidth="true" hidden="false" outlineLevel="0" max="3" min="3" style="0" width="15"/>
    <col collapsed="false" customWidth="true" hidden="false" outlineLevel="0" max="10" min="4" style="0" width="11.5"/>
    <col collapsed="false" customWidth="true" hidden="false" outlineLevel="0" max="12" min="11" style="0" width="12"/>
  </cols>
  <sheetData>
    <row r="1" customFormat="false" ht="24" hidden="false" customHeight="true" outlineLevel="0" collapsed="false">
      <c r="A1" s="1" t="s">
        <v>842</v>
      </c>
      <c r="B1" s="1"/>
      <c r="C1" s="1"/>
      <c r="D1" s="1"/>
      <c r="E1" s="1"/>
      <c r="F1" s="1"/>
      <c r="G1" s="1"/>
      <c r="H1" s="1"/>
      <c r="I1" s="1"/>
      <c r="J1" s="1"/>
      <c r="K1" s="1"/>
      <c r="L1" s="1"/>
    </row>
    <row r="2" customFormat="false" ht="18" hidden="false" customHeight="true" outlineLevel="0" collapsed="false">
      <c r="A2" s="2" t="s">
        <v>843</v>
      </c>
      <c r="B2" s="2"/>
      <c r="C2" s="2"/>
      <c r="D2" s="2"/>
      <c r="E2" s="2"/>
      <c r="F2" s="2"/>
      <c r="G2" s="2"/>
      <c r="H2" s="2"/>
      <c r="I2" s="2"/>
      <c r="J2" s="2"/>
      <c r="K2" s="2"/>
      <c r="L2" s="2"/>
    </row>
    <row r="3" customFormat="false" ht="18" hidden="false" customHeight="true" outlineLevel="0" collapsed="false">
      <c r="A3" s="95" t="s">
        <v>844</v>
      </c>
      <c r="B3" s="95"/>
      <c r="C3" s="95"/>
      <c r="D3" s="95"/>
      <c r="E3" s="95"/>
      <c r="F3" s="95"/>
      <c r="G3" s="95"/>
      <c r="H3" s="95"/>
      <c r="I3" s="95"/>
      <c r="J3" s="95"/>
      <c r="K3" s="95"/>
      <c r="L3" s="95"/>
    </row>
    <row r="5" customFormat="false" ht="30" hidden="false" customHeight="true" outlineLevel="0" collapsed="false">
      <c r="A5" s="7" t="s">
        <v>486</v>
      </c>
      <c r="B5" s="7" t="s">
        <v>487</v>
      </c>
      <c r="C5" s="7" t="s">
        <v>488</v>
      </c>
      <c r="D5" s="7" t="s">
        <v>154</v>
      </c>
      <c r="E5" s="7" t="s">
        <v>185</v>
      </c>
      <c r="F5" s="7" t="s">
        <v>188</v>
      </c>
      <c r="G5" s="7" t="s">
        <v>144</v>
      </c>
      <c r="H5" s="7" t="s">
        <v>147</v>
      </c>
      <c r="I5" s="7" t="s">
        <v>157</v>
      </c>
      <c r="J5" s="7" t="s">
        <v>198</v>
      </c>
      <c r="K5" s="7" t="s">
        <v>322</v>
      </c>
      <c r="L5" s="7" t="s">
        <v>489</v>
      </c>
    </row>
    <row r="6" customFormat="false" ht="19.5" hidden="false" customHeight="true" outlineLevel="0" collapsed="false">
      <c r="A6" s="85" t="s">
        <v>490</v>
      </c>
      <c r="B6" s="86"/>
      <c r="C6" s="86"/>
      <c r="D6" s="86"/>
      <c r="E6" s="86"/>
      <c r="F6" s="86"/>
      <c r="G6" s="86"/>
      <c r="H6" s="86"/>
      <c r="I6" s="86"/>
      <c r="J6" s="86"/>
      <c r="K6" s="86"/>
      <c r="L6" s="86"/>
    </row>
    <row r="7" customFormat="false" ht="15" hidden="false" customHeight="false" outlineLevel="0" collapsed="false">
      <c r="A7" s="16" t="s">
        <v>491</v>
      </c>
      <c r="B7" s="87" t="s">
        <v>492</v>
      </c>
      <c r="C7" s="17" t="s">
        <v>493</v>
      </c>
      <c r="D7" s="96" t="n">
        <v>3471.14</v>
      </c>
      <c r="E7" s="96" t="n">
        <v>3263.72</v>
      </c>
      <c r="F7" s="96" t="n">
        <v>4140.76</v>
      </c>
      <c r="G7" s="96" t="n">
        <v>5128.29</v>
      </c>
      <c r="H7" s="96" t="n">
        <v>5505.97</v>
      </c>
      <c r="I7" s="96" t="n">
        <v>6104.83</v>
      </c>
      <c r="J7" s="96" t="n">
        <v>6999.3</v>
      </c>
      <c r="K7" s="53" t="n">
        <f aca="false">AVERAGE(D7:J7)</f>
        <v>4944.85857142857</v>
      </c>
      <c r="L7" s="53" t="n">
        <f aca="false">J7-D7</f>
        <v>3528.16</v>
      </c>
    </row>
    <row r="8" customFormat="false" ht="16.5" hidden="false" customHeight="true" outlineLevel="0" collapsed="false">
      <c r="A8" s="88" t="s">
        <v>494</v>
      </c>
      <c r="B8" s="89"/>
      <c r="C8" s="89"/>
      <c r="D8" s="89"/>
      <c r="E8" s="89"/>
      <c r="F8" s="89"/>
      <c r="G8" s="89"/>
      <c r="H8" s="89"/>
      <c r="I8" s="89"/>
      <c r="J8" s="89"/>
      <c r="K8" s="89"/>
      <c r="L8" s="89"/>
    </row>
    <row r="9" customFormat="false" ht="15" hidden="false" customHeight="false" outlineLevel="0" collapsed="false">
      <c r="A9" s="16" t="s">
        <v>495</v>
      </c>
      <c r="B9" s="87" t="s">
        <v>496</v>
      </c>
      <c r="C9" s="17" t="s">
        <v>493</v>
      </c>
      <c r="D9" s="96" t="n">
        <v>0</v>
      </c>
      <c r="E9" s="96" t="n">
        <v>0</v>
      </c>
      <c r="F9" s="96" t="n">
        <v>9.81</v>
      </c>
      <c r="G9" s="96" t="n">
        <v>6.58</v>
      </c>
      <c r="H9" s="96" t="n">
        <v>0.41</v>
      </c>
      <c r="I9" s="96" t="n">
        <v>0</v>
      </c>
      <c r="J9" s="96" t="n">
        <v>0</v>
      </c>
      <c r="K9" s="53" t="n">
        <f aca="false">AVERAGE(D9:J9)</f>
        <v>2.4</v>
      </c>
      <c r="L9" s="53" t="n">
        <f aca="false">J9-D9</f>
        <v>0</v>
      </c>
    </row>
    <row r="10" customFormat="false" ht="15" hidden="false" customHeight="false" outlineLevel="0" collapsed="false">
      <c r="A10" s="16" t="s">
        <v>497</v>
      </c>
      <c r="B10" s="87" t="s">
        <v>498</v>
      </c>
      <c r="C10" s="17" t="s">
        <v>493</v>
      </c>
      <c r="D10" s="96" t="n">
        <v>0</v>
      </c>
      <c r="E10" s="96" t="n">
        <v>0</v>
      </c>
      <c r="F10" s="96" t="n">
        <v>0.45</v>
      </c>
      <c r="G10" s="96" t="n">
        <v>-0.45</v>
      </c>
      <c r="H10" s="96" t="n">
        <v>0</v>
      </c>
      <c r="I10" s="96" t="n">
        <v>0</v>
      </c>
      <c r="J10" s="96" t="n">
        <v>0</v>
      </c>
      <c r="K10" s="53" t="n">
        <f aca="false">AVERAGE(D10:J10)</f>
        <v>0</v>
      </c>
      <c r="L10" s="53" t="n">
        <f aca="false">J10-D10</f>
        <v>0</v>
      </c>
    </row>
    <row r="11" customFormat="false" ht="15" hidden="false" customHeight="false" outlineLevel="0" collapsed="false">
      <c r="A11" s="16" t="s">
        <v>499</v>
      </c>
      <c r="B11" s="87" t="s">
        <v>500</v>
      </c>
      <c r="C11" s="17" t="s">
        <v>493</v>
      </c>
      <c r="D11" s="96" t="n">
        <v>25.02</v>
      </c>
      <c r="E11" s="96" t="n">
        <v>23.92</v>
      </c>
      <c r="F11" s="96" t="n">
        <v>22.26</v>
      </c>
      <c r="G11" s="96" t="n">
        <v>23.55</v>
      </c>
      <c r="H11" s="96" t="n">
        <v>35.05</v>
      </c>
      <c r="I11" s="96" t="n">
        <v>62.32</v>
      </c>
      <c r="J11" s="96" t="n">
        <v>73.23</v>
      </c>
      <c r="K11" s="53" t="n">
        <f aca="false">AVERAGE(D11:J11)</f>
        <v>37.9071428571429</v>
      </c>
      <c r="L11" s="53" t="n">
        <f aca="false">J11-D11</f>
        <v>48.21</v>
      </c>
    </row>
    <row r="12" customFormat="false" ht="15" hidden="false" customHeight="false" outlineLevel="0" collapsed="false">
      <c r="A12" s="16" t="s">
        <v>501</v>
      </c>
      <c r="B12" s="87" t="s">
        <v>502</v>
      </c>
      <c r="C12" s="17" t="s">
        <v>493</v>
      </c>
      <c r="D12" s="96" t="n">
        <v>2916.38</v>
      </c>
      <c r="E12" s="96" t="n">
        <v>2749.28</v>
      </c>
      <c r="F12" s="96" t="n">
        <v>3530.09</v>
      </c>
      <c r="G12" s="96" t="n">
        <v>4364.71</v>
      </c>
      <c r="H12" s="96" t="n">
        <v>4661.27</v>
      </c>
      <c r="I12" s="96" t="n">
        <v>5207.69</v>
      </c>
      <c r="J12" s="96" t="n">
        <v>5963.51</v>
      </c>
      <c r="K12" s="53" t="n">
        <f aca="false">AVERAGE(D12:J12)</f>
        <v>4198.99</v>
      </c>
      <c r="L12" s="53" t="n">
        <f aca="false">J12-D12</f>
        <v>3047.13</v>
      </c>
    </row>
    <row r="13" customFormat="false" ht="15" hidden="false" customHeight="false" outlineLevel="0" collapsed="false">
      <c r="A13" s="12" t="s">
        <v>503</v>
      </c>
      <c r="B13" s="87" t="s">
        <v>504</v>
      </c>
      <c r="C13" s="17" t="s">
        <v>493</v>
      </c>
      <c r="D13" s="29" t="n">
        <f aca="false">D9+D11+D12-D10</f>
        <v>2941.4</v>
      </c>
      <c r="E13" s="29" t="n">
        <f aca="false">E9+E11+E12-E10</f>
        <v>2773.2</v>
      </c>
      <c r="F13" s="29" t="n">
        <f aca="false">F9+F11+F12-F10</f>
        <v>3561.71</v>
      </c>
      <c r="G13" s="29" t="n">
        <f aca="false">G9+G11+G12-G10</f>
        <v>4395.29</v>
      </c>
      <c r="H13" s="29" t="n">
        <f aca="false">H9+H11+H12-H10</f>
        <v>4696.73</v>
      </c>
      <c r="I13" s="29" t="n">
        <f aca="false">I9+I11+I12-I10</f>
        <v>5270.01</v>
      </c>
      <c r="J13" s="29" t="n">
        <f aca="false">J9+J11+J12-J10</f>
        <v>6036.74</v>
      </c>
      <c r="K13" s="29" t="n">
        <f aca="false">AVERAGE(D13:J13)</f>
        <v>4239.29714285714</v>
      </c>
      <c r="L13" s="29" t="n">
        <f aca="false">J13-D13</f>
        <v>3095.34</v>
      </c>
    </row>
    <row r="14" customFormat="false" ht="15" hidden="false" customHeight="false" outlineLevel="0" collapsed="false">
      <c r="A14" s="12" t="s">
        <v>505</v>
      </c>
      <c r="B14" s="87" t="s">
        <v>506</v>
      </c>
      <c r="C14" s="17" t="s">
        <v>493</v>
      </c>
      <c r="D14" s="29" t="n">
        <f aca="false">D7-D13</f>
        <v>529.74</v>
      </c>
      <c r="E14" s="29" t="n">
        <f aca="false">E7-E13</f>
        <v>490.52</v>
      </c>
      <c r="F14" s="29" t="n">
        <f aca="false">F7-F13</f>
        <v>579.05</v>
      </c>
      <c r="G14" s="29" t="n">
        <f aca="false">G7-G13</f>
        <v>733</v>
      </c>
      <c r="H14" s="29" t="n">
        <f aca="false">H7-H13</f>
        <v>809.24</v>
      </c>
      <c r="I14" s="29" t="n">
        <f aca="false">I7-I13</f>
        <v>834.820000000001</v>
      </c>
      <c r="J14" s="29" t="n">
        <f aca="false">J7-J13</f>
        <v>962.56</v>
      </c>
      <c r="K14" s="29" t="n">
        <f aca="false">AVERAGE(D14:J14)</f>
        <v>705.561428571429</v>
      </c>
      <c r="L14" s="29" t="n">
        <f aca="false">J14-D14</f>
        <v>432.820000000001</v>
      </c>
    </row>
    <row r="15" customFormat="false" ht="16.5" hidden="false" customHeight="true" outlineLevel="0" collapsed="false">
      <c r="A15" s="88" t="s">
        <v>507</v>
      </c>
      <c r="B15" s="89"/>
      <c r="C15" s="89"/>
      <c r="D15" s="89"/>
      <c r="E15" s="89"/>
      <c r="F15" s="89"/>
      <c r="G15" s="89"/>
      <c r="H15" s="89"/>
      <c r="I15" s="89"/>
      <c r="J15" s="89"/>
      <c r="K15" s="89"/>
      <c r="L15" s="89"/>
    </row>
    <row r="16" customFormat="false" ht="15" hidden="false" customHeight="false" outlineLevel="0" collapsed="false">
      <c r="A16" s="16" t="s">
        <v>508</v>
      </c>
      <c r="B16" s="87" t="s">
        <v>509</v>
      </c>
      <c r="C16" s="17" t="s">
        <v>493</v>
      </c>
      <c r="D16" s="96" t="n">
        <v>306.66</v>
      </c>
      <c r="E16" s="96" t="n">
        <v>296.46</v>
      </c>
      <c r="F16" s="96" t="n">
        <v>314.7</v>
      </c>
      <c r="G16" s="96" t="n">
        <v>354.56</v>
      </c>
      <c r="H16" s="96" t="n">
        <v>404.7</v>
      </c>
      <c r="I16" s="96" t="n">
        <v>403.6</v>
      </c>
      <c r="J16" s="96" t="n">
        <v>427.4</v>
      </c>
      <c r="K16" s="53" t="n">
        <f aca="false">AVERAGE(D16:J16)</f>
        <v>358.297142857143</v>
      </c>
      <c r="L16" s="53" t="n">
        <f aca="false">J16-D16</f>
        <v>120.74</v>
      </c>
    </row>
    <row r="17" customFormat="false" ht="15" hidden="false" customHeight="false" outlineLevel="0" collapsed="false">
      <c r="A17" s="16" t="s">
        <v>510</v>
      </c>
      <c r="B17" s="87" t="s">
        <v>511</v>
      </c>
      <c r="C17" s="17" t="s">
        <v>493</v>
      </c>
      <c r="D17" s="96" t="n">
        <v>40.94</v>
      </c>
      <c r="E17" s="96" t="n">
        <v>30.3</v>
      </c>
      <c r="F17" s="96" t="n">
        <v>45.18</v>
      </c>
      <c r="G17" s="96" t="n">
        <v>80.38</v>
      </c>
      <c r="H17" s="96" t="n">
        <v>110.3</v>
      </c>
      <c r="I17" s="96" t="n">
        <v>102.42</v>
      </c>
      <c r="J17" s="96" t="n">
        <v>101</v>
      </c>
      <c r="K17" s="53" t="n">
        <f aca="false">AVERAGE(D17:J17)</f>
        <v>72.9314285714286</v>
      </c>
      <c r="L17" s="53" t="n">
        <f aca="false">J17-D17</f>
        <v>60.06</v>
      </c>
    </row>
    <row r="18" customFormat="false" ht="15" hidden="false" customHeight="false" outlineLevel="0" collapsed="false">
      <c r="A18" s="16" t="s">
        <v>512</v>
      </c>
      <c r="B18" s="87" t="s">
        <v>513</v>
      </c>
      <c r="C18" s="17" t="s">
        <v>493</v>
      </c>
      <c r="D18" s="96" t="n">
        <v>23.66</v>
      </c>
      <c r="E18" s="96" t="n">
        <v>29.08</v>
      </c>
      <c r="F18" s="96" t="n">
        <v>34.81</v>
      </c>
      <c r="G18" s="96" t="n">
        <v>38.04</v>
      </c>
      <c r="H18" s="96" t="n">
        <v>63</v>
      </c>
      <c r="I18" s="96" t="n">
        <v>44.41</v>
      </c>
      <c r="J18" s="96" t="n">
        <v>55.36</v>
      </c>
      <c r="K18" s="53" t="n">
        <f aca="false">AVERAGE(D18:J18)</f>
        <v>41.1942857142857</v>
      </c>
      <c r="L18" s="53" t="n">
        <f aca="false">J18-D18</f>
        <v>31.7</v>
      </c>
    </row>
    <row r="19" customFormat="false" ht="15" hidden="false" customHeight="false" outlineLevel="0" collapsed="false">
      <c r="A19" s="12" t="s">
        <v>507</v>
      </c>
      <c r="B19" s="87" t="s">
        <v>514</v>
      </c>
      <c r="C19" s="17" t="s">
        <v>493</v>
      </c>
      <c r="D19" s="29" t="n">
        <f aca="false">D16+D17+D18</f>
        <v>371.26</v>
      </c>
      <c r="E19" s="29" t="n">
        <f aca="false">E16+E17+E18</f>
        <v>355.84</v>
      </c>
      <c r="F19" s="29" t="n">
        <f aca="false">F16+F17+F18</f>
        <v>394.69</v>
      </c>
      <c r="G19" s="29" t="n">
        <f aca="false">G16+G17+G18</f>
        <v>472.98</v>
      </c>
      <c r="H19" s="29" t="n">
        <f aca="false">H16+H17+H18</f>
        <v>578</v>
      </c>
      <c r="I19" s="29" t="n">
        <f aca="false">I16+I17+I18</f>
        <v>550.43</v>
      </c>
      <c r="J19" s="29" t="n">
        <f aca="false">J16+J17+J18</f>
        <v>583.76</v>
      </c>
      <c r="K19" s="29" t="n">
        <f aca="false">AVERAGE(D19:J19)</f>
        <v>472.422857142857</v>
      </c>
      <c r="L19" s="29" t="n">
        <f aca="false">J19-D19</f>
        <v>212.5</v>
      </c>
    </row>
    <row r="20" customFormat="false" ht="15" hidden="false" customHeight="false" outlineLevel="0" collapsed="false">
      <c r="A20" s="12" t="s">
        <v>515</v>
      </c>
      <c r="B20" s="87" t="s">
        <v>516</v>
      </c>
      <c r="C20" s="17" t="s">
        <v>493</v>
      </c>
      <c r="D20" s="29" t="n">
        <f aca="false">D13+D19</f>
        <v>3312.66</v>
      </c>
      <c r="E20" s="29" t="n">
        <f aca="false">E13+E19</f>
        <v>3129.04</v>
      </c>
      <c r="F20" s="29" t="n">
        <f aca="false">F13+F19</f>
        <v>3956.4</v>
      </c>
      <c r="G20" s="29" t="n">
        <f aca="false">G13+G19</f>
        <v>4868.27</v>
      </c>
      <c r="H20" s="29" t="n">
        <f aca="false">H13+H19</f>
        <v>5274.73</v>
      </c>
      <c r="I20" s="29" t="n">
        <f aca="false">I13+I19</f>
        <v>5820.44</v>
      </c>
      <c r="J20" s="29" t="n">
        <f aca="false">J13+J19</f>
        <v>6620.5</v>
      </c>
      <c r="K20" s="29" t="n">
        <f aca="false">AVERAGE(D20:J20)</f>
        <v>4711.72</v>
      </c>
      <c r="L20" s="29" t="n">
        <f aca="false">J20-D20</f>
        <v>3307.84</v>
      </c>
    </row>
    <row r="21" customFormat="false" ht="15" hidden="false" customHeight="false" outlineLevel="0" collapsed="false">
      <c r="A21" s="12" t="s">
        <v>517</v>
      </c>
      <c r="B21" s="87" t="s">
        <v>518</v>
      </c>
      <c r="C21" s="17" t="s">
        <v>493</v>
      </c>
      <c r="D21" s="29" t="n">
        <f aca="false">D7-D20</f>
        <v>158.48</v>
      </c>
      <c r="E21" s="29" t="n">
        <f aca="false">E7-E20</f>
        <v>134.679999999999</v>
      </c>
      <c r="F21" s="29" t="n">
        <f aca="false">F7-F20</f>
        <v>184.36</v>
      </c>
      <c r="G21" s="29" t="n">
        <f aca="false">G7-G20</f>
        <v>260.02</v>
      </c>
      <c r="H21" s="29" t="n">
        <f aca="false">H7-H20</f>
        <v>231.24</v>
      </c>
      <c r="I21" s="29" t="n">
        <f aca="false">I7-I20</f>
        <v>284.39</v>
      </c>
      <c r="J21" s="29" t="n">
        <f aca="false">J7-J20</f>
        <v>378.8</v>
      </c>
      <c r="K21" s="29" t="n">
        <f aca="false">AVERAGE(D21:J21)</f>
        <v>233.138571428571</v>
      </c>
      <c r="L21" s="29" t="n">
        <f aca="false">J21-D21</f>
        <v>220.320000000001</v>
      </c>
    </row>
    <row r="22" customFormat="false" ht="15" hidden="false" customHeight="false" outlineLevel="0" collapsed="false">
      <c r="A22" s="16" t="s">
        <v>519</v>
      </c>
      <c r="B22" s="87" t="s">
        <v>520</v>
      </c>
      <c r="C22" s="17" t="s">
        <v>493</v>
      </c>
      <c r="D22" s="96" t="n">
        <v>73.43</v>
      </c>
      <c r="E22" s="96" t="n">
        <v>89.65</v>
      </c>
      <c r="F22" s="96" t="n">
        <v>141.72</v>
      </c>
      <c r="G22" s="96" t="n">
        <v>189.5</v>
      </c>
      <c r="H22" s="96" t="n">
        <v>208.99</v>
      </c>
      <c r="I22" s="96" t="n">
        <v>226.32</v>
      </c>
      <c r="J22" s="96" t="n">
        <v>277.87</v>
      </c>
      <c r="K22" s="53" t="n">
        <f aca="false">AVERAGE(D22:J22)</f>
        <v>172.497142857143</v>
      </c>
      <c r="L22" s="53" t="n">
        <f aca="false">J22-D22</f>
        <v>204.44</v>
      </c>
    </row>
    <row r="23" customFormat="false" ht="15" hidden="false" customHeight="false" outlineLevel="0" collapsed="false">
      <c r="A23" s="12" t="s">
        <v>521</v>
      </c>
      <c r="B23" s="87" t="s">
        <v>522</v>
      </c>
      <c r="C23" s="17" t="s">
        <v>493</v>
      </c>
      <c r="D23" s="29" t="n">
        <f aca="false">D21-D22</f>
        <v>85.0499999999996</v>
      </c>
      <c r="E23" s="29" t="n">
        <f aca="false">E21-E22</f>
        <v>45.0299999999994</v>
      </c>
      <c r="F23" s="29" t="n">
        <f aca="false">F21-F22</f>
        <v>42.6399999999997</v>
      </c>
      <c r="G23" s="29" t="n">
        <f aca="false">G21-G22</f>
        <v>70.5199999999995</v>
      </c>
      <c r="H23" s="29" t="n">
        <f aca="false">H21-H22</f>
        <v>22.2499999999998</v>
      </c>
      <c r="I23" s="29" t="n">
        <f aca="false">I21-I22</f>
        <v>58.0700000000003</v>
      </c>
      <c r="J23" s="29" t="n">
        <f aca="false">J21-J22</f>
        <v>100.93</v>
      </c>
      <c r="K23" s="29" t="n">
        <f aca="false">AVERAGE(D23:J23)</f>
        <v>60.6414285714283</v>
      </c>
      <c r="L23" s="29" t="n">
        <f aca="false">J23-D23</f>
        <v>15.8800000000006</v>
      </c>
    </row>
    <row r="24" customFormat="false" ht="15" hidden="false" customHeight="false" outlineLevel="0" collapsed="false">
      <c r="A24" s="16" t="s">
        <v>523</v>
      </c>
      <c r="B24" s="87" t="s">
        <v>524</v>
      </c>
      <c r="C24" s="17" t="s">
        <v>493</v>
      </c>
      <c r="D24" s="96" t="n">
        <v>13.77</v>
      </c>
      <c r="E24" s="96" t="n">
        <v>14.26</v>
      </c>
      <c r="F24" s="96" t="n">
        <v>13.49</v>
      </c>
      <c r="G24" s="96" t="n">
        <v>15.59</v>
      </c>
      <c r="H24" s="96" t="n">
        <v>19.52</v>
      </c>
      <c r="I24" s="96" t="n">
        <v>15.47</v>
      </c>
      <c r="J24" s="96" t="n">
        <v>7.25</v>
      </c>
      <c r="K24" s="53" t="n">
        <f aca="false">AVERAGE(D24:J24)</f>
        <v>14.1928571428571</v>
      </c>
      <c r="L24" s="53" t="n">
        <f aca="false">J24-D24</f>
        <v>-6.52</v>
      </c>
    </row>
    <row r="25" customFormat="false" ht="15" hidden="false" customHeight="false" outlineLevel="0" collapsed="false">
      <c r="A25" s="16" t="s">
        <v>525</v>
      </c>
      <c r="B25" s="87" t="s">
        <v>526</v>
      </c>
      <c r="C25" s="17" t="s">
        <v>493</v>
      </c>
      <c r="D25" s="96" t="n">
        <v>17.63</v>
      </c>
      <c r="E25" s="96" t="n">
        <v>20.09</v>
      </c>
      <c r="F25" s="96" t="n">
        <v>29.82</v>
      </c>
      <c r="G25" s="96" t="n">
        <v>51.57</v>
      </c>
      <c r="H25" s="96" t="n">
        <v>68.16</v>
      </c>
      <c r="I25" s="96" t="n">
        <v>81.21</v>
      </c>
      <c r="J25" s="96" t="n">
        <v>75.02</v>
      </c>
      <c r="K25" s="53" t="n">
        <f aca="false">AVERAGE(D25:J25)</f>
        <v>49.0714285714286</v>
      </c>
      <c r="L25" s="53" t="n">
        <f aca="false">J25-D25</f>
        <v>57.39</v>
      </c>
    </row>
    <row r="26" customFormat="false" ht="15" hidden="false" customHeight="false" outlineLevel="0" collapsed="false">
      <c r="A26" s="12" t="s">
        <v>527</v>
      </c>
      <c r="B26" s="87" t="s">
        <v>528</v>
      </c>
      <c r="C26" s="17" t="s">
        <v>493</v>
      </c>
      <c r="D26" s="90" t="n">
        <f aca="false">D23+D24-D25</f>
        <v>81.1899999999996</v>
      </c>
      <c r="E26" s="90" t="n">
        <f aca="false">E23+E24-E25</f>
        <v>39.1999999999994</v>
      </c>
      <c r="F26" s="90" t="n">
        <f aca="false">F23+F24-F25</f>
        <v>26.3099999999997</v>
      </c>
      <c r="G26" s="90" t="n">
        <f aca="false">G23+G24-G25</f>
        <v>34.5399999999995</v>
      </c>
      <c r="H26" s="90" t="n">
        <f aca="false">H23+H24-H25</f>
        <v>-26.3900000000002</v>
      </c>
      <c r="I26" s="90" t="n">
        <f aca="false">I23+I24-I25</f>
        <v>-7.66999999999966</v>
      </c>
      <c r="J26" s="90" t="n">
        <f aca="false">J23+J24-J25</f>
        <v>33.1600000000002</v>
      </c>
      <c r="K26" s="91" t="n">
        <f aca="false">AVERAGE(D26:J26)</f>
        <v>25.7628571428569</v>
      </c>
      <c r="L26" s="91" t="n">
        <f aca="false">J26-D26</f>
        <v>-48.0299999999994</v>
      </c>
    </row>
    <row r="27" customFormat="false" ht="15" hidden="false" customHeight="false" outlineLevel="0" collapsed="false">
      <c r="A27" s="16" t="s">
        <v>529</v>
      </c>
      <c r="B27" s="87" t="s">
        <v>530</v>
      </c>
      <c r="C27" s="17" t="s">
        <v>493</v>
      </c>
      <c r="D27" s="96" t="n">
        <v>25.74</v>
      </c>
      <c r="E27" s="96" t="n">
        <v>10.02</v>
      </c>
      <c r="F27" s="96" t="n">
        <v>11.25</v>
      </c>
      <c r="G27" s="96" t="n">
        <v>7.12</v>
      </c>
      <c r="H27" s="96" t="n">
        <v>25.68</v>
      </c>
      <c r="I27" s="96" t="n">
        <v>22.33</v>
      </c>
      <c r="J27" s="96" t="n">
        <v>22.59</v>
      </c>
      <c r="K27" s="53" t="n">
        <f aca="false">AVERAGE(D27:J27)</f>
        <v>17.8185714285714</v>
      </c>
      <c r="L27" s="53" t="n">
        <f aca="false">J27-D27</f>
        <v>-3.15</v>
      </c>
    </row>
    <row r="28" customFormat="false" ht="15" hidden="false" customHeight="false" outlineLevel="0" collapsed="false">
      <c r="A28" s="16" t="s">
        <v>531</v>
      </c>
      <c r="B28" s="87" t="s">
        <v>532</v>
      </c>
      <c r="C28" s="17" t="s">
        <v>493</v>
      </c>
      <c r="D28" s="69" t="n">
        <f aca="false">D26-D27</f>
        <v>55.4499999999996</v>
      </c>
      <c r="E28" s="69" t="n">
        <f aca="false">E26-E27</f>
        <v>29.1799999999994</v>
      </c>
      <c r="F28" s="69" t="n">
        <f aca="false">F26-F27</f>
        <v>15.0599999999997</v>
      </c>
      <c r="G28" s="69" t="n">
        <f aca="false">G26-G27</f>
        <v>27.4199999999995</v>
      </c>
      <c r="H28" s="69" t="n">
        <f aca="false">H26-H27</f>
        <v>-52.0700000000002</v>
      </c>
      <c r="I28" s="69" t="n">
        <f aca="false">I26-I27</f>
        <v>-29.9999999999997</v>
      </c>
      <c r="J28" s="69" t="n">
        <f aca="false">J26-J27</f>
        <v>10.5700000000002</v>
      </c>
      <c r="K28" s="53" t="n">
        <f aca="false">AVERAGE(D28:J28)</f>
        <v>7.94428571428549</v>
      </c>
      <c r="L28" s="53" t="n">
        <f aca="false">J28-D28</f>
        <v>-44.8799999999994</v>
      </c>
    </row>
    <row r="29" customFormat="false" ht="15" hidden="false" customHeight="false" outlineLevel="0" collapsed="false">
      <c r="A29" s="16" t="s">
        <v>533</v>
      </c>
      <c r="B29" s="87" t="s">
        <v>534</v>
      </c>
      <c r="C29" s="17" t="s">
        <v>493</v>
      </c>
      <c r="D29" s="69" t="n">
        <f aca="false">D30-D28</f>
        <v>-0.329999999999565</v>
      </c>
      <c r="E29" s="69" t="n">
        <f aca="false">E30-E28</f>
        <v>0.820000000000622</v>
      </c>
      <c r="F29" s="69" t="n">
        <f aca="false">F30-F28</f>
        <v>2.50000000000032</v>
      </c>
      <c r="G29" s="69" t="n">
        <f aca="false">G30-G28</f>
        <v>-1.13999999999953</v>
      </c>
      <c r="H29" s="69" t="n">
        <f aca="false">H30-H28</f>
        <v>-2.66999999999977</v>
      </c>
      <c r="I29" s="69" t="n">
        <f aca="false">I30-I28</f>
        <v>-5.85000000000034</v>
      </c>
      <c r="J29" s="69" t="n">
        <f aca="false">J30-J28</f>
        <v>-8.28000000000018</v>
      </c>
      <c r="K29" s="53" t="n">
        <f aca="false">AVERAGE(D29:J29)</f>
        <v>-2.13571428571406</v>
      </c>
      <c r="L29" s="53" t="n">
        <f aca="false">J29-D29</f>
        <v>-7.95000000000062</v>
      </c>
    </row>
    <row r="30" customFormat="false" ht="15" hidden="false" customHeight="false" outlineLevel="0" collapsed="false">
      <c r="A30" s="16" t="s">
        <v>535</v>
      </c>
      <c r="B30" s="87" t="s">
        <v>536</v>
      </c>
      <c r="C30" s="17" t="s">
        <v>493</v>
      </c>
      <c r="D30" s="96" t="n">
        <v>55.12</v>
      </c>
      <c r="E30" s="96" t="n">
        <v>30</v>
      </c>
      <c r="F30" s="96" t="n">
        <v>17.56</v>
      </c>
      <c r="G30" s="96" t="n">
        <v>26.28</v>
      </c>
      <c r="H30" s="96" t="n">
        <v>-54.74</v>
      </c>
      <c r="I30" s="96" t="n">
        <v>-35.85</v>
      </c>
      <c r="J30" s="96" t="n">
        <v>2.29</v>
      </c>
      <c r="K30" s="53" t="n">
        <f aca="false">AVERAGE(D30:J30)</f>
        <v>5.80857142857143</v>
      </c>
      <c r="L30" s="53" t="n">
        <f aca="false">J30-D30</f>
        <v>-52.83</v>
      </c>
    </row>
    <row r="31" customFormat="false" ht="15" hidden="false" customHeight="false" outlineLevel="0" collapsed="false">
      <c r="A31" s="16" t="s">
        <v>537</v>
      </c>
      <c r="B31" s="87" t="s">
        <v>538</v>
      </c>
      <c r="C31" s="17" t="s">
        <v>493</v>
      </c>
      <c r="D31" s="96" t="n">
        <v>10.73</v>
      </c>
      <c r="E31" s="96" t="n">
        <v>17.92</v>
      </c>
      <c r="F31" s="96" t="n">
        <v>14.37</v>
      </c>
      <c r="G31" s="96" t="n">
        <v>18</v>
      </c>
      <c r="H31" s="96" t="n">
        <v>18.01</v>
      </c>
      <c r="I31" s="96" t="n">
        <v>18.03</v>
      </c>
      <c r="J31" s="96" t="n">
        <v>24.8</v>
      </c>
      <c r="K31" s="53" t="n">
        <f aca="false">AVERAGE(D31:J31)</f>
        <v>17.4085714285714</v>
      </c>
      <c r="L31" s="53" t="n">
        <f aca="false">J31-D31</f>
        <v>14.07</v>
      </c>
    </row>
    <row r="32" customFormat="false" ht="15" hidden="false" customHeight="false" outlineLevel="0" collapsed="false">
      <c r="A32" s="16" t="s">
        <v>539</v>
      </c>
      <c r="B32" s="87" t="s">
        <v>540</v>
      </c>
      <c r="C32" s="17" t="s">
        <v>493</v>
      </c>
      <c r="D32" s="96" t="n">
        <v>0</v>
      </c>
      <c r="E32" s="96" t="n">
        <v>0</v>
      </c>
      <c r="F32" s="96" t="n">
        <v>0</v>
      </c>
      <c r="G32" s="96" t="n">
        <v>0</v>
      </c>
      <c r="H32" s="96" t="n">
        <v>0</v>
      </c>
      <c r="I32" s="96" t="n">
        <v>0</v>
      </c>
      <c r="J32" s="96" t="n">
        <v>0</v>
      </c>
      <c r="K32" s="53" t="n">
        <f aca="false">AVERAGE(D32:J32)</f>
        <v>0</v>
      </c>
      <c r="L32" s="53" t="n">
        <f aca="false">J32-D32</f>
        <v>0</v>
      </c>
    </row>
    <row r="34" customFormat="false" ht="19.5" hidden="false" customHeight="true" outlineLevel="0" collapsed="false">
      <c r="A34" s="85" t="s">
        <v>541</v>
      </c>
      <c r="B34" s="86"/>
      <c r="C34" s="86"/>
      <c r="D34" s="86"/>
      <c r="E34" s="86"/>
      <c r="F34" s="86"/>
      <c r="G34" s="86"/>
      <c r="H34" s="86"/>
      <c r="I34" s="86"/>
      <c r="J34" s="86"/>
      <c r="K34" s="86"/>
      <c r="L34" s="86"/>
    </row>
    <row r="35" customFormat="false" ht="16.5" hidden="false" customHeight="true" outlineLevel="0" collapsed="false">
      <c r="A35" s="88" t="s">
        <v>542</v>
      </c>
      <c r="B35" s="89"/>
      <c r="C35" s="89"/>
      <c r="D35" s="89"/>
      <c r="E35" s="89"/>
      <c r="F35" s="89"/>
      <c r="G35" s="89"/>
      <c r="H35" s="89"/>
      <c r="I35" s="89"/>
      <c r="J35" s="89"/>
      <c r="K35" s="89"/>
      <c r="L35" s="89"/>
    </row>
    <row r="36" customFormat="false" ht="15" hidden="false" customHeight="false" outlineLevel="0" collapsed="false">
      <c r="A36" s="16" t="s">
        <v>543</v>
      </c>
      <c r="B36" s="87" t="s">
        <v>544</v>
      </c>
      <c r="C36" s="17" t="s">
        <v>493</v>
      </c>
      <c r="D36" s="96" t="n">
        <v>71.54</v>
      </c>
      <c r="E36" s="96" t="n">
        <v>71.67</v>
      </c>
      <c r="F36" s="96" t="n">
        <v>71.87</v>
      </c>
      <c r="G36" s="96" t="n">
        <v>71.98</v>
      </c>
      <c r="H36" s="96" t="n">
        <v>72.04</v>
      </c>
      <c r="I36" s="96" t="n">
        <v>72.13</v>
      </c>
      <c r="J36" s="96" t="n">
        <v>99.22</v>
      </c>
      <c r="K36" s="53" t="n">
        <f aca="false">AVERAGE(D36:J36)</f>
        <v>75.7785714285714</v>
      </c>
      <c r="L36" s="53" t="n">
        <f aca="false">J36-D36</f>
        <v>27.68</v>
      </c>
    </row>
    <row r="37" customFormat="false" ht="15" hidden="false" customHeight="false" outlineLevel="0" collapsed="false">
      <c r="A37" s="16" t="s">
        <v>545</v>
      </c>
      <c r="B37" s="87" t="s">
        <v>540</v>
      </c>
      <c r="C37" s="17" t="s">
        <v>493</v>
      </c>
      <c r="D37" s="96" t="n">
        <v>0</v>
      </c>
      <c r="E37" s="96" t="n">
        <v>0</v>
      </c>
      <c r="F37" s="96" t="n">
        <v>0</v>
      </c>
      <c r="G37" s="96" t="n">
        <v>0</v>
      </c>
      <c r="H37" s="96" t="n">
        <v>0</v>
      </c>
      <c r="I37" s="96" t="n">
        <v>0</v>
      </c>
      <c r="J37" s="96" t="n">
        <v>0</v>
      </c>
      <c r="K37" s="53" t="n">
        <f aca="false">AVERAGE(D37:J37)</f>
        <v>0</v>
      </c>
      <c r="L37" s="53" t="n">
        <f aca="false">J37-D37</f>
        <v>0</v>
      </c>
    </row>
    <row r="38" customFormat="false" ht="15" hidden="false" customHeight="false" outlineLevel="0" collapsed="false">
      <c r="A38" s="16" t="s">
        <v>546</v>
      </c>
      <c r="B38" s="87" t="s">
        <v>547</v>
      </c>
      <c r="C38" s="17" t="s">
        <v>493</v>
      </c>
      <c r="D38" s="96" t="n">
        <v>473.11</v>
      </c>
      <c r="E38" s="96" t="n">
        <v>496.39</v>
      </c>
      <c r="F38" s="96" t="n">
        <v>474.61</v>
      </c>
      <c r="G38" s="96" t="n">
        <v>489.69</v>
      </c>
      <c r="H38" s="96" t="n">
        <v>420.43</v>
      </c>
      <c r="I38" s="96" t="n">
        <v>365.75</v>
      </c>
      <c r="J38" s="96" t="n">
        <v>1075.56</v>
      </c>
      <c r="K38" s="53" t="n">
        <f aca="false">AVERAGE(D38:J38)</f>
        <v>542.22</v>
      </c>
      <c r="L38" s="53" t="n">
        <f aca="false">J38-D38</f>
        <v>602.45</v>
      </c>
    </row>
    <row r="39" customFormat="false" ht="15" hidden="false" customHeight="false" outlineLevel="0" collapsed="false">
      <c r="A39" s="12" t="s">
        <v>548</v>
      </c>
      <c r="B39" s="87" t="s">
        <v>549</v>
      </c>
      <c r="C39" s="17" t="s">
        <v>493</v>
      </c>
      <c r="D39" s="29" t="n">
        <f aca="false">D36+D38</f>
        <v>544.65</v>
      </c>
      <c r="E39" s="29" t="n">
        <f aca="false">E36+E38</f>
        <v>568.06</v>
      </c>
      <c r="F39" s="29" t="n">
        <f aca="false">F36+F38</f>
        <v>546.48</v>
      </c>
      <c r="G39" s="29" t="n">
        <f aca="false">G36+G38</f>
        <v>561.67</v>
      </c>
      <c r="H39" s="29" t="n">
        <f aca="false">H36+H38</f>
        <v>492.47</v>
      </c>
      <c r="I39" s="29" t="n">
        <f aca="false">I36+I38</f>
        <v>437.88</v>
      </c>
      <c r="J39" s="29" t="n">
        <f aca="false">J36+J38</f>
        <v>1174.78</v>
      </c>
      <c r="K39" s="29" t="n">
        <f aca="false">AVERAGE(D39:J39)</f>
        <v>617.998571428571</v>
      </c>
      <c r="L39" s="29" t="n">
        <f aca="false">J39-D39</f>
        <v>630.13</v>
      </c>
    </row>
    <row r="40" customFormat="false" ht="15" hidden="false" customHeight="false" outlineLevel="0" collapsed="false">
      <c r="A40" s="12" t="s">
        <v>550</v>
      </c>
      <c r="B40" s="87" t="s">
        <v>551</v>
      </c>
      <c r="C40" s="17" t="s">
        <v>493</v>
      </c>
      <c r="D40" s="29" t="n">
        <f aca="false">D39+D37</f>
        <v>544.65</v>
      </c>
      <c r="E40" s="29" t="n">
        <f aca="false">E39+E37</f>
        <v>568.06</v>
      </c>
      <c r="F40" s="29" t="n">
        <f aca="false">F39+F37</f>
        <v>546.48</v>
      </c>
      <c r="G40" s="29" t="n">
        <f aca="false">G39+G37</f>
        <v>561.67</v>
      </c>
      <c r="H40" s="29" t="n">
        <f aca="false">H39+H37</f>
        <v>492.47</v>
      </c>
      <c r="I40" s="29" t="n">
        <f aca="false">I39+I37</f>
        <v>437.88</v>
      </c>
      <c r="J40" s="29" t="n">
        <f aca="false">J39+J37</f>
        <v>1174.78</v>
      </c>
      <c r="K40" s="29" t="n">
        <f aca="false">AVERAGE(D40:J40)</f>
        <v>617.998571428571</v>
      </c>
      <c r="L40" s="29" t="n">
        <f aca="false">J40-D40</f>
        <v>630.13</v>
      </c>
    </row>
    <row r="41" customFormat="false" ht="15" hidden="false" customHeight="false" outlineLevel="0" collapsed="false">
      <c r="A41" s="16" t="s">
        <v>552</v>
      </c>
      <c r="B41" s="87" t="s">
        <v>553</v>
      </c>
      <c r="C41" s="17" t="s">
        <v>493</v>
      </c>
      <c r="D41" s="96" t="n">
        <v>201.3</v>
      </c>
      <c r="E41" s="96" t="n">
        <v>269.48</v>
      </c>
      <c r="F41" s="96" t="n">
        <v>402.42</v>
      </c>
      <c r="G41" s="96" t="n">
        <v>834.05</v>
      </c>
      <c r="H41" s="96" t="n">
        <v>739.29</v>
      </c>
      <c r="I41" s="96" t="n">
        <v>868.78</v>
      </c>
      <c r="J41" s="96" t="n">
        <v>649.75</v>
      </c>
      <c r="K41" s="53" t="n">
        <f aca="false">AVERAGE(D41:J41)</f>
        <v>566.438571428571</v>
      </c>
      <c r="L41" s="53" t="n">
        <f aca="false">J41-D41</f>
        <v>448.45</v>
      </c>
    </row>
    <row r="42" customFormat="false" ht="15" hidden="false" customHeight="false" outlineLevel="0" collapsed="false">
      <c r="A42" s="16" t="s">
        <v>554</v>
      </c>
      <c r="B42" s="87" t="s">
        <v>555</v>
      </c>
      <c r="C42" s="17" t="s">
        <v>493</v>
      </c>
      <c r="D42" s="96" t="n">
        <v>675.89</v>
      </c>
      <c r="E42" s="96" t="n">
        <v>849.39</v>
      </c>
      <c r="F42" s="96" t="n">
        <v>1026.54</v>
      </c>
      <c r="G42" s="96" t="n">
        <v>1157.22</v>
      </c>
      <c r="H42" s="96" t="n">
        <v>1245.44</v>
      </c>
      <c r="I42" s="96" t="n">
        <v>1272.14</v>
      </c>
      <c r="J42" s="96" t="n">
        <v>1280.48</v>
      </c>
      <c r="K42" s="53" t="n">
        <f aca="false">AVERAGE(D42:J42)</f>
        <v>1072.44285714286</v>
      </c>
      <c r="L42" s="53" t="n">
        <f aca="false">J42-D42</f>
        <v>604.59</v>
      </c>
    </row>
    <row r="43" customFormat="false" ht="15" hidden="false" customHeight="false" outlineLevel="0" collapsed="false">
      <c r="A43" s="12" t="s">
        <v>556</v>
      </c>
      <c r="B43" s="87" t="s">
        <v>557</v>
      </c>
      <c r="C43" s="17" t="s">
        <v>493</v>
      </c>
      <c r="D43" s="90" t="n">
        <f aca="false">D40+D41+D42</f>
        <v>1421.84</v>
      </c>
      <c r="E43" s="90" t="n">
        <f aca="false">E40+E41+E42</f>
        <v>1686.93</v>
      </c>
      <c r="F43" s="90" t="n">
        <f aca="false">F40+F41+F42</f>
        <v>1975.44</v>
      </c>
      <c r="G43" s="90" t="n">
        <f aca="false">G40+G41+G42</f>
        <v>2552.94</v>
      </c>
      <c r="H43" s="90" t="n">
        <f aca="false">H40+H41+H42</f>
        <v>2477.2</v>
      </c>
      <c r="I43" s="90" t="n">
        <f aca="false">I40+I41+I42</f>
        <v>2578.8</v>
      </c>
      <c r="J43" s="90" t="n">
        <f aca="false">J40+J41+J42</f>
        <v>3105.01</v>
      </c>
      <c r="K43" s="91" t="n">
        <f aca="false">AVERAGE(D43:J43)</f>
        <v>2256.88</v>
      </c>
      <c r="L43" s="91" t="n">
        <f aca="false">J43-D43</f>
        <v>1683.17</v>
      </c>
    </row>
    <row r="44" customFormat="false" ht="16.5" hidden="false" customHeight="true" outlineLevel="0" collapsed="false">
      <c r="A44" s="88" t="s">
        <v>558</v>
      </c>
      <c r="B44" s="89"/>
      <c r="C44" s="89"/>
      <c r="D44" s="89"/>
      <c r="E44" s="89"/>
      <c r="F44" s="89"/>
      <c r="G44" s="89"/>
      <c r="H44" s="89"/>
      <c r="I44" s="89"/>
      <c r="J44" s="89"/>
      <c r="K44" s="89"/>
      <c r="L44" s="89"/>
    </row>
    <row r="45" customFormat="false" ht="15" hidden="false" customHeight="false" outlineLevel="0" collapsed="false">
      <c r="A45" s="16" t="s">
        <v>559</v>
      </c>
      <c r="B45" s="87" t="s">
        <v>560</v>
      </c>
      <c r="C45" s="17" t="s">
        <v>493</v>
      </c>
      <c r="D45" s="96" t="n">
        <v>230.96</v>
      </c>
      <c r="E45" s="96" t="n">
        <v>360.72</v>
      </c>
      <c r="F45" s="96" t="n">
        <v>500.55</v>
      </c>
      <c r="G45" s="96" t="n">
        <v>829.68</v>
      </c>
      <c r="H45" s="96" t="n">
        <v>836.19</v>
      </c>
      <c r="I45" s="96" t="n">
        <v>929.56</v>
      </c>
      <c r="J45" s="96" t="n">
        <v>1147.46</v>
      </c>
      <c r="K45" s="53" t="n">
        <f aca="false">AVERAGE(D45:J45)</f>
        <v>690.731428571429</v>
      </c>
      <c r="L45" s="53" t="n">
        <f aca="false">J45-D45</f>
        <v>916.5</v>
      </c>
    </row>
    <row r="46" customFormat="false" ht="15" hidden="false" customHeight="false" outlineLevel="0" collapsed="false">
      <c r="A46" s="16" t="s">
        <v>561</v>
      </c>
      <c r="B46" s="87" t="s">
        <v>562</v>
      </c>
      <c r="C46" s="17" t="s">
        <v>493</v>
      </c>
      <c r="D46" s="96" t="n">
        <v>15.04</v>
      </c>
      <c r="E46" s="96" t="n">
        <v>3.06</v>
      </c>
      <c r="F46" s="96" t="n">
        <v>13.82</v>
      </c>
      <c r="G46" s="96" t="n">
        <v>3.78</v>
      </c>
      <c r="H46" s="96" t="n">
        <v>16.24</v>
      </c>
      <c r="I46" s="96" t="n">
        <v>45.76</v>
      </c>
      <c r="J46" s="96" t="n">
        <v>24.32</v>
      </c>
      <c r="K46" s="53" t="n">
        <f aca="false">AVERAGE(D46:J46)</f>
        <v>17.4314285714286</v>
      </c>
      <c r="L46" s="53" t="n">
        <f aca="false">J46-D46</f>
        <v>9.28</v>
      </c>
    </row>
    <row r="47" customFormat="false" ht="15" hidden="false" customHeight="false" outlineLevel="0" collapsed="false">
      <c r="A47" s="16" t="s">
        <v>563</v>
      </c>
      <c r="B47" s="87" t="s">
        <v>564</v>
      </c>
      <c r="C47" s="17" t="s">
        <v>493</v>
      </c>
      <c r="D47" s="96" t="n">
        <v>3.14</v>
      </c>
      <c r="E47" s="96" t="n">
        <v>55.07</v>
      </c>
      <c r="F47" s="96" t="n">
        <v>117.75</v>
      </c>
      <c r="G47" s="96" t="n">
        <v>99.87</v>
      </c>
      <c r="H47" s="96" t="n">
        <v>5.86</v>
      </c>
      <c r="I47" s="96" t="n">
        <v>22.63</v>
      </c>
      <c r="J47" s="96" t="n">
        <v>124.88</v>
      </c>
      <c r="K47" s="53" t="n">
        <f aca="false">AVERAGE(D47:J47)</f>
        <v>61.3142857142857</v>
      </c>
      <c r="L47" s="53" t="n">
        <f aca="false">J47-D47</f>
        <v>121.74</v>
      </c>
    </row>
    <row r="48" customFormat="false" ht="15" hidden="false" customHeight="false" outlineLevel="0" collapsed="false">
      <c r="A48" s="16" t="s">
        <v>565</v>
      </c>
      <c r="B48" s="87" t="s">
        <v>566</v>
      </c>
      <c r="C48" s="17" t="s">
        <v>493</v>
      </c>
      <c r="D48" s="96" t="n">
        <v>1172.7</v>
      </c>
      <c r="E48" s="96" t="n">
        <v>1268.08</v>
      </c>
      <c r="F48" s="96" t="n">
        <v>1343.32</v>
      </c>
      <c r="G48" s="96" t="n">
        <v>1619.61</v>
      </c>
      <c r="H48" s="96" t="n">
        <v>1618.91</v>
      </c>
      <c r="I48" s="96" t="n">
        <v>1580.85</v>
      </c>
      <c r="J48" s="96" t="n">
        <v>1808.35</v>
      </c>
      <c r="K48" s="53" t="n">
        <f aca="false">AVERAGE(D48:J48)</f>
        <v>1487.40285714286</v>
      </c>
      <c r="L48" s="53" t="n">
        <f aca="false">J48-D48</f>
        <v>635.65</v>
      </c>
    </row>
    <row r="49" customFormat="false" ht="15" hidden="false" customHeight="false" outlineLevel="0" collapsed="false">
      <c r="A49" s="12" t="s">
        <v>567</v>
      </c>
      <c r="B49" s="87" t="s">
        <v>568</v>
      </c>
      <c r="C49" s="17" t="s">
        <v>493</v>
      </c>
      <c r="D49" s="90" t="n">
        <f aca="false">D45+D46+D47+D48</f>
        <v>1421.84</v>
      </c>
      <c r="E49" s="90" t="n">
        <f aca="false">E45+E46+E47+E48</f>
        <v>1686.93</v>
      </c>
      <c r="F49" s="90" t="n">
        <f aca="false">F45+F46+F47+F48</f>
        <v>1975.44</v>
      </c>
      <c r="G49" s="90" t="n">
        <f aca="false">G45+G46+G47+G48</f>
        <v>2552.94</v>
      </c>
      <c r="H49" s="90" t="n">
        <f aca="false">H45+H46+H47+H48</f>
        <v>2477.2</v>
      </c>
      <c r="I49" s="90" t="n">
        <f aca="false">I45+I46+I47+I48</f>
        <v>2578.8</v>
      </c>
      <c r="J49" s="90" t="n">
        <f aca="false">J45+J46+J47+J48</f>
        <v>3105.01</v>
      </c>
      <c r="K49" s="91" t="n">
        <f aca="false">AVERAGE(D49:J49)</f>
        <v>2256.88</v>
      </c>
      <c r="L49" s="91" t="n">
        <f aca="false">J49-D49</f>
        <v>1683.17</v>
      </c>
    </row>
    <row r="50" customFormat="false" ht="15" hidden="false" customHeight="false" outlineLevel="0" collapsed="false">
      <c r="A50" s="16" t="s">
        <v>569</v>
      </c>
      <c r="B50" s="87" t="s">
        <v>570</v>
      </c>
      <c r="C50" s="17" t="s">
        <v>493</v>
      </c>
      <c r="D50" s="96" t="n">
        <v>535.63</v>
      </c>
      <c r="E50" s="96" t="n">
        <v>485.6</v>
      </c>
      <c r="F50" s="96" t="n">
        <v>488.9</v>
      </c>
      <c r="G50" s="96" t="n">
        <v>652.49</v>
      </c>
      <c r="H50" s="96" t="n">
        <v>701.9</v>
      </c>
      <c r="I50" s="96" t="n">
        <v>625.1</v>
      </c>
      <c r="J50" s="96" t="n">
        <v>689.59</v>
      </c>
      <c r="K50" s="53" t="n">
        <f aca="false">AVERAGE(D50:J50)</f>
        <v>597.03</v>
      </c>
      <c r="L50" s="53" t="n">
        <f aca="false">J50-D50</f>
        <v>153.96</v>
      </c>
    </row>
    <row r="51" customFormat="false" ht="15" hidden="false" customHeight="false" outlineLevel="0" collapsed="false">
      <c r="A51" s="16" t="s">
        <v>571</v>
      </c>
      <c r="B51" s="87" t="s">
        <v>570</v>
      </c>
      <c r="C51" s="17" t="s">
        <v>493</v>
      </c>
      <c r="D51" s="96" t="n">
        <v>0</v>
      </c>
      <c r="E51" s="96" t="n">
        <v>0</v>
      </c>
      <c r="F51" s="96" t="n">
        <v>1.43</v>
      </c>
      <c r="G51" s="96" t="n">
        <v>0.41</v>
      </c>
      <c r="H51" s="96" t="n">
        <v>0</v>
      </c>
      <c r="I51" s="96" t="n">
        <v>0</v>
      </c>
      <c r="J51" s="96" t="n">
        <v>0</v>
      </c>
      <c r="K51" s="53" t="n">
        <f aca="false">AVERAGE(D51:J51)</f>
        <v>0.262857142857143</v>
      </c>
      <c r="L51" s="53" t="n">
        <f aca="false">J51-D51</f>
        <v>0</v>
      </c>
    </row>
    <row r="52" customFormat="false" ht="15" hidden="false" customHeight="false" outlineLevel="0" collapsed="false">
      <c r="A52" s="16" t="s">
        <v>572</v>
      </c>
      <c r="B52" s="87" t="s">
        <v>570</v>
      </c>
      <c r="C52" s="17" t="s">
        <v>493</v>
      </c>
      <c r="D52" s="96" t="n">
        <v>99.53</v>
      </c>
      <c r="E52" s="96" t="n">
        <v>197.77</v>
      </c>
      <c r="F52" s="96" t="n">
        <v>134.33</v>
      </c>
      <c r="G52" s="96" t="n">
        <v>126.23</v>
      </c>
      <c r="H52" s="96" t="n">
        <v>71.07</v>
      </c>
      <c r="I52" s="96" t="n">
        <v>75.97</v>
      </c>
      <c r="J52" s="96" t="n">
        <v>199.55</v>
      </c>
      <c r="K52" s="53" t="n">
        <f aca="false">AVERAGE(D52:J52)</f>
        <v>129.207142857143</v>
      </c>
      <c r="L52" s="53" t="n">
        <f aca="false">J52-D52</f>
        <v>100.02</v>
      </c>
    </row>
    <row r="53" customFormat="false" ht="15" hidden="false" customHeight="false" outlineLevel="0" collapsed="false">
      <c r="A53" s="16" t="s">
        <v>573</v>
      </c>
      <c r="B53" s="87" t="s">
        <v>574</v>
      </c>
      <c r="C53" s="17" t="s">
        <v>493</v>
      </c>
      <c r="D53" s="92" t="n">
        <f aca="false">D49-D43</f>
        <v>0</v>
      </c>
      <c r="E53" s="92" t="n">
        <f aca="false">E49-E43</f>
        <v>0</v>
      </c>
      <c r="F53" s="92" t="n">
        <f aca="false">F49-F43</f>
        <v>0</v>
      </c>
      <c r="G53" s="92" t="n">
        <f aca="false">G49-G43</f>
        <v>0</v>
      </c>
      <c r="H53" s="92" t="n">
        <f aca="false">H49-H43</f>
        <v>0</v>
      </c>
      <c r="I53" s="92" t="n">
        <f aca="false">I49-I43</f>
        <v>0</v>
      </c>
      <c r="J53" s="92" t="n">
        <f aca="false">J49-J43</f>
        <v>0</v>
      </c>
      <c r="K53" s="53"/>
      <c r="L53" s="53"/>
    </row>
    <row r="55" customFormat="false" ht="19.5" hidden="false" customHeight="true" outlineLevel="0" collapsed="false">
      <c r="A55" s="85" t="s">
        <v>575</v>
      </c>
      <c r="B55" s="86"/>
      <c r="C55" s="86"/>
      <c r="D55" s="86"/>
      <c r="E55" s="86"/>
      <c r="F55" s="86"/>
      <c r="G55" s="86"/>
      <c r="H55" s="86"/>
      <c r="I55" s="86"/>
      <c r="J55" s="86"/>
      <c r="K55" s="86"/>
      <c r="L55" s="86"/>
    </row>
    <row r="56" customFormat="false" ht="16.5" hidden="false" customHeight="true" outlineLevel="0" collapsed="false">
      <c r="A56" s="88" t="s">
        <v>576</v>
      </c>
      <c r="B56" s="89"/>
      <c r="C56" s="89"/>
      <c r="D56" s="89"/>
      <c r="E56" s="89"/>
      <c r="F56" s="89"/>
      <c r="G56" s="89"/>
      <c r="H56" s="89"/>
      <c r="I56" s="89"/>
      <c r="J56" s="89"/>
      <c r="K56" s="89"/>
      <c r="L56" s="89"/>
    </row>
    <row r="57" customFormat="false" ht="15" hidden="false" customHeight="false" outlineLevel="0" collapsed="false">
      <c r="A57" s="16" t="s">
        <v>527</v>
      </c>
      <c r="B57" s="87" t="s">
        <v>577</v>
      </c>
      <c r="C57" s="17" t="s">
        <v>493</v>
      </c>
      <c r="D57" s="69" t="n">
        <f aca="false">D26</f>
        <v>81.1899999999996</v>
      </c>
      <c r="E57" s="69" t="n">
        <f aca="false">E26</f>
        <v>39.1999999999994</v>
      </c>
      <c r="F57" s="69" t="n">
        <f aca="false">F26</f>
        <v>26.3099999999997</v>
      </c>
      <c r="G57" s="69" t="n">
        <f aca="false">G26</f>
        <v>34.5399999999995</v>
      </c>
      <c r="H57" s="69" t="n">
        <f aca="false">H26</f>
        <v>-26.3900000000002</v>
      </c>
      <c r="I57" s="69" t="n">
        <f aca="false">I26</f>
        <v>-7.66999999999966</v>
      </c>
      <c r="J57" s="69" t="n">
        <f aca="false">J26</f>
        <v>33.1600000000002</v>
      </c>
      <c r="K57" s="53" t="n">
        <f aca="false">AVERAGE(D57:J57)</f>
        <v>25.7628571428569</v>
      </c>
      <c r="L57" s="53" t="n">
        <f aca="false">J57-D57</f>
        <v>-48.0299999999994</v>
      </c>
    </row>
    <row r="58" customFormat="false" ht="15" hidden="false" customHeight="false" outlineLevel="0" collapsed="false">
      <c r="A58" s="16" t="s">
        <v>578</v>
      </c>
      <c r="B58" s="87" t="s">
        <v>579</v>
      </c>
      <c r="C58" s="17" t="s">
        <v>493</v>
      </c>
      <c r="D58" s="69" t="n">
        <f aca="false">D22</f>
        <v>73.43</v>
      </c>
      <c r="E58" s="69" t="n">
        <f aca="false">E22</f>
        <v>89.65</v>
      </c>
      <c r="F58" s="69" t="n">
        <f aca="false">F22</f>
        <v>141.72</v>
      </c>
      <c r="G58" s="69" t="n">
        <f aca="false">G22</f>
        <v>189.5</v>
      </c>
      <c r="H58" s="69" t="n">
        <f aca="false">H22</f>
        <v>208.99</v>
      </c>
      <c r="I58" s="69" t="n">
        <f aca="false">I22</f>
        <v>226.32</v>
      </c>
      <c r="J58" s="69" t="n">
        <f aca="false">J22</f>
        <v>277.87</v>
      </c>
      <c r="K58" s="53" t="n">
        <f aca="false">AVERAGE(D58:J58)</f>
        <v>172.497142857143</v>
      </c>
      <c r="L58" s="53" t="n">
        <f aca="false">J58-D58</f>
        <v>204.44</v>
      </c>
    </row>
    <row r="59" customFormat="false" ht="15" hidden="false" customHeight="false" outlineLevel="0" collapsed="false">
      <c r="A59" s="16" t="s">
        <v>580</v>
      </c>
      <c r="B59" s="87" t="s">
        <v>581</v>
      </c>
      <c r="C59" s="17" t="s">
        <v>493</v>
      </c>
      <c r="D59" s="69" t="n">
        <f aca="false">D25</f>
        <v>17.63</v>
      </c>
      <c r="E59" s="69" t="n">
        <f aca="false">E25</f>
        <v>20.09</v>
      </c>
      <c r="F59" s="69" t="n">
        <f aca="false">F25</f>
        <v>29.82</v>
      </c>
      <c r="G59" s="69" t="n">
        <f aca="false">G25</f>
        <v>51.57</v>
      </c>
      <c r="H59" s="69" t="n">
        <f aca="false">H25</f>
        <v>68.16</v>
      </c>
      <c r="I59" s="69" t="n">
        <f aca="false">I25</f>
        <v>81.21</v>
      </c>
      <c r="J59" s="69" t="n">
        <f aca="false">J25</f>
        <v>75.02</v>
      </c>
      <c r="K59" s="53" t="n">
        <f aca="false">AVERAGE(D59:J59)</f>
        <v>49.0714285714286</v>
      </c>
      <c r="L59" s="53" t="n">
        <f aca="false">J59-D59</f>
        <v>57.39</v>
      </c>
    </row>
    <row r="60" customFormat="false" ht="15" hidden="false" customHeight="false" outlineLevel="0" collapsed="false">
      <c r="A60" s="16" t="s">
        <v>582</v>
      </c>
      <c r="B60" s="87" t="s">
        <v>583</v>
      </c>
      <c r="C60" s="17" t="s">
        <v>493</v>
      </c>
      <c r="D60" s="69" t="n">
        <f aca="false">-D24</f>
        <v>-13.77</v>
      </c>
      <c r="E60" s="69" t="n">
        <f aca="false">-E24</f>
        <v>-14.26</v>
      </c>
      <c r="F60" s="69" t="n">
        <f aca="false">-F24</f>
        <v>-13.49</v>
      </c>
      <c r="G60" s="69" t="n">
        <f aca="false">-G24</f>
        <v>-15.59</v>
      </c>
      <c r="H60" s="69" t="n">
        <f aca="false">-H24</f>
        <v>-19.52</v>
      </c>
      <c r="I60" s="69" t="n">
        <f aca="false">-I24</f>
        <v>-15.47</v>
      </c>
      <c r="J60" s="69" t="n">
        <f aca="false">-J24</f>
        <v>-7.25</v>
      </c>
      <c r="K60" s="53" t="n">
        <f aca="false">AVERAGE(D60:J60)</f>
        <v>-14.1928571428571</v>
      </c>
      <c r="L60" s="53" t="n">
        <f aca="false">J60-D60</f>
        <v>6.52</v>
      </c>
    </row>
    <row r="61" customFormat="false" ht="15" hidden="false" customHeight="false" outlineLevel="0" collapsed="false">
      <c r="A61" s="12" t="s">
        <v>584</v>
      </c>
      <c r="B61" s="87" t="s">
        <v>585</v>
      </c>
      <c r="C61" s="17" t="s">
        <v>493</v>
      </c>
      <c r="D61" s="29" t="n">
        <f aca="false">D57+D58+D59+D60</f>
        <v>158.48</v>
      </c>
      <c r="E61" s="29" t="n">
        <f aca="false">E57+E58+E59+E60</f>
        <v>134.679999999999</v>
      </c>
      <c r="F61" s="29" t="n">
        <f aca="false">F57+F58+F59+F60</f>
        <v>184.36</v>
      </c>
      <c r="G61" s="29" t="n">
        <f aca="false">G57+G58+G59+G60</f>
        <v>260.02</v>
      </c>
      <c r="H61" s="29" t="n">
        <f aca="false">H57+H58+H59+H60</f>
        <v>231.24</v>
      </c>
      <c r="I61" s="29" t="n">
        <f aca="false">I57+I58+I59+I60</f>
        <v>284.39</v>
      </c>
      <c r="J61" s="29" t="n">
        <f aca="false">J57+J58+J59+J60</f>
        <v>378.8</v>
      </c>
      <c r="K61" s="29" t="n">
        <f aca="false">AVERAGE(D61:J61)</f>
        <v>233.138571428571</v>
      </c>
      <c r="L61" s="29" t="n">
        <f aca="false">J61-D61</f>
        <v>220.320000000001</v>
      </c>
    </row>
    <row r="62" customFormat="false" ht="15" hidden="false" customHeight="false" outlineLevel="0" collapsed="false">
      <c r="A62" s="16" t="s">
        <v>586</v>
      </c>
      <c r="B62" s="87" t="s">
        <v>587</v>
      </c>
      <c r="C62" s="17" t="s">
        <v>493</v>
      </c>
      <c r="D62" s="69" t="n">
        <f aca="false">D63-D61</f>
        <v>-73.0999999999995</v>
      </c>
      <c r="E62" s="69" t="n">
        <f aca="false">E63-E61</f>
        <v>159.010000000001</v>
      </c>
      <c r="F62" s="69" t="n">
        <f aca="false">F63-F61</f>
        <v>6.62000000000032</v>
      </c>
      <c r="G62" s="69" t="n">
        <f aca="false">G63-G61</f>
        <v>-140.62</v>
      </c>
      <c r="H62" s="69" t="n">
        <f aca="false">H63-H61</f>
        <v>-4.37999999999977</v>
      </c>
      <c r="I62" s="69" t="n">
        <f aca="false">I63-I61</f>
        <v>58.7799999999997</v>
      </c>
      <c r="J62" s="69" t="n">
        <f aca="false">J63-J61</f>
        <v>-125.19</v>
      </c>
      <c r="K62" s="53" t="n">
        <f aca="false">AVERAGE(D62:J62)</f>
        <v>-16.9828571428569</v>
      </c>
      <c r="L62" s="53" t="n">
        <f aca="false">J62-D62</f>
        <v>-52.0900000000006</v>
      </c>
    </row>
    <row r="63" customFormat="false" ht="15" hidden="false" customHeight="false" outlineLevel="0" collapsed="false">
      <c r="A63" s="16" t="s">
        <v>588</v>
      </c>
      <c r="B63" s="87" t="s">
        <v>589</v>
      </c>
      <c r="C63" s="17" t="s">
        <v>493</v>
      </c>
      <c r="D63" s="96" t="n">
        <v>85.38</v>
      </c>
      <c r="E63" s="96" t="n">
        <v>293.69</v>
      </c>
      <c r="F63" s="96" t="n">
        <v>190.98</v>
      </c>
      <c r="G63" s="96" t="n">
        <v>119.4</v>
      </c>
      <c r="H63" s="96" t="n">
        <v>226.86</v>
      </c>
      <c r="I63" s="96" t="n">
        <v>343.17</v>
      </c>
      <c r="J63" s="96" t="n">
        <v>253.61</v>
      </c>
      <c r="K63" s="53" t="n">
        <f aca="false">AVERAGE(D63:J63)</f>
        <v>216.155714285714</v>
      </c>
      <c r="L63" s="53" t="n">
        <f aca="false">J63-D63</f>
        <v>168.23</v>
      </c>
    </row>
    <row r="64" customFormat="false" ht="16.5" hidden="false" customHeight="true" outlineLevel="0" collapsed="false">
      <c r="A64" s="88" t="s">
        <v>590</v>
      </c>
      <c r="B64" s="89"/>
      <c r="C64" s="89"/>
      <c r="D64" s="89"/>
      <c r="E64" s="89"/>
      <c r="F64" s="89"/>
      <c r="G64" s="89"/>
      <c r="H64" s="89"/>
      <c r="I64" s="89"/>
      <c r="J64" s="89"/>
      <c r="K64" s="89"/>
      <c r="L64" s="89"/>
    </row>
    <row r="65" customFormat="false" ht="15" hidden="false" customHeight="false" outlineLevel="0" collapsed="false">
      <c r="A65" s="16" t="s">
        <v>591</v>
      </c>
      <c r="B65" s="87" t="s">
        <v>592</v>
      </c>
      <c r="C65" s="17" t="s">
        <v>493</v>
      </c>
      <c r="D65" s="96" t="n">
        <v>35.51</v>
      </c>
      <c r="E65" s="96" t="n">
        <v>-107.97</v>
      </c>
      <c r="F65" s="96" t="n">
        <v>-139.85</v>
      </c>
      <c r="G65" s="96" t="n">
        <v>-310.02</v>
      </c>
      <c r="H65" s="96" t="n">
        <v>-52.55</v>
      </c>
      <c r="I65" s="96" t="n">
        <v>-154.75</v>
      </c>
      <c r="J65" s="96" t="n">
        <v>-316.16</v>
      </c>
      <c r="K65" s="53" t="n">
        <f aca="false">AVERAGE(D65:J65)</f>
        <v>-149.398571428571</v>
      </c>
      <c r="L65" s="53" t="n">
        <f aca="false">J65-D65</f>
        <v>-351.67</v>
      </c>
    </row>
    <row r="66" customFormat="false" ht="16.5" hidden="false" customHeight="true" outlineLevel="0" collapsed="false">
      <c r="A66" s="88" t="s">
        <v>593</v>
      </c>
      <c r="B66" s="89"/>
      <c r="C66" s="89"/>
      <c r="D66" s="89"/>
      <c r="E66" s="89"/>
      <c r="F66" s="89"/>
      <c r="G66" s="89"/>
      <c r="H66" s="89"/>
      <c r="I66" s="89"/>
      <c r="J66" s="89"/>
      <c r="K66" s="89"/>
      <c r="L66" s="89"/>
    </row>
    <row r="67" customFormat="false" ht="15" hidden="false" customHeight="false" outlineLevel="0" collapsed="false">
      <c r="A67" s="16" t="s">
        <v>594</v>
      </c>
      <c r="B67" s="87" t="s">
        <v>595</v>
      </c>
      <c r="C67" s="17" t="s">
        <v>493</v>
      </c>
      <c r="D67" s="69" t="n">
        <f aca="false">-D25</f>
        <v>-17.63</v>
      </c>
      <c r="E67" s="69" t="n">
        <f aca="false">-E25</f>
        <v>-20.09</v>
      </c>
      <c r="F67" s="69" t="n">
        <f aca="false">-F25</f>
        <v>-29.82</v>
      </c>
      <c r="G67" s="69" t="n">
        <f aca="false">-G25</f>
        <v>-51.57</v>
      </c>
      <c r="H67" s="69" t="n">
        <f aca="false">-H25</f>
        <v>-68.16</v>
      </c>
      <c r="I67" s="69" t="n">
        <f aca="false">-I25</f>
        <v>-81.21</v>
      </c>
      <c r="J67" s="69" t="n">
        <f aca="false">-J25</f>
        <v>-75.02</v>
      </c>
      <c r="K67" s="53" t="n">
        <f aca="false">AVERAGE(D67:J67)</f>
        <v>-49.0714285714286</v>
      </c>
      <c r="L67" s="53" t="n">
        <f aca="false">J67-D67</f>
        <v>-57.39</v>
      </c>
    </row>
    <row r="68" customFormat="false" ht="15" hidden="false" customHeight="false" outlineLevel="0" collapsed="false">
      <c r="A68" s="16" t="s">
        <v>596</v>
      </c>
      <c r="B68" s="87" t="s">
        <v>597</v>
      </c>
      <c r="C68" s="17" t="s">
        <v>493</v>
      </c>
      <c r="D68" s="69" t="n">
        <f aca="false">-D31</f>
        <v>-10.73</v>
      </c>
      <c r="E68" s="69" t="n">
        <f aca="false">-E31</f>
        <v>-17.92</v>
      </c>
      <c r="F68" s="69" t="n">
        <f aca="false">-F31</f>
        <v>-14.37</v>
      </c>
      <c r="G68" s="69" t="n">
        <f aca="false">-G31</f>
        <v>-18</v>
      </c>
      <c r="H68" s="69" t="n">
        <f aca="false">-H31</f>
        <v>-18.01</v>
      </c>
      <c r="I68" s="69" t="n">
        <f aca="false">-I31</f>
        <v>-18.03</v>
      </c>
      <c r="J68" s="69" t="n">
        <f aca="false">-J31</f>
        <v>-24.8</v>
      </c>
      <c r="K68" s="53" t="n">
        <f aca="false">AVERAGE(D68:J68)</f>
        <v>-17.4085714285714</v>
      </c>
      <c r="L68" s="53" t="n">
        <f aca="false">J68-D68</f>
        <v>-14.07</v>
      </c>
    </row>
    <row r="69" customFormat="false" ht="15" hidden="false" customHeight="false" outlineLevel="0" collapsed="false">
      <c r="A69" s="16" t="s">
        <v>598</v>
      </c>
      <c r="B69" s="87" t="s">
        <v>599</v>
      </c>
      <c r="C69" s="17" t="s">
        <v>493</v>
      </c>
      <c r="D69" s="69" t="n">
        <f aca="false">D70-D67-D68</f>
        <v>-47.95</v>
      </c>
      <c r="E69" s="69" t="n">
        <f aca="false">E70-E67-E68</f>
        <v>-49.48</v>
      </c>
      <c r="F69" s="69" t="n">
        <f aca="false">F70-F67-F68</f>
        <v>-73.27</v>
      </c>
      <c r="G69" s="69" t="n">
        <f aca="false">G70-G67-G68</f>
        <v>252.51</v>
      </c>
      <c r="H69" s="69" t="n">
        <f aca="false">H70-H67-H68</f>
        <v>-189.95</v>
      </c>
      <c r="I69" s="69" t="n">
        <f aca="false">I70-I67-I68</f>
        <v>-48.48</v>
      </c>
      <c r="J69" s="69" t="n">
        <f aca="false">J70-J67-J68</f>
        <v>204.4</v>
      </c>
      <c r="K69" s="53" t="n">
        <f aca="false">AVERAGE(D69:J69)</f>
        <v>6.82571428571429</v>
      </c>
      <c r="L69" s="53" t="n">
        <f aca="false">J69-D69</f>
        <v>252.35</v>
      </c>
    </row>
    <row r="70" customFormat="false" ht="15" hidden="false" customHeight="false" outlineLevel="0" collapsed="false">
      <c r="A70" s="16" t="s">
        <v>600</v>
      </c>
      <c r="B70" s="87" t="s">
        <v>601</v>
      </c>
      <c r="C70" s="17" t="s">
        <v>493</v>
      </c>
      <c r="D70" s="96" t="n">
        <v>-76.31</v>
      </c>
      <c r="E70" s="96" t="n">
        <v>-87.49</v>
      </c>
      <c r="F70" s="96" t="n">
        <v>-117.46</v>
      </c>
      <c r="G70" s="96" t="n">
        <v>182.94</v>
      </c>
      <c r="H70" s="96" t="n">
        <v>-276.12</v>
      </c>
      <c r="I70" s="96" t="n">
        <v>-147.72</v>
      </c>
      <c r="J70" s="96" t="n">
        <v>104.58</v>
      </c>
      <c r="K70" s="53" t="n">
        <f aca="false">AVERAGE(D70:J70)</f>
        <v>-59.6542857142857</v>
      </c>
      <c r="L70" s="53" t="n">
        <f aca="false">J70-D70</f>
        <v>180.89</v>
      </c>
    </row>
    <row r="71" customFormat="false" ht="15" hidden="false" customHeight="false" outlineLevel="0" collapsed="false">
      <c r="A71" s="12" t="s">
        <v>602</v>
      </c>
      <c r="B71" s="87" t="s">
        <v>603</v>
      </c>
      <c r="C71" s="17" t="s">
        <v>493</v>
      </c>
      <c r="D71" s="90" t="n">
        <f aca="false">D63+D65+D70</f>
        <v>44.58</v>
      </c>
      <c r="E71" s="90" t="n">
        <f aca="false">E63+E65+E70</f>
        <v>98.23</v>
      </c>
      <c r="F71" s="90" t="n">
        <f aca="false">F63+F65+F70</f>
        <v>-66.33</v>
      </c>
      <c r="G71" s="90" t="n">
        <f aca="false">G63+G65+G70</f>
        <v>-7.67999999999998</v>
      </c>
      <c r="H71" s="90" t="n">
        <f aca="false">H63+H65+H70</f>
        <v>-101.81</v>
      </c>
      <c r="I71" s="90" t="n">
        <f aca="false">I63+I65+I70</f>
        <v>40.7</v>
      </c>
      <c r="J71" s="90" t="n">
        <f aca="false">J63+J65+J70</f>
        <v>42.03</v>
      </c>
      <c r="K71" s="91" t="n">
        <f aca="false">AVERAGE(D71:J71)</f>
        <v>7.10285714285715</v>
      </c>
      <c r="L71" s="91" t="n">
        <f aca="false">J71-D71</f>
        <v>-2.55</v>
      </c>
    </row>
    <row r="72" customFormat="false" ht="15" hidden="false" customHeight="false" outlineLevel="0" collapsed="false">
      <c r="A72" s="12" t="s">
        <v>604</v>
      </c>
      <c r="B72" s="87" t="s">
        <v>605</v>
      </c>
      <c r="C72" s="17" t="s">
        <v>493</v>
      </c>
      <c r="D72" s="29" t="n">
        <f aca="false">D63+D65</f>
        <v>120.89</v>
      </c>
      <c r="E72" s="29" t="n">
        <f aca="false">E63+E65</f>
        <v>185.72</v>
      </c>
      <c r="F72" s="29" t="n">
        <f aca="false">F63+F65</f>
        <v>51.13</v>
      </c>
      <c r="G72" s="29" t="n">
        <f aca="false">G63+G65</f>
        <v>-190.62</v>
      </c>
      <c r="H72" s="29" t="n">
        <f aca="false">H63+H65</f>
        <v>174.31</v>
      </c>
      <c r="I72" s="29" t="n">
        <f aca="false">I63+I65</f>
        <v>188.42</v>
      </c>
      <c r="J72" s="29" t="n">
        <f aca="false">J63+J65</f>
        <v>-62.55</v>
      </c>
      <c r="K72" s="29" t="n">
        <f aca="false">AVERAGE(D72:J72)</f>
        <v>66.7571428571429</v>
      </c>
      <c r="L72" s="29" t="n">
        <f aca="false">J72-D72</f>
        <v>-183.44</v>
      </c>
    </row>
    <row r="73" customFormat="false" ht="15" hidden="false" customHeight="false" outlineLevel="0" collapsed="false">
      <c r="A73" s="16" t="s">
        <v>606</v>
      </c>
      <c r="B73" s="87" t="s">
        <v>607</v>
      </c>
      <c r="C73" s="17" t="s">
        <v>493</v>
      </c>
      <c r="D73" s="69" t="n">
        <f aca="false">D52</f>
        <v>99.53</v>
      </c>
      <c r="E73" s="69" t="n">
        <f aca="false">E52</f>
        <v>197.77</v>
      </c>
      <c r="F73" s="69" t="n">
        <f aca="false">F52</f>
        <v>134.33</v>
      </c>
      <c r="G73" s="69" t="n">
        <f aca="false">G52</f>
        <v>126.23</v>
      </c>
      <c r="H73" s="69" t="n">
        <f aca="false">H52</f>
        <v>71.07</v>
      </c>
      <c r="I73" s="69" t="n">
        <f aca="false">I52</f>
        <v>75.97</v>
      </c>
      <c r="J73" s="69" t="n">
        <f aca="false">J52</f>
        <v>199.55</v>
      </c>
      <c r="K73" s="53" t="n">
        <f aca="false">AVERAGE(D73:J73)</f>
        <v>129.207142857143</v>
      </c>
      <c r="L73" s="53" t="n">
        <f aca="false">J73-D73</f>
        <v>100.02</v>
      </c>
    </row>
    <row r="74" customFormat="false" ht="16.5" hidden="false" customHeight="true" outlineLevel="0" collapsed="false">
      <c r="A74" s="88" t="s">
        <v>608</v>
      </c>
      <c r="B74" s="89"/>
      <c r="C74" s="89"/>
      <c r="D74" s="89"/>
      <c r="E74" s="89"/>
      <c r="F74" s="89"/>
      <c r="G74" s="89"/>
      <c r="H74" s="89"/>
      <c r="I74" s="89"/>
      <c r="J74" s="89"/>
      <c r="K74" s="89"/>
      <c r="L74" s="89"/>
    </row>
    <row r="75" customFormat="false" ht="15" hidden="false" customHeight="false" outlineLevel="0" collapsed="false">
      <c r="A75" s="16" t="s">
        <v>609</v>
      </c>
      <c r="B75" s="87" t="s">
        <v>610</v>
      </c>
      <c r="C75" s="17" t="s">
        <v>493</v>
      </c>
      <c r="D75" s="69" t="n">
        <f aca="false">-D65</f>
        <v>-35.51</v>
      </c>
      <c r="E75" s="69" t="n">
        <f aca="false">-E65</f>
        <v>107.97</v>
      </c>
      <c r="F75" s="69" t="n">
        <f aca="false">-F65</f>
        <v>139.85</v>
      </c>
      <c r="G75" s="69" t="n">
        <f aca="false">-G65</f>
        <v>310.02</v>
      </c>
      <c r="H75" s="69" t="n">
        <f aca="false">-H65</f>
        <v>52.55</v>
      </c>
      <c r="I75" s="69" t="n">
        <f aca="false">-I65</f>
        <v>154.75</v>
      </c>
      <c r="J75" s="69" t="n">
        <f aca="false">-J65</f>
        <v>316.16</v>
      </c>
      <c r="K75" s="53" t="n">
        <f aca="false">AVERAGE(D75:J75)</f>
        <v>149.398571428571</v>
      </c>
      <c r="L75" s="53" t="n">
        <f aca="false">J75-D75</f>
        <v>351.67</v>
      </c>
    </row>
    <row r="76" customFormat="false" ht="15" hidden="false" customHeight="false" outlineLevel="0" collapsed="false">
      <c r="A76" s="16" t="s">
        <v>611</v>
      </c>
      <c r="B76" s="87" t="s">
        <v>798</v>
      </c>
      <c r="C76" s="17" t="s">
        <v>493</v>
      </c>
      <c r="D76" s="69" t="n">
        <f aca="false">MAX(-D69,0)</f>
        <v>47.95</v>
      </c>
      <c r="E76" s="69" t="n">
        <f aca="false">MAX(-E69,0)</f>
        <v>49.48</v>
      </c>
      <c r="F76" s="69" t="n">
        <f aca="false">MAX(-F69,0)</f>
        <v>73.27</v>
      </c>
      <c r="G76" s="69" t="n">
        <f aca="false">MAX(-G69,0)</f>
        <v>0</v>
      </c>
      <c r="H76" s="69" t="n">
        <f aca="false">MAX(-H69,0)</f>
        <v>189.95</v>
      </c>
      <c r="I76" s="69" t="n">
        <f aca="false">MAX(-I69,0)</f>
        <v>48.48</v>
      </c>
      <c r="J76" s="69" t="n">
        <f aca="false">MAX(-J69,0)</f>
        <v>0</v>
      </c>
      <c r="K76" s="53" t="n">
        <f aca="false">AVERAGE(D76:J76)</f>
        <v>58.4471428571429</v>
      </c>
      <c r="L76" s="53" t="n">
        <f aca="false">J76-D76</f>
        <v>-47.95</v>
      </c>
    </row>
    <row r="77" customFormat="false" ht="15" hidden="false" customHeight="false" outlineLevel="0" collapsed="false">
      <c r="A77" s="16" t="s">
        <v>613</v>
      </c>
      <c r="B77" s="87" t="s">
        <v>614</v>
      </c>
      <c r="C77" s="17" t="s">
        <v>615</v>
      </c>
      <c r="D77" s="71" t="n">
        <f aca="false">IF(D26&gt;0,MIN(MAX(D27/D26,0),Setup!$C$11),0)</f>
        <v>0.317034117502157</v>
      </c>
      <c r="E77" s="71" t="n">
        <f aca="false">IF(E26&gt;0,MIN(MAX(E27/E26,0),Setup!$C$11),0)</f>
        <v>0.255612244897963</v>
      </c>
      <c r="F77" s="71" t="n">
        <f aca="false">IF(F26&gt;0,MIN(MAX(F27/F26,0),Setup!$C$11),0)</f>
        <v>0.34944</v>
      </c>
      <c r="G77" s="71" t="n">
        <f aca="false">IF(G26&gt;0,MIN(MAX(G27/G26,0),Setup!$C$11),0)</f>
        <v>0.206137811233355</v>
      </c>
      <c r="H77" s="71" t="n">
        <f aca="false">IF(H26&gt;0,MIN(MAX(H27/H26,0),Setup!$C$11),0)</f>
        <v>0</v>
      </c>
      <c r="I77" s="71" t="n">
        <f aca="false">IF(I26&gt;0,MIN(MAX(I27/I26,0),Setup!$C$11),0)</f>
        <v>0</v>
      </c>
      <c r="J77" s="71" t="n">
        <f aca="false">IF(J26&gt;0,MIN(MAX(J27/J26,0),Setup!$C$11),0)</f>
        <v>0.34944</v>
      </c>
      <c r="K77" s="62" t="n">
        <f aca="false">AVERAGE(D77:J77)</f>
        <v>0.211094881947639</v>
      </c>
      <c r="L77" s="62" t="n">
        <f aca="false">J77-D77</f>
        <v>0.0324058824978428</v>
      </c>
    </row>
    <row r="79" customFormat="false" ht="19.5" hidden="false" customHeight="true" outlineLevel="0" collapsed="false">
      <c r="A79" s="85" t="s">
        <v>799</v>
      </c>
      <c r="B79" s="86"/>
      <c r="C79" s="86"/>
      <c r="D79" s="86"/>
      <c r="E79" s="86"/>
      <c r="F79" s="86"/>
      <c r="G79" s="86"/>
      <c r="H79" s="86"/>
      <c r="I79" s="86"/>
      <c r="J79" s="86"/>
      <c r="K79" s="86"/>
      <c r="L79" s="86"/>
    </row>
    <row r="80" customFormat="false" ht="15" hidden="false" customHeight="false" outlineLevel="0" collapsed="false">
      <c r="A80" s="16" t="s">
        <v>800</v>
      </c>
      <c r="B80" s="87" t="s">
        <v>801</v>
      </c>
      <c r="C80" s="17" t="s">
        <v>757</v>
      </c>
      <c r="D80" s="97" t="n">
        <v>206.84</v>
      </c>
      <c r="E80" s="97" t="n">
        <v>529.08</v>
      </c>
      <c r="F80" s="97" t="n">
        <v>460.5</v>
      </c>
      <c r="G80" s="97" t="n">
        <v>323.33</v>
      </c>
      <c r="H80" s="97" t="n">
        <v>373.12</v>
      </c>
      <c r="I80" s="97" t="n">
        <v>238.74</v>
      </c>
      <c r="J80" s="97" t="n">
        <v>332.8</v>
      </c>
      <c r="K80" s="66" t="n">
        <f aca="false">AVERAGE(D80:J80)</f>
        <v>352.058571428571</v>
      </c>
      <c r="L80" s="66" t="n">
        <f aca="false">J80-D80</f>
        <v>125.96</v>
      </c>
    </row>
    <row r="81" customFormat="false" ht="15" hidden="false" customHeight="false" outlineLevel="0" collapsed="false">
      <c r="A81" s="16" t="s">
        <v>802</v>
      </c>
      <c r="B81" s="87" t="s">
        <v>803</v>
      </c>
      <c r="C81" s="17" t="s">
        <v>804</v>
      </c>
      <c r="D81" s="97" t="n">
        <v>9.84</v>
      </c>
      <c r="E81" s="97" t="n">
        <v>9.85</v>
      </c>
      <c r="F81" s="97" t="n">
        <v>9.88</v>
      </c>
      <c r="G81" s="97" t="n">
        <v>9.9</v>
      </c>
      <c r="H81" s="97" t="n">
        <v>9.9</v>
      </c>
      <c r="I81" s="97" t="n">
        <v>9.92</v>
      </c>
      <c r="J81" s="97" t="n">
        <v>9.92</v>
      </c>
      <c r="K81" s="66" t="n">
        <f aca="false">AVERAGE(D81:J81)</f>
        <v>9.88714285714286</v>
      </c>
      <c r="L81" s="66" t="n">
        <f aca="false">J81-D81</f>
        <v>0.0800000000000001</v>
      </c>
    </row>
    <row r="82" customFormat="false" ht="15" hidden="false" customHeight="false" outlineLevel="0" collapsed="false">
      <c r="A82" s="16" t="s">
        <v>805</v>
      </c>
      <c r="B82" s="87" t="s">
        <v>806</v>
      </c>
      <c r="C82" s="17" t="s">
        <v>493</v>
      </c>
      <c r="D82" s="69" t="n">
        <f aca="false">D80*D81</f>
        <v>2035.3056</v>
      </c>
      <c r="E82" s="69" t="n">
        <f aca="false">E80*E81</f>
        <v>5211.438</v>
      </c>
      <c r="F82" s="69" t="n">
        <f aca="false">F80*F81</f>
        <v>4549.74</v>
      </c>
      <c r="G82" s="69" t="n">
        <f aca="false">G80*G81</f>
        <v>3200.967</v>
      </c>
      <c r="H82" s="69" t="n">
        <f aca="false">H80*H81</f>
        <v>3693.888</v>
      </c>
      <c r="I82" s="69" t="n">
        <f aca="false">I80*I81</f>
        <v>2368.3008</v>
      </c>
      <c r="J82" s="69" t="n">
        <f aca="false">J80*J81</f>
        <v>3301.376</v>
      </c>
      <c r="K82" s="53" t="n">
        <f aca="false">AVERAGE(D82:J82)</f>
        <v>3480.14505714286</v>
      </c>
      <c r="L82" s="53" t="n">
        <f aca="false">J82-D82</f>
        <v>1266.0704</v>
      </c>
    </row>
    <row r="83" customFormat="false" ht="15" hidden="false" customHeight="false" outlineLevel="0" collapsed="false">
      <c r="A83" s="16" t="s">
        <v>807</v>
      </c>
      <c r="B83" s="87" t="s">
        <v>808</v>
      </c>
      <c r="C83" s="17" t="s">
        <v>493</v>
      </c>
      <c r="D83" s="69" t="n">
        <f aca="false">D82+D41-D52</f>
        <v>2137.0756</v>
      </c>
      <c r="E83" s="69" t="n">
        <f aca="false">E82+E41-E52</f>
        <v>5283.148</v>
      </c>
      <c r="F83" s="69" t="n">
        <f aca="false">F82+F41-F52</f>
        <v>4817.83</v>
      </c>
      <c r="G83" s="69" t="n">
        <f aca="false">G82+G41-G52</f>
        <v>3908.787</v>
      </c>
      <c r="H83" s="69" t="n">
        <f aca="false">H82+H41-H52</f>
        <v>4362.108</v>
      </c>
      <c r="I83" s="69" t="n">
        <f aca="false">I82+I41-I52</f>
        <v>3161.1108</v>
      </c>
      <c r="J83" s="69" t="n">
        <f aca="false">J82+J41-J52</f>
        <v>3751.576</v>
      </c>
      <c r="K83" s="53" t="n">
        <f aca="false">AVERAGE(D83:J83)</f>
        <v>3917.37648571429</v>
      </c>
      <c r="L83" s="53" t="n">
        <f aca="false">J83-D83</f>
        <v>1614.5004</v>
      </c>
    </row>
    <row r="84" customFormat="false" ht="15" hidden="false" customHeight="false" outlineLevel="0" collapsed="false">
      <c r="A84" s="16" t="s">
        <v>809</v>
      </c>
      <c r="B84" s="87" t="s">
        <v>810</v>
      </c>
      <c r="C84" s="17" t="s">
        <v>811</v>
      </c>
      <c r="D84" s="98" t="n">
        <v>1</v>
      </c>
      <c r="E84" s="98" t="n">
        <v>1</v>
      </c>
      <c r="F84" s="98" t="n">
        <v>1</v>
      </c>
      <c r="G84" s="98" t="n">
        <v>1</v>
      </c>
      <c r="H84" s="98" t="n">
        <v>1</v>
      </c>
      <c r="I84" s="98" t="n">
        <v>1</v>
      </c>
      <c r="J84" s="98" t="n">
        <v>1</v>
      </c>
      <c r="K84" s="99"/>
      <c r="L84" s="99"/>
    </row>
    <row r="86" customFormat="false" ht="19.5" hidden="false" customHeight="true" outlineLevel="0" collapsed="false">
      <c r="A86" s="85" t="s">
        <v>629</v>
      </c>
      <c r="B86" s="86"/>
      <c r="C86" s="86"/>
      <c r="D86" s="86"/>
      <c r="E86" s="86"/>
      <c r="F86" s="86"/>
      <c r="G86" s="86"/>
      <c r="H86" s="86"/>
      <c r="I86" s="86"/>
      <c r="J86" s="86"/>
      <c r="K86" s="86"/>
      <c r="L86" s="86"/>
    </row>
    <row r="87" customFormat="false" ht="15" hidden="false" customHeight="false" outlineLevel="0" collapsed="false">
      <c r="A87" s="16" t="s">
        <v>630</v>
      </c>
      <c r="B87" s="87" t="s">
        <v>631</v>
      </c>
      <c r="C87" s="17" t="s">
        <v>493</v>
      </c>
      <c r="D87" s="69" t="n">
        <f aca="false">D48</f>
        <v>1172.7</v>
      </c>
      <c r="E87" s="69" t="n">
        <f aca="false">E48</f>
        <v>1268.08</v>
      </c>
      <c r="F87" s="69" t="n">
        <f aca="false">F48</f>
        <v>1343.32</v>
      </c>
      <c r="G87" s="69" t="n">
        <f aca="false">G48</f>
        <v>1619.61</v>
      </c>
      <c r="H87" s="69" t="n">
        <f aca="false">H48</f>
        <v>1618.91</v>
      </c>
      <c r="I87" s="69" t="n">
        <f aca="false">I48</f>
        <v>1580.85</v>
      </c>
      <c r="J87" s="69" t="n">
        <f aca="false">J48</f>
        <v>1808.35</v>
      </c>
      <c r="K87" s="53" t="n">
        <f aca="false">AVERAGE(D87:J87)</f>
        <v>1487.40285714286</v>
      </c>
      <c r="L87" s="53" t="n">
        <f aca="false">J87-D87</f>
        <v>635.65</v>
      </c>
    </row>
    <row r="88" customFormat="false" ht="15" hidden="false" customHeight="false" outlineLevel="0" collapsed="false">
      <c r="A88" s="16" t="s">
        <v>632</v>
      </c>
      <c r="B88" s="87" t="s">
        <v>633</v>
      </c>
      <c r="C88" s="17" t="s">
        <v>493</v>
      </c>
      <c r="D88" s="69" t="n">
        <f aca="false">D42</f>
        <v>675.89</v>
      </c>
      <c r="E88" s="69" t="n">
        <f aca="false">E42</f>
        <v>849.39</v>
      </c>
      <c r="F88" s="69" t="n">
        <f aca="false">F42</f>
        <v>1026.54</v>
      </c>
      <c r="G88" s="69" t="n">
        <f aca="false">G42</f>
        <v>1157.22</v>
      </c>
      <c r="H88" s="69" t="n">
        <f aca="false">H42</f>
        <v>1245.44</v>
      </c>
      <c r="I88" s="69" t="n">
        <f aca="false">I42</f>
        <v>1272.14</v>
      </c>
      <c r="J88" s="69" t="n">
        <f aca="false">J42</f>
        <v>1280.48</v>
      </c>
      <c r="K88" s="53" t="n">
        <f aca="false">AVERAGE(D88:J88)</f>
        <v>1072.44285714286</v>
      </c>
      <c r="L88" s="53" t="n">
        <f aca="false">J88-D88</f>
        <v>604.59</v>
      </c>
    </row>
    <row r="89" customFormat="false" ht="15" hidden="false" customHeight="false" outlineLevel="0" collapsed="false">
      <c r="A89" s="16" t="s">
        <v>634</v>
      </c>
      <c r="B89" s="87" t="s">
        <v>635</v>
      </c>
      <c r="C89" s="17" t="s">
        <v>493</v>
      </c>
      <c r="D89" s="69" t="n">
        <f aca="false">D50+D52</f>
        <v>635.16</v>
      </c>
      <c r="E89" s="69" t="n">
        <f aca="false">E50+E52</f>
        <v>683.37</v>
      </c>
      <c r="F89" s="69" t="n">
        <f aca="false">F50+F52</f>
        <v>623.23</v>
      </c>
      <c r="G89" s="69" t="n">
        <f aca="false">G50+G52</f>
        <v>778.72</v>
      </c>
      <c r="H89" s="69" t="n">
        <f aca="false">H50+H52</f>
        <v>772.97</v>
      </c>
      <c r="I89" s="69" t="n">
        <f aca="false">I50+I52</f>
        <v>701.07</v>
      </c>
      <c r="J89" s="69" t="n">
        <f aca="false">J50+J52</f>
        <v>889.14</v>
      </c>
      <c r="K89" s="53" t="n">
        <f aca="false">AVERAGE(D89:J89)</f>
        <v>726.237142857143</v>
      </c>
      <c r="L89" s="53" t="n">
        <f aca="false">J89-D89</f>
        <v>253.98</v>
      </c>
    </row>
    <row r="90" customFormat="false" ht="15" hidden="false" customHeight="false" outlineLevel="0" collapsed="false">
      <c r="A90" s="16" t="s">
        <v>636</v>
      </c>
      <c r="B90" s="87" t="s">
        <v>637</v>
      </c>
      <c r="C90" s="17" t="s">
        <v>493</v>
      </c>
      <c r="D90" s="69" t="n">
        <f aca="false">D40+D41</f>
        <v>745.95</v>
      </c>
      <c r="E90" s="69" t="n">
        <f aca="false">E40+E41</f>
        <v>837.54</v>
      </c>
      <c r="F90" s="69" t="n">
        <f aca="false">F40+F41</f>
        <v>948.9</v>
      </c>
      <c r="G90" s="69" t="n">
        <f aca="false">G40+G41</f>
        <v>1395.72</v>
      </c>
      <c r="H90" s="69" t="n">
        <f aca="false">H40+H41</f>
        <v>1231.76</v>
      </c>
      <c r="I90" s="69" t="n">
        <f aca="false">I40+I41</f>
        <v>1306.66</v>
      </c>
      <c r="J90" s="69" t="n">
        <f aca="false">J40+J41</f>
        <v>1824.53</v>
      </c>
      <c r="K90" s="53" t="n">
        <f aca="false">AVERAGE(D90:J90)</f>
        <v>1184.43714285714</v>
      </c>
      <c r="L90" s="53" t="n">
        <f aca="false">J90-D90</f>
        <v>1078.58</v>
      </c>
    </row>
    <row r="92" customFormat="false" ht="19.5" hidden="false" customHeight="true" outlineLevel="0" collapsed="false">
      <c r="A92" s="85" t="s">
        <v>638</v>
      </c>
      <c r="B92" s="86"/>
      <c r="C92" s="86"/>
      <c r="D92" s="86"/>
      <c r="E92" s="86"/>
      <c r="F92" s="86"/>
      <c r="G92" s="86"/>
      <c r="H92" s="86"/>
      <c r="I92" s="86"/>
      <c r="J92" s="86"/>
      <c r="K92" s="86"/>
      <c r="L92" s="86"/>
    </row>
    <row r="93" customFormat="false" ht="16.5" hidden="false" customHeight="true" outlineLevel="0" collapsed="false">
      <c r="A93" s="88" t="s">
        <v>639</v>
      </c>
      <c r="B93" s="89"/>
      <c r="C93" s="89"/>
      <c r="D93" s="89"/>
      <c r="E93" s="89"/>
      <c r="F93" s="89"/>
      <c r="G93" s="89"/>
      <c r="H93" s="89"/>
      <c r="I93" s="89"/>
      <c r="J93" s="89"/>
      <c r="K93" s="89"/>
      <c r="L93" s="89"/>
    </row>
    <row r="94" customFormat="false" ht="15" hidden="false" customHeight="false" outlineLevel="0" collapsed="false">
      <c r="A94" s="16" t="s">
        <v>640</v>
      </c>
      <c r="B94" s="87" t="s">
        <v>641</v>
      </c>
      <c r="C94" s="17" t="s">
        <v>493</v>
      </c>
      <c r="D94" s="69" t="n">
        <f aca="false">D87-D88</f>
        <v>496.81</v>
      </c>
      <c r="E94" s="69" t="n">
        <f aca="false">E87-E88</f>
        <v>418.69</v>
      </c>
      <c r="F94" s="69" t="n">
        <f aca="false">F87-F88</f>
        <v>316.78</v>
      </c>
      <c r="G94" s="69" t="n">
        <f aca="false">G87-G88</f>
        <v>462.39</v>
      </c>
      <c r="H94" s="69" t="n">
        <f aca="false">H87-H88</f>
        <v>373.47</v>
      </c>
      <c r="I94" s="69" t="n">
        <f aca="false">I87-I88</f>
        <v>308.71</v>
      </c>
      <c r="J94" s="69" t="n">
        <f aca="false">J87-J88</f>
        <v>527.87</v>
      </c>
      <c r="K94" s="53" t="n">
        <f aca="false">AVERAGE(D94:J94)</f>
        <v>414.96</v>
      </c>
      <c r="L94" s="53" t="n">
        <f aca="false">J94-D94</f>
        <v>31.0599999999998</v>
      </c>
    </row>
    <row r="95" customFormat="false" ht="15" hidden="false" customHeight="false" outlineLevel="0" collapsed="false">
      <c r="A95" s="16" t="s">
        <v>642</v>
      </c>
      <c r="B95" s="87" t="s">
        <v>643</v>
      </c>
      <c r="C95" s="17" t="s">
        <v>644</v>
      </c>
      <c r="D95" s="72" t="n">
        <f aca="false">IF(D88&gt;0,D87/D88,"N/M")</f>
        <v>1.73504564352188</v>
      </c>
      <c r="E95" s="72" t="n">
        <f aca="false">IF(E88&gt;0,E87/E88,"N/M")</f>
        <v>1.49293022051119</v>
      </c>
      <c r="F95" s="72" t="n">
        <f aca="false">IF(F88&gt;0,F87/F88,"N/M")</f>
        <v>1.30859002084673</v>
      </c>
      <c r="G95" s="72" t="n">
        <f aca="false">IF(G88&gt;0,G87/G88,"N/M")</f>
        <v>1.39956965831907</v>
      </c>
      <c r="H95" s="72" t="n">
        <f aca="false">IF(H88&gt;0,H87/H88,"N/M")</f>
        <v>1.29986992548818</v>
      </c>
      <c r="I95" s="72" t="n">
        <f aca="false">IF(I88&gt;0,I87/I88,"N/M")</f>
        <v>1.24266983193674</v>
      </c>
      <c r="J95" s="72" t="n">
        <f aca="false">IF(J88&gt;0,J87/J88,"N/M")</f>
        <v>1.41224384605773</v>
      </c>
      <c r="K95" s="56" t="n">
        <f aca="false">IF(COUNT(D95:J95)=0,"N/M",AVERAGE(D95:J95))</f>
        <v>1.41298844952593</v>
      </c>
      <c r="L95" s="60" t="n">
        <f aca="false">IF(COUNT(D95,J95)=2,J95-D95,"-")</f>
        <v>-0.322801797464147</v>
      </c>
    </row>
    <row r="96" customFormat="false" ht="15" hidden="false" customHeight="false" outlineLevel="0" collapsed="false">
      <c r="A96" s="16" t="s">
        <v>645</v>
      </c>
      <c r="B96" s="87" t="s">
        <v>646</v>
      </c>
      <c r="C96" s="17" t="s">
        <v>647</v>
      </c>
      <c r="D96" s="72" t="n">
        <f aca="false">IF(D88&gt;0,D89/D88,"N/M")</f>
        <v>0.93973871487964</v>
      </c>
      <c r="E96" s="72" t="n">
        <f aca="false">IF(E88&gt;0,E89/E88,"N/M")</f>
        <v>0.80454208314202</v>
      </c>
      <c r="F96" s="72" t="n">
        <f aca="false">IF(F88&gt;0,F89/F88,"N/M")</f>
        <v>0.607117111851462</v>
      </c>
      <c r="G96" s="72" t="n">
        <f aca="false">IF(G88&gt;0,G89/G88,"N/M")</f>
        <v>0.672923039698588</v>
      </c>
      <c r="H96" s="72" t="n">
        <f aca="false">IF(H88&gt;0,H89/H88,"N/M")</f>
        <v>0.620640095066804</v>
      </c>
      <c r="I96" s="72" t="n">
        <f aca="false">IF(I88&gt;0,I89/I88,"N/M")</f>
        <v>0.551095005266716</v>
      </c>
      <c r="J96" s="72" t="n">
        <f aca="false">IF(J88&gt;0,J89/J88,"N/M")</f>
        <v>0.694380232412845</v>
      </c>
      <c r="K96" s="56" t="n">
        <f aca="false">IF(COUNT(D96:J96)=0,"N/M",AVERAGE(D96:J96))</f>
        <v>0.698633754616868</v>
      </c>
      <c r="L96" s="60" t="n">
        <f aca="false">IF(COUNT(D96,J96)=2,J96-D96,"-")</f>
        <v>-0.245358482466795</v>
      </c>
    </row>
    <row r="97" customFormat="false" ht="15" hidden="false" customHeight="false" outlineLevel="0" collapsed="false">
      <c r="A97" s="16" t="s">
        <v>648</v>
      </c>
      <c r="B97" s="87" t="s">
        <v>649</v>
      </c>
      <c r="C97" s="17" t="s">
        <v>650</v>
      </c>
      <c r="D97" s="72" t="n">
        <f aca="false">IF(D88&gt;0,D52/D88,"N/M")</f>
        <v>0.147257689860776</v>
      </c>
      <c r="E97" s="72" t="n">
        <f aca="false">IF(E88&gt;0,E52/E88,"N/M")</f>
        <v>0.232837683514051</v>
      </c>
      <c r="F97" s="72" t="n">
        <f aca="false">IF(F88&gt;0,F52/F88,"N/M")</f>
        <v>0.130857053792351</v>
      </c>
      <c r="G97" s="72" t="n">
        <f aca="false">IF(G88&gt;0,G52/G88,"N/M")</f>
        <v>0.109080382295501</v>
      </c>
      <c r="H97" s="72" t="n">
        <f aca="false">IF(H88&gt;0,H52/H88,"N/M")</f>
        <v>0.0570641700924974</v>
      </c>
      <c r="I97" s="72" t="n">
        <f aca="false">IF(I88&gt;0,I52/I88,"N/M")</f>
        <v>0.0597182700017294</v>
      </c>
      <c r="J97" s="72" t="n">
        <f aca="false">IF(J88&gt;0,J52/J88,"N/M")</f>
        <v>0.155839997500937</v>
      </c>
      <c r="K97" s="56" t="n">
        <f aca="false">IF(COUNT(D97:J97)=0,"N/M",AVERAGE(D97:J97))</f>
        <v>0.127522178151121</v>
      </c>
      <c r="L97" s="60" t="n">
        <f aca="false">IF(COUNT(D97,J97)=2,J97-D97,"-")</f>
        <v>0.00858230764016099</v>
      </c>
    </row>
    <row r="98" customFormat="false" ht="15" hidden="false" customHeight="false" outlineLevel="0" collapsed="false">
      <c r="A98" s="16" t="s">
        <v>651</v>
      </c>
      <c r="B98" s="87" t="s">
        <v>652</v>
      </c>
      <c r="C98" s="17" t="s">
        <v>653</v>
      </c>
      <c r="D98" s="74" t="n">
        <f aca="false">IF(D20&gt;0,D89/(D20/Setup!$C$8),"N/M")</f>
        <v>69.9840611472352</v>
      </c>
      <c r="E98" s="74" t="n">
        <f aca="false">IF(E20&gt;0,E89/(E20/Setup!$C$8),"N/M")</f>
        <v>79.7145610155191</v>
      </c>
      <c r="F98" s="74" t="n">
        <f aca="false">IF(F20&gt;0,F89/(F20/Setup!$C$8),"N/M")</f>
        <v>57.496448791831</v>
      </c>
      <c r="G98" s="74" t="n">
        <f aca="false">IF(G20&gt;0,G89/(G20/Setup!$C$8),"N/M")</f>
        <v>58.3847650191957</v>
      </c>
      <c r="H98" s="74" t="n">
        <f aca="false">IF(H20&gt;0,H89/(H20/Setup!$C$8),"N/M")</f>
        <v>53.4878657296203</v>
      </c>
      <c r="I98" s="74" t="n">
        <f aca="false">IF(I20&gt;0,I89/(I20/Setup!$C$8),"N/M")</f>
        <v>43.9641247053487</v>
      </c>
      <c r="J98" s="74" t="n">
        <f aca="false">IF(J20&gt;0,J89/(J20/Setup!$C$8),"N/M")</f>
        <v>49.0198776527453</v>
      </c>
      <c r="K98" s="58" t="n">
        <f aca="false">IF(COUNT(D98:J98)=0,"N/M",AVERAGE(D98:J98))</f>
        <v>58.8645291516422</v>
      </c>
      <c r="L98" s="58" t="n">
        <f aca="false">IF(COUNT(D98,J98)=2,J98-D98,"-")</f>
        <v>-20.9641834944899</v>
      </c>
    </row>
    <row r="99" customFormat="false" ht="15" hidden="false" customHeight="false" outlineLevel="0" collapsed="false">
      <c r="A99" s="16" t="s">
        <v>654</v>
      </c>
      <c r="B99" s="87" t="s">
        <v>655</v>
      </c>
      <c r="C99" s="17" t="s">
        <v>97</v>
      </c>
      <c r="D99" s="72" t="n">
        <f aca="false">IF(D88&gt;0,D63/D88,"N/M")</f>
        <v>0.126322330556747</v>
      </c>
      <c r="E99" s="72" t="n">
        <f aca="false">IF(E88&gt;0,E63/E88,"N/M")</f>
        <v>0.345765784857368</v>
      </c>
      <c r="F99" s="72" t="n">
        <f aca="false">IF(F88&gt;0,F63/F88,"N/M")</f>
        <v>0.186042433806768</v>
      </c>
      <c r="G99" s="72" t="n">
        <f aca="false">IF(G88&gt;0,G63/G88,"N/M")</f>
        <v>0.10317830663141</v>
      </c>
      <c r="H99" s="72" t="n">
        <f aca="false">IF(H88&gt;0,H63/H88,"N/M")</f>
        <v>0.182152492291881</v>
      </c>
      <c r="I99" s="72" t="n">
        <f aca="false">IF(I88&gt;0,I63/I88,"N/M")</f>
        <v>0.269758045498137</v>
      </c>
      <c r="J99" s="72" t="n">
        <f aca="false">IF(J88&gt;0,J63/J88,"N/M")</f>
        <v>0.198058540547295</v>
      </c>
      <c r="K99" s="56" t="n">
        <f aca="false">IF(COUNT(D99:J99)=0,"N/M",AVERAGE(D99:J99))</f>
        <v>0.201611133455658</v>
      </c>
      <c r="L99" s="60" t="n">
        <f aca="false">IF(COUNT(D99,J99)=2,J99-D99,"-")</f>
        <v>0.0717362099905474</v>
      </c>
    </row>
    <row r="100" customFormat="false" ht="16.5" hidden="false" customHeight="true" outlineLevel="0" collapsed="false">
      <c r="A100" s="88" t="s">
        <v>656</v>
      </c>
      <c r="B100" s="89"/>
      <c r="C100" s="89"/>
      <c r="D100" s="89"/>
      <c r="E100" s="89"/>
      <c r="F100" s="89"/>
      <c r="G100" s="89"/>
      <c r="H100" s="89"/>
      <c r="I100" s="89"/>
      <c r="J100" s="89"/>
      <c r="K100" s="89"/>
      <c r="L100" s="89"/>
    </row>
    <row r="101" customFormat="false" ht="15" hidden="false" customHeight="false" outlineLevel="0" collapsed="false">
      <c r="A101" s="16" t="s">
        <v>657</v>
      </c>
      <c r="B101" s="87" t="s">
        <v>658</v>
      </c>
      <c r="C101" s="17" t="s">
        <v>97</v>
      </c>
      <c r="D101" s="72" t="n">
        <f aca="false">IF(D40&gt;0,D41/D40,"N/M")</f>
        <v>0.369595152850454</v>
      </c>
      <c r="E101" s="72" t="n">
        <f aca="false">IF(E40&gt;0,E41/E40,"N/M")</f>
        <v>0.474386508467416</v>
      </c>
      <c r="F101" s="72" t="n">
        <f aca="false">IF(F40&gt;0,F41/F40,"N/M")</f>
        <v>0.736385595081247</v>
      </c>
      <c r="G101" s="72" t="n">
        <f aca="false">IF(G40&gt;0,G41/G40,"N/M")</f>
        <v>1.48494667687432</v>
      </c>
      <c r="H101" s="72" t="n">
        <f aca="false">IF(H40&gt;0,H41/H40,"N/M")</f>
        <v>1.50118788961764</v>
      </c>
      <c r="I101" s="72" t="n">
        <f aca="false">IF(I40&gt;0,I41/I40,"N/M")</f>
        <v>1.98405955969672</v>
      </c>
      <c r="J101" s="72" t="n">
        <f aca="false">IF(J40&gt;0,J41/J40,"N/M")</f>
        <v>0.553082279235261</v>
      </c>
      <c r="K101" s="56" t="n">
        <f aca="false">IF(COUNT(D101:J101)=0,"N/M",AVERAGE(D101:J101))</f>
        <v>1.01480623740329</v>
      </c>
      <c r="L101" s="60" t="n">
        <f aca="false">IF(COUNT(D101,J101)=2,J101-D101,"-")</f>
        <v>0.183487126384807</v>
      </c>
    </row>
    <row r="102" customFormat="false" ht="15" hidden="false" customHeight="false" outlineLevel="0" collapsed="false">
      <c r="A102" s="16" t="s">
        <v>659</v>
      </c>
      <c r="B102" s="87" t="s">
        <v>660</v>
      </c>
      <c r="C102" s="17" t="s">
        <v>97</v>
      </c>
      <c r="D102" s="72" t="n">
        <f aca="false">IF(D40&gt;0,(D41+D42)/D40,"N/M")</f>
        <v>1.61055723859359</v>
      </c>
      <c r="E102" s="72" t="n">
        <f aca="false">IF(E40&gt;0,(E41+E42)/E40,"N/M")</f>
        <v>1.96963348942013</v>
      </c>
      <c r="F102" s="72" t="n">
        <f aca="false">IF(F40&gt;0,(F41+F42)/F40,"N/M")</f>
        <v>2.61484409310496</v>
      </c>
      <c r="G102" s="72" t="n">
        <f aca="false">IF(G40&gt;0,(G41+G42)/G40,"N/M")</f>
        <v>3.54526679366888</v>
      </c>
      <c r="H102" s="72" t="n">
        <f aca="false">IF(H40&gt;0,(H41+H42)/H40,"N/M")</f>
        <v>4.03015412106321</v>
      </c>
      <c r="I102" s="72" t="n">
        <f aca="false">IF(I40&gt;0,(I41+I42)/I40,"N/M")</f>
        <v>4.88928473554399</v>
      </c>
      <c r="J102" s="72" t="n">
        <f aca="false">IF(J40&gt;0,(J41+J42)/J40,"N/M")</f>
        <v>1.64305657229439</v>
      </c>
      <c r="K102" s="56" t="n">
        <f aca="false">IF(COUNT(D102:J102)=0,"N/M",AVERAGE(D102:J102))</f>
        <v>2.90039957766988</v>
      </c>
      <c r="L102" s="60" t="n">
        <f aca="false">IF(COUNT(D102,J102)=2,J102-D102,"-")</f>
        <v>0.0324993337007946</v>
      </c>
    </row>
    <row r="103" customFormat="false" ht="15" hidden="false" customHeight="false" outlineLevel="0" collapsed="false">
      <c r="A103" s="16" t="s">
        <v>661</v>
      </c>
      <c r="B103" s="87" t="s">
        <v>662</v>
      </c>
      <c r="C103" s="17" t="s">
        <v>663</v>
      </c>
      <c r="D103" s="72" t="n">
        <f aca="false">IF(D49&gt;0,D41/D49,"N/M")</f>
        <v>0.141577111348675</v>
      </c>
      <c r="E103" s="72" t="n">
        <f aca="false">IF(E49&gt;0,E41/E49,"N/M")</f>
        <v>0.159745810436711</v>
      </c>
      <c r="F103" s="72" t="n">
        <f aca="false">IF(F49&gt;0,F41/F49,"N/M")</f>
        <v>0.203711578180051</v>
      </c>
      <c r="G103" s="72" t="n">
        <f aca="false">IF(G49&gt;0,G41/G49,"N/M")</f>
        <v>0.326701763457034</v>
      </c>
      <c r="H103" s="72" t="n">
        <f aca="false">IF(H49&gt;0,H41/H49,"N/M")</f>
        <v>0.298437752300985</v>
      </c>
      <c r="I103" s="72" t="n">
        <f aca="false">IF(I49&gt;0,I41/I49,"N/M")</f>
        <v>0.33689312858694</v>
      </c>
      <c r="J103" s="72" t="n">
        <f aca="false">IF(J49&gt;0,J41/J49,"N/M")</f>
        <v>0.209258585318566</v>
      </c>
      <c r="K103" s="56" t="n">
        <f aca="false">IF(COUNT(D103:J103)=0,"N/M",AVERAGE(D103:J103))</f>
        <v>0.239475104232709</v>
      </c>
      <c r="L103" s="60" t="n">
        <f aca="false">IF(COUNT(D103,J103)=2,J103-D103,"-")</f>
        <v>0.0676814739698909</v>
      </c>
    </row>
    <row r="104" customFormat="false" ht="15" hidden="false" customHeight="false" outlineLevel="0" collapsed="false">
      <c r="A104" s="16" t="s">
        <v>664</v>
      </c>
      <c r="B104" s="87" t="s">
        <v>665</v>
      </c>
      <c r="C104" s="17" t="s">
        <v>663</v>
      </c>
      <c r="D104" s="72" t="n">
        <f aca="false">IF(D90&gt;0,D41/D90,"N/M")</f>
        <v>0.269857229036799</v>
      </c>
      <c r="E104" s="72" t="n">
        <f aca="false">IF(E90&gt;0,E41/E90,"N/M")</f>
        <v>0.321751796929102</v>
      </c>
      <c r="F104" s="72" t="n">
        <f aca="false">IF(F90&gt;0,F41/F90,"N/M")</f>
        <v>0.424091052797977</v>
      </c>
      <c r="G104" s="72" t="n">
        <f aca="false">IF(G90&gt;0,G41/G90,"N/M")</f>
        <v>0.597576877883816</v>
      </c>
      <c r="H104" s="72" t="n">
        <f aca="false">IF(H90&gt;0,H41/H90,"N/M")</f>
        <v>0.600189972072482</v>
      </c>
      <c r="I104" s="72" t="n">
        <f aca="false">IF(I90&gt;0,I41/I90,"N/M")</f>
        <v>0.664886045336966</v>
      </c>
      <c r="J104" s="72" t="n">
        <f aca="false">IF(J90&gt;0,J41/J90,"N/M")</f>
        <v>0.356119110126992</v>
      </c>
      <c r="K104" s="56" t="n">
        <f aca="false">IF(COUNT(D104:J104)=0,"N/M",AVERAGE(D104:J104))</f>
        <v>0.462067440597733</v>
      </c>
      <c r="L104" s="60" t="n">
        <f aca="false">IF(COUNT(D104,J104)=2,J104-D104,"-")</f>
        <v>0.0862618810901929</v>
      </c>
    </row>
    <row r="105" customFormat="false" ht="15" hidden="false" customHeight="false" outlineLevel="0" collapsed="false">
      <c r="A105" s="16" t="s">
        <v>666</v>
      </c>
      <c r="B105" s="87" t="s">
        <v>667</v>
      </c>
      <c r="C105" s="17" t="s">
        <v>668</v>
      </c>
      <c r="D105" s="72" t="n">
        <f aca="false">IF(D49&gt;0,D40/D49,"N/M")</f>
        <v>0.383059978619254</v>
      </c>
      <c r="E105" s="72" t="n">
        <f aca="false">IF(E49&gt;0,E40/E49,"N/M")</f>
        <v>0.336741892076138</v>
      </c>
      <c r="F105" s="72" t="n">
        <f aca="false">IF(F49&gt;0,F40/F49,"N/M")</f>
        <v>0.276637103632608</v>
      </c>
      <c r="G105" s="72" t="n">
        <f aca="false">IF(G49&gt;0,G40/G49,"N/M")</f>
        <v>0.220009087561792</v>
      </c>
      <c r="H105" s="72" t="n">
        <f aca="false">IF(H49&gt;0,H40/H49,"N/M")</f>
        <v>0.198801065719361</v>
      </c>
      <c r="I105" s="72" t="n">
        <f aca="false">IF(I49&gt;0,I40/I49,"N/M")</f>
        <v>0.169799906933457</v>
      </c>
      <c r="J105" s="72" t="n">
        <f aca="false">IF(J49&gt;0,J40/J49,"N/M")</f>
        <v>0.378349828180908</v>
      </c>
      <c r="K105" s="56" t="n">
        <f aca="false">IF(COUNT(D105:J105)=0,"N/M",AVERAGE(D105:J105))</f>
        <v>0.280485551817645</v>
      </c>
      <c r="L105" s="60" t="n">
        <f aca="false">IF(COUNT(D105,J105)=2,J105-D105,"-")</f>
        <v>-0.00471015043834622</v>
      </c>
    </row>
    <row r="106" customFormat="false" ht="15" hidden="false" customHeight="false" outlineLevel="0" collapsed="false">
      <c r="A106" s="16" t="s">
        <v>669</v>
      </c>
      <c r="B106" s="87" t="s">
        <v>670</v>
      </c>
      <c r="C106" s="17" t="s">
        <v>97</v>
      </c>
      <c r="D106" s="72" t="n">
        <f aca="false">IF(D39&gt;0,(D41+D37)/D39,"N/M")</f>
        <v>0.369595152850454</v>
      </c>
      <c r="E106" s="72" t="n">
        <f aca="false">IF(E39&gt;0,(E41+E37)/E39,"N/M")</f>
        <v>0.474386508467416</v>
      </c>
      <c r="F106" s="72" t="n">
        <f aca="false">IF(F39&gt;0,(F41+F37)/F39,"N/M")</f>
        <v>0.736385595081247</v>
      </c>
      <c r="G106" s="72" t="n">
        <f aca="false">IF(G39&gt;0,(G41+G37)/G39,"N/M")</f>
        <v>1.48494667687432</v>
      </c>
      <c r="H106" s="72" t="n">
        <f aca="false">IF(H39&gt;0,(H41+H37)/H39,"N/M")</f>
        <v>1.50118788961764</v>
      </c>
      <c r="I106" s="72" t="n">
        <f aca="false">IF(I39&gt;0,(I41+I37)/I39,"N/M")</f>
        <v>1.98405955969672</v>
      </c>
      <c r="J106" s="72" t="n">
        <f aca="false">IF(J39&gt;0,(J41+J37)/J39,"N/M")</f>
        <v>0.553082279235261</v>
      </c>
      <c r="K106" s="56" t="n">
        <f aca="false">IF(COUNT(D106:J106)=0,"N/M",AVERAGE(D106:J106))</f>
        <v>1.01480623740329</v>
      </c>
      <c r="L106" s="60" t="n">
        <f aca="false">IF(COUNT(D106,J106)=2,J106-D106,"-")</f>
        <v>0.183487126384807</v>
      </c>
    </row>
    <row r="107" customFormat="false" ht="15" hidden="false" customHeight="false" outlineLevel="0" collapsed="false">
      <c r="A107" s="16" t="s">
        <v>671</v>
      </c>
      <c r="B107" s="87" t="s">
        <v>672</v>
      </c>
      <c r="C107" s="17" t="s">
        <v>97</v>
      </c>
      <c r="D107" s="72" t="n">
        <f aca="false">IF(D21&gt;0,D41/D21,"N/M")</f>
        <v>1.27019182231197</v>
      </c>
      <c r="E107" s="72" t="n">
        <f aca="false">IF(E21&gt;0,E41/E21,"N/M")</f>
        <v>2.00089100089101</v>
      </c>
      <c r="F107" s="72" t="n">
        <f aca="false">IF(F21&gt;0,F41/F21,"N/M")</f>
        <v>2.18279453243654</v>
      </c>
      <c r="G107" s="72" t="n">
        <f aca="false">IF(G21&gt;0,G41/G21,"N/M")</f>
        <v>3.2076378740097</v>
      </c>
      <c r="H107" s="72" t="n">
        <f aca="false">IF(H21&gt;0,H41/H21,"N/M")</f>
        <v>3.19706798131811</v>
      </c>
      <c r="I107" s="72" t="n">
        <f aca="false">IF(I21&gt;0,I41/I21,"N/M")</f>
        <v>3.05488941242659</v>
      </c>
      <c r="J107" s="72" t="n">
        <f aca="false">IF(J21&gt;0,J41/J21,"N/M")</f>
        <v>1.71528511087645</v>
      </c>
      <c r="K107" s="56" t="n">
        <f aca="false">IF(COUNT(D107:J107)=0,"N/M",AVERAGE(D107:J107))</f>
        <v>2.37553681918148</v>
      </c>
      <c r="L107" s="60" t="n">
        <f aca="false">IF(COUNT(D107,J107)=2,J107-D107,"-")</f>
        <v>0.445093288564484</v>
      </c>
    </row>
    <row r="108" customFormat="false" ht="16.5" hidden="false" customHeight="true" outlineLevel="0" collapsed="false">
      <c r="A108" s="88" t="s">
        <v>673</v>
      </c>
      <c r="B108" s="89"/>
      <c r="C108" s="89"/>
      <c r="D108" s="89"/>
      <c r="E108" s="89"/>
      <c r="F108" s="89"/>
      <c r="G108" s="89"/>
      <c r="H108" s="89"/>
      <c r="I108" s="89"/>
      <c r="J108" s="89"/>
      <c r="K108" s="89"/>
      <c r="L108" s="89"/>
    </row>
    <row r="109" customFormat="false" ht="15" hidden="false" customHeight="false" outlineLevel="0" collapsed="false">
      <c r="A109" s="16" t="s">
        <v>674</v>
      </c>
      <c r="B109" s="87" t="s">
        <v>675</v>
      </c>
      <c r="C109" s="17" t="s">
        <v>676</v>
      </c>
      <c r="D109" s="73" t="n">
        <f aca="false">IF(D25&gt;0,D23/D25,"N/M")</f>
        <v>4.82416335791262</v>
      </c>
      <c r="E109" s="73" t="n">
        <f aca="false">IF(E25&gt;0,E23/E25,"N/M")</f>
        <v>2.24141363862615</v>
      </c>
      <c r="F109" s="73" t="n">
        <f aca="false">IF(F25&gt;0,F23/F25,"N/M")</f>
        <v>1.42991281019449</v>
      </c>
      <c r="G109" s="73" t="n">
        <f aca="false">IF(G25&gt;0,G23/G25,"N/M")</f>
        <v>1.36746170254023</v>
      </c>
      <c r="H109" s="73" t="n">
        <f aca="false">IF(H25&gt;0,H23/H25,"N/M")</f>
        <v>0.326437793427227</v>
      </c>
      <c r="I109" s="73" t="n">
        <f aca="false">IF(I25&gt;0,I23/I25,"N/M")</f>
        <v>0.715059721709153</v>
      </c>
      <c r="J109" s="73" t="n">
        <f aca="false">IF(J25&gt;0,J23/J25,"N/M")</f>
        <v>1.34537456678219</v>
      </c>
      <c r="K109" s="60" t="n">
        <f aca="false">IF(COUNT(D109:J109)=0,"N/M",AVERAGE(D109:J109))</f>
        <v>1.74997479874172</v>
      </c>
      <c r="L109" s="60" t="n">
        <f aca="false">IF(COUNT(D109,J109)=2,J109-D109,"-")</f>
        <v>-3.47878879113043</v>
      </c>
    </row>
    <row r="110" customFormat="false" ht="15" hidden="false" customHeight="false" outlineLevel="0" collapsed="false">
      <c r="A110" s="16" t="s">
        <v>677</v>
      </c>
      <c r="B110" s="87" t="s">
        <v>678</v>
      </c>
      <c r="C110" s="17" t="s">
        <v>115</v>
      </c>
      <c r="D110" s="73" t="n">
        <f aca="false">IF(D31&gt;0,D30/D31,"N/M")</f>
        <v>5.13699906803355</v>
      </c>
      <c r="E110" s="73" t="n">
        <f aca="false">IF(E31&gt;0,E30/E31,"N/M")</f>
        <v>1.67410714285714</v>
      </c>
      <c r="F110" s="73" t="n">
        <f aca="false">IF(F31&gt;0,F30/F31,"N/M")</f>
        <v>1.22199025748086</v>
      </c>
      <c r="G110" s="73" t="n">
        <f aca="false">IF(G31&gt;0,G30/G31,"N/M")</f>
        <v>1.46</v>
      </c>
      <c r="H110" s="73" t="n">
        <f aca="false">IF(H31&gt;0,H30/H31,"N/M")</f>
        <v>-3.03942254303165</v>
      </c>
      <c r="I110" s="73" t="n">
        <f aca="false">IF(I31&gt;0,I30/I31,"N/M")</f>
        <v>-1.98835274542429</v>
      </c>
      <c r="J110" s="73" t="n">
        <f aca="false">IF(J31&gt;0,J30/J31,"N/M")</f>
        <v>0.0923387096774194</v>
      </c>
      <c r="K110" s="60" t="n">
        <f aca="false">IF(COUNT(D110:J110)=0,"N/M",AVERAGE(D110:J110))</f>
        <v>0.651094269941862</v>
      </c>
      <c r="L110" s="60" t="n">
        <f aca="false">IF(COUNT(D110,J110)=2,J110-D110,"-")</f>
        <v>-5.04466035835613</v>
      </c>
    </row>
    <row r="111" customFormat="false" ht="15" hidden="false" customHeight="false" outlineLevel="0" collapsed="false">
      <c r="A111" s="16" t="s">
        <v>679</v>
      </c>
      <c r="B111" s="87" t="s">
        <v>680</v>
      </c>
      <c r="C111" s="17" t="s">
        <v>115</v>
      </c>
      <c r="D111" s="73" t="n">
        <f aca="false">IF(D25+D76&gt;0,D21/(D25+D76/(1-D77)),"N/M")</f>
        <v>1.80422055071156</v>
      </c>
      <c r="E111" s="73" t="n">
        <f aca="false">IF(E25+E76&gt;0,E21/(E25+E76/(1-E77)),"N/M")</f>
        <v>1.55590178990594</v>
      </c>
      <c r="F111" s="73" t="n">
        <f aca="false">IF(F25+F76&gt;0,F21/(F25+F76/(1-F77)),"N/M")</f>
        <v>1.29424442547451</v>
      </c>
      <c r="G111" s="73" t="n">
        <f aca="false">IF(G25+G76&gt;0,G21/(G25+G76/(1-G77)),"N/M")</f>
        <v>5.04207872794259</v>
      </c>
      <c r="H111" s="73" t="n">
        <f aca="false">IF(H25+H76&gt;0,H21/(H25+H76/(1-H77)),"N/M")</f>
        <v>0.895897098136453</v>
      </c>
      <c r="I111" s="73" t="n">
        <f aca="false">IF(I25+I76&gt;0,I21/(I25+I76/(1-I77)),"N/M")</f>
        <v>2.19284447528723</v>
      </c>
      <c r="J111" s="73" t="n">
        <f aca="false">IF(J25+J76&gt;0,J21/(J25+J76/(1-J77)),"N/M")</f>
        <v>5.04932018128499</v>
      </c>
      <c r="K111" s="60" t="n">
        <f aca="false">IF(COUNT(D111:J111)=0,"N/M",AVERAGE(D111:J111))</f>
        <v>2.54778674982047</v>
      </c>
      <c r="L111" s="60" t="n">
        <f aca="false">IF(COUNT(D111,J111)=2,J111-D111,"-")</f>
        <v>3.24509963057343</v>
      </c>
    </row>
    <row r="112" customFormat="false" ht="15" hidden="false" customHeight="false" outlineLevel="0" collapsed="false">
      <c r="A112" s="16" t="s">
        <v>681</v>
      </c>
      <c r="B112" s="87" t="s">
        <v>682</v>
      </c>
      <c r="C112" s="17" t="s">
        <v>115</v>
      </c>
      <c r="D112" s="73" t="n">
        <f aca="false">IF(D25+D76&gt;0,(D63+D27)/(D25+D76/(1-D77)),"N/M")</f>
        <v>1.26504913929246</v>
      </c>
      <c r="E112" s="73" t="n">
        <f aca="false">IF(E25+E76&gt;0,(E63+E27)/(E25+E76/(1-E77)),"N/M")</f>
        <v>3.50863478328138</v>
      </c>
      <c r="F112" s="73" t="n">
        <f aca="false">IF(F25+F76&gt;0,(F63+F27)/(F25+F76/(1-F77)),"N/M")</f>
        <v>1.41969543373677</v>
      </c>
      <c r="G112" s="73" t="n">
        <f aca="false">IF(G25+G76&gt;0,(G63+G27)/(G25+G76/(1-G77)),"N/M")</f>
        <v>2.45336435912352</v>
      </c>
      <c r="H112" s="73" t="n">
        <f aca="false">IF(H25+H76&gt;0,(H63+H27)/(H25+H76/(1-H77)),"N/M")</f>
        <v>0.978420053465577</v>
      </c>
      <c r="I112" s="73" t="n">
        <f aca="false">IF(I25+I76&gt;0,(I63+I27)/(I25+I76/(1-I77)),"N/M")</f>
        <v>2.81825892512915</v>
      </c>
      <c r="J112" s="73" t="n">
        <f aca="false">IF(J25+J76&gt;0,(J63+J27)/(J25+J76/(1-J77)),"N/M")</f>
        <v>3.68168488403093</v>
      </c>
      <c r="K112" s="60" t="n">
        <f aca="false">IF(COUNT(D112:J112)=0,"N/M",AVERAGE(D112:J112))</f>
        <v>2.30358679686568</v>
      </c>
      <c r="L112" s="60" t="n">
        <f aca="false">IF(COUNT(D112,J112)=2,J112-D112,"-")</f>
        <v>2.41663574473846</v>
      </c>
    </row>
    <row r="113" customFormat="false" ht="15" hidden="false" customHeight="false" outlineLevel="0" collapsed="false">
      <c r="A113" s="16" t="s">
        <v>683</v>
      </c>
      <c r="B113" s="87" t="s">
        <v>684</v>
      </c>
      <c r="C113" s="17" t="s">
        <v>685</v>
      </c>
      <c r="D113" s="73" t="str">
        <f aca="false">IF(D75&gt;0,D63/D75,"N/M")</f>
        <v>N/M</v>
      </c>
      <c r="E113" s="73" t="n">
        <f aca="false">IF(E75&gt;0,E63/E75,"N/M")</f>
        <v>2.72010743725109</v>
      </c>
      <c r="F113" s="73" t="n">
        <f aca="false">IF(F75&gt;0,F63/F75,"N/M")</f>
        <v>1.36560600643547</v>
      </c>
      <c r="G113" s="73" t="n">
        <f aca="false">IF(G75&gt;0,G63/G75,"N/M")</f>
        <v>0.385136442810141</v>
      </c>
      <c r="H113" s="73" t="n">
        <f aca="false">IF(H75&gt;0,H63/H75,"N/M")</f>
        <v>4.31703139866794</v>
      </c>
      <c r="I113" s="73" t="n">
        <f aca="false">IF(I75&gt;0,I63/I75,"N/M")</f>
        <v>2.21757673667205</v>
      </c>
      <c r="J113" s="73" t="n">
        <f aca="false">IF(J75&gt;0,J63/J75,"N/M")</f>
        <v>0.80215713562753</v>
      </c>
      <c r="K113" s="60" t="n">
        <f aca="false">IF(COUNT(D113:J113)=0,"N/M",AVERAGE(D113:J113))</f>
        <v>1.96793585957737</v>
      </c>
      <c r="L113" s="60" t="str">
        <f aca="false">IF(COUNT(D113,J113)=2,J113-D113,"-")</f>
        <v>-</v>
      </c>
    </row>
    <row r="114" customFormat="false" ht="15" hidden="false" customHeight="false" outlineLevel="0" collapsed="false">
      <c r="A114" s="16" t="s">
        <v>686</v>
      </c>
      <c r="B114" s="87" t="s">
        <v>687</v>
      </c>
      <c r="C114" s="17" t="s">
        <v>688</v>
      </c>
      <c r="D114" s="73" t="n">
        <f aca="false">IF(D25+D76&gt;0,(D30+D25+D22)/(D25+D76),"N/M")</f>
        <v>2.22903324184203</v>
      </c>
      <c r="E114" s="73" t="n">
        <f aca="false">IF(E25+E76&gt;0,(E30+E25+E22)/(E25+E76),"N/M")</f>
        <v>2.00862440707201</v>
      </c>
      <c r="F114" s="73" t="n">
        <f aca="false">IF(F25+F76&gt;0,(F30+F25+F22)/(F25+F76),"N/M")</f>
        <v>1.83431952662722</v>
      </c>
      <c r="G114" s="73" t="n">
        <f aca="false">IF(G25+G76&gt;0,(G30+G25+G22)/(G25+G76),"N/M")</f>
        <v>5.18421562924181</v>
      </c>
      <c r="H114" s="73" t="n">
        <f aca="false">IF(H25+H76&gt;0,(H30+H25+H22)/(H25+H76),"N/M")</f>
        <v>0.861686877687808</v>
      </c>
      <c r="I114" s="73" t="n">
        <f aca="false">IF(I25+I76&gt;0,(I30+I25+I22)/(I25+I76),"N/M")</f>
        <v>2.09484154522322</v>
      </c>
      <c r="J114" s="73" t="n">
        <f aca="false">IF(J25+J76&gt;0,(J30+J25+J22)/(J25+J76),"N/M")</f>
        <v>4.73447080778459</v>
      </c>
      <c r="K114" s="60" t="n">
        <f aca="false">IF(COUNT(D114:J114)=0,"N/M",AVERAGE(D114:J114))</f>
        <v>2.7067417193541</v>
      </c>
      <c r="L114" s="60" t="n">
        <f aca="false">IF(COUNT(D114,J114)=2,J114-D114,"-")</f>
        <v>2.50543756594257</v>
      </c>
    </row>
    <row r="115" customFormat="false" ht="16.5" hidden="false" customHeight="true" outlineLevel="0" collapsed="false">
      <c r="A115" s="88" t="s">
        <v>689</v>
      </c>
      <c r="B115" s="89"/>
      <c r="C115" s="89"/>
      <c r="D115" s="89"/>
      <c r="E115" s="89"/>
      <c r="F115" s="89"/>
      <c r="G115" s="89"/>
      <c r="H115" s="89"/>
      <c r="I115" s="89"/>
      <c r="J115" s="89"/>
      <c r="K115" s="89"/>
      <c r="L115" s="89"/>
    </row>
    <row r="116" customFormat="false" ht="15" hidden="false" customHeight="false" outlineLevel="0" collapsed="false">
      <c r="A116" s="16" t="s">
        <v>690</v>
      </c>
      <c r="B116" s="87" t="s">
        <v>691</v>
      </c>
      <c r="C116" s="17" t="s">
        <v>692</v>
      </c>
      <c r="D116" s="73" t="str">
        <f aca="false">IF(D51&gt;0,D13/D51,"N/M")</f>
        <v>N/M</v>
      </c>
      <c r="E116" s="73" t="str">
        <f aca="false">IF(E51&gt;0,E13/E51,"N/M")</f>
        <v>N/M</v>
      </c>
      <c r="F116" s="73" t="n">
        <f aca="false">IF(F51&gt;0,F13/F51,"N/M")</f>
        <v>2490.70629370629</v>
      </c>
      <c r="G116" s="73" t="n">
        <f aca="false">IF(G51&gt;0,G13/G51,"N/M")</f>
        <v>10720.2195121951</v>
      </c>
      <c r="H116" s="73" t="str">
        <f aca="false">IF(H51&gt;0,H13/H51,"N/M")</f>
        <v>N/M</v>
      </c>
      <c r="I116" s="73" t="str">
        <f aca="false">IF(I51&gt;0,I13/I51,"N/M")</f>
        <v>N/M</v>
      </c>
      <c r="J116" s="73" t="str">
        <f aca="false">IF(J51&gt;0,J13/J51,"N/M")</f>
        <v>N/M</v>
      </c>
      <c r="K116" s="60" t="n">
        <f aca="false">IF(COUNT(D116:J116)=0,"N/M",AVERAGE(D116:J116))</f>
        <v>6605.46290295071</v>
      </c>
      <c r="L116" s="60" t="str">
        <f aca="false">IF(COUNT(D116,J116)=2,J116-D116,"-")</f>
        <v>-</v>
      </c>
    </row>
    <row r="117" customFormat="false" ht="15" hidden="false" customHeight="false" outlineLevel="0" collapsed="false">
      <c r="A117" s="16" t="s">
        <v>693</v>
      </c>
      <c r="B117" s="87" t="s">
        <v>694</v>
      </c>
      <c r="C117" s="17" t="s">
        <v>653</v>
      </c>
      <c r="D117" s="74" t="n">
        <f aca="false">IF(D13&gt;0,D51/D13*Setup!$C$8,"N/M")</f>
        <v>0</v>
      </c>
      <c r="E117" s="74" t="n">
        <f aca="false">IF(E13&gt;0,E51/E13*Setup!$C$8,"N/M")</f>
        <v>0</v>
      </c>
      <c r="F117" s="74" t="n">
        <f aca="false">IF(F13&gt;0,F51/F13*Setup!$C$8,"N/M")</f>
        <v>0.146544777648938</v>
      </c>
      <c r="G117" s="74" t="n">
        <f aca="false">IF(G13&gt;0,G51/G13*Setup!$C$8,"N/M")</f>
        <v>0.0340478102696295</v>
      </c>
      <c r="H117" s="74" t="n">
        <f aca="false">IF(H13&gt;0,H51/H13*Setup!$C$8,"N/M")</f>
        <v>0</v>
      </c>
      <c r="I117" s="74" t="n">
        <f aca="false">IF(I13&gt;0,I51/I13*Setup!$C$8,"N/M")</f>
        <v>0</v>
      </c>
      <c r="J117" s="74" t="n">
        <f aca="false">IF(J13&gt;0,J51/J13*Setup!$C$8,"N/M")</f>
        <v>0</v>
      </c>
      <c r="K117" s="58" t="n">
        <f aca="false">IF(COUNT(D117:J117)=0,"N/M",AVERAGE(D117:J117))</f>
        <v>0.025798941131224</v>
      </c>
      <c r="L117" s="58" t="n">
        <f aca="false">IF(COUNT(D117,J117)=2,J117-D117,"-")</f>
        <v>0</v>
      </c>
    </row>
    <row r="118" customFormat="false" ht="15" hidden="false" customHeight="false" outlineLevel="0" collapsed="false">
      <c r="A118" s="16" t="s">
        <v>695</v>
      </c>
      <c r="B118" s="87" t="s">
        <v>696</v>
      </c>
      <c r="C118" s="17" t="s">
        <v>692</v>
      </c>
      <c r="D118" s="73" t="n">
        <f aca="false">IF(D50&gt;0,D7/D50,"N/M")</f>
        <v>6.4804809289995</v>
      </c>
      <c r="E118" s="73" t="n">
        <f aca="false">IF(E50&gt;0,E7/E50,"N/M")</f>
        <v>6.72100494233937</v>
      </c>
      <c r="F118" s="73" t="n">
        <f aca="false">IF(F50&gt;0,F7/F50,"N/M")</f>
        <v>8.46954387400287</v>
      </c>
      <c r="G118" s="73" t="n">
        <f aca="false">IF(G50&gt;0,G7/G50,"N/M")</f>
        <v>7.85956872902267</v>
      </c>
      <c r="H118" s="73" t="n">
        <f aca="false">IF(H50&gt;0,H7/H50,"N/M")</f>
        <v>7.84437954124519</v>
      </c>
      <c r="I118" s="73" t="n">
        <f aca="false">IF(I50&gt;0,I7/I50,"N/M")</f>
        <v>9.76616541353383</v>
      </c>
      <c r="J118" s="73" t="n">
        <f aca="false">IF(J50&gt;0,J7/J50,"N/M")</f>
        <v>10.149944169724</v>
      </c>
      <c r="K118" s="60" t="n">
        <f aca="false">IF(COUNT(D118:J118)=0,"N/M",AVERAGE(D118:J118))</f>
        <v>8.18444108555249</v>
      </c>
      <c r="L118" s="60" t="n">
        <f aca="false">IF(COUNT(D118,J118)=2,J118-D118,"-")</f>
        <v>3.66946324072454</v>
      </c>
    </row>
    <row r="119" customFormat="false" ht="15" hidden="false" customHeight="false" outlineLevel="0" collapsed="false">
      <c r="A119" s="16" t="s">
        <v>697</v>
      </c>
      <c r="B119" s="87" t="s">
        <v>698</v>
      </c>
      <c r="C119" s="17" t="s">
        <v>653</v>
      </c>
      <c r="D119" s="74" t="n">
        <f aca="false">IF(D7&gt;0,D50/D7*Setup!$C$8,"N/M")</f>
        <v>56.3229803465144</v>
      </c>
      <c r="E119" s="74" t="n">
        <f aca="false">IF(E7&gt;0,E50/E7*Setup!$C$8,"N/M")</f>
        <v>54.3073547975929</v>
      </c>
      <c r="F119" s="74" t="n">
        <f aca="false">IF(F7&gt;0,F50/F7*Setup!$C$8,"N/M")</f>
        <v>43.0955911475188</v>
      </c>
      <c r="G119" s="74" t="n">
        <f aca="false">IF(G7&gt;0,G50/G7*Setup!$C$8,"N/M")</f>
        <v>46.4402071645714</v>
      </c>
      <c r="H119" s="74" t="n">
        <f aca="false">IF(H7&gt;0,H50/H7*Setup!$C$8,"N/M")</f>
        <v>46.5301300225028</v>
      </c>
      <c r="I119" s="74" t="n">
        <f aca="false">IF(I7&gt;0,I50/I7*Setup!$C$8,"N/M")</f>
        <v>37.3739317884364</v>
      </c>
      <c r="J119" s="74" t="n">
        <f aca="false">IF(J7&gt;0,J50/J7*Setup!$C$8,"N/M")</f>
        <v>35.9607889360365</v>
      </c>
      <c r="K119" s="58" t="n">
        <f aca="false">IF(COUNT(D119:J119)=0,"N/M",AVERAGE(D119:J119))</f>
        <v>45.7187120290248</v>
      </c>
      <c r="L119" s="58" t="n">
        <f aca="false">IF(COUNT(D119,J119)=2,J119-D119,"-")</f>
        <v>-20.3621914104779</v>
      </c>
    </row>
    <row r="120" customFormat="false" ht="15" hidden="false" customHeight="false" outlineLevel="0" collapsed="false">
      <c r="A120" s="16" t="s">
        <v>699</v>
      </c>
      <c r="B120" s="87" t="s">
        <v>700</v>
      </c>
      <c r="C120" s="17" t="s">
        <v>692</v>
      </c>
      <c r="D120" s="73" t="n">
        <f aca="false">IF(D42&gt;0,D13/D42,"N/M")</f>
        <v>4.35189157999083</v>
      </c>
      <c r="E120" s="73" t="n">
        <f aca="false">IF(E42&gt;0,E13/E42,"N/M")</f>
        <v>3.26493130364144</v>
      </c>
      <c r="F120" s="73" t="n">
        <f aca="false">IF(F42&gt;0,F13/F42,"N/M")</f>
        <v>3.46962612270345</v>
      </c>
      <c r="G120" s="73" t="n">
        <f aca="false">IF(G42&gt;0,G13/G42,"N/M")</f>
        <v>3.79814555572838</v>
      </c>
      <c r="H120" s="73" t="n">
        <f aca="false">IF(H42&gt;0,H13/H42,"N/M")</f>
        <v>3.77114112281603</v>
      </c>
      <c r="I120" s="73" t="n">
        <f aca="false">IF(I42&gt;0,I13/I42,"N/M")</f>
        <v>4.14263367239455</v>
      </c>
      <c r="J120" s="73" t="n">
        <f aca="false">IF(J42&gt;0,J13/J42,"N/M")</f>
        <v>4.71443521179558</v>
      </c>
      <c r="K120" s="60" t="n">
        <f aca="false">IF(COUNT(D120:J120)=0,"N/M",AVERAGE(D120:J120))</f>
        <v>3.93040065272432</v>
      </c>
      <c r="L120" s="60" t="n">
        <f aca="false">IF(COUNT(D120,J120)=2,J120-D120,"-")</f>
        <v>0.362543631804749</v>
      </c>
    </row>
    <row r="121" customFormat="false" ht="15" hidden="false" customHeight="false" outlineLevel="0" collapsed="false">
      <c r="A121" s="16" t="s">
        <v>701</v>
      </c>
      <c r="B121" s="87" t="s">
        <v>702</v>
      </c>
      <c r="C121" s="17" t="s">
        <v>653</v>
      </c>
      <c r="D121" s="74" t="n">
        <f aca="false">IF(D13&gt;0,D42/D13*Setup!$C$8,"N/M")</f>
        <v>83.8715747603182</v>
      </c>
      <c r="E121" s="74" t="n">
        <f aca="false">IF(E13&gt;0,E42/E13*Setup!$C$8,"N/M")</f>
        <v>111.794082648204</v>
      </c>
      <c r="F121" s="74" t="n">
        <f aca="false">IF(F13&gt;0,F42/F13*Setup!$C$8,"N/M")</f>
        <v>105.19865457884</v>
      </c>
      <c r="G121" s="74" t="n">
        <f aca="false">IF(G13&gt;0,G42/G13*Setup!$C$8,"N/M")</f>
        <v>96.099529268831</v>
      </c>
      <c r="H121" s="74" t="n">
        <f aca="false">IF(H13&gt;0,H42/H13*Setup!$C$8,"N/M")</f>
        <v>96.7876799390214</v>
      </c>
      <c r="I121" s="74" t="n">
        <f aca="false">IF(I13&gt;0,I42/I13*Setup!$C$8,"N/M")</f>
        <v>88.1082009332051</v>
      </c>
      <c r="J121" s="74" t="n">
        <f aca="false">IF(J13&gt;0,J42/J13*Setup!$C$8,"N/M")</f>
        <v>77.4217872560355</v>
      </c>
      <c r="K121" s="58" t="n">
        <f aca="false">IF(COUNT(D121:J121)=0,"N/M",AVERAGE(D121:J121))</f>
        <v>94.1830727692079</v>
      </c>
      <c r="L121" s="58" t="n">
        <f aca="false">IF(COUNT(D121,J121)=2,J121-D121,"-")</f>
        <v>-6.44978750428267</v>
      </c>
    </row>
    <row r="122" customFormat="false" ht="15" hidden="false" customHeight="false" outlineLevel="0" collapsed="false">
      <c r="A122" s="16" t="s">
        <v>703</v>
      </c>
      <c r="B122" s="87" t="s">
        <v>704</v>
      </c>
      <c r="C122" s="17" t="s">
        <v>653</v>
      </c>
      <c r="D122" s="74" t="n">
        <f aca="false">IF(COUNT(D117,D119,D121)=3,D117+D119-D121,"N/M")</f>
        <v>-27.5485944138038</v>
      </c>
      <c r="E122" s="74" t="n">
        <f aca="false">IF(COUNT(E117,E119,E121)=3,E117+E119-E121,"N/M")</f>
        <v>-57.4867278506113</v>
      </c>
      <c r="F122" s="74" t="n">
        <f aca="false">IF(COUNT(F117,F119,F121)=3,F117+F119-F121,"N/M")</f>
        <v>-61.9565186536722</v>
      </c>
      <c r="G122" s="74" t="n">
        <f aca="false">IF(COUNT(G117,G119,G121)=3,G117+G119-G121,"N/M")</f>
        <v>-49.6252742939899</v>
      </c>
      <c r="H122" s="74" t="n">
        <f aca="false">IF(COUNT(H117,H119,H121)=3,H117+H119-H121,"N/M")</f>
        <v>-50.2575499165186</v>
      </c>
      <c r="I122" s="74" t="n">
        <f aca="false">IF(COUNT(I117,I119,I121)=3,I117+I119-I121,"N/M")</f>
        <v>-50.7342691447687</v>
      </c>
      <c r="J122" s="74" t="n">
        <f aca="false">IF(COUNT(J117,J119,J121)=3,J117+J119-J121,"N/M")</f>
        <v>-41.4609983199991</v>
      </c>
      <c r="K122" s="58" t="n">
        <f aca="false">IF(COUNT(D122:J122)=0,"N/M",AVERAGE(D122:J122))</f>
        <v>-48.4385617990519</v>
      </c>
      <c r="L122" s="58" t="n">
        <f aca="false">IF(COUNT(D122,J122)=2,J122-D122,"-")</f>
        <v>-13.9124039061953</v>
      </c>
    </row>
    <row r="123" customFormat="false" ht="15" hidden="false" customHeight="false" outlineLevel="0" collapsed="false">
      <c r="A123" s="16" t="s">
        <v>705</v>
      </c>
      <c r="B123" s="87" t="s">
        <v>706</v>
      </c>
      <c r="C123" s="17" t="s">
        <v>692</v>
      </c>
      <c r="D123" s="73" t="n">
        <f aca="false">IF(D45&gt;0,D7/D45,"N/M")</f>
        <v>15.0291825424316</v>
      </c>
      <c r="E123" s="73" t="n">
        <f aca="false">IF(E45&gt;0,E7/E45,"N/M")</f>
        <v>9.04779330228432</v>
      </c>
      <c r="F123" s="73" t="n">
        <f aca="false">IF(F45&gt;0,F7/F45,"N/M")</f>
        <v>8.27242033762861</v>
      </c>
      <c r="G123" s="73" t="n">
        <f aca="false">IF(G45&gt;0,G7/G45,"N/M")</f>
        <v>6.18104570436795</v>
      </c>
      <c r="H123" s="73" t="n">
        <f aca="false">IF(H45&gt;0,H7/H45,"N/M")</f>
        <v>6.58459201856038</v>
      </c>
      <c r="I123" s="73" t="n">
        <f aca="false">IF(I45&gt;0,I7/I45,"N/M")</f>
        <v>6.56744050948836</v>
      </c>
      <c r="J123" s="73" t="n">
        <f aca="false">IF(J45&gt;0,J7/J45,"N/M")</f>
        <v>6.09982047304481</v>
      </c>
      <c r="K123" s="60" t="n">
        <f aca="false">IF(COUNT(D123:J123)=0,"N/M",AVERAGE(D123:J123))</f>
        <v>8.25461355540086</v>
      </c>
      <c r="L123" s="60" t="n">
        <f aca="false">IF(COUNT(D123,J123)=2,J123-D123,"-")</f>
        <v>-8.92936206938678</v>
      </c>
    </row>
    <row r="124" customFormat="false" ht="15" hidden="false" customHeight="false" outlineLevel="0" collapsed="false">
      <c r="A124" s="16" t="s">
        <v>707</v>
      </c>
      <c r="B124" s="87" t="s">
        <v>708</v>
      </c>
      <c r="C124" s="17" t="s">
        <v>692</v>
      </c>
      <c r="D124" s="73" t="n">
        <f aca="false">IF(D49&gt;0,D7/D49,"N/M")</f>
        <v>2.44130141225454</v>
      </c>
      <c r="E124" s="73" t="n">
        <f aca="false">IF(E49&gt;0,E7/E49,"N/M")</f>
        <v>1.9347097982726</v>
      </c>
      <c r="F124" s="73" t="n">
        <f aca="false">IF(F49&gt;0,F7/F49,"N/M")</f>
        <v>2.09612035799619</v>
      </c>
      <c r="G124" s="73" t="n">
        <f aca="false">IF(G49&gt;0,G7/G49,"N/M")</f>
        <v>2.00877811464429</v>
      </c>
      <c r="H124" s="73" t="n">
        <f aca="false">IF(H49&gt;0,H7/H49,"N/M")</f>
        <v>2.22265864685936</v>
      </c>
      <c r="I124" s="73" t="n">
        <f aca="false">IF(I49&gt;0,I7/I49,"N/M")</f>
        <v>2.36731425469211</v>
      </c>
      <c r="J124" s="73" t="n">
        <f aca="false">IF(J49&gt;0,J7/J49,"N/M")</f>
        <v>2.25419563866139</v>
      </c>
      <c r="K124" s="60" t="n">
        <f aca="false">IF(COUNT(D124:J124)=0,"N/M",AVERAGE(D124:J124))</f>
        <v>2.18929688905435</v>
      </c>
      <c r="L124" s="60" t="n">
        <f aca="false">IF(COUNT(D124,J124)=2,J124-D124,"-")</f>
        <v>-0.187105773593154</v>
      </c>
    </row>
    <row r="125" customFormat="false" ht="15" hidden="false" customHeight="false" outlineLevel="0" collapsed="false">
      <c r="A125" s="16" t="s">
        <v>709</v>
      </c>
      <c r="B125" s="87" t="s">
        <v>710</v>
      </c>
      <c r="C125" s="17" t="s">
        <v>692</v>
      </c>
      <c r="D125" s="73" t="n">
        <f aca="false">IF(D90&gt;0,D7/D90,"N/M")</f>
        <v>4.65331456531939</v>
      </c>
      <c r="E125" s="73" t="n">
        <f aca="false">IF(E90&gt;0,E7/E90,"N/M")</f>
        <v>3.89679298899157</v>
      </c>
      <c r="F125" s="73" t="n">
        <f aca="false">IF(F90&gt;0,F7/F90,"N/M")</f>
        <v>4.36374749710191</v>
      </c>
      <c r="G125" s="73" t="n">
        <f aca="false">IF(G90&gt;0,G7/G90,"N/M")</f>
        <v>3.67429713696157</v>
      </c>
      <c r="H125" s="73" t="n">
        <f aca="false">IF(H90&gt;0,H7/H90,"N/M")</f>
        <v>4.4700022731701</v>
      </c>
      <c r="I125" s="73" t="n">
        <f aca="false">IF(I90&gt;0,I7/I90,"N/M")</f>
        <v>4.6720876126919</v>
      </c>
      <c r="J125" s="73" t="n">
        <f aca="false">IF(J90&gt;0,J7/J90,"N/M")</f>
        <v>3.83622083495476</v>
      </c>
      <c r="K125" s="60" t="n">
        <f aca="false">IF(COUNT(D125:J125)=0,"N/M",AVERAGE(D125:J125))</f>
        <v>4.22378041559874</v>
      </c>
      <c r="L125" s="60" t="n">
        <f aca="false">IF(COUNT(D125,J125)=2,J125-D125,"-")</f>
        <v>-0.817093730364636</v>
      </c>
    </row>
    <row r="126" customFormat="false" ht="15" hidden="false" customHeight="false" outlineLevel="0" collapsed="false">
      <c r="A126" s="16" t="s">
        <v>711</v>
      </c>
      <c r="B126" s="87" t="s">
        <v>712</v>
      </c>
      <c r="C126" s="17" t="s">
        <v>692</v>
      </c>
      <c r="D126" s="73" t="n">
        <f aca="false">IF(D87&gt;0,D7/D87,"N/M")</f>
        <v>2.95995565788352</v>
      </c>
      <c r="E126" s="73" t="n">
        <f aca="false">IF(E87&gt;0,E7/E87,"N/M")</f>
        <v>2.5737492902656</v>
      </c>
      <c r="F126" s="73" t="n">
        <f aca="false">IF(F87&gt;0,F7/F87,"N/M")</f>
        <v>3.08248220826013</v>
      </c>
      <c r="G126" s="73" t="n">
        <f aca="false">IF(G87&gt;0,G7/G87,"N/M")</f>
        <v>3.16637338618556</v>
      </c>
      <c r="H126" s="73" t="n">
        <f aca="false">IF(H87&gt;0,H7/H87,"N/M")</f>
        <v>3.40103526446807</v>
      </c>
      <c r="I126" s="73" t="n">
        <f aca="false">IF(I87&gt;0,I7/I87,"N/M")</f>
        <v>3.86173893791315</v>
      </c>
      <c r="J126" s="73" t="n">
        <f aca="false">IF(J87&gt;0,J7/J87,"N/M")</f>
        <v>3.87054497193574</v>
      </c>
      <c r="K126" s="60" t="n">
        <f aca="false">IF(COUNT(D126:J126)=0,"N/M",AVERAGE(D126:J126))</f>
        <v>3.27369710241597</v>
      </c>
      <c r="L126" s="60" t="n">
        <f aca="false">IF(COUNT(D126,J126)=2,J126-D126,"-")</f>
        <v>0.910589314052226</v>
      </c>
    </row>
    <row r="127" customFormat="false" ht="15" hidden="false" customHeight="false" outlineLevel="0" collapsed="false">
      <c r="A127" s="16" t="s">
        <v>713</v>
      </c>
      <c r="B127" s="87" t="s">
        <v>714</v>
      </c>
      <c r="C127" s="17" t="s">
        <v>692</v>
      </c>
      <c r="D127" s="73" t="n">
        <f aca="false">IF(D94&gt;0,D7/D94,"N/M")</f>
        <v>6.98685614218715</v>
      </c>
      <c r="E127" s="73" t="n">
        <f aca="false">IF(E94&gt;0,E7/E94,"N/M")</f>
        <v>7.79507511524039</v>
      </c>
      <c r="F127" s="73" t="n">
        <f aca="false">IF(F94&gt;0,F7/F94,"N/M")</f>
        <v>13.0714060231075</v>
      </c>
      <c r="G127" s="73" t="n">
        <f aca="false">IF(G94&gt;0,G7/G94,"N/M")</f>
        <v>11.0908324141958</v>
      </c>
      <c r="H127" s="73" t="n">
        <f aca="false">IF(H94&gt;0,H7/H94,"N/M")</f>
        <v>14.7427370337644</v>
      </c>
      <c r="I127" s="73" t="n">
        <f aca="false">IF(I94&gt;0,I7/I94,"N/M")</f>
        <v>19.775290725924</v>
      </c>
      <c r="J127" s="73" t="n">
        <f aca="false">IF(J94&gt;0,J7/J94,"N/M")</f>
        <v>13.259514653229</v>
      </c>
      <c r="K127" s="60" t="n">
        <f aca="false">IF(COUNT(D127:J127)=0,"N/M",AVERAGE(D127:J127))</f>
        <v>12.3888160153783</v>
      </c>
      <c r="L127" s="60" t="n">
        <f aca="false">IF(COUNT(D127,J127)=2,J127-D127,"-")</f>
        <v>6.27265851104187</v>
      </c>
    </row>
    <row r="128" customFormat="false" ht="16.5" hidden="false" customHeight="true" outlineLevel="0" collapsed="false">
      <c r="A128" s="88" t="s">
        <v>715</v>
      </c>
      <c r="B128" s="89"/>
      <c r="C128" s="89"/>
      <c r="D128" s="89"/>
      <c r="E128" s="89"/>
      <c r="F128" s="89"/>
      <c r="G128" s="89"/>
      <c r="H128" s="89"/>
      <c r="I128" s="89"/>
      <c r="J128" s="89"/>
      <c r="K128" s="89"/>
      <c r="L128" s="89"/>
    </row>
    <row r="129" customFormat="false" ht="15" hidden="false" customHeight="false" outlineLevel="0" collapsed="false">
      <c r="A129" s="16" t="s">
        <v>716</v>
      </c>
      <c r="B129" s="87" t="s">
        <v>717</v>
      </c>
      <c r="C129" s="17" t="s">
        <v>615</v>
      </c>
      <c r="D129" s="71" t="n">
        <f aca="false">IF(D7&gt;0,D14/D7,"N/M")</f>
        <v>0.152612686322073</v>
      </c>
      <c r="E129" s="71" t="n">
        <f aca="false">IF(E7&gt;0,E14/E7,"N/M")</f>
        <v>0.15029475567757</v>
      </c>
      <c r="F129" s="71" t="n">
        <f aca="false">IF(F7&gt;0,F14/F7,"N/M")</f>
        <v>0.13984147837595</v>
      </c>
      <c r="G129" s="71" t="n">
        <f aca="false">IF(G7&gt;0,G14/G7,"N/M")</f>
        <v>0.1429326344649</v>
      </c>
      <c r="H129" s="71" t="n">
        <f aca="false">IF(H7&gt;0,H14/H7,"N/M")</f>
        <v>0.146975010761047</v>
      </c>
      <c r="I129" s="71" t="n">
        <f aca="false">IF(I7&gt;0,I14/I7,"N/M")</f>
        <v>0.136747460617249</v>
      </c>
      <c r="J129" s="71" t="n">
        <f aca="false">IF(J7&gt;0,J14/J7,"N/M")</f>
        <v>0.137522323660938</v>
      </c>
      <c r="K129" s="62" t="n">
        <f aca="false">IF(COUNT(D129:J129)=0,"N/M",AVERAGE(D129:J129))</f>
        <v>0.143846621411389</v>
      </c>
      <c r="L129" s="62" t="n">
        <f aca="false">IF(COUNT(D129,J129)=2,J129-D129,"-")</f>
        <v>-0.0150903626611352</v>
      </c>
    </row>
    <row r="130" customFormat="false" ht="15" hidden="false" customHeight="false" outlineLevel="0" collapsed="false">
      <c r="A130" s="16" t="s">
        <v>718</v>
      </c>
      <c r="B130" s="87" t="s">
        <v>719</v>
      </c>
      <c r="C130" s="17" t="s">
        <v>615</v>
      </c>
      <c r="D130" s="71" t="n">
        <f aca="false">IF(D7&gt;0,D21/D7,"N/M")</f>
        <v>0.0456564702086345</v>
      </c>
      <c r="E130" s="71" t="n">
        <f aca="false">IF(E7&gt;0,E21/E7,"N/M")</f>
        <v>0.041265794859853</v>
      </c>
      <c r="F130" s="71" t="n">
        <f aca="false">IF(F7&gt;0,F21/F7,"N/M")</f>
        <v>0.0445232276200503</v>
      </c>
      <c r="G130" s="71" t="n">
        <f aca="false">IF(G7&gt;0,G21/G7,"N/M")</f>
        <v>0.0507030608643426</v>
      </c>
      <c r="H130" s="71" t="n">
        <f aca="false">IF(H7&gt;0,H21/H7,"N/M")</f>
        <v>0.0419980493900257</v>
      </c>
      <c r="I130" s="71" t="n">
        <f aca="false">IF(I7&gt;0,I21/I7,"N/M")</f>
        <v>0.0465844257743459</v>
      </c>
      <c r="J130" s="71" t="n">
        <f aca="false">IF(J7&gt;0,J21/J7,"N/M")</f>
        <v>0.0541196976840541</v>
      </c>
      <c r="K130" s="62" t="n">
        <f aca="false">IF(COUNT(D130:J130)=0,"N/M",AVERAGE(D130:J130))</f>
        <v>0.046407246628758</v>
      </c>
      <c r="L130" s="62" t="n">
        <f aca="false">IF(COUNT(D130,J130)=2,J130-D130,"-")</f>
        <v>0.00846322747541964</v>
      </c>
    </row>
    <row r="131" customFormat="false" ht="15" hidden="false" customHeight="false" outlineLevel="0" collapsed="false">
      <c r="A131" s="16" t="s">
        <v>720</v>
      </c>
      <c r="B131" s="87" t="s">
        <v>721</v>
      </c>
      <c r="C131" s="17" t="s">
        <v>615</v>
      </c>
      <c r="D131" s="71" t="n">
        <f aca="false">IF(D7&gt;0,D23/D7,"N/M")</f>
        <v>0.0245020367948281</v>
      </c>
      <c r="E131" s="71" t="n">
        <f aca="false">IF(E7&gt;0,E23/E7,"N/M")</f>
        <v>0.0137971394604927</v>
      </c>
      <c r="F131" s="71" t="n">
        <f aca="false">IF(F7&gt;0,F23/F7,"N/M")</f>
        <v>0.0102976265226673</v>
      </c>
      <c r="G131" s="71" t="n">
        <f aca="false">IF(G7&gt;0,G23/G7,"N/M")</f>
        <v>0.0137511724180964</v>
      </c>
      <c r="H131" s="71" t="n">
        <f aca="false">IF(H7&gt;0,H23/H7,"N/M")</f>
        <v>0.00404106814966296</v>
      </c>
      <c r="I131" s="71" t="n">
        <f aca="false">IF(I7&gt;0,I23/I7,"N/M")</f>
        <v>0.00951214038720166</v>
      </c>
      <c r="J131" s="71" t="n">
        <f aca="false">IF(J7&gt;0,J23/J7,"N/M")</f>
        <v>0.0144200134299144</v>
      </c>
      <c r="K131" s="62" t="n">
        <f aca="false">IF(COUNT(D131:J131)=0,"N/M",AVERAGE(D131:J131))</f>
        <v>0.0129030281661234</v>
      </c>
      <c r="L131" s="62" t="n">
        <f aca="false">IF(COUNT(D131,J131)=2,J131-D131,"-")</f>
        <v>-0.0100820233649136</v>
      </c>
    </row>
    <row r="132" customFormat="false" ht="15" hidden="false" customHeight="false" outlineLevel="0" collapsed="false">
      <c r="A132" s="16" t="s">
        <v>722</v>
      </c>
      <c r="B132" s="87" t="s">
        <v>723</v>
      </c>
      <c r="C132" s="17" t="s">
        <v>615</v>
      </c>
      <c r="D132" s="71" t="n">
        <f aca="false">IF(D7&gt;0,D26/D7,"N/M")</f>
        <v>0.0233900101983785</v>
      </c>
      <c r="E132" s="71" t="n">
        <f aca="false">IF(E7&gt;0,E26/E7,"N/M")</f>
        <v>0.0120108342627429</v>
      </c>
      <c r="F132" s="71" t="n">
        <f aca="false">IF(F7&gt;0,F26/F7,"N/M")</f>
        <v>0.00635390604623298</v>
      </c>
      <c r="G132" s="71" t="n">
        <f aca="false">IF(G7&gt;0,G26/G7,"N/M")</f>
        <v>0.00673518853262969</v>
      </c>
      <c r="H132" s="71" t="n">
        <f aca="false">IF(H7&gt;0,H26/H7,"N/M")</f>
        <v>-0.00479297925706101</v>
      </c>
      <c r="I132" s="71" t="n">
        <f aca="false">IF(I7&gt;0,I26/I7,"N/M")</f>
        <v>-0.00125638224160209</v>
      </c>
      <c r="J132" s="71" t="n">
        <f aca="false">IF(J7&gt;0,J26/J7,"N/M")</f>
        <v>0.00473761661880476</v>
      </c>
      <c r="K132" s="62" t="n">
        <f aca="false">IF(COUNT(D132:J132)=0,"N/M",AVERAGE(D132:J132))</f>
        <v>0.00673974202287511</v>
      </c>
      <c r="L132" s="62" t="n">
        <f aca="false">IF(COUNT(D132,J132)=2,J132-D132,"-")</f>
        <v>-0.0186523935795737</v>
      </c>
    </row>
    <row r="133" customFormat="false" ht="15" hidden="false" customHeight="false" outlineLevel="0" collapsed="false">
      <c r="A133" s="16" t="s">
        <v>724</v>
      </c>
      <c r="B133" s="87" t="s">
        <v>725</v>
      </c>
      <c r="C133" s="17" t="s">
        <v>615</v>
      </c>
      <c r="D133" s="71" t="n">
        <f aca="false">IF(D7&gt;0,D30/D7,"N/M")</f>
        <v>0.0158795093254666</v>
      </c>
      <c r="E133" s="71" t="n">
        <f aca="false">IF(E7&gt;0,E30/E7,"N/M")</f>
        <v>0.00919196499699729</v>
      </c>
      <c r="F133" s="71" t="n">
        <f aca="false">IF(F7&gt;0,F30/F7,"N/M")</f>
        <v>0.00424076739535737</v>
      </c>
      <c r="G133" s="71" t="n">
        <f aca="false">IF(G7&gt;0,G30/G7,"N/M")</f>
        <v>0.00512451518927362</v>
      </c>
      <c r="H133" s="71" t="n">
        <f aca="false">IF(H7&gt;0,H30/H7,"N/M")</f>
        <v>-0.00994193575337316</v>
      </c>
      <c r="I133" s="71" t="n">
        <f aca="false">IF(I7&gt;0,I30/I7,"N/M")</f>
        <v>-0.00587239939523296</v>
      </c>
      <c r="J133" s="71" t="n">
        <f aca="false">IF(J7&gt;0,J30/J7,"N/M")</f>
        <v>0.000327175574700327</v>
      </c>
      <c r="K133" s="62" t="n">
        <f aca="false">IF(COUNT(D133:J133)=0,"N/M",AVERAGE(D133:J133))</f>
        <v>0.00270708533331272</v>
      </c>
      <c r="L133" s="62" t="n">
        <f aca="false">IF(COUNT(D133,J133)=2,J133-D133,"-")</f>
        <v>-0.0155523337507662</v>
      </c>
    </row>
    <row r="134" customFormat="false" ht="16.5" hidden="false" customHeight="true" outlineLevel="0" collapsed="false">
      <c r="A134" s="88" t="s">
        <v>726</v>
      </c>
      <c r="B134" s="89"/>
      <c r="C134" s="89"/>
      <c r="D134" s="89"/>
      <c r="E134" s="89"/>
      <c r="F134" s="89"/>
      <c r="G134" s="89"/>
      <c r="H134" s="89"/>
      <c r="I134" s="89"/>
      <c r="J134" s="89"/>
      <c r="K134" s="89"/>
      <c r="L134" s="89"/>
    </row>
    <row r="135" customFormat="false" ht="15" hidden="false" customHeight="false" outlineLevel="0" collapsed="false">
      <c r="A135" s="16" t="s">
        <v>727</v>
      </c>
      <c r="B135" s="87" t="s">
        <v>728</v>
      </c>
      <c r="C135" s="17" t="s">
        <v>615</v>
      </c>
      <c r="D135" s="71" t="n">
        <f aca="false">IF(D7&gt;0,D13/D7,"N/M")</f>
        <v>0.847387313677927</v>
      </c>
      <c r="E135" s="71" t="n">
        <f aca="false">IF(E7&gt;0,E13/E7,"N/M")</f>
        <v>0.84970524432243</v>
      </c>
      <c r="F135" s="71" t="n">
        <f aca="false">IF(F7&gt;0,F13/F7,"N/M")</f>
        <v>0.86015852162405</v>
      </c>
      <c r="G135" s="71" t="n">
        <f aca="false">IF(G7&gt;0,G13/G7,"N/M")</f>
        <v>0.8570673655351</v>
      </c>
      <c r="H135" s="71" t="n">
        <f aca="false">IF(H7&gt;0,H13/H7,"N/M")</f>
        <v>0.853024989238953</v>
      </c>
      <c r="I135" s="71" t="n">
        <f aca="false">IF(I7&gt;0,I13/I7,"N/M")</f>
        <v>0.863252539382751</v>
      </c>
      <c r="J135" s="71" t="n">
        <f aca="false">IF(J7&gt;0,J13/J7,"N/M")</f>
        <v>0.862477676339063</v>
      </c>
      <c r="K135" s="62" t="n">
        <f aca="false">IF(COUNT(D135:J135)=0,"N/M",AVERAGE(D135:J135))</f>
        <v>0.856153378588611</v>
      </c>
      <c r="L135" s="62" t="n">
        <f aca="false">IF(COUNT(D135,J135)=2,J135-D135,"-")</f>
        <v>0.0150903626611353</v>
      </c>
    </row>
    <row r="136" customFormat="false" ht="15" hidden="false" customHeight="false" outlineLevel="0" collapsed="false">
      <c r="A136" s="16" t="s">
        <v>729</v>
      </c>
      <c r="B136" s="87" t="s">
        <v>730</v>
      </c>
      <c r="C136" s="17" t="s">
        <v>615</v>
      </c>
      <c r="D136" s="71" t="n">
        <f aca="false">IF(D7&gt;0,D19/D7,"N/M")</f>
        <v>0.106956216113438</v>
      </c>
      <c r="E136" s="71" t="n">
        <f aca="false">IF(E7&gt;0,E19/E7,"N/M")</f>
        <v>0.109028960817717</v>
      </c>
      <c r="F136" s="71" t="n">
        <f aca="false">IF(F7&gt;0,F19/F7,"N/M")</f>
        <v>0.0953182507558999</v>
      </c>
      <c r="G136" s="71" t="n">
        <f aca="false">IF(G7&gt;0,G19/G7,"N/M")</f>
        <v>0.0922295736005569</v>
      </c>
      <c r="H136" s="71" t="n">
        <f aca="false">IF(H7&gt;0,H19/H7,"N/M")</f>
        <v>0.104976961371021</v>
      </c>
      <c r="I136" s="71" t="n">
        <f aca="false">IF(I7&gt;0,I19/I7,"N/M")</f>
        <v>0.0901630348429031</v>
      </c>
      <c r="J136" s="71" t="n">
        <f aca="false">IF(J7&gt;0,J19/J7,"N/M")</f>
        <v>0.0834026259768834</v>
      </c>
      <c r="K136" s="62" t="n">
        <f aca="false">IF(COUNT(D136:J136)=0,"N/M",AVERAGE(D136:J136))</f>
        <v>0.0974393747826314</v>
      </c>
      <c r="L136" s="62" t="n">
        <f aca="false">IF(COUNT(D136,J136)=2,J136-D136,"-")</f>
        <v>-0.0235535901365549</v>
      </c>
    </row>
    <row r="137" customFormat="false" ht="15" hidden="false" customHeight="false" outlineLevel="0" collapsed="false">
      <c r="A137" s="16" t="s">
        <v>731</v>
      </c>
      <c r="B137" s="87" t="s">
        <v>732</v>
      </c>
      <c r="C137" s="17" t="s">
        <v>615</v>
      </c>
      <c r="D137" s="71" t="n">
        <f aca="false">IF(D7&gt;0,D16/D7,"N/M")</f>
        <v>0.0883456155614582</v>
      </c>
      <c r="E137" s="71" t="n">
        <f aca="false">IF(E7&gt;0,E16/E7,"N/M")</f>
        <v>0.0908349981003272</v>
      </c>
      <c r="F137" s="71" t="n">
        <f aca="false">IF(F7&gt;0,F16/F7,"N/M")</f>
        <v>0.0760005409634946</v>
      </c>
      <c r="G137" s="71" t="n">
        <f aca="false">IF(G7&gt;0,G16/G7,"N/M")</f>
        <v>0.0691380557651771</v>
      </c>
      <c r="H137" s="71" t="n">
        <f aca="false">IF(H7&gt;0,H16/H7,"N/M")</f>
        <v>0.0735020350637581</v>
      </c>
      <c r="I137" s="71" t="n">
        <f aca="false">IF(I7&gt;0,I16/I7,"N/M")</f>
        <v>0.0661115870548402</v>
      </c>
      <c r="J137" s="71" t="n">
        <f aca="false">IF(J7&gt;0,J16/J7,"N/M")</f>
        <v>0.0610632491820611</v>
      </c>
      <c r="K137" s="62" t="n">
        <f aca="false">IF(COUNT(D137:J137)=0,"N/M",AVERAGE(D137:J137))</f>
        <v>0.0749994402415881</v>
      </c>
      <c r="L137" s="62" t="n">
        <f aca="false">IF(COUNT(D137,J137)=2,J137-D137,"-")</f>
        <v>-0.0272823663793971</v>
      </c>
    </row>
    <row r="138" customFormat="false" ht="15" hidden="false" customHeight="false" outlineLevel="0" collapsed="false">
      <c r="A138" s="16" t="s">
        <v>733</v>
      </c>
      <c r="B138" s="87" t="s">
        <v>734</v>
      </c>
      <c r="C138" s="17" t="s">
        <v>615</v>
      </c>
      <c r="D138" s="71" t="n">
        <f aca="false">IF(D7&gt;0,D17/D7,"N/M")</f>
        <v>0.0117943960773694</v>
      </c>
      <c r="E138" s="71" t="n">
        <f aca="false">IF(E7&gt;0,E17/E7,"N/M")</f>
        <v>0.00928388464696727</v>
      </c>
      <c r="F138" s="71" t="n">
        <f aca="false">IF(F7&gt;0,F17/F7,"N/M")</f>
        <v>0.0109110404853215</v>
      </c>
      <c r="G138" s="71" t="n">
        <f aca="false">IF(G7&gt;0,G17/G7,"N/M")</f>
        <v>0.0156738405979381</v>
      </c>
      <c r="H138" s="71" t="n">
        <f aca="false">IF(H7&gt;0,H17/H7,"N/M")</f>
        <v>0.0200328007599024</v>
      </c>
      <c r="I138" s="71" t="n">
        <f aca="false">IF(I7&gt;0,I17/I7,"N/M")</f>
        <v>0.0167768799458789</v>
      </c>
      <c r="J138" s="71" t="n">
        <f aca="false">IF(J7&gt;0,J17/J7,"N/M")</f>
        <v>0.0144300144300144</v>
      </c>
      <c r="K138" s="62" t="n">
        <f aca="false">IF(COUNT(D138:J138)=0,"N/M",AVERAGE(D138:J138))</f>
        <v>0.0141289795633417</v>
      </c>
      <c r="L138" s="62" t="n">
        <f aca="false">IF(COUNT(D138,J138)=2,J138-D138,"-")</f>
        <v>0.00263561835264504</v>
      </c>
    </row>
    <row r="139" customFormat="false" ht="15" hidden="false" customHeight="false" outlineLevel="0" collapsed="false">
      <c r="A139" s="16" t="s">
        <v>735</v>
      </c>
      <c r="B139" s="87" t="s">
        <v>736</v>
      </c>
      <c r="C139" s="17" t="s">
        <v>615</v>
      </c>
      <c r="D139" s="71" t="n">
        <f aca="false">IF(D7&gt;0,D25/D7,"N/M")</f>
        <v>0.00507902302989796</v>
      </c>
      <c r="E139" s="71" t="n">
        <f aca="false">IF(E7&gt;0,E25/E7,"N/M")</f>
        <v>0.00615555255965585</v>
      </c>
      <c r="F139" s="71" t="n">
        <f aca="false">IF(F7&gt;0,F25/F7,"N/M")</f>
        <v>0.00720157652218433</v>
      </c>
      <c r="G139" s="71" t="n">
        <f aca="false">IF(G7&gt;0,G25/G7,"N/M")</f>
        <v>0.0100559835734719</v>
      </c>
      <c r="H139" s="71" t="n">
        <f aca="false">IF(H7&gt;0,H25/H7,"N/M")</f>
        <v>0.0123792901160014</v>
      </c>
      <c r="I139" s="71" t="n">
        <f aca="false">IF(I7&gt;0,I25/I7,"N/M")</f>
        <v>0.0133025817262725</v>
      </c>
      <c r="J139" s="71" t="n">
        <f aca="false">IF(J7&gt;0,J25/J7,"N/M")</f>
        <v>0.0107182146786107</v>
      </c>
      <c r="K139" s="62" t="n">
        <f aca="false">IF(COUNT(D139:J139)=0,"N/M",AVERAGE(D139:J139))</f>
        <v>0.00927031745801351</v>
      </c>
      <c r="L139" s="62" t="n">
        <f aca="false">IF(COUNT(D139,J139)=2,J139-D139,"-")</f>
        <v>0.00563919164871276</v>
      </c>
    </row>
    <row r="140" customFormat="false" ht="15" hidden="false" customHeight="false" outlineLevel="0" collapsed="false">
      <c r="A140" s="16" t="s">
        <v>737</v>
      </c>
      <c r="B140" s="87" t="s">
        <v>738</v>
      </c>
      <c r="C140" s="17" t="s">
        <v>615</v>
      </c>
      <c r="D140" s="71" t="n">
        <f aca="false">IF(D7&gt;0,D20/D7,"N/M")</f>
        <v>0.954343529791366</v>
      </c>
      <c r="E140" s="71" t="n">
        <f aca="false">IF(E7&gt;0,E20/E7,"N/M")</f>
        <v>0.958734205140147</v>
      </c>
      <c r="F140" s="71" t="n">
        <f aca="false">IF(F7&gt;0,F20/F7,"N/M")</f>
        <v>0.95547677237995</v>
      </c>
      <c r="G140" s="71" t="n">
        <f aca="false">IF(G7&gt;0,G20/G7,"N/M")</f>
        <v>0.949296939135657</v>
      </c>
      <c r="H140" s="71" t="n">
        <f aca="false">IF(H7&gt;0,H20/H7,"N/M")</f>
        <v>0.958001950609974</v>
      </c>
      <c r="I140" s="71" t="n">
        <f aca="false">IF(I7&gt;0,I20/I7,"N/M")</f>
        <v>0.953415574225654</v>
      </c>
      <c r="J140" s="71" t="n">
        <f aca="false">IF(J7&gt;0,J20/J7,"N/M")</f>
        <v>0.945880302315946</v>
      </c>
      <c r="K140" s="62" t="n">
        <f aca="false">IF(COUNT(D140:J140)=0,"N/M",AVERAGE(D140:J140))</f>
        <v>0.953592753371242</v>
      </c>
      <c r="L140" s="62" t="n">
        <f aca="false">IF(COUNT(D140,J140)=2,J140-D140,"-")</f>
        <v>-0.00846322747541961</v>
      </c>
    </row>
    <row r="141" customFormat="false" ht="16.5" hidden="false" customHeight="true" outlineLevel="0" collapsed="false">
      <c r="A141" s="88" t="s">
        <v>739</v>
      </c>
      <c r="B141" s="89"/>
      <c r="C141" s="89"/>
      <c r="D141" s="89"/>
      <c r="E141" s="89"/>
      <c r="F141" s="89"/>
      <c r="G141" s="89"/>
      <c r="H141" s="89"/>
      <c r="I141" s="89"/>
      <c r="J141" s="89"/>
      <c r="K141" s="89"/>
      <c r="L141" s="89"/>
    </row>
    <row r="142" customFormat="false" ht="15" hidden="false" customHeight="false" outlineLevel="0" collapsed="false">
      <c r="A142" s="16" t="s">
        <v>740</v>
      </c>
      <c r="B142" s="87" t="s">
        <v>741</v>
      </c>
      <c r="C142" s="17" t="s">
        <v>615</v>
      </c>
      <c r="D142" s="71" t="n">
        <f aca="false">IF(D49&gt;0,D30/D49,"N/M")</f>
        <v>0.0387666685421707</v>
      </c>
      <c r="E142" s="71" t="n">
        <f aca="false">IF(E49&gt;0,E30/E49,"N/M")</f>
        <v>0.0177837847450694</v>
      </c>
      <c r="F142" s="71" t="n">
        <f aca="false">IF(F49&gt;0,F30/F49,"N/M")</f>
        <v>0.00888915887093508</v>
      </c>
      <c r="G142" s="71" t="n">
        <f aca="false">IF(G49&gt;0,G30/G49,"N/M")</f>
        <v>0.0102940139603751</v>
      </c>
      <c r="H142" s="71" t="n">
        <f aca="false">IF(H49&gt;0,H30/H49,"N/M")</f>
        <v>-0.022097529468755</v>
      </c>
      <c r="I142" s="71" t="n">
        <f aca="false">IF(I49&gt;0,I30/I49,"N/M")</f>
        <v>-0.0139018147975803</v>
      </c>
      <c r="J142" s="71" t="n">
        <f aca="false">IF(J49&gt;0,J30/J49,"N/M")</f>
        <v>0.000737517753566011</v>
      </c>
      <c r="K142" s="62" t="n">
        <f aca="false">IF(COUNT(D142:J142)=0,"N/M",AVERAGE(D142:J142))</f>
        <v>0.00578168565796872</v>
      </c>
      <c r="L142" s="62" t="n">
        <f aca="false">IF(COUNT(D142,J142)=2,J142-D142,"-")</f>
        <v>-0.0380291507886047</v>
      </c>
    </row>
    <row r="143" customFormat="false" ht="15" hidden="false" customHeight="false" outlineLevel="0" collapsed="false">
      <c r="A143" s="16" t="s">
        <v>742</v>
      </c>
      <c r="B143" s="87" t="s">
        <v>743</v>
      </c>
      <c r="C143" s="17" t="s">
        <v>615</v>
      </c>
      <c r="D143" s="71" t="n">
        <f aca="false">IF(D49&gt;0,(D30+D25*(1-D77))/D49,"N/M")</f>
        <v>0.0472350535281304</v>
      </c>
      <c r="E143" s="71" t="n">
        <f aca="false">IF(E49&gt;0,(E30+E25*(1-E77))/E49,"N/M")</f>
        <v>0.0266488532422803</v>
      </c>
      <c r="F143" s="71" t="n">
        <f aca="false">IF(F49&gt;0,(F30+F25*(1-F77))/F49,"N/M")</f>
        <v>0.0187096035313652</v>
      </c>
      <c r="G143" s="71" t="n">
        <f aca="false">IF(G49&gt;0,(G30+G25*(1-G77))/G49,"N/M")</f>
        <v>0.0263302204809733</v>
      </c>
      <c r="H143" s="71" t="n">
        <f aca="false">IF(H49&gt;0,(H30+H25*(1-H77))/H49,"N/M")</f>
        <v>0.00541740674955595</v>
      </c>
      <c r="I143" s="71" t="n">
        <f aca="false">IF(I49&gt;0,(I30+I25*(1-I77))/I49,"N/M")</f>
        <v>0.0175895765472313</v>
      </c>
      <c r="J143" s="71" t="n">
        <f aca="false">IF(J49&gt;0,(J30+J25*(1-J77))/J49,"N/M")</f>
        <v>0.0164556671959189</v>
      </c>
      <c r="K143" s="62" t="n">
        <f aca="false">IF(COUNT(D143:J143)=0,"N/M",AVERAGE(D143:J143))</f>
        <v>0.0226266258964936</v>
      </c>
      <c r="L143" s="62" t="n">
        <f aca="false">IF(COUNT(D143,J143)=2,J143-D143,"-")</f>
        <v>-0.0307793863322116</v>
      </c>
    </row>
    <row r="144" customFormat="false" ht="15" hidden="false" customHeight="false" outlineLevel="0" collapsed="false">
      <c r="A144" s="16" t="s">
        <v>744</v>
      </c>
      <c r="B144" s="87" t="s">
        <v>745</v>
      </c>
      <c r="C144" s="17" t="s">
        <v>615</v>
      </c>
      <c r="D144" s="71" t="n">
        <f aca="false">IF(D49&gt;0,D23/D49,"N/M")</f>
        <v>0.0598168570303266</v>
      </c>
      <c r="E144" s="71" t="n">
        <f aca="false">IF(E49&gt;0,E23/E49,"N/M")</f>
        <v>0.0266934609023489</v>
      </c>
      <c r="F144" s="71" t="n">
        <f aca="false">IF(F49&gt;0,F23/F49,"N/M")</f>
        <v>0.0215850645932044</v>
      </c>
      <c r="G144" s="71" t="n">
        <f aca="false">IF(G49&gt;0,G23/G49,"N/M")</f>
        <v>0.0276230542041723</v>
      </c>
      <c r="H144" s="71" t="n">
        <f aca="false">IF(H49&gt;0,H23/H49,"N/M")</f>
        <v>0.00898191506539632</v>
      </c>
      <c r="I144" s="71" t="n">
        <f aca="false">IF(I49&gt;0,I23/I49,"N/M")</f>
        <v>0.022518225531255</v>
      </c>
      <c r="J144" s="71" t="n">
        <f aca="false">IF(J49&gt;0,J23/J49,"N/M")</f>
        <v>0.0325055313831518</v>
      </c>
      <c r="K144" s="62" t="n">
        <f aca="false">IF(COUNT(D144:J144)=0,"N/M",AVERAGE(D144:J144))</f>
        <v>0.0285320155299793</v>
      </c>
      <c r="L144" s="62" t="n">
        <f aca="false">IF(COUNT(D144,J144)=2,J144-D144,"-")</f>
        <v>-0.0273113256471748</v>
      </c>
    </row>
    <row r="145" customFormat="false" ht="15" hidden="false" customHeight="false" outlineLevel="0" collapsed="false">
      <c r="A145" s="16" t="s">
        <v>746</v>
      </c>
      <c r="B145" s="87" t="s">
        <v>747</v>
      </c>
      <c r="C145" s="17" t="s">
        <v>615</v>
      </c>
      <c r="D145" s="71" t="n">
        <f aca="false">IF(D90&gt;0,D23/D90,"N/M")</f>
        <v>0.114015684697365</v>
      </c>
      <c r="E145" s="71" t="n">
        <f aca="false">IF(E90&gt;0,E23/E90,"N/M")</f>
        <v>0.0537645963177871</v>
      </c>
      <c r="F145" s="71" t="n">
        <f aca="false">IF(F90&gt;0,F23/F90,"N/M")</f>
        <v>0.0449362419643795</v>
      </c>
      <c r="G145" s="71" t="n">
        <f aca="false">IF(G90&gt;0,G23/G90,"N/M")</f>
        <v>0.0505258934456765</v>
      </c>
      <c r="H145" s="71" t="n">
        <f aca="false">IF(H90&gt;0,H23/H90,"N/M")</f>
        <v>0.0180635838150287</v>
      </c>
      <c r="I145" s="71" t="n">
        <f aca="false">IF(I90&gt;0,I23/I90,"N/M")</f>
        <v>0.0444415532732312</v>
      </c>
      <c r="J145" s="71" t="n">
        <f aca="false">IF(J90&gt;0,J23/J90,"N/M")</f>
        <v>0.0553183559601652</v>
      </c>
      <c r="K145" s="62" t="n">
        <f aca="false">IF(COUNT(D145:J145)=0,"N/M",AVERAGE(D145:J145))</f>
        <v>0.0544379870676619</v>
      </c>
      <c r="L145" s="62" t="n">
        <f aca="false">IF(COUNT(D145,J145)=2,J145-D145,"-")</f>
        <v>-0.0586973287372</v>
      </c>
    </row>
    <row r="146" customFormat="false" ht="15" hidden="false" customHeight="false" outlineLevel="0" collapsed="false">
      <c r="A146" s="16" t="s">
        <v>748</v>
      </c>
      <c r="B146" s="87" t="s">
        <v>749</v>
      </c>
      <c r="C146" s="17" t="s">
        <v>615</v>
      </c>
      <c r="D146" s="71" t="n">
        <f aca="false">IF(D90&gt;0,D23*(1-D77)/D90,"N/M")</f>
        <v>0.0778688227179318</v>
      </c>
      <c r="E146" s="71" t="n">
        <f aca="false">IF(E90&gt;0,E23*(1-E77)/E90,"N/M")</f>
        <v>0.0400217071569648</v>
      </c>
      <c r="F146" s="71" t="n">
        <f aca="false">IF(F90&gt;0,F23*(1-F77)/F90,"N/M")</f>
        <v>0.0292337215723467</v>
      </c>
      <c r="G146" s="71" t="n">
        <f aca="false">IF(G90&gt;0,G23*(1-G77)/G90,"N/M")</f>
        <v>0.040110596360175</v>
      </c>
      <c r="H146" s="71" t="n">
        <f aca="false">IF(H90&gt;0,H23*(1-H77)/H90,"N/M")</f>
        <v>0.0180635838150287</v>
      </c>
      <c r="I146" s="71" t="n">
        <f aca="false">IF(I90&gt;0,I23*(1-I77)/I90,"N/M")</f>
        <v>0.0444415532732312</v>
      </c>
      <c r="J146" s="71" t="n">
        <f aca="false">IF(J90&gt;0,J23*(1-J77)/J90,"N/M")</f>
        <v>0.0359879096534451</v>
      </c>
      <c r="K146" s="62" t="n">
        <f aca="false">IF(COUNT(D146:J146)=0,"N/M",AVERAGE(D146:J146))</f>
        <v>0.0408182706498748</v>
      </c>
      <c r="L146" s="62" t="n">
        <f aca="false">IF(COUNT(D146,J146)=2,J146-D146,"-")</f>
        <v>-0.0418809130644867</v>
      </c>
    </row>
    <row r="147" customFormat="false" ht="15" hidden="false" customHeight="false" outlineLevel="0" collapsed="false">
      <c r="A147" s="16" t="s">
        <v>750</v>
      </c>
      <c r="B147" s="87" t="s">
        <v>751</v>
      </c>
      <c r="C147" s="17" t="s">
        <v>615</v>
      </c>
      <c r="D147" s="71" t="n">
        <f aca="false">IF(D40&gt;0,D30/D40,"N/M")</f>
        <v>0.101202607178922</v>
      </c>
      <c r="E147" s="71" t="n">
        <f aca="false">IF(E40&gt;0,E30/E40,"N/M")</f>
        <v>0.0528113227475971</v>
      </c>
      <c r="F147" s="71" t="n">
        <f aca="false">IF(F40&gt;0,F30/F40,"N/M")</f>
        <v>0.0321329234372713</v>
      </c>
      <c r="G147" s="71" t="n">
        <f aca="false">IF(G40&gt;0,G30/G40,"N/M")</f>
        <v>0.0467890398276568</v>
      </c>
      <c r="H147" s="71" t="n">
        <f aca="false">IF(H40&gt;0,H30/H40,"N/M")</f>
        <v>-0.111153978922574</v>
      </c>
      <c r="I147" s="71" t="n">
        <f aca="false">IF(I40&gt;0,I30/I40,"N/M")</f>
        <v>-0.081871745683749</v>
      </c>
      <c r="J147" s="71" t="n">
        <f aca="false">IF(J40&gt;0,J30/J40,"N/M")</f>
        <v>0.00194930114574644</v>
      </c>
      <c r="K147" s="62" t="n">
        <f aca="false">IF(COUNT(D147:J147)=0,"N/M",AVERAGE(D147:J147))</f>
        <v>0.00597992424726727</v>
      </c>
      <c r="L147" s="62" t="n">
        <f aca="false">IF(COUNT(D147,J147)=2,J147-D147,"-")</f>
        <v>-0.0992533060331758</v>
      </c>
    </row>
    <row r="148" customFormat="false" ht="15" hidden="false" customHeight="false" outlineLevel="0" collapsed="false">
      <c r="A148" s="16" t="s">
        <v>752</v>
      </c>
      <c r="B148" s="87" t="s">
        <v>753</v>
      </c>
      <c r="C148" s="17" t="s">
        <v>615</v>
      </c>
      <c r="D148" s="71" t="n">
        <f aca="false">IF(D39&gt;0,(D30-D32)/D39,"N/M")</f>
        <v>0.101202607178922</v>
      </c>
      <c r="E148" s="71" t="n">
        <f aca="false">IF(E39&gt;0,(E30-E32)/E39,"N/M")</f>
        <v>0.0528113227475971</v>
      </c>
      <c r="F148" s="71" t="n">
        <f aca="false">IF(F39&gt;0,(F30-F32)/F39,"N/M")</f>
        <v>0.0321329234372713</v>
      </c>
      <c r="G148" s="71" t="n">
        <f aca="false">IF(G39&gt;0,(G30-G32)/G39,"N/M")</f>
        <v>0.0467890398276568</v>
      </c>
      <c r="H148" s="71" t="n">
        <f aca="false">IF(H39&gt;0,(H30-H32)/H39,"N/M")</f>
        <v>-0.111153978922574</v>
      </c>
      <c r="I148" s="71" t="n">
        <f aca="false">IF(I39&gt;0,(I30-I32)/I39,"N/M")</f>
        <v>-0.081871745683749</v>
      </c>
      <c r="J148" s="71" t="n">
        <f aca="false">IF(J39&gt;0,(J30-J32)/J39,"N/M")</f>
        <v>0.00194930114574644</v>
      </c>
      <c r="K148" s="62" t="n">
        <f aca="false">IF(COUNT(D148:J148)=0,"N/M",AVERAGE(D148:J148))</f>
        <v>0.00597992424726727</v>
      </c>
      <c r="L148" s="62" t="n">
        <f aca="false">IF(COUNT(D148,J148)=2,J148-D148,"-")</f>
        <v>-0.0992533060331758</v>
      </c>
    </row>
    <row r="149" customFormat="false" ht="16.5" hidden="false" customHeight="true" outlineLevel="0" collapsed="false">
      <c r="A149" s="88" t="s">
        <v>754</v>
      </c>
      <c r="B149" s="89"/>
      <c r="C149" s="89"/>
      <c r="D149" s="89"/>
      <c r="E149" s="89"/>
      <c r="F149" s="89"/>
      <c r="G149" s="89"/>
      <c r="H149" s="89"/>
      <c r="I149" s="89"/>
      <c r="J149" s="89"/>
      <c r="K149" s="89"/>
      <c r="L149" s="89"/>
    </row>
    <row r="150" customFormat="false" ht="15" hidden="false" customHeight="false" outlineLevel="0" collapsed="false">
      <c r="A150" s="16" t="s">
        <v>755</v>
      </c>
      <c r="B150" s="87" t="s">
        <v>756</v>
      </c>
      <c r="C150" s="17" t="s">
        <v>757</v>
      </c>
      <c r="D150" s="93" t="n">
        <f aca="false">IF(D81&gt;0,(D30-D32)/D81,"N/M")</f>
        <v>5.60162601626016</v>
      </c>
      <c r="E150" s="93" t="n">
        <f aca="false">IF(E81&gt;0,(E30-E32)/E81,"N/M")</f>
        <v>3.04568527918782</v>
      </c>
      <c r="F150" s="93" t="n">
        <f aca="false">IF(F81&gt;0,(F30-F32)/F81,"N/M")</f>
        <v>1.77732793522267</v>
      </c>
      <c r="G150" s="93" t="n">
        <f aca="false">IF(G81&gt;0,(G30-G32)/G81,"N/M")</f>
        <v>2.65454545454545</v>
      </c>
      <c r="H150" s="93" t="n">
        <f aca="false">IF(H81&gt;0,(H30-H32)/H81,"N/M")</f>
        <v>-5.52929292929293</v>
      </c>
      <c r="I150" s="93" t="n">
        <f aca="false">IF(I81&gt;0,(I30-I32)/I81,"N/M")</f>
        <v>-3.61391129032258</v>
      </c>
      <c r="J150" s="93" t="n">
        <f aca="false">IF(J81&gt;0,(J30-J32)/J81,"N/M")</f>
        <v>0.230846774193548</v>
      </c>
      <c r="K150" s="66" t="n">
        <f aca="false">IF(COUNT(D150:J150)=0,"N/M",AVERAGE(D150:J150))</f>
        <v>0.595261034256306</v>
      </c>
      <c r="L150" s="66" t="n">
        <f aca="false">IF(COUNT(D150,J150)=2,J150-D150,"-")</f>
        <v>-5.37077924206661</v>
      </c>
    </row>
    <row r="151" customFormat="false" ht="15" hidden="false" customHeight="false" outlineLevel="0" collapsed="false">
      <c r="A151" s="16" t="s">
        <v>759</v>
      </c>
      <c r="B151" s="87" t="s">
        <v>760</v>
      </c>
      <c r="C151" s="17" t="s">
        <v>757</v>
      </c>
      <c r="D151" s="93" t="n">
        <f aca="false">IF(D81&gt;0,(D30+D22)/D81,"N/M")</f>
        <v>13.0640243902439</v>
      </c>
      <c r="E151" s="93" t="n">
        <f aca="false">IF(E81&gt;0,(E30+E22)/E81,"N/M")</f>
        <v>12.1472081218274</v>
      </c>
      <c r="F151" s="93" t="n">
        <f aca="false">IF(F81&gt;0,(F30+F22)/F81,"N/M")</f>
        <v>16.1214574898785</v>
      </c>
      <c r="G151" s="93" t="n">
        <f aca="false">IF(G81&gt;0,(G30+G22)/G81,"N/M")</f>
        <v>21.7959595959596</v>
      </c>
      <c r="H151" s="93" t="n">
        <f aca="false">IF(H81&gt;0,(H30+H22)/H81,"N/M")</f>
        <v>15.5808080808081</v>
      </c>
      <c r="I151" s="93" t="n">
        <f aca="false">IF(I81&gt;0,(I30+I22)/I81,"N/M")</f>
        <v>19.2006048387097</v>
      </c>
      <c r="J151" s="93" t="n">
        <f aca="false">IF(J81&gt;0,(J30+J22)/J81,"N/M")</f>
        <v>28.241935483871</v>
      </c>
      <c r="K151" s="66" t="n">
        <f aca="false">IF(COUNT(D151:J151)=0,"N/M",AVERAGE(D151:J151))</f>
        <v>18.0217140001855</v>
      </c>
      <c r="L151" s="66" t="n">
        <f aca="false">IF(COUNT(D151,J151)=2,J151-D151,"-")</f>
        <v>15.1779110936271</v>
      </c>
    </row>
    <row r="152" customFormat="false" ht="15" hidden="false" customHeight="false" outlineLevel="0" collapsed="false">
      <c r="A152" s="16" t="s">
        <v>761</v>
      </c>
      <c r="B152" s="87" t="s">
        <v>762</v>
      </c>
      <c r="C152" s="17" t="s">
        <v>757</v>
      </c>
      <c r="D152" s="93" t="n">
        <f aca="false">IF(D81&gt;0,D39/D81,"N/M")</f>
        <v>55.3506097560976</v>
      </c>
      <c r="E152" s="93" t="n">
        <f aca="false">IF(E81&gt;0,E39/E81,"N/M")</f>
        <v>57.6710659898477</v>
      </c>
      <c r="F152" s="93" t="n">
        <f aca="false">IF(F81&gt;0,F39/F81,"N/M")</f>
        <v>55.3117408906883</v>
      </c>
      <c r="G152" s="93" t="n">
        <f aca="false">IF(G81&gt;0,G39/G81,"N/M")</f>
        <v>56.7343434343434</v>
      </c>
      <c r="H152" s="93" t="n">
        <f aca="false">IF(H81&gt;0,H39/H81,"N/M")</f>
        <v>49.7444444444445</v>
      </c>
      <c r="I152" s="93" t="n">
        <f aca="false">IF(I81&gt;0,I39/I81,"N/M")</f>
        <v>44.1411290322581</v>
      </c>
      <c r="J152" s="93" t="n">
        <f aca="false">IF(J81&gt;0,J39/J81,"N/M")</f>
        <v>118.425403225806</v>
      </c>
      <c r="K152" s="66" t="n">
        <f aca="false">IF(COUNT(D152:J152)=0,"N/M",AVERAGE(D152:J152))</f>
        <v>62.4826766819266</v>
      </c>
      <c r="L152" s="66" t="n">
        <f aca="false">IF(COUNT(D152,J152)=2,J152-D152,"-")</f>
        <v>63.0747934697089</v>
      </c>
    </row>
    <row r="153" customFormat="false" ht="15" hidden="false" customHeight="false" outlineLevel="0" collapsed="false">
      <c r="A153" s="16" t="s">
        <v>763</v>
      </c>
      <c r="B153" s="87" t="s">
        <v>764</v>
      </c>
      <c r="C153" s="17" t="s">
        <v>757</v>
      </c>
      <c r="D153" s="93" t="n">
        <f aca="false">IF(D81&gt;0,D31/D81,"N/M")</f>
        <v>1.09044715447154</v>
      </c>
      <c r="E153" s="93" t="n">
        <f aca="false">IF(E81&gt;0,E31/E81,"N/M")</f>
        <v>1.81928934010152</v>
      </c>
      <c r="F153" s="93" t="n">
        <f aca="false">IF(F81&gt;0,F31/F81,"N/M")</f>
        <v>1.45445344129555</v>
      </c>
      <c r="G153" s="93" t="n">
        <f aca="false">IF(G81&gt;0,G31/G81,"N/M")</f>
        <v>1.81818181818182</v>
      </c>
      <c r="H153" s="93" t="n">
        <f aca="false">IF(H81&gt;0,H31/H81,"N/M")</f>
        <v>1.81919191919192</v>
      </c>
      <c r="I153" s="93" t="n">
        <f aca="false">IF(I81&gt;0,I31/I81,"N/M")</f>
        <v>1.81754032258065</v>
      </c>
      <c r="J153" s="93" t="n">
        <f aca="false">IF(J81&gt;0,J31/J81,"N/M")</f>
        <v>2.5</v>
      </c>
      <c r="K153" s="66" t="n">
        <f aca="false">IF(COUNT(D153:J153)=0,"N/M",AVERAGE(D153:J153))</f>
        <v>1.75987199940329</v>
      </c>
      <c r="L153" s="66" t="n">
        <f aca="false">IF(COUNT(D153,J153)=2,J153-D153,"-")</f>
        <v>1.40955284552846</v>
      </c>
    </row>
    <row r="154" customFormat="false" ht="15" hidden="false" customHeight="false" outlineLevel="0" collapsed="false">
      <c r="A154" s="16" t="s">
        <v>765</v>
      </c>
      <c r="B154" s="87" t="s">
        <v>812</v>
      </c>
      <c r="C154" s="17" t="s">
        <v>615</v>
      </c>
      <c r="D154" s="71" t="n">
        <f aca="false">IF(D31=0,0,IF(D150&gt;0,D153/D150,"N/M"))</f>
        <v>0.19466618287373</v>
      </c>
      <c r="E154" s="71" t="n">
        <f aca="false">IF(E31=0,0,IF(E150&gt;0,E153/E150,"N/M"))</f>
        <v>0.597333333333333</v>
      </c>
      <c r="F154" s="71" t="n">
        <f aca="false">IF(F31=0,0,IF(F150&gt;0,F153/F150,"N/M"))</f>
        <v>0.818337129840547</v>
      </c>
      <c r="G154" s="71" t="n">
        <f aca="false">IF(G31=0,0,IF(G150&gt;0,G153/G150,"N/M"))</f>
        <v>0.684931506849315</v>
      </c>
      <c r="H154" s="71" t="str">
        <f aca="false">IF(H31=0,0,IF(H150&gt;0,H153/H150,"N/M"))</f>
        <v>N/M</v>
      </c>
      <c r="I154" s="71" t="str">
        <f aca="false">IF(I31=0,0,IF(I150&gt;0,I153/I150,"N/M"))</f>
        <v>N/M</v>
      </c>
      <c r="J154" s="71" t="n">
        <f aca="false">IF(J31=0,0,IF(J150&gt;0,J153/J150,"N/M"))</f>
        <v>10.8296943231441</v>
      </c>
      <c r="K154" s="62" t="n">
        <f aca="false">IF(COUNT(D154:J154)=0,"N/M",AVERAGE(D154:J154))</f>
        <v>2.62499249520821</v>
      </c>
      <c r="L154" s="62" t="n">
        <f aca="false">IF(COUNT(D154,J154)=2,J154-D154,"-")</f>
        <v>10.6350281402704</v>
      </c>
    </row>
    <row r="155" customFormat="false" ht="15" hidden="false" customHeight="false" outlineLevel="0" collapsed="false">
      <c r="A155" s="16" t="s">
        <v>767</v>
      </c>
      <c r="B155" s="87" t="s">
        <v>768</v>
      </c>
      <c r="C155" s="17" t="s">
        <v>615</v>
      </c>
      <c r="D155" s="71" t="n">
        <f aca="false">IF(ISNUMBER(D154),1-D154,"N/M")</f>
        <v>0.80533381712627</v>
      </c>
      <c r="E155" s="71" t="n">
        <f aca="false">IF(ISNUMBER(E154),1-E154,"N/M")</f>
        <v>0.402666666666667</v>
      </c>
      <c r="F155" s="71" t="n">
        <f aca="false">IF(ISNUMBER(F154),1-F154,"N/M")</f>
        <v>0.181662870159453</v>
      </c>
      <c r="G155" s="71" t="n">
        <f aca="false">IF(ISNUMBER(G154),1-G154,"N/M")</f>
        <v>0.315068493150685</v>
      </c>
      <c r="H155" s="71" t="str">
        <f aca="false">IF(ISNUMBER(H154),1-H154,"N/M")</f>
        <v>N/M</v>
      </c>
      <c r="I155" s="71" t="str">
        <f aca="false">IF(ISNUMBER(I154),1-I154,"N/M")</f>
        <v>N/M</v>
      </c>
      <c r="J155" s="71" t="n">
        <f aca="false">IF(ISNUMBER(J154),1-J154,"N/M")</f>
        <v>-9.8296943231441</v>
      </c>
      <c r="K155" s="62" t="n">
        <f aca="false">IF(COUNT(D155:J155)=0,"N/M",AVERAGE(D155:J155))</f>
        <v>-1.62499249520821</v>
      </c>
      <c r="L155" s="62" t="n">
        <f aca="false">IF(COUNT(D155,J155)=2,J155-D155,"-")</f>
        <v>-10.6350281402704</v>
      </c>
    </row>
    <row r="156" customFormat="false" ht="15" hidden="false" customHeight="false" outlineLevel="0" collapsed="false">
      <c r="A156" s="16" t="s">
        <v>769</v>
      </c>
      <c r="B156" s="87" t="s">
        <v>813</v>
      </c>
      <c r="C156" s="17" t="s">
        <v>615</v>
      </c>
      <c r="D156" s="71" t="n">
        <f aca="false">IF(D84=0,"N/C",IF(D80&gt;0,D150/D80,"N/M"))</f>
        <v>0.0270819281389488</v>
      </c>
      <c r="E156" s="71" t="n">
        <f aca="false">IF(E84=0,"N/C",IF(E80&gt;0,E150/E80,"N/M"))</f>
        <v>0.00575656853252404</v>
      </c>
      <c r="F156" s="71" t="n">
        <f aca="false">IF(F84=0,"N/C",IF(F80&gt;0,F150/F80,"N/M"))</f>
        <v>0.00385956120569527</v>
      </c>
      <c r="G156" s="71" t="n">
        <f aca="false">IF(G84=0,"N/C",IF(G80&gt;0,G150/G80,"N/M"))</f>
        <v>0.0082100190348729</v>
      </c>
      <c r="H156" s="71" t="n">
        <f aca="false">IF(H84=0,"N/C",IF(H80&gt;0,H150/H80,"N/M"))</f>
        <v>-0.0148190741029506</v>
      </c>
      <c r="I156" s="71" t="n">
        <f aca="false">IF(I84=0,"N/C",IF(I80&gt;0,I150/I80,"N/M"))</f>
        <v>-0.0151374352447122</v>
      </c>
      <c r="J156" s="71" t="n">
        <f aca="false">IF(J84=0,"N/C",IF(J80&gt;0,J150/J80,"N/M"))</f>
        <v>0.000693650162841191</v>
      </c>
      <c r="K156" s="62" t="n">
        <f aca="false">IF(COUNT(D156:J156)=0,"N/M",AVERAGE(D156:J156))</f>
        <v>0.00223503110388849</v>
      </c>
      <c r="L156" s="62" t="n">
        <f aca="false">IF(COUNT(D156,J156)=2,J156-D156,"-")</f>
        <v>-0.0263882779761076</v>
      </c>
    </row>
    <row r="157" customFormat="false" ht="15" hidden="false" customHeight="false" outlineLevel="0" collapsed="false">
      <c r="A157" s="16" t="s">
        <v>771</v>
      </c>
      <c r="B157" s="87" t="s">
        <v>814</v>
      </c>
      <c r="C157" s="17" t="s">
        <v>615</v>
      </c>
      <c r="D157" s="71" t="n">
        <f aca="false">IF(D84=0,"N/C",IF(D80&gt;0,D153/D80,"N/M"))</f>
        <v>0.00527193557566982</v>
      </c>
      <c r="E157" s="71" t="n">
        <f aca="false">IF(E84=0,"N/C",IF(E80&gt;0,E153/E80,"N/M"))</f>
        <v>0.00343859027009436</v>
      </c>
      <c r="F157" s="71" t="n">
        <f aca="false">IF(F84=0,"N/C",IF(F80&gt;0,F153/F80,"N/M"))</f>
        <v>0.00315842223951259</v>
      </c>
      <c r="G157" s="71" t="n">
        <f aca="false">IF(G84=0,"N/C",IF(G80&gt;0,G153/G80,"N/M"))</f>
        <v>0.00562330070881705</v>
      </c>
      <c r="H157" s="71" t="n">
        <f aca="false">IF(H84=0,"N/C",IF(H80&gt;0,H153/H80,"N/M"))</f>
        <v>0.00487562156730253</v>
      </c>
      <c r="I157" s="71" t="n">
        <f aca="false">IF(I84=0,"N/C",IF(I80&gt;0,I153/I80,"N/M"))</f>
        <v>0.00761305320675482</v>
      </c>
      <c r="J157" s="71" t="n">
        <f aca="false">IF(J84=0,"N/C",IF(J80&gt;0,J153/J80,"N/M"))</f>
        <v>0.00751201923076923</v>
      </c>
      <c r="K157" s="62" t="n">
        <f aca="false">IF(COUNT(D157:J157)=0,"N/M",AVERAGE(D157:J157))</f>
        <v>0.00535613468556006</v>
      </c>
      <c r="L157" s="62" t="n">
        <f aca="false">IF(COUNT(D157,J157)=2,J157-D157,"-")</f>
        <v>0.00224008365509941</v>
      </c>
    </row>
    <row r="158" customFormat="false" ht="15" hidden="false" customHeight="false" outlineLevel="0" collapsed="false">
      <c r="A158" s="16" t="s">
        <v>773</v>
      </c>
      <c r="B158" s="87" t="s">
        <v>815</v>
      </c>
      <c r="C158" s="17" t="s">
        <v>115</v>
      </c>
      <c r="D158" s="73" t="n">
        <f aca="false">IF(D84=0,"N/C",IF(D150&gt;0,D80/D150,"N/M"))</f>
        <v>36.924992743106</v>
      </c>
      <c r="E158" s="73" t="n">
        <f aca="false">IF(E84=0,"N/C",IF(E150&gt;0,E80/E150,"N/M"))</f>
        <v>173.7146</v>
      </c>
      <c r="F158" s="73" t="n">
        <f aca="false">IF(F84=0,"N/C",IF(F150&gt;0,F80/F150,"N/M"))</f>
        <v>259.096810933941</v>
      </c>
      <c r="G158" s="73" t="n">
        <f aca="false">IF(G84=0,"N/C",IF(G150&gt;0,G80/G150,"N/M"))</f>
        <v>121.802397260274</v>
      </c>
      <c r="H158" s="73" t="str">
        <f aca="false">IF(H84=0,"N/C",IF(H150&gt;0,H80/H150,"N/M"))</f>
        <v>N/M</v>
      </c>
      <c r="I158" s="73" t="str">
        <f aca="false">IF(I84=0,"N/C",IF(I150&gt;0,I80/I150,"N/M"))</f>
        <v>N/M</v>
      </c>
      <c r="J158" s="73" t="n">
        <f aca="false">IF(J84=0,"N/C",IF(J150&gt;0,J80/J150,"N/M"))</f>
        <v>1441.64890829694</v>
      </c>
      <c r="K158" s="60" t="n">
        <f aca="false">IF(COUNT(D158:J158)=0,"N/M",AVERAGE(D158:J158))</f>
        <v>406.637541846853</v>
      </c>
      <c r="L158" s="60" t="n">
        <f aca="false">IF(COUNT(D158,J158)=2,J158-D158,"-")</f>
        <v>1404.72391555384</v>
      </c>
    </row>
    <row r="159" customFormat="false" ht="15" hidden="false" customHeight="false" outlineLevel="0" collapsed="false">
      <c r="A159" s="16" t="s">
        <v>775</v>
      </c>
      <c r="B159" s="87" t="s">
        <v>816</v>
      </c>
      <c r="C159" s="17" t="s">
        <v>115</v>
      </c>
      <c r="D159" s="73" t="n">
        <f aca="false">IF(D84=0,"N/C",IF(D152&gt;0,D80/D152,"N/M"))</f>
        <v>3.73690553566511</v>
      </c>
      <c r="E159" s="73" t="n">
        <f aca="false">IF(E84=0,"N/C",IF(E152&gt;0,E80/E152,"N/M"))</f>
        <v>9.17409780656973</v>
      </c>
      <c r="F159" s="73" t="n">
        <f aca="false">IF(F84=0,"N/C",IF(F152&gt;0,F80/F152,"N/M"))</f>
        <v>8.32553798858147</v>
      </c>
      <c r="G159" s="73" t="n">
        <f aca="false">IF(G84=0,"N/C",IF(G152&gt;0,G80/G152,"N/M"))</f>
        <v>5.69901721651504</v>
      </c>
      <c r="H159" s="73" t="n">
        <f aca="false">IF(H84=0,"N/C",IF(H152&gt;0,H80/H152,"N/M"))</f>
        <v>7.5007371007371</v>
      </c>
      <c r="I159" s="73" t="n">
        <f aca="false">IF(I84=0,"N/C",IF(I152&gt;0,I80/I152,"N/M"))</f>
        <v>5.40856124965744</v>
      </c>
      <c r="J159" s="73" t="n">
        <f aca="false">IF(J84=0,"N/C",IF(J152&gt;0,J80/J152,"N/M"))</f>
        <v>2.81020786870733</v>
      </c>
      <c r="K159" s="60" t="n">
        <f aca="false">IF(COUNT(D159:J159)=0,"N/M",AVERAGE(D159:J159))</f>
        <v>6.09358068091903</v>
      </c>
      <c r="L159" s="60" t="n">
        <f aca="false">IF(COUNT(D159,J159)=2,J159-D159,"-")</f>
        <v>-0.926697666957774</v>
      </c>
    </row>
    <row r="160" customFormat="false" ht="15" hidden="false" customHeight="false" outlineLevel="0" collapsed="false">
      <c r="A160" s="16" t="s">
        <v>777</v>
      </c>
      <c r="B160" s="87" t="s">
        <v>817</v>
      </c>
      <c r="C160" s="17" t="s">
        <v>115</v>
      </c>
      <c r="D160" s="73" t="n">
        <f aca="false">IF(D84=0,"N/C",IF(D21&gt;0,D83/D21,"N/M"))</f>
        <v>13.4848283695104</v>
      </c>
      <c r="E160" s="73" t="n">
        <f aca="false">IF(E84=0,"N/C",IF(E21&gt;0,E83/E21,"N/M"))</f>
        <v>39.2274131274133</v>
      </c>
      <c r="F160" s="73" t="n">
        <f aca="false">IF(F84=0,"N/C",IF(F21&gt;0,F83/F21,"N/M"))</f>
        <v>26.1327294423954</v>
      </c>
      <c r="G160" s="73" t="n">
        <f aca="false">IF(G84=0,"N/C",IF(G21&gt;0,G83/G21,"N/M"))</f>
        <v>15.0326397969387</v>
      </c>
      <c r="H160" s="73" t="n">
        <f aca="false">IF(H84=0,"N/C",IF(H21&gt;0,H83/H21,"N/M"))</f>
        <v>18.863985469642</v>
      </c>
      <c r="I160" s="73" t="n">
        <f aca="false">IF(I84=0,"N/C",IF(I21&gt;0,I83/I21,"N/M"))</f>
        <v>11.1154077147579</v>
      </c>
      <c r="J160" s="73" t="n">
        <f aca="false">IF(J84=0,"N/C",IF(J21&gt;0,J83/J21,"N/M"))</f>
        <v>9.90384371700105</v>
      </c>
      <c r="K160" s="60" t="n">
        <f aca="false">IF(COUNT(D160:J160)=0,"N/M",AVERAGE(D160:J160))</f>
        <v>19.1086925196655</v>
      </c>
      <c r="L160" s="60" t="n">
        <f aca="false">IF(COUNT(D160,J160)=2,J160-D160,"-")</f>
        <v>-3.58098465250933</v>
      </c>
    </row>
    <row r="162" customFormat="false" ht="19.5" hidden="false" customHeight="true" outlineLevel="0" collapsed="false">
      <c r="A162" s="85" t="s">
        <v>779</v>
      </c>
      <c r="B162" s="86"/>
      <c r="C162" s="86"/>
      <c r="D162" s="86"/>
      <c r="E162" s="86"/>
      <c r="F162" s="86"/>
      <c r="G162" s="86"/>
      <c r="H162" s="86"/>
      <c r="I162" s="86"/>
      <c r="J162" s="86"/>
      <c r="K162" s="86"/>
      <c r="L162" s="86"/>
    </row>
    <row r="163" customFormat="false" ht="16.5" hidden="false" customHeight="true" outlineLevel="0" collapsed="false">
      <c r="A163" s="88" t="s">
        <v>780</v>
      </c>
      <c r="B163" s="89"/>
      <c r="C163" s="89"/>
      <c r="D163" s="89"/>
      <c r="E163" s="89"/>
      <c r="F163" s="89"/>
      <c r="G163" s="89"/>
      <c r="H163" s="89"/>
      <c r="I163" s="89"/>
      <c r="J163" s="89"/>
      <c r="K163" s="89"/>
      <c r="L163" s="89"/>
    </row>
    <row r="164" customFormat="false" ht="15" hidden="false" customHeight="false" outlineLevel="0" collapsed="false">
      <c r="A164" s="16" t="s">
        <v>300</v>
      </c>
      <c r="B164" s="87" t="s">
        <v>725</v>
      </c>
      <c r="C164" s="17" t="s">
        <v>615</v>
      </c>
      <c r="D164" s="71" t="n">
        <f aca="false">IF(D7&gt;0,D30/D7,"N/M")</f>
        <v>0.0158795093254666</v>
      </c>
      <c r="E164" s="71" t="n">
        <f aca="false">IF(E7&gt;0,E30/E7,"N/M")</f>
        <v>0.00919196499699729</v>
      </c>
      <c r="F164" s="71" t="n">
        <f aca="false">IF(F7&gt;0,F30/F7,"N/M")</f>
        <v>0.00424076739535737</v>
      </c>
      <c r="G164" s="71" t="n">
        <f aca="false">IF(G7&gt;0,G30/G7,"N/M")</f>
        <v>0.00512451518927362</v>
      </c>
      <c r="H164" s="71" t="n">
        <f aca="false">IF(H7&gt;0,H30/H7,"N/M")</f>
        <v>-0.00994193575337316</v>
      </c>
      <c r="I164" s="71" t="n">
        <f aca="false">IF(I7&gt;0,I30/I7,"N/M")</f>
        <v>-0.00587239939523296</v>
      </c>
      <c r="J164" s="71" t="n">
        <f aca="false">IF(J7&gt;0,J30/J7,"N/M")</f>
        <v>0.000327175574700327</v>
      </c>
      <c r="K164" s="62" t="n">
        <f aca="false">IF(COUNT(D164:J164)=0,"N/M",AVERAGE(D164:J164))</f>
        <v>0.00270708533331272</v>
      </c>
      <c r="L164" s="62" t="n">
        <f aca="false">IF(COUNT(D164,J164)=2,J164-D164,"-")</f>
        <v>-0.0155523337507662</v>
      </c>
    </row>
    <row r="165" customFormat="false" ht="15" hidden="false" customHeight="false" outlineLevel="0" collapsed="false">
      <c r="A165" s="16" t="s">
        <v>781</v>
      </c>
      <c r="B165" s="87" t="s">
        <v>708</v>
      </c>
      <c r="C165" s="17" t="s">
        <v>692</v>
      </c>
      <c r="D165" s="73" t="n">
        <f aca="false">IF(D49&gt;0,D7/D49,"N/M")</f>
        <v>2.44130141225454</v>
      </c>
      <c r="E165" s="73" t="n">
        <f aca="false">IF(E49&gt;0,E7/E49,"N/M")</f>
        <v>1.9347097982726</v>
      </c>
      <c r="F165" s="73" t="n">
        <f aca="false">IF(F49&gt;0,F7/F49,"N/M")</f>
        <v>2.09612035799619</v>
      </c>
      <c r="G165" s="73" t="n">
        <f aca="false">IF(G49&gt;0,G7/G49,"N/M")</f>
        <v>2.00877811464429</v>
      </c>
      <c r="H165" s="73" t="n">
        <f aca="false">IF(H49&gt;0,H7/H49,"N/M")</f>
        <v>2.22265864685936</v>
      </c>
      <c r="I165" s="73" t="n">
        <f aca="false">IF(I49&gt;0,I7/I49,"N/M")</f>
        <v>2.36731425469211</v>
      </c>
      <c r="J165" s="73" t="n">
        <f aca="false">IF(J49&gt;0,J7/J49,"N/M")</f>
        <v>2.25419563866139</v>
      </c>
      <c r="K165" s="60" t="n">
        <f aca="false">IF(COUNT(D165:J165)=0,"N/M",AVERAGE(D165:J165))</f>
        <v>2.18929688905435</v>
      </c>
      <c r="L165" s="60" t="n">
        <f aca="false">IF(COUNT(D165,J165)=2,J165-D165,"-")</f>
        <v>-0.187105773593154</v>
      </c>
    </row>
    <row r="166" customFormat="false" ht="15" hidden="false" customHeight="false" outlineLevel="0" collapsed="false">
      <c r="A166" s="16" t="s">
        <v>782</v>
      </c>
      <c r="B166" s="87" t="s">
        <v>783</v>
      </c>
      <c r="C166" s="17" t="s">
        <v>692</v>
      </c>
      <c r="D166" s="73" t="n">
        <f aca="false">IF(D40&gt;0,D49/D40,"N/M")</f>
        <v>2.61055723859359</v>
      </c>
      <c r="E166" s="73" t="n">
        <f aca="false">IF(E40&gt;0,E49/E40,"N/M")</f>
        <v>2.96963348942013</v>
      </c>
      <c r="F166" s="73" t="n">
        <f aca="false">IF(F40&gt;0,F49/F40,"N/M")</f>
        <v>3.61484409310496</v>
      </c>
      <c r="G166" s="73" t="n">
        <f aca="false">IF(G40&gt;0,G49/G40,"N/M")</f>
        <v>4.54526679366888</v>
      </c>
      <c r="H166" s="73" t="n">
        <f aca="false">IF(H40&gt;0,H49/H40,"N/M")</f>
        <v>5.03015412106321</v>
      </c>
      <c r="I166" s="73" t="n">
        <f aca="false">IF(I40&gt;0,I49/I40,"N/M")</f>
        <v>5.88928473554398</v>
      </c>
      <c r="J166" s="73" t="n">
        <f aca="false">IF(J40&gt;0,J49/J40,"N/M")</f>
        <v>2.64305657229439</v>
      </c>
      <c r="K166" s="60" t="n">
        <f aca="false">IF(COUNT(D166:J166)=0,"N/M",AVERAGE(D166:J166))</f>
        <v>3.90039957766988</v>
      </c>
      <c r="L166" s="60" t="n">
        <f aca="false">IF(COUNT(D166,J166)=2,J166-D166,"-")</f>
        <v>0.0324993337007946</v>
      </c>
    </row>
    <row r="167" customFormat="false" ht="15" hidden="false" customHeight="false" outlineLevel="0" collapsed="false">
      <c r="A167" s="12" t="s">
        <v>303</v>
      </c>
      <c r="B167" s="87" t="s">
        <v>741</v>
      </c>
      <c r="C167" s="17" t="s">
        <v>615</v>
      </c>
      <c r="D167" s="30" t="n">
        <f aca="false">IF(D49&gt;0,D30/D49,"N/M")</f>
        <v>0.0387666685421707</v>
      </c>
      <c r="E167" s="30" t="n">
        <f aca="false">IF(E49&gt;0,E30/E49,"N/M")</f>
        <v>0.0177837847450694</v>
      </c>
      <c r="F167" s="30" t="n">
        <f aca="false">IF(F49&gt;0,F30/F49,"N/M")</f>
        <v>0.00888915887093508</v>
      </c>
      <c r="G167" s="30" t="n">
        <f aca="false">IF(G49&gt;0,G30/G49,"N/M")</f>
        <v>0.0102940139603751</v>
      </c>
      <c r="H167" s="30" t="n">
        <f aca="false">IF(H49&gt;0,H30/H49,"N/M")</f>
        <v>-0.022097529468755</v>
      </c>
      <c r="I167" s="30" t="n">
        <f aca="false">IF(I49&gt;0,I30/I49,"N/M")</f>
        <v>-0.0139018147975803</v>
      </c>
      <c r="J167" s="30" t="n">
        <f aca="false">IF(J49&gt;0,J30/J49,"N/M")</f>
        <v>0.000737517753566011</v>
      </c>
      <c r="K167" s="30" t="n">
        <f aca="false">IF(COUNT(D167:J167)=0,"N/M",AVERAGE(D167:J167))</f>
        <v>0.00578168565796872</v>
      </c>
      <c r="L167" s="30" t="n">
        <f aca="false">IF(COUNT(D167,J167)=2,J167-D167,"-")</f>
        <v>-0.0380291507886047</v>
      </c>
    </row>
    <row r="168" customFormat="false" ht="15" hidden="false" customHeight="false" outlineLevel="0" collapsed="false">
      <c r="A168" s="12" t="s">
        <v>784</v>
      </c>
      <c r="B168" s="87" t="s">
        <v>751</v>
      </c>
      <c r="C168" s="17" t="s">
        <v>615</v>
      </c>
      <c r="D168" s="30" t="n">
        <f aca="false">IF(D40&gt;0,D30/D40,"N/M")</f>
        <v>0.101202607178922</v>
      </c>
      <c r="E168" s="30" t="n">
        <f aca="false">IF(E40&gt;0,E30/E40,"N/M")</f>
        <v>0.0528113227475971</v>
      </c>
      <c r="F168" s="30" t="n">
        <f aca="false">IF(F40&gt;0,F30/F40,"N/M")</f>
        <v>0.0321329234372713</v>
      </c>
      <c r="G168" s="30" t="n">
        <f aca="false">IF(G40&gt;0,G30/G40,"N/M")</f>
        <v>0.0467890398276568</v>
      </c>
      <c r="H168" s="30" t="n">
        <f aca="false">IF(H40&gt;0,H30/H40,"N/M")</f>
        <v>-0.111153978922574</v>
      </c>
      <c r="I168" s="30" t="n">
        <f aca="false">IF(I40&gt;0,I30/I40,"N/M")</f>
        <v>-0.081871745683749</v>
      </c>
      <c r="J168" s="30" t="n">
        <f aca="false">IF(J40&gt;0,J30/J40,"N/M")</f>
        <v>0.00194930114574644</v>
      </c>
      <c r="K168" s="30" t="n">
        <f aca="false">IF(COUNT(D168:J168)=0,"N/M",AVERAGE(D168:J168))</f>
        <v>0.00597992424726727</v>
      </c>
      <c r="L168" s="30" t="n">
        <f aca="false">IF(COUNT(D168,J168)=2,J168-D168,"-")</f>
        <v>-0.0992533060331758</v>
      </c>
    </row>
    <row r="169" customFormat="false" ht="15" hidden="false" customHeight="false" outlineLevel="0" collapsed="false">
      <c r="A169" s="16" t="s">
        <v>785</v>
      </c>
      <c r="B169" s="87" t="s">
        <v>786</v>
      </c>
      <c r="C169" s="17" t="s">
        <v>615</v>
      </c>
      <c r="D169" s="94" t="n">
        <f aca="false">IF(COUNT(D164,D165,D166,D168)=4,D164*D165*D166-D168,"-")</f>
        <v>0</v>
      </c>
      <c r="E169" s="94" t="n">
        <f aca="false">IF(COUNT(E164,E165,E166,E168)=4,E164*E165*E166-E168,"-")</f>
        <v>0</v>
      </c>
      <c r="F169" s="94" t="n">
        <f aca="false">IF(COUNT(F164,F165,F166,F168)=4,F164*F165*F166-F168,"-")</f>
        <v>0</v>
      </c>
      <c r="G169" s="94" t="n">
        <f aca="false">IF(COUNT(G164,G165,G166,G168)=4,G164*G165*G166-G168,"-")</f>
        <v>0</v>
      </c>
      <c r="H169" s="94" t="n">
        <f aca="false">IF(COUNT(H164,H165,H166,H168)=4,H164*H165*H166-H168,"-")</f>
        <v>0</v>
      </c>
      <c r="I169" s="94" t="n">
        <f aca="false">IF(COUNT(I164,I165,I166,I168)=4,I164*I165*I166-I168,"-")</f>
        <v>0</v>
      </c>
      <c r="J169" s="94" t="n">
        <f aca="false">IF(COUNT(J164,J165,J166,J168)=4,J164*J165*J166-J168,"-")</f>
        <v>0</v>
      </c>
      <c r="K169" s="62"/>
      <c r="L169" s="62"/>
    </row>
    <row r="170" customFormat="false" ht="16.5" hidden="false" customHeight="true" outlineLevel="0" collapsed="false">
      <c r="A170" s="88" t="s">
        <v>787</v>
      </c>
      <c r="B170" s="89"/>
      <c r="C170" s="89"/>
      <c r="D170" s="89"/>
      <c r="E170" s="89"/>
      <c r="F170" s="89"/>
      <c r="G170" s="89"/>
      <c r="H170" s="89"/>
      <c r="I170" s="89"/>
      <c r="J170" s="89"/>
      <c r="K170" s="89"/>
      <c r="L170" s="89"/>
    </row>
    <row r="171" customFormat="false" ht="15" hidden="false" customHeight="false" outlineLevel="0" collapsed="false">
      <c r="A171" s="16" t="s">
        <v>788</v>
      </c>
      <c r="B171" s="87" t="s">
        <v>789</v>
      </c>
      <c r="C171" s="17" t="s">
        <v>97</v>
      </c>
      <c r="D171" s="73" t="n">
        <f aca="false">IF(D26&lt;&gt;0,D30/D26,"N/M")</f>
        <v>0.678901342529872</v>
      </c>
      <c r="E171" s="73" t="n">
        <f aca="false">IF(E26&lt;&gt;0,E30/E26,"N/M")</f>
        <v>0.765306122448992</v>
      </c>
      <c r="F171" s="73" t="n">
        <f aca="false">IF(F26&lt;&gt;0,F30/F26,"N/M")</f>
        <v>0.667426833903467</v>
      </c>
      <c r="G171" s="73" t="n">
        <f aca="false">IF(G26&lt;&gt;0,G30/G26,"N/M")</f>
        <v>0.760856977417497</v>
      </c>
      <c r="H171" s="73" t="n">
        <f aca="false">IF(H26&lt;&gt;0,H30/H26,"N/M")</f>
        <v>2.07427055702916</v>
      </c>
      <c r="I171" s="73" t="n">
        <f aca="false">IF(I26&lt;&gt;0,I30/I26,"N/M")</f>
        <v>4.67405475880073</v>
      </c>
      <c r="J171" s="73" t="n">
        <f aca="false">IF(J26&lt;&gt;0,J30/J26,"N/M")</f>
        <v>0.0690591073582626</v>
      </c>
      <c r="K171" s="60" t="n">
        <f aca="false">IF(COUNT(D171:J171)=0,"N/M",AVERAGE(D171:J171))</f>
        <v>1.38426795706971</v>
      </c>
      <c r="L171" s="60" t="n">
        <f aca="false">IF(COUNT(D171,J171)=2,J171-D171,"-")</f>
        <v>-0.609842235171609</v>
      </c>
    </row>
    <row r="172" customFormat="false" ht="15" hidden="false" customHeight="false" outlineLevel="0" collapsed="false">
      <c r="A172" s="16" t="s">
        <v>790</v>
      </c>
      <c r="B172" s="87" t="s">
        <v>791</v>
      </c>
      <c r="C172" s="17" t="s">
        <v>97</v>
      </c>
      <c r="D172" s="73" t="n">
        <f aca="false">IF(D23&lt;&gt;0,D26/D23,"N/M")</f>
        <v>0.95461493239271</v>
      </c>
      <c r="E172" s="73" t="n">
        <f aca="false">IF(E23&lt;&gt;0,E26/E23,"N/M")</f>
        <v>0.870530757272927</v>
      </c>
      <c r="F172" s="73" t="n">
        <f aca="false">IF(F23&lt;&gt;0,F26/F23,"N/M")</f>
        <v>0.617026266416507</v>
      </c>
      <c r="G172" s="73" t="n">
        <f aca="false">IF(G23&lt;&gt;0,G26/G23,"N/M")</f>
        <v>0.489790130459441</v>
      </c>
      <c r="H172" s="73" t="n">
        <f aca="false">IF(H23&lt;&gt;0,H26/H23,"N/M")</f>
        <v>-1.18606741573036</v>
      </c>
      <c r="I172" s="73" t="n">
        <f aca="false">IF(I23&lt;&gt;0,I26/I23,"N/M")</f>
        <v>-0.132081970036157</v>
      </c>
      <c r="J172" s="73" t="n">
        <f aca="false">IF(J23&lt;&gt;0,J26/J23,"N/M")</f>
        <v>0.328544535816904</v>
      </c>
      <c r="K172" s="60" t="n">
        <f aca="false">IF(COUNT(D172:J172)=0,"N/M",AVERAGE(D172:J172))</f>
        <v>0.277479605227425</v>
      </c>
      <c r="L172" s="60" t="n">
        <f aca="false">IF(COUNT(D172,J172)=2,J172-D172,"-")</f>
        <v>-0.626070396575806</v>
      </c>
    </row>
    <row r="173" customFormat="false" ht="15" hidden="false" customHeight="false" outlineLevel="0" collapsed="false">
      <c r="A173" s="16" t="s">
        <v>792</v>
      </c>
      <c r="B173" s="87" t="s">
        <v>793</v>
      </c>
      <c r="C173" s="17" t="s">
        <v>615</v>
      </c>
      <c r="D173" s="71" t="n">
        <f aca="false">IF(D7&gt;0,D23/D7,"N/M")</f>
        <v>0.0245020367948281</v>
      </c>
      <c r="E173" s="71" t="n">
        <f aca="false">IF(E7&gt;0,E23/E7,"N/M")</f>
        <v>0.0137971394604927</v>
      </c>
      <c r="F173" s="71" t="n">
        <f aca="false">IF(F7&gt;0,F23/F7,"N/M")</f>
        <v>0.0102976265226673</v>
      </c>
      <c r="G173" s="71" t="n">
        <f aca="false">IF(G7&gt;0,G23/G7,"N/M")</f>
        <v>0.0137511724180964</v>
      </c>
      <c r="H173" s="71" t="n">
        <f aca="false">IF(H7&gt;0,H23/H7,"N/M")</f>
        <v>0.00404106814966296</v>
      </c>
      <c r="I173" s="71" t="n">
        <f aca="false">IF(I7&gt;0,I23/I7,"N/M")</f>
        <v>0.00951214038720166</v>
      </c>
      <c r="J173" s="71" t="n">
        <f aca="false">IF(J7&gt;0,J23/J7,"N/M")</f>
        <v>0.0144200134299144</v>
      </c>
      <c r="K173" s="62" t="n">
        <f aca="false">IF(COUNT(D173:J173)=0,"N/M",AVERAGE(D173:J173))</f>
        <v>0.0129030281661234</v>
      </c>
      <c r="L173" s="62" t="n">
        <f aca="false">IF(COUNT(D173,J173)=2,J173-D173,"-")</f>
        <v>-0.0100820233649136</v>
      </c>
    </row>
    <row r="174" customFormat="false" ht="15" hidden="false" customHeight="false" outlineLevel="0" collapsed="false">
      <c r="A174" s="16" t="s">
        <v>781</v>
      </c>
      <c r="B174" s="87" t="s">
        <v>708</v>
      </c>
      <c r="C174" s="17" t="s">
        <v>692</v>
      </c>
      <c r="D174" s="73" t="n">
        <f aca="false">IF(D49&gt;0,D7/D49,"N/M")</f>
        <v>2.44130141225454</v>
      </c>
      <c r="E174" s="73" t="n">
        <f aca="false">IF(E49&gt;0,E7/E49,"N/M")</f>
        <v>1.9347097982726</v>
      </c>
      <c r="F174" s="73" t="n">
        <f aca="false">IF(F49&gt;0,F7/F49,"N/M")</f>
        <v>2.09612035799619</v>
      </c>
      <c r="G174" s="73" t="n">
        <f aca="false">IF(G49&gt;0,G7/G49,"N/M")</f>
        <v>2.00877811464429</v>
      </c>
      <c r="H174" s="73" t="n">
        <f aca="false">IF(H49&gt;0,H7/H49,"N/M")</f>
        <v>2.22265864685936</v>
      </c>
      <c r="I174" s="73" t="n">
        <f aca="false">IF(I49&gt;0,I7/I49,"N/M")</f>
        <v>2.36731425469211</v>
      </c>
      <c r="J174" s="73" t="n">
        <f aca="false">IF(J49&gt;0,J7/J49,"N/M")</f>
        <v>2.25419563866139</v>
      </c>
      <c r="K174" s="60" t="n">
        <f aca="false">IF(COUNT(D174:J174)=0,"N/M",AVERAGE(D174:J174))</f>
        <v>2.18929688905435</v>
      </c>
      <c r="L174" s="60" t="n">
        <f aca="false">IF(COUNT(D174,J174)=2,J174-D174,"-")</f>
        <v>-0.187105773593154</v>
      </c>
    </row>
    <row r="175" customFormat="false" ht="15" hidden="false" customHeight="false" outlineLevel="0" collapsed="false">
      <c r="A175" s="16" t="s">
        <v>782</v>
      </c>
      <c r="B175" s="87" t="s">
        <v>783</v>
      </c>
      <c r="C175" s="17" t="s">
        <v>692</v>
      </c>
      <c r="D175" s="73" t="n">
        <f aca="false">IF(D40&gt;0,D49/D40,"N/M")</f>
        <v>2.61055723859359</v>
      </c>
      <c r="E175" s="73" t="n">
        <f aca="false">IF(E40&gt;0,E49/E40,"N/M")</f>
        <v>2.96963348942013</v>
      </c>
      <c r="F175" s="73" t="n">
        <f aca="false">IF(F40&gt;0,F49/F40,"N/M")</f>
        <v>3.61484409310496</v>
      </c>
      <c r="G175" s="73" t="n">
        <f aca="false">IF(G40&gt;0,G49/G40,"N/M")</f>
        <v>4.54526679366888</v>
      </c>
      <c r="H175" s="73" t="n">
        <f aca="false">IF(H40&gt;0,H49/H40,"N/M")</f>
        <v>5.03015412106321</v>
      </c>
      <c r="I175" s="73" t="n">
        <f aca="false">IF(I40&gt;0,I49/I40,"N/M")</f>
        <v>5.88928473554398</v>
      </c>
      <c r="J175" s="73" t="n">
        <f aca="false">IF(J40&gt;0,J49/J40,"N/M")</f>
        <v>2.64305657229439</v>
      </c>
      <c r="K175" s="60" t="n">
        <f aca="false">IF(COUNT(D175:J175)=0,"N/M",AVERAGE(D175:J175))</f>
        <v>3.90039957766988</v>
      </c>
      <c r="L175" s="60" t="n">
        <f aca="false">IF(COUNT(D175,J175)=2,J175-D175,"-")</f>
        <v>0.0324993337007946</v>
      </c>
    </row>
    <row r="176" customFormat="false" ht="15" hidden="false" customHeight="false" outlineLevel="0" collapsed="false">
      <c r="A176" s="12" t="s">
        <v>784</v>
      </c>
      <c r="B176" s="87" t="s">
        <v>751</v>
      </c>
      <c r="C176" s="17" t="s">
        <v>615</v>
      </c>
      <c r="D176" s="30" t="n">
        <f aca="false">IF(D40&gt;0,D30/D40,"N/M")</f>
        <v>0.101202607178922</v>
      </c>
      <c r="E176" s="30" t="n">
        <f aca="false">IF(E40&gt;0,E30/E40,"N/M")</f>
        <v>0.0528113227475971</v>
      </c>
      <c r="F176" s="30" t="n">
        <f aca="false">IF(F40&gt;0,F30/F40,"N/M")</f>
        <v>0.0321329234372713</v>
      </c>
      <c r="G176" s="30" t="n">
        <f aca="false">IF(G40&gt;0,G30/G40,"N/M")</f>
        <v>0.0467890398276568</v>
      </c>
      <c r="H176" s="30" t="n">
        <f aca="false">IF(H40&gt;0,H30/H40,"N/M")</f>
        <v>-0.111153978922574</v>
      </c>
      <c r="I176" s="30" t="n">
        <f aca="false">IF(I40&gt;0,I30/I40,"N/M")</f>
        <v>-0.081871745683749</v>
      </c>
      <c r="J176" s="30" t="n">
        <f aca="false">IF(J40&gt;0,J30/J40,"N/M")</f>
        <v>0.00194930114574644</v>
      </c>
      <c r="K176" s="30" t="n">
        <f aca="false">IF(COUNT(D176:J176)=0,"N/M",AVERAGE(D176:J176))</f>
        <v>0.00597992424726727</v>
      </c>
      <c r="L176" s="30" t="n">
        <f aca="false">IF(COUNT(D176,J176)=2,J176-D176,"-")</f>
        <v>-0.0992533060331758</v>
      </c>
    </row>
    <row r="177" customFormat="false" ht="15" hidden="false" customHeight="false" outlineLevel="0" collapsed="false">
      <c r="A177" s="16" t="s">
        <v>794</v>
      </c>
      <c r="B177" s="87" t="s">
        <v>786</v>
      </c>
      <c r="C177" s="17" t="s">
        <v>615</v>
      </c>
      <c r="D177" s="94" t="n">
        <f aca="false">IF(COUNT(D171,D172,D173,D174,D175,D176)=6,D171*D172*D173*D174*D175-D176,"-")</f>
        <v>0</v>
      </c>
      <c r="E177" s="94" t="n">
        <f aca="false">IF(COUNT(E171,E172,E173,E174,E175,E176)=6,E171*E172*E173*E174*E175-E176,"-")</f>
        <v>0</v>
      </c>
      <c r="F177" s="94" t="n">
        <f aca="false">IF(COUNT(F171,F172,F173,F174,F175,F176)=6,F171*F172*F173*F174*F175-F176,"-")</f>
        <v>0</v>
      </c>
      <c r="G177" s="94" t="n">
        <f aca="false">IF(COUNT(G171,G172,G173,G174,G175,G176)=6,G171*G172*G173*G174*G175-G176,"-")</f>
        <v>0</v>
      </c>
      <c r="H177" s="94" t="n">
        <f aca="false">IF(COUNT(H171,H172,H173,H174,H175,H176)=6,H171*H172*H173*H174*H175-H176,"-")</f>
        <v>0</v>
      </c>
      <c r="I177" s="94" t="n">
        <f aca="false">IF(COUNT(I171,I172,I173,I174,I175,I176)=6,I171*I172*I173*I174*I175-I176,"-")</f>
        <v>0</v>
      </c>
      <c r="J177" s="94" t="n">
        <f aca="false">IF(COUNT(J171,J172,J173,J174,J175,J176)=6,J171*J172*J173*J174*J175-J176,"-")</f>
        <v>0</v>
      </c>
      <c r="K177" s="62"/>
      <c r="L177" s="62"/>
    </row>
  </sheetData>
  <mergeCells count="3">
    <mergeCell ref="A1:L1"/>
    <mergeCell ref="A2:L2"/>
    <mergeCell ref="A3:L3"/>
  </mergeCells>
  <hyperlinks>
    <hyperlink ref="A3" r:id="rId1" display="Source: annual reports FY2020-FY2026 (consolidated) - https://mahindralogistics.com/investor-relations/   (full list of documents on the Sources sheet)"/>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2026-10-25T15:05:50Z</dcterms:created>
  <dc:creator/>
  <dc:description/>
  <dc:language>en-US</dc:language>
  <cp:lastModifiedBy/>
  <dcterms:modified xsi:type="dcterms:W3CDTF">2026-10-25T15:05:51Z</dcterms:modified>
  <cp:revision>0</cp:revision>
  <dc:subject/>
  <dc:title>Logistics Ratio Analysis Workings</dc:title>
</cp:coreProperties>
</file>

<file path=docProps/custom.xml><?xml version="1.0" encoding="utf-8"?>
<Properties xmlns="http://schemas.openxmlformats.org/officeDocument/2006/custom-properties" xmlns:vt="http://schemas.openxmlformats.org/officeDocument/2006/docPropsVTypes"/>
</file>